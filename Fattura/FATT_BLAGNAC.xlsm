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8028" codeName="{00000000-0000-0000-0000-000000000000}"/>
  <workbookPr showInkAnnotation="0" codeName="ThisWorkbook" autoCompressPictures="0"/>
  <bookViews>
    <workbookView xWindow="700" yWindow="1320" windowWidth="21000" windowHeight="15560" tabRatio="500" firstSheet="5" activeTab="7"/>
  </bookViews>
  <sheets>
    <sheet name="Mode d'emploi" sheetId="74" r:id="rId1"/>
    <sheet name="Synthèse par catalogue" sheetId="81" r:id="rId2"/>
    <sheet name="Codes Barre" sheetId="71" r:id="rId3"/>
    <sheet name="Synthèse Codes Barre" sheetId="73" r:id="rId4"/>
    <sheet name="LISTCBARRE_VALMAG" sheetId="77" r:id="rId5"/>
    <sheet name="Couleurs" sheetId="69" r:id="rId6"/>
    <sheet name="Feuil1" sheetId="159" r:id="rId7"/>
    <sheet name="Extraction" sheetId="7" r:id="rId8"/>
    <sheet name="Feuille1" sheetId="82" r:id="rId9"/>
    <sheet name="Feuille2" sheetId="83" r:id="rId10"/>
    <sheet name="Feuille3" sheetId="84" r:id="rId11"/>
    <sheet name="Feuille4" sheetId="122" r:id="rId12"/>
    <sheet name="Feuille5" sheetId="123" r:id="rId13"/>
    <sheet name="Feuille6" sheetId="124" r:id="rId14"/>
    <sheet name="Feuille7" sheetId="125" r:id="rId15"/>
    <sheet name="Feuille8" sheetId="126" r:id="rId16"/>
    <sheet name="Feuille9" sheetId="127" r:id="rId17"/>
    <sheet name="Feuille10" sheetId="128" r:id="rId18"/>
    <sheet name="Feuille11" sheetId="129" r:id="rId19"/>
    <sheet name="Feuille12" sheetId="130" r:id="rId20"/>
    <sheet name="Feuille13" sheetId="131" r:id="rId21"/>
    <sheet name="Feuille14" sheetId="132" r:id="rId22"/>
    <sheet name="Feuille15" sheetId="133" r:id="rId23"/>
    <sheet name="Feuille16" sheetId="134" r:id="rId24"/>
    <sheet name="Feuille17" sheetId="135" r:id="rId25"/>
    <sheet name="Feuille18" sheetId="136" r:id="rId26"/>
    <sheet name="Feuille19" sheetId="137" r:id="rId27"/>
    <sheet name="Feuille20" sheetId="138" r:id="rId28"/>
    <sheet name="Feuille21" sheetId="139" r:id="rId29"/>
    <sheet name="Feuille22" sheetId="140" r:id="rId30"/>
    <sheet name="Feuille23" sheetId="141" r:id="rId31"/>
    <sheet name="Feuille24" sheetId="142" r:id="rId32"/>
    <sheet name="Feuille25" sheetId="143" r:id="rId33"/>
    <sheet name="Feuille26" sheetId="144" r:id="rId34"/>
    <sheet name="Feuille27" sheetId="145" r:id="rId35"/>
    <sheet name="Feuille28" sheetId="146" r:id="rId36"/>
    <sheet name="Feuille29" sheetId="147" r:id="rId37"/>
    <sheet name="Feuille30" sheetId="148" r:id="rId38"/>
    <sheet name="Feuille31" sheetId="149" r:id="rId39"/>
    <sheet name="Feuille32" sheetId="150" r:id="rId40"/>
    <sheet name="Feuille33" sheetId="151" r:id="rId41"/>
    <sheet name="Feuille34" sheetId="152" r:id="rId42"/>
    <sheet name="Feuille35" sheetId="153" r:id="rId43"/>
    <sheet name="Feuille36" sheetId="154" r:id="rId44"/>
    <sheet name="Feuille37" sheetId="155" r:id="rId45"/>
    <sheet name="Feuille38" sheetId="156" r:id="rId46"/>
    <sheet name="ZZFeuille39" sheetId="157" r:id="rId47"/>
    <sheet name="Feuille40" sheetId="158" r:id="rId48"/>
  </sheets>
  <definedNames>
    <definedName name="debutCodeProduit">Extraction!$C$5</definedName>
    <definedName name="indexPremiereFeuille">#REF!</definedName>
    <definedName name="NomBDCodesBarres">'Codes Barre'!$A$3</definedName>
    <definedName name="prefixeOngletFacture">"Feuille"</definedName>
    <definedName name="_xlnm.Print_Area" localSheetId="6">Feuil1!$A:$C</definedName>
  </definedNames>
  <calcPr calcId="140000" concurrentCalc="0"/>
  <pivotCaches>
    <pivotCache cacheId="31" r:id="rId49"/>
    <pivotCache cacheId="32" r:id="rId50"/>
    <pivotCache cacheId="33" r:id="rId51"/>
  </pivotCaches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5" i="7" l="1"/>
  <c r="K5" i="7"/>
  <c r="J6" i="7"/>
  <c r="K6" i="7"/>
  <c r="J7" i="7"/>
  <c r="K7" i="7"/>
  <c r="J8" i="7"/>
  <c r="K8" i="7"/>
  <c r="J9" i="7"/>
  <c r="K9" i="7"/>
  <c r="J10" i="7"/>
  <c r="K10" i="7"/>
  <c r="J11" i="7"/>
  <c r="K11" i="7"/>
  <c r="J12" i="7"/>
  <c r="K12" i="7"/>
  <c r="J13" i="7"/>
  <c r="K13" i="7"/>
  <c r="J14" i="7"/>
  <c r="K14" i="7"/>
  <c r="J15" i="7"/>
  <c r="K15" i="7"/>
  <c r="J16" i="7"/>
  <c r="K16" i="7"/>
  <c r="J17" i="7"/>
  <c r="K17" i="7"/>
  <c r="J18" i="7"/>
  <c r="K18" i="7"/>
  <c r="J19" i="7"/>
  <c r="K19" i="7"/>
  <c r="J20" i="7"/>
  <c r="K20" i="7"/>
  <c r="J21" i="7"/>
  <c r="K21" i="7"/>
  <c r="J22" i="7"/>
  <c r="K22" i="7"/>
  <c r="J23" i="7"/>
  <c r="K23" i="7"/>
  <c r="J24" i="7"/>
  <c r="K24" i="7"/>
  <c r="J25" i="7"/>
  <c r="K25" i="7"/>
  <c r="J26" i="7"/>
  <c r="K26" i="7"/>
  <c r="J27" i="7"/>
  <c r="K27" i="7"/>
  <c r="J28" i="7"/>
  <c r="K28" i="7"/>
  <c r="J29" i="7"/>
  <c r="K29" i="7"/>
  <c r="J30" i="7"/>
  <c r="K30" i="7"/>
  <c r="J31" i="7"/>
  <c r="K31" i="7"/>
  <c r="J32" i="7"/>
  <c r="K32" i="7"/>
  <c r="J33" i="7"/>
  <c r="K33" i="7"/>
  <c r="J34" i="7"/>
  <c r="K34" i="7"/>
  <c r="J35" i="7"/>
  <c r="K35" i="7"/>
  <c r="J36" i="7"/>
  <c r="K36" i="7"/>
  <c r="J37" i="7"/>
  <c r="K37" i="7"/>
  <c r="J38" i="7"/>
  <c r="K38" i="7"/>
  <c r="J39" i="7"/>
  <c r="K39" i="7"/>
  <c r="J40" i="7"/>
  <c r="K40" i="7"/>
  <c r="J41" i="7"/>
  <c r="K41" i="7"/>
  <c r="J42" i="7"/>
  <c r="K42" i="7"/>
  <c r="J43" i="7"/>
  <c r="K43" i="7"/>
  <c r="J44" i="7"/>
  <c r="K44" i="7"/>
  <c r="J45" i="7"/>
  <c r="K45" i="7"/>
  <c r="J46" i="7"/>
  <c r="K46" i="7"/>
  <c r="J47" i="7"/>
  <c r="K47" i="7"/>
  <c r="J48" i="7"/>
  <c r="K48" i="7"/>
  <c r="J49" i="7"/>
  <c r="K49" i="7"/>
  <c r="J50" i="7"/>
  <c r="K50" i="7"/>
  <c r="J51" i="7"/>
  <c r="K51" i="7"/>
  <c r="J52" i="7"/>
  <c r="K52" i="7"/>
  <c r="J53" i="7"/>
  <c r="K53" i="7"/>
  <c r="J54" i="7"/>
  <c r="K54" i="7"/>
  <c r="J55" i="7"/>
  <c r="K55" i="7"/>
  <c r="J56" i="7"/>
  <c r="K56" i="7"/>
  <c r="J57" i="7"/>
  <c r="K57" i="7"/>
  <c r="J58" i="7"/>
  <c r="K58" i="7"/>
  <c r="J59" i="7"/>
  <c r="K59" i="7"/>
  <c r="J60" i="7"/>
  <c r="K60" i="7"/>
  <c r="J61" i="7"/>
  <c r="K61" i="7"/>
  <c r="J62" i="7"/>
  <c r="K62" i="7"/>
  <c r="J63" i="7"/>
  <c r="K63" i="7"/>
  <c r="J64" i="7"/>
  <c r="K64" i="7"/>
  <c r="J65" i="7"/>
  <c r="K65" i="7"/>
  <c r="J66" i="7"/>
  <c r="K66" i="7"/>
  <c r="J67" i="7"/>
  <c r="K67" i="7"/>
  <c r="J68" i="7"/>
  <c r="K68" i="7"/>
  <c r="J69" i="7"/>
  <c r="K69" i="7"/>
  <c r="J70" i="7"/>
  <c r="K70" i="7"/>
  <c r="J71" i="7"/>
  <c r="K71" i="7"/>
  <c r="J72" i="7"/>
  <c r="K72" i="7"/>
  <c r="J73" i="7"/>
  <c r="K73" i="7"/>
  <c r="J74" i="7"/>
  <c r="K74" i="7"/>
  <c r="J75" i="7"/>
  <c r="K75" i="7"/>
  <c r="J76" i="7"/>
  <c r="K76" i="7"/>
  <c r="J77" i="7"/>
  <c r="K77" i="7"/>
  <c r="J78" i="7"/>
  <c r="K78" i="7"/>
  <c r="J79" i="7"/>
  <c r="K79" i="7"/>
  <c r="J80" i="7"/>
  <c r="K80" i="7"/>
  <c r="J81" i="7"/>
  <c r="K81" i="7"/>
  <c r="J82" i="7"/>
  <c r="K82" i="7"/>
  <c r="J83" i="7"/>
  <c r="K83" i="7"/>
  <c r="J84" i="7"/>
  <c r="K84" i="7"/>
  <c r="J85" i="7"/>
  <c r="K85" i="7"/>
  <c r="J86" i="7"/>
  <c r="K86" i="7"/>
  <c r="J87" i="7"/>
  <c r="K87" i="7"/>
  <c r="J88" i="7"/>
  <c r="K88" i="7"/>
  <c r="J89" i="7"/>
  <c r="K89" i="7"/>
  <c r="J90" i="7"/>
  <c r="K90" i="7"/>
  <c r="J91" i="7"/>
  <c r="K91" i="7"/>
  <c r="J92" i="7"/>
  <c r="K92" i="7"/>
  <c r="J93" i="7"/>
  <c r="K93" i="7"/>
  <c r="J94" i="7"/>
  <c r="K94" i="7"/>
  <c r="J95" i="7"/>
  <c r="K95" i="7"/>
  <c r="J96" i="7"/>
  <c r="K96" i="7"/>
  <c r="J97" i="7"/>
  <c r="K97" i="7"/>
  <c r="J98" i="7"/>
  <c r="K98" i="7"/>
  <c r="J99" i="7"/>
  <c r="K99" i="7"/>
  <c r="J100" i="7"/>
  <c r="K100" i="7"/>
  <c r="J101" i="7"/>
  <c r="K101" i="7"/>
  <c r="J102" i="7"/>
  <c r="K102" i="7"/>
  <c r="J103" i="7"/>
  <c r="K103" i="7"/>
  <c r="J104" i="7"/>
  <c r="K104" i="7"/>
  <c r="J105" i="7"/>
  <c r="K105" i="7"/>
  <c r="J106" i="7"/>
  <c r="K106" i="7"/>
  <c r="J107" i="7"/>
  <c r="K107" i="7"/>
  <c r="J108" i="7"/>
  <c r="K108" i="7"/>
  <c r="J109" i="7"/>
  <c r="K109" i="7"/>
  <c r="J110" i="7"/>
  <c r="K110" i="7"/>
  <c r="J111" i="7"/>
  <c r="K111" i="7"/>
  <c r="J112" i="7"/>
  <c r="K112" i="7"/>
  <c r="J113" i="7"/>
  <c r="K113" i="7"/>
  <c r="J114" i="7"/>
  <c r="K114" i="7"/>
  <c r="J115" i="7"/>
  <c r="K115" i="7"/>
  <c r="J116" i="7"/>
  <c r="K116" i="7"/>
  <c r="J117" i="7"/>
  <c r="K117" i="7"/>
  <c r="J118" i="7"/>
  <c r="K118" i="7"/>
  <c r="J119" i="7"/>
  <c r="K119" i="7"/>
  <c r="J120" i="7"/>
  <c r="K120" i="7"/>
  <c r="J121" i="7"/>
  <c r="K121" i="7"/>
  <c r="J122" i="7"/>
  <c r="K122" i="7"/>
  <c r="J123" i="7"/>
  <c r="K123" i="7"/>
  <c r="J124" i="7"/>
  <c r="K124" i="7"/>
  <c r="J125" i="7"/>
  <c r="K125" i="7"/>
  <c r="J126" i="7"/>
  <c r="K126" i="7"/>
  <c r="J127" i="7"/>
  <c r="K127" i="7"/>
  <c r="J128" i="7"/>
  <c r="K128" i="7"/>
  <c r="J129" i="7"/>
  <c r="K129" i="7"/>
  <c r="J130" i="7"/>
  <c r="K130" i="7"/>
  <c r="J131" i="7"/>
  <c r="K131" i="7"/>
  <c r="J132" i="7"/>
  <c r="K132" i="7"/>
  <c r="J133" i="7"/>
  <c r="K133" i="7"/>
  <c r="J134" i="7"/>
  <c r="K134" i="7"/>
  <c r="J135" i="7"/>
  <c r="K135" i="7"/>
  <c r="J136" i="7"/>
  <c r="K136" i="7"/>
  <c r="J137" i="7"/>
  <c r="K137" i="7"/>
  <c r="J138" i="7"/>
  <c r="K138" i="7"/>
  <c r="J139" i="7"/>
  <c r="K139" i="7"/>
  <c r="J140" i="7"/>
  <c r="K140" i="7"/>
  <c r="J141" i="7"/>
  <c r="K141" i="7"/>
  <c r="J142" i="7"/>
  <c r="K142" i="7"/>
  <c r="J143" i="7"/>
  <c r="K143" i="7"/>
  <c r="J144" i="7"/>
  <c r="K144" i="7"/>
  <c r="J145" i="7"/>
  <c r="K145" i="7"/>
  <c r="J146" i="7"/>
  <c r="K146" i="7"/>
  <c r="J147" i="7"/>
  <c r="K147" i="7"/>
  <c r="J148" i="7"/>
  <c r="K148" i="7"/>
  <c r="J149" i="7"/>
  <c r="K149" i="7"/>
  <c r="J150" i="7"/>
  <c r="K150" i="7"/>
  <c r="J151" i="7"/>
  <c r="K151" i="7"/>
  <c r="J152" i="7"/>
  <c r="K152" i="7"/>
  <c r="J153" i="7"/>
  <c r="K153" i="7"/>
  <c r="J154" i="7"/>
  <c r="K154" i="7"/>
  <c r="J155" i="7"/>
  <c r="K155" i="7"/>
  <c r="J156" i="7"/>
  <c r="K156" i="7"/>
  <c r="J157" i="7"/>
  <c r="K157" i="7"/>
  <c r="J158" i="7"/>
  <c r="K158" i="7"/>
  <c r="J159" i="7"/>
  <c r="K159" i="7"/>
  <c r="J160" i="7"/>
  <c r="K160" i="7"/>
  <c r="J161" i="7"/>
  <c r="K161" i="7"/>
  <c r="J162" i="7"/>
  <c r="K162" i="7"/>
  <c r="J163" i="7"/>
  <c r="K163" i="7"/>
  <c r="J164" i="7"/>
  <c r="K164" i="7"/>
  <c r="J165" i="7"/>
  <c r="K165" i="7"/>
  <c r="J166" i="7"/>
  <c r="K166" i="7"/>
  <c r="J167" i="7"/>
  <c r="K167" i="7"/>
  <c r="J168" i="7"/>
  <c r="K168" i="7"/>
  <c r="J169" i="7"/>
  <c r="K169" i="7"/>
  <c r="J170" i="7"/>
  <c r="K170" i="7"/>
  <c r="J171" i="7"/>
  <c r="K171" i="7"/>
  <c r="J172" i="7"/>
  <c r="K172" i="7"/>
  <c r="J173" i="7"/>
  <c r="K173" i="7"/>
  <c r="J174" i="7"/>
  <c r="K174" i="7"/>
  <c r="J175" i="7"/>
  <c r="K175" i="7"/>
  <c r="J176" i="7"/>
  <c r="K176" i="7"/>
  <c r="J177" i="7"/>
  <c r="K177" i="7"/>
  <c r="J178" i="7"/>
  <c r="K178" i="7"/>
  <c r="J179" i="7"/>
  <c r="K179" i="7"/>
  <c r="J180" i="7"/>
  <c r="K180" i="7"/>
  <c r="J181" i="7"/>
  <c r="K181" i="7"/>
  <c r="J182" i="7"/>
  <c r="K182" i="7"/>
  <c r="J183" i="7"/>
  <c r="K183" i="7"/>
  <c r="J184" i="7"/>
  <c r="K184" i="7"/>
  <c r="J185" i="7"/>
  <c r="K185" i="7"/>
  <c r="J186" i="7"/>
  <c r="K186" i="7"/>
  <c r="J187" i="7"/>
  <c r="K187" i="7"/>
  <c r="J188" i="7"/>
  <c r="K188" i="7"/>
  <c r="J189" i="7"/>
  <c r="K189" i="7"/>
  <c r="J190" i="7"/>
  <c r="K190" i="7"/>
  <c r="J191" i="7"/>
  <c r="K191" i="7"/>
  <c r="J192" i="7"/>
  <c r="K192" i="7"/>
  <c r="J193" i="7"/>
  <c r="K193" i="7"/>
  <c r="J194" i="7"/>
  <c r="K194" i="7"/>
  <c r="J195" i="7"/>
  <c r="K195" i="7"/>
  <c r="J196" i="7"/>
  <c r="K196" i="7"/>
  <c r="J197" i="7"/>
  <c r="K197" i="7"/>
  <c r="J198" i="7"/>
  <c r="K198" i="7"/>
  <c r="J199" i="7"/>
  <c r="K199" i="7"/>
  <c r="J200" i="7"/>
  <c r="K200" i="7"/>
  <c r="J201" i="7"/>
  <c r="K201" i="7"/>
  <c r="J202" i="7"/>
  <c r="K202" i="7"/>
  <c r="J203" i="7"/>
  <c r="K203" i="7"/>
  <c r="J204" i="7"/>
  <c r="K204" i="7"/>
  <c r="J205" i="7"/>
  <c r="K205" i="7"/>
  <c r="J206" i="7"/>
  <c r="K206" i="7"/>
  <c r="J207" i="7"/>
  <c r="K207" i="7"/>
  <c r="J208" i="7"/>
  <c r="K208" i="7"/>
  <c r="J209" i="7"/>
  <c r="K209" i="7"/>
  <c r="J210" i="7"/>
  <c r="K210" i="7"/>
  <c r="J211" i="7"/>
  <c r="K211" i="7"/>
  <c r="J212" i="7"/>
  <c r="K212" i="7"/>
  <c r="J213" i="7"/>
  <c r="K213" i="7"/>
  <c r="J214" i="7"/>
  <c r="K214" i="7"/>
  <c r="J215" i="7"/>
  <c r="K215" i="7"/>
  <c r="J216" i="7"/>
  <c r="K216" i="7"/>
  <c r="J217" i="7"/>
  <c r="K217" i="7"/>
  <c r="J218" i="7"/>
  <c r="K218" i="7"/>
  <c r="J219" i="7"/>
  <c r="K219" i="7"/>
  <c r="J220" i="7"/>
  <c r="K220" i="7"/>
  <c r="J221" i="7"/>
  <c r="K221" i="7"/>
  <c r="J222" i="7"/>
  <c r="K222" i="7"/>
  <c r="J223" i="7"/>
  <c r="K223" i="7"/>
  <c r="J224" i="7"/>
  <c r="K224" i="7"/>
  <c r="J225" i="7"/>
  <c r="K225" i="7"/>
  <c r="J226" i="7"/>
  <c r="K226" i="7"/>
  <c r="J227" i="7"/>
  <c r="K227" i="7"/>
  <c r="J228" i="7"/>
  <c r="K228" i="7"/>
  <c r="J229" i="7"/>
  <c r="K229" i="7"/>
  <c r="J230" i="7"/>
  <c r="K230" i="7"/>
  <c r="J231" i="7"/>
  <c r="K231" i="7"/>
  <c r="J232" i="7"/>
  <c r="K232" i="7"/>
  <c r="J233" i="7"/>
  <c r="K233" i="7"/>
  <c r="J234" i="7"/>
  <c r="K234" i="7"/>
  <c r="J235" i="7"/>
  <c r="K235" i="7"/>
  <c r="J236" i="7"/>
  <c r="K236" i="7"/>
  <c r="J237" i="7"/>
  <c r="K237" i="7"/>
  <c r="J238" i="7"/>
  <c r="K238" i="7"/>
  <c r="J239" i="7"/>
  <c r="K239" i="7"/>
  <c r="J240" i="7"/>
  <c r="K240" i="7"/>
  <c r="J241" i="7"/>
  <c r="K241" i="7"/>
  <c r="J242" i="7"/>
  <c r="K242" i="7"/>
  <c r="J243" i="7"/>
  <c r="K243" i="7"/>
  <c r="J244" i="7"/>
  <c r="K244" i="7"/>
  <c r="J245" i="7"/>
  <c r="K245" i="7"/>
  <c r="J246" i="7"/>
  <c r="K246" i="7"/>
  <c r="J247" i="7"/>
  <c r="K247" i="7"/>
  <c r="J248" i="7"/>
  <c r="K248" i="7"/>
  <c r="J249" i="7"/>
  <c r="K249" i="7"/>
  <c r="J250" i="7"/>
  <c r="K250" i="7"/>
  <c r="J251" i="7"/>
  <c r="K251" i="7"/>
  <c r="J252" i="7"/>
  <c r="K252" i="7"/>
  <c r="J253" i="7"/>
  <c r="K253" i="7"/>
  <c r="J254" i="7"/>
  <c r="K254" i="7"/>
  <c r="J255" i="7"/>
  <c r="K255" i="7"/>
  <c r="J256" i="7"/>
  <c r="K256" i="7"/>
  <c r="J257" i="7"/>
  <c r="K257" i="7"/>
  <c r="J258" i="7"/>
  <c r="K258" i="7"/>
  <c r="J259" i="7"/>
  <c r="K259" i="7"/>
  <c r="J260" i="7"/>
  <c r="K260" i="7"/>
  <c r="J261" i="7"/>
  <c r="K261" i="7"/>
  <c r="J262" i="7"/>
  <c r="K262" i="7"/>
  <c r="J263" i="7"/>
  <c r="K263" i="7"/>
  <c r="J264" i="7"/>
  <c r="K264" i="7"/>
  <c r="J265" i="7"/>
  <c r="K265" i="7"/>
  <c r="J266" i="7"/>
  <c r="K266" i="7"/>
  <c r="J267" i="7"/>
  <c r="K267" i="7"/>
  <c r="J268" i="7"/>
  <c r="K268" i="7"/>
  <c r="J269" i="7"/>
  <c r="K269" i="7"/>
  <c r="J270" i="7"/>
  <c r="K270" i="7"/>
  <c r="J271" i="7"/>
  <c r="K271" i="7"/>
  <c r="J272" i="7"/>
  <c r="K272" i="7"/>
  <c r="J273" i="7"/>
  <c r="K273" i="7"/>
  <c r="J274" i="7"/>
  <c r="K274" i="7"/>
  <c r="J275" i="7"/>
  <c r="K275" i="7"/>
  <c r="J276" i="7"/>
  <c r="K276" i="7"/>
  <c r="J277" i="7"/>
  <c r="K277" i="7"/>
  <c r="J278" i="7"/>
  <c r="K278" i="7"/>
  <c r="J279" i="7"/>
  <c r="K279" i="7"/>
  <c r="J280" i="7"/>
  <c r="K280" i="7"/>
  <c r="J281" i="7"/>
  <c r="K281" i="7"/>
  <c r="J282" i="7"/>
  <c r="K282" i="7"/>
  <c r="J283" i="7"/>
  <c r="K283" i="7"/>
  <c r="J284" i="7"/>
  <c r="K284" i="7"/>
  <c r="J285" i="7"/>
  <c r="K285" i="7"/>
  <c r="J286" i="7"/>
  <c r="K286" i="7"/>
  <c r="J287" i="7"/>
  <c r="K287" i="7"/>
  <c r="J288" i="7"/>
  <c r="K288" i="7"/>
  <c r="J289" i="7"/>
  <c r="K289" i="7"/>
  <c r="J290" i="7"/>
  <c r="K290" i="7"/>
  <c r="J291" i="7"/>
  <c r="K291" i="7"/>
  <c r="J292" i="7"/>
  <c r="K292" i="7"/>
  <c r="J293" i="7"/>
  <c r="K293" i="7"/>
  <c r="J294" i="7"/>
  <c r="K294" i="7"/>
  <c r="J295" i="7"/>
  <c r="K295" i="7"/>
  <c r="J296" i="7"/>
  <c r="K296" i="7"/>
  <c r="J297" i="7"/>
  <c r="K297" i="7"/>
  <c r="J298" i="7"/>
  <c r="K298" i="7"/>
  <c r="J299" i="7"/>
  <c r="K299" i="7"/>
  <c r="J300" i="7"/>
  <c r="K300" i="7"/>
  <c r="J301" i="7"/>
  <c r="K301" i="7"/>
  <c r="J302" i="7"/>
  <c r="K302" i="7"/>
  <c r="J303" i="7"/>
  <c r="K303" i="7"/>
  <c r="J304" i="7"/>
  <c r="K304" i="7"/>
  <c r="J305" i="7"/>
  <c r="K305" i="7"/>
  <c r="J306" i="7"/>
  <c r="K306" i="7"/>
  <c r="J307" i="7"/>
  <c r="K307" i="7"/>
  <c r="J308" i="7"/>
  <c r="K308" i="7"/>
  <c r="J309" i="7"/>
  <c r="K309" i="7"/>
  <c r="J310" i="7"/>
  <c r="K310" i="7"/>
  <c r="J311" i="7"/>
  <c r="K311" i="7"/>
  <c r="J312" i="7"/>
  <c r="K312" i="7"/>
  <c r="J313" i="7"/>
  <c r="K313" i="7"/>
  <c r="J314" i="7"/>
  <c r="K314" i="7"/>
  <c r="J315" i="7"/>
  <c r="K315" i="7"/>
  <c r="J316" i="7"/>
  <c r="K316" i="7"/>
  <c r="J317" i="7"/>
  <c r="K317" i="7"/>
  <c r="J318" i="7"/>
  <c r="K318" i="7"/>
  <c r="J319" i="7"/>
  <c r="K319" i="7"/>
  <c r="J320" i="7"/>
  <c r="K320" i="7"/>
  <c r="J321" i="7"/>
  <c r="K321" i="7"/>
  <c r="J322" i="7"/>
  <c r="K322" i="7"/>
  <c r="J323" i="7"/>
  <c r="K323" i="7"/>
  <c r="J324" i="7"/>
  <c r="K324" i="7"/>
  <c r="J325" i="7"/>
  <c r="K325" i="7"/>
  <c r="J326" i="7"/>
  <c r="K326" i="7"/>
  <c r="J327" i="7"/>
  <c r="K327" i="7"/>
  <c r="J328" i="7"/>
  <c r="K328" i="7"/>
  <c r="J329" i="7"/>
  <c r="K329" i="7"/>
  <c r="J330" i="7"/>
  <c r="K330" i="7"/>
  <c r="J331" i="7"/>
  <c r="K331" i="7"/>
  <c r="J332" i="7"/>
  <c r="K332" i="7"/>
  <c r="J333" i="7"/>
  <c r="K333" i="7"/>
  <c r="J334" i="7"/>
  <c r="K334" i="7"/>
  <c r="J335" i="7"/>
  <c r="K335" i="7"/>
  <c r="J336" i="7"/>
  <c r="K336" i="7"/>
  <c r="J337" i="7"/>
  <c r="K337" i="7"/>
  <c r="J338" i="7"/>
  <c r="K338" i="7"/>
  <c r="J339" i="7"/>
  <c r="K339" i="7"/>
  <c r="J340" i="7"/>
  <c r="K340" i="7"/>
  <c r="J341" i="7"/>
  <c r="K341" i="7"/>
  <c r="J342" i="7"/>
  <c r="K342" i="7"/>
  <c r="J343" i="7"/>
  <c r="K343" i="7"/>
  <c r="J344" i="7"/>
  <c r="K344" i="7"/>
  <c r="J345" i="7"/>
  <c r="K345" i="7"/>
  <c r="J346" i="7"/>
  <c r="K346" i="7"/>
  <c r="J347" i="7"/>
  <c r="K347" i="7"/>
  <c r="J348" i="7"/>
  <c r="K348" i="7"/>
  <c r="J349" i="7"/>
  <c r="K349" i="7"/>
  <c r="J350" i="7"/>
  <c r="K350" i="7"/>
  <c r="J351" i="7"/>
  <c r="K351" i="7"/>
  <c r="J352" i="7"/>
  <c r="K352" i="7"/>
  <c r="J353" i="7"/>
  <c r="K353" i="7"/>
  <c r="J354" i="7"/>
  <c r="K354" i="7"/>
  <c r="J355" i="7"/>
  <c r="K355" i="7"/>
  <c r="J356" i="7"/>
  <c r="K356" i="7"/>
  <c r="J357" i="7"/>
  <c r="K357" i="7"/>
  <c r="J358" i="7"/>
  <c r="K358" i="7"/>
  <c r="J359" i="7"/>
  <c r="K359" i="7"/>
  <c r="J360" i="7"/>
  <c r="K360" i="7"/>
  <c r="J361" i="7"/>
  <c r="K361" i="7"/>
  <c r="J362" i="7"/>
  <c r="K362" i="7"/>
  <c r="J363" i="7"/>
  <c r="K363" i="7"/>
  <c r="J364" i="7"/>
  <c r="K364" i="7"/>
  <c r="J365" i="7"/>
  <c r="K365" i="7"/>
  <c r="J366" i="7"/>
  <c r="K366" i="7"/>
  <c r="J367" i="7"/>
  <c r="K367" i="7"/>
  <c r="J368" i="7"/>
  <c r="K368" i="7"/>
  <c r="J369" i="7"/>
  <c r="K369" i="7"/>
  <c r="J370" i="7"/>
  <c r="K370" i="7"/>
  <c r="J371" i="7"/>
  <c r="K371" i="7"/>
  <c r="J372" i="7"/>
  <c r="K372" i="7"/>
  <c r="J373" i="7"/>
  <c r="K373" i="7"/>
  <c r="J374" i="7"/>
  <c r="K374" i="7"/>
  <c r="J375" i="7"/>
  <c r="K375" i="7"/>
  <c r="J376" i="7"/>
  <c r="K376" i="7"/>
  <c r="J377" i="7"/>
  <c r="K377" i="7"/>
  <c r="J378" i="7"/>
  <c r="K378" i="7"/>
  <c r="J379" i="7"/>
  <c r="K379" i="7"/>
  <c r="J380" i="7"/>
  <c r="K380" i="7"/>
  <c r="J381" i="7"/>
  <c r="K381" i="7"/>
  <c r="J382" i="7"/>
  <c r="K382" i="7"/>
  <c r="J383" i="7"/>
  <c r="K383" i="7"/>
  <c r="J384" i="7"/>
  <c r="K384" i="7"/>
  <c r="J385" i="7"/>
  <c r="K385" i="7"/>
  <c r="J386" i="7"/>
  <c r="K386" i="7"/>
  <c r="J387" i="7"/>
  <c r="K387" i="7"/>
  <c r="J388" i="7"/>
  <c r="K388" i="7"/>
  <c r="J389" i="7"/>
  <c r="K389" i="7"/>
  <c r="J390" i="7"/>
  <c r="K390" i="7"/>
  <c r="J391" i="7"/>
  <c r="K391" i="7"/>
  <c r="J392" i="7"/>
  <c r="K392" i="7"/>
  <c r="J393" i="7"/>
  <c r="K393" i="7"/>
  <c r="J394" i="7"/>
  <c r="K394" i="7"/>
  <c r="J395" i="7"/>
  <c r="K395" i="7"/>
  <c r="J396" i="7"/>
  <c r="K396" i="7"/>
  <c r="J397" i="7"/>
  <c r="K397" i="7"/>
  <c r="J398" i="7"/>
  <c r="K398" i="7"/>
  <c r="J399" i="7"/>
  <c r="K399" i="7"/>
  <c r="J400" i="7"/>
  <c r="K400" i="7"/>
  <c r="J401" i="7"/>
  <c r="K401" i="7"/>
  <c r="J402" i="7"/>
  <c r="K402" i="7"/>
  <c r="J403" i="7"/>
  <c r="K403" i="7"/>
  <c r="J404" i="7"/>
  <c r="K404" i="7"/>
  <c r="J405" i="7"/>
  <c r="K405" i="7"/>
  <c r="J406" i="7"/>
  <c r="K406" i="7"/>
  <c r="J407" i="7"/>
  <c r="K407" i="7"/>
  <c r="J408" i="7"/>
  <c r="K408" i="7"/>
  <c r="J409" i="7"/>
  <c r="K409" i="7"/>
  <c r="J410" i="7"/>
  <c r="K410" i="7"/>
  <c r="J411" i="7"/>
  <c r="K411" i="7"/>
  <c r="J412" i="7"/>
  <c r="K412" i="7"/>
  <c r="J413" i="7"/>
  <c r="K413" i="7"/>
  <c r="J414" i="7"/>
  <c r="K414" i="7"/>
  <c r="J415" i="7"/>
  <c r="K415" i="7"/>
  <c r="J416" i="7"/>
  <c r="K416" i="7"/>
  <c r="J417" i="7"/>
  <c r="K417" i="7"/>
  <c r="J418" i="7"/>
  <c r="K418" i="7"/>
  <c r="J419" i="7"/>
  <c r="K419" i="7"/>
  <c r="J420" i="7"/>
  <c r="K420" i="7"/>
  <c r="J421" i="7"/>
  <c r="K421" i="7"/>
  <c r="J422" i="7"/>
  <c r="K422" i="7"/>
  <c r="J423" i="7"/>
  <c r="K423" i="7"/>
  <c r="J424" i="7"/>
  <c r="K424" i="7"/>
  <c r="J425" i="7"/>
  <c r="K425" i="7"/>
  <c r="J426" i="7"/>
  <c r="K426" i="7"/>
  <c r="J427" i="7"/>
  <c r="K427" i="7"/>
  <c r="J428" i="7"/>
  <c r="K428" i="7"/>
  <c r="J429" i="7"/>
  <c r="K429" i="7"/>
  <c r="J430" i="7"/>
  <c r="K430" i="7"/>
  <c r="J431" i="7"/>
  <c r="K431" i="7"/>
  <c r="J432" i="7"/>
  <c r="K432" i="7"/>
  <c r="J433" i="7"/>
  <c r="K433" i="7"/>
  <c r="J434" i="7"/>
  <c r="K434" i="7"/>
  <c r="J435" i="7"/>
  <c r="K435" i="7"/>
  <c r="J436" i="7"/>
  <c r="K436" i="7"/>
  <c r="J437" i="7"/>
  <c r="K437" i="7"/>
  <c r="J438" i="7"/>
  <c r="K438" i="7"/>
  <c r="J439" i="7"/>
  <c r="K439" i="7"/>
  <c r="J440" i="7"/>
  <c r="K440" i="7"/>
  <c r="J441" i="7"/>
  <c r="K441" i="7"/>
  <c r="J442" i="7"/>
  <c r="K442" i="7"/>
  <c r="J443" i="7"/>
  <c r="K443" i="7"/>
  <c r="J444" i="7"/>
  <c r="K444" i="7"/>
  <c r="J445" i="7"/>
  <c r="K445" i="7"/>
  <c r="J446" i="7"/>
  <c r="K446" i="7"/>
  <c r="J447" i="7"/>
  <c r="K447" i="7"/>
  <c r="J448" i="7"/>
  <c r="K448" i="7"/>
  <c r="J449" i="7"/>
  <c r="K449" i="7"/>
  <c r="J450" i="7"/>
  <c r="K450" i="7"/>
  <c r="J451" i="7"/>
  <c r="K451" i="7"/>
  <c r="J452" i="7"/>
  <c r="K452" i="7"/>
  <c r="J453" i="7"/>
  <c r="K453" i="7"/>
  <c r="J454" i="7"/>
  <c r="K454" i="7"/>
  <c r="J455" i="7"/>
  <c r="K455" i="7"/>
  <c r="J456" i="7"/>
  <c r="K456" i="7"/>
  <c r="J457" i="7"/>
  <c r="K457" i="7"/>
  <c r="J458" i="7"/>
  <c r="K458" i="7"/>
  <c r="J459" i="7"/>
  <c r="K459" i="7"/>
  <c r="J460" i="7"/>
  <c r="K460" i="7"/>
  <c r="J461" i="7"/>
  <c r="K461" i="7"/>
  <c r="J462" i="7"/>
  <c r="K462" i="7"/>
  <c r="J463" i="7"/>
  <c r="K463" i="7"/>
  <c r="J464" i="7"/>
  <c r="K464" i="7"/>
  <c r="J465" i="7"/>
  <c r="K465" i="7"/>
  <c r="J466" i="7"/>
  <c r="K466" i="7"/>
  <c r="J467" i="7"/>
  <c r="K467" i="7"/>
  <c r="J468" i="7"/>
  <c r="K468" i="7"/>
  <c r="J469" i="7"/>
  <c r="K469" i="7"/>
  <c r="J470" i="7"/>
  <c r="K470" i="7"/>
  <c r="J471" i="7"/>
  <c r="K471" i="7"/>
  <c r="J472" i="7"/>
  <c r="K472" i="7"/>
  <c r="J473" i="7"/>
  <c r="K473" i="7"/>
  <c r="J474" i="7"/>
  <c r="K474" i="7"/>
  <c r="J475" i="7"/>
  <c r="K475" i="7"/>
  <c r="J476" i="7"/>
  <c r="K476" i="7"/>
  <c r="J477" i="7"/>
  <c r="K477" i="7"/>
  <c r="J478" i="7"/>
  <c r="K478" i="7"/>
  <c r="J479" i="7"/>
  <c r="K479" i="7"/>
  <c r="J480" i="7"/>
  <c r="K480" i="7"/>
  <c r="J481" i="7"/>
  <c r="K481" i="7"/>
  <c r="J482" i="7"/>
  <c r="K482" i="7"/>
  <c r="J483" i="7"/>
  <c r="K483" i="7"/>
  <c r="J484" i="7"/>
  <c r="K484" i="7"/>
  <c r="J485" i="7"/>
  <c r="K485" i="7"/>
  <c r="J486" i="7"/>
  <c r="K486" i="7"/>
  <c r="J487" i="7"/>
  <c r="K487" i="7"/>
  <c r="J488" i="7"/>
  <c r="K488" i="7"/>
  <c r="J489" i="7"/>
  <c r="K489" i="7"/>
  <c r="J490" i="7"/>
  <c r="K490" i="7"/>
  <c r="J491" i="7"/>
  <c r="K491" i="7"/>
  <c r="J2" i="7"/>
  <c r="C2" i="7"/>
  <c r="E491" i="7"/>
  <c r="E490" i="7"/>
  <c r="E489" i="7"/>
  <c r="E488" i="7"/>
  <c r="E487" i="7"/>
  <c r="E486" i="7"/>
  <c r="E485" i="7"/>
  <c r="E484" i="7"/>
  <c r="E483" i="7"/>
  <c r="E482" i="7"/>
  <c r="E481" i="7"/>
  <c r="E480" i="7"/>
  <c r="E479" i="7"/>
  <c r="E478" i="7"/>
  <c r="E477" i="7"/>
  <c r="E476" i="7"/>
  <c r="E475" i="7"/>
  <c r="E474" i="7"/>
  <c r="E473" i="7"/>
  <c r="E472" i="7"/>
  <c r="E471" i="7"/>
  <c r="E470" i="7"/>
  <c r="E469" i="7"/>
  <c r="E468" i="7"/>
  <c r="E467" i="7"/>
  <c r="E466" i="7"/>
  <c r="E465" i="7"/>
  <c r="E464" i="7"/>
  <c r="E463" i="7"/>
  <c r="E462" i="7"/>
  <c r="E461" i="7"/>
  <c r="E460" i="7"/>
  <c r="E459" i="7"/>
  <c r="E458" i="7"/>
  <c r="E457" i="7"/>
  <c r="E456" i="7"/>
  <c r="E455" i="7"/>
  <c r="E454" i="7"/>
  <c r="E453" i="7"/>
  <c r="E452" i="7"/>
  <c r="E451" i="7"/>
  <c r="E450" i="7"/>
  <c r="E449" i="7"/>
  <c r="E448" i="7"/>
  <c r="E447" i="7"/>
  <c r="E446" i="7"/>
  <c r="E445" i="7"/>
  <c r="E444" i="7"/>
  <c r="E443" i="7"/>
  <c r="E442" i="7"/>
  <c r="E441" i="7"/>
  <c r="E440" i="7"/>
  <c r="E439" i="7"/>
  <c r="E438" i="7"/>
  <c r="E437" i="7"/>
  <c r="E436" i="7"/>
  <c r="E435" i="7"/>
  <c r="E434" i="7"/>
  <c r="E433" i="7"/>
  <c r="E432" i="7"/>
  <c r="E431" i="7"/>
  <c r="E430" i="7"/>
  <c r="E429" i="7"/>
  <c r="E428" i="7"/>
  <c r="E427" i="7"/>
  <c r="E426" i="7"/>
  <c r="E425" i="7"/>
  <c r="E424" i="7"/>
  <c r="E423" i="7"/>
  <c r="E422" i="7"/>
  <c r="E421" i="7"/>
  <c r="E420" i="7"/>
  <c r="E419" i="7"/>
  <c r="E418" i="7"/>
  <c r="E417" i="7"/>
  <c r="E416" i="7"/>
  <c r="E415" i="7"/>
  <c r="E414" i="7"/>
  <c r="E413" i="7"/>
  <c r="E412" i="7"/>
  <c r="E411" i="7"/>
  <c r="E410" i="7"/>
  <c r="E409" i="7"/>
  <c r="E408" i="7"/>
  <c r="E407" i="7"/>
  <c r="E406" i="7"/>
  <c r="E405" i="7"/>
  <c r="E404" i="7"/>
  <c r="E403" i="7"/>
  <c r="E402" i="7"/>
  <c r="E401" i="7"/>
  <c r="E400" i="7"/>
  <c r="E399" i="7"/>
  <c r="E398" i="7"/>
  <c r="E397" i="7"/>
  <c r="E396" i="7"/>
  <c r="E395" i="7"/>
  <c r="E394" i="7"/>
  <c r="E393" i="7"/>
  <c r="E392" i="7"/>
  <c r="E391" i="7"/>
  <c r="E390" i="7"/>
  <c r="E389" i="7"/>
  <c r="E388" i="7"/>
  <c r="E387" i="7"/>
  <c r="E386" i="7"/>
  <c r="E385" i="7"/>
  <c r="E384" i="7"/>
  <c r="E383" i="7"/>
  <c r="E382" i="7"/>
  <c r="E381" i="7"/>
  <c r="E380" i="7"/>
  <c r="E379" i="7"/>
  <c r="E378" i="7"/>
  <c r="E377" i="7"/>
  <c r="E376" i="7"/>
  <c r="E375" i="7"/>
  <c r="E374" i="7"/>
  <c r="E373" i="7"/>
  <c r="E372" i="7"/>
  <c r="E371" i="7"/>
  <c r="E370" i="7"/>
  <c r="E369" i="7"/>
  <c r="E368" i="7"/>
  <c r="E367" i="7"/>
  <c r="E366" i="7"/>
  <c r="E365" i="7"/>
  <c r="E364" i="7"/>
  <c r="E363" i="7"/>
  <c r="E362" i="7"/>
  <c r="E361" i="7"/>
  <c r="E360" i="7"/>
  <c r="E359" i="7"/>
  <c r="E358" i="7"/>
  <c r="E357" i="7"/>
  <c r="E356" i="7"/>
  <c r="E355" i="7"/>
  <c r="E354" i="7"/>
  <c r="E353" i="7"/>
  <c r="E352" i="7"/>
  <c r="E351" i="7"/>
  <c r="E350" i="7"/>
  <c r="E349" i="7"/>
  <c r="E348" i="7"/>
  <c r="E347" i="7"/>
  <c r="E346" i="7"/>
  <c r="E345" i="7"/>
  <c r="E344" i="7"/>
  <c r="E343" i="7"/>
  <c r="E342" i="7"/>
  <c r="E341" i="7"/>
  <c r="E340" i="7"/>
  <c r="E339" i="7"/>
  <c r="E338" i="7"/>
  <c r="E337" i="7"/>
  <c r="E336" i="7"/>
  <c r="E335" i="7"/>
  <c r="E334" i="7"/>
  <c r="E333" i="7"/>
  <c r="E332" i="7"/>
  <c r="E331" i="7"/>
  <c r="E330" i="7"/>
  <c r="E329" i="7"/>
  <c r="E328" i="7"/>
  <c r="E327" i="7"/>
  <c r="E326" i="7"/>
  <c r="E325" i="7"/>
  <c r="E324" i="7"/>
  <c r="E323" i="7"/>
  <c r="E322" i="7"/>
  <c r="E321" i="7"/>
  <c r="E320" i="7"/>
  <c r="E319" i="7"/>
  <c r="E318" i="7"/>
  <c r="E317" i="7"/>
  <c r="E316" i="7"/>
  <c r="E315" i="7"/>
  <c r="E314" i="7"/>
  <c r="E313" i="7"/>
  <c r="E312" i="7"/>
  <c r="E311" i="7"/>
  <c r="E310" i="7"/>
  <c r="E309" i="7"/>
  <c r="E308" i="7"/>
  <c r="E307" i="7"/>
  <c r="E306" i="7"/>
  <c r="E305" i="7"/>
  <c r="E304" i="7"/>
  <c r="E303" i="7"/>
  <c r="E302" i="7"/>
  <c r="E301" i="7"/>
  <c r="E300" i="7"/>
  <c r="E299" i="7"/>
  <c r="E298" i="7"/>
  <c r="E297" i="7"/>
  <c r="E296" i="7"/>
  <c r="E295" i="7"/>
  <c r="E294" i="7"/>
  <c r="E293" i="7"/>
  <c r="E292" i="7"/>
  <c r="E291" i="7"/>
  <c r="E290" i="7"/>
  <c r="E289" i="7"/>
  <c r="E288" i="7"/>
  <c r="E287" i="7"/>
  <c r="E286" i="7"/>
  <c r="E285" i="7"/>
  <c r="E284" i="7"/>
  <c r="E283" i="7"/>
  <c r="E282" i="7"/>
  <c r="E281" i="7"/>
  <c r="E280" i="7"/>
  <c r="E279" i="7"/>
  <c r="E278" i="7"/>
  <c r="E277" i="7"/>
  <c r="E276" i="7"/>
  <c r="E275" i="7"/>
  <c r="E274" i="7"/>
  <c r="E273" i="7"/>
  <c r="E272" i="7"/>
  <c r="E271" i="7"/>
  <c r="E270" i="7"/>
  <c r="E269" i="7"/>
  <c r="E268" i="7"/>
  <c r="E267" i="7"/>
  <c r="E266" i="7"/>
  <c r="E265" i="7"/>
  <c r="E264" i="7"/>
  <c r="E263" i="7"/>
  <c r="E262" i="7"/>
  <c r="E261" i="7"/>
  <c r="E260" i="7"/>
  <c r="E259" i="7"/>
  <c r="E258" i="7"/>
  <c r="E257" i="7"/>
  <c r="E256" i="7"/>
  <c r="E255" i="7"/>
  <c r="E254" i="7"/>
  <c r="E253" i="7"/>
  <c r="E252" i="7"/>
  <c r="E251" i="7"/>
  <c r="E250" i="7"/>
  <c r="E249" i="7"/>
  <c r="E248" i="7"/>
  <c r="E247" i="7"/>
  <c r="E246" i="7"/>
  <c r="E245" i="7"/>
  <c r="E244" i="7"/>
  <c r="E243" i="7"/>
  <c r="E242" i="7"/>
  <c r="E241" i="7"/>
  <c r="E240" i="7"/>
  <c r="E239" i="7"/>
  <c r="E238" i="7"/>
  <c r="E237" i="7"/>
  <c r="E236" i="7"/>
  <c r="E235" i="7"/>
  <c r="E234" i="7"/>
  <c r="E233" i="7"/>
  <c r="E232" i="7"/>
  <c r="E231" i="7"/>
  <c r="E230" i="7"/>
  <c r="E229" i="7"/>
  <c r="E228" i="7"/>
  <c r="E227" i="7"/>
  <c r="E226" i="7"/>
  <c r="E225" i="7"/>
  <c r="E224" i="7"/>
  <c r="E223" i="7"/>
  <c r="E222" i="7"/>
  <c r="E221" i="7"/>
  <c r="E220" i="7"/>
  <c r="E219" i="7"/>
  <c r="E218" i="7"/>
  <c r="E217" i="7"/>
  <c r="E216" i="7"/>
  <c r="E215" i="7"/>
  <c r="E214" i="7"/>
  <c r="E213" i="7"/>
  <c r="E212" i="7"/>
  <c r="E211" i="7"/>
  <c r="E210" i="7"/>
  <c r="E209" i="7"/>
  <c r="E208" i="7"/>
  <c r="E207" i="7"/>
  <c r="E206" i="7"/>
  <c r="E205" i="7"/>
  <c r="E204" i="7"/>
  <c r="E203" i="7"/>
  <c r="E202" i="7"/>
  <c r="E201" i="7"/>
  <c r="E200" i="7"/>
  <c r="E199" i="7"/>
  <c r="E198" i="7"/>
  <c r="E197" i="7"/>
  <c r="E196" i="7"/>
  <c r="E195" i="7"/>
  <c r="E194" i="7"/>
  <c r="E193" i="7"/>
  <c r="E192" i="7"/>
  <c r="E191" i="7"/>
  <c r="E190" i="7"/>
  <c r="E189" i="7"/>
  <c r="E188" i="7"/>
  <c r="E187" i="7"/>
  <c r="E186" i="7"/>
  <c r="E185" i="7"/>
  <c r="E184" i="7"/>
  <c r="E183" i="7"/>
  <c r="E182" i="7"/>
  <c r="E181" i="7"/>
  <c r="E180" i="7"/>
  <c r="E179" i="7"/>
  <c r="E178" i="7"/>
  <c r="E177" i="7"/>
  <c r="E176" i="7"/>
  <c r="E175" i="7"/>
  <c r="E174" i="7"/>
  <c r="E173" i="7"/>
  <c r="E172" i="7"/>
  <c r="E171" i="7"/>
  <c r="E170" i="7"/>
  <c r="E169" i="7"/>
  <c r="E168" i="7"/>
  <c r="E167" i="7"/>
  <c r="E166" i="7"/>
  <c r="E165" i="7"/>
  <c r="E164" i="7"/>
  <c r="E163" i="7"/>
  <c r="E162" i="7"/>
  <c r="E161" i="7"/>
  <c r="E160" i="7"/>
  <c r="E159" i="7"/>
  <c r="E158" i="7"/>
  <c r="E157" i="7"/>
  <c r="E156" i="7"/>
  <c r="E155" i="7"/>
  <c r="E154" i="7"/>
  <c r="E153" i="7"/>
  <c r="E152" i="7"/>
  <c r="E151" i="7"/>
  <c r="E150" i="7"/>
  <c r="E149" i="7"/>
  <c r="E148" i="7"/>
  <c r="E147" i="7"/>
  <c r="E146" i="7"/>
  <c r="E145" i="7"/>
  <c r="E144" i="7"/>
  <c r="E143" i="7"/>
  <c r="E142" i="7"/>
  <c r="E141" i="7"/>
  <c r="E140" i="7"/>
  <c r="E139" i="7"/>
  <c r="E138" i="7"/>
  <c r="E137" i="7"/>
  <c r="E136" i="7"/>
  <c r="E135" i="7"/>
  <c r="E134" i="7"/>
  <c r="E133" i="7"/>
  <c r="E132" i="7"/>
  <c r="E131" i="7"/>
  <c r="E130" i="7"/>
  <c r="E129" i="7"/>
  <c r="E128" i="7"/>
  <c r="E127" i="7"/>
  <c r="E126" i="7"/>
  <c r="E125" i="7"/>
  <c r="E124" i="7"/>
  <c r="E123" i="7"/>
  <c r="E122" i="7"/>
  <c r="E121" i="7"/>
  <c r="E120" i="7"/>
  <c r="E119" i="7"/>
  <c r="E118" i="7"/>
  <c r="E117" i="7"/>
  <c r="E116" i="7"/>
  <c r="E115" i="7"/>
  <c r="E114" i="7"/>
  <c r="E113" i="7"/>
  <c r="E112" i="7"/>
  <c r="E111" i="7"/>
  <c r="E110" i="7"/>
  <c r="E109" i="7"/>
  <c r="E108" i="7"/>
  <c r="E107" i="7"/>
  <c r="E106" i="7"/>
  <c r="E105" i="7"/>
  <c r="E104" i="7"/>
  <c r="E103" i="7"/>
  <c r="E102" i="7"/>
  <c r="E101" i="7"/>
  <c r="E100" i="7"/>
  <c r="E99" i="7"/>
  <c r="E98" i="7"/>
  <c r="E97" i="7"/>
  <c r="E96" i="7"/>
  <c r="E95" i="7"/>
  <c r="E94" i="7"/>
  <c r="E93" i="7"/>
  <c r="E92" i="7"/>
  <c r="E91" i="7"/>
  <c r="E90" i="7"/>
  <c r="E89" i="7"/>
  <c r="E88" i="7"/>
  <c r="E87" i="7"/>
  <c r="E86" i="7"/>
  <c r="E85" i="7"/>
  <c r="E84" i="7"/>
  <c r="E83" i="7"/>
  <c r="E82" i="7"/>
  <c r="E81" i="7"/>
  <c r="E80" i="7"/>
  <c r="E79" i="7"/>
  <c r="E78" i="7"/>
  <c r="E77" i="7"/>
  <c r="E76" i="7"/>
  <c r="E75" i="7"/>
  <c r="E74" i="7"/>
  <c r="E73" i="7"/>
  <c r="E72" i="7"/>
  <c r="E71" i="7"/>
  <c r="E70" i="7"/>
  <c r="E69" i="7"/>
  <c r="E68" i="7"/>
  <c r="E67" i="7"/>
  <c r="E66" i="7"/>
  <c r="E65" i="7"/>
  <c r="E64" i="7"/>
  <c r="E63" i="7"/>
  <c r="E62" i="7"/>
  <c r="E61" i="7"/>
  <c r="E60" i="7"/>
  <c r="E59" i="7"/>
  <c r="E58" i="7"/>
  <c r="E57" i="7"/>
  <c r="E56" i="7"/>
  <c r="E55" i="7"/>
  <c r="E54" i="7"/>
  <c r="E53" i="7"/>
  <c r="E52" i="7"/>
  <c r="E51" i="7"/>
  <c r="E50" i="7"/>
  <c r="E49" i="7"/>
  <c r="E48" i="7"/>
  <c r="E47" i="7"/>
  <c r="E46" i="7"/>
  <c r="E45" i="7"/>
  <c r="E44" i="7"/>
  <c r="E43" i="7"/>
  <c r="E42" i="7"/>
  <c r="E41" i="7"/>
  <c r="E40" i="7"/>
  <c r="E39" i="7"/>
  <c r="E38" i="7"/>
  <c r="E37" i="7"/>
  <c r="E36" i="7"/>
  <c r="E35" i="7"/>
  <c r="E34" i="7"/>
  <c r="E33" i="7"/>
  <c r="E32" i="7"/>
  <c r="E31" i="7"/>
  <c r="E30" i="7"/>
  <c r="E29" i="7"/>
  <c r="E28" i="7"/>
  <c r="E27" i="7"/>
  <c r="E26" i="7"/>
  <c r="E25" i="7"/>
  <c r="E24" i="7"/>
  <c r="E23" i="7"/>
  <c r="E22" i="7"/>
  <c r="E21" i="7"/>
  <c r="E20" i="7"/>
  <c r="E19" i="7"/>
  <c r="E18" i="7"/>
  <c r="E17" i="7"/>
  <c r="E16" i="7"/>
  <c r="E15" i="7"/>
  <c r="E14" i="7"/>
  <c r="E13" i="7"/>
  <c r="E12" i="7"/>
  <c r="E11" i="7"/>
  <c r="E10" i="7"/>
  <c r="E9" i="7"/>
  <c r="E8" i="7"/>
  <c r="E7" i="7"/>
  <c r="E6" i="7"/>
  <c r="E5" i="7"/>
  <c r="C1" i="7"/>
  <c r="F1" i="7"/>
  <c r="F2" i="7"/>
  <c r="A2" i="81"/>
  <c r="I7668" i="77"/>
  <c r="H7668" i="77"/>
  <c r="G7668" i="77"/>
  <c r="I7667" i="77"/>
  <c r="H7667" i="77"/>
  <c r="G7667" i="77"/>
  <c r="I7666" i="77"/>
  <c r="H7666" i="77"/>
  <c r="G7666" i="77"/>
  <c r="I7665" i="77"/>
  <c r="H7665" i="77"/>
  <c r="G7665" i="77"/>
  <c r="I7664" i="77"/>
  <c r="H7664" i="77"/>
  <c r="G7664" i="77"/>
  <c r="I7663" i="77"/>
  <c r="H7663" i="77"/>
  <c r="G7663" i="77"/>
  <c r="I7662" i="77"/>
  <c r="H7662" i="77"/>
  <c r="G7662" i="77"/>
  <c r="I7661" i="77"/>
  <c r="H7661" i="77"/>
  <c r="G7661" i="77"/>
  <c r="I7660" i="77"/>
  <c r="H7660" i="77"/>
  <c r="G7660" i="77"/>
  <c r="I7659" i="77"/>
  <c r="H7659" i="77"/>
  <c r="G7659" i="77"/>
  <c r="I7658" i="77"/>
  <c r="H7658" i="77"/>
  <c r="G7658" i="77"/>
  <c r="I7657" i="77"/>
  <c r="H7657" i="77"/>
  <c r="G7657" i="77"/>
  <c r="I7656" i="77"/>
  <c r="H7656" i="77"/>
  <c r="G7656" i="77"/>
  <c r="I7655" i="77"/>
  <c r="H7655" i="77"/>
  <c r="G7655" i="77"/>
  <c r="I7654" i="77"/>
  <c r="H7654" i="77"/>
  <c r="G7654" i="77"/>
  <c r="I7653" i="77"/>
  <c r="H7653" i="77"/>
  <c r="G7653" i="77"/>
  <c r="I7652" i="77"/>
  <c r="H7652" i="77"/>
  <c r="G7652" i="77"/>
  <c r="I7651" i="77"/>
  <c r="H7651" i="77"/>
  <c r="G7651" i="77"/>
  <c r="I7650" i="77"/>
  <c r="H7650" i="77"/>
  <c r="G7650" i="77"/>
  <c r="I7649" i="77"/>
  <c r="H7649" i="77"/>
  <c r="G7649" i="77"/>
  <c r="I7648" i="77"/>
  <c r="H7648" i="77"/>
  <c r="G7648" i="77"/>
  <c r="I7647" i="77"/>
  <c r="H7647" i="77"/>
  <c r="G7647" i="77"/>
  <c r="I7646" i="77"/>
  <c r="H7646" i="77"/>
  <c r="G7646" i="77"/>
  <c r="I7645" i="77"/>
  <c r="H7645" i="77"/>
  <c r="G7645" i="77"/>
  <c r="I7644" i="77"/>
  <c r="H7644" i="77"/>
  <c r="G7644" i="77"/>
  <c r="I7643" i="77"/>
  <c r="H7643" i="77"/>
  <c r="G7643" i="77"/>
  <c r="I7642" i="77"/>
  <c r="H7642" i="77"/>
  <c r="G7642" i="77"/>
  <c r="I7641" i="77"/>
  <c r="H7641" i="77"/>
  <c r="G7641" i="77"/>
  <c r="I7640" i="77"/>
  <c r="H7640" i="77"/>
  <c r="G7640" i="77"/>
  <c r="I7639" i="77"/>
  <c r="H7639" i="77"/>
  <c r="G7639" i="77"/>
  <c r="I7638" i="77"/>
  <c r="H7638" i="77"/>
  <c r="G7638" i="77"/>
  <c r="I7637" i="77"/>
  <c r="H7637" i="77"/>
  <c r="G7637" i="77"/>
  <c r="I7636" i="77"/>
  <c r="H7636" i="77"/>
  <c r="G7636" i="77"/>
  <c r="I7635" i="77"/>
  <c r="H7635" i="77"/>
  <c r="G7635" i="77"/>
  <c r="I7634" i="77"/>
  <c r="H7634" i="77"/>
  <c r="G7634" i="77"/>
  <c r="I7633" i="77"/>
  <c r="H7633" i="77"/>
  <c r="G7633" i="77"/>
  <c r="I7632" i="77"/>
  <c r="H7632" i="77"/>
  <c r="G7632" i="77"/>
  <c r="I7631" i="77"/>
  <c r="H7631" i="77"/>
  <c r="G7631" i="77"/>
  <c r="I7630" i="77"/>
  <c r="H7630" i="77"/>
  <c r="G7630" i="77"/>
  <c r="I7629" i="77"/>
  <c r="H7629" i="77"/>
  <c r="G7629" i="77"/>
  <c r="I7628" i="77"/>
  <c r="H7628" i="77"/>
  <c r="G7628" i="77"/>
  <c r="I7627" i="77"/>
  <c r="H7627" i="77"/>
  <c r="G7627" i="77"/>
  <c r="I7626" i="77"/>
  <c r="H7626" i="77"/>
  <c r="G7626" i="77"/>
  <c r="I7625" i="77"/>
  <c r="H7625" i="77"/>
  <c r="G7625" i="77"/>
  <c r="I7624" i="77"/>
  <c r="H7624" i="77"/>
  <c r="G7624" i="77"/>
  <c r="I7623" i="77"/>
  <c r="H7623" i="77"/>
  <c r="G7623" i="77"/>
  <c r="I7622" i="77"/>
  <c r="H7622" i="77"/>
  <c r="G7622" i="77"/>
  <c r="I7621" i="77"/>
  <c r="H7621" i="77"/>
  <c r="G7621" i="77"/>
  <c r="I7620" i="77"/>
  <c r="H7620" i="77"/>
  <c r="G7620" i="77"/>
  <c r="I7619" i="77"/>
  <c r="H7619" i="77"/>
  <c r="G7619" i="77"/>
  <c r="I7618" i="77"/>
  <c r="H7618" i="77"/>
  <c r="G7618" i="77"/>
  <c r="I7617" i="77"/>
  <c r="H7617" i="77"/>
  <c r="G7617" i="77"/>
  <c r="I7616" i="77"/>
  <c r="H7616" i="77"/>
  <c r="G7616" i="77"/>
  <c r="I7615" i="77"/>
  <c r="H7615" i="77"/>
  <c r="G7615" i="77"/>
  <c r="I7614" i="77"/>
  <c r="H7614" i="77"/>
  <c r="G7614" i="77"/>
  <c r="I7613" i="77"/>
  <c r="H7613" i="77"/>
  <c r="G7613" i="77"/>
  <c r="I7612" i="77"/>
  <c r="H7612" i="77"/>
  <c r="G7612" i="77"/>
  <c r="I7611" i="77"/>
  <c r="H7611" i="77"/>
  <c r="G7611" i="77"/>
  <c r="I7610" i="77"/>
  <c r="H7610" i="77"/>
  <c r="G7610" i="77"/>
  <c r="I7609" i="77"/>
  <c r="H7609" i="77"/>
  <c r="G7609" i="77"/>
  <c r="I7608" i="77"/>
  <c r="H7608" i="77"/>
  <c r="G7608" i="77"/>
  <c r="I7607" i="77"/>
  <c r="H7607" i="77"/>
  <c r="G7607" i="77"/>
  <c r="I7606" i="77"/>
  <c r="H7606" i="77"/>
  <c r="G7606" i="77"/>
  <c r="I7605" i="77"/>
  <c r="H7605" i="77"/>
  <c r="G7605" i="77"/>
  <c r="I7604" i="77"/>
  <c r="H7604" i="77"/>
  <c r="G7604" i="77"/>
  <c r="I7603" i="77"/>
  <c r="H7603" i="77"/>
  <c r="G7603" i="77"/>
  <c r="I7602" i="77"/>
  <c r="H7602" i="77"/>
  <c r="G7602" i="77"/>
  <c r="I7601" i="77"/>
  <c r="H7601" i="77"/>
  <c r="G7601" i="77"/>
  <c r="I7600" i="77"/>
  <c r="H7600" i="77"/>
  <c r="G7600" i="77"/>
  <c r="I7599" i="77"/>
  <c r="H7599" i="77"/>
  <c r="G7599" i="77"/>
  <c r="I7598" i="77"/>
  <c r="H7598" i="77"/>
  <c r="G7598" i="77"/>
  <c r="I7597" i="77"/>
  <c r="H7597" i="77"/>
  <c r="G7597" i="77"/>
  <c r="I7596" i="77"/>
  <c r="H7596" i="77"/>
  <c r="G7596" i="77"/>
  <c r="I7595" i="77"/>
  <c r="H7595" i="77"/>
  <c r="G7595" i="77"/>
  <c r="I7594" i="77"/>
  <c r="H7594" i="77"/>
  <c r="G7594" i="77"/>
  <c r="I7593" i="77"/>
  <c r="H7593" i="77"/>
  <c r="G7593" i="77"/>
  <c r="I7592" i="77"/>
  <c r="H7592" i="77"/>
  <c r="G7592" i="77"/>
  <c r="I7591" i="77"/>
  <c r="H7591" i="77"/>
  <c r="G7591" i="77"/>
  <c r="I7590" i="77"/>
  <c r="H7590" i="77"/>
  <c r="G7590" i="77"/>
  <c r="I7589" i="77"/>
  <c r="H7589" i="77"/>
  <c r="G7589" i="77"/>
  <c r="I7588" i="77"/>
  <c r="H7588" i="77"/>
  <c r="G7588" i="77"/>
  <c r="I7587" i="77"/>
  <c r="H7587" i="77"/>
  <c r="G7587" i="77"/>
  <c r="I7586" i="77"/>
  <c r="H7586" i="77"/>
  <c r="G7586" i="77"/>
  <c r="I7585" i="77"/>
  <c r="H7585" i="77"/>
  <c r="G7585" i="77"/>
  <c r="I7584" i="77"/>
  <c r="H7584" i="77"/>
  <c r="G7584" i="77"/>
  <c r="I7583" i="77"/>
  <c r="H7583" i="77"/>
  <c r="G7583" i="77"/>
  <c r="I7582" i="77"/>
  <c r="H7582" i="77"/>
  <c r="G7582" i="77"/>
  <c r="I7581" i="77"/>
  <c r="H7581" i="77"/>
  <c r="G7581" i="77"/>
  <c r="I7580" i="77"/>
  <c r="H7580" i="77"/>
  <c r="G7580" i="77"/>
  <c r="I7579" i="77"/>
  <c r="H7579" i="77"/>
  <c r="G7579" i="77"/>
  <c r="I7578" i="77"/>
  <c r="H7578" i="77"/>
  <c r="G7578" i="77"/>
  <c r="I7577" i="77"/>
  <c r="H7577" i="77"/>
  <c r="G7577" i="77"/>
  <c r="I7576" i="77"/>
  <c r="H7576" i="77"/>
  <c r="G7576" i="77"/>
  <c r="I7575" i="77"/>
  <c r="H7575" i="77"/>
  <c r="G7575" i="77"/>
  <c r="I7574" i="77"/>
  <c r="H7574" i="77"/>
  <c r="G7574" i="77"/>
  <c r="I7573" i="77"/>
  <c r="H7573" i="77"/>
  <c r="G7573" i="77"/>
  <c r="I7572" i="77"/>
  <c r="H7572" i="77"/>
  <c r="G7572" i="77"/>
  <c r="I7571" i="77"/>
  <c r="H7571" i="77"/>
  <c r="G7571" i="77"/>
  <c r="I7570" i="77"/>
  <c r="H7570" i="77"/>
  <c r="G7570" i="77"/>
  <c r="I7569" i="77"/>
  <c r="H7569" i="77"/>
  <c r="G7569" i="77"/>
  <c r="I7568" i="77"/>
  <c r="H7568" i="77"/>
  <c r="G7568" i="77"/>
  <c r="I7567" i="77"/>
  <c r="H7567" i="77"/>
  <c r="G7567" i="77"/>
  <c r="I7566" i="77"/>
  <c r="H7566" i="77"/>
  <c r="G7566" i="77"/>
  <c r="I7565" i="77"/>
  <c r="H7565" i="77"/>
  <c r="G7565" i="77"/>
  <c r="I7564" i="77"/>
  <c r="H7564" i="77"/>
  <c r="G7564" i="77"/>
  <c r="I7563" i="77"/>
  <c r="H7563" i="77"/>
  <c r="G7563" i="77"/>
  <c r="I7562" i="77"/>
  <c r="H7562" i="77"/>
  <c r="G7562" i="77"/>
  <c r="I7561" i="77"/>
  <c r="H7561" i="77"/>
  <c r="G7561" i="77"/>
  <c r="I7560" i="77"/>
  <c r="H7560" i="77"/>
  <c r="G7560" i="77"/>
  <c r="I7559" i="77"/>
  <c r="H7559" i="77"/>
  <c r="G7559" i="77"/>
  <c r="I7558" i="77"/>
  <c r="H7558" i="77"/>
  <c r="G7558" i="77"/>
  <c r="I7557" i="77"/>
  <c r="H7557" i="77"/>
  <c r="G7557" i="77"/>
  <c r="I7556" i="77"/>
  <c r="H7556" i="77"/>
  <c r="G7556" i="77"/>
  <c r="I7555" i="77"/>
  <c r="H7555" i="77"/>
  <c r="G7555" i="77"/>
  <c r="I7554" i="77"/>
  <c r="H7554" i="77"/>
  <c r="G7554" i="77"/>
  <c r="I7553" i="77"/>
  <c r="H7553" i="77"/>
  <c r="G7553" i="77"/>
  <c r="I7552" i="77"/>
  <c r="H7552" i="77"/>
  <c r="G7552" i="77"/>
  <c r="I7551" i="77"/>
  <c r="H7551" i="77"/>
  <c r="G7551" i="77"/>
  <c r="I7550" i="77"/>
  <c r="H7550" i="77"/>
  <c r="G7550" i="77"/>
  <c r="I7549" i="77"/>
  <c r="H7549" i="77"/>
  <c r="G7549" i="77"/>
  <c r="I7548" i="77"/>
  <c r="H7548" i="77"/>
  <c r="G7548" i="77"/>
  <c r="I7547" i="77"/>
  <c r="H7547" i="77"/>
  <c r="G7547" i="77"/>
  <c r="I7546" i="77"/>
  <c r="H7546" i="77"/>
  <c r="G7546" i="77"/>
  <c r="I7545" i="77"/>
  <c r="H7545" i="77"/>
  <c r="G7545" i="77"/>
  <c r="I7544" i="77"/>
  <c r="H7544" i="77"/>
  <c r="G7544" i="77"/>
  <c r="I7543" i="77"/>
  <c r="H7543" i="77"/>
  <c r="G7543" i="77"/>
  <c r="I7542" i="77"/>
  <c r="H7542" i="77"/>
  <c r="G7542" i="77"/>
  <c r="I7541" i="77"/>
  <c r="H7541" i="77"/>
  <c r="G7541" i="77"/>
  <c r="I7540" i="77"/>
  <c r="H7540" i="77"/>
  <c r="G7540" i="77"/>
  <c r="I7539" i="77"/>
  <c r="H7539" i="77"/>
  <c r="G7539" i="77"/>
  <c r="I7538" i="77"/>
  <c r="H7538" i="77"/>
  <c r="G7538" i="77"/>
  <c r="I7537" i="77"/>
  <c r="H7537" i="77"/>
  <c r="G7537" i="77"/>
  <c r="I7536" i="77"/>
  <c r="H7536" i="77"/>
  <c r="G7536" i="77"/>
  <c r="I7535" i="77"/>
  <c r="H7535" i="77"/>
  <c r="G7535" i="77"/>
  <c r="I7534" i="77"/>
  <c r="H7534" i="77"/>
  <c r="G7534" i="77"/>
  <c r="I7533" i="77"/>
  <c r="H7533" i="77"/>
  <c r="G7533" i="77"/>
  <c r="I7532" i="77"/>
  <c r="H7532" i="77"/>
  <c r="G7532" i="77"/>
  <c r="I7531" i="77"/>
  <c r="H7531" i="77"/>
  <c r="G7531" i="77"/>
  <c r="I7530" i="77"/>
  <c r="H7530" i="77"/>
  <c r="G7530" i="77"/>
  <c r="I7529" i="77"/>
  <c r="H7529" i="77"/>
  <c r="G7529" i="77"/>
  <c r="I7528" i="77"/>
  <c r="H7528" i="77"/>
  <c r="G7528" i="77"/>
  <c r="I7527" i="77"/>
  <c r="H7527" i="77"/>
  <c r="G7527" i="77"/>
  <c r="I7526" i="77"/>
  <c r="H7526" i="77"/>
  <c r="G7526" i="77"/>
  <c r="I7525" i="77"/>
  <c r="H7525" i="77"/>
  <c r="G7525" i="77"/>
  <c r="I7524" i="77"/>
  <c r="H7524" i="77"/>
  <c r="G7524" i="77"/>
  <c r="I7523" i="77"/>
  <c r="H7523" i="77"/>
  <c r="G7523" i="77"/>
  <c r="I7522" i="77"/>
  <c r="H7522" i="77"/>
  <c r="G7522" i="77"/>
  <c r="I7521" i="77"/>
  <c r="H7521" i="77"/>
  <c r="G7521" i="77"/>
  <c r="I7520" i="77"/>
  <c r="H7520" i="77"/>
  <c r="G7520" i="77"/>
  <c r="I7519" i="77"/>
  <c r="H7519" i="77"/>
  <c r="G7519" i="77"/>
  <c r="I7518" i="77"/>
  <c r="H7518" i="77"/>
  <c r="G7518" i="77"/>
  <c r="I7517" i="77"/>
  <c r="H7517" i="77"/>
  <c r="G7517" i="77"/>
  <c r="I7516" i="77"/>
  <c r="H7516" i="77"/>
  <c r="G7516" i="77"/>
  <c r="I7515" i="77"/>
  <c r="H7515" i="77"/>
  <c r="G7515" i="77"/>
  <c r="I7514" i="77"/>
  <c r="H7514" i="77"/>
  <c r="G7514" i="77"/>
  <c r="I7513" i="77"/>
  <c r="H7513" i="77"/>
  <c r="G7513" i="77"/>
  <c r="I7512" i="77"/>
  <c r="H7512" i="77"/>
  <c r="G7512" i="77"/>
  <c r="I7511" i="77"/>
  <c r="H7511" i="77"/>
  <c r="G7511" i="77"/>
  <c r="I7510" i="77"/>
  <c r="H7510" i="77"/>
  <c r="G7510" i="77"/>
  <c r="I7509" i="77"/>
  <c r="H7509" i="77"/>
  <c r="G7509" i="77"/>
  <c r="I7508" i="77"/>
  <c r="H7508" i="77"/>
  <c r="G7508" i="77"/>
  <c r="I7507" i="77"/>
  <c r="H7507" i="77"/>
  <c r="G7507" i="77"/>
  <c r="I7506" i="77"/>
  <c r="H7506" i="77"/>
  <c r="G7506" i="77"/>
  <c r="I7505" i="77"/>
  <c r="H7505" i="77"/>
  <c r="G7505" i="77"/>
  <c r="I7504" i="77"/>
  <c r="H7504" i="77"/>
  <c r="G7504" i="77"/>
  <c r="I7503" i="77"/>
  <c r="H7503" i="77"/>
  <c r="G7503" i="77"/>
  <c r="I7502" i="77"/>
  <c r="H7502" i="77"/>
  <c r="G7502" i="77"/>
  <c r="I7501" i="77"/>
  <c r="H7501" i="77"/>
  <c r="G7501" i="77"/>
  <c r="I7500" i="77"/>
  <c r="H7500" i="77"/>
  <c r="G7500" i="77"/>
  <c r="I7499" i="77"/>
  <c r="H7499" i="77"/>
  <c r="G7499" i="77"/>
  <c r="I7498" i="77"/>
  <c r="H7498" i="77"/>
  <c r="G7498" i="77"/>
  <c r="I7497" i="77"/>
  <c r="H7497" i="77"/>
  <c r="G7497" i="77"/>
  <c r="I7496" i="77"/>
  <c r="H7496" i="77"/>
  <c r="G7496" i="77"/>
  <c r="I7495" i="77"/>
  <c r="H7495" i="77"/>
  <c r="G7495" i="77"/>
  <c r="I7494" i="77"/>
  <c r="H7494" i="77"/>
  <c r="G7494" i="77"/>
  <c r="I7493" i="77"/>
  <c r="H7493" i="77"/>
  <c r="G7493" i="77"/>
  <c r="I7492" i="77"/>
  <c r="H7492" i="77"/>
  <c r="G7492" i="77"/>
  <c r="I7491" i="77"/>
  <c r="H7491" i="77"/>
  <c r="G7491" i="77"/>
  <c r="I7490" i="77"/>
  <c r="H7490" i="77"/>
  <c r="G7490" i="77"/>
  <c r="I7489" i="77"/>
  <c r="H7489" i="77"/>
  <c r="G7489" i="77"/>
  <c r="I7488" i="77"/>
  <c r="H7488" i="77"/>
  <c r="G7488" i="77"/>
  <c r="I7487" i="77"/>
  <c r="H7487" i="77"/>
  <c r="G7487" i="77"/>
  <c r="I7486" i="77"/>
  <c r="H7486" i="77"/>
  <c r="G7486" i="77"/>
  <c r="I7485" i="77"/>
  <c r="H7485" i="77"/>
  <c r="G7485" i="77"/>
  <c r="I7484" i="77"/>
  <c r="H7484" i="77"/>
  <c r="G7484" i="77"/>
  <c r="I7483" i="77"/>
  <c r="H7483" i="77"/>
  <c r="G7483" i="77"/>
  <c r="I7482" i="77"/>
  <c r="H7482" i="77"/>
  <c r="G7482" i="77"/>
  <c r="I7481" i="77"/>
  <c r="H7481" i="77"/>
  <c r="G7481" i="77"/>
  <c r="I7480" i="77"/>
  <c r="H7480" i="77"/>
  <c r="G7480" i="77"/>
  <c r="I7479" i="77"/>
  <c r="H7479" i="77"/>
  <c r="G7479" i="77"/>
  <c r="I7478" i="77"/>
  <c r="H7478" i="77"/>
  <c r="G7478" i="77"/>
  <c r="I7477" i="77"/>
  <c r="H7477" i="77"/>
  <c r="G7477" i="77"/>
  <c r="I7476" i="77"/>
  <c r="H7476" i="77"/>
  <c r="G7476" i="77"/>
  <c r="I7475" i="77"/>
  <c r="H7475" i="77"/>
  <c r="G7475" i="77"/>
  <c r="I7474" i="77"/>
  <c r="H7474" i="77"/>
  <c r="G7474" i="77"/>
  <c r="I7473" i="77"/>
  <c r="H7473" i="77"/>
  <c r="G7473" i="77"/>
  <c r="I7472" i="77"/>
  <c r="H7472" i="77"/>
  <c r="G7472" i="77"/>
  <c r="I7471" i="77"/>
  <c r="H7471" i="77"/>
  <c r="G7471" i="77"/>
  <c r="I7470" i="77"/>
  <c r="H7470" i="77"/>
  <c r="G7470" i="77"/>
  <c r="I7469" i="77"/>
  <c r="H7469" i="77"/>
  <c r="G7469" i="77"/>
  <c r="I7468" i="77"/>
  <c r="H7468" i="77"/>
  <c r="G7468" i="77"/>
  <c r="I7467" i="77"/>
  <c r="H7467" i="77"/>
  <c r="G7467" i="77"/>
  <c r="I7466" i="77"/>
  <c r="H7466" i="77"/>
  <c r="G7466" i="77"/>
  <c r="I7465" i="77"/>
  <c r="H7465" i="77"/>
  <c r="G7465" i="77"/>
  <c r="I7464" i="77"/>
  <c r="H7464" i="77"/>
  <c r="G7464" i="77"/>
  <c r="I7463" i="77"/>
  <c r="H7463" i="77"/>
  <c r="G7463" i="77"/>
  <c r="I7462" i="77"/>
  <c r="H7462" i="77"/>
  <c r="G7462" i="77"/>
  <c r="I7461" i="77"/>
  <c r="H7461" i="77"/>
  <c r="G7461" i="77"/>
  <c r="I7460" i="77"/>
  <c r="H7460" i="77"/>
  <c r="G7460" i="77"/>
  <c r="I7459" i="77"/>
  <c r="H7459" i="77"/>
  <c r="G7459" i="77"/>
  <c r="I7458" i="77"/>
  <c r="H7458" i="77"/>
  <c r="G7458" i="77"/>
  <c r="I7457" i="77"/>
  <c r="H7457" i="77"/>
  <c r="G7457" i="77"/>
  <c r="I7456" i="77"/>
  <c r="H7456" i="77"/>
  <c r="G7456" i="77"/>
  <c r="I7455" i="77"/>
  <c r="H7455" i="77"/>
  <c r="G7455" i="77"/>
  <c r="I7454" i="77"/>
  <c r="H7454" i="77"/>
  <c r="G7454" i="77"/>
  <c r="I7453" i="77"/>
  <c r="H7453" i="77"/>
  <c r="G7453" i="77"/>
  <c r="I7452" i="77"/>
  <c r="H7452" i="77"/>
  <c r="G7452" i="77"/>
  <c r="I7451" i="77"/>
  <c r="H7451" i="77"/>
  <c r="G7451" i="77"/>
  <c r="I7450" i="77"/>
  <c r="H7450" i="77"/>
  <c r="G7450" i="77"/>
  <c r="I7449" i="77"/>
  <c r="H7449" i="77"/>
  <c r="G7449" i="77"/>
  <c r="I7448" i="77"/>
  <c r="H7448" i="77"/>
  <c r="G7448" i="77"/>
  <c r="I7447" i="77"/>
  <c r="H7447" i="77"/>
  <c r="G7447" i="77"/>
  <c r="I7446" i="77"/>
  <c r="H7446" i="77"/>
  <c r="G7446" i="77"/>
  <c r="I7445" i="77"/>
  <c r="H7445" i="77"/>
  <c r="G7445" i="77"/>
  <c r="I7444" i="77"/>
  <c r="H7444" i="77"/>
  <c r="G7444" i="77"/>
  <c r="I7443" i="77"/>
  <c r="H7443" i="77"/>
  <c r="G7443" i="77"/>
  <c r="I7442" i="77"/>
  <c r="H7442" i="77"/>
  <c r="G7442" i="77"/>
  <c r="I7441" i="77"/>
  <c r="H7441" i="77"/>
  <c r="G7441" i="77"/>
  <c r="I7440" i="77"/>
  <c r="H7440" i="77"/>
  <c r="G7440" i="77"/>
  <c r="I7439" i="77"/>
  <c r="H7439" i="77"/>
  <c r="G7439" i="77"/>
  <c r="I7438" i="77"/>
  <c r="H7438" i="77"/>
  <c r="G7438" i="77"/>
  <c r="I7437" i="77"/>
  <c r="H7437" i="77"/>
  <c r="G7437" i="77"/>
  <c r="I7436" i="77"/>
  <c r="H7436" i="77"/>
  <c r="G7436" i="77"/>
  <c r="I7435" i="77"/>
  <c r="H7435" i="77"/>
  <c r="G7435" i="77"/>
  <c r="I7434" i="77"/>
  <c r="H7434" i="77"/>
  <c r="G7434" i="77"/>
  <c r="I7433" i="77"/>
  <c r="H7433" i="77"/>
  <c r="G7433" i="77"/>
  <c r="I7432" i="77"/>
  <c r="H7432" i="77"/>
  <c r="G7432" i="77"/>
  <c r="I7431" i="77"/>
  <c r="H7431" i="77"/>
  <c r="G7431" i="77"/>
  <c r="I7430" i="77"/>
  <c r="H7430" i="77"/>
  <c r="G7430" i="77"/>
  <c r="I7429" i="77"/>
  <c r="H7429" i="77"/>
  <c r="G7429" i="77"/>
  <c r="I7428" i="77"/>
  <c r="H7428" i="77"/>
  <c r="G7428" i="77"/>
  <c r="I7427" i="77"/>
  <c r="H7427" i="77"/>
  <c r="G7427" i="77"/>
  <c r="I7426" i="77"/>
  <c r="H7426" i="77"/>
  <c r="G7426" i="77"/>
  <c r="I7425" i="77"/>
  <c r="H7425" i="77"/>
  <c r="G7425" i="77"/>
  <c r="I7424" i="77"/>
  <c r="H7424" i="77"/>
  <c r="G7424" i="77"/>
  <c r="I7423" i="77"/>
  <c r="H7423" i="77"/>
  <c r="G7423" i="77"/>
  <c r="I7422" i="77"/>
  <c r="H7422" i="77"/>
  <c r="G7422" i="77"/>
  <c r="I7421" i="77"/>
  <c r="H7421" i="77"/>
  <c r="G7421" i="77"/>
  <c r="I7420" i="77"/>
  <c r="H7420" i="77"/>
  <c r="G7420" i="77"/>
  <c r="I7419" i="77"/>
  <c r="H7419" i="77"/>
  <c r="G7419" i="77"/>
  <c r="I7418" i="77"/>
  <c r="H7418" i="77"/>
  <c r="G7418" i="77"/>
  <c r="I7417" i="77"/>
  <c r="H7417" i="77"/>
  <c r="G7417" i="77"/>
  <c r="I7416" i="77"/>
  <c r="H7416" i="77"/>
  <c r="G7416" i="77"/>
  <c r="I7415" i="77"/>
  <c r="H7415" i="77"/>
  <c r="G7415" i="77"/>
  <c r="I7414" i="77"/>
  <c r="H7414" i="77"/>
  <c r="G7414" i="77"/>
  <c r="I7413" i="77"/>
  <c r="H7413" i="77"/>
  <c r="G7413" i="77"/>
  <c r="I7412" i="77"/>
  <c r="H7412" i="77"/>
  <c r="G7412" i="77"/>
  <c r="I7411" i="77"/>
  <c r="H7411" i="77"/>
  <c r="G7411" i="77"/>
  <c r="I7410" i="77"/>
  <c r="H7410" i="77"/>
  <c r="G7410" i="77"/>
  <c r="I7409" i="77"/>
  <c r="H7409" i="77"/>
  <c r="G7409" i="77"/>
  <c r="I7408" i="77"/>
  <c r="H7408" i="77"/>
  <c r="G7408" i="77"/>
  <c r="I7407" i="77"/>
  <c r="H7407" i="77"/>
  <c r="G7407" i="77"/>
  <c r="I7406" i="77"/>
  <c r="H7406" i="77"/>
  <c r="G7406" i="77"/>
  <c r="I7405" i="77"/>
  <c r="H7405" i="77"/>
  <c r="G7405" i="77"/>
  <c r="I7404" i="77"/>
  <c r="H7404" i="77"/>
  <c r="G7404" i="77"/>
  <c r="I7403" i="77"/>
  <c r="H7403" i="77"/>
  <c r="G7403" i="77"/>
  <c r="I7402" i="77"/>
  <c r="H7402" i="77"/>
  <c r="G7402" i="77"/>
  <c r="I7401" i="77"/>
  <c r="H7401" i="77"/>
  <c r="G7401" i="77"/>
  <c r="I7400" i="77"/>
  <c r="H7400" i="77"/>
  <c r="G7400" i="77"/>
  <c r="I7399" i="77"/>
  <c r="H7399" i="77"/>
  <c r="G7399" i="77"/>
  <c r="I7398" i="77"/>
  <c r="H7398" i="77"/>
  <c r="G7398" i="77"/>
  <c r="I7397" i="77"/>
  <c r="H7397" i="77"/>
  <c r="G7397" i="77"/>
  <c r="I7396" i="77"/>
  <c r="H7396" i="77"/>
  <c r="G7396" i="77"/>
  <c r="I7395" i="77"/>
  <c r="H7395" i="77"/>
  <c r="G7395" i="77"/>
  <c r="I7394" i="77"/>
  <c r="H7394" i="77"/>
  <c r="G7394" i="77"/>
  <c r="I7393" i="77"/>
  <c r="H7393" i="77"/>
  <c r="G7393" i="77"/>
  <c r="I7392" i="77"/>
  <c r="H7392" i="77"/>
  <c r="G7392" i="77"/>
  <c r="I7391" i="77"/>
  <c r="H7391" i="77"/>
  <c r="G7391" i="77"/>
  <c r="I7390" i="77"/>
  <c r="H7390" i="77"/>
  <c r="G7390" i="77"/>
  <c r="I7389" i="77"/>
  <c r="H7389" i="77"/>
  <c r="G7389" i="77"/>
  <c r="I7388" i="77"/>
  <c r="H7388" i="77"/>
  <c r="G7388" i="77"/>
  <c r="I7387" i="77"/>
  <c r="H7387" i="77"/>
  <c r="G7387" i="77"/>
  <c r="I7386" i="77"/>
  <c r="H7386" i="77"/>
  <c r="G7386" i="77"/>
  <c r="I7385" i="77"/>
  <c r="H7385" i="77"/>
  <c r="G7385" i="77"/>
  <c r="I7384" i="77"/>
  <c r="H7384" i="77"/>
  <c r="G7384" i="77"/>
  <c r="I7383" i="77"/>
  <c r="H7383" i="77"/>
  <c r="G7383" i="77"/>
  <c r="I7382" i="77"/>
  <c r="H7382" i="77"/>
  <c r="G7382" i="77"/>
  <c r="I7381" i="77"/>
  <c r="H7381" i="77"/>
  <c r="G7381" i="77"/>
  <c r="I7380" i="77"/>
  <c r="H7380" i="77"/>
  <c r="G7380" i="77"/>
  <c r="I7379" i="77"/>
  <c r="H7379" i="77"/>
  <c r="G7379" i="77"/>
  <c r="I7378" i="77"/>
  <c r="H7378" i="77"/>
  <c r="G7378" i="77"/>
  <c r="I7377" i="77"/>
  <c r="H7377" i="77"/>
  <c r="G7377" i="77"/>
  <c r="I7376" i="77"/>
  <c r="H7376" i="77"/>
  <c r="G7376" i="77"/>
  <c r="I7375" i="77"/>
  <c r="H7375" i="77"/>
  <c r="G7375" i="77"/>
  <c r="I7374" i="77"/>
  <c r="H7374" i="77"/>
  <c r="G7374" i="77"/>
  <c r="I7373" i="77"/>
  <c r="H7373" i="77"/>
  <c r="G7373" i="77"/>
  <c r="I7372" i="77"/>
  <c r="H7372" i="77"/>
  <c r="G7372" i="77"/>
  <c r="I7371" i="77"/>
  <c r="H7371" i="77"/>
  <c r="G7371" i="77"/>
  <c r="I7370" i="77"/>
  <c r="H7370" i="77"/>
  <c r="G7370" i="77"/>
  <c r="I7369" i="77"/>
  <c r="H7369" i="77"/>
  <c r="G7369" i="77"/>
  <c r="I7368" i="77"/>
  <c r="H7368" i="77"/>
  <c r="G7368" i="77"/>
  <c r="I7367" i="77"/>
  <c r="H7367" i="77"/>
  <c r="G7367" i="77"/>
  <c r="I7366" i="77"/>
  <c r="H7366" i="77"/>
  <c r="G7366" i="77"/>
  <c r="I7365" i="77"/>
  <c r="H7365" i="77"/>
  <c r="G7365" i="77"/>
  <c r="I7364" i="77"/>
  <c r="H7364" i="77"/>
  <c r="G7364" i="77"/>
  <c r="I7363" i="77"/>
  <c r="H7363" i="77"/>
  <c r="G7363" i="77"/>
  <c r="I7362" i="77"/>
  <c r="H7362" i="77"/>
  <c r="G7362" i="77"/>
  <c r="I7361" i="77"/>
  <c r="H7361" i="77"/>
  <c r="G7361" i="77"/>
  <c r="I7360" i="77"/>
  <c r="H7360" i="77"/>
  <c r="G7360" i="77"/>
  <c r="I7359" i="77"/>
  <c r="H7359" i="77"/>
  <c r="G7359" i="77"/>
  <c r="I7358" i="77"/>
  <c r="H7358" i="77"/>
  <c r="G7358" i="77"/>
  <c r="I7357" i="77"/>
  <c r="H7357" i="77"/>
  <c r="G7357" i="77"/>
  <c r="I7356" i="77"/>
  <c r="H7356" i="77"/>
  <c r="G7356" i="77"/>
  <c r="I7355" i="77"/>
  <c r="H7355" i="77"/>
  <c r="G7355" i="77"/>
  <c r="I7354" i="77"/>
  <c r="H7354" i="77"/>
  <c r="G7354" i="77"/>
  <c r="I7353" i="77"/>
  <c r="H7353" i="77"/>
  <c r="G7353" i="77"/>
  <c r="I7352" i="77"/>
  <c r="H7352" i="77"/>
  <c r="G7352" i="77"/>
  <c r="I7351" i="77"/>
  <c r="H7351" i="77"/>
  <c r="G7351" i="77"/>
  <c r="I7350" i="77"/>
  <c r="H7350" i="77"/>
  <c r="G7350" i="77"/>
  <c r="I7349" i="77"/>
  <c r="H7349" i="77"/>
  <c r="G7349" i="77"/>
  <c r="I7348" i="77"/>
  <c r="H7348" i="77"/>
  <c r="G7348" i="77"/>
  <c r="I7347" i="77"/>
  <c r="H7347" i="77"/>
  <c r="G7347" i="77"/>
  <c r="I7346" i="77"/>
  <c r="H7346" i="77"/>
  <c r="G7346" i="77"/>
  <c r="I7345" i="77"/>
  <c r="H7345" i="77"/>
  <c r="G7345" i="77"/>
  <c r="I7344" i="77"/>
  <c r="H7344" i="77"/>
  <c r="G7344" i="77"/>
  <c r="I7343" i="77"/>
  <c r="H7343" i="77"/>
  <c r="G7343" i="77"/>
  <c r="I7342" i="77"/>
  <c r="H7342" i="77"/>
  <c r="G7342" i="77"/>
  <c r="I7341" i="77"/>
  <c r="H7341" i="77"/>
  <c r="G7341" i="77"/>
  <c r="I7340" i="77"/>
  <c r="H7340" i="77"/>
  <c r="G7340" i="77"/>
  <c r="I7339" i="77"/>
  <c r="H7339" i="77"/>
  <c r="G7339" i="77"/>
  <c r="I7338" i="77"/>
  <c r="H7338" i="77"/>
  <c r="G7338" i="77"/>
  <c r="I7337" i="77"/>
  <c r="H7337" i="77"/>
  <c r="G7337" i="77"/>
  <c r="I7336" i="77"/>
  <c r="H7336" i="77"/>
  <c r="G7336" i="77"/>
  <c r="I7335" i="77"/>
  <c r="H7335" i="77"/>
  <c r="G7335" i="77"/>
  <c r="I7334" i="77"/>
  <c r="H7334" i="77"/>
  <c r="G7334" i="77"/>
  <c r="I7333" i="77"/>
  <c r="H7333" i="77"/>
  <c r="G7333" i="77"/>
  <c r="I7332" i="77"/>
  <c r="H7332" i="77"/>
  <c r="G7332" i="77"/>
  <c r="I7331" i="77"/>
  <c r="H7331" i="77"/>
  <c r="G7331" i="77"/>
  <c r="I7330" i="77"/>
  <c r="H7330" i="77"/>
  <c r="G7330" i="77"/>
  <c r="I7329" i="77"/>
  <c r="H7329" i="77"/>
  <c r="G7329" i="77"/>
  <c r="I7328" i="77"/>
  <c r="H7328" i="77"/>
  <c r="G7328" i="77"/>
  <c r="I7327" i="77"/>
  <c r="H7327" i="77"/>
  <c r="G7327" i="77"/>
  <c r="I7326" i="77"/>
  <c r="H7326" i="77"/>
  <c r="G7326" i="77"/>
  <c r="I7325" i="77"/>
  <c r="H7325" i="77"/>
  <c r="G7325" i="77"/>
  <c r="I7324" i="77"/>
  <c r="H7324" i="77"/>
  <c r="G7324" i="77"/>
  <c r="I7323" i="77"/>
  <c r="H7323" i="77"/>
  <c r="G7323" i="77"/>
  <c r="I7322" i="77"/>
  <c r="H7322" i="77"/>
  <c r="G7322" i="77"/>
  <c r="I7321" i="77"/>
  <c r="H7321" i="77"/>
  <c r="G7321" i="77"/>
  <c r="I7320" i="77"/>
  <c r="H7320" i="77"/>
  <c r="G7320" i="77"/>
  <c r="I7319" i="77"/>
  <c r="H7319" i="77"/>
  <c r="G7319" i="77"/>
  <c r="I7318" i="77"/>
  <c r="H7318" i="77"/>
  <c r="G7318" i="77"/>
  <c r="I7317" i="77"/>
  <c r="H7317" i="77"/>
  <c r="G7317" i="77"/>
  <c r="I7316" i="77"/>
  <c r="H7316" i="77"/>
  <c r="G7316" i="77"/>
  <c r="I7315" i="77"/>
  <c r="H7315" i="77"/>
  <c r="G7315" i="77"/>
  <c r="I7314" i="77"/>
  <c r="H7314" i="77"/>
  <c r="G7314" i="77"/>
  <c r="I7313" i="77"/>
  <c r="H7313" i="77"/>
  <c r="G7313" i="77"/>
  <c r="I7312" i="77"/>
  <c r="H7312" i="77"/>
  <c r="G7312" i="77"/>
  <c r="I7311" i="77"/>
  <c r="H7311" i="77"/>
  <c r="G7311" i="77"/>
  <c r="I7310" i="77"/>
  <c r="H7310" i="77"/>
  <c r="G7310" i="77"/>
  <c r="I7309" i="77"/>
  <c r="H7309" i="77"/>
  <c r="G7309" i="77"/>
  <c r="I7308" i="77"/>
  <c r="H7308" i="77"/>
  <c r="G7308" i="77"/>
  <c r="I7307" i="77"/>
  <c r="H7307" i="77"/>
  <c r="G7307" i="77"/>
  <c r="I7306" i="77"/>
  <c r="H7306" i="77"/>
  <c r="G7306" i="77"/>
  <c r="I7305" i="77"/>
  <c r="H7305" i="77"/>
  <c r="G7305" i="77"/>
  <c r="I7304" i="77"/>
  <c r="H7304" i="77"/>
  <c r="G7304" i="77"/>
  <c r="I7303" i="77"/>
  <c r="H7303" i="77"/>
  <c r="G7303" i="77"/>
  <c r="I7302" i="77"/>
  <c r="H7302" i="77"/>
  <c r="G7302" i="77"/>
  <c r="I7301" i="77"/>
  <c r="H7301" i="77"/>
  <c r="G7301" i="77"/>
  <c r="I7300" i="77"/>
  <c r="H7300" i="77"/>
  <c r="G7300" i="77"/>
  <c r="I7299" i="77"/>
  <c r="H7299" i="77"/>
  <c r="G7299" i="77"/>
  <c r="I7298" i="77"/>
  <c r="H7298" i="77"/>
  <c r="G7298" i="77"/>
  <c r="I7297" i="77"/>
  <c r="H7297" i="77"/>
  <c r="G7297" i="77"/>
  <c r="I7296" i="77"/>
  <c r="H7296" i="77"/>
  <c r="G7296" i="77"/>
  <c r="I7295" i="77"/>
  <c r="H7295" i="77"/>
  <c r="G7295" i="77"/>
  <c r="I7294" i="77"/>
  <c r="H7294" i="77"/>
  <c r="G7294" i="77"/>
  <c r="I7293" i="77"/>
  <c r="H7293" i="77"/>
  <c r="G7293" i="77"/>
  <c r="I7292" i="77"/>
  <c r="H7292" i="77"/>
  <c r="G7292" i="77"/>
  <c r="I7291" i="77"/>
  <c r="H7291" i="77"/>
  <c r="G7291" i="77"/>
  <c r="I7290" i="77"/>
  <c r="H7290" i="77"/>
  <c r="G7290" i="77"/>
  <c r="I7289" i="77"/>
  <c r="H7289" i="77"/>
  <c r="G7289" i="77"/>
  <c r="I7288" i="77"/>
  <c r="H7288" i="77"/>
  <c r="G7288" i="77"/>
  <c r="I7287" i="77"/>
  <c r="H7287" i="77"/>
  <c r="G7287" i="77"/>
  <c r="I7286" i="77"/>
  <c r="H7286" i="77"/>
  <c r="G7286" i="77"/>
  <c r="I7285" i="77"/>
  <c r="H7285" i="77"/>
  <c r="G7285" i="77"/>
  <c r="I7284" i="77"/>
  <c r="H7284" i="77"/>
  <c r="G7284" i="77"/>
  <c r="I7283" i="77"/>
  <c r="H7283" i="77"/>
  <c r="G7283" i="77"/>
  <c r="I7282" i="77"/>
  <c r="H7282" i="77"/>
  <c r="G7282" i="77"/>
  <c r="I7281" i="77"/>
  <c r="H7281" i="77"/>
  <c r="G7281" i="77"/>
  <c r="I7280" i="77"/>
  <c r="H7280" i="77"/>
  <c r="G7280" i="77"/>
  <c r="I7279" i="77"/>
  <c r="H7279" i="77"/>
  <c r="G7279" i="77"/>
  <c r="I7278" i="77"/>
  <c r="H7278" i="77"/>
  <c r="G7278" i="77"/>
  <c r="I7277" i="77"/>
  <c r="H7277" i="77"/>
  <c r="G7277" i="77"/>
  <c r="I7276" i="77"/>
  <c r="H7276" i="77"/>
  <c r="G7276" i="77"/>
  <c r="I7275" i="77"/>
  <c r="H7275" i="77"/>
  <c r="G7275" i="77"/>
  <c r="I7274" i="77"/>
  <c r="H7274" i="77"/>
  <c r="G7274" i="77"/>
  <c r="I7273" i="77"/>
  <c r="H7273" i="77"/>
  <c r="G7273" i="77"/>
  <c r="I7272" i="77"/>
  <c r="H7272" i="77"/>
  <c r="G7272" i="77"/>
  <c r="I7271" i="77"/>
  <c r="H7271" i="77"/>
  <c r="G7271" i="77"/>
  <c r="I7270" i="77"/>
  <c r="H7270" i="77"/>
  <c r="G7270" i="77"/>
  <c r="I7269" i="77"/>
  <c r="H7269" i="77"/>
  <c r="G7269" i="77"/>
  <c r="I7268" i="77"/>
  <c r="H7268" i="77"/>
  <c r="G7268" i="77"/>
  <c r="I7267" i="77"/>
  <c r="H7267" i="77"/>
  <c r="G7267" i="77"/>
  <c r="I7266" i="77"/>
  <c r="H7266" i="77"/>
  <c r="G7266" i="77"/>
  <c r="I7265" i="77"/>
  <c r="H7265" i="77"/>
  <c r="G7265" i="77"/>
  <c r="I7264" i="77"/>
  <c r="H7264" i="77"/>
  <c r="G7264" i="77"/>
  <c r="I7263" i="77"/>
  <c r="H7263" i="77"/>
  <c r="G7263" i="77"/>
  <c r="I7262" i="77"/>
  <c r="H7262" i="77"/>
  <c r="G7262" i="77"/>
  <c r="I7261" i="77"/>
  <c r="H7261" i="77"/>
  <c r="G7261" i="77"/>
  <c r="I7260" i="77"/>
  <c r="H7260" i="77"/>
  <c r="G7260" i="77"/>
  <c r="I7259" i="77"/>
  <c r="H7259" i="77"/>
  <c r="G7259" i="77"/>
  <c r="I7258" i="77"/>
  <c r="H7258" i="77"/>
  <c r="G7258" i="77"/>
  <c r="I7257" i="77"/>
  <c r="H7257" i="77"/>
  <c r="G7257" i="77"/>
  <c r="I7256" i="77"/>
  <c r="H7256" i="77"/>
  <c r="G7256" i="77"/>
  <c r="I7255" i="77"/>
  <c r="H7255" i="77"/>
  <c r="G7255" i="77"/>
  <c r="I7254" i="77"/>
  <c r="H7254" i="77"/>
  <c r="G7254" i="77"/>
  <c r="I7253" i="77"/>
  <c r="H7253" i="77"/>
  <c r="G7253" i="77"/>
  <c r="I7252" i="77"/>
  <c r="H7252" i="77"/>
  <c r="G7252" i="77"/>
  <c r="I7251" i="77"/>
  <c r="H7251" i="77"/>
  <c r="G7251" i="77"/>
  <c r="I7250" i="77"/>
  <c r="H7250" i="77"/>
  <c r="G7250" i="77"/>
  <c r="I7249" i="77"/>
  <c r="H7249" i="77"/>
  <c r="G7249" i="77"/>
  <c r="I7248" i="77"/>
  <c r="H7248" i="77"/>
  <c r="G7248" i="77"/>
  <c r="I7247" i="77"/>
  <c r="H7247" i="77"/>
  <c r="G7247" i="77"/>
  <c r="I7246" i="77"/>
  <c r="H7246" i="77"/>
  <c r="G7246" i="77"/>
  <c r="I7245" i="77"/>
  <c r="H7245" i="77"/>
  <c r="G7245" i="77"/>
  <c r="I7244" i="77"/>
  <c r="H7244" i="77"/>
  <c r="G7244" i="77"/>
  <c r="I7243" i="77"/>
  <c r="H7243" i="77"/>
  <c r="G7243" i="77"/>
  <c r="I7242" i="77"/>
  <c r="H7242" i="77"/>
  <c r="G7242" i="77"/>
  <c r="I7241" i="77"/>
  <c r="H7241" i="77"/>
  <c r="G7241" i="77"/>
  <c r="I7240" i="77"/>
  <c r="H7240" i="77"/>
  <c r="G7240" i="77"/>
  <c r="I7239" i="77"/>
  <c r="H7239" i="77"/>
  <c r="G7239" i="77"/>
  <c r="I7238" i="77"/>
  <c r="H7238" i="77"/>
  <c r="G7238" i="77"/>
  <c r="I7237" i="77"/>
  <c r="H7237" i="77"/>
  <c r="G7237" i="77"/>
  <c r="I7236" i="77"/>
  <c r="H7236" i="77"/>
  <c r="G7236" i="77"/>
  <c r="I7235" i="77"/>
  <c r="H7235" i="77"/>
  <c r="G7235" i="77"/>
  <c r="I7234" i="77"/>
  <c r="H7234" i="77"/>
  <c r="G7234" i="77"/>
  <c r="I7233" i="77"/>
  <c r="H7233" i="77"/>
  <c r="G7233" i="77"/>
  <c r="I7232" i="77"/>
  <c r="H7232" i="77"/>
  <c r="G7232" i="77"/>
  <c r="I7231" i="77"/>
  <c r="H7231" i="77"/>
  <c r="G7231" i="77"/>
  <c r="I7230" i="77"/>
  <c r="H7230" i="77"/>
  <c r="G7230" i="77"/>
  <c r="I7229" i="77"/>
  <c r="H7229" i="77"/>
  <c r="G7229" i="77"/>
  <c r="I7228" i="77"/>
  <c r="H7228" i="77"/>
  <c r="G7228" i="77"/>
  <c r="I7227" i="77"/>
  <c r="H7227" i="77"/>
  <c r="G7227" i="77"/>
  <c r="I7226" i="77"/>
  <c r="H7226" i="77"/>
  <c r="G7226" i="77"/>
  <c r="I7225" i="77"/>
  <c r="H7225" i="77"/>
  <c r="G7225" i="77"/>
  <c r="I7224" i="77"/>
  <c r="H7224" i="77"/>
  <c r="G7224" i="77"/>
  <c r="I7223" i="77"/>
  <c r="H7223" i="77"/>
  <c r="G7223" i="77"/>
  <c r="I7222" i="77"/>
  <c r="H7222" i="77"/>
  <c r="G7222" i="77"/>
  <c r="I7221" i="77"/>
  <c r="H7221" i="77"/>
  <c r="G7221" i="77"/>
  <c r="I7220" i="77"/>
  <c r="H7220" i="77"/>
  <c r="G7220" i="77"/>
  <c r="I7219" i="77"/>
  <c r="H7219" i="77"/>
  <c r="G7219" i="77"/>
  <c r="I7218" i="77"/>
  <c r="H7218" i="77"/>
  <c r="G7218" i="77"/>
  <c r="I7217" i="77"/>
  <c r="H7217" i="77"/>
  <c r="G7217" i="77"/>
  <c r="I7216" i="77"/>
  <c r="H7216" i="77"/>
  <c r="G7216" i="77"/>
  <c r="I7215" i="77"/>
  <c r="H7215" i="77"/>
  <c r="G7215" i="77"/>
  <c r="I7214" i="77"/>
  <c r="H7214" i="77"/>
  <c r="G7214" i="77"/>
  <c r="I7213" i="77"/>
  <c r="H7213" i="77"/>
  <c r="G7213" i="77"/>
  <c r="I7212" i="77"/>
  <c r="H7212" i="77"/>
  <c r="G7212" i="77"/>
  <c r="I7211" i="77"/>
  <c r="H7211" i="77"/>
  <c r="G7211" i="77"/>
  <c r="I7210" i="77"/>
  <c r="H7210" i="77"/>
  <c r="G7210" i="77"/>
  <c r="I7209" i="77"/>
  <c r="H7209" i="77"/>
  <c r="G7209" i="77"/>
  <c r="I7208" i="77"/>
  <c r="H7208" i="77"/>
  <c r="G7208" i="77"/>
  <c r="I7207" i="77"/>
  <c r="H7207" i="77"/>
  <c r="G7207" i="77"/>
  <c r="I7206" i="77"/>
  <c r="H7206" i="77"/>
  <c r="G7206" i="77"/>
  <c r="I7205" i="77"/>
  <c r="H7205" i="77"/>
  <c r="G7205" i="77"/>
  <c r="I7204" i="77"/>
  <c r="H7204" i="77"/>
  <c r="G7204" i="77"/>
  <c r="I7203" i="77"/>
  <c r="H7203" i="77"/>
  <c r="G7203" i="77"/>
  <c r="I7202" i="77"/>
  <c r="H7202" i="77"/>
  <c r="G7202" i="77"/>
  <c r="I7201" i="77"/>
  <c r="H7201" i="77"/>
  <c r="G7201" i="77"/>
  <c r="I7200" i="77"/>
  <c r="H7200" i="77"/>
  <c r="G7200" i="77"/>
  <c r="I7199" i="77"/>
  <c r="H7199" i="77"/>
  <c r="G7199" i="77"/>
  <c r="I7198" i="77"/>
  <c r="H7198" i="77"/>
  <c r="G7198" i="77"/>
  <c r="I7197" i="77"/>
  <c r="H7197" i="77"/>
  <c r="G7197" i="77"/>
  <c r="I7196" i="77"/>
  <c r="H7196" i="77"/>
  <c r="G7196" i="77"/>
  <c r="I7195" i="77"/>
  <c r="H7195" i="77"/>
  <c r="G7195" i="77"/>
  <c r="I7194" i="77"/>
  <c r="H7194" i="77"/>
  <c r="G7194" i="77"/>
  <c r="I7193" i="77"/>
  <c r="H7193" i="77"/>
  <c r="G7193" i="77"/>
  <c r="I7192" i="77"/>
  <c r="H7192" i="77"/>
  <c r="G7192" i="77"/>
  <c r="I7191" i="77"/>
  <c r="H7191" i="77"/>
  <c r="G7191" i="77"/>
  <c r="I7190" i="77"/>
  <c r="H7190" i="77"/>
  <c r="G7190" i="77"/>
  <c r="I7189" i="77"/>
  <c r="H7189" i="77"/>
  <c r="G7189" i="77"/>
  <c r="I7188" i="77"/>
  <c r="H7188" i="77"/>
  <c r="G7188" i="77"/>
  <c r="I7187" i="77"/>
  <c r="H7187" i="77"/>
  <c r="G7187" i="77"/>
  <c r="I7186" i="77"/>
  <c r="H7186" i="77"/>
  <c r="G7186" i="77"/>
  <c r="I7185" i="77"/>
  <c r="H7185" i="77"/>
  <c r="G7185" i="77"/>
  <c r="I7184" i="77"/>
  <c r="H7184" i="77"/>
  <c r="G7184" i="77"/>
  <c r="I7183" i="77"/>
  <c r="H7183" i="77"/>
  <c r="G7183" i="77"/>
  <c r="I7182" i="77"/>
  <c r="H7182" i="77"/>
  <c r="G7182" i="77"/>
  <c r="I7181" i="77"/>
  <c r="H7181" i="77"/>
  <c r="G7181" i="77"/>
  <c r="I7180" i="77"/>
  <c r="H7180" i="77"/>
  <c r="G7180" i="77"/>
  <c r="I7179" i="77"/>
  <c r="H7179" i="77"/>
  <c r="G7179" i="77"/>
  <c r="I7178" i="77"/>
  <c r="H7178" i="77"/>
  <c r="G7178" i="77"/>
  <c r="I7177" i="77"/>
  <c r="H7177" i="77"/>
  <c r="G7177" i="77"/>
  <c r="I7176" i="77"/>
  <c r="H7176" i="77"/>
  <c r="G7176" i="77"/>
  <c r="I7175" i="77"/>
  <c r="H7175" i="77"/>
  <c r="G7175" i="77"/>
  <c r="I7174" i="77"/>
  <c r="H7174" i="77"/>
  <c r="G7174" i="77"/>
  <c r="I7173" i="77"/>
  <c r="H7173" i="77"/>
  <c r="G7173" i="77"/>
  <c r="I7172" i="77"/>
  <c r="H7172" i="77"/>
  <c r="G7172" i="77"/>
  <c r="I7171" i="77"/>
  <c r="H7171" i="77"/>
  <c r="G7171" i="77"/>
  <c r="I7170" i="77"/>
  <c r="H7170" i="77"/>
  <c r="G7170" i="77"/>
  <c r="I7169" i="77"/>
  <c r="H7169" i="77"/>
  <c r="G7169" i="77"/>
  <c r="I7168" i="77"/>
  <c r="H7168" i="77"/>
  <c r="G7168" i="77"/>
  <c r="I7167" i="77"/>
  <c r="H7167" i="77"/>
  <c r="G7167" i="77"/>
  <c r="I7166" i="77"/>
  <c r="H7166" i="77"/>
  <c r="G7166" i="77"/>
  <c r="I7165" i="77"/>
  <c r="H7165" i="77"/>
  <c r="G7165" i="77"/>
  <c r="I7164" i="77"/>
  <c r="H7164" i="77"/>
  <c r="G7164" i="77"/>
  <c r="I7163" i="77"/>
  <c r="H7163" i="77"/>
  <c r="G7163" i="77"/>
  <c r="I7162" i="77"/>
  <c r="H7162" i="77"/>
  <c r="G7162" i="77"/>
  <c r="I7161" i="77"/>
  <c r="H7161" i="77"/>
  <c r="G7161" i="77"/>
  <c r="I7160" i="77"/>
  <c r="H7160" i="77"/>
  <c r="G7160" i="77"/>
  <c r="I7159" i="77"/>
  <c r="H7159" i="77"/>
  <c r="G7159" i="77"/>
  <c r="I7158" i="77"/>
  <c r="H7158" i="77"/>
  <c r="G7158" i="77"/>
  <c r="I7157" i="77"/>
  <c r="H7157" i="77"/>
  <c r="G7157" i="77"/>
  <c r="I7156" i="77"/>
  <c r="H7156" i="77"/>
  <c r="G7156" i="77"/>
  <c r="I7155" i="77"/>
  <c r="H7155" i="77"/>
  <c r="G7155" i="77"/>
  <c r="I7154" i="77"/>
  <c r="H7154" i="77"/>
  <c r="G7154" i="77"/>
  <c r="I7153" i="77"/>
  <c r="H7153" i="77"/>
  <c r="G7153" i="77"/>
  <c r="I7152" i="77"/>
  <c r="H7152" i="77"/>
  <c r="G7152" i="77"/>
  <c r="I7151" i="77"/>
  <c r="H7151" i="77"/>
  <c r="G7151" i="77"/>
  <c r="I7150" i="77"/>
  <c r="H7150" i="77"/>
  <c r="G7150" i="77"/>
  <c r="I7149" i="77"/>
  <c r="H7149" i="77"/>
  <c r="G7149" i="77"/>
  <c r="I7148" i="77"/>
  <c r="H7148" i="77"/>
  <c r="G7148" i="77"/>
  <c r="I7147" i="77"/>
  <c r="H7147" i="77"/>
  <c r="G7147" i="77"/>
  <c r="I7146" i="77"/>
  <c r="H7146" i="77"/>
  <c r="G7146" i="77"/>
  <c r="I7145" i="77"/>
  <c r="H7145" i="77"/>
  <c r="G7145" i="77"/>
  <c r="I7144" i="77"/>
  <c r="H7144" i="77"/>
  <c r="G7144" i="77"/>
  <c r="I7143" i="77"/>
  <c r="H7143" i="77"/>
  <c r="G7143" i="77"/>
  <c r="I7142" i="77"/>
  <c r="H7142" i="77"/>
  <c r="G7142" i="77"/>
  <c r="I7141" i="77"/>
  <c r="H7141" i="77"/>
  <c r="G7141" i="77"/>
  <c r="I7140" i="77"/>
  <c r="H7140" i="77"/>
  <c r="G7140" i="77"/>
  <c r="I7139" i="77"/>
  <c r="H7139" i="77"/>
  <c r="G7139" i="77"/>
  <c r="I7138" i="77"/>
  <c r="H7138" i="77"/>
  <c r="G7138" i="77"/>
  <c r="I7137" i="77"/>
  <c r="H7137" i="77"/>
  <c r="G7137" i="77"/>
  <c r="I7136" i="77"/>
  <c r="H7136" i="77"/>
  <c r="G7136" i="77"/>
  <c r="I7135" i="77"/>
  <c r="H7135" i="77"/>
  <c r="G7135" i="77"/>
  <c r="I7134" i="77"/>
  <c r="H7134" i="77"/>
  <c r="G7134" i="77"/>
  <c r="I7133" i="77"/>
  <c r="H7133" i="77"/>
  <c r="G7133" i="77"/>
  <c r="I7132" i="77"/>
  <c r="H7132" i="77"/>
  <c r="G7132" i="77"/>
  <c r="I7131" i="77"/>
  <c r="H7131" i="77"/>
  <c r="G7131" i="77"/>
  <c r="I7130" i="77"/>
  <c r="H7130" i="77"/>
  <c r="G7130" i="77"/>
  <c r="I7129" i="77"/>
  <c r="H7129" i="77"/>
  <c r="G7129" i="77"/>
  <c r="I7128" i="77"/>
  <c r="H7128" i="77"/>
  <c r="G7128" i="77"/>
  <c r="I7127" i="77"/>
  <c r="H7127" i="77"/>
  <c r="G7127" i="77"/>
  <c r="I7126" i="77"/>
  <c r="H7126" i="77"/>
  <c r="G7126" i="77"/>
  <c r="I7125" i="77"/>
  <c r="H7125" i="77"/>
  <c r="G7125" i="77"/>
  <c r="I7124" i="77"/>
  <c r="H7124" i="77"/>
  <c r="G7124" i="77"/>
  <c r="I7123" i="77"/>
  <c r="H7123" i="77"/>
  <c r="G7123" i="77"/>
  <c r="I7122" i="77"/>
  <c r="H7122" i="77"/>
  <c r="G7122" i="77"/>
  <c r="I7121" i="77"/>
  <c r="H7121" i="77"/>
  <c r="G7121" i="77"/>
  <c r="I7120" i="77"/>
  <c r="H7120" i="77"/>
  <c r="G7120" i="77"/>
  <c r="I7119" i="77"/>
  <c r="H7119" i="77"/>
  <c r="G7119" i="77"/>
  <c r="I7118" i="77"/>
  <c r="H7118" i="77"/>
  <c r="G7118" i="77"/>
  <c r="I7117" i="77"/>
  <c r="H7117" i="77"/>
  <c r="G7117" i="77"/>
  <c r="I7116" i="77"/>
  <c r="H7116" i="77"/>
  <c r="G7116" i="77"/>
  <c r="I7115" i="77"/>
  <c r="H7115" i="77"/>
  <c r="G7115" i="77"/>
  <c r="I7114" i="77"/>
  <c r="H7114" i="77"/>
  <c r="G7114" i="77"/>
  <c r="I7113" i="77"/>
  <c r="H7113" i="77"/>
  <c r="G7113" i="77"/>
  <c r="I7112" i="77"/>
  <c r="H7112" i="77"/>
  <c r="G7112" i="77"/>
  <c r="I7111" i="77"/>
  <c r="H7111" i="77"/>
  <c r="G7111" i="77"/>
  <c r="I7110" i="77"/>
  <c r="H7110" i="77"/>
  <c r="G7110" i="77"/>
  <c r="I7109" i="77"/>
  <c r="H7109" i="77"/>
  <c r="G7109" i="77"/>
  <c r="I7108" i="77"/>
  <c r="H7108" i="77"/>
  <c r="G7108" i="77"/>
  <c r="I7107" i="77"/>
  <c r="H7107" i="77"/>
  <c r="G7107" i="77"/>
  <c r="I7106" i="77"/>
  <c r="H7106" i="77"/>
  <c r="G7106" i="77"/>
  <c r="I7105" i="77"/>
  <c r="H7105" i="77"/>
  <c r="G7105" i="77"/>
  <c r="I7104" i="77"/>
  <c r="H7104" i="77"/>
  <c r="G7104" i="77"/>
  <c r="I7103" i="77"/>
  <c r="H7103" i="77"/>
  <c r="G7103" i="77"/>
  <c r="I7102" i="77"/>
  <c r="H7102" i="77"/>
  <c r="G7102" i="77"/>
  <c r="I7101" i="77"/>
  <c r="H7101" i="77"/>
  <c r="G7101" i="77"/>
  <c r="I7100" i="77"/>
  <c r="H7100" i="77"/>
  <c r="G7100" i="77"/>
  <c r="I7099" i="77"/>
  <c r="H7099" i="77"/>
  <c r="G7099" i="77"/>
  <c r="I7098" i="77"/>
  <c r="H7098" i="77"/>
  <c r="G7098" i="77"/>
  <c r="I7097" i="77"/>
  <c r="H7097" i="77"/>
  <c r="G7097" i="77"/>
  <c r="I7096" i="77"/>
  <c r="H7096" i="77"/>
  <c r="G7096" i="77"/>
  <c r="I7095" i="77"/>
  <c r="H7095" i="77"/>
  <c r="G7095" i="77"/>
  <c r="I7094" i="77"/>
  <c r="H7094" i="77"/>
  <c r="G7094" i="77"/>
  <c r="I7093" i="77"/>
  <c r="H7093" i="77"/>
  <c r="G7093" i="77"/>
  <c r="I7092" i="77"/>
  <c r="H7092" i="77"/>
  <c r="G7092" i="77"/>
  <c r="I7091" i="77"/>
  <c r="H7091" i="77"/>
  <c r="G7091" i="77"/>
  <c r="I7090" i="77"/>
  <c r="H7090" i="77"/>
  <c r="G7090" i="77"/>
  <c r="I7089" i="77"/>
  <c r="H7089" i="77"/>
  <c r="G7089" i="77"/>
  <c r="I7088" i="77"/>
  <c r="H7088" i="77"/>
  <c r="G7088" i="77"/>
  <c r="I7087" i="77"/>
  <c r="H7087" i="77"/>
  <c r="G7087" i="77"/>
  <c r="I7086" i="77"/>
  <c r="H7086" i="77"/>
  <c r="G7086" i="77"/>
  <c r="I7085" i="77"/>
  <c r="H7085" i="77"/>
  <c r="G7085" i="77"/>
  <c r="I7084" i="77"/>
  <c r="H7084" i="77"/>
  <c r="G7084" i="77"/>
  <c r="I7083" i="77"/>
  <c r="H7083" i="77"/>
  <c r="G7083" i="77"/>
  <c r="I7082" i="77"/>
  <c r="H7082" i="77"/>
  <c r="G7082" i="77"/>
  <c r="I7081" i="77"/>
  <c r="H7081" i="77"/>
  <c r="G7081" i="77"/>
  <c r="I7080" i="77"/>
  <c r="H7080" i="77"/>
  <c r="G7080" i="77"/>
  <c r="I7079" i="77"/>
  <c r="H7079" i="77"/>
  <c r="G7079" i="77"/>
  <c r="I7078" i="77"/>
  <c r="H7078" i="77"/>
  <c r="G7078" i="77"/>
  <c r="I7077" i="77"/>
  <c r="H7077" i="77"/>
  <c r="G7077" i="77"/>
  <c r="I7076" i="77"/>
  <c r="H7076" i="77"/>
  <c r="G7076" i="77"/>
  <c r="I7075" i="77"/>
  <c r="H7075" i="77"/>
  <c r="G7075" i="77"/>
  <c r="I7074" i="77"/>
  <c r="H7074" i="77"/>
  <c r="G7074" i="77"/>
  <c r="I7073" i="77"/>
  <c r="H7073" i="77"/>
  <c r="G7073" i="77"/>
  <c r="I7072" i="77"/>
  <c r="H7072" i="77"/>
  <c r="G7072" i="77"/>
  <c r="I7071" i="77"/>
  <c r="H7071" i="77"/>
  <c r="G7071" i="77"/>
  <c r="I7070" i="77"/>
  <c r="H7070" i="77"/>
  <c r="G7070" i="77"/>
  <c r="I7069" i="77"/>
  <c r="H7069" i="77"/>
  <c r="G7069" i="77"/>
  <c r="I7068" i="77"/>
  <c r="H7068" i="77"/>
  <c r="G7068" i="77"/>
  <c r="I7067" i="77"/>
  <c r="H7067" i="77"/>
  <c r="G7067" i="77"/>
  <c r="I7066" i="77"/>
  <c r="H7066" i="77"/>
  <c r="G7066" i="77"/>
  <c r="I7065" i="77"/>
  <c r="H7065" i="77"/>
  <c r="G7065" i="77"/>
  <c r="I7064" i="77"/>
  <c r="H7064" i="77"/>
  <c r="G7064" i="77"/>
  <c r="I7063" i="77"/>
  <c r="H7063" i="77"/>
  <c r="G7063" i="77"/>
  <c r="I7062" i="77"/>
  <c r="H7062" i="77"/>
  <c r="G7062" i="77"/>
  <c r="I7061" i="77"/>
  <c r="H7061" i="77"/>
  <c r="G7061" i="77"/>
  <c r="I7060" i="77"/>
  <c r="H7060" i="77"/>
  <c r="G7060" i="77"/>
  <c r="I7059" i="77"/>
  <c r="H7059" i="77"/>
  <c r="G7059" i="77"/>
  <c r="I7058" i="77"/>
  <c r="H7058" i="77"/>
  <c r="G7058" i="77"/>
  <c r="I7057" i="77"/>
  <c r="H7057" i="77"/>
  <c r="G7057" i="77"/>
  <c r="I7056" i="77"/>
  <c r="H7056" i="77"/>
  <c r="G7056" i="77"/>
  <c r="I7055" i="77"/>
  <c r="H7055" i="77"/>
  <c r="G7055" i="77"/>
  <c r="I7054" i="77"/>
  <c r="H7054" i="77"/>
  <c r="G7054" i="77"/>
  <c r="I7053" i="77"/>
  <c r="H7053" i="77"/>
  <c r="G7053" i="77"/>
  <c r="I7052" i="77"/>
  <c r="H7052" i="77"/>
  <c r="G7052" i="77"/>
  <c r="I7051" i="77"/>
  <c r="H7051" i="77"/>
  <c r="G7051" i="77"/>
  <c r="I7050" i="77"/>
  <c r="H7050" i="77"/>
  <c r="G7050" i="77"/>
  <c r="I7049" i="77"/>
  <c r="H7049" i="77"/>
  <c r="G7049" i="77"/>
  <c r="I7048" i="77"/>
  <c r="H7048" i="77"/>
  <c r="G7048" i="77"/>
  <c r="I7047" i="77"/>
  <c r="H7047" i="77"/>
  <c r="G7047" i="77"/>
  <c r="I7046" i="77"/>
  <c r="H7046" i="77"/>
  <c r="G7046" i="77"/>
  <c r="I7045" i="77"/>
  <c r="H7045" i="77"/>
  <c r="G7045" i="77"/>
  <c r="I7044" i="77"/>
  <c r="H7044" i="77"/>
  <c r="G7044" i="77"/>
  <c r="I7043" i="77"/>
  <c r="H7043" i="77"/>
  <c r="G7043" i="77"/>
  <c r="I7042" i="77"/>
  <c r="H7042" i="77"/>
  <c r="G7042" i="77"/>
  <c r="I7041" i="77"/>
  <c r="H7041" i="77"/>
  <c r="G7041" i="77"/>
  <c r="I7040" i="77"/>
  <c r="H7040" i="77"/>
  <c r="G7040" i="77"/>
  <c r="I7039" i="77"/>
  <c r="H7039" i="77"/>
  <c r="G7039" i="77"/>
  <c r="I7038" i="77"/>
  <c r="H7038" i="77"/>
  <c r="G7038" i="77"/>
  <c r="I7037" i="77"/>
  <c r="H7037" i="77"/>
  <c r="G7037" i="77"/>
  <c r="I7036" i="77"/>
  <c r="H7036" i="77"/>
  <c r="G7036" i="77"/>
  <c r="I7035" i="77"/>
  <c r="H7035" i="77"/>
  <c r="G7035" i="77"/>
  <c r="I7034" i="77"/>
  <c r="H7034" i="77"/>
  <c r="G7034" i="77"/>
  <c r="I7033" i="77"/>
  <c r="H7033" i="77"/>
  <c r="G7033" i="77"/>
  <c r="I7032" i="77"/>
  <c r="H7032" i="77"/>
  <c r="G7032" i="77"/>
  <c r="I7031" i="77"/>
  <c r="H7031" i="77"/>
  <c r="G7031" i="77"/>
  <c r="I7030" i="77"/>
  <c r="H7030" i="77"/>
  <c r="G7030" i="77"/>
  <c r="I7029" i="77"/>
  <c r="H7029" i="77"/>
  <c r="G7029" i="77"/>
  <c r="I7028" i="77"/>
  <c r="H7028" i="77"/>
  <c r="G7028" i="77"/>
  <c r="I7027" i="77"/>
  <c r="H7027" i="77"/>
  <c r="G7027" i="77"/>
  <c r="I7026" i="77"/>
  <c r="H7026" i="77"/>
  <c r="G7026" i="77"/>
  <c r="I7025" i="77"/>
  <c r="H7025" i="77"/>
  <c r="G7025" i="77"/>
  <c r="I7024" i="77"/>
  <c r="H7024" i="77"/>
  <c r="G7024" i="77"/>
  <c r="I7023" i="77"/>
  <c r="H7023" i="77"/>
  <c r="G7023" i="77"/>
  <c r="I7022" i="77"/>
  <c r="H7022" i="77"/>
  <c r="G7022" i="77"/>
  <c r="I7021" i="77"/>
  <c r="H7021" i="77"/>
  <c r="G7021" i="77"/>
  <c r="I7020" i="77"/>
  <c r="H7020" i="77"/>
  <c r="G7020" i="77"/>
  <c r="I7019" i="77"/>
  <c r="H7019" i="77"/>
  <c r="G7019" i="77"/>
  <c r="I7018" i="77"/>
  <c r="H7018" i="77"/>
  <c r="G7018" i="77"/>
  <c r="I7017" i="77"/>
  <c r="H7017" i="77"/>
  <c r="G7017" i="77"/>
  <c r="I7016" i="77"/>
  <c r="H7016" i="77"/>
  <c r="G7016" i="77"/>
  <c r="I7015" i="77"/>
  <c r="H7015" i="77"/>
  <c r="G7015" i="77"/>
  <c r="I7014" i="77"/>
  <c r="H7014" i="77"/>
  <c r="G7014" i="77"/>
  <c r="I7013" i="77"/>
  <c r="H7013" i="77"/>
  <c r="G7013" i="77"/>
  <c r="I7012" i="77"/>
  <c r="H7012" i="77"/>
  <c r="G7012" i="77"/>
  <c r="I7011" i="77"/>
  <c r="H7011" i="77"/>
  <c r="G7011" i="77"/>
  <c r="I7010" i="77"/>
  <c r="H7010" i="77"/>
  <c r="G7010" i="77"/>
  <c r="I7009" i="77"/>
  <c r="H7009" i="77"/>
  <c r="G7009" i="77"/>
  <c r="I7008" i="77"/>
  <c r="H7008" i="77"/>
  <c r="G7008" i="77"/>
  <c r="I7007" i="77"/>
  <c r="H7007" i="77"/>
  <c r="G7007" i="77"/>
  <c r="I7006" i="77"/>
  <c r="H7006" i="77"/>
  <c r="G7006" i="77"/>
  <c r="I7005" i="77"/>
  <c r="H7005" i="77"/>
  <c r="G7005" i="77"/>
  <c r="I7004" i="77"/>
  <c r="H7004" i="77"/>
  <c r="G7004" i="77"/>
  <c r="I7003" i="77"/>
  <c r="H7003" i="77"/>
  <c r="G7003" i="77"/>
  <c r="I7002" i="77"/>
  <c r="H7002" i="77"/>
  <c r="G7002" i="77"/>
  <c r="I7001" i="77"/>
  <c r="H7001" i="77"/>
  <c r="G7001" i="77"/>
  <c r="I7000" i="77"/>
  <c r="H7000" i="77"/>
  <c r="G7000" i="77"/>
  <c r="I6999" i="77"/>
  <c r="H6999" i="77"/>
  <c r="G6999" i="77"/>
  <c r="I6998" i="77"/>
  <c r="H6998" i="77"/>
  <c r="G6998" i="77"/>
  <c r="I6997" i="77"/>
  <c r="H6997" i="77"/>
  <c r="G6997" i="77"/>
  <c r="I6996" i="77"/>
  <c r="H6996" i="77"/>
  <c r="G6996" i="77"/>
  <c r="I6995" i="77"/>
  <c r="H6995" i="77"/>
  <c r="G6995" i="77"/>
  <c r="I6994" i="77"/>
  <c r="H6994" i="77"/>
  <c r="G6994" i="77"/>
  <c r="I6993" i="77"/>
  <c r="H6993" i="77"/>
  <c r="G6993" i="77"/>
  <c r="I6992" i="77"/>
  <c r="H6992" i="77"/>
  <c r="G6992" i="77"/>
  <c r="I6991" i="77"/>
  <c r="H6991" i="77"/>
  <c r="G6991" i="77"/>
  <c r="I6990" i="77"/>
  <c r="H6990" i="77"/>
  <c r="G6990" i="77"/>
  <c r="I6989" i="77"/>
  <c r="H6989" i="77"/>
  <c r="G6989" i="77"/>
  <c r="I6988" i="77"/>
  <c r="H6988" i="77"/>
  <c r="G6988" i="77"/>
  <c r="I6987" i="77"/>
  <c r="H6987" i="77"/>
  <c r="G6987" i="77"/>
  <c r="I6986" i="77"/>
  <c r="H6986" i="77"/>
  <c r="G6986" i="77"/>
  <c r="I6985" i="77"/>
  <c r="H6985" i="77"/>
  <c r="G6985" i="77"/>
  <c r="I6984" i="77"/>
  <c r="H6984" i="77"/>
  <c r="G6984" i="77"/>
  <c r="I6983" i="77"/>
  <c r="H6983" i="77"/>
  <c r="G6983" i="77"/>
  <c r="I6982" i="77"/>
  <c r="H6982" i="77"/>
  <c r="G6982" i="77"/>
  <c r="I6981" i="77"/>
  <c r="H6981" i="77"/>
  <c r="G6981" i="77"/>
  <c r="I6980" i="77"/>
  <c r="H6980" i="77"/>
  <c r="G6980" i="77"/>
  <c r="I6979" i="77"/>
  <c r="H6979" i="77"/>
  <c r="G6979" i="77"/>
  <c r="I6978" i="77"/>
  <c r="H6978" i="77"/>
  <c r="G6978" i="77"/>
  <c r="I6977" i="77"/>
  <c r="H6977" i="77"/>
  <c r="G6977" i="77"/>
  <c r="I6976" i="77"/>
  <c r="H6976" i="77"/>
  <c r="G6976" i="77"/>
  <c r="I6975" i="77"/>
  <c r="H6975" i="77"/>
  <c r="G6975" i="77"/>
  <c r="I6974" i="77"/>
  <c r="H6974" i="77"/>
  <c r="G6974" i="77"/>
  <c r="I6973" i="77"/>
  <c r="H6973" i="77"/>
  <c r="G6973" i="77"/>
  <c r="I6972" i="77"/>
  <c r="H6972" i="77"/>
  <c r="G6972" i="77"/>
  <c r="I6971" i="77"/>
  <c r="H6971" i="77"/>
  <c r="G6971" i="77"/>
  <c r="I6970" i="77"/>
  <c r="H6970" i="77"/>
  <c r="G6970" i="77"/>
  <c r="I6969" i="77"/>
  <c r="H6969" i="77"/>
  <c r="G6969" i="77"/>
  <c r="I6968" i="77"/>
  <c r="H6968" i="77"/>
  <c r="G6968" i="77"/>
  <c r="I6967" i="77"/>
  <c r="H6967" i="77"/>
  <c r="G6967" i="77"/>
  <c r="I6966" i="77"/>
  <c r="H6966" i="77"/>
  <c r="G6966" i="77"/>
  <c r="I6965" i="77"/>
  <c r="H6965" i="77"/>
  <c r="G6965" i="77"/>
  <c r="I6964" i="77"/>
  <c r="H6964" i="77"/>
  <c r="G6964" i="77"/>
  <c r="I6963" i="77"/>
  <c r="H6963" i="77"/>
  <c r="G6963" i="77"/>
  <c r="I6962" i="77"/>
  <c r="H6962" i="77"/>
  <c r="G6962" i="77"/>
  <c r="I6961" i="77"/>
  <c r="H6961" i="77"/>
  <c r="G6961" i="77"/>
  <c r="I6960" i="77"/>
  <c r="H6960" i="77"/>
  <c r="G6960" i="77"/>
  <c r="I6959" i="77"/>
  <c r="H6959" i="77"/>
  <c r="G6959" i="77"/>
  <c r="I6958" i="77"/>
  <c r="H6958" i="77"/>
  <c r="G6958" i="77"/>
  <c r="I6957" i="77"/>
  <c r="H6957" i="77"/>
  <c r="G6957" i="77"/>
  <c r="I6956" i="77"/>
  <c r="H6956" i="77"/>
  <c r="G6956" i="77"/>
  <c r="I6955" i="77"/>
  <c r="H6955" i="77"/>
  <c r="G6955" i="77"/>
  <c r="I6954" i="77"/>
  <c r="H6954" i="77"/>
  <c r="G6954" i="77"/>
  <c r="I6953" i="77"/>
  <c r="H6953" i="77"/>
  <c r="G6953" i="77"/>
  <c r="I6952" i="77"/>
  <c r="H6952" i="77"/>
  <c r="G6952" i="77"/>
  <c r="I6951" i="77"/>
  <c r="H6951" i="77"/>
  <c r="G6951" i="77"/>
  <c r="I6950" i="77"/>
  <c r="H6950" i="77"/>
  <c r="G6950" i="77"/>
  <c r="I6949" i="77"/>
  <c r="H6949" i="77"/>
  <c r="G6949" i="77"/>
  <c r="I6948" i="77"/>
  <c r="H6948" i="77"/>
  <c r="G6948" i="77"/>
  <c r="I6947" i="77"/>
  <c r="H6947" i="77"/>
  <c r="G6947" i="77"/>
  <c r="I6946" i="77"/>
  <c r="H6946" i="77"/>
  <c r="G6946" i="77"/>
  <c r="I6945" i="77"/>
  <c r="H6945" i="77"/>
  <c r="G6945" i="77"/>
  <c r="I6944" i="77"/>
  <c r="H6944" i="77"/>
  <c r="G6944" i="77"/>
  <c r="I6943" i="77"/>
  <c r="H6943" i="77"/>
  <c r="G6943" i="77"/>
  <c r="I6942" i="77"/>
  <c r="H6942" i="77"/>
  <c r="G6942" i="77"/>
  <c r="I6941" i="77"/>
  <c r="H6941" i="77"/>
  <c r="G6941" i="77"/>
  <c r="I6940" i="77"/>
  <c r="H6940" i="77"/>
  <c r="G6940" i="77"/>
  <c r="I6939" i="77"/>
  <c r="H6939" i="77"/>
  <c r="G6939" i="77"/>
  <c r="I6938" i="77"/>
  <c r="H6938" i="77"/>
  <c r="G6938" i="77"/>
  <c r="I6937" i="77"/>
  <c r="H6937" i="77"/>
  <c r="G6937" i="77"/>
  <c r="I6936" i="77"/>
  <c r="H6936" i="77"/>
  <c r="G6936" i="77"/>
  <c r="I6935" i="77"/>
  <c r="H6935" i="77"/>
  <c r="G6935" i="77"/>
  <c r="I6934" i="77"/>
  <c r="H6934" i="77"/>
  <c r="G6934" i="77"/>
  <c r="I6933" i="77"/>
  <c r="H6933" i="77"/>
  <c r="G6933" i="77"/>
  <c r="I6932" i="77"/>
  <c r="H6932" i="77"/>
  <c r="G6932" i="77"/>
  <c r="I6931" i="77"/>
  <c r="H6931" i="77"/>
  <c r="G6931" i="77"/>
  <c r="I6930" i="77"/>
  <c r="H6930" i="77"/>
  <c r="G6930" i="77"/>
  <c r="I6929" i="77"/>
  <c r="H6929" i="77"/>
  <c r="G6929" i="77"/>
  <c r="I6928" i="77"/>
  <c r="H6928" i="77"/>
  <c r="G6928" i="77"/>
  <c r="I6927" i="77"/>
  <c r="H6927" i="77"/>
  <c r="G6927" i="77"/>
  <c r="I6926" i="77"/>
  <c r="H6926" i="77"/>
  <c r="G6926" i="77"/>
  <c r="I6925" i="77"/>
  <c r="H6925" i="77"/>
  <c r="G6925" i="77"/>
  <c r="I6924" i="77"/>
  <c r="H6924" i="77"/>
  <c r="G6924" i="77"/>
  <c r="I6923" i="77"/>
  <c r="H6923" i="77"/>
  <c r="G6923" i="77"/>
  <c r="I6922" i="77"/>
  <c r="H6922" i="77"/>
  <c r="G6922" i="77"/>
  <c r="I6921" i="77"/>
  <c r="H6921" i="77"/>
  <c r="G6921" i="77"/>
  <c r="I6920" i="77"/>
  <c r="H6920" i="77"/>
  <c r="G6920" i="77"/>
  <c r="I6919" i="77"/>
  <c r="H6919" i="77"/>
  <c r="G6919" i="77"/>
  <c r="I6918" i="77"/>
  <c r="H6918" i="77"/>
  <c r="G6918" i="77"/>
  <c r="I6917" i="77"/>
  <c r="H6917" i="77"/>
  <c r="G6917" i="77"/>
  <c r="I6916" i="77"/>
  <c r="H6916" i="77"/>
  <c r="G6916" i="77"/>
  <c r="I6915" i="77"/>
  <c r="H6915" i="77"/>
  <c r="G6915" i="77"/>
  <c r="I6914" i="77"/>
  <c r="H6914" i="77"/>
  <c r="G6914" i="77"/>
  <c r="I6913" i="77"/>
  <c r="H6913" i="77"/>
  <c r="G6913" i="77"/>
  <c r="I6912" i="77"/>
  <c r="H6912" i="77"/>
  <c r="G6912" i="77"/>
  <c r="I6911" i="77"/>
  <c r="H6911" i="77"/>
  <c r="G6911" i="77"/>
  <c r="I6910" i="77"/>
  <c r="H6910" i="77"/>
  <c r="G6910" i="77"/>
  <c r="I6909" i="77"/>
  <c r="H6909" i="77"/>
  <c r="G6909" i="77"/>
  <c r="I6908" i="77"/>
  <c r="H6908" i="77"/>
  <c r="G6908" i="77"/>
  <c r="I6907" i="77"/>
  <c r="H6907" i="77"/>
  <c r="G6907" i="77"/>
  <c r="I6906" i="77"/>
  <c r="H6906" i="77"/>
  <c r="G6906" i="77"/>
  <c r="I6905" i="77"/>
  <c r="H6905" i="77"/>
  <c r="G6905" i="77"/>
  <c r="I6904" i="77"/>
  <c r="H6904" i="77"/>
  <c r="G6904" i="77"/>
  <c r="I6903" i="77"/>
  <c r="H6903" i="77"/>
  <c r="G6903" i="77"/>
  <c r="I6902" i="77"/>
  <c r="H6902" i="77"/>
  <c r="G6902" i="77"/>
  <c r="I6901" i="77"/>
  <c r="H6901" i="77"/>
  <c r="G6901" i="77"/>
  <c r="I6900" i="77"/>
  <c r="H6900" i="77"/>
  <c r="G6900" i="77"/>
  <c r="I6899" i="77"/>
  <c r="H6899" i="77"/>
  <c r="G6899" i="77"/>
  <c r="I6898" i="77"/>
  <c r="H6898" i="77"/>
  <c r="G6898" i="77"/>
  <c r="I6897" i="77"/>
  <c r="H6897" i="77"/>
  <c r="G6897" i="77"/>
  <c r="I6896" i="77"/>
  <c r="H6896" i="77"/>
  <c r="G6896" i="77"/>
  <c r="I6895" i="77"/>
  <c r="H6895" i="77"/>
  <c r="G6895" i="77"/>
  <c r="I6894" i="77"/>
  <c r="H6894" i="77"/>
  <c r="G6894" i="77"/>
  <c r="I6893" i="77"/>
  <c r="H6893" i="77"/>
  <c r="G6893" i="77"/>
  <c r="I6892" i="77"/>
  <c r="H6892" i="77"/>
  <c r="G6892" i="77"/>
  <c r="I6891" i="77"/>
  <c r="H6891" i="77"/>
  <c r="G6891" i="77"/>
  <c r="I6890" i="77"/>
  <c r="H6890" i="77"/>
  <c r="G6890" i="77"/>
  <c r="I6889" i="77"/>
  <c r="H6889" i="77"/>
  <c r="G6889" i="77"/>
  <c r="I6888" i="77"/>
  <c r="H6888" i="77"/>
  <c r="G6888" i="77"/>
  <c r="I6887" i="77"/>
  <c r="H6887" i="77"/>
  <c r="G6887" i="77"/>
  <c r="I6886" i="77"/>
  <c r="H6886" i="77"/>
  <c r="G6886" i="77"/>
  <c r="I6885" i="77"/>
  <c r="H6885" i="77"/>
  <c r="G6885" i="77"/>
  <c r="I6884" i="77"/>
  <c r="H6884" i="77"/>
  <c r="G6884" i="77"/>
  <c r="I6883" i="77"/>
  <c r="H6883" i="77"/>
  <c r="G6883" i="77"/>
  <c r="I6882" i="77"/>
  <c r="H6882" i="77"/>
  <c r="G6882" i="77"/>
  <c r="I6881" i="77"/>
  <c r="H6881" i="77"/>
  <c r="G6881" i="77"/>
  <c r="I6880" i="77"/>
  <c r="H6880" i="77"/>
  <c r="G6880" i="77"/>
  <c r="I6879" i="77"/>
  <c r="H6879" i="77"/>
  <c r="G6879" i="77"/>
  <c r="I6878" i="77"/>
  <c r="H6878" i="77"/>
  <c r="G6878" i="77"/>
  <c r="I6877" i="77"/>
  <c r="H6877" i="77"/>
  <c r="G6877" i="77"/>
  <c r="I6876" i="77"/>
  <c r="H6876" i="77"/>
  <c r="G6876" i="77"/>
  <c r="I6875" i="77"/>
  <c r="H6875" i="77"/>
  <c r="G6875" i="77"/>
  <c r="I6874" i="77"/>
  <c r="H6874" i="77"/>
  <c r="G6874" i="77"/>
  <c r="I6873" i="77"/>
  <c r="H6873" i="77"/>
  <c r="G6873" i="77"/>
  <c r="I6872" i="77"/>
  <c r="H6872" i="77"/>
  <c r="G6872" i="77"/>
  <c r="I6871" i="77"/>
  <c r="H6871" i="77"/>
  <c r="G6871" i="77"/>
  <c r="I6870" i="77"/>
  <c r="H6870" i="77"/>
  <c r="G6870" i="77"/>
  <c r="I6869" i="77"/>
  <c r="H6869" i="77"/>
  <c r="G6869" i="77"/>
  <c r="I6868" i="77"/>
  <c r="H6868" i="77"/>
  <c r="G6868" i="77"/>
  <c r="I6867" i="77"/>
  <c r="H6867" i="77"/>
  <c r="G6867" i="77"/>
  <c r="I6866" i="77"/>
  <c r="H6866" i="77"/>
  <c r="G6866" i="77"/>
  <c r="I6865" i="77"/>
  <c r="H6865" i="77"/>
  <c r="G6865" i="77"/>
  <c r="I6864" i="77"/>
  <c r="H6864" i="77"/>
  <c r="G6864" i="77"/>
  <c r="I6863" i="77"/>
  <c r="H6863" i="77"/>
  <c r="G6863" i="77"/>
  <c r="I6862" i="77"/>
  <c r="H6862" i="77"/>
  <c r="G6862" i="77"/>
  <c r="I6861" i="77"/>
  <c r="H6861" i="77"/>
  <c r="G6861" i="77"/>
  <c r="I6860" i="77"/>
  <c r="H6860" i="77"/>
  <c r="G6860" i="77"/>
  <c r="I6859" i="77"/>
  <c r="H6859" i="77"/>
  <c r="G6859" i="77"/>
  <c r="I6858" i="77"/>
  <c r="H6858" i="77"/>
  <c r="G6858" i="77"/>
  <c r="I6857" i="77"/>
  <c r="H6857" i="77"/>
  <c r="G6857" i="77"/>
  <c r="I6856" i="77"/>
  <c r="H6856" i="77"/>
  <c r="G6856" i="77"/>
  <c r="I6855" i="77"/>
  <c r="H6855" i="77"/>
  <c r="G6855" i="77"/>
  <c r="I6854" i="77"/>
  <c r="H6854" i="77"/>
  <c r="G6854" i="77"/>
  <c r="I6853" i="77"/>
  <c r="H6853" i="77"/>
  <c r="G6853" i="77"/>
  <c r="I6852" i="77"/>
  <c r="H6852" i="77"/>
  <c r="G6852" i="77"/>
  <c r="I6851" i="77"/>
  <c r="H6851" i="77"/>
  <c r="G6851" i="77"/>
  <c r="I6850" i="77"/>
  <c r="H6850" i="77"/>
  <c r="G6850" i="77"/>
  <c r="I6849" i="77"/>
  <c r="H6849" i="77"/>
  <c r="G6849" i="77"/>
  <c r="I6848" i="77"/>
  <c r="H6848" i="77"/>
  <c r="G6848" i="77"/>
  <c r="I6847" i="77"/>
  <c r="H6847" i="77"/>
  <c r="G6847" i="77"/>
  <c r="I6846" i="77"/>
  <c r="H6846" i="77"/>
  <c r="G6846" i="77"/>
  <c r="I6845" i="77"/>
  <c r="H6845" i="77"/>
  <c r="G6845" i="77"/>
  <c r="I6844" i="77"/>
  <c r="H6844" i="77"/>
  <c r="G6844" i="77"/>
  <c r="I6843" i="77"/>
  <c r="H6843" i="77"/>
  <c r="G6843" i="77"/>
  <c r="I6842" i="77"/>
  <c r="H6842" i="77"/>
  <c r="G6842" i="77"/>
  <c r="I6841" i="77"/>
  <c r="H6841" i="77"/>
  <c r="G6841" i="77"/>
  <c r="I6840" i="77"/>
  <c r="H6840" i="77"/>
  <c r="G6840" i="77"/>
  <c r="I6839" i="77"/>
  <c r="H6839" i="77"/>
  <c r="G6839" i="77"/>
  <c r="I6838" i="77"/>
  <c r="H6838" i="77"/>
  <c r="G6838" i="77"/>
  <c r="I6837" i="77"/>
  <c r="H6837" i="77"/>
  <c r="G6837" i="77"/>
  <c r="I6836" i="77"/>
  <c r="H6836" i="77"/>
  <c r="G6836" i="77"/>
  <c r="I6835" i="77"/>
  <c r="H6835" i="77"/>
  <c r="G6835" i="77"/>
  <c r="I6834" i="77"/>
  <c r="H6834" i="77"/>
  <c r="G6834" i="77"/>
  <c r="I6833" i="77"/>
  <c r="H6833" i="77"/>
  <c r="G6833" i="77"/>
  <c r="I6832" i="77"/>
  <c r="H6832" i="77"/>
  <c r="G6832" i="77"/>
  <c r="I6831" i="77"/>
  <c r="H6831" i="77"/>
  <c r="G6831" i="77"/>
  <c r="I6830" i="77"/>
  <c r="H6830" i="77"/>
  <c r="G6830" i="77"/>
  <c r="I6829" i="77"/>
  <c r="H6829" i="77"/>
  <c r="G6829" i="77"/>
  <c r="I6828" i="77"/>
  <c r="H6828" i="77"/>
  <c r="G6828" i="77"/>
  <c r="I6827" i="77"/>
  <c r="H6827" i="77"/>
  <c r="G6827" i="77"/>
  <c r="I6826" i="77"/>
  <c r="H6826" i="77"/>
  <c r="G6826" i="77"/>
  <c r="I6825" i="77"/>
  <c r="H6825" i="77"/>
  <c r="G6825" i="77"/>
  <c r="I6824" i="77"/>
  <c r="H6824" i="77"/>
  <c r="G6824" i="77"/>
  <c r="I6823" i="77"/>
  <c r="H6823" i="77"/>
  <c r="G6823" i="77"/>
  <c r="I6822" i="77"/>
  <c r="H6822" i="77"/>
  <c r="G6822" i="77"/>
  <c r="I6821" i="77"/>
  <c r="H6821" i="77"/>
  <c r="G6821" i="77"/>
  <c r="I6820" i="77"/>
  <c r="H6820" i="77"/>
  <c r="G6820" i="77"/>
  <c r="I6819" i="77"/>
  <c r="H6819" i="77"/>
  <c r="G6819" i="77"/>
  <c r="I6818" i="77"/>
  <c r="H6818" i="77"/>
  <c r="G6818" i="77"/>
  <c r="I6817" i="77"/>
  <c r="H6817" i="77"/>
  <c r="G6817" i="77"/>
  <c r="I6816" i="77"/>
  <c r="H6816" i="77"/>
  <c r="G6816" i="77"/>
  <c r="I6815" i="77"/>
  <c r="H6815" i="77"/>
  <c r="G6815" i="77"/>
  <c r="I6814" i="77"/>
  <c r="H6814" i="77"/>
  <c r="G6814" i="77"/>
  <c r="I6813" i="77"/>
  <c r="H6813" i="77"/>
  <c r="G6813" i="77"/>
  <c r="I6812" i="77"/>
  <c r="H6812" i="77"/>
  <c r="G6812" i="77"/>
  <c r="I6811" i="77"/>
  <c r="H6811" i="77"/>
  <c r="G6811" i="77"/>
  <c r="I6810" i="77"/>
  <c r="H6810" i="77"/>
  <c r="G6810" i="77"/>
  <c r="I6809" i="77"/>
  <c r="H6809" i="77"/>
  <c r="G6809" i="77"/>
  <c r="I6808" i="77"/>
  <c r="H6808" i="77"/>
  <c r="G6808" i="77"/>
  <c r="I6807" i="77"/>
  <c r="H6807" i="77"/>
  <c r="G6807" i="77"/>
  <c r="I6806" i="77"/>
  <c r="H6806" i="77"/>
  <c r="G6806" i="77"/>
  <c r="I6805" i="77"/>
  <c r="H6805" i="77"/>
  <c r="G6805" i="77"/>
  <c r="I6804" i="77"/>
  <c r="H6804" i="77"/>
  <c r="G6804" i="77"/>
  <c r="I6803" i="77"/>
  <c r="H6803" i="77"/>
  <c r="G6803" i="77"/>
  <c r="I6802" i="77"/>
  <c r="H6802" i="77"/>
  <c r="G6802" i="77"/>
  <c r="I6801" i="77"/>
  <c r="H6801" i="77"/>
  <c r="G6801" i="77"/>
  <c r="I6800" i="77"/>
  <c r="H6800" i="77"/>
  <c r="G6800" i="77"/>
  <c r="I6799" i="77"/>
  <c r="H6799" i="77"/>
  <c r="G6799" i="77"/>
  <c r="I6798" i="77"/>
  <c r="H6798" i="77"/>
  <c r="G6798" i="77"/>
  <c r="I6797" i="77"/>
  <c r="H6797" i="77"/>
  <c r="G6797" i="77"/>
  <c r="I6796" i="77"/>
  <c r="H6796" i="77"/>
  <c r="G6796" i="77"/>
  <c r="I6795" i="77"/>
  <c r="H6795" i="77"/>
  <c r="G6795" i="77"/>
  <c r="I6794" i="77"/>
  <c r="H6794" i="77"/>
  <c r="G6794" i="77"/>
  <c r="I6793" i="77"/>
  <c r="H6793" i="77"/>
  <c r="G6793" i="77"/>
  <c r="I6792" i="77"/>
  <c r="H6792" i="77"/>
  <c r="G6792" i="77"/>
  <c r="I6791" i="77"/>
  <c r="H6791" i="77"/>
  <c r="G6791" i="77"/>
  <c r="I6790" i="77"/>
  <c r="H6790" i="77"/>
  <c r="G6790" i="77"/>
  <c r="I6789" i="77"/>
  <c r="H6789" i="77"/>
  <c r="G6789" i="77"/>
  <c r="I6788" i="77"/>
  <c r="H6788" i="77"/>
  <c r="G6788" i="77"/>
  <c r="I6787" i="77"/>
  <c r="H6787" i="77"/>
  <c r="G6787" i="77"/>
  <c r="I6786" i="77"/>
  <c r="H6786" i="77"/>
  <c r="G6786" i="77"/>
  <c r="I6785" i="77"/>
  <c r="H6785" i="77"/>
  <c r="G6785" i="77"/>
  <c r="I6784" i="77"/>
  <c r="H6784" i="77"/>
  <c r="G6784" i="77"/>
  <c r="I6783" i="77"/>
  <c r="H6783" i="77"/>
  <c r="G6783" i="77"/>
  <c r="I6782" i="77"/>
  <c r="H6782" i="77"/>
  <c r="G6782" i="77"/>
  <c r="I6781" i="77"/>
  <c r="H6781" i="77"/>
  <c r="G6781" i="77"/>
  <c r="I6780" i="77"/>
  <c r="H6780" i="77"/>
  <c r="G6780" i="77"/>
  <c r="I6779" i="77"/>
  <c r="H6779" i="77"/>
  <c r="G6779" i="77"/>
  <c r="I6778" i="77"/>
  <c r="H6778" i="77"/>
  <c r="G6778" i="77"/>
  <c r="I6777" i="77"/>
  <c r="H6777" i="77"/>
  <c r="G6777" i="77"/>
  <c r="I6776" i="77"/>
  <c r="H6776" i="77"/>
  <c r="G6776" i="77"/>
  <c r="I6775" i="77"/>
  <c r="H6775" i="77"/>
  <c r="G6775" i="77"/>
  <c r="I6774" i="77"/>
  <c r="H6774" i="77"/>
  <c r="G6774" i="77"/>
  <c r="I6773" i="77"/>
  <c r="H6773" i="77"/>
  <c r="G6773" i="77"/>
  <c r="I6772" i="77"/>
  <c r="H6772" i="77"/>
  <c r="G6772" i="77"/>
  <c r="I6771" i="77"/>
  <c r="H6771" i="77"/>
  <c r="G6771" i="77"/>
  <c r="I6770" i="77"/>
  <c r="H6770" i="77"/>
  <c r="G6770" i="77"/>
  <c r="I6769" i="77"/>
  <c r="H6769" i="77"/>
  <c r="G6769" i="77"/>
  <c r="I6768" i="77"/>
  <c r="H6768" i="77"/>
  <c r="G6768" i="77"/>
  <c r="I6767" i="77"/>
  <c r="H6767" i="77"/>
  <c r="G6767" i="77"/>
  <c r="I6766" i="77"/>
  <c r="H6766" i="77"/>
  <c r="G6766" i="77"/>
  <c r="I6765" i="77"/>
  <c r="H6765" i="77"/>
  <c r="G6765" i="77"/>
  <c r="I6764" i="77"/>
  <c r="H6764" i="77"/>
  <c r="G6764" i="77"/>
  <c r="I6763" i="77"/>
  <c r="H6763" i="77"/>
  <c r="G6763" i="77"/>
  <c r="I6762" i="77"/>
  <c r="H6762" i="77"/>
  <c r="G6762" i="77"/>
  <c r="I6761" i="77"/>
  <c r="H6761" i="77"/>
  <c r="G6761" i="77"/>
  <c r="I6760" i="77"/>
  <c r="H6760" i="77"/>
  <c r="G6760" i="77"/>
  <c r="I6759" i="77"/>
  <c r="H6759" i="77"/>
  <c r="G6759" i="77"/>
  <c r="I6758" i="77"/>
  <c r="H6758" i="77"/>
  <c r="G6758" i="77"/>
  <c r="I6757" i="77"/>
  <c r="H6757" i="77"/>
  <c r="G6757" i="77"/>
  <c r="I6756" i="77"/>
  <c r="H6756" i="77"/>
  <c r="G6756" i="77"/>
  <c r="I6755" i="77"/>
  <c r="H6755" i="77"/>
  <c r="G6755" i="77"/>
  <c r="I6754" i="77"/>
  <c r="H6754" i="77"/>
  <c r="G6754" i="77"/>
  <c r="I6753" i="77"/>
  <c r="H6753" i="77"/>
  <c r="G6753" i="77"/>
  <c r="I6752" i="77"/>
  <c r="H6752" i="77"/>
  <c r="G6752" i="77"/>
  <c r="I6751" i="77"/>
  <c r="H6751" i="77"/>
  <c r="G6751" i="77"/>
  <c r="I6750" i="77"/>
  <c r="H6750" i="77"/>
  <c r="G6750" i="77"/>
  <c r="I6749" i="77"/>
  <c r="H6749" i="77"/>
  <c r="G6749" i="77"/>
  <c r="I6748" i="77"/>
  <c r="H6748" i="77"/>
  <c r="G6748" i="77"/>
  <c r="I6747" i="77"/>
  <c r="H6747" i="77"/>
  <c r="G6747" i="77"/>
  <c r="I6746" i="77"/>
  <c r="H6746" i="77"/>
  <c r="G6746" i="77"/>
  <c r="I6745" i="77"/>
  <c r="H6745" i="77"/>
  <c r="G6745" i="77"/>
  <c r="I6744" i="77"/>
  <c r="H6744" i="77"/>
  <c r="G6744" i="77"/>
  <c r="I6743" i="77"/>
  <c r="H6743" i="77"/>
  <c r="G6743" i="77"/>
  <c r="I6742" i="77"/>
  <c r="H6742" i="77"/>
  <c r="G6742" i="77"/>
  <c r="I6741" i="77"/>
  <c r="H6741" i="77"/>
  <c r="G6741" i="77"/>
  <c r="I6740" i="77"/>
  <c r="H6740" i="77"/>
  <c r="G6740" i="77"/>
  <c r="I6739" i="77"/>
  <c r="H6739" i="77"/>
  <c r="G6739" i="77"/>
  <c r="I6738" i="77"/>
  <c r="H6738" i="77"/>
  <c r="G6738" i="77"/>
  <c r="I6737" i="77"/>
  <c r="H6737" i="77"/>
  <c r="G6737" i="77"/>
  <c r="I6736" i="77"/>
  <c r="H6736" i="77"/>
  <c r="G6736" i="77"/>
  <c r="I6735" i="77"/>
  <c r="H6735" i="77"/>
  <c r="G6735" i="77"/>
  <c r="I6734" i="77"/>
  <c r="H6734" i="77"/>
  <c r="G6734" i="77"/>
  <c r="I6733" i="77"/>
  <c r="H6733" i="77"/>
  <c r="G6733" i="77"/>
  <c r="I6732" i="77"/>
  <c r="H6732" i="77"/>
  <c r="G6732" i="77"/>
  <c r="I6731" i="77"/>
  <c r="H6731" i="77"/>
  <c r="G6731" i="77"/>
  <c r="I6730" i="77"/>
  <c r="H6730" i="77"/>
  <c r="G6730" i="77"/>
  <c r="I6729" i="77"/>
  <c r="H6729" i="77"/>
  <c r="G6729" i="77"/>
  <c r="I6728" i="77"/>
  <c r="H6728" i="77"/>
  <c r="G6728" i="77"/>
  <c r="I6727" i="77"/>
  <c r="H6727" i="77"/>
  <c r="G6727" i="77"/>
  <c r="I6726" i="77"/>
  <c r="H6726" i="77"/>
  <c r="G6726" i="77"/>
  <c r="I6725" i="77"/>
  <c r="H6725" i="77"/>
  <c r="G6725" i="77"/>
  <c r="I6724" i="77"/>
  <c r="H6724" i="77"/>
  <c r="G6724" i="77"/>
  <c r="I6723" i="77"/>
  <c r="H6723" i="77"/>
  <c r="G6723" i="77"/>
  <c r="I6722" i="77"/>
  <c r="H6722" i="77"/>
  <c r="G6722" i="77"/>
  <c r="I6721" i="77"/>
  <c r="H6721" i="77"/>
  <c r="G6721" i="77"/>
  <c r="I6720" i="77"/>
  <c r="H6720" i="77"/>
  <c r="G6720" i="77"/>
  <c r="I6719" i="77"/>
  <c r="H6719" i="77"/>
  <c r="G6719" i="77"/>
  <c r="I6718" i="77"/>
  <c r="H6718" i="77"/>
  <c r="G6718" i="77"/>
  <c r="I6717" i="77"/>
  <c r="H6717" i="77"/>
  <c r="G6717" i="77"/>
  <c r="I6716" i="77"/>
  <c r="H6716" i="77"/>
  <c r="G6716" i="77"/>
  <c r="I6715" i="77"/>
  <c r="H6715" i="77"/>
  <c r="G6715" i="77"/>
  <c r="I6714" i="77"/>
  <c r="H6714" i="77"/>
  <c r="G6714" i="77"/>
  <c r="I6713" i="77"/>
  <c r="H6713" i="77"/>
  <c r="G6713" i="77"/>
  <c r="I6712" i="77"/>
  <c r="H6712" i="77"/>
  <c r="G6712" i="77"/>
  <c r="I6711" i="77"/>
  <c r="H6711" i="77"/>
  <c r="G6711" i="77"/>
  <c r="I6710" i="77"/>
  <c r="H6710" i="77"/>
  <c r="G6710" i="77"/>
  <c r="I6709" i="77"/>
  <c r="H6709" i="77"/>
  <c r="G6709" i="77"/>
  <c r="I6708" i="77"/>
  <c r="H6708" i="77"/>
  <c r="G6708" i="77"/>
  <c r="I6707" i="77"/>
  <c r="H6707" i="77"/>
  <c r="G6707" i="77"/>
  <c r="I6706" i="77"/>
  <c r="H6706" i="77"/>
  <c r="G6706" i="77"/>
  <c r="I6705" i="77"/>
  <c r="H6705" i="77"/>
  <c r="G6705" i="77"/>
  <c r="I6704" i="77"/>
  <c r="H6704" i="77"/>
  <c r="G6704" i="77"/>
  <c r="I6703" i="77"/>
  <c r="H6703" i="77"/>
  <c r="G6703" i="77"/>
  <c r="I6702" i="77"/>
  <c r="H6702" i="77"/>
  <c r="G6702" i="77"/>
  <c r="I6701" i="77"/>
  <c r="H6701" i="77"/>
  <c r="G6701" i="77"/>
  <c r="I6700" i="77"/>
  <c r="H6700" i="77"/>
  <c r="G6700" i="77"/>
  <c r="I6699" i="77"/>
  <c r="H6699" i="77"/>
  <c r="G6699" i="77"/>
  <c r="I6698" i="77"/>
  <c r="H6698" i="77"/>
  <c r="G6698" i="77"/>
  <c r="I6697" i="77"/>
  <c r="H6697" i="77"/>
  <c r="G6697" i="77"/>
  <c r="I6696" i="77"/>
  <c r="H6696" i="77"/>
  <c r="G6696" i="77"/>
  <c r="I6695" i="77"/>
  <c r="H6695" i="77"/>
  <c r="G6695" i="77"/>
  <c r="I6694" i="77"/>
  <c r="H6694" i="77"/>
  <c r="G6694" i="77"/>
  <c r="I6693" i="77"/>
  <c r="H6693" i="77"/>
  <c r="G6693" i="77"/>
  <c r="I6692" i="77"/>
  <c r="H6692" i="77"/>
  <c r="G6692" i="77"/>
  <c r="I6691" i="77"/>
  <c r="H6691" i="77"/>
  <c r="G6691" i="77"/>
  <c r="I6690" i="77"/>
  <c r="H6690" i="77"/>
  <c r="G6690" i="77"/>
  <c r="I6689" i="77"/>
  <c r="H6689" i="77"/>
  <c r="G6689" i="77"/>
  <c r="I6688" i="77"/>
  <c r="H6688" i="77"/>
  <c r="G6688" i="77"/>
  <c r="I6687" i="77"/>
  <c r="H6687" i="77"/>
  <c r="G6687" i="77"/>
  <c r="I6686" i="77"/>
  <c r="H6686" i="77"/>
  <c r="G6686" i="77"/>
  <c r="I6685" i="77"/>
  <c r="H6685" i="77"/>
  <c r="G6685" i="77"/>
  <c r="I6684" i="77"/>
  <c r="H6684" i="77"/>
  <c r="G6684" i="77"/>
  <c r="I6683" i="77"/>
  <c r="H6683" i="77"/>
  <c r="G6683" i="77"/>
  <c r="I6682" i="77"/>
  <c r="H6682" i="77"/>
  <c r="G6682" i="77"/>
  <c r="I6681" i="77"/>
  <c r="H6681" i="77"/>
  <c r="G6681" i="77"/>
  <c r="I6680" i="77"/>
  <c r="H6680" i="77"/>
  <c r="G6680" i="77"/>
  <c r="I6679" i="77"/>
  <c r="H6679" i="77"/>
  <c r="G6679" i="77"/>
  <c r="I6678" i="77"/>
  <c r="H6678" i="77"/>
  <c r="G6678" i="77"/>
  <c r="I6677" i="77"/>
  <c r="H6677" i="77"/>
  <c r="G6677" i="77"/>
  <c r="I6676" i="77"/>
  <c r="H6676" i="77"/>
  <c r="G6676" i="77"/>
  <c r="I6675" i="77"/>
  <c r="H6675" i="77"/>
  <c r="G6675" i="77"/>
  <c r="I6674" i="77"/>
  <c r="H6674" i="77"/>
  <c r="G6674" i="77"/>
  <c r="I6673" i="77"/>
  <c r="H6673" i="77"/>
  <c r="G6673" i="77"/>
  <c r="I6672" i="77"/>
  <c r="H6672" i="77"/>
  <c r="G6672" i="77"/>
  <c r="I6671" i="77"/>
  <c r="H6671" i="77"/>
  <c r="G6671" i="77"/>
  <c r="I6670" i="77"/>
  <c r="H6670" i="77"/>
  <c r="G6670" i="77"/>
  <c r="I6669" i="77"/>
  <c r="H6669" i="77"/>
  <c r="G6669" i="77"/>
  <c r="I6668" i="77"/>
  <c r="H6668" i="77"/>
  <c r="G6668" i="77"/>
  <c r="I6667" i="77"/>
  <c r="H6667" i="77"/>
  <c r="G6667" i="77"/>
  <c r="I6666" i="77"/>
  <c r="H6666" i="77"/>
  <c r="G6666" i="77"/>
  <c r="I6665" i="77"/>
  <c r="H6665" i="77"/>
  <c r="G6665" i="77"/>
  <c r="I6664" i="77"/>
  <c r="H6664" i="77"/>
  <c r="G6664" i="77"/>
  <c r="I6663" i="77"/>
  <c r="H6663" i="77"/>
  <c r="G6663" i="77"/>
  <c r="I6662" i="77"/>
  <c r="H6662" i="77"/>
  <c r="G6662" i="77"/>
  <c r="I6661" i="77"/>
  <c r="H6661" i="77"/>
  <c r="G6661" i="77"/>
  <c r="I6660" i="77"/>
  <c r="H6660" i="77"/>
  <c r="G6660" i="77"/>
  <c r="I6659" i="77"/>
  <c r="H6659" i="77"/>
  <c r="G6659" i="77"/>
  <c r="I6658" i="77"/>
  <c r="H6658" i="77"/>
  <c r="G6658" i="77"/>
  <c r="I6657" i="77"/>
  <c r="H6657" i="77"/>
  <c r="G6657" i="77"/>
  <c r="I6656" i="77"/>
  <c r="H6656" i="77"/>
  <c r="G6656" i="77"/>
  <c r="I6655" i="77"/>
  <c r="H6655" i="77"/>
  <c r="G6655" i="77"/>
  <c r="I6654" i="77"/>
  <c r="H6654" i="77"/>
  <c r="G6654" i="77"/>
  <c r="I6653" i="77"/>
  <c r="H6653" i="77"/>
  <c r="G6653" i="77"/>
  <c r="I6652" i="77"/>
  <c r="H6652" i="77"/>
  <c r="G6652" i="77"/>
  <c r="I6651" i="77"/>
  <c r="H6651" i="77"/>
  <c r="G6651" i="77"/>
  <c r="I6650" i="77"/>
  <c r="H6650" i="77"/>
  <c r="G6650" i="77"/>
  <c r="I6649" i="77"/>
  <c r="H6649" i="77"/>
  <c r="G6649" i="77"/>
  <c r="I6648" i="77"/>
  <c r="H6648" i="77"/>
  <c r="G6648" i="77"/>
  <c r="I6647" i="77"/>
  <c r="H6647" i="77"/>
  <c r="G6647" i="77"/>
  <c r="I6646" i="77"/>
  <c r="H6646" i="77"/>
  <c r="G6646" i="77"/>
  <c r="I6645" i="77"/>
  <c r="H6645" i="77"/>
  <c r="G6645" i="77"/>
  <c r="I6644" i="77"/>
  <c r="H6644" i="77"/>
  <c r="G6644" i="77"/>
  <c r="I6643" i="77"/>
  <c r="H6643" i="77"/>
  <c r="G6643" i="77"/>
  <c r="I6642" i="77"/>
  <c r="H6642" i="77"/>
  <c r="G6642" i="77"/>
  <c r="I6641" i="77"/>
  <c r="H6641" i="77"/>
  <c r="G6641" i="77"/>
  <c r="I6640" i="77"/>
  <c r="H6640" i="77"/>
  <c r="G6640" i="77"/>
  <c r="I6639" i="77"/>
  <c r="H6639" i="77"/>
  <c r="G6639" i="77"/>
  <c r="I6638" i="77"/>
  <c r="H6638" i="77"/>
  <c r="G6638" i="77"/>
  <c r="I6637" i="77"/>
  <c r="H6637" i="77"/>
  <c r="G6637" i="77"/>
  <c r="I6636" i="77"/>
  <c r="H6636" i="77"/>
  <c r="G6636" i="77"/>
  <c r="I6635" i="77"/>
  <c r="H6635" i="77"/>
  <c r="G6635" i="77"/>
  <c r="I6634" i="77"/>
  <c r="H6634" i="77"/>
  <c r="G6634" i="77"/>
  <c r="I6633" i="77"/>
  <c r="H6633" i="77"/>
  <c r="G6633" i="77"/>
  <c r="I6632" i="77"/>
  <c r="H6632" i="77"/>
  <c r="G6632" i="77"/>
  <c r="I6631" i="77"/>
  <c r="H6631" i="77"/>
  <c r="G6631" i="77"/>
  <c r="I6630" i="77"/>
  <c r="H6630" i="77"/>
  <c r="G6630" i="77"/>
  <c r="I6629" i="77"/>
  <c r="H6629" i="77"/>
  <c r="G6629" i="77"/>
  <c r="I6628" i="77"/>
  <c r="H6628" i="77"/>
  <c r="G6628" i="77"/>
  <c r="I6627" i="77"/>
  <c r="H6627" i="77"/>
  <c r="G6627" i="77"/>
  <c r="I6626" i="77"/>
  <c r="H6626" i="77"/>
  <c r="G6626" i="77"/>
  <c r="I6625" i="77"/>
  <c r="H6625" i="77"/>
  <c r="G6625" i="77"/>
  <c r="I6624" i="77"/>
  <c r="H6624" i="77"/>
  <c r="G6624" i="77"/>
  <c r="I6623" i="77"/>
  <c r="H6623" i="77"/>
  <c r="G6623" i="77"/>
  <c r="I6622" i="77"/>
  <c r="H6622" i="77"/>
  <c r="G6622" i="77"/>
  <c r="I6621" i="77"/>
  <c r="H6621" i="77"/>
  <c r="G6621" i="77"/>
  <c r="I6620" i="77"/>
  <c r="H6620" i="77"/>
  <c r="G6620" i="77"/>
  <c r="I6619" i="77"/>
  <c r="H6619" i="77"/>
  <c r="G6619" i="77"/>
  <c r="I6618" i="77"/>
  <c r="H6618" i="77"/>
  <c r="G6618" i="77"/>
  <c r="I6617" i="77"/>
  <c r="H6617" i="77"/>
  <c r="G6617" i="77"/>
  <c r="I6616" i="77"/>
  <c r="H6616" i="77"/>
  <c r="G6616" i="77"/>
  <c r="I6615" i="77"/>
  <c r="H6615" i="77"/>
  <c r="G6615" i="77"/>
  <c r="I6614" i="77"/>
  <c r="H6614" i="77"/>
  <c r="G6614" i="77"/>
  <c r="I6613" i="77"/>
  <c r="H6613" i="77"/>
  <c r="G6613" i="77"/>
  <c r="I6612" i="77"/>
  <c r="H6612" i="77"/>
  <c r="G6612" i="77"/>
  <c r="I6611" i="77"/>
  <c r="H6611" i="77"/>
  <c r="G6611" i="77"/>
  <c r="I6610" i="77"/>
  <c r="H6610" i="77"/>
  <c r="G6610" i="77"/>
  <c r="I6609" i="77"/>
  <c r="H6609" i="77"/>
  <c r="G6609" i="77"/>
  <c r="I6608" i="77"/>
  <c r="H6608" i="77"/>
  <c r="G6608" i="77"/>
  <c r="I6607" i="77"/>
  <c r="H6607" i="77"/>
  <c r="G6607" i="77"/>
  <c r="I6606" i="77"/>
  <c r="H6606" i="77"/>
  <c r="G6606" i="77"/>
  <c r="I6605" i="77"/>
  <c r="H6605" i="77"/>
  <c r="G6605" i="77"/>
  <c r="I6604" i="77"/>
  <c r="H6604" i="77"/>
  <c r="G6604" i="77"/>
  <c r="I6603" i="77"/>
  <c r="H6603" i="77"/>
  <c r="G6603" i="77"/>
  <c r="I6602" i="77"/>
  <c r="H6602" i="77"/>
  <c r="G6602" i="77"/>
  <c r="I6601" i="77"/>
  <c r="H6601" i="77"/>
  <c r="G6601" i="77"/>
  <c r="I6600" i="77"/>
  <c r="H6600" i="77"/>
  <c r="G6600" i="77"/>
  <c r="I6599" i="77"/>
  <c r="H6599" i="77"/>
  <c r="G6599" i="77"/>
  <c r="I6598" i="77"/>
  <c r="H6598" i="77"/>
  <c r="G6598" i="77"/>
  <c r="I6597" i="77"/>
  <c r="H6597" i="77"/>
  <c r="G6597" i="77"/>
  <c r="I6596" i="77"/>
  <c r="H6596" i="77"/>
  <c r="G6596" i="77"/>
  <c r="I6595" i="77"/>
  <c r="H6595" i="77"/>
  <c r="G6595" i="77"/>
  <c r="I6594" i="77"/>
  <c r="H6594" i="77"/>
  <c r="G6594" i="77"/>
  <c r="I6593" i="77"/>
  <c r="H6593" i="77"/>
  <c r="G6593" i="77"/>
  <c r="I6592" i="77"/>
  <c r="H6592" i="77"/>
  <c r="G6592" i="77"/>
  <c r="I6591" i="77"/>
  <c r="H6591" i="77"/>
  <c r="G6591" i="77"/>
  <c r="I6590" i="77"/>
  <c r="H6590" i="77"/>
  <c r="G6590" i="77"/>
  <c r="I6589" i="77"/>
  <c r="H6589" i="77"/>
  <c r="G6589" i="77"/>
  <c r="I6588" i="77"/>
  <c r="H6588" i="77"/>
  <c r="G6588" i="77"/>
  <c r="I6587" i="77"/>
  <c r="H6587" i="77"/>
  <c r="G6587" i="77"/>
  <c r="I6586" i="77"/>
  <c r="H6586" i="77"/>
  <c r="G6586" i="77"/>
  <c r="I6585" i="77"/>
  <c r="H6585" i="77"/>
  <c r="G6585" i="77"/>
  <c r="I6584" i="77"/>
  <c r="H6584" i="77"/>
  <c r="G6584" i="77"/>
  <c r="I6583" i="77"/>
  <c r="H6583" i="77"/>
  <c r="G6583" i="77"/>
  <c r="I6582" i="77"/>
  <c r="H6582" i="77"/>
  <c r="G6582" i="77"/>
  <c r="I6581" i="77"/>
  <c r="H6581" i="77"/>
  <c r="G6581" i="77"/>
  <c r="I6580" i="77"/>
  <c r="H6580" i="77"/>
  <c r="G6580" i="77"/>
  <c r="I6579" i="77"/>
  <c r="H6579" i="77"/>
  <c r="G6579" i="77"/>
  <c r="I6578" i="77"/>
  <c r="H6578" i="77"/>
  <c r="G6578" i="77"/>
  <c r="I6577" i="77"/>
  <c r="H6577" i="77"/>
  <c r="G6577" i="77"/>
  <c r="I6576" i="77"/>
  <c r="H6576" i="77"/>
  <c r="G6576" i="77"/>
  <c r="I6575" i="77"/>
  <c r="H6575" i="77"/>
  <c r="G6575" i="77"/>
  <c r="I6574" i="77"/>
  <c r="H6574" i="77"/>
  <c r="G6574" i="77"/>
  <c r="I6573" i="77"/>
  <c r="H6573" i="77"/>
  <c r="G6573" i="77"/>
  <c r="I6572" i="77"/>
  <c r="H6572" i="77"/>
  <c r="G6572" i="77"/>
  <c r="I6571" i="77"/>
  <c r="H6571" i="77"/>
  <c r="G6571" i="77"/>
  <c r="I6570" i="77"/>
  <c r="H6570" i="77"/>
  <c r="G6570" i="77"/>
  <c r="I6569" i="77"/>
  <c r="H6569" i="77"/>
  <c r="G6569" i="77"/>
  <c r="I6568" i="77"/>
  <c r="H6568" i="77"/>
  <c r="G6568" i="77"/>
  <c r="I6567" i="77"/>
  <c r="H6567" i="77"/>
  <c r="G6567" i="77"/>
  <c r="I6566" i="77"/>
  <c r="H6566" i="77"/>
  <c r="G6566" i="77"/>
  <c r="I6565" i="77"/>
  <c r="H6565" i="77"/>
  <c r="G6565" i="77"/>
  <c r="I6564" i="77"/>
  <c r="H6564" i="77"/>
  <c r="G6564" i="77"/>
  <c r="I6563" i="77"/>
  <c r="H6563" i="77"/>
  <c r="G6563" i="77"/>
  <c r="I6562" i="77"/>
  <c r="H6562" i="77"/>
  <c r="G6562" i="77"/>
  <c r="I6561" i="77"/>
  <c r="H6561" i="77"/>
  <c r="G6561" i="77"/>
  <c r="I6560" i="77"/>
  <c r="H6560" i="77"/>
  <c r="G6560" i="77"/>
  <c r="I6559" i="77"/>
  <c r="H6559" i="77"/>
  <c r="G6559" i="77"/>
  <c r="I6558" i="77"/>
  <c r="H6558" i="77"/>
  <c r="G6558" i="77"/>
  <c r="I6557" i="77"/>
  <c r="H6557" i="77"/>
  <c r="G6557" i="77"/>
  <c r="I6556" i="77"/>
  <c r="H6556" i="77"/>
  <c r="G6556" i="77"/>
  <c r="I6555" i="77"/>
  <c r="H6555" i="77"/>
  <c r="G6555" i="77"/>
  <c r="I6554" i="77"/>
  <c r="H6554" i="77"/>
  <c r="G6554" i="77"/>
  <c r="I6553" i="77"/>
  <c r="H6553" i="77"/>
  <c r="G6553" i="77"/>
  <c r="I6552" i="77"/>
  <c r="H6552" i="77"/>
  <c r="G6552" i="77"/>
  <c r="I6551" i="77"/>
  <c r="H6551" i="77"/>
  <c r="G6551" i="77"/>
  <c r="I6550" i="77"/>
  <c r="H6550" i="77"/>
  <c r="G6550" i="77"/>
  <c r="I6549" i="77"/>
  <c r="H6549" i="77"/>
  <c r="G6549" i="77"/>
  <c r="I6548" i="77"/>
  <c r="H6548" i="77"/>
  <c r="G6548" i="77"/>
  <c r="I6547" i="77"/>
  <c r="H6547" i="77"/>
  <c r="G6547" i="77"/>
  <c r="I6546" i="77"/>
  <c r="H6546" i="77"/>
  <c r="G6546" i="77"/>
  <c r="I6545" i="77"/>
  <c r="H6545" i="77"/>
  <c r="G6545" i="77"/>
  <c r="I6544" i="77"/>
  <c r="H6544" i="77"/>
  <c r="G6544" i="77"/>
  <c r="I6543" i="77"/>
  <c r="H6543" i="77"/>
  <c r="G6543" i="77"/>
  <c r="I6542" i="77"/>
  <c r="H6542" i="77"/>
  <c r="G6542" i="77"/>
  <c r="I6541" i="77"/>
  <c r="H6541" i="77"/>
  <c r="G6541" i="77"/>
  <c r="I6540" i="77"/>
  <c r="H6540" i="77"/>
  <c r="G6540" i="77"/>
  <c r="I6539" i="77"/>
  <c r="H6539" i="77"/>
  <c r="G6539" i="77"/>
  <c r="I6538" i="77"/>
  <c r="H6538" i="77"/>
  <c r="G6538" i="77"/>
  <c r="I6537" i="77"/>
  <c r="H6537" i="77"/>
  <c r="G6537" i="77"/>
  <c r="I6536" i="77"/>
  <c r="H6536" i="77"/>
  <c r="G6536" i="77"/>
  <c r="I6535" i="77"/>
  <c r="H6535" i="77"/>
  <c r="G6535" i="77"/>
  <c r="I6534" i="77"/>
  <c r="H6534" i="77"/>
  <c r="G6534" i="77"/>
  <c r="I6533" i="77"/>
  <c r="H6533" i="77"/>
  <c r="G6533" i="77"/>
  <c r="I6532" i="77"/>
  <c r="H6532" i="77"/>
  <c r="G6532" i="77"/>
  <c r="I6531" i="77"/>
  <c r="H6531" i="77"/>
  <c r="G6531" i="77"/>
  <c r="I6530" i="77"/>
  <c r="H6530" i="77"/>
  <c r="G6530" i="77"/>
  <c r="I6529" i="77"/>
  <c r="H6529" i="77"/>
  <c r="G6529" i="77"/>
  <c r="I6528" i="77"/>
  <c r="H6528" i="77"/>
  <c r="G6528" i="77"/>
  <c r="I6527" i="77"/>
  <c r="H6527" i="77"/>
  <c r="G6527" i="77"/>
  <c r="I6526" i="77"/>
  <c r="H6526" i="77"/>
  <c r="G6526" i="77"/>
  <c r="I6525" i="77"/>
  <c r="H6525" i="77"/>
  <c r="G6525" i="77"/>
  <c r="I6524" i="77"/>
  <c r="H6524" i="77"/>
  <c r="G6524" i="77"/>
  <c r="I6523" i="77"/>
  <c r="H6523" i="77"/>
  <c r="G6523" i="77"/>
  <c r="I6522" i="77"/>
  <c r="H6522" i="77"/>
  <c r="G6522" i="77"/>
  <c r="I6521" i="77"/>
  <c r="H6521" i="77"/>
  <c r="G6521" i="77"/>
  <c r="I6520" i="77"/>
  <c r="H6520" i="77"/>
  <c r="G6520" i="77"/>
  <c r="I6519" i="77"/>
  <c r="H6519" i="77"/>
  <c r="G6519" i="77"/>
  <c r="I6518" i="77"/>
  <c r="H6518" i="77"/>
  <c r="G6518" i="77"/>
  <c r="I6517" i="77"/>
  <c r="H6517" i="77"/>
  <c r="G6517" i="77"/>
  <c r="I6516" i="77"/>
  <c r="H6516" i="77"/>
  <c r="G6516" i="77"/>
  <c r="I6515" i="77"/>
  <c r="H6515" i="77"/>
  <c r="G6515" i="77"/>
  <c r="I6514" i="77"/>
  <c r="H6514" i="77"/>
  <c r="G6514" i="77"/>
  <c r="I6513" i="77"/>
  <c r="H6513" i="77"/>
  <c r="G6513" i="77"/>
  <c r="I6512" i="77"/>
  <c r="H6512" i="77"/>
  <c r="G6512" i="77"/>
  <c r="I6511" i="77"/>
  <c r="H6511" i="77"/>
  <c r="G6511" i="77"/>
  <c r="I6510" i="77"/>
  <c r="H6510" i="77"/>
  <c r="G6510" i="77"/>
  <c r="I6509" i="77"/>
  <c r="H6509" i="77"/>
  <c r="G6509" i="77"/>
  <c r="I6508" i="77"/>
  <c r="H6508" i="77"/>
  <c r="G6508" i="77"/>
  <c r="I6507" i="77"/>
  <c r="H6507" i="77"/>
  <c r="G6507" i="77"/>
  <c r="I6506" i="77"/>
  <c r="H6506" i="77"/>
  <c r="G6506" i="77"/>
  <c r="I6505" i="77"/>
  <c r="H6505" i="77"/>
  <c r="G6505" i="77"/>
  <c r="I6504" i="77"/>
  <c r="H6504" i="77"/>
  <c r="G6504" i="77"/>
  <c r="I6503" i="77"/>
  <c r="H6503" i="77"/>
  <c r="G6503" i="77"/>
  <c r="I6502" i="77"/>
  <c r="H6502" i="77"/>
  <c r="G6502" i="77"/>
  <c r="I6501" i="77"/>
  <c r="H6501" i="77"/>
  <c r="G6501" i="77"/>
  <c r="I6500" i="77"/>
  <c r="H6500" i="77"/>
  <c r="G6500" i="77"/>
  <c r="I6499" i="77"/>
  <c r="H6499" i="77"/>
  <c r="G6499" i="77"/>
  <c r="I6498" i="77"/>
  <c r="H6498" i="77"/>
  <c r="G6498" i="77"/>
  <c r="I6497" i="77"/>
  <c r="H6497" i="77"/>
  <c r="G6497" i="77"/>
  <c r="I6496" i="77"/>
  <c r="H6496" i="77"/>
  <c r="G6496" i="77"/>
  <c r="I6495" i="77"/>
  <c r="H6495" i="77"/>
  <c r="G6495" i="77"/>
  <c r="I6494" i="77"/>
  <c r="H6494" i="77"/>
  <c r="G6494" i="77"/>
  <c r="I6493" i="77"/>
  <c r="H6493" i="77"/>
  <c r="G6493" i="77"/>
  <c r="I6492" i="77"/>
  <c r="H6492" i="77"/>
  <c r="G6492" i="77"/>
  <c r="I6491" i="77"/>
  <c r="H6491" i="77"/>
  <c r="G6491" i="77"/>
  <c r="I6490" i="77"/>
  <c r="H6490" i="77"/>
  <c r="G6490" i="77"/>
  <c r="I6489" i="77"/>
  <c r="H6489" i="77"/>
  <c r="G6489" i="77"/>
  <c r="I6488" i="77"/>
  <c r="H6488" i="77"/>
  <c r="G6488" i="77"/>
  <c r="I6487" i="77"/>
  <c r="H6487" i="77"/>
  <c r="G6487" i="77"/>
  <c r="I6486" i="77"/>
  <c r="H6486" i="77"/>
  <c r="G6486" i="77"/>
  <c r="I6485" i="77"/>
  <c r="H6485" i="77"/>
  <c r="G6485" i="77"/>
  <c r="I6484" i="77"/>
  <c r="H6484" i="77"/>
  <c r="G6484" i="77"/>
  <c r="I6483" i="77"/>
  <c r="H6483" i="77"/>
  <c r="G6483" i="77"/>
  <c r="I6482" i="77"/>
  <c r="H6482" i="77"/>
  <c r="G6482" i="77"/>
  <c r="I6481" i="77"/>
  <c r="H6481" i="77"/>
  <c r="G6481" i="77"/>
  <c r="I6480" i="77"/>
  <c r="H6480" i="77"/>
  <c r="G6480" i="77"/>
  <c r="I6479" i="77"/>
  <c r="H6479" i="77"/>
  <c r="G6479" i="77"/>
  <c r="I6478" i="77"/>
  <c r="H6478" i="77"/>
  <c r="G6478" i="77"/>
  <c r="I6477" i="77"/>
  <c r="H6477" i="77"/>
  <c r="G6477" i="77"/>
  <c r="I6476" i="77"/>
  <c r="H6476" i="77"/>
  <c r="G6476" i="77"/>
  <c r="I6475" i="77"/>
  <c r="H6475" i="77"/>
  <c r="G6475" i="77"/>
  <c r="I6474" i="77"/>
  <c r="H6474" i="77"/>
  <c r="G6474" i="77"/>
  <c r="I6473" i="77"/>
  <c r="H6473" i="77"/>
  <c r="G6473" i="77"/>
  <c r="I6472" i="77"/>
  <c r="H6472" i="77"/>
  <c r="G6472" i="77"/>
  <c r="I6471" i="77"/>
  <c r="H6471" i="77"/>
  <c r="G6471" i="77"/>
  <c r="I6470" i="77"/>
  <c r="H6470" i="77"/>
  <c r="G6470" i="77"/>
  <c r="I6469" i="77"/>
  <c r="H6469" i="77"/>
  <c r="G6469" i="77"/>
  <c r="I6468" i="77"/>
  <c r="H6468" i="77"/>
  <c r="G6468" i="77"/>
  <c r="I6467" i="77"/>
  <c r="H6467" i="77"/>
  <c r="G6467" i="77"/>
  <c r="I6466" i="77"/>
  <c r="H6466" i="77"/>
  <c r="G6466" i="77"/>
  <c r="I6465" i="77"/>
  <c r="H6465" i="77"/>
  <c r="G6465" i="77"/>
  <c r="I6464" i="77"/>
  <c r="H6464" i="77"/>
  <c r="G6464" i="77"/>
  <c r="I6463" i="77"/>
  <c r="H6463" i="77"/>
  <c r="G6463" i="77"/>
  <c r="I6462" i="77"/>
  <c r="H6462" i="77"/>
  <c r="G6462" i="77"/>
  <c r="I6461" i="77"/>
  <c r="H6461" i="77"/>
  <c r="G6461" i="77"/>
  <c r="I6460" i="77"/>
  <c r="H6460" i="77"/>
  <c r="G6460" i="77"/>
  <c r="I6459" i="77"/>
  <c r="H6459" i="77"/>
  <c r="G6459" i="77"/>
  <c r="I6458" i="77"/>
  <c r="H6458" i="77"/>
  <c r="G6458" i="77"/>
  <c r="I6457" i="77"/>
  <c r="H6457" i="77"/>
  <c r="G6457" i="77"/>
  <c r="I6456" i="77"/>
  <c r="H6456" i="77"/>
  <c r="G6456" i="77"/>
  <c r="I6455" i="77"/>
  <c r="H6455" i="77"/>
  <c r="G6455" i="77"/>
  <c r="I6454" i="77"/>
  <c r="H6454" i="77"/>
  <c r="G6454" i="77"/>
  <c r="I6453" i="77"/>
  <c r="H6453" i="77"/>
  <c r="G6453" i="77"/>
  <c r="I6452" i="77"/>
  <c r="H6452" i="77"/>
  <c r="G6452" i="77"/>
  <c r="I6451" i="77"/>
  <c r="H6451" i="77"/>
  <c r="G6451" i="77"/>
  <c r="I6450" i="77"/>
  <c r="H6450" i="77"/>
  <c r="G6450" i="77"/>
  <c r="I6449" i="77"/>
  <c r="H6449" i="77"/>
  <c r="G6449" i="77"/>
  <c r="I6448" i="77"/>
  <c r="H6448" i="77"/>
  <c r="G6448" i="77"/>
  <c r="I6447" i="77"/>
  <c r="H6447" i="77"/>
  <c r="G6447" i="77"/>
  <c r="I6446" i="77"/>
  <c r="H6446" i="77"/>
  <c r="G6446" i="77"/>
  <c r="I6445" i="77"/>
  <c r="H6445" i="77"/>
  <c r="G6445" i="77"/>
  <c r="I6444" i="77"/>
  <c r="H6444" i="77"/>
  <c r="G6444" i="77"/>
  <c r="I6443" i="77"/>
  <c r="H6443" i="77"/>
  <c r="G6443" i="77"/>
  <c r="I6442" i="77"/>
  <c r="H6442" i="77"/>
  <c r="G6442" i="77"/>
  <c r="I6441" i="77"/>
  <c r="H6441" i="77"/>
  <c r="G6441" i="77"/>
  <c r="I6440" i="77"/>
  <c r="H6440" i="77"/>
  <c r="G6440" i="77"/>
  <c r="I6439" i="77"/>
  <c r="H6439" i="77"/>
  <c r="G6439" i="77"/>
  <c r="I6438" i="77"/>
  <c r="H6438" i="77"/>
  <c r="G6438" i="77"/>
  <c r="I6437" i="77"/>
  <c r="H6437" i="77"/>
  <c r="G6437" i="77"/>
  <c r="I6436" i="77"/>
  <c r="H6436" i="77"/>
  <c r="G6436" i="77"/>
  <c r="I6435" i="77"/>
  <c r="H6435" i="77"/>
  <c r="G6435" i="77"/>
  <c r="I6434" i="77"/>
  <c r="H6434" i="77"/>
  <c r="G6434" i="77"/>
  <c r="I6433" i="77"/>
  <c r="H6433" i="77"/>
  <c r="G6433" i="77"/>
  <c r="I6432" i="77"/>
  <c r="H6432" i="77"/>
  <c r="G6432" i="77"/>
  <c r="I6431" i="77"/>
  <c r="H6431" i="77"/>
  <c r="G6431" i="77"/>
  <c r="I6430" i="77"/>
  <c r="H6430" i="77"/>
  <c r="G6430" i="77"/>
  <c r="I6429" i="77"/>
  <c r="H6429" i="77"/>
  <c r="G6429" i="77"/>
  <c r="I6428" i="77"/>
  <c r="H6428" i="77"/>
  <c r="G6428" i="77"/>
  <c r="I6427" i="77"/>
  <c r="H6427" i="77"/>
  <c r="G6427" i="77"/>
  <c r="I6426" i="77"/>
  <c r="H6426" i="77"/>
  <c r="G6426" i="77"/>
  <c r="I6425" i="77"/>
  <c r="H6425" i="77"/>
  <c r="G6425" i="77"/>
  <c r="I6424" i="77"/>
  <c r="H6424" i="77"/>
  <c r="G6424" i="77"/>
  <c r="I6423" i="77"/>
  <c r="H6423" i="77"/>
  <c r="G6423" i="77"/>
  <c r="I6422" i="77"/>
  <c r="H6422" i="77"/>
  <c r="G6422" i="77"/>
  <c r="I6421" i="77"/>
  <c r="H6421" i="77"/>
  <c r="G6421" i="77"/>
  <c r="I6420" i="77"/>
  <c r="H6420" i="77"/>
  <c r="G6420" i="77"/>
  <c r="I6419" i="77"/>
  <c r="H6419" i="77"/>
  <c r="G6419" i="77"/>
  <c r="I6418" i="77"/>
  <c r="H6418" i="77"/>
  <c r="G6418" i="77"/>
  <c r="I6417" i="77"/>
  <c r="H6417" i="77"/>
  <c r="G6417" i="77"/>
  <c r="I6416" i="77"/>
  <c r="H6416" i="77"/>
  <c r="G6416" i="77"/>
  <c r="I6415" i="77"/>
  <c r="H6415" i="77"/>
  <c r="G6415" i="77"/>
  <c r="I6414" i="77"/>
  <c r="H6414" i="77"/>
  <c r="G6414" i="77"/>
  <c r="I6413" i="77"/>
  <c r="H6413" i="77"/>
  <c r="G6413" i="77"/>
  <c r="I6412" i="77"/>
  <c r="H6412" i="77"/>
  <c r="G6412" i="77"/>
  <c r="I6411" i="77"/>
  <c r="H6411" i="77"/>
  <c r="G6411" i="77"/>
  <c r="I6410" i="77"/>
  <c r="H6410" i="77"/>
  <c r="G6410" i="77"/>
  <c r="I6409" i="77"/>
  <c r="H6409" i="77"/>
  <c r="G6409" i="77"/>
  <c r="I6408" i="77"/>
  <c r="H6408" i="77"/>
  <c r="G6408" i="77"/>
  <c r="I6407" i="77"/>
  <c r="H6407" i="77"/>
  <c r="G6407" i="77"/>
  <c r="I6406" i="77"/>
  <c r="H6406" i="77"/>
  <c r="G6406" i="77"/>
  <c r="I6405" i="77"/>
  <c r="H6405" i="77"/>
  <c r="G6405" i="77"/>
  <c r="I6404" i="77"/>
  <c r="H6404" i="77"/>
  <c r="G6404" i="77"/>
  <c r="I6403" i="77"/>
  <c r="H6403" i="77"/>
  <c r="G6403" i="77"/>
  <c r="I6402" i="77"/>
  <c r="H6402" i="77"/>
  <c r="G6402" i="77"/>
  <c r="I6401" i="77"/>
  <c r="H6401" i="77"/>
  <c r="G6401" i="77"/>
  <c r="I6400" i="77"/>
  <c r="H6400" i="77"/>
  <c r="G6400" i="77"/>
  <c r="I6399" i="77"/>
  <c r="H6399" i="77"/>
  <c r="G6399" i="77"/>
  <c r="I6398" i="77"/>
  <c r="H6398" i="77"/>
  <c r="G6398" i="77"/>
  <c r="I6397" i="77"/>
  <c r="H6397" i="77"/>
  <c r="G6397" i="77"/>
  <c r="I6396" i="77"/>
  <c r="H6396" i="77"/>
  <c r="G6396" i="77"/>
  <c r="I6395" i="77"/>
  <c r="H6395" i="77"/>
  <c r="G6395" i="77"/>
  <c r="I6394" i="77"/>
  <c r="H6394" i="77"/>
  <c r="G6394" i="77"/>
  <c r="I6393" i="77"/>
  <c r="H6393" i="77"/>
  <c r="G6393" i="77"/>
  <c r="I6392" i="77"/>
  <c r="H6392" i="77"/>
  <c r="G6392" i="77"/>
  <c r="I6391" i="77"/>
  <c r="H6391" i="77"/>
  <c r="G6391" i="77"/>
  <c r="I6390" i="77"/>
  <c r="H6390" i="77"/>
  <c r="G6390" i="77"/>
  <c r="I6389" i="77"/>
  <c r="H6389" i="77"/>
  <c r="G6389" i="77"/>
  <c r="I6388" i="77"/>
  <c r="H6388" i="77"/>
  <c r="G6388" i="77"/>
  <c r="I6387" i="77"/>
  <c r="H6387" i="77"/>
  <c r="G6387" i="77"/>
  <c r="I6386" i="77"/>
  <c r="H6386" i="77"/>
  <c r="G6386" i="77"/>
  <c r="I6385" i="77"/>
  <c r="H6385" i="77"/>
  <c r="G6385" i="77"/>
  <c r="I6384" i="77"/>
  <c r="H6384" i="77"/>
  <c r="G6384" i="77"/>
  <c r="I6383" i="77"/>
  <c r="H6383" i="77"/>
  <c r="G6383" i="77"/>
  <c r="I6382" i="77"/>
  <c r="H6382" i="77"/>
  <c r="G6382" i="77"/>
  <c r="I6381" i="77"/>
  <c r="H6381" i="77"/>
  <c r="G6381" i="77"/>
  <c r="I6380" i="77"/>
  <c r="H6380" i="77"/>
  <c r="G6380" i="77"/>
  <c r="I6379" i="77"/>
  <c r="H6379" i="77"/>
  <c r="G6379" i="77"/>
  <c r="I6378" i="77"/>
  <c r="H6378" i="77"/>
  <c r="G6378" i="77"/>
  <c r="I6377" i="77"/>
  <c r="H6377" i="77"/>
  <c r="G6377" i="77"/>
  <c r="I6376" i="77"/>
  <c r="H6376" i="77"/>
  <c r="G6376" i="77"/>
  <c r="I6375" i="77"/>
  <c r="H6375" i="77"/>
  <c r="G6375" i="77"/>
  <c r="I6374" i="77"/>
  <c r="H6374" i="77"/>
  <c r="G6374" i="77"/>
  <c r="I6373" i="77"/>
  <c r="H6373" i="77"/>
  <c r="G6373" i="77"/>
  <c r="I6372" i="77"/>
  <c r="H6372" i="77"/>
  <c r="G6372" i="77"/>
  <c r="I6371" i="77"/>
  <c r="H6371" i="77"/>
  <c r="G6371" i="77"/>
  <c r="I6370" i="77"/>
  <c r="H6370" i="77"/>
  <c r="G6370" i="77"/>
  <c r="I6369" i="77"/>
  <c r="H6369" i="77"/>
  <c r="G6369" i="77"/>
  <c r="I6368" i="77"/>
  <c r="H6368" i="77"/>
  <c r="G6368" i="77"/>
  <c r="I6367" i="77"/>
  <c r="H6367" i="77"/>
  <c r="G6367" i="77"/>
  <c r="I6366" i="77"/>
  <c r="H6366" i="77"/>
  <c r="G6366" i="77"/>
  <c r="I6365" i="77"/>
  <c r="H6365" i="77"/>
  <c r="G6365" i="77"/>
  <c r="I6364" i="77"/>
  <c r="H6364" i="77"/>
  <c r="G6364" i="77"/>
  <c r="I6363" i="77"/>
  <c r="H6363" i="77"/>
  <c r="G6363" i="77"/>
  <c r="I6362" i="77"/>
  <c r="H6362" i="77"/>
  <c r="G6362" i="77"/>
  <c r="I6361" i="77"/>
  <c r="H6361" i="77"/>
  <c r="G6361" i="77"/>
  <c r="I6360" i="77"/>
  <c r="H6360" i="77"/>
  <c r="G6360" i="77"/>
  <c r="I6359" i="77"/>
  <c r="H6359" i="77"/>
  <c r="G6359" i="77"/>
  <c r="I6358" i="77"/>
  <c r="H6358" i="77"/>
  <c r="G6358" i="77"/>
  <c r="I6357" i="77"/>
  <c r="H6357" i="77"/>
  <c r="G6357" i="77"/>
  <c r="I6356" i="77"/>
  <c r="H6356" i="77"/>
  <c r="G6356" i="77"/>
  <c r="I6355" i="77"/>
  <c r="H6355" i="77"/>
  <c r="G6355" i="77"/>
  <c r="I6354" i="77"/>
  <c r="H6354" i="77"/>
  <c r="G6354" i="77"/>
  <c r="I6353" i="77"/>
  <c r="H6353" i="77"/>
  <c r="G6353" i="77"/>
  <c r="I6352" i="77"/>
  <c r="H6352" i="77"/>
  <c r="G6352" i="77"/>
  <c r="I6351" i="77"/>
  <c r="H6351" i="77"/>
  <c r="G6351" i="77"/>
  <c r="I6350" i="77"/>
  <c r="H6350" i="77"/>
  <c r="G6350" i="77"/>
  <c r="I6349" i="77"/>
  <c r="H6349" i="77"/>
  <c r="G6349" i="77"/>
  <c r="I6348" i="77"/>
  <c r="H6348" i="77"/>
  <c r="G6348" i="77"/>
  <c r="I6347" i="77"/>
  <c r="H6347" i="77"/>
  <c r="G6347" i="77"/>
  <c r="I6346" i="77"/>
  <c r="H6346" i="77"/>
  <c r="G6346" i="77"/>
  <c r="I6345" i="77"/>
  <c r="H6345" i="77"/>
  <c r="G6345" i="77"/>
  <c r="I6344" i="77"/>
  <c r="H6344" i="77"/>
  <c r="G6344" i="77"/>
  <c r="I6343" i="77"/>
  <c r="H6343" i="77"/>
  <c r="G6343" i="77"/>
  <c r="I6342" i="77"/>
  <c r="H6342" i="77"/>
  <c r="G6342" i="77"/>
  <c r="I6341" i="77"/>
  <c r="H6341" i="77"/>
  <c r="G6341" i="77"/>
  <c r="I6340" i="77"/>
  <c r="H6340" i="77"/>
  <c r="G6340" i="77"/>
  <c r="I6339" i="77"/>
  <c r="H6339" i="77"/>
  <c r="G6339" i="77"/>
  <c r="I6338" i="77"/>
  <c r="H6338" i="77"/>
  <c r="G6338" i="77"/>
  <c r="I6337" i="77"/>
  <c r="H6337" i="77"/>
  <c r="G6337" i="77"/>
  <c r="I6336" i="77"/>
  <c r="H6336" i="77"/>
  <c r="G6336" i="77"/>
  <c r="I6335" i="77"/>
  <c r="H6335" i="77"/>
  <c r="G6335" i="77"/>
  <c r="I6334" i="77"/>
  <c r="H6334" i="77"/>
  <c r="G6334" i="77"/>
  <c r="I6333" i="77"/>
  <c r="H6333" i="77"/>
  <c r="G6333" i="77"/>
  <c r="I6332" i="77"/>
  <c r="H6332" i="77"/>
  <c r="G6332" i="77"/>
  <c r="I6331" i="77"/>
  <c r="H6331" i="77"/>
  <c r="G6331" i="77"/>
  <c r="I6330" i="77"/>
  <c r="H6330" i="77"/>
  <c r="G6330" i="77"/>
  <c r="I6329" i="77"/>
  <c r="H6329" i="77"/>
  <c r="G6329" i="77"/>
  <c r="I6328" i="77"/>
  <c r="H6328" i="77"/>
  <c r="G6328" i="77"/>
  <c r="I6327" i="77"/>
  <c r="H6327" i="77"/>
  <c r="G6327" i="77"/>
  <c r="I6326" i="77"/>
  <c r="H6326" i="77"/>
  <c r="G6326" i="77"/>
  <c r="I6325" i="77"/>
  <c r="H6325" i="77"/>
  <c r="G6325" i="77"/>
  <c r="I6324" i="77"/>
  <c r="H6324" i="77"/>
  <c r="G6324" i="77"/>
  <c r="I6323" i="77"/>
  <c r="H6323" i="77"/>
  <c r="G6323" i="77"/>
  <c r="I6322" i="77"/>
  <c r="H6322" i="77"/>
  <c r="G6322" i="77"/>
  <c r="I6321" i="77"/>
  <c r="H6321" i="77"/>
  <c r="G6321" i="77"/>
  <c r="I6320" i="77"/>
  <c r="H6320" i="77"/>
  <c r="G6320" i="77"/>
  <c r="I6319" i="77"/>
  <c r="H6319" i="77"/>
  <c r="G6319" i="77"/>
  <c r="I6318" i="77"/>
  <c r="H6318" i="77"/>
  <c r="G6318" i="77"/>
  <c r="I6317" i="77"/>
  <c r="H6317" i="77"/>
  <c r="G6317" i="77"/>
  <c r="I6316" i="77"/>
  <c r="H6316" i="77"/>
  <c r="G6316" i="77"/>
  <c r="I6315" i="77"/>
  <c r="H6315" i="77"/>
  <c r="G6315" i="77"/>
  <c r="I6314" i="77"/>
  <c r="H6314" i="77"/>
  <c r="G6314" i="77"/>
  <c r="I6313" i="77"/>
  <c r="H6313" i="77"/>
  <c r="G6313" i="77"/>
  <c r="I6312" i="77"/>
  <c r="H6312" i="77"/>
  <c r="G6312" i="77"/>
  <c r="I6311" i="77"/>
  <c r="H6311" i="77"/>
  <c r="G6311" i="77"/>
  <c r="I6310" i="77"/>
  <c r="H6310" i="77"/>
  <c r="G6310" i="77"/>
  <c r="I6309" i="77"/>
  <c r="H6309" i="77"/>
  <c r="G6309" i="77"/>
  <c r="I6308" i="77"/>
  <c r="H6308" i="77"/>
  <c r="G6308" i="77"/>
  <c r="I6307" i="77"/>
  <c r="H6307" i="77"/>
  <c r="G6307" i="77"/>
  <c r="I6306" i="77"/>
  <c r="H6306" i="77"/>
  <c r="G6306" i="77"/>
  <c r="I6305" i="77"/>
  <c r="H6305" i="77"/>
  <c r="G6305" i="77"/>
  <c r="I6304" i="77"/>
  <c r="H6304" i="77"/>
  <c r="G6304" i="77"/>
  <c r="I6303" i="77"/>
  <c r="H6303" i="77"/>
  <c r="G6303" i="77"/>
  <c r="I6302" i="77"/>
  <c r="H6302" i="77"/>
  <c r="G6302" i="77"/>
  <c r="I6301" i="77"/>
  <c r="H6301" i="77"/>
  <c r="G6301" i="77"/>
  <c r="I6300" i="77"/>
  <c r="H6300" i="77"/>
  <c r="G6300" i="77"/>
  <c r="I6299" i="77"/>
  <c r="H6299" i="77"/>
  <c r="G6299" i="77"/>
  <c r="I6298" i="77"/>
  <c r="H6298" i="77"/>
  <c r="G6298" i="77"/>
  <c r="I6297" i="77"/>
  <c r="H6297" i="77"/>
  <c r="G6297" i="77"/>
  <c r="I6296" i="77"/>
  <c r="H6296" i="77"/>
  <c r="G6296" i="77"/>
  <c r="I6295" i="77"/>
  <c r="H6295" i="77"/>
  <c r="G6295" i="77"/>
  <c r="I6294" i="77"/>
  <c r="H6294" i="77"/>
  <c r="G6294" i="77"/>
  <c r="I6293" i="77"/>
  <c r="H6293" i="77"/>
  <c r="G6293" i="77"/>
  <c r="I6292" i="77"/>
  <c r="H6292" i="77"/>
  <c r="G6292" i="77"/>
  <c r="I6291" i="77"/>
  <c r="H6291" i="77"/>
  <c r="G6291" i="77"/>
  <c r="I6290" i="77"/>
  <c r="H6290" i="77"/>
  <c r="G6290" i="77"/>
  <c r="I6289" i="77"/>
  <c r="H6289" i="77"/>
  <c r="G6289" i="77"/>
  <c r="I6288" i="77"/>
  <c r="H6288" i="77"/>
  <c r="G6288" i="77"/>
  <c r="I6287" i="77"/>
  <c r="H6287" i="77"/>
  <c r="G6287" i="77"/>
  <c r="I6286" i="77"/>
  <c r="H6286" i="77"/>
  <c r="G6286" i="77"/>
  <c r="I6285" i="77"/>
  <c r="H6285" i="77"/>
  <c r="G6285" i="77"/>
  <c r="I6284" i="77"/>
  <c r="H6284" i="77"/>
  <c r="G6284" i="77"/>
  <c r="I6283" i="77"/>
  <c r="H6283" i="77"/>
  <c r="G6283" i="77"/>
  <c r="I6282" i="77"/>
  <c r="H6282" i="77"/>
  <c r="G6282" i="77"/>
  <c r="I6281" i="77"/>
  <c r="H6281" i="77"/>
  <c r="G6281" i="77"/>
  <c r="I6280" i="77"/>
  <c r="H6280" i="77"/>
  <c r="G6280" i="77"/>
  <c r="I6279" i="77"/>
  <c r="H6279" i="77"/>
  <c r="G6279" i="77"/>
  <c r="I6278" i="77"/>
  <c r="H6278" i="77"/>
  <c r="G6278" i="77"/>
  <c r="I6277" i="77"/>
  <c r="H6277" i="77"/>
  <c r="G6277" i="77"/>
  <c r="I6276" i="77"/>
  <c r="H6276" i="77"/>
  <c r="G6276" i="77"/>
  <c r="I6275" i="77"/>
  <c r="H6275" i="77"/>
  <c r="G6275" i="77"/>
  <c r="I6274" i="77"/>
  <c r="H6274" i="77"/>
  <c r="G6274" i="77"/>
  <c r="I6273" i="77"/>
  <c r="H6273" i="77"/>
  <c r="G6273" i="77"/>
  <c r="I6272" i="77"/>
  <c r="H6272" i="77"/>
  <c r="G6272" i="77"/>
  <c r="I6271" i="77"/>
  <c r="H6271" i="77"/>
  <c r="G6271" i="77"/>
  <c r="I6270" i="77"/>
  <c r="H6270" i="77"/>
  <c r="G6270" i="77"/>
  <c r="I6269" i="77"/>
  <c r="H6269" i="77"/>
  <c r="G6269" i="77"/>
  <c r="I6268" i="77"/>
  <c r="H6268" i="77"/>
  <c r="G6268" i="77"/>
  <c r="I6267" i="77"/>
  <c r="H6267" i="77"/>
  <c r="G6267" i="77"/>
  <c r="I6266" i="77"/>
  <c r="H6266" i="77"/>
  <c r="G6266" i="77"/>
  <c r="I6265" i="77"/>
  <c r="H6265" i="77"/>
  <c r="G6265" i="77"/>
  <c r="I6264" i="77"/>
  <c r="H6264" i="77"/>
  <c r="G6264" i="77"/>
  <c r="I6263" i="77"/>
  <c r="H6263" i="77"/>
  <c r="G6263" i="77"/>
  <c r="I6262" i="77"/>
  <c r="H6262" i="77"/>
  <c r="G6262" i="77"/>
  <c r="I6261" i="77"/>
  <c r="H6261" i="77"/>
  <c r="G6261" i="77"/>
  <c r="I6260" i="77"/>
  <c r="H6260" i="77"/>
  <c r="G6260" i="77"/>
  <c r="I6259" i="77"/>
  <c r="H6259" i="77"/>
  <c r="G6259" i="77"/>
  <c r="I6258" i="77"/>
  <c r="H6258" i="77"/>
  <c r="G6258" i="77"/>
  <c r="I6257" i="77"/>
  <c r="H6257" i="77"/>
  <c r="G6257" i="77"/>
  <c r="I6256" i="77"/>
  <c r="H6256" i="77"/>
  <c r="G6256" i="77"/>
  <c r="I6255" i="77"/>
  <c r="H6255" i="77"/>
  <c r="G6255" i="77"/>
  <c r="I6254" i="77"/>
  <c r="H6254" i="77"/>
  <c r="G6254" i="77"/>
  <c r="I6253" i="77"/>
  <c r="H6253" i="77"/>
  <c r="G6253" i="77"/>
  <c r="I6252" i="77"/>
  <c r="H6252" i="77"/>
  <c r="G6252" i="77"/>
  <c r="I6251" i="77"/>
  <c r="H6251" i="77"/>
  <c r="G6251" i="77"/>
  <c r="I6250" i="77"/>
  <c r="H6250" i="77"/>
  <c r="G6250" i="77"/>
  <c r="I6249" i="77"/>
  <c r="H6249" i="77"/>
  <c r="G6249" i="77"/>
  <c r="I6248" i="77"/>
  <c r="H6248" i="77"/>
  <c r="G6248" i="77"/>
  <c r="I6247" i="77"/>
  <c r="H6247" i="77"/>
  <c r="G6247" i="77"/>
  <c r="I6246" i="77"/>
  <c r="H6246" i="77"/>
  <c r="G6246" i="77"/>
  <c r="I6245" i="77"/>
  <c r="H6245" i="77"/>
  <c r="G6245" i="77"/>
  <c r="I6244" i="77"/>
  <c r="H6244" i="77"/>
  <c r="G6244" i="77"/>
  <c r="I6243" i="77"/>
  <c r="H6243" i="77"/>
  <c r="G6243" i="77"/>
  <c r="I6242" i="77"/>
  <c r="H6242" i="77"/>
  <c r="G6242" i="77"/>
  <c r="I6241" i="77"/>
  <c r="H6241" i="77"/>
  <c r="G6241" i="77"/>
  <c r="I6240" i="77"/>
  <c r="H6240" i="77"/>
  <c r="G6240" i="77"/>
  <c r="I6239" i="77"/>
  <c r="H6239" i="77"/>
  <c r="G6239" i="77"/>
  <c r="I6238" i="77"/>
  <c r="H6238" i="77"/>
  <c r="G6238" i="77"/>
  <c r="I6237" i="77"/>
  <c r="H6237" i="77"/>
  <c r="G6237" i="77"/>
  <c r="I6236" i="77"/>
  <c r="H6236" i="77"/>
  <c r="G6236" i="77"/>
  <c r="I6235" i="77"/>
  <c r="H6235" i="77"/>
  <c r="G6235" i="77"/>
  <c r="I6234" i="77"/>
  <c r="H6234" i="77"/>
  <c r="G6234" i="77"/>
  <c r="I6233" i="77"/>
  <c r="H6233" i="77"/>
  <c r="G6233" i="77"/>
  <c r="I6232" i="77"/>
  <c r="H6232" i="77"/>
  <c r="G6232" i="77"/>
  <c r="I6231" i="77"/>
  <c r="H6231" i="77"/>
  <c r="G6231" i="77"/>
  <c r="I6230" i="77"/>
  <c r="H6230" i="77"/>
  <c r="G6230" i="77"/>
  <c r="I6229" i="77"/>
  <c r="H6229" i="77"/>
  <c r="G6229" i="77"/>
  <c r="I6228" i="77"/>
  <c r="H6228" i="77"/>
  <c r="G6228" i="77"/>
  <c r="I6227" i="77"/>
  <c r="H6227" i="77"/>
  <c r="G6227" i="77"/>
  <c r="I6226" i="77"/>
  <c r="H6226" i="77"/>
  <c r="G6226" i="77"/>
  <c r="I6225" i="77"/>
  <c r="H6225" i="77"/>
  <c r="G6225" i="77"/>
  <c r="I6224" i="77"/>
  <c r="H6224" i="77"/>
  <c r="G6224" i="77"/>
  <c r="I6223" i="77"/>
  <c r="H6223" i="77"/>
  <c r="G6223" i="77"/>
  <c r="I6222" i="77"/>
  <c r="H6222" i="77"/>
  <c r="G6222" i="77"/>
  <c r="I6221" i="77"/>
  <c r="H6221" i="77"/>
  <c r="G6221" i="77"/>
  <c r="I6220" i="77"/>
  <c r="H6220" i="77"/>
  <c r="G6220" i="77"/>
  <c r="I6219" i="77"/>
  <c r="H6219" i="77"/>
  <c r="G6219" i="77"/>
  <c r="I6218" i="77"/>
  <c r="H6218" i="77"/>
  <c r="G6218" i="77"/>
  <c r="I6217" i="77"/>
  <c r="H6217" i="77"/>
  <c r="G6217" i="77"/>
  <c r="I6216" i="77"/>
  <c r="H6216" i="77"/>
  <c r="G6216" i="77"/>
  <c r="I6215" i="77"/>
  <c r="H6215" i="77"/>
  <c r="G6215" i="77"/>
  <c r="I6214" i="77"/>
  <c r="H6214" i="77"/>
  <c r="G6214" i="77"/>
  <c r="I6213" i="77"/>
  <c r="H6213" i="77"/>
  <c r="G6213" i="77"/>
  <c r="I6212" i="77"/>
  <c r="H6212" i="77"/>
  <c r="G6212" i="77"/>
  <c r="I6211" i="77"/>
  <c r="H6211" i="77"/>
  <c r="G6211" i="77"/>
  <c r="I6210" i="77"/>
  <c r="H6210" i="77"/>
  <c r="G6210" i="77"/>
  <c r="I6209" i="77"/>
  <c r="H6209" i="77"/>
  <c r="G6209" i="77"/>
  <c r="I6208" i="77"/>
  <c r="H6208" i="77"/>
  <c r="G6208" i="77"/>
  <c r="I6207" i="77"/>
  <c r="H6207" i="77"/>
  <c r="G6207" i="77"/>
  <c r="I6206" i="77"/>
  <c r="H6206" i="77"/>
  <c r="G6206" i="77"/>
  <c r="I6205" i="77"/>
  <c r="H6205" i="77"/>
  <c r="G6205" i="77"/>
  <c r="I6204" i="77"/>
  <c r="H6204" i="77"/>
  <c r="G6204" i="77"/>
  <c r="I6203" i="77"/>
  <c r="H6203" i="77"/>
  <c r="G6203" i="77"/>
  <c r="I6202" i="77"/>
  <c r="H6202" i="77"/>
  <c r="G6202" i="77"/>
  <c r="I6201" i="77"/>
  <c r="H6201" i="77"/>
  <c r="G6201" i="77"/>
  <c r="I6200" i="77"/>
  <c r="H6200" i="77"/>
  <c r="G6200" i="77"/>
  <c r="I6199" i="77"/>
  <c r="H6199" i="77"/>
  <c r="G6199" i="77"/>
  <c r="I6198" i="77"/>
  <c r="H6198" i="77"/>
  <c r="G6198" i="77"/>
  <c r="I6197" i="77"/>
  <c r="H6197" i="77"/>
  <c r="G6197" i="77"/>
  <c r="I6196" i="77"/>
  <c r="H6196" i="77"/>
  <c r="G6196" i="77"/>
  <c r="I6195" i="77"/>
  <c r="H6195" i="77"/>
  <c r="G6195" i="77"/>
  <c r="I6194" i="77"/>
  <c r="H6194" i="77"/>
  <c r="G6194" i="77"/>
  <c r="I6193" i="77"/>
  <c r="H6193" i="77"/>
  <c r="G6193" i="77"/>
  <c r="I6192" i="77"/>
  <c r="H6192" i="77"/>
  <c r="G6192" i="77"/>
  <c r="I6191" i="77"/>
  <c r="H6191" i="77"/>
  <c r="G6191" i="77"/>
  <c r="I6190" i="77"/>
  <c r="H6190" i="77"/>
  <c r="G6190" i="77"/>
  <c r="I6189" i="77"/>
  <c r="H6189" i="77"/>
  <c r="G6189" i="77"/>
  <c r="I6188" i="77"/>
  <c r="H6188" i="77"/>
  <c r="G6188" i="77"/>
  <c r="I6187" i="77"/>
  <c r="H6187" i="77"/>
  <c r="G6187" i="77"/>
  <c r="I6186" i="77"/>
  <c r="H6186" i="77"/>
  <c r="G6186" i="77"/>
  <c r="I6185" i="77"/>
  <c r="H6185" i="77"/>
  <c r="G6185" i="77"/>
  <c r="I6184" i="77"/>
  <c r="H6184" i="77"/>
  <c r="G6184" i="77"/>
  <c r="I6183" i="77"/>
  <c r="H6183" i="77"/>
  <c r="G6183" i="77"/>
  <c r="I6182" i="77"/>
  <c r="H6182" i="77"/>
  <c r="G6182" i="77"/>
  <c r="I6181" i="77"/>
  <c r="H6181" i="77"/>
  <c r="G6181" i="77"/>
  <c r="I6180" i="77"/>
  <c r="H6180" i="77"/>
  <c r="G6180" i="77"/>
  <c r="I6179" i="77"/>
  <c r="H6179" i="77"/>
  <c r="G6179" i="77"/>
  <c r="I6178" i="77"/>
  <c r="H6178" i="77"/>
  <c r="G6178" i="77"/>
  <c r="I6177" i="77"/>
  <c r="H6177" i="77"/>
  <c r="G6177" i="77"/>
  <c r="I6176" i="77"/>
  <c r="H6176" i="77"/>
  <c r="G6176" i="77"/>
  <c r="I6175" i="77"/>
  <c r="H6175" i="77"/>
  <c r="G6175" i="77"/>
  <c r="I6174" i="77"/>
  <c r="H6174" i="77"/>
  <c r="G6174" i="77"/>
  <c r="I6173" i="77"/>
  <c r="H6173" i="77"/>
  <c r="G6173" i="77"/>
  <c r="I6172" i="77"/>
  <c r="H6172" i="77"/>
  <c r="G6172" i="77"/>
  <c r="I6171" i="77"/>
  <c r="H6171" i="77"/>
  <c r="G6171" i="77"/>
  <c r="I6170" i="77"/>
  <c r="H6170" i="77"/>
  <c r="G6170" i="77"/>
  <c r="I6169" i="77"/>
  <c r="H6169" i="77"/>
  <c r="G6169" i="77"/>
  <c r="I6168" i="77"/>
  <c r="H6168" i="77"/>
  <c r="G6168" i="77"/>
  <c r="I6167" i="77"/>
  <c r="H6167" i="77"/>
  <c r="G6167" i="77"/>
  <c r="I6166" i="77"/>
  <c r="H6166" i="77"/>
  <c r="G6166" i="77"/>
  <c r="I6165" i="77"/>
  <c r="H6165" i="77"/>
  <c r="G6165" i="77"/>
  <c r="I6164" i="77"/>
  <c r="H6164" i="77"/>
  <c r="G6164" i="77"/>
  <c r="I6163" i="77"/>
  <c r="H6163" i="77"/>
  <c r="G6163" i="77"/>
  <c r="I6162" i="77"/>
  <c r="H6162" i="77"/>
  <c r="G6162" i="77"/>
  <c r="I6161" i="77"/>
  <c r="H6161" i="77"/>
  <c r="G6161" i="77"/>
  <c r="I6160" i="77"/>
  <c r="H6160" i="77"/>
  <c r="G6160" i="77"/>
  <c r="I6159" i="77"/>
  <c r="H6159" i="77"/>
  <c r="G6159" i="77"/>
  <c r="I6158" i="77"/>
  <c r="H6158" i="77"/>
  <c r="G6158" i="77"/>
  <c r="I6157" i="77"/>
  <c r="H6157" i="77"/>
  <c r="G6157" i="77"/>
  <c r="I6156" i="77"/>
  <c r="H6156" i="77"/>
  <c r="G6156" i="77"/>
  <c r="I6155" i="77"/>
  <c r="H6155" i="77"/>
  <c r="G6155" i="77"/>
  <c r="I6154" i="77"/>
  <c r="H6154" i="77"/>
  <c r="G6154" i="77"/>
  <c r="I6153" i="77"/>
  <c r="H6153" i="77"/>
  <c r="G6153" i="77"/>
  <c r="I6152" i="77"/>
  <c r="H6152" i="77"/>
  <c r="G6152" i="77"/>
  <c r="I6151" i="77"/>
  <c r="H6151" i="77"/>
  <c r="G6151" i="77"/>
  <c r="I6150" i="77"/>
  <c r="H6150" i="77"/>
  <c r="G6150" i="77"/>
  <c r="I6149" i="77"/>
  <c r="H6149" i="77"/>
  <c r="G6149" i="77"/>
  <c r="I6148" i="77"/>
  <c r="H6148" i="77"/>
  <c r="G6148" i="77"/>
  <c r="I6147" i="77"/>
  <c r="H6147" i="77"/>
  <c r="G6147" i="77"/>
  <c r="I6146" i="77"/>
  <c r="H6146" i="77"/>
  <c r="G6146" i="77"/>
  <c r="I6145" i="77"/>
  <c r="H6145" i="77"/>
  <c r="G6145" i="77"/>
  <c r="I6144" i="77"/>
  <c r="H6144" i="77"/>
  <c r="G6144" i="77"/>
  <c r="I6143" i="77"/>
  <c r="H6143" i="77"/>
  <c r="G6143" i="77"/>
  <c r="I6142" i="77"/>
  <c r="H6142" i="77"/>
  <c r="G6142" i="77"/>
  <c r="I6141" i="77"/>
  <c r="H6141" i="77"/>
  <c r="G6141" i="77"/>
  <c r="I6140" i="77"/>
  <c r="H6140" i="77"/>
  <c r="G6140" i="77"/>
  <c r="I6139" i="77"/>
  <c r="H6139" i="77"/>
  <c r="G6139" i="77"/>
  <c r="I6138" i="77"/>
  <c r="H6138" i="77"/>
  <c r="G6138" i="77"/>
  <c r="I6137" i="77"/>
  <c r="H6137" i="77"/>
  <c r="G6137" i="77"/>
  <c r="I6136" i="77"/>
  <c r="H6136" i="77"/>
  <c r="G6136" i="77"/>
  <c r="I6135" i="77"/>
  <c r="H6135" i="77"/>
  <c r="G6135" i="77"/>
  <c r="I6134" i="77"/>
  <c r="H6134" i="77"/>
  <c r="G6134" i="77"/>
  <c r="I6133" i="77"/>
  <c r="H6133" i="77"/>
  <c r="G6133" i="77"/>
  <c r="I6132" i="77"/>
  <c r="H6132" i="77"/>
  <c r="G6132" i="77"/>
  <c r="I6131" i="77"/>
  <c r="H6131" i="77"/>
  <c r="G6131" i="77"/>
  <c r="I6130" i="77"/>
  <c r="H6130" i="77"/>
  <c r="G6130" i="77"/>
  <c r="I6129" i="77"/>
  <c r="H6129" i="77"/>
  <c r="G6129" i="77"/>
  <c r="I6128" i="77"/>
  <c r="H6128" i="77"/>
  <c r="G6128" i="77"/>
  <c r="I6127" i="77"/>
  <c r="H6127" i="77"/>
  <c r="G6127" i="77"/>
  <c r="I6126" i="77"/>
  <c r="H6126" i="77"/>
  <c r="G6126" i="77"/>
  <c r="I6125" i="77"/>
  <c r="H6125" i="77"/>
  <c r="G6125" i="77"/>
  <c r="I6124" i="77"/>
  <c r="H6124" i="77"/>
  <c r="G6124" i="77"/>
  <c r="I6123" i="77"/>
  <c r="H6123" i="77"/>
  <c r="G6123" i="77"/>
  <c r="I6122" i="77"/>
  <c r="H6122" i="77"/>
  <c r="G6122" i="77"/>
  <c r="I6121" i="77"/>
  <c r="H6121" i="77"/>
  <c r="G6121" i="77"/>
  <c r="I6120" i="77"/>
  <c r="H6120" i="77"/>
  <c r="G6120" i="77"/>
  <c r="I6119" i="77"/>
  <c r="H6119" i="77"/>
  <c r="G6119" i="77"/>
  <c r="I6118" i="77"/>
  <c r="H6118" i="77"/>
  <c r="G6118" i="77"/>
  <c r="I6117" i="77"/>
  <c r="H6117" i="77"/>
  <c r="G6117" i="77"/>
  <c r="I6116" i="77"/>
  <c r="H6116" i="77"/>
  <c r="G6116" i="77"/>
  <c r="I6115" i="77"/>
  <c r="H6115" i="77"/>
  <c r="G6115" i="77"/>
  <c r="I6114" i="77"/>
  <c r="H6114" i="77"/>
  <c r="G6114" i="77"/>
  <c r="I6113" i="77"/>
  <c r="H6113" i="77"/>
  <c r="G6113" i="77"/>
  <c r="I6112" i="77"/>
  <c r="H6112" i="77"/>
  <c r="G6112" i="77"/>
  <c r="I6111" i="77"/>
  <c r="H6111" i="77"/>
  <c r="G6111" i="77"/>
  <c r="I6110" i="77"/>
  <c r="H6110" i="77"/>
  <c r="G6110" i="77"/>
  <c r="I6109" i="77"/>
  <c r="H6109" i="77"/>
  <c r="G6109" i="77"/>
  <c r="I6108" i="77"/>
  <c r="H6108" i="77"/>
  <c r="G6108" i="77"/>
  <c r="I6107" i="77"/>
  <c r="H6107" i="77"/>
  <c r="G6107" i="77"/>
  <c r="I6106" i="77"/>
  <c r="H6106" i="77"/>
  <c r="G6106" i="77"/>
  <c r="I6105" i="77"/>
  <c r="H6105" i="77"/>
  <c r="G6105" i="77"/>
  <c r="I6104" i="77"/>
  <c r="H6104" i="77"/>
  <c r="G6104" i="77"/>
  <c r="I6103" i="77"/>
  <c r="H6103" i="77"/>
  <c r="G6103" i="77"/>
  <c r="I6102" i="77"/>
  <c r="H6102" i="77"/>
  <c r="G6102" i="77"/>
  <c r="I6101" i="77"/>
  <c r="H6101" i="77"/>
  <c r="G6101" i="77"/>
  <c r="I6100" i="77"/>
  <c r="H6100" i="77"/>
  <c r="G6100" i="77"/>
  <c r="I6099" i="77"/>
  <c r="H6099" i="77"/>
  <c r="G6099" i="77"/>
  <c r="I6098" i="77"/>
  <c r="H6098" i="77"/>
  <c r="G6098" i="77"/>
  <c r="I6097" i="77"/>
  <c r="H6097" i="77"/>
  <c r="G6097" i="77"/>
  <c r="I6096" i="77"/>
  <c r="H6096" i="77"/>
  <c r="G6096" i="77"/>
  <c r="I6095" i="77"/>
  <c r="H6095" i="77"/>
  <c r="G6095" i="77"/>
  <c r="I6094" i="77"/>
  <c r="H6094" i="77"/>
  <c r="G6094" i="77"/>
  <c r="I6093" i="77"/>
  <c r="H6093" i="77"/>
  <c r="G6093" i="77"/>
  <c r="I6092" i="77"/>
  <c r="H6092" i="77"/>
  <c r="G6092" i="77"/>
  <c r="I6091" i="77"/>
  <c r="H6091" i="77"/>
  <c r="G6091" i="77"/>
  <c r="I6090" i="77"/>
  <c r="H6090" i="77"/>
  <c r="G6090" i="77"/>
  <c r="I6089" i="77"/>
  <c r="H6089" i="77"/>
  <c r="G6089" i="77"/>
  <c r="I6088" i="77"/>
  <c r="H6088" i="77"/>
  <c r="G6088" i="77"/>
  <c r="I6087" i="77"/>
  <c r="H6087" i="77"/>
  <c r="G6087" i="77"/>
  <c r="I6086" i="77"/>
  <c r="H6086" i="77"/>
  <c r="G6086" i="77"/>
  <c r="I6085" i="77"/>
  <c r="H6085" i="77"/>
  <c r="G6085" i="77"/>
  <c r="I6084" i="77"/>
  <c r="H6084" i="77"/>
  <c r="G6084" i="77"/>
  <c r="I6083" i="77"/>
  <c r="H6083" i="77"/>
  <c r="G6083" i="77"/>
  <c r="I6082" i="77"/>
  <c r="H6082" i="77"/>
  <c r="G6082" i="77"/>
  <c r="I6081" i="77"/>
  <c r="H6081" i="77"/>
  <c r="G6081" i="77"/>
  <c r="I6080" i="77"/>
  <c r="H6080" i="77"/>
  <c r="G6080" i="77"/>
  <c r="I6079" i="77"/>
  <c r="H6079" i="77"/>
  <c r="G6079" i="77"/>
  <c r="I6078" i="77"/>
  <c r="H6078" i="77"/>
  <c r="G6078" i="77"/>
  <c r="I6077" i="77"/>
  <c r="H6077" i="77"/>
  <c r="G6077" i="77"/>
  <c r="I6076" i="77"/>
  <c r="H6076" i="77"/>
  <c r="G6076" i="77"/>
  <c r="I6075" i="77"/>
  <c r="H6075" i="77"/>
  <c r="G6075" i="77"/>
  <c r="I6074" i="77"/>
  <c r="H6074" i="77"/>
  <c r="G6074" i="77"/>
  <c r="I6073" i="77"/>
  <c r="H6073" i="77"/>
  <c r="G6073" i="77"/>
  <c r="I6072" i="77"/>
  <c r="H6072" i="77"/>
  <c r="G6072" i="77"/>
  <c r="I6071" i="77"/>
  <c r="H6071" i="77"/>
  <c r="G6071" i="77"/>
  <c r="I6070" i="77"/>
  <c r="H6070" i="77"/>
  <c r="G6070" i="77"/>
  <c r="I6069" i="77"/>
  <c r="H6069" i="77"/>
  <c r="G6069" i="77"/>
  <c r="I6068" i="77"/>
  <c r="H6068" i="77"/>
  <c r="G6068" i="77"/>
  <c r="I6067" i="77"/>
  <c r="H6067" i="77"/>
  <c r="G6067" i="77"/>
  <c r="I6066" i="77"/>
  <c r="H6066" i="77"/>
  <c r="G6066" i="77"/>
  <c r="I6065" i="77"/>
  <c r="H6065" i="77"/>
  <c r="G6065" i="77"/>
  <c r="I6064" i="77"/>
  <c r="H6064" i="77"/>
  <c r="G6064" i="77"/>
  <c r="I6063" i="77"/>
  <c r="H6063" i="77"/>
  <c r="G6063" i="77"/>
  <c r="I6062" i="77"/>
  <c r="H6062" i="77"/>
  <c r="G6062" i="77"/>
  <c r="I6061" i="77"/>
  <c r="H6061" i="77"/>
  <c r="G6061" i="77"/>
  <c r="I6060" i="77"/>
  <c r="H6060" i="77"/>
  <c r="G6060" i="77"/>
  <c r="I6059" i="77"/>
  <c r="H6059" i="77"/>
  <c r="G6059" i="77"/>
  <c r="I6058" i="77"/>
  <c r="H6058" i="77"/>
  <c r="G6058" i="77"/>
  <c r="I6057" i="77"/>
  <c r="H6057" i="77"/>
  <c r="G6057" i="77"/>
  <c r="I6056" i="77"/>
  <c r="H6056" i="77"/>
  <c r="G6056" i="77"/>
  <c r="I6055" i="77"/>
  <c r="H6055" i="77"/>
  <c r="G6055" i="77"/>
  <c r="I6054" i="77"/>
  <c r="H6054" i="77"/>
  <c r="G6054" i="77"/>
  <c r="I6053" i="77"/>
  <c r="H6053" i="77"/>
  <c r="G6053" i="77"/>
  <c r="I6052" i="77"/>
  <c r="H6052" i="77"/>
  <c r="G6052" i="77"/>
  <c r="I6051" i="77"/>
  <c r="H6051" i="77"/>
  <c r="G6051" i="77"/>
  <c r="I6050" i="77"/>
  <c r="H6050" i="77"/>
  <c r="G6050" i="77"/>
  <c r="I6049" i="77"/>
  <c r="H6049" i="77"/>
  <c r="G6049" i="77"/>
  <c r="I6048" i="77"/>
  <c r="H6048" i="77"/>
  <c r="G6048" i="77"/>
  <c r="I6047" i="77"/>
  <c r="H6047" i="77"/>
  <c r="G6047" i="77"/>
  <c r="I6046" i="77"/>
  <c r="H6046" i="77"/>
  <c r="G6046" i="77"/>
  <c r="I6045" i="77"/>
  <c r="H6045" i="77"/>
  <c r="G6045" i="77"/>
  <c r="I6044" i="77"/>
  <c r="H6044" i="77"/>
  <c r="G6044" i="77"/>
  <c r="I6043" i="77"/>
  <c r="H6043" i="77"/>
  <c r="G6043" i="77"/>
  <c r="I6042" i="77"/>
  <c r="H6042" i="77"/>
  <c r="G6042" i="77"/>
  <c r="I6041" i="77"/>
  <c r="H6041" i="77"/>
  <c r="G6041" i="77"/>
  <c r="I6040" i="77"/>
  <c r="H6040" i="77"/>
  <c r="G6040" i="77"/>
  <c r="I6039" i="77"/>
  <c r="H6039" i="77"/>
  <c r="G6039" i="77"/>
  <c r="I6038" i="77"/>
  <c r="H6038" i="77"/>
  <c r="G6038" i="77"/>
  <c r="I6037" i="77"/>
  <c r="H6037" i="77"/>
  <c r="G6037" i="77"/>
  <c r="I6036" i="77"/>
  <c r="H6036" i="77"/>
  <c r="G6036" i="77"/>
  <c r="I6035" i="77"/>
  <c r="H6035" i="77"/>
  <c r="G6035" i="77"/>
  <c r="I6034" i="77"/>
  <c r="H6034" i="77"/>
  <c r="G6034" i="77"/>
  <c r="I6033" i="77"/>
  <c r="H6033" i="77"/>
  <c r="G6033" i="77"/>
  <c r="I6032" i="77"/>
  <c r="H6032" i="77"/>
  <c r="G6032" i="77"/>
  <c r="I6031" i="77"/>
  <c r="H6031" i="77"/>
  <c r="G6031" i="77"/>
  <c r="I6030" i="77"/>
  <c r="H6030" i="77"/>
  <c r="G6030" i="77"/>
  <c r="I6029" i="77"/>
  <c r="H6029" i="77"/>
  <c r="G6029" i="77"/>
  <c r="I6028" i="77"/>
  <c r="H6028" i="77"/>
  <c r="G6028" i="77"/>
  <c r="I6027" i="77"/>
  <c r="H6027" i="77"/>
  <c r="G6027" i="77"/>
  <c r="I6026" i="77"/>
  <c r="H6026" i="77"/>
  <c r="G6026" i="77"/>
  <c r="I6025" i="77"/>
  <c r="H6025" i="77"/>
  <c r="G6025" i="77"/>
  <c r="I6024" i="77"/>
  <c r="H6024" i="77"/>
  <c r="G6024" i="77"/>
  <c r="I6023" i="77"/>
  <c r="H6023" i="77"/>
  <c r="G6023" i="77"/>
  <c r="I6022" i="77"/>
  <c r="H6022" i="77"/>
  <c r="G6022" i="77"/>
  <c r="I6021" i="77"/>
  <c r="H6021" i="77"/>
  <c r="G6021" i="77"/>
  <c r="I6020" i="77"/>
  <c r="H6020" i="77"/>
  <c r="G6020" i="77"/>
  <c r="I6019" i="77"/>
  <c r="H6019" i="77"/>
  <c r="G6019" i="77"/>
  <c r="I6018" i="77"/>
  <c r="H6018" i="77"/>
  <c r="G6018" i="77"/>
  <c r="I6017" i="77"/>
  <c r="H6017" i="77"/>
  <c r="G6017" i="77"/>
  <c r="I6016" i="77"/>
  <c r="H6016" i="77"/>
  <c r="G6016" i="77"/>
  <c r="I6015" i="77"/>
  <c r="H6015" i="77"/>
  <c r="G6015" i="77"/>
  <c r="I6014" i="77"/>
  <c r="H6014" i="77"/>
  <c r="G6014" i="77"/>
  <c r="I6013" i="77"/>
  <c r="H6013" i="77"/>
  <c r="G6013" i="77"/>
  <c r="I6012" i="77"/>
  <c r="H6012" i="77"/>
  <c r="G6012" i="77"/>
  <c r="I6011" i="77"/>
  <c r="H6011" i="77"/>
  <c r="G6011" i="77"/>
  <c r="I6010" i="77"/>
  <c r="H6010" i="77"/>
  <c r="G6010" i="77"/>
  <c r="I6009" i="77"/>
  <c r="H6009" i="77"/>
  <c r="G6009" i="77"/>
  <c r="I6008" i="77"/>
  <c r="H6008" i="77"/>
  <c r="G6008" i="77"/>
  <c r="I6007" i="77"/>
  <c r="H6007" i="77"/>
  <c r="G6007" i="77"/>
  <c r="I6006" i="77"/>
  <c r="H6006" i="77"/>
  <c r="G6006" i="77"/>
  <c r="I6005" i="77"/>
  <c r="H6005" i="77"/>
  <c r="G6005" i="77"/>
  <c r="I6004" i="77"/>
  <c r="H6004" i="77"/>
  <c r="G6004" i="77"/>
  <c r="I6003" i="77"/>
  <c r="H6003" i="77"/>
  <c r="G6003" i="77"/>
  <c r="I6002" i="77"/>
  <c r="H6002" i="77"/>
  <c r="G6002" i="77"/>
  <c r="I6001" i="77"/>
  <c r="H6001" i="77"/>
  <c r="G6001" i="77"/>
  <c r="I6000" i="77"/>
  <c r="H6000" i="77"/>
  <c r="G6000" i="77"/>
  <c r="I5999" i="77"/>
  <c r="H5999" i="77"/>
  <c r="G5999" i="77"/>
  <c r="I5998" i="77"/>
  <c r="H5998" i="77"/>
  <c r="G5998" i="77"/>
  <c r="I5997" i="77"/>
  <c r="H5997" i="77"/>
  <c r="G5997" i="77"/>
  <c r="I5996" i="77"/>
  <c r="H5996" i="77"/>
  <c r="G5996" i="77"/>
  <c r="I5995" i="77"/>
  <c r="H5995" i="77"/>
  <c r="G5995" i="77"/>
  <c r="I5994" i="77"/>
  <c r="H5994" i="77"/>
  <c r="G5994" i="77"/>
  <c r="I5993" i="77"/>
  <c r="H5993" i="77"/>
  <c r="G5993" i="77"/>
  <c r="I5992" i="77"/>
  <c r="H5992" i="77"/>
  <c r="G5992" i="77"/>
  <c r="I5991" i="77"/>
  <c r="H5991" i="77"/>
  <c r="G5991" i="77"/>
  <c r="I5990" i="77"/>
  <c r="H5990" i="77"/>
  <c r="G5990" i="77"/>
  <c r="I5989" i="77"/>
  <c r="H5989" i="77"/>
  <c r="G5989" i="77"/>
  <c r="I5988" i="77"/>
  <c r="H5988" i="77"/>
  <c r="G5988" i="77"/>
  <c r="I5987" i="77"/>
  <c r="H5987" i="77"/>
  <c r="G5987" i="77"/>
  <c r="I5986" i="77"/>
  <c r="H5986" i="77"/>
  <c r="G5986" i="77"/>
  <c r="I5985" i="77"/>
  <c r="H5985" i="77"/>
  <c r="G5985" i="77"/>
  <c r="I5984" i="77"/>
  <c r="H5984" i="77"/>
  <c r="G5984" i="77"/>
  <c r="I5983" i="77"/>
  <c r="H5983" i="77"/>
  <c r="G5983" i="77"/>
  <c r="I5982" i="77"/>
  <c r="H5982" i="77"/>
  <c r="G5982" i="77"/>
  <c r="I5981" i="77"/>
  <c r="H5981" i="77"/>
  <c r="G5981" i="77"/>
  <c r="I5980" i="77"/>
  <c r="H5980" i="77"/>
  <c r="G5980" i="77"/>
  <c r="I5979" i="77"/>
  <c r="H5979" i="77"/>
  <c r="G5979" i="77"/>
  <c r="I5978" i="77"/>
  <c r="H5978" i="77"/>
  <c r="G5978" i="77"/>
  <c r="I5977" i="77"/>
  <c r="H5977" i="77"/>
  <c r="G5977" i="77"/>
  <c r="I5976" i="77"/>
  <c r="H5976" i="77"/>
  <c r="G5976" i="77"/>
  <c r="I5975" i="77"/>
  <c r="H5975" i="77"/>
  <c r="G5975" i="77"/>
  <c r="I5974" i="77"/>
  <c r="H5974" i="77"/>
  <c r="G5974" i="77"/>
  <c r="I5973" i="77"/>
  <c r="H5973" i="77"/>
  <c r="G5973" i="77"/>
  <c r="I5972" i="77"/>
  <c r="H5972" i="77"/>
  <c r="G5972" i="77"/>
  <c r="I5971" i="77"/>
  <c r="H5971" i="77"/>
  <c r="G5971" i="77"/>
  <c r="I5970" i="77"/>
  <c r="H5970" i="77"/>
  <c r="G5970" i="77"/>
  <c r="I5969" i="77"/>
  <c r="H5969" i="77"/>
  <c r="G5969" i="77"/>
  <c r="I5968" i="77"/>
  <c r="H5968" i="77"/>
  <c r="G5968" i="77"/>
  <c r="I5967" i="77"/>
  <c r="H5967" i="77"/>
  <c r="G5967" i="77"/>
  <c r="I5966" i="77"/>
  <c r="H5966" i="77"/>
  <c r="G5966" i="77"/>
  <c r="I5965" i="77"/>
  <c r="H5965" i="77"/>
  <c r="G5965" i="77"/>
  <c r="I5964" i="77"/>
  <c r="H5964" i="77"/>
  <c r="G5964" i="77"/>
  <c r="I5963" i="77"/>
  <c r="H5963" i="77"/>
  <c r="G5963" i="77"/>
  <c r="I5962" i="77"/>
  <c r="H5962" i="77"/>
  <c r="G5962" i="77"/>
  <c r="I5961" i="77"/>
  <c r="H5961" i="77"/>
  <c r="G5961" i="77"/>
  <c r="I5960" i="77"/>
  <c r="H5960" i="77"/>
  <c r="G5960" i="77"/>
  <c r="I5959" i="77"/>
  <c r="H5959" i="77"/>
  <c r="G5959" i="77"/>
  <c r="I5958" i="77"/>
  <c r="H5958" i="77"/>
  <c r="G5958" i="77"/>
  <c r="I5957" i="77"/>
  <c r="H5957" i="77"/>
  <c r="G5957" i="77"/>
  <c r="I5956" i="77"/>
  <c r="H5956" i="77"/>
  <c r="G5956" i="77"/>
  <c r="I5955" i="77"/>
  <c r="H5955" i="77"/>
  <c r="G5955" i="77"/>
  <c r="I5954" i="77"/>
  <c r="H5954" i="77"/>
  <c r="G5954" i="77"/>
  <c r="I5953" i="77"/>
  <c r="H5953" i="77"/>
  <c r="G5953" i="77"/>
  <c r="I5952" i="77"/>
  <c r="H5952" i="77"/>
  <c r="G5952" i="77"/>
  <c r="I5951" i="77"/>
  <c r="H5951" i="77"/>
  <c r="G5951" i="77"/>
  <c r="I5950" i="77"/>
  <c r="H5950" i="77"/>
  <c r="G5950" i="77"/>
  <c r="I5949" i="77"/>
  <c r="H5949" i="77"/>
  <c r="G5949" i="77"/>
  <c r="I5948" i="77"/>
  <c r="H5948" i="77"/>
  <c r="G5948" i="77"/>
  <c r="I5947" i="77"/>
  <c r="H5947" i="77"/>
  <c r="G5947" i="77"/>
  <c r="I5946" i="77"/>
  <c r="H5946" i="77"/>
  <c r="G5946" i="77"/>
  <c r="I5945" i="77"/>
  <c r="H5945" i="77"/>
  <c r="G5945" i="77"/>
  <c r="I5944" i="77"/>
  <c r="H5944" i="77"/>
  <c r="G5944" i="77"/>
  <c r="I5943" i="77"/>
  <c r="H5943" i="77"/>
  <c r="G5943" i="77"/>
  <c r="I5942" i="77"/>
  <c r="H5942" i="77"/>
  <c r="G5942" i="77"/>
  <c r="I5941" i="77"/>
  <c r="H5941" i="77"/>
  <c r="G5941" i="77"/>
  <c r="I5940" i="77"/>
  <c r="H5940" i="77"/>
  <c r="G5940" i="77"/>
  <c r="I5939" i="77"/>
  <c r="H5939" i="77"/>
  <c r="G5939" i="77"/>
  <c r="I5938" i="77"/>
  <c r="H5938" i="77"/>
  <c r="G5938" i="77"/>
  <c r="I5937" i="77"/>
  <c r="H5937" i="77"/>
  <c r="G5937" i="77"/>
  <c r="I5936" i="77"/>
  <c r="H5936" i="77"/>
  <c r="G5936" i="77"/>
  <c r="I5935" i="77"/>
  <c r="H5935" i="77"/>
  <c r="G5935" i="77"/>
  <c r="I5934" i="77"/>
  <c r="H5934" i="77"/>
  <c r="G5934" i="77"/>
  <c r="I5933" i="77"/>
  <c r="H5933" i="77"/>
  <c r="G5933" i="77"/>
  <c r="I5932" i="77"/>
  <c r="H5932" i="77"/>
  <c r="G5932" i="77"/>
  <c r="I5931" i="77"/>
  <c r="H5931" i="77"/>
  <c r="G5931" i="77"/>
  <c r="I5930" i="77"/>
  <c r="H5930" i="77"/>
  <c r="G5930" i="77"/>
  <c r="I5929" i="77"/>
  <c r="H5929" i="77"/>
  <c r="G5929" i="77"/>
  <c r="I5928" i="77"/>
  <c r="H5928" i="77"/>
  <c r="G5928" i="77"/>
  <c r="I5927" i="77"/>
  <c r="H5927" i="77"/>
  <c r="G5927" i="77"/>
  <c r="I5926" i="77"/>
  <c r="H5926" i="77"/>
  <c r="G5926" i="77"/>
  <c r="I5925" i="77"/>
  <c r="H5925" i="77"/>
  <c r="G5925" i="77"/>
  <c r="I5924" i="77"/>
  <c r="H5924" i="77"/>
  <c r="G5924" i="77"/>
  <c r="I5923" i="77"/>
  <c r="H5923" i="77"/>
  <c r="G5923" i="77"/>
  <c r="I5922" i="77"/>
  <c r="H5922" i="77"/>
  <c r="G5922" i="77"/>
  <c r="I5921" i="77"/>
  <c r="H5921" i="77"/>
  <c r="G5921" i="77"/>
  <c r="I5920" i="77"/>
  <c r="H5920" i="77"/>
  <c r="G5920" i="77"/>
  <c r="I5919" i="77"/>
  <c r="H5919" i="77"/>
  <c r="G5919" i="77"/>
  <c r="I5918" i="77"/>
  <c r="H5918" i="77"/>
  <c r="G5918" i="77"/>
  <c r="I5917" i="77"/>
  <c r="H5917" i="77"/>
  <c r="G5917" i="77"/>
  <c r="I5916" i="77"/>
  <c r="H5916" i="77"/>
  <c r="G5916" i="77"/>
  <c r="I5915" i="77"/>
  <c r="H5915" i="77"/>
  <c r="G5915" i="77"/>
  <c r="I5914" i="77"/>
  <c r="H5914" i="77"/>
  <c r="G5914" i="77"/>
  <c r="I5913" i="77"/>
  <c r="H5913" i="77"/>
  <c r="G5913" i="77"/>
  <c r="I5912" i="77"/>
  <c r="H5912" i="77"/>
  <c r="G5912" i="77"/>
  <c r="I5911" i="77"/>
  <c r="H5911" i="77"/>
  <c r="G5911" i="77"/>
  <c r="I5910" i="77"/>
  <c r="H5910" i="77"/>
  <c r="G5910" i="77"/>
  <c r="I5909" i="77"/>
  <c r="H5909" i="77"/>
  <c r="G5909" i="77"/>
  <c r="I5908" i="77"/>
  <c r="H5908" i="77"/>
  <c r="G5908" i="77"/>
  <c r="I5907" i="77"/>
  <c r="H5907" i="77"/>
  <c r="G5907" i="77"/>
  <c r="I5906" i="77"/>
  <c r="H5906" i="77"/>
  <c r="G5906" i="77"/>
  <c r="I5905" i="77"/>
  <c r="H5905" i="77"/>
  <c r="G5905" i="77"/>
  <c r="I5904" i="77"/>
  <c r="H5904" i="77"/>
  <c r="G5904" i="77"/>
  <c r="I5903" i="77"/>
  <c r="H5903" i="77"/>
  <c r="G5903" i="77"/>
  <c r="I5902" i="77"/>
  <c r="H5902" i="77"/>
  <c r="G5902" i="77"/>
  <c r="I5901" i="77"/>
  <c r="H5901" i="77"/>
  <c r="G5901" i="77"/>
  <c r="I5900" i="77"/>
  <c r="H5900" i="77"/>
  <c r="G5900" i="77"/>
  <c r="I5899" i="77"/>
  <c r="H5899" i="77"/>
  <c r="G5899" i="77"/>
  <c r="I5898" i="77"/>
  <c r="H5898" i="77"/>
  <c r="G5898" i="77"/>
  <c r="I5897" i="77"/>
  <c r="H5897" i="77"/>
  <c r="G5897" i="77"/>
  <c r="I5896" i="77"/>
  <c r="H5896" i="77"/>
  <c r="G5896" i="77"/>
  <c r="I5895" i="77"/>
  <c r="H5895" i="77"/>
  <c r="G5895" i="77"/>
  <c r="I5894" i="77"/>
  <c r="H5894" i="77"/>
  <c r="G5894" i="77"/>
  <c r="I5893" i="77"/>
  <c r="H5893" i="77"/>
  <c r="G5893" i="77"/>
  <c r="I5892" i="77"/>
  <c r="H5892" i="77"/>
  <c r="G5892" i="77"/>
  <c r="I5891" i="77"/>
  <c r="H5891" i="77"/>
  <c r="G5891" i="77"/>
  <c r="I5890" i="77"/>
  <c r="H5890" i="77"/>
  <c r="G5890" i="77"/>
  <c r="I5889" i="77"/>
  <c r="H5889" i="77"/>
  <c r="G5889" i="77"/>
  <c r="I5888" i="77"/>
  <c r="H5888" i="77"/>
  <c r="G5888" i="77"/>
  <c r="I5887" i="77"/>
  <c r="H5887" i="77"/>
  <c r="G5887" i="77"/>
  <c r="I5886" i="77"/>
  <c r="H5886" i="77"/>
  <c r="G5886" i="77"/>
  <c r="I5885" i="77"/>
  <c r="H5885" i="77"/>
  <c r="G5885" i="77"/>
  <c r="I5884" i="77"/>
  <c r="H5884" i="77"/>
  <c r="G5884" i="77"/>
  <c r="I5883" i="77"/>
  <c r="H5883" i="77"/>
  <c r="G5883" i="77"/>
  <c r="I5882" i="77"/>
  <c r="H5882" i="77"/>
  <c r="G5882" i="77"/>
  <c r="I5881" i="77"/>
  <c r="H5881" i="77"/>
  <c r="G5881" i="77"/>
  <c r="I5880" i="77"/>
  <c r="H5880" i="77"/>
  <c r="G5880" i="77"/>
  <c r="I5879" i="77"/>
  <c r="H5879" i="77"/>
  <c r="G5879" i="77"/>
  <c r="I5878" i="77"/>
  <c r="H5878" i="77"/>
  <c r="G5878" i="77"/>
  <c r="I5877" i="77"/>
  <c r="H5877" i="77"/>
  <c r="G5877" i="77"/>
  <c r="I5876" i="77"/>
  <c r="H5876" i="77"/>
  <c r="G5876" i="77"/>
  <c r="I5875" i="77"/>
  <c r="H5875" i="77"/>
  <c r="G5875" i="77"/>
  <c r="I5874" i="77"/>
  <c r="H5874" i="77"/>
  <c r="G5874" i="77"/>
  <c r="I5873" i="77"/>
  <c r="H5873" i="77"/>
  <c r="G5873" i="77"/>
  <c r="I5872" i="77"/>
  <c r="H5872" i="77"/>
  <c r="G5872" i="77"/>
  <c r="I5871" i="77"/>
  <c r="H5871" i="77"/>
  <c r="G5871" i="77"/>
  <c r="I5870" i="77"/>
  <c r="H5870" i="77"/>
  <c r="G5870" i="77"/>
  <c r="I5869" i="77"/>
  <c r="H5869" i="77"/>
  <c r="G5869" i="77"/>
  <c r="I5868" i="77"/>
  <c r="H5868" i="77"/>
  <c r="G5868" i="77"/>
  <c r="I5867" i="77"/>
  <c r="H5867" i="77"/>
  <c r="G5867" i="77"/>
  <c r="I5866" i="77"/>
  <c r="H5866" i="77"/>
  <c r="G5866" i="77"/>
  <c r="I5865" i="77"/>
  <c r="H5865" i="77"/>
  <c r="G5865" i="77"/>
  <c r="I5864" i="77"/>
  <c r="H5864" i="77"/>
  <c r="G5864" i="77"/>
  <c r="I5863" i="77"/>
  <c r="H5863" i="77"/>
  <c r="G5863" i="77"/>
  <c r="I5862" i="77"/>
  <c r="H5862" i="77"/>
  <c r="G5862" i="77"/>
  <c r="I5861" i="77"/>
  <c r="H5861" i="77"/>
  <c r="G5861" i="77"/>
  <c r="I5860" i="77"/>
  <c r="H5860" i="77"/>
  <c r="G5860" i="77"/>
  <c r="I5859" i="77"/>
  <c r="H5859" i="77"/>
  <c r="G5859" i="77"/>
  <c r="I5858" i="77"/>
  <c r="H5858" i="77"/>
  <c r="G5858" i="77"/>
  <c r="I5857" i="77"/>
  <c r="H5857" i="77"/>
  <c r="G5857" i="77"/>
  <c r="I5856" i="77"/>
  <c r="H5856" i="77"/>
  <c r="G5856" i="77"/>
  <c r="I5855" i="77"/>
  <c r="H5855" i="77"/>
  <c r="G5855" i="77"/>
  <c r="I5854" i="77"/>
  <c r="H5854" i="77"/>
  <c r="G5854" i="77"/>
  <c r="I5853" i="77"/>
  <c r="H5853" i="77"/>
  <c r="G5853" i="77"/>
  <c r="I5852" i="77"/>
  <c r="H5852" i="77"/>
  <c r="G5852" i="77"/>
  <c r="I5851" i="77"/>
  <c r="H5851" i="77"/>
  <c r="G5851" i="77"/>
  <c r="I5850" i="77"/>
  <c r="H5850" i="77"/>
  <c r="G5850" i="77"/>
  <c r="I5849" i="77"/>
  <c r="H5849" i="77"/>
  <c r="G5849" i="77"/>
  <c r="I5848" i="77"/>
  <c r="H5848" i="77"/>
  <c r="G5848" i="77"/>
  <c r="I5847" i="77"/>
  <c r="H5847" i="77"/>
  <c r="G5847" i="77"/>
  <c r="I5846" i="77"/>
  <c r="H5846" i="77"/>
  <c r="G5846" i="77"/>
  <c r="I5845" i="77"/>
  <c r="H5845" i="77"/>
  <c r="G5845" i="77"/>
  <c r="I5844" i="77"/>
  <c r="H5844" i="77"/>
  <c r="G5844" i="77"/>
  <c r="I5843" i="77"/>
  <c r="H5843" i="77"/>
  <c r="G5843" i="77"/>
  <c r="I5842" i="77"/>
  <c r="H5842" i="77"/>
  <c r="G5842" i="77"/>
  <c r="I5841" i="77"/>
  <c r="H5841" i="77"/>
  <c r="G5841" i="77"/>
  <c r="I5840" i="77"/>
  <c r="H5840" i="77"/>
  <c r="G5840" i="77"/>
  <c r="I5839" i="77"/>
  <c r="H5839" i="77"/>
  <c r="G5839" i="77"/>
  <c r="I5838" i="77"/>
  <c r="H5838" i="77"/>
  <c r="G5838" i="77"/>
  <c r="I5837" i="77"/>
  <c r="H5837" i="77"/>
  <c r="G5837" i="77"/>
  <c r="I5836" i="77"/>
  <c r="H5836" i="77"/>
  <c r="G5836" i="77"/>
  <c r="I5835" i="77"/>
  <c r="H5835" i="77"/>
  <c r="G5835" i="77"/>
  <c r="I5834" i="77"/>
  <c r="H5834" i="77"/>
  <c r="G5834" i="77"/>
  <c r="I5833" i="77"/>
  <c r="H5833" i="77"/>
  <c r="G5833" i="77"/>
  <c r="I5832" i="77"/>
  <c r="H5832" i="77"/>
  <c r="G5832" i="77"/>
  <c r="I5831" i="77"/>
  <c r="H5831" i="77"/>
  <c r="G5831" i="77"/>
  <c r="I5830" i="77"/>
  <c r="H5830" i="77"/>
  <c r="G5830" i="77"/>
  <c r="I5829" i="77"/>
  <c r="H5829" i="77"/>
  <c r="G5829" i="77"/>
  <c r="I5828" i="77"/>
  <c r="H5828" i="77"/>
  <c r="G5828" i="77"/>
  <c r="I5827" i="77"/>
  <c r="H5827" i="77"/>
  <c r="G5827" i="77"/>
  <c r="I5826" i="77"/>
  <c r="H5826" i="77"/>
  <c r="G5826" i="77"/>
  <c r="I5825" i="77"/>
  <c r="H5825" i="77"/>
  <c r="G5825" i="77"/>
  <c r="I5824" i="77"/>
  <c r="H5824" i="77"/>
  <c r="G5824" i="77"/>
  <c r="I5823" i="77"/>
  <c r="H5823" i="77"/>
  <c r="G5823" i="77"/>
  <c r="I5822" i="77"/>
  <c r="H5822" i="77"/>
  <c r="G5822" i="77"/>
  <c r="I5821" i="77"/>
  <c r="H5821" i="77"/>
  <c r="G5821" i="77"/>
  <c r="I5820" i="77"/>
  <c r="H5820" i="77"/>
  <c r="G5820" i="77"/>
  <c r="I5819" i="77"/>
  <c r="H5819" i="77"/>
  <c r="G5819" i="77"/>
  <c r="I5818" i="77"/>
  <c r="H5818" i="77"/>
  <c r="G5818" i="77"/>
  <c r="I5817" i="77"/>
  <c r="H5817" i="77"/>
  <c r="G5817" i="77"/>
  <c r="I5816" i="77"/>
  <c r="H5816" i="77"/>
  <c r="G5816" i="77"/>
  <c r="I5815" i="77"/>
  <c r="H5815" i="77"/>
  <c r="G5815" i="77"/>
  <c r="I5814" i="77"/>
  <c r="H5814" i="77"/>
  <c r="G5814" i="77"/>
  <c r="I5813" i="77"/>
  <c r="H5813" i="77"/>
  <c r="G5813" i="77"/>
  <c r="I5812" i="77"/>
  <c r="H5812" i="77"/>
  <c r="G5812" i="77"/>
  <c r="I5811" i="77"/>
  <c r="H5811" i="77"/>
  <c r="G5811" i="77"/>
  <c r="I5810" i="77"/>
  <c r="H5810" i="77"/>
  <c r="G5810" i="77"/>
  <c r="I5809" i="77"/>
  <c r="H5809" i="77"/>
  <c r="G5809" i="77"/>
  <c r="I5808" i="77"/>
  <c r="H5808" i="77"/>
  <c r="G5808" i="77"/>
  <c r="I5807" i="77"/>
  <c r="H5807" i="77"/>
  <c r="G5807" i="77"/>
  <c r="I5806" i="77"/>
  <c r="H5806" i="77"/>
  <c r="G5806" i="77"/>
  <c r="I5805" i="77"/>
  <c r="H5805" i="77"/>
  <c r="G5805" i="77"/>
  <c r="I5804" i="77"/>
  <c r="H5804" i="77"/>
  <c r="G5804" i="77"/>
  <c r="I5803" i="77"/>
  <c r="H5803" i="77"/>
  <c r="G5803" i="77"/>
  <c r="I5802" i="77"/>
  <c r="H5802" i="77"/>
  <c r="G5802" i="77"/>
  <c r="I5801" i="77"/>
  <c r="H5801" i="77"/>
  <c r="G5801" i="77"/>
  <c r="I5800" i="77"/>
  <c r="H5800" i="77"/>
  <c r="G5800" i="77"/>
  <c r="I5799" i="77"/>
  <c r="H5799" i="77"/>
  <c r="G5799" i="77"/>
  <c r="I5798" i="77"/>
  <c r="H5798" i="77"/>
  <c r="G5798" i="77"/>
  <c r="I5797" i="77"/>
  <c r="H5797" i="77"/>
  <c r="G5797" i="77"/>
  <c r="I5796" i="77"/>
  <c r="H5796" i="77"/>
  <c r="G5796" i="77"/>
  <c r="I5795" i="77"/>
  <c r="H5795" i="77"/>
  <c r="G5795" i="77"/>
  <c r="I5794" i="77"/>
  <c r="H5794" i="77"/>
  <c r="G5794" i="77"/>
  <c r="I5793" i="77"/>
  <c r="H5793" i="77"/>
  <c r="G5793" i="77"/>
  <c r="I5792" i="77"/>
  <c r="H5792" i="77"/>
  <c r="G5792" i="77"/>
  <c r="I5791" i="77"/>
  <c r="H5791" i="77"/>
  <c r="G5791" i="77"/>
  <c r="I5790" i="77"/>
  <c r="H5790" i="77"/>
  <c r="G5790" i="77"/>
  <c r="I5789" i="77"/>
  <c r="H5789" i="77"/>
  <c r="G5789" i="77"/>
  <c r="I5788" i="77"/>
  <c r="H5788" i="77"/>
  <c r="G5788" i="77"/>
  <c r="I5787" i="77"/>
  <c r="H5787" i="77"/>
  <c r="G5787" i="77"/>
  <c r="I5786" i="77"/>
  <c r="H5786" i="77"/>
  <c r="G5786" i="77"/>
  <c r="I5785" i="77"/>
  <c r="H5785" i="77"/>
  <c r="G5785" i="77"/>
  <c r="I5784" i="77"/>
  <c r="H5784" i="77"/>
  <c r="G5784" i="77"/>
  <c r="I5783" i="77"/>
  <c r="H5783" i="77"/>
  <c r="G5783" i="77"/>
  <c r="I5782" i="77"/>
  <c r="H5782" i="77"/>
  <c r="G5782" i="77"/>
  <c r="I5781" i="77"/>
  <c r="H5781" i="77"/>
  <c r="G5781" i="77"/>
  <c r="I5780" i="77"/>
  <c r="H5780" i="77"/>
  <c r="G5780" i="77"/>
  <c r="I5779" i="77"/>
  <c r="H5779" i="77"/>
  <c r="G5779" i="77"/>
  <c r="I5778" i="77"/>
  <c r="H5778" i="77"/>
  <c r="G5778" i="77"/>
  <c r="I5777" i="77"/>
  <c r="H5777" i="77"/>
  <c r="G5777" i="77"/>
  <c r="I5776" i="77"/>
  <c r="H5776" i="77"/>
  <c r="G5776" i="77"/>
  <c r="I5775" i="77"/>
  <c r="H5775" i="77"/>
  <c r="G5775" i="77"/>
  <c r="I5774" i="77"/>
  <c r="H5774" i="77"/>
  <c r="G5774" i="77"/>
  <c r="I5773" i="77"/>
  <c r="H5773" i="77"/>
  <c r="G5773" i="77"/>
  <c r="I5772" i="77"/>
  <c r="H5772" i="77"/>
  <c r="G5772" i="77"/>
  <c r="I5771" i="77"/>
  <c r="H5771" i="77"/>
  <c r="G5771" i="77"/>
  <c r="I5770" i="77"/>
  <c r="H5770" i="77"/>
  <c r="G5770" i="77"/>
  <c r="I5769" i="77"/>
  <c r="H5769" i="77"/>
  <c r="G5769" i="77"/>
  <c r="I5768" i="77"/>
  <c r="H5768" i="77"/>
  <c r="G5768" i="77"/>
  <c r="I5767" i="77"/>
  <c r="H5767" i="77"/>
  <c r="G5767" i="77"/>
  <c r="I5766" i="77"/>
  <c r="H5766" i="77"/>
  <c r="G5766" i="77"/>
  <c r="I5765" i="77"/>
  <c r="H5765" i="77"/>
  <c r="G5765" i="77"/>
  <c r="I5764" i="77"/>
  <c r="H5764" i="77"/>
  <c r="G5764" i="77"/>
  <c r="I5763" i="77"/>
  <c r="H5763" i="77"/>
  <c r="G5763" i="77"/>
  <c r="I5762" i="77"/>
  <c r="H5762" i="77"/>
  <c r="G5762" i="77"/>
  <c r="I5761" i="77"/>
  <c r="H5761" i="77"/>
  <c r="G5761" i="77"/>
  <c r="I5760" i="77"/>
  <c r="H5760" i="77"/>
  <c r="G5760" i="77"/>
  <c r="I5759" i="77"/>
  <c r="H5759" i="77"/>
  <c r="G5759" i="77"/>
  <c r="I5758" i="77"/>
  <c r="H5758" i="77"/>
  <c r="G5758" i="77"/>
  <c r="I5757" i="77"/>
  <c r="H5757" i="77"/>
  <c r="G5757" i="77"/>
  <c r="I5756" i="77"/>
  <c r="H5756" i="77"/>
  <c r="G5756" i="77"/>
  <c r="I5755" i="77"/>
  <c r="H5755" i="77"/>
  <c r="G5755" i="77"/>
  <c r="I5754" i="77"/>
  <c r="H5754" i="77"/>
  <c r="G5754" i="77"/>
  <c r="I5753" i="77"/>
  <c r="H5753" i="77"/>
  <c r="G5753" i="77"/>
  <c r="I5752" i="77"/>
  <c r="H5752" i="77"/>
  <c r="G5752" i="77"/>
  <c r="I5751" i="77"/>
  <c r="H5751" i="77"/>
  <c r="G5751" i="77"/>
  <c r="I5750" i="77"/>
  <c r="H5750" i="77"/>
  <c r="G5750" i="77"/>
  <c r="I5749" i="77"/>
  <c r="H5749" i="77"/>
  <c r="G5749" i="77"/>
  <c r="I5748" i="77"/>
  <c r="H5748" i="77"/>
  <c r="G5748" i="77"/>
  <c r="I5747" i="77"/>
  <c r="H5747" i="77"/>
  <c r="G5747" i="77"/>
  <c r="I5746" i="77"/>
  <c r="H5746" i="77"/>
  <c r="G5746" i="77"/>
  <c r="I5745" i="77"/>
  <c r="H5745" i="77"/>
  <c r="G5745" i="77"/>
  <c r="I5744" i="77"/>
  <c r="H5744" i="77"/>
  <c r="G5744" i="77"/>
  <c r="I5743" i="77"/>
  <c r="H5743" i="77"/>
  <c r="G5743" i="77"/>
  <c r="I5742" i="77"/>
  <c r="H5742" i="77"/>
  <c r="G5742" i="77"/>
  <c r="I5741" i="77"/>
  <c r="H5741" i="77"/>
  <c r="G5741" i="77"/>
  <c r="I5740" i="77"/>
  <c r="H5740" i="77"/>
  <c r="G5740" i="77"/>
  <c r="I5739" i="77"/>
  <c r="H5739" i="77"/>
  <c r="G5739" i="77"/>
  <c r="I5738" i="77"/>
  <c r="H5738" i="77"/>
  <c r="G5738" i="77"/>
  <c r="I5737" i="77"/>
  <c r="H5737" i="77"/>
  <c r="G5737" i="77"/>
  <c r="I5736" i="77"/>
  <c r="H5736" i="77"/>
  <c r="G5736" i="77"/>
  <c r="I5735" i="77"/>
  <c r="H5735" i="77"/>
  <c r="G5735" i="77"/>
  <c r="I5734" i="77"/>
  <c r="H5734" i="77"/>
  <c r="G5734" i="77"/>
  <c r="I5733" i="77"/>
  <c r="H5733" i="77"/>
  <c r="G5733" i="77"/>
  <c r="I5732" i="77"/>
  <c r="H5732" i="77"/>
  <c r="G5732" i="77"/>
  <c r="I5731" i="77"/>
  <c r="H5731" i="77"/>
  <c r="G5731" i="77"/>
  <c r="I5730" i="77"/>
  <c r="H5730" i="77"/>
  <c r="G5730" i="77"/>
  <c r="I5729" i="77"/>
  <c r="H5729" i="77"/>
  <c r="G5729" i="77"/>
  <c r="I5728" i="77"/>
  <c r="H5728" i="77"/>
  <c r="G5728" i="77"/>
  <c r="I5727" i="77"/>
  <c r="H5727" i="77"/>
  <c r="G5727" i="77"/>
  <c r="I5726" i="77"/>
  <c r="H5726" i="77"/>
  <c r="G5726" i="77"/>
  <c r="I5725" i="77"/>
  <c r="H5725" i="77"/>
  <c r="G5725" i="77"/>
  <c r="I5724" i="77"/>
  <c r="H5724" i="77"/>
  <c r="G5724" i="77"/>
  <c r="I5723" i="77"/>
  <c r="H5723" i="77"/>
  <c r="G5723" i="77"/>
  <c r="I5722" i="77"/>
  <c r="H5722" i="77"/>
  <c r="G5722" i="77"/>
  <c r="I5721" i="77"/>
  <c r="H5721" i="77"/>
  <c r="G5721" i="77"/>
  <c r="I5720" i="77"/>
  <c r="H5720" i="77"/>
  <c r="G5720" i="77"/>
  <c r="I5719" i="77"/>
  <c r="H5719" i="77"/>
  <c r="G5719" i="77"/>
  <c r="I5718" i="77"/>
  <c r="H5718" i="77"/>
  <c r="G5718" i="77"/>
  <c r="I5717" i="77"/>
  <c r="H5717" i="77"/>
  <c r="G5717" i="77"/>
  <c r="I5716" i="77"/>
  <c r="H5716" i="77"/>
  <c r="G5716" i="77"/>
  <c r="I5715" i="77"/>
  <c r="H5715" i="77"/>
  <c r="G5715" i="77"/>
  <c r="I5714" i="77"/>
  <c r="H5714" i="77"/>
  <c r="G5714" i="77"/>
  <c r="I5713" i="77"/>
  <c r="H5713" i="77"/>
  <c r="G5713" i="77"/>
  <c r="I5712" i="77"/>
  <c r="H5712" i="77"/>
  <c r="G5712" i="77"/>
  <c r="I5711" i="77"/>
  <c r="H5711" i="77"/>
  <c r="G5711" i="77"/>
  <c r="I5710" i="77"/>
  <c r="H5710" i="77"/>
  <c r="G5710" i="77"/>
  <c r="I5709" i="77"/>
  <c r="H5709" i="77"/>
  <c r="G5709" i="77"/>
  <c r="I5708" i="77"/>
  <c r="H5708" i="77"/>
  <c r="G5708" i="77"/>
  <c r="I5707" i="77"/>
  <c r="H5707" i="77"/>
  <c r="G5707" i="77"/>
  <c r="I5706" i="77"/>
  <c r="H5706" i="77"/>
  <c r="G5706" i="77"/>
  <c r="I5705" i="77"/>
  <c r="H5705" i="77"/>
  <c r="G5705" i="77"/>
  <c r="I5704" i="77"/>
  <c r="H5704" i="77"/>
  <c r="G5704" i="77"/>
  <c r="I5703" i="77"/>
  <c r="H5703" i="77"/>
  <c r="G5703" i="77"/>
  <c r="I5702" i="77"/>
  <c r="H5702" i="77"/>
  <c r="G5702" i="77"/>
  <c r="I5701" i="77"/>
  <c r="H5701" i="77"/>
  <c r="G5701" i="77"/>
  <c r="I5700" i="77"/>
  <c r="H5700" i="77"/>
  <c r="G5700" i="77"/>
  <c r="I5699" i="77"/>
  <c r="H5699" i="77"/>
  <c r="G5699" i="77"/>
  <c r="I5698" i="77"/>
  <c r="H5698" i="77"/>
  <c r="G5698" i="77"/>
  <c r="I5697" i="77"/>
  <c r="H5697" i="77"/>
  <c r="G5697" i="77"/>
  <c r="I5696" i="77"/>
  <c r="H5696" i="77"/>
  <c r="G5696" i="77"/>
  <c r="I5695" i="77"/>
  <c r="H5695" i="77"/>
  <c r="G5695" i="77"/>
  <c r="I5694" i="77"/>
  <c r="H5694" i="77"/>
  <c r="G5694" i="77"/>
  <c r="I5693" i="77"/>
  <c r="H5693" i="77"/>
  <c r="G5693" i="77"/>
  <c r="I5692" i="77"/>
  <c r="H5692" i="77"/>
  <c r="G5692" i="77"/>
  <c r="I5691" i="77"/>
  <c r="H5691" i="77"/>
  <c r="G5691" i="77"/>
  <c r="I5690" i="77"/>
  <c r="H5690" i="77"/>
  <c r="G5690" i="77"/>
  <c r="I5689" i="77"/>
  <c r="H5689" i="77"/>
  <c r="G5689" i="77"/>
  <c r="I5688" i="77"/>
  <c r="H5688" i="77"/>
  <c r="G5688" i="77"/>
  <c r="I5687" i="77"/>
  <c r="H5687" i="77"/>
  <c r="G5687" i="77"/>
  <c r="I5686" i="77"/>
  <c r="H5686" i="77"/>
  <c r="G5686" i="77"/>
  <c r="I5685" i="77"/>
  <c r="H5685" i="77"/>
  <c r="G5685" i="77"/>
  <c r="I5684" i="77"/>
  <c r="H5684" i="77"/>
  <c r="G5684" i="77"/>
  <c r="I5683" i="77"/>
  <c r="H5683" i="77"/>
  <c r="G5683" i="77"/>
  <c r="I5682" i="77"/>
  <c r="H5682" i="77"/>
  <c r="G5682" i="77"/>
  <c r="I5681" i="77"/>
  <c r="H5681" i="77"/>
  <c r="G5681" i="77"/>
  <c r="I5680" i="77"/>
  <c r="H5680" i="77"/>
  <c r="G5680" i="77"/>
  <c r="I5679" i="77"/>
  <c r="H5679" i="77"/>
  <c r="G5679" i="77"/>
  <c r="I5678" i="77"/>
  <c r="H5678" i="77"/>
  <c r="G5678" i="77"/>
  <c r="I5677" i="77"/>
  <c r="H5677" i="77"/>
  <c r="G5677" i="77"/>
  <c r="I5676" i="77"/>
  <c r="H5676" i="77"/>
  <c r="G5676" i="77"/>
  <c r="I5675" i="77"/>
  <c r="H5675" i="77"/>
  <c r="G5675" i="77"/>
  <c r="I5674" i="77"/>
  <c r="H5674" i="77"/>
  <c r="G5674" i="77"/>
  <c r="I5673" i="77"/>
  <c r="H5673" i="77"/>
  <c r="G5673" i="77"/>
  <c r="I5672" i="77"/>
  <c r="H5672" i="77"/>
  <c r="G5672" i="77"/>
  <c r="I5671" i="77"/>
  <c r="H5671" i="77"/>
  <c r="G5671" i="77"/>
  <c r="I5670" i="77"/>
  <c r="H5670" i="77"/>
  <c r="G5670" i="77"/>
  <c r="I5669" i="77"/>
  <c r="H5669" i="77"/>
  <c r="G5669" i="77"/>
  <c r="I5668" i="77"/>
  <c r="H5668" i="77"/>
  <c r="G5668" i="77"/>
  <c r="I5667" i="77"/>
  <c r="H5667" i="77"/>
  <c r="G5667" i="77"/>
  <c r="I5666" i="77"/>
  <c r="H5666" i="77"/>
  <c r="G5666" i="77"/>
  <c r="I5665" i="77"/>
  <c r="H5665" i="77"/>
  <c r="G5665" i="77"/>
  <c r="I5664" i="77"/>
  <c r="H5664" i="77"/>
  <c r="G5664" i="77"/>
  <c r="I5663" i="77"/>
  <c r="H5663" i="77"/>
  <c r="G5663" i="77"/>
  <c r="I5662" i="77"/>
  <c r="H5662" i="77"/>
  <c r="G5662" i="77"/>
  <c r="I5661" i="77"/>
  <c r="H5661" i="77"/>
  <c r="G5661" i="77"/>
  <c r="I5660" i="77"/>
  <c r="H5660" i="77"/>
  <c r="G5660" i="77"/>
  <c r="I5659" i="77"/>
  <c r="H5659" i="77"/>
  <c r="G5659" i="77"/>
  <c r="I5658" i="77"/>
  <c r="H5658" i="77"/>
  <c r="G5658" i="77"/>
  <c r="I5657" i="77"/>
  <c r="H5657" i="77"/>
  <c r="G5657" i="77"/>
  <c r="I5656" i="77"/>
  <c r="H5656" i="77"/>
  <c r="G5656" i="77"/>
  <c r="I5655" i="77"/>
  <c r="H5655" i="77"/>
  <c r="G5655" i="77"/>
  <c r="I5654" i="77"/>
  <c r="H5654" i="77"/>
  <c r="G5654" i="77"/>
  <c r="I5653" i="77"/>
  <c r="H5653" i="77"/>
  <c r="G5653" i="77"/>
  <c r="I5652" i="77"/>
  <c r="H5652" i="77"/>
  <c r="G5652" i="77"/>
  <c r="I5651" i="77"/>
  <c r="H5651" i="77"/>
  <c r="G5651" i="77"/>
  <c r="I5650" i="77"/>
  <c r="H5650" i="77"/>
  <c r="G5650" i="77"/>
  <c r="I5649" i="77"/>
  <c r="H5649" i="77"/>
  <c r="G5649" i="77"/>
  <c r="I5648" i="77"/>
  <c r="H5648" i="77"/>
  <c r="G5648" i="77"/>
  <c r="I5647" i="77"/>
  <c r="H5647" i="77"/>
  <c r="G5647" i="77"/>
  <c r="I5646" i="77"/>
  <c r="H5646" i="77"/>
  <c r="G5646" i="77"/>
  <c r="I5645" i="77"/>
  <c r="H5645" i="77"/>
  <c r="G5645" i="77"/>
  <c r="I5644" i="77"/>
  <c r="H5644" i="77"/>
  <c r="G5644" i="77"/>
  <c r="I5643" i="77"/>
  <c r="H5643" i="77"/>
  <c r="G5643" i="77"/>
  <c r="I5642" i="77"/>
  <c r="H5642" i="77"/>
  <c r="G5642" i="77"/>
  <c r="I5641" i="77"/>
  <c r="H5641" i="77"/>
  <c r="G5641" i="77"/>
  <c r="I5640" i="77"/>
  <c r="H5640" i="77"/>
  <c r="G5640" i="77"/>
  <c r="I5639" i="77"/>
  <c r="H5639" i="77"/>
  <c r="G5639" i="77"/>
  <c r="I5638" i="77"/>
  <c r="H5638" i="77"/>
  <c r="G5638" i="77"/>
  <c r="I5637" i="77"/>
  <c r="H5637" i="77"/>
  <c r="G5637" i="77"/>
  <c r="I5636" i="77"/>
  <c r="H5636" i="77"/>
  <c r="G5636" i="77"/>
  <c r="I5635" i="77"/>
  <c r="H5635" i="77"/>
  <c r="G5635" i="77"/>
  <c r="I5634" i="77"/>
  <c r="H5634" i="77"/>
  <c r="G5634" i="77"/>
  <c r="I5633" i="77"/>
  <c r="H5633" i="77"/>
  <c r="G5633" i="77"/>
  <c r="I5632" i="77"/>
  <c r="H5632" i="77"/>
  <c r="G5632" i="77"/>
  <c r="I5631" i="77"/>
  <c r="H5631" i="77"/>
  <c r="G5631" i="77"/>
  <c r="I5630" i="77"/>
  <c r="H5630" i="77"/>
  <c r="G5630" i="77"/>
  <c r="I5629" i="77"/>
  <c r="H5629" i="77"/>
  <c r="G5629" i="77"/>
  <c r="I5628" i="77"/>
  <c r="H5628" i="77"/>
  <c r="G5628" i="77"/>
  <c r="I5627" i="77"/>
  <c r="H5627" i="77"/>
  <c r="G5627" i="77"/>
  <c r="I5626" i="77"/>
  <c r="H5626" i="77"/>
  <c r="G5626" i="77"/>
  <c r="I5625" i="77"/>
  <c r="H5625" i="77"/>
  <c r="G5625" i="77"/>
  <c r="I5624" i="77"/>
  <c r="H5624" i="77"/>
  <c r="G5624" i="77"/>
  <c r="I5623" i="77"/>
  <c r="H5623" i="77"/>
  <c r="G5623" i="77"/>
  <c r="I5622" i="77"/>
  <c r="H5622" i="77"/>
  <c r="G5622" i="77"/>
  <c r="I5621" i="77"/>
  <c r="H5621" i="77"/>
  <c r="G5621" i="77"/>
  <c r="I5620" i="77"/>
  <c r="H5620" i="77"/>
  <c r="G5620" i="77"/>
  <c r="I5619" i="77"/>
  <c r="H5619" i="77"/>
  <c r="G5619" i="77"/>
  <c r="I5618" i="77"/>
  <c r="H5618" i="77"/>
  <c r="G5618" i="77"/>
  <c r="I5617" i="77"/>
  <c r="H5617" i="77"/>
  <c r="G5617" i="77"/>
  <c r="I5616" i="77"/>
  <c r="H5616" i="77"/>
  <c r="G5616" i="77"/>
  <c r="I5615" i="77"/>
  <c r="H5615" i="77"/>
  <c r="G5615" i="77"/>
  <c r="I5614" i="77"/>
  <c r="H5614" i="77"/>
  <c r="G5614" i="77"/>
  <c r="I5613" i="77"/>
  <c r="H5613" i="77"/>
  <c r="G5613" i="77"/>
  <c r="I5612" i="77"/>
  <c r="H5612" i="77"/>
  <c r="G5612" i="77"/>
  <c r="I5611" i="77"/>
  <c r="H5611" i="77"/>
  <c r="G5611" i="77"/>
  <c r="I5610" i="77"/>
  <c r="H5610" i="77"/>
  <c r="G5610" i="77"/>
  <c r="I5609" i="77"/>
  <c r="H5609" i="77"/>
  <c r="G5609" i="77"/>
  <c r="I5608" i="77"/>
  <c r="H5608" i="77"/>
  <c r="G5608" i="77"/>
  <c r="I5607" i="77"/>
  <c r="H5607" i="77"/>
  <c r="G5607" i="77"/>
  <c r="I5606" i="77"/>
  <c r="H5606" i="77"/>
  <c r="G5606" i="77"/>
  <c r="I5605" i="77"/>
  <c r="H5605" i="77"/>
  <c r="G5605" i="77"/>
  <c r="I5604" i="77"/>
  <c r="H5604" i="77"/>
  <c r="G5604" i="77"/>
  <c r="I5603" i="77"/>
  <c r="H5603" i="77"/>
  <c r="G5603" i="77"/>
  <c r="I5602" i="77"/>
  <c r="H5602" i="77"/>
  <c r="G5602" i="77"/>
  <c r="I5601" i="77"/>
  <c r="H5601" i="77"/>
  <c r="G5601" i="77"/>
  <c r="I5600" i="77"/>
  <c r="H5600" i="77"/>
  <c r="G5600" i="77"/>
  <c r="I5599" i="77"/>
  <c r="H5599" i="77"/>
  <c r="G5599" i="77"/>
  <c r="I5598" i="77"/>
  <c r="H5598" i="77"/>
  <c r="G5598" i="77"/>
  <c r="I5597" i="77"/>
  <c r="H5597" i="77"/>
  <c r="G5597" i="77"/>
  <c r="I5596" i="77"/>
  <c r="H5596" i="77"/>
  <c r="G5596" i="77"/>
  <c r="I5595" i="77"/>
  <c r="H5595" i="77"/>
  <c r="G5595" i="77"/>
  <c r="I5594" i="77"/>
  <c r="H5594" i="77"/>
  <c r="G5594" i="77"/>
  <c r="I5593" i="77"/>
  <c r="H5593" i="77"/>
  <c r="G5593" i="77"/>
  <c r="I5592" i="77"/>
  <c r="H5592" i="77"/>
  <c r="G5592" i="77"/>
  <c r="I5591" i="77"/>
  <c r="H5591" i="77"/>
  <c r="G5591" i="77"/>
  <c r="I5590" i="77"/>
  <c r="H5590" i="77"/>
  <c r="G5590" i="77"/>
  <c r="I5589" i="77"/>
  <c r="H5589" i="77"/>
  <c r="G5589" i="77"/>
  <c r="I5588" i="77"/>
  <c r="H5588" i="77"/>
  <c r="G5588" i="77"/>
  <c r="I5587" i="77"/>
  <c r="H5587" i="77"/>
  <c r="G5587" i="77"/>
  <c r="I5586" i="77"/>
  <c r="H5586" i="77"/>
  <c r="G5586" i="77"/>
  <c r="I5585" i="77"/>
  <c r="H5585" i="77"/>
  <c r="G5585" i="77"/>
  <c r="I5584" i="77"/>
  <c r="H5584" i="77"/>
  <c r="G5584" i="77"/>
  <c r="I5583" i="77"/>
  <c r="H5583" i="77"/>
  <c r="G5583" i="77"/>
  <c r="I5582" i="77"/>
  <c r="H5582" i="77"/>
  <c r="G5582" i="77"/>
  <c r="I5581" i="77"/>
  <c r="H5581" i="77"/>
  <c r="G5581" i="77"/>
  <c r="I5580" i="77"/>
  <c r="H5580" i="77"/>
  <c r="G5580" i="77"/>
  <c r="I5579" i="77"/>
  <c r="H5579" i="77"/>
  <c r="G5579" i="77"/>
  <c r="I5578" i="77"/>
  <c r="H5578" i="77"/>
  <c r="G5578" i="77"/>
  <c r="I5577" i="77"/>
  <c r="H5577" i="77"/>
  <c r="G5577" i="77"/>
  <c r="I5576" i="77"/>
  <c r="H5576" i="77"/>
  <c r="G5576" i="77"/>
  <c r="I5575" i="77"/>
  <c r="H5575" i="77"/>
  <c r="G5575" i="77"/>
  <c r="I5574" i="77"/>
  <c r="H5574" i="77"/>
  <c r="G5574" i="77"/>
  <c r="I5573" i="77"/>
  <c r="H5573" i="77"/>
  <c r="G5573" i="77"/>
  <c r="I5572" i="77"/>
  <c r="H5572" i="77"/>
  <c r="G5572" i="77"/>
  <c r="I5571" i="77"/>
  <c r="H5571" i="77"/>
  <c r="G5571" i="77"/>
  <c r="I5570" i="77"/>
  <c r="H5570" i="77"/>
  <c r="G5570" i="77"/>
  <c r="I5569" i="77"/>
  <c r="H5569" i="77"/>
  <c r="G5569" i="77"/>
  <c r="I5568" i="77"/>
  <c r="H5568" i="77"/>
  <c r="G5568" i="77"/>
  <c r="I5567" i="77"/>
  <c r="H5567" i="77"/>
  <c r="G5567" i="77"/>
  <c r="I5566" i="77"/>
  <c r="H5566" i="77"/>
  <c r="G5566" i="77"/>
  <c r="I5565" i="77"/>
  <c r="H5565" i="77"/>
  <c r="G5565" i="77"/>
  <c r="I5564" i="77"/>
  <c r="H5564" i="77"/>
  <c r="G5564" i="77"/>
  <c r="I5563" i="77"/>
  <c r="H5563" i="77"/>
  <c r="G5563" i="77"/>
  <c r="I5562" i="77"/>
  <c r="H5562" i="77"/>
  <c r="G5562" i="77"/>
  <c r="I5561" i="77"/>
  <c r="H5561" i="77"/>
  <c r="G5561" i="77"/>
  <c r="I5560" i="77"/>
  <c r="H5560" i="77"/>
  <c r="G5560" i="77"/>
  <c r="I5559" i="77"/>
  <c r="H5559" i="77"/>
  <c r="G5559" i="77"/>
  <c r="I5558" i="77"/>
  <c r="H5558" i="77"/>
  <c r="G5558" i="77"/>
  <c r="I5557" i="77"/>
  <c r="H5557" i="77"/>
  <c r="G5557" i="77"/>
  <c r="I5556" i="77"/>
  <c r="H5556" i="77"/>
  <c r="G5556" i="77"/>
  <c r="I5555" i="77"/>
  <c r="H5555" i="77"/>
  <c r="G5555" i="77"/>
  <c r="I5554" i="77"/>
  <c r="H5554" i="77"/>
  <c r="G5554" i="77"/>
  <c r="I5553" i="77"/>
  <c r="H5553" i="77"/>
  <c r="G5553" i="77"/>
  <c r="I5552" i="77"/>
  <c r="H5552" i="77"/>
  <c r="G5552" i="77"/>
  <c r="I5551" i="77"/>
  <c r="H5551" i="77"/>
  <c r="G5551" i="77"/>
  <c r="I5550" i="77"/>
  <c r="H5550" i="77"/>
  <c r="G5550" i="77"/>
  <c r="I5549" i="77"/>
  <c r="H5549" i="77"/>
  <c r="G5549" i="77"/>
  <c r="I5548" i="77"/>
  <c r="H5548" i="77"/>
  <c r="G5548" i="77"/>
  <c r="I5547" i="77"/>
  <c r="H5547" i="77"/>
  <c r="G5547" i="77"/>
  <c r="I5546" i="77"/>
  <c r="H5546" i="77"/>
  <c r="G5546" i="77"/>
  <c r="I5545" i="77"/>
  <c r="H5545" i="77"/>
  <c r="G5545" i="77"/>
  <c r="I5544" i="77"/>
  <c r="H5544" i="77"/>
  <c r="G5544" i="77"/>
  <c r="I5543" i="77"/>
  <c r="H5543" i="77"/>
  <c r="G5543" i="77"/>
  <c r="I5542" i="77"/>
  <c r="H5542" i="77"/>
  <c r="G5542" i="77"/>
  <c r="I5541" i="77"/>
  <c r="H5541" i="77"/>
  <c r="G5541" i="77"/>
  <c r="I5540" i="77"/>
  <c r="H5540" i="77"/>
  <c r="G5540" i="77"/>
  <c r="I5539" i="77"/>
  <c r="H5539" i="77"/>
  <c r="G5539" i="77"/>
  <c r="I5538" i="77"/>
  <c r="H5538" i="77"/>
  <c r="G5538" i="77"/>
  <c r="I5537" i="77"/>
  <c r="H5537" i="77"/>
  <c r="G5537" i="77"/>
  <c r="I5536" i="77"/>
  <c r="H5536" i="77"/>
  <c r="G5536" i="77"/>
  <c r="I5535" i="77"/>
  <c r="H5535" i="77"/>
  <c r="G5535" i="77"/>
  <c r="I5534" i="77"/>
  <c r="H5534" i="77"/>
  <c r="G5534" i="77"/>
  <c r="I5533" i="77"/>
  <c r="H5533" i="77"/>
  <c r="G5533" i="77"/>
  <c r="I5532" i="77"/>
  <c r="H5532" i="77"/>
  <c r="G5532" i="77"/>
  <c r="I5531" i="77"/>
  <c r="H5531" i="77"/>
  <c r="G5531" i="77"/>
  <c r="I5530" i="77"/>
  <c r="H5530" i="77"/>
  <c r="G5530" i="77"/>
  <c r="I5529" i="77"/>
  <c r="H5529" i="77"/>
  <c r="G5529" i="77"/>
  <c r="I5528" i="77"/>
  <c r="H5528" i="77"/>
  <c r="G5528" i="77"/>
  <c r="I5527" i="77"/>
  <c r="H5527" i="77"/>
  <c r="G5527" i="77"/>
  <c r="I5526" i="77"/>
  <c r="H5526" i="77"/>
  <c r="G5526" i="77"/>
  <c r="I5525" i="77"/>
  <c r="H5525" i="77"/>
  <c r="G5525" i="77"/>
  <c r="I5524" i="77"/>
  <c r="H5524" i="77"/>
  <c r="G5524" i="77"/>
  <c r="I5523" i="77"/>
  <c r="H5523" i="77"/>
  <c r="G5523" i="77"/>
  <c r="I5522" i="77"/>
  <c r="H5522" i="77"/>
  <c r="G5522" i="77"/>
  <c r="I5521" i="77"/>
  <c r="H5521" i="77"/>
  <c r="G5521" i="77"/>
  <c r="I5520" i="77"/>
  <c r="H5520" i="77"/>
  <c r="G5520" i="77"/>
  <c r="I5519" i="77"/>
  <c r="H5519" i="77"/>
  <c r="G5519" i="77"/>
  <c r="I5518" i="77"/>
  <c r="H5518" i="77"/>
  <c r="G5518" i="77"/>
  <c r="I5517" i="77"/>
  <c r="H5517" i="77"/>
  <c r="G5517" i="77"/>
  <c r="I5516" i="77"/>
  <c r="H5516" i="77"/>
  <c r="G5516" i="77"/>
  <c r="I5515" i="77"/>
  <c r="H5515" i="77"/>
  <c r="G5515" i="77"/>
  <c r="I5514" i="77"/>
  <c r="H5514" i="77"/>
  <c r="G5514" i="77"/>
  <c r="I5513" i="77"/>
  <c r="H5513" i="77"/>
  <c r="G5513" i="77"/>
  <c r="I5512" i="77"/>
  <c r="H5512" i="77"/>
  <c r="G5512" i="77"/>
  <c r="I5511" i="77"/>
  <c r="H5511" i="77"/>
  <c r="G5511" i="77"/>
  <c r="I5510" i="77"/>
  <c r="H5510" i="77"/>
  <c r="G5510" i="77"/>
  <c r="I5509" i="77"/>
  <c r="H5509" i="77"/>
  <c r="G5509" i="77"/>
  <c r="I5508" i="77"/>
  <c r="H5508" i="77"/>
  <c r="G5508" i="77"/>
  <c r="I5507" i="77"/>
  <c r="H5507" i="77"/>
  <c r="G5507" i="77"/>
  <c r="I5506" i="77"/>
  <c r="H5506" i="77"/>
  <c r="G5506" i="77"/>
  <c r="I5505" i="77"/>
  <c r="H5505" i="77"/>
  <c r="G5505" i="77"/>
  <c r="I5504" i="77"/>
  <c r="H5504" i="77"/>
  <c r="G5504" i="77"/>
  <c r="I5503" i="77"/>
  <c r="H5503" i="77"/>
  <c r="G5503" i="77"/>
  <c r="I5502" i="77"/>
  <c r="H5502" i="77"/>
  <c r="G5502" i="77"/>
  <c r="I5501" i="77"/>
  <c r="H5501" i="77"/>
  <c r="G5501" i="77"/>
  <c r="I5500" i="77"/>
  <c r="H5500" i="77"/>
  <c r="G5500" i="77"/>
  <c r="I5499" i="77"/>
  <c r="H5499" i="77"/>
  <c r="G5499" i="77"/>
  <c r="I5498" i="77"/>
  <c r="H5498" i="77"/>
  <c r="G5498" i="77"/>
  <c r="I5497" i="77"/>
  <c r="H5497" i="77"/>
  <c r="G5497" i="77"/>
  <c r="I5496" i="77"/>
  <c r="H5496" i="77"/>
  <c r="G5496" i="77"/>
  <c r="I5495" i="77"/>
  <c r="H5495" i="77"/>
  <c r="G5495" i="77"/>
  <c r="I5494" i="77"/>
  <c r="H5494" i="77"/>
  <c r="G5494" i="77"/>
  <c r="I5493" i="77"/>
  <c r="H5493" i="77"/>
  <c r="G5493" i="77"/>
  <c r="I5492" i="77"/>
  <c r="H5492" i="77"/>
  <c r="G5492" i="77"/>
  <c r="I5491" i="77"/>
  <c r="H5491" i="77"/>
  <c r="G5491" i="77"/>
  <c r="I5490" i="77"/>
  <c r="H5490" i="77"/>
  <c r="G5490" i="77"/>
  <c r="I5489" i="77"/>
  <c r="H5489" i="77"/>
  <c r="G5489" i="77"/>
  <c r="I5488" i="77"/>
  <c r="H5488" i="77"/>
  <c r="G5488" i="77"/>
  <c r="I5487" i="77"/>
  <c r="H5487" i="77"/>
  <c r="G5487" i="77"/>
  <c r="I5486" i="77"/>
  <c r="H5486" i="77"/>
  <c r="G5486" i="77"/>
  <c r="I5485" i="77"/>
  <c r="H5485" i="77"/>
  <c r="G5485" i="77"/>
  <c r="I5484" i="77"/>
  <c r="H5484" i="77"/>
  <c r="G5484" i="77"/>
  <c r="I5483" i="77"/>
  <c r="H5483" i="77"/>
  <c r="G5483" i="77"/>
  <c r="I5482" i="77"/>
  <c r="H5482" i="77"/>
  <c r="G5482" i="77"/>
  <c r="I5481" i="77"/>
  <c r="H5481" i="77"/>
  <c r="G5481" i="77"/>
  <c r="I5480" i="77"/>
  <c r="H5480" i="77"/>
  <c r="G5480" i="77"/>
  <c r="I5479" i="77"/>
  <c r="H5479" i="77"/>
  <c r="G5479" i="77"/>
  <c r="I5478" i="77"/>
  <c r="H5478" i="77"/>
  <c r="G5478" i="77"/>
  <c r="I5477" i="77"/>
  <c r="H5477" i="77"/>
  <c r="G5477" i="77"/>
  <c r="I5476" i="77"/>
  <c r="H5476" i="77"/>
  <c r="G5476" i="77"/>
  <c r="I5475" i="77"/>
  <c r="H5475" i="77"/>
  <c r="G5475" i="77"/>
  <c r="I5474" i="77"/>
  <c r="H5474" i="77"/>
  <c r="G5474" i="77"/>
  <c r="I5473" i="77"/>
  <c r="H5473" i="77"/>
  <c r="G5473" i="77"/>
  <c r="I5472" i="77"/>
  <c r="H5472" i="77"/>
  <c r="G5472" i="77"/>
  <c r="I5471" i="77"/>
  <c r="H5471" i="77"/>
  <c r="G5471" i="77"/>
  <c r="I5470" i="77"/>
  <c r="H5470" i="77"/>
  <c r="G5470" i="77"/>
  <c r="I5469" i="77"/>
  <c r="H5469" i="77"/>
  <c r="G5469" i="77"/>
  <c r="I5468" i="77"/>
  <c r="H5468" i="77"/>
  <c r="G5468" i="77"/>
  <c r="I5467" i="77"/>
  <c r="H5467" i="77"/>
  <c r="G5467" i="77"/>
  <c r="I5466" i="77"/>
  <c r="H5466" i="77"/>
  <c r="G5466" i="77"/>
  <c r="I5465" i="77"/>
  <c r="H5465" i="77"/>
  <c r="G5465" i="77"/>
  <c r="I5464" i="77"/>
  <c r="H5464" i="77"/>
  <c r="G5464" i="77"/>
  <c r="I5463" i="77"/>
  <c r="H5463" i="77"/>
  <c r="G5463" i="77"/>
  <c r="I5462" i="77"/>
  <c r="H5462" i="77"/>
  <c r="G5462" i="77"/>
  <c r="I5461" i="77"/>
  <c r="H5461" i="77"/>
  <c r="G5461" i="77"/>
  <c r="I5460" i="77"/>
  <c r="H5460" i="77"/>
  <c r="G5460" i="77"/>
  <c r="I5459" i="77"/>
  <c r="H5459" i="77"/>
  <c r="G5459" i="77"/>
  <c r="I5458" i="77"/>
  <c r="H5458" i="77"/>
  <c r="G5458" i="77"/>
  <c r="I5457" i="77"/>
  <c r="H5457" i="77"/>
  <c r="G5457" i="77"/>
  <c r="I5456" i="77"/>
  <c r="H5456" i="77"/>
  <c r="G5456" i="77"/>
  <c r="I5455" i="77"/>
  <c r="H5455" i="77"/>
  <c r="G5455" i="77"/>
  <c r="I5454" i="77"/>
  <c r="H5454" i="77"/>
  <c r="G5454" i="77"/>
  <c r="I5453" i="77"/>
  <c r="H5453" i="77"/>
  <c r="G5453" i="77"/>
  <c r="I5452" i="77"/>
  <c r="H5452" i="77"/>
  <c r="G5452" i="77"/>
  <c r="I5451" i="77"/>
  <c r="H5451" i="77"/>
  <c r="G5451" i="77"/>
  <c r="I5450" i="77"/>
  <c r="H5450" i="77"/>
  <c r="G5450" i="77"/>
  <c r="I5449" i="77"/>
  <c r="H5449" i="77"/>
  <c r="G5449" i="77"/>
  <c r="I5448" i="77"/>
  <c r="H5448" i="77"/>
  <c r="G5448" i="77"/>
  <c r="I5447" i="77"/>
  <c r="H5447" i="77"/>
  <c r="G5447" i="77"/>
  <c r="I5446" i="77"/>
  <c r="H5446" i="77"/>
  <c r="G5446" i="77"/>
  <c r="I5445" i="77"/>
  <c r="H5445" i="77"/>
  <c r="G5445" i="77"/>
  <c r="I5444" i="77"/>
  <c r="H5444" i="77"/>
  <c r="G5444" i="77"/>
  <c r="I5443" i="77"/>
  <c r="H5443" i="77"/>
  <c r="G5443" i="77"/>
  <c r="I5442" i="77"/>
  <c r="H5442" i="77"/>
  <c r="G5442" i="77"/>
  <c r="I5441" i="77"/>
  <c r="H5441" i="77"/>
  <c r="G5441" i="77"/>
  <c r="I5440" i="77"/>
  <c r="H5440" i="77"/>
  <c r="G5440" i="77"/>
  <c r="I5439" i="77"/>
  <c r="H5439" i="77"/>
  <c r="G5439" i="77"/>
  <c r="I5438" i="77"/>
  <c r="H5438" i="77"/>
  <c r="G5438" i="77"/>
  <c r="I5437" i="77"/>
  <c r="H5437" i="77"/>
  <c r="G5437" i="77"/>
  <c r="I5436" i="77"/>
  <c r="H5436" i="77"/>
  <c r="G5436" i="77"/>
  <c r="I5435" i="77"/>
  <c r="H5435" i="77"/>
  <c r="G5435" i="77"/>
  <c r="I5434" i="77"/>
  <c r="H5434" i="77"/>
  <c r="G5434" i="77"/>
  <c r="I5433" i="77"/>
  <c r="H5433" i="77"/>
  <c r="G5433" i="77"/>
  <c r="I5432" i="77"/>
  <c r="H5432" i="77"/>
  <c r="G5432" i="77"/>
  <c r="I5431" i="77"/>
  <c r="H5431" i="77"/>
  <c r="G5431" i="77"/>
  <c r="I5430" i="77"/>
  <c r="H5430" i="77"/>
  <c r="G5430" i="77"/>
  <c r="I5429" i="77"/>
  <c r="H5429" i="77"/>
  <c r="G5429" i="77"/>
  <c r="I5428" i="77"/>
  <c r="H5428" i="77"/>
  <c r="G5428" i="77"/>
  <c r="I5427" i="77"/>
  <c r="H5427" i="77"/>
  <c r="G5427" i="77"/>
  <c r="I5426" i="77"/>
  <c r="H5426" i="77"/>
  <c r="G5426" i="77"/>
  <c r="I5425" i="77"/>
  <c r="H5425" i="77"/>
  <c r="G5425" i="77"/>
  <c r="I5424" i="77"/>
  <c r="H5424" i="77"/>
  <c r="G5424" i="77"/>
  <c r="I5423" i="77"/>
  <c r="H5423" i="77"/>
  <c r="G5423" i="77"/>
  <c r="I5422" i="77"/>
  <c r="H5422" i="77"/>
  <c r="G5422" i="77"/>
  <c r="I5421" i="77"/>
  <c r="H5421" i="77"/>
  <c r="G5421" i="77"/>
  <c r="I5420" i="77"/>
  <c r="H5420" i="77"/>
  <c r="G5420" i="77"/>
  <c r="I5419" i="77"/>
  <c r="H5419" i="77"/>
  <c r="G5419" i="77"/>
  <c r="I5418" i="77"/>
  <c r="H5418" i="77"/>
  <c r="G5418" i="77"/>
  <c r="I5417" i="77"/>
  <c r="H5417" i="77"/>
  <c r="G5417" i="77"/>
  <c r="I5416" i="77"/>
  <c r="H5416" i="77"/>
  <c r="G5416" i="77"/>
  <c r="I5415" i="77"/>
  <c r="H5415" i="77"/>
  <c r="G5415" i="77"/>
  <c r="I5414" i="77"/>
  <c r="H5414" i="77"/>
  <c r="G5414" i="77"/>
  <c r="I5413" i="77"/>
  <c r="H5413" i="77"/>
  <c r="G5413" i="77"/>
  <c r="I5412" i="77"/>
  <c r="H5412" i="77"/>
  <c r="G5412" i="77"/>
  <c r="I5411" i="77"/>
  <c r="H5411" i="77"/>
  <c r="G5411" i="77"/>
  <c r="I5410" i="77"/>
  <c r="H5410" i="77"/>
  <c r="G5410" i="77"/>
  <c r="I5409" i="77"/>
  <c r="H5409" i="77"/>
  <c r="G5409" i="77"/>
  <c r="I5408" i="77"/>
  <c r="H5408" i="77"/>
  <c r="G5408" i="77"/>
  <c r="I5407" i="77"/>
  <c r="H5407" i="77"/>
  <c r="G5407" i="77"/>
  <c r="I5406" i="77"/>
  <c r="H5406" i="77"/>
  <c r="G5406" i="77"/>
  <c r="I5405" i="77"/>
  <c r="H5405" i="77"/>
  <c r="G5405" i="77"/>
  <c r="I5404" i="77"/>
  <c r="H5404" i="77"/>
  <c r="G5404" i="77"/>
  <c r="I5403" i="77"/>
  <c r="H5403" i="77"/>
  <c r="G5403" i="77"/>
  <c r="I5402" i="77"/>
  <c r="H5402" i="77"/>
  <c r="G5402" i="77"/>
  <c r="I5401" i="77"/>
  <c r="H5401" i="77"/>
  <c r="G5401" i="77"/>
  <c r="I5400" i="77"/>
  <c r="H5400" i="77"/>
  <c r="G5400" i="77"/>
  <c r="I5399" i="77"/>
  <c r="H5399" i="77"/>
  <c r="G5399" i="77"/>
  <c r="I5398" i="77"/>
  <c r="H5398" i="77"/>
  <c r="G5398" i="77"/>
  <c r="I5397" i="77"/>
  <c r="H5397" i="77"/>
  <c r="G5397" i="77"/>
  <c r="I5396" i="77"/>
  <c r="H5396" i="77"/>
  <c r="G5396" i="77"/>
  <c r="I5395" i="77"/>
  <c r="H5395" i="77"/>
  <c r="G5395" i="77"/>
  <c r="I5394" i="77"/>
  <c r="H5394" i="77"/>
  <c r="G5394" i="77"/>
  <c r="I5393" i="77"/>
  <c r="H5393" i="77"/>
  <c r="G5393" i="77"/>
  <c r="I5392" i="77"/>
  <c r="H5392" i="77"/>
  <c r="G5392" i="77"/>
  <c r="I5391" i="77"/>
  <c r="H5391" i="77"/>
  <c r="G5391" i="77"/>
  <c r="I5390" i="77"/>
  <c r="H5390" i="77"/>
  <c r="G5390" i="77"/>
  <c r="I5389" i="77"/>
  <c r="H5389" i="77"/>
  <c r="G5389" i="77"/>
  <c r="I5388" i="77"/>
  <c r="H5388" i="77"/>
  <c r="G5388" i="77"/>
  <c r="I5387" i="77"/>
  <c r="H5387" i="77"/>
  <c r="G5387" i="77"/>
  <c r="I5386" i="77"/>
  <c r="H5386" i="77"/>
  <c r="G5386" i="77"/>
  <c r="I5385" i="77"/>
  <c r="H5385" i="77"/>
  <c r="G5385" i="77"/>
  <c r="I5384" i="77"/>
  <c r="H5384" i="77"/>
  <c r="G5384" i="77"/>
  <c r="I5383" i="77"/>
  <c r="H5383" i="77"/>
  <c r="G5383" i="77"/>
  <c r="I5382" i="77"/>
  <c r="H5382" i="77"/>
  <c r="G5382" i="77"/>
  <c r="I5381" i="77"/>
  <c r="H5381" i="77"/>
  <c r="G5381" i="77"/>
  <c r="I5380" i="77"/>
  <c r="H5380" i="77"/>
  <c r="G5380" i="77"/>
  <c r="I5379" i="77"/>
  <c r="H5379" i="77"/>
  <c r="G5379" i="77"/>
  <c r="I5378" i="77"/>
  <c r="H5378" i="77"/>
  <c r="G5378" i="77"/>
  <c r="I5377" i="77"/>
  <c r="H5377" i="77"/>
  <c r="G5377" i="77"/>
  <c r="I5376" i="77"/>
  <c r="H5376" i="77"/>
  <c r="G5376" i="77"/>
  <c r="I5375" i="77"/>
  <c r="H5375" i="77"/>
  <c r="G5375" i="77"/>
  <c r="I5374" i="77"/>
  <c r="H5374" i="77"/>
  <c r="G5374" i="77"/>
  <c r="I5373" i="77"/>
  <c r="H5373" i="77"/>
  <c r="G5373" i="77"/>
  <c r="I5372" i="77"/>
  <c r="H5372" i="77"/>
  <c r="G5372" i="77"/>
  <c r="I5371" i="77"/>
  <c r="H5371" i="77"/>
  <c r="G5371" i="77"/>
  <c r="I5370" i="77"/>
  <c r="H5370" i="77"/>
  <c r="G5370" i="77"/>
  <c r="I5369" i="77"/>
  <c r="H5369" i="77"/>
  <c r="G5369" i="77"/>
  <c r="I5368" i="77"/>
  <c r="H5368" i="77"/>
  <c r="G5368" i="77"/>
  <c r="I5367" i="77"/>
  <c r="H5367" i="77"/>
  <c r="G5367" i="77"/>
  <c r="I5366" i="77"/>
  <c r="H5366" i="77"/>
  <c r="G5366" i="77"/>
  <c r="I5365" i="77"/>
  <c r="H5365" i="77"/>
  <c r="G5365" i="77"/>
  <c r="I5364" i="77"/>
  <c r="H5364" i="77"/>
  <c r="G5364" i="77"/>
  <c r="I5363" i="77"/>
  <c r="H5363" i="77"/>
  <c r="G5363" i="77"/>
  <c r="I5362" i="77"/>
  <c r="H5362" i="77"/>
  <c r="G5362" i="77"/>
  <c r="I5361" i="77"/>
  <c r="H5361" i="77"/>
  <c r="G5361" i="77"/>
  <c r="I5360" i="77"/>
  <c r="H5360" i="77"/>
  <c r="G5360" i="77"/>
  <c r="I5359" i="77"/>
  <c r="H5359" i="77"/>
  <c r="G5359" i="77"/>
  <c r="I5358" i="77"/>
  <c r="H5358" i="77"/>
  <c r="G5358" i="77"/>
  <c r="I5357" i="77"/>
  <c r="H5357" i="77"/>
  <c r="G5357" i="77"/>
  <c r="I5356" i="77"/>
  <c r="H5356" i="77"/>
  <c r="G5356" i="77"/>
  <c r="I5355" i="77"/>
  <c r="H5355" i="77"/>
  <c r="G5355" i="77"/>
  <c r="I5354" i="77"/>
  <c r="H5354" i="77"/>
  <c r="G5354" i="77"/>
  <c r="I5353" i="77"/>
  <c r="H5353" i="77"/>
  <c r="G5353" i="77"/>
  <c r="I5352" i="77"/>
  <c r="H5352" i="77"/>
  <c r="G5352" i="77"/>
  <c r="I5351" i="77"/>
  <c r="H5351" i="77"/>
  <c r="G5351" i="77"/>
  <c r="I5350" i="77"/>
  <c r="H5350" i="77"/>
  <c r="G5350" i="77"/>
  <c r="I5349" i="77"/>
  <c r="H5349" i="77"/>
  <c r="G5349" i="77"/>
  <c r="I5348" i="77"/>
  <c r="H5348" i="77"/>
  <c r="G5348" i="77"/>
  <c r="I5347" i="77"/>
  <c r="H5347" i="77"/>
  <c r="G5347" i="77"/>
  <c r="I5346" i="77"/>
  <c r="H5346" i="77"/>
  <c r="G5346" i="77"/>
  <c r="I5345" i="77"/>
  <c r="H5345" i="77"/>
  <c r="G5345" i="77"/>
  <c r="I5344" i="77"/>
  <c r="H5344" i="77"/>
  <c r="G5344" i="77"/>
  <c r="I5343" i="77"/>
  <c r="H5343" i="77"/>
  <c r="G5343" i="77"/>
  <c r="I5342" i="77"/>
  <c r="H5342" i="77"/>
  <c r="G5342" i="77"/>
  <c r="I5341" i="77"/>
  <c r="H5341" i="77"/>
  <c r="G5341" i="77"/>
  <c r="I5340" i="77"/>
  <c r="H5340" i="77"/>
  <c r="G5340" i="77"/>
  <c r="I5339" i="77"/>
  <c r="H5339" i="77"/>
  <c r="G5339" i="77"/>
  <c r="I5338" i="77"/>
  <c r="H5338" i="77"/>
  <c r="G5338" i="77"/>
  <c r="I5337" i="77"/>
  <c r="H5337" i="77"/>
  <c r="G5337" i="77"/>
  <c r="I5336" i="77"/>
  <c r="H5336" i="77"/>
  <c r="G5336" i="77"/>
  <c r="I5335" i="77"/>
  <c r="H5335" i="77"/>
  <c r="G5335" i="77"/>
  <c r="I5334" i="77"/>
  <c r="H5334" i="77"/>
  <c r="G5334" i="77"/>
  <c r="I5333" i="77"/>
  <c r="H5333" i="77"/>
  <c r="G5333" i="77"/>
  <c r="I5332" i="77"/>
  <c r="H5332" i="77"/>
  <c r="G5332" i="77"/>
  <c r="I5331" i="77"/>
  <c r="H5331" i="77"/>
  <c r="G5331" i="77"/>
  <c r="I5330" i="77"/>
  <c r="H5330" i="77"/>
  <c r="G5330" i="77"/>
  <c r="I5329" i="77"/>
  <c r="H5329" i="77"/>
  <c r="G5329" i="77"/>
  <c r="I5328" i="77"/>
  <c r="H5328" i="77"/>
  <c r="G5328" i="77"/>
  <c r="I5327" i="77"/>
  <c r="H5327" i="77"/>
  <c r="G5327" i="77"/>
  <c r="I5326" i="77"/>
  <c r="H5326" i="77"/>
  <c r="G5326" i="77"/>
  <c r="I5325" i="77"/>
  <c r="H5325" i="77"/>
  <c r="G5325" i="77"/>
  <c r="I5324" i="77"/>
  <c r="H5324" i="77"/>
  <c r="G5324" i="77"/>
  <c r="I5323" i="77"/>
  <c r="H5323" i="77"/>
  <c r="G5323" i="77"/>
  <c r="I5322" i="77"/>
  <c r="H5322" i="77"/>
  <c r="G5322" i="77"/>
  <c r="I5321" i="77"/>
  <c r="H5321" i="77"/>
  <c r="G5321" i="77"/>
  <c r="I5320" i="77"/>
  <c r="H5320" i="77"/>
  <c r="G5320" i="77"/>
  <c r="I5319" i="77"/>
  <c r="H5319" i="77"/>
  <c r="G5319" i="77"/>
  <c r="I5318" i="77"/>
  <c r="H5318" i="77"/>
  <c r="G5318" i="77"/>
  <c r="I5317" i="77"/>
  <c r="H5317" i="77"/>
  <c r="G5317" i="77"/>
  <c r="I5316" i="77"/>
  <c r="H5316" i="77"/>
  <c r="G5316" i="77"/>
  <c r="I5315" i="77"/>
  <c r="H5315" i="77"/>
  <c r="G5315" i="77"/>
  <c r="I5314" i="77"/>
  <c r="H5314" i="77"/>
  <c r="G5314" i="77"/>
  <c r="I5313" i="77"/>
  <c r="H5313" i="77"/>
  <c r="G5313" i="77"/>
  <c r="I5312" i="77"/>
  <c r="H5312" i="77"/>
  <c r="G5312" i="77"/>
  <c r="I5311" i="77"/>
  <c r="H5311" i="77"/>
  <c r="G5311" i="77"/>
  <c r="I5310" i="77"/>
  <c r="H5310" i="77"/>
  <c r="G5310" i="77"/>
  <c r="I5309" i="77"/>
  <c r="H5309" i="77"/>
  <c r="G5309" i="77"/>
  <c r="I5308" i="77"/>
  <c r="H5308" i="77"/>
  <c r="G5308" i="77"/>
  <c r="I5307" i="77"/>
  <c r="H5307" i="77"/>
  <c r="G5307" i="77"/>
  <c r="I5306" i="77"/>
  <c r="H5306" i="77"/>
  <c r="G5306" i="77"/>
  <c r="I5305" i="77"/>
  <c r="H5305" i="77"/>
  <c r="G5305" i="77"/>
  <c r="I5304" i="77"/>
  <c r="H5304" i="77"/>
  <c r="G5304" i="77"/>
  <c r="I5303" i="77"/>
  <c r="H5303" i="77"/>
  <c r="G5303" i="77"/>
  <c r="I5302" i="77"/>
  <c r="H5302" i="77"/>
  <c r="G5302" i="77"/>
  <c r="I5301" i="77"/>
  <c r="H5301" i="77"/>
  <c r="G5301" i="77"/>
  <c r="I5300" i="77"/>
  <c r="H5300" i="77"/>
  <c r="G5300" i="77"/>
  <c r="I5299" i="77"/>
  <c r="H5299" i="77"/>
  <c r="G5299" i="77"/>
  <c r="I5298" i="77"/>
  <c r="H5298" i="77"/>
  <c r="G5298" i="77"/>
  <c r="I5297" i="77"/>
  <c r="H5297" i="77"/>
  <c r="G5297" i="77"/>
  <c r="I5296" i="77"/>
  <c r="H5296" i="77"/>
  <c r="G5296" i="77"/>
  <c r="I5295" i="77"/>
  <c r="H5295" i="77"/>
  <c r="G5295" i="77"/>
  <c r="I5294" i="77"/>
  <c r="H5294" i="77"/>
  <c r="G5294" i="77"/>
  <c r="I5293" i="77"/>
  <c r="H5293" i="77"/>
  <c r="G5293" i="77"/>
  <c r="I5292" i="77"/>
  <c r="H5292" i="77"/>
  <c r="G5292" i="77"/>
  <c r="I5291" i="77"/>
  <c r="H5291" i="77"/>
  <c r="G5291" i="77"/>
  <c r="I5290" i="77"/>
  <c r="H5290" i="77"/>
  <c r="G5290" i="77"/>
  <c r="I5289" i="77"/>
  <c r="H5289" i="77"/>
  <c r="G5289" i="77"/>
  <c r="I5288" i="77"/>
  <c r="H5288" i="77"/>
  <c r="G5288" i="77"/>
  <c r="I5287" i="77"/>
  <c r="H5287" i="77"/>
  <c r="G5287" i="77"/>
  <c r="I5286" i="77"/>
  <c r="H5286" i="77"/>
  <c r="G5286" i="77"/>
  <c r="I5285" i="77"/>
  <c r="H5285" i="77"/>
  <c r="G5285" i="77"/>
  <c r="I5284" i="77"/>
  <c r="H5284" i="77"/>
  <c r="G5284" i="77"/>
  <c r="I5283" i="77"/>
  <c r="H5283" i="77"/>
  <c r="G5283" i="77"/>
  <c r="I5282" i="77"/>
  <c r="H5282" i="77"/>
  <c r="G5282" i="77"/>
  <c r="I5281" i="77"/>
  <c r="H5281" i="77"/>
  <c r="G5281" i="77"/>
  <c r="I5280" i="77"/>
  <c r="H5280" i="77"/>
  <c r="G5280" i="77"/>
  <c r="I5279" i="77"/>
  <c r="H5279" i="77"/>
  <c r="G5279" i="77"/>
  <c r="I5278" i="77"/>
  <c r="H5278" i="77"/>
  <c r="G5278" i="77"/>
  <c r="I5277" i="77"/>
  <c r="H5277" i="77"/>
  <c r="G5277" i="77"/>
  <c r="I5276" i="77"/>
  <c r="H5276" i="77"/>
  <c r="G5276" i="77"/>
  <c r="I5275" i="77"/>
  <c r="H5275" i="77"/>
  <c r="G5275" i="77"/>
  <c r="I5274" i="77"/>
  <c r="H5274" i="77"/>
  <c r="G5274" i="77"/>
  <c r="I5273" i="77"/>
  <c r="H5273" i="77"/>
  <c r="G5273" i="77"/>
  <c r="I5272" i="77"/>
  <c r="H5272" i="77"/>
  <c r="G5272" i="77"/>
  <c r="I5271" i="77"/>
  <c r="H5271" i="77"/>
  <c r="G5271" i="77"/>
  <c r="I5270" i="77"/>
  <c r="H5270" i="77"/>
  <c r="G5270" i="77"/>
  <c r="I5269" i="77"/>
  <c r="H5269" i="77"/>
  <c r="G5269" i="77"/>
  <c r="I5268" i="77"/>
  <c r="H5268" i="77"/>
  <c r="G5268" i="77"/>
  <c r="I5267" i="77"/>
  <c r="H5267" i="77"/>
  <c r="G5267" i="77"/>
  <c r="I5266" i="77"/>
  <c r="H5266" i="77"/>
  <c r="G5266" i="77"/>
  <c r="I5265" i="77"/>
  <c r="H5265" i="77"/>
  <c r="G5265" i="77"/>
  <c r="I5264" i="77"/>
  <c r="H5264" i="77"/>
  <c r="G5264" i="77"/>
  <c r="I5263" i="77"/>
  <c r="H5263" i="77"/>
  <c r="G5263" i="77"/>
  <c r="I5262" i="77"/>
  <c r="H5262" i="77"/>
  <c r="G5262" i="77"/>
  <c r="I5261" i="77"/>
  <c r="H5261" i="77"/>
  <c r="G5261" i="77"/>
  <c r="I5260" i="77"/>
  <c r="H5260" i="77"/>
  <c r="G5260" i="77"/>
  <c r="I5259" i="77"/>
  <c r="H5259" i="77"/>
  <c r="G5259" i="77"/>
  <c r="I5258" i="77"/>
  <c r="H5258" i="77"/>
  <c r="G5258" i="77"/>
  <c r="I5257" i="77"/>
  <c r="H5257" i="77"/>
  <c r="G5257" i="77"/>
  <c r="I5256" i="77"/>
  <c r="H5256" i="77"/>
  <c r="G5256" i="77"/>
  <c r="I5255" i="77"/>
  <c r="H5255" i="77"/>
  <c r="G5255" i="77"/>
  <c r="I5254" i="77"/>
  <c r="H5254" i="77"/>
  <c r="G5254" i="77"/>
  <c r="I5253" i="77"/>
  <c r="H5253" i="77"/>
  <c r="G5253" i="77"/>
  <c r="I5252" i="77"/>
  <c r="H5252" i="77"/>
  <c r="G5252" i="77"/>
  <c r="I5251" i="77"/>
  <c r="H5251" i="77"/>
  <c r="G5251" i="77"/>
  <c r="I5250" i="77"/>
  <c r="H5250" i="77"/>
  <c r="G5250" i="77"/>
  <c r="I5249" i="77"/>
  <c r="H5249" i="77"/>
  <c r="G5249" i="77"/>
  <c r="I5248" i="77"/>
  <c r="H5248" i="77"/>
  <c r="G5248" i="77"/>
  <c r="I5247" i="77"/>
  <c r="H5247" i="77"/>
  <c r="G5247" i="77"/>
  <c r="I5246" i="77"/>
  <c r="H5246" i="77"/>
  <c r="G5246" i="77"/>
  <c r="I5245" i="77"/>
  <c r="H5245" i="77"/>
  <c r="G5245" i="77"/>
  <c r="I5244" i="77"/>
  <c r="H5244" i="77"/>
  <c r="G5244" i="77"/>
  <c r="I5243" i="77"/>
  <c r="H5243" i="77"/>
  <c r="G5243" i="77"/>
  <c r="I5242" i="77"/>
  <c r="H5242" i="77"/>
  <c r="G5242" i="77"/>
  <c r="I5241" i="77"/>
  <c r="H5241" i="77"/>
  <c r="G5241" i="77"/>
  <c r="I5240" i="77"/>
  <c r="H5240" i="77"/>
  <c r="G5240" i="77"/>
  <c r="I5239" i="77"/>
  <c r="H5239" i="77"/>
  <c r="G5239" i="77"/>
  <c r="I5238" i="77"/>
  <c r="H5238" i="77"/>
  <c r="G5238" i="77"/>
  <c r="I5237" i="77"/>
  <c r="H5237" i="77"/>
  <c r="G5237" i="77"/>
  <c r="I5236" i="77"/>
  <c r="H5236" i="77"/>
  <c r="G5236" i="77"/>
  <c r="I5235" i="77"/>
  <c r="H5235" i="77"/>
  <c r="G5235" i="77"/>
  <c r="I5234" i="77"/>
  <c r="H5234" i="77"/>
  <c r="G5234" i="77"/>
  <c r="I5233" i="77"/>
  <c r="H5233" i="77"/>
  <c r="G5233" i="77"/>
  <c r="I5232" i="77"/>
  <c r="H5232" i="77"/>
  <c r="G5232" i="77"/>
  <c r="I5231" i="77"/>
  <c r="H5231" i="77"/>
  <c r="G5231" i="77"/>
  <c r="I5230" i="77"/>
  <c r="H5230" i="77"/>
  <c r="G5230" i="77"/>
  <c r="I5229" i="77"/>
  <c r="H5229" i="77"/>
  <c r="G5229" i="77"/>
  <c r="I5228" i="77"/>
  <c r="H5228" i="77"/>
  <c r="G5228" i="77"/>
  <c r="I5227" i="77"/>
  <c r="H5227" i="77"/>
  <c r="G5227" i="77"/>
  <c r="I5226" i="77"/>
  <c r="H5226" i="77"/>
  <c r="G5226" i="77"/>
  <c r="I5225" i="77"/>
  <c r="H5225" i="77"/>
  <c r="G5225" i="77"/>
  <c r="I5224" i="77"/>
  <c r="H5224" i="77"/>
  <c r="G5224" i="77"/>
  <c r="I5223" i="77"/>
  <c r="H5223" i="77"/>
  <c r="G5223" i="77"/>
  <c r="I5222" i="77"/>
  <c r="H5222" i="77"/>
  <c r="G5222" i="77"/>
  <c r="I5221" i="77"/>
  <c r="H5221" i="77"/>
  <c r="G5221" i="77"/>
  <c r="I5220" i="77"/>
  <c r="H5220" i="77"/>
  <c r="G5220" i="77"/>
  <c r="I5219" i="77"/>
  <c r="H5219" i="77"/>
  <c r="G5219" i="77"/>
  <c r="I5218" i="77"/>
  <c r="H5218" i="77"/>
  <c r="G5218" i="77"/>
  <c r="I5217" i="77"/>
  <c r="H5217" i="77"/>
  <c r="G5217" i="77"/>
  <c r="I5216" i="77"/>
  <c r="H5216" i="77"/>
  <c r="G5216" i="77"/>
  <c r="I5215" i="77"/>
  <c r="H5215" i="77"/>
  <c r="G5215" i="77"/>
  <c r="I5214" i="77"/>
  <c r="H5214" i="77"/>
  <c r="G5214" i="77"/>
  <c r="I5213" i="77"/>
  <c r="H5213" i="77"/>
  <c r="G5213" i="77"/>
  <c r="I5212" i="77"/>
  <c r="H5212" i="77"/>
  <c r="G5212" i="77"/>
  <c r="I5211" i="77"/>
  <c r="H5211" i="77"/>
  <c r="G5211" i="77"/>
  <c r="I5210" i="77"/>
  <c r="H5210" i="77"/>
  <c r="G5210" i="77"/>
  <c r="I5209" i="77"/>
  <c r="H5209" i="77"/>
  <c r="G5209" i="77"/>
  <c r="I5208" i="77"/>
  <c r="H5208" i="77"/>
  <c r="G5208" i="77"/>
  <c r="I5207" i="77"/>
  <c r="H5207" i="77"/>
  <c r="G5207" i="77"/>
  <c r="I5206" i="77"/>
  <c r="H5206" i="77"/>
  <c r="G5206" i="77"/>
  <c r="I5205" i="77"/>
  <c r="H5205" i="77"/>
  <c r="G5205" i="77"/>
  <c r="I5204" i="77"/>
  <c r="H5204" i="77"/>
  <c r="G5204" i="77"/>
  <c r="I5203" i="77"/>
  <c r="H5203" i="77"/>
  <c r="G5203" i="77"/>
  <c r="I5202" i="77"/>
  <c r="H5202" i="77"/>
  <c r="G5202" i="77"/>
  <c r="I5201" i="77"/>
  <c r="H5201" i="77"/>
  <c r="G5201" i="77"/>
  <c r="I5200" i="77"/>
  <c r="H5200" i="77"/>
  <c r="G5200" i="77"/>
  <c r="I5199" i="77"/>
  <c r="H5199" i="77"/>
  <c r="G5199" i="77"/>
  <c r="I5198" i="77"/>
  <c r="H5198" i="77"/>
  <c r="G5198" i="77"/>
  <c r="I5197" i="77"/>
  <c r="H5197" i="77"/>
  <c r="G5197" i="77"/>
  <c r="I5196" i="77"/>
  <c r="H5196" i="77"/>
  <c r="G5196" i="77"/>
  <c r="I5195" i="77"/>
  <c r="H5195" i="77"/>
  <c r="G5195" i="77"/>
  <c r="I5194" i="77"/>
  <c r="H5194" i="77"/>
  <c r="G5194" i="77"/>
  <c r="I5193" i="77"/>
  <c r="H5193" i="77"/>
  <c r="G5193" i="77"/>
  <c r="I5192" i="77"/>
  <c r="H5192" i="77"/>
  <c r="G5192" i="77"/>
  <c r="I5191" i="77"/>
  <c r="H5191" i="77"/>
  <c r="G5191" i="77"/>
  <c r="I5190" i="77"/>
  <c r="H5190" i="77"/>
  <c r="G5190" i="77"/>
  <c r="I5189" i="77"/>
  <c r="H5189" i="77"/>
  <c r="G5189" i="77"/>
  <c r="I5188" i="77"/>
  <c r="H5188" i="77"/>
  <c r="G5188" i="77"/>
  <c r="I5187" i="77"/>
  <c r="H5187" i="77"/>
  <c r="G5187" i="77"/>
  <c r="I5186" i="77"/>
  <c r="H5186" i="77"/>
  <c r="G5186" i="77"/>
  <c r="I5185" i="77"/>
  <c r="H5185" i="77"/>
  <c r="G5185" i="77"/>
  <c r="I5184" i="77"/>
  <c r="H5184" i="77"/>
  <c r="G5184" i="77"/>
  <c r="I5183" i="77"/>
  <c r="H5183" i="77"/>
  <c r="G5183" i="77"/>
  <c r="I5182" i="77"/>
  <c r="H5182" i="77"/>
  <c r="G5182" i="77"/>
  <c r="I5181" i="77"/>
  <c r="H5181" i="77"/>
  <c r="G5181" i="77"/>
  <c r="I5180" i="77"/>
  <c r="H5180" i="77"/>
  <c r="G5180" i="77"/>
  <c r="I5179" i="77"/>
  <c r="H5179" i="77"/>
  <c r="G5179" i="77"/>
  <c r="I5178" i="77"/>
  <c r="H5178" i="77"/>
  <c r="G5178" i="77"/>
  <c r="I5177" i="77"/>
  <c r="H5177" i="77"/>
  <c r="G5177" i="77"/>
  <c r="I5176" i="77"/>
  <c r="H5176" i="77"/>
  <c r="G5176" i="77"/>
  <c r="I5175" i="77"/>
  <c r="H5175" i="77"/>
  <c r="G5175" i="77"/>
  <c r="I5174" i="77"/>
  <c r="H5174" i="77"/>
  <c r="G5174" i="77"/>
  <c r="I5173" i="77"/>
  <c r="H5173" i="77"/>
  <c r="G5173" i="77"/>
  <c r="I5172" i="77"/>
  <c r="H5172" i="77"/>
  <c r="G5172" i="77"/>
  <c r="I5171" i="77"/>
  <c r="H5171" i="77"/>
  <c r="G5171" i="77"/>
  <c r="I5170" i="77"/>
  <c r="H5170" i="77"/>
  <c r="G5170" i="77"/>
  <c r="I5169" i="77"/>
  <c r="H5169" i="77"/>
  <c r="G5169" i="77"/>
  <c r="I5168" i="77"/>
  <c r="H5168" i="77"/>
  <c r="G5168" i="77"/>
  <c r="I5167" i="77"/>
  <c r="H5167" i="77"/>
  <c r="G5167" i="77"/>
  <c r="I5166" i="77"/>
  <c r="H5166" i="77"/>
  <c r="G5166" i="77"/>
  <c r="I5165" i="77"/>
  <c r="H5165" i="77"/>
  <c r="G5165" i="77"/>
  <c r="I5164" i="77"/>
  <c r="H5164" i="77"/>
  <c r="G5164" i="77"/>
  <c r="I5163" i="77"/>
  <c r="H5163" i="77"/>
  <c r="G5163" i="77"/>
  <c r="I5162" i="77"/>
  <c r="H5162" i="77"/>
  <c r="G5162" i="77"/>
  <c r="I5161" i="77"/>
  <c r="H5161" i="77"/>
  <c r="G5161" i="77"/>
  <c r="I5160" i="77"/>
  <c r="H5160" i="77"/>
  <c r="G5160" i="77"/>
  <c r="I5159" i="77"/>
  <c r="H5159" i="77"/>
  <c r="G5159" i="77"/>
  <c r="I5158" i="77"/>
  <c r="H5158" i="77"/>
  <c r="G5158" i="77"/>
  <c r="I5157" i="77"/>
  <c r="H5157" i="77"/>
  <c r="G5157" i="77"/>
  <c r="I5156" i="77"/>
  <c r="H5156" i="77"/>
  <c r="G5156" i="77"/>
  <c r="I5155" i="77"/>
  <c r="H5155" i="77"/>
  <c r="G5155" i="77"/>
  <c r="I5154" i="77"/>
  <c r="H5154" i="77"/>
  <c r="G5154" i="77"/>
  <c r="I5153" i="77"/>
  <c r="H5153" i="77"/>
  <c r="G5153" i="77"/>
  <c r="I5152" i="77"/>
  <c r="H5152" i="77"/>
  <c r="G5152" i="77"/>
  <c r="I5151" i="77"/>
  <c r="H5151" i="77"/>
  <c r="G5151" i="77"/>
  <c r="I5150" i="77"/>
  <c r="H5150" i="77"/>
  <c r="G5150" i="77"/>
  <c r="I5149" i="77"/>
  <c r="H5149" i="77"/>
  <c r="G5149" i="77"/>
  <c r="I5148" i="77"/>
  <c r="H5148" i="77"/>
  <c r="G5148" i="77"/>
  <c r="I5147" i="77"/>
  <c r="H5147" i="77"/>
  <c r="G5147" i="77"/>
  <c r="I5146" i="77"/>
  <c r="H5146" i="77"/>
  <c r="G5146" i="77"/>
  <c r="I5145" i="77"/>
  <c r="H5145" i="77"/>
  <c r="G5145" i="77"/>
  <c r="I5144" i="77"/>
  <c r="H5144" i="77"/>
  <c r="G5144" i="77"/>
  <c r="I5143" i="77"/>
  <c r="H5143" i="77"/>
  <c r="G5143" i="77"/>
  <c r="I5142" i="77"/>
  <c r="H5142" i="77"/>
  <c r="G5142" i="77"/>
  <c r="I5141" i="77"/>
  <c r="H5141" i="77"/>
  <c r="G5141" i="77"/>
  <c r="I5140" i="77"/>
  <c r="H5140" i="77"/>
  <c r="G5140" i="77"/>
  <c r="I5139" i="77"/>
  <c r="H5139" i="77"/>
  <c r="G5139" i="77"/>
  <c r="I5138" i="77"/>
  <c r="H5138" i="77"/>
  <c r="G5138" i="77"/>
  <c r="I5137" i="77"/>
  <c r="H5137" i="77"/>
  <c r="G5137" i="77"/>
  <c r="I5136" i="77"/>
  <c r="H5136" i="77"/>
  <c r="G5136" i="77"/>
  <c r="I5135" i="77"/>
  <c r="H5135" i="77"/>
  <c r="G5135" i="77"/>
  <c r="I5134" i="77"/>
  <c r="H5134" i="77"/>
  <c r="G5134" i="77"/>
  <c r="I5133" i="77"/>
  <c r="H5133" i="77"/>
  <c r="G5133" i="77"/>
  <c r="I5132" i="77"/>
  <c r="H5132" i="77"/>
  <c r="G5132" i="77"/>
  <c r="I5131" i="77"/>
  <c r="H5131" i="77"/>
  <c r="G5131" i="77"/>
  <c r="I5130" i="77"/>
  <c r="H5130" i="77"/>
  <c r="G5130" i="77"/>
  <c r="I5129" i="77"/>
  <c r="H5129" i="77"/>
  <c r="G5129" i="77"/>
  <c r="I5128" i="77"/>
  <c r="H5128" i="77"/>
  <c r="G5128" i="77"/>
  <c r="I5127" i="77"/>
  <c r="H5127" i="77"/>
  <c r="G5127" i="77"/>
  <c r="I5126" i="77"/>
  <c r="H5126" i="77"/>
  <c r="G5126" i="77"/>
  <c r="I5125" i="77"/>
  <c r="H5125" i="77"/>
  <c r="G5125" i="77"/>
  <c r="I5124" i="77"/>
  <c r="H5124" i="77"/>
  <c r="G5124" i="77"/>
  <c r="I5123" i="77"/>
  <c r="H5123" i="77"/>
  <c r="G5123" i="77"/>
  <c r="I5122" i="77"/>
  <c r="H5122" i="77"/>
  <c r="G5122" i="77"/>
  <c r="I5121" i="77"/>
  <c r="H5121" i="77"/>
  <c r="G5121" i="77"/>
  <c r="I5120" i="77"/>
  <c r="H5120" i="77"/>
  <c r="G5120" i="77"/>
  <c r="I5119" i="77"/>
  <c r="H5119" i="77"/>
  <c r="G5119" i="77"/>
  <c r="I5118" i="77"/>
  <c r="H5118" i="77"/>
  <c r="G5118" i="77"/>
  <c r="I5117" i="77"/>
  <c r="H5117" i="77"/>
  <c r="G5117" i="77"/>
  <c r="I5116" i="77"/>
  <c r="H5116" i="77"/>
  <c r="G5116" i="77"/>
  <c r="I5115" i="77"/>
  <c r="H5115" i="77"/>
  <c r="G5115" i="77"/>
  <c r="I5114" i="77"/>
  <c r="H5114" i="77"/>
  <c r="G5114" i="77"/>
  <c r="I5113" i="77"/>
  <c r="H5113" i="77"/>
  <c r="G5113" i="77"/>
  <c r="I5112" i="77"/>
  <c r="H5112" i="77"/>
  <c r="G5112" i="77"/>
  <c r="I5111" i="77"/>
  <c r="H5111" i="77"/>
  <c r="G5111" i="77"/>
  <c r="I5110" i="77"/>
  <c r="H5110" i="77"/>
  <c r="G5110" i="77"/>
  <c r="I5109" i="77"/>
  <c r="H5109" i="77"/>
  <c r="G5109" i="77"/>
  <c r="I5108" i="77"/>
  <c r="H5108" i="77"/>
  <c r="G5108" i="77"/>
  <c r="I5107" i="77"/>
  <c r="H5107" i="77"/>
  <c r="G5107" i="77"/>
  <c r="I5106" i="77"/>
  <c r="H5106" i="77"/>
  <c r="G5106" i="77"/>
  <c r="I5105" i="77"/>
  <c r="H5105" i="77"/>
  <c r="G5105" i="77"/>
  <c r="I5104" i="77"/>
  <c r="H5104" i="77"/>
  <c r="G5104" i="77"/>
  <c r="I5103" i="77"/>
  <c r="H5103" i="77"/>
  <c r="G5103" i="77"/>
  <c r="I5102" i="77"/>
  <c r="H5102" i="77"/>
  <c r="G5102" i="77"/>
  <c r="I5101" i="77"/>
  <c r="H5101" i="77"/>
  <c r="G5101" i="77"/>
  <c r="I5100" i="77"/>
  <c r="H5100" i="77"/>
  <c r="G5100" i="77"/>
  <c r="I5099" i="77"/>
  <c r="H5099" i="77"/>
  <c r="G5099" i="77"/>
  <c r="I5098" i="77"/>
  <c r="H5098" i="77"/>
  <c r="G5098" i="77"/>
  <c r="I5097" i="77"/>
  <c r="H5097" i="77"/>
  <c r="G5097" i="77"/>
  <c r="I5096" i="77"/>
  <c r="H5096" i="77"/>
  <c r="G5096" i="77"/>
  <c r="I5095" i="77"/>
  <c r="H5095" i="77"/>
  <c r="G5095" i="77"/>
  <c r="I5094" i="77"/>
  <c r="H5094" i="77"/>
  <c r="G5094" i="77"/>
  <c r="I5093" i="77"/>
  <c r="H5093" i="77"/>
  <c r="G5093" i="77"/>
  <c r="I5092" i="77"/>
  <c r="H5092" i="77"/>
  <c r="G5092" i="77"/>
  <c r="I5091" i="77"/>
  <c r="H5091" i="77"/>
  <c r="G5091" i="77"/>
  <c r="I5090" i="77"/>
  <c r="H5090" i="77"/>
  <c r="G5090" i="77"/>
  <c r="I5089" i="77"/>
  <c r="H5089" i="77"/>
  <c r="G5089" i="77"/>
  <c r="I5088" i="77"/>
  <c r="H5088" i="77"/>
  <c r="G5088" i="77"/>
  <c r="I5087" i="77"/>
  <c r="H5087" i="77"/>
  <c r="G5087" i="77"/>
  <c r="I5086" i="77"/>
  <c r="H5086" i="77"/>
  <c r="G5086" i="77"/>
  <c r="I5085" i="77"/>
  <c r="H5085" i="77"/>
  <c r="G5085" i="77"/>
  <c r="I5084" i="77"/>
  <c r="H5084" i="77"/>
  <c r="G5084" i="77"/>
  <c r="I5083" i="77"/>
  <c r="H5083" i="77"/>
  <c r="G5083" i="77"/>
  <c r="I5082" i="77"/>
  <c r="H5082" i="77"/>
  <c r="G5082" i="77"/>
  <c r="I5081" i="77"/>
  <c r="H5081" i="77"/>
  <c r="G5081" i="77"/>
  <c r="I5080" i="77"/>
  <c r="H5080" i="77"/>
  <c r="G5080" i="77"/>
  <c r="I5079" i="77"/>
  <c r="H5079" i="77"/>
  <c r="G5079" i="77"/>
  <c r="I5078" i="77"/>
  <c r="H5078" i="77"/>
  <c r="G5078" i="77"/>
  <c r="I5077" i="77"/>
  <c r="H5077" i="77"/>
  <c r="G5077" i="77"/>
  <c r="I5076" i="77"/>
  <c r="H5076" i="77"/>
  <c r="G5076" i="77"/>
  <c r="I5075" i="77"/>
  <c r="H5075" i="77"/>
  <c r="G5075" i="77"/>
  <c r="I5074" i="77"/>
  <c r="H5074" i="77"/>
  <c r="G5074" i="77"/>
  <c r="I5073" i="77"/>
  <c r="H5073" i="77"/>
  <c r="G5073" i="77"/>
  <c r="I5072" i="77"/>
  <c r="H5072" i="77"/>
  <c r="G5072" i="77"/>
  <c r="I5071" i="77"/>
  <c r="H5071" i="77"/>
  <c r="G5071" i="77"/>
  <c r="I5070" i="77"/>
  <c r="H5070" i="77"/>
  <c r="G5070" i="77"/>
  <c r="I5069" i="77"/>
  <c r="H5069" i="77"/>
  <c r="G5069" i="77"/>
  <c r="I5068" i="77"/>
  <c r="H5068" i="77"/>
  <c r="G5068" i="77"/>
  <c r="I5067" i="77"/>
  <c r="H5067" i="77"/>
  <c r="G5067" i="77"/>
  <c r="I5066" i="77"/>
  <c r="H5066" i="77"/>
  <c r="G5066" i="77"/>
  <c r="I5065" i="77"/>
  <c r="H5065" i="77"/>
  <c r="G5065" i="77"/>
  <c r="I5064" i="77"/>
  <c r="H5064" i="77"/>
  <c r="G5064" i="77"/>
  <c r="I5063" i="77"/>
  <c r="H5063" i="77"/>
  <c r="G5063" i="77"/>
  <c r="I5062" i="77"/>
  <c r="H5062" i="77"/>
  <c r="G5062" i="77"/>
  <c r="I5061" i="77"/>
  <c r="H5061" i="77"/>
  <c r="G5061" i="77"/>
  <c r="I5060" i="77"/>
  <c r="H5060" i="77"/>
  <c r="G5060" i="77"/>
  <c r="I5059" i="77"/>
  <c r="H5059" i="77"/>
  <c r="G5059" i="77"/>
  <c r="I5058" i="77"/>
  <c r="H5058" i="77"/>
  <c r="G5058" i="77"/>
  <c r="I5057" i="77"/>
  <c r="H5057" i="77"/>
  <c r="G5057" i="77"/>
  <c r="I5056" i="77"/>
  <c r="H5056" i="77"/>
  <c r="G5056" i="77"/>
  <c r="I5055" i="77"/>
  <c r="H5055" i="77"/>
  <c r="G5055" i="77"/>
  <c r="I5054" i="77"/>
  <c r="H5054" i="77"/>
  <c r="G5054" i="77"/>
  <c r="I5053" i="77"/>
  <c r="H5053" i="77"/>
  <c r="G5053" i="77"/>
  <c r="I5052" i="77"/>
  <c r="H5052" i="77"/>
  <c r="G5052" i="77"/>
  <c r="I5051" i="77"/>
  <c r="H5051" i="77"/>
  <c r="G5051" i="77"/>
  <c r="I5050" i="77"/>
  <c r="H5050" i="77"/>
  <c r="G5050" i="77"/>
  <c r="I5049" i="77"/>
  <c r="H5049" i="77"/>
  <c r="G5049" i="77"/>
  <c r="I5048" i="77"/>
  <c r="H5048" i="77"/>
  <c r="G5048" i="77"/>
  <c r="I5047" i="77"/>
  <c r="H5047" i="77"/>
  <c r="G5047" i="77"/>
  <c r="I5046" i="77"/>
  <c r="H5046" i="77"/>
  <c r="G5046" i="77"/>
  <c r="I5045" i="77"/>
  <c r="H5045" i="77"/>
  <c r="G5045" i="77"/>
  <c r="I5044" i="77"/>
  <c r="H5044" i="77"/>
  <c r="G5044" i="77"/>
  <c r="I5043" i="77"/>
  <c r="H5043" i="77"/>
  <c r="G5043" i="77"/>
  <c r="I5042" i="77"/>
  <c r="H5042" i="77"/>
  <c r="G5042" i="77"/>
  <c r="I5041" i="77"/>
  <c r="H5041" i="77"/>
  <c r="G5041" i="77"/>
  <c r="I5040" i="77"/>
  <c r="H5040" i="77"/>
  <c r="G5040" i="77"/>
  <c r="I5039" i="77"/>
  <c r="H5039" i="77"/>
  <c r="G5039" i="77"/>
  <c r="I5038" i="77"/>
  <c r="H5038" i="77"/>
  <c r="G5038" i="77"/>
  <c r="I5037" i="77"/>
  <c r="H5037" i="77"/>
  <c r="G5037" i="77"/>
  <c r="I5036" i="77"/>
  <c r="H5036" i="77"/>
  <c r="G5036" i="77"/>
  <c r="I5035" i="77"/>
  <c r="H5035" i="77"/>
  <c r="G5035" i="77"/>
  <c r="I5034" i="77"/>
  <c r="H5034" i="77"/>
  <c r="G5034" i="77"/>
  <c r="I5033" i="77"/>
  <c r="H5033" i="77"/>
  <c r="G5033" i="77"/>
  <c r="I5032" i="77"/>
  <c r="H5032" i="77"/>
  <c r="G5032" i="77"/>
  <c r="I5031" i="77"/>
  <c r="H5031" i="77"/>
  <c r="G5031" i="77"/>
  <c r="I5030" i="77"/>
  <c r="H5030" i="77"/>
  <c r="G5030" i="77"/>
  <c r="I5029" i="77"/>
  <c r="H5029" i="77"/>
  <c r="G5029" i="77"/>
  <c r="I5028" i="77"/>
  <c r="H5028" i="77"/>
  <c r="G5028" i="77"/>
  <c r="I5027" i="77"/>
  <c r="H5027" i="77"/>
  <c r="G5027" i="77"/>
  <c r="I5026" i="77"/>
  <c r="H5026" i="77"/>
  <c r="G5026" i="77"/>
  <c r="I5025" i="77"/>
  <c r="H5025" i="77"/>
  <c r="G5025" i="77"/>
  <c r="I5024" i="77"/>
  <c r="H5024" i="77"/>
  <c r="G5024" i="77"/>
  <c r="I5023" i="77"/>
  <c r="H5023" i="77"/>
  <c r="G5023" i="77"/>
  <c r="I5022" i="77"/>
  <c r="H5022" i="77"/>
  <c r="G5022" i="77"/>
  <c r="I5021" i="77"/>
  <c r="H5021" i="77"/>
  <c r="G5021" i="77"/>
  <c r="I5020" i="77"/>
  <c r="H5020" i="77"/>
  <c r="G5020" i="77"/>
  <c r="I5019" i="77"/>
  <c r="H5019" i="77"/>
  <c r="G5019" i="77"/>
  <c r="I5018" i="77"/>
  <c r="H5018" i="77"/>
  <c r="G5018" i="77"/>
  <c r="I5017" i="77"/>
  <c r="H5017" i="77"/>
  <c r="G5017" i="77"/>
  <c r="I5016" i="77"/>
  <c r="H5016" i="77"/>
  <c r="G5016" i="77"/>
  <c r="I5015" i="77"/>
  <c r="H5015" i="77"/>
  <c r="G5015" i="77"/>
  <c r="I5014" i="77"/>
  <c r="H5014" i="77"/>
  <c r="G5014" i="77"/>
  <c r="I5013" i="77"/>
  <c r="H5013" i="77"/>
  <c r="G5013" i="77"/>
  <c r="I5012" i="77"/>
  <c r="H5012" i="77"/>
  <c r="G5012" i="77"/>
  <c r="I5011" i="77"/>
  <c r="H5011" i="77"/>
  <c r="G5011" i="77"/>
  <c r="I5010" i="77"/>
  <c r="H5010" i="77"/>
  <c r="G5010" i="77"/>
  <c r="I5009" i="77"/>
  <c r="H5009" i="77"/>
  <c r="G5009" i="77"/>
  <c r="I5008" i="77"/>
  <c r="H5008" i="77"/>
  <c r="G5008" i="77"/>
  <c r="I5007" i="77"/>
  <c r="H5007" i="77"/>
  <c r="G5007" i="77"/>
  <c r="I5006" i="77"/>
  <c r="H5006" i="77"/>
  <c r="G5006" i="77"/>
  <c r="I5005" i="77"/>
  <c r="H5005" i="77"/>
  <c r="G5005" i="77"/>
  <c r="I5004" i="77"/>
  <c r="H5004" i="77"/>
  <c r="G5004" i="77"/>
  <c r="I5003" i="77"/>
  <c r="H5003" i="77"/>
  <c r="G5003" i="77"/>
  <c r="I5002" i="77"/>
  <c r="H5002" i="77"/>
  <c r="G5002" i="77"/>
  <c r="I5001" i="77"/>
  <c r="H5001" i="77"/>
  <c r="G5001" i="77"/>
  <c r="I5000" i="77"/>
  <c r="H5000" i="77"/>
  <c r="G5000" i="77"/>
  <c r="I4999" i="77"/>
  <c r="H4999" i="77"/>
  <c r="G4999" i="77"/>
  <c r="I4998" i="77"/>
  <c r="H4998" i="77"/>
  <c r="G4998" i="77"/>
  <c r="I4997" i="77"/>
  <c r="H4997" i="77"/>
  <c r="G4997" i="77"/>
  <c r="I4996" i="77"/>
  <c r="H4996" i="77"/>
  <c r="G4996" i="77"/>
  <c r="I4995" i="77"/>
  <c r="H4995" i="77"/>
  <c r="G4995" i="77"/>
  <c r="I4994" i="77"/>
  <c r="H4994" i="77"/>
  <c r="G4994" i="77"/>
  <c r="I4993" i="77"/>
  <c r="H4993" i="77"/>
  <c r="G4993" i="77"/>
  <c r="I4992" i="77"/>
  <c r="H4992" i="77"/>
  <c r="G4992" i="77"/>
  <c r="I4991" i="77"/>
  <c r="H4991" i="77"/>
  <c r="G4991" i="77"/>
  <c r="I4990" i="77"/>
  <c r="H4990" i="77"/>
  <c r="G4990" i="77"/>
  <c r="I4989" i="77"/>
  <c r="H4989" i="77"/>
  <c r="G4989" i="77"/>
  <c r="I4988" i="77"/>
  <c r="H4988" i="77"/>
  <c r="G4988" i="77"/>
  <c r="I4987" i="77"/>
  <c r="H4987" i="77"/>
  <c r="G4987" i="77"/>
  <c r="I4986" i="77"/>
  <c r="H4986" i="77"/>
  <c r="G4986" i="77"/>
  <c r="I4985" i="77"/>
  <c r="H4985" i="77"/>
  <c r="G4985" i="77"/>
  <c r="I4984" i="77"/>
  <c r="H4984" i="77"/>
  <c r="G4984" i="77"/>
  <c r="I4983" i="77"/>
  <c r="H4983" i="77"/>
  <c r="G4983" i="77"/>
  <c r="I4982" i="77"/>
  <c r="H4982" i="77"/>
  <c r="G4982" i="77"/>
  <c r="I4981" i="77"/>
  <c r="H4981" i="77"/>
  <c r="G4981" i="77"/>
  <c r="I4980" i="77"/>
  <c r="H4980" i="77"/>
  <c r="G4980" i="77"/>
  <c r="I4979" i="77"/>
  <c r="H4979" i="77"/>
  <c r="G4979" i="77"/>
  <c r="I4978" i="77"/>
  <c r="H4978" i="77"/>
  <c r="G4978" i="77"/>
  <c r="I4977" i="77"/>
  <c r="H4977" i="77"/>
  <c r="G4977" i="77"/>
  <c r="I4976" i="77"/>
  <c r="H4976" i="77"/>
  <c r="G4976" i="77"/>
  <c r="I4975" i="77"/>
  <c r="H4975" i="77"/>
  <c r="G4975" i="77"/>
  <c r="I4974" i="77"/>
  <c r="H4974" i="77"/>
  <c r="G4974" i="77"/>
  <c r="I4973" i="77"/>
  <c r="H4973" i="77"/>
  <c r="G4973" i="77"/>
  <c r="I4972" i="77"/>
  <c r="H4972" i="77"/>
  <c r="G4972" i="77"/>
  <c r="I4971" i="77"/>
  <c r="H4971" i="77"/>
  <c r="G4971" i="77"/>
  <c r="I4970" i="77"/>
  <c r="H4970" i="77"/>
  <c r="G4970" i="77"/>
  <c r="I4969" i="77"/>
  <c r="H4969" i="77"/>
  <c r="G4969" i="77"/>
  <c r="I4968" i="77"/>
  <c r="H4968" i="77"/>
  <c r="G4968" i="77"/>
  <c r="I4967" i="77"/>
  <c r="H4967" i="77"/>
  <c r="G4967" i="77"/>
  <c r="I4966" i="77"/>
  <c r="H4966" i="77"/>
  <c r="G4966" i="77"/>
  <c r="I4965" i="77"/>
  <c r="H4965" i="77"/>
  <c r="G4965" i="77"/>
  <c r="I4964" i="77"/>
  <c r="H4964" i="77"/>
  <c r="G4964" i="77"/>
  <c r="I4963" i="77"/>
  <c r="H4963" i="77"/>
  <c r="G4963" i="77"/>
  <c r="I4962" i="77"/>
  <c r="H4962" i="77"/>
  <c r="G4962" i="77"/>
  <c r="I4961" i="77"/>
  <c r="H4961" i="77"/>
  <c r="G4961" i="77"/>
  <c r="I4960" i="77"/>
  <c r="H4960" i="77"/>
  <c r="G4960" i="77"/>
  <c r="I4959" i="77"/>
  <c r="H4959" i="77"/>
  <c r="G4959" i="77"/>
  <c r="I4958" i="77"/>
  <c r="H4958" i="77"/>
  <c r="G4958" i="77"/>
  <c r="I4957" i="77"/>
  <c r="H4957" i="77"/>
  <c r="G4957" i="77"/>
  <c r="I4956" i="77"/>
  <c r="H4956" i="77"/>
  <c r="G4956" i="77"/>
  <c r="I4955" i="77"/>
  <c r="H4955" i="77"/>
  <c r="G4955" i="77"/>
  <c r="I4954" i="77"/>
  <c r="H4954" i="77"/>
  <c r="G4954" i="77"/>
  <c r="I4953" i="77"/>
  <c r="H4953" i="77"/>
  <c r="G4953" i="77"/>
  <c r="I4952" i="77"/>
  <c r="H4952" i="77"/>
  <c r="G4952" i="77"/>
  <c r="I4951" i="77"/>
  <c r="H4951" i="77"/>
  <c r="G4951" i="77"/>
  <c r="I4950" i="77"/>
  <c r="H4950" i="77"/>
  <c r="G4950" i="77"/>
  <c r="I4949" i="77"/>
  <c r="H4949" i="77"/>
  <c r="G4949" i="77"/>
  <c r="I4948" i="77"/>
  <c r="H4948" i="77"/>
  <c r="G4948" i="77"/>
  <c r="I4947" i="77"/>
  <c r="H4947" i="77"/>
  <c r="G4947" i="77"/>
  <c r="I4946" i="77"/>
  <c r="H4946" i="77"/>
  <c r="G4946" i="77"/>
  <c r="I4945" i="77"/>
  <c r="H4945" i="77"/>
  <c r="G4945" i="77"/>
  <c r="I4944" i="77"/>
  <c r="H4944" i="77"/>
  <c r="G4944" i="77"/>
  <c r="I4943" i="77"/>
  <c r="H4943" i="77"/>
  <c r="G4943" i="77"/>
  <c r="I4942" i="77"/>
  <c r="H4942" i="77"/>
  <c r="G4942" i="77"/>
  <c r="I4941" i="77"/>
  <c r="H4941" i="77"/>
  <c r="G4941" i="77"/>
  <c r="I4940" i="77"/>
  <c r="H4940" i="77"/>
  <c r="G4940" i="77"/>
  <c r="I4939" i="77"/>
  <c r="H4939" i="77"/>
  <c r="G4939" i="77"/>
  <c r="I4938" i="77"/>
  <c r="H4938" i="77"/>
  <c r="G4938" i="77"/>
  <c r="I4937" i="77"/>
  <c r="H4937" i="77"/>
  <c r="G4937" i="77"/>
  <c r="I4936" i="77"/>
  <c r="H4936" i="77"/>
  <c r="G4936" i="77"/>
  <c r="I4935" i="77"/>
  <c r="H4935" i="77"/>
  <c r="G4935" i="77"/>
  <c r="I4934" i="77"/>
  <c r="H4934" i="77"/>
  <c r="G4934" i="77"/>
  <c r="I4933" i="77"/>
  <c r="H4933" i="77"/>
  <c r="G4933" i="77"/>
  <c r="I4932" i="77"/>
  <c r="H4932" i="77"/>
  <c r="G4932" i="77"/>
  <c r="I4931" i="77"/>
  <c r="H4931" i="77"/>
  <c r="G4931" i="77"/>
  <c r="I4930" i="77"/>
  <c r="H4930" i="77"/>
  <c r="G4930" i="77"/>
  <c r="I4929" i="77"/>
  <c r="H4929" i="77"/>
  <c r="G4929" i="77"/>
  <c r="I4928" i="77"/>
  <c r="H4928" i="77"/>
  <c r="G4928" i="77"/>
  <c r="I4927" i="77"/>
  <c r="H4927" i="77"/>
  <c r="G4927" i="77"/>
  <c r="I4926" i="77"/>
  <c r="H4926" i="77"/>
  <c r="G4926" i="77"/>
  <c r="I4925" i="77"/>
  <c r="H4925" i="77"/>
  <c r="G4925" i="77"/>
  <c r="I4924" i="77"/>
  <c r="H4924" i="77"/>
  <c r="G4924" i="77"/>
  <c r="I4923" i="77"/>
  <c r="H4923" i="77"/>
  <c r="G4923" i="77"/>
  <c r="I4922" i="77"/>
  <c r="H4922" i="77"/>
  <c r="G4922" i="77"/>
  <c r="I4921" i="77"/>
  <c r="H4921" i="77"/>
  <c r="G4921" i="77"/>
  <c r="I4920" i="77"/>
  <c r="H4920" i="77"/>
  <c r="G4920" i="77"/>
  <c r="I4919" i="77"/>
  <c r="H4919" i="77"/>
  <c r="G4919" i="77"/>
  <c r="I4918" i="77"/>
  <c r="H4918" i="77"/>
  <c r="G4918" i="77"/>
  <c r="I4917" i="77"/>
  <c r="H4917" i="77"/>
  <c r="G4917" i="77"/>
  <c r="I4916" i="77"/>
  <c r="H4916" i="77"/>
  <c r="G4916" i="77"/>
  <c r="I4915" i="77"/>
  <c r="H4915" i="77"/>
  <c r="G4915" i="77"/>
  <c r="I4914" i="77"/>
  <c r="H4914" i="77"/>
  <c r="G4914" i="77"/>
  <c r="I4913" i="77"/>
  <c r="H4913" i="77"/>
  <c r="G4913" i="77"/>
  <c r="I4912" i="77"/>
  <c r="H4912" i="77"/>
  <c r="G4912" i="77"/>
  <c r="I4911" i="77"/>
  <c r="H4911" i="77"/>
  <c r="G4911" i="77"/>
  <c r="I4910" i="77"/>
  <c r="H4910" i="77"/>
  <c r="G4910" i="77"/>
  <c r="I4909" i="77"/>
  <c r="H4909" i="77"/>
  <c r="G4909" i="77"/>
  <c r="I4908" i="77"/>
  <c r="H4908" i="77"/>
  <c r="G4908" i="77"/>
  <c r="I4907" i="77"/>
  <c r="H4907" i="77"/>
  <c r="G4907" i="77"/>
  <c r="I4906" i="77"/>
  <c r="H4906" i="77"/>
  <c r="G4906" i="77"/>
  <c r="I4905" i="77"/>
  <c r="H4905" i="77"/>
  <c r="G4905" i="77"/>
  <c r="I4904" i="77"/>
  <c r="H4904" i="77"/>
  <c r="G4904" i="77"/>
  <c r="I4903" i="77"/>
  <c r="H4903" i="77"/>
  <c r="G4903" i="77"/>
  <c r="I4902" i="77"/>
  <c r="H4902" i="77"/>
  <c r="G4902" i="77"/>
  <c r="I4901" i="77"/>
  <c r="H4901" i="77"/>
  <c r="G4901" i="77"/>
  <c r="I4900" i="77"/>
  <c r="H4900" i="77"/>
  <c r="G4900" i="77"/>
  <c r="I4899" i="77"/>
  <c r="H4899" i="77"/>
  <c r="G4899" i="77"/>
  <c r="I4898" i="77"/>
  <c r="H4898" i="77"/>
  <c r="G4898" i="77"/>
  <c r="I4897" i="77"/>
  <c r="H4897" i="77"/>
  <c r="G4897" i="77"/>
  <c r="I4896" i="77"/>
  <c r="H4896" i="77"/>
  <c r="G4896" i="77"/>
  <c r="I4895" i="77"/>
  <c r="H4895" i="77"/>
  <c r="G4895" i="77"/>
  <c r="I4894" i="77"/>
  <c r="H4894" i="77"/>
  <c r="G4894" i="77"/>
  <c r="I4893" i="77"/>
  <c r="H4893" i="77"/>
  <c r="G4893" i="77"/>
  <c r="I4892" i="77"/>
  <c r="H4892" i="77"/>
  <c r="G4892" i="77"/>
  <c r="I4891" i="77"/>
  <c r="H4891" i="77"/>
  <c r="G4891" i="77"/>
  <c r="I4890" i="77"/>
  <c r="H4890" i="77"/>
  <c r="G4890" i="77"/>
  <c r="I4889" i="77"/>
  <c r="H4889" i="77"/>
  <c r="G4889" i="77"/>
  <c r="I4888" i="77"/>
  <c r="H4888" i="77"/>
  <c r="G4888" i="77"/>
  <c r="I4887" i="77"/>
  <c r="H4887" i="77"/>
  <c r="G4887" i="77"/>
  <c r="I4886" i="77"/>
  <c r="H4886" i="77"/>
  <c r="G4886" i="77"/>
  <c r="I4885" i="77"/>
  <c r="H4885" i="77"/>
  <c r="G4885" i="77"/>
  <c r="I4884" i="77"/>
  <c r="H4884" i="77"/>
  <c r="G4884" i="77"/>
  <c r="I4883" i="77"/>
  <c r="H4883" i="77"/>
  <c r="G4883" i="77"/>
  <c r="I4882" i="77"/>
  <c r="H4882" i="77"/>
  <c r="G4882" i="77"/>
  <c r="I4881" i="77"/>
  <c r="H4881" i="77"/>
  <c r="G4881" i="77"/>
  <c r="I4880" i="77"/>
  <c r="H4880" i="77"/>
  <c r="G4880" i="77"/>
  <c r="I4879" i="77"/>
  <c r="H4879" i="77"/>
  <c r="G4879" i="77"/>
  <c r="I4878" i="77"/>
  <c r="H4878" i="77"/>
  <c r="G4878" i="77"/>
  <c r="I4877" i="77"/>
  <c r="H4877" i="77"/>
  <c r="G4877" i="77"/>
  <c r="I4876" i="77"/>
  <c r="H4876" i="77"/>
  <c r="G4876" i="77"/>
  <c r="I4875" i="77"/>
  <c r="H4875" i="77"/>
  <c r="G4875" i="77"/>
  <c r="I4874" i="77"/>
  <c r="H4874" i="77"/>
  <c r="G4874" i="77"/>
  <c r="I4873" i="77"/>
  <c r="H4873" i="77"/>
  <c r="G4873" i="77"/>
  <c r="I4872" i="77"/>
  <c r="H4872" i="77"/>
  <c r="G4872" i="77"/>
  <c r="I4871" i="77"/>
  <c r="H4871" i="77"/>
  <c r="G4871" i="77"/>
  <c r="I4870" i="77"/>
  <c r="H4870" i="77"/>
  <c r="G4870" i="77"/>
  <c r="I4869" i="77"/>
  <c r="H4869" i="77"/>
  <c r="G4869" i="77"/>
  <c r="I4868" i="77"/>
  <c r="H4868" i="77"/>
  <c r="G4868" i="77"/>
  <c r="I4867" i="77"/>
  <c r="H4867" i="77"/>
  <c r="G4867" i="77"/>
  <c r="I4866" i="77"/>
  <c r="H4866" i="77"/>
  <c r="G4866" i="77"/>
  <c r="I4865" i="77"/>
  <c r="H4865" i="77"/>
  <c r="G4865" i="77"/>
  <c r="I4864" i="77"/>
  <c r="H4864" i="77"/>
  <c r="G4864" i="77"/>
  <c r="I4863" i="77"/>
  <c r="H4863" i="77"/>
  <c r="G4863" i="77"/>
  <c r="I4862" i="77"/>
  <c r="H4862" i="77"/>
  <c r="G4862" i="77"/>
  <c r="I4861" i="77"/>
  <c r="H4861" i="77"/>
  <c r="G4861" i="77"/>
  <c r="I4860" i="77"/>
  <c r="H4860" i="77"/>
  <c r="G4860" i="77"/>
  <c r="I4859" i="77"/>
  <c r="H4859" i="77"/>
  <c r="G4859" i="77"/>
  <c r="I4858" i="77"/>
  <c r="H4858" i="77"/>
  <c r="G4858" i="77"/>
  <c r="I4857" i="77"/>
  <c r="H4857" i="77"/>
  <c r="G4857" i="77"/>
  <c r="I4856" i="77"/>
  <c r="H4856" i="77"/>
  <c r="G4856" i="77"/>
  <c r="I4855" i="77"/>
  <c r="H4855" i="77"/>
  <c r="G4855" i="77"/>
  <c r="I4854" i="77"/>
  <c r="H4854" i="77"/>
  <c r="G4854" i="77"/>
  <c r="I4853" i="77"/>
  <c r="H4853" i="77"/>
  <c r="G4853" i="77"/>
  <c r="I4852" i="77"/>
  <c r="H4852" i="77"/>
  <c r="G4852" i="77"/>
  <c r="I4851" i="77"/>
  <c r="H4851" i="77"/>
  <c r="G4851" i="77"/>
  <c r="I4850" i="77"/>
  <c r="H4850" i="77"/>
  <c r="G4850" i="77"/>
  <c r="I4849" i="77"/>
  <c r="H4849" i="77"/>
  <c r="G4849" i="77"/>
  <c r="I4848" i="77"/>
  <c r="H4848" i="77"/>
  <c r="G4848" i="77"/>
  <c r="I4847" i="77"/>
  <c r="H4847" i="77"/>
  <c r="G4847" i="77"/>
  <c r="I4846" i="77"/>
  <c r="H4846" i="77"/>
  <c r="G4846" i="77"/>
  <c r="I4845" i="77"/>
  <c r="H4845" i="77"/>
  <c r="G4845" i="77"/>
  <c r="I4844" i="77"/>
  <c r="H4844" i="77"/>
  <c r="G4844" i="77"/>
  <c r="I4843" i="77"/>
  <c r="H4843" i="77"/>
  <c r="G4843" i="77"/>
  <c r="I4842" i="77"/>
  <c r="H4842" i="77"/>
  <c r="G4842" i="77"/>
  <c r="I4841" i="77"/>
  <c r="H4841" i="77"/>
  <c r="G4841" i="77"/>
  <c r="I4840" i="77"/>
  <c r="H4840" i="77"/>
  <c r="G4840" i="77"/>
  <c r="I4839" i="77"/>
  <c r="H4839" i="77"/>
  <c r="G4839" i="77"/>
  <c r="I4838" i="77"/>
  <c r="H4838" i="77"/>
  <c r="G4838" i="77"/>
  <c r="I4837" i="77"/>
  <c r="H4837" i="77"/>
  <c r="G4837" i="77"/>
  <c r="I4836" i="77"/>
  <c r="H4836" i="77"/>
  <c r="G4836" i="77"/>
  <c r="I4835" i="77"/>
  <c r="H4835" i="77"/>
  <c r="G4835" i="77"/>
  <c r="I4834" i="77"/>
  <c r="H4834" i="77"/>
  <c r="G4834" i="77"/>
  <c r="I4833" i="77"/>
  <c r="H4833" i="77"/>
  <c r="G4833" i="77"/>
  <c r="I4832" i="77"/>
  <c r="H4832" i="77"/>
  <c r="G4832" i="77"/>
  <c r="I4831" i="77"/>
  <c r="H4831" i="77"/>
  <c r="G4831" i="77"/>
  <c r="I4830" i="77"/>
  <c r="H4830" i="77"/>
  <c r="G4830" i="77"/>
  <c r="I4829" i="77"/>
  <c r="H4829" i="77"/>
  <c r="G4829" i="77"/>
  <c r="I4828" i="77"/>
  <c r="H4828" i="77"/>
  <c r="G4828" i="77"/>
  <c r="I4827" i="77"/>
  <c r="H4827" i="77"/>
  <c r="G4827" i="77"/>
  <c r="I4826" i="77"/>
  <c r="H4826" i="77"/>
  <c r="G4826" i="77"/>
  <c r="I4825" i="77"/>
  <c r="H4825" i="77"/>
  <c r="G4825" i="77"/>
  <c r="I4824" i="77"/>
  <c r="H4824" i="77"/>
  <c r="G4824" i="77"/>
  <c r="I4823" i="77"/>
  <c r="H4823" i="77"/>
  <c r="G4823" i="77"/>
  <c r="I4822" i="77"/>
  <c r="H4822" i="77"/>
  <c r="G4822" i="77"/>
  <c r="I4821" i="77"/>
  <c r="H4821" i="77"/>
  <c r="G4821" i="77"/>
  <c r="I4820" i="77"/>
  <c r="H4820" i="77"/>
  <c r="G4820" i="77"/>
  <c r="I4819" i="77"/>
  <c r="H4819" i="77"/>
  <c r="G4819" i="77"/>
  <c r="I4818" i="77"/>
  <c r="H4818" i="77"/>
  <c r="G4818" i="77"/>
  <c r="I4817" i="77"/>
  <c r="H4817" i="77"/>
  <c r="G4817" i="77"/>
  <c r="I4816" i="77"/>
  <c r="H4816" i="77"/>
  <c r="G4816" i="77"/>
  <c r="I4815" i="77"/>
  <c r="H4815" i="77"/>
  <c r="G4815" i="77"/>
  <c r="I4814" i="77"/>
  <c r="H4814" i="77"/>
  <c r="G4814" i="77"/>
  <c r="I4813" i="77"/>
  <c r="H4813" i="77"/>
  <c r="G4813" i="77"/>
  <c r="I4812" i="77"/>
  <c r="H4812" i="77"/>
  <c r="G4812" i="77"/>
  <c r="I4811" i="77"/>
  <c r="H4811" i="77"/>
  <c r="G4811" i="77"/>
  <c r="I4810" i="77"/>
  <c r="H4810" i="77"/>
  <c r="G4810" i="77"/>
  <c r="I4809" i="77"/>
  <c r="H4809" i="77"/>
  <c r="G4809" i="77"/>
  <c r="I4808" i="77"/>
  <c r="H4808" i="77"/>
  <c r="G4808" i="77"/>
  <c r="I4807" i="77"/>
  <c r="H4807" i="77"/>
  <c r="G4807" i="77"/>
  <c r="I4806" i="77"/>
  <c r="H4806" i="77"/>
  <c r="G4806" i="77"/>
  <c r="I4805" i="77"/>
  <c r="H4805" i="77"/>
  <c r="G4805" i="77"/>
  <c r="I4804" i="77"/>
  <c r="H4804" i="77"/>
  <c r="G4804" i="77"/>
  <c r="I4803" i="77"/>
  <c r="H4803" i="77"/>
  <c r="G4803" i="77"/>
  <c r="I4802" i="77"/>
  <c r="H4802" i="77"/>
  <c r="G4802" i="77"/>
  <c r="I4801" i="77"/>
  <c r="H4801" i="77"/>
  <c r="G4801" i="77"/>
  <c r="I4800" i="77"/>
  <c r="H4800" i="77"/>
  <c r="G4800" i="77"/>
  <c r="I4799" i="77"/>
  <c r="H4799" i="77"/>
  <c r="G4799" i="77"/>
  <c r="I4798" i="77"/>
  <c r="H4798" i="77"/>
  <c r="G4798" i="77"/>
  <c r="I4797" i="77"/>
  <c r="H4797" i="77"/>
  <c r="G4797" i="77"/>
  <c r="I4796" i="77"/>
  <c r="H4796" i="77"/>
  <c r="G4796" i="77"/>
  <c r="I4795" i="77"/>
  <c r="H4795" i="77"/>
  <c r="G4795" i="77"/>
  <c r="I4794" i="77"/>
  <c r="H4794" i="77"/>
  <c r="G4794" i="77"/>
  <c r="I4793" i="77"/>
  <c r="H4793" i="77"/>
  <c r="G4793" i="77"/>
  <c r="I4792" i="77"/>
  <c r="H4792" i="77"/>
  <c r="G4792" i="77"/>
  <c r="I4791" i="77"/>
  <c r="H4791" i="77"/>
  <c r="G4791" i="77"/>
  <c r="I4790" i="77"/>
  <c r="H4790" i="77"/>
  <c r="G4790" i="77"/>
  <c r="I4789" i="77"/>
  <c r="H4789" i="77"/>
  <c r="G4789" i="77"/>
  <c r="I4788" i="77"/>
  <c r="H4788" i="77"/>
  <c r="G4788" i="77"/>
  <c r="I4787" i="77"/>
  <c r="H4787" i="77"/>
  <c r="G4787" i="77"/>
  <c r="I4786" i="77"/>
  <c r="H4786" i="77"/>
  <c r="G4786" i="77"/>
  <c r="I4785" i="77"/>
  <c r="H4785" i="77"/>
  <c r="G4785" i="77"/>
  <c r="I4784" i="77"/>
  <c r="H4784" i="77"/>
  <c r="G4784" i="77"/>
  <c r="I4783" i="77"/>
  <c r="H4783" i="77"/>
  <c r="G4783" i="77"/>
  <c r="I4782" i="77"/>
  <c r="H4782" i="77"/>
  <c r="G4782" i="77"/>
  <c r="I4781" i="77"/>
  <c r="H4781" i="77"/>
  <c r="G4781" i="77"/>
  <c r="I4780" i="77"/>
  <c r="H4780" i="77"/>
  <c r="G4780" i="77"/>
  <c r="I4779" i="77"/>
  <c r="H4779" i="77"/>
  <c r="G4779" i="77"/>
  <c r="I4778" i="77"/>
  <c r="H4778" i="77"/>
  <c r="G4778" i="77"/>
  <c r="I4777" i="77"/>
  <c r="H4777" i="77"/>
  <c r="G4777" i="77"/>
  <c r="I4776" i="77"/>
  <c r="H4776" i="77"/>
  <c r="G4776" i="77"/>
  <c r="I4775" i="77"/>
  <c r="H4775" i="77"/>
  <c r="G4775" i="77"/>
  <c r="I4774" i="77"/>
  <c r="H4774" i="77"/>
  <c r="G4774" i="77"/>
  <c r="I4773" i="77"/>
  <c r="H4773" i="77"/>
  <c r="G4773" i="77"/>
  <c r="I4772" i="77"/>
  <c r="H4772" i="77"/>
  <c r="G4772" i="77"/>
  <c r="I4771" i="77"/>
  <c r="H4771" i="77"/>
  <c r="G4771" i="77"/>
  <c r="I4770" i="77"/>
  <c r="H4770" i="77"/>
  <c r="G4770" i="77"/>
  <c r="I4769" i="77"/>
  <c r="H4769" i="77"/>
  <c r="G4769" i="77"/>
  <c r="I4768" i="77"/>
  <c r="H4768" i="77"/>
  <c r="G4768" i="77"/>
  <c r="I4767" i="77"/>
  <c r="H4767" i="77"/>
  <c r="G4767" i="77"/>
  <c r="I4766" i="77"/>
  <c r="H4766" i="77"/>
  <c r="G4766" i="77"/>
  <c r="I4765" i="77"/>
  <c r="H4765" i="77"/>
  <c r="G4765" i="77"/>
  <c r="I4764" i="77"/>
  <c r="H4764" i="77"/>
  <c r="G4764" i="77"/>
  <c r="I4763" i="77"/>
  <c r="H4763" i="77"/>
  <c r="G4763" i="77"/>
  <c r="I4762" i="77"/>
  <c r="H4762" i="77"/>
  <c r="G4762" i="77"/>
  <c r="I4761" i="77"/>
  <c r="H4761" i="77"/>
  <c r="G4761" i="77"/>
  <c r="I4760" i="77"/>
  <c r="H4760" i="77"/>
  <c r="G4760" i="77"/>
  <c r="I4759" i="77"/>
  <c r="H4759" i="77"/>
  <c r="G4759" i="77"/>
  <c r="I4758" i="77"/>
  <c r="H4758" i="77"/>
  <c r="G4758" i="77"/>
  <c r="I4757" i="77"/>
  <c r="H4757" i="77"/>
  <c r="G4757" i="77"/>
  <c r="I4756" i="77"/>
  <c r="H4756" i="77"/>
  <c r="G4756" i="77"/>
  <c r="I4755" i="77"/>
  <c r="H4755" i="77"/>
  <c r="G4755" i="77"/>
  <c r="I4754" i="77"/>
  <c r="H4754" i="77"/>
  <c r="G4754" i="77"/>
  <c r="I4753" i="77"/>
  <c r="H4753" i="77"/>
  <c r="G4753" i="77"/>
  <c r="I4752" i="77"/>
  <c r="H4752" i="77"/>
  <c r="G4752" i="77"/>
  <c r="I4751" i="77"/>
  <c r="H4751" i="77"/>
  <c r="G4751" i="77"/>
  <c r="I4750" i="77"/>
  <c r="H4750" i="77"/>
  <c r="G4750" i="77"/>
  <c r="I4749" i="77"/>
  <c r="H4749" i="77"/>
  <c r="G4749" i="77"/>
  <c r="I4748" i="77"/>
  <c r="H4748" i="77"/>
  <c r="G4748" i="77"/>
  <c r="I4747" i="77"/>
  <c r="H4747" i="77"/>
  <c r="G4747" i="77"/>
  <c r="I4746" i="77"/>
  <c r="H4746" i="77"/>
  <c r="G4746" i="77"/>
  <c r="I4745" i="77"/>
  <c r="H4745" i="77"/>
  <c r="G4745" i="77"/>
  <c r="I4744" i="77"/>
  <c r="H4744" i="77"/>
  <c r="G4744" i="77"/>
  <c r="I4743" i="77"/>
  <c r="H4743" i="77"/>
  <c r="G4743" i="77"/>
  <c r="I4742" i="77"/>
  <c r="H4742" i="77"/>
  <c r="G4742" i="77"/>
  <c r="I4741" i="77"/>
  <c r="H4741" i="77"/>
  <c r="G4741" i="77"/>
  <c r="I4740" i="77"/>
  <c r="H4740" i="77"/>
  <c r="G4740" i="77"/>
  <c r="I4739" i="77"/>
  <c r="H4739" i="77"/>
  <c r="G4739" i="77"/>
  <c r="I4738" i="77"/>
  <c r="H4738" i="77"/>
  <c r="G4738" i="77"/>
  <c r="I4737" i="77"/>
  <c r="H4737" i="77"/>
  <c r="G4737" i="77"/>
  <c r="I4736" i="77"/>
  <c r="H4736" i="77"/>
  <c r="G4736" i="77"/>
  <c r="I4735" i="77"/>
  <c r="H4735" i="77"/>
  <c r="G4735" i="77"/>
  <c r="I4734" i="77"/>
  <c r="H4734" i="77"/>
  <c r="G4734" i="77"/>
  <c r="I4733" i="77"/>
  <c r="H4733" i="77"/>
  <c r="G4733" i="77"/>
  <c r="I4732" i="77"/>
  <c r="H4732" i="77"/>
  <c r="G4732" i="77"/>
  <c r="I4731" i="77"/>
  <c r="H4731" i="77"/>
  <c r="G4731" i="77"/>
  <c r="I4730" i="77"/>
  <c r="H4730" i="77"/>
  <c r="G4730" i="77"/>
  <c r="I4729" i="77"/>
  <c r="H4729" i="77"/>
  <c r="G4729" i="77"/>
  <c r="I4728" i="77"/>
  <c r="H4728" i="77"/>
  <c r="G4728" i="77"/>
  <c r="I4727" i="77"/>
  <c r="H4727" i="77"/>
  <c r="G4727" i="77"/>
  <c r="I4726" i="77"/>
  <c r="H4726" i="77"/>
  <c r="G4726" i="77"/>
  <c r="I4725" i="77"/>
  <c r="H4725" i="77"/>
  <c r="G4725" i="77"/>
  <c r="I4724" i="77"/>
  <c r="H4724" i="77"/>
  <c r="G4724" i="77"/>
  <c r="I4723" i="77"/>
  <c r="H4723" i="77"/>
  <c r="G4723" i="77"/>
  <c r="I4722" i="77"/>
  <c r="H4722" i="77"/>
  <c r="G4722" i="77"/>
  <c r="I4721" i="77"/>
  <c r="H4721" i="77"/>
  <c r="G4721" i="77"/>
  <c r="I4720" i="77"/>
  <c r="H4720" i="77"/>
  <c r="G4720" i="77"/>
  <c r="I4719" i="77"/>
  <c r="H4719" i="77"/>
  <c r="G4719" i="77"/>
  <c r="I4718" i="77"/>
  <c r="H4718" i="77"/>
  <c r="G4718" i="77"/>
  <c r="I4717" i="77"/>
  <c r="H4717" i="77"/>
  <c r="G4717" i="77"/>
  <c r="I4716" i="77"/>
  <c r="H4716" i="77"/>
  <c r="G4716" i="77"/>
  <c r="I4715" i="77"/>
  <c r="H4715" i="77"/>
  <c r="G4715" i="77"/>
  <c r="I4714" i="77"/>
  <c r="H4714" i="77"/>
  <c r="G4714" i="77"/>
  <c r="I4713" i="77"/>
  <c r="H4713" i="77"/>
  <c r="G4713" i="77"/>
  <c r="I4712" i="77"/>
  <c r="H4712" i="77"/>
  <c r="G4712" i="77"/>
  <c r="I4711" i="77"/>
  <c r="H4711" i="77"/>
  <c r="G4711" i="77"/>
  <c r="I4710" i="77"/>
  <c r="H4710" i="77"/>
  <c r="G4710" i="77"/>
  <c r="I4709" i="77"/>
  <c r="H4709" i="77"/>
  <c r="G4709" i="77"/>
  <c r="I4708" i="77"/>
  <c r="H4708" i="77"/>
  <c r="G4708" i="77"/>
  <c r="I4707" i="77"/>
  <c r="H4707" i="77"/>
  <c r="G4707" i="77"/>
  <c r="I4706" i="77"/>
  <c r="H4706" i="77"/>
  <c r="G4706" i="77"/>
  <c r="I4705" i="77"/>
  <c r="H4705" i="77"/>
  <c r="G4705" i="77"/>
  <c r="I4704" i="77"/>
  <c r="H4704" i="77"/>
  <c r="G4704" i="77"/>
  <c r="I4703" i="77"/>
  <c r="H4703" i="77"/>
  <c r="G4703" i="77"/>
  <c r="I4702" i="77"/>
  <c r="H4702" i="77"/>
  <c r="G4702" i="77"/>
  <c r="I4701" i="77"/>
  <c r="H4701" i="77"/>
  <c r="G4701" i="77"/>
  <c r="I4700" i="77"/>
  <c r="H4700" i="77"/>
  <c r="G4700" i="77"/>
  <c r="I4699" i="77"/>
  <c r="H4699" i="77"/>
  <c r="G4699" i="77"/>
  <c r="I4698" i="77"/>
  <c r="H4698" i="77"/>
  <c r="G4698" i="77"/>
  <c r="I4697" i="77"/>
  <c r="H4697" i="77"/>
  <c r="G4697" i="77"/>
  <c r="I4696" i="77"/>
  <c r="H4696" i="77"/>
  <c r="G4696" i="77"/>
  <c r="I4695" i="77"/>
  <c r="H4695" i="77"/>
  <c r="G4695" i="77"/>
  <c r="I4694" i="77"/>
  <c r="H4694" i="77"/>
  <c r="G4694" i="77"/>
  <c r="I4693" i="77"/>
  <c r="H4693" i="77"/>
  <c r="G4693" i="77"/>
  <c r="I4692" i="77"/>
  <c r="H4692" i="77"/>
  <c r="G4692" i="77"/>
  <c r="I4691" i="77"/>
  <c r="H4691" i="77"/>
  <c r="G4691" i="77"/>
  <c r="I4690" i="77"/>
  <c r="H4690" i="77"/>
  <c r="G4690" i="77"/>
  <c r="I4689" i="77"/>
  <c r="H4689" i="77"/>
  <c r="G4689" i="77"/>
  <c r="I4688" i="77"/>
  <c r="H4688" i="77"/>
  <c r="G4688" i="77"/>
  <c r="I4687" i="77"/>
  <c r="H4687" i="77"/>
  <c r="G4687" i="77"/>
  <c r="I4686" i="77"/>
  <c r="H4686" i="77"/>
  <c r="G4686" i="77"/>
  <c r="I4685" i="77"/>
  <c r="H4685" i="77"/>
  <c r="G4685" i="77"/>
  <c r="I4684" i="77"/>
  <c r="H4684" i="77"/>
  <c r="G4684" i="77"/>
  <c r="I4683" i="77"/>
  <c r="H4683" i="77"/>
  <c r="G4683" i="77"/>
  <c r="I4682" i="77"/>
  <c r="H4682" i="77"/>
  <c r="G4682" i="77"/>
  <c r="I4681" i="77"/>
  <c r="H4681" i="77"/>
  <c r="G4681" i="77"/>
  <c r="I4680" i="77"/>
  <c r="H4680" i="77"/>
  <c r="G4680" i="77"/>
  <c r="I4679" i="77"/>
  <c r="H4679" i="77"/>
  <c r="G4679" i="77"/>
  <c r="I4678" i="77"/>
  <c r="H4678" i="77"/>
  <c r="G4678" i="77"/>
  <c r="I4677" i="77"/>
  <c r="H4677" i="77"/>
  <c r="G4677" i="77"/>
  <c r="I4676" i="77"/>
  <c r="H4676" i="77"/>
  <c r="G4676" i="77"/>
  <c r="I4675" i="77"/>
  <c r="H4675" i="77"/>
  <c r="G4675" i="77"/>
  <c r="I4674" i="77"/>
  <c r="H4674" i="77"/>
  <c r="G4674" i="77"/>
  <c r="I4673" i="77"/>
  <c r="H4673" i="77"/>
  <c r="G4673" i="77"/>
  <c r="I4672" i="77"/>
  <c r="H4672" i="77"/>
  <c r="G4672" i="77"/>
  <c r="I4671" i="77"/>
  <c r="H4671" i="77"/>
  <c r="G4671" i="77"/>
  <c r="I4670" i="77"/>
  <c r="H4670" i="77"/>
  <c r="G4670" i="77"/>
  <c r="I4669" i="77"/>
  <c r="H4669" i="77"/>
  <c r="G4669" i="77"/>
  <c r="I4668" i="77"/>
  <c r="H4668" i="77"/>
  <c r="G4668" i="77"/>
  <c r="I4667" i="77"/>
  <c r="H4667" i="77"/>
  <c r="G4667" i="77"/>
  <c r="I4666" i="77"/>
  <c r="H4666" i="77"/>
  <c r="G4666" i="77"/>
  <c r="I4665" i="77"/>
  <c r="H4665" i="77"/>
  <c r="G4665" i="77"/>
  <c r="I4664" i="77"/>
  <c r="H4664" i="77"/>
  <c r="G4664" i="77"/>
  <c r="I4663" i="77"/>
  <c r="H4663" i="77"/>
  <c r="G4663" i="77"/>
  <c r="I4662" i="77"/>
  <c r="H4662" i="77"/>
  <c r="G4662" i="77"/>
  <c r="I4661" i="77"/>
  <c r="H4661" i="77"/>
  <c r="G4661" i="77"/>
  <c r="I4660" i="77"/>
  <c r="H4660" i="77"/>
  <c r="G4660" i="77"/>
  <c r="I4659" i="77"/>
  <c r="H4659" i="77"/>
  <c r="G4659" i="77"/>
  <c r="I4658" i="77"/>
  <c r="H4658" i="77"/>
  <c r="G4658" i="77"/>
  <c r="I4657" i="77"/>
  <c r="H4657" i="77"/>
  <c r="G4657" i="77"/>
  <c r="I4656" i="77"/>
  <c r="H4656" i="77"/>
  <c r="G4656" i="77"/>
  <c r="I4655" i="77"/>
  <c r="H4655" i="77"/>
  <c r="G4655" i="77"/>
  <c r="I4654" i="77"/>
  <c r="H4654" i="77"/>
  <c r="G4654" i="77"/>
  <c r="I4653" i="77"/>
  <c r="H4653" i="77"/>
  <c r="G4653" i="77"/>
  <c r="I4652" i="77"/>
  <c r="H4652" i="77"/>
  <c r="G4652" i="77"/>
  <c r="I4651" i="77"/>
  <c r="H4651" i="77"/>
  <c r="G4651" i="77"/>
  <c r="I4650" i="77"/>
  <c r="H4650" i="77"/>
  <c r="G4650" i="77"/>
  <c r="I4649" i="77"/>
  <c r="H4649" i="77"/>
  <c r="G4649" i="77"/>
  <c r="I4648" i="77"/>
  <c r="H4648" i="77"/>
  <c r="G4648" i="77"/>
  <c r="I4647" i="77"/>
  <c r="H4647" i="77"/>
  <c r="G4647" i="77"/>
  <c r="I4646" i="77"/>
  <c r="H4646" i="77"/>
  <c r="G4646" i="77"/>
  <c r="I4645" i="77"/>
  <c r="H4645" i="77"/>
  <c r="G4645" i="77"/>
  <c r="I4644" i="77"/>
  <c r="H4644" i="77"/>
  <c r="G4644" i="77"/>
  <c r="I4643" i="77"/>
  <c r="H4643" i="77"/>
  <c r="G4643" i="77"/>
  <c r="I4642" i="77"/>
  <c r="H4642" i="77"/>
  <c r="G4642" i="77"/>
  <c r="I4641" i="77"/>
  <c r="H4641" i="77"/>
  <c r="G4641" i="77"/>
  <c r="I4640" i="77"/>
  <c r="H4640" i="77"/>
  <c r="G4640" i="77"/>
  <c r="I4639" i="77"/>
  <c r="H4639" i="77"/>
  <c r="G4639" i="77"/>
  <c r="I4638" i="77"/>
  <c r="H4638" i="77"/>
  <c r="G4638" i="77"/>
  <c r="I4637" i="77"/>
  <c r="H4637" i="77"/>
  <c r="G4637" i="77"/>
  <c r="I4636" i="77"/>
  <c r="H4636" i="77"/>
  <c r="G4636" i="77"/>
  <c r="I4635" i="77"/>
  <c r="H4635" i="77"/>
  <c r="G4635" i="77"/>
  <c r="I4634" i="77"/>
  <c r="H4634" i="77"/>
  <c r="G4634" i="77"/>
  <c r="I4633" i="77"/>
  <c r="H4633" i="77"/>
  <c r="G4633" i="77"/>
  <c r="I4632" i="77"/>
  <c r="H4632" i="77"/>
  <c r="G4632" i="77"/>
  <c r="I4631" i="77"/>
  <c r="H4631" i="77"/>
  <c r="G4631" i="77"/>
  <c r="I4630" i="77"/>
  <c r="H4630" i="77"/>
  <c r="G4630" i="77"/>
  <c r="I4629" i="77"/>
  <c r="H4629" i="77"/>
  <c r="G4629" i="77"/>
  <c r="I4628" i="77"/>
  <c r="H4628" i="77"/>
  <c r="G4628" i="77"/>
  <c r="I4627" i="77"/>
  <c r="H4627" i="77"/>
  <c r="G4627" i="77"/>
  <c r="I4626" i="77"/>
  <c r="H4626" i="77"/>
  <c r="G4626" i="77"/>
  <c r="I4625" i="77"/>
  <c r="H4625" i="77"/>
  <c r="G4625" i="77"/>
  <c r="I4624" i="77"/>
  <c r="H4624" i="77"/>
  <c r="G4624" i="77"/>
  <c r="I4623" i="77"/>
  <c r="H4623" i="77"/>
  <c r="G4623" i="77"/>
  <c r="I4622" i="77"/>
  <c r="H4622" i="77"/>
  <c r="G4622" i="77"/>
  <c r="I4621" i="77"/>
  <c r="H4621" i="77"/>
  <c r="G4621" i="77"/>
  <c r="I4620" i="77"/>
  <c r="H4620" i="77"/>
  <c r="G4620" i="77"/>
  <c r="I4619" i="77"/>
  <c r="H4619" i="77"/>
  <c r="G4619" i="77"/>
  <c r="I4618" i="77"/>
  <c r="H4618" i="77"/>
  <c r="G4618" i="77"/>
  <c r="I4617" i="77"/>
  <c r="H4617" i="77"/>
  <c r="G4617" i="77"/>
  <c r="I4616" i="77"/>
  <c r="H4616" i="77"/>
  <c r="G4616" i="77"/>
  <c r="I4615" i="77"/>
  <c r="H4615" i="77"/>
  <c r="G4615" i="77"/>
  <c r="I4614" i="77"/>
  <c r="H4614" i="77"/>
  <c r="G4614" i="77"/>
  <c r="I4613" i="77"/>
  <c r="H4613" i="77"/>
  <c r="G4613" i="77"/>
  <c r="I4612" i="77"/>
  <c r="H4612" i="77"/>
  <c r="G4612" i="77"/>
  <c r="I4611" i="77"/>
  <c r="H4611" i="77"/>
  <c r="G4611" i="77"/>
  <c r="I4610" i="77"/>
  <c r="H4610" i="77"/>
  <c r="G4610" i="77"/>
  <c r="I4609" i="77"/>
  <c r="H4609" i="77"/>
  <c r="G4609" i="77"/>
  <c r="I4608" i="77"/>
  <c r="H4608" i="77"/>
  <c r="G4608" i="77"/>
  <c r="I4607" i="77"/>
  <c r="H4607" i="77"/>
  <c r="G4607" i="77"/>
  <c r="I4606" i="77"/>
  <c r="H4606" i="77"/>
  <c r="G4606" i="77"/>
  <c r="I4605" i="77"/>
  <c r="H4605" i="77"/>
  <c r="G4605" i="77"/>
  <c r="I4604" i="77"/>
  <c r="H4604" i="77"/>
  <c r="G4604" i="77"/>
  <c r="I4603" i="77"/>
  <c r="H4603" i="77"/>
  <c r="G4603" i="77"/>
  <c r="I4602" i="77"/>
  <c r="H4602" i="77"/>
  <c r="G4602" i="77"/>
  <c r="I4601" i="77"/>
  <c r="H4601" i="77"/>
  <c r="G4601" i="77"/>
  <c r="I4600" i="77"/>
  <c r="H4600" i="77"/>
  <c r="G4600" i="77"/>
  <c r="I4599" i="77"/>
  <c r="H4599" i="77"/>
  <c r="G4599" i="77"/>
  <c r="I4598" i="77"/>
  <c r="H4598" i="77"/>
  <c r="G4598" i="77"/>
  <c r="I4597" i="77"/>
  <c r="H4597" i="77"/>
  <c r="G4597" i="77"/>
  <c r="I4596" i="77"/>
  <c r="H4596" i="77"/>
  <c r="G4596" i="77"/>
  <c r="I4595" i="77"/>
  <c r="H4595" i="77"/>
  <c r="G4595" i="77"/>
  <c r="I4594" i="77"/>
  <c r="H4594" i="77"/>
  <c r="G4594" i="77"/>
  <c r="I4593" i="77"/>
  <c r="H4593" i="77"/>
  <c r="G4593" i="77"/>
  <c r="I4592" i="77"/>
  <c r="H4592" i="77"/>
  <c r="G4592" i="77"/>
  <c r="I4591" i="77"/>
  <c r="H4591" i="77"/>
  <c r="G4591" i="77"/>
  <c r="I4590" i="77"/>
  <c r="H4590" i="77"/>
  <c r="G4590" i="77"/>
  <c r="I4589" i="77"/>
  <c r="H4589" i="77"/>
  <c r="G4589" i="77"/>
  <c r="I4588" i="77"/>
  <c r="H4588" i="77"/>
  <c r="G4588" i="77"/>
  <c r="I4587" i="77"/>
  <c r="H4587" i="77"/>
  <c r="G4587" i="77"/>
  <c r="I4586" i="77"/>
  <c r="H4586" i="77"/>
  <c r="G4586" i="77"/>
  <c r="I4585" i="77"/>
  <c r="H4585" i="77"/>
  <c r="G4585" i="77"/>
  <c r="I4584" i="77"/>
  <c r="H4584" i="77"/>
  <c r="G4584" i="77"/>
  <c r="I4583" i="77"/>
  <c r="H4583" i="77"/>
  <c r="G4583" i="77"/>
  <c r="I4582" i="77"/>
  <c r="H4582" i="77"/>
  <c r="G4582" i="77"/>
  <c r="I4581" i="77"/>
  <c r="H4581" i="77"/>
  <c r="G4581" i="77"/>
  <c r="I4580" i="77"/>
  <c r="H4580" i="77"/>
  <c r="G4580" i="77"/>
  <c r="I4579" i="77"/>
  <c r="H4579" i="77"/>
  <c r="G4579" i="77"/>
  <c r="I4578" i="77"/>
  <c r="H4578" i="77"/>
  <c r="G4578" i="77"/>
  <c r="I4577" i="77"/>
  <c r="H4577" i="77"/>
  <c r="G4577" i="77"/>
  <c r="I4576" i="77"/>
  <c r="H4576" i="77"/>
  <c r="G4576" i="77"/>
  <c r="I4575" i="77"/>
  <c r="H4575" i="77"/>
  <c r="G4575" i="77"/>
  <c r="I4574" i="77"/>
  <c r="H4574" i="77"/>
  <c r="G4574" i="77"/>
  <c r="I4573" i="77"/>
  <c r="H4573" i="77"/>
  <c r="G4573" i="77"/>
  <c r="I4572" i="77"/>
  <c r="H4572" i="77"/>
  <c r="G4572" i="77"/>
  <c r="I4571" i="77"/>
  <c r="H4571" i="77"/>
  <c r="G4571" i="77"/>
  <c r="I4570" i="77"/>
  <c r="H4570" i="77"/>
  <c r="G4570" i="77"/>
  <c r="I4569" i="77"/>
  <c r="H4569" i="77"/>
  <c r="G4569" i="77"/>
  <c r="I4568" i="77"/>
  <c r="H4568" i="77"/>
  <c r="G4568" i="77"/>
  <c r="I4567" i="77"/>
  <c r="H4567" i="77"/>
  <c r="G4567" i="77"/>
  <c r="I4566" i="77"/>
  <c r="H4566" i="77"/>
  <c r="G4566" i="77"/>
  <c r="I4565" i="77"/>
  <c r="H4565" i="77"/>
  <c r="G4565" i="77"/>
  <c r="I4564" i="77"/>
  <c r="H4564" i="77"/>
  <c r="G4564" i="77"/>
  <c r="I4563" i="77"/>
  <c r="H4563" i="77"/>
  <c r="G4563" i="77"/>
  <c r="I4562" i="77"/>
  <c r="H4562" i="77"/>
  <c r="G4562" i="77"/>
  <c r="I4561" i="77"/>
  <c r="H4561" i="77"/>
  <c r="G4561" i="77"/>
  <c r="I4560" i="77"/>
  <c r="H4560" i="77"/>
  <c r="G4560" i="77"/>
  <c r="I4559" i="77"/>
  <c r="H4559" i="77"/>
  <c r="G4559" i="77"/>
  <c r="I4558" i="77"/>
  <c r="H4558" i="77"/>
  <c r="G4558" i="77"/>
  <c r="I4557" i="77"/>
  <c r="H4557" i="77"/>
  <c r="G4557" i="77"/>
  <c r="I4556" i="77"/>
  <c r="H4556" i="77"/>
  <c r="G4556" i="77"/>
  <c r="I4555" i="77"/>
  <c r="H4555" i="77"/>
  <c r="G4555" i="77"/>
  <c r="I4554" i="77"/>
  <c r="H4554" i="77"/>
  <c r="G4554" i="77"/>
  <c r="I4553" i="77"/>
  <c r="H4553" i="77"/>
  <c r="G4553" i="77"/>
  <c r="I4552" i="77"/>
  <c r="H4552" i="77"/>
  <c r="G4552" i="77"/>
  <c r="I4551" i="77"/>
  <c r="H4551" i="77"/>
  <c r="G4551" i="77"/>
  <c r="I4550" i="77"/>
  <c r="H4550" i="77"/>
  <c r="G4550" i="77"/>
  <c r="I4549" i="77"/>
  <c r="H4549" i="77"/>
  <c r="G4549" i="77"/>
  <c r="I4548" i="77"/>
  <c r="H4548" i="77"/>
  <c r="G4548" i="77"/>
  <c r="I4547" i="77"/>
  <c r="H4547" i="77"/>
  <c r="G4547" i="77"/>
  <c r="I4546" i="77"/>
  <c r="H4546" i="77"/>
  <c r="G4546" i="77"/>
  <c r="I4545" i="77"/>
  <c r="H4545" i="77"/>
  <c r="G4545" i="77"/>
  <c r="I4544" i="77"/>
  <c r="H4544" i="77"/>
  <c r="G4544" i="77"/>
  <c r="I4543" i="77"/>
  <c r="H4543" i="77"/>
  <c r="G4543" i="77"/>
  <c r="I4542" i="77"/>
  <c r="H4542" i="77"/>
  <c r="G4542" i="77"/>
  <c r="I4541" i="77"/>
  <c r="H4541" i="77"/>
  <c r="G4541" i="77"/>
  <c r="I4540" i="77"/>
  <c r="H4540" i="77"/>
  <c r="G4540" i="77"/>
  <c r="I4539" i="77"/>
  <c r="H4539" i="77"/>
  <c r="G4539" i="77"/>
  <c r="I4538" i="77"/>
  <c r="H4538" i="77"/>
  <c r="G4538" i="77"/>
  <c r="I4537" i="77"/>
  <c r="H4537" i="77"/>
  <c r="G4537" i="77"/>
  <c r="I4536" i="77"/>
  <c r="H4536" i="77"/>
  <c r="G4536" i="77"/>
  <c r="I4535" i="77"/>
  <c r="H4535" i="77"/>
  <c r="G4535" i="77"/>
  <c r="I4534" i="77"/>
  <c r="H4534" i="77"/>
  <c r="G4534" i="77"/>
  <c r="I4533" i="77"/>
  <c r="H4533" i="77"/>
  <c r="G4533" i="77"/>
  <c r="I4532" i="77"/>
  <c r="H4532" i="77"/>
  <c r="G4532" i="77"/>
  <c r="I4531" i="77"/>
  <c r="H4531" i="77"/>
  <c r="G4531" i="77"/>
  <c r="I4530" i="77"/>
  <c r="H4530" i="77"/>
  <c r="G4530" i="77"/>
  <c r="I4529" i="77"/>
  <c r="H4529" i="77"/>
  <c r="G4529" i="77"/>
  <c r="I4528" i="77"/>
  <c r="H4528" i="77"/>
  <c r="G4528" i="77"/>
  <c r="I4527" i="77"/>
  <c r="H4527" i="77"/>
  <c r="G4527" i="77"/>
  <c r="I4526" i="77"/>
  <c r="H4526" i="77"/>
  <c r="G4526" i="77"/>
  <c r="I4525" i="77"/>
  <c r="H4525" i="77"/>
  <c r="G4525" i="77"/>
  <c r="I4524" i="77"/>
  <c r="H4524" i="77"/>
  <c r="G4524" i="77"/>
  <c r="I4523" i="77"/>
  <c r="H4523" i="77"/>
  <c r="G4523" i="77"/>
  <c r="I4522" i="77"/>
  <c r="H4522" i="77"/>
  <c r="G4522" i="77"/>
  <c r="I4521" i="77"/>
  <c r="H4521" i="77"/>
  <c r="G4521" i="77"/>
  <c r="I4520" i="77"/>
  <c r="H4520" i="77"/>
  <c r="G4520" i="77"/>
  <c r="I4519" i="77"/>
  <c r="H4519" i="77"/>
  <c r="G4519" i="77"/>
  <c r="I4518" i="77"/>
  <c r="H4518" i="77"/>
  <c r="G4518" i="77"/>
  <c r="I4517" i="77"/>
  <c r="H4517" i="77"/>
  <c r="G4517" i="77"/>
  <c r="I4516" i="77"/>
  <c r="H4516" i="77"/>
  <c r="G4516" i="77"/>
  <c r="I4515" i="77"/>
  <c r="H4515" i="77"/>
  <c r="G4515" i="77"/>
  <c r="I4514" i="77"/>
  <c r="H4514" i="77"/>
  <c r="G4514" i="77"/>
  <c r="I4513" i="77"/>
  <c r="H4513" i="77"/>
  <c r="G4513" i="77"/>
  <c r="I4512" i="77"/>
  <c r="H4512" i="77"/>
  <c r="G4512" i="77"/>
  <c r="I4511" i="77"/>
  <c r="H4511" i="77"/>
  <c r="G4511" i="77"/>
  <c r="I4510" i="77"/>
  <c r="H4510" i="77"/>
  <c r="G4510" i="77"/>
  <c r="I4509" i="77"/>
  <c r="H4509" i="77"/>
  <c r="G4509" i="77"/>
  <c r="I4508" i="77"/>
  <c r="H4508" i="77"/>
  <c r="G4508" i="77"/>
  <c r="I4507" i="77"/>
  <c r="H4507" i="77"/>
  <c r="G4507" i="77"/>
  <c r="I4506" i="77"/>
  <c r="H4506" i="77"/>
  <c r="G4506" i="77"/>
  <c r="I4505" i="77"/>
  <c r="H4505" i="77"/>
  <c r="G4505" i="77"/>
  <c r="I4504" i="77"/>
  <c r="H4504" i="77"/>
  <c r="G4504" i="77"/>
  <c r="I4503" i="77"/>
  <c r="H4503" i="77"/>
  <c r="G4503" i="77"/>
  <c r="I4502" i="77"/>
  <c r="H4502" i="77"/>
  <c r="G4502" i="77"/>
  <c r="I4501" i="77"/>
  <c r="H4501" i="77"/>
  <c r="G4501" i="77"/>
  <c r="I4500" i="77"/>
  <c r="H4500" i="77"/>
  <c r="G4500" i="77"/>
  <c r="I4499" i="77"/>
  <c r="H4499" i="77"/>
  <c r="G4499" i="77"/>
  <c r="I4498" i="77"/>
  <c r="H4498" i="77"/>
  <c r="G4498" i="77"/>
  <c r="I4497" i="77"/>
  <c r="H4497" i="77"/>
  <c r="G4497" i="77"/>
  <c r="I4496" i="77"/>
  <c r="H4496" i="77"/>
  <c r="G4496" i="77"/>
  <c r="I4495" i="77"/>
  <c r="H4495" i="77"/>
  <c r="G4495" i="77"/>
  <c r="I4494" i="77"/>
  <c r="H4494" i="77"/>
  <c r="G4494" i="77"/>
  <c r="I4493" i="77"/>
  <c r="H4493" i="77"/>
  <c r="G4493" i="77"/>
  <c r="I4492" i="77"/>
  <c r="H4492" i="77"/>
  <c r="G4492" i="77"/>
  <c r="I4491" i="77"/>
  <c r="H4491" i="77"/>
  <c r="G4491" i="77"/>
  <c r="I4490" i="77"/>
  <c r="H4490" i="77"/>
  <c r="G4490" i="77"/>
  <c r="I4489" i="77"/>
  <c r="H4489" i="77"/>
  <c r="G4489" i="77"/>
  <c r="I4488" i="77"/>
  <c r="H4488" i="77"/>
  <c r="G4488" i="77"/>
  <c r="I4487" i="77"/>
  <c r="H4487" i="77"/>
  <c r="G4487" i="77"/>
  <c r="I4486" i="77"/>
  <c r="H4486" i="77"/>
  <c r="G4486" i="77"/>
  <c r="I4485" i="77"/>
  <c r="H4485" i="77"/>
  <c r="G4485" i="77"/>
  <c r="I4484" i="77"/>
  <c r="H4484" i="77"/>
  <c r="G4484" i="77"/>
  <c r="I4483" i="77"/>
  <c r="H4483" i="77"/>
  <c r="G4483" i="77"/>
  <c r="I4482" i="77"/>
  <c r="H4482" i="77"/>
  <c r="G4482" i="77"/>
  <c r="I4481" i="77"/>
  <c r="H4481" i="77"/>
  <c r="G4481" i="77"/>
  <c r="I4480" i="77"/>
  <c r="H4480" i="77"/>
  <c r="G4480" i="77"/>
  <c r="I4479" i="77"/>
  <c r="H4479" i="77"/>
  <c r="G4479" i="77"/>
  <c r="I4478" i="77"/>
  <c r="H4478" i="77"/>
  <c r="G4478" i="77"/>
  <c r="I4477" i="77"/>
  <c r="H4477" i="77"/>
  <c r="G4477" i="77"/>
  <c r="I4476" i="77"/>
  <c r="H4476" i="77"/>
  <c r="G4476" i="77"/>
  <c r="I4475" i="77"/>
  <c r="H4475" i="77"/>
  <c r="G4475" i="77"/>
  <c r="I4474" i="77"/>
  <c r="H4474" i="77"/>
  <c r="G4474" i="77"/>
  <c r="I4473" i="77"/>
  <c r="H4473" i="77"/>
  <c r="G4473" i="77"/>
  <c r="I4472" i="77"/>
  <c r="H4472" i="77"/>
  <c r="G4472" i="77"/>
  <c r="I4471" i="77"/>
  <c r="H4471" i="77"/>
  <c r="G4471" i="77"/>
  <c r="I4470" i="77"/>
  <c r="H4470" i="77"/>
  <c r="G4470" i="77"/>
  <c r="I4469" i="77"/>
  <c r="H4469" i="77"/>
  <c r="G4469" i="77"/>
  <c r="I4468" i="77"/>
  <c r="H4468" i="77"/>
  <c r="G4468" i="77"/>
  <c r="I4467" i="77"/>
  <c r="H4467" i="77"/>
  <c r="G4467" i="77"/>
  <c r="I4466" i="77"/>
  <c r="H4466" i="77"/>
  <c r="G4466" i="77"/>
  <c r="I4465" i="77"/>
  <c r="H4465" i="77"/>
  <c r="G4465" i="77"/>
  <c r="I4464" i="77"/>
  <c r="H4464" i="77"/>
  <c r="G4464" i="77"/>
  <c r="I4463" i="77"/>
  <c r="H4463" i="77"/>
  <c r="G4463" i="77"/>
  <c r="I4462" i="77"/>
  <c r="H4462" i="77"/>
  <c r="G4462" i="77"/>
  <c r="I4461" i="77"/>
  <c r="H4461" i="77"/>
  <c r="G4461" i="77"/>
  <c r="I4460" i="77"/>
  <c r="H4460" i="77"/>
  <c r="G4460" i="77"/>
  <c r="I4459" i="77"/>
  <c r="H4459" i="77"/>
  <c r="G4459" i="77"/>
  <c r="I4458" i="77"/>
  <c r="H4458" i="77"/>
  <c r="G4458" i="77"/>
  <c r="I4457" i="77"/>
  <c r="H4457" i="77"/>
  <c r="G4457" i="77"/>
  <c r="I4456" i="77"/>
  <c r="H4456" i="77"/>
  <c r="G4456" i="77"/>
  <c r="I4455" i="77"/>
  <c r="H4455" i="77"/>
  <c r="G4455" i="77"/>
  <c r="I4454" i="77"/>
  <c r="H4454" i="77"/>
  <c r="G4454" i="77"/>
  <c r="I4453" i="77"/>
  <c r="H4453" i="77"/>
  <c r="G4453" i="77"/>
  <c r="I4452" i="77"/>
  <c r="H4452" i="77"/>
  <c r="G4452" i="77"/>
  <c r="I4451" i="77"/>
  <c r="H4451" i="77"/>
  <c r="G4451" i="77"/>
  <c r="I4450" i="77"/>
  <c r="H4450" i="77"/>
  <c r="G4450" i="77"/>
  <c r="I4449" i="77"/>
  <c r="H4449" i="77"/>
  <c r="G4449" i="77"/>
  <c r="I4448" i="77"/>
  <c r="H4448" i="77"/>
  <c r="G4448" i="77"/>
  <c r="I4447" i="77"/>
  <c r="H4447" i="77"/>
  <c r="G4447" i="77"/>
  <c r="I4446" i="77"/>
  <c r="H4446" i="77"/>
  <c r="G4446" i="77"/>
  <c r="I4445" i="77"/>
  <c r="H4445" i="77"/>
  <c r="G4445" i="77"/>
  <c r="I4444" i="77"/>
  <c r="H4444" i="77"/>
  <c r="G4444" i="77"/>
  <c r="I4443" i="77"/>
  <c r="H4443" i="77"/>
  <c r="G4443" i="77"/>
  <c r="I4442" i="77"/>
  <c r="H4442" i="77"/>
  <c r="G4442" i="77"/>
  <c r="I4441" i="77"/>
  <c r="H4441" i="77"/>
  <c r="G4441" i="77"/>
  <c r="I4440" i="77"/>
  <c r="H4440" i="77"/>
  <c r="G4440" i="77"/>
  <c r="I4439" i="77"/>
  <c r="H4439" i="77"/>
  <c r="G4439" i="77"/>
  <c r="I4438" i="77"/>
  <c r="H4438" i="77"/>
  <c r="G4438" i="77"/>
  <c r="I4437" i="77"/>
  <c r="H4437" i="77"/>
  <c r="G4437" i="77"/>
  <c r="I4436" i="77"/>
  <c r="H4436" i="77"/>
  <c r="G4436" i="77"/>
  <c r="I4435" i="77"/>
  <c r="H4435" i="77"/>
  <c r="G4435" i="77"/>
  <c r="I4434" i="77"/>
  <c r="H4434" i="77"/>
  <c r="G4434" i="77"/>
  <c r="I4433" i="77"/>
  <c r="H4433" i="77"/>
  <c r="G4433" i="77"/>
  <c r="I4432" i="77"/>
  <c r="H4432" i="77"/>
  <c r="G4432" i="77"/>
  <c r="I4431" i="77"/>
  <c r="H4431" i="77"/>
  <c r="G4431" i="77"/>
  <c r="I4430" i="77"/>
  <c r="H4430" i="77"/>
  <c r="G4430" i="77"/>
  <c r="I4429" i="77"/>
  <c r="H4429" i="77"/>
  <c r="G4429" i="77"/>
  <c r="I4428" i="77"/>
  <c r="H4428" i="77"/>
  <c r="G4428" i="77"/>
  <c r="I4427" i="77"/>
  <c r="H4427" i="77"/>
  <c r="G4427" i="77"/>
  <c r="I4426" i="77"/>
  <c r="H4426" i="77"/>
  <c r="G4426" i="77"/>
  <c r="I4425" i="77"/>
  <c r="H4425" i="77"/>
  <c r="G4425" i="77"/>
  <c r="I4424" i="77"/>
  <c r="H4424" i="77"/>
  <c r="G4424" i="77"/>
  <c r="I4423" i="77"/>
  <c r="H4423" i="77"/>
  <c r="G4423" i="77"/>
  <c r="I4422" i="77"/>
  <c r="H4422" i="77"/>
  <c r="G4422" i="77"/>
  <c r="I4421" i="77"/>
  <c r="H4421" i="77"/>
  <c r="G4421" i="77"/>
  <c r="I4420" i="77"/>
  <c r="H4420" i="77"/>
  <c r="G4420" i="77"/>
  <c r="I4419" i="77"/>
  <c r="H4419" i="77"/>
  <c r="G4419" i="77"/>
  <c r="I4418" i="77"/>
  <c r="H4418" i="77"/>
  <c r="G4418" i="77"/>
  <c r="I4417" i="77"/>
  <c r="H4417" i="77"/>
  <c r="G4417" i="77"/>
  <c r="I4416" i="77"/>
  <c r="H4416" i="77"/>
  <c r="G4416" i="77"/>
  <c r="I4415" i="77"/>
  <c r="H4415" i="77"/>
  <c r="G4415" i="77"/>
  <c r="I4414" i="77"/>
  <c r="H4414" i="77"/>
  <c r="G4414" i="77"/>
  <c r="I4413" i="77"/>
  <c r="H4413" i="77"/>
  <c r="G4413" i="77"/>
  <c r="I4412" i="77"/>
  <c r="H4412" i="77"/>
  <c r="G4412" i="77"/>
  <c r="I4411" i="77"/>
  <c r="H4411" i="77"/>
  <c r="G4411" i="77"/>
  <c r="I4410" i="77"/>
  <c r="H4410" i="77"/>
  <c r="G4410" i="77"/>
  <c r="I4409" i="77"/>
  <c r="H4409" i="77"/>
  <c r="G4409" i="77"/>
  <c r="I4408" i="77"/>
  <c r="H4408" i="77"/>
  <c r="G4408" i="77"/>
  <c r="I4407" i="77"/>
  <c r="H4407" i="77"/>
  <c r="G4407" i="77"/>
  <c r="I4406" i="77"/>
  <c r="H4406" i="77"/>
  <c r="G4406" i="77"/>
  <c r="I4405" i="77"/>
  <c r="H4405" i="77"/>
  <c r="G4405" i="77"/>
  <c r="I4404" i="77"/>
  <c r="H4404" i="77"/>
  <c r="G4404" i="77"/>
  <c r="I4403" i="77"/>
  <c r="H4403" i="77"/>
  <c r="G4403" i="77"/>
  <c r="I4402" i="77"/>
  <c r="H4402" i="77"/>
  <c r="G4402" i="77"/>
  <c r="I4401" i="77"/>
  <c r="H4401" i="77"/>
  <c r="G4401" i="77"/>
  <c r="I4400" i="77"/>
  <c r="H4400" i="77"/>
  <c r="G4400" i="77"/>
  <c r="I4399" i="77"/>
  <c r="H4399" i="77"/>
  <c r="G4399" i="77"/>
  <c r="I4398" i="77"/>
  <c r="H4398" i="77"/>
  <c r="G4398" i="77"/>
  <c r="I4397" i="77"/>
  <c r="H4397" i="77"/>
  <c r="G4397" i="77"/>
  <c r="I4396" i="77"/>
  <c r="H4396" i="77"/>
  <c r="G4396" i="77"/>
  <c r="I4395" i="77"/>
  <c r="H4395" i="77"/>
  <c r="G4395" i="77"/>
  <c r="I4394" i="77"/>
  <c r="H4394" i="77"/>
  <c r="G4394" i="77"/>
  <c r="I4393" i="77"/>
  <c r="H4393" i="77"/>
  <c r="G4393" i="77"/>
  <c r="I4392" i="77"/>
  <c r="H4392" i="77"/>
  <c r="G4392" i="77"/>
  <c r="I4391" i="77"/>
  <c r="H4391" i="77"/>
  <c r="G4391" i="77"/>
  <c r="I4390" i="77"/>
  <c r="H4390" i="77"/>
  <c r="G4390" i="77"/>
  <c r="I4389" i="77"/>
  <c r="H4389" i="77"/>
  <c r="G4389" i="77"/>
  <c r="I4388" i="77"/>
  <c r="H4388" i="77"/>
  <c r="G4388" i="77"/>
  <c r="I4387" i="77"/>
  <c r="H4387" i="77"/>
  <c r="G4387" i="77"/>
  <c r="I4386" i="77"/>
  <c r="H4386" i="77"/>
  <c r="G4386" i="77"/>
  <c r="I4385" i="77"/>
  <c r="H4385" i="77"/>
  <c r="G4385" i="77"/>
  <c r="I4384" i="77"/>
  <c r="H4384" i="77"/>
  <c r="G4384" i="77"/>
  <c r="I4383" i="77"/>
  <c r="H4383" i="77"/>
  <c r="G4383" i="77"/>
  <c r="I4382" i="77"/>
  <c r="H4382" i="77"/>
  <c r="G4382" i="77"/>
  <c r="I4381" i="77"/>
  <c r="H4381" i="77"/>
  <c r="G4381" i="77"/>
  <c r="I4380" i="77"/>
  <c r="H4380" i="77"/>
  <c r="G4380" i="77"/>
  <c r="I4379" i="77"/>
  <c r="H4379" i="77"/>
  <c r="G4379" i="77"/>
  <c r="I4378" i="77"/>
  <c r="H4378" i="77"/>
  <c r="G4378" i="77"/>
  <c r="I4377" i="77"/>
  <c r="H4377" i="77"/>
  <c r="G4377" i="77"/>
  <c r="I4376" i="77"/>
  <c r="H4376" i="77"/>
  <c r="G4376" i="77"/>
  <c r="I4375" i="77"/>
  <c r="H4375" i="77"/>
  <c r="G4375" i="77"/>
  <c r="I4374" i="77"/>
  <c r="H4374" i="77"/>
  <c r="G4374" i="77"/>
  <c r="I4373" i="77"/>
  <c r="H4373" i="77"/>
  <c r="G4373" i="77"/>
  <c r="I4372" i="77"/>
  <c r="H4372" i="77"/>
  <c r="G4372" i="77"/>
  <c r="I4371" i="77"/>
  <c r="H4371" i="77"/>
  <c r="G4371" i="77"/>
  <c r="I4370" i="77"/>
  <c r="H4370" i="77"/>
  <c r="G4370" i="77"/>
  <c r="I4369" i="77"/>
  <c r="H4369" i="77"/>
  <c r="G4369" i="77"/>
  <c r="I4368" i="77"/>
  <c r="H4368" i="77"/>
  <c r="G4368" i="77"/>
  <c r="I4367" i="77"/>
  <c r="H4367" i="77"/>
  <c r="G4367" i="77"/>
  <c r="I4366" i="77"/>
  <c r="H4366" i="77"/>
  <c r="G4366" i="77"/>
  <c r="I4365" i="77"/>
  <c r="H4365" i="77"/>
  <c r="G4365" i="77"/>
  <c r="I4364" i="77"/>
  <c r="H4364" i="77"/>
  <c r="G4364" i="77"/>
  <c r="I4363" i="77"/>
  <c r="H4363" i="77"/>
  <c r="G4363" i="77"/>
  <c r="I4362" i="77"/>
  <c r="H4362" i="77"/>
  <c r="G4362" i="77"/>
  <c r="I4361" i="77"/>
  <c r="H4361" i="77"/>
  <c r="G4361" i="77"/>
  <c r="I4360" i="77"/>
  <c r="H4360" i="77"/>
  <c r="G4360" i="77"/>
  <c r="I4359" i="77"/>
  <c r="H4359" i="77"/>
  <c r="G4359" i="77"/>
  <c r="I4358" i="77"/>
  <c r="H4358" i="77"/>
  <c r="G4358" i="77"/>
  <c r="I4357" i="77"/>
  <c r="H4357" i="77"/>
  <c r="G4357" i="77"/>
  <c r="I4356" i="77"/>
  <c r="H4356" i="77"/>
  <c r="G4356" i="77"/>
  <c r="I4355" i="77"/>
  <c r="H4355" i="77"/>
  <c r="G4355" i="77"/>
  <c r="I4354" i="77"/>
  <c r="H4354" i="77"/>
  <c r="G4354" i="77"/>
  <c r="I4353" i="77"/>
  <c r="H4353" i="77"/>
  <c r="G4353" i="77"/>
  <c r="I4352" i="77"/>
  <c r="H4352" i="77"/>
  <c r="G4352" i="77"/>
  <c r="I4351" i="77"/>
  <c r="H4351" i="77"/>
  <c r="G4351" i="77"/>
  <c r="I4350" i="77"/>
  <c r="H4350" i="77"/>
  <c r="G4350" i="77"/>
  <c r="I4349" i="77"/>
  <c r="H4349" i="77"/>
  <c r="G4349" i="77"/>
  <c r="I4348" i="77"/>
  <c r="H4348" i="77"/>
  <c r="G4348" i="77"/>
  <c r="I4347" i="77"/>
  <c r="H4347" i="77"/>
  <c r="G4347" i="77"/>
  <c r="I4346" i="77"/>
  <c r="H4346" i="77"/>
  <c r="G4346" i="77"/>
  <c r="I4345" i="77"/>
  <c r="H4345" i="77"/>
  <c r="G4345" i="77"/>
  <c r="I4344" i="77"/>
  <c r="H4344" i="77"/>
  <c r="G4344" i="77"/>
  <c r="I4343" i="77"/>
  <c r="H4343" i="77"/>
  <c r="G4343" i="77"/>
  <c r="I4342" i="77"/>
  <c r="H4342" i="77"/>
  <c r="G4342" i="77"/>
  <c r="I4341" i="77"/>
  <c r="H4341" i="77"/>
  <c r="G4341" i="77"/>
  <c r="I4340" i="77"/>
  <c r="H4340" i="77"/>
  <c r="G4340" i="77"/>
  <c r="I4339" i="77"/>
  <c r="H4339" i="77"/>
  <c r="G4339" i="77"/>
  <c r="I4338" i="77"/>
  <c r="H4338" i="77"/>
  <c r="G4338" i="77"/>
  <c r="I4337" i="77"/>
  <c r="H4337" i="77"/>
  <c r="G4337" i="77"/>
  <c r="I4336" i="77"/>
  <c r="H4336" i="77"/>
  <c r="G4336" i="77"/>
  <c r="I4335" i="77"/>
  <c r="H4335" i="77"/>
  <c r="G4335" i="77"/>
  <c r="I4334" i="77"/>
  <c r="H4334" i="77"/>
  <c r="G4334" i="77"/>
  <c r="I4333" i="77"/>
  <c r="H4333" i="77"/>
  <c r="G4333" i="77"/>
  <c r="I4332" i="77"/>
  <c r="H4332" i="77"/>
  <c r="G4332" i="77"/>
  <c r="I4331" i="77"/>
  <c r="H4331" i="77"/>
  <c r="G4331" i="77"/>
  <c r="I4330" i="77"/>
  <c r="H4330" i="77"/>
  <c r="G4330" i="77"/>
  <c r="I4329" i="77"/>
  <c r="H4329" i="77"/>
  <c r="G4329" i="77"/>
  <c r="I4328" i="77"/>
  <c r="H4328" i="77"/>
  <c r="G4328" i="77"/>
  <c r="I4327" i="77"/>
  <c r="H4327" i="77"/>
  <c r="G4327" i="77"/>
  <c r="I4326" i="77"/>
  <c r="H4326" i="77"/>
  <c r="G4326" i="77"/>
  <c r="I4325" i="77"/>
  <c r="H4325" i="77"/>
  <c r="G4325" i="77"/>
  <c r="I4324" i="77"/>
  <c r="H4324" i="77"/>
  <c r="G4324" i="77"/>
  <c r="I4323" i="77"/>
  <c r="H4323" i="77"/>
  <c r="G4323" i="77"/>
  <c r="I4322" i="77"/>
  <c r="H4322" i="77"/>
  <c r="G4322" i="77"/>
  <c r="I4321" i="77"/>
  <c r="H4321" i="77"/>
  <c r="G4321" i="77"/>
  <c r="I4320" i="77"/>
  <c r="H4320" i="77"/>
  <c r="G4320" i="77"/>
  <c r="I4319" i="77"/>
  <c r="H4319" i="77"/>
  <c r="G4319" i="77"/>
  <c r="I4318" i="77"/>
  <c r="H4318" i="77"/>
  <c r="G4318" i="77"/>
  <c r="I4317" i="77"/>
  <c r="H4317" i="77"/>
  <c r="G4317" i="77"/>
  <c r="I4316" i="77"/>
  <c r="H4316" i="77"/>
  <c r="G4316" i="77"/>
  <c r="I4315" i="77"/>
  <c r="H4315" i="77"/>
  <c r="G4315" i="77"/>
  <c r="I4314" i="77"/>
  <c r="H4314" i="77"/>
  <c r="G4314" i="77"/>
  <c r="I4313" i="77"/>
  <c r="H4313" i="77"/>
  <c r="G4313" i="77"/>
  <c r="I4312" i="77"/>
  <c r="H4312" i="77"/>
  <c r="G4312" i="77"/>
  <c r="I4311" i="77"/>
  <c r="H4311" i="77"/>
  <c r="G4311" i="77"/>
  <c r="I4310" i="77"/>
  <c r="H4310" i="77"/>
  <c r="G4310" i="77"/>
  <c r="I4309" i="77"/>
  <c r="H4309" i="77"/>
  <c r="G4309" i="77"/>
  <c r="I4308" i="77"/>
  <c r="H4308" i="77"/>
  <c r="G4308" i="77"/>
  <c r="I4307" i="77"/>
  <c r="H4307" i="77"/>
  <c r="G4307" i="77"/>
  <c r="I4306" i="77"/>
  <c r="H4306" i="77"/>
  <c r="G4306" i="77"/>
  <c r="I4305" i="77"/>
  <c r="H4305" i="77"/>
  <c r="G4305" i="77"/>
  <c r="I4304" i="77"/>
  <c r="H4304" i="77"/>
  <c r="G4304" i="77"/>
  <c r="I4303" i="77"/>
  <c r="H4303" i="77"/>
  <c r="G4303" i="77"/>
  <c r="I4302" i="77"/>
  <c r="H4302" i="77"/>
  <c r="G4302" i="77"/>
  <c r="I4301" i="77"/>
  <c r="H4301" i="77"/>
  <c r="G4301" i="77"/>
  <c r="I4300" i="77"/>
  <c r="H4300" i="77"/>
  <c r="G4300" i="77"/>
  <c r="I4299" i="77"/>
  <c r="H4299" i="77"/>
  <c r="G4299" i="77"/>
  <c r="I4298" i="77"/>
  <c r="H4298" i="77"/>
  <c r="G4298" i="77"/>
  <c r="I4297" i="77"/>
  <c r="H4297" i="77"/>
  <c r="G4297" i="77"/>
  <c r="I4296" i="77"/>
  <c r="H4296" i="77"/>
  <c r="G4296" i="77"/>
  <c r="I4295" i="77"/>
  <c r="H4295" i="77"/>
  <c r="G4295" i="77"/>
  <c r="I4294" i="77"/>
  <c r="H4294" i="77"/>
  <c r="G4294" i="77"/>
  <c r="I4293" i="77"/>
  <c r="H4293" i="77"/>
  <c r="G4293" i="77"/>
  <c r="I4292" i="77"/>
  <c r="H4292" i="77"/>
  <c r="G4292" i="77"/>
  <c r="I4291" i="77"/>
  <c r="H4291" i="77"/>
  <c r="G4291" i="77"/>
  <c r="I4290" i="77"/>
  <c r="H4290" i="77"/>
  <c r="G4290" i="77"/>
  <c r="I4289" i="77"/>
  <c r="H4289" i="77"/>
  <c r="G4289" i="77"/>
  <c r="I4288" i="77"/>
  <c r="H4288" i="77"/>
  <c r="G4288" i="77"/>
  <c r="I4287" i="77"/>
  <c r="H4287" i="77"/>
  <c r="G4287" i="77"/>
  <c r="I4286" i="77"/>
  <c r="H4286" i="77"/>
  <c r="G4286" i="77"/>
  <c r="I4285" i="77"/>
  <c r="H4285" i="77"/>
  <c r="G4285" i="77"/>
  <c r="I4284" i="77"/>
  <c r="H4284" i="77"/>
  <c r="G4284" i="77"/>
  <c r="I4283" i="77"/>
  <c r="H4283" i="77"/>
  <c r="G4283" i="77"/>
  <c r="I4282" i="77"/>
  <c r="H4282" i="77"/>
  <c r="G4282" i="77"/>
  <c r="I4281" i="77"/>
  <c r="H4281" i="77"/>
  <c r="G4281" i="77"/>
  <c r="I4280" i="77"/>
  <c r="H4280" i="77"/>
  <c r="G4280" i="77"/>
  <c r="I4279" i="77"/>
  <c r="H4279" i="77"/>
  <c r="G4279" i="77"/>
  <c r="I4278" i="77"/>
  <c r="H4278" i="77"/>
  <c r="G4278" i="77"/>
  <c r="I4277" i="77"/>
  <c r="H4277" i="77"/>
  <c r="G4277" i="77"/>
  <c r="I4276" i="77"/>
  <c r="H4276" i="77"/>
  <c r="G4276" i="77"/>
  <c r="I4275" i="77"/>
  <c r="H4275" i="77"/>
  <c r="G4275" i="77"/>
  <c r="I4274" i="77"/>
  <c r="H4274" i="77"/>
  <c r="G4274" i="77"/>
  <c r="I4273" i="77"/>
  <c r="H4273" i="77"/>
  <c r="G4273" i="77"/>
  <c r="I4272" i="77"/>
  <c r="H4272" i="77"/>
  <c r="G4272" i="77"/>
  <c r="I4271" i="77"/>
  <c r="H4271" i="77"/>
  <c r="G4271" i="77"/>
  <c r="I4270" i="77"/>
  <c r="H4270" i="77"/>
  <c r="G4270" i="77"/>
  <c r="I4269" i="77"/>
  <c r="H4269" i="77"/>
  <c r="G4269" i="77"/>
  <c r="I4268" i="77"/>
  <c r="H4268" i="77"/>
  <c r="G4268" i="77"/>
  <c r="I4267" i="77"/>
  <c r="H4267" i="77"/>
  <c r="G4267" i="77"/>
  <c r="I4266" i="77"/>
  <c r="H4266" i="77"/>
  <c r="G4266" i="77"/>
  <c r="I4265" i="77"/>
  <c r="H4265" i="77"/>
  <c r="G4265" i="77"/>
  <c r="I4264" i="77"/>
  <c r="H4264" i="77"/>
  <c r="G4264" i="77"/>
  <c r="I4263" i="77"/>
  <c r="H4263" i="77"/>
  <c r="G4263" i="77"/>
  <c r="I4262" i="77"/>
  <c r="H4262" i="77"/>
  <c r="G4262" i="77"/>
  <c r="I4261" i="77"/>
  <c r="H4261" i="77"/>
  <c r="G4261" i="77"/>
  <c r="I4260" i="77"/>
  <c r="H4260" i="77"/>
  <c r="G4260" i="77"/>
  <c r="I4259" i="77"/>
  <c r="H4259" i="77"/>
  <c r="G4259" i="77"/>
  <c r="I4258" i="77"/>
  <c r="H4258" i="77"/>
  <c r="G4258" i="77"/>
  <c r="I4257" i="77"/>
  <c r="H4257" i="77"/>
  <c r="G4257" i="77"/>
  <c r="I4256" i="77"/>
  <c r="H4256" i="77"/>
  <c r="G4256" i="77"/>
  <c r="I4255" i="77"/>
  <c r="H4255" i="77"/>
  <c r="G4255" i="77"/>
  <c r="I4254" i="77"/>
  <c r="H4254" i="77"/>
  <c r="G4254" i="77"/>
  <c r="I4253" i="77"/>
  <c r="H4253" i="77"/>
  <c r="G4253" i="77"/>
  <c r="I4252" i="77"/>
  <c r="H4252" i="77"/>
  <c r="G4252" i="77"/>
  <c r="I4251" i="77"/>
  <c r="H4251" i="77"/>
  <c r="G4251" i="77"/>
  <c r="I4250" i="77"/>
  <c r="H4250" i="77"/>
  <c r="G4250" i="77"/>
  <c r="I4249" i="77"/>
  <c r="H4249" i="77"/>
  <c r="G4249" i="77"/>
  <c r="I4248" i="77"/>
  <c r="H4248" i="77"/>
  <c r="G4248" i="77"/>
  <c r="I4247" i="77"/>
  <c r="H4247" i="77"/>
  <c r="G4247" i="77"/>
  <c r="I4246" i="77"/>
  <c r="H4246" i="77"/>
  <c r="G4246" i="77"/>
  <c r="I4245" i="77"/>
  <c r="H4245" i="77"/>
  <c r="G4245" i="77"/>
  <c r="I4244" i="77"/>
  <c r="H4244" i="77"/>
  <c r="G4244" i="77"/>
  <c r="I4243" i="77"/>
  <c r="H4243" i="77"/>
  <c r="G4243" i="77"/>
  <c r="I4242" i="77"/>
  <c r="H4242" i="77"/>
  <c r="G4242" i="77"/>
  <c r="I4241" i="77"/>
  <c r="H4241" i="77"/>
  <c r="G4241" i="77"/>
  <c r="I4240" i="77"/>
  <c r="H4240" i="77"/>
  <c r="G4240" i="77"/>
  <c r="I4239" i="77"/>
  <c r="H4239" i="77"/>
  <c r="G4239" i="77"/>
  <c r="I4238" i="77"/>
  <c r="H4238" i="77"/>
  <c r="G4238" i="77"/>
  <c r="I4237" i="77"/>
  <c r="H4237" i="77"/>
  <c r="G4237" i="77"/>
  <c r="I4236" i="77"/>
  <c r="H4236" i="77"/>
  <c r="G4236" i="77"/>
  <c r="I4235" i="77"/>
  <c r="H4235" i="77"/>
  <c r="G4235" i="77"/>
  <c r="I4234" i="77"/>
  <c r="H4234" i="77"/>
  <c r="G4234" i="77"/>
  <c r="I4233" i="77"/>
  <c r="H4233" i="77"/>
  <c r="G4233" i="77"/>
  <c r="I4232" i="77"/>
  <c r="H4232" i="77"/>
  <c r="G4232" i="77"/>
  <c r="I4231" i="77"/>
  <c r="H4231" i="77"/>
  <c r="G4231" i="77"/>
  <c r="I4230" i="77"/>
  <c r="H4230" i="77"/>
  <c r="G4230" i="77"/>
  <c r="I4229" i="77"/>
  <c r="H4229" i="77"/>
  <c r="G4229" i="77"/>
  <c r="I4228" i="77"/>
  <c r="H4228" i="77"/>
  <c r="G4228" i="77"/>
  <c r="I4227" i="77"/>
  <c r="H4227" i="77"/>
  <c r="G4227" i="77"/>
  <c r="I4226" i="77"/>
  <c r="H4226" i="77"/>
  <c r="G4226" i="77"/>
  <c r="I4225" i="77"/>
  <c r="H4225" i="77"/>
  <c r="G4225" i="77"/>
  <c r="I4224" i="77"/>
  <c r="H4224" i="77"/>
  <c r="G4224" i="77"/>
  <c r="I4223" i="77"/>
  <c r="H4223" i="77"/>
  <c r="G4223" i="77"/>
  <c r="I4222" i="77"/>
  <c r="H4222" i="77"/>
  <c r="G4222" i="77"/>
  <c r="I4221" i="77"/>
  <c r="H4221" i="77"/>
  <c r="G4221" i="77"/>
  <c r="I4220" i="77"/>
  <c r="H4220" i="77"/>
  <c r="G4220" i="77"/>
  <c r="I4219" i="77"/>
  <c r="H4219" i="77"/>
  <c r="G4219" i="77"/>
  <c r="I4218" i="77"/>
  <c r="H4218" i="77"/>
  <c r="G4218" i="77"/>
  <c r="I4217" i="77"/>
  <c r="H4217" i="77"/>
  <c r="G4217" i="77"/>
  <c r="I4216" i="77"/>
  <c r="H4216" i="77"/>
  <c r="G4216" i="77"/>
  <c r="I4215" i="77"/>
  <c r="H4215" i="77"/>
  <c r="G4215" i="77"/>
  <c r="I4214" i="77"/>
  <c r="H4214" i="77"/>
  <c r="G4214" i="77"/>
  <c r="I4213" i="77"/>
  <c r="H4213" i="77"/>
  <c r="G4213" i="77"/>
  <c r="I4212" i="77"/>
  <c r="H4212" i="77"/>
  <c r="G4212" i="77"/>
  <c r="I4211" i="77"/>
  <c r="H4211" i="77"/>
  <c r="G4211" i="77"/>
  <c r="I4210" i="77"/>
  <c r="H4210" i="77"/>
  <c r="G4210" i="77"/>
  <c r="I4209" i="77"/>
  <c r="H4209" i="77"/>
  <c r="G4209" i="77"/>
  <c r="I4208" i="77"/>
  <c r="H4208" i="77"/>
  <c r="G4208" i="77"/>
  <c r="I4207" i="77"/>
  <c r="H4207" i="77"/>
  <c r="G4207" i="77"/>
  <c r="I4206" i="77"/>
  <c r="H4206" i="77"/>
  <c r="G4206" i="77"/>
  <c r="I4205" i="77"/>
  <c r="H4205" i="77"/>
  <c r="G4205" i="77"/>
  <c r="I4204" i="77"/>
  <c r="H4204" i="77"/>
  <c r="G4204" i="77"/>
  <c r="I4203" i="77"/>
  <c r="H4203" i="77"/>
  <c r="G4203" i="77"/>
  <c r="I4202" i="77"/>
  <c r="H4202" i="77"/>
  <c r="G4202" i="77"/>
  <c r="I4201" i="77"/>
  <c r="H4201" i="77"/>
  <c r="G4201" i="77"/>
  <c r="I4200" i="77"/>
  <c r="H4200" i="77"/>
  <c r="G4200" i="77"/>
  <c r="I4199" i="77"/>
  <c r="H4199" i="77"/>
  <c r="G4199" i="77"/>
  <c r="I4198" i="77"/>
  <c r="H4198" i="77"/>
  <c r="G4198" i="77"/>
  <c r="I4197" i="77"/>
  <c r="H4197" i="77"/>
  <c r="G4197" i="77"/>
  <c r="I4196" i="77"/>
  <c r="H4196" i="77"/>
  <c r="G4196" i="77"/>
  <c r="I4195" i="77"/>
  <c r="H4195" i="77"/>
  <c r="G4195" i="77"/>
  <c r="I4194" i="77"/>
  <c r="H4194" i="77"/>
  <c r="G4194" i="77"/>
  <c r="I4193" i="77"/>
  <c r="H4193" i="77"/>
  <c r="G4193" i="77"/>
  <c r="I4192" i="77"/>
  <c r="H4192" i="77"/>
  <c r="G4192" i="77"/>
  <c r="I4191" i="77"/>
  <c r="H4191" i="77"/>
  <c r="G4191" i="77"/>
  <c r="I4190" i="77"/>
  <c r="H4190" i="77"/>
  <c r="G4190" i="77"/>
  <c r="I4189" i="77"/>
  <c r="H4189" i="77"/>
  <c r="G4189" i="77"/>
  <c r="I4188" i="77"/>
  <c r="H4188" i="77"/>
  <c r="G4188" i="77"/>
  <c r="I4187" i="77"/>
  <c r="H4187" i="77"/>
  <c r="G4187" i="77"/>
  <c r="I4186" i="77"/>
  <c r="H4186" i="77"/>
  <c r="G4186" i="77"/>
  <c r="I4185" i="77"/>
  <c r="H4185" i="77"/>
  <c r="G4185" i="77"/>
  <c r="I4184" i="77"/>
  <c r="H4184" i="77"/>
  <c r="G4184" i="77"/>
  <c r="I4183" i="77"/>
  <c r="H4183" i="77"/>
  <c r="G4183" i="77"/>
  <c r="I4182" i="77"/>
  <c r="H4182" i="77"/>
  <c r="G4182" i="77"/>
  <c r="I4181" i="77"/>
  <c r="H4181" i="77"/>
  <c r="G4181" i="77"/>
  <c r="I4180" i="77"/>
  <c r="H4180" i="77"/>
  <c r="G4180" i="77"/>
  <c r="I4179" i="77"/>
  <c r="H4179" i="77"/>
  <c r="G4179" i="77"/>
  <c r="I4178" i="77"/>
  <c r="H4178" i="77"/>
  <c r="G4178" i="77"/>
  <c r="I4177" i="77"/>
  <c r="H4177" i="77"/>
  <c r="G4177" i="77"/>
  <c r="I4176" i="77"/>
  <c r="H4176" i="77"/>
  <c r="G4176" i="77"/>
  <c r="I4175" i="77"/>
  <c r="H4175" i="77"/>
  <c r="G4175" i="77"/>
  <c r="I4174" i="77"/>
  <c r="H4174" i="77"/>
  <c r="G4174" i="77"/>
  <c r="I4173" i="77"/>
  <c r="H4173" i="77"/>
  <c r="G4173" i="77"/>
  <c r="I4172" i="77"/>
  <c r="H4172" i="77"/>
  <c r="G4172" i="77"/>
  <c r="I4171" i="77"/>
  <c r="H4171" i="77"/>
  <c r="G4171" i="77"/>
  <c r="I4170" i="77"/>
  <c r="H4170" i="77"/>
  <c r="G4170" i="77"/>
  <c r="I4169" i="77"/>
  <c r="H4169" i="77"/>
  <c r="G4169" i="77"/>
  <c r="I4168" i="77"/>
  <c r="H4168" i="77"/>
  <c r="G4168" i="77"/>
  <c r="I4167" i="77"/>
  <c r="H4167" i="77"/>
  <c r="G4167" i="77"/>
  <c r="I4166" i="77"/>
  <c r="H4166" i="77"/>
  <c r="G4166" i="77"/>
  <c r="I4165" i="77"/>
  <c r="H4165" i="77"/>
  <c r="G4165" i="77"/>
  <c r="I4164" i="77"/>
  <c r="H4164" i="77"/>
  <c r="G4164" i="77"/>
  <c r="I4163" i="77"/>
  <c r="H4163" i="77"/>
  <c r="G4163" i="77"/>
  <c r="I4162" i="77"/>
  <c r="H4162" i="77"/>
  <c r="G4162" i="77"/>
  <c r="I4161" i="77"/>
  <c r="H4161" i="77"/>
  <c r="G4161" i="77"/>
  <c r="I4160" i="77"/>
  <c r="H4160" i="77"/>
  <c r="G4160" i="77"/>
  <c r="I4159" i="77"/>
  <c r="H4159" i="77"/>
  <c r="G4159" i="77"/>
  <c r="I4158" i="77"/>
  <c r="H4158" i="77"/>
  <c r="G4158" i="77"/>
  <c r="I4157" i="77"/>
  <c r="H4157" i="77"/>
  <c r="G4157" i="77"/>
  <c r="I4156" i="77"/>
  <c r="H4156" i="77"/>
  <c r="G4156" i="77"/>
  <c r="I4155" i="77"/>
  <c r="H4155" i="77"/>
  <c r="G4155" i="77"/>
  <c r="I4154" i="77"/>
  <c r="H4154" i="77"/>
  <c r="G4154" i="77"/>
  <c r="I4153" i="77"/>
  <c r="H4153" i="77"/>
  <c r="G4153" i="77"/>
  <c r="I4152" i="77"/>
  <c r="H4152" i="77"/>
  <c r="G4152" i="77"/>
  <c r="I4151" i="77"/>
  <c r="H4151" i="77"/>
  <c r="G4151" i="77"/>
  <c r="I4150" i="77"/>
  <c r="H4150" i="77"/>
  <c r="G4150" i="77"/>
  <c r="I4149" i="77"/>
  <c r="H4149" i="77"/>
  <c r="G4149" i="77"/>
  <c r="I4148" i="77"/>
  <c r="H4148" i="77"/>
  <c r="G4148" i="77"/>
  <c r="I4147" i="77"/>
  <c r="H4147" i="77"/>
  <c r="G4147" i="77"/>
  <c r="I4146" i="77"/>
  <c r="H4146" i="77"/>
  <c r="G4146" i="77"/>
  <c r="I4145" i="77"/>
  <c r="H4145" i="77"/>
  <c r="G4145" i="77"/>
  <c r="I4144" i="77"/>
  <c r="H4144" i="77"/>
  <c r="G4144" i="77"/>
  <c r="I4143" i="77"/>
  <c r="H4143" i="77"/>
  <c r="G4143" i="77"/>
  <c r="I4142" i="77"/>
  <c r="H4142" i="77"/>
  <c r="G4142" i="77"/>
  <c r="I4141" i="77"/>
  <c r="H4141" i="77"/>
  <c r="G4141" i="77"/>
  <c r="I4140" i="77"/>
  <c r="H4140" i="77"/>
  <c r="G4140" i="77"/>
  <c r="I4139" i="77"/>
  <c r="H4139" i="77"/>
  <c r="G4139" i="77"/>
  <c r="I4138" i="77"/>
  <c r="H4138" i="77"/>
  <c r="G4138" i="77"/>
  <c r="I4137" i="77"/>
  <c r="H4137" i="77"/>
  <c r="G4137" i="77"/>
  <c r="I4136" i="77"/>
  <c r="H4136" i="77"/>
  <c r="G4136" i="77"/>
  <c r="I4135" i="77"/>
  <c r="H4135" i="77"/>
  <c r="G4135" i="77"/>
  <c r="I4134" i="77"/>
  <c r="H4134" i="77"/>
  <c r="G4134" i="77"/>
  <c r="I4133" i="77"/>
  <c r="H4133" i="77"/>
  <c r="G4133" i="77"/>
  <c r="I4132" i="77"/>
  <c r="H4132" i="77"/>
  <c r="G4132" i="77"/>
  <c r="I4131" i="77"/>
  <c r="H4131" i="77"/>
  <c r="G4131" i="77"/>
  <c r="I4130" i="77"/>
  <c r="H4130" i="77"/>
  <c r="G4130" i="77"/>
  <c r="I4129" i="77"/>
  <c r="H4129" i="77"/>
  <c r="G4129" i="77"/>
  <c r="I4128" i="77"/>
  <c r="H4128" i="77"/>
  <c r="G4128" i="77"/>
  <c r="I4127" i="77"/>
  <c r="H4127" i="77"/>
  <c r="G4127" i="77"/>
  <c r="I4126" i="77"/>
  <c r="H4126" i="77"/>
  <c r="G4126" i="77"/>
  <c r="I4125" i="77"/>
  <c r="H4125" i="77"/>
  <c r="G4125" i="77"/>
  <c r="I4124" i="77"/>
  <c r="H4124" i="77"/>
  <c r="G4124" i="77"/>
  <c r="I4123" i="77"/>
  <c r="H4123" i="77"/>
  <c r="G4123" i="77"/>
  <c r="I4122" i="77"/>
  <c r="H4122" i="77"/>
  <c r="G4122" i="77"/>
  <c r="I4121" i="77"/>
  <c r="H4121" i="77"/>
  <c r="G4121" i="77"/>
  <c r="I4120" i="77"/>
  <c r="H4120" i="77"/>
  <c r="G4120" i="77"/>
  <c r="I4119" i="77"/>
  <c r="H4119" i="77"/>
  <c r="G4119" i="77"/>
  <c r="I4118" i="77"/>
  <c r="H4118" i="77"/>
  <c r="G4118" i="77"/>
  <c r="I4117" i="77"/>
  <c r="H4117" i="77"/>
  <c r="G4117" i="77"/>
  <c r="I4116" i="77"/>
  <c r="H4116" i="77"/>
  <c r="G4116" i="77"/>
  <c r="I4115" i="77"/>
  <c r="H4115" i="77"/>
  <c r="G4115" i="77"/>
  <c r="I4114" i="77"/>
  <c r="H4114" i="77"/>
  <c r="G4114" i="77"/>
  <c r="I4113" i="77"/>
  <c r="H4113" i="77"/>
  <c r="G4113" i="77"/>
  <c r="I4112" i="77"/>
  <c r="H4112" i="77"/>
  <c r="G4112" i="77"/>
  <c r="I4111" i="77"/>
  <c r="H4111" i="77"/>
  <c r="G4111" i="77"/>
  <c r="I4110" i="77"/>
  <c r="H4110" i="77"/>
  <c r="G4110" i="77"/>
  <c r="I4109" i="77"/>
  <c r="H4109" i="77"/>
  <c r="G4109" i="77"/>
  <c r="I4108" i="77"/>
  <c r="H4108" i="77"/>
  <c r="G4108" i="77"/>
  <c r="I4107" i="77"/>
  <c r="H4107" i="77"/>
  <c r="G4107" i="77"/>
  <c r="I4106" i="77"/>
  <c r="H4106" i="77"/>
  <c r="G4106" i="77"/>
  <c r="I4105" i="77"/>
  <c r="H4105" i="77"/>
  <c r="G4105" i="77"/>
  <c r="I4104" i="77"/>
  <c r="H4104" i="77"/>
  <c r="G4104" i="77"/>
  <c r="I4103" i="77"/>
  <c r="H4103" i="77"/>
  <c r="G4103" i="77"/>
  <c r="I4102" i="77"/>
  <c r="H4102" i="77"/>
  <c r="G4102" i="77"/>
  <c r="I4101" i="77"/>
  <c r="H4101" i="77"/>
  <c r="G4101" i="77"/>
  <c r="I4100" i="77"/>
  <c r="H4100" i="77"/>
  <c r="G4100" i="77"/>
  <c r="I4099" i="77"/>
  <c r="H4099" i="77"/>
  <c r="G4099" i="77"/>
  <c r="I4098" i="77"/>
  <c r="H4098" i="77"/>
  <c r="G4098" i="77"/>
  <c r="I4097" i="77"/>
  <c r="H4097" i="77"/>
  <c r="G4097" i="77"/>
  <c r="I4096" i="77"/>
  <c r="H4096" i="77"/>
  <c r="G4096" i="77"/>
  <c r="I4095" i="77"/>
  <c r="H4095" i="77"/>
  <c r="G4095" i="77"/>
  <c r="I4094" i="77"/>
  <c r="H4094" i="77"/>
  <c r="G4094" i="77"/>
  <c r="I4093" i="77"/>
  <c r="H4093" i="77"/>
  <c r="G4093" i="77"/>
  <c r="I4092" i="77"/>
  <c r="H4092" i="77"/>
  <c r="G4092" i="77"/>
  <c r="I4091" i="77"/>
  <c r="H4091" i="77"/>
  <c r="G4091" i="77"/>
  <c r="I4090" i="77"/>
  <c r="H4090" i="77"/>
  <c r="G4090" i="77"/>
  <c r="I4089" i="77"/>
  <c r="H4089" i="77"/>
  <c r="G4089" i="77"/>
  <c r="I4088" i="77"/>
  <c r="H4088" i="77"/>
  <c r="G4088" i="77"/>
  <c r="I4087" i="77"/>
  <c r="H4087" i="77"/>
  <c r="G4087" i="77"/>
  <c r="I4086" i="77"/>
  <c r="H4086" i="77"/>
  <c r="G4086" i="77"/>
  <c r="I4085" i="77"/>
  <c r="H4085" i="77"/>
  <c r="G4085" i="77"/>
  <c r="I4084" i="77"/>
  <c r="H4084" i="77"/>
  <c r="G4084" i="77"/>
  <c r="I4083" i="77"/>
  <c r="H4083" i="77"/>
  <c r="G4083" i="77"/>
  <c r="I4082" i="77"/>
  <c r="H4082" i="77"/>
  <c r="G4082" i="77"/>
  <c r="I4081" i="77"/>
  <c r="H4081" i="77"/>
  <c r="G4081" i="77"/>
  <c r="I4080" i="77"/>
  <c r="H4080" i="77"/>
  <c r="G4080" i="77"/>
  <c r="I4079" i="77"/>
  <c r="H4079" i="77"/>
  <c r="G4079" i="77"/>
  <c r="I4078" i="77"/>
  <c r="H4078" i="77"/>
  <c r="G4078" i="77"/>
  <c r="I4077" i="77"/>
  <c r="H4077" i="77"/>
  <c r="G4077" i="77"/>
  <c r="I4076" i="77"/>
  <c r="H4076" i="77"/>
  <c r="G4076" i="77"/>
  <c r="I4075" i="77"/>
  <c r="H4075" i="77"/>
  <c r="G4075" i="77"/>
  <c r="I4074" i="77"/>
  <c r="H4074" i="77"/>
  <c r="G4074" i="77"/>
  <c r="I4073" i="77"/>
  <c r="H4073" i="77"/>
  <c r="G4073" i="77"/>
  <c r="I4072" i="77"/>
  <c r="H4072" i="77"/>
  <c r="G4072" i="77"/>
  <c r="I4071" i="77"/>
  <c r="H4071" i="77"/>
  <c r="G4071" i="77"/>
  <c r="I4070" i="77"/>
  <c r="H4070" i="77"/>
  <c r="G4070" i="77"/>
  <c r="I4069" i="77"/>
  <c r="H4069" i="77"/>
  <c r="G4069" i="77"/>
  <c r="I4068" i="77"/>
  <c r="H4068" i="77"/>
  <c r="G4068" i="77"/>
  <c r="I4067" i="77"/>
  <c r="H4067" i="77"/>
  <c r="G4067" i="77"/>
  <c r="I4066" i="77"/>
  <c r="H4066" i="77"/>
  <c r="G4066" i="77"/>
  <c r="I4065" i="77"/>
  <c r="H4065" i="77"/>
  <c r="G4065" i="77"/>
  <c r="I4064" i="77"/>
  <c r="H4064" i="77"/>
  <c r="G4064" i="77"/>
  <c r="I4063" i="77"/>
  <c r="H4063" i="77"/>
  <c r="G4063" i="77"/>
  <c r="I4062" i="77"/>
  <c r="H4062" i="77"/>
  <c r="G4062" i="77"/>
  <c r="I4061" i="77"/>
  <c r="H4061" i="77"/>
  <c r="G4061" i="77"/>
  <c r="I4060" i="77"/>
  <c r="H4060" i="77"/>
  <c r="G4060" i="77"/>
  <c r="I4059" i="77"/>
  <c r="H4059" i="77"/>
  <c r="G4059" i="77"/>
  <c r="I4058" i="77"/>
  <c r="H4058" i="77"/>
  <c r="G4058" i="77"/>
  <c r="I4057" i="77"/>
  <c r="H4057" i="77"/>
  <c r="G4057" i="77"/>
  <c r="I4056" i="77"/>
  <c r="H4056" i="77"/>
  <c r="G4056" i="77"/>
  <c r="I4055" i="77"/>
  <c r="H4055" i="77"/>
  <c r="G4055" i="77"/>
  <c r="I4054" i="77"/>
  <c r="H4054" i="77"/>
  <c r="G4054" i="77"/>
  <c r="I4053" i="77"/>
  <c r="H4053" i="77"/>
  <c r="G4053" i="77"/>
  <c r="I4052" i="77"/>
  <c r="H4052" i="77"/>
  <c r="G4052" i="77"/>
  <c r="I4051" i="77"/>
  <c r="H4051" i="77"/>
  <c r="G4051" i="77"/>
  <c r="I4050" i="77"/>
  <c r="H4050" i="77"/>
  <c r="G4050" i="77"/>
  <c r="I4049" i="77"/>
  <c r="H4049" i="77"/>
  <c r="G4049" i="77"/>
  <c r="I4048" i="77"/>
  <c r="H4048" i="77"/>
  <c r="G4048" i="77"/>
  <c r="I4047" i="77"/>
  <c r="H4047" i="77"/>
  <c r="G4047" i="77"/>
  <c r="I4046" i="77"/>
  <c r="H4046" i="77"/>
  <c r="G4046" i="77"/>
  <c r="I4045" i="77"/>
  <c r="H4045" i="77"/>
  <c r="G4045" i="77"/>
  <c r="I4044" i="77"/>
  <c r="H4044" i="77"/>
  <c r="G4044" i="77"/>
  <c r="I4043" i="77"/>
  <c r="H4043" i="77"/>
  <c r="G4043" i="77"/>
  <c r="I4042" i="77"/>
  <c r="H4042" i="77"/>
  <c r="G4042" i="77"/>
  <c r="I4041" i="77"/>
  <c r="H4041" i="77"/>
  <c r="G4041" i="77"/>
  <c r="I4040" i="77"/>
  <c r="H4040" i="77"/>
  <c r="G4040" i="77"/>
  <c r="I4039" i="77"/>
  <c r="H4039" i="77"/>
  <c r="G4039" i="77"/>
  <c r="I4038" i="77"/>
  <c r="H4038" i="77"/>
  <c r="G4038" i="77"/>
  <c r="I4037" i="77"/>
  <c r="H4037" i="77"/>
  <c r="G4037" i="77"/>
  <c r="I4036" i="77"/>
  <c r="H4036" i="77"/>
  <c r="G4036" i="77"/>
  <c r="I4035" i="77"/>
  <c r="H4035" i="77"/>
  <c r="G4035" i="77"/>
  <c r="I4034" i="77"/>
  <c r="H4034" i="77"/>
  <c r="G4034" i="77"/>
  <c r="I4033" i="77"/>
  <c r="H4033" i="77"/>
  <c r="G4033" i="77"/>
  <c r="I4032" i="77"/>
  <c r="H4032" i="77"/>
  <c r="G4032" i="77"/>
  <c r="I4031" i="77"/>
  <c r="H4031" i="77"/>
  <c r="G4031" i="77"/>
  <c r="I4030" i="77"/>
  <c r="H4030" i="77"/>
  <c r="G4030" i="77"/>
  <c r="I4029" i="77"/>
  <c r="H4029" i="77"/>
  <c r="G4029" i="77"/>
  <c r="I4028" i="77"/>
  <c r="H4028" i="77"/>
  <c r="G4028" i="77"/>
  <c r="I4027" i="77"/>
  <c r="H4027" i="77"/>
  <c r="G4027" i="77"/>
  <c r="I4026" i="77"/>
  <c r="H4026" i="77"/>
  <c r="G4026" i="77"/>
  <c r="I4025" i="77"/>
  <c r="H4025" i="77"/>
  <c r="G4025" i="77"/>
  <c r="I4024" i="77"/>
  <c r="H4024" i="77"/>
  <c r="G4024" i="77"/>
  <c r="I4023" i="77"/>
  <c r="H4023" i="77"/>
  <c r="G4023" i="77"/>
  <c r="I4022" i="77"/>
  <c r="H4022" i="77"/>
  <c r="G4022" i="77"/>
  <c r="I4021" i="77"/>
  <c r="H4021" i="77"/>
  <c r="G4021" i="77"/>
  <c r="I4020" i="77"/>
  <c r="H4020" i="77"/>
  <c r="G4020" i="77"/>
  <c r="I4019" i="77"/>
  <c r="H4019" i="77"/>
  <c r="G4019" i="77"/>
  <c r="I4018" i="77"/>
  <c r="H4018" i="77"/>
  <c r="G4018" i="77"/>
  <c r="I4017" i="77"/>
  <c r="H4017" i="77"/>
  <c r="G4017" i="77"/>
  <c r="I4016" i="77"/>
  <c r="H4016" i="77"/>
  <c r="G4016" i="77"/>
  <c r="I4015" i="77"/>
  <c r="H4015" i="77"/>
  <c r="G4015" i="77"/>
  <c r="I4014" i="77"/>
  <c r="H4014" i="77"/>
  <c r="G4014" i="77"/>
  <c r="I4013" i="77"/>
  <c r="H4013" i="77"/>
  <c r="G4013" i="77"/>
  <c r="I4012" i="77"/>
  <c r="H4012" i="77"/>
  <c r="G4012" i="77"/>
  <c r="I4011" i="77"/>
  <c r="H4011" i="77"/>
  <c r="G4011" i="77"/>
  <c r="I4010" i="77"/>
  <c r="H4010" i="77"/>
  <c r="G4010" i="77"/>
  <c r="I4009" i="77"/>
  <c r="H4009" i="77"/>
  <c r="G4009" i="77"/>
  <c r="I4008" i="77"/>
  <c r="H4008" i="77"/>
  <c r="G4008" i="77"/>
  <c r="I4007" i="77"/>
  <c r="H4007" i="77"/>
  <c r="G4007" i="77"/>
  <c r="I4006" i="77"/>
  <c r="H4006" i="77"/>
  <c r="G4006" i="77"/>
  <c r="I4005" i="77"/>
  <c r="H4005" i="77"/>
  <c r="G4005" i="77"/>
  <c r="I4004" i="77"/>
  <c r="H4004" i="77"/>
  <c r="G4004" i="77"/>
  <c r="I4003" i="77"/>
  <c r="H4003" i="77"/>
  <c r="G4003" i="77"/>
  <c r="I4002" i="77"/>
  <c r="H4002" i="77"/>
  <c r="G4002" i="77"/>
  <c r="I4001" i="77"/>
  <c r="H4001" i="77"/>
  <c r="G4001" i="77"/>
  <c r="I4000" i="77"/>
  <c r="H4000" i="77"/>
  <c r="G4000" i="77"/>
  <c r="I3999" i="77"/>
  <c r="H3999" i="77"/>
  <c r="G3999" i="77"/>
  <c r="I3998" i="77"/>
  <c r="H3998" i="77"/>
  <c r="G3998" i="77"/>
  <c r="I3997" i="77"/>
  <c r="H3997" i="77"/>
  <c r="G3997" i="77"/>
  <c r="I3996" i="77"/>
  <c r="H3996" i="77"/>
  <c r="G3996" i="77"/>
  <c r="I3995" i="77"/>
  <c r="H3995" i="77"/>
  <c r="G3995" i="77"/>
  <c r="I3994" i="77"/>
  <c r="H3994" i="77"/>
  <c r="G3994" i="77"/>
  <c r="I3993" i="77"/>
  <c r="H3993" i="77"/>
  <c r="G3993" i="77"/>
  <c r="I3992" i="77"/>
  <c r="H3992" i="77"/>
  <c r="G3992" i="77"/>
  <c r="I3991" i="77"/>
  <c r="H3991" i="77"/>
  <c r="G3991" i="77"/>
  <c r="I3990" i="77"/>
  <c r="H3990" i="77"/>
  <c r="G3990" i="77"/>
  <c r="I3989" i="77"/>
  <c r="H3989" i="77"/>
  <c r="G3989" i="77"/>
  <c r="I3988" i="77"/>
  <c r="H3988" i="77"/>
  <c r="G3988" i="77"/>
  <c r="I3987" i="77"/>
  <c r="H3987" i="77"/>
  <c r="G3987" i="77"/>
  <c r="I3986" i="77"/>
  <c r="H3986" i="77"/>
  <c r="G3986" i="77"/>
  <c r="I3985" i="77"/>
  <c r="H3985" i="77"/>
  <c r="G3985" i="77"/>
  <c r="I3984" i="77"/>
  <c r="H3984" i="77"/>
  <c r="G3984" i="77"/>
  <c r="I3983" i="77"/>
  <c r="H3983" i="77"/>
  <c r="G3983" i="77"/>
  <c r="I3982" i="77"/>
  <c r="H3982" i="77"/>
  <c r="G3982" i="77"/>
  <c r="I3981" i="77"/>
  <c r="H3981" i="77"/>
  <c r="G3981" i="77"/>
  <c r="I3980" i="77"/>
  <c r="H3980" i="77"/>
  <c r="G3980" i="77"/>
  <c r="I3979" i="77"/>
  <c r="H3979" i="77"/>
  <c r="G3979" i="77"/>
  <c r="I3978" i="77"/>
  <c r="H3978" i="77"/>
  <c r="G3978" i="77"/>
  <c r="I3977" i="77"/>
  <c r="H3977" i="77"/>
  <c r="G3977" i="77"/>
  <c r="I3976" i="77"/>
  <c r="H3976" i="77"/>
  <c r="G3976" i="77"/>
  <c r="I3975" i="77"/>
  <c r="H3975" i="77"/>
  <c r="G3975" i="77"/>
  <c r="I3974" i="77"/>
  <c r="H3974" i="77"/>
  <c r="G3974" i="77"/>
  <c r="I3973" i="77"/>
  <c r="H3973" i="77"/>
  <c r="G3973" i="77"/>
  <c r="I3972" i="77"/>
  <c r="H3972" i="77"/>
  <c r="G3972" i="77"/>
  <c r="I3971" i="77"/>
  <c r="H3971" i="77"/>
  <c r="G3971" i="77"/>
  <c r="I3970" i="77"/>
  <c r="H3970" i="77"/>
  <c r="G3970" i="77"/>
  <c r="I3969" i="77"/>
  <c r="H3969" i="77"/>
  <c r="G3969" i="77"/>
  <c r="I3968" i="77"/>
  <c r="H3968" i="77"/>
  <c r="G3968" i="77"/>
  <c r="I3967" i="77"/>
  <c r="H3967" i="77"/>
  <c r="G3967" i="77"/>
  <c r="I3966" i="77"/>
  <c r="H3966" i="77"/>
  <c r="G3966" i="77"/>
  <c r="I3965" i="77"/>
  <c r="H3965" i="77"/>
  <c r="G3965" i="77"/>
  <c r="I3964" i="77"/>
  <c r="H3964" i="77"/>
  <c r="G3964" i="77"/>
  <c r="I3963" i="77"/>
  <c r="H3963" i="77"/>
  <c r="G3963" i="77"/>
  <c r="I3962" i="77"/>
  <c r="H3962" i="77"/>
  <c r="G3962" i="77"/>
  <c r="I3961" i="77"/>
  <c r="H3961" i="77"/>
  <c r="G3961" i="77"/>
  <c r="I3960" i="77"/>
  <c r="H3960" i="77"/>
  <c r="G3960" i="77"/>
  <c r="I3959" i="77"/>
  <c r="H3959" i="77"/>
  <c r="G3959" i="77"/>
  <c r="I3958" i="77"/>
  <c r="H3958" i="77"/>
  <c r="G3958" i="77"/>
  <c r="I3957" i="77"/>
  <c r="H3957" i="77"/>
  <c r="G3957" i="77"/>
  <c r="I3956" i="77"/>
  <c r="H3956" i="77"/>
  <c r="G3956" i="77"/>
  <c r="I3955" i="77"/>
  <c r="H3955" i="77"/>
  <c r="G3955" i="77"/>
  <c r="I3954" i="77"/>
  <c r="H3954" i="77"/>
  <c r="G3954" i="77"/>
  <c r="I3953" i="77"/>
  <c r="H3953" i="77"/>
  <c r="G3953" i="77"/>
  <c r="I3952" i="77"/>
  <c r="H3952" i="77"/>
  <c r="G3952" i="77"/>
  <c r="I3951" i="77"/>
  <c r="H3951" i="77"/>
  <c r="G3951" i="77"/>
  <c r="I3950" i="77"/>
  <c r="H3950" i="77"/>
  <c r="G3950" i="77"/>
  <c r="I3949" i="77"/>
  <c r="H3949" i="77"/>
  <c r="G3949" i="77"/>
  <c r="I3948" i="77"/>
  <c r="H3948" i="77"/>
  <c r="G3948" i="77"/>
  <c r="I3947" i="77"/>
  <c r="H3947" i="77"/>
  <c r="G3947" i="77"/>
  <c r="I3946" i="77"/>
  <c r="H3946" i="77"/>
  <c r="G3946" i="77"/>
  <c r="I3945" i="77"/>
  <c r="H3945" i="77"/>
  <c r="G3945" i="77"/>
  <c r="I3944" i="77"/>
  <c r="H3944" i="77"/>
  <c r="G3944" i="77"/>
  <c r="I3943" i="77"/>
  <c r="H3943" i="77"/>
  <c r="G3943" i="77"/>
  <c r="I3942" i="77"/>
  <c r="H3942" i="77"/>
  <c r="G3942" i="77"/>
  <c r="I3941" i="77"/>
  <c r="H3941" i="77"/>
  <c r="G3941" i="77"/>
  <c r="I3940" i="77"/>
  <c r="H3940" i="77"/>
  <c r="G3940" i="77"/>
  <c r="I3939" i="77"/>
  <c r="H3939" i="77"/>
  <c r="G3939" i="77"/>
  <c r="I3938" i="77"/>
  <c r="H3938" i="77"/>
  <c r="G3938" i="77"/>
  <c r="I3937" i="77"/>
  <c r="H3937" i="77"/>
  <c r="G3937" i="77"/>
  <c r="I3936" i="77"/>
  <c r="H3936" i="77"/>
  <c r="G3936" i="77"/>
  <c r="I3935" i="77"/>
  <c r="H3935" i="77"/>
  <c r="G3935" i="77"/>
  <c r="I3934" i="77"/>
  <c r="H3934" i="77"/>
  <c r="G3934" i="77"/>
  <c r="I3933" i="77"/>
  <c r="H3933" i="77"/>
  <c r="G3933" i="77"/>
  <c r="I3932" i="77"/>
  <c r="H3932" i="77"/>
  <c r="G3932" i="77"/>
  <c r="I3931" i="77"/>
  <c r="H3931" i="77"/>
  <c r="G3931" i="77"/>
  <c r="I3930" i="77"/>
  <c r="H3930" i="77"/>
  <c r="G3930" i="77"/>
  <c r="I3929" i="77"/>
  <c r="H3929" i="77"/>
  <c r="G3929" i="77"/>
  <c r="I3928" i="77"/>
  <c r="H3928" i="77"/>
  <c r="G3928" i="77"/>
  <c r="I3927" i="77"/>
  <c r="H3927" i="77"/>
  <c r="G3927" i="77"/>
  <c r="I3926" i="77"/>
  <c r="H3926" i="77"/>
  <c r="G3926" i="77"/>
  <c r="I3925" i="77"/>
  <c r="H3925" i="77"/>
  <c r="G3925" i="77"/>
  <c r="I3924" i="77"/>
  <c r="H3924" i="77"/>
  <c r="G3924" i="77"/>
  <c r="I3923" i="77"/>
  <c r="H3923" i="77"/>
  <c r="G3923" i="77"/>
  <c r="I3922" i="77"/>
  <c r="H3922" i="77"/>
  <c r="G3922" i="77"/>
  <c r="I3921" i="77"/>
  <c r="H3921" i="77"/>
  <c r="G3921" i="77"/>
  <c r="I3920" i="77"/>
  <c r="H3920" i="77"/>
  <c r="G3920" i="77"/>
  <c r="I3919" i="77"/>
  <c r="H3919" i="77"/>
  <c r="G3919" i="77"/>
  <c r="I3918" i="77"/>
  <c r="H3918" i="77"/>
  <c r="G3918" i="77"/>
  <c r="I3917" i="77"/>
  <c r="H3917" i="77"/>
  <c r="G3917" i="77"/>
  <c r="I3916" i="77"/>
  <c r="H3916" i="77"/>
  <c r="G3916" i="77"/>
  <c r="I3915" i="77"/>
  <c r="H3915" i="77"/>
  <c r="G3915" i="77"/>
  <c r="I3914" i="77"/>
  <c r="H3914" i="77"/>
  <c r="G3914" i="77"/>
  <c r="I3913" i="77"/>
  <c r="H3913" i="77"/>
  <c r="G3913" i="77"/>
  <c r="I3912" i="77"/>
  <c r="H3912" i="77"/>
  <c r="G3912" i="77"/>
  <c r="I3911" i="77"/>
  <c r="H3911" i="77"/>
  <c r="G3911" i="77"/>
  <c r="I3910" i="77"/>
  <c r="H3910" i="77"/>
  <c r="G3910" i="77"/>
  <c r="I3909" i="77"/>
  <c r="H3909" i="77"/>
  <c r="G3909" i="77"/>
  <c r="I3908" i="77"/>
  <c r="H3908" i="77"/>
  <c r="G3908" i="77"/>
  <c r="I3907" i="77"/>
  <c r="H3907" i="77"/>
  <c r="G3907" i="77"/>
  <c r="I3906" i="77"/>
  <c r="H3906" i="77"/>
  <c r="G3906" i="77"/>
  <c r="I3905" i="77"/>
  <c r="H3905" i="77"/>
  <c r="G3905" i="77"/>
  <c r="I3904" i="77"/>
  <c r="H3904" i="77"/>
  <c r="G3904" i="77"/>
  <c r="I3903" i="77"/>
  <c r="H3903" i="77"/>
  <c r="G3903" i="77"/>
  <c r="I3902" i="77"/>
  <c r="H3902" i="77"/>
  <c r="G3902" i="77"/>
  <c r="I3901" i="77"/>
  <c r="H3901" i="77"/>
  <c r="G3901" i="77"/>
  <c r="I3900" i="77"/>
  <c r="H3900" i="77"/>
  <c r="G3900" i="77"/>
  <c r="I3899" i="77"/>
  <c r="H3899" i="77"/>
  <c r="G3899" i="77"/>
  <c r="I3898" i="77"/>
  <c r="H3898" i="77"/>
  <c r="G3898" i="77"/>
  <c r="I3897" i="77"/>
  <c r="H3897" i="77"/>
  <c r="G3897" i="77"/>
  <c r="I3896" i="77"/>
  <c r="H3896" i="77"/>
  <c r="G3896" i="77"/>
  <c r="I3895" i="77"/>
  <c r="H3895" i="77"/>
  <c r="G3895" i="77"/>
  <c r="I3894" i="77"/>
  <c r="H3894" i="77"/>
  <c r="G3894" i="77"/>
  <c r="I3893" i="77"/>
  <c r="H3893" i="77"/>
  <c r="G3893" i="77"/>
  <c r="I3892" i="77"/>
  <c r="H3892" i="77"/>
  <c r="G3892" i="77"/>
  <c r="I3891" i="77"/>
  <c r="H3891" i="77"/>
  <c r="G3891" i="77"/>
  <c r="I3890" i="77"/>
  <c r="H3890" i="77"/>
  <c r="G3890" i="77"/>
  <c r="I3889" i="77"/>
  <c r="H3889" i="77"/>
  <c r="G3889" i="77"/>
  <c r="I3888" i="77"/>
  <c r="H3888" i="77"/>
  <c r="G3888" i="77"/>
  <c r="I3887" i="77"/>
  <c r="H3887" i="77"/>
  <c r="G3887" i="77"/>
  <c r="I3886" i="77"/>
  <c r="H3886" i="77"/>
  <c r="G3886" i="77"/>
  <c r="I3885" i="77"/>
  <c r="H3885" i="77"/>
  <c r="G3885" i="77"/>
  <c r="I3884" i="77"/>
  <c r="H3884" i="77"/>
  <c r="G3884" i="77"/>
  <c r="I3883" i="77"/>
  <c r="H3883" i="77"/>
  <c r="G3883" i="77"/>
  <c r="I3882" i="77"/>
  <c r="H3882" i="77"/>
  <c r="G3882" i="77"/>
  <c r="I3881" i="77"/>
  <c r="H3881" i="77"/>
  <c r="G3881" i="77"/>
  <c r="I3880" i="77"/>
  <c r="H3880" i="77"/>
  <c r="G3880" i="77"/>
  <c r="I3879" i="77"/>
  <c r="H3879" i="77"/>
  <c r="G3879" i="77"/>
  <c r="I3878" i="77"/>
  <c r="H3878" i="77"/>
  <c r="G3878" i="77"/>
  <c r="I3877" i="77"/>
  <c r="H3877" i="77"/>
  <c r="G3877" i="77"/>
  <c r="I3876" i="77"/>
  <c r="H3876" i="77"/>
  <c r="G3876" i="77"/>
  <c r="I3875" i="77"/>
  <c r="H3875" i="77"/>
  <c r="G3875" i="77"/>
  <c r="I3874" i="77"/>
  <c r="H3874" i="77"/>
  <c r="G3874" i="77"/>
  <c r="I3873" i="77"/>
  <c r="H3873" i="77"/>
  <c r="G3873" i="77"/>
  <c r="I3872" i="77"/>
  <c r="H3872" i="77"/>
  <c r="G3872" i="77"/>
  <c r="I3871" i="77"/>
  <c r="H3871" i="77"/>
  <c r="G3871" i="77"/>
  <c r="I3870" i="77"/>
  <c r="H3870" i="77"/>
  <c r="G3870" i="77"/>
  <c r="I3869" i="77"/>
  <c r="H3869" i="77"/>
  <c r="G3869" i="77"/>
  <c r="I3868" i="77"/>
  <c r="H3868" i="77"/>
  <c r="G3868" i="77"/>
  <c r="I3867" i="77"/>
  <c r="H3867" i="77"/>
  <c r="G3867" i="77"/>
  <c r="I3866" i="77"/>
  <c r="H3866" i="77"/>
  <c r="G3866" i="77"/>
  <c r="I3865" i="77"/>
  <c r="H3865" i="77"/>
  <c r="G3865" i="77"/>
  <c r="I3864" i="77"/>
  <c r="H3864" i="77"/>
  <c r="G3864" i="77"/>
  <c r="I3863" i="77"/>
  <c r="H3863" i="77"/>
  <c r="G3863" i="77"/>
  <c r="I3862" i="77"/>
  <c r="H3862" i="77"/>
  <c r="G3862" i="77"/>
  <c r="I3861" i="77"/>
  <c r="H3861" i="77"/>
  <c r="G3861" i="77"/>
  <c r="I3860" i="77"/>
  <c r="H3860" i="77"/>
  <c r="G3860" i="77"/>
  <c r="I3859" i="77"/>
  <c r="H3859" i="77"/>
  <c r="G3859" i="77"/>
  <c r="I3858" i="77"/>
  <c r="H3858" i="77"/>
  <c r="G3858" i="77"/>
  <c r="I3857" i="77"/>
  <c r="H3857" i="77"/>
  <c r="G3857" i="77"/>
  <c r="I3856" i="77"/>
  <c r="H3856" i="77"/>
  <c r="G3856" i="77"/>
  <c r="I3855" i="77"/>
  <c r="H3855" i="77"/>
  <c r="G3855" i="77"/>
  <c r="I3854" i="77"/>
  <c r="H3854" i="77"/>
  <c r="G3854" i="77"/>
  <c r="I3853" i="77"/>
  <c r="H3853" i="77"/>
  <c r="G3853" i="77"/>
  <c r="I3852" i="77"/>
  <c r="H3852" i="77"/>
  <c r="G3852" i="77"/>
  <c r="I3851" i="77"/>
  <c r="H3851" i="77"/>
  <c r="G3851" i="77"/>
  <c r="I3850" i="77"/>
  <c r="H3850" i="77"/>
  <c r="G3850" i="77"/>
  <c r="I3849" i="77"/>
  <c r="H3849" i="77"/>
  <c r="G3849" i="77"/>
  <c r="I3848" i="77"/>
  <c r="H3848" i="77"/>
  <c r="G3848" i="77"/>
  <c r="I3847" i="77"/>
  <c r="H3847" i="77"/>
  <c r="G3847" i="77"/>
  <c r="I3846" i="77"/>
  <c r="H3846" i="77"/>
  <c r="G3846" i="77"/>
  <c r="I3845" i="77"/>
  <c r="H3845" i="77"/>
  <c r="G3845" i="77"/>
  <c r="I3844" i="77"/>
  <c r="H3844" i="77"/>
  <c r="G3844" i="77"/>
  <c r="I3843" i="77"/>
  <c r="H3843" i="77"/>
  <c r="G3843" i="77"/>
  <c r="I3842" i="77"/>
  <c r="H3842" i="77"/>
  <c r="G3842" i="77"/>
  <c r="I3841" i="77"/>
  <c r="H3841" i="77"/>
  <c r="G3841" i="77"/>
  <c r="I3840" i="77"/>
  <c r="H3840" i="77"/>
  <c r="G3840" i="77"/>
  <c r="I3839" i="77"/>
  <c r="H3839" i="77"/>
  <c r="G3839" i="77"/>
  <c r="I3838" i="77"/>
  <c r="H3838" i="77"/>
  <c r="G3838" i="77"/>
  <c r="I3837" i="77"/>
  <c r="H3837" i="77"/>
  <c r="G3837" i="77"/>
  <c r="I3836" i="77"/>
  <c r="H3836" i="77"/>
  <c r="G3836" i="77"/>
  <c r="I3835" i="77"/>
  <c r="H3835" i="77"/>
  <c r="G3835" i="77"/>
  <c r="I3834" i="77"/>
  <c r="H3834" i="77"/>
  <c r="G3834" i="77"/>
  <c r="I3833" i="77"/>
  <c r="H3833" i="77"/>
  <c r="G3833" i="77"/>
  <c r="I3832" i="77"/>
  <c r="H3832" i="77"/>
  <c r="G3832" i="77"/>
  <c r="I3831" i="77"/>
  <c r="H3831" i="77"/>
  <c r="G3831" i="77"/>
  <c r="I3830" i="77"/>
  <c r="H3830" i="77"/>
  <c r="G3830" i="77"/>
  <c r="I3829" i="77"/>
  <c r="H3829" i="77"/>
  <c r="G3829" i="77"/>
  <c r="I3828" i="77"/>
  <c r="H3828" i="77"/>
  <c r="G3828" i="77"/>
  <c r="I3827" i="77"/>
  <c r="H3827" i="77"/>
  <c r="G3827" i="77"/>
  <c r="I3826" i="77"/>
  <c r="H3826" i="77"/>
  <c r="G3826" i="77"/>
  <c r="I3825" i="77"/>
  <c r="H3825" i="77"/>
  <c r="G3825" i="77"/>
  <c r="I3824" i="77"/>
  <c r="H3824" i="77"/>
  <c r="G3824" i="77"/>
  <c r="I3823" i="77"/>
  <c r="H3823" i="77"/>
  <c r="G3823" i="77"/>
  <c r="I3822" i="77"/>
  <c r="H3822" i="77"/>
  <c r="G3822" i="77"/>
  <c r="I3821" i="77"/>
  <c r="H3821" i="77"/>
  <c r="G3821" i="77"/>
  <c r="I3820" i="77"/>
  <c r="H3820" i="77"/>
  <c r="G3820" i="77"/>
  <c r="I3819" i="77"/>
  <c r="H3819" i="77"/>
  <c r="G3819" i="77"/>
  <c r="I3818" i="77"/>
  <c r="H3818" i="77"/>
  <c r="G3818" i="77"/>
  <c r="I3817" i="77"/>
  <c r="H3817" i="77"/>
  <c r="G3817" i="77"/>
  <c r="I3816" i="77"/>
  <c r="H3816" i="77"/>
  <c r="G3816" i="77"/>
  <c r="I3815" i="77"/>
  <c r="H3815" i="77"/>
  <c r="G3815" i="77"/>
  <c r="I3814" i="77"/>
  <c r="H3814" i="77"/>
  <c r="G3814" i="77"/>
  <c r="I3813" i="77"/>
  <c r="H3813" i="77"/>
  <c r="G3813" i="77"/>
  <c r="I3812" i="77"/>
  <c r="H3812" i="77"/>
  <c r="G3812" i="77"/>
  <c r="I3811" i="77"/>
  <c r="H3811" i="77"/>
  <c r="G3811" i="77"/>
  <c r="I3810" i="77"/>
  <c r="H3810" i="77"/>
  <c r="G3810" i="77"/>
  <c r="I3809" i="77"/>
  <c r="H3809" i="77"/>
  <c r="G3809" i="77"/>
  <c r="I3808" i="77"/>
  <c r="H3808" i="77"/>
  <c r="G3808" i="77"/>
  <c r="I3807" i="77"/>
  <c r="H3807" i="77"/>
  <c r="G3807" i="77"/>
  <c r="I3806" i="77"/>
  <c r="H3806" i="77"/>
  <c r="G3806" i="77"/>
  <c r="I3805" i="77"/>
  <c r="H3805" i="77"/>
  <c r="G3805" i="77"/>
  <c r="I3804" i="77"/>
  <c r="H3804" i="77"/>
  <c r="G3804" i="77"/>
  <c r="I3803" i="77"/>
  <c r="H3803" i="77"/>
  <c r="G3803" i="77"/>
  <c r="I3802" i="77"/>
  <c r="H3802" i="77"/>
  <c r="G3802" i="77"/>
  <c r="I3801" i="77"/>
  <c r="H3801" i="77"/>
  <c r="G3801" i="77"/>
  <c r="I3800" i="77"/>
  <c r="H3800" i="77"/>
  <c r="G3800" i="77"/>
  <c r="I3799" i="77"/>
  <c r="H3799" i="77"/>
  <c r="G3799" i="77"/>
  <c r="I3798" i="77"/>
  <c r="H3798" i="77"/>
  <c r="G3798" i="77"/>
  <c r="I3797" i="77"/>
  <c r="H3797" i="77"/>
  <c r="G3797" i="77"/>
  <c r="I3796" i="77"/>
  <c r="H3796" i="77"/>
  <c r="G3796" i="77"/>
  <c r="I3795" i="77"/>
  <c r="H3795" i="77"/>
  <c r="G3795" i="77"/>
  <c r="I3794" i="77"/>
  <c r="H3794" i="77"/>
  <c r="G3794" i="77"/>
  <c r="I3793" i="77"/>
  <c r="H3793" i="77"/>
  <c r="G3793" i="77"/>
  <c r="I3792" i="77"/>
  <c r="H3792" i="77"/>
  <c r="G3792" i="77"/>
  <c r="I3791" i="77"/>
  <c r="H3791" i="77"/>
  <c r="G3791" i="77"/>
  <c r="I3790" i="77"/>
  <c r="H3790" i="77"/>
  <c r="G3790" i="77"/>
  <c r="I3789" i="77"/>
  <c r="H3789" i="77"/>
  <c r="G3789" i="77"/>
  <c r="I3788" i="77"/>
  <c r="H3788" i="77"/>
  <c r="G3788" i="77"/>
  <c r="I3787" i="77"/>
  <c r="H3787" i="77"/>
  <c r="G3787" i="77"/>
  <c r="I3786" i="77"/>
  <c r="H3786" i="77"/>
  <c r="G3786" i="77"/>
  <c r="I3785" i="77"/>
  <c r="H3785" i="77"/>
  <c r="G3785" i="77"/>
  <c r="I3784" i="77"/>
  <c r="H3784" i="77"/>
  <c r="G3784" i="77"/>
  <c r="I3783" i="77"/>
  <c r="H3783" i="77"/>
  <c r="G3783" i="77"/>
  <c r="I3782" i="77"/>
  <c r="H3782" i="77"/>
  <c r="G3782" i="77"/>
  <c r="I3781" i="77"/>
  <c r="H3781" i="77"/>
  <c r="G3781" i="77"/>
  <c r="I3780" i="77"/>
  <c r="H3780" i="77"/>
  <c r="G3780" i="77"/>
  <c r="I3779" i="77"/>
  <c r="H3779" i="77"/>
  <c r="G3779" i="77"/>
  <c r="I3778" i="77"/>
  <c r="H3778" i="77"/>
  <c r="G3778" i="77"/>
  <c r="I3777" i="77"/>
  <c r="H3777" i="77"/>
  <c r="G3777" i="77"/>
  <c r="I3776" i="77"/>
  <c r="H3776" i="77"/>
  <c r="G3776" i="77"/>
  <c r="I3775" i="77"/>
  <c r="H3775" i="77"/>
  <c r="G3775" i="77"/>
  <c r="I3774" i="77"/>
  <c r="H3774" i="77"/>
  <c r="G3774" i="77"/>
  <c r="I3773" i="77"/>
  <c r="H3773" i="77"/>
  <c r="G3773" i="77"/>
  <c r="I3772" i="77"/>
  <c r="H3772" i="77"/>
  <c r="G3772" i="77"/>
  <c r="I3771" i="77"/>
  <c r="H3771" i="77"/>
  <c r="G3771" i="77"/>
  <c r="I3770" i="77"/>
  <c r="H3770" i="77"/>
  <c r="G3770" i="77"/>
  <c r="I3769" i="77"/>
  <c r="H3769" i="77"/>
  <c r="G3769" i="77"/>
  <c r="I3768" i="77"/>
  <c r="H3768" i="77"/>
  <c r="G3768" i="77"/>
  <c r="I3767" i="77"/>
  <c r="H3767" i="77"/>
  <c r="G3767" i="77"/>
  <c r="I3766" i="77"/>
  <c r="H3766" i="77"/>
  <c r="G3766" i="77"/>
  <c r="I3765" i="77"/>
  <c r="H3765" i="77"/>
  <c r="G3765" i="77"/>
  <c r="I3764" i="77"/>
  <c r="H3764" i="77"/>
  <c r="G3764" i="77"/>
  <c r="I3763" i="77"/>
  <c r="H3763" i="77"/>
  <c r="G3763" i="77"/>
  <c r="I3762" i="77"/>
  <c r="H3762" i="77"/>
  <c r="G3762" i="77"/>
  <c r="I3761" i="77"/>
  <c r="H3761" i="77"/>
  <c r="G3761" i="77"/>
  <c r="I3760" i="77"/>
  <c r="H3760" i="77"/>
  <c r="G3760" i="77"/>
  <c r="I3759" i="77"/>
  <c r="H3759" i="77"/>
  <c r="G3759" i="77"/>
  <c r="I3758" i="77"/>
  <c r="H3758" i="77"/>
  <c r="G3758" i="77"/>
  <c r="I3757" i="77"/>
  <c r="H3757" i="77"/>
  <c r="G3757" i="77"/>
  <c r="I3756" i="77"/>
  <c r="H3756" i="77"/>
  <c r="G3756" i="77"/>
  <c r="I3755" i="77"/>
  <c r="H3755" i="77"/>
  <c r="G3755" i="77"/>
  <c r="I3754" i="77"/>
  <c r="H3754" i="77"/>
  <c r="G3754" i="77"/>
  <c r="I3753" i="77"/>
  <c r="H3753" i="77"/>
  <c r="G3753" i="77"/>
  <c r="I3752" i="77"/>
  <c r="H3752" i="77"/>
  <c r="G3752" i="77"/>
  <c r="I3751" i="77"/>
  <c r="H3751" i="77"/>
  <c r="G3751" i="77"/>
  <c r="I3750" i="77"/>
  <c r="H3750" i="77"/>
  <c r="G3750" i="77"/>
  <c r="I3749" i="77"/>
  <c r="H3749" i="77"/>
  <c r="G3749" i="77"/>
  <c r="I3748" i="77"/>
  <c r="H3748" i="77"/>
  <c r="G3748" i="77"/>
  <c r="I3747" i="77"/>
  <c r="H3747" i="77"/>
  <c r="G3747" i="77"/>
  <c r="I3746" i="77"/>
  <c r="H3746" i="77"/>
  <c r="G3746" i="77"/>
  <c r="I3745" i="77"/>
  <c r="H3745" i="77"/>
  <c r="G3745" i="77"/>
  <c r="I3744" i="77"/>
  <c r="H3744" i="77"/>
  <c r="G3744" i="77"/>
  <c r="I3743" i="77"/>
  <c r="H3743" i="77"/>
  <c r="G3743" i="77"/>
  <c r="I3742" i="77"/>
  <c r="H3742" i="77"/>
  <c r="G3742" i="77"/>
  <c r="I3741" i="77"/>
  <c r="H3741" i="77"/>
  <c r="G3741" i="77"/>
  <c r="I3740" i="77"/>
  <c r="H3740" i="77"/>
  <c r="G3740" i="77"/>
  <c r="I3739" i="77"/>
  <c r="H3739" i="77"/>
  <c r="G3739" i="77"/>
  <c r="I3738" i="77"/>
  <c r="H3738" i="77"/>
  <c r="G3738" i="77"/>
  <c r="I3737" i="77"/>
  <c r="H3737" i="77"/>
  <c r="G3737" i="77"/>
  <c r="I3736" i="77"/>
  <c r="H3736" i="77"/>
  <c r="G3736" i="77"/>
  <c r="I3735" i="77"/>
  <c r="H3735" i="77"/>
  <c r="G3735" i="77"/>
  <c r="I3734" i="77"/>
  <c r="H3734" i="77"/>
  <c r="G3734" i="77"/>
  <c r="I3733" i="77"/>
  <c r="H3733" i="77"/>
  <c r="G3733" i="77"/>
  <c r="I3732" i="77"/>
  <c r="H3732" i="77"/>
  <c r="G3732" i="77"/>
  <c r="I3731" i="77"/>
  <c r="H3731" i="77"/>
  <c r="G3731" i="77"/>
  <c r="I3730" i="77"/>
  <c r="H3730" i="77"/>
  <c r="G3730" i="77"/>
  <c r="I3729" i="77"/>
  <c r="H3729" i="77"/>
  <c r="G3729" i="77"/>
  <c r="I3728" i="77"/>
  <c r="H3728" i="77"/>
  <c r="G3728" i="77"/>
  <c r="I3727" i="77"/>
  <c r="H3727" i="77"/>
  <c r="G3727" i="77"/>
  <c r="I3726" i="77"/>
  <c r="H3726" i="77"/>
  <c r="G3726" i="77"/>
  <c r="I3725" i="77"/>
  <c r="H3725" i="77"/>
  <c r="G3725" i="77"/>
  <c r="I3724" i="77"/>
  <c r="H3724" i="77"/>
  <c r="G3724" i="77"/>
  <c r="I3723" i="77"/>
  <c r="H3723" i="77"/>
  <c r="G3723" i="77"/>
  <c r="I3722" i="77"/>
  <c r="H3722" i="77"/>
  <c r="G3722" i="77"/>
  <c r="I3721" i="77"/>
  <c r="H3721" i="77"/>
  <c r="G3721" i="77"/>
  <c r="I3720" i="77"/>
  <c r="H3720" i="77"/>
  <c r="G3720" i="77"/>
  <c r="I3719" i="77"/>
  <c r="H3719" i="77"/>
  <c r="G3719" i="77"/>
  <c r="I3718" i="77"/>
  <c r="H3718" i="77"/>
  <c r="G3718" i="77"/>
  <c r="I3717" i="77"/>
  <c r="H3717" i="77"/>
  <c r="G3717" i="77"/>
  <c r="I3716" i="77"/>
  <c r="H3716" i="77"/>
  <c r="G3716" i="77"/>
  <c r="I3715" i="77"/>
  <c r="H3715" i="77"/>
  <c r="G3715" i="77"/>
  <c r="I3714" i="77"/>
  <c r="H3714" i="77"/>
  <c r="G3714" i="77"/>
  <c r="I3713" i="77"/>
  <c r="H3713" i="77"/>
  <c r="G3713" i="77"/>
  <c r="I3712" i="77"/>
  <c r="H3712" i="77"/>
  <c r="G3712" i="77"/>
  <c r="I3711" i="77"/>
  <c r="H3711" i="77"/>
  <c r="G3711" i="77"/>
  <c r="I3710" i="77"/>
  <c r="H3710" i="77"/>
  <c r="G3710" i="77"/>
  <c r="I3709" i="77"/>
  <c r="H3709" i="77"/>
  <c r="G3709" i="77"/>
  <c r="I3708" i="77"/>
  <c r="H3708" i="77"/>
  <c r="G3708" i="77"/>
  <c r="I3707" i="77"/>
  <c r="H3707" i="77"/>
  <c r="G3707" i="77"/>
  <c r="I3706" i="77"/>
  <c r="H3706" i="77"/>
  <c r="G3706" i="77"/>
  <c r="I3705" i="77"/>
  <c r="H3705" i="77"/>
  <c r="G3705" i="77"/>
  <c r="I3704" i="77"/>
  <c r="H3704" i="77"/>
  <c r="G3704" i="77"/>
  <c r="I3703" i="77"/>
  <c r="H3703" i="77"/>
  <c r="G3703" i="77"/>
  <c r="I3702" i="77"/>
  <c r="H3702" i="77"/>
  <c r="G3702" i="77"/>
  <c r="I3701" i="77"/>
  <c r="H3701" i="77"/>
  <c r="G3701" i="77"/>
  <c r="I3700" i="77"/>
  <c r="H3700" i="77"/>
  <c r="G3700" i="77"/>
  <c r="I3699" i="77"/>
  <c r="H3699" i="77"/>
  <c r="G3699" i="77"/>
  <c r="I3698" i="77"/>
  <c r="H3698" i="77"/>
  <c r="G3698" i="77"/>
  <c r="I3697" i="77"/>
  <c r="H3697" i="77"/>
  <c r="G3697" i="77"/>
  <c r="I3696" i="77"/>
  <c r="H3696" i="77"/>
  <c r="G3696" i="77"/>
  <c r="I3695" i="77"/>
  <c r="H3695" i="77"/>
  <c r="G3695" i="77"/>
  <c r="I3694" i="77"/>
  <c r="H3694" i="77"/>
  <c r="G3694" i="77"/>
  <c r="I3693" i="77"/>
  <c r="H3693" i="77"/>
  <c r="G3693" i="77"/>
  <c r="I3692" i="77"/>
  <c r="H3692" i="77"/>
  <c r="G3692" i="77"/>
  <c r="I3691" i="77"/>
  <c r="H3691" i="77"/>
  <c r="G3691" i="77"/>
  <c r="I3690" i="77"/>
  <c r="H3690" i="77"/>
  <c r="G3690" i="77"/>
  <c r="I3689" i="77"/>
  <c r="H3689" i="77"/>
  <c r="G3689" i="77"/>
  <c r="I3688" i="77"/>
  <c r="H3688" i="77"/>
  <c r="G3688" i="77"/>
  <c r="I3687" i="77"/>
  <c r="H3687" i="77"/>
  <c r="G3687" i="77"/>
  <c r="I3686" i="77"/>
  <c r="H3686" i="77"/>
  <c r="G3686" i="77"/>
  <c r="I3685" i="77"/>
  <c r="H3685" i="77"/>
  <c r="G3685" i="77"/>
  <c r="I3684" i="77"/>
  <c r="H3684" i="77"/>
  <c r="G3684" i="77"/>
  <c r="I3683" i="77"/>
  <c r="H3683" i="77"/>
  <c r="G3683" i="77"/>
  <c r="I3682" i="77"/>
  <c r="H3682" i="77"/>
  <c r="G3682" i="77"/>
  <c r="I3681" i="77"/>
  <c r="H3681" i="77"/>
  <c r="G3681" i="77"/>
  <c r="I3680" i="77"/>
  <c r="H3680" i="77"/>
  <c r="G3680" i="77"/>
  <c r="I3679" i="77"/>
  <c r="H3679" i="77"/>
  <c r="G3679" i="77"/>
  <c r="I3678" i="77"/>
  <c r="H3678" i="77"/>
  <c r="G3678" i="77"/>
  <c r="I3677" i="77"/>
  <c r="H3677" i="77"/>
  <c r="G3677" i="77"/>
  <c r="I3676" i="77"/>
  <c r="H3676" i="77"/>
  <c r="G3676" i="77"/>
  <c r="I3675" i="77"/>
  <c r="H3675" i="77"/>
  <c r="G3675" i="77"/>
  <c r="I3674" i="77"/>
  <c r="H3674" i="77"/>
  <c r="G3674" i="77"/>
  <c r="I3673" i="77"/>
  <c r="H3673" i="77"/>
  <c r="G3673" i="77"/>
  <c r="I3672" i="77"/>
  <c r="H3672" i="77"/>
  <c r="G3672" i="77"/>
  <c r="I3671" i="77"/>
  <c r="H3671" i="77"/>
  <c r="G3671" i="77"/>
  <c r="I3670" i="77"/>
  <c r="H3670" i="77"/>
  <c r="G3670" i="77"/>
  <c r="I3669" i="77"/>
  <c r="H3669" i="77"/>
  <c r="G3669" i="77"/>
  <c r="I3668" i="77"/>
  <c r="H3668" i="77"/>
  <c r="G3668" i="77"/>
  <c r="I3667" i="77"/>
  <c r="H3667" i="77"/>
  <c r="G3667" i="77"/>
  <c r="I3666" i="77"/>
  <c r="H3666" i="77"/>
  <c r="G3666" i="77"/>
  <c r="I3665" i="77"/>
  <c r="H3665" i="77"/>
  <c r="G3665" i="77"/>
  <c r="I3664" i="77"/>
  <c r="H3664" i="77"/>
  <c r="G3664" i="77"/>
  <c r="I3663" i="77"/>
  <c r="H3663" i="77"/>
  <c r="G3663" i="77"/>
  <c r="I3662" i="77"/>
  <c r="H3662" i="77"/>
  <c r="G3662" i="77"/>
  <c r="I3661" i="77"/>
  <c r="H3661" i="77"/>
  <c r="G3661" i="77"/>
  <c r="I3660" i="77"/>
  <c r="H3660" i="77"/>
  <c r="G3660" i="77"/>
  <c r="I3659" i="77"/>
  <c r="H3659" i="77"/>
  <c r="G3659" i="77"/>
  <c r="I3658" i="77"/>
  <c r="H3658" i="77"/>
  <c r="G3658" i="77"/>
  <c r="I3657" i="77"/>
  <c r="H3657" i="77"/>
  <c r="G3657" i="77"/>
  <c r="I3656" i="77"/>
  <c r="H3656" i="77"/>
  <c r="G3656" i="77"/>
  <c r="I3655" i="77"/>
  <c r="H3655" i="77"/>
  <c r="G3655" i="77"/>
  <c r="I3654" i="77"/>
  <c r="H3654" i="77"/>
  <c r="G3654" i="77"/>
  <c r="I3653" i="77"/>
  <c r="H3653" i="77"/>
  <c r="G3653" i="77"/>
  <c r="I3652" i="77"/>
  <c r="H3652" i="77"/>
  <c r="G3652" i="77"/>
  <c r="I3651" i="77"/>
  <c r="H3651" i="77"/>
  <c r="G3651" i="77"/>
  <c r="I3650" i="77"/>
  <c r="H3650" i="77"/>
  <c r="G3650" i="77"/>
  <c r="I3649" i="77"/>
  <c r="H3649" i="77"/>
  <c r="G3649" i="77"/>
  <c r="I3648" i="77"/>
  <c r="H3648" i="77"/>
  <c r="G3648" i="77"/>
  <c r="I3647" i="77"/>
  <c r="H3647" i="77"/>
  <c r="G3647" i="77"/>
  <c r="I3646" i="77"/>
  <c r="H3646" i="77"/>
  <c r="G3646" i="77"/>
  <c r="I3645" i="77"/>
  <c r="H3645" i="77"/>
  <c r="G3645" i="77"/>
  <c r="I3644" i="77"/>
  <c r="H3644" i="77"/>
  <c r="G3644" i="77"/>
  <c r="I3643" i="77"/>
  <c r="H3643" i="77"/>
  <c r="G3643" i="77"/>
  <c r="I3642" i="77"/>
  <c r="H3642" i="77"/>
  <c r="G3642" i="77"/>
  <c r="I3641" i="77"/>
  <c r="H3641" i="77"/>
  <c r="G3641" i="77"/>
  <c r="I3640" i="77"/>
  <c r="H3640" i="77"/>
  <c r="G3640" i="77"/>
  <c r="I3639" i="77"/>
  <c r="H3639" i="77"/>
  <c r="G3639" i="77"/>
  <c r="I3638" i="77"/>
  <c r="H3638" i="77"/>
  <c r="G3638" i="77"/>
  <c r="I3637" i="77"/>
  <c r="H3637" i="77"/>
  <c r="G3637" i="77"/>
  <c r="I3636" i="77"/>
  <c r="H3636" i="77"/>
  <c r="G3636" i="77"/>
  <c r="I3635" i="77"/>
  <c r="H3635" i="77"/>
  <c r="G3635" i="77"/>
  <c r="I3634" i="77"/>
  <c r="H3634" i="77"/>
  <c r="G3634" i="77"/>
  <c r="I3633" i="77"/>
  <c r="H3633" i="77"/>
  <c r="G3633" i="77"/>
  <c r="I3632" i="77"/>
  <c r="H3632" i="77"/>
  <c r="G3632" i="77"/>
  <c r="I3631" i="77"/>
  <c r="H3631" i="77"/>
  <c r="G3631" i="77"/>
  <c r="I3630" i="77"/>
  <c r="H3630" i="77"/>
  <c r="G3630" i="77"/>
  <c r="I3629" i="77"/>
  <c r="H3629" i="77"/>
  <c r="G3629" i="77"/>
  <c r="I3628" i="77"/>
  <c r="H3628" i="77"/>
  <c r="G3628" i="77"/>
  <c r="I3627" i="77"/>
  <c r="H3627" i="77"/>
  <c r="G3627" i="77"/>
  <c r="I3626" i="77"/>
  <c r="H3626" i="77"/>
  <c r="G3626" i="77"/>
  <c r="I3625" i="77"/>
  <c r="H3625" i="77"/>
  <c r="G3625" i="77"/>
  <c r="I3624" i="77"/>
  <c r="H3624" i="77"/>
  <c r="G3624" i="77"/>
  <c r="I3623" i="77"/>
  <c r="H3623" i="77"/>
  <c r="G3623" i="77"/>
  <c r="I3622" i="77"/>
  <c r="H3622" i="77"/>
  <c r="G3622" i="77"/>
  <c r="I3621" i="77"/>
  <c r="H3621" i="77"/>
  <c r="G3621" i="77"/>
  <c r="I3620" i="77"/>
  <c r="H3620" i="77"/>
  <c r="G3620" i="77"/>
  <c r="I3619" i="77"/>
  <c r="H3619" i="77"/>
  <c r="G3619" i="77"/>
  <c r="I3618" i="77"/>
  <c r="H3618" i="77"/>
  <c r="G3618" i="77"/>
  <c r="I3617" i="77"/>
  <c r="H3617" i="77"/>
  <c r="G3617" i="77"/>
  <c r="I3616" i="77"/>
  <c r="H3616" i="77"/>
  <c r="G3616" i="77"/>
  <c r="I3615" i="77"/>
  <c r="H3615" i="77"/>
  <c r="G3615" i="77"/>
  <c r="I3614" i="77"/>
  <c r="H3614" i="77"/>
  <c r="G3614" i="77"/>
  <c r="I3613" i="77"/>
  <c r="H3613" i="77"/>
  <c r="G3613" i="77"/>
  <c r="I3612" i="77"/>
  <c r="H3612" i="77"/>
  <c r="G3612" i="77"/>
  <c r="I3611" i="77"/>
  <c r="H3611" i="77"/>
  <c r="G3611" i="77"/>
  <c r="I3610" i="77"/>
  <c r="H3610" i="77"/>
  <c r="G3610" i="77"/>
  <c r="I3609" i="77"/>
  <c r="H3609" i="77"/>
  <c r="G3609" i="77"/>
  <c r="I3608" i="77"/>
  <c r="H3608" i="77"/>
  <c r="G3608" i="77"/>
  <c r="I3607" i="77"/>
  <c r="H3607" i="77"/>
  <c r="G3607" i="77"/>
  <c r="I3606" i="77"/>
  <c r="H3606" i="77"/>
  <c r="G3606" i="77"/>
  <c r="I3605" i="77"/>
  <c r="H3605" i="77"/>
  <c r="G3605" i="77"/>
  <c r="I3604" i="77"/>
  <c r="H3604" i="77"/>
  <c r="G3604" i="77"/>
  <c r="I3603" i="77"/>
  <c r="H3603" i="77"/>
  <c r="G3603" i="77"/>
  <c r="I3602" i="77"/>
  <c r="H3602" i="77"/>
  <c r="G3602" i="77"/>
  <c r="I3601" i="77"/>
  <c r="H3601" i="77"/>
  <c r="G3601" i="77"/>
  <c r="I3600" i="77"/>
  <c r="H3600" i="77"/>
  <c r="G3600" i="77"/>
  <c r="I3599" i="77"/>
  <c r="H3599" i="77"/>
  <c r="G3599" i="77"/>
  <c r="I3598" i="77"/>
  <c r="H3598" i="77"/>
  <c r="G3598" i="77"/>
  <c r="I3597" i="77"/>
  <c r="H3597" i="77"/>
  <c r="G3597" i="77"/>
  <c r="I3596" i="77"/>
  <c r="H3596" i="77"/>
  <c r="G3596" i="77"/>
  <c r="I3595" i="77"/>
  <c r="H3595" i="77"/>
  <c r="G3595" i="77"/>
  <c r="I3594" i="77"/>
  <c r="H3594" i="77"/>
  <c r="G3594" i="77"/>
  <c r="I3593" i="77"/>
  <c r="H3593" i="77"/>
  <c r="G3593" i="77"/>
  <c r="I3592" i="77"/>
  <c r="H3592" i="77"/>
  <c r="G3592" i="77"/>
  <c r="I3591" i="77"/>
  <c r="H3591" i="77"/>
  <c r="G3591" i="77"/>
  <c r="I3590" i="77"/>
  <c r="H3590" i="77"/>
  <c r="G3590" i="77"/>
  <c r="I3589" i="77"/>
  <c r="H3589" i="77"/>
  <c r="G3589" i="77"/>
  <c r="I3588" i="77"/>
  <c r="H3588" i="77"/>
  <c r="G3588" i="77"/>
  <c r="I3587" i="77"/>
  <c r="H3587" i="77"/>
  <c r="G3587" i="77"/>
  <c r="I3586" i="77"/>
  <c r="H3586" i="77"/>
  <c r="G3586" i="77"/>
  <c r="I3585" i="77"/>
  <c r="H3585" i="77"/>
  <c r="G3585" i="77"/>
  <c r="I3584" i="77"/>
  <c r="H3584" i="77"/>
  <c r="G3584" i="77"/>
  <c r="I3583" i="77"/>
  <c r="H3583" i="77"/>
  <c r="G3583" i="77"/>
  <c r="I3582" i="77"/>
  <c r="H3582" i="77"/>
  <c r="G3582" i="77"/>
  <c r="I3581" i="77"/>
  <c r="H3581" i="77"/>
  <c r="G3581" i="77"/>
  <c r="I3580" i="77"/>
  <c r="H3580" i="77"/>
  <c r="G3580" i="77"/>
  <c r="I3579" i="77"/>
  <c r="H3579" i="77"/>
  <c r="G3579" i="77"/>
  <c r="I3578" i="77"/>
  <c r="H3578" i="77"/>
  <c r="G3578" i="77"/>
  <c r="I3577" i="77"/>
  <c r="H3577" i="77"/>
  <c r="G3577" i="77"/>
  <c r="I3576" i="77"/>
  <c r="H3576" i="77"/>
  <c r="G3576" i="77"/>
  <c r="I3575" i="77"/>
  <c r="H3575" i="77"/>
  <c r="G3575" i="77"/>
  <c r="I3574" i="77"/>
  <c r="H3574" i="77"/>
  <c r="G3574" i="77"/>
  <c r="I3573" i="77"/>
  <c r="H3573" i="77"/>
  <c r="G3573" i="77"/>
  <c r="I3572" i="77"/>
  <c r="H3572" i="77"/>
  <c r="G3572" i="77"/>
  <c r="I3571" i="77"/>
  <c r="H3571" i="77"/>
  <c r="G3571" i="77"/>
  <c r="I3570" i="77"/>
  <c r="H3570" i="77"/>
  <c r="G3570" i="77"/>
  <c r="I3569" i="77"/>
  <c r="H3569" i="77"/>
  <c r="G3569" i="77"/>
  <c r="I3568" i="77"/>
  <c r="H3568" i="77"/>
  <c r="G3568" i="77"/>
  <c r="I3567" i="77"/>
  <c r="H3567" i="77"/>
  <c r="G3567" i="77"/>
  <c r="I3566" i="77"/>
  <c r="H3566" i="77"/>
  <c r="G3566" i="77"/>
  <c r="I3565" i="77"/>
  <c r="H3565" i="77"/>
  <c r="G3565" i="77"/>
  <c r="I3564" i="77"/>
  <c r="H3564" i="77"/>
  <c r="G3564" i="77"/>
  <c r="I3563" i="77"/>
  <c r="H3563" i="77"/>
  <c r="G3563" i="77"/>
  <c r="I3562" i="77"/>
  <c r="H3562" i="77"/>
  <c r="G3562" i="77"/>
  <c r="I3561" i="77"/>
  <c r="H3561" i="77"/>
  <c r="G3561" i="77"/>
  <c r="I3560" i="77"/>
  <c r="H3560" i="77"/>
  <c r="G3560" i="77"/>
  <c r="I3559" i="77"/>
  <c r="H3559" i="77"/>
  <c r="G3559" i="77"/>
  <c r="I3558" i="77"/>
  <c r="H3558" i="77"/>
  <c r="G3558" i="77"/>
  <c r="I3557" i="77"/>
  <c r="H3557" i="77"/>
  <c r="G3557" i="77"/>
  <c r="I3556" i="77"/>
  <c r="H3556" i="77"/>
  <c r="G3556" i="77"/>
  <c r="I3555" i="77"/>
  <c r="H3555" i="77"/>
  <c r="G3555" i="77"/>
  <c r="I3554" i="77"/>
  <c r="H3554" i="77"/>
  <c r="G3554" i="77"/>
  <c r="I3553" i="77"/>
  <c r="H3553" i="77"/>
  <c r="G3553" i="77"/>
  <c r="I3552" i="77"/>
  <c r="H3552" i="77"/>
  <c r="G3552" i="77"/>
  <c r="I3551" i="77"/>
  <c r="H3551" i="77"/>
  <c r="G3551" i="77"/>
  <c r="I3550" i="77"/>
  <c r="H3550" i="77"/>
  <c r="G3550" i="77"/>
  <c r="I3549" i="77"/>
  <c r="H3549" i="77"/>
  <c r="G3549" i="77"/>
  <c r="I3548" i="77"/>
  <c r="H3548" i="77"/>
  <c r="G3548" i="77"/>
  <c r="I3547" i="77"/>
  <c r="H3547" i="77"/>
  <c r="G3547" i="77"/>
  <c r="I3546" i="77"/>
  <c r="H3546" i="77"/>
  <c r="G3546" i="77"/>
  <c r="I3545" i="77"/>
  <c r="H3545" i="77"/>
  <c r="G3545" i="77"/>
  <c r="I3544" i="77"/>
  <c r="H3544" i="77"/>
  <c r="G3544" i="77"/>
  <c r="I3543" i="77"/>
  <c r="H3543" i="77"/>
  <c r="G3543" i="77"/>
  <c r="I3542" i="77"/>
  <c r="H3542" i="77"/>
  <c r="G3542" i="77"/>
  <c r="I3541" i="77"/>
  <c r="H3541" i="77"/>
  <c r="G3541" i="77"/>
  <c r="I3540" i="77"/>
  <c r="H3540" i="77"/>
  <c r="G3540" i="77"/>
  <c r="I3539" i="77"/>
  <c r="H3539" i="77"/>
  <c r="G3539" i="77"/>
  <c r="I3538" i="77"/>
  <c r="H3538" i="77"/>
  <c r="G3538" i="77"/>
  <c r="I3537" i="77"/>
  <c r="H3537" i="77"/>
  <c r="G3537" i="77"/>
  <c r="I3536" i="77"/>
  <c r="H3536" i="77"/>
  <c r="G3536" i="77"/>
  <c r="I3535" i="77"/>
  <c r="H3535" i="77"/>
  <c r="G3535" i="77"/>
  <c r="I3534" i="77"/>
  <c r="H3534" i="77"/>
  <c r="G3534" i="77"/>
  <c r="I3533" i="77"/>
  <c r="H3533" i="77"/>
  <c r="G3533" i="77"/>
  <c r="I3532" i="77"/>
  <c r="H3532" i="77"/>
  <c r="G3532" i="77"/>
  <c r="I3531" i="77"/>
  <c r="H3531" i="77"/>
  <c r="G3531" i="77"/>
  <c r="I3530" i="77"/>
  <c r="H3530" i="77"/>
  <c r="G3530" i="77"/>
  <c r="I3529" i="77"/>
  <c r="H3529" i="77"/>
  <c r="G3529" i="77"/>
  <c r="I3528" i="77"/>
  <c r="H3528" i="77"/>
  <c r="G3528" i="77"/>
  <c r="I3527" i="77"/>
  <c r="H3527" i="77"/>
  <c r="G3527" i="77"/>
  <c r="I3526" i="77"/>
  <c r="H3526" i="77"/>
  <c r="G3526" i="77"/>
  <c r="I3525" i="77"/>
  <c r="H3525" i="77"/>
  <c r="G3525" i="77"/>
  <c r="I3524" i="77"/>
  <c r="H3524" i="77"/>
  <c r="G3524" i="77"/>
  <c r="I3523" i="77"/>
  <c r="H3523" i="77"/>
  <c r="G3523" i="77"/>
  <c r="I3522" i="77"/>
  <c r="H3522" i="77"/>
  <c r="G3522" i="77"/>
  <c r="I3521" i="77"/>
  <c r="H3521" i="77"/>
  <c r="G3521" i="77"/>
  <c r="I3520" i="77"/>
  <c r="H3520" i="77"/>
  <c r="G3520" i="77"/>
  <c r="I3519" i="77"/>
  <c r="H3519" i="77"/>
  <c r="G3519" i="77"/>
  <c r="I3518" i="77"/>
  <c r="H3518" i="77"/>
  <c r="G3518" i="77"/>
  <c r="I3517" i="77"/>
  <c r="H3517" i="77"/>
  <c r="G3517" i="77"/>
  <c r="I3516" i="77"/>
  <c r="H3516" i="77"/>
  <c r="G3516" i="77"/>
  <c r="I3515" i="77"/>
  <c r="H3515" i="77"/>
  <c r="G3515" i="77"/>
  <c r="I3514" i="77"/>
  <c r="H3514" i="77"/>
  <c r="G3514" i="77"/>
  <c r="I3513" i="77"/>
  <c r="H3513" i="77"/>
  <c r="G3513" i="77"/>
  <c r="I3512" i="77"/>
  <c r="H3512" i="77"/>
  <c r="G3512" i="77"/>
  <c r="I3511" i="77"/>
  <c r="H3511" i="77"/>
  <c r="G3511" i="77"/>
  <c r="I3510" i="77"/>
  <c r="H3510" i="77"/>
  <c r="G3510" i="77"/>
  <c r="I3509" i="77"/>
  <c r="H3509" i="77"/>
  <c r="G3509" i="77"/>
  <c r="I3508" i="77"/>
  <c r="H3508" i="77"/>
  <c r="G3508" i="77"/>
  <c r="I3507" i="77"/>
  <c r="H3507" i="77"/>
  <c r="G3507" i="77"/>
  <c r="I3506" i="77"/>
  <c r="H3506" i="77"/>
  <c r="G3506" i="77"/>
  <c r="I3505" i="77"/>
  <c r="H3505" i="77"/>
  <c r="G3505" i="77"/>
  <c r="I3504" i="77"/>
  <c r="H3504" i="77"/>
  <c r="G3504" i="77"/>
  <c r="I3503" i="77"/>
  <c r="H3503" i="77"/>
  <c r="G3503" i="77"/>
  <c r="I3502" i="77"/>
  <c r="H3502" i="77"/>
  <c r="G3502" i="77"/>
  <c r="I3501" i="77"/>
  <c r="H3501" i="77"/>
  <c r="G3501" i="77"/>
  <c r="I3500" i="77"/>
  <c r="H3500" i="77"/>
  <c r="G3500" i="77"/>
  <c r="I3499" i="77"/>
  <c r="H3499" i="77"/>
  <c r="G3499" i="77"/>
  <c r="I3498" i="77"/>
  <c r="H3498" i="77"/>
  <c r="G3498" i="77"/>
  <c r="I3497" i="77"/>
  <c r="H3497" i="77"/>
  <c r="G3497" i="77"/>
  <c r="I3496" i="77"/>
  <c r="H3496" i="77"/>
  <c r="G3496" i="77"/>
  <c r="I3495" i="77"/>
  <c r="H3495" i="77"/>
  <c r="G3495" i="77"/>
  <c r="I3494" i="77"/>
  <c r="H3494" i="77"/>
  <c r="G3494" i="77"/>
  <c r="I3493" i="77"/>
  <c r="H3493" i="77"/>
  <c r="G3493" i="77"/>
  <c r="I3492" i="77"/>
  <c r="H3492" i="77"/>
  <c r="G3492" i="77"/>
  <c r="I3491" i="77"/>
  <c r="H3491" i="77"/>
  <c r="G3491" i="77"/>
  <c r="I3490" i="77"/>
  <c r="H3490" i="77"/>
  <c r="G3490" i="77"/>
  <c r="I3489" i="77"/>
  <c r="H3489" i="77"/>
  <c r="G3489" i="77"/>
  <c r="I3488" i="77"/>
  <c r="H3488" i="77"/>
  <c r="G3488" i="77"/>
  <c r="I3487" i="77"/>
  <c r="H3487" i="77"/>
  <c r="G3487" i="77"/>
  <c r="I3486" i="77"/>
  <c r="H3486" i="77"/>
  <c r="G3486" i="77"/>
  <c r="I3485" i="77"/>
  <c r="H3485" i="77"/>
  <c r="G3485" i="77"/>
  <c r="I3484" i="77"/>
  <c r="H3484" i="77"/>
  <c r="G3484" i="77"/>
  <c r="I3483" i="77"/>
  <c r="H3483" i="77"/>
  <c r="G3483" i="77"/>
  <c r="I3482" i="77"/>
  <c r="H3482" i="77"/>
  <c r="G3482" i="77"/>
  <c r="I3481" i="77"/>
  <c r="H3481" i="77"/>
  <c r="G3481" i="77"/>
  <c r="I3480" i="77"/>
  <c r="H3480" i="77"/>
  <c r="G3480" i="77"/>
  <c r="I3479" i="77"/>
  <c r="H3479" i="77"/>
  <c r="G3479" i="77"/>
  <c r="I3478" i="77"/>
  <c r="H3478" i="77"/>
  <c r="G3478" i="77"/>
  <c r="I3477" i="77"/>
  <c r="H3477" i="77"/>
  <c r="G3477" i="77"/>
  <c r="I3476" i="77"/>
  <c r="H3476" i="77"/>
  <c r="G3476" i="77"/>
  <c r="I3475" i="77"/>
  <c r="H3475" i="77"/>
  <c r="G3475" i="77"/>
  <c r="I3474" i="77"/>
  <c r="H3474" i="77"/>
  <c r="G3474" i="77"/>
  <c r="I3473" i="77"/>
  <c r="H3473" i="77"/>
  <c r="G3473" i="77"/>
  <c r="I3472" i="77"/>
  <c r="H3472" i="77"/>
  <c r="G3472" i="77"/>
  <c r="I3471" i="77"/>
  <c r="H3471" i="77"/>
  <c r="G3471" i="77"/>
  <c r="I3470" i="77"/>
  <c r="H3470" i="77"/>
  <c r="G3470" i="77"/>
  <c r="I3469" i="77"/>
  <c r="H3469" i="77"/>
  <c r="G3469" i="77"/>
  <c r="I3468" i="77"/>
  <c r="H3468" i="77"/>
  <c r="G3468" i="77"/>
  <c r="I3467" i="77"/>
  <c r="H3467" i="77"/>
  <c r="G3467" i="77"/>
  <c r="I3466" i="77"/>
  <c r="H3466" i="77"/>
  <c r="G3466" i="77"/>
  <c r="I3465" i="77"/>
  <c r="H3465" i="77"/>
  <c r="G3465" i="77"/>
  <c r="I3464" i="77"/>
  <c r="H3464" i="77"/>
  <c r="G3464" i="77"/>
  <c r="I3463" i="77"/>
  <c r="H3463" i="77"/>
  <c r="G3463" i="77"/>
  <c r="I3462" i="77"/>
  <c r="H3462" i="77"/>
  <c r="G3462" i="77"/>
  <c r="I3461" i="77"/>
  <c r="H3461" i="77"/>
  <c r="G3461" i="77"/>
  <c r="I3460" i="77"/>
  <c r="H3460" i="77"/>
  <c r="G3460" i="77"/>
  <c r="I3459" i="77"/>
  <c r="H3459" i="77"/>
  <c r="G3459" i="77"/>
  <c r="I3458" i="77"/>
  <c r="H3458" i="77"/>
  <c r="G3458" i="77"/>
  <c r="I3457" i="77"/>
  <c r="H3457" i="77"/>
  <c r="G3457" i="77"/>
  <c r="I3456" i="77"/>
  <c r="H3456" i="77"/>
  <c r="G3456" i="77"/>
  <c r="I3455" i="77"/>
  <c r="H3455" i="77"/>
  <c r="G3455" i="77"/>
  <c r="I3454" i="77"/>
  <c r="H3454" i="77"/>
  <c r="G3454" i="77"/>
  <c r="I3453" i="77"/>
  <c r="H3453" i="77"/>
  <c r="G3453" i="77"/>
  <c r="I3452" i="77"/>
  <c r="H3452" i="77"/>
  <c r="G3452" i="77"/>
  <c r="I3451" i="77"/>
  <c r="H3451" i="77"/>
  <c r="G3451" i="77"/>
  <c r="I3450" i="77"/>
  <c r="H3450" i="77"/>
  <c r="G3450" i="77"/>
  <c r="I3449" i="77"/>
  <c r="H3449" i="77"/>
  <c r="G3449" i="77"/>
  <c r="I3448" i="77"/>
  <c r="H3448" i="77"/>
  <c r="G3448" i="77"/>
  <c r="I3447" i="77"/>
  <c r="H3447" i="77"/>
  <c r="G3447" i="77"/>
  <c r="I3446" i="77"/>
  <c r="H3446" i="77"/>
  <c r="G3446" i="77"/>
  <c r="I3445" i="77"/>
  <c r="H3445" i="77"/>
  <c r="G3445" i="77"/>
  <c r="I3444" i="77"/>
  <c r="H3444" i="77"/>
  <c r="G3444" i="77"/>
  <c r="I3443" i="77"/>
  <c r="H3443" i="77"/>
  <c r="G3443" i="77"/>
  <c r="I3442" i="77"/>
  <c r="H3442" i="77"/>
  <c r="G3442" i="77"/>
  <c r="I3441" i="77"/>
  <c r="H3441" i="77"/>
  <c r="G3441" i="77"/>
  <c r="I3440" i="77"/>
  <c r="H3440" i="77"/>
  <c r="G3440" i="77"/>
  <c r="I3439" i="77"/>
  <c r="H3439" i="77"/>
  <c r="G3439" i="77"/>
  <c r="I3438" i="77"/>
  <c r="H3438" i="77"/>
  <c r="G3438" i="77"/>
  <c r="I3437" i="77"/>
  <c r="H3437" i="77"/>
  <c r="G3437" i="77"/>
  <c r="I3436" i="77"/>
  <c r="H3436" i="77"/>
  <c r="G3436" i="77"/>
  <c r="I3435" i="77"/>
  <c r="H3435" i="77"/>
  <c r="G3435" i="77"/>
  <c r="I3434" i="77"/>
  <c r="H3434" i="77"/>
  <c r="G3434" i="77"/>
  <c r="I3433" i="77"/>
  <c r="H3433" i="77"/>
  <c r="G3433" i="77"/>
  <c r="I3432" i="77"/>
  <c r="H3432" i="77"/>
  <c r="G3432" i="77"/>
  <c r="I3431" i="77"/>
  <c r="H3431" i="77"/>
  <c r="G3431" i="77"/>
  <c r="I3430" i="77"/>
  <c r="H3430" i="77"/>
  <c r="G3430" i="77"/>
  <c r="I3429" i="77"/>
  <c r="H3429" i="77"/>
  <c r="G3429" i="77"/>
  <c r="I3428" i="77"/>
  <c r="H3428" i="77"/>
  <c r="G3428" i="77"/>
  <c r="I3427" i="77"/>
  <c r="H3427" i="77"/>
  <c r="G3427" i="77"/>
  <c r="I3426" i="77"/>
  <c r="H3426" i="77"/>
  <c r="G3426" i="77"/>
  <c r="I3425" i="77"/>
  <c r="H3425" i="77"/>
  <c r="G3425" i="77"/>
  <c r="I3424" i="77"/>
  <c r="H3424" i="77"/>
  <c r="G3424" i="77"/>
  <c r="I3423" i="77"/>
  <c r="H3423" i="77"/>
  <c r="G3423" i="77"/>
  <c r="I3422" i="77"/>
  <c r="H3422" i="77"/>
  <c r="G3422" i="77"/>
  <c r="I3421" i="77"/>
  <c r="H3421" i="77"/>
  <c r="G3421" i="77"/>
  <c r="I3420" i="77"/>
  <c r="H3420" i="77"/>
  <c r="G3420" i="77"/>
  <c r="I3419" i="77"/>
  <c r="H3419" i="77"/>
  <c r="G3419" i="77"/>
  <c r="I3418" i="77"/>
  <c r="H3418" i="77"/>
  <c r="G3418" i="77"/>
  <c r="I3417" i="77"/>
  <c r="H3417" i="77"/>
  <c r="G3417" i="77"/>
  <c r="I3416" i="77"/>
  <c r="H3416" i="77"/>
  <c r="G3416" i="77"/>
  <c r="I3415" i="77"/>
  <c r="H3415" i="77"/>
  <c r="G3415" i="77"/>
  <c r="I3414" i="77"/>
  <c r="H3414" i="77"/>
  <c r="G3414" i="77"/>
  <c r="I3413" i="77"/>
  <c r="H3413" i="77"/>
  <c r="G3413" i="77"/>
  <c r="I3412" i="77"/>
  <c r="H3412" i="77"/>
  <c r="G3412" i="77"/>
  <c r="I3411" i="77"/>
  <c r="H3411" i="77"/>
  <c r="G3411" i="77"/>
  <c r="I3410" i="77"/>
  <c r="H3410" i="77"/>
  <c r="G3410" i="77"/>
  <c r="I3409" i="77"/>
  <c r="H3409" i="77"/>
  <c r="G3409" i="77"/>
  <c r="I3408" i="77"/>
  <c r="H3408" i="77"/>
  <c r="G3408" i="77"/>
  <c r="I3407" i="77"/>
  <c r="H3407" i="77"/>
  <c r="G3407" i="77"/>
  <c r="I3406" i="77"/>
  <c r="H3406" i="77"/>
  <c r="G3406" i="77"/>
  <c r="I3405" i="77"/>
  <c r="H3405" i="77"/>
  <c r="G3405" i="77"/>
  <c r="I3404" i="77"/>
  <c r="H3404" i="77"/>
  <c r="G3404" i="77"/>
  <c r="I3403" i="77"/>
  <c r="H3403" i="77"/>
  <c r="G3403" i="77"/>
  <c r="I3402" i="77"/>
  <c r="H3402" i="77"/>
  <c r="G3402" i="77"/>
  <c r="I3401" i="77"/>
  <c r="H3401" i="77"/>
  <c r="G3401" i="77"/>
  <c r="I3400" i="77"/>
  <c r="H3400" i="77"/>
  <c r="G3400" i="77"/>
  <c r="I3399" i="77"/>
  <c r="H3399" i="77"/>
  <c r="G3399" i="77"/>
  <c r="I3398" i="77"/>
  <c r="H3398" i="77"/>
  <c r="G3398" i="77"/>
  <c r="I3397" i="77"/>
  <c r="H3397" i="77"/>
  <c r="G3397" i="77"/>
  <c r="I3396" i="77"/>
  <c r="H3396" i="77"/>
  <c r="G3396" i="77"/>
  <c r="I3395" i="77"/>
  <c r="H3395" i="77"/>
  <c r="G3395" i="77"/>
  <c r="I3394" i="77"/>
  <c r="H3394" i="77"/>
  <c r="G3394" i="77"/>
  <c r="I3393" i="77"/>
  <c r="H3393" i="77"/>
  <c r="G3393" i="77"/>
  <c r="I3392" i="77"/>
  <c r="H3392" i="77"/>
  <c r="G3392" i="77"/>
  <c r="I3391" i="77"/>
  <c r="H3391" i="77"/>
  <c r="G3391" i="77"/>
  <c r="I3390" i="77"/>
  <c r="H3390" i="77"/>
  <c r="G3390" i="77"/>
  <c r="I3389" i="77"/>
  <c r="H3389" i="77"/>
  <c r="G3389" i="77"/>
  <c r="I3388" i="77"/>
  <c r="H3388" i="77"/>
  <c r="G3388" i="77"/>
  <c r="I3387" i="77"/>
  <c r="H3387" i="77"/>
  <c r="G3387" i="77"/>
  <c r="I3386" i="77"/>
  <c r="H3386" i="77"/>
  <c r="G3386" i="77"/>
  <c r="I3385" i="77"/>
  <c r="H3385" i="77"/>
  <c r="G3385" i="77"/>
  <c r="I3384" i="77"/>
  <c r="H3384" i="77"/>
  <c r="G3384" i="77"/>
  <c r="I3383" i="77"/>
  <c r="H3383" i="77"/>
  <c r="G3383" i="77"/>
  <c r="I3382" i="77"/>
  <c r="H3382" i="77"/>
  <c r="G3382" i="77"/>
  <c r="I3381" i="77"/>
  <c r="H3381" i="77"/>
  <c r="G3381" i="77"/>
  <c r="I3380" i="77"/>
  <c r="H3380" i="77"/>
  <c r="G3380" i="77"/>
  <c r="I3379" i="77"/>
  <c r="H3379" i="77"/>
  <c r="G3379" i="77"/>
  <c r="I3378" i="77"/>
  <c r="H3378" i="77"/>
  <c r="G3378" i="77"/>
  <c r="I3377" i="77"/>
  <c r="H3377" i="77"/>
  <c r="G3377" i="77"/>
  <c r="I3376" i="77"/>
  <c r="H3376" i="77"/>
  <c r="G3376" i="77"/>
  <c r="I3375" i="77"/>
  <c r="H3375" i="77"/>
  <c r="G3375" i="77"/>
  <c r="I3374" i="77"/>
  <c r="H3374" i="77"/>
  <c r="G3374" i="77"/>
  <c r="I3373" i="77"/>
  <c r="H3373" i="77"/>
  <c r="G3373" i="77"/>
  <c r="I3372" i="77"/>
  <c r="H3372" i="77"/>
  <c r="G3372" i="77"/>
  <c r="I3371" i="77"/>
  <c r="H3371" i="77"/>
  <c r="G3371" i="77"/>
  <c r="I3370" i="77"/>
  <c r="H3370" i="77"/>
  <c r="G3370" i="77"/>
  <c r="I3369" i="77"/>
  <c r="H3369" i="77"/>
  <c r="G3369" i="77"/>
  <c r="I3368" i="77"/>
  <c r="H3368" i="77"/>
  <c r="G3368" i="77"/>
  <c r="I3367" i="77"/>
  <c r="H3367" i="77"/>
  <c r="G3367" i="77"/>
  <c r="I3366" i="77"/>
  <c r="H3366" i="77"/>
  <c r="G3366" i="77"/>
  <c r="I3365" i="77"/>
  <c r="H3365" i="77"/>
  <c r="G3365" i="77"/>
  <c r="I3364" i="77"/>
  <c r="H3364" i="77"/>
  <c r="G3364" i="77"/>
  <c r="I3363" i="77"/>
  <c r="H3363" i="77"/>
  <c r="G3363" i="77"/>
  <c r="I3362" i="77"/>
  <c r="H3362" i="77"/>
  <c r="G3362" i="77"/>
  <c r="I3361" i="77"/>
  <c r="H3361" i="77"/>
  <c r="G3361" i="77"/>
  <c r="I3360" i="77"/>
  <c r="H3360" i="77"/>
  <c r="G3360" i="77"/>
  <c r="I3359" i="77"/>
  <c r="H3359" i="77"/>
  <c r="G3359" i="77"/>
  <c r="I3358" i="77"/>
  <c r="H3358" i="77"/>
  <c r="G3358" i="77"/>
  <c r="I3357" i="77"/>
  <c r="H3357" i="77"/>
  <c r="G3357" i="77"/>
  <c r="I3356" i="77"/>
  <c r="H3356" i="77"/>
  <c r="G3356" i="77"/>
  <c r="I3355" i="77"/>
  <c r="H3355" i="77"/>
  <c r="G3355" i="77"/>
  <c r="I3354" i="77"/>
  <c r="H3354" i="77"/>
  <c r="G3354" i="77"/>
  <c r="I3353" i="77"/>
  <c r="H3353" i="77"/>
  <c r="G3353" i="77"/>
  <c r="I3352" i="77"/>
  <c r="H3352" i="77"/>
  <c r="G3352" i="77"/>
  <c r="I3351" i="77"/>
  <c r="H3351" i="77"/>
  <c r="G3351" i="77"/>
  <c r="I3350" i="77"/>
  <c r="H3350" i="77"/>
  <c r="G3350" i="77"/>
  <c r="I3349" i="77"/>
  <c r="H3349" i="77"/>
  <c r="G3349" i="77"/>
  <c r="I3348" i="77"/>
  <c r="H3348" i="77"/>
  <c r="G3348" i="77"/>
  <c r="I3347" i="77"/>
  <c r="H3347" i="77"/>
  <c r="G3347" i="77"/>
  <c r="I3346" i="77"/>
  <c r="H3346" i="77"/>
  <c r="G3346" i="77"/>
  <c r="I3345" i="77"/>
  <c r="H3345" i="77"/>
  <c r="G3345" i="77"/>
  <c r="I3344" i="77"/>
  <c r="H3344" i="77"/>
  <c r="G3344" i="77"/>
  <c r="I3343" i="77"/>
  <c r="H3343" i="77"/>
  <c r="G3343" i="77"/>
  <c r="I3342" i="77"/>
  <c r="H3342" i="77"/>
  <c r="G3342" i="77"/>
  <c r="I3341" i="77"/>
  <c r="H3341" i="77"/>
  <c r="G3341" i="77"/>
  <c r="I3340" i="77"/>
  <c r="H3340" i="77"/>
  <c r="G3340" i="77"/>
  <c r="I3339" i="77"/>
  <c r="H3339" i="77"/>
  <c r="G3339" i="77"/>
  <c r="I3338" i="77"/>
  <c r="H3338" i="77"/>
  <c r="G3338" i="77"/>
  <c r="I3337" i="77"/>
  <c r="H3337" i="77"/>
  <c r="G3337" i="77"/>
  <c r="I3336" i="77"/>
  <c r="H3336" i="77"/>
  <c r="G3336" i="77"/>
  <c r="I3335" i="77"/>
  <c r="H3335" i="77"/>
  <c r="G3335" i="77"/>
  <c r="I3334" i="77"/>
  <c r="H3334" i="77"/>
  <c r="G3334" i="77"/>
  <c r="I3333" i="77"/>
  <c r="H3333" i="77"/>
  <c r="G3333" i="77"/>
  <c r="I3332" i="77"/>
  <c r="H3332" i="77"/>
  <c r="G3332" i="77"/>
  <c r="I3331" i="77"/>
  <c r="H3331" i="77"/>
  <c r="G3331" i="77"/>
  <c r="I3330" i="77"/>
  <c r="H3330" i="77"/>
  <c r="G3330" i="77"/>
  <c r="I3329" i="77"/>
  <c r="H3329" i="77"/>
  <c r="G3329" i="77"/>
  <c r="I3328" i="77"/>
  <c r="H3328" i="77"/>
  <c r="G3328" i="77"/>
  <c r="I3327" i="77"/>
  <c r="H3327" i="77"/>
  <c r="G3327" i="77"/>
  <c r="I3326" i="77"/>
  <c r="H3326" i="77"/>
  <c r="G3326" i="77"/>
  <c r="I3325" i="77"/>
  <c r="H3325" i="77"/>
  <c r="G3325" i="77"/>
  <c r="I3324" i="77"/>
  <c r="H3324" i="77"/>
  <c r="G3324" i="77"/>
  <c r="I3323" i="77"/>
  <c r="H3323" i="77"/>
  <c r="G3323" i="77"/>
  <c r="I3322" i="77"/>
  <c r="H3322" i="77"/>
  <c r="G3322" i="77"/>
  <c r="I3321" i="77"/>
  <c r="H3321" i="77"/>
  <c r="G3321" i="77"/>
  <c r="I3320" i="77"/>
  <c r="H3320" i="77"/>
  <c r="G3320" i="77"/>
  <c r="I3319" i="77"/>
  <c r="H3319" i="77"/>
  <c r="G3319" i="77"/>
  <c r="I3318" i="77"/>
  <c r="H3318" i="77"/>
  <c r="G3318" i="77"/>
  <c r="I3317" i="77"/>
  <c r="H3317" i="77"/>
  <c r="G3317" i="77"/>
  <c r="I3316" i="77"/>
  <c r="H3316" i="77"/>
  <c r="G3316" i="77"/>
  <c r="I3315" i="77"/>
  <c r="H3315" i="77"/>
  <c r="G3315" i="77"/>
  <c r="I3314" i="77"/>
  <c r="H3314" i="77"/>
  <c r="G3314" i="77"/>
  <c r="I3313" i="77"/>
  <c r="H3313" i="77"/>
  <c r="G3313" i="77"/>
  <c r="I3312" i="77"/>
  <c r="H3312" i="77"/>
  <c r="G3312" i="77"/>
  <c r="I3311" i="77"/>
  <c r="H3311" i="77"/>
  <c r="G3311" i="77"/>
  <c r="I3310" i="77"/>
  <c r="H3310" i="77"/>
  <c r="G3310" i="77"/>
  <c r="I3309" i="77"/>
  <c r="H3309" i="77"/>
  <c r="G3309" i="77"/>
  <c r="I3308" i="77"/>
  <c r="H3308" i="77"/>
  <c r="G3308" i="77"/>
  <c r="I3307" i="77"/>
  <c r="H3307" i="77"/>
  <c r="G3307" i="77"/>
  <c r="I3306" i="77"/>
  <c r="H3306" i="77"/>
  <c r="G3306" i="77"/>
  <c r="I3305" i="77"/>
  <c r="H3305" i="77"/>
  <c r="G3305" i="77"/>
  <c r="I3304" i="77"/>
  <c r="H3304" i="77"/>
  <c r="G3304" i="77"/>
  <c r="I3303" i="77"/>
  <c r="H3303" i="77"/>
  <c r="G3303" i="77"/>
  <c r="I3302" i="77"/>
  <c r="H3302" i="77"/>
  <c r="G3302" i="77"/>
  <c r="I3301" i="77"/>
  <c r="H3301" i="77"/>
  <c r="G3301" i="77"/>
  <c r="I3300" i="77"/>
  <c r="H3300" i="77"/>
  <c r="G3300" i="77"/>
  <c r="I3299" i="77"/>
  <c r="H3299" i="77"/>
  <c r="G3299" i="77"/>
  <c r="I3298" i="77"/>
  <c r="H3298" i="77"/>
  <c r="G3298" i="77"/>
  <c r="I3297" i="77"/>
  <c r="H3297" i="77"/>
  <c r="G3297" i="77"/>
  <c r="I3296" i="77"/>
  <c r="H3296" i="77"/>
  <c r="G3296" i="77"/>
  <c r="I3295" i="77"/>
  <c r="H3295" i="77"/>
  <c r="G3295" i="77"/>
  <c r="I3294" i="77"/>
  <c r="H3294" i="77"/>
  <c r="G3294" i="77"/>
  <c r="I3293" i="77"/>
  <c r="H3293" i="77"/>
  <c r="G3293" i="77"/>
  <c r="I3292" i="77"/>
  <c r="H3292" i="77"/>
  <c r="G3292" i="77"/>
  <c r="I3291" i="77"/>
  <c r="H3291" i="77"/>
  <c r="G3291" i="77"/>
  <c r="I3290" i="77"/>
  <c r="H3290" i="77"/>
  <c r="G3290" i="77"/>
  <c r="I3289" i="77"/>
  <c r="H3289" i="77"/>
  <c r="G3289" i="77"/>
  <c r="I3288" i="77"/>
  <c r="H3288" i="77"/>
  <c r="G3288" i="77"/>
  <c r="I3287" i="77"/>
  <c r="H3287" i="77"/>
  <c r="G3287" i="77"/>
  <c r="I3286" i="77"/>
  <c r="H3286" i="77"/>
  <c r="G3286" i="77"/>
  <c r="I3285" i="77"/>
  <c r="H3285" i="77"/>
  <c r="G3285" i="77"/>
  <c r="I3284" i="77"/>
  <c r="H3284" i="77"/>
  <c r="G3284" i="77"/>
  <c r="I3283" i="77"/>
  <c r="H3283" i="77"/>
  <c r="G3283" i="77"/>
  <c r="I3282" i="77"/>
  <c r="H3282" i="77"/>
  <c r="G3282" i="77"/>
  <c r="I3281" i="77"/>
  <c r="H3281" i="77"/>
  <c r="G3281" i="77"/>
  <c r="I3280" i="77"/>
  <c r="H3280" i="77"/>
  <c r="G3280" i="77"/>
  <c r="I3279" i="77"/>
  <c r="H3279" i="77"/>
  <c r="G3279" i="77"/>
  <c r="I3278" i="77"/>
  <c r="H3278" i="77"/>
  <c r="G3278" i="77"/>
  <c r="I3277" i="77"/>
  <c r="H3277" i="77"/>
  <c r="G3277" i="77"/>
  <c r="I3276" i="77"/>
  <c r="H3276" i="77"/>
  <c r="G3276" i="77"/>
  <c r="I3275" i="77"/>
  <c r="H3275" i="77"/>
  <c r="G3275" i="77"/>
  <c r="I3274" i="77"/>
  <c r="H3274" i="77"/>
  <c r="G3274" i="77"/>
  <c r="I3273" i="77"/>
  <c r="H3273" i="77"/>
  <c r="G3273" i="77"/>
  <c r="I3272" i="77"/>
  <c r="H3272" i="77"/>
  <c r="G3272" i="77"/>
  <c r="I3271" i="77"/>
  <c r="H3271" i="77"/>
  <c r="G3271" i="77"/>
  <c r="I3270" i="77"/>
  <c r="H3270" i="77"/>
  <c r="G3270" i="77"/>
  <c r="I3269" i="77"/>
  <c r="H3269" i="77"/>
  <c r="G3269" i="77"/>
  <c r="I3268" i="77"/>
  <c r="H3268" i="77"/>
  <c r="G3268" i="77"/>
  <c r="I3267" i="77"/>
  <c r="H3267" i="77"/>
  <c r="G3267" i="77"/>
  <c r="I3266" i="77"/>
  <c r="H3266" i="77"/>
  <c r="G3266" i="77"/>
  <c r="I3265" i="77"/>
  <c r="H3265" i="77"/>
  <c r="G3265" i="77"/>
  <c r="I3264" i="77"/>
  <c r="H3264" i="77"/>
  <c r="G3264" i="77"/>
  <c r="I3263" i="77"/>
  <c r="H3263" i="77"/>
  <c r="G3263" i="77"/>
  <c r="I3262" i="77"/>
  <c r="H3262" i="77"/>
  <c r="G3262" i="77"/>
  <c r="I3261" i="77"/>
  <c r="H3261" i="77"/>
  <c r="G3261" i="77"/>
  <c r="I3260" i="77"/>
  <c r="H3260" i="77"/>
  <c r="G3260" i="77"/>
  <c r="I3259" i="77"/>
  <c r="H3259" i="77"/>
  <c r="G3259" i="77"/>
  <c r="I3258" i="77"/>
  <c r="H3258" i="77"/>
  <c r="G3258" i="77"/>
  <c r="I3257" i="77"/>
  <c r="H3257" i="77"/>
  <c r="G3257" i="77"/>
  <c r="I3256" i="77"/>
  <c r="H3256" i="77"/>
  <c r="G3256" i="77"/>
  <c r="I3255" i="77"/>
  <c r="H3255" i="77"/>
  <c r="G3255" i="77"/>
  <c r="I3254" i="77"/>
  <c r="H3254" i="77"/>
  <c r="G3254" i="77"/>
  <c r="I3253" i="77"/>
  <c r="H3253" i="77"/>
  <c r="G3253" i="77"/>
  <c r="I3252" i="77"/>
  <c r="H3252" i="77"/>
  <c r="G3252" i="77"/>
  <c r="I3251" i="77"/>
  <c r="H3251" i="77"/>
  <c r="G3251" i="77"/>
  <c r="I3250" i="77"/>
  <c r="H3250" i="77"/>
  <c r="G3250" i="77"/>
  <c r="I3249" i="77"/>
  <c r="H3249" i="77"/>
  <c r="G3249" i="77"/>
  <c r="I3248" i="77"/>
  <c r="H3248" i="77"/>
  <c r="G3248" i="77"/>
  <c r="I3247" i="77"/>
  <c r="H3247" i="77"/>
  <c r="G3247" i="77"/>
  <c r="I3246" i="77"/>
  <c r="H3246" i="77"/>
  <c r="G3246" i="77"/>
  <c r="I3245" i="77"/>
  <c r="H3245" i="77"/>
  <c r="G3245" i="77"/>
  <c r="I3244" i="77"/>
  <c r="H3244" i="77"/>
  <c r="G3244" i="77"/>
  <c r="I3243" i="77"/>
  <c r="H3243" i="77"/>
  <c r="G3243" i="77"/>
  <c r="I3242" i="77"/>
  <c r="H3242" i="77"/>
  <c r="G3242" i="77"/>
  <c r="I3241" i="77"/>
  <c r="H3241" i="77"/>
  <c r="G3241" i="77"/>
  <c r="I3240" i="77"/>
  <c r="H3240" i="77"/>
  <c r="G3240" i="77"/>
  <c r="I3239" i="77"/>
  <c r="H3239" i="77"/>
  <c r="G3239" i="77"/>
  <c r="I3238" i="77"/>
  <c r="H3238" i="77"/>
  <c r="G3238" i="77"/>
  <c r="I3237" i="77"/>
  <c r="H3237" i="77"/>
  <c r="G3237" i="77"/>
  <c r="I3236" i="77"/>
  <c r="H3236" i="77"/>
  <c r="G3236" i="77"/>
  <c r="I3235" i="77"/>
  <c r="H3235" i="77"/>
  <c r="G3235" i="77"/>
  <c r="I3234" i="77"/>
  <c r="H3234" i="77"/>
  <c r="G3234" i="77"/>
  <c r="I3233" i="77"/>
  <c r="H3233" i="77"/>
  <c r="G3233" i="77"/>
  <c r="I3232" i="77"/>
  <c r="H3232" i="77"/>
  <c r="G3232" i="77"/>
  <c r="I3231" i="77"/>
  <c r="H3231" i="77"/>
  <c r="G3231" i="77"/>
  <c r="I3230" i="77"/>
  <c r="H3230" i="77"/>
  <c r="G3230" i="77"/>
  <c r="I3229" i="77"/>
  <c r="H3229" i="77"/>
  <c r="G3229" i="77"/>
  <c r="I3228" i="77"/>
  <c r="H3228" i="77"/>
  <c r="G3228" i="77"/>
  <c r="I3227" i="77"/>
  <c r="H3227" i="77"/>
  <c r="G3227" i="77"/>
  <c r="I3226" i="77"/>
  <c r="H3226" i="77"/>
  <c r="G3226" i="77"/>
  <c r="I3225" i="77"/>
  <c r="H3225" i="77"/>
  <c r="G3225" i="77"/>
  <c r="I3224" i="77"/>
  <c r="H3224" i="77"/>
  <c r="G3224" i="77"/>
  <c r="I3223" i="77"/>
  <c r="H3223" i="77"/>
  <c r="G3223" i="77"/>
  <c r="I3222" i="77"/>
  <c r="H3222" i="77"/>
  <c r="G3222" i="77"/>
  <c r="I3221" i="77"/>
  <c r="H3221" i="77"/>
  <c r="G3221" i="77"/>
  <c r="I3220" i="77"/>
  <c r="H3220" i="77"/>
  <c r="G3220" i="77"/>
  <c r="I3219" i="77"/>
  <c r="H3219" i="77"/>
  <c r="G3219" i="77"/>
  <c r="I3218" i="77"/>
  <c r="H3218" i="77"/>
  <c r="G3218" i="77"/>
  <c r="I3217" i="77"/>
  <c r="H3217" i="77"/>
  <c r="G3217" i="77"/>
  <c r="I3216" i="77"/>
  <c r="H3216" i="77"/>
  <c r="G3216" i="77"/>
  <c r="I3215" i="77"/>
  <c r="H3215" i="77"/>
  <c r="G3215" i="77"/>
  <c r="I3214" i="77"/>
  <c r="H3214" i="77"/>
  <c r="G3214" i="77"/>
  <c r="I3213" i="77"/>
  <c r="H3213" i="77"/>
  <c r="G3213" i="77"/>
  <c r="I3212" i="77"/>
  <c r="H3212" i="77"/>
  <c r="G3212" i="77"/>
  <c r="I3211" i="77"/>
  <c r="H3211" i="77"/>
  <c r="G3211" i="77"/>
  <c r="I3210" i="77"/>
  <c r="H3210" i="77"/>
  <c r="G3210" i="77"/>
  <c r="I3209" i="77"/>
  <c r="H3209" i="77"/>
  <c r="G3209" i="77"/>
  <c r="I3208" i="77"/>
  <c r="H3208" i="77"/>
  <c r="G3208" i="77"/>
  <c r="I3207" i="77"/>
  <c r="H3207" i="77"/>
  <c r="G3207" i="77"/>
  <c r="I3206" i="77"/>
  <c r="H3206" i="77"/>
  <c r="G3206" i="77"/>
  <c r="I3205" i="77"/>
  <c r="H3205" i="77"/>
  <c r="G3205" i="77"/>
  <c r="I3204" i="77"/>
  <c r="H3204" i="77"/>
  <c r="G3204" i="77"/>
  <c r="I3203" i="77"/>
  <c r="H3203" i="77"/>
  <c r="G3203" i="77"/>
  <c r="I3202" i="77"/>
  <c r="H3202" i="77"/>
  <c r="G3202" i="77"/>
  <c r="I3201" i="77"/>
  <c r="H3201" i="77"/>
  <c r="G3201" i="77"/>
  <c r="I3200" i="77"/>
  <c r="H3200" i="77"/>
  <c r="G3200" i="77"/>
  <c r="I3199" i="77"/>
  <c r="H3199" i="77"/>
  <c r="G3199" i="77"/>
  <c r="I3198" i="77"/>
  <c r="H3198" i="77"/>
  <c r="G3198" i="77"/>
  <c r="I3197" i="77"/>
  <c r="H3197" i="77"/>
  <c r="G3197" i="77"/>
  <c r="I3196" i="77"/>
  <c r="H3196" i="77"/>
  <c r="G3196" i="77"/>
  <c r="I3195" i="77"/>
  <c r="H3195" i="77"/>
  <c r="G3195" i="77"/>
  <c r="I3194" i="77"/>
  <c r="H3194" i="77"/>
  <c r="G3194" i="77"/>
  <c r="I3193" i="77"/>
  <c r="H3193" i="77"/>
  <c r="G3193" i="77"/>
  <c r="I3192" i="77"/>
  <c r="H3192" i="77"/>
  <c r="G3192" i="77"/>
  <c r="I3191" i="77"/>
  <c r="H3191" i="77"/>
  <c r="G3191" i="77"/>
  <c r="I3190" i="77"/>
  <c r="H3190" i="77"/>
  <c r="G3190" i="77"/>
  <c r="I3189" i="77"/>
  <c r="H3189" i="77"/>
  <c r="G3189" i="77"/>
  <c r="I3188" i="77"/>
  <c r="H3188" i="77"/>
  <c r="G3188" i="77"/>
  <c r="I3187" i="77"/>
  <c r="H3187" i="77"/>
  <c r="G3187" i="77"/>
  <c r="I3186" i="77"/>
  <c r="H3186" i="77"/>
  <c r="G3186" i="77"/>
  <c r="I3185" i="77"/>
  <c r="H3185" i="77"/>
  <c r="G3185" i="77"/>
  <c r="I3184" i="77"/>
  <c r="H3184" i="77"/>
  <c r="G3184" i="77"/>
  <c r="I3183" i="77"/>
  <c r="H3183" i="77"/>
  <c r="G3183" i="77"/>
  <c r="I3182" i="77"/>
  <c r="H3182" i="77"/>
  <c r="G3182" i="77"/>
  <c r="I3181" i="77"/>
  <c r="H3181" i="77"/>
  <c r="G3181" i="77"/>
  <c r="I3180" i="77"/>
  <c r="H3180" i="77"/>
  <c r="G3180" i="77"/>
  <c r="I3179" i="77"/>
  <c r="H3179" i="77"/>
  <c r="G3179" i="77"/>
  <c r="I3178" i="77"/>
  <c r="H3178" i="77"/>
  <c r="G3178" i="77"/>
  <c r="I3177" i="77"/>
  <c r="H3177" i="77"/>
  <c r="G3177" i="77"/>
  <c r="I3176" i="77"/>
  <c r="H3176" i="77"/>
  <c r="G3176" i="77"/>
  <c r="I3175" i="77"/>
  <c r="H3175" i="77"/>
  <c r="G3175" i="77"/>
  <c r="I3174" i="77"/>
  <c r="H3174" i="77"/>
  <c r="G3174" i="77"/>
  <c r="I3173" i="77"/>
  <c r="H3173" i="77"/>
  <c r="G3173" i="77"/>
  <c r="I3172" i="77"/>
  <c r="H3172" i="77"/>
  <c r="G3172" i="77"/>
  <c r="I3171" i="77"/>
  <c r="H3171" i="77"/>
  <c r="G3171" i="77"/>
  <c r="I3170" i="77"/>
  <c r="H3170" i="77"/>
  <c r="G3170" i="77"/>
  <c r="I3169" i="77"/>
  <c r="H3169" i="77"/>
  <c r="G3169" i="77"/>
  <c r="I3168" i="77"/>
  <c r="H3168" i="77"/>
  <c r="G3168" i="77"/>
  <c r="I3167" i="77"/>
  <c r="H3167" i="77"/>
  <c r="G3167" i="77"/>
  <c r="I3166" i="77"/>
  <c r="H3166" i="77"/>
  <c r="G3166" i="77"/>
  <c r="I3165" i="77"/>
  <c r="H3165" i="77"/>
  <c r="G3165" i="77"/>
  <c r="I3164" i="77"/>
  <c r="H3164" i="77"/>
  <c r="G3164" i="77"/>
  <c r="I3163" i="77"/>
  <c r="H3163" i="77"/>
  <c r="G3163" i="77"/>
  <c r="I3162" i="77"/>
  <c r="H3162" i="77"/>
  <c r="G3162" i="77"/>
  <c r="I3161" i="77"/>
  <c r="H3161" i="77"/>
  <c r="G3161" i="77"/>
  <c r="I3160" i="77"/>
  <c r="H3160" i="77"/>
  <c r="G3160" i="77"/>
  <c r="I3159" i="77"/>
  <c r="H3159" i="77"/>
  <c r="G3159" i="77"/>
  <c r="I3158" i="77"/>
  <c r="H3158" i="77"/>
  <c r="G3158" i="77"/>
  <c r="I3157" i="77"/>
  <c r="H3157" i="77"/>
  <c r="G3157" i="77"/>
  <c r="I3156" i="77"/>
  <c r="H3156" i="77"/>
  <c r="G3156" i="77"/>
  <c r="I3155" i="77"/>
  <c r="H3155" i="77"/>
  <c r="G3155" i="77"/>
  <c r="I3154" i="77"/>
  <c r="H3154" i="77"/>
  <c r="G3154" i="77"/>
  <c r="I3153" i="77"/>
  <c r="H3153" i="77"/>
  <c r="G3153" i="77"/>
  <c r="I3152" i="77"/>
  <c r="H3152" i="77"/>
  <c r="G3152" i="77"/>
  <c r="I3151" i="77"/>
  <c r="H3151" i="77"/>
  <c r="G3151" i="77"/>
  <c r="I3150" i="77"/>
  <c r="H3150" i="77"/>
  <c r="G3150" i="77"/>
  <c r="I3149" i="77"/>
  <c r="H3149" i="77"/>
  <c r="G3149" i="77"/>
  <c r="I3148" i="77"/>
  <c r="H3148" i="77"/>
  <c r="G3148" i="77"/>
  <c r="I3147" i="77"/>
  <c r="H3147" i="77"/>
  <c r="G3147" i="77"/>
  <c r="I3146" i="77"/>
  <c r="H3146" i="77"/>
  <c r="G3146" i="77"/>
  <c r="I3145" i="77"/>
  <c r="H3145" i="77"/>
  <c r="G3145" i="77"/>
  <c r="I3144" i="77"/>
  <c r="H3144" i="77"/>
  <c r="G3144" i="77"/>
  <c r="I3143" i="77"/>
  <c r="H3143" i="77"/>
  <c r="G3143" i="77"/>
  <c r="I3142" i="77"/>
  <c r="H3142" i="77"/>
  <c r="G3142" i="77"/>
  <c r="I3141" i="77"/>
  <c r="H3141" i="77"/>
  <c r="G3141" i="77"/>
  <c r="I3140" i="77"/>
  <c r="H3140" i="77"/>
  <c r="G3140" i="77"/>
  <c r="I3139" i="77"/>
  <c r="H3139" i="77"/>
  <c r="G3139" i="77"/>
  <c r="I3138" i="77"/>
  <c r="H3138" i="77"/>
  <c r="G3138" i="77"/>
  <c r="I3137" i="77"/>
  <c r="H3137" i="77"/>
  <c r="G3137" i="77"/>
  <c r="I3136" i="77"/>
  <c r="H3136" i="77"/>
  <c r="G3136" i="77"/>
  <c r="I3135" i="77"/>
  <c r="H3135" i="77"/>
  <c r="G3135" i="77"/>
  <c r="I3134" i="77"/>
  <c r="H3134" i="77"/>
  <c r="G3134" i="77"/>
  <c r="I3133" i="77"/>
  <c r="H3133" i="77"/>
  <c r="G3133" i="77"/>
  <c r="I3132" i="77"/>
  <c r="H3132" i="77"/>
  <c r="G3132" i="77"/>
  <c r="I3131" i="77"/>
  <c r="H3131" i="77"/>
  <c r="G3131" i="77"/>
  <c r="I3130" i="77"/>
  <c r="H3130" i="77"/>
  <c r="G3130" i="77"/>
  <c r="I3129" i="77"/>
  <c r="H3129" i="77"/>
  <c r="G3129" i="77"/>
  <c r="I3128" i="77"/>
  <c r="H3128" i="77"/>
  <c r="G3128" i="77"/>
  <c r="I3127" i="77"/>
  <c r="H3127" i="77"/>
  <c r="G3127" i="77"/>
  <c r="I3126" i="77"/>
  <c r="H3126" i="77"/>
  <c r="G3126" i="77"/>
  <c r="I3125" i="77"/>
  <c r="H3125" i="77"/>
  <c r="G3125" i="77"/>
  <c r="I3124" i="77"/>
  <c r="H3124" i="77"/>
  <c r="G3124" i="77"/>
  <c r="I3123" i="77"/>
  <c r="H3123" i="77"/>
  <c r="G3123" i="77"/>
  <c r="I3122" i="77"/>
  <c r="H3122" i="77"/>
  <c r="G3122" i="77"/>
  <c r="I3121" i="77"/>
  <c r="H3121" i="77"/>
  <c r="G3121" i="77"/>
  <c r="I3120" i="77"/>
  <c r="H3120" i="77"/>
  <c r="G3120" i="77"/>
  <c r="I3119" i="77"/>
  <c r="H3119" i="77"/>
  <c r="G3119" i="77"/>
  <c r="I3118" i="77"/>
  <c r="H3118" i="77"/>
  <c r="G3118" i="77"/>
  <c r="I3117" i="77"/>
  <c r="H3117" i="77"/>
  <c r="G3117" i="77"/>
  <c r="I3116" i="77"/>
  <c r="H3116" i="77"/>
  <c r="G3116" i="77"/>
  <c r="I3115" i="77"/>
  <c r="H3115" i="77"/>
  <c r="G3115" i="77"/>
  <c r="I3114" i="77"/>
  <c r="H3114" i="77"/>
  <c r="G3114" i="77"/>
  <c r="I3113" i="77"/>
  <c r="H3113" i="77"/>
  <c r="G3113" i="77"/>
  <c r="I3112" i="77"/>
  <c r="H3112" i="77"/>
  <c r="G3112" i="77"/>
  <c r="I3111" i="77"/>
  <c r="H3111" i="77"/>
  <c r="G3111" i="77"/>
  <c r="I3110" i="77"/>
  <c r="H3110" i="77"/>
  <c r="G3110" i="77"/>
  <c r="I3109" i="77"/>
  <c r="H3109" i="77"/>
  <c r="G3109" i="77"/>
  <c r="I3108" i="77"/>
  <c r="H3108" i="77"/>
  <c r="G3108" i="77"/>
  <c r="I3107" i="77"/>
  <c r="H3107" i="77"/>
  <c r="G3107" i="77"/>
  <c r="I3106" i="77"/>
  <c r="H3106" i="77"/>
  <c r="G3106" i="77"/>
  <c r="I3105" i="77"/>
  <c r="H3105" i="77"/>
  <c r="G3105" i="77"/>
  <c r="I3104" i="77"/>
  <c r="H3104" i="77"/>
  <c r="G3104" i="77"/>
  <c r="I3103" i="77"/>
  <c r="H3103" i="77"/>
  <c r="G3103" i="77"/>
  <c r="I3102" i="77"/>
  <c r="H3102" i="77"/>
  <c r="G3102" i="77"/>
  <c r="I3101" i="77"/>
  <c r="H3101" i="77"/>
  <c r="G3101" i="77"/>
  <c r="I3100" i="77"/>
  <c r="H3100" i="77"/>
  <c r="G3100" i="77"/>
  <c r="I3099" i="77"/>
  <c r="H3099" i="77"/>
  <c r="G3099" i="77"/>
  <c r="I3098" i="77"/>
  <c r="H3098" i="77"/>
  <c r="G3098" i="77"/>
  <c r="I3097" i="77"/>
  <c r="H3097" i="77"/>
  <c r="G3097" i="77"/>
  <c r="I3096" i="77"/>
  <c r="H3096" i="77"/>
  <c r="G3096" i="77"/>
  <c r="I3095" i="77"/>
  <c r="H3095" i="77"/>
  <c r="G3095" i="77"/>
  <c r="I3094" i="77"/>
  <c r="H3094" i="77"/>
  <c r="G3094" i="77"/>
  <c r="I3093" i="77"/>
  <c r="H3093" i="77"/>
  <c r="G3093" i="77"/>
  <c r="I3092" i="77"/>
  <c r="H3092" i="77"/>
  <c r="G3092" i="77"/>
  <c r="I3091" i="77"/>
  <c r="H3091" i="77"/>
  <c r="G3091" i="77"/>
  <c r="I3090" i="77"/>
  <c r="H3090" i="77"/>
  <c r="G3090" i="77"/>
  <c r="I3089" i="77"/>
  <c r="H3089" i="77"/>
  <c r="G3089" i="77"/>
  <c r="I3088" i="77"/>
  <c r="H3088" i="77"/>
  <c r="G3088" i="77"/>
  <c r="I3087" i="77"/>
  <c r="H3087" i="77"/>
  <c r="G3087" i="77"/>
  <c r="I3086" i="77"/>
  <c r="H3086" i="77"/>
  <c r="G3086" i="77"/>
  <c r="I3085" i="77"/>
  <c r="H3085" i="77"/>
  <c r="G3085" i="77"/>
  <c r="I3084" i="77"/>
  <c r="H3084" i="77"/>
  <c r="G3084" i="77"/>
  <c r="I3083" i="77"/>
  <c r="H3083" i="77"/>
  <c r="G3083" i="77"/>
  <c r="I3082" i="77"/>
  <c r="H3082" i="77"/>
  <c r="G3082" i="77"/>
  <c r="I3081" i="77"/>
  <c r="H3081" i="77"/>
  <c r="G3081" i="77"/>
  <c r="I3080" i="77"/>
  <c r="H3080" i="77"/>
  <c r="G3080" i="77"/>
  <c r="I3079" i="77"/>
  <c r="H3079" i="77"/>
  <c r="G3079" i="77"/>
  <c r="I3078" i="77"/>
  <c r="H3078" i="77"/>
  <c r="G3078" i="77"/>
  <c r="I3077" i="77"/>
  <c r="H3077" i="77"/>
  <c r="G3077" i="77"/>
  <c r="I3076" i="77"/>
  <c r="H3076" i="77"/>
  <c r="G3076" i="77"/>
  <c r="I3075" i="77"/>
  <c r="H3075" i="77"/>
  <c r="G3075" i="77"/>
  <c r="I3074" i="77"/>
  <c r="H3074" i="77"/>
  <c r="G3074" i="77"/>
  <c r="I3073" i="77"/>
  <c r="H3073" i="77"/>
  <c r="G3073" i="77"/>
  <c r="I3072" i="77"/>
  <c r="H3072" i="77"/>
  <c r="G3072" i="77"/>
  <c r="I3071" i="77"/>
  <c r="H3071" i="77"/>
  <c r="G3071" i="77"/>
  <c r="I3070" i="77"/>
  <c r="H3070" i="77"/>
  <c r="G3070" i="77"/>
  <c r="I3069" i="77"/>
  <c r="H3069" i="77"/>
  <c r="G3069" i="77"/>
  <c r="I3068" i="77"/>
  <c r="H3068" i="77"/>
  <c r="G3068" i="77"/>
  <c r="I3067" i="77"/>
  <c r="H3067" i="77"/>
  <c r="G3067" i="77"/>
  <c r="I3066" i="77"/>
  <c r="H3066" i="77"/>
  <c r="G3066" i="77"/>
  <c r="I3065" i="77"/>
  <c r="H3065" i="77"/>
  <c r="G3065" i="77"/>
  <c r="I3064" i="77"/>
  <c r="H3064" i="77"/>
  <c r="G3064" i="77"/>
  <c r="I3063" i="77"/>
  <c r="H3063" i="77"/>
  <c r="G3063" i="77"/>
  <c r="I3062" i="77"/>
  <c r="H3062" i="77"/>
  <c r="G3062" i="77"/>
  <c r="I3061" i="77"/>
  <c r="H3061" i="77"/>
  <c r="G3061" i="77"/>
  <c r="I3060" i="77"/>
  <c r="H3060" i="77"/>
  <c r="G3060" i="77"/>
  <c r="I3059" i="77"/>
  <c r="H3059" i="77"/>
  <c r="G3059" i="77"/>
  <c r="I3058" i="77"/>
  <c r="H3058" i="77"/>
  <c r="G3058" i="77"/>
  <c r="I3057" i="77"/>
  <c r="H3057" i="77"/>
  <c r="G3057" i="77"/>
  <c r="I3056" i="77"/>
  <c r="H3056" i="77"/>
  <c r="G3056" i="77"/>
  <c r="I3055" i="77"/>
  <c r="H3055" i="77"/>
  <c r="G3055" i="77"/>
  <c r="I3054" i="77"/>
  <c r="H3054" i="77"/>
  <c r="G3054" i="77"/>
  <c r="I3053" i="77"/>
  <c r="H3053" i="77"/>
  <c r="G3053" i="77"/>
  <c r="I3052" i="77"/>
  <c r="H3052" i="77"/>
  <c r="G3052" i="77"/>
  <c r="I3051" i="77"/>
  <c r="H3051" i="77"/>
  <c r="G3051" i="77"/>
  <c r="I3050" i="77"/>
  <c r="H3050" i="77"/>
  <c r="G3050" i="77"/>
  <c r="I3049" i="77"/>
  <c r="H3049" i="77"/>
  <c r="G3049" i="77"/>
  <c r="I3048" i="77"/>
  <c r="H3048" i="77"/>
  <c r="G3048" i="77"/>
  <c r="I3047" i="77"/>
  <c r="H3047" i="77"/>
  <c r="G3047" i="77"/>
  <c r="I3046" i="77"/>
  <c r="H3046" i="77"/>
  <c r="G3046" i="77"/>
  <c r="I3045" i="77"/>
  <c r="H3045" i="77"/>
  <c r="G3045" i="77"/>
  <c r="I3044" i="77"/>
  <c r="H3044" i="77"/>
  <c r="G3044" i="77"/>
  <c r="I3043" i="77"/>
  <c r="H3043" i="77"/>
  <c r="G3043" i="77"/>
  <c r="I3042" i="77"/>
  <c r="H3042" i="77"/>
  <c r="G3042" i="77"/>
  <c r="I3041" i="77"/>
  <c r="H3041" i="77"/>
  <c r="G3041" i="77"/>
  <c r="I3040" i="77"/>
  <c r="H3040" i="77"/>
  <c r="G3040" i="77"/>
  <c r="I3039" i="77"/>
  <c r="H3039" i="77"/>
  <c r="G3039" i="77"/>
  <c r="I3038" i="77"/>
  <c r="H3038" i="77"/>
  <c r="G3038" i="77"/>
  <c r="I3037" i="77"/>
  <c r="H3037" i="77"/>
  <c r="G3037" i="77"/>
  <c r="I3036" i="77"/>
  <c r="H3036" i="77"/>
  <c r="G3036" i="77"/>
  <c r="I3035" i="77"/>
  <c r="H3035" i="77"/>
  <c r="G3035" i="77"/>
  <c r="I3034" i="77"/>
  <c r="H3034" i="77"/>
  <c r="G3034" i="77"/>
  <c r="I3033" i="77"/>
  <c r="H3033" i="77"/>
  <c r="G3033" i="77"/>
  <c r="I3032" i="77"/>
  <c r="H3032" i="77"/>
  <c r="G3032" i="77"/>
  <c r="I3031" i="77"/>
  <c r="H3031" i="77"/>
  <c r="G3031" i="77"/>
  <c r="I3030" i="77"/>
  <c r="H3030" i="77"/>
  <c r="G3030" i="77"/>
  <c r="I3029" i="77"/>
  <c r="H3029" i="77"/>
  <c r="G3029" i="77"/>
  <c r="I3028" i="77"/>
  <c r="H3028" i="77"/>
  <c r="G3028" i="77"/>
  <c r="I3027" i="77"/>
  <c r="H3027" i="77"/>
  <c r="G3027" i="77"/>
  <c r="I3026" i="77"/>
  <c r="H3026" i="77"/>
  <c r="G3026" i="77"/>
  <c r="I3025" i="77"/>
  <c r="H3025" i="77"/>
  <c r="G3025" i="77"/>
  <c r="I3024" i="77"/>
  <c r="H3024" i="77"/>
  <c r="G3024" i="77"/>
  <c r="I3023" i="77"/>
  <c r="H3023" i="77"/>
  <c r="G3023" i="77"/>
  <c r="I3022" i="77"/>
  <c r="H3022" i="77"/>
  <c r="G3022" i="77"/>
  <c r="I3021" i="77"/>
  <c r="H3021" i="77"/>
  <c r="G3021" i="77"/>
  <c r="I3020" i="77"/>
  <c r="H3020" i="77"/>
  <c r="G3020" i="77"/>
  <c r="I3019" i="77"/>
  <c r="H3019" i="77"/>
  <c r="G3019" i="77"/>
  <c r="I3018" i="77"/>
  <c r="H3018" i="77"/>
  <c r="G3018" i="77"/>
  <c r="I3017" i="77"/>
  <c r="H3017" i="77"/>
  <c r="G3017" i="77"/>
  <c r="I3016" i="77"/>
  <c r="H3016" i="77"/>
  <c r="G3016" i="77"/>
  <c r="I3015" i="77"/>
  <c r="H3015" i="77"/>
  <c r="G3015" i="77"/>
  <c r="I3014" i="77"/>
  <c r="H3014" i="77"/>
  <c r="G3014" i="77"/>
  <c r="I3013" i="77"/>
  <c r="H3013" i="77"/>
  <c r="G3013" i="77"/>
  <c r="I3012" i="77"/>
  <c r="H3012" i="77"/>
  <c r="G3012" i="77"/>
  <c r="I3011" i="77"/>
  <c r="H3011" i="77"/>
  <c r="G3011" i="77"/>
  <c r="I3010" i="77"/>
  <c r="H3010" i="77"/>
  <c r="G3010" i="77"/>
  <c r="I3009" i="77"/>
  <c r="H3009" i="77"/>
  <c r="G3009" i="77"/>
  <c r="I3008" i="77"/>
  <c r="H3008" i="77"/>
  <c r="G3008" i="77"/>
  <c r="I3007" i="77"/>
  <c r="H3007" i="77"/>
  <c r="G3007" i="77"/>
  <c r="I3006" i="77"/>
  <c r="H3006" i="77"/>
  <c r="G3006" i="77"/>
  <c r="I3005" i="77"/>
  <c r="H3005" i="77"/>
  <c r="G3005" i="77"/>
  <c r="I3004" i="77"/>
  <c r="H3004" i="77"/>
  <c r="G3004" i="77"/>
  <c r="I3003" i="77"/>
  <c r="H3003" i="77"/>
  <c r="G3003" i="77"/>
  <c r="I3002" i="77"/>
  <c r="H3002" i="77"/>
  <c r="G3002" i="77"/>
  <c r="I3001" i="77"/>
  <c r="H3001" i="77"/>
  <c r="G3001" i="77"/>
  <c r="I3000" i="77"/>
  <c r="H3000" i="77"/>
  <c r="G3000" i="77"/>
  <c r="I2999" i="77"/>
  <c r="H2999" i="77"/>
  <c r="G2999" i="77"/>
  <c r="I2998" i="77"/>
  <c r="H2998" i="77"/>
  <c r="G2998" i="77"/>
  <c r="I2997" i="77"/>
  <c r="H2997" i="77"/>
  <c r="G2997" i="77"/>
  <c r="I2996" i="77"/>
  <c r="H2996" i="77"/>
  <c r="G2996" i="77"/>
  <c r="I2995" i="77"/>
  <c r="H2995" i="77"/>
  <c r="G2995" i="77"/>
  <c r="I2994" i="77"/>
  <c r="H2994" i="77"/>
  <c r="G2994" i="77"/>
  <c r="I2993" i="77"/>
  <c r="H2993" i="77"/>
  <c r="G2993" i="77"/>
  <c r="I2992" i="77"/>
  <c r="H2992" i="77"/>
  <c r="G2992" i="77"/>
  <c r="I2991" i="77"/>
  <c r="H2991" i="77"/>
  <c r="G2991" i="77"/>
  <c r="I2990" i="77"/>
  <c r="H2990" i="77"/>
  <c r="G2990" i="77"/>
  <c r="I2989" i="77"/>
  <c r="H2989" i="77"/>
  <c r="G2989" i="77"/>
  <c r="I2988" i="77"/>
  <c r="H2988" i="77"/>
  <c r="G2988" i="77"/>
  <c r="I2987" i="77"/>
  <c r="H2987" i="77"/>
  <c r="G2987" i="77"/>
  <c r="I2986" i="77"/>
  <c r="H2986" i="77"/>
  <c r="G2986" i="77"/>
  <c r="I2985" i="77"/>
  <c r="H2985" i="77"/>
  <c r="G2985" i="77"/>
  <c r="I2984" i="77"/>
  <c r="H2984" i="77"/>
  <c r="G2984" i="77"/>
  <c r="I2983" i="77"/>
  <c r="H2983" i="77"/>
  <c r="G2983" i="77"/>
  <c r="I2982" i="77"/>
  <c r="H2982" i="77"/>
  <c r="G2982" i="77"/>
  <c r="I2981" i="77"/>
  <c r="H2981" i="77"/>
  <c r="G2981" i="77"/>
  <c r="I2980" i="77"/>
  <c r="H2980" i="77"/>
  <c r="G2980" i="77"/>
  <c r="I2979" i="77"/>
  <c r="H2979" i="77"/>
  <c r="G2979" i="77"/>
  <c r="I2978" i="77"/>
  <c r="H2978" i="77"/>
  <c r="G2978" i="77"/>
  <c r="I2977" i="77"/>
  <c r="H2977" i="77"/>
  <c r="G2977" i="77"/>
  <c r="I2976" i="77"/>
  <c r="H2976" i="77"/>
  <c r="G2976" i="77"/>
  <c r="I2975" i="77"/>
  <c r="H2975" i="77"/>
  <c r="G2975" i="77"/>
  <c r="I2974" i="77"/>
  <c r="H2974" i="77"/>
  <c r="G2974" i="77"/>
  <c r="I2973" i="77"/>
  <c r="H2973" i="77"/>
  <c r="G2973" i="77"/>
  <c r="I2972" i="77"/>
  <c r="H2972" i="77"/>
  <c r="G2972" i="77"/>
  <c r="I2971" i="77"/>
  <c r="H2971" i="77"/>
  <c r="G2971" i="77"/>
  <c r="I2970" i="77"/>
  <c r="H2970" i="77"/>
  <c r="G2970" i="77"/>
  <c r="I2969" i="77"/>
  <c r="H2969" i="77"/>
  <c r="G2969" i="77"/>
  <c r="I2968" i="77"/>
  <c r="H2968" i="77"/>
  <c r="G2968" i="77"/>
  <c r="I2967" i="77"/>
  <c r="H2967" i="77"/>
  <c r="G2967" i="77"/>
  <c r="I2966" i="77"/>
  <c r="H2966" i="77"/>
  <c r="G2966" i="77"/>
  <c r="I2965" i="77"/>
  <c r="H2965" i="77"/>
  <c r="G2965" i="77"/>
  <c r="I2964" i="77"/>
  <c r="H2964" i="77"/>
  <c r="G2964" i="77"/>
  <c r="I2963" i="77"/>
  <c r="H2963" i="77"/>
  <c r="G2963" i="77"/>
  <c r="I2962" i="77"/>
  <c r="H2962" i="77"/>
  <c r="G2962" i="77"/>
  <c r="I2961" i="77"/>
  <c r="H2961" i="77"/>
  <c r="G2961" i="77"/>
  <c r="I2960" i="77"/>
  <c r="H2960" i="77"/>
  <c r="G2960" i="77"/>
  <c r="I2959" i="77"/>
  <c r="H2959" i="77"/>
  <c r="G2959" i="77"/>
  <c r="I2958" i="77"/>
  <c r="H2958" i="77"/>
  <c r="G2958" i="77"/>
  <c r="I2957" i="77"/>
  <c r="H2957" i="77"/>
  <c r="G2957" i="77"/>
  <c r="I2956" i="77"/>
  <c r="H2956" i="77"/>
  <c r="G2956" i="77"/>
  <c r="I2955" i="77"/>
  <c r="H2955" i="77"/>
  <c r="G2955" i="77"/>
  <c r="I2954" i="77"/>
  <c r="H2954" i="77"/>
  <c r="G2954" i="77"/>
  <c r="I2953" i="77"/>
  <c r="H2953" i="77"/>
  <c r="G2953" i="77"/>
  <c r="I2952" i="77"/>
  <c r="H2952" i="77"/>
  <c r="G2952" i="77"/>
  <c r="I2951" i="77"/>
  <c r="H2951" i="77"/>
  <c r="G2951" i="77"/>
  <c r="I2950" i="77"/>
  <c r="H2950" i="77"/>
  <c r="G2950" i="77"/>
  <c r="I2949" i="77"/>
  <c r="H2949" i="77"/>
  <c r="G2949" i="77"/>
  <c r="I2948" i="77"/>
  <c r="H2948" i="77"/>
  <c r="G2948" i="77"/>
  <c r="I2947" i="77"/>
  <c r="H2947" i="77"/>
  <c r="G2947" i="77"/>
  <c r="I2946" i="77"/>
  <c r="H2946" i="77"/>
  <c r="G2946" i="77"/>
  <c r="I2945" i="77"/>
  <c r="H2945" i="77"/>
  <c r="G2945" i="77"/>
  <c r="I2944" i="77"/>
  <c r="H2944" i="77"/>
  <c r="G2944" i="77"/>
  <c r="I2943" i="77"/>
  <c r="H2943" i="77"/>
  <c r="G2943" i="77"/>
  <c r="I2942" i="77"/>
  <c r="H2942" i="77"/>
  <c r="G2942" i="77"/>
  <c r="I2941" i="77"/>
  <c r="H2941" i="77"/>
  <c r="G2941" i="77"/>
  <c r="I2940" i="77"/>
  <c r="H2940" i="77"/>
  <c r="G2940" i="77"/>
  <c r="I2939" i="77"/>
  <c r="H2939" i="77"/>
  <c r="G2939" i="77"/>
  <c r="I2938" i="77"/>
  <c r="H2938" i="77"/>
  <c r="G2938" i="77"/>
  <c r="I2937" i="77"/>
  <c r="H2937" i="77"/>
  <c r="G2937" i="77"/>
  <c r="I2936" i="77"/>
  <c r="H2936" i="77"/>
  <c r="G2936" i="77"/>
  <c r="I2935" i="77"/>
  <c r="H2935" i="77"/>
  <c r="G2935" i="77"/>
  <c r="I2934" i="77"/>
  <c r="H2934" i="77"/>
  <c r="G2934" i="77"/>
  <c r="I2933" i="77"/>
  <c r="H2933" i="77"/>
  <c r="G2933" i="77"/>
  <c r="I2932" i="77"/>
  <c r="H2932" i="77"/>
  <c r="G2932" i="77"/>
  <c r="I2931" i="77"/>
  <c r="H2931" i="77"/>
  <c r="G2931" i="77"/>
  <c r="I2930" i="77"/>
  <c r="H2930" i="77"/>
  <c r="G2930" i="77"/>
  <c r="I2929" i="77"/>
  <c r="H2929" i="77"/>
  <c r="G2929" i="77"/>
  <c r="I2928" i="77"/>
  <c r="H2928" i="77"/>
  <c r="G2928" i="77"/>
  <c r="I2927" i="77"/>
  <c r="H2927" i="77"/>
  <c r="G2927" i="77"/>
  <c r="I2926" i="77"/>
  <c r="H2926" i="77"/>
  <c r="G2926" i="77"/>
  <c r="I2925" i="77"/>
  <c r="H2925" i="77"/>
  <c r="G2925" i="77"/>
  <c r="I2924" i="77"/>
  <c r="H2924" i="77"/>
  <c r="G2924" i="77"/>
  <c r="I2923" i="77"/>
  <c r="H2923" i="77"/>
  <c r="G2923" i="77"/>
  <c r="I2922" i="77"/>
  <c r="H2922" i="77"/>
  <c r="G2922" i="77"/>
  <c r="I2921" i="77"/>
  <c r="H2921" i="77"/>
  <c r="G2921" i="77"/>
  <c r="I2920" i="77"/>
  <c r="H2920" i="77"/>
  <c r="G2920" i="77"/>
  <c r="I2919" i="77"/>
  <c r="H2919" i="77"/>
  <c r="G2919" i="77"/>
  <c r="I2918" i="77"/>
  <c r="H2918" i="77"/>
  <c r="G2918" i="77"/>
  <c r="I2917" i="77"/>
  <c r="H2917" i="77"/>
  <c r="G2917" i="77"/>
  <c r="I2916" i="77"/>
  <c r="H2916" i="77"/>
  <c r="G2916" i="77"/>
  <c r="I2915" i="77"/>
  <c r="H2915" i="77"/>
  <c r="G2915" i="77"/>
  <c r="I2914" i="77"/>
  <c r="H2914" i="77"/>
  <c r="G2914" i="77"/>
  <c r="I2913" i="77"/>
  <c r="H2913" i="77"/>
  <c r="G2913" i="77"/>
  <c r="I2912" i="77"/>
  <c r="H2912" i="77"/>
  <c r="G2912" i="77"/>
  <c r="I2911" i="77"/>
  <c r="H2911" i="77"/>
  <c r="G2911" i="77"/>
  <c r="I2910" i="77"/>
  <c r="H2910" i="77"/>
  <c r="G2910" i="77"/>
  <c r="I2909" i="77"/>
  <c r="H2909" i="77"/>
  <c r="G2909" i="77"/>
  <c r="I2908" i="77"/>
  <c r="H2908" i="77"/>
  <c r="G2908" i="77"/>
  <c r="I2907" i="77"/>
  <c r="H2907" i="77"/>
  <c r="G2907" i="77"/>
  <c r="I2906" i="77"/>
  <c r="H2906" i="77"/>
  <c r="G2906" i="77"/>
  <c r="I2905" i="77"/>
  <c r="H2905" i="77"/>
  <c r="G2905" i="77"/>
  <c r="I2904" i="77"/>
  <c r="H2904" i="77"/>
  <c r="G2904" i="77"/>
  <c r="I2903" i="77"/>
  <c r="H2903" i="77"/>
  <c r="G2903" i="77"/>
  <c r="I2902" i="77"/>
  <c r="H2902" i="77"/>
  <c r="G2902" i="77"/>
  <c r="I2901" i="77"/>
  <c r="H2901" i="77"/>
  <c r="G2901" i="77"/>
  <c r="I2900" i="77"/>
  <c r="H2900" i="77"/>
  <c r="G2900" i="77"/>
  <c r="I2899" i="77"/>
  <c r="H2899" i="77"/>
  <c r="G2899" i="77"/>
  <c r="I2898" i="77"/>
  <c r="H2898" i="77"/>
  <c r="G2898" i="77"/>
  <c r="I2897" i="77"/>
  <c r="H2897" i="77"/>
  <c r="G2897" i="77"/>
  <c r="I2896" i="77"/>
  <c r="H2896" i="77"/>
  <c r="G2896" i="77"/>
  <c r="I2895" i="77"/>
  <c r="H2895" i="77"/>
  <c r="G2895" i="77"/>
  <c r="I2894" i="77"/>
  <c r="H2894" i="77"/>
  <c r="G2894" i="77"/>
  <c r="I2893" i="77"/>
  <c r="H2893" i="77"/>
  <c r="G2893" i="77"/>
  <c r="I2892" i="77"/>
  <c r="H2892" i="77"/>
  <c r="G2892" i="77"/>
  <c r="I2891" i="77"/>
  <c r="H2891" i="77"/>
  <c r="G2891" i="77"/>
  <c r="I2890" i="77"/>
  <c r="H2890" i="77"/>
  <c r="G2890" i="77"/>
  <c r="I2889" i="77"/>
  <c r="H2889" i="77"/>
  <c r="G2889" i="77"/>
  <c r="I2888" i="77"/>
  <c r="H2888" i="77"/>
  <c r="G2888" i="77"/>
  <c r="I2887" i="77"/>
  <c r="H2887" i="77"/>
  <c r="G2887" i="77"/>
  <c r="I2886" i="77"/>
  <c r="H2886" i="77"/>
  <c r="G2886" i="77"/>
  <c r="I2885" i="77"/>
  <c r="H2885" i="77"/>
  <c r="G2885" i="77"/>
  <c r="I2884" i="77"/>
  <c r="H2884" i="77"/>
  <c r="G2884" i="77"/>
  <c r="I2883" i="77"/>
  <c r="H2883" i="77"/>
  <c r="G2883" i="77"/>
  <c r="I2882" i="77"/>
  <c r="H2882" i="77"/>
  <c r="G2882" i="77"/>
  <c r="I2881" i="77"/>
  <c r="H2881" i="77"/>
  <c r="G2881" i="77"/>
  <c r="I2880" i="77"/>
  <c r="H2880" i="77"/>
  <c r="G2880" i="77"/>
  <c r="I2879" i="77"/>
  <c r="H2879" i="77"/>
  <c r="G2879" i="77"/>
  <c r="I2878" i="77"/>
  <c r="H2878" i="77"/>
  <c r="G2878" i="77"/>
  <c r="I2877" i="77"/>
  <c r="H2877" i="77"/>
  <c r="G2877" i="77"/>
  <c r="I2876" i="77"/>
  <c r="H2876" i="77"/>
  <c r="G2876" i="77"/>
  <c r="I2875" i="77"/>
  <c r="H2875" i="77"/>
  <c r="G2875" i="77"/>
  <c r="I2874" i="77"/>
  <c r="H2874" i="77"/>
  <c r="G2874" i="77"/>
  <c r="I2873" i="77"/>
  <c r="H2873" i="77"/>
  <c r="G2873" i="77"/>
  <c r="I2872" i="77"/>
  <c r="H2872" i="77"/>
  <c r="G2872" i="77"/>
  <c r="I2871" i="77"/>
  <c r="H2871" i="77"/>
  <c r="G2871" i="77"/>
  <c r="I2870" i="77"/>
  <c r="H2870" i="77"/>
  <c r="G2870" i="77"/>
  <c r="I2869" i="77"/>
  <c r="H2869" i="77"/>
  <c r="G2869" i="77"/>
  <c r="I2868" i="77"/>
  <c r="H2868" i="77"/>
  <c r="G2868" i="77"/>
  <c r="I2867" i="77"/>
  <c r="H2867" i="77"/>
  <c r="G2867" i="77"/>
  <c r="I2866" i="77"/>
  <c r="H2866" i="77"/>
  <c r="G2866" i="77"/>
  <c r="I2865" i="77"/>
  <c r="H2865" i="77"/>
  <c r="G2865" i="77"/>
  <c r="I2864" i="77"/>
  <c r="H2864" i="77"/>
  <c r="G2864" i="77"/>
  <c r="I2863" i="77"/>
  <c r="H2863" i="77"/>
  <c r="G2863" i="77"/>
  <c r="I2862" i="77"/>
  <c r="H2862" i="77"/>
  <c r="G2862" i="77"/>
  <c r="I2861" i="77"/>
  <c r="H2861" i="77"/>
  <c r="G2861" i="77"/>
  <c r="I2860" i="77"/>
  <c r="H2860" i="77"/>
  <c r="G2860" i="77"/>
  <c r="I2859" i="77"/>
  <c r="H2859" i="77"/>
  <c r="G2859" i="77"/>
  <c r="I2858" i="77"/>
  <c r="H2858" i="77"/>
  <c r="G2858" i="77"/>
  <c r="I2857" i="77"/>
  <c r="H2857" i="77"/>
  <c r="G2857" i="77"/>
  <c r="I2856" i="77"/>
  <c r="H2856" i="77"/>
  <c r="G2856" i="77"/>
  <c r="I2855" i="77"/>
  <c r="H2855" i="77"/>
  <c r="G2855" i="77"/>
  <c r="I2854" i="77"/>
  <c r="H2854" i="77"/>
  <c r="G2854" i="77"/>
  <c r="I2853" i="77"/>
  <c r="H2853" i="77"/>
  <c r="G2853" i="77"/>
  <c r="I2852" i="77"/>
  <c r="H2852" i="77"/>
  <c r="G2852" i="77"/>
  <c r="I2851" i="77"/>
  <c r="H2851" i="77"/>
  <c r="G2851" i="77"/>
  <c r="I2850" i="77"/>
  <c r="H2850" i="77"/>
  <c r="G2850" i="77"/>
  <c r="I2849" i="77"/>
  <c r="H2849" i="77"/>
  <c r="G2849" i="77"/>
  <c r="I2848" i="77"/>
  <c r="H2848" i="77"/>
  <c r="G2848" i="77"/>
  <c r="I2847" i="77"/>
  <c r="H2847" i="77"/>
  <c r="G2847" i="77"/>
  <c r="I2846" i="77"/>
  <c r="H2846" i="77"/>
  <c r="G2846" i="77"/>
  <c r="I2845" i="77"/>
  <c r="H2845" i="77"/>
  <c r="G2845" i="77"/>
  <c r="I2844" i="77"/>
  <c r="H2844" i="77"/>
  <c r="G2844" i="77"/>
  <c r="I2843" i="77"/>
  <c r="H2843" i="77"/>
  <c r="G2843" i="77"/>
  <c r="I2842" i="77"/>
  <c r="H2842" i="77"/>
  <c r="G2842" i="77"/>
  <c r="I2841" i="77"/>
  <c r="H2841" i="77"/>
  <c r="G2841" i="77"/>
  <c r="I2840" i="77"/>
  <c r="H2840" i="77"/>
  <c r="G2840" i="77"/>
  <c r="I2839" i="77"/>
  <c r="H2839" i="77"/>
  <c r="G2839" i="77"/>
  <c r="I2838" i="77"/>
  <c r="H2838" i="77"/>
  <c r="G2838" i="77"/>
  <c r="I2837" i="77"/>
  <c r="H2837" i="77"/>
  <c r="G2837" i="77"/>
  <c r="I2836" i="77"/>
  <c r="H2836" i="77"/>
  <c r="G2836" i="77"/>
  <c r="I2835" i="77"/>
  <c r="H2835" i="77"/>
  <c r="G2835" i="77"/>
  <c r="I2834" i="77"/>
  <c r="H2834" i="77"/>
  <c r="G2834" i="77"/>
  <c r="I2833" i="77"/>
  <c r="H2833" i="77"/>
  <c r="G2833" i="77"/>
  <c r="I2832" i="77"/>
  <c r="H2832" i="77"/>
  <c r="G2832" i="77"/>
  <c r="I2831" i="77"/>
  <c r="H2831" i="77"/>
  <c r="G2831" i="77"/>
  <c r="I2830" i="77"/>
  <c r="H2830" i="77"/>
  <c r="G2830" i="77"/>
  <c r="I2829" i="77"/>
  <c r="H2829" i="77"/>
  <c r="G2829" i="77"/>
  <c r="I2828" i="77"/>
  <c r="H2828" i="77"/>
  <c r="G2828" i="77"/>
  <c r="I2827" i="77"/>
  <c r="H2827" i="77"/>
  <c r="G2827" i="77"/>
  <c r="I2826" i="77"/>
  <c r="H2826" i="77"/>
  <c r="G2826" i="77"/>
  <c r="I2825" i="77"/>
  <c r="H2825" i="77"/>
  <c r="G2825" i="77"/>
  <c r="I2824" i="77"/>
  <c r="H2824" i="77"/>
  <c r="G2824" i="77"/>
  <c r="I2823" i="77"/>
  <c r="H2823" i="77"/>
  <c r="G2823" i="77"/>
  <c r="I2822" i="77"/>
  <c r="H2822" i="77"/>
  <c r="G2822" i="77"/>
  <c r="I2821" i="77"/>
  <c r="H2821" i="77"/>
  <c r="G2821" i="77"/>
  <c r="I2820" i="77"/>
  <c r="H2820" i="77"/>
  <c r="G2820" i="77"/>
  <c r="I2819" i="77"/>
  <c r="H2819" i="77"/>
  <c r="G2819" i="77"/>
  <c r="I2818" i="77"/>
  <c r="H2818" i="77"/>
  <c r="G2818" i="77"/>
  <c r="I2817" i="77"/>
  <c r="H2817" i="77"/>
  <c r="G2817" i="77"/>
  <c r="I2816" i="77"/>
  <c r="H2816" i="77"/>
  <c r="G2816" i="77"/>
  <c r="I2815" i="77"/>
  <c r="H2815" i="77"/>
  <c r="G2815" i="77"/>
  <c r="I2814" i="77"/>
  <c r="H2814" i="77"/>
  <c r="G2814" i="77"/>
  <c r="I2813" i="77"/>
  <c r="H2813" i="77"/>
  <c r="G2813" i="77"/>
  <c r="I2812" i="77"/>
  <c r="H2812" i="77"/>
  <c r="G2812" i="77"/>
  <c r="I2811" i="77"/>
  <c r="H2811" i="77"/>
  <c r="G2811" i="77"/>
  <c r="I2810" i="77"/>
  <c r="H2810" i="77"/>
  <c r="G2810" i="77"/>
  <c r="I2809" i="77"/>
  <c r="H2809" i="77"/>
  <c r="G2809" i="77"/>
  <c r="I2808" i="77"/>
  <c r="H2808" i="77"/>
  <c r="G2808" i="77"/>
  <c r="I2807" i="77"/>
  <c r="H2807" i="77"/>
  <c r="G2807" i="77"/>
  <c r="I2806" i="77"/>
  <c r="H2806" i="77"/>
  <c r="G2806" i="77"/>
  <c r="I2805" i="77"/>
  <c r="H2805" i="77"/>
  <c r="G2805" i="77"/>
  <c r="I2804" i="77"/>
  <c r="H2804" i="77"/>
  <c r="G2804" i="77"/>
  <c r="I2803" i="77"/>
  <c r="H2803" i="77"/>
  <c r="G2803" i="77"/>
  <c r="I2802" i="77"/>
  <c r="H2802" i="77"/>
  <c r="G2802" i="77"/>
  <c r="I2801" i="77"/>
  <c r="H2801" i="77"/>
  <c r="G2801" i="77"/>
  <c r="I2800" i="77"/>
  <c r="H2800" i="77"/>
  <c r="G2800" i="77"/>
  <c r="I2799" i="77"/>
  <c r="H2799" i="77"/>
  <c r="G2799" i="77"/>
  <c r="I2798" i="77"/>
  <c r="H2798" i="77"/>
  <c r="G2798" i="77"/>
  <c r="I2797" i="77"/>
  <c r="H2797" i="77"/>
  <c r="G2797" i="77"/>
  <c r="I2796" i="77"/>
  <c r="H2796" i="77"/>
  <c r="G2796" i="77"/>
  <c r="I2795" i="77"/>
  <c r="H2795" i="77"/>
  <c r="G2795" i="77"/>
  <c r="I2794" i="77"/>
  <c r="H2794" i="77"/>
  <c r="G2794" i="77"/>
  <c r="I2793" i="77"/>
  <c r="H2793" i="77"/>
  <c r="G2793" i="77"/>
  <c r="I2792" i="77"/>
  <c r="H2792" i="77"/>
  <c r="G2792" i="77"/>
  <c r="I2791" i="77"/>
  <c r="H2791" i="77"/>
  <c r="G2791" i="77"/>
  <c r="I2790" i="77"/>
  <c r="H2790" i="77"/>
  <c r="G2790" i="77"/>
  <c r="I2789" i="77"/>
  <c r="H2789" i="77"/>
  <c r="G2789" i="77"/>
  <c r="I2788" i="77"/>
  <c r="H2788" i="77"/>
  <c r="G2788" i="77"/>
  <c r="I2787" i="77"/>
  <c r="H2787" i="77"/>
  <c r="G2787" i="77"/>
  <c r="I2786" i="77"/>
  <c r="H2786" i="77"/>
  <c r="G2786" i="77"/>
  <c r="I2785" i="77"/>
  <c r="H2785" i="77"/>
  <c r="G2785" i="77"/>
  <c r="I2784" i="77"/>
  <c r="H2784" i="77"/>
  <c r="G2784" i="77"/>
  <c r="I2783" i="77"/>
  <c r="H2783" i="77"/>
  <c r="G2783" i="77"/>
  <c r="I2782" i="77"/>
  <c r="H2782" i="77"/>
  <c r="G2782" i="77"/>
  <c r="I2781" i="77"/>
  <c r="H2781" i="77"/>
  <c r="G2781" i="77"/>
  <c r="I2780" i="77"/>
  <c r="H2780" i="77"/>
  <c r="G2780" i="77"/>
  <c r="I2779" i="77"/>
  <c r="H2779" i="77"/>
  <c r="G2779" i="77"/>
  <c r="I2778" i="77"/>
  <c r="H2778" i="77"/>
  <c r="G2778" i="77"/>
  <c r="I2777" i="77"/>
  <c r="H2777" i="77"/>
  <c r="G2777" i="77"/>
  <c r="I2776" i="77"/>
  <c r="H2776" i="77"/>
  <c r="G2776" i="77"/>
  <c r="I2775" i="77"/>
  <c r="H2775" i="77"/>
  <c r="G2775" i="77"/>
  <c r="I2774" i="77"/>
  <c r="H2774" i="77"/>
  <c r="G2774" i="77"/>
  <c r="I2773" i="77"/>
  <c r="H2773" i="77"/>
  <c r="G2773" i="77"/>
  <c r="I2772" i="77"/>
  <c r="H2772" i="77"/>
  <c r="G2772" i="77"/>
  <c r="I2771" i="77"/>
  <c r="H2771" i="77"/>
  <c r="G2771" i="77"/>
  <c r="I2770" i="77"/>
  <c r="H2770" i="77"/>
  <c r="G2770" i="77"/>
  <c r="I2769" i="77"/>
  <c r="H2769" i="77"/>
  <c r="G2769" i="77"/>
  <c r="I2768" i="77"/>
  <c r="H2768" i="77"/>
  <c r="G2768" i="77"/>
  <c r="I2767" i="77"/>
  <c r="H2767" i="77"/>
  <c r="G2767" i="77"/>
  <c r="I2766" i="77"/>
  <c r="H2766" i="77"/>
  <c r="G2766" i="77"/>
  <c r="I2765" i="77"/>
  <c r="H2765" i="77"/>
  <c r="G2765" i="77"/>
  <c r="I2764" i="77"/>
  <c r="H2764" i="77"/>
  <c r="G2764" i="77"/>
  <c r="I2763" i="77"/>
  <c r="H2763" i="77"/>
  <c r="G2763" i="77"/>
  <c r="I2762" i="77"/>
  <c r="H2762" i="77"/>
  <c r="G2762" i="77"/>
  <c r="I2761" i="77"/>
  <c r="H2761" i="77"/>
  <c r="G2761" i="77"/>
  <c r="I2760" i="77"/>
  <c r="H2760" i="77"/>
  <c r="G2760" i="77"/>
  <c r="I2759" i="77"/>
  <c r="H2759" i="77"/>
  <c r="G2759" i="77"/>
  <c r="I2758" i="77"/>
  <c r="H2758" i="77"/>
  <c r="G2758" i="77"/>
  <c r="I2757" i="77"/>
  <c r="H2757" i="77"/>
  <c r="G2757" i="77"/>
  <c r="I2756" i="77"/>
  <c r="H2756" i="77"/>
  <c r="G2756" i="77"/>
  <c r="I2755" i="77"/>
  <c r="H2755" i="77"/>
  <c r="G2755" i="77"/>
  <c r="I2754" i="77"/>
  <c r="H2754" i="77"/>
  <c r="G2754" i="77"/>
  <c r="I2753" i="77"/>
  <c r="H2753" i="77"/>
  <c r="G2753" i="77"/>
  <c r="I2752" i="77"/>
  <c r="H2752" i="77"/>
  <c r="G2752" i="77"/>
  <c r="I2751" i="77"/>
  <c r="H2751" i="77"/>
  <c r="G2751" i="77"/>
  <c r="I2750" i="77"/>
  <c r="H2750" i="77"/>
  <c r="G2750" i="77"/>
  <c r="I2749" i="77"/>
  <c r="H2749" i="77"/>
  <c r="G2749" i="77"/>
  <c r="I2748" i="77"/>
  <c r="H2748" i="77"/>
  <c r="G2748" i="77"/>
  <c r="I2747" i="77"/>
  <c r="H2747" i="77"/>
  <c r="G2747" i="77"/>
  <c r="I2746" i="77"/>
  <c r="H2746" i="77"/>
  <c r="G2746" i="77"/>
  <c r="I2745" i="77"/>
  <c r="H2745" i="77"/>
  <c r="G2745" i="77"/>
  <c r="I2744" i="77"/>
  <c r="H2744" i="77"/>
  <c r="G2744" i="77"/>
  <c r="I2743" i="77"/>
  <c r="H2743" i="77"/>
  <c r="G2743" i="77"/>
  <c r="I2742" i="77"/>
  <c r="H2742" i="77"/>
  <c r="G2742" i="77"/>
  <c r="I2741" i="77"/>
  <c r="H2741" i="77"/>
  <c r="G2741" i="77"/>
  <c r="I2740" i="77"/>
  <c r="H2740" i="77"/>
  <c r="G2740" i="77"/>
  <c r="I2739" i="77"/>
  <c r="H2739" i="77"/>
  <c r="G2739" i="77"/>
  <c r="I2738" i="77"/>
  <c r="H2738" i="77"/>
  <c r="G2738" i="77"/>
  <c r="I2737" i="77"/>
  <c r="H2737" i="77"/>
  <c r="G2737" i="77"/>
  <c r="I2736" i="77"/>
  <c r="H2736" i="77"/>
  <c r="G2736" i="77"/>
  <c r="I2735" i="77"/>
  <c r="H2735" i="77"/>
  <c r="G2735" i="77"/>
  <c r="I2734" i="77"/>
  <c r="H2734" i="77"/>
  <c r="G2734" i="77"/>
  <c r="I2733" i="77"/>
  <c r="H2733" i="77"/>
  <c r="G2733" i="77"/>
  <c r="I2732" i="77"/>
  <c r="H2732" i="77"/>
  <c r="G2732" i="77"/>
  <c r="I2731" i="77"/>
  <c r="H2731" i="77"/>
  <c r="G2731" i="77"/>
  <c r="I2730" i="77"/>
  <c r="H2730" i="77"/>
  <c r="G2730" i="77"/>
  <c r="I2729" i="77"/>
  <c r="H2729" i="77"/>
  <c r="G2729" i="77"/>
  <c r="I2728" i="77"/>
  <c r="H2728" i="77"/>
  <c r="G2728" i="77"/>
  <c r="I2727" i="77"/>
  <c r="H2727" i="77"/>
  <c r="G2727" i="77"/>
  <c r="I2726" i="77"/>
  <c r="H2726" i="77"/>
  <c r="G2726" i="77"/>
  <c r="I2725" i="77"/>
  <c r="H2725" i="77"/>
  <c r="G2725" i="77"/>
  <c r="I2724" i="77"/>
  <c r="H2724" i="77"/>
  <c r="G2724" i="77"/>
  <c r="I2723" i="77"/>
  <c r="H2723" i="77"/>
  <c r="G2723" i="77"/>
  <c r="I2722" i="77"/>
  <c r="H2722" i="77"/>
  <c r="G2722" i="77"/>
  <c r="I2721" i="77"/>
  <c r="H2721" i="77"/>
  <c r="G2721" i="77"/>
  <c r="I2720" i="77"/>
  <c r="H2720" i="77"/>
  <c r="G2720" i="77"/>
  <c r="I2719" i="77"/>
  <c r="H2719" i="77"/>
  <c r="G2719" i="77"/>
  <c r="I2718" i="77"/>
  <c r="H2718" i="77"/>
  <c r="G2718" i="77"/>
  <c r="I2717" i="77"/>
  <c r="H2717" i="77"/>
  <c r="G2717" i="77"/>
  <c r="I2716" i="77"/>
  <c r="H2716" i="77"/>
  <c r="G2716" i="77"/>
  <c r="I2715" i="77"/>
  <c r="H2715" i="77"/>
  <c r="G2715" i="77"/>
  <c r="I2714" i="77"/>
  <c r="H2714" i="77"/>
  <c r="G2714" i="77"/>
  <c r="I2713" i="77"/>
  <c r="H2713" i="77"/>
  <c r="G2713" i="77"/>
  <c r="I2712" i="77"/>
  <c r="H2712" i="77"/>
  <c r="G2712" i="77"/>
  <c r="I2711" i="77"/>
  <c r="H2711" i="77"/>
  <c r="G2711" i="77"/>
  <c r="I2710" i="77"/>
  <c r="H2710" i="77"/>
  <c r="G2710" i="77"/>
  <c r="I2709" i="77"/>
  <c r="H2709" i="77"/>
  <c r="G2709" i="77"/>
  <c r="I2708" i="77"/>
  <c r="H2708" i="77"/>
  <c r="G2708" i="77"/>
  <c r="I2707" i="77"/>
  <c r="H2707" i="77"/>
  <c r="G2707" i="77"/>
  <c r="I2706" i="77"/>
  <c r="H2706" i="77"/>
  <c r="G2706" i="77"/>
  <c r="I2705" i="77"/>
  <c r="H2705" i="77"/>
  <c r="G2705" i="77"/>
  <c r="I2704" i="77"/>
  <c r="H2704" i="77"/>
  <c r="G2704" i="77"/>
  <c r="I2703" i="77"/>
  <c r="H2703" i="77"/>
  <c r="G2703" i="77"/>
  <c r="I2702" i="77"/>
  <c r="H2702" i="77"/>
  <c r="G2702" i="77"/>
  <c r="I2701" i="77"/>
  <c r="H2701" i="77"/>
  <c r="G2701" i="77"/>
  <c r="I2700" i="77"/>
  <c r="H2700" i="77"/>
  <c r="G2700" i="77"/>
  <c r="I2699" i="77"/>
  <c r="H2699" i="77"/>
  <c r="G2699" i="77"/>
  <c r="I2698" i="77"/>
  <c r="H2698" i="77"/>
  <c r="G2698" i="77"/>
  <c r="I2697" i="77"/>
  <c r="H2697" i="77"/>
  <c r="G2697" i="77"/>
  <c r="I2696" i="77"/>
  <c r="H2696" i="77"/>
  <c r="G2696" i="77"/>
  <c r="I2695" i="77"/>
  <c r="H2695" i="77"/>
  <c r="G2695" i="77"/>
  <c r="I2694" i="77"/>
  <c r="H2694" i="77"/>
  <c r="G2694" i="77"/>
  <c r="I2693" i="77"/>
  <c r="H2693" i="77"/>
  <c r="G2693" i="77"/>
  <c r="I2692" i="77"/>
  <c r="H2692" i="77"/>
  <c r="G2692" i="77"/>
  <c r="I2691" i="77"/>
  <c r="H2691" i="77"/>
  <c r="G2691" i="77"/>
  <c r="I2690" i="77"/>
  <c r="H2690" i="77"/>
  <c r="G2690" i="77"/>
  <c r="I2689" i="77"/>
  <c r="H2689" i="77"/>
  <c r="G2689" i="77"/>
  <c r="I2688" i="77"/>
  <c r="H2688" i="77"/>
  <c r="G2688" i="77"/>
  <c r="I2687" i="77"/>
  <c r="H2687" i="77"/>
  <c r="G2687" i="77"/>
  <c r="I2686" i="77"/>
  <c r="H2686" i="77"/>
  <c r="G2686" i="77"/>
  <c r="I2685" i="77"/>
  <c r="H2685" i="77"/>
  <c r="G2685" i="77"/>
  <c r="I2684" i="77"/>
  <c r="H2684" i="77"/>
  <c r="G2684" i="77"/>
  <c r="I2683" i="77"/>
  <c r="H2683" i="77"/>
  <c r="G2683" i="77"/>
  <c r="I2682" i="77"/>
  <c r="H2682" i="77"/>
  <c r="G2682" i="77"/>
  <c r="I2681" i="77"/>
  <c r="H2681" i="77"/>
  <c r="G2681" i="77"/>
  <c r="I2680" i="77"/>
  <c r="H2680" i="77"/>
  <c r="G2680" i="77"/>
  <c r="I2679" i="77"/>
  <c r="H2679" i="77"/>
  <c r="G2679" i="77"/>
  <c r="I2678" i="77"/>
  <c r="H2678" i="77"/>
  <c r="G2678" i="77"/>
  <c r="I2677" i="77"/>
  <c r="H2677" i="77"/>
  <c r="G2677" i="77"/>
  <c r="I2676" i="77"/>
  <c r="H2676" i="77"/>
  <c r="G2676" i="77"/>
  <c r="I2675" i="77"/>
  <c r="H2675" i="77"/>
  <c r="G2675" i="77"/>
  <c r="I2674" i="77"/>
  <c r="H2674" i="77"/>
  <c r="G2674" i="77"/>
  <c r="I2673" i="77"/>
  <c r="H2673" i="77"/>
  <c r="G2673" i="77"/>
  <c r="I2672" i="77"/>
  <c r="H2672" i="77"/>
  <c r="G2672" i="77"/>
  <c r="I2671" i="77"/>
  <c r="H2671" i="77"/>
  <c r="G2671" i="77"/>
  <c r="I2670" i="77"/>
  <c r="H2670" i="77"/>
  <c r="G2670" i="77"/>
  <c r="I2669" i="77"/>
  <c r="H2669" i="77"/>
  <c r="G2669" i="77"/>
  <c r="I2668" i="77"/>
  <c r="H2668" i="77"/>
  <c r="G2668" i="77"/>
  <c r="I2667" i="77"/>
  <c r="H2667" i="77"/>
  <c r="G2667" i="77"/>
  <c r="I2666" i="77"/>
  <c r="H2666" i="77"/>
  <c r="G2666" i="77"/>
  <c r="I2665" i="77"/>
  <c r="H2665" i="77"/>
  <c r="G2665" i="77"/>
  <c r="I2664" i="77"/>
  <c r="H2664" i="77"/>
  <c r="G2664" i="77"/>
  <c r="I2663" i="77"/>
  <c r="H2663" i="77"/>
  <c r="G2663" i="77"/>
  <c r="I2662" i="77"/>
  <c r="H2662" i="77"/>
  <c r="G2662" i="77"/>
  <c r="I2661" i="77"/>
  <c r="H2661" i="77"/>
  <c r="G2661" i="77"/>
  <c r="I2660" i="77"/>
  <c r="H2660" i="77"/>
  <c r="G2660" i="77"/>
  <c r="I2659" i="77"/>
  <c r="H2659" i="77"/>
  <c r="G2659" i="77"/>
  <c r="I2658" i="77"/>
  <c r="H2658" i="77"/>
  <c r="G2658" i="77"/>
  <c r="I2657" i="77"/>
  <c r="H2657" i="77"/>
  <c r="G2657" i="77"/>
  <c r="I2656" i="77"/>
  <c r="H2656" i="77"/>
  <c r="G2656" i="77"/>
  <c r="I2655" i="77"/>
  <c r="H2655" i="77"/>
  <c r="G2655" i="77"/>
  <c r="I2654" i="77"/>
  <c r="H2654" i="77"/>
  <c r="G2654" i="77"/>
  <c r="I2653" i="77"/>
  <c r="H2653" i="77"/>
  <c r="G2653" i="77"/>
  <c r="I2652" i="77"/>
  <c r="H2652" i="77"/>
  <c r="G2652" i="77"/>
  <c r="I2651" i="77"/>
  <c r="H2651" i="77"/>
  <c r="G2651" i="77"/>
  <c r="I2650" i="77"/>
  <c r="H2650" i="77"/>
  <c r="G2650" i="77"/>
  <c r="I2649" i="77"/>
  <c r="H2649" i="77"/>
  <c r="G2649" i="77"/>
  <c r="I2648" i="77"/>
  <c r="H2648" i="77"/>
  <c r="G2648" i="77"/>
  <c r="I2647" i="77"/>
  <c r="H2647" i="77"/>
  <c r="G2647" i="77"/>
  <c r="I2646" i="77"/>
  <c r="H2646" i="77"/>
  <c r="G2646" i="77"/>
  <c r="I2645" i="77"/>
  <c r="H2645" i="77"/>
  <c r="G2645" i="77"/>
  <c r="I2644" i="77"/>
  <c r="H2644" i="77"/>
  <c r="G2644" i="77"/>
  <c r="I2643" i="77"/>
  <c r="H2643" i="77"/>
  <c r="G2643" i="77"/>
  <c r="I2642" i="77"/>
  <c r="H2642" i="77"/>
  <c r="G2642" i="77"/>
  <c r="I2641" i="77"/>
  <c r="H2641" i="77"/>
  <c r="G2641" i="77"/>
  <c r="I2640" i="77"/>
  <c r="H2640" i="77"/>
  <c r="G2640" i="77"/>
  <c r="I2639" i="77"/>
  <c r="H2639" i="77"/>
  <c r="G2639" i="77"/>
  <c r="I2638" i="77"/>
  <c r="H2638" i="77"/>
  <c r="G2638" i="77"/>
  <c r="I2637" i="77"/>
  <c r="H2637" i="77"/>
  <c r="G2637" i="77"/>
  <c r="I2636" i="77"/>
  <c r="H2636" i="77"/>
  <c r="G2636" i="77"/>
  <c r="I2635" i="77"/>
  <c r="H2635" i="77"/>
  <c r="G2635" i="77"/>
  <c r="I2634" i="77"/>
  <c r="H2634" i="77"/>
  <c r="G2634" i="77"/>
  <c r="I2633" i="77"/>
  <c r="H2633" i="77"/>
  <c r="G2633" i="77"/>
  <c r="I2632" i="77"/>
  <c r="H2632" i="77"/>
  <c r="G2632" i="77"/>
  <c r="I2631" i="77"/>
  <c r="H2631" i="77"/>
  <c r="G2631" i="77"/>
  <c r="I2630" i="77"/>
  <c r="H2630" i="77"/>
  <c r="G2630" i="77"/>
  <c r="I2629" i="77"/>
  <c r="H2629" i="77"/>
  <c r="G2629" i="77"/>
  <c r="I2628" i="77"/>
  <c r="H2628" i="77"/>
  <c r="G2628" i="77"/>
  <c r="I2627" i="77"/>
  <c r="H2627" i="77"/>
  <c r="G2627" i="77"/>
  <c r="I2626" i="77"/>
  <c r="H2626" i="77"/>
  <c r="G2626" i="77"/>
  <c r="I2625" i="77"/>
  <c r="H2625" i="77"/>
  <c r="G2625" i="77"/>
  <c r="I2624" i="77"/>
  <c r="H2624" i="77"/>
  <c r="G2624" i="77"/>
  <c r="I2623" i="77"/>
  <c r="H2623" i="77"/>
  <c r="G2623" i="77"/>
  <c r="I2622" i="77"/>
  <c r="H2622" i="77"/>
  <c r="G2622" i="77"/>
  <c r="I2621" i="77"/>
  <c r="H2621" i="77"/>
  <c r="G2621" i="77"/>
  <c r="I2620" i="77"/>
  <c r="H2620" i="77"/>
  <c r="G2620" i="77"/>
  <c r="I2619" i="77"/>
  <c r="H2619" i="77"/>
  <c r="G2619" i="77"/>
  <c r="I2618" i="77"/>
  <c r="H2618" i="77"/>
  <c r="G2618" i="77"/>
  <c r="I2617" i="77"/>
  <c r="H2617" i="77"/>
  <c r="G2617" i="77"/>
  <c r="I2616" i="77"/>
  <c r="H2616" i="77"/>
  <c r="G2616" i="77"/>
  <c r="I2615" i="77"/>
  <c r="H2615" i="77"/>
  <c r="G2615" i="77"/>
  <c r="I2614" i="77"/>
  <c r="H2614" i="77"/>
  <c r="G2614" i="77"/>
  <c r="I2613" i="77"/>
  <c r="H2613" i="77"/>
  <c r="G2613" i="77"/>
  <c r="I2612" i="77"/>
  <c r="H2612" i="77"/>
  <c r="G2612" i="77"/>
  <c r="I2611" i="77"/>
  <c r="H2611" i="77"/>
  <c r="G2611" i="77"/>
  <c r="I2610" i="77"/>
  <c r="H2610" i="77"/>
  <c r="G2610" i="77"/>
  <c r="I2609" i="77"/>
  <c r="H2609" i="77"/>
  <c r="G2609" i="77"/>
  <c r="I2608" i="77"/>
  <c r="H2608" i="77"/>
  <c r="G2608" i="77"/>
  <c r="I2607" i="77"/>
  <c r="H2607" i="77"/>
  <c r="G2607" i="77"/>
  <c r="I2606" i="77"/>
  <c r="H2606" i="77"/>
  <c r="G2606" i="77"/>
  <c r="I2605" i="77"/>
  <c r="H2605" i="77"/>
  <c r="G2605" i="77"/>
  <c r="I2604" i="77"/>
  <c r="H2604" i="77"/>
  <c r="G2604" i="77"/>
  <c r="I2603" i="77"/>
  <c r="H2603" i="77"/>
  <c r="G2603" i="77"/>
  <c r="I2602" i="77"/>
  <c r="H2602" i="77"/>
  <c r="G2602" i="77"/>
  <c r="I2601" i="77"/>
  <c r="H2601" i="77"/>
  <c r="G2601" i="77"/>
  <c r="I2600" i="77"/>
  <c r="H2600" i="77"/>
  <c r="G2600" i="77"/>
  <c r="I2599" i="77"/>
  <c r="H2599" i="77"/>
  <c r="G2599" i="77"/>
  <c r="I2598" i="77"/>
  <c r="H2598" i="77"/>
  <c r="G2598" i="77"/>
  <c r="I2597" i="77"/>
  <c r="H2597" i="77"/>
  <c r="G2597" i="77"/>
  <c r="I2596" i="77"/>
  <c r="H2596" i="77"/>
  <c r="G2596" i="77"/>
  <c r="I2595" i="77"/>
  <c r="H2595" i="77"/>
  <c r="G2595" i="77"/>
  <c r="I2594" i="77"/>
  <c r="H2594" i="77"/>
  <c r="G2594" i="77"/>
  <c r="I2593" i="77"/>
  <c r="H2593" i="77"/>
  <c r="G2593" i="77"/>
  <c r="I2592" i="77"/>
  <c r="H2592" i="77"/>
  <c r="G2592" i="77"/>
  <c r="I2591" i="77"/>
  <c r="H2591" i="77"/>
  <c r="G2591" i="77"/>
  <c r="I2590" i="77"/>
  <c r="H2590" i="77"/>
  <c r="G2590" i="77"/>
  <c r="I2589" i="77"/>
  <c r="H2589" i="77"/>
  <c r="G2589" i="77"/>
  <c r="I2588" i="77"/>
  <c r="H2588" i="77"/>
  <c r="G2588" i="77"/>
  <c r="I2587" i="77"/>
  <c r="H2587" i="77"/>
  <c r="G2587" i="77"/>
  <c r="I2586" i="77"/>
  <c r="H2586" i="77"/>
  <c r="G2586" i="77"/>
  <c r="I2585" i="77"/>
  <c r="H2585" i="77"/>
  <c r="G2585" i="77"/>
  <c r="I2584" i="77"/>
  <c r="H2584" i="77"/>
  <c r="G2584" i="77"/>
  <c r="I2583" i="77"/>
  <c r="H2583" i="77"/>
  <c r="G2583" i="77"/>
  <c r="I2582" i="77"/>
  <c r="H2582" i="77"/>
  <c r="G2582" i="77"/>
  <c r="I2581" i="77"/>
  <c r="H2581" i="77"/>
  <c r="G2581" i="77"/>
  <c r="I2580" i="77"/>
  <c r="H2580" i="77"/>
  <c r="G2580" i="77"/>
  <c r="I2579" i="77"/>
  <c r="H2579" i="77"/>
  <c r="G2579" i="77"/>
  <c r="I2578" i="77"/>
  <c r="H2578" i="77"/>
  <c r="G2578" i="77"/>
  <c r="I2577" i="77"/>
  <c r="H2577" i="77"/>
  <c r="G2577" i="77"/>
  <c r="I2576" i="77"/>
  <c r="H2576" i="77"/>
  <c r="G2576" i="77"/>
  <c r="I2575" i="77"/>
  <c r="H2575" i="77"/>
  <c r="G2575" i="77"/>
  <c r="I2574" i="77"/>
  <c r="H2574" i="77"/>
  <c r="G2574" i="77"/>
  <c r="I2573" i="77"/>
  <c r="H2573" i="77"/>
  <c r="G2573" i="77"/>
  <c r="I2572" i="77"/>
  <c r="H2572" i="77"/>
  <c r="G2572" i="77"/>
  <c r="I2571" i="77"/>
  <c r="H2571" i="77"/>
  <c r="G2571" i="77"/>
  <c r="I2570" i="77"/>
  <c r="H2570" i="77"/>
  <c r="G2570" i="77"/>
  <c r="I2569" i="77"/>
  <c r="H2569" i="77"/>
  <c r="G2569" i="77"/>
  <c r="I2568" i="77"/>
  <c r="H2568" i="77"/>
  <c r="G2568" i="77"/>
  <c r="I2567" i="77"/>
  <c r="H2567" i="77"/>
  <c r="G2567" i="77"/>
  <c r="I2566" i="77"/>
  <c r="H2566" i="77"/>
  <c r="G2566" i="77"/>
  <c r="I2565" i="77"/>
  <c r="H2565" i="77"/>
  <c r="G2565" i="77"/>
  <c r="I2564" i="77"/>
  <c r="H2564" i="77"/>
  <c r="G2564" i="77"/>
  <c r="I2563" i="77"/>
  <c r="H2563" i="77"/>
  <c r="G2563" i="77"/>
  <c r="I2562" i="77"/>
  <c r="H2562" i="77"/>
  <c r="G2562" i="77"/>
  <c r="I2561" i="77"/>
  <c r="H2561" i="77"/>
  <c r="G2561" i="77"/>
  <c r="I2560" i="77"/>
  <c r="H2560" i="77"/>
  <c r="G2560" i="77"/>
  <c r="I2559" i="77"/>
  <c r="H2559" i="77"/>
  <c r="G2559" i="77"/>
  <c r="I2558" i="77"/>
  <c r="H2558" i="77"/>
  <c r="G2558" i="77"/>
  <c r="I2557" i="77"/>
  <c r="H2557" i="77"/>
  <c r="G2557" i="77"/>
  <c r="I2556" i="77"/>
  <c r="H2556" i="77"/>
  <c r="G2556" i="77"/>
  <c r="I2555" i="77"/>
  <c r="H2555" i="77"/>
  <c r="G2555" i="77"/>
  <c r="I2554" i="77"/>
  <c r="H2554" i="77"/>
  <c r="G2554" i="77"/>
  <c r="I2553" i="77"/>
  <c r="H2553" i="77"/>
  <c r="G2553" i="77"/>
  <c r="I2552" i="77"/>
  <c r="H2552" i="77"/>
  <c r="G2552" i="77"/>
  <c r="I2551" i="77"/>
  <c r="H2551" i="77"/>
  <c r="G2551" i="77"/>
  <c r="I2550" i="77"/>
  <c r="H2550" i="77"/>
  <c r="G2550" i="77"/>
  <c r="I2549" i="77"/>
  <c r="H2549" i="77"/>
  <c r="G2549" i="77"/>
  <c r="I2548" i="77"/>
  <c r="H2548" i="77"/>
  <c r="G2548" i="77"/>
  <c r="I2547" i="77"/>
  <c r="H2547" i="77"/>
  <c r="G2547" i="77"/>
  <c r="I2546" i="77"/>
  <c r="H2546" i="77"/>
  <c r="G2546" i="77"/>
  <c r="I2545" i="77"/>
  <c r="H2545" i="77"/>
  <c r="G2545" i="77"/>
  <c r="I2544" i="77"/>
  <c r="H2544" i="77"/>
  <c r="G2544" i="77"/>
  <c r="I2543" i="77"/>
  <c r="H2543" i="77"/>
  <c r="G2543" i="77"/>
  <c r="I2542" i="77"/>
  <c r="H2542" i="77"/>
  <c r="G2542" i="77"/>
  <c r="I2541" i="77"/>
  <c r="H2541" i="77"/>
  <c r="G2541" i="77"/>
  <c r="I2540" i="77"/>
  <c r="H2540" i="77"/>
  <c r="G2540" i="77"/>
  <c r="I2539" i="77"/>
  <c r="H2539" i="77"/>
  <c r="G2539" i="77"/>
  <c r="I2538" i="77"/>
  <c r="H2538" i="77"/>
  <c r="G2538" i="77"/>
  <c r="I2537" i="77"/>
  <c r="H2537" i="77"/>
  <c r="G2537" i="77"/>
  <c r="I2536" i="77"/>
  <c r="H2536" i="77"/>
  <c r="G2536" i="77"/>
  <c r="I2535" i="77"/>
  <c r="H2535" i="77"/>
  <c r="G2535" i="77"/>
  <c r="I2534" i="77"/>
  <c r="H2534" i="77"/>
  <c r="G2534" i="77"/>
  <c r="I2533" i="77"/>
  <c r="H2533" i="77"/>
  <c r="G2533" i="77"/>
  <c r="I2532" i="77"/>
  <c r="H2532" i="77"/>
  <c r="G2532" i="77"/>
  <c r="I2531" i="77"/>
  <c r="H2531" i="77"/>
  <c r="G2531" i="77"/>
  <c r="I2530" i="77"/>
  <c r="H2530" i="77"/>
  <c r="G2530" i="77"/>
  <c r="I2529" i="77"/>
  <c r="H2529" i="77"/>
  <c r="G2529" i="77"/>
  <c r="I2528" i="77"/>
  <c r="H2528" i="77"/>
  <c r="G2528" i="77"/>
  <c r="I2527" i="77"/>
  <c r="H2527" i="77"/>
  <c r="G2527" i="77"/>
  <c r="I2526" i="77"/>
  <c r="H2526" i="77"/>
  <c r="G2526" i="77"/>
  <c r="I2525" i="77"/>
  <c r="H2525" i="77"/>
  <c r="G2525" i="77"/>
  <c r="I2524" i="77"/>
  <c r="H2524" i="77"/>
  <c r="G2524" i="77"/>
  <c r="I2523" i="77"/>
  <c r="H2523" i="77"/>
  <c r="G2523" i="77"/>
  <c r="I2522" i="77"/>
  <c r="H2522" i="77"/>
  <c r="G2522" i="77"/>
  <c r="I2521" i="77"/>
  <c r="H2521" i="77"/>
  <c r="G2521" i="77"/>
  <c r="I2520" i="77"/>
  <c r="H2520" i="77"/>
  <c r="G2520" i="77"/>
  <c r="I2519" i="77"/>
  <c r="H2519" i="77"/>
  <c r="G2519" i="77"/>
  <c r="I2518" i="77"/>
  <c r="H2518" i="77"/>
  <c r="G2518" i="77"/>
  <c r="I2517" i="77"/>
  <c r="H2517" i="77"/>
  <c r="G2517" i="77"/>
  <c r="I2516" i="77"/>
  <c r="H2516" i="77"/>
  <c r="G2516" i="77"/>
  <c r="I2515" i="77"/>
  <c r="H2515" i="77"/>
  <c r="G2515" i="77"/>
  <c r="I2514" i="77"/>
  <c r="H2514" i="77"/>
  <c r="G2514" i="77"/>
  <c r="I2513" i="77"/>
  <c r="H2513" i="77"/>
  <c r="G2513" i="77"/>
  <c r="I2512" i="77"/>
  <c r="H2512" i="77"/>
  <c r="G2512" i="77"/>
  <c r="I2511" i="77"/>
  <c r="H2511" i="77"/>
  <c r="G2511" i="77"/>
  <c r="I2510" i="77"/>
  <c r="H2510" i="77"/>
  <c r="G2510" i="77"/>
  <c r="I2509" i="77"/>
  <c r="H2509" i="77"/>
  <c r="G2509" i="77"/>
  <c r="I2508" i="77"/>
  <c r="H2508" i="77"/>
  <c r="G2508" i="77"/>
  <c r="I2507" i="77"/>
  <c r="H2507" i="77"/>
  <c r="G2507" i="77"/>
  <c r="I2506" i="77"/>
  <c r="H2506" i="77"/>
  <c r="G2506" i="77"/>
  <c r="I2505" i="77"/>
  <c r="H2505" i="77"/>
  <c r="G2505" i="77"/>
  <c r="I2504" i="77"/>
  <c r="H2504" i="77"/>
  <c r="G2504" i="77"/>
  <c r="I2503" i="77"/>
  <c r="H2503" i="77"/>
  <c r="G2503" i="77"/>
  <c r="I2502" i="77"/>
  <c r="H2502" i="77"/>
  <c r="G2502" i="77"/>
  <c r="I2501" i="77"/>
  <c r="H2501" i="77"/>
  <c r="G2501" i="77"/>
  <c r="I2500" i="77"/>
  <c r="H2500" i="77"/>
  <c r="G2500" i="77"/>
  <c r="I2499" i="77"/>
  <c r="H2499" i="77"/>
  <c r="G2499" i="77"/>
  <c r="I2498" i="77"/>
  <c r="H2498" i="77"/>
  <c r="G2498" i="77"/>
  <c r="I2497" i="77"/>
  <c r="H2497" i="77"/>
  <c r="G2497" i="77"/>
  <c r="I2496" i="77"/>
  <c r="H2496" i="77"/>
  <c r="G2496" i="77"/>
  <c r="I2495" i="77"/>
  <c r="H2495" i="77"/>
  <c r="G2495" i="77"/>
  <c r="I2494" i="77"/>
  <c r="H2494" i="77"/>
  <c r="G2494" i="77"/>
  <c r="I2493" i="77"/>
  <c r="H2493" i="77"/>
  <c r="G2493" i="77"/>
  <c r="I2492" i="77"/>
  <c r="H2492" i="77"/>
  <c r="G2492" i="77"/>
  <c r="I2491" i="77"/>
  <c r="H2491" i="77"/>
  <c r="G2491" i="77"/>
  <c r="I2490" i="77"/>
  <c r="H2490" i="77"/>
  <c r="G2490" i="77"/>
  <c r="I2489" i="77"/>
  <c r="H2489" i="77"/>
  <c r="G2489" i="77"/>
  <c r="I2488" i="77"/>
  <c r="H2488" i="77"/>
  <c r="G2488" i="77"/>
  <c r="I2487" i="77"/>
  <c r="H2487" i="77"/>
  <c r="G2487" i="77"/>
  <c r="I2486" i="77"/>
  <c r="H2486" i="77"/>
  <c r="G2486" i="77"/>
  <c r="I2485" i="77"/>
  <c r="H2485" i="77"/>
  <c r="G2485" i="77"/>
  <c r="I2484" i="77"/>
  <c r="H2484" i="77"/>
  <c r="G2484" i="77"/>
  <c r="I2483" i="77"/>
  <c r="H2483" i="77"/>
  <c r="G2483" i="77"/>
  <c r="I2482" i="77"/>
  <c r="H2482" i="77"/>
  <c r="G2482" i="77"/>
  <c r="I2481" i="77"/>
  <c r="H2481" i="77"/>
  <c r="G2481" i="77"/>
  <c r="I2480" i="77"/>
  <c r="H2480" i="77"/>
  <c r="G2480" i="77"/>
  <c r="I2479" i="77"/>
  <c r="H2479" i="77"/>
  <c r="G2479" i="77"/>
  <c r="I2478" i="77"/>
  <c r="H2478" i="77"/>
  <c r="G2478" i="77"/>
  <c r="I2477" i="77"/>
  <c r="H2477" i="77"/>
  <c r="G2477" i="77"/>
  <c r="I2476" i="77"/>
  <c r="H2476" i="77"/>
  <c r="G2476" i="77"/>
  <c r="I2475" i="77"/>
  <c r="H2475" i="77"/>
  <c r="G2475" i="77"/>
  <c r="I2474" i="77"/>
  <c r="H2474" i="77"/>
  <c r="G2474" i="77"/>
  <c r="I2473" i="77"/>
  <c r="H2473" i="77"/>
  <c r="G2473" i="77"/>
  <c r="I2472" i="77"/>
  <c r="H2472" i="77"/>
  <c r="G2472" i="77"/>
  <c r="I2471" i="77"/>
  <c r="H2471" i="77"/>
  <c r="G2471" i="77"/>
  <c r="I2470" i="77"/>
  <c r="H2470" i="77"/>
  <c r="G2470" i="77"/>
  <c r="I2469" i="77"/>
  <c r="H2469" i="77"/>
  <c r="G2469" i="77"/>
  <c r="I2468" i="77"/>
  <c r="H2468" i="77"/>
  <c r="G2468" i="77"/>
  <c r="I2467" i="77"/>
  <c r="H2467" i="77"/>
  <c r="G2467" i="77"/>
  <c r="I2466" i="77"/>
  <c r="H2466" i="77"/>
  <c r="G2466" i="77"/>
  <c r="I2465" i="77"/>
  <c r="H2465" i="77"/>
  <c r="G2465" i="77"/>
  <c r="I2464" i="77"/>
  <c r="H2464" i="77"/>
  <c r="G2464" i="77"/>
  <c r="I2463" i="77"/>
  <c r="H2463" i="77"/>
  <c r="G2463" i="77"/>
  <c r="I2462" i="77"/>
  <c r="H2462" i="77"/>
  <c r="G2462" i="77"/>
  <c r="I2461" i="77"/>
  <c r="H2461" i="77"/>
  <c r="G2461" i="77"/>
  <c r="I2460" i="77"/>
  <c r="H2460" i="77"/>
  <c r="G2460" i="77"/>
  <c r="I2459" i="77"/>
  <c r="H2459" i="77"/>
  <c r="G2459" i="77"/>
  <c r="I2458" i="77"/>
  <c r="H2458" i="77"/>
  <c r="G2458" i="77"/>
  <c r="I2457" i="77"/>
  <c r="H2457" i="77"/>
  <c r="G2457" i="77"/>
  <c r="I2456" i="77"/>
  <c r="H2456" i="77"/>
  <c r="G2456" i="77"/>
  <c r="I2455" i="77"/>
  <c r="H2455" i="77"/>
  <c r="G2455" i="77"/>
  <c r="I2454" i="77"/>
  <c r="H2454" i="77"/>
  <c r="G2454" i="77"/>
  <c r="I2453" i="77"/>
  <c r="H2453" i="77"/>
  <c r="G2453" i="77"/>
  <c r="I2452" i="77"/>
  <c r="H2452" i="77"/>
  <c r="G2452" i="77"/>
  <c r="I2451" i="77"/>
  <c r="H2451" i="77"/>
  <c r="G2451" i="77"/>
  <c r="I2450" i="77"/>
  <c r="H2450" i="77"/>
  <c r="G2450" i="77"/>
  <c r="I2449" i="77"/>
  <c r="H2449" i="77"/>
  <c r="G2449" i="77"/>
  <c r="I2448" i="77"/>
  <c r="H2448" i="77"/>
  <c r="G2448" i="77"/>
  <c r="I2447" i="77"/>
  <c r="H2447" i="77"/>
  <c r="G2447" i="77"/>
  <c r="I2446" i="77"/>
  <c r="H2446" i="77"/>
  <c r="G2446" i="77"/>
  <c r="I2445" i="77"/>
  <c r="H2445" i="77"/>
  <c r="G2445" i="77"/>
  <c r="I2444" i="77"/>
  <c r="H2444" i="77"/>
  <c r="G2444" i="77"/>
  <c r="I2443" i="77"/>
  <c r="H2443" i="77"/>
  <c r="G2443" i="77"/>
  <c r="I2442" i="77"/>
  <c r="H2442" i="77"/>
  <c r="G2442" i="77"/>
  <c r="I2441" i="77"/>
  <c r="H2441" i="77"/>
  <c r="G2441" i="77"/>
  <c r="I2440" i="77"/>
  <c r="H2440" i="77"/>
  <c r="G2440" i="77"/>
  <c r="I2439" i="77"/>
  <c r="H2439" i="77"/>
  <c r="G2439" i="77"/>
  <c r="I2438" i="77"/>
  <c r="H2438" i="77"/>
  <c r="G2438" i="77"/>
  <c r="I2437" i="77"/>
  <c r="H2437" i="77"/>
  <c r="G2437" i="77"/>
  <c r="I2436" i="77"/>
  <c r="H2436" i="77"/>
  <c r="G2436" i="77"/>
  <c r="I2435" i="77"/>
  <c r="H2435" i="77"/>
  <c r="G2435" i="77"/>
  <c r="I2434" i="77"/>
  <c r="H2434" i="77"/>
  <c r="G2434" i="77"/>
  <c r="I2433" i="77"/>
  <c r="H2433" i="77"/>
  <c r="G2433" i="77"/>
  <c r="I2432" i="77"/>
  <c r="H2432" i="77"/>
  <c r="G2432" i="77"/>
  <c r="I2431" i="77"/>
  <c r="H2431" i="77"/>
  <c r="G2431" i="77"/>
  <c r="I2430" i="77"/>
  <c r="H2430" i="77"/>
  <c r="G2430" i="77"/>
  <c r="I2429" i="77"/>
  <c r="H2429" i="77"/>
  <c r="G2429" i="77"/>
  <c r="I2428" i="77"/>
  <c r="H2428" i="77"/>
  <c r="G2428" i="77"/>
  <c r="I2427" i="77"/>
  <c r="H2427" i="77"/>
  <c r="G2427" i="77"/>
  <c r="I2426" i="77"/>
  <c r="H2426" i="77"/>
  <c r="G2426" i="77"/>
  <c r="I2425" i="77"/>
  <c r="H2425" i="77"/>
  <c r="G2425" i="77"/>
  <c r="I2424" i="77"/>
  <c r="H2424" i="77"/>
  <c r="G2424" i="77"/>
  <c r="I2423" i="77"/>
  <c r="H2423" i="77"/>
  <c r="G2423" i="77"/>
  <c r="I2422" i="77"/>
  <c r="H2422" i="77"/>
  <c r="G2422" i="77"/>
  <c r="I2421" i="77"/>
  <c r="H2421" i="77"/>
  <c r="G2421" i="77"/>
  <c r="I2420" i="77"/>
  <c r="H2420" i="77"/>
  <c r="G2420" i="77"/>
  <c r="I2419" i="77"/>
  <c r="H2419" i="77"/>
  <c r="G2419" i="77"/>
  <c r="I2418" i="77"/>
  <c r="H2418" i="77"/>
  <c r="G2418" i="77"/>
  <c r="I2417" i="77"/>
  <c r="H2417" i="77"/>
  <c r="G2417" i="77"/>
  <c r="I2416" i="77"/>
  <c r="H2416" i="77"/>
  <c r="G2416" i="77"/>
  <c r="I2415" i="77"/>
  <c r="H2415" i="77"/>
  <c r="G2415" i="77"/>
  <c r="I2414" i="77"/>
  <c r="H2414" i="77"/>
  <c r="G2414" i="77"/>
  <c r="I2413" i="77"/>
  <c r="H2413" i="77"/>
  <c r="G2413" i="77"/>
  <c r="I2412" i="77"/>
  <c r="H2412" i="77"/>
  <c r="G2412" i="77"/>
  <c r="I2411" i="77"/>
  <c r="H2411" i="77"/>
  <c r="G2411" i="77"/>
  <c r="I2410" i="77"/>
  <c r="H2410" i="77"/>
  <c r="G2410" i="77"/>
  <c r="I2409" i="77"/>
  <c r="H2409" i="77"/>
  <c r="G2409" i="77"/>
  <c r="I2408" i="77"/>
  <c r="H2408" i="77"/>
  <c r="G2408" i="77"/>
  <c r="I2407" i="77"/>
  <c r="H2407" i="77"/>
  <c r="G2407" i="77"/>
  <c r="I2406" i="77"/>
  <c r="H2406" i="77"/>
  <c r="G2406" i="77"/>
  <c r="I2405" i="77"/>
  <c r="H2405" i="77"/>
  <c r="G2405" i="77"/>
  <c r="I2404" i="77"/>
  <c r="H2404" i="77"/>
  <c r="G2404" i="77"/>
  <c r="I2403" i="77"/>
  <c r="H2403" i="77"/>
  <c r="G2403" i="77"/>
  <c r="I2402" i="77"/>
  <c r="H2402" i="77"/>
  <c r="G2402" i="77"/>
  <c r="I2401" i="77"/>
  <c r="H2401" i="77"/>
  <c r="G2401" i="77"/>
  <c r="I2400" i="77"/>
  <c r="H2400" i="77"/>
  <c r="G2400" i="77"/>
  <c r="I2399" i="77"/>
  <c r="H2399" i="77"/>
  <c r="G2399" i="77"/>
  <c r="I2398" i="77"/>
  <c r="H2398" i="77"/>
  <c r="G2398" i="77"/>
  <c r="I2397" i="77"/>
  <c r="H2397" i="77"/>
  <c r="G2397" i="77"/>
  <c r="I2396" i="77"/>
  <c r="H2396" i="77"/>
  <c r="G2396" i="77"/>
  <c r="I2395" i="77"/>
  <c r="H2395" i="77"/>
  <c r="G2395" i="77"/>
  <c r="I2394" i="77"/>
  <c r="H2394" i="77"/>
  <c r="G2394" i="77"/>
  <c r="I2393" i="77"/>
  <c r="H2393" i="77"/>
  <c r="G2393" i="77"/>
  <c r="I2392" i="77"/>
  <c r="H2392" i="77"/>
  <c r="G2392" i="77"/>
  <c r="I2391" i="77"/>
  <c r="H2391" i="77"/>
  <c r="G2391" i="77"/>
  <c r="I2390" i="77"/>
  <c r="H2390" i="77"/>
  <c r="G2390" i="77"/>
  <c r="I2389" i="77"/>
  <c r="H2389" i="77"/>
  <c r="G2389" i="77"/>
  <c r="I2388" i="77"/>
  <c r="H2388" i="77"/>
  <c r="G2388" i="77"/>
  <c r="I2387" i="77"/>
  <c r="H2387" i="77"/>
  <c r="G2387" i="77"/>
  <c r="I2386" i="77"/>
  <c r="H2386" i="77"/>
  <c r="G2386" i="77"/>
  <c r="I2385" i="77"/>
  <c r="H2385" i="77"/>
  <c r="G2385" i="77"/>
  <c r="I2384" i="77"/>
  <c r="H2384" i="77"/>
  <c r="G2384" i="77"/>
  <c r="I2383" i="77"/>
  <c r="H2383" i="77"/>
  <c r="G2383" i="77"/>
  <c r="I2382" i="77"/>
  <c r="H2382" i="77"/>
  <c r="G2382" i="77"/>
  <c r="I2381" i="77"/>
  <c r="H2381" i="77"/>
  <c r="G2381" i="77"/>
  <c r="I2380" i="77"/>
  <c r="H2380" i="77"/>
  <c r="G2380" i="77"/>
  <c r="I2379" i="77"/>
  <c r="H2379" i="77"/>
  <c r="G2379" i="77"/>
  <c r="I2378" i="77"/>
  <c r="H2378" i="77"/>
  <c r="G2378" i="77"/>
  <c r="I2377" i="77"/>
  <c r="H2377" i="77"/>
  <c r="G2377" i="77"/>
  <c r="I2376" i="77"/>
  <c r="H2376" i="77"/>
  <c r="G2376" i="77"/>
  <c r="I2375" i="77"/>
  <c r="H2375" i="77"/>
  <c r="G2375" i="77"/>
  <c r="I2374" i="77"/>
  <c r="H2374" i="77"/>
  <c r="G2374" i="77"/>
  <c r="I2373" i="77"/>
  <c r="H2373" i="77"/>
  <c r="G2373" i="77"/>
  <c r="I2372" i="77"/>
  <c r="H2372" i="77"/>
  <c r="G2372" i="77"/>
  <c r="I2371" i="77"/>
  <c r="H2371" i="77"/>
  <c r="G2371" i="77"/>
  <c r="I2370" i="77"/>
  <c r="H2370" i="77"/>
  <c r="G2370" i="77"/>
  <c r="I2369" i="77"/>
  <c r="H2369" i="77"/>
  <c r="G2369" i="77"/>
  <c r="I2368" i="77"/>
  <c r="H2368" i="77"/>
  <c r="G2368" i="77"/>
  <c r="I2367" i="77"/>
  <c r="H2367" i="77"/>
  <c r="G2367" i="77"/>
  <c r="I2366" i="77"/>
  <c r="H2366" i="77"/>
  <c r="G2366" i="77"/>
  <c r="I2365" i="77"/>
  <c r="H2365" i="77"/>
  <c r="G2365" i="77"/>
  <c r="I2364" i="77"/>
  <c r="H2364" i="77"/>
  <c r="G2364" i="77"/>
  <c r="I2363" i="77"/>
  <c r="H2363" i="77"/>
  <c r="G2363" i="77"/>
  <c r="I2362" i="77"/>
  <c r="H2362" i="77"/>
  <c r="G2362" i="77"/>
  <c r="I2361" i="77"/>
  <c r="H2361" i="77"/>
  <c r="G2361" i="77"/>
  <c r="I2360" i="77"/>
  <c r="H2360" i="77"/>
  <c r="G2360" i="77"/>
  <c r="I2359" i="77"/>
  <c r="H2359" i="77"/>
  <c r="G2359" i="77"/>
  <c r="I2358" i="77"/>
  <c r="H2358" i="77"/>
  <c r="G2358" i="77"/>
  <c r="I2357" i="77"/>
  <c r="H2357" i="77"/>
  <c r="G2357" i="77"/>
  <c r="I2356" i="77"/>
  <c r="H2356" i="77"/>
  <c r="G2356" i="77"/>
  <c r="I2355" i="77"/>
  <c r="H2355" i="77"/>
  <c r="G2355" i="77"/>
  <c r="I2354" i="77"/>
  <c r="H2354" i="77"/>
  <c r="G2354" i="77"/>
  <c r="I2353" i="77"/>
  <c r="H2353" i="77"/>
  <c r="G2353" i="77"/>
  <c r="I2352" i="77"/>
  <c r="H2352" i="77"/>
  <c r="G2352" i="77"/>
  <c r="I2351" i="77"/>
  <c r="H2351" i="77"/>
  <c r="G2351" i="77"/>
  <c r="I2350" i="77"/>
  <c r="H2350" i="77"/>
  <c r="G2350" i="77"/>
  <c r="I2349" i="77"/>
  <c r="H2349" i="77"/>
  <c r="G2349" i="77"/>
  <c r="I2348" i="77"/>
  <c r="H2348" i="77"/>
  <c r="G2348" i="77"/>
  <c r="I2347" i="77"/>
  <c r="H2347" i="77"/>
  <c r="G2347" i="77"/>
  <c r="I2346" i="77"/>
  <c r="H2346" i="77"/>
  <c r="G2346" i="77"/>
  <c r="I2345" i="77"/>
  <c r="H2345" i="77"/>
  <c r="G2345" i="77"/>
  <c r="I2344" i="77"/>
  <c r="H2344" i="77"/>
  <c r="G2344" i="77"/>
  <c r="I2343" i="77"/>
  <c r="H2343" i="77"/>
  <c r="G2343" i="77"/>
  <c r="I2342" i="77"/>
  <c r="H2342" i="77"/>
  <c r="G2342" i="77"/>
  <c r="I2341" i="77"/>
  <c r="H2341" i="77"/>
  <c r="G2341" i="77"/>
  <c r="I2340" i="77"/>
  <c r="H2340" i="77"/>
  <c r="G2340" i="77"/>
  <c r="I2339" i="77"/>
  <c r="H2339" i="77"/>
  <c r="G2339" i="77"/>
  <c r="I2338" i="77"/>
  <c r="H2338" i="77"/>
  <c r="G2338" i="77"/>
  <c r="I2337" i="77"/>
  <c r="H2337" i="77"/>
  <c r="G2337" i="77"/>
  <c r="I2336" i="77"/>
  <c r="H2336" i="77"/>
  <c r="G2336" i="77"/>
  <c r="I2335" i="77"/>
  <c r="H2335" i="77"/>
  <c r="G2335" i="77"/>
  <c r="I2334" i="77"/>
  <c r="H2334" i="77"/>
  <c r="G2334" i="77"/>
  <c r="I2333" i="77"/>
  <c r="H2333" i="77"/>
  <c r="G2333" i="77"/>
  <c r="I2332" i="77"/>
  <c r="H2332" i="77"/>
  <c r="G2332" i="77"/>
  <c r="I2331" i="77"/>
  <c r="H2331" i="77"/>
  <c r="G2331" i="77"/>
  <c r="I2330" i="77"/>
  <c r="H2330" i="77"/>
  <c r="G2330" i="77"/>
  <c r="I2329" i="77"/>
  <c r="H2329" i="77"/>
  <c r="G2329" i="77"/>
  <c r="I2328" i="77"/>
  <c r="H2328" i="77"/>
  <c r="G2328" i="77"/>
  <c r="I2327" i="77"/>
  <c r="H2327" i="77"/>
  <c r="G2327" i="77"/>
  <c r="I2326" i="77"/>
  <c r="H2326" i="77"/>
  <c r="G2326" i="77"/>
  <c r="I2325" i="77"/>
  <c r="H2325" i="77"/>
  <c r="G2325" i="77"/>
  <c r="I2324" i="77"/>
  <c r="H2324" i="77"/>
  <c r="G2324" i="77"/>
  <c r="I2323" i="77"/>
  <c r="H2323" i="77"/>
  <c r="G2323" i="77"/>
  <c r="I2322" i="77"/>
  <c r="H2322" i="77"/>
  <c r="G2322" i="77"/>
  <c r="I2321" i="77"/>
  <c r="H2321" i="77"/>
  <c r="G2321" i="77"/>
  <c r="I2320" i="77"/>
  <c r="H2320" i="77"/>
  <c r="G2320" i="77"/>
  <c r="I2319" i="77"/>
  <c r="H2319" i="77"/>
  <c r="G2319" i="77"/>
  <c r="I2318" i="77"/>
  <c r="H2318" i="77"/>
  <c r="G2318" i="77"/>
  <c r="I2317" i="77"/>
  <c r="H2317" i="77"/>
  <c r="G2317" i="77"/>
  <c r="I2316" i="77"/>
  <c r="H2316" i="77"/>
  <c r="G2316" i="77"/>
  <c r="I2315" i="77"/>
  <c r="H2315" i="77"/>
  <c r="G2315" i="77"/>
  <c r="I2314" i="77"/>
  <c r="H2314" i="77"/>
  <c r="G2314" i="77"/>
  <c r="I2313" i="77"/>
  <c r="H2313" i="77"/>
  <c r="G2313" i="77"/>
  <c r="I2312" i="77"/>
  <c r="H2312" i="77"/>
  <c r="G2312" i="77"/>
  <c r="I2311" i="77"/>
  <c r="H2311" i="77"/>
  <c r="G2311" i="77"/>
  <c r="I2310" i="77"/>
  <c r="H2310" i="77"/>
  <c r="G2310" i="77"/>
  <c r="I2309" i="77"/>
  <c r="H2309" i="77"/>
  <c r="G2309" i="77"/>
  <c r="I2308" i="77"/>
  <c r="H2308" i="77"/>
  <c r="G2308" i="77"/>
  <c r="I2307" i="77"/>
  <c r="H2307" i="77"/>
  <c r="G2307" i="77"/>
  <c r="I2306" i="77"/>
  <c r="H2306" i="77"/>
  <c r="G2306" i="77"/>
  <c r="I2305" i="77"/>
  <c r="H2305" i="77"/>
  <c r="G2305" i="77"/>
  <c r="I2304" i="77"/>
  <c r="H2304" i="77"/>
  <c r="G2304" i="77"/>
  <c r="I2303" i="77"/>
  <c r="H2303" i="77"/>
  <c r="G2303" i="77"/>
  <c r="I2302" i="77"/>
  <c r="H2302" i="77"/>
  <c r="G2302" i="77"/>
  <c r="I2301" i="77"/>
  <c r="H2301" i="77"/>
  <c r="G2301" i="77"/>
  <c r="I2300" i="77"/>
  <c r="H2300" i="77"/>
  <c r="G2300" i="77"/>
  <c r="I2299" i="77"/>
  <c r="H2299" i="77"/>
  <c r="G2299" i="77"/>
  <c r="I2298" i="77"/>
  <c r="H2298" i="77"/>
  <c r="G2298" i="77"/>
  <c r="I2297" i="77"/>
  <c r="H2297" i="77"/>
  <c r="G2297" i="77"/>
  <c r="I2296" i="77"/>
  <c r="H2296" i="77"/>
  <c r="G2296" i="77"/>
  <c r="I2295" i="77"/>
  <c r="H2295" i="77"/>
  <c r="G2295" i="77"/>
  <c r="I2294" i="77"/>
  <c r="H2294" i="77"/>
  <c r="G2294" i="77"/>
  <c r="I2293" i="77"/>
  <c r="H2293" i="77"/>
  <c r="G2293" i="77"/>
  <c r="I2292" i="77"/>
  <c r="H2292" i="77"/>
  <c r="G2292" i="77"/>
  <c r="I2291" i="77"/>
  <c r="H2291" i="77"/>
  <c r="G2291" i="77"/>
  <c r="I2290" i="77"/>
  <c r="H2290" i="77"/>
  <c r="G2290" i="77"/>
  <c r="I2289" i="77"/>
  <c r="H2289" i="77"/>
  <c r="G2289" i="77"/>
  <c r="I2288" i="77"/>
  <c r="H2288" i="77"/>
  <c r="G2288" i="77"/>
  <c r="I2287" i="77"/>
  <c r="H2287" i="77"/>
  <c r="G2287" i="77"/>
  <c r="I2286" i="77"/>
  <c r="H2286" i="77"/>
  <c r="G2286" i="77"/>
  <c r="I2285" i="77"/>
  <c r="H2285" i="77"/>
  <c r="G2285" i="77"/>
  <c r="I2284" i="77"/>
  <c r="H2284" i="77"/>
  <c r="G2284" i="77"/>
  <c r="I2283" i="77"/>
  <c r="H2283" i="77"/>
  <c r="G2283" i="77"/>
  <c r="I2282" i="77"/>
  <c r="H2282" i="77"/>
  <c r="G2282" i="77"/>
  <c r="I2281" i="77"/>
  <c r="H2281" i="77"/>
  <c r="G2281" i="77"/>
  <c r="I2280" i="77"/>
  <c r="H2280" i="77"/>
  <c r="G2280" i="77"/>
  <c r="I2279" i="77"/>
  <c r="H2279" i="77"/>
  <c r="G2279" i="77"/>
  <c r="I2278" i="77"/>
  <c r="H2278" i="77"/>
  <c r="G2278" i="77"/>
  <c r="I2277" i="77"/>
  <c r="H2277" i="77"/>
  <c r="G2277" i="77"/>
  <c r="I2276" i="77"/>
  <c r="H2276" i="77"/>
  <c r="G2276" i="77"/>
  <c r="I2275" i="77"/>
  <c r="H2275" i="77"/>
  <c r="G2275" i="77"/>
  <c r="I2274" i="77"/>
  <c r="H2274" i="77"/>
  <c r="G2274" i="77"/>
  <c r="I2273" i="77"/>
  <c r="H2273" i="77"/>
  <c r="G2273" i="77"/>
  <c r="I2272" i="77"/>
  <c r="H2272" i="77"/>
  <c r="G2272" i="77"/>
  <c r="I2271" i="77"/>
  <c r="H2271" i="77"/>
  <c r="G2271" i="77"/>
  <c r="I2270" i="77"/>
  <c r="H2270" i="77"/>
  <c r="G2270" i="77"/>
  <c r="I2269" i="77"/>
  <c r="H2269" i="77"/>
  <c r="G2269" i="77"/>
  <c r="I2268" i="77"/>
  <c r="H2268" i="77"/>
  <c r="G2268" i="77"/>
  <c r="I2267" i="77"/>
  <c r="H2267" i="77"/>
  <c r="G2267" i="77"/>
  <c r="I2266" i="77"/>
  <c r="H2266" i="77"/>
  <c r="G2266" i="77"/>
  <c r="I2265" i="77"/>
  <c r="H2265" i="77"/>
  <c r="G2265" i="77"/>
  <c r="I2264" i="77"/>
  <c r="H2264" i="77"/>
  <c r="G2264" i="77"/>
  <c r="I2263" i="77"/>
  <c r="H2263" i="77"/>
  <c r="G2263" i="77"/>
  <c r="I2262" i="77"/>
  <c r="H2262" i="77"/>
  <c r="G2262" i="77"/>
  <c r="I2261" i="77"/>
  <c r="H2261" i="77"/>
  <c r="G2261" i="77"/>
  <c r="I2260" i="77"/>
  <c r="H2260" i="77"/>
  <c r="G2260" i="77"/>
  <c r="I2259" i="77"/>
  <c r="H2259" i="77"/>
  <c r="G2259" i="77"/>
  <c r="I2258" i="77"/>
  <c r="H2258" i="77"/>
  <c r="G2258" i="77"/>
  <c r="I2257" i="77"/>
  <c r="H2257" i="77"/>
  <c r="G2257" i="77"/>
  <c r="I2256" i="77"/>
  <c r="H2256" i="77"/>
  <c r="G2256" i="77"/>
  <c r="I2255" i="77"/>
  <c r="H2255" i="77"/>
  <c r="G2255" i="77"/>
  <c r="I2254" i="77"/>
  <c r="H2254" i="77"/>
  <c r="G2254" i="77"/>
  <c r="I2253" i="77"/>
  <c r="H2253" i="77"/>
  <c r="G2253" i="77"/>
  <c r="I2252" i="77"/>
  <c r="H2252" i="77"/>
  <c r="G2252" i="77"/>
  <c r="I2251" i="77"/>
  <c r="H2251" i="77"/>
  <c r="G2251" i="77"/>
  <c r="I2250" i="77"/>
  <c r="H2250" i="77"/>
  <c r="G2250" i="77"/>
  <c r="I2249" i="77"/>
  <c r="H2249" i="77"/>
  <c r="G2249" i="77"/>
  <c r="I2248" i="77"/>
  <c r="H2248" i="77"/>
  <c r="G2248" i="77"/>
  <c r="I2247" i="77"/>
  <c r="H2247" i="77"/>
  <c r="G2247" i="77"/>
  <c r="I2246" i="77"/>
  <c r="H2246" i="77"/>
  <c r="G2246" i="77"/>
  <c r="I2245" i="77"/>
  <c r="H2245" i="77"/>
  <c r="G2245" i="77"/>
  <c r="I2244" i="77"/>
  <c r="H2244" i="77"/>
  <c r="G2244" i="77"/>
  <c r="I2243" i="77"/>
  <c r="H2243" i="77"/>
  <c r="G2243" i="77"/>
  <c r="I2242" i="77"/>
  <c r="H2242" i="77"/>
  <c r="G2242" i="77"/>
  <c r="I2241" i="77"/>
  <c r="H2241" i="77"/>
  <c r="G2241" i="77"/>
  <c r="I2240" i="77"/>
  <c r="H2240" i="77"/>
  <c r="G2240" i="77"/>
  <c r="I2239" i="77"/>
  <c r="H2239" i="77"/>
  <c r="G2239" i="77"/>
  <c r="I2238" i="77"/>
  <c r="H2238" i="77"/>
  <c r="G2238" i="77"/>
  <c r="I2237" i="77"/>
  <c r="H2237" i="77"/>
  <c r="G2237" i="77"/>
  <c r="I2236" i="77"/>
  <c r="H2236" i="77"/>
  <c r="G2236" i="77"/>
  <c r="I2235" i="77"/>
  <c r="H2235" i="77"/>
  <c r="G2235" i="77"/>
  <c r="I2234" i="77"/>
  <c r="H2234" i="77"/>
  <c r="G2234" i="77"/>
  <c r="I2233" i="77"/>
  <c r="H2233" i="77"/>
  <c r="G2233" i="77"/>
  <c r="I2232" i="77"/>
  <c r="H2232" i="77"/>
  <c r="G2232" i="77"/>
  <c r="I2231" i="77"/>
  <c r="H2231" i="77"/>
  <c r="G2231" i="77"/>
  <c r="I2230" i="77"/>
  <c r="H2230" i="77"/>
  <c r="G2230" i="77"/>
  <c r="I2229" i="77"/>
  <c r="H2229" i="77"/>
  <c r="G2229" i="77"/>
  <c r="I2228" i="77"/>
  <c r="H2228" i="77"/>
  <c r="G2228" i="77"/>
  <c r="I2227" i="77"/>
  <c r="H2227" i="77"/>
  <c r="G2227" i="77"/>
  <c r="I2226" i="77"/>
  <c r="H2226" i="77"/>
  <c r="G2226" i="77"/>
  <c r="I2225" i="77"/>
  <c r="H2225" i="77"/>
  <c r="G2225" i="77"/>
  <c r="I2224" i="77"/>
  <c r="H2224" i="77"/>
  <c r="G2224" i="77"/>
  <c r="I2223" i="77"/>
  <c r="H2223" i="77"/>
  <c r="G2223" i="77"/>
  <c r="I2222" i="77"/>
  <c r="H2222" i="77"/>
  <c r="G2222" i="77"/>
  <c r="I2221" i="77"/>
  <c r="H2221" i="77"/>
  <c r="G2221" i="77"/>
  <c r="I2220" i="77"/>
  <c r="H2220" i="77"/>
  <c r="G2220" i="77"/>
  <c r="I2219" i="77"/>
  <c r="H2219" i="77"/>
  <c r="G2219" i="77"/>
  <c r="I2218" i="77"/>
  <c r="H2218" i="77"/>
  <c r="G2218" i="77"/>
  <c r="I2217" i="77"/>
  <c r="H2217" i="77"/>
  <c r="G2217" i="77"/>
  <c r="I2216" i="77"/>
  <c r="H2216" i="77"/>
  <c r="G2216" i="77"/>
  <c r="I2215" i="77"/>
  <c r="H2215" i="77"/>
  <c r="G2215" i="77"/>
  <c r="I2214" i="77"/>
  <c r="H2214" i="77"/>
  <c r="G2214" i="77"/>
  <c r="I2213" i="77"/>
  <c r="H2213" i="77"/>
  <c r="G2213" i="77"/>
  <c r="I2212" i="77"/>
  <c r="H2212" i="77"/>
  <c r="G2212" i="77"/>
  <c r="I2211" i="77"/>
  <c r="H2211" i="77"/>
  <c r="G2211" i="77"/>
  <c r="I2210" i="77"/>
  <c r="H2210" i="77"/>
  <c r="G2210" i="77"/>
  <c r="I2209" i="77"/>
  <c r="H2209" i="77"/>
  <c r="G2209" i="77"/>
  <c r="I2208" i="77"/>
  <c r="H2208" i="77"/>
  <c r="G2208" i="77"/>
  <c r="I2207" i="77"/>
  <c r="H2207" i="77"/>
  <c r="G2207" i="77"/>
  <c r="I2206" i="77"/>
  <c r="H2206" i="77"/>
  <c r="G2206" i="77"/>
  <c r="I2205" i="77"/>
  <c r="H2205" i="77"/>
  <c r="G2205" i="77"/>
  <c r="I2204" i="77"/>
  <c r="H2204" i="77"/>
  <c r="G2204" i="77"/>
  <c r="I2203" i="77"/>
  <c r="H2203" i="77"/>
  <c r="G2203" i="77"/>
  <c r="I2202" i="77"/>
  <c r="H2202" i="77"/>
  <c r="G2202" i="77"/>
  <c r="I2201" i="77"/>
  <c r="H2201" i="77"/>
  <c r="G2201" i="77"/>
  <c r="I2200" i="77"/>
  <c r="H2200" i="77"/>
  <c r="G2200" i="77"/>
  <c r="I2199" i="77"/>
  <c r="H2199" i="77"/>
  <c r="G2199" i="77"/>
  <c r="I2198" i="77"/>
  <c r="H2198" i="77"/>
  <c r="G2198" i="77"/>
  <c r="I2197" i="77"/>
  <c r="H2197" i="77"/>
  <c r="G2197" i="77"/>
  <c r="I2196" i="77"/>
  <c r="H2196" i="77"/>
  <c r="G2196" i="77"/>
  <c r="I2195" i="77"/>
  <c r="H2195" i="77"/>
  <c r="G2195" i="77"/>
  <c r="I2194" i="77"/>
  <c r="H2194" i="77"/>
  <c r="G2194" i="77"/>
  <c r="I2193" i="77"/>
  <c r="H2193" i="77"/>
  <c r="G2193" i="77"/>
  <c r="I2192" i="77"/>
  <c r="H2192" i="77"/>
  <c r="G2192" i="77"/>
  <c r="I2191" i="77"/>
  <c r="H2191" i="77"/>
  <c r="G2191" i="77"/>
  <c r="I2190" i="77"/>
  <c r="H2190" i="77"/>
  <c r="G2190" i="77"/>
  <c r="I2189" i="77"/>
  <c r="H2189" i="77"/>
  <c r="G2189" i="77"/>
  <c r="I2188" i="77"/>
  <c r="H2188" i="77"/>
  <c r="G2188" i="77"/>
  <c r="I2187" i="77"/>
  <c r="H2187" i="77"/>
  <c r="G2187" i="77"/>
  <c r="I2186" i="77"/>
  <c r="H2186" i="77"/>
  <c r="G2186" i="77"/>
  <c r="I2185" i="77"/>
  <c r="H2185" i="77"/>
  <c r="G2185" i="77"/>
  <c r="I2184" i="77"/>
  <c r="H2184" i="77"/>
  <c r="G2184" i="77"/>
  <c r="I2183" i="77"/>
  <c r="H2183" i="77"/>
  <c r="G2183" i="77"/>
  <c r="I2182" i="77"/>
  <c r="H2182" i="77"/>
  <c r="G2182" i="77"/>
  <c r="I2181" i="77"/>
  <c r="H2181" i="77"/>
  <c r="G2181" i="77"/>
  <c r="I2180" i="77"/>
  <c r="H2180" i="77"/>
  <c r="G2180" i="77"/>
  <c r="I2179" i="77"/>
  <c r="H2179" i="77"/>
  <c r="G2179" i="77"/>
  <c r="I2178" i="77"/>
  <c r="H2178" i="77"/>
  <c r="G2178" i="77"/>
  <c r="I2177" i="77"/>
  <c r="H2177" i="77"/>
  <c r="G2177" i="77"/>
  <c r="I2176" i="77"/>
  <c r="H2176" i="77"/>
  <c r="G2176" i="77"/>
  <c r="I2175" i="77"/>
  <c r="H2175" i="77"/>
  <c r="G2175" i="77"/>
  <c r="I2174" i="77"/>
  <c r="H2174" i="77"/>
  <c r="G2174" i="77"/>
  <c r="I2173" i="77"/>
  <c r="H2173" i="77"/>
  <c r="G2173" i="77"/>
  <c r="I2172" i="77"/>
  <c r="H2172" i="77"/>
  <c r="G2172" i="77"/>
  <c r="I2171" i="77"/>
  <c r="H2171" i="77"/>
  <c r="G2171" i="77"/>
  <c r="I2170" i="77"/>
  <c r="H2170" i="77"/>
  <c r="G2170" i="77"/>
  <c r="I2169" i="77"/>
  <c r="H2169" i="77"/>
  <c r="G2169" i="77"/>
  <c r="I2168" i="77"/>
  <c r="H2168" i="77"/>
  <c r="G2168" i="77"/>
  <c r="I2167" i="77"/>
  <c r="H2167" i="77"/>
  <c r="G2167" i="77"/>
  <c r="I2166" i="77"/>
  <c r="H2166" i="77"/>
  <c r="G2166" i="77"/>
  <c r="I2165" i="77"/>
  <c r="H2165" i="77"/>
  <c r="G2165" i="77"/>
  <c r="I2164" i="77"/>
  <c r="H2164" i="77"/>
  <c r="G2164" i="77"/>
  <c r="I2163" i="77"/>
  <c r="H2163" i="77"/>
  <c r="G2163" i="77"/>
  <c r="I2162" i="77"/>
  <c r="H2162" i="77"/>
  <c r="G2162" i="77"/>
  <c r="I2161" i="77"/>
  <c r="H2161" i="77"/>
  <c r="G2161" i="77"/>
  <c r="I2160" i="77"/>
  <c r="H2160" i="77"/>
  <c r="G2160" i="77"/>
  <c r="I2159" i="77"/>
  <c r="H2159" i="77"/>
  <c r="G2159" i="77"/>
  <c r="I2158" i="77"/>
  <c r="H2158" i="77"/>
  <c r="G2158" i="77"/>
  <c r="I2157" i="77"/>
  <c r="H2157" i="77"/>
  <c r="G2157" i="77"/>
  <c r="I2156" i="77"/>
  <c r="H2156" i="77"/>
  <c r="G2156" i="77"/>
  <c r="I2155" i="77"/>
  <c r="H2155" i="77"/>
  <c r="G2155" i="77"/>
  <c r="I2154" i="77"/>
  <c r="H2154" i="77"/>
  <c r="G2154" i="77"/>
  <c r="I2153" i="77"/>
  <c r="H2153" i="77"/>
  <c r="G2153" i="77"/>
  <c r="I2152" i="77"/>
  <c r="H2152" i="77"/>
  <c r="G2152" i="77"/>
  <c r="I2151" i="77"/>
  <c r="H2151" i="77"/>
  <c r="G2151" i="77"/>
  <c r="I2150" i="77"/>
  <c r="H2150" i="77"/>
  <c r="G2150" i="77"/>
  <c r="I2149" i="77"/>
  <c r="H2149" i="77"/>
  <c r="G2149" i="77"/>
  <c r="I2148" i="77"/>
  <c r="H2148" i="77"/>
  <c r="G2148" i="77"/>
  <c r="I2147" i="77"/>
  <c r="H2147" i="77"/>
  <c r="G2147" i="77"/>
  <c r="I2146" i="77"/>
  <c r="H2146" i="77"/>
  <c r="G2146" i="77"/>
  <c r="I2145" i="77"/>
  <c r="H2145" i="77"/>
  <c r="G2145" i="77"/>
  <c r="I2144" i="77"/>
  <c r="H2144" i="77"/>
  <c r="G2144" i="77"/>
  <c r="I2143" i="77"/>
  <c r="H2143" i="77"/>
  <c r="G2143" i="77"/>
  <c r="I2142" i="77"/>
  <c r="H2142" i="77"/>
  <c r="G2142" i="77"/>
  <c r="I2141" i="77"/>
  <c r="H2141" i="77"/>
  <c r="G2141" i="77"/>
  <c r="I2140" i="77"/>
  <c r="H2140" i="77"/>
  <c r="G2140" i="77"/>
  <c r="I2139" i="77"/>
  <c r="H2139" i="77"/>
  <c r="G2139" i="77"/>
  <c r="I2138" i="77"/>
  <c r="H2138" i="77"/>
  <c r="G2138" i="77"/>
  <c r="I2137" i="77"/>
  <c r="H2137" i="77"/>
  <c r="G2137" i="77"/>
  <c r="I2136" i="77"/>
  <c r="H2136" i="77"/>
  <c r="G2136" i="77"/>
  <c r="I2135" i="77"/>
  <c r="H2135" i="77"/>
  <c r="G2135" i="77"/>
  <c r="I2134" i="77"/>
  <c r="H2134" i="77"/>
  <c r="G2134" i="77"/>
  <c r="I2133" i="77"/>
  <c r="H2133" i="77"/>
  <c r="G2133" i="77"/>
  <c r="I2132" i="77"/>
  <c r="H2132" i="77"/>
  <c r="G2132" i="77"/>
  <c r="I2131" i="77"/>
  <c r="H2131" i="77"/>
  <c r="G2131" i="77"/>
  <c r="I2130" i="77"/>
  <c r="H2130" i="77"/>
  <c r="G2130" i="77"/>
  <c r="I2129" i="77"/>
  <c r="H2129" i="77"/>
  <c r="G2129" i="77"/>
  <c r="I2128" i="77"/>
  <c r="H2128" i="77"/>
  <c r="G2128" i="77"/>
  <c r="I2127" i="77"/>
  <c r="H2127" i="77"/>
  <c r="G2127" i="77"/>
  <c r="I2126" i="77"/>
  <c r="H2126" i="77"/>
  <c r="G2126" i="77"/>
  <c r="I2125" i="77"/>
  <c r="H2125" i="77"/>
  <c r="G2125" i="77"/>
  <c r="I2124" i="77"/>
  <c r="H2124" i="77"/>
  <c r="G2124" i="77"/>
  <c r="I2123" i="77"/>
  <c r="H2123" i="77"/>
  <c r="G2123" i="77"/>
  <c r="I2122" i="77"/>
  <c r="H2122" i="77"/>
  <c r="G2122" i="77"/>
  <c r="I2121" i="77"/>
  <c r="H2121" i="77"/>
  <c r="G2121" i="77"/>
  <c r="I2120" i="77"/>
  <c r="H2120" i="77"/>
  <c r="G2120" i="77"/>
  <c r="I2119" i="77"/>
  <c r="H2119" i="77"/>
  <c r="G2119" i="77"/>
  <c r="I2118" i="77"/>
  <c r="H2118" i="77"/>
  <c r="G2118" i="77"/>
  <c r="I2117" i="77"/>
  <c r="H2117" i="77"/>
  <c r="G2117" i="77"/>
  <c r="I2116" i="77"/>
  <c r="H2116" i="77"/>
  <c r="G2116" i="77"/>
  <c r="I2115" i="77"/>
  <c r="H2115" i="77"/>
  <c r="G2115" i="77"/>
  <c r="I2114" i="77"/>
  <c r="H2114" i="77"/>
  <c r="G2114" i="77"/>
  <c r="I2113" i="77"/>
  <c r="H2113" i="77"/>
  <c r="G2113" i="77"/>
  <c r="I2112" i="77"/>
  <c r="H2112" i="77"/>
  <c r="G2112" i="77"/>
  <c r="I2111" i="77"/>
  <c r="H2111" i="77"/>
  <c r="G2111" i="77"/>
  <c r="I2110" i="77"/>
  <c r="H2110" i="77"/>
  <c r="G2110" i="77"/>
  <c r="I2109" i="77"/>
  <c r="H2109" i="77"/>
  <c r="G2109" i="77"/>
  <c r="I2108" i="77"/>
  <c r="H2108" i="77"/>
  <c r="G2108" i="77"/>
  <c r="I2107" i="77"/>
  <c r="H2107" i="77"/>
  <c r="G2107" i="77"/>
  <c r="I2106" i="77"/>
  <c r="H2106" i="77"/>
  <c r="G2106" i="77"/>
  <c r="I2105" i="77"/>
  <c r="H2105" i="77"/>
  <c r="G2105" i="77"/>
  <c r="I2104" i="77"/>
  <c r="H2104" i="77"/>
  <c r="G2104" i="77"/>
  <c r="I2103" i="77"/>
  <c r="H2103" i="77"/>
  <c r="G2103" i="77"/>
  <c r="I2102" i="77"/>
  <c r="H2102" i="77"/>
  <c r="G2102" i="77"/>
  <c r="I2101" i="77"/>
  <c r="H2101" i="77"/>
  <c r="G2101" i="77"/>
  <c r="I2100" i="77"/>
  <c r="H2100" i="77"/>
  <c r="G2100" i="77"/>
  <c r="I2099" i="77"/>
  <c r="H2099" i="77"/>
  <c r="G2099" i="77"/>
  <c r="I2098" i="77"/>
  <c r="H2098" i="77"/>
  <c r="G2098" i="77"/>
  <c r="I2097" i="77"/>
  <c r="H2097" i="77"/>
  <c r="G2097" i="77"/>
  <c r="I2096" i="77"/>
  <c r="H2096" i="77"/>
  <c r="G2096" i="77"/>
  <c r="I2095" i="77"/>
  <c r="H2095" i="77"/>
  <c r="G2095" i="77"/>
  <c r="I2094" i="77"/>
  <c r="H2094" i="77"/>
  <c r="G2094" i="77"/>
  <c r="I2093" i="77"/>
  <c r="H2093" i="77"/>
  <c r="G2093" i="77"/>
  <c r="I2092" i="77"/>
  <c r="H2092" i="77"/>
  <c r="G2092" i="77"/>
  <c r="I2091" i="77"/>
  <c r="H2091" i="77"/>
  <c r="G2091" i="77"/>
  <c r="I2090" i="77"/>
  <c r="H2090" i="77"/>
  <c r="G2090" i="77"/>
  <c r="I2089" i="77"/>
  <c r="H2089" i="77"/>
  <c r="G2089" i="77"/>
  <c r="I2088" i="77"/>
  <c r="H2088" i="77"/>
  <c r="G2088" i="77"/>
  <c r="I2087" i="77"/>
  <c r="H2087" i="77"/>
  <c r="G2087" i="77"/>
  <c r="I2086" i="77"/>
  <c r="H2086" i="77"/>
  <c r="G2086" i="77"/>
  <c r="I2085" i="77"/>
  <c r="H2085" i="77"/>
  <c r="G2085" i="77"/>
  <c r="I2084" i="77"/>
  <c r="H2084" i="77"/>
  <c r="G2084" i="77"/>
  <c r="I2083" i="77"/>
  <c r="H2083" i="77"/>
  <c r="G2083" i="77"/>
  <c r="I2082" i="77"/>
  <c r="H2082" i="77"/>
  <c r="G2082" i="77"/>
  <c r="I2081" i="77"/>
  <c r="H2081" i="77"/>
  <c r="G2081" i="77"/>
  <c r="I2080" i="77"/>
  <c r="H2080" i="77"/>
  <c r="G2080" i="77"/>
  <c r="I2079" i="77"/>
  <c r="H2079" i="77"/>
  <c r="G2079" i="77"/>
  <c r="I2078" i="77"/>
  <c r="H2078" i="77"/>
  <c r="G2078" i="77"/>
  <c r="I2077" i="77"/>
  <c r="H2077" i="77"/>
  <c r="G2077" i="77"/>
  <c r="I2076" i="77"/>
  <c r="H2076" i="77"/>
  <c r="G2076" i="77"/>
  <c r="I2075" i="77"/>
  <c r="H2075" i="77"/>
  <c r="G2075" i="77"/>
  <c r="I2074" i="77"/>
  <c r="H2074" i="77"/>
  <c r="G2074" i="77"/>
  <c r="I2073" i="77"/>
  <c r="H2073" i="77"/>
  <c r="G2073" i="77"/>
  <c r="I2072" i="77"/>
  <c r="H2072" i="77"/>
  <c r="G2072" i="77"/>
  <c r="I2071" i="77"/>
  <c r="H2071" i="77"/>
  <c r="G2071" i="77"/>
  <c r="I2070" i="77"/>
  <c r="H2070" i="77"/>
  <c r="G2070" i="77"/>
  <c r="I2069" i="77"/>
  <c r="H2069" i="77"/>
  <c r="G2069" i="77"/>
  <c r="I2068" i="77"/>
  <c r="H2068" i="77"/>
  <c r="G2068" i="77"/>
  <c r="I2067" i="77"/>
  <c r="H2067" i="77"/>
  <c r="G2067" i="77"/>
  <c r="I2066" i="77"/>
  <c r="H2066" i="77"/>
  <c r="G2066" i="77"/>
  <c r="I2065" i="77"/>
  <c r="H2065" i="77"/>
  <c r="G2065" i="77"/>
  <c r="I2064" i="77"/>
  <c r="H2064" i="77"/>
  <c r="G2064" i="77"/>
  <c r="I2063" i="77"/>
  <c r="H2063" i="77"/>
  <c r="G2063" i="77"/>
  <c r="I2062" i="77"/>
  <c r="H2062" i="77"/>
  <c r="G2062" i="77"/>
  <c r="I2061" i="77"/>
  <c r="H2061" i="77"/>
  <c r="G2061" i="77"/>
  <c r="I2060" i="77"/>
  <c r="H2060" i="77"/>
  <c r="G2060" i="77"/>
  <c r="I2059" i="77"/>
  <c r="H2059" i="77"/>
  <c r="G2059" i="77"/>
  <c r="I2058" i="77"/>
  <c r="H2058" i="77"/>
  <c r="G2058" i="77"/>
  <c r="I2057" i="77"/>
  <c r="H2057" i="77"/>
  <c r="G2057" i="77"/>
  <c r="I2056" i="77"/>
  <c r="H2056" i="77"/>
  <c r="G2056" i="77"/>
  <c r="I2055" i="77"/>
  <c r="H2055" i="77"/>
  <c r="G2055" i="77"/>
  <c r="I2054" i="77"/>
  <c r="H2054" i="77"/>
  <c r="G2054" i="77"/>
  <c r="I2053" i="77"/>
  <c r="H2053" i="77"/>
  <c r="G2053" i="77"/>
  <c r="I2052" i="77"/>
  <c r="H2052" i="77"/>
  <c r="G2052" i="77"/>
  <c r="I2051" i="77"/>
  <c r="H2051" i="77"/>
  <c r="G2051" i="77"/>
  <c r="I2050" i="77"/>
  <c r="H2050" i="77"/>
  <c r="G2050" i="77"/>
  <c r="I2049" i="77"/>
  <c r="H2049" i="77"/>
  <c r="G2049" i="77"/>
  <c r="I2048" i="77"/>
  <c r="H2048" i="77"/>
  <c r="G2048" i="77"/>
  <c r="I2047" i="77"/>
  <c r="H2047" i="77"/>
  <c r="G2047" i="77"/>
  <c r="I2046" i="77"/>
  <c r="H2046" i="77"/>
  <c r="G2046" i="77"/>
  <c r="I2045" i="77"/>
  <c r="H2045" i="77"/>
  <c r="G2045" i="77"/>
  <c r="I2044" i="77"/>
  <c r="H2044" i="77"/>
  <c r="G2044" i="77"/>
  <c r="I2043" i="77"/>
  <c r="H2043" i="77"/>
  <c r="G2043" i="77"/>
  <c r="I2042" i="77"/>
  <c r="H2042" i="77"/>
  <c r="G2042" i="77"/>
  <c r="I2041" i="77"/>
  <c r="H2041" i="77"/>
  <c r="G2041" i="77"/>
  <c r="I2040" i="77"/>
  <c r="H2040" i="77"/>
  <c r="G2040" i="77"/>
  <c r="I2039" i="77"/>
  <c r="H2039" i="77"/>
  <c r="G2039" i="77"/>
  <c r="I2038" i="77"/>
  <c r="H2038" i="77"/>
  <c r="G2038" i="77"/>
  <c r="I2037" i="77"/>
  <c r="H2037" i="77"/>
  <c r="G2037" i="77"/>
  <c r="I2036" i="77"/>
  <c r="H2036" i="77"/>
  <c r="G2036" i="77"/>
  <c r="I2035" i="77"/>
  <c r="H2035" i="77"/>
  <c r="G2035" i="77"/>
  <c r="I2034" i="77"/>
  <c r="H2034" i="77"/>
  <c r="G2034" i="77"/>
  <c r="I2033" i="77"/>
  <c r="H2033" i="77"/>
  <c r="G2033" i="77"/>
  <c r="I2032" i="77"/>
  <c r="H2032" i="77"/>
  <c r="G2032" i="77"/>
  <c r="I2031" i="77"/>
  <c r="H2031" i="77"/>
  <c r="G2031" i="77"/>
  <c r="I2030" i="77"/>
  <c r="H2030" i="77"/>
  <c r="G2030" i="77"/>
  <c r="I2029" i="77"/>
  <c r="H2029" i="77"/>
  <c r="G2029" i="77"/>
  <c r="I2028" i="77"/>
  <c r="H2028" i="77"/>
  <c r="G2028" i="77"/>
  <c r="I2027" i="77"/>
  <c r="H2027" i="77"/>
  <c r="G2027" i="77"/>
  <c r="I2026" i="77"/>
  <c r="H2026" i="77"/>
  <c r="G2026" i="77"/>
  <c r="I2025" i="77"/>
  <c r="H2025" i="77"/>
  <c r="G2025" i="77"/>
  <c r="I2024" i="77"/>
  <c r="H2024" i="77"/>
  <c r="G2024" i="77"/>
  <c r="I2023" i="77"/>
  <c r="H2023" i="77"/>
  <c r="G2023" i="77"/>
  <c r="I2022" i="77"/>
  <c r="H2022" i="77"/>
  <c r="G2022" i="77"/>
  <c r="I2021" i="77"/>
  <c r="H2021" i="77"/>
  <c r="G2021" i="77"/>
  <c r="I2020" i="77"/>
  <c r="H2020" i="77"/>
  <c r="G2020" i="77"/>
  <c r="I2019" i="77"/>
  <c r="H2019" i="77"/>
  <c r="G2019" i="77"/>
  <c r="I2018" i="77"/>
  <c r="H2018" i="77"/>
  <c r="G2018" i="77"/>
  <c r="I2017" i="77"/>
  <c r="H2017" i="77"/>
  <c r="G2017" i="77"/>
  <c r="I2016" i="77"/>
  <c r="H2016" i="77"/>
  <c r="G2016" i="77"/>
  <c r="I2015" i="77"/>
  <c r="H2015" i="77"/>
  <c r="G2015" i="77"/>
  <c r="I2014" i="77"/>
  <c r="H2014" i="77"/>
  <c r="G2014" i="77"/>
  <c r="I2013" i="77"/>
  <c r="H2013" i="77"/>
  <c r="G2013" i="77"/>
  <c r="I2012" i="77"/>
  <c r="H2012" i="77"/>
  <c r="G2012" i="77"/>
  <c r="I2011" i="77"/>
  <c r="H2011" i="77"/>
  <c r="G2011" i="77"/>
  <c r="I2010" i="77"/>
  <c r="H2010" i="77"/>
  <c r="G2010" i="77"/>
  <c r="I2009" i="77"/>
  <c r="H2009" i="77"/>
  <c r="G2009" i="77"/>
  <c r="I2008" i="77"/>
  <c r="H2008" i="77"/>
  <c r="G2008" i="77"/>
  <c r="I2007" i="77"/>
  <c r="H2007" i="77"/>
  <c r="G2007" i="77"/>
  <c r="I2006" i="77"/>
  <c r="H2006" i="77"/>
  <c r="G2006" i="77"/>
  <c r="I2005" i="77"/>
  <c r="H2005" i="77"/>
  <c r="G2005" i="77"/>
  <c r="I2004" i="77"/>
  <c r="H2004" i="77"/>
  <c r="G2004" i="77"/>
  <c r="I2003" i="77"/>
  <c r="H2003" i="77"/>
  <c r="G2003" i="77"/>
  <c r="I2002" i="77"/>
  <c r="H2002" i="77"/>
  <c r="G2002" i="77"/>
  <c r="I2001" i="77"/>
  <c r="H2001" i="77"/>
  <c r="G2001" i="77"/>
  <c r="I2000" i="77"/>
  <c r="H2000" i="77"/>
  <c r="G2000" i="77"/>
  <c r="I1999" i="77"/>
  <c r="H1999" i="77"/>
  <c r="G1999" i="77"/>
  <c r="I1998" i="77"/>
  <c r="H1998" i="77"/>
  <c r="G1998" i="77"/>
  <c r="I1997" i="77"/>
  <c r="H1997" i="77"/>
  <c r="G1997" i="77"/>
  <c r="I1996" i="77"/>
  <c r="H1996" i="77"/>
  <c r="G1996" i="77"/>
  <c r="I1995" i="77"/>
  <c r="H1995" i="77"/>
  <c r="G1995" i="77"/>
  <c r="I1994" i="77"/>
  <c r="H1994" i="77"/>
  <c r="G1994" i="77"/>
  <c r="I1993" i="77"/>
  <c r="H1993" i="77"/>
  <c r="G1993" i="77"/>
  <c r="I1992" i="77"/>
  <c r="H1992" i="77"/>
  <c r="G1992" i="77"/>
  <c r="I1991" i="77"/>
  <c r="H1991" i="77"/>
  <c r="G1991" i="77"/>
  <c r="I1990" i="77"/>
  <c r="H1990" i="77"/>
  <c r="G1990" i="77"/>
  <c r="I1989" i="77"/>
  <c r="H1989" i="77"/>
  <c r="G1989" i="77"/>
  <c r="I1988" i="77"/>
  <c r="H1988" i="77"/>
  <c r="G1988" i="77"/>
  <c r="I1987" i="77"/>
  <c r="H1987" i="77"/>
  <c r="G1987" i="77"/>
  <c r="I1986" i="77"/>
  <c r="H1986" i="77"/>
  <c r="G1986" i="77"/>
  <c r="I1985" i="77"/>
  <c r="H1985" i="77"/>
  <c r="G1985" i="77"/>
  <c r="I1984" i="77"/>
  <c r="H1984" i="77"/>
  <c r="G1984" i="77"/>
  <c r="I1983" i="77"/>
  <c r="H1983" i="77"/>
  <c r="G1983" i="77"/>
  <c r="I1982" i="77"/>
  <c r="H1982" i="77"/>
  <c r="G1982" i="77"/>
  <c r="I1981" i="77"/>
  <c r="H1981" i="77"/>
  <c r="G1981" i="77"/>
  <c r="I1980" i="77"/>
  <c r="H1980" i="77"/>
  <c r="G1980" i="77"/>
  <c r="I1979" i="77"/>
  <c r="H1979" i="77"/>
  <c r="G1979" i="77"/>
  <c r="I1978" i="77"/>
  <c r="H1978" i="77"/>
  <c r="G1978" i="77"/>
  <c r="I1977" i="77"/>
  <c r="H1977" i="77"/>
  <c r="G1977" i="77"/>
  <c r="I1976" i="77"/>
  <c r="H1976" i="77"/>
  <c r="G1976" i="77"/>
  <c r="I1975" i="77"/>
  <c r="H1975" i="77"/>
  <c r="G1975" i="77"/>
  <c r="I1974" i="77"/>
  <c r="H1974" i="77"/>
  <c r="G1974" i="77"/>
  <c r="I1973" i="77"/>
  <c r="H1973" i="77"/>
  <c r="G1973" i="77"/>
  <c r="I1972" i="77"/>
  <c r="H1972" i="77"/>
  <c r="G1972" i="77"/>
  <c r="I1971" i="77"/>
  <c r="H1971" i="77"/>
  <c r="G1971" i="77"/>
  <c r="I1970" i="77"/>
  <c r="H1970" i="77"/>
  <c r="G1970" i="77"/>
  <c r="I1969" i="77"/>
  <c r="H1969" i="77"/>
  <c r="G1969" i="77"/>
  <c r="I1968" i="77"/>
  <c r="H1968" i="77"/>
  <c r="G1968" i="77"/>
  <c r="I1967" i="77"/>
  <c r="H1967" i="77"/>
  <c r="G1967" i="77"/>
  <c r="I1966" i="77"/>
  <c r="H1966" i="77"/>
  <c r="G1966" i="77"/>
  <c r="I1965" i="77"/>
  <c r="H1965" i="77"/>
  <c r="G1965" i="77"/>
  <c r="I1964" i="77"/>
  <c r="H1964" i="77"/>
  <c r="G1964" i="77"/>
  <c r="I1963" i="77"/>
  <c r="H1963" i="77"/>
  <c r="G1963" i="77"/>
  <c r="I1962" i="77"/>
  <c r="H1962" i="77"/>
  <c r="G1962" i="77"/>
  <c r="I1961" i="77"/>
  <c r="H1961" i="77"/>
  <c r="G1961" i="77"/>
  <c r="I1960" i="77"/>
  <c r="H1960" i="77"/>
  <c r="G1960" i="77"/>
  <c r="I1959" i="77"/>
  <c r="H1959" i="77"/>
  <c r="G1959" i="77"/>
  <c r="I1958" i="77"/>
  <c r="H1958" i="77"/>
  <c r="G1958" i="77"/>
  <c r="I1957" i="77"/>
  <c r="H1957" i="77"/>
  <c r="G1957" i="77"/>
  <c r="I1956" i="77"/>
  <c r="H1956" i="77"/>
  <c r="G1956" i="77"/>
  <c r="I1955" i="77"/>
  <c r="H1955" i="77"/>
  <c r="G1955" i="77"/>
  <c r="I1954" i="77"/>
  <c r="H1954" i="77"/>
  <c r="G1954" i="77"/>
  <c r="I1953" i="77"/>
  <c r="H1953" i="77"/>
  <c r="G1953" i="77"/>
  <c r="I1952" i="77"/>
  <c r="H1952" i="77"/>
  <c r="G1952" i="77"/>
  <c r="I1951" i="77"/>
  <c r="H1951" i="77"/>
  <c r="G1951" i="77"/>
  <c r="I1950" i="77"/>
  <c r="H1950" i="77"/>
  <c r="G1950" i="77"/>
  <c r="I1949" i="77"/>
  <c r="H1949" i="77"/>
  <c r="G1949" i="77"/>
  <c r="I1948" i="77"/>
  <c r="H1948" i="77"/>
  <c r="G1948" i="77"/>
  <c r="I1947" i="77"/>
  <c r="H1947" i="77"/>
  <c r="G1947" i="77"/>
  <c r="I1946" i="77"/>
  <c r="H1946" i="77"/>
  <c r="G1946" i="77"/>
  <c r="I1945" i="77"/>
  <c r="H1945" i="77"/>
  <c r="G1945" i="77"/>
  <c r="I1944" i="77"/>
  <c r="H1944" i="77"/>
  <c r="G1944" i="77"/>
  <c r="I1943" i="77"/>
  <c r="H1943" i="77"/>
  <c r="G1943" i="77"/>
  <c r="I1942" i="77"/>
  <c r="H1942" i="77"/>
  <c r="G1942" i="77"/>
  <c r="I1941" i="77"/>
  <c r="H1941" i="77"/>
  <c r="G1941" i="77"/>
  <c r="I1940" i="77"/>
  <c r="H1940" i="77"/>
  <c r="G1940" i="77"/>
  <c r="I1939" i="77"/>
  <c r="H1939" i="77"/>
  <c r="G1939" i="77"/>
  <c r="I1938" i="77"/>
  <c r="H1938" i="77"/>
  <c r="G1938" i="77"/>
  <c r="I1937" i="77"/>
  <c r="H1937" i="77"/>
  <c r="G1937" i="77"/>
  <c r="I1936" i="77"/>
  <c r="H1936" i="77"/>
  <c r="G1936" i="77"/>
  <c r="I1935" i="77"/>
  <c r="H1935" i="77"/>
  <c r="G1935" i="77"/>
  <c r="I1934" i="77"/>
  <c r="H1934" i="77"/>
  <c r="G1934" i="77"/>
  <c r="I1933" i="77"/>
  <c r="H1933" i="77"/>
  <c r="G1933" i="77"/>
  <c r="I1932" i="77"/>
  <c r="H1932" i="77"/>
  <c r="G1932" i="77"/>
  <c r="I1931" i="77"/>
  <c r="H1931" i="77"/>
  <c r="G1931" i="77"/>
  <c r="I1930" i="77"/>
  <c r="H1930" i="77"/>
  <c r="G1930" i="77"/>
  <c r="I1929" i="77"/>
  <c r="H1929" i="77"/>
  <c r="G1929" i="77"/>
  <c r="I1928" i="77"/>
  <c r="H1928" i="77"/>
  <c r="G1928" i="77"/>
  <c r="I1927" i="77"/>
  <c r="H1927" i="77"/>
  <c r="G1927" i="77"/>
  <c r="I1926" i="77"/>
  <c r="H1926" i="77"/>
  <c r="G1926" i="77"/>
  <c r="I1925" i="77"/>
  <c r="H1925" i="77"/>
  <c r="G1925" i="77"/>
  <c r="I1924" i="77"/>
  <c r="H1924" i="77"/>
  <c r="G1924" i="77"/>
  <c r="I1923" i="77"/>
  <c r="H1923" i="77"/>
  <c r="G1923" i="77"/>
  <c r="I1922" i="77"/>
  <c r="H1922" i="77"/>
  <c r="G1922" i="77"/>
  <c r="I1921" i="77"/>
  <c r="H1921" i="77"/>
  <c r="G1921" i="77"/>
  <c r="I1920" i="77"/>
  <c r="H1920" i="77"/>
  <c r="G1920" i="77"/>
  <c r="I1919" i="77"/>
  <c r="H1919" i="77"/>
  <c r="G1919" i="77"/>
  <c r="I1918" i="77"/>
  <c r="H1918" i="77"/>
  <c r="G1918" i="77"/>
  <c r="I1917" i="77"/>
  <c r="H1917" i="77"/>
  <c r="G1917" i="77"/>
  <c r="I1916" i="77"/>
  <c r="H1916" i="77"/>
  <c r="G1916" i="77"/>
  <c r="I1915" i="77"/>
  <c r="H1915" i="77"/>
  <c r="G1915" i="77"/>
  <c r="I1914" i="77"/>
  <c r="H1914" i="77"/>
  <c r="G1914" i="77"/>
  <c r="I1913" i="77"/>
  <c r="H1913" i="77"/>
  <c r="G1913" i="77"/>
  <c r="I1912" i="77"/>
  <c r="H1912" i="77"/>
  <c r="G1912" i="77"/>
  <c r="I1911" i="77"/>
  <c r="H1911" i="77"/>
  <c r="G1911" i="77"/>
  <c r="I1910" i="77"/>
  <c r="H1910" i="77"/>
  <c r="G1910" i="77"/>
  <c r="I1909" i="77"/>
  <c r="H1909" i="77"/>
  <c r="G1909" i="77"/>
  <c r="I1908" i="77"/>
  <c r="H1908" i="77"/>
  <c r="G1908" i="77"/>
  <c r="I1907" i="77"/>
  <c r="H1907" i="77"/>
  <c r="G1907" i="77"/>
  <c r="I1906" i="77"/>
  <c r="H1906" i="77"/>
  <c r="G1906" i="77"/>
  <c r="I1905" i="77"/>
  <c r="H1905" i="77"/>
  <c r="G1905" i="77"/>
  <c r="I1904" i="77"/>
  <c r="H1904" i="77"/>
  <c r="G1904" i="77"/>
  <c r="I1903" i="77"/>
  <c r="H1903" i="77"/>
  <c r="G1903" i="77"/>
  <c r="I1902" i="77"/>
  <c r="H1902" i="77"/>
  <c r="G1902" i="77"/>
  <c r="I1901" i="77"/>
  <c r="H1901" i="77"/>
  <c r="G1901" i="77"/>
  <c r="I1900" i="77"/>
  <c r="H1900" i="77"/>
  <c r="G1900" i="77"/>
  <c r="I1899" i="77"/>
  <c r="H1899" i="77"/>
  <c r="G1899" i="77"/>
  <c r="I1898" i="77"/>
  <c r="H1898" i="77"/>
  <c r="G1898" i="77"/>
  <c r="I1897" i="77"/>
  <c r="H1897" i="77"/>
  <c r="G1897" i="77"/>
  <c r="I1896" i="77"/>
  <c r="H1896" i="77"/>
  <c r="G1896" i="77"/>
  <c r="I1895" i="77"/>
  <c r="H1895" i="77"/>
  <c r="G1895" i="77"/>
  <c r="I1894" i="77"/>
  <c r="H1894" i="77"/>
  <c r="G1894" i="77"/>
  <c r="I1893" i="77"/>
  <c r="H1893" i="77"/>
  <c r="G1893" i="77"/>
  <c r="I1892" i="77"/>
  <c r="H1892" i="77"/>
  <c r="G1892" i="77"/>
  <c r="I1891" i="77"/>
  <c r="H1891" i="77"/>
  <c r="G1891" i="77"/>
  <c r="I1890" i="77"/>
  <c r="H1890" i="77"/>
  <c r="G1890" i="77"/>
  <c r="I1889" i="77"/>
  <c r="H1889" i="77"/>
  <c r="G1889" i="77"/>
  <c r="I1888" i="77"/>
  <c r="H1888" i="77"/>
  <c r="G1888" i="77"/>
  <c r="I1887" i="77"/>
  <c r="H1887" i="77"/>
  <c r="G1887" i="77"/>
  <c r="I1886" i="77"/>
  <c r="H1886" i="77"/>
  <c r="G1886" i="77"/>
  <c r="I1885" i="77"/>
  <c r="H1885" i="77"/>
  <c r="G1885" i="77"/>
  <c r="I1884" i="77"/>
  <c r="H1884" i="77"/>
  <c r="G1884" i="77"/>
  <c r="I1883" i="77"/>
  <c r="H1883" i="77"/>
  <c r="G1883" i="77"/>
  <c r="I1882" i="77"/>
  <c r="H1882" i="77"/>
  <c r="G1882" i="77"/>
  <c r="I1881" i="77"/>
  <c r="H1881" i="77"/>
  <c r="G1881" i="77"/>
  <c r="I1880" i="77"/>
  <c r="H1880" i="77"/>
  <c r="G1880" i="77"/>
  <c r="I1879" i="77"/>
  <c r="H1879" i="77"/>
  <c r="G1879" i="77"/>
  <c r="I1878" i="77"/>
  <c r="H1878" i="77"/>
  <c r="G1878" i="77"/>
  <c r="I1877" i="77"/>
  <c r="H1877" i="77"/>
  <c r="G1877" i="77"/>
  <c r="I1876" i="77"/>
  <c r="H1876" i="77"/>
  <c r="G1876" i="77"/>
  <c r="I1875" i="77"/>
  <c r="H1875" i="77"/>
  <c r="G1875" i="77"/>
  <c r="I1874" i="77"/>
  <c r="H1874" i="77"/>
  <c r="G1874" i="77"/>
  <c r="I1873" i="77"/>
  <c r="H1873" i="77"/>
  <c r="G1873" i="77"/>
  <c r="I1872" i="77"/>
  <c r="H1872" i="77"/>
  <c r="G1872" i="77"/>
  <c r="I1871" i="77"/>
  <c r="H1871" i="77"/>
  <c r="G1871" i="77"/>
  <c r="I1870" i="77"/>
  <c r="H1870" i="77"/>
  <c r="G1870" i="77"/>
  <c r="I1869" i="77"/>
  <c r="H1869" i="77"/>
  <c r="G1869" i="77"/>
  <c r="I1868" i="77"/>
  <c r="H1868" i="77"/>
  <c r="G1868" i="77"/>
  <c r="I1867" i="77"/>
  <c r="H1867" i="77"/>
  <c r="G1867" i="77"/>
  <c r="I1866" i="77"/>
  <c r="H1866" i="77"/>
  <c r="G1866" i="77"/>
  <c r="I1865" i="77"/>
  <c r="H1865" i="77"/>
  <c r="G1865" i="77"/>
  <c r="I1864" i="77"/>
  <c r="H1864" i="77"/>
  <c r="G1864" i="77"/>
  <c r="I1863" i="77"/>
  <c r="H1863" i="77"/>
  <c r="G1863" i="77"/>
  <c r="I1862" i="77"/>
  <c r="H1862" i="77"/>
  <c r="G1862" i="77"/>
  <c r="I1861" i="77"/>
  <c r="H1861" i="77"/>
  <c r="G1861" i="77"/>
  <c r="I1860" i="77"/>
  <c r="H1860" i="77"/>
  <c r="G1860" i="77"/>
  <c r="I1859" i="77"/>
  <c r="H1859" i="77"/>
  <c r="G1859" i="77"/>
  <c r="I1858" i="77"/>
  <c r="H1858" i="77"/>
  <c r="G1858" i="77"/>
  <c r="I1857" i="77"/>
  <c r="H1857" i="77"/>
  <c r="G1857" i="77"/>
  <c r="I1856" i="77"/>
  <c r="H1856" i="77"/>
  <c r="G1856" i="77"/>
  <c r="I1855" i="77"/>
  <c r="H1855" i="77"/>
  <c r="G1855" i="77"/>
  <c r="I1854" i="77"/>
  <c r="H1854" i="77"/>
  <c r="G1854" i="77"/>
  <c r="I1853" i="77"/>
  <c r="H1853" i="77"/>
  <c r="G1853" i="77"/>
  <c r="I1852" i="77"/>
  <c r="H1852" i="77"/>
  <c r="G1852" i="77"/>
  <c r="I1851" i="77"/>
  <c r="H1851" i="77"/>
  <c r="G1851" i="77"/>
  <c r="I1850" i="77"/>
  <c r="H1850" i="77"/>
  <c r="G1850" i="77"/>
  <c r="I1849" i="77"/>
  <c r="H1849" i="77"/>
  <c r="G1849" i="77"/>
  <c r="I1848" i="77"/>
  <c r="H1848" i="77"/>
  <c r="G1848" i="77"/>
  <c r="I1847" i="77"/>
  <c r="H1847" i="77"/>
  <c r="G1847" i="77"/>
  <c r="I1846" i="77"/>
  <c r="H1846" i="77"/>
  <c r="G1846" i="77"/>
  <c r="I1845" i="77"/>
  <c r="H1845" i="77"/>
  <c r="G1845" i="77"/>
  <c r="I1844" i="77"/>
  <c r="H1844" i="77"/>
  <c r="G1844" i="77"/>
  <c r="I1843" i="77"/>
  <c r="H1843" i="77"/>
  <c r="G1843" i="77"/>
  <c r="I1842" i="77"/>
  <c r="H1842" i="77"/>
  <c r="G1842" i="77"/>
  <c r="I1841" i="77"/>
  <c r="H1841" i="77"/>
  <c r="G1841" i="77"/>
  <c r="I1840" i="77"/>
  <c r="H1840" i="77"/>
  <c r="G1840" i="77"/>
  <c r="I1839" i="77"/>
  <c r="H1839" i="77"/>
  <c r="G1839" i="77"/>
  <c r="I1838" i="77"/>
  <c r="H1838" i="77"/>
  <c r="G1838" i="77"/>
  <c r="I1837" i="77"/>
  <c r="H1837" i="77"/>
  <c r="G1837" i="77"/>
  <c r="I1836" i="77"/>
  <c r="H1836" i="77"/>
  <c r="G1836" i="77"/>
  <c r="I1835" i="77"/>
  <c r="H1835" i="77"/>
  <c r="G1835" i="77"/>
  <c r="I1834" i="77"/>
  <c r="H1834" i="77"/>
  <c r="G1834" i="77"/>
  <c r="I1833" i="77"/>
  <c r="H1833" i="77"/>
  <c r="G1833" i="77"/>
  <c r="I1832" i="77"/>
  <c r="H1832" i="77"/>
  <c r="G1832" i="77"/>
  <c r="I1831" i="77"/>
  <c r="H1831" i="77"/>
  <c r="G1831" i="77"/>
  <c r="I1830" i="77"/>
  <c r="H1830" i="77"/>
  <c r="G1830" i="77"/>
  <c r="I1829" i="77"/>
  <c r="H1829" i="77"/>
  <c r="G1829" i="77"/>
  <c r="I1828" i="77"/>
  <c r="H1828" i="77"/>
  <c r="G1828" i="77"/>
  <c r="I1827" i="77"/>
  <c r="H1827" i="77"/>
  <c r="G1827" i="77"/>
  <c r="I1826" i="77"/>
  <c r="H1826" i="77"/>
  <c r="G1826" i="77"/>
  <c r="I1825" i="77"/>
  <c r="H1825" i="77"/>
  <c r="G1825" i="77"/>
  <c r="I1824" i="77"/>
  <c r="H1824" i="77"/>
  <c r="G1824" i="77"/>
  <c r="I1823" i="77"/>
  <c r="H1823" i="77"/>
  <c r="G1823" i="77"/>
  <c r="I1822" i="77"/>
  <c r="H1822" i="77"/>
  <c r="G1822" i="77"/>
  <c r="I1821" i="77"/>
  <c r="H1821" i="77"/>
  <c r="G1821" i="77"/>
  <c r="I1820" i="77"/>
  <c r="H1820" i="77"/>
  <c r="G1820" i="77"/>
  <c r="I1819" i="77"/>
  <c r="H1819" i="77"/>
  <c r="G1819" i="77"/>
  <c r="I1818" i="77"/>
  <c r="H1818" i="77"/>
  <c r="G1818" i="77"/>
  <c r="I1817" i="77"/>
  <c r="H1817" i="77"/>
  <c r="G1817" i="77"/>
  <c r="I1816" i="77"/>
  <c r="H1816" i="77"/>
  <c r="G1816" i="77"/>
  <c r="I1815" i="77"/>
  <c r="H1815" i="77"/>
  <c r="G1815" i="77"/>
  <c r="I1814" i="77"/>
  <c r="H1814" i="77"/>
  <c r="G1814" i="77"/>
  <c r="I1813" i="77"/>
  <c r="H1813" i="77"/>
  <c r="G1813" i="77"/>
  <c r="I1812" i="77"/>
  <c r="H1812" i="77"/>
  <c r="G1812" i="77"/>
  <c r="I1811" i="77"/>
  <c r="H1811" i="77"/>
  <c r="G1811" i="77"/>
  <c r="I1810" i="77"/>
  <c r="H1810" i="77"/>
  <c r="G1810" i="77"/>
  <c r="I1809" i="77"/>
  <c r="H1809" i="77"/>
  <c r="G1809" i="77"/>
  <c r="I1808" i="77"/>
  <c r="H1808" i="77"/>
  <c r="G1808" i="77"/>
  <c r="I1807" i="77"/>
  <c r="H1807" i="77"/>
  <c r="G1807" i="77"/>
  <c r="I1806" i="77"/>
  <c r="H1806" i="77"/>
  <c r="G1806" i="77"/>
  <c r="I1805" i="77"/>
  <c r="H1805" i="77"/>
  <c r="G1805" i="77"/>
  <c r="I1804" i="77"/>
  <c r="H1804" i="77"/>
  <c r="G1804" i="77"/>
  <c r="I1803" i="77"/>
  <c r="H1803" i="77"/>
  <c r="G1803" i="77"/>
  <c r="I1802" i="77"/>
  <c r="H1802" i="77"/>
  <c r="G1802" i="77"/>
  <c r="I1801" i="77"/>
  <c r="H1801" i="77"/>
  <c r="G1801" i="77"/>
  <c r="I1800" i="77"/>
  <c r="H1800" i="77"/>
  <c r="G1800" i="77"/>
  <c r="I1799" i="77"/>
  <c r="H1799" i="77"/>
  <c r="G1799" i="77"/>
  <c r="I1798" i="77"/>
  <c r="H1798" i="77"/>
  <c r="G1798" i="77"/>
  <c r="I1797" i="77"/>
  <c r="H1797" i="77"/>
  <c r="G1797" i="77"/>
  <c r="I1796" i="77"/>
  <c r="H1796" i="77"/>
  <c r="G1796" i="77"/>
  <c r="I1795" i="77"/>
  <c r="H1795" i="77"/>
  <c r="G1795" i="77"/>
  <c r="I1794" i="77"/>
  <c r="H1794" i="77"/>
  <c r="G1794" i="77"/>
  <c r="I1793" i="77"/>
  <c r="H1793" i="77"/>
  <c r="G1793" i="77"/>
  <c r="I1792" i="77"/>
  <c r="H1792" i="77"/>
  <c r="G1792" i="77"/>
  <c r="I1791" i="77"/>
  <c r="H1791" i="77"/>
  <c r="G1791" i="77"/>
  <c r="I1790" i="77"/>
  <c r="H1790" i="77"/>
  <c r="G1790" i="77"/>
  <c r="I1789" i="77"/>
  <c r="H1789" i="77"/>
  <c r="G1789" i="77"/>
  <c r="I1788" i="77"/>
  <c r="H1788" i="77"/>
  <c r="G1788" i="77"/>
  <c r="I1787" i="77"/>
  <c r="H1787" i="77"/>
  <c r="G1787" i="77"/>
  <c r="I1786" i="77"/>
  <c r="H1786" i="77"/>
  <c r="G1786" i="77"/>
  <c r="I1785" i="77"/>
  <c r="H1785" i="77"/>
  <c r="G1785" i="77"/>
  <c r="I1784" i="77"/>
  <c r="H1784" i="77"/>
  <c r="G1784" i="77"/>
  <c r="I1783" i="77"/>
  <c r="H1783" i="77"/>
  <c r="G1783" i="77"/>
  <c r="I1782" i="77"/>
  <c r="H1782" i="77"/>
  <c r="G1782" i="77"/>
  <c r="I1781" i="77"/>
  <c r="H1781" i="77"/>
  <c r="G1781" i="77"/>
  <c r="I1780" i="77"/>
  <c r="H1780" i="77"/>
  <c r="G1780" i="77"/>
  <c r="I1779" i="77"/>
  <c r="H1779" i="77"/>
  <c r="G1779" i="77"/>
  <c r="I1778" i="77"/>
  <c r="H1778" i="77"/>
  <c r="G1778" i="77"/>
  <c r="I1777" i="77"/>
  <c r="H1777" i="77"/>
  <c r="G1777" i="77"/>
  <c r="I1776" i="77"/>
  <c r="H1776" i="77"/>
  <c r="G1776" i="77"/>
  <c r="I1775" i="77"/>
  <c r="H1775" i="77"/>
  <c r="G1775" i="77"/>
  <c r="I1774" i="77"/>
  <c r="H1774" i="77"/>
  <c r="G1774" i="77"/>
  <c r="I1773" i="77"/>
  <c r="H1773" i="77"/>
  <c r="G1773" i="77"/>
  <c r="I1772" i="77"/>
  <c r="H1772" i="77"/>
  <c r="G1772" i="77"/>
  <c r="I1771" i="77"/>
  <c r="H1771" i="77"/>
  <c r="G1771" i="77"/>
  <c r="I1770" i="77"/>
  <c r="H1770" i="77"/>
  <c r="G1770" i="77"/>
  <c r="I1769" i="77"/>
  <c r="H1769" i="77"/>
  <c r="G1769" i="77"/>
  <c r="I1768" i="77"/>
  <c r="H1768" i="77"/>
  <c r="G1768" i="77"/>
  <c r="I1767" i="77"/>
  <c r="H1767" i="77"/>
  <c r="G1767" i="77"/>
  <c r="I1766" i="77"/>
  <c r="H1766" i="77"/>
  <c r="G1766" i="77"/>
  <c r="I1765" i="77"/>
  <c r="H1765" i="77"/>
  <c r="G1765" i="77"/>
  <c r="I1764" i="77"/>
  <c r="H1764" i="77"/>
  <c r="G1764" i="77"/>
  <c r="I1763" i="77"/>
  <c r="H1763" i="77"/>
  <c r="G1763" i="77"/>
  <c r="I1762" i="77"/>
  <c r="H1762" i="77"/>
  <c r="G1762" i="77"/>
  <c r="I1761" i="77"/>
  <c r="H1761" i="77"/>
  <c r="G1761" i="77"/>
  <c r="I1760" i="77"/>
  <c r="H1760" i="77"/>
  <c r="G1760" i="77"/>
  <c r="I1759" i="77"/>
  <c r="H1759" i="77"/>
  <c r="G1759" i="77"/>
  <c r="I1758" i="77"/>
  <c r="H1758" i="77"/>
  <c r="G1758" i="77"/>
  <c r="I1757" i="77"/>
  <c r="H1757" i="77"/>
  <c r="G1757" i="77"/>
  <c r="I1756" i="77"/>
  <c r="H1756" i="77"/>
  <c r="G1756" i="77"/>
  <c r="I1755" i="77"/>
  <c r="H1755" i="77"/>
  <c r="G1755" i="77"/>
  <c r="I1754" i="77"/>
  <c r="H1754" i="77"/>
  <c r="G1754" i="77"/>
  <c r="I1753" i="77"/>
  <c r="H1753" i="77"/>
  <c r="G1753" i="77"/>
  <c r="I1752" i="77"/>
  <c r="H1752" i="77"/>
  <c r="G1752" i="77"/>
  <c r="I1751" i="77"/>
  <c r="H1751" i="77"/>
  <c r="G1751" i="77"/>
  <c r="I1750" i="77"/>
  <c r="H1750" i="77"/>
  <c r="G1750" i="77"/>
  <c r="I1749" i="77"/>
  <c r="H1749" i="77"/>
  <c r="G1749" i="77"/>
  <c r="I1748" i="77"/>
  <c r="H1748" i="77"/>
  <c r="G1748" i="77"/>
  <c r="I1747" i="77"/>
  <c r="H1747" i="77"/>
  <c r="G1747" i="77"/>
  <c r="I1746" i="77"/>
  <c r="H1746" i="77"/>
  <c r="G1746" i="77"/>
  <c r="I1745" i="77"/>
  <c r="H1745" i="77"/>
  <c r="G1745" i="77"/>
  <c r="I1744" i="77"/>
  <c r="H1744" i="77"/>
  <c r="G1744" i="77"/>
  <c r="I1743" i="77"/>
  <c r="H1743" i="77"/>
  <c r="G1743" i="77"/>
  <c r="I1742" i="77"/>
  <c r="H1742" i="77"/>
  <c r="G1742" i="77"/>
  <c r="I1741" i="77"/>
  <c r="H1741" i="77"/>
  <c r="G1741" i="77"/>
  <c r="I1740" i="77"/>
  <c r="H1740" i="77"/>
  <c r="G1740" i="77"/>
  <c r="I1739" i="77"/>
  <c r="H1739" i="77"/>
  <c r="G1739" i="77"/>
  <c r="I1738" i="77"/>
  <c r="H1738" i="77"/>
  <c r="G1738" i="77"/>
  <c r="I1737" i="77"/>
  <c r="H1737" i="77"/>
  <c r="G1737" i="77"/>
  <c r="I1736" i="77"/>
  <c r="H1736" i="77"/>
  <c r="G1736" i="77"/>
  <c r="I1735" i="77"/>
  <c r="H1735" i="77"/>
  <c r="G1735" i="77"/>
  <c r="I1734" i="77"/>
  <c r="H1734" i="77"/>
  <c r="G1734" i="77"/>
  <c r="I1733" i="77"/>
  <c r="H1733" i="77"/>
  <c r="G1733" i="77"/>
  <c r="I1732" i="77"/>
  <c r="H1732" i="77"/>
  <c r="G1732" i="77"/>
  <c r="I1731" i="77"/>
  <c r="H1731" i="77"/>
  <c r="G1731" i="77"/>
  <c r="I1730" i="77"/>
  <c r="H1730" i="77"/>
  <c r="G1730" i="77"/>
  <c r="I1729" i="77"/>
  <c r="H1729" i="77"/>
  <c r="G1729" i="77"/>
  <c r="I1728" i="77"/>
  <c r="H1728" i="77"/>
  <c r="G1728" i="77"/>
  <c r="I1727" i="77"/>
  <c r="H1727" i="77"/>
  <c r="G1727" i="77"/>
  <c r="I1726" i="77"/>
  <c r="H1726" i="77"/>
  <c r="G1726" i="77"/>
  <c r="I1725" i="77"/>
  <c r="H1725" i="77"/>
  <c r="G1725" i="77"/>
  <c r="I1724" i="77"/>
  <c r="H1724" i="77"/>
  <c r="G1724" i="77"/>
  <c r="I1723" i="77"/>
  <c r="H1723" i="77"/>
  <c r="G1723" i="77"/>
  <c r="I1722" i="77"/>
  <c r="H1722" i="77"/>
  <c r="G1722" i="77"/>
  <c r="I1721" i="77"/>
  <c r="H1721" i="77"/>
  <c r="G1721" i="77"/>
  <c r="I1720" i="77"/>
  <c r="H1720" i="77"/>
  <c r="G1720" i="77"/>
  <c r="I1719" i="77"/>
  <c r="H1719" i="77"/>
  <c r="G1719" i="77"/>
  <c r="I1718" i="77"/>
  <c r="H1718" i="77"/>
  <c r="G1718" i="77"/>
  <c r="I1717" i="77"/>
  <c r="H1717" i="77"/>
  <c r="G1717" i="77"/>
  <c r="I1716" i="77"/>
  <c r="H1716" i="77"/>
  <c r="G1716" i="77"/>
  <c r="I1715" i="77"/>
  <c r="H1715" i="77"/>
  <c r="G1715" i="77"/>
  <c r="I1714" i="77"/>
  <c r="H1714" i="77"/>
  <c r="G1714" i="77"/>
  <c r="I1713" i="77"/>
  <c r="H1713" i="77"/>
  <c r="G1713" i="77"/>
  <c r="I1712" i="77"/>
  <c r="H1712" i="77"/>
  <c r="G1712" i="77"/>
  <c r="I1711" i="77"/>
  <c r="H1711" i="77"/>
  <c r="G1711" i="77"/>
  <c r="I1710" i="77"/>
  <c r="H1710" i="77"/>
  <c r="G1710" i="77"/>
  <c r="I1709" i="77"/>
  <c r="H1709" i="77"/>
  <c r="G1709" i="77"/>
  <c r="I1708" i="77"/>
  <c r="H1708" i="77"/>
  <c r="G1708" i="77"/>
  <c r="I1707" i="77"/>
  <c r="H1707" i="77"/>
  <c r="G1707" i="77"/>
  <c r="I1706" i="77"/>
  <c r="H1706" i="77"/>
  <c r="G1706" i="77"/>
  <c r="I1705" i="77"/>
  <c r="H1705" i="77"/>
  <c r="G1705" i="77"/>
  <c r="I1704" i="77"/>
  <c r="H1704" i="77"/>
  <c r="G1704" i="77"/>
  <c r="I1703" i="77"/>
  <c r="H1703" i="77"/>
  <c r="G1703" i="77"/>
  <c r="I1702" i="77"/>
  <c r="H1702" i="77"/>
  <c r="G1702" i="77"/>
  <c r="I1701" i="77"/>
  <c r="H1701" i="77"/>
  <c r="G1701" i="77"/>
  <c r="I1700" i="77"/>
  <c r="H1700" i="77"/>
  <c r="G1700" i="77"/>
  <c r="I1699" i="77"/>
  <c r="H1699" i="77"/>
  <c r="G1699" i="77"/>
  <c r="I1698" i="77"/>
  <c r="H1698" i="77"/>
  <c r="G1698" i="77"/>
  <c r="I1697" i="77"/>
  <c r="H1697" i="77"/>
  <c r="G1697" i="77"/>
  <c r="I1696" i="77"/>
  <c r="H1696" i="77"/>
  <c r="G1696" i="77"/>
  <c r="I1695" i="77"/>
  <c r="H1695" i="77"/>
  <c r="G1695" i="77"/>
  <c r="I1694" i="77"/>
  <c r="H1694" i="77"/>
  <c r="G1694" i="77"/>
  <c r="I1693" i="77"/>
  <c r="H1693" i="77"/>
  <c r="G1693" i="77"/>
  <c r="I1692" i="77"/>
  <c r="H1692" i="77"/>
  <c r="G1692" i="77"/>
  <c r="I1691" i="77"/>
  <c r="H1691" i="77"/>
  <c r="G1691" i="77"/>
  <c r="I1690" i="77"/>
  <c r="H1690" i="77"/>
  <c r="G1690" i="77"/>
  <c r="I1689" i="77"/>
  <c r="H1689" i="77"/>
  <c r="G1689" i="77"/>
  <c r="I1688" i="77"/>
  <c r="H1688" i="77"/>
  <c r="G1688" i="77"/>
  <c r="I1687" i="77"/>
  <c r="H1687" i="77"/>
  <c r="G1687" i="77"/>
  <c r="I1686" i="77"/>
  <c r="H1686" i="77"/>
  <c r="G1686" i="77"/>
  <c r="I1685" i="77"/>
  <c r="H1685" i="77"/>
  <c r="G1685" i="77"/>
  <c r="I1684" i="77"/>
  <c r="H1684" i="77"/>
  <c r="G1684" i="77"/>
  <c r="I1683" i="77"/>
  <c r="H1683" i="77"/>
  <c r="G1683" i="77"/>
  <c r="I1682" i="77"/>
  <c r="H1682" i="77"/>
  <c r="G1682" i="77"/>
  <c r="I1681" i="77"/>
  <c r="H1681" i="77"/>
  <c r="G1681" i="77"/>
  <c r="I1680" i="77"/>
  <c r="H1680" i="77"/>
  <c r="G1680" i="77"/>
  <c r="I1679" i="77"/>
  <c r="H1679" i="77"/>
  <c r="G1679" i="77"/>
  <c r="I1678" i="77"/>
  <c r="H1678" i="77"/>
  <c r="G1678" i="77"/>
  <c r="I1677" i="77"/>
  <c r="H1677" i="77"/>
  <c r="G1677" i="77"/>
  <c r="I1676" i="77"/>
  <c r="H1676" i="77"/>
  <c r="G1676" i="77"/>
  <c r="I1675" i="77"/>
  <c r="H1675" i="77"/>
  <c r="G1675" i="77"/>
  <c r="I1674" i="77"/>
  <c r="H1674" i="77"/>
  <c r="G1674" i="77"/>
  <c r="I1673" i="77"/>
  <c r="H1673" i="77"/>
  <c r="G1673" i="77"/>
  <c r="I1672" i="77"/>
  <c r="H1672" i="77"/>
  <c r="G1672" i="77"/>
  <c r="I1671" i="77"/>
  <c r="H1671" i="77"/>
  <c r="G1671" i="77"/>
  <c r="I1670" i="77"/>
  <c r="H1670" i="77"/>
  <c r="G1670" i="77"/>
  <c r="I1669" i="77"/>
  <c r="H1669" i="77"/>
  <c r="G1669" i="77"/>
  <c r="I1668" i="77"/>
  <c r="H1668" i="77"/>
  <c r="G1668" i="77"/>
  <c r="I1667" i="77"/>
  <c r="H1667" i="77"/>
  <c r="G1667" i="77"/>
  <c r="I1666" i="77"/>
  <c r="H1666" i="77"/>
  <c r="G1666" i="77"/>
  <c r="I1665" i="77"/>
  <c r="H1665" i="77"/>
  <c r="G1665" i="77"/>
  <c r="I1664" i="77"/>
  <c r="H1664" i="77"/>
  <c r="G1664" i="77"/>
  <c r="I1663" i="77"/>
  <c r="H1663" i="77"/>
  <c r="G1663" i="77"/>
  <c r="I1662" i="77"/>
  <c r="H1662" i="77"/>
  <c r="G1662" i="77"/>
  <c r="I1661" i="77"/>
  <c r="H1661" i="77"/>
  <c r="G1661" i="77"/>
  <c r="I1660" i="77"/>
  <c r="H1660" i="77"/>
  <c r="G1660" i="77"/>
  <c r="I1659" i="77"/>
  <c r="H1659" i="77"/>
  <c r="G1659" i="77"/>
  <c r="I1658" i="77"/>
  <c r="H1658" i="77"/>
  <c r="G1658" i="77"/>
  <c r="I1657" i="77"/>
  <c r="H1657" i="77"/>
  <c r="G1657" i="77"/>
  <c r="I1656" i="77"/>
  <c r="H1656" i="77"/>
  <c r="G1656" i="77"/>
  <c r="I1655" i="77"/>
  <c r="H1655" i="77"/>
  <c r="G1655" i="77"/>
  <c r="I1654" i="77"/>
  <c r="H1654" i="77"/>
  <c r="G1654" i="77"/>
  <c r="I1653" i="77"/>
  <c r="H1653" i="77"/>
  <c r="G1653" i="77"/>
  <c r="I1652" i="77"/>
  <c r="H1652" i="77"/>
  <c r="G1652" i="77"/>
  <c r="I1651" i="77"/>
  <c r="H1651" i="77"/>
  <c r="G1651" i="77"/>
  <c r="I1650" i="77"/>
  <c r="H1650" i="77"/>
  <c r="G1650" i="77"/>
  <c r="I1649" i="77"/>
  <c r="H1649" i="77"/>
  <c r="G1649" i="77"/>
  <c r="I1648" i="77"/>
  <c r="H1648" i="77"/>
  <c r="G1648" i="77"/>
  <c r="I1647" i="77"/>
  <c r="H1647" i="77"/>
  <c r="G1647" i="77"/>
  <c r="I1646" i="77"/>
  <c r="H1646" i="77"/>
  <c r="G1646" i="77"/>
  <c r="I1645" i="77"/>
  <c r="H1645" i="77"/>
  <c r="G1645" i="77"/>
  <c r="I1644" i="77"/>
  <c r="H1644" i="77"/>
  <c r="G1644" i="77"/>
  <c r="I1643" i="77"/>
  <c r="H1643" i="77"/>
  <c r="G1643" i="77"/>
  <c r="I1642" i="77"/>
  <c r="H1642" i="77"/>
  <c r="G1642" i="77"/>
  <c r="I1641" i="77"/>
  <c r="H1641" i="77"/>
  <c r="G1641" i="77"/>
  <c r="I1640" i="77"/>
  <c r="H1640" i="77"/>
  <c r="G1640" i="77"/>
  <c r="I1639" i="77"/>
  <c r="H1639" i="77"/>
  <c r="G1639" i="77"/>
  <c r="I1638" i="77"/>
  <c r="H1638" i="77"/>
  <c r="G1638" i="77"/>
  <c r="I1637" i="77"/>
  <c r="H1637" i="77"/>
  <c r="G1637" i="77"/>
  <c r="I1636" i="77"/>
  <c r="H1636" i="77"/>
  <c r="G1636" i="77"/>
  <c r="I1635" i="77"/>
  <c r="H1635" i="77"/>
  <c r="G1635" i="77"/>
  <c r="I1634" i="77"/>
  <c r="H1634" i="77"/>
  <c r="G1634" i="77"/>
  <c r="I1633" i="77"/>
  <c r="H1633" i="77"/>
  <c r="G1633" i="77"/>
  <c r="I1632" i="77"/>
  <c r="H1632" i="77"/>
  <c r="G1632" i="77"/>
  <c r="I1631" i="77"/>
  <c r="H1631" i="77"/>
  <c r="G1631" i="77"/>
  <c r="I1630" i="77"/>
  <c r="H1630" i="77"/>
  <c r="G1630" i="77"/>
  <c r="I1629" i="77"/>
  <c r="H1629" i="77"/>
  <c r="G1629" i="77"/>
  <c r="I1628" i="77"/>
  <c r="H1628" i="77"/>
  <c r="G1628" i="77"/>
  <c r="I1627" i="77"/>
  <c r="H1627" i="77"/>
  <c r="G1627" i="77"/>
  <c r="I1626" i="77"/>
  <c r="H1626" i="77"/>
  <c r="G1626" i="77"/>
  <c r="I1625" i="77"/>
  <c r="H1625" i="77"/>
  <c r="G1625" i="77"/>
  <c r="I1624" i="77"/>
  <c r="H1624" i="77"/>
  <c r="G1624" i="77"/>
  <c r="I1623" i="77"/>
  <c r="H1623" i="77"/>
  <c r="G1623" i="77"/>
  <c r="I1622" i="77"/>
  <c r="H1622" i="77"/>
  <c r="G1622" i="77"/>
  <c r="I1621" i="77"/>
  <c r="H1621" i="77"/>
  <c r="G1621" i="77"/>
  <c r="I1620" i="77"/>
  <c r="H1620" i="77"/>
  <c r="G1620" i="77"/>
  <c r="I1619" i="77"/>
  <c r="H1619" i="77"/>
  <c r="G1619" i="77"/>
  <c r="I1618" i="77"/>
  <c r="H1618" i="77"/>
  <c r="G1618" i="77"/>
  <c r="I1617" i="77"/>
  <c r="H1617" i="77"/>
  <c r="G1617" i="77"/>
  <c r="I1616" i="77"/>
  <c r="H1616" i="77"/>
  <c r="G1616" i="77"/>
  <c r="I1615" i="77"/>
  <c r="H1615" i="77"/>
  <c r="G1615" i="77"/>
  <c r="I1614" i="77"/>
  <c r="H1614" i="77"/>
  <c r="G1614" i="77"/>
  <c r="I1613" i="77"/>
  <c r="H1613" i="77"/>
  <c r="G1613" i="77"/>
  <c r="I1612" i="77"/>
  <c r="H1612" i="77"/>
  <c r="G1612" i="77"/>
  <c r="I1611" i="77"/>
  <c r="H1611" i="77"/>
  <c r="G1611" i="77"/>
  <c r="I1610" i="77"/>
  <c r="H1610" i="77"/>
  <c r="G1610" i="77"/>
  <c r="I1609" i="77"/>
  <c r="H1609" i="77"/>
  <c r="G1609" i="77"/>
  <c r="I1608" i="77"/>
  <c r="H1608" i="77"/>
  <c r="G1608" i="77"/>
  <c r="I1607" i="77"/>
  <c r="H1607" i="77"/>
  <c r="G1607" i="77"/>
  <c r="I1606" i="77"/>
  <c r="H1606" i="77"/>
  <c r="G1606" i="77"/>
  <c r="I1605" i="77"/>
  <c r="H1605" i="77"/>
  <c r="G1605" i="77"/>
  <c r="I1604" i="77"/>
  <c r="H1604" i="77"/>
  <c r="G1604" i="77"/>
  <c r="I1603" i="77"/>
  <c r="H1603" i="77"/>
  <c r="G1603" i="77"/>
  <c r="I1602" i="77"/>
  <c r="H1602" i="77"/>
  <c r="G1602" i="77"/>
  <c r="I1601" i="77"/>
  <c r="H1601" i="77"/>
  <c r="G1601" i="77"/>
  <c r="I1600" i="77"/>
  <c r="H1600" i="77"/>
  <c r="G1600" i="77"/>
  <c r="I1599" i="77"/>
  <c r="H1599" i="77"/>
  <c r="G1599" i="77"/>
  <c r="I1598" i="77"/>
  <c r="H1598" i="77"/>
  <c r="G1598" i="77"/>
  <c r="I1597" i="77"/>
  <c r="H1597" i="77"/>
  <c r="G1597" i="77"/>
  <c r="I1596" i="77"/>
  <c r="H1596" i="77"/>
  <c r="G1596" i="77"/>
  <c r="I1595" i="77"/>
  <c r="H1595" i="77"/>
  <c r="G1595" i="77"/>
  <c r="I1594" i="77"/>
  <c r="H1594" i="77"/>
  <c r="G1594" i="77"/>
  <c r="I1593" i="77"/>
  <c r="H1593" i="77"/>
  <c r="G1593" i="77"/>
  <c r="I1592" i="77"/>
  <c r="H1592" i="77"/>
  <c r="G1592" i="77"/>
  <c r="I1591" i="77"/>
  <c r="H1591" i="77"/>
  <c r="G1591" i="77"/>
  <c r="I1590" i="77"/>
  <c r="H1590" i="77"/>
  <c r="G1590" i="77"/>
  <c r="I1589" i="77"/>
  <c r="H1589" i="77"/>
  <c r="G1589" i="77"/>
  <c r="I1588" i="77"/>
  <c r="H1588" i="77"/>
  <c r="G1588" i="77"/>
  <c r="I1587" i="77"/>
  <c r="H1587" i="77"/>
  <c r="G1587" i="77"/>
  <c r="I1586" i="77"/>
  <c r="H1586" i="77"/>
  <c r="G1586" i="77"/>
  <c r="I1585" i="77"/>
  <c r="H1585" i="77"/>
  <c r="G1585" i="77"/>
  <c r="I1584" i="77"/>
  <c r="H1584" i="77"/>
  <c r="G1584" i="77"/>
  <c r="I1583" i="77"/>
  <c r="H1583" i="77"/>
  <c r="G1583" i="77"/>
  <c r="I1582" i="77"/>
  <c r="H1582" i="77"/>
  <c r="G1582" i="77"/>
  <c r="I1581" i="77"/>
  <c r="H1581" i="77"/>
  <c r="G1581" i="77"/>
  <c r="I1580" i="77"/>
  <c r="H1580" i="77"/>
  <c r="G1580" i="77"/>
  <c r="I1579" i="77"/>
  <c r="H1579" i="77"/>
  <c r="G1579" i="77"/>
  <c r="I1578" i="77"/>
  <c r="H1578" i="77"/>
  <c r="G1578" i="77"/>
  <c r="I1577" i="77"/>
  <c r="H1577" i="77"/>
  <c r="G1577" i="77"/>
  <c r="I1576" i="77"/>
  <c r="H1576" i="77"/>
  <c r="G1576" i="77"/>
  <c r="I1575" i="77"/>
  <c r="H1575" i="77"/>
  <c r="G1575" i="77"/>
  <c r="I1574" i="77"/>
  <c r="H1574" i="77"/>
  <c r="G1574" i="77"/>
  <c r="I1573" i="77"/>
  <c r="H1573" i="77"/>
  <c r="G1573" i="77"/>
  <c r="I1572" i="77"/>
  <c r="H1572" i="77"/>
  <c r="G1572" i="77"/>
  <c r="I1571" i="77"/>
  <c r="H1571" i="77"/>
  <c r="G1571" i="77"/>
  <c r="I1570" i="77"/>
  <c r="H1570" i="77"/>
  <c r="G1570" i="77"/>
  <c r="I1569" i="77"/>
  <c r="H1569" i="77"/>
  <c r="G1569" i="77"/>
  <c r="I1568" i="77"/>
  <c r="H1568" i="77"/>
  <c r="G1568" i="77"/>
  <c r="I1567" i="77"/>
  <c r="H1567" i="77"/>
  <c r="G1567" i="77"/>
  <c r="I1566" i="77"/>
  <c r="H1566" i="77"/>
  <c r="G1566" i="77"/>
  <c r="I1565" i="77"/>
  <c r="H1565" i="77"/>
  <c r="G1565" i="77"/>
  <c r="I1564" i="77"/>
  <c r="H1564" i="77"/>
  <c r="G1564" i="77"/>
  <c r="I1563" i="77"/>
  <c r="H1563" i="77"/>
  <c r="G1563" i="77"/>
  <c r="I1562" i="77"/>
  <c r="H1562" i="77"/>
  <c r="G1562" i="77"/>
  <c r="I1561" i="77"/>
  <c r="H1561" i="77"/>
  <c r="G1561" i="77"/>
  <c r="I1560" i="77"/>
  <c r="H1560" i="77"/>
  <c r="G1560" i="77"/>
  <c r="I1559" i="77"/>
  <c r="H1559" i="77"/>
  <c r="G1559" i="77"/>
  <c r="I1558" i="77"/>
  <c r="H1558" i="77"/>
  <c r="G1558" i="77"/>
  <c r="I1557" i="77"/>
  <c r="H1557" i="77"/>
  <c r="G1557" i="77"/>
  <c r="I1556" i="77"/>
  <c r="H1556" i="77"/>
  <c r="G1556" i="77"/>
  <c r="I1555" i="77"/>
  <c r="H1555" i="77"/>
  <c r="G1555" i="77"/>
  <c r="I1554" i="77"/>
  <c r="H1554" i="77"/>
  <c r="G1554" i="77"/>
  <c r="I1553" i="77"/>
  <c r="H1553" i="77"/>
  <c r="G1553" i="77"/>
  <c r="I1552" i="77"/>
  <c r="H1552" i="77"/>
  <c r="G1552" i="77"/>
  <c r="I1551" i="77"/>
  <c r="H1551" i="77"/>
  <c r="G1551" i="77"/>
  <c r="I1550" i="77"/>
  <c r="H1550" i="77"/>
  <c r="G1550" i="77"/>
  <c r="I1549" i="77"/>
  <c r="H1549" i="77"/>
  <c r="G1549" i="77"/>
  <c r="I1548" i="77"/>
  <c r="H1548" i="77"/>
  <c r="G1548" i="77"/>
  <c r="I1547" i="77"/>
  <c r="H1547" i="77"/>
  <c r="G1547" i="77"/>
  <c r="I1546" i="77"/>
  <c r="H1546" i="77"/>
  <c r="G1546" i="77"/>
  <c r="I1545" i="77"/>
  <c r="H1545" i="77"/>
  <c r="G1545" i="77"/>
  <c r="I1544" i="77"/>
  <c r="H1544" i="77"/>
  <c r="G1544" i="77"/>
  <c r="I1543" i="77"/>
  <c r="H1543" i="77"/>
  <c r="G1543" i="77"/>
  <c r="I1542" i="77"/>
  <c r="H1542" i="77"/>
  <c r="G1542" i="77"/>
  <c r="I1541" i="77"/>
  <c r="H1541" i="77"/>
  <c r="G1541" i="77"/>
  <c r="I1540" i="77"/>
  <c r="H1540" i="77"/>
  <c r="G1540" i="77"/>
  <c r="I1539" i="77"/>
  <c r="H1539" i="77"/>
  <c r="G1539" i="77"/>
  <c r="I1538" i="77"/>
  <c r="H1538" i="77"/>
  <c r="G1538" i="77"/>
  <c r="I1537" i="77"/>
  <c r="H1537" i="77"/>
  <c r="G1537" i="77"/>
  <c r="I1536" i="77"/>
  <c r="H1536" i="77"/>
  <c r="G1536" i="77"/>
  <c r="I1535" i="77"/>
  <c r="H1535" i="77"/>
  <c r="G1535" i="77"/>
  <c r="I1534" i="77"/>
  <c r="H1534" i="77"/>
  <c r="G1534" i="77"/>
  <c r="I1533" i="77"/>
  <c r="H1533" i="77"/>
  <c r="G1533" i="77"/>
  <c r="I1532" i="77"/>
  <c r="H1532" i="77"/>
  <c r="G1532" i="77"/>
  <c r="I1531" i="77"/>
  <c r="H1531" i="77"/>
  <c r="G1531" i="77"/>
  <c r="I1530" i="77"/>
  <c r="H1530" i="77"/>
  <c r="G1530" i="77"/>
  <c r="I1529" i="77"/>
  <c r="H1529" i="77"/>
  <c r="G1529" i="77"/>
  <c r="I1528" i="77"/>
  <c r="H1528" i="77"/>
  <c r="G1528" i="77"/>
  <c r="I1527" i="77"/>
  <c r="H1527" i="77"/>
  <c r="G1527" i="77"/>
  <c r="I1526" i="77"/>
  <c r="H1526" i="77"/>
  <c r="G1526" i="77"/>
  <c r="I1525" i="77"/>
  <c r="H1525" i="77"/>
  <c r="G1525" i="77"/>
  <c r="I1524" i="77"/>
  <c r="H1524" i="77"/>
  <c r="G1524" i="77"/>
  <c r="I1523" i="77"/>
  <c r="H1523" i="77"/>
  <c r="G1523" i="77"/>
  <c r="I1522" i="77"/>
  <c r="H1522" i="77"/>
  <c r="G1522" i="77"/>
  <c r="I1521" i="77"/>
  <c r="H1521" i="77"/>
  <c r="G1521" i="77"/>
  <c r="I1520" i="77"/>
  <c r="H1520" i="77"/>
  <c r="G1520" i="77"/>
  <c r="I1519" i="77"/>
  <c r="H1519" i="77"/>
  <c r="G1519" i="77"/>
  <c r="I1518" i="77"/>
  <c r="H1518" i="77"/>
  <c r="G1518" i="77"/>
  <c r="I1517" i="77"/>
  <c r="H1517" i="77"/>
  <c r="G1517" i="77"/>
  <c r="I1516" i="77"/>
  <c r="H1516" i="77"/>
  <c r="G1516" i="77"/>
  <c r="I1515" i="77"/>
  <c r="H1515" i="77"/>
  <c r="G1515" i="77"/>
  <c r="I1514" i="77"/>
  <c r="H1514" i="77"/>
  <c r="G1514" i="77"/>
  <c r="I1513" i="77"/>
  <c r="H1513" i="77"/>
  <c r="G1513" i="77"/>
  <c r="I1512" i="77"/>
  <c r="H1512" i="77"/>
  <c r="G1512" i="77"/>
  <c r="I1511" i="77"/>
  <c r="H1511" i="77"/>
  <c r="G1511" i="77"/>
  <c r="I1510" i="77"/>
  <c r="H1510" i="77"/>
  <c r="G1510" i="77"/>
  <c r="I1509" i="77"/>
  <c r="H1509" i="77"/>
  <c r="G1509" i="77"/>
  <c r="I1508" i="77"/>
  <c r="H1508" i="77"/>
  <c r="G1508" i="77"/>
  <c r="I1507" i="77"/>
  <c r="H1507" i="77"/>
  <c r="G1507" i="77"/>
  <c r="I1506" i="77"/>
  <c r="H1506" i="77"/>
  <c r="G1506" i="77"/>
  <c r="I1505" i="77"/>
  <c r="H1505" i="77"/>
  <c r="G1505" i="77"/>
  <c r="I1504" i="77"/>
  <c r="H1504" i="77"/>
  <c r="G1504" i="77"/>
  <c r="I1503" i="77"/>
  <c r="H1503" i="77"/>
  <c r="G1503" i="77"/>
  <c r="I1502" i="77"/>
  <c r="H1502" i="77"/>
  <c r="G1502" i="77"/>
  <c r="I1501" i="77"/>
  <c r="H1501" i="77"/>
  <c r="G1501" i="77"/>
  <c r="I1500" i="77"/>
  <c r="H1500" i="77"/>
  <c r="G1500" i="77"/>
  <c r="I1499" i="77"/>
  <c r="H1499" i="77"/>
  <c r="G1499" i="77"/>
  <c r="I1498" i="77"/>
  <c r="H1498" i="77"/>
  <c r="G1498" i="77"/>
  <c r="I1497" i="77"/>
  <c r="H1497" i="77"/>
  <c r="G1497" i="77"/>
  <c r="I1496" i="77"/>
  <c r="H1496" i="77"/>
  <c r="G1496" i="77"/>
  <c r="I1495" i="77"/>
  <c r="H1495" i="77"/>
  <c r="G1495" i="77"/>
  <c r="I1494" i="77"/>
  <c r="H1494" i="77"/>
  <c r="G1494" i="77"/>
  <c r="I1493" i="77"/>
  <c r="H1493" i="77"/>
  <c r="G1493" i="77"/>
  <c r="I1492" i="77"/>
  <c r="H1492" i="77"/>
  <c r="G1492" i="77"/>
  <c r="I1491" i="77"/>
  <c r="H1491" i="77"/>
  <c r="G1491" i="77"/>
  <c r="I1490" i="77"/>
  <c r="H1490" i="77"/>
  <c r="G1490" i="77"/>
  <c r="I1489" i="77"/>
  <c r="H1489" i="77"/>
  <c r="G1489" i="77"/>
  <c r="I1488" i="77"/>
  <c r="H1488" i="77"/>
  <c r="G1488" i="77"/>
  <c r="I1487" i="77"/>
  <c r="H1487" i="77"/>
  <c r="G1487" i="77"/>
  <c r="I1486" i="77"/>
  <c r="H1486" i="77"/>
  <c r="G1486" i="77"/>
  <c r="I1485" i="77"/>
  <c r="H1485" i="77"/>
  <c r="G1485" i="77"/>
  <c r="I1484" i="77"/>
  <c r="H1484" i="77"/>
  <c r="G1484" i="77"/>
  <c r="I1483" i="77"/>
  <c r="H1483" i="77"/>
  <c r="G1483" i="77"/>
  <c r="I1482" i="77"/>
  <c r="H1482" i="77"/>
  <c r="G1482" i="77"/>
  <c r="I1481" i="77"/>
  <c r="H1481" i="77"/>
  <c r="G1481" i="77"/>
  <c r="I1480" i="77"/>
  <c r="H1480" i="77"/>
  <c r="G1480" i="77"/>
  <c r="I1479" i="77"/>
  <c r="H1479" i="77"/>
  <c r="G1479" i="77"/>
  <c r="I1478" i="77"/>
  <c r="H1478" i="77"/>
  <c r="G1478" i="77"/>
  <c r="I1477" i="77"/>
  <c r="H1477" i="77"/>
  <c r="G1477" i="77"/>
  <c r="I1476" i="77"/>
  <c r="H1476" i="77"/>
  <c r="G1476" i="77"/>
  <c r="I1475" i="77"/>
  <c r="H1475" i="77"/>
  <c r="G1475" i="77"/>
  <c r="I1474" i="77"/>
  <c r="H1474" i="77"/>
  <c r="G1474" i="77"/>
  <c r="I1473" i="77"/>
  <c r="H1473" i="77"/>
  <c r="G1473" i="77"/>
  <c r="I1472" i="77"/>
  <c r="H1472" i="77"/>
  <c r="G1472" i="77"/>
  <c r="I1471" i="77"/>
  <c r="H1471" i="77"/>
  <c r="G1471" i="77"/>
  <c r="I1470" i="77"/>
  <c r="H1470" i="77"/>
  <c r="G1470" i="77"/>
  <c r="I1469" i="77"/>
  <c r="H1469" i="77"/>
  <c r="G1469" i="77"/>
  <c r="I1468" i="77"/>
  <c r="H1468" i="77"/>
  <c r="G1468" i="77"/>
  <c r="I1467" i="77"/>
  <c r="H1467" i="77"/>
  <c r="G1467" i="77"/>
  <c r="I1466" i="77"/>
  <c r="H1466" i="77"/>
  <c r="G1466" i="77"/>
  <c r="I1465" i="77"/>
  <c r="H1465" i="77"/>
  <c r="G1465" i="77"/>
  <c r="I1464" i="77"/>
  <c r="H1464" i="77"/>
  <c r="G1464" i="77"/>
  <c r="I1463" i="77"/>
  <c r="H1463" i="77"/>
  <c r="G1463" i="77"/>
  <c r="I1462" i="77"/>
  <c r="H1462" i="77"/>
  <c r="G1462" i="77"/>
  <c r="I1461" i="77"/>
  <c r="H1461" i="77"/>
  <c r="G1461" i="77"/>
  <c r="I1460" i="77"/>
  <c r="H1460" i="77"/>
  <c r="G1460" i="77"/>
  <c r="I1459" i="77"/>
  <c r="H1459" i="77"/>
  <c r="G1459" i="77"/>
  <c r="I1458" i="77"/>
  <c r="H1458" i="77"/>
  <c r="G1458" i="77"/>
  <c r="I1457" i="77"/>
  <c r="H1457" i="77"/>
  <c r="G1457" i="77"/>
  <c r="I1456" i="77"/>
  <c r="H1456" i="77"/>
  <c r="G1456" i="77"/>
  <c r="I1455" i="77"/>
  <c r="H1455" i="77"/>
  <c r="G1455" i="77"/>
  <c r="I1454" i="77"/>
  <c r="H1454" i="77"/>
  <c r="G1454" i="77"/>
  <c r="I1453" i="77"/>
  <c r="H1453" i="77"/>
  <c r="G1453" i="77"/>
  <c r="I1452" i="77"/>
  <c r="H1452" i="77"/>
  <c r="G1452" i="77"/>
  <c r="I1451" i="77"/>
  <c r="H1451" i="77"/>
  <c r="G1451" i="77"/>
  <c r="I1450" i="77"/>
  <c r="H1450" i="77"/>
  <c r="G1450" i="77"/>
  <c r="I1449" i="77"/>
  <c r="H1449" i="77"/>
  <c r="G1449" i="77"/>
  <c r="I1448" i="77"/>
  <c r="H1448" i="77"/>
  <c r="G1448" i="77"/>
  <c r="I1447" i="77"/>
  <c r="H1447" i="77"/>
  <c r="G1447" i="77"/>
  <c r="I1446" i="77"/>
  <c r="H1446" i="77"/>
  <c r="G1446" i="77"/>
  <c r="I1445" i="77"/>
  <c r="H1445" i="77"/>
  <c r="G1445" i="77"/>
  <c r="I1444" i="77"/>
  <c r="H1444" i="77"/>
  <c r="G1444" i="77"/>
  <c r="I1443" i="77"/>
  <c r="H1443" i="77"/>
  <c r="G1443" i="77"/>
  <c r="I1442" i="77"/>
  <c r="H1442" i="77"/>
  <c r="G1442" i="77"/>
  <c r="I1441" i="77"/>
  <c r="H1441" i="77"/>
  <c r="G1441" i="77"/>
  <c r="I1440" i="77"/>
  <c r="H1440" i="77"/>
  <c r="G1440" i="77"/>
  <c r="I1439" i="77"/>
  <c r="H1439" i="77"/>
  <c r="G1439" i="77"/>
  <c r="I1438" i="77"/>
  <c r="H1438" i="77"/>
  <c r="G1438" i="77"/>
  <c r="I1437" i="77"/>
  <c r="H1437" i="77"/>
  <c r="G1437" i="77"/>
  <c r="I1436" i="77"/>
  <c r="H1436" i="77"/>
  <c r="G1436" i="77"/>
  <c r="I1435" i="77"/>
  <c r="H1435" i="77"/>
  <c r="G1435" i="77"/>
  <c r="I1434" i="77"/>
  <c r="H1434" i="77"/>
  <c r="G1434" i="77"/>
  <c r="I1433" i="77"/>
  <c r="H1433" i="77"/>
  <c r="G1433" i="77"/>
  <c r="I1432" i="77"/>
  <c r="H1432" i="77"/>
  <c r="G1432" i="77"/>
  <c r="I1431" i="77"/>
  <c r="H1431" i="77"/>
  <c r="G1431" i="77"/>
  <c r="I1430" i="77"/>
  <c r="H1430" i="77"/>
  <c r="G1430" i="77"/>
  <c r="I1429" i="77"/>
  <c r="H1429" i="77"/>
  <c r="G1429" i="77"/>
  <c r="I1428" i="77"/>
  <c r="H1428" i="77"/>
  <c r="G1428" i="77"/>
  <c r="I1427" i="77"/>
  <c r="H1427" i="77"/>
  <c r="G1427" i="77"/>
  <c r="I1426" i="77"/>
  <c r="H1426" i="77"/>
  <c r="G1426" i="77"/>
  <c r="I1425" i="77"/>
  <c r="H1425" i="77"/>
  <c r="G1425" i="77"/>
  <c r="I1424" i="77"/>
  <c r="H1424" i="77"/>
  <c r="G1424" i="77"/>
  <c r="I1423" i="77"/>
  <c r="H1423" i="77"/>
  <c r="G1423" i="77"/>
  <c r="I1422" i="77"/>
  <c r="H1422" i="77"/>
  <c r="G1422" i="77"/>
  <c r="I1421" i="77"/>
  <c r="H1421" i="77"/>
  <c r="G1421" i="77"/>
  <c r="I1420" i="77"/>
  <c r="H1420" i="77"/>
  <c r="G1420" i="77"/>
  <c r="I1419" i="77"/>
  <c r="H1419" i="77"/>
  <c r="G1419" i="77"/>
  <c r="I1418" i="77"/>
  <c r="H1418" i="77"/>
  <c r="G1418" i="77"/>
  <c r="I1417" i="77"/>
  <c r="H1417" i="77"/>
  <c r="G1417" i="77"/>
  <c r="I1416" i="77"/>
  <c r="H1416" i="77"/>
  <c r="G1416" i="77"/>
  <c r="I1415" i="77"/>
  <c r="H1415" i="77"/>
  <c r="G1415" i="77"/>
  <c r="I1414" i="77"/>
  <c r="H1414" i="77"/>
  <c r="G1414" i="77"/>
  <c r="I1413" i="77"/>
  <c r="H1413" i="77"/>
  <c r="G1413" i="77"/>
  <c r="I1412" i="77"/>
  <c r="H1412" i="77"/>
  <c r="G1412" i="77"/>
  <c r="I1411" i="77"/>
  <c r="H1411" i="77"/>
  <c r="G1411" i="77"/>
  <c r="I1410" i="77"/>
  <c r="H1410" i="77"/>
  <c r="G1410" i="77"/>
  <c r="I1409" i="77"/>
  <c r="H1409" i="77"/>
  <c r="G1409" i="77"/>
  <c r="I1408" i="77"/>
  <c r="H1408" i="77"/>
  <c r="G1408" i="77"/>
  <c r="I1407" i="77"/>
  <c r="H1407" i="77"/>
  <c r="G1407" i="77"/>
  <c r="I1406" i="77"/>
  <c r="H1406" i="77"/>
  <c r="G1406" i="77"/>
  <c r="I1405" i="77"/>
  <c r="H1405" i="77"/>
  <c r="G1405" i="77"/>
  <c r="I1404" i="77"/>
  <c r="H1404" i="77"/>
  <c r="G1404" i="77"/>
  <c r="I1403" i="77"/>
  <c r="H1403" i="77"/>
  <c r="G1403" i="77"/>
  <c r="I1402" i="77"/>
  <c r="H1402" i="77"/>
  <c r="G1402" i="77"/>
  <c r="I1401" i="77"/>
  <c r="H1401" i="77"/>
  <c r="G1401" i="77"/>
  <c r="I1400" i="77"/>
  <c r="H1400" i="77"/>
  <c r="G1400" i="77"/>
  <c r="I1399" i="77"/>
  <c r="H1399" i="77"/>
  <c r="G1399" i="77"/>
  <c r="I1398" i="77"/>
  <c r="H1398" i="77"/>
  <c r="G1398" i="77"/>
  <c r="I1397" i="77"/>
  <c r="H1397" i="77"/>
  <c r="G1397" i="77"/>
  <c r="I1396" i="77"/>
  <c r="H1396" i="77"/>
  <c r="G1396" i="77"/>
  <c r="I1395" i="77"/>
  <c r="H1395" i="77"/>
  <c r="G1395" i="77"/>
  <c r="I1394" i="77"/>
  <c r="H1394" i="77"/>
  <c r="G1394" i="77"/>
  <c r="I1393" i="77"/>
  <c r="H1393" i="77"/>
  <c r="G1393" i="77"/>
  <c r="I1392" i="77"/>
  <c r="H1392" i="77"/>
  <c r="G1392" i="77"/>
  <c r="I1391" i="77"/>
  <c r="H1391" i="77"/>
  <c r="G1391" i="77"/>
  <c r="I1390" i="77"/>
  <c r="H1390" i="77"/>
  <c r="G1390" i="77"/>
  <c r="I1389" i="77"/>
  <c r="H1389" i="77"/>
  <c r="G1389" i="77"/>
  <c r="I1388" i="77"/>
  <c r="H1388" i="77"/>
  <c r="G1388" i="77"/>
  <c r="I1387" i="77"/>
  <c r="H1387" i="77"/>
  <c r="G1387" i="77"/>
  <c r="I1386" i="77"/>
  <c r="H1386" i="77"/>
  <c r="G1386" i="77"/>
  <c r="I1385" i="77"/>
  <c r="H1385" i="77"/>
  <c r="G1385" i="77"/>
  <c r="I1384" i="77"/>
  <c r="H1384" i="77"/>
  <c r="G1384" i="77"/>
  <c r="I1383" i="77"/>
  <c r="H1383" i="77"/>
  <c r="G1383" i="77"/>
  <c r="I1382" i="77"/>
  <c r="H1382" i="77"/>
  <c r="G1382" i="77"/>
  <c r="I1381" i="77"/>
  <c r="H1381" i="77"/>
  <c r="G1381" i="77"/>
  <c r="I1380" i="77"/>
  <c r="H1380" i="77"/>
  <c r="G1380" i="77"/>
  <c r="I1379" i="77"/>
  <c r="H1379" i="77"/>
  <c r="G1379" i="77"/>
  <c r="I1378" i="77"/>
  <c r="H1378" i="77"/>
  <c r="G1378" i="77"/>
  <c r="I1377" i="77"/>
  <c r="H1377" i="77"/>
  <c r="G1377" i="77"/>
  <c r="I1376" i="77"/>
  <c r="H1376" i="77"/>
  <c r="G1376" i="77"/>
  <c r="I1375" i="77"/>
  <c r="H1375" i="77"/>
  <c r="G1375" i="77"/>
  <c r="I1374" i="77"/>
  <c r="H1374" i="77"/>
  <c r="G1374" i="77"/>
  <c r="I1373" i="77"/>
  <c r="H1373" i="77"/>
  <c r="G1373" i="77"/>
  <c r="I1372" i="77"/>
  <c r="H1372" i="77"/>
  <c r="G1372" i="77"/>
  <c r="I1371" i="77"/>
  <c r="H1371" i="77"/>
  <c r="G1371" i="77"/>
  <c r="I1370" i="77"/>
  <c r="H1370" i="77"/>
  <c r="G1370" i="77"/>
  <c r="I1369" i="77"/>
  <c r="H1369" i="77"/>
  <c r="G1369" i="77"/>
  <c r="I1368" i="77"/>
  <c r="H1368" i="77"/>
  <c r="G1368" i="77"/>
  <c r="I1367" i="77"/>
  <c r="H1367" i="77"/>
  <c r="G1367" i="77"/>
  <c r="I1366" i="77"/>
  <c r="H1366" i="77"/>
  <c r="G1366" i="77"/>
  <c r="I1365" i="77"/>
  <c r="H1365" i="77"/>
  <c r="G1365" i="77"/>
  <c r="I1364" i="77"/>
  <c r="H1364" i="77"/>
  <c r="G1364" i="77"/>
  <c r="I1363" i="77"/>
  <c r="H1363" i="77"/>
  <c r="G1363" i="77"/>
  <c r="I1362" i="77"/>
  <c r="H1362" i="77"/>
  <c r="G1362" i="77"/>
  <c r="I1361" i="77"/>
  <c r="H1361" i="77"/>
  <c r="G1361" i="77"/>
  <c r="I1360" i="77"/>
  <c r="H1360" i="77"/>
  <c r="G1360" i="77"/>
  <c r="I1359" i="77"/>
  <c r="H1359" i="77"/>
  <c r="G1359" i="77"/>
  <c r="I1358" i="77"/>
  <c r="H1358" i="77"/>
  <c r="G1358" i="77"/>
  <c r="I1357" i="77"/>
  <c r="H1357" i="77"/>
  <c r="G1357" i="77"/>
  <c r="I1356" i="77"/>
  <c r="H1356" i="77"/>
  <c r="G1356" i="77"/>
  <c r="I1355" i="77"/>
  <c r="H1355" i="77"/>
  <c r="G1355" i="77"/>
  <c r="I1354" i="77"/>
  <c r="H1354" i="77"/>
  <c r="G1354" i="77"/>
  <c r="I1353" i="77"/>
  <c r="H1353" i="77"/>
  <c r="G1353" i="77"/>
  <c r="I1352" i="77"/>
  <c r="H1352" i="77"/>
  <c r="G1352" i="77"/>
  <c r="I1351" i="77"/>
  <c r="H1351" i="77"/>
  <c r="G1351" i="77"/>
  <c r="I1350" i="77"/>
  <c r="H1350" i="77"/>
  <c r="G1350" i="77"/>
  <c r="I1349" i="77"/>
  <c r="H1349" i="77"/>
  <c r="G1349" i="77"/>
  <c r="I1348" i="77"/>
  <c r="H1348" i="77"/>
  <c r="G1348" i="77"/>
  <c r="I1347" i="77"/>
  <c r="H1347" i="77"/>
  <c r="G1347" i="77"/>
  <c r="I1346" i="77"/>
  <c r="H1346" i="77"/>
  <c r="G1346" i="77"/>
  <c r="I1345" i="77"/>
  <c r="H1345" i="77"/>
  <c r="G1345" i="77"/>
  <c r="I1344" i="77"/>
  <c r="H1344" i="77"/>
  <c r="G1344" i="77"/>
  <c r="I1343" i="77"/>
  <c r="H1343" i="77"/>
  <c r="G1343" i="77"/>
  <c r="I1342" i="77"/>
  <c r="H1342" i="77"/>
  <c r="G1342" i="77"/>
  <c r="I1341" i="77"/>
  <c r="H1341" i="77"/>
  <c r="G1341" i="77"/>
  <c r="I1340" i="77"/>
  <c r="H1340" i="77"/>
  <c r="G1340" i="77"/>
  <c r="I1339" i="77"/>
  <c r="H1339" i="77"/>
  <c r="G1339" i="77"/>
  <c r="I1338" i="77"/>
  <c r="H1338" i="77"/>
  <c r="G1338" i="77"/>
  <c r="I1337" i="77"/>
  <c r="H1337" i="77"/>
  <c r="G1337" i="77"/>
  <c r="I1336" i="77"/>
  <c r="H1336" i="77"/>
  <c r="G1336" i="77"/>
  <c r="I1335" i="77"/>
  <c r="H1335" i="77"/>
  <c r="G1335" i="77"/>
  <c r="I1334" i="77"/>
  <c r="H1334" i="77"/>
  <c r="G1334" i="77"/>
  <c r="I1333" i="77"/>
  <c r="H1333" i="77"/>
  <c r="G1333" i="77"/>
  <c r="I1332" i="77"/>
  <c r="H1332" i="77"/>
  <c r="G1332" i="77"/>
  <c r="I1331" i="77"/>
  <c r="H1331" i="77"/>
  <c r="G1331" i="77"/>
  <c r="I1330" i="77"/>
  <c r="H1330" i="77"/>
  <c r="G1330" i="77"/>
  <c r="I1329" i="77"/>
  <c r="H1329" i="77"/>
  <c r="G1329" i="77"/>
  <c r="I1328" i="77"/>
  <c r="H1328" i="77"/>
  <c r="G1328" i="77"/>
  <c r="I1327" i="77"/>
  <c r="H1327" i="77"/>
  <c r="G1327" i="77"/>
  <c r="I1326" i="77"/>
  <c r="H1326" i="77"/>
  <c r="G1326" i="77"/>
  <c r="I1325" i="77"/>
  <c r="H1325" i="77"/>
  <c r="G1325" i="77"/>
  <c r="I1324" i="77"/>
  <c r="H1324" i="77"/>
  <c r="G1324" i="77"/>
  <c r="I1323" i="77"/>
  <c r="H1323" i="77"/>
  <c r="G1323" i="77"/>
  <c r="I1322" i="77"/>
  <c r="H1322" i="77"/>
  <c r="G1322" i="77"/>
  <c r="I1321" i="77"/>
  <c r="H1321" i="77"/>
  <c r="G1321" i="77"/>
  <c r="I1320" i="77"/>
  <c r="H1320" i="77"/>
  <c r="G1320" i="77"/>
  <c r="I1319" i="77"/>
  <c r="H1319" i="77"/>
  <c r="G1319" i="77"/>
  <c r="I1318" i="77"/>
  <c r="H1318" i="77"/>
  <c r="G1318" i="77"/>
  <c r="I1317" i="77"/>
  <c r="H1317" i="77"/>
  <c r="G1317" i="77"/>
  <c r="I1316" i="77"/>
  <c r="H1316" i="77"/>
  <c r="G1316" i="77"/>
  <c r="I1315" i="77"/>
  <c r="H1315" i="77"/>
  <c r="G1315" i="77"/>
  <c r="I1314" i="77"/>
  <c r="H1314" i="77"/>
  <c r="G1314" i="77"/>
  <c r="I1313" i="77"/>
  <c r="H1313" i="77"/>
  <c r="G1313" i="77"/>
  <c r="I1312" i="77"/>
  <c r="H1312" i="77"/>
  <c r="G1312" i="77"/>
  <c r="I1311" i="77"/>
  <c r="H1311" i="77"/>
  <c r="G1311" i="77"/>
  <c r="I1310" i="77"/>
  <c r="H1310" i="77"/>
  <c r="G1310" i="77"/>
  <c r="I1309" i="77"/>
  <c r="H1309" i="77"/>
  <c r="G1309" i="77"/>
  <c r="I1308" i="77"/>
  <c r="H1308" i="77"/>
  <c r="G1308" i="77"/>
  <c r="I1307" i="77"/>
  <c r="H1307" i="77"/>
  <c r="G1307" i="77"/>
  <c r="I1306" i="77"/>
  <c r="H1306" i="77"/>
  <c r="G1306" i="77"/>
  <c r="I1305" i="77"/>
  <c r="H1305" i="77"/>
  <c r="G1305" i="77"/>
  <c r="I1304" i="77"/>
  <c r="H1304" i="77"/>
  <c r="G1304" i="77"/>
  <c r="I1303" i="77"/>
  <c r="H1303" i="77"/>
  <c r="G1303" i="77"/>
  <c r="I1302" i="77"/>
  <c r="H1302" i="77"/>
  <c r="G1302" i="77"/>
  <c r="I1301" i="77"/>
  <c r="H1301" i="77"/>
  <c r="G1301" i="77"/>
  <c r="I1300" i="77"/>
  <c r="H1300" i="77"/>
  <c r="G1300" i="77"/>
  <c r="I1299" i="77"/>
  <c r="H1299" i="77"/>
  <c r="G1299" i="77"/>
  <c r="I1298" i="77"/>
  <c r="H1298" i="77"/>
  <c r="G1298" i="77"/>
  <c r="I1297" i="77"/>
  <c r="H1297" i="77"/>
  <c r="G1297" i="77"/>
  <c r="I1296" i="77"/>
  <c r="H1296" i="77"/>
  <c r="G1296" i="77"/>
  <c r="I1295" i="77"/>
  <c r="H1295" i="77"/>
  <c r="G1295" i="77"/>
  <c r="I1294" i="77"/>
  <c r="H1294" i="77"/>
  <c r="G1294" i="77"/>
  <c r="I1293" i="77"/>
  <c r="H1293" i="77"/>
  <c r="G1293" i="77"/>
  <c r="I1292" i="77"/>
  <c r="H1292" i="77"/>
  <c r="G1292" i="77"/>
  <c r="I1291" i="77"/>
  <c r="H1291" i="77"/>
  <c r="G1291" i="77"/>
  <c r="I1290" i="77"/>
  <c r="H1290" i="77"/>
  <c r="G1290" i="77"/>
  <c r="I1289" i="77"/>
  <c r="H1289" i="77"/>
  <c r="G1289" i="77"/>
  <c r="I1288" i="77"/>
  <c r="H1288" i="77"/>
  <c r="G1288" i="77"/>
  <c r="I1287" i="77"/>
  <c r="H1287" i="77"/>
  <c r="G1287" i="77"/>
  <c r="I1286" i="77"/>
  <c r="H1286" i="77"/>
  <c r="G1286" i="77"/>
  <c r="I1285" i="77"/>
  <c r="H1285" i="77"/>
  <c r="G1285" i="77"/>
  <c r="I1284" i="77"/>
  <c r="H1284" i="77"/>
  <c r="G1284" i="77"/>
  <c r="I1283" i="77"/>
  <c r="H1283" i="77"/>
  <c r="G1283" i="77"/>
  <c r="I1282" i="77"/>
  <c r="H1282" i="77"/>
  <c r="G1282" i="77"/>
  <c r="I1281" i="77"/>
  <c r="H1281" i="77"/>
  <c r="G1281" i="77"/>
  <c r="I1280" i="77"/>
  <c r="H1280" i="77"/>
  <c r="G1280" i="77"/>
  <c r="I1279" i="77"/>
  <c r="H1279" i="77"/>
  <c r="G1279" i="77"/>
  <c r="I1278" i="77"/>
  <c r="H1278" i="77"/>
  <c r="G1278" i="77"/>
  <c r="I1277" i="77"/>
  <c r="H1277" i="77"/>
  <c r="G1277" i="77"/>
  <c r="I1276" i="77"/>
  <c r="H1276" i="77"/>
  <c r="G1276" i="77"/>
  <c r="I1275" i="77"/>
  <c r="H1275" i="77"/>
  <c r="G1275" i="77"/>
  <c r="I1274" i="77"/>
  <c r="H1274" i="77"/>
  <c r="G1274" i="77"/>
  <c r="I1273" i="77"/>
  <c r="H1273" i="77"/>
  <c r="G1273" i="77"/>
  <c r="I1272" i="77"/>
  <c r="H1272" i="77"/>
  <c r="G1272" i="77"/>
  <c r="I1271" i="77"/>
  <c r="H1271" i="77"/>
  <c r="G1271" i="77"/>
  <c r="I1270" i="77"/>
  <c r="H1270" i="77"/>
  <c r="G1270" i="77"/>
  <c r="I1269" i="77"/>
  <c r="H1269" i="77"/>
  <c r="G1269" i="77"/>
  <c r="I1268" i="77"/>
  <c r="H1268" i="77"/>
  <c r="G1268" i="77"/>
  <c r="I1267" i="77"/>
  <c r="H1267" i="77"/>
  <c r="G1267" i="77"/>
  <c r="I1266" i="77"/>
  <c r="H1266" i="77"/>
  <c r="G1266" i="77"/>
  <c r="I1265" i="77"/>
  <c r="H1265" i="77"/>
  <c r="G1265" i="77"/>
  <c r="I1264" i="77"/>
  <c r="H1264" i="77"/>
  <c r="G1264" i="77"/>
  <c r="I1263" i="77"/>
  <c r="H1263" i="77"/>
  <c r="G1263" i="77"/>
  <c r="I1262" i="77"/>
  <c r="H1262" i="77"/>
  <c r="G1262" i="77"/>
  <c r="I1261" i="77"/>
  <c r="H1261" i="77"/>
  <c r="G1261" i="77"/>
  <c r="I1260" i="77"/>
  <c r="H1260" i="77"/>
  <c r="G1260" i="77"/>
  <c r="I1259" i="77"/>
  <c r="H1259" i="77"/>
  <c r="G1259" i="77"/>
  <c r="I1258" i="77"/>
  <c r="H1258" i="77"/>
  <c r="G1258" i="77"/>
  <c r="I1257" i="77"/>
  <c r="H1257" i="77"/>
  <c r="G1257" i="77"/>
  <c r="I1256" i="77"/>
  <c r="H1256" i="77"/>
  <c r="G1256" i="77"/>
  <c r="I1255" i="77"/>
  <c r="H1255" i="77"/>
  <c r="G1255" i="77"/>
  <c r="I1254" i="77"/>
  <c r="H1254" i="77"/>
  <c r="G1254" i="77"/>
  <c r="I1253" i="77"/>
  <c r="H1253" i="77"/>
  <c r="G1253" i="77"/>
  <c r="I1252" i="77"/>
  <c r="H1252" i="77"/>
  <c r="G1252" i="77"/>
  <c r="I1251" i="77"/>
  <c r="H1251" i="77"/>
  <c r="G1251" i="77"/>
  <c r="I1250" i="77"/>
  <c r="H1250" i="77"/>
  <c r="G1250" i="77"/>
  <c r="I1249" i="77"/>
  <c r="H1249" i="77"/>
  <c r="G1249" i="77"/>
  <c r="I1248" i="77"/>
  <c r="H1248" i="77"/>
  <c r="G1248" i="77"/>
  <c r="I1247" i="77"/>
  <c r="H1247" i="77"/>
  <c r="G1247" i="77"/>
  <c r="I1246" i="77"/>
  <c r="H1246" i="77"/>
  <c r="G1246" i="77"/>
  <c r="I1245" i="77"/>
  <c r="H1245" i="77"/>
  <c r="G1245" i="77"/>
  <c r="I1244" i="77"/>
  <c r="H1244" i="77"/>
  <c r="G1244" i="77"/>
  <c r="I1243" i="77"/>
  <c r="H1243" i="77"/>
  <c r="G1243" i="77"/>
  <c r="I1242" i="77"/>
  <c r="H1242" i="77"/>
  <c r="G1242" i="77"/>
  <c r="I1241" i="77"/>
  <c r="H1241" i="77"/>
  <c r="G1241" i="77"/>
  <c r="I1240" i="77"/>
  <c r="H1240" i="77"/>
  <c r="G1240" i="77"/>
  <c r="I1239" i="77"/>
  <c r="H1239" i="77"/>
  <c r="G1239" i="77"/>
  <c r="I1238" i="77"/>
  <c r="H1238" i="77"/>
  <c r="G1238" i="77"/>
  <c r="I1237" i="77"/>
  <c r="H1237" i="77"/>
  <c r="G1237" i="77"/>
  <c r="I1236" i="77"/>
  <c r="H1236" i="77"/>
  <c r="G1236" i="77"/>
  <c r="I1235" i="77"/>
  <c r="H1235" i="77"/>
  <c r="G1235" i="77"/>
  <c r="I1234" i="77"/>
  <c r="H1234" i="77"/>
  <c r="G1234" i="77"/>
  <c r="I1233" i="77"/>
  <c r="H1233" i="77"/>
  <c r="G1233" i="77"/>
  <c r="I1232" i="77"/>
  <c r="H1232" i="77"/>
  <c r="G1232" i="77"/>
  <c r="I1231" i="77"/>
  <c r="H1231" i="77"/>
  <c r="G1231" i="77"/>
  <c r="I1230" i="77"/>
  <c r="H1230" i="77"/>
  <c r="G1230" i="77"/>
  <c r="I1229" i="77"/>
  <c r="H1229" i="77"/>
  <c r="G1229" i="77"/>
  <c r="I1228" i="77"/>
  <c r="H1228" i="77"/>
  <c r="G1228" i="77"/>
  <c r="I1227" i="77"/>
  <c r="H1227" i="77"/>
  <c r="G1227" i="77"/>
  <c r="I1226" i="77"/>
  <c r="H1226" i="77"/>
  <c r="G1226" i="77"/>
  <c r="I1225" i="77"/>
  <c r="H1225" i="77"/>
  <c r="G1225" i="77"/>
  <c r="I1224" i="77"/>
  <c r="H1224" i="77"/>
  <c r="G1224" i="77"/>
  <c r="I1223" i="77"/>
  <c r="H1223" i="77"/>
  <c r="G1223" i="77"/>
  <c r="I1222" i="77"/>
  <c r="H1222" i="77"/>
  <c r="G1222" i="77"/>
  <c r="I1221" i="77"/>
  <c r="H1221" i="77"/>
  <c r="G1221" i="77"/>
  <c r="I1220" i="77"/>
  <c r="H1220" i="77"/>
  <c r="G1220" i="77"/>
  <c r="I1219" i="77"/>
  <c r="H1219" i="77"/>
  <c r="G1219" i="77"/>
  <c r="I1218" i="77"/>
  <c r="H1218" i="77"/>
  <c r="G1218" i="77"/>
  <c r="I1217" i="77"/>
  <c r="H1217" i="77"/>
  <c r="G1217" i="77"/>
  <c r="I1216" i="77"/>
  <c r="H1216" i="77"/>
  <c r="G1216" i="77"/>
  <c r="I1215" i="77"/>
  <c r="H1215" i="77"/>
  <c r="G1215" i="77"/>
  <c r="I1214" i="77"/>
  <c r="H1214" i="77"/>
  <c r="G1214" i="77"/>
  <c r="I1213" i="77"/>
  <c r="H1213" i="77"/>
  <c r="G1213" i="77"/>
  <c r="I1212" i="77"/>
  <c r="H1212" i="77"/>
  <c r="G1212" i="77"/>
  <c r="I1211" i="77"/>
  <c r="H1211" i="77"/>
  <c r="G1211" i="77"/>
  <c r="I1210" i="77"/>
  <c r="H1210" i="77"/>
  <c r="G1210" i="77"/>
  <c r="I1209" i="77"/>
  <c r="H1209" i="77"/>
  <c r="G1209" i="77"/>
  <c r="I1208" i="77"/>
  <c r="H1208" i="77"/>
  <c r="G1208" i="77"/>
  <c r="I1207" i="77"/>
  <c r="H1207" i="77"/>
  <c r="G1207" i="77"/>
  <c r="I1206" i="77"/>
  <c r="H1206" i="77"/>
  <c r="G1206" i="77"/>
  <c r="I1205" i="77"/>
  <c r="H1205" i="77"/>
  <c r="G1205" i="77"/>
  <c r="I1204" i="77"/>
  <c r="H1204" i="77"/>
  <c r="G1204" i="77"/>
  <c r="I1203" i="77"/>
  <c r="H1203" i="77"/>
  <c r="G1203" i="77"/>
  <c r="I1202" i="77"/>
  <c r="H1202" i="77"/>
  <c r="G1202" i="77"/>
  <c r="I1201" i="77"/>
  <c r="H1201" i="77"/>
  <c r="G1201" i="77"/>
  <c r="I1200" i="77"/>
  <c r="H1200" i="77"/>
  <c r="G1200" i="77"/>
  <c r="I1199" i="77"/>
  <c r="H1199" i="77"/>
  <c r="G1199" i="77"/>
  <c r="I1198" i="77"/>
  <c r="H1198" i="77"/>
  <c r="G1198" i="77"/>
  <c r="I1197" i="77"/>
  <c r="H1197" i="77"/>
  <c r="G1197" i="77"/>
  <c r="I1196" i="77"/>
  <c r="H1196" i="77"/>
  <c r="G1196" i="77"/>
  <c r="I1195" i="77"/>
  <c r="H1195" i="77"/>
  <c r="G1195" i="77"/>
  <c r="I1194" i="77"/>
  <c r="H1194" i="77"/>
  <c r="G1194" i="77"/>
  <c r="I1193" i="77"/>
  <c r="H1193" i="77"/>
  <c r="G1193" i="77"/>
  <c r="I1192" i="77"/>
  <c r="H1192" i="77"/>
  <c r="G1192" i="77"/>
  <c r="I1191" i="77"/>
  <c r="H1191" i="77"/>
  <c r="G1191" i="77"/>
  <c r="I1190" i="77"/>
  <c r="H1190" i="77"/>
  <c r="G1190" i="77"/>
  <c r="I1189" i="77"/>
  <c r="H1189" i="77"/>
  <c r="G1189" i="77"/>
  <c r="I1188" i="77"/>
  <c r="H1188" i="77"/>
  <c r="G1188" i="77"/>
  <c r="I1187" i="77"/>
  <c r="H1187" i="77"/>
  <c r="G1187" i="77"/>
  <c r="I1186" i="77"/>
  <c r="H1186" i="77"/>
  <c r="G1186" i="77"/>
  <c r="I1185" i="77"/>
  <c r="H1185" i="77"/>
  <c r="G1185" i="77"/>
  <c r="I1184" i="77"/>
  <c r="H1184" i="77"/>
  <c r="G1184" i="77"/>
  <c r="I1183" i="77"/>
  <c r="H1183" i="77"/>
  <c r="G1183" i="77"/>
  <c r="I1182" i="77"/>
  <c r="H1182" i="77"/>
  <c r="G1182" i="77"/>
  <c r="I1181" i="77"/>
  <c r="H1181" i="77"/>
  <c r="G1181" i="77"/>
  <c r="I1180" i="77"/>
  <c r="H1180" i="77"/>
  <c r="G1180" i="77"/>
  <c r="I1179" i="77"/>
  <c r="H1179" i="77"/>
  <c r="G1179" i="77"/>
  <c r="I1178" i="77"/>
  <c r="H1178" i="77"/>
  <c r="G1178" i="77"/>
  <c r="I1177" i="77"/>
  <c r="H1177" i="77"/>
  <c r="G1177" i="77"/>
  <c r="I1176" i="77"/>
  <c r="H1176" i="77"/>
  <c r="G1176" i="77"/>
  <c r="I1175" i="77"/>
  <c r="H1175" i="77"/>
  <c r="G1175" i="77"/>
  <c r="I1174" i="77"/>
  <c r="H1174" i="77"/>
  <c r="G1174" i="77"/>
  <c r="I1173" i="77"/>
  <c r="H1173" i="77"/>
  <c r="G1173" i="77"/>
  <c r="I1172" i="77"/>
  <c r="H1172" i="77"/>
  <c r="G1172" i="77"/>
  <c r="I1171" i="77"/>
  <c r="H1171" i="77"/>
  <c r="G1171" i="77"/>
  <c r="I1170" i="77"/>
  <c r="H1170" i="77"/>
  <c r="G1170" i="77"/>
  <c r="I1169" i="77"/>
  <c r="H1169" i="77"/>
  <c r="G1169" i="77"/>
  <c r="I1168" i="77"/>
  <c r="H1168" i="77"/>
  <c r="G1168" i="77"/>
  <c r="I1167" i="77"/>
  <c r="H1167" i="77"/>
  <c r="G1167" i="77"/>
  <c r="I1166" i="77"/>
  <c r="H1166" i="77"/>
  <c r="G1166" i="77"/>
  <c r="I1165" i="77"/>
  <c r="H1165" i="77"/>
  <c r="G1165" i="77"/>
  <c r="I1164" i="77"/>
  <c r="H1164" i="77"/>
  <c r="G1164" i="77"/>
  <c r="I1163" i="77"/>
  <c r="H1163" i="77"/>
  <c r="G1163" i="77"/>
  <c r="I1162" i="77"/>
  <c r="H1162" i="77"/>
  <c r="G1162" i="77"/>
  <c r="I1161" i="77"/>
  <c r="H1161" i="77"/>
  <c r="G1161" i="77"/>
  <c r="I1160" i="77"/>
  <c r="H1160" i="77"/>
  <c r="G1160" i="77"/>
  <c r="I1159" i="77"/>
  <c r="H1159" i="77"/>
  <c r="G1159" i="77"/>
  <c r="I1158" i="77"/>
  <c r="H1158" i="77"/>
  <c r="G1158" i="77"/>
  <c r="I1157" i="77"/>
  <c r="H1157" i="77"/>
  <c r="G1157" i="77"/>
  <c r="I1156" i="77"/>
  <c r="H1156" i="77"/>
  <c r="G1156" i="77"/>
  <c r="I1155" i="77"/>
  <c r="H1155" i="77"/>
  <c r="G1155" i="77"/>
  <c r="I1154" i="77"/>
  <c r="H1154" i="77"/>
  <c r="G1154" i="77"/>
  <c r="I1153" i="77"/>
  <c r="H1153" i="77"/>
  <c r="G1153" i="77"/>
  <c r="I1152" i="77"/>
  <c r="H1152" i="77"/>
  <c r="G1152" i="77"/>
  <c r="I1151" i="77"/>
  <c r="H1151" i="77"/>
  <c r="G1151" i="77"/>
  <c r="I1150" i="77"/>
  <c r="H1150" i="77"/>
  <c r="G1150" i="77"/>
  <c r="I1149" i="77"/>
  <c r="H1149" i="77"/>
  <c r="G1149" i="77"/>
  <c r="I1148" i="77"/>
  <c r="H1148" i="77"/>
  <c r="G1148" i="77"/>
  <c r="I1147" i="77"/>
  <c r="H1147" i="77"/>
  <c r="G1147" i="77"/>
  <c r="I1146" i="77"/>
  <c r="H1146" i="77"/>
  <c r="G1146" i="77"/>
  <c r="I1145" i="77"/>
  <c r="H1145" i="77"/>
  <c r="G1145" i="77"/>
  <c r="I1144" i="77"/>
  <c r="H1144" i="77"/>
  <c r="G1144" i="77"/>
  <c r="I1143" i="77"/>
  <c r="H1143" i="77"/>
  <c r="G1143" i="77"/>
  <c r="I1142" i="77"/>
  <c r="H1142" i="77"/>
  <c r="G1142" i="77"/>
  <c r="I1141" i="77"/>
  <c r="H1141" i="77"/>
  <c r="G1141" i="77"/>
  <c r="I1140" i="77"/>
  <c r="H1140" i="77"/>
  <c r="G1140" i="77"/>
  <c r="I1139" i="77"/>
  <c r="H1139" i="77"/>
  <c r="G1139" i="77"/>
  <c r="I1138" i="77"/>
  <c r="H1138" i="77"/>
  <c r="G1138" i="77"/>
  <c r="I1137" i="77"/>
  <c r="H1137" i="77"/>
  <c r="G1137" i="77"/>
  <c r="I1136" i="77"/>
  <c r="H1136" i="77"/>
  <c r="G1136" i="77"/>
  <c r="I1135" i="77"/>
  <c r="H1135" i="77"/>
  <c r="G1135" i="77"/>
  <c r="I1134" i="77"/>
  <c r="H1134" i="77"/>
  <c r="G1134" i="77"/>
  <c r="I1133" i="77"/>
  <c r="H1133" i="77"/>
  <c r="G1133" i="77"/>
  <c r="I1132" i="77"/>
  <c r="H1132" i="77"/>
  <c r="G1132" i="77"/>
  <c r="I1131" i="77"/>
  <c r="H1131" i="77"/>
  <c r="G1131" i="77"/>
  <c r="I1130" i="77"/>
  <c r="H1130" i="77"/>
  <c r="G1130" i="77"/>
  <c r="I1129" i="77"/>
  <c r="H1129" i="77"/>
  <c r="G1129" i="77"/>
  <c r="I1128" i="77"/>
  <c r="H1128" i="77"/>
  <c r="G1128" i="77"/>
  <c r="I1127" i="77"/>
  <c r="H1127" i="77"/>
  <c r="G1127" i="77"/>
  <c r="I1126" i="77"/>
  <c r="H1126" i="77"/>
  <c r="G1126" i="77"/>
  <c r="I1125" i="77"/>
  <c r="H1125" i="77"/>
  <c r="G1125" i="77"/>
  <c r="I1124" i="77"/>
  <c r="H1124" i="77"/>
  <c r="G1124" i="77"/>
  <c r="I1123" i="77"/>
  <c r="H1123" i="77"/>
  <c r="G1123" i="77"/>
  <c r="I1122" i="77"/>
  <c r="H1122" i="77"/>
  <c r="G1122" i="77"/>
  <c r="I1121" i="77"/>
  <c r="H1121" i="77"/>
  <c r="G1121" i="77"/>
  <c r="I1120" i="77"/>
  <c r="H1120" i="77"/>
  <c r="G1120" i="77"/>
  <c r="I1119" i="77"/>
  <c r="H1119" i="77"/>
  <c r="G1119" i="77"/>
  <c r="I1118" i="77"/>
  <c r="H1118" i="77"/>
  <c r="G1118" i="77"/>
  <c r="I1117" i="77"/>
  <c r="H1117" i="77"/>
  <c r="G1117" i="77"/>
  <c r="I1116" i="77"/>
  <c r="H1116" i="77"/>
  <c r="G1116" i="77"/>
  <c r="I1115" i="77"/>
  <c r="H1115" i="77"/>
  <c r="G1115" i="77"/>
  <c r="I1114" i="77"/>
  <c r="H1114" i="77"/>
  <c r="G1114" i="77"/>
  <c r="I1113" i="77"/>
  <c r="H1113" i="77"/>
  <c r="G1113" i="77"/>
  <c r="I1112" i="77"/>
  <c r="H1112" i="77"/>
  <c r="G1112" i="77"/>
  <c r="I1111" i="77"/>
  <c r="H1111" i="77"/>
  <c r="G1111" i="77"/>
  <c r="I1110" i="77"/>
  <c r="H1110" i="77"/>
  <c r="G1110" i="77"/>
  <c r="I1109" i="77"/>
  <c r="H1109" i="77"/>
  <c r="G1109" i="77"/>
  <c r="I1108" i="77"/>
  <c r="H1108" i="77"/>
  <c r="G1108" i="77"/>
  <c r="I1107" i="77"/>
  <c r="H1107" i="77"/>
  <c r="G1107" i="77"/>
  <c r="I1106" i="77"/>
  <c r="H1106" i="77"/>
  <c r="G1106" i="77"/>
  <c r="I1105" i="77"/>
  <c r="H1105" i="77"/>
  <c r="G1105" i="77"/>
  <c r="I1104" i="77"/>
  <c r="H1104" i="77"/>
  <c r="G1104" i="77"/>
  <c r="I1103" i="77"/>
  <c r="H1103" i="77"/>
  <c r="G1103" i="77"/>
  <c r="I1102" i="77"/>
  <c r="H1102" i="77"/>
  <c r="G1102" i="77"/>
  <c r="I1101" i="77"/>
  <c r="H1101" i="77"/>
  <c r="G1101" i="77"/>
  <c r="I1100" i="77"/>
  <c r="H1100" i="77"/>
  <c r="G1100" i="77"/>
  <c r="I1099" i="77"/>
  <c r="H1099" i="77"/>
  <c r="G1099" i="77"/>
  <c r="I1098" i="77"/>
  <c r="H1098" i="77"/>
  <c r="G1098" i="77"/>
  <c r="I1097" i="77"/>
  <c r="H1097" i="77"/>
  <c r="G1097" i="77"/>
  <c r="I1096" i="77"/>
  <c r="H1096" i="77"/>
  <c r="G1096" i="77"/>
  <c r="I1095" i="77"/>
  <c r="H1095" i="77"/>
  <c r="G1095" i="77"/>
  <c r="I1094" i="77"/>
  <c r="H1094" i="77"/>
  <c r="G1094" i="77"/>
  <c r="I1093" i="77"/>
  <c r="H1093" i="77"/>
  <c r="G1093" i="77"/>
  <c r="I1092" i="77"/>
  <c r="H1092" i="77"/>
  <c r="G1092" i="77"/>
  <c r="I1091" i="77"/>
  <c r="H1091" i="77"/>
  <c r="G1091" i="77"/>
  <c r="I1090" i="77"/>
  <c r="H1090" i="77"/>
  <c r="G1090" i="77"/>
  <c r="I1089" i="77"/>
  <c r="H1089" i="77"/>
  <c r="G1089" i="77"/>
  <c r="I1088" i="77"/>
  <c r="H1088" i="77"/>
  <c r="G1088" i="77"/>
  <c r="I1087" i="77"/>
  <c r="H1087" i="77"/>
  <c r="G1087" i="77"/>
  <c r="I1086" i="77"/>
  <c r="H1086" i="77"/>
  <c r="G1086" i="77"/>
  <c r="I1085" i="77"/>
  <c r="H1085" i="77"/>
  <c r="G1085" i="77"/>
  <c r="I1084" i="77"/>
  <c r="H1084" i="77"/>
  <c r="G1084" i="77"/>
  <c r="I1083" i="77"/>
  <c r="H1083" i="77"/>
  <c r="G1083" i="77"/>
  <c r="I1082" i="77"/>
  <c r="H1082" i="77"/>
  <c r="G1082" i="77"/>
  <c r="I1081" i="77"/>
  <c r="H1081" i="77"/>
  <c r="G1081" i="77"/>
  <c r="I1080" i="77"/>
  <c r="H1080" i="77"/>
  <c r="G1080" i="77"/>
  <c r="I1079" i="77"/>
  <c r="H1079" i="77"/>
  <c r="G1079" i="77"/>
  <c r="I1078" i="77"/>
  <c r="H1078" i="77"/>
  <c r="G1078" i="77"/>
  <c r="I1077" i="77"/>
  <c r="H1077" i="77"/>
  <c r="G1077" i="77"/>
  <c r="I1076" i="77"/>
  <c r="H1076" i="77"/>
  <c r="G1076" i="77"/>
  <c r="I1075" i="77"/>
  <c r="H1075" i="77"/>
  <c r="G1075" i="77"/>
  <c r="I1074" i="77"/>
  <c r="H1074" i="77"/>
  <c r="G1074" i="77"/>
  <c r="I1073" i="77"/>
  <c r="H1073" i="77"/>
  <c r="G1073" i="77"/>
  <c r="I1072" i="77"/>
  <c r="H1072" i="77"/>
  <c r="G1072" i="77"/>
  <c r="I1071" i="77"/>
  <c r="H1071" i="77"/>
  <c r="G1071" i="77"/>
  <c r="I1070" i="77"/>
  <c r="H1070" i="77"/>
  <c r="G1070" i="77"/>
  <c r="I1069" i="77"/>
  <c r="H1069" i="77"/>
  <c r="G1069" i="77"/>
  <c r="I1068" i="77"/>
  <c r="H1068" i="77"/>
  <c r="G1068" i="77"/>
  <c r="I1067" i="77"/>
  <c r="H1067" i="77"/>
  <c r="G1067" i="77"/>
  <c r="I1066" i="77"/>
  <c r="H1066" i="77"/>
  <c r="G1066" i="77"/>
  <c r="I1065" i="77"/>
  <c r="H1065" i="77"/>
  <c r="G1065" i="77"/>
  <c r="I1064" i="77"/>
  <c r="H1064" i="77"/>
  <c r="G1064" i="77"/>
  <c r="I1063" i="77"/>
  <c r="H1063" i="77"/>
  <c r="G1063" i="77"/>
  <c r="I1062" i="77"/>
  <c r="H1062" i="77"/>
  <c r="G1062" i="77"/>
  <c r="I1061" i="77"/>
  <c r="H1061" i="77"/>
  <c r="G1061" i="77"/>
  <c r="I1060" i="77"/>
  <c r="H1060" i="77"/>
  <c r="G1060" i="77"/>
  <c r="I1059" i="77"/>
  <c r="H1059" i="77"/>
  <c r="G1059" i="77"/>
  <c r="I1058" i="77"/>
  <c r="H1058" i="77"/>
  <c r="G1058" i="77"/>
  <c r="I1057" i="77"/>
  <c r="H1057" i="77"/>
  <c r="G1057" i="77"/>
  <c r="I1056" i="77"/>
  <c r="H1056" i="77"/>
  <c r="G1056" i="77"/>
  <c r="I1055" i="77"/>
  <c r="H1055" i="77"/>
  <c r="G1055" i="77"/>
  <c r="I1054" i="77"/>
  <c r="H1054" i="77"/>
  <c r="G1054" i="77"/>
  <c r="I1053" i="77"/>
  <c r="H1053" i="77"/>
  <c r="G1053" i="77"/>
  <c r="I1052" i="77"/>
  <c r="H1052" i="77"/>
  <c r="G1052" i="77"/>
  <c r="I1051" i="77"/>
  <c r="H1051" i="77"/>
  <c r="G1051" i="77"/>
  <c r="I1050" i="77"/>
  <c r="H1050" i="77"/>
  <c r="G1050" i="77"/>
  <c r="I1049" i="77"/>
  <c r="H1049" i="77"/>
  <c r="G1049" i="77"/>
  <c r="I1048" i="77"/>
  <c r="H1048" i="77"/>
  <c r="G1048" i="77"/>
  <c r="I1047" i="77"/>
  <c r="H1047" i="77"/>
  <c r="G1047" i="77"/>
  <c r="I1046" i="77"/>
  <c r="H1046" i="77"/>
  <c r="G1046" i="77"/>
  <c r="I1045" i="77"/>
  <c r="H1045" i="77"/>
  <c r="G1045" i="77"/>
  <c r="I1044" i="77"/>
  <c r="H1044" i="77"/>
  <c r="G1044" i="77"/>
  <c r="I1043" i="77"/>
  <c r="H1043" i="77"/>
  <c r="G1043" i="77"/>
  <c r="I1042" i="77"/>
  <c r="H1042" i="77"/>
  <c r="G1042" i="77"/>
  <c r="I1041" i="77"/>
  <c r="H1041" i="77"/>
  <c r="G1041" i="77"/>
  <c r="I1040" i="77"/>
  <c r="H1040" i="77"/>
  <c r="G1040" i="77"/>
  <c r="I1039" i="77"/>
  <c r="H1039" i="77"/>
  <c r="G1039" i="77"/>
  <c r="I1038" i="77"/>
  <c r="H1038" i="77"/>
  <c r="G1038" i="77"/>
  <c r="I1037" i="77"/>
  <c r="H1037" i="77"/>
  <c r="G1037" i="77"/>
  <c r="I1036" i="77"/>
  <c r="H1036" i="77"/>
  <c r="G1036" i="77"/>
  <c r="I1035" i="77"/>
  <c r="H1035" i="77"/>
  <c r="G1035" i="77"/>
  <c r="I1034" i="77"/>
  <c r="H1034" i="77"/>
  <c r="G1034" i="77"/>
  <c r="I1033" i="77"/>
  <c r="H1033" i="77"/>
  <c r="G1033" i="77"/>
  <c r="I1032" i="77"/>
  <c r="H1032" i="77"/>
  <c r="G1032" i="77"/>
  <c r="I1031" i="77"/>
  <c r="H1031" i="77"/>
  <c r="G1031" i="77"/>
  <c r="I1030" i="77"/>
  <c r="H1030" i="77"/>
  <c r="G1030" i="77"/>
  <c r="I1029" i="77"/>
  <c r="H1029" i="77"/>
  <c r="G1029" i="77"/>
  <c r="I1028" i="77"/>
  <c r="H1028" i="77"/>
  <c r="G1028" i="77"/>
  <c r="I1027" i="77"/>
  <c r="H1027" i="77"/>
  <c r="G1027" i="77"/>
  <c r="I1026" i="77"/>
  <c r="H1026" i="77"/>
  <c r="G1026" i="77"/>
  <c r="I1025" i="77"/>
  <c r="H1025" i="77"/>
  <c r="G1025" i="77"/>
  <c r="I1024" i="77"/>
  <c r="H1024" i="77"/>
  <c r="G1024" i="77"/>
  <c r="I1023" i="77"/>
  <c r="H1023" i="77"/>
  <c r="G1023" i="77"/>
  <c r="I1022" i="77"/>
  <c r="H1022" i="77"/>
  <c r="G1022" i="77"/>
  <c r="I1021" i="77"/>
  <c r="H1021" i="77"/>
  <c r="G1021" i="77"/>
  <c r="I1020" i="77"/>
  <c r="H1020" i="77"/>
  <c r="G1020" i="77"/>
  <c r="I1019" i="77"/>
  <c r="H1019" i="77"/>
  <c r="G1019" i="77"/>
  <c r="I1018" i="77"/>
  <c r="H1018" i="77"/>
  <c r="G1018" i="77"/>
  <c r="I1017" i="77"/>
  <c r="H1017" i="77"/>
  <c r="G1017" i="77"/>
  <c r="I1016" i="77"/>
  <c r="H1016" i="77"/>
  <c r="G1016" i="77"/>
  <c r="I1015" i="77"/>
  <c r="H1015" i="77"/>
  <c r="G1015" i="77"/>
  <c r="I1014" i="77"/>
  <c r="H1014" i="77"/>
  <c r="G1014" i="77"/>
  <c r="I1013" i="77"/>
  <c r="H1013" i="77"/>
  <c r="G1013" i="77"/>
  <c r="I1012" i="77"/>
  <c r="H1012" i="77"/>
  <c r="G1012" i="77"/>
  <c r="I1011" i="77"/>
  <c r="H1011" i="77"/>
  <c r="G1011" i="77"/>
  <c r="I1010" i="77"/>
  <c r="H1010" i="77"/>
  <c r="G1010" i="77"/>
  <c r="I1009" i="77"/>
  <c r="H1009" i="77"/>
  <c r="G1009" i="77"/>
  <c r="I1008" i="77"/>
  <c r="H1008" i="77"/>
  <c r="G1008" i="77"/>
  <c r="I1007" i="77"/>
  <c r="H1007" i="77"/>
  <c r="G1007" i="77"/>
  <c r="I1006" i="77"/>
  <c r="H1006" i="77"/>
  <c r="G1006" i="77"/>
  <c r="I1005" i="77"/>
  <c r="H1005" i="77"/>
  <c r="G1005" i="77"/>
  <c r="I1004" i="77"/>
  <c r="H1004" i="77"/>
  <c r="G1004" i="77"/>
  <c r="I1003" i="77"/>
  <c r="H1003" i="77"/>
  <c r="G1003" i="77"/>
  <c r="I1002" i="77"/>
  <c r="H1002" i="77"/>
  <c r="G1002" i="77"/>
  <c r="I1001" i="77"/>
  <c r="H1001" i="77"/>
  <c r="G1001" i="77"/>
  <c r="I1000" i="77"/>
  <c r="H1000" i="77"/>
  <c r="G1000" i="77"/>
  <c r="I999" i="77"/>
  <c r="H999" i="77"/>
  <c r="G999" i="77"/>
  <c r="I998" i="77"/>
  <c r="H998" i="77"/>
  <c r="G998" i="77"/>
  <c r="I997" i="77"/>
  <c r="H997" i="77"/>
  <c r="G997" i="77"/>
  <c r="I996" i="77"/>
  <c r="H996" i="77"/>
  <c r="G996" i="77"/>
  <c r="I995" i="77"/>
  <c r="H995" i="77"/>
  <c r="G995" i="77"/>
  <c r="I994" i="77"/>
  <c r="H994" i="77"/>
  <c r="G994" i="77"/>
  <c r="I993" i="77"/>
  <c r="H993" i="77"/>
  <c r="G993" i="77"/>
  <c r="I992" i="77"/>
  <c r="H992" i="77"/>
  <c r="G992" i="77"/>
  <c r="I991" i="77"/>
  <c r="H991" i="77"/>
  <c r="G991" i="77"/>
  <c r="I990" i="77"/>
  <c r="H990" i="77"/>
  <c r="G990" i="77"/>
  <c r="I989" i="77"/>
  <c r="H989" i="77"/>
  <c r="G989" i="77"/>
  <c r="I988" i="77"/>
  <c r="H988" i="77"/>
  <c r="G988" i="77"/>
  <c r="I987" i="77"/>
  <c r="H987" i="77"/>
  <c r="G987" i="77"/>
  <c r="I986" i="77"/>
  <c r="H986" i="77"/>
  <c r="G986" i="77"/>
  <c r="I985" i="77"/>
  <c r="H985" i="77"/>
  <c r="G985" i="77"/>
  <c r="I984" i="77"/>
  <c r="H984" i="77"/>
  <c r="G984" i="77"/>
  <c r="I983" i="77"/>
  <c r="H983" i="77"/>
  <c r="G983" i="77"/>
  <c r="I982" i="77"/>
  <c r="H982" i="77"/>
  <c r="G982" i="77"/>
  <c r="I981" i="77"/>
  <c r="H981" i="77"/>
  <c r="G981" i="77"/>
  <c r="I980" i="77"/>
  <c r="H980" i="77"/>
  <c r="G980" i="77"/>
  <c r="I979" i="77"/>
  <c r="H979" i="77"/>
  <c r="G979" i="77"/>
  <c r="I978" i="77"/>
  <c r="H978" i="77"/>
  <c r="G978" i="77"/>
  <c r="I977" i="77"/>
  <c r="H977" i="77"/>
  <c r="G977" i="77"/>
  <c r="I976" i="77"/>
  <c r="H976" i="77"/>
  <c r="G976" i="77"/>
  <c r="I975" i="77"/>
  <c r="H975" i="77"/>
  <c r="G975" i="77"/>
  <c r="I974" i="77"/>
  <c r="H974" i="77"/>
  <c r="G974" i="77"/>
  <c r="I973" i="77"/>
  <c r="H973" i="77"/>
  <c r="G973" i="77"/>
  <c r="I972" i="77"/>
  <c r="H972" i="77"/>
  <c r="G972" i="77"/>
  <c r="I971" i="77"/>
  <c r="H971" i="77"/>
  <c r="G971" i="77"/>
  <c r="I970" i="77"/>
  <c r="H970" i="77"/>
  <c r="G970" i="77"/>
  <c r="I969" i="77"/>
  <c r="H969" i="77"/>
  <c r="G969" i="77"/>
  <c r="I968" i="77"/>
  <c r="H968" i="77"/>
  <c r="G968" i="77"/>
  <c r="I967" i="77"/>
  <c r="H967" i="77"/>
  <c r="G967" i="77"/>
  <c r="I966" i="77"/>
  <c r="H966" i="77"/>
  <c r="G966" i="77"/>
  <c r="I965" i="77"/>
  <c r="H965" i="77"/>
  <c r="G965" i="77"/>
  <c r="I964" i="77"/>
  <c r="H964" i="77"/>
  <c r="G964" i="77"/>
  <c r="I963" i="77"/>
  <c r="H963" i="77"/>
  <c r="G963" i="77"/>
  <c r="I962" i="77"/>
  <c r="H962" i="77"/>
  <c r="G962" i="77"/>
  <c r="I961" i="77"/>
  <c r="H961" i="77"/>
  <c r="G961" i="77"/>
  <c r="I960" i="77"/>
  <c r="H960" i="77"/>
  <c r="G960" i="77"/>
  <c r="I959" i="77"/>
  <c r="H959" i="77"/>
  <c r="G959" i="77"/>
  <c r="I958" i="77"/>
  <c r="H958" i="77"/>
  <c r="G958" i="77"/>
  <c r="I957" i="77"/>
  <c r="H957" i="77"/>
  <c r="G957" i="77"/>
  <c r="I956" i="77"/>
  <c r="H956" i="77"/>
  <c r="G956" i="77"/>
  <c r="I955" i="77"/>
  <c r="H955" i="77"/>
  <c r="G955" i="77"/>
  <c r="I954" i="77"/>
  <c r="H954" i="77"/>
  <c r="G954" i="77"/>
  <c r="I953" i="77"/>
  <c r="H953" i="77"/>
  <c r="G953" i="77"/>
  <c r="I952" i="77"/>
  <c r="H952" i="77"/>
  <c r="G952" i="77"/>
  <c r="I951" i="77"/>
  <c r="H951" i="77"/>
  <c r="G951" i="77"/>
  <c r="I950" i="77"/>
  <c r="H950" i="77"/>
  <c r="G950" i="77"/>
  <c r="I949" i="77"/>
  <c r="H949" i="77"/>
  <c r="G949" i="77"/>
  <c r="I948" i="77"/>
  <c r="H948" i="77"/>
  <c r="G948" i="77"/>
  <c r="I947" i="77"/>
  <c r="H947" i="77"/>
  <c r="G947" i="77"/>
  <c r="I946" i="77"/>
  <c r="H946" i="77"/>
  <c r="G946" i="77"/>
  <c r="I945" i="77"/>
  <c r="H945" i="77"/>
  <c r="G945" i="77"/>
  <c r="I944" i="77"/>
  <c r="H944" i="77"/>
  <c r="G944" i="77"/>
  <c r="I943" i="77"/>
  <c r="H943" i="77"/>
  <c r="G943" i="77"/>
  <c r="I942" i="77"/>
  <c r="H942" i="77"/>
  <c r="G942" i="77"/>
  <c r="I941" i="77"/>
  <c r="H941" i="77"/>
  <c r="G941" i="77"/>
  <c r="I940" i="77"/>
  <c r="H940" i="77"/>
  <c r="G940" i="77"/>
  <c r="I939" i="77"/>
  <c r="H939" i="77"/>
  <c r="G939" i="77"/>
  <c r="I938" i="77"/>
  <c r="H938" i="77"/>
  <c r="G938" i="77"/>
  <c r="I937" i="77"/>
  <c r="H937" i="77"/>
  <c r="G937" i="77"/>
  <c r="I936" i="77"/>
  <c r="H936" i="77"/>
  <c r="G936" i="77"/>
  <c r="I935" i="77"/>
  <c r="H935" i="77"/>
  <c r="G935" i="77"/>
  <c r="I934" i="77"/>
  <c r="H934" i="77"/>
  <c r="G934" i="77"/>
  <c r="I933" i="77"/>
  <c r="H933" i="77"/>
  <c r="G933" i="77"/>
  <c r="I932" i="77"/>
  <c r="H932" i="77"/>
  <c r="G932" i="77"/>
  <c r="I931" i="77"/>
  <c r="H931" i="77"/>
  <c r="G931" i="77"/>
  <c r="I930" i="77"/>
  <c r="H930" i="77"/>
  <c r="G930" i="77"/>
  <c r="I929" i="77"/>
  <c r="H929" i="77"/>
  <c r="G929" i="77"/>
  <c r="I928" i="77"/>
  <c r="H928" i="77"/>
  <c r="G928" i="77"/>
  <c r="I927" i="77"/>
  <c r="H927" i="77"/>
  <c r="G927" i="77"/>
  <c r="I926" i="77"/>
  <c r="H926" i="77"/>
  <c r="G926" i="77"/>
  <c r="I925" i="77"/>
  <c r="H925" i="77"/>
  <c r="G925" i="77"/>
  <c r="I924" i="77"/>
  <c r="H924" i="77"/>
  <c r="G924" i="77"/>
  <c r="I923" i="77"/>
  <c r="H923" i="77"/>
  <c r="G923" i="77"/>
  <c r="I922" i="77"/>
  <c r="H922" i="77"/>
  <c r="G922" i="77"/>
  <c r="I921" i="77"/>
  <c r="H921" i="77"/>
  <c r="G921" i="77"/>
  <c r="I920" i="77"/>
  <c r="H920" i="77"/>
  <c r="G920" i="77"/>
  <c r="I919" i="77"/>
  <c r="H919" i="77"/>
  <c r="G919" i="77"/>
  <c r="I918" i="77"/>
  <c r="H918" i="77"/>
  <c r="G918" i="77"/>
  <c r="I917" i="77"/>
  <c r="H917" i="77"/>
  <c r="G917" i="77"/>
  <c r="I916" i="77"/>
  <c r="H916" i="77"/>
  <c r="G916" i="77"/>
  <c r="I915" i="77"/>
  <c r="H915" i="77"/>
  <c r="G915" i="77"/>
  <c r="I914" i="77"/>
  <c r="H914" i="77"/>
  <c r="G914" i="77"/>
  <c r="I913" i="77"/>
  <c r="H913" i="77"/>
  <c r="G913" i="77"/>
  <c r="I912" i="77"/>
  <c r="H912" i="77"/>
  <c r="G912" i="77"/>
  <c r="I911" i="77"/>
  <c r="H911" i="77"/>
  <c r="G911" i="77"/>
  <c r="I910" i="77"/>
  <c r="H910" i="77"/>
  <c r="G910" i="77"/>
  <c r="I909" i="77"/>
  <c r="H909" i="77"/>
  <c r="G909" i="77"/>
  <c r="I908" i="77"/>
  <c r="H908" i="77"/>
  <c r="G908" i="77"/>
  <c r="I907" i="77"/>
  <c r="H907" i="77"/>
  <c r="G907" i="77"/>
  <c r="I906" i="77"/>
  <c r="H906" i="77"/>
  <c r="G906" i="77"/>
  <c r="I905" i="77"/>
  <c r="H905" i="77"/>
  <c r="G905" i="77"/>
  <c r="I904" i="77"/>
  <c r="H904" i="77"/>
  <c r="G904" i="77"/>
  <c r="I903" i="77"/>
  <c r="H903" i="77"/>
  <c r="G903" i="77"/>
  <c r="I902" i="77"/>
  <c r="H902" i="77"/>
  <c r="G902" i="77"/>
  <c r="I901" i="77"/>
  <c r="H901" i="77"/>
  <c r="G901" i="77"/>
  <c r="I900" i="77"/>
  <c r="H900" i="77"/>
  <c r="G900" i="77"/>
  <c r="I899" i="77"/>
  <c r="H899" i="77"/>
  <c r="G899" i="77"/>
  <c r="I898" i="77"/>
  <c r="H898" i="77"/>
  <c r="G898" i="77"/>
  <c r="I897" i="77"/>
  <c r="H897" i="77"/>
  <c r="G897" i="77"/>
  <c r="I896" i="77"/>
  <c r="H896" i="77"/>
  <c r="G896" i="77"/>
  <c r="I895" i="77"/>
  <c r="H895" i="77"/>
  <c r="G895" i="77"/>
  <c r="I894" i="77"/>
  <c r="H894" i="77"/>
  <c r="G894" i="77"/>
  <c r="I893" i="77"/>
  <c r="H893" i="77"/>
  <c r="G893" i="77"/>
  <c r="I892" i="77"/>
  <c r="H892" i="77"/>
  <c r="G892" i="77"/>
  <c r="I891" i="77"/>
  <c r="H891" i="77"/>
  <c r="G891" i="77"/>
  <c r="I890" i="77"/>
  <c r="H890" i="77"/>
  <c r="G890" i="77"/>
  <c r="I889" i="77"/>
  <c r="H889" i="77"/>
  <c r="G889" i="77"/>
  <c r="I888" i="77"/>
  <c r="H888" i="77"/>
  <c r="G888" i="77"/>
  <c r="I887" i="77"/>
  <c r="H887" i="77"/>
  <c r="G887" i="77"/>
  <c r="I886" i="77"/>
  <c r="H886" i="77"/>
  <c r="G886" i="77"/>
  <c r="I885" i="77"/>
  <c r="H885" i="77"/>
  <c r="G885" i="77"/>
  <c r="I884" i="77"/>
  <c r="H884" i="77"/>
  <c r="G884" i="77"/>
  <c r="I883" i="77"/>
  <c r="H883" i="77"/>
  <c r="G883" i="77"/>
  <c r="I882" i="77"/>
  <c r="H882" i="77"/>
  <c r="G882" i="77"/>
  <c r="I881" i="77"/>
  <c r="H881" i="77"/>
  <c r="G881" i="77"/>
  <c r="I880" i="77"/>
  <c r="H880" i="77"/>
  <c r="G880" i="77"/>
  <c r="I879" i="77"/>
  <c r="H879" i="77"/>
  <c r="G879" i="77"/>
  <c r="I878" i="77"/>
  <c r="H878" i="77"/>
  <c r="G878" i="77"/>
  <c r="I877" i="77"/>
  <c r="H877" i="77"/>
  <c r="G877" i="77"/>
  <c r="I876" i="77"/>
  <c r="H876" i="77"/>
  <c r="G876" i="77"/>
  <c r="I875" i="77"/>
  <c r="H875" i="77"/>
  <c r="G875" i="77"/>
  <c r="I874" i="77"/>
  <c r="H874" i="77"/>
  <c r="G874" i="77"/>
  <c r="I873" i="77"/>
  <c r="H873" i="77"/>
  <c r="G873" i="77"/>
  <c r="I872" i="77"/>
  <c r="H872" i="77"/>
  <c r="G872" i="77"/>
  <c r="I871" i="77"/>
  <c r="H871" i="77"/>
  <c r="G871" i="77"/>
  <c r="I870" i="77"/>
  <c r="H870" i="77"/>
  <c r="G870" i="77"/>
  <c r="I869" i="77"/>
  <c r="H869" i="77"/>
  <c r="G869" i="77"/>
  <c r="I868" i="77"/>
  <c r="H868" i="77"/>
  <c r="G868" i="77"/>
  <c r="I867" i="77"/>
  <c r="H867" i="77"/>
  <c r="G867" i="77"/>
  <c r="I866" i="77"/>
  <c r="H866" i="77"/>
  <c r="G866" i="77"/>
  <c r="I865" i="77"/>
  <c r="H865" i="77"/>
  <c r="G865" i="77"/>
  <c r="I864" i="77"/>
  <c r="H864" i="77"/>
  <c r="G864" i="77"/>
  <c r="I863" i="77"/>
  <c r="H863" i="77"/>
  <c r="G863" i="77"/>
  <c r="I862" i="77"/>
  <c r="H862" i="77"/>
  <c r="G862" i="77"/>
  <c r="I861" i="77"/>
  <c r="H861" i="77"/>
  <c r="G861" i="77"/>
  <c r="I860" i="77"/>
  <c r="H860" i="77"/>
  <c r="G860" i="77"/>
  <c r="I859" i="77"/>
  <c r="H859" i="77"/>
  <c r="G859" i="77"/>
  <c r="I858" i="77"/>
  <c r="H858" i="77"/>
  <c r="G858" i="77"/>
  <c r="I857" i="77"/>
  <c r="H857" i="77"/>
  <c r="G857" i="77"/>
  <c r="I856" i="77"/>
  <c r="H856" i="77"/>
  <c r="G856" i="77"/>
  <c r="I855" i="77"/>
  <c r="H855" i="77"/>
  <c r="G855" i="77"/>
  <c r="I854" i="77"/>
  <c r="H854" i="77"/>
  <c r="G854" i="77"/>
  <c r="I853" i="77"/>
  <c r="H853" i="77"/>
  <c r="G853" i="77"/>
  <c r="I852" i="77"/>
  <c r="H852" i="77"/>
  <c r="G852" i="77"/>
  <c r="I851" i="77"/>
  <c r="H851" i="77"/>
  <c r="G851" i="77"/>
  <c r="I850" i="77"/>
  <c r="H850" i="77"/>
  <c r="G850" i="77"/>
  <c r="I849" i="77"/>
  <c r="H849" i="77"/>
  <c r="G849" i="77"/>
  <c r="I848" i="77"/>
  <c r="H848" i="77"/>
  <c r="G848" i="77"/>
  <c r="I847" i="77"/>
  <c r="H847" i="77"/>
  <c r="G847" i="77"/>
  <c r="I846" i="77"/>
  <c r="H846" i="77"/>
  <c r="G846" i="77"/>
  <c r="I845" i="77"/>
  <c r="H845" i="77"/>
  <c r="G845" i="77"/>
  <c r="I844" i="77"/>
  <c r="H844" i="77"/>
  <c r="G844" i="77"/>
  <c r="I843" i="77"/>
  <c r="H843" i="77"/>
  <c r="G843" i="77"/>
  <c r="I842" i="77"/>
  <c r="H842" i="77"/>
  <c r="G842" i="77"/>
  <c r="I841" i="77"/>
  <c r="H841" i="77"/>
  <c r="G841" i="77"/>
  <c r="I840" i="77"/>
  <c r="H840" i="77"/>
  <c r="G840" i="77"/>
  <c r="I839" i="77"/>
  <c r="H839" i="77"/>
  <c r="G839" i="77"/>
  <c r="I838" i="77"/>
  <c r="H838" i="77"/>
  <c r="G838" i="77"/>
  <c r="I837" i="77"/>
  <c r="H837" i="77"/>
  <c r="G837" i="77"/>
  <c r="I836" i="77"/>
  <c r="H836" i="77"/>
  <c r="G836" i="77"/>
  <c r="I835" i="77"/>
  <c r="H835" i="77"/>
  <c r="G835" i="77"/>
  <c r="I834" i="77"/>
  <c r="H834" i="77"/>
  <c r="G834" i="77"/>
  <c r="I833" i="77"/>
  <c r="H833" i="77"/>
  <c r="G833" i="77"/>
  <c r="I832" i="77"/>
  <c r="H832" i="77"/>
  <c r="G832" i="77"/>
  <c r="I831" i="77"/>
  <c r="H831" i="77"/>
  <c r="G831" i="77"/>
  <c r="I830" i="77"/>
  <c r="H830" i="77"/>
  <c r="G830" i="77"/>
  <c r="I829" i="77"/>
  <c r="H829" i="77"/>
  <c r="G829" i="77"/>
  <c r="I828" i="77"/>
  <c r="H828" i="77"/>
  <c r="G828" i="77"/>
  <c r="I827" i="77"/>
  <c r="H827" i="77"/>
  <c r="G827" i="77"/>
  <c r="I826" i="77"/>
  <c r="H826" i="77"/>
  <c r="G826" i="77"/>
  <c r="I825" i="77"/>
  <c r="H825" i="77"/>
  <c r="G825" i="77"/>
  <c r="I824" i="77"/>
  <c r="H824" i="77"/>
  <c r="G824" i="77"/>
  <c r="I823" i="77"/>
  <c r="H823" i="77"/>
  <c r="G823" i="77"/>
  <c r="I822" i="77"/>
  <c r="H822" i="77"/>
  <c r="G822" i="77"/>
  <c r="I821" i="77"/>
  <c r="H821" i="77"/>
  <c r="G821" i="77"/>
  <c r="I820" i="77"/>
  <c r="H820" i="77"/>
  <c r="G820" i="77"/>
  <c r="I819" i="77"/>
  <c r="H819" i="77"/>
  <c r="G819" i="77"/>
  <c r="I818" i="77"/>
  <c r="H818" i="77"/>
  <c r="G818" i="77"/>
  <c r="I817" i="77"/>
  <c r="H817" i="77"/>
  <c r="G817" i="77"/>
  <c r="I816" i="77"/>
  <c r="H816" i="77"/>
  <c r="G816" i="77"/>
  <c r="I815" i="77"/>
  <c r="H815" i="77"/>
  <c r="G815" i="77"/>
  <c r="I814" i="77"/>
  <c r="H814" i="77"/>
  <c r="G814" i="77"/>
  <c r="I813" i="77"/>
  <c r="H813" i="77"/>
  <c r="G813" i="77"/>
  <c r="I812" i="77"/>
  <c r="H812" i="77"/>
  <c r="G812" i="77"/>
  <c r="I811" i="77"/>
  <c r="H811" i="77"/>
  <c r="G811" i="77"/>
  <c r="I810" i="77"/>
  <c r="H810" i="77"/>
  <c r="G810" i="77"/>
  <c r="I809" i="77"/>
  <c r="H809" i="77"/>
  <c r="G809" i="77"/>
  <c r="I808" i="77"/>
  <c r="H808" i="77"/>
  <c r="G808" i="77"/>
  <c r="I807" i="77"/>
  <c r="H807" i="77"/>
  <c r="G807" i="77"/>
  <c r="I806" i="77"/>
  <c r="H806" i="77"/>
  <c r="G806" i="77"/>
  <c r="I805" i="77"/>
  <c r="H805" i="77"/>
  <c r="G805" i="77"/>
  <c r="I804" i="77"/>
  <c r="H804" i="77"/>
  <c r="G804" i="77"/>
  <c r="I803" i="77"/>
  <c r="H803" i="77"/>
  <c r="G803" i="77"/>
  <c r="I802" i="77"/>
  <c r="H802" i="77"/>
  <c r="G802" i="77"/>
  <c r="I801" i="77"/>
  <c r="H801" i="77"/>
  <c r="G801" i="77"/>
  <c r="I800" i="77"/>
  <c r="H800" i="77"/>
  <c r="G800" i="77"/>
  <c r="I799" i="77"/>
  <c r="H799" i="77"/>
  <c r="G799" i="77"/>
  <c r="I798" i="77"/>
  <c r="H798" i="77"/>
  <c r="G798" i="77"/>
  <c r="I797" i="77"/>
  <c r="H797" i="77"/>
  <c r="G797" i="77"/>
  <c r="I796" i="77"/>
  <c r="H796" i="77"/>
  <c r="G796" i="77"/>
  <c r="I795" i="77"/>
  <c r="H795" i="77"/>
  <c r="G795" i="77"/>
  <c r="I794" i="77"/>
  <c r="H794" i="77"/>
  <c r="G794" i="77"/>
  <c r="I793" i="77"/>
  <c r="H793" i="77"/>
  <c r="G793" i="77"/>
  <c r="I792" i="77"/>
  <c r="H792" i="77"/>
  <c r="G792" i="77"/>
  <c r="I791" i="77"/>
  <c r="H791" i="77"/>
  <c r="G791" i="77"/>
  <c r="I790" i="77"/>
  <c r="H790" i="77"/>
  <c r="G790" i="77"/>
  <c r="I789" i="77"/>
  <c r="H789" i="77"/>
  <c r="G789" i="77"/>
  <c r="I788" i="77"/>
  <c r="H788" i="77"/>
  <c r="G788" i="77"/>
  <c r="I787" i="77"/>
  <c r="H787" i="77"/>
  <c r="G787" i="77"/>
  <c r="I786" i="77"/>
  <c r="H786" i="77"/>
  <c r="G786" i="77"/>
  <c r="I785" i="77"/>
  <c r="H785" i="77"/>
  <c r="G785" i="77"/>
  <c r="I784" i="77"/>
  <c r="H784" i="77"/>
  <c r="G784" i="77"/>
  <c r="I783" i="77"/>
  <c r="H783" i="77"/>
  <c r="G783" i="77"/>
  <c r="I782" i="77"/>
  <c r="H782" i="77"/>
  <c r="G782" i="77"/>
  <c r="I781" i="77"/>
  <c r="H781" i="77"/>
  <c r="G781" i="77"/>
  <c r="I780" i="77"/>
  <c r="H780" i="77"/>
  <c r="G780" i="77"/>
  <c r="I779" i="77"/>
  <c r="H779" i="77"/>
  <c r="G779" i="77"/>
  <c r="I778" i="77"/>
  <c r="H778" i="77"/>
  <c r="G778" i="77"/>
  <c r="I777" i="77"/>
  <c r="H777" i="77"/>
  <c r="G777" i="77"/>
  <c r="I776" i="77"/>
  <c r="H776" i="77"/>
  <c r="G776" i="77"/>
  <c r="I775" i="77"/>
  <c r="H775" i="77"/>
  <c r="G775" i="77"/>
  <c r="I774" i="77"/>
  <c r="H774" i="77"/>
  <c r="G774" i="77"/>
  <c r="I773" i="77"/>
  <c r="H773" i="77"/>
  <c r="G773" i="77"/>
  <c r="I772" i="77"/>
  <c r="H772" i="77"/>
  <c r="G772" i="77"/>
  <c r="I771" i="77"/>
  <c r="H771" i="77"/>
  <c r="G771" i="77"/>
  <c r="I770" i="77"/>
  <c r="H770" i="77"/>
  <c r="G770" i="77"/>
  <c r="I769" i="77"/>
  <c r="H769" i="77"/>
  <c r="G769" i="77"/>
  <c r="I768" i="77"/>
  <c r="H768" i="77"/>
  <c r="G768" i="77"/>
  <c r="I767" i="77"/>
  <c r="H767" i="77"/>
  <c r="G767" i="77"/>
  <c r="I766" i="77"/>
  <c r="H766" i="77"/>
  <c r="G766" i="77"/>
  <c r="I765" i="77"/>
  <c r="H765" i="77"/>
  <c r="G765" i="77"/>
  <c r="I764" i="77"/>
  <c r="H764" i="77"/>
  <c r="G764" i="77"/>
  <c r="I763" i="77"/>
  <c r="H763" i="77"/>
  <c r="G763" i="77"/>
  <c r="I762" i="77"/>
  <c r="H762" i="77"/>
  <c r="G762" i="77"/>
  <c r="I761" i="77"/>
  <c r="H761" i="77"/>
  <c r="G761" i="77"/>
  <c r="I760" i="77"/>
  <c r="H760" i="77"/>
  <c r="G760" i="77"/>
  <c r="I759" i="77"/>
  <c r="H759" i="77"/>
  <c r="G759" i="77"/>
  <c r="I758" i="77"/>
  <c r="H758" i="77"/>
  <c r="G758" i="77"/>
  <c r="I757" i="77"/>
  <c r="H757" i="77"/>
  <c r="G757" i="77"/>
  <c r="I756" i="77"/>
  <c r="H756" i="77"/>
  <c r="G756" i="77"/>
  <c r="I755" i="77"/>
  <c r="H755" i="77"/>
  <c r="G755" i="77"/>
  <c r="I754" i="77"/>
  <c r="H754" i="77"/>
  <c r="G754" i="77"/>
  <c r="I753" i="77"/>
  <c r="H753" i="77"/>
  <c r="G753" i="77"/>
  <c r="I752" i="77"/>
  <c r="H752" i="77"/>
  <c r="G752" i="77"/>
  <c r="I751" i="77"/>
  <c r="H751" i="77"/>
  <c r="G751" i="77"/>
  <c r="I750" i="77"/>
  <c r="H750" i="77"/>
  <c r="G750" i="77"/>
  <c r="I749" i="77"/>
  <c r="H749" i="77"/>
  <c r="G749" i="77"/>
  <c r="I748" i="77"/>
  <c r="H748" i="77"/>
  <c r="G748" i="77"/>
  <c r="I747" i="77"/>
  <c r="H747" i="77"/>
  <c r="G747" i="77"/>
  <c r="I746" i="77"/>
  <c r="H746" i="77"/>
  <c r="G746" i="77"/>
  <c r="I745" i="77"/>
  <c r="H745" i="77"/>
  <c r="G745" i="77"/>
  <c r="I744" i="77"/>
  <c r="H744" i="77"/>
  <c r="G744" i="77"/>
  <c r="I743" i="77"/>
  <c r="H743" i="77"/>
  <c r="G743" i="77"/>
  <c r="I742" i="77"/>
  <c r="H742" i="77"/>
  <c r="G742" i="77"/>
  <c r="I741" i="77"/>
  <c r="H741" i="77"/>
  <c r="G741" i="77"/>
  <c r="I740" i="77"/>
  <c r="H740" i="77"/>
  <c r="G740" i="77"/>
  <c r="I739" i="77"/>
  <c r="H739" i="77"/>
  <c r="G739" i="77"/>
  <c r="I738" i="77"/>
  <c r="H738" i="77"/>
  <c r="G738" i="77"/>
  <c r="I737" i="77"/>
  <c r="H737" i="77"/>
  <c r="G737" i="77"/>
  <c r="I736" i="77"/>
  <c r="H736" i="77"/>
  <c r="G736" i="77"/>
  <c r="I735" i="77"/>
  <c r="H735" i="77"/>
  <c r="G735" i="77"/>
  <c r="I734" i="77"/>
  <c r="H734" i="77"/>
  <c r="G734" i="77"/>
  <c r="I733" i="77"/>
  <c r="H733" i="77"/>
  <c r="G733" i="77"/>
  <c r="I732" i="77"/>
  <c r="H732" i="77"/>
  <c r="G732" i="77"/>
  <c r="I731" i="77"/>
  <c r="H731" i="77"/>
  <c r="G731" i="77"/>
  <c r="I730" i="77"/>
  <c r="H730" i="77"/>
  <c r="G730" i="77"/>
  <c r="I729" i="77"/>
  <c r="H729" i="77"/>
  <c r="G729" i="77"/>
  <c r="I728" i="77"/>
  <c r="H728" i="77"/>
  <c r="G728" i="77"/>
  <c r="I727" i="77"/>
  <c r="H727" i="77"/>
  <c r="G727" i="77"/>
  <c r="I726" i="77"/>
  <c r="H726" i="77"/>
  <c r="G726" i="77"/>
  <c r="I725" i="77"/>
  <c r="H725" i="77"/>
  <c r="G725" i="77"/>
  <c r="I724" i="77"/>
  <c r="H724" i="77"/>
  <c r="G724" i="77"/>
  <c r="I723" i="77"/>
  <c r="H723" i="77"/>
  <c r="G723" i="77"/>
  <c r="I722" i="77"/>
  <c r="H722" i="77"/>
  <c r="G722" i="77"/>
  <c r="I721" i="77"/>
  <c r="H721" i="77"/>
  <c r="G721" i="77"/>
  <c r="I720" i="77"/>
  <c r="H720" i="77"/>
  <c r="G720" i="77"/>
  <c r="I719" i="77"/>
  <c r="H719" i="77"/>
  <c r="G719" i="77"/>
  <c r="I718" i="77"/>
  <c r="H718" i="77"/>
  <c r="G718" i="77"/>
  <c r="I717" i="77"/>
  <c r="H717" i="77"/>
  <c r="G717" i="77"/>
  <c r="I716" i="77"/>
  <c r="H716" i="77"/>
  <c r="G716" i="77"/>
  <c r="I715" i="77"/>
  <c r="H715" i="77"/>
  <c r="G715" i="77"/>
  <c r="I714" i="77"/>
  <c r="H714" i="77"/>
  <c r="G714" i="77"/>
  <c r="I713" i="77"/>
  <c r="H713" i="77"/>
  <c r="G713" i="77"/>
  <c r="I712" i="77"/>
  <c r="H712" i="77"/>
  <c r="G712" i="77"/>
  <c r="I711" i="77"/>
  <c r="H711" i="77"/>
  <c r="G711" i="77"/>
  <c r="I710" i="77"/>
  <c r="H710" i="77"/>
  <c r="G710" i="77"/>
  <c r="I709" i="77"/>
  <c r="H709" i="77"/>
  <c r="G709" i="77"/>
  <c r="I708" i="77"/>
  <c r="H708" i="77"/>
  <c r="G708" i="77"/>
  <c r="I707" i="77"/>
  <c r="H707" i="77"/>
  <c r="G707" i="77"/>
  <c r="I706" i="77"/>
  <c r="H706" i="77"/>
  <c r="G706" i="77"/>
  <c r="I705" i="77"/>
  <c r="H705" i="77"/>
  <c r="G705" i="77"/>
  <c r="I704" i="77"/>
  <c r="H704" i="77"/>
  <c r="G704" i="77"/>
  <c r="I703" i="77"/>
  <c r="H703" i="77"/>
  <c r="G703" i="77"/>
  <c r="I702" i="77"/>
  <c r="H702" i="77"/>
  <c r="G702" i="77"/>
  <c r="I701" i="77"/>
  <c r="H701" i="77"/>
  <c r="G701" i="77"/>
  <c r="I700" i="77"/>
  <c r="H700" i="77"/>
  <c r="G700" i="77"/>
  <c r="I699" i="77"/>
  <c r="H699" i="77"/>
  <c r="G699" i="77"/>
  <c r="I698" i="77"/>
  <c r="H698" i="77"/>
  <c r="G698" i="77"/>
  <c r="I697" i="77"/>
  <c r="H697" i="77"/>
  <c r="G697" i="77"/>
  <c r="I696" i="77"/>
  <c r="H696" i="77"/>
  <c r="G696" i="77"/>
  <c r="I695" i="77"/>
  <c r="H695" i="77"/>
  <c r="G695" i="77"/>
  <c r="I694" i="77"/>
  <c r="H694" i="77"/>
  <c r="G694" i="77"/>
  <c r="I693" i="77"/>
  <c r="H693" i="77"/>
  <c r="G693" i="77"/>
  <c r="I692" i="77"/>
  <c r="H692" i="77"/>
  <c r="G692" i="77"/>
  <c r="I691" i="77"/>
  <c r="H691" i="77"/>
  <c r="G691" i="77"/>
  <c r="I690" i="77"/>
  <c r="H690" i="77"/>
  <c r="G690" i="77"/>
  <c r="I689" i="77"/>
  <c r="H689" i="77"/>
  <c r="G689" i="77"/>
  <c r="I688" i="77"/>
  <c r="H688" i="77"/>
  <c r="G688" i="77"/>
  <c r="I687" i="77"/>
  <c r="H687" i="77"/>
  <c r="G687" i="77"/>
  <c r="I686" i="77"/>
  <c r="H686" i="77"/>
  <c r="G686" i="77"/>
  <c r="I685" i="77"/>
  <c r="H685" i="77"/>
  <c r="G685" i="77"/>
  <c r="I684" i="77"/>
  <c r="H684" i="77"/>
  <c r="G684" i="77"/>
  <c r="I683" i="77"/>
  <c r="H683" i="77"/>
  <c r="G683" i="77"/>
  <c r="I682" i="77"/>
  <c r="H682" i="77"/>
  <c r="G682" i="77"/>
  <c r="I681" i="77"/>
  <c r="H681" i="77"/>
  <c r="G681" i="77"/>
  <c r="I680" i="77"/>
  <c r="H680" i="77"/>
  <c r="G680" i="77"/>
  <c r="I679" i="77"/>
  <c r="H679" i="77"/>
  <c r="G679" i="77"/>
  <c r="I678" i="77"/>
  <c r="H678" i="77"/>
  <c r="G678" i="77"/>
  <c r="I677" i="77"/>
  <c r="H677" i="77"/>
  <c r="G677" i="77"/>
  <c r="I676" i="77"/>
  <c r="H676" i="77"/>
  <c r="G676" i="77"/>
  <c r="I675" i="77"/>
  <c r="H675" i="77"/>
  <c r="G675" i="77"/>
  <c r="I674" i="77"/>
  <c r="H674" i="77"/>
  <c r="G674" i="77"/>
  <c r="I673" i="77"/>
  <c r="H673" i="77"/>
  <c r="G673" i="77"/>
  <c r="I672" i="77"/>
  <c r="H672" i="77"/>
  <c r="G672" i="77"/>
  <c r="I671" i="77"/>
  <c r="H671" i="77"/>
  <c r="G671" i="77"/>
  <c r="I670" i="77"/>
  <c r="H670" i="77"/>
  <c r="G670" i="77"/>
  <c r="I669" i="77"/>
  <c r="H669" i="77"/>
  <c r="G669" i="77"/>
  <c r="I668" i="77"/>
  <c r="H668" i="77"/>
  <c r="G668" i="77"/>
  <c r="I667" i="77"/>
  <c r="H667" i="77"/>
  <c r="G667" i="77"/>
  <c r="I666" i="77"/>
  <c r="H666" i="77"/>
  <c r="G666" i="77"/>
  <c r="I665" i="77"/>
  <c r="H665" i="77"/>
  <c r="G665" i="77"/>
  <c r="I664" i="77"/>
  <c r="H664" i="77"/>
  <c r="G664" i="77"/>
  <c r="I663" i="77"/>
  <c r="H663" i="77"/>
  <c r="G663" i="77"/>
  <c r="I662" i="77"/>
  <c r="H662" i="77"/>
  <c r="G662" i="77"/>
  <c r="I661" i="77"/>
  <c r="H661" i="77"/>
  <c r="G661" i="77"/>
  <c r="I660" i="77"/>
  <c r="H660" i="77"/>
  <c r="G660" i="77"/>
  <c r="I659" i="77"/>
  <c r="H659" i="77"/>
  <c r="G659" i="77"/>
  <c r="I658" i="77"/>
  <c r="H658" i="77"/>
  <c r="G658" i="77"/>
  <c r="I657" i="77"/>
  <c r="H657" i="77"/>
  <c r="G657" i="77"/>
  <c r="I656" i="77"/>
  <c r="H656" i="77"/>
  <c r="G656" i="77"/>
  <c r="I655" i="77"/>
  <c r="H655" i="77"/>
  <c r="G655" i="77"/>
  <c r="I654" i="77"/>
  <c r="H654" i="77"/>
  <c r="G654" i="77"/>
  <c r="I653" i="77"/>
  <c r="H653" i="77"/>
  <c r="G653" i="77"/>
  <c r="I652" i="77"/>
  <c r="H652" i="77"/>
  <c r="G652" i="77"/>
  <c r="I651" i="77"/>
  <c r="H651" i="77"/>
  <c r="G651" i="77"/>
  <c r="I650" i="77"/>
  <c r="H650" i="77"/>
  <c r="G650" i="77"/>
  <c r="I649" i="77"/>
  <c r="H649" i="77"/>
  <c r="G649" i="77"/>
  <c r="I648" i="77"/>
  <c r="H648" i="77"/>
  <c r="G648" i="77"/>
  <c r="I647" i="77"/>
  <c r="H647" i="77"/>
  <c r="G647" i="77"/>
  <c r="I646" i="77"/>
  <c r="H646" i="77"/>
  <c r="G646" i="77"/>
  <c r="I645" i="77"/>
  <c r="H645" i="77"/>
  <c r="G645" i="77"/>
  <c r="I644" i="77"/>
  <c r="H644" i="77"/>
  <c r="G644" i="77"/>
  <c r="I643" i="77"/>
  <c r="H643" i="77"/>
  <c r="G643" i="77"/>
  <c r="I642" i="77"/>
  <c r="H642" i="77"/>
  <c r="G642" i="77"/>
  <c r="I641" i="77"/>
  <c r="H641" i="77"/>
  <c r="G641" i="77"/>
  <c r="I640" i="77"/>
  <c r="H640" i="77"/>
  <c r="G640" i="77"/>
  <c r="I639" i="77"/>
  <c r="H639" i="77"/>
  <c r="G639" i="77"/>
  <c r="I638" i="77"/>
  <c r="H638" i="77"/>
  <c r="G638" i="77"/>
  <c r="I637" i="77"/>
  <c r="H637" i="77"/>
  <c r="G637" i="77"/>
  <c r="I636" i="77"/>
  <c r="H636" i="77"/>
  <c r="G636" i="77"/>
  <c r="I635" i="77"/>
  <c r="H635" i="77"/>
  <c r="G635" i="77"/>
  <c r="I634" i="77"/>
  <c r="H634" i="77"/>
  <c r="G634" i="77"/>
  <c r="I633" i="77"/>
  <c r="H633" i="77"/>
  <c r="G633" i="77"/>
  <c r="I632" i="77"/>
  <c r="H632" i="77"/>
  <c r="G632" i="77"/>
  <c r="I631" i="77"/>
  <c r="H631" i="77"/>
  <c r="G631" i="77"/>
  <c r="I630" i="77"/>
  <c r="H630" i="77"/>
  <c r="G630" i="77"/>
  <c r="I629" i="77"/>
  <c r="H629" i="77"/>
  <c r="G629" i="77"/>
  <c r="I628" i="77"/>
  <c r="H628" i="77"/>
  <c r="G628" i="77"/>
  <c r="I627" i="77"/>
  <c r="H627" i="77"/>
  <c r="G627" i="77"/>
  <c r="I626" i="77"/>
  <c r="H626" i="77"/>
  <c r="G626" i="77"/>
  <c r="I625" i="77"/>
  <c r="H625" i="77"/>
  <c r="G625" i="77"/>
  <c r="I624" i="77"/>
  <c r="H624" i="77"/>
  <c r="G624" i="77"/>
  <c r="I623" i="77"/>
  <c r="H623" i="77"/>
  <c r="G623" i="77"/>
  <c r="I622" i="77"/>
  <c r="H622" i="77"/>
  <c r="G622" i="77"/>
  <c r="I621" i="77"/>
  <c r="H621" i="77"/>
  <c r="G621" i="77"/>
  <c r="I620" i="77"/>
  <c r="H620" i="77"/>
  <c r="G620" i="77"/>
  <c r="I619" i="77"/>
  <c r="H619" i="77"/>
  <c r="G619" i="77"/>
  <c r="I618" i="77"/>
  <c r="H618" i="77"/>
  <c r="G618" i="77"/>
  <c r="I617" i="77"/>
  <c r="H617" i="77"/>
  <c r="G617" i="77"/>
  <c r="I616" i="77"/>
  <c r="H616" i="77"/>
  <c r="G616" i="77"/>
  <c r="I615" i="77"/>
  <c r="H615" i="77"/>
  <c r="G615" i="77"/>
  <c r="I614" i="77"/>
  <c r="H614" i="77"/>
  <c r="G614" i="77"/>
  <c r="I613" i="77"/>
  <c r="H613" i="77"/>
  <c r="G613" i="77"/>
  <c r="I612" i="77"/>
  <c r="H612" i="77"/>
  <c r="G612" i="77"/>
  <c r="I611" i="77"/>
  <c r="H611" i="77"/>
  <c r="G611" i="77"/>
  <c r="I610" i="77"/>
  <c r="H610" i="77"/>
  <c r="G610" i="77"/>
  <c r="I609" i="77"/>
  <c r="H609" i="77"/>
  <c r="G609" i="77"/>
  <c r="I608" i="77"/>
  <c r="H608" i="77"/>
  <c r="G608" i="77"/>
  <c r="I607" i="77"/>
  <c r="H607" i="77"/>
  <c r="G607" i="77"/>
  <c r="I606" i="77"/>
  <c r="H606" i="77"/>
  <c r="G606" i="77"/>
  <c r="I605" i="77"/>
  <c r="H605" i="77"/>
  <c r="G605" i="77"/>
  <c r="I604" i="77"/>
  <c r="H604" i="77"/>
  <c r="G604" i="77"/>
  <c r="I603" i="77"/>
  <c r="H603" i="77"/>
  <c r="G603" i="77"/>
  <c r="I602" i="77"/>
  <c r="H602" i="77"/>
  <c r="G602" i="77"/>
  <c r="I601" i="77"/>
  <c r="H601" i="77"/>
  <c r="G601" i="77"/>
  <c r="I600" i="77"/>
  <c r="H600" i="77"/>
  <c r="G600" i="77"/>
  <c r="I599" i="77"/>
  <c r="H599" i="77"/>
  <c r="G599" i="77"/>
  <c r="I598" i="77"/>
  <c r="H598" i="77"/>
  <c r="G598" i="77"/>
  <c r="I597" i="77"/>
  <c r="H597" i="77"/>
  <c r="G597" i="77"/>
  <c r="I596" i="77"/>
  <c r="H596" i="77"/>
  <c r="G596" i="77"/>
  <c r="I595" i="77"/>
  <c r="H595" i="77"/>
  <c r="G595" i="77"/>
  <c r="I594" i="77"/>
  <c r="H594" i="77"/>
  <c r="G594" i="77"/>
  <c r="I593" i="77"/>
  <c r="H593" i="77"/>
  <c r="G593" i="77"/>
  <c r="I592" i="77"/>
  <c r="H592" i="77"/>
  <c r="G592" i="77"/>
  <c r="I591" i="77"/>
  <c r="H591" i="77"/>
  <c r="G591" i="77"/>
  <c r="I590" i="77"/>
  <c r="H590" i="77"/>
  <c r="G590" i="77"/>
  <c r="I589" i="77"/>
  <c r="H589" i="77"/>
  <c r="G589" i="77"/>
  <c r="I588" i="77"/>
  <c r="H588" i="77"/>
  <c r="G588" i="77"/>
  <c r="I587" i="77"/>
  <c r="H587" i="77"/>
  <c r="G587" i="77"/>
  <c r="I586" i="77"/>
  <c r="H586" i="77"/>
  <c r="G586" i="77"/>
  <c r="I585" i="77"/>
  <c r="H585" i="77"/>
  <c r="G585" i="77"/>
  <c r="I584" i="77"/>
  <c r="H584" i="77"/>
  <c r="G584" i="77"/>
  <c r="I583" i="77"/>
  <c r="H583" i="77"/>
  <c r="G583" i="77"/>
  <c r="I582" i="77"/>
  <c r="H582" i="77"/>
  <c r="G582" i="77"/>
  <c r="I581" i="77"/>
  <c r="H581" i="77"/>
  <c r="G581" i="77"/>
  <c r="I580" i="77"/>
  <c r="H580" i="77"/>
  <c r="G580" i="77"/>
  <c r="I579" i="77"/>
  <c r="H579" i="77"/>
  <c r="G579" i="77"/>
  <c r="I578" i="77"/>
  <c r="H578" i="77"/>
  <c r="G578" i="77"/>
  <c r="I577" i="77"/>
  <c r="H577" i="77"/>
  <c r="G577" i="77"/>
  <c r="I576" i="77"/>
  <c r="H576" i="77"/>
  <c r="G576" i="77"/>
  <c r="I575" i="77"/>
  <c r="H575" i="77"/>
  <c r="G575" i="77"/>
  <c r="I574" i="77"/>
  <c r="H574" i="77"/>
  <c r="G574" i="77"/>
  <c r="I573" i="77"/>
  <c r="H573" i="77"/>
  <c r="G573" i="77"/>
  <c r="I572" i="77"/>
  <c r="H572" i="77"/>
  <c r="G572" i="77"/>
  <c r="I571" i="77"/>
  <c r="H571" i="77"/>
  <c r="G571" i="77"/>
  <c r="I570" i="77"/>
  <c r="H570" i="77"/>
  <c r="G570" i="77"/>
  <c r="I569" i="77"/>
  <c r="H569" i="77"/>
  <c r="G569" i="77"/>
  <c r="I568" i="77"/>
  <c r="H568" i="77"/>
  <c r="G568" i="77"/>
  <c r="I567" i="77"/>
  <c r="H567" i="77"/>
  <c r="G567" i="77"/>
  <c r="I566" i="77"/>
  <c r="H566" i="77"/>
  <c r="G566" i="77"/>
  <c r="I565" i="77"/>
  <c r="H565" i="77"/>
  <c r="G565" i="77"/>
  <c r="I564" i="77"/>
  <c r="H564" i="77"/>
  <c r="G564" i="77"/>
  <c r="I563" i="77"/>
  <c r="H563" i="77"/>
  <c r="G563" i="77"/>
  <c r="I562" i="77"/>
  <c r="H562" i="77"/>
  <c r="G562" i="77"/>
  <c r="I561" i="77"/>
  <c r="H561" i="77"/>
  <c r="G561" i="77"/>
  <c r="I560" i="77"/>
  <c r="H560" i="77"/>
  <c r="G560" i="77"/>
  <c r="I559" i="77"/>
  <c r="H559" i="77"/>
  <c r="G559" i="77"/>
  <c r="I558" i="77"/>
  <c r="H558" i="77"/>
  <c r="G558" i="77"/>
  <c r="I557" i="77"/>
  <c r="H557" i="77"/>
  <c r="G557" i="77"/>
  <c r="I556" i="77"/>
  <c r="H556" i="77"/>
  <c r="G556" i="77"/>
  <c r="I555" i="77"/>
  <c r="H555" i="77"/>
  <c r="G555" i="77"/>
  <c r="I554" i="77"/>
  <c r="H554" i="77"/>
  <c r="G554" i="77"/>
  <c r="I553" i="77"/>
  <c r="H553" i="77"/>
  <c r="G553" i="77"/>
  <c r="I552" i="77"/>
  <c r="H552" i="77"/>
  <c r="G552" i="77"/>
  <c r="I551" i="77"/>
  <c r="H551" i="77"/>
  <c r="G551" i="77"/>
  <c r="I550" i="77"/>
  <c r="H550" i="77"/>
  <c r="G550" i="77"/>
  <c r="I549" i="77"/>
  <c r="H549" i="77"/>
  <c r="G549" i="77"/>
  <c r="I548" i="77"/>
  <c r="H548" i="77"/>
  <c r="G548" i="77"/>
  <c r="I547" i="77"/>
  <c r="H547" i="77"/>
  <c r="G547" i="77"/>
  <c r="I546" i="77"/>
  <c r="H546" i="77"/>
  <c r="G546" i="77"/>
  <c r="I545" i="77"/>
  <c r="H545" i="77"/>
  <c r="G545" i="77"/>
  <c r="I544" i="77"/>
  <c r="H544" i="77"/>
  <c r="G544" i="77"/>
  <c r="I543" i="77"/>
  <c r="H543" i="77"/>
  <c r="G543" i="77"/>
  <c r="I542" i="77"/>
  <c r="H542" i="77"/>
  <c r="G542" i="77"/>
  <c r="I541" i="77"/>
  <c r="H541" i="77"/>
  <c r="G541" i="77"/>
  <c r="I540" i="77"/>
  <c r="H540" i="77"/>
  <c r="G540" i="77"/>
  <c r="I539" i="77"/>
  <c r="H539" i="77"/>
  <c r="G539" i="77"/>
  <c r="I538" i="77"/>
  <c r="H538" i="77"/>
  <c r="G538" i="77"/>
  <c r="I537" i="77"/>
  <c r="H537" i="77"/>
  <c r="G537" i="77"/>
  <c r="I536" i="77"/>
  <c r="H536" i="77"/>
  <c r="G536" i="77"/>
  <c r="I535" i="77"/>
  <c r="H535" i="77"/>
  <c r="G535" i="77"/>
  <c r="I534" i="77"/>
  <c r="H534" i="77"/>
  <c r="G534" i="77"/>
  <c r="I533" i="77"/>
  <c r="H533" i="77"/>
  <c r="G533" i="77"/>
  <c r="I532" i="77"/>
  <c r="H532" i="77"/>
  <c r="G532" i="77"/>
  <c r="I531" i="77"/>
  <c r="H531" i="77"/>
  <c r="G531" i="77"/>
  <c r="I530" i="77"/>
  <c r="H530" i="77"/>
  <c r="G530" i="77"/>
  <c r="I529" i="77"/>
  <c r="H529" i="77"/>
  <c r="G529" i="77"/>
  <c r="I528" i="77"/>
  <c r="H528" i="77"/>
  <c r="G528" i="77"/>
  <c r="I527" i="77"/>
  <c r="H527" i="77"/>
  <c r="G527" i="77"/>
  <c r="I526" i="77"/>
  <c r="H526" i="77"/>
  <c r="G526" i="77"/>
  <c r="I525" i="77"/>
  <c r="H525" i="77"/>
  <c r="G525" i="77"/>
  <c r="I524" i="77"/>
  <c r="H524" i="77"/>
  <c r="G524" i="77"/>
  <c r="I523" i="77"/>
  <c r="H523" i="77"/>
  <c r="G523" i="77"/>
  <c r="I522" i="77"/>
  <c r="H522" i="77"/>
  <c r="G522" i="77"/>
  <c r="I521" i="77"/>
  <c r="H521" i="77"/>
  <c r="G521" i="77"/>
  <c r="I520" i="77"/>
  <c r="H520" i="77"/>
  <c r="G520" i="77"/>
  <c r="I519" i="77"/>
  <c r="H519" i="77"/>
  <c r="G519" i="77"/>
  <c r="I518" i="77"/>
  <c r="H518" i="77"/>
  <c r="G518" i="77"/>
  <c r="I517" i="77"/>
  <c r="H517" i="77"/>
  <c r="G517" i="77"/>
  <c r="I516" i="77"/>
  <c r="H516" i="77"/>
  <c r="G516" i="77"/>
  <c r="I515" i="77"/>
  <c r="H515" i="77"/>
  <c r="G515" i="77"/>
  <c r="I514" i="77"/>
  <c r="H514" i="77"/>
  <c r="G514" i="77"/>
  <c r="I513" i="77"/>
  <c r="H513" i="77"/>
  <c r="G513" i="77"/>
  <c r="I512" i="77"/>
  <c r="H512" i="77"/>
  <c r="G512" i="77"/>
  <c r="I511" i="77"/>
  <c r="H511" i="77"/>
  <c r="G511" i="77"/>
  <c r="I510" i="77"/>
  <c r="H510" i="77"/>
  <c r="G510" i="77"/>
  <c r="I509" i="77"/>
  <c r="H509" i="77"/>
  <c r="G509" i="77"/>
  <c r="I508" i="77"/>
  <c r="H508" i="77"/>
  <c r="G508" i="77"/>
  <c r="I507" i="77"/>
  <c r="H507" i="77"/>
  <c r="G507" i="77"/>
  <c r="I506" i="77"/>
  <c r="H506" i="77"/>
  <c r="G506" i="77"/>
  <c r="I505" i="77"/>
  <c r="H505" i="77"/>
  <c r="G505" i="77"/>
  <c r="I504" i="77"/>
  <c r="H504" i="77"/>
  <c r="G504" i="77"/>
  <c r="I503" i="77"/>
  <c r="H503" i="77"/>
  <c r="G503" i="77"/>
  <c r="I502" i="77"/>
  <c r="H502" i="77"/>
  <c r="G502" i="77"/>
  <c r="I501" i="77"/>
  <c r="H501" i="77"/>
  <c r="G501" i="77"/>
  <c r="I500" i="77"/>
  <c r="H500" i="77"/>
  <c r="G500" i="77"/>
  <c r="I499" i="77"/>
  <c r="H499" i="77"/>
  <c r="G499" i="77"/>
  <c r="I498" i="77"/>
  <c r="H498" i="77"/>
  <c r="G498" i="77"/>
  <c r="I497" i="77"/>
  <c r="H497" i="77"/>
  <c r="G497" i="77"/>
  <c r="I496" i="77"/>
  <c r="H496" i="77"/>
  <c r="G496" i="77"/>
  <c r="I495" i="77"/>
  <c r="H495" i="77"/>
  <c r="G495" i="77"/>
  <c r="I494" i="77"/>
  <c r="H494" i="77"/>
  <c r="G494" i="77"/>
  <c r="I493" i="77"/>
  <c r="H493" i="77"/>
  <c r="G493" i="77"/>
  <c r="I492" i="77"/>
  <c r="H492" i="77"/>
  <c r="G492" i="77"/>
  <c r="I491" i="77"/>
  <c r="H491" i="77"/>
  <c r="G491" i="77"/>
  <c r="I490" i="77"/>
  <c r="H490" i="77"/>
  <c r="G490" i="77"/>
  <c r="I489" i="77"/>
  <c r="H489" i="77"/>
  <c r="G489" i="77"/>
  <c r="I488" i="77"/>
  <c r="H488" i="77"/>
  <c r="G488" i="77"/>
  <c r="I487" i="77"/>
  <c r="H487" i="77"/>
  <c r="G487" i="77"/>
  <c r="I486" i="77"/>
  <c r="H486" i="77"/>
  <c r="G486" i="77"/>
  <c r="I485" i="77"/>
  <c r="H485" i="77"/>
  <c r="G485" i="77"/>
  <c r="I484" i="77"/>
  <c r="H484" i="77"/>
  <c r="G484" i="77"/>
  <c r="I483" i="77"/>
  <c r="H483" i="77"/>
  <c r="G483" i="77"/>
  <c r="I482" i="77"/>
  <c r="H482" i="77"/>
  <c r="G482" i="77"/>
  <c r="I481" i="77"/>
  <c r="H481" i="77"/>
  <c r="G481" i="77"/>
  <c r="I480" i="77"/>
  <c r="H480" i="77"/>
  <c r="G480" i="77"/>
  <c r="I479" i="77"/>
  <c r="H479" i="77"/>
  <c r="G479" i="77"/>
  <c r="I478" i="77"/>
  <c r="H478" i="77"/>
  <c r="G478" i="77"/>
  <c r="I477" i="77"/>
  <c r="H477" i="77"/>
  <c r="G477" i="77"/>
  <c r="I476" i="77"/>
  <c r="H476" i="77"/>
  <c r="G476" i="77"/>
  <c r="I475" i="77"/>
  <c r="H475" i="77"/>
  <c r="G475" i="77"/>
  <c r="I474" i="77"/>
  <c r="H474" i="77"/>
  <c r="G474" i="77"/>
  <c r="I473" i="77"/>
  <c r="H473" i="77"/>
  <c r="G473" i="77"/>
  <c r="I472" i="77"/>
  <c r="H472" i="77"/>
  <c r="G472" i="77"/>
  <c r="I471" i="77"/>
  <c r="H471" i="77"/>
  <c r="G471" i="77"/>
  <c r="I470" i="77"/>
  <c r="H470" i="77"/>
  <c r="G470" i="77"/>
  <c r="I469" i="77"/>
  <c r="H469" i="77"/>
  <c r="G469" i="77"/>
  <c r="I468" i="77"/>
  <c r="H468" i="77"/>
  <c r="G468" i="77"/>
  <c r="I467" i="77"/>
  <c r="H467" i="77"/>
  <c r="G467" i="77"/>
  <c r="I466" i="77"/>
  <c r="H466" i="77"/>
  <c r="G466" i="77"/>
  <c r="I465" i="77"/>
  <c r="H465" i="77"/>
  <c r="G465" i="77"/>
  <c r="I464" i="77"/>
  <c r="H464" i="77"/>
  <c r="G464" i="77"/>
  <c r="I463" i="77"/>
  <c r="H463" i="77"/>
  <c r="G463" i="77"/>
  <c r="I462" i="77"/>
  <c r="H462" i="77"/>
  <c r="G462" i="77"/>
  <c r="I461" i="77"/>
  <c r="H461" i="77"/>
  <c r="G461" i="77"/>
  <c r="I460" i="77"/>
  <c r="H460" i="77"/>
  <c r="G460" i="77"/>
  <c r="I459" i="77"/>
  <c r="H459" i="77"/>
  <c r="G459" i="77"/>
  <c r="I458" i="77"/>
  <c r="H458" i="77"/>
  <c r="G458" i="77"/>
  <c r="I457" i="77"/>
  <c r="H457" i="77"/>
  <c r="G457" i="77"/>
  <c r="I456" i="77"/>
  <c r="H456" i="77"/>
  <c r="G456" i="77"/>
  <c r="I455" i="77"/>
  <c r="H455" i="77"/>
  <c r="G455" i="77"/>
  <c r="I454" i="77"/>
  <c r="H454" i="77"/>
  <c r="G454" i="77"/>
  <c r="I453" i="77"/>
  <c r="H453" i="77"/>
  <c r="G453" i="77"/>
  <c r="I452" i="77"/>
  <c r="H452" i="77"/>
  <c r="G452" i="77"/>
  <c r="I451" i="77"/>
  <c r="H451" i="77"/>
  <c r="G451" i="77"/>
  <c r="I450" i="77"/>
  <c r="H450" i="77"/>
  <c r="G450" i="77"/>
  <c r="I449" i="77"/>
  <c r="H449" i="77"/>
  <c r="G449" i="77"/>
  <c r="I448" i="77"/>
  <c r="H448" i="77"/>
  <c r="G448" i="77"/>
  <c r="I447" i="77"/>
  <c r="H447" i="77"/>
  <c r="G447" i="77"/>
  <c r="I446" i="77"/>
  <c r="H446" i="77"/>
  <c r="G446" i="77"/>
  <c r="I445" i="77"/>
  <c r="H445" i="77"/>
  <c r="G445" i="77"/>
  <c r="I444" i="77"/>
  <c r="H444" i="77"/>
  <c r="G444" i="77"/>
  <c r="I443" i="77"/>
  <c r="H443" i="77"/>
  <c r="G443" i="77"/>
  <c r="I442" i="77"/>
  <c r="H442" i="77"/>
  <c r="G442" i="77"/>
  <c r="I441" i="77"/>
  <c r="H441" i="77"/>
  <c r="G441" i="77"/>
  <c r="I440" i="77"/>
  <c r="H440" i="77"/>
  <c r="G440" i="77"/>
  <c r="I439" i="77"/>
  <c r="H439" i="77"/>
  <c r="G439" i="77"/>
  <c r="I438" i="77"/>
  <c r="H438" i="77"/>
  <c r="G438" i="77"/>
  <c r="I437" i="77"/>
  <c r="H437" i="77"/>
  <c r="G437" i="77"/>
  <c r="I436" i="77"/>
  <c r="H436" i="77"/>
  <c r="G436" i="77"/>
  <c r="I435" i="77"/>
  <c r="H435" i="77"/>
  <c r="G435" i="77"/>
  <c r="I434" i="77"/>
  <c r="H434" i="77"/>
  <c r="G434" i="77"/>
  <c r="I433" i="77"/>
  <c r="H433" i="77"/>
  <c r="G433" i="77"/>
  <c r="I432" i="77"/>
  <c r="H432" i="77"/>
  <c r="G432" i="77"/>
  <c r="I431" i="77"/>
  <c r="H431" i="77"/>
  <c r="G431" i="77"/>
  <c r="I430" i="77"/>
  <c r="H430" i="77"/>
  <c r="G430" i="77"/>
  <c r="I429" i="77"/>
  <c r="H429" i="77"/>
  <c r="G429" i="77"/>
  <c r="I428" i="77"/>
  <c r="H428" i="77"/>
  <c r="G428" i="77"/>
  <c r="I427" i="77"/>
  <c r="H427" i="77"/>
  <c r="G427" i="77"/>
  <c r="I426" i="77"/>
  <c r="H426" i="77"/>
  <c r="G426" i="77"/>
  <c r="I425" i="77"/>
  <c r="H425" i="77"/>
  <c r="G425" i="77"/>
  <c r="I424" i="77"/>
  <c r="H424" i="77"/>
  <c r="G424" i="77"/>
  <c r="I423" i="77"/>
  <c r="H423" i="77"/>
  <c r="G423" i="77"/>
  <c r="I422" i="77"/>
  <c r="H422" i="77"/>
  <c r="G422" i="77"/>
  <c r="I421" i="77"/>
  <c r="H421" i="77"/>
  <c r="G421" i="77"/>
  <c r="I420" i="77"/>
  <c r="H420" i="77"/>
  <c r="G420" i="77"/>
  <c r="I419" i="77"/>
  <c r="H419" i="77"/>
  <c r="G419" i="77"/>
  <c r="I418" i="77"/>
  <c r="H418" i="77"/>
  <c r="G418" i="77"/>
  <c r="I417" i="77"/>
  <c r="H417" i="77"/>
  <c r="G417" i="77"/>
  <c r="I416" i="77"/>
  <c r="H416" i="77"/>
  <c r="G416" i="77"/>
  <c r="I415" i="77"/>
  <c r="H415" i="77"/>
  <c r="G415" i="77"/>
  <c r="I414" i="77"/>
  <c r="H414" i="77"/>
  <c r="G414" i="77"/>
  <c r="I413" i="77"/>
  <c r="H413" i="77"/>
  <c r="G413" i="77"/>
  <c r="I412" i="77"/>
  <c r="H412" i="77"/>
  <c r="G412" i="77"/>
  <c r="I411" i="77"/>
  <c r="H411" i="77"/>
  <c r="G411" i="77"/>
  <c r="I410" i="77"/>
  <c r="H410" i="77"/>
  <c r="G410" i="77"/>
  <c r="I409" i="77"/>
  <c r="H409" i="77"/>
  <c r="G409" i="77"/>
  <c r="I408" i="77"/>
  <c r="H408" i="77"/>
  <c r="G408" i="77"/>
  <c r="I407" i="77"/>
  <c r="H407" i="77"/>
  <c r="G407" i="77"/>
  <c r="I406" i="77"/>
  <c r="H406" i="77"/>
  <c r="G406" i="77"/>
  <c r="I405" i="77"/>
  <c r="H405" i="77"/>
  <c r="G405" i="77"/>
  <c r="I404" i="77"/>
  <c r="H404" i="77"/>
  <c r="G404" i="77"/>
  <c r="I403" i="77"/>
  <c r="H403" i="77"/>
  <c r="G403" i="77"/>
  <c r="I402" i="77"/>
  <c r="H402" i="77"/>
  <c r="G402" i="77"/>
  <c r="I401" i="77"/>
  <c r="H401" i="77"/>
  <c r="G401" i="77"/>
  <c r="I400" i="77"/>
  <c r="H400" i="77"/>
  <c r="G400" i="77"/>
  <c r="I399" i="77"/>
  <c r="H399" i="77"/>
  <c r="G399" i="77"/>
  <c r="I398" i="77"/>
  <c r="H398" i="77"/>
  <c r="G398" i="77"/>
  <c r="I397" i="77"/>
  <c r="H397" i="77"/>
  <c r="G397" i="77"/>
  <c r="I396" i="77"/>
  <c r="H396" i="77"/>
  <c r="G396" i="77"/>
  <c r="I395" i="77"/>
  <c r="H395" i="77"/>
  <c r="G395" i="77"/>
  <c r="I394" i="77"/>
  <c r="H394" i="77"/>
  <c r="G394" i="77"/>
  <c r="I393" i="77"/>
  <c r="H393" i="77"/>
  <c r="G393" i="77"/>
  <c r="I392" i="77"/>
  <c r="H392" i="77"/>
  <c r="G392" i="77"/>
  <c r="I391" i="77"/>
  <c r="H391" i="77"/>
  <c r="G391" i="77"/>
  <c r="I390" i="77"/>
  <c r="H390" i="77"/>
  <c r="G390" i="77"/>
  <c r="I389" i="77"/>
  <c r="H389" i="77"/>
  <c r="G389" i="77"/>
  <c r="I388" i="77"/>
  <c r="H388" i="77"/>
  <c r="G388" i="77"/>
  <c r="I387" i="77"/>
  <c r="H387" i="77"/>
  <c r="G387" i="77"/>
  <c r="I386" i="77"/>
  <c r="H386" i="77"/>
  <c r="G386" i="77"/>
  <c r="I385" i="77"/>
  <c r="H385" i="77"/>
  <c r="G385" i="77"/>
  <c r="I384" i="77"/>
  <c r="H384" i="77"/>
  <c r="G384" i="77"/>
  <c r="I383" i="77"/>
  <c r="H383" i="77"/>
  <c r="G383" i="77"/>
  <c r="I382" i="77"/>
  <c r="H382" i="77"/>
  <c r="G382" i="77"/>
  <c r="I381" i="77"/>
  <c r="H381" i="77"/>
  <c r="G381" i="77"/>
  <c r="I380" i="77"/>
  <c r="H380" i="77"/>
  <c r="G380" i="77"/>
  <c r="I379" i="77"/>
  <c r="H379" i="77"/>
  <c r="G379" i="77"/>
  <c r="I378" i="77"/>
  <c r="H378" i="77"/>
  <c r="G378" i="77"/>
  <c r="I377" i="77"/>
  <c r="H377" i="77"/>
  <c r="G377" i="77"/>
  <c r="I376" i="77"/>
  <c r="H376" i="77"/>
  <c r="G376" i="77"/>
  <c r="I375" i="77"/>
  <c r="H375" i="77"/>
  <c r="G375" i="77"/>
  <c r="I374" i="77"/>
  <c r="H374" i="77"/>
  <c r="G374" i="77"/>
  <c r="I373" i="77"/>
  <c r="H373" i="77"/>
  <c r="G373" i="77"/>
  <c r="I372" i="77"/>
  <c r="H372" i="77"/>
  <c r="G372" i="77"/>
  <c r="I371" i="77"/>
  <c r="H371" i="77"/>
  <c r="G371" i="77"/>
  <c r="I370" i="77"/>
  <c r="H370" i="77"/>
  <c r="G370" i="77"/>
  <c r="I369" i="77"/>
  <c r="H369" i="77"/>
  <c r="G369" i="77"/>
  <c r="I368" i="77"/>
  <c r="H368" i="77"/>
  <c r="G368" i="77"/>
  <c r="I367" i="77"/>
  <c r="H367" i="77"/>
  <c r="G367" i="77"/>
  <c r="I366" i="77"/>
  <c r="H366" i="77"/>
  <c r="G366" i="77"/>
  <c r="I365" i="77"/>
  <c r="H365" i="77"/>
  <c r="G365" i="77"/>
  <c r="I364" i="77"/>
  <c r="H364" i="77"/>
  <c r="G364" i="77"/>
  <c r="I363" i="77"/>
  <c r="H363" i="77"/>
  <c r="G363" i="77"/>
  <c r="I362" i="77"/>
  <c r="H362" i="77"/>
  <c r="G362" i="77"/>
  <c r="I361" i="77"/>
  <c r="H361" i="77"/>
  <c r="G361" i="77"/>
  <c r="I360" i="77"/>
  <c r="H360" i="77"/>
  <c r="G360" i="77"/>
  <c r="I359" i="77"/>
  <c r="H359" i="77"/>
  <c r="G359" i="77"/>
  <c r="I358" i="77"/>
  <c r="H358" i="77"/>
  <c r="G358" i="77"/>
  <c r="I357" i="77"/>
  <c r="H357" i="77"/>
  <c r="G357" i="77"/>
  <c r="I356" i="77"/>
  <c r="H356" i="77"/>
  <c r="G356" i="77"/>
  <c r="I355" i="77"/>
  <c r="H355" i="77"/>
  <c r="G355" i="77"/>
  <c r="I354" i="77"/>
  <c r="H354" i="77"/>
  <c r="G354" i="77"/>
  <c r="I353" i="77"/>
  <c r="H353" i="77"/>
  <c r="G353" i="77"/>
  <c r="I352" i="77"/>
  <c r="H352" i="77"/>
  <c r="G352" i="77"/>
  <c r="I351" i="77"/>
  <c r="H351" i="77"/>
  <c r="G351" i="77"/>
  <c r="I350" i="77"/>
  <c r="H350" i="77"/>
  <c r="G350" i="77"/>
  <c r="I349" i="77"/>
  <c r="H349" i="77"/>
  <c r="G349" i="77"/>
  <c r="I348" i="77"/>
  <c r="H348" i="77"/>
  <c r="G348" i="77"/>
  <c r="I347" i="77"/>
  <c r="H347" i="77"/>
  <c r="G347" i="77"/>
  <c r="I346" i="77"/>
  <c r="H346" i="77"/>
  <c r="G346" i="77"/>
  <c r="I345" i="77"/>
  <c r="H345" i="77"/>
  <c r="G345" i="77"/>
  <c r="I344" i="77"/>
  <c r="H344" i="77"/>
  <c r="G344" i="77"/>
  <c r="I343" i="77"/>
  <c r="H343" i="77"/>
  <c r="G343" i="77"/>
  <c r="I342" i="77"/>
  <c r="H342" i="77"/>
  <c r="G342" i="77"/>
  <c r="I341" i="77"/>
  <c r="H341" i="77"/>
  <c r="G341" i="77"/>
  <c r="I340" i="77"/>
  <c r="H340" i="77"/>
  <c r="G340" i="77"/>
  <c r="I339" i="77"/>
  <c r="H339" i="77"/>
  <c r="G339" i="77"/>
  <c r="I338" i="77"/>
  <c r="H338" i="77"/>
  <c r="G338" i="77"/>
  <c r="I337" i="77"/>
  <c r="H337" i="77"/>
  <c r="G337" i="77"/>
  <c r="I336" i="77"/>
  <c r="H336" i="77"/>
  <c r="G336" i="77"/>
  <c r="I335" i="77"/>
  <c r="H335" i="77"/>
  <c r="G335" i="77"/>
  <c r="I334" i="77"/>
  <c r="H334" i="77"/>
  <c r="G334" i="77"/>
  <c r="I333" i="77"/>
  <c r="H333" i="77"/>
  <c r="G333" i="77"/>
  <c r="I332" i="77"/>
  <c r="H332" i="77"/>
  <c r="G332" i="77"/>
  <c r="I331" i="77"/>
  <c r="H331" i="77"/>
  <c r="G331" i="77"/>
  <c r="I330" i="77"/>
  <c r="H330" i="77"/>
  <c r="G330" i="77"/>
  <c r="I329" i="77"/>
  <c r="H329" i="77"/>
  <c r="G329" i="77"/>
  <c r="I328" i="77"/>
  <c r="H328" i="77"/>
  <c r="G328" i="77"/>
  <c r="I327" i="77"/>
  <c r="H327" i="77"/>
  <c r="G327" i="77"/>
  <c r="I326" i="77"/>
  <c r="H326" i="77"/>
  <c r="G326" i="77"/>
  <c r="I325" i="77"/>
  <c r="H325" i="77"/>
  <c r="G325" i="77"/>
  <c r="I324" i="77"/>
  <c r="H324" i="77"/>
  <c r="G324" i="77"/>
  <c r="I323" i="77"/>
  <c r="H323" i="77"/>
  <c r="G323" i="77"/>
  <c r="I322" i="77"/>
  <c r="H322" i="77"/>
  <c r="G322" i="77"/>
  <c r="I321" i="77"/>
  <c r="H321" i="77"/>
  <c r="G321" i="77"/>
  <c r="I320" i="77"/>
  <c r="H320" i="77"/>
  <c r="G320" i="77"/>
  <c r="I319" i="77"/>
  <c r="H319" i="77"/>
  <c r="G319" i="77"/>
  <c r="I318" i="77"/>
  <c r="H318" i="77"/>
  <c r="G318" i="77"/>
  <c r="I317" i="77"/>
  <c r="H317" i="77"/>
  <c r="G317" i="77"/>
  <c r="I316" i="77"/>
  <c r="H316" i="77"/>
  <c r="G316" i="77"/>
  <c r="I315" i="77"/>
  <c r="H315" i="77"/>
  <c r="G315" i="77"/>
  <c r="I314" i="77"/>
  <c r="H314" i="77"/>
  <c r="G314" i="77"/>
  <c r="I313" i="77"/>
  <c r="H313" i="77"/>
  <c r="G313" i="77"/>
  <c r="I312" i="77"/>
  <c r="H312" i="77"/>
  <c r="G312" i="77"/>
  <c r="I311" i="77"/>
  <c r="H311" i="77"/>
  <c r="G311" i="77"/>
  <c r="I310" i="77"/>
  <c r="H310" i="77"/>
  <c r="G310" i="77"/>
  <c r="I309" i="77"/>
  <c r="H309" i="77"/>
  <c r="G309" i="77"/>
  <c r="I308" i="77"/>
  <c r="H308" i="77"/>
  <c r="G308" i="77"/>
  <c r="I307" i="77"/>
  <c r="H307" i="77"/>
  <c r="G307" i="77"/>
  <c r="I306" i="77"/>
  <c r="H306" i="77"/>
  <c r="G306" i="77"/>
  <c r="I305" i="77"/>
  <c r="H305" i="77"/>
  <c r="G305" i="77"/>
  <c r="I304" i="77"/>
  <c r="H304" i="77"/>
  <c r="G304" i="77"/>
  <c r="I303" i="77"/>
  <c r="H303" i="77"/>
  <c r="G303" i="77"/>
  <c r="I302" i="77"/>
  <c r="H302" i="77"/>
  <c r="G302" i="77"/>
  <c r="I301" i="77"/>
  <c r="H301" i="77"/>
  <c r="G301" i="77"/>
  <c r="I300" i="77"/>
  <c r="H300" i="77"/>
  <c r="G300" i="77"/>
  <c r="I299" i="77"/>
  <c r="H299" i="77"/>
  <c r="G299" i="77"/>
  <c r="I298" i="77"/>
  <c r="H298" i="77"/>
  <c r="G298" i="77"/>
  <c r="I297" i="77"/>
  <c r="H297" i="77"/>
  <c r="G297" i="77"/>
  <c r="I296" i="77"/>
  <c r="H296" i="77"/>
  <c r="G296" i="77"/>
  <c r="I295" i="77"/>
  <c r="H295" i="77"/>
  <c r="G295" i="77"/>
  <c r="I294" i="77"/>
  <c r="H294" i="77"/>
  <c r="G294" i="77"/>
  <c r="I293" i="77"/>
  <c r="H293" i="77"/>
  <c r="G293" i="77"/>
  <c r="I292" i="77"/>
  <c r="H292" i="77"/>
  <c r="G292" i="77"/>
  <c r="I291" i="77"/>
  <c r="H291" i="77"/>
  <c r="G291" i="77"/>
  <c r="I290" i="77"/>
  <c r="H290" i="77"/>
  <c r="G290" i="77"/>
  <c r="I289" i="77"/>
  <c r="H289" i="77"/>
  <c r="G289" i="77"/>
  <c r="I288" i="77"/>
  <c r="H288" i="77"/>
  <c r="G288" i="77"/>
  <c r="I287" i="77"/>
  <c r="H287" i="77"/>
  <c r="G287" i="77"/>
  <c r="I286" i="77"/>
  <c r="H286" i="77"/>
  <c r="G286" i="77"/>
  <c r="I285" i="77"/>
  <c r="H285" i="77"/>
  <c r="G285" i="77"/>
  <c r="I284" i="77"/>
  <c r="H284" i="77"/>
  <c r="G284" i="77"/>
  <c r="I283" i="77"/>
  <c r="H283" i="77"/>
  <c r="G283" i="77"/>
  <c r="I282" i="77"/>
  <c r="H282" i="77"/>
  <c r="G282" i="77"/>
  <c r="I281" i="77"/>
  <c r="H281" i="77"/>
  <c r="G281" i="77"/>
  <c r="I280" i="77"/>
  <c r="H280" i="77"/>
  <c r="G280" i="77"/>
  <c r="I279" i="77"/>
  <c r="H279" i="77"/>
  <c r="G279" i="77"/>
  <c r="I278" i="77"/>
  <c r="H278" i="77"/>
  <c r="G278" i="77"/>
  <c r="I277" i="77"/>
  <c r="H277" i="77"/>
  <c r="G277" i="77"/>
  <c r="I276" i="77"/>
  <c r="H276" i="77"/>
  <c r="G276" i="77"/>
  <c r="I275" i="77"/>
  <c r="H275" i="77"/>
  <c r="G275" i="77"/>
  <c r="I274" i="77"/>
  <c r="H274" i="77"/>
  <c r="G274" i="77"/>
  <c r="I273" i="77"/>
  <c r="H273" i="77"/>
  <c r="G273" i="77"/>
  <c r="I272" i="77"/>
  <c r="H272" i="77"/>
  <c r="G272" i="77"/>
  <c r="I271" i="77"/>
  <c r="H271" i="77"/>
  <c r="G271" i="77"/>
  <c r="I270" i="77"/>
  <c r="H270" i="77"/>
  <c r="G270" i="77"/>
  <c r="I269" i="77"/>
  <c r="H269" i="77"/>
  <c r="G269" i="77"/>
  <c r="I268" i="77"/>
  <c r="H268" i="77"/>
  <c r="G268" i="77"/>
  <c r="I267" i="77"/>
  <c r="H267" i="77"/>
  <c r="G267" i="77"/>
  <c r="I266" i="77"/>
  <c r="H266" i="77"/>
  <c r="G266" i="77"/>
  <c r="I265" i="77"/>
  <c r="H265" i="77"/>
  <c r="G265" i="77"/>
  <c r="I264" i="77"/>
  <c r="H264" i="77"/>
  <c r="G264" i="77"/>
  <c r="I263" i="77"/>
  <c r="H263" i="77"/>
  <c r="G263" i="77"/>
  <c r="I262" i="77"/>
  <c r="H262" i="77"/>
  <c r="G262" i="77"/>
  <c r="I261" i="77"/>
  <c r="H261" i="77"/>
  <c r="G261" i="77"/>
  <c r="I260" i="77"/>
  <c r="H260" i="77"/>
  <c r="G260" i="77"/>
  <c r="I259" i="77"/>
  <c r="H259" i="77"/>
  <c r="G259" i="77"/>
  <c r="I258" i="77"/>
  <c r="H258" i="77"/>
  <c r="G258" i="77"/>
  <c r="I257" i="77"/>
  <c r="H257" i="77"/>
  <c r="G257" i="77"/>
  <c r="I256" i="77"/>
  <c r="H256" i="77"/>
  <c r="G256" i="77"/>
  <c r="I255" i="77"/>
  <c r="H255" i="77"/>
  <c r="G255" i="77"/>
  <c r="I254" i="77"/>
  <c r="H254" i="77"/>
  <c r="G254" i="77"/>
  <c r="I253" i="77"/>
  <c r="H253" i="77"/>
  <c r="G253" i="77"/>
  <c r="I252" i="77"/>
  <c r="H252" i="77"/>
  <c r="G252" i="77"/>
  <c r="I251" i="77"/>
  <c r="H251" i="77"/>
  <c r="G251" i="77"/>
  <c r="I250" i="77"/>
  <c r="H250" i="77"/>
  <c r="G250" i="77"/>
  <c r="I249" i="77"/>
  <c r="H249" i="77"/>
  <c r="G249" i="77"/>
  <c r="I248" i="77"/>
  <c r="H248" i="77"/>
  <c r="G248" i="77"/>
  <c r="I247" i="77"/>
  <c r="H247" i="77"/>
  <c r="G247" i="77"/>
  <c r="I246" i="77"/>
  <c r="H246" i="77"/>
  <c r="G246" i="77"/>
  <c r="I245" i="77"/>
  <c r="H245" i="77"/>
  <c r="G245" i="77"/>
  <c r="I244" i="77"/>
  <c r="H244" i="77"/>
  <c r="G244" i="77"/>
  <c r="I243" i="77"/>
  <c r="H243" i="77"/>
  <c r="G243" i="77"/>
  <c r="I242" i="77"/>
  <c r="H242" i="77"/>
  <c r="G242" i="77"/>
  <c r="I241" i="77"/>
  <c r="H241" i="77"/>
  <c r="G241" i="77"/>
  <c r="I240" i="77"/>
  <c r="H240" i="77"/>
  <c r="G240" i="77"/>
  <c r="I239" i="77"/>
  <c r="H239" i="77"/>
  <c r="G239" i="77"/>
  <c r="I238" i="77"/>
  <c r="H238" i="77"/>
  <c r="G238" i="77"/>
  <c r="I237" i="77"/>
  <c r="H237" i="77"/>
  <c r="G237" i="77"/>
  <c r="I236" i="77"/>
  <c r="H236" i="77"/>
  <c r="G236" i="77"/>
  <c r="I235" i="77"/>
  <c r="H235" i="77"/>
  <c r="G235" i="77"/>
  <c r="I234" i="77"/>
  <c r="H234" i="77"/>
  <c r="G234" i="77"/>
  <c r="I233" i="77"/>
  <c r="H233" i="77"/>
  <c r="G233" i="77"/>
  <c r="I232" i="77"/>
  <c r="H232" i="77"/>
  <c r="G232" i="77"/>
  <c r="I231" i="77"/>
  <c r="H231" i="77"/>
  <c r="G231" i="77"/>
  <c r="I230" i="77"/>
  <c r="H230" i="77"/>
  <c r="G230" i="77"/>
  <c r="I229" i="77"/>
  <c r="H229" i="77"/>
  <c r="G229" i="77"/>
  <c r="I228" i="77"/>
  <c r="H228" i="77"/>
  <c r="G228" i="77"/>
  <c r="I227" i="77"/>
  <c r="H227" i="77"/>
  <c r="G227" i="77"/>
  <c r="I226" i="77"/>
  <c r="H226" i="77"/>
  <c r="G226" i="77"/>
  <c r="I225" i="77"/>
  <c r="H225" i="77"/>
  <c r="G225" i="77"/>
  <c r="I224" i="77"/>
  <c r="H224" i="77"/>
  <c r="G224" i="77"/>
  <c r="I223" i="77"/>
  <c r="H223" i="77"/>
  <c r="G223" i="77"/>
  <c r="I222" i="77"/>
  <c r="H222" i="77"/>
  <c r="G222" i="77"/>
  <c r="I221" i="77"/>
  <c r="H221" i="77"/>
  <c r="G221" i="77"/>
  <c r="I220" i="77"/>
  <c r="H220" i="77"/>
  <c r="G220" i="77"/>
  <c r="I219" i="77"/>
  <c r="H219" i="77"/>
  <c r="G219" i="77"/>
  <c r="I218" i="77"/>
  <c r="H218" i="77"/>
  <c r="G218" i="77"/>
  <c r="I217" i="77"/>
  <c r="H217" i="77"/>
  <c r="G217" i="77"/>
  <c r="I216" i="77"/>
  <c r="H216" i="77"/>
  <c r="G216" i="77"/>
  <c r="I215" i="77"/>
  <c r="H215" i="77"/>
  <c r="G215" i="77"/>
  <c r="I214" i="77"/>
  <c r="H214" i="77"/>
  <c r="G214" i="77"/>
  <c r="I213" i="77"/>
  <c r="H213" i="77"/>
  <c r="G213" i="77"/>
  <c r="I212" i="77"/>
  <c r="H212" i="77"/>
  <c r="G212" i="77"/>
  <c r="I211" i="77"/>
  <c r="H211" i="77"/>
  <c r="G211" i="77"/>
  <c r="I210" i="77"/>
  <c r="H210" i="77"/>
  <c r="G210" i="77"/>
  <c r="I209" i="77"/>
  <c r="H209" i="77"/>
  <c r="G209" i="77"/>
  <c r="I208" i="77"/>
  <c r="H208" i="77"/>
  <c r="G208" i="77"/>
  <c r="I207" i="77"/>
  <c r="H207" i="77"/>
  <c r="G207" i="77"/>
  <c r="I206" i="77"/>
  <c r="H206" i="77"/>
  <c r="G206" i="77"/>
  <c r="I205" i="77"/>
  <c r="H205" i="77"/>
  <c r="G205" i="77"/>
  <c r="I204" i="77"/>
  <c r="H204" i="77"/>
  <c r="G204" i="77"/>
  <c r="I203" i="77"/>
  <c r="H203" i="77"/>
  <c r="G203" i="77"/>
  <c r="I202" i="77"/>
  <c r="H202" i="77"/>
  <c r="G202" i="77"/>
  <c r="I201" i="77"/>
  <c r="H201" i="77"/>
  <c r="G201" i="77"/>
  <c r="I200" i="77"/>
  <c r="H200" i="77"/>
  <c r="G200" i="77"/>
  <c r="I199" i="77"/>
  <c r="H199" i="77"/>
  <c r="G199" i="77"/>
  <c r="I198" i="77"/>
  <c r="H198" i="77"/>
  <c r="G198" i="77"/>
  <c r="I197" i="77"/>
  <c r="H197" i="77"/>
  <c r="G197" i="77"/>
  <c r="I196" i="77"/>
  <c r="H196" i="77"/>
  <c r="G196" i="77"/>
  <c r="I195" i="77"/>
  <c r="H195" i="77"/>
  <c r="G195" i="77"/>
  <c r="I194" i="77"/>
  <c r="H194" i="77"/>
  <c r="G194" i="77"/>
  <c r="I193" i="77"/>
  <c r="H193" i="77"/>
  <c r="G193" i="77"/>
  <c r="I192" i="77"/>
  <c r="H192" i="77"/>
  <c r="G192" i="77"/>
  <c r="I191" i="77"/>
  <c r="H191" i="77"/>
  <c r="G191" i="77"/>
  <c r="I190" i="77"/>
  <c r="H190" i="77"/>
  <c r="G190" i="77"/>
  <c r="I189" i="77"/>
  <c r="H189" i="77"/>
  <c r="G189" i="77"/>
  <c r="I188" i="77"/>
  <c r="H188" i="77"/>
  <c r="G188" i="77"/>
  <c r="I187" i="77"/>
  <c r="H187" i="77"/>
  <c r="G187" i="77"/>
  <c r="I186" i="77"/>
  <c r="H186" i="77"/>
  <c r="G186" i="77"/>
  <c r="I185" i="77"/>
  <c r="H185" i="77"/>
  <c r="G185" i="77"/>
  <c r="I184" i="77"/>
  <c r="H184" i="77"/>
  <c r="G184" i="77"/>
  <c r="I183" i="77"/>
  <c r="H183" i="77"/>
  <c r="G183" i="77"/>
  <c r="I182" i="77"/>
  <c r="H182" i="77"/>
  <c r="G182" i="77"/>
  <c r="I181" i="77"/>
  <c r="H181" i="77"/>
  <c r="G181" i="77"/>
  <c r="I180" i="77"/>
  <c r="H180" i="77"/>
  <c r="G180" i="77"/>
  <c r="I179" i="77"/>
  <c r="H179" i="77"/>
  <c r="G179" i="77"/>
  <c r="I178" i="77"/>
  <c r="H178" i="77"/>
  <c r="G178" i="77"/>
  <c r="I177" i="77"/>
  <c r="H177" i="77"/>
  <c r="G177" i="77"/>
  <c r="I176" i="77"/>
  <c r="H176" i="77"/>
  <c r="G176" i="77"/>
  <c r="I175" i="77"/>
  <c r="H175" i="77"/>
  <c r="G175" i="77"/>
  <c r="I174" i="77"/>
  <c r="H174" i="77"/>
  <c r="G174" i="77"/>
  <c r="I173" i="77"/>
  <c r="H173" i="77"/>
  <c r="G173" i="77"/>
  <c r="I172" i="77"/>
  <c r="H172" i="77"/>
  <c r="G172" i="77"/>
  <c r="I171" i="77"/>
  <c r="H171" i="77"/>
  <c r="G171" i="77"/>
  <c r="I170" i="77"/>
  <c r="H170" i="77"/>
  <c r="G170" i="77"/>
  <c r="I169" i="77"/>
  <c r="H169" i="77"/>
  <c r="G169" i="77"/>
  <c r="I168" i="77"/>
  <c r="H168" i="77"/>
  <c r="G168" i="77"/>
  <c r="I167" i="77"/>
  <c r="H167" i="77"/>
  <c r="G167" i="77"/>
  <c r="I166" i="77"/>
  <c r="H166" i="77"/>
  <c r="G166" i="77"/>
  <c r="I165" i="77"/>
  <c r="H165" i="77"/>
  <c r="G165" i="77"/>
  <c r="I164" i="77"/>
  <c r="H164" i="77"/>
  <c r="G164" i="77"/>
  <c r="I163" i="77"/>
  <c r="H163" i="77"/>
  <c r="G163" i="77"/>
  <c r="I162" i="77"/>
  <c r="H162" i="77"/>
  <c r="G162" i="77"/>
  <c r="I161" i="77"/>
  <c r="H161" i="77"/>
  <c r="G161" i="77"/>
  <c r="I160" i="77"/>
  <c r="H160" i="77"/>
  <c r="G160" i="77"/>
  <c r="I159" i="77"/>
  <c r="H159" i="77"/>
  <c r="G159" i="77"/>
  <c r="I158" i="77"/>
  <c r="H158" i="77"/>
  <c r="G158" i="77"/>
  <c r="I157" i="77"/>
  <c r="H157" i="77"/>
  <c r="G157" i="77"/>
  <c r="I156" i="77"/>
  <c r="H156" i="77"/>
  <c r="G156" i="77"/>
  <c r="I155" i="77"/>
  <c r="H155" i="77"/>
  <c r="G155" i="77"/>
  <c r="I154" i="77"/>
  <c r="H154" i="77"/>
  <c r="G154" i="77"/>
  <c r="I153" i="77"/>
  <c r="H153" i="77"/>
  <c r="G153" i="77"/>
  <c r="I152" i="77"/>
  <c r="H152" i="77"/>
  <c r="G152" i="77"/>
  <c r="I151" i="77"/>
  <c r="H151" i="77"/>
  <c r="G151" i="77"/>
  <c r="I150" i="77"/>
  <c r="H150" i="77"/>
  <c r="G150" i="77"/>
  <c r="I149" i="77"/>
  <c r="H149" i="77"/>
  <c r="G149" i="77"/>
  <c r="I148" i="77"/>
  <c r="H148" i="77"/>
  <c r="G148" i="77"/>
  <c r="I147" i="77"/>
  <c r="H147" i="77"/>
  <c r="G147" i="77"/>
  <c r="I146" i="77"/>
  <c r="H146" i="77"/>
  <c r="G146" i="77"/>
  <c r="I145" i="77"/>
  <c r="H145" i="77"/>
  <c r="G145" i="77"/>
  <c r="I144" i="77"/>
  <c r="H144" i="77"/>
  <c r="G144" i="77"/>
  <c r="I143" i="77"/>
  <c r="H143" i="77"/>
  <c r="G143" i="77"/>
  <c r="I142" i="77"/>
  <c r="H142" i="77"/>
  <c r="G142" i="77"/>
  <c r="I141" i="77"/>
  <c r="H141" i="77"/>
  <c r="G141" i="77"/>
  <c r="I140" i="77"/>
  <c r="H140" i="77"/>
  <c r="G140" i="77"/>
  <c r="I139" i="77"/>
  <c r="H139" i="77"/>
  <c r="G139" i="77"/>
  <c r="I138" i="77"/>
  <c r="H138" i="77"/>
  <c r="G138" i="77"/>
  <c r="I137" i="77"/>
  <c r="H137" i="77"/>
  <c r="G137" i="77"/>
  <c r="I136" i="77"/>
  <c r="H136" i="77"/>
  <c r="G136" i="77"/>
  <c r="I135" i="77"/>
  <c r="H135" i="77"/>
  <c r="G135" i="77"/>
  <c r="I134" i="77"/>
  <c r="H134" i="77"/>
  <c r="G134" i="77"/>
  <c r="I133" i="77"/>
  <c r="H133" i="77"/>
  <c r="G133" i="77"/>
  <c r="I132" i="77"/>
  <c r="H132" i="77"/>
  <c r="G132" i="77"/>
  <c r="I131" i="77"/>
  <c r="H131" i="77"/>
  <c r="G131" i="77"/>
  <c r="I130" i="77"/>
  <c r="H130" i="77"/>
  <c r="G130" i="77"/>
  <c r="I129" i="77"/>
  <c r="H129" i="77"/>
  <c r="G129" i="77"/>
  <c r="I128" i="77"/>
  <c r="H128" i="77"/>
  <c r="G128" i="77"/>
  <c r="I127" i="77"/>
  <c r="H127" i="77"/>
  <c r="G127" i="77"/>
  <c r="I126" i="77"/>
  <c r="H126" i="77"/>
  <c r="G126" i="77"/>
  <c r="I125" i="77"/>
  <c r="H125" i="77"/>
  <c r="G125" i="77"/>
  <c r="I124" i="77"/>
  <c r="H124" i="77"/>
  <c r="G124" i="77"/>
  <c r="I123" i="77"/>
  <c r="H123" i="77"/>
  <c r="G123" i="77"/>
  <c r="I122" i="77"/>
  <c r="H122" i="77"/>
  <c r="G122" i="77"/>
  <c r="I121" i="77"/>
  <c r="H121" i="77"/>
  <c r="G121" i="77"/>
  <c r="I120" i="77"/>
  <c r="H120" i="77"/>
  <c r="G120" i="77"/>
  <c r="I119" i="77"/>
  <c r="H119" i="77"/>
  <c r="G119" i="77"/>
  <c r="I118" i="77"/>
  <c r="H118" i="77"/>
  <c r="G118" i="77"/>
  <c r="I117" i="77"/>
  <c r="H117" i="77"/>
  <c r="G117" i="77"/>
  <c r="I116" i="77"/>
  <c r="H116" i="77"/>
  <c r="G116" i="77"/>
  <c r="I115" i="77"/>
  <c r="H115" i="77"/>
  <c r="G115" i="77"/>
  <c r="I114" i="77"/>
  <c r="H114" i="77"/>
  <c r="G114" i="77"/>
  <c r="I113" i="77"/>
  <c r="H113" i="77"/>
  <c r="G113" i="77"/>
  <c r="I112" i="77"/>
  <c r="H112" i="77"/>
  <c r="G112" i="77"/>
  <c r="I111" i="77"/>
  <c r="H111" i="77"/>
  <c r="G111" i="77"/>
  <c r="I110" i="77"/>
  <c r="H110" i="77"/>
  <c r="G110" i="77"/>
  <c r="I109" i="77"/>
  <c r="H109" i="77"/>
  <c r="G109" i="77"/>
  <c r="I108" i="77"/>
  <c r="H108" i="77"/>
  <c r="G108" i="77"/>
  <c r="I107" i="77"/>
  <c r="H107" i="77"/>
  <c r="G107" i="77"/>
  <c r="I106" i="77"/>
  <c r="H106" i="77"/>
  <c r="G106" i="77"/>
  <c r="I105" i="77"/>
  <c r="H105" i="77"/>
  <c r="G105" i="77"/>
  <c r="I104" i="77"/>
  <c r="H104" i="77"/>
  <c r="G104" i="77"/>
  <c r="I103" i="77"/>
  <c r="H103" i="77"/>
  <c r="G103" i="77"/>
  <c r="I102" i="77"/>
  <c r="H102" i="77"/>
  <c r="G102" i="77"/>
  <c r="I101" i="77"/>
  <c r="H101" i="77"/>
  <c r="G101" i="77"/>
  <c r="I100" i="77"/>
  <c r="H100" i="77"/>
  <c r="G100" i="77"/>
  <c r="I99" i="77"/>
  <c r="H99" i="77"/>
  <c r="G99" i="77"/>
  <c r="I98" i="77"/>
  <c r="H98" i="77"/>
  <c r="G98" i="77"/>
  <c r="I97" i="77"/>
  <c r="H97" i="77"/>
  <c r="G97" i="77"/>
  <c r="I96" i="77"/>
  <c r="H96" i="77"/>
  <c r="G96" i="77"/>
  <c r="I95" i="77"/>
  <c r="H95" i="77"/>
  <c r="G95" i="77"/>
  <c r="I94" i="77"/>
  <c r="H94" i="77"/>
  <c r="G94" i="77"/>
  <c r="I93" i="77"/>
  <c r="H93" i="77"/>
  <c r="G93" i="77"/>
  <c r="I92" i="77"/>
  <c r="H92" i="77"/>
  <c r="G92" i="77"/>
  <c r="I91" i="77"/>
  <c r="H91" i="77"/>
  <c r="G91" i="77"/>
  <c r="I90" i="77"/>
  <c r="H90" i="77"/>
  <c r="G90" i="77"/>
  <c r="I89" i="77"/>
  <c r="H89" i="77"/>
  <c r="G89" i="77"/>
  <c r="I88" i="77"/>
  <c r="H88" i="77"/>
  <c r="G88" i="77"/>
  <c r="I87" i="77"/>
  <c r="H87" i="77"/>
  <c r="G87" i="77"/>
  <c r="I86" i="77"/>
  <c r="H86" i="77"/>
  <c r="G86" i="77"/>
  <c r="I85" i="77"/>
  <c r="H85" i="77"/>
  <c r="G85" i="77"/>
  <c r="I84" i="77"/>
  <c r="H84" i="77"/>
  <c r="G84" i="77"/>
  <c r="I83" i="77"/>
  <c r="H83" i="77"/>
  <c r="G83" i="77"/>
  <c r="I82" i="77"/>
  <c r="H82" i="77"/>
  <c r="G82" i="77"/>
  <c r="I81" i="77"/>
  <c r="H81" i="77"/>
  <c r="G81" i="77"/>
  <c r="I80" i="77"/>
  <c r="H80" i="77"/>
  <c r="G80" i="77"/>
  <c r="I79" i="77"/>
  <c r="H79" i="77"/>
  <c r="G79" i="77"/>
  <c r="I78" i="77"/>
  <c r="H78" i="77"/>
  <c r="G78" i="77"/>
  <c r="I77" i="77"/>
  <c r="H77" i="77"/>
  <c r="G77" i="77"/>
  <c r="I76" i="77"/>
  <c r="H76" i="77"/>
  <c r="G76" i="77"/>
  <c r="I75" i="77"/>
  <c r="H75" i="77"/>
  <c r="G75" i="77"/>
  <c r="I74" i="77"/>
  <c r="H74" i="77"/>
  <c r="G74" i="77"/>
  <c r="I73" i="77"/>
  <c r="H73" i="77"/>
  <c r="G73" i="77"/>
  <c r="I72" i="77"/>
  <c r="H72" i="77"/>
  <c r="G72" i="77"/>
  <c r="I71" i="77"/>
  <c r="H71" i="77"/>
  <c r="G71" i="77"/>
  <c r="I70" i="77"/>
  <c r="H70" i="77"/>
  <c r="G70" i="77"/>
  <c r="I69" i="77"/>
  <c r="H69" i="77"/>
  <c r="G69" i="77"/>
  <c r="I68" i="77"/>
  <c r="H68" i="77"/>
  <c r="G68" i="77"/>
  <c r="I67" i="77"/>
  <c r="H67" i="77"/>
  <c r="G67" i="77"/>
  <c r="I66" i="77"/>
  <c r="H66" i="77"/>
  <c r="G66" i="77"/>
  <c r="I65" i="77"/>
  <c r="H65" i="77"/>
  <c r="G65" i="77"/>
  <c r="I64" i="77"/>
  <c r="H64" i="77"/>
  <c r="G64" i="77"/>
  <c r="I63" i="77"/>
  <c r="H63" i="77"/>
  <c r="G63" i="77"/>
  <c r="I62" i="77"/>
  <c r="H62" i="77"/>
  <c r="G62" i="77"/>
  <c r="I61" i="77"/>
  <c r="H61" i="77"/>
  <c r="G61" i="77"/>
  <c r="I60" i="77"/>
  <c r="H60" i="77"/>
  <c r="G60" i="77"/>
  <c r="I59" i="77"/>
  <c r="H59" i="77"/>
  <c r="G59" i="77"/>
  <c r="I58" i="77"/>
  <c r="H58" i="77"/>
  <c r="G58" i="77"/>
  <c r="I57" i="77"/>
  <c r="H57" i="77"/>
  <c r="G57" i="77"/>
  <c r="I56" i="77"/>
  <c r="H56" i="77"/>
  <c r="G56" i="77"/>
  <c r="I55" i="77"/>
  <c r="H55" i="77"/>
  <c r="G55" i="77"/>
  <c r="I54" i="77"/>
  <c r="H54" i="77"/>
  <c r="G54" i="77"/>
  <c r="I53" i="77"/>
  <c r="H53" i="77"/>
  <c r="G53" i="77"/>
  <c r="I52" i="77"/>
  <c r="H52" i="77"/>
  <c r="G52" i="77"/>
  <c r="I51" i="77"/>
  <c r="H51" i="77"/>
  <c r="G51" i="77"/>
  <c r="I50" i="77"/>
  <c r="H50" i="77"/>
  <c r="G50" i="77"/>
  <c r="I49" i="77"/>
  <c r="H49" i="77"/>
  <c r="G49" i="77"/>
  <c r="I48" i="77"/>
  <c r="H48" i="77"/>
  <c r="G48" i="77"/>
  <c r="I47" i="77"/>
  <c r="H47" i="77"/>
  <c r="G47" i="77"/>
  <c r="I46" i="77"/>
  <c r="H46" i="77"/>
  <c r="G46" i="77"/>
  <c r="I45" i="77"/>
  <c r="H45" i="77"/>
  <c r="G45" i="77"/>
  <c r="I44" i="77"/>
  <c r="H44" i="77"/>
  <c r="G44" i="77"/>
  <c r="I43" i="77"/>
  <c r="H43" i="77"/>
  <c r="G43" i="77"/>
  <c r="I42" i="77"/>
  <c r="H42" i="77"/>
  <c r="G42" i="77"/>
  <c r="I41" i="77"/>
  <c r="H41" i="77"/>
  <c r="G41" i="77"/>
  <c r="I40" i="77"/>
  <c r="H40" i="77"/>
  <c r="G40" i="77"/>
  <c r="I39" i="77"/>
  <c r="H39" i="77"/>
  <c r="G39" i="77"/>
  <c r="I38" i="77"/>
  <c r="H38" i="77"/>
  <c r="G38" i="77"/>
  <c r="I37" i="77"/>
  <c r="H37" i="77"/>
  <c r="G37" i="77"/>
  <c r="I36" i="77"/>
  <c r="H36" i="77"/>
  <c r="G36" i="77"/>
  <c r="I35" i="77"/>
  <c r="H35" i="77"/>
  <c r="G35" i="77"/>
  <c r="I34" i="77"/>
  <c r="H34" i="77"/>
  <c r="G34" i="77"/>
  <c r="I33" i="77"/>
  <c r="H33" i="77"/>
  <c r="G33" i="77"/>
  <c r="I32" i="77"/>
  <c r="H32" i="77"/>
  <c r="G32" i="77"/>
  <c r="I31" i="77"/>
  <c r="H31" i="77"/>
  <c r="G31" i="77"/>
  <c r="I30" i="77"/>
  <c r="H30" i="77"/>
  <c r="G30" i="77"/>
  <c r="I29" i="77"/>
  <c r="H29" i="77"/>
  <c r="G29" i="77"/>
  <c r="I28" i="77"/>
  <c r="H28" i="77"/>
  <c r="G28" i="77"/>
  <c r="I27" i="77"/>
  <c r="H27" i="77"/>
  <c r="G27" i="77"/>
  <c r="I26" i="77"/>
  <c r="H26" i="77"/>
  <c r="G26" i="77"/>
  <c r="I25" i="77"/>
  <c r="H25" i="77"/>
  <c r="G25" i="77"/>
  <c r="I24" i="77"/>
  <c r="H24" i="77"/>
  <c r="G24" i="77"/>
  <c r="I23" i="77"/>
  <c r="H23" i="77"/>
  <c r="G23" i="77"/>
  <c r="I22" i="77"/>
  <c r="H22" i="77"/>
  <c r="G22" i="77"/>
  <c r="I21" i="77"/>
  <c r="H21" i="77"/>
  <c r="G21" i="77"/>
  <c r="I20" i="77"/>
  <c r="H20" i="77"/>
  <c r="G20" i="77"/>
  <c r="I19" i="77"/>
  <c r="H19" i="77"/>
  <c r="G19" i="77"/>
  <c r="I18" i="77"/>
  <c r="H18" i="77"/>
  <c r="G18" i="77"/>
  <c r="I17" i="77"/>
  <c r="H17" i="77"/>
  <c r="G17" i="77"/>
  <c r="I16" i="77"/>
  <c r="H16" i="77"/>
  <c r="G16" i="77"/>
  <c r="I15" i="77"/>
  <c r="H15" i="77"/>
  <c r="G15" i="77"/>
  <c r="I14" i="77"/>
  <c r="H14" i="77"/>
  <c r="G14" i="77"/>
  <c r="I13" i="77"/>
  <c r="H13" i="77"/>
  <c r="G13" i="77"/>
  <c r="I12" i="77"/>
  <c r="H12" i="77"/>
  <c r="G12" i="77"/>
  <c r="I11" i="77"/>
  <c r="H11" i="77"/>
  <c r="G11" i="77"/>
  <c r="I10" i="77"/>
  <c r="H10" i="77"/>
  <c r="G10" i="77"/>
  <c r="I9" i="77"/>
  <c r="H9" i="77"/>
  <c r="G9" i="77"/>
  <c r="I8" i="77"/>
  <c r="H8" i="77"/>
  <c r="G8" i="77"/>
  <c r="I7" i="77"/>
  <c r="H7" i="77"/>
  <c r="G7" i="77"/>
  <c r="I6" i="77"/>
  <c r="H6" i="77"/>
  <c r="G6" i="77"/>
  <c r="I5" i="77"/>
  <c r="H5" i="77"/>
  <c r="G5" i="77"/>
  <c r="I4" i="77"/>
  <c r="H4" i="77"/>
  <c r="G4" i="77"/>
  <c r="K4" i="71"/>
  <c r="K3" i="71"/>
  <c r="A2" i="73"/>
  <c r="K1" i="71"/>
  <c r="K2" i="71"/>
</calcChain>
</file>

<file path=xl/sharedStrings.xml><?xml version="1.0" encoding="utf-8"?>
<sst xmlns="http://schemas.openxmlformats.org/spreadsheetml/2006/main" count="33791" uniqueCount="4203">
  <si>
    <t>OBAGS001 TES01</t>
  </si>
  <si>
    <t>HLESMD00 ECS46</t>
  </si>
  <si>
    <t>OBAGB024 EVS00</t>
  </si>
  <si>
    <t>SHOUGH00 TESI3</t>
  </si>
  <si>
    <t>SHOUWA00 ECS51</t>
  </si>
  <si>
    <t>OBAGS010 TES01</t>
  </si>
  <si>
    <t>OBAGPA06 TESF1</t>
  </si>
  <si>
    <t>SHOUCF00 ECS35</t>
  </si>
  <si>
    <t>ACCEC002 ECS65</t>
  </si>
  <si>
    <t>HLESD000 ECS35</t>
  </si>
  <si>
    <t>SHOUBG00 ECS35</t>
  </si>
  <si>
    <t>OBAGS010 TESF8</t>
  </si>
  <si>
    <t>OCLKD001 MES81</t>
  </si>
  <si>
    <t>OBAGS002 TESG2</t>
  </si>
  <si>
    <t>OBAGS010 TESG2</t>
  </si>
  <si>
    <t>OBAGS009 TES01</t>
  </si>
  <si>
    <t>OBAGS121 TESG8</t>
  </si>
  <si>
    <t>OCLKD001 MES84</t>
  </si>
  <si>
    <t>OBAGPA10 ECS35</t>
  </si>
  <si>
    <t>ACCEP014 ECS35</t>
  </si>
  <si>
    <t>SHOUG617 ECS00</t>
  </si>
  <si>
    <t>OBAGB001 EVS00</t>
  </si>
  <si>
    <t>OBAGB009 EVS00</t>
  </si>
  <si>
    <t>OBAGB010 EVS00</t>
  </si>
  <si>
    <t>OBAGB206 EVS00</t>
  </si>
  <si>
    <t>OBAGB016 EVS00</t>
  </si>
  <si>
    <t>OBAGB002 EVS00</t>
  </si>
  <si>
    <t>OCLKE013 MAS00</t>
  </si>
  <si>
    <t>SHOUGG00 TESI1</t>
  </si>
  <si>
    <t>ACCEC002 ECS03</t>
  </si>
  <si>
    <t>OBAGB426 MAS09</t>
  </si>
  <si>
    <t>OBAGS016 TES01</t>
  </si>
  <si>
    <t>HLESAE00 ECS00</t>
  </si>
  <si>
    <t>OBAGA000 ECS40</t>
  </si>
  <si>
    <t>OBAGB017 EVS00</t>
  </si>
  <si>
    <t>OCLKSB01 INS00</t>
  </si>
  <si>
    <t>OBAGS017 TESE3</t>
  </si>
  <si>
    <t>OBAGT002 TESG3</t>
  </si>
  <si>
    <t>OBAGS001 TESG3</t>
  </si>
  <si>
    <t>OBAGT001 TESE3</t>
  </si>
  <si>
    <t>OBAGT002 TESH1</t>
  </si>
  <si>
    <t>OBAGS002 TESH1</t>
  </si>
  <si>
    <t>OBAGS010 TESG5</t>
  </si>
  <si>
    <t>OBAGB426 TESG6</t>
  </si>
  <si>
    <t>OBAGT002 TESE3</t>
  </si>
  <si>
    <t>ACCEO001 TES23</t>
  </si>
  <si>
    <t>HLESD200 ROS05</t>
  </si>
  <si>
    <t>SHOUGH00 TESI7</t>
  </si>
  <si>
    <t>SHOUWA00 ECS55</t>
  </si>
  <si>
    <t>OBAGS002 TES01</t>
  </si>
  <si>
    <t>OBAGB002 EVS18</t>
  </si>
  <si>
    <t>HLESAD00 ECS00</t>
  </si>
  <si>
    <t>OBAGS016 TES26</t>
  </si>
  <si>
    <t>OBAGPA24 TESE8</t>
  </si>
  <si>
    <t>OBAGA000 ECS42</t>
  </si>
  <si>
    <t>OCLKD001 MES86</t>
  </si>
  <si>
    <t>OCLKD104 MES90</t>
  </si>
  <si>
    <t>OCLKD104 MES92</t>
  </si>
  <si>
    <t>OBAGS001 TESG2</t>
  </si>
  <si>
    <t>OBAGB016 EVS19</t>
  </si>
  <si>
    <t>OBAGP006 ECS54</t>
  </si>
  <si>
    <t>OCLKD001 MES82</t>
  </si>
  <si>
    <t>OBAGS016 TESH1</t>
  </si>
  <si>
    <t>OBAGS016 TESF8</t>
  </si>
  <si>
    <t>SHOUC106 ECS16</t>
  </si>
  <si>
    <t>OBAGT001 TESE8</t>
  </si>
  <si>
    <t>OBAGP106 TESG5</t>
  </si>
  <si>
    <t>HLESG000 ROS04</t>
  </si>
  <si>
    <t>OBAGS002 TESE5</t>
  </si>
  <si>
    <t>OBAGP106 ECS55</t>
  </si>
  <si>
    <t>OBAGS016 TESE6</t>
  </si>
  <si>
    <t>OBAGP006 TESE8</t>
  </si>
  <si>
    <t>OCLKD001 MES80</t>
  </si>
  <si>
    <t>SHOUWA00 ECS54</t>
  </si>
  <si>
    <t>SHOUA306 ECS42</t>
  </si>
  <si>
    <t>OBAGP106 ECS52</t>
  </si>
  <si>
    <t>OBAGS017 TESE6</t>
  </si>
  <si>
    <t>SHOUGG00 TESI2</t>
  </si>
  <si>
    <t>OBAGS002 TESG9</t>
  </si>
  <si>
    <t>SHOUWA00 TESE5</t>
  </si>
  <si>
    <t>OBAGB426 TESF9</t>
  </si>
  <si>
    <t>OBAGS102 TESG6</t>
  </si>
  <si>
    <t>OCLKD001 MES87</t>
  </si>
  <si>
    <t>OCLKD001 MES88</t>
  </si>
  <si>
    <t>OBAGP006 TESF5</t>
  </si>
  <si>
    <t>OBAGP006 TESF6</t>
  </si>
  <si>
    <t>OBAGP006 TESF8</t>
  </si>
  <si>
    <t>OBAGPA24 TESF6</t>
  </si>
  <si>
    <t>OBAGB009 EVS15</t>
  </si>
  <si>
    <t>OCLKD101 MES85</t>
  </si>
  <si>
    <t>OBAGS017 TESH2</t>
  </si>
  <si>
    <t>OBAGP006 TESF2</t>
  </si>
  <si>
    <t>SHOUGH00 TESI4</t>
  </si>
  <si>
    <t>OBAGT001 TESF9</t>
  </si>
  <si>
    <t>OBAGP106 TES13</t>
  </si>
  <si>
    <t>OBAGS001 TESF9</t>
  </si>
  <si>
    <t>HLESGC00 ECS54</t>
  </si>
  <si>
    <t>OBAGT001 TESG8</t>
  </si>
  <si>
    <t>OBAGT002 TESG8</t>
  </si>
  <si>
    <t>OBAGT002 TESE8</t>
  </si>
  <si>
    <t>OBAGB001 EVS17</t>
  </si>
  <si>
    <t>OBAGS002 TESE7</t>
  </si>
  <si>
    <t>OCLKD101 MES91</t>
  </si>
  <si>
    <t>OBAGB426 ECS67</t>
  </si>
  <si>
    <t>OBAGPA24 ECS53</t>
  </si>
  <si>
    <t>OBAGS009 TESG9</t>
  </si>
  <si>
    <t>OBAGS016 TESG9</t>
  </si>
  <si>
    <t>OBAGS017 TESG3</t>
  </si>
  <si>
    <t>OBAGT001 TESH1</t>
  </si>
  <si>
    <t>OBAGS002 TESF8</t>
  </si>
  <si>
    <t>OBAGPA24 TESF5</t>
  </si>
  <si>
    <t>OCLKD001 MES83</t>
  </si>
  <si>
    <t>OBAGS017 TES26</t>
  </si>
  <si>
    <t>OBAGS010 TESF3</t>
  </si>
  <si>
    <t>OBAGS001 TESE7</t>
  </si>
  <si>
    <t>HLESX600 ECS00</t>
  </si>
  <si>
    <t>OBAGS010 TESE7</t>
  </si>
  <si>
    <t>OBAGPA24 TESG8</t>
  </si>
  <si>
    <t>HLESGC00 ROS04</t>
  </si>
  <si>
    <t>OBAGS001 TESE5</t>
  </si>
  <si>
    <t>OBAGT001 TESF8</t>
  </si>
  <si>
    <t>OBAGB426 TESG7</t>
  </si>
  <si>
    <t>OBAGS010 TESE3</t>
  </si>
  <si>
    <t>OBAGS002 TESF9</t>
  </si>
  <si>
    <t>OBAGB426 TESF7</t>
  </si>
  <si>
    <t>OBAGS001 TESH1</t>
  </si>
  <si>
    <t>OBAGS017 TESH1</t>
  </si>
  <si>
    <t>valeurs fausses</t>
  </si>
  <si>
    <t>OBAGP006 TESG8</t>
  </si>
  <si>
    <t>OBAGS001 TESG9</t>
  </si>
  <si>
    <t>SHOUBG00 MAS10</t>
  </si>
  <si>
    <t>Total</t>
  </si>
  <si>
    <t>POCHETTE INTÉRIEURE FERMETURE ÉCLAIR O BAG EN TISSU CANVAS</t>
  </si>
  <si>
    <t>MICRO-ANSES TUBULAIRES COURTES EN FAUX CUIR LISSE</t>
  </si>
  <si>
    <t>CORPS O POCKET MICRO EVA COMPOUND</t>
  </si>
  <si>
    <t>BANDOULIÈRE 80/120 + GOUTTE TROUÉE TISSU RUBAN TECHNIQUE</t>
  </si>
  <si>
    <t>BANDOULIÈRE COURTE NEW GOUTTE TROUÉE EN FAUX CUIR CLOUS PYRAMIDES</t>
  </si>
  <si>
    <t>POCHETTE INTÉRIEURE FERMETURE ÉCLAIR O CITY EN TISSU CANVAS</t>
  </si>
  <si>
    <t>RABAT TOURNIQUET O POCKET EN TISSU + FAUX CUIR NYC À RAYURES</t>
  </si>
  <si>
    <t>BANDOULIÈRE AVEC TRESSAGE + CLIP EN FAUX CUIR BASIC</t>
  </si>
  <si>
    <t>ACCESSOIRES CHARMS POMPON EN FAUX CUIR PLEX + CLOUS</t>
  </si>
  <si>
    <t>ANSES LONGUES ADAPTABLES EN FAUX CUIR BASIC</t>
  </si>
  <si>
    <t>BANDOULIÈRE /BRETELLE SLIM 140 EN FAUX CUIR BASIC</t>
  </si>
  <si>
    <t>POCHETTE INTÉRIEURE FERMETURE ÉCLAIR O CITY EN TISSU DEAUVILLE À RAYURES LARGES</t>
  </si>
  <si>
    <t>O CLOCK MÉCANISME DEAUVILLE LINES</t>
  </si>
  <si>
    <t>POCHETTE INTÉRIEURE À COULISSE O SWING EN TISSU MÉTALLISÉ FLOWER BRODERIE ANGLAISE</t>
  </si>
  <si>
    <t>O CLOCK MÉCANISME URBAN DECOR PETALS</t>
  </si>
  <si>
    <t>RABAT TOURNIQUET O CITY EN FAUX CUIR BASIC</t>
  </si>
  <si>
    <t>ACCESSOIRES POCHETTE FILET EN FAUX CUIR BASIC</t>
  </si>
  <si>
    <t>LONGUE BANDOULIÈRE AVEC BOUCLE O MOON EN FAUX CUIR</t>
  </si>
  <si>
    <t>CORPS O BAG EVA COMPOUND</t>
  </si>
  <si>
    <t>CORPS O BAG 50 EVA COMPOUND</t>
  </si>
  <si>
    <t>CORPS O CITY EVA COMPOUND</t>
  </si>
  <si>
    <t>CORPS INFÉRIEUR O POCKET EVA COMPOUND</t>
  </si>
  <si>
    <t>CORPS O MOON EVA COMPOUND</t>
  </si>
  <si>
    <t>CORPS O BAG MINI EVA COMPOUND</t>
  </si>
  <si>
    <t>O CLOCK SHIFT CASE CLASSIC SLIM EN PLASTIQUE</t>
  </si>
  <si>
    <t>BANDOULIÈRE 80/120 + CLIP EN TISSU RUBAN NEW YORK</t>
  </si>
  <si>
    <t>ACCESSOIRES CHARMS POMPON EN FAUX CUIR SUÈDE</t>
  </si>
  <si>
    <t>CORPS COMPLET O BAG TOTE EN NYLON + PVC</t>
  </si>
  <si>
    <t>POCHETTE INTÉRIEURE FERMETURE ÉCLAIR O BAG MINI EN TISSU CANVAS + RUBAN</t>
  </si>
  <si>
    <t>POCHETTE INTÉRIEURE FERMETURE ÉCLAIR O CITY EN TISSU CANVAS + RUBAN</t>
  </si>
  <si>
    <t>POCHETTE INTÉRIEURE FERMETURE ÉCLAIR O BAG 50 EN TISSU CANVAS</t>
  </si>
  <si>
    <t>POCHETTE INTÉRIEURE FERMETURE ÉCLAIR O MOON EN TISSU CANVAS</t>
  </si>
  <si>
    <t>ANSES COURTES CHAÎNE AVEC TRESSAGE EN FAUX CUIR</t>
  </si>
  <si>
    <t>ACCESSOIRE CLIP EN FAUX CUIR OPAQUE + OR</t>
  </si>
  <si>
    <t>CORPS O MOON LIGHT EVA COMPOUND</t>
  </si>
  <si>
    <t>O CLOCK SHIFT BRACELET BAND EN MATÉRIAU INJECTÉ</t>
  </si>
  <si>
    <t>POCHETTE INTÉRIEURE FERMETURE ÉCLAIR O MOON LIGHT EN TISSU NYC VICHY</t>
  </si>
  <si>
    <t>REVERS O BAG MINI EN TISSU DEAUVILLE À RAYURES SERRÉES</t>
  </si>
  <si>
    <t>POCHETTE INTÉRIEURE FERMETURE ÉCLAIR O BAG EN TISSU DEAUVILLE À RAYURES SERRÉES</t>
  </si>
  <si>
    <t>REVERS O BAG EN TISSU NYC VICHY</t>
  </si>
  <si>
    <t>REVERS O BAG MINI EN TISSU BOUCLÉ DÉCOR</t>
  </si>
  <si>
    <t>POCHETTE INTÉRIEURE FERMETURE ÉCLAIR O BAG MINI EN TISSU BOUCLÉ DÉCOR</t>
  </si>
  <si>
    <t>POCHETTE INTÉRIEURE FERMETURE ÉCLAIR O CITY EN TISSU CANVAS DÉTAIL RUBAN À RAYURES</t>
  </si>
  <si>
    <t>CORPS COMPLET O BAG TOTE EN NYLON À RAYURES</t>
  </si>
  <si>
    <t>REVERS O BAG MINI EN TISSU NYC VICHY</t>
  </si>
  <si>
    <t>ACCESSOIRES PENDENTIF POMPON EN RAPHIA TISSÉ</t>
  </si>
  <si>
    <t>ANSES LONGUES ADAPTABLES GOUTTE EN CORDE + GOUTTE TISSU CAOUTCHOUTÉ</t>
  </si>
  <si>
    <t>BANDOULIÈRE 80/120 + GOUTTE TROUÉE TISSU RUBAN METAL DECOR</t>
  </si>
  <si>
    <t>BANDOULIÈRE COURTE NEW GOUTTE TROUÉE (80 CM) EN FAUX CUIR BASIC + FLEURS PVC</t>
  </si>
  <si>
    <t>POCHETTE INTÉRIEURE FERMETURE ÉCLAIR O BAG MINI EN TISSU CANVAS</t>
  </si>
  <si>
    <t>CORPS O BAG MINI EVA COMPOUND TEXTURE À CHEVRONS</t>
  </si>
  <si>
    <t>ANSES TUBULAIRES EN FAUX CUIR</t>
  </si>
  <si>
    <t>POCHETTE INTÉRIEURE FERMETURE ÉCLAIR O MOON EN TISSU CORDURA</t>
  </si>
  <si>
    <t>RABAT TOURNIQUET O POCKET EN MICRO TISSU NYC FANTAISIE GÉOMÉTRIQUE</t>
  </si>
  <si>
    <t>ACCESSOIRE CLIP EN FAUX CUIR OPAQUE + ARGENT</t>
  </si>
  <si>
    <t>O CLOCK MÉCANISME NYC LINES</t>
  </si>
  <si>
    <t>MÉCANISME GREAT DATE NYC TIMES SQUARE</t>
  </si>
  <si>
    <t>MÉCANISME GREAT DATE SATIN</t>
  </si>
  <si>
    <t>POCHETTE INTÉRIEURE FERMETURE ÉCLAIR O BAG EN TISSU CANVAS + RUBAN</t>
  </si>
  <si>
    <t>CORPS O MOON EVA COMPOUND TEXTURE URBAN FRAME</t>
  </si>
  <si>
    <t>RABAT O POCKET EN FAUX CUIR CLOUS ÉMAILLÉS</t>
  </si>
  <si>
    <t>O CLOCK MÉCANISME URBAN DECOR FLOWERS</t>
  </si>
  <si>
    <t>POCHETTE INTÉRIEURE FERMETURE ÉCLAIR O MOON EN TISSU BOUCLÉ DÉCOR</t>
  </si>
  <si>
    <t>POCHETTE INTÉRIEURE FERMETURE ÉCLAIR O MOON EN TISSU DEAUVILLE À RAYURES LARGES</t>
  </si>
  <si>
    <t>LONGUE BANDOULIÈRE CHAÎNE AVEC BANDEAU O POCKET EN FAUX CUIR MÉTALLISÉ</t>
  </si>
  <si>
    <t>REVERS O BAG EN TISSU NYC FANTAISIE GÉOMÉTRIQUE</t>
  </si>
  <si>
    <t>RABAT AVEC BANDEAU O POCKET TISSU CANVAS DÉTAIL RUBAN À RAYURES</t>
  </si>
  <si>
    <t>ANSES LONGUES EN CORDE TRICOLORE</t>
  </si>
  <si>
    <t>POCHETTE INTÉRIEURE FERMETURE ÉCLAIR O BAG MINI EN TISSU NYC LOSANGES</t>
  </si>
  <si>
    <t>RABAT AVEC BANDEAU O POCKET EN FAUX CUIR BASIC + FLEURS PVC</t>
  </si>
  <si>
    <t>POCHETTE INTÉRIEURE FERMETURE ÉCLAIR O MOON EN TISSU NYC À RAYURES BICOLORE</t>
  </si>
  <si>
    <t>RABAT O POCKET EN TISSU NYC FANTAISIE GÉOMÉTRIQUE</t>
  </si>
  <si>
    <t>O CLOCK MÉCANISME DEAUVILLE LINES + FLOWERS</t>
  </si>
  <si>
    <t>BANDOULIÈRE COURTE NEW GOUTTE TROUÉE EN FAUX CUIR CLOUS ÉMAILLÉS</t>
  </si>
  <si>
    <t>RABAT AVEC BANDEAU O POCKET EN FAUX CUIR RUBAN LIVRE BICOLORE</t>
  </si>
  <si>
    <t>POCHETTE INTÉRIEURE FERMETURE ÉCLAIR O MOON LIGHT EN TISSU NYC À RAYURES BICOLORE</t>
  </si>
  <si>
    <t>BANDOULIÈRE 80/120 + CLIP EN TISSU RUBAN NEW YORK À CHEVRONS</t>
  </si>
  <si>
    <t>POCHETTE INTÉRIEURE FERMETURE ÉCLAIR O BAG MINI EN TISSU FANTAISIE COQUELICOTS SUR RAYUR</t>
  </si>
  <si>
    <t>BANDOULIÈRE COURTE NEW GOUTTE TROUÉE EN TISSU NYC LOSANGES</t>
  </si>
  <si>
    <t>CORPS COMPLET O BAG TOTE EN TISSU DEAUVILLE À RAYURES NUANCÉES</t>
  </si>
  <si>
    <t>POCHETTE INTÉRIEURE À COULISSE O BAG MINI EN NYLON À RAYURES</t>
  </si>
  <si>
    <t>O CLOCK MÉCANISME NYC FLOWER</t>
  </si>
  <si>
    <t>O CLOCK MÉCANISME NYC JUNGLE</t>
  </si>
  <si>
    <t>RABAT O POCKET EN TISSU LUXURY DRIPPING</t>
  </si>
  <si>
    <t>RABAT O POCKET EN TISSU LUXURY STRIPES</t>
  </si>
  <si>
    <t>RABAT O POCKET EN TISSU DEAUVILLE À RAYURES LARGES</t>
  </si>
  <si>
    <t>RABAT TOURNIQUET O POCKET EN MICRO TISSU LUXURY STRIPES</t>
  </si>
  <si>
    <t>CORPS O BAG 50 EVA COMPOUND AVEC APPLICATIONS FLEURS</t>
  </si>
  <si>
    <t>MÉCANISME GREAT URBAN DECOR DIAMONDS</t>
  </si>
  <si>
    <t>POCHETTE INTÉRIEURE FERMETURE ÉCLAIR O MOON LIGHT EN COTON MOTIF PAPILLONS</t>
  </si>
  <si>
    <t>RABAT O POCKET EN NYLON À RAYURES + PVC</t>
  </si>
  <si>
    <t>BANDOULIÈRE 80/120 + GOUTTE TROUÉE TISSU RUBAN MARINA BICOLORE</t>
  </si>
  <si>
    <t>REVERS O BAG EN TISSU DEAUVILLE À RAYURES NUANCÉES</t>
  </si>
  <si>
    <t>RABAT AVEC BANDEAU O POCKET TISSU DENIM</t>
  </si>
  <si>
    <t>POCHETTE INTÉRIEURE FERMETURE ÉCLAIR O BAG EN TISSU DEAUVILLE À RAYURES NUANCÉES</t>
  </si>
  <si>
    <t>ANSES COURTES EN FAUX CUIR CLOUS ÉMAILLÉS</t>
  </si>
  <si>
    <t>REVERS O BAG EN TISSU FLOWER BRODERIE ANGLAISE MÉTALLISÉE</t>
  </si>
  <si>
    <t>REVERS O BAG MINI EN TISSU MÉTALLISÉ FLOWER BRODERIE ANGLAISE</t>
  </si>
  <si>
    <t>REVERS O BAG MINI EN TISSU NYC FANTAISIE GÉOMÉTRIQUE</t>
  </si>
  <si>
    <t>CORPS O BAG EVA COMPOUND + CLOUS PYRAMIDES</t>
  </si>
  <si>
    <t>POCHETTE INTÉRIEURE FERMETURE ÉCLAIR O BAG MINI EN TOILE NYLON + RUBAN LIVRE BICOLORE</t>
  </si>
  <si>
    <t>MÉCANISME GREAT NYC LATITUD</t>
  </si>
  <si>
    <t>CORPS COMPLET O BAG TOTE EN FAUX CUIR SOFT TOUCH</t>
  </si>
  <si>
    <t>RABAT TOURNIQUET O POCKET EN MICRO EN FAUX CUIR MÉTALLISÉ + FLEURS PVC OPAQUE</t>
  </si>
  <si>
    <t>POCHETTE INTÉRIEURE FERMETURE ÉCLAIR O BAG 50 EN TISSU FANTAISIE COQUELICOTS SUR RAYURES</t>
  </si>
  <si>
    <t>POCHETTE INTÉRIEURE FERMETURE ÉCLAIR O MOON EN TISSU FANTAISIE COQUELICOTS SUR RAYURES</t>
  </si>
  <si>
    <t>POCHETTE INTÉRIEURE FERMETURE ÉCLAIR O MOON LIGHT EN TISSU DEAUVILLE À RAYURES SERRÉES</t>
  </si>
  <si>
    <t>REVERS O BAG EN TISSU BOUCLÉ DÉCOR</t>
  </si>
  <si>
    <t>POCHETTE INTÉRIEURE FERMETURE ÉCLAIR O BAG MINI EN TISSU DEAUVILLE À RAYURES LARGES</t>
  </si>
  <si>
    <t>RABAT TOURNIQUET O POCKET EN MICRO TISSU LUXURY DRIPPING</t>
  </si>
  <si>
    <t>O CLOCK MÉCANISME URBAN DECOR MEADOWS</t>
  </si>
  <si>
    <t>POCHETTE INTÉRIEURE FERMETURE ÉCLAIR O MOON LIGHT EN TISSU CORDURA</t>
  </si>
  <si>
    <t>POCHETTE INTÉRIEURE FERMETURE ÉCLAIR O CITY EN NYLON À RAYURES</t>
  </si>
  <si>
    <t>POCHETTE INTÉRIEURE FERMETURE ÉCLAIR O BAG EN TOILE NYLON + RUBAN LIVRE BICOLORE</t>
  </si>
  <si>
    <t>ANSES COURTES EXTRASLIM GOUTTE AVEC DEMI-ANNEAU EN FAUX CUIR</t>
  </si>
  <si>
    <t>POCHETTE INTÉRIEURE FERMETURE ÉCLAIR O CITY EN TOILE NYLON + RUBAN LIVRE BICOLORE</t>
  </si>
  <si>
    <t>RABAT TOURNIQUET O POCKET EN MICRO TISSU MÉTALLISÉ FLOWER BRODERIE ANGLAISE</t>
  </si>
  <si>
    <t>ANSES COURTES EN CORDE TRICOLORE</t>
  </si>
  <si>
    <t>POCHETTE INTÉRIEURE FERMETURE ÉCLAIR O BAG EN TISSU NYC LOSANGES</t>
  </si>
  <si>
    <t>REVERS O BAG EN TISSU DEAUVILLE À RAYURES LARGES</t>
  </si>
  <si>
    <t>CORPS COMPLET O BAG TOTE EN NYLON COULEUR UNIE</t>
  </si>
  <si>
    <t>POCHETTE INTÉRIEURE FERMETURE ÉCLAIR O CITY EN TISSU NYC VICHY</t>
  </si>
  <si>
    <t>POCHETTE INTÉRIEURE FERMETURE ÉCLAIR O BAG MINI EN TISSU DEAUVILLE À RAYURES NUANCÉES</t>
  </si>
  <si>
    <t>CORPS COMPLET O BAG TOTE EN TISSU DEAUVILLE À RAYURES EFFET FLAMMÉ</t>
  </si>
  <si>
    <t>POCHETTE INTÉRIEURE FERMETURE ÉCLAIR O BAG EN TISSU BOUCLÉ DÉCOR</t>
  </si>
  <si>
    <t>POCHETTE INTÉRIEURE FERMETURE ÉCLAIR O MOON LIGHT EN TISSU BOUCLÉ DÉCOR</t>
  </si>
  <si>
    <t>RABAT O POCKET EN TISSU MÉTALLISÉ FLOWER BRODERIE ANGLAISE</t>
  </si>
  <si>
    <t>POCHETTE INTÉRIEURE FERMETURE ÉCLAIR O BAG EN TISSU FANTAISIE COQUELICOTS SUR RAYURES</t>
  </si>
  <si>
    <t>BANDOULIÈRE /BRETELLE SLIM 140 EN PVC</t>
  </si>
  <si>
    <t>Code produit</t>
  </si>
  <si>
    <t>Qté</t>
  </si>
  <si>
    <t>Étiquettes de lignes</t>
  </si>
  <si>
    <t>Valeurs</t>
  </si>
  <si>
    <t>(vide)</t>
  </si>
  <si>
    <t>Code</t>
  </si>
  <si>
    <t>Couleur</t>
  </si>
  <si>
    <t>AQUA</t>
  </si>
  <si>
    <t>AMARANTH</t>
  </si>
  <si>
    <t>SILVER</t>
  </si>
  <si>
    <t>AVIO</t>
  </si>
  <si>
    <t>IVORY</t>
  </si>
  <si>
    <t>WHITE</t>
  </si>
  <si>
    <t>IRIS BLUE</t>
  </si>
  <si>
    <t>NAVY BLUE</t>
  </si>
  <si>
    <t>BORDEAUX</t>
  </si>
  <si>
    <t>GREY</t>
  </si>
  <si>
    <t>LIME</t>
  </si>
  <si>
    <t>NARCISSUS</t>
  </si>
  <si>
    <t>BLACK</t>
  </si>
  <si>
    <t>GOLD</t>
  </si>
  <si>
    <t>PETROL</t>
  </si>
  <si>
    <t>PHARD</t>
  </si>
  <si>
    <t>DUST</t>
  </si>
  <si>
    <t>ROCK</t>
  </si>
  <si>
    <t>SAND</t>
  </si>
  <si>
    <t>SAGE</t>
  </si>
  <si>
    <t>DARK BROWN</t>
  </si>
  <si>
    <t>DARK GREEN</t>
  </si>
  <si>
    <t>DESATURATED VIOLET</t>
  </si>
  <si>
    <t>TERRACOTTA</t>
  </si>
  <si>
    <t>STRAWBERRY</t>
  </si>
  <si>
    <t>BISCUIT</t>
  </si>
  <si>
    <t>ANTIQUE GREEN</t>
  </si>
  <si>
    <t>LIGHT GREY</t>
  </si>
  <si>
    <t>DUCK BILL</t>
  </si>
  <si>
    <t>BLUETTE</t>
  </si>
  <si>
    <t>APPLE</t>
  </si>
  <si>
    <t>SNOW</t>
  </si>
  <si>
    <t>BROOM</t>
  </si>
  <si>
    <t>CHERRY</t>
  </si>
  <si>
    <t>VOLCANO</t>
  </si>
  <si>
    <t>APRICOT</t>
  </si>
  <si>
    <t>AGED BRASS</t>
  </si>
  <si>
    <t>MILK</t>
  </si>
  <si>
    <t>SANGRIA</t>
  </si>
  <si>
    <t>[125]</t>
  </si>
  <si>
    <t>[130]</t>
  </si>
  <si>
    <t>[227]</t>
  </si>
  <si>
    <t>[254]</t>
  </si>
  <si>
    <t>[26]</t>
  </si>
  <si>
    <t>[347]</t>
  </si>
  <si>
    <t>[36]</t>
  </si>
  <si>
    <t>[38]</t>
  </si>
  <si>
    <t>[408]</t>
  </si>
  <si>
    <t>[441]</t>
  </si>
  <si>
    <t>[470]</t>
  </si>
  <si>
    <t>[474]</t>
  </si>
  <si>
    <t>[475]</t>
  </si>
  <si>
    <t>[476]</t>
  </si>
  <si>
    <t>[479]</t>
  </si>
  <si>
    <t>[480]</t>
  </si>
  <si>
    <t>[481]</t>
  </si>
  <si>
    <t>[483]</t>
  </si>
  <si>
    <t>[72]</t>
  </si>
  <si>
    <t>[75]</t>
  </si>
  <si>
    <t>[76]</t>
  </si>
  <si>
    <t>[89]</t>
  </si>
  <si>
    <t>[9]</t>
  </si>
  <si>
    <t>[134]</t>
  </si>
  <si>
    <t>[25]</t>
  </si>
  <si>
    <t>[472]</t>
  </si>
  <si>
    <t>[484]</t>
  </si>
  <si>
    <t>[485]</t>
  </si>
  <si>
    <t>[486]</t>
  </si>
  <si>
    <t>[487]</t>
  </si>
  <si>
    <t>[497]</t>
  </si>
  <si>
    <t>[498]</t>
  </si>
  <si>
    <t>[499]</t>
  </si>
  <si>
    <t>[54]</t>
  </si>
  <si>
    <t>[241]</t>
  </si>
  <si>
    <t>[482]</t>
  </si>
  <si>
    <t>[500]</t>
  </si>
  <si>
    <t>[221]</t>
  </si>
  <si>
    <t>[63]</t>
  </si>
  <si>
    <t>OBAGS010 TESH1</t>
  </si>
  <si>
    <t>BD Tous Catalogues.xlsx</t>
  </si>
  <si>
    <t>Base de données Codes Barres</t>
  </si>
  <si>
    <t>WINTER 2017 COLLECTION</t>
  </si>
  <si>
    <t>Fall 2018 continuativo</t>
  </si>
  <si>
    <t>OCLKE013 MAS00 008</t>
  </si>
  <si>
    <t>Code couleur</t>
  </si>
  <si>
    <t>Code complet</t>
  </si>
  <si>
    <t>Code barre</t>
  </si>
  <si>
    <t>Catalogue</t>
  </si>
  <si>
    <t>Code Barre</t>
  </si>
  <si>
    <t>Spring 2018 .continuativo</t>
  </si>
  <si>
    <t>Spring 2018</t>
  </si>
  <si>
    <t>Urban Spring 2018</t>
  </si>
  <si>
    <t>Modèle</t>
  </si>
  <si>
    <t>Page</t>
  </si>
  <si>
    <t>OBAGB426 ECS67 479</t>
  </si>
  <si>
    <t>OBAGS121 TESG8 061</t>
  </si>
  <si>
    <t>OCLKD001 MES82 025</t>
  </si>
  <si>
    <t>OCLKD001 MES82 130</t>
  </si>
  <si>
    <t>OCLKD001 MES84 130</t>
  </si>
  <si>
    <t>OBAGB002 EVS00 485</t>
  </si>
  <si>
    <t>OBAGB009 EVS00 071</t>
  </si>
  <si>
    <t>OBAGB002 EVS00 071</t>
  </si>
  <si>
    <t>05</t>
  </si>
  <si>
    <t>OBAGB002 EVS00 133</t>
  </si>
  <si>
    <t>OBAGB001 EVS00 076</t>
  </si>
  <si>
    <t>OBAGB010 EVS00 078</t>
  </si>
  <si>
    <t>OBAGB206 EVS00 017</t>
  </si>
  <si>
    <t>09</t>
  </si>
  <si>
    <t>OBAGB206 EVS00 076</t>
  </si>
  <si>
    <t>OBAGS002 TES01 026</t>
  </si>
  <si>
    <t>OBAGB016 EVS00 076</t>
  </si>
  <si>
    <t>OBAGB009 EVS00 422</t>
  </si>
  <si>
    <t/>
  </si>
  <si>
    <t>08</t>
  </si>
  <si>
    <t>OBAGB017 EVS00 347</t>
  </si>
  <si>
    <t>OBAGB017 EVS00 075</t>
  </si>
  <si>
    <t>OCLKSB01 INS00 422</t>
  </si>
  <si>
    <t>ACCEC002 ECS03 075</t>
  </si>
  <si>
    <t>HLESD000 ECS35 055</t>
  </si>
  <si>
    <t>OBAGS010 TESF3 227</t>
  </si>
  <si>
    <t>OBAGT002 TESG3 480</t>
  </si>
  <si>
    <t>ACCEC002 ECS03 371</t>
  </si>
  <si>
    <t>ACCEP014 ECS35 055</t>
  </si>
  <si>
    <t>SHOUCF00 ECS35 076</t>
  </si>
  <si>
    <t>HLESAD00 ECS00 055</t>
  </si>
  <si>
    <t>OBAGT002 TESH1 008</t>
  </si>
  <si>
    <t>OBAGS001 TES01 076</t>
  </si>
  <si>
    <t>OBAGS002 TESH1 008</t>
  </si>
  <si>
    <t>ACCEC002 ECS65 055</t>
  </si>
  <si>
    <t>HLESGC00 ECS54 075</t>
  </si>
  <si>
    <t>HLESGC00 ROS04 475</t>
  </si>
  <si>
    <t>OBAGT002 TESG3 481</t>
  </si>
  <si>
    <t>HLESD000 ECS35 036</t>
  </si>
  <si>
    <t>Réf. Non trouvées</t>
  </si>
  <si>
    <t>Nombre total</t>
  </si>
  <si>
    <t>Codes barres trouvés</t>
  </si>
  <si>
    <t>Vu</t>
  </si>
  <si>
    <t>void</t>
  </si>
  <si>
    <t>Somme sur Vu</t>
  </si>
  <si>
    <t>Somme sur Code Barre</t>
  </si>
  <si>
    <t>Récupération des données source</t>
  </si>
  <si>
    <t>Ouvir le PDF de la proforma</t>
  </si>
  <si>
    <t>Tout sélectionner, Copier</t>
  </si>
  <si>
    <t>Copie du modèle de fichier d'extraction</t>
  </si>
  <si>
    <t>Ouvrir ce fichier de modèle</t>
  </si>
  <si>
    <t>enregistrer sous "nom de proforma".xlsm</t>
  </si>
  <si>
    <t>Copier les données</t>
  </si>
  <si>
    <t>Sur l'onglet Feuil1, tout effacer si nécessaire</t>
  </si>
  <si>
    <t>Coller les données en cellule A1</t>
  </si>
  <si>
    <t>Extraction des données</t>
  </si>
  <si>
    <r>
      <t xml:space="preserve">Sur l'onglet </t>
    </r>
    <r>
      <rPr>
        <b/>
        <sz val="11"/>
        <color rgb="FF000000"/>
        <rFont val="Calibri"/>
      </rPr>
      <t>Code Barre</t>
    </r>
    <r>
      <rPr>
        <sz val="11"/>
        <color rgb="FF000000"/>
        <rFont val="Calibri"/>
        <family val="2"/>
      </rPr>
      <t xml:space="preserve"> bouton </t>
    </r>
    <r>
      <rPr>
        <b/>
        <sz val="11"/>
        <color rgb="FF000000"/>
        <rFont val="Calibri"/>
      </rPr>
      <t>Rechercher Codes Barre</t>
    </r>
  </si>
  <si>
    <r>
      <t xml:space="preserve">Sur l'onglet </t>
    </r>
    <r>
      <rPr>
        <b/>
        <sz val="11"/>
        <color rgb="FF000000"/>
        <rFont val="Calibri"/>
      </rPr>
      <t>Extraction</t>
    </r>
    <r>
      <rPr>
        <sz val="11"/>
        <color rgb="FF000000"/>
        <rFont val="Calibri"/>
        <family val="2"/>
      </rPr>
      <t xml:space="preserve">, bouton </t>
    </r>
    <r>
      <rPr>
        <b/>
        <sz val="11"/>
        <color rgb="FF000000"/>
        <rFont val="Calibri"/>
      </rPr>
      <t>Extraire</t>
    </r>
  </si>
  <si>
    <r>
      <t xml:space="preserve">Sur l'onglet </t>
    </r>
    <r>
      <rPr>
        <b/>
        <sz val="11"/>
        <color rgb="FF000000"/>
        <rFont val="Calibri"/>
      </rPr>
      <t>Synthèse Codes Barre</t>
    </r>
    <r>
      <rPr>
        <sz val="11"/>
        <color rgb="FF000000"/>
        <rFont val="Calibri"/>
        <family val="2"/>
      </rPr>
      <t>, actualiser les données du tableau croisé</t>
    </r>
  </si>
  <si>
    <t>n°</t>
  </si>
  <si>
    <t>Decription</t>
  </si>
  <si>
    <t>Prix U</t>
  </si>
  <si>
    <t>Prix T</t>
  </si>
  <si>
    <t>Prix T2</t>
  </si>
  <si>
    <t>Check</t>
  </si>
  <si>
    <t>4,8</t>
  </si>
  <si>
    <t>14,4</t>
  </si>
  <si>
    <t>13,44</t>
  </si>
  <si>
    <t>26,88</t>
  </si>
  <si>
    <t>11,88</t>
  </si>
  <si>
    <t>15,6</t>
  </si>
  <si>
    <t>43,2</t>
  </si>
  <si>
    <t>31,2</t>
  </si>
  <si>
    <t>25,2</t>
  </si>
  <si>
    <t>28,8</t>
  </si>
  <si>
    <t>12,6</t>
  </si>
  <si>
    <t>7,08</t>
  </si>
  <si>
    <t>10,8</t>
  </si>
  <si>
    <t>21,6</t>
  </si>
  <si>
    <t>4,56</t>
  </si>
  <si>
    <t>23,76</t>
  </si>
  <si>
    <t>20,04</t>
  </si>
  <si>
    <t>36,48</t>
  </si>
  <si>
    <t>8,52</t>
  </si>
  <si>
    <t>25,56</t>
  </si>
  <si>
    <t>21,96</t>
  </si>
  <si>
    <t>10,68</t>
  </si>
  <si>
    <t>21,36</t>
  </si>
  <si>
    <t>OBAGS001 TES01 026</t>
  </si>
  <si>
    <t>HLESMD00 ECS46 076</t>
  </si>
  <si>
    <t>OBAGB024 EVS00 347</t>
  </si>
  <si>
    <t>SHOUGH00 TESI3 470</t>
  </si>
  <si>
    <t>OBAGS010 TES01 347</t>
  </si>
  <si>
    <t>SHOUCF00 ECS35 008</t>
  </si>
  <si>
    <t>ACCEC002 ECS65 036</t>
  </si>
  <si>
    <t>HLESD000 ECS35 026</t>
  </si>
  <si>
    <t>SHOUBG00 ECS35 479</t>
  </si>
  <si>
    <t>OBAGS010 TESF8 481</t>
  </si>
  <si>
    <t>OBAGS010 TES01 026</t>
  </si>
  <si>
    <t>OCLKD001 MES81 017</t>
  </si>
  <si>
    <t>OCLKD001 MES84 075</t>
  </si>
  <si>
    <t>OBAGPA10 ECS35 076</t>
  </si>
  <si>
    <t>ACCEP014 ECS35 371</t>
  </si>
  <si>
    <t>SHOUG617 ECS00 055</t>
  </si>
  <si>
    <t>33</t>
  </si>
  <si>
    <t>OBAGB009 EVS00 158</t>
  </si>
  <si>
    <t>OBAGB010 EVS00 158</t>
  </si>
  <si>
    <t>OBAGB206 EVS00 078</t>
  </si>
  <si>
    <t>OBAGB206 EVS00 133</t>
  </si>
  <si>
    <t>OBAGB016 EVS00 158</t>
  </si>
  <si>
    <t>OBAGB002 EVS00 075</t>
  </si>
  <si>
    <t>OBAGB002 EVS00 422</t>
  </si>
  <si>
    <t>06</t>
  </si>
  <si>
    <t>OBAGB010 EVS00 422</t>
  </si>
  <si>
    <t>10</t>
  </si>
  <si>
    <t>OBAGB001 EVS00 347</t>
  </si>
  <si>
    <t>OBAGB002 EVS00 483</t>
  </si>
  <si>
    <t>OBAGB001 EVS00 486</t>
  </si>
  <si>
    <t>OBAGB001 EVS00 479</t>
  </si>
  <si>
    <t>OCLKE013 MAS00 036</t>
  </si>
  <si>
    <t>SHOUGG00 TESI1 227</t>
  </si>
  <si>
    <t>OBAGB426 MAS09 055</t>
  </si>
  <si>
    <t>ACCEC002 ECS03 089</t>
  </si>
  <si>
    <t>OBAGS001 TES01 075</t>
  </si>
  <si>
    <t>OBAGB024 EVS00 076</t>
  </si>
  <si>
    <t>SHOUWA00 ECS51 076</t>
  </si>
  <si>
    <t>ACCEC002 ECS65 422</t>
  </si>
  <si>
    <t>OBAGS010 TESG2 017</t>
  </si>
  <si>
    <t>OBAGS009 TES01 075</t>
  </si>
  <si>
    <t>OBAGS016 TES01 075</t>
  </si>
  <si>
    <t>HLESAE00 ECS00 479</t>
  </si>
  <si>
    <t>SHOUBG00 ECS35 055</t>
  </si>
  <si>
    <t>OBAGA000 ECS40 483</t>
  </si>
  <si>
    <t>OBAGB206 EVS00 055</t>
  </si>
  <si>
    <t>OBAGB206 EVS00 371</t>
  </si>
  <si>
    <t>OBAGB010 EVS00 075</t>
  </si>
  <si>
    <t>OBAGB017 EVS00 158</t>
  </si>
  <si>
    <t>OBAGB009 EVS00 347</t>
  </si>
  <si>
    <t>OBAGB017 EVS00 026</t>
  </si>
  <si>
    <t>OCLKE013 MAS00 060</t>
  </si>
  <si>
    <t>OCLKSB01 INS00 036</t>
  </si>
  <si>
    <t>OBAGS017 TESE3 227</t>
  </si>
  <si>
    <t>OBAGS010 TESF8 480</t>
  </si>
  <si>
    <t>OBAGS001 TESG3 480</t>
  </si>
  <si>
    <t>OBAGT001 TESE3 227</t>
  </si>
  <si>
    <t>OBAGS010 TESG5 476</t>
  </si>
  <si>
    <t>SHOUBG00 ECS35 075</t>
  </si>
  <si>
    <t>OBAGB426 TESG6 408</t>
  </si>
  <si>
    <t>OBAGT002 TESE3 227</t>
  </si>
  <si>
    <t>ACCEO001 TES23 009</t>
  </si>
  <si>
    <t>OBAGS016 TES01 076</t>
  </si>
  <si>
    <t>SHOUGH00 TESI7 482</t>
  </si>
  <si>
    <t>SHOUWA00 ECS55 075</t>
  </si>
  <si>
    <t>OBAGB001 EVS00 483</t>
  </si>
  <si>
    <t>OBAGS001 TES01 422</t>
  </si>
  <si>
    <t>OBAGS002 TES01 347</t>
  </si>
  <si>
    <t>HLESD200 ROS05 008</t>
  </si>
  <si>
    <t>HLESD200 ROS05 017</t>
  </si>
  <si>
    <t>OBAGS002 TES01 130</t>
  </si>
  <si>
    <t>OBAGB002 EVS00 486</t>
  </si>
  <si>
    <t>OBAGB024 EVS00 371</t>
  </si>
  <si>
    <t>OBAGB002 EVS18 347</t>
  </si>
  <si>
    <t>OBAGB024 EVS00 422</t>
  </si>
  <si>
    <t>HLESAD00 ECS00 036</t>
  </si>
  <si>
    <t>OBAGS016 TES26 008</t>
  </si>
  <si>
    <t>34</t>
  </si>
  <si>
    <t>OBAGPA06 TESF1 055</t>
  </si>
  <si>
    <t>OBAGPA24 TESE8 227</t>
  </si>
  <si>
    <t>OBAGA000 ECS42 036</t>
  </si>
  <si>
    <t>OCLKD001 MES86 055</t>
  </si>
  <si>
    <t>OCLKD104 MES90 008</t>
  </si>
  <si>
    <t>OCLKD104 MES92 497</t>
  </si>
  <si>
    <t>OBAGS009 TES01 026</t>
  </si>
  <si>
    <t>ACCEO001 TES23 076</t>
  </si>
  <si>
    <t>OCLKD001 MES81 026</t>
  </si>
  <si>
    <t>OBAGB016 EVS19 483</t>
  </si>
  <si>
    <t>OBAGP006 ECS54 215</t>
  </si>
  <si>
    <t>OBAGS009 TES01 422</t>
  </si>
  <si>
    <t>OBAGB001 EVS00 071</t>
  </si>
  <si>
    <t>04</t>
  </si>
  <si>
    <t>OBAGB001 EVS00 017</t>
  </si>
  <si>
    <t>OBAGB016 EVS00 071</t>
  </si>
  <si>
    <t>OBAGS016 TES26 078</t>
  </si>
  <si>
    <t>63</t>
  </si>
  <si>
    <t>OBAGB001 EVS00 158</t>
  </si>
  <si>
    <t>OBAGB002 EVS00 076</t>
  </si>
  <si>
    <t>OBAGB009 EVS00 076</t>
  </si>
  <si>
    <t>OBAGB010 EVS00 076</t>
  </si>
  <si>
    <t>OBAGB206 EVS00 075</t>
  </si>
  <si>
    <t>HLESMD00 ECS46 221</t>
  </si>
  <si>
    <t>25</t>
  </si>
  <si>
    <t>OBAGB010 EVS00 371</t>
  </si>
  <si>
    <t>OBAGB016 EVS00 371</t>
  </si>
  <si>
    <t>OBAGS002 TESG2 130</t>
  </si>
  <si>
    <t>OBAGS016 TESH1 008</t>
  </si>
  <si>
    <t>OBAGB206 EVS00 479</t>
  </si>
  <si>
    <t>OBAGS016 TESF8 480</t>
  </si>
  <si>
    <t>SHOUC106 ECS16 483</t>
  </si>
  <si>
    <t>ACCEC002 ECS03 036</t>
  </si>
  <si>
    <t>ACCEC002 ECS03 133</t>
  </si>
  <si>
    <t>HLESAE00 ECS00 075</t>
  </si>
  <si>
    <t>OBAGT001 TESE8 227</t>
  </si>
  <si>
    <t>SHOUGH00 TESI3 472</t>
  </si>
  <si>
    <t>OBAGP106 TESG5 476</t>
  </si>
  <si>
    <t>HLESG000 ROS04 500</t>
  </si>
  <si>
    <t>OBAGS002 TESE5 036</t>
  </si>
  <si>
    <t>OBAGS002 TES01 422</t>
  </si>
  <si>
    <t>OBAGP106 ECS55 075</t>
  </si>
  <si>
    <t>SHOUWA00 ECS51 371</t>
  </si>
  <si>
    <t>HLESD000 ECS35 076</t>
  </si>
  <si>
    <t>HLESAD00 ECS00 371</t>
  </si>
  <si>
    <t>OBAGS016 TESE6 036</t>
  </si>
  <si>
    <t>OBAGP006 TESE8 227</t>
  </si>
  <si>
    <t>OBAGA000 ECS42 371</t>
  </si>
  <si>
    <t>OCLKD104 MES92 498</t>
  </si>
  <si>
    <t>OCLKD104 MES92 499</t>
  </si>
  <si>
    <t>OBAGB024 EVS00 479</t>
  </si>
  <si>
    <t>HLESD000 ECS35 017</t>
  </si>
  <si>
    <t>ACCEO001 TES23 036</t>
  </si>
  <si>
    <t>OCLKD001 MES80 347</t>
  </si>
  <si>
    <t>OCLKD001 MES80 484</t>
  </si>
  <si>
    <t>SHOUWA00 ECS54 479</t>
  </si>
  <si>
    <t>OBAGA000 ECS40 075</t>
  </si>
  <si>
    <t>SHOUG617 ECS00 054</t>
  </si>
  <si>
    <t>OBAGB017 EVS00 055</t>
  </si>
  <si>
    <t>07</t>
  </si>
  <si>
    <t>OBAGB002 EVS00 158</t>
  </si>
  <si>
    <t>OBAGB206 EVS00 158</t>
  </si>
  <si>
    <t>OBAGB009 EVS00 133</t>
  </si>
  <si>
    <t>OBAGB017 EVS00 071</t>
  </si>
  <si>
    <t>OBAGB010 EVS00 071</t>
  </si>
  <si>
    <t>SHOUA306 ECS42 055</t>
  </si>
  <si>
    <t>27</t>
  </si>
  <si>
    <t>OBAGS016 TES26 055</t>
  </si>
  <si>
    <t>OBAGP106 ECS52 076</t>
  </si>
  <si>
    <t>OBAGB009 EVS00 026</t>
  </si>
  <si>
    <t>OBAGB016 EVS00 347</t>
  </si>
  <si>
    <t>OBAGB016 EVS00 075</t>
  </si>
  <si>
    <t>OBAGB009 EVS00 479</t>
  </si>
  <si>
    <t>ACCEC002 ECS03 479</t>
  </si>
  <si>
    <t>OBAGS017 TESE6 076</t>
  </si>
  <si>
    <t>ACCEC002 ECS03 422</t>
  </si>
  <si>
    <t>SHOUGG00 TESI2 227</t>
  </si>
  <si>
    <t>HLESAD00 ECS00 076</t>
  </si>
  <si>
    <t>OBAGS002 TESG9 125</t>
  </si>
  <si>
    <t>OBAGB024 EVS00 075</t>
  </si>
  <si>
    <t>OBAGB017 EVS00 479</t>
  </si>
  <si>
    <t>SHOUWA00 TESE5 036</t>
  </si>
  <si>
    <t>OBAGS001 TES01 130</t>
  </si>
  <si>
    <t>OBAGS002 TES01 075</t>
  </si>
  <si>
    <t>OBAGS016 TESF8 481</t>
  </si>
  <si>
    <t>OBAGB426 TESF9 009</t>
  </si>
  <si>
    <t>OBAGS102 TESG6 408</t>
  </si>
  <si>
    <t>SHOUCF00 ECS35 055</t>
  </si>
  <si>
    <t>OCLKD001 MES87 026</t>
  </si>
  <si>
    <t>OCLKD001 MES87 422</t>
  </si>
  <si>
    <t>OCLKD001 MES88 347</t>
  </si>
  <si>
    <t>OBAGS016 TES01 026</t>
  </si>
  <si>
    <t>OBAGP006 TESF5 441</t>
  </si>
  <si>
    <t>OBAGP006 TESF6 474</t>
  </si>
  <si>
    <t>OBAGP006 TESF8 481</t>
  </si>
  <si>
    <t>OBAGPA24 TESF6 474</t>
  </si>
  <si>
    <t>OBAGA000 ECS42 479</t>
  </si>
  <si>
    <t>OBAGB009 EVS15 479</t>
  </si>
  <si>
    <t>OBAGP106 ECS55 479</t>
  </si>
  <si>
    <t>OCLKD101 MES85 483</t>
  </si>
  <si>
    <t>OBAGB002 EVS00 371</t>
  </si>
  <si>
    <t>OBAGB009 EVS00 017</t>
  </si>
  <si>
    <t>OBAGB017 EVS00 017</t>
  </si>
  <si>
    <t>OBAGB016 EVS00 078</t>
  </si>
  <si>
    <t>OBAGB001 EVS00 422</t>
  </si>
  <si>
    <t>OBAGB017 EVS00 371</t>
  </si>
  <si>
    <t>OBAGB001 EVS00 485</t>
  </si>
  <si>
    <t>OCLKE013 MAS00 055</t>
  </si>
  <si>
    <t>OCLKE013 MAS00 059</t>
  </si>
  <si>
    <t>OCLKSB01 INS00 008</t>
  </si>
  <si>
    <t>OCLKSB01 INS00 060</t>
  </si>
  <si>
    <t>OBAGS017 TESH2 036</t>
  </si>
  <si>
    <t>OBAGP006 TESF2 055</t>
  </si>
  <si>
    <t>OBAGS010 TES01 076</t>
  </si>
  <si>
    <t>SHOUGH00 TESI4 241</t>
  </si>
  <si>
    <t>OBAGS009 TES01 076</t>
  </si>
  <si>
    <t>OBAGT001 TESF9 254</t>
  </si>
  <si>
    <t>OBAGP106 TES13 017</t>
  </si>
  <si>
    <t>OBAGS001 TESF9 254</t>
  </si>
  <si>
    <t>HLESGC00 ECS54 215</t>
  </si>
  <si>
    <t>HLESGC00 ECS54 479</t>
  </si>
  <si>
    <t>OBAGT001 TESG8 061</t>
  </si>
  <si>
    <t>OBAGT002 TESG8 061</t>
  </si>
  <si>
    <t>OBAGT002 TESE8 227</t>
  </si>
  <si>
    <t>OBAGS001 TESG3 481</t>
  </si>
  <si>
    <t>OBAGB206 EVS00 026</t>
  </si>
  <si>
    <t>ACCEP014 ECS35 076</t>
  </si>
  <si>
    <t>OBAGB001 EVS17 055</t>
  </si>
  <si>
    <t>OBAGS002 TESE7 055</t>
  </si>
  <si>
    <t>HLESAD00 ECS00 017</t>
  </si>
  <si>
    <t>OBAGS016 TES01 347</t>
  </si>
  <si>
    <t>OBAGS017 TESE6 055</t>
  </si>
  <si>
    <t>OBAGPA06 TESF1 008</t>
  </si>
  <si>
    <t>SHOUCF00 ECS35 036</t>
  </si>
  <si>
    <t>OCLKD001 MES86 076</t>
  </si>
  <si>
    <t>OCLKD001 MES86 347</t>
  </si>
  <si>
    <t>OCLKD101 MES91 487</t>
  </si>
  <si>
    <t>OBAGB024 EVS00 026</t>
  </si>
  <si>
    <t>OBAGS001 TESG2 017</t>
  </si>
  <si>
    <t>OBAGS009 TES01 130</t>
  </si>
  <si>
    <t>OBAGB009 EVS15 371</t>
  </si>
  <si>
    <t>OBAGPA24 ECS53 061</t>
  </si>
  <si>
    <t>SHOUWA00 ECS54 215</t>
  </si>
  <si>
    <t>OBAGPA10 ECS35 479</t>
  </si>
  <si>
    <t>OBAGB010 EVS00 055</t>
  </si>
  <si>
    <t>OBAGB001 EVS00 038</t>
  </si>
  <si>
    <t>OBAGB009 EVS00 075</t>
  </si>
  <si>
    <t>OBAGB010 EVS00 026</t>
  </si>
  <si>
    <t>OBAGB001 EVS00 026</t>
  </si>
  <si>
    <t>OBAGB002 EVS00 479</t>
  </si>
  <si>
    <t>OCLKE013 MAS00 063</t>
  </si>
  <si>
    <t>OCLKSB01 INS00 063</t>
  </si>
  <si>
    <t>SHOUBG00 ECS35 017</t>
  </si>
  <si>
    <t>ACCEC002 ECS03 055</t>
  </si>
  <si>
    <t>OBAGS009 TESG9 125</t>
  </si>
  <si>
    <t>OBAGB016 EVS00 479</t>
  </si>
  <si>
    <t>OBAGS002 TES01 076</t>
  </si>
  <si>
    <t>OBAGB426 ECS67 072</t>
  </si>
  <si>
    <t>OBAGP006 ECS54 072</t>
  </si>
  <si>
    <t>OBAGS016 TESG9 125</t>
  </si>
  <si>
    <t>OBAGS017 TESG3 480</t>
  </si>
  <si>
    <t>OBAGT001 TESH1 008</t>
  </si>
  <si>
    <t>OBAGB016 EVS19 075</t>
  </si>
  <si>
    <t>OBAGS002 TESF8 481</t>
  </si>
  <si>
    <t>OBAGB010 EVS00 479</t>
  </si>
  <si>
    <t>OBAGS001 TES01 347</t>
  </si>
  <si>
    <t>OBAGB002 EVS00 484</t>
  </si>
  <si>
    <t>OBAGB002 EVS18 371</t>
  </si>
  <si>
    <t>OBAGS017 TESE6 036</t>
  </si>
  <si>
    <t>OBAGP106 ECS52 055</t>
  </si>
  <si>
    <t>ACCEP014 ECS35 026</t>
  </si>
  <si>
    <t>HLESAD00 ECS00 026</t>
  </si>
  <si>
    <t>OBAGS017 TESG3 481</t>
  </si>
  <si>
    <t>OBAGPA24 TESF5 441</t>
  </si>
  <si>
    <t>OBAGB016 EVS19 371</t>
  </si>
  <si>
    <t>OBAGB016 EVS19 479</t>
  </si>
  <si>
    <t>OBAGP006 ECS54 130</t>
  </si>
  <si>
    <t>OBAGS010 TES01 075</t>
  </si>
  <si>
    <t>OBAGS017 TESH2 072</t>
  </si>
  <si>
    <t>HLESMD00 ECS46 072</t>
  </si>
  <si>
    <t>HLESAD00 ECS00 483</t>
  </si>
  <si>
    <t>OCLKD001 MES83 134</t>
  </si>
  <si>
    <t>OCLKD101 MES85 075</t>
  </si>
  <si>
    <t>OCLKD101 MES85 130</t>
  </si>
  <si>
    <t>OBAGS009 TES01 347</t>
  </si>
  <si>
    <t>OBAGS010 TES01 422</t>
  </si>
  <si>
    <t>OBAGB009 EVS00 038</t>
  </si>
  <si>
    <t>OBAGS017 TES26 078</t>
  </si>
  <si>
    <t>35</t>
  </si>
  <si>
    <t>65</t>
  </si>
  <si>
    <t>OBAGB002 EVS00 038</t>
  </si>
  <si>
    <t>OBAGB009 EVS00 078</t>
  </si>
  <si>
    <t>HLESMD00 ECS46 055</t>
  </si>
  <si>
    <t>OBAGS017 TES26 055</t>
  </si>
  <si>
    <t>OBAGB016 EVS00 026</t>
  </si>
  <si>
    <t>OBAGB002 EVS00 347</t>
  </si>
  <si>
    <t>OCLKSB01 INS00 076</t>
  </si>
  <si>
    <t>OCLKE013 MAS00 422</t>
  </si>
  <si>
    <t>OBAGB206 EVS00 347</t>
  </si>
  <si>
    <t>HLESMD00 ECS46 017</t>
  </si>
  <si>
    <t>HLESMD00 ECS46 479</t>
  </si>
  <si>
    <t>SHOUWA00 ECS51 055</t>
  </si>
  <si>
    <t>OBAGA000 ECS42 017</t>
  </si>
  <si>
    <t>OBAGP006 TESF8 480</t>
  </si>
  <si>
    <t>OBAGS001 TESE7 055</t>
  </si>
  <si>
    <t>HLESX600 ECS00 055</t>
  </si>
  <si>
    <t>OBAGS010 TESE7 055</t>
  </si>
  <si>
    <t>ACCEC002 ECS03 076</t>
  </si>
  <si>
    <t>OBAGPA24 TESG8 061</t>
  </si>
  <si>
    <t>OBAGS001 TESE5 036</t>
  </si>
  <si>
    <t>SHOUWA00 ECS55 479</t>
  </si>
  <si>
    <t>OBAGB002 EVS18 076</t>
  </si>
  <si>
    <t>OBAGS016 TESE6 055</t>
  </si>
  <si>
    <t>ACCEC002 ECS65 076</t>
  </si>
  <si>
    <t>OBAGB002 EVS18 422</t>
  </si>
  <si>
    <t>OBAGS016 TES01 422</t>
  </si>
  <si>
    <t>OBAGPA06 TESF1 036</t>
  </si>
  <si>
    <t>OBAGA000 ECS42 076</t>
  </si>
  <si>
    <t>ACCEP014 ECS35 017</t>
  </si>
  <si>
    <t>ACCEP014 ECS35 036</t>
  </si>
  <si>
    <t>OCLKD001 MES87 055</t>
  </si>
  <si>
    <t>OCLKD001 MES88 076</t>
  </si>
  <si>
    <t>OCLKD104 MES90 055</t>
  </si>
  <si>
    <t>OBAGS002 TESG2 017</t>
  </si>
  <si>
    <t>OBAGPA10 ECS35 017</t>
  </si>
  <si>
    <t>OBAGB009 EVS15 075</t>
  </si>
  <si>
    <t>HLESMD00 ECS46 483</t>
  </si>
  <si>
    <t>OBAGA000 ECS42 026</t>
  </si>
  <si>
    <t>OBAGB001 EVS00 078</t>
  </si>
  <si>
    <t>OBAGB001 EVS00 055</t>
  </si>
  <si>
    <t>OBAGB010 EVS00 017</t>
  </si>
  <si>
    <t>OBAGB001 EVS00 075</t>
  </si>
  <si>
    <t>OBAGB206 EVS00 071</t>
  </si>
  <si>
    <t>OBAGB009 EVS00 371</t>
  </si>
  <si>
    <t>OBAGB002 EVS00 026</t>
  </si>
  <si>
    <t>OBAGT001 TESF8 480</t>
  </si>
  <si>
    <t>OBAGB001 EVS00 484</t>
  </si>
  <si>
    <t>OBAGB426 TESG7 017</t>
  </si>
  <si>
    <t>OBAGS002 TESF8 480</t>
  </si>
  <si>
    <t>OBAGS010 TESE3 227</t>
  </si>
  <si>
    <t>OBAGS002 TESF9 254</t>
  </si>
  <si>
    <t>OBAGS016 TESE6 076</t>
  </si>
  <si>
    <t>SHOUWA00 ECS54 075</t>
  </si>
  <si>
    <t>OBAGB426 TESF7 475</t>
  </si>
  <si>
    <t>OBAGS001 TESH1 008</t>
  </si>
  <si>
    <t>OBAGS017 TESH1 008</t>
  </si>
  <si>
    <t>OBAGS001 TESG2 130</t>
  </si>
  <si>
    <t>OBAGPA24 ECS53 072</t>
  </si>
  <si>
    <t>ACCEC002 ECS03 026</t>
  </si>
  <si>
    <t>OBAGP006 TESG8 061</t>
  </si>
  <si>
    <t>OBAGS001 TESG9 125</t>
  </si>
  <si>
    <t>SHOUBG00 MAS10 055</t>
  </si>
  <si>
    <t>OBAGB002 EVS18 055</t>
  </si>
  <si>
    <t>OBAGB024 EVS00 055</t>
  </si>
  <si>
    <t>OBAGT001 TESF8 481</t>
  </si>
  <si>
    <t>HLESD000 ECS35 371</t>
  </si>
  <si>
    <t>Codes barre non renseignés</t>
  </si>
  <si>
    <t>(Plusieurs éléments)</t>
  </si>
  <si>
    <t>OBAGB009 EVS00 055</t>
  </si>
  <si>
    <t>OBAGB010 EVS00 347</t>
  </si>
  <si>
    <t>OBAGS010 TESH1 008</t>
  </si>
  <si>
    <t>Inconnu</t>
  </si>
  <si>
    <t>Vide</t>
  </si>
  <si>
    <t xml:space="preserve">                 LISTE DES CODES A BARRE                 </t>
  </si>
  <si>
    <t xml:space="preserve">                     Societe 01 SOFEA                    </t>
  </si>
  <si>
    <t xml:space="preserve"> MODELE          </t>
  </si>
  <si>
    <t xml:space="preserve">COL. </t>
  </si>
  <si>
    <t xml:space="preserve">TAI. </t>
  </si>
  <si>
    <t xml:space="preserve">FOURNISSEUR </t>
  </si>
  <si>
    <t>CODE BARRE NUM</t>
  </si>
  <si>
    <t xml:space="preserve"> 0CS01           </t>
  </si>
  <si>
    <t xml:space="preserve">     </t>
  </si>
  <si>
    <t xml:space="preserve">L    </t>
  </si>
  <si>
    <t xml:space="preserve">FULL        </t>
  </si>
  <si>
    <t xml:space="preserve">M    </t>
  </si>
  <si>
    <t xml:space="preserve">S    </t>
  </si>
  <si>
    <t xml:space="preserve">XL   </t>
  </si>
  <si>
    <t xml:space="preserve">XS   </t>
  </si>
  <si>
    <t xml:space="preserve"> 0CS16           </t>
  </si>
  <si>
    <t xml:space="preserve"> ABATJOUROJOY    </t>
  </si>
  <si>
    <t>ANTHR</t>
  </si>
  <si>
    <t>AUBER</t>
  </si>
  <si>
    <t xml:space="preserve">BLUE </t>
  </si>
  <si>
    <t xml:space="preserve">VERT </t>
  </si>
  <si>
    <t>YELLO</t>
  </si>
  <si>
    <t xml:space="preserve"> ANSEPLAGOUT/BAND</t>
  </si>
  <si>
    <t>BLUAC</t>
  </si>
  <si>
    <t>OPTWH</t>
  </si>
  <si>
    <t xml:space="preserve">RED  </t>
  </si>
  <si>
    <t xml:space="preserve"> ANSES/ALLONGEABL</t>
  </si>
  <si>
    <t xml:space="preserve">BDX  </t>
  </si>
  <si>
    <t xml:space="preserve">DOVE </t>
  </si>
  <si>
    <t>ECBLA</t>
  </si>
  <si>
    <t>ECNAT</t>
  </si>
  <si>
    <t>ECTES</t>
  </si>
  <si>
    <t xml:space="preserve">MOSS </t>
  </si>
  <si>
    <t xml:space="preserve"> ANSES/ANGULAIREX</t>
  </si>
  <si>
    <t xml:space="preserve">YELL </t>
  </si>
  <si>
    <t xml:space="preserve"> ANSES/ATTACHES  </t>
  </si>
  <si>
    <t>BIBLU</t>
  </si>
  <si>
    <t xml:space="preserve">XXL  </t>
  </si>
  <si>
    <t xml:space="preserve">XXS  </t>
  </si>
  <si>
    <t>BITER</t>
  </si>
  <si>
    <t>CBNAT</t>
  </si>
  <si>
    <t>CBNAV</t>
  </si>
  <si>
    <t>FLACQ</t>
  </si>
  <si>
    <t>GOACQ</t>
  </si>
  <si>
    <t>GOICE</t>
  </si>
  <si>
    <t>GOIRI</t>
  </si>
  <si>
    <t>GOMAG</t>
  </si>
  <si>
    <t>IVOIR</t>
  </si>
  <si>
    <t xml:space="preserve">ROSA </t>
  </si>
  <si>
    <t>SAUGE</t>
  </si>
  <si>
    <t xml:space="preserve">TEST </t>
  </si>
  <si>
    <t>TREBR</t>
  </si>
  <si>
    <t>TRENA</t>
  </si>
  <si>
    <t>VERCI</t>
  </si>
  <si>
    <t>VERRO</t>
  </si>
  <si>
    <t xml:space="preserve"> ANSES/BEACH     </t>
  </si>
  <si>
    <t>COARA</t>
  </si>
  <si>
    <t>COGIA</t>
  </si>
  <si>
    <t>COMAG</t>
  </si>
  <si>
    <t>FOUAR</t>
  </si>
  <si>
    <t xml:space="preserve">FOUM </t>
  </si>
  <si>
    <t xml:space="preserve"> ANSES/CHAINE    </t>
  </si>
  <si>
    <t>BRONZ</t>
  </si>
  <si>
    <t xml:space="preserve">OR   </t>
  </si>
  <si>
    <t>SILVE</t>
  </si>
  <si>
    <t xml:space="preserve"> ANSES/CORDE     </t>
  </si>
  <si>
    <t>BLUET</t>
  </si>
  <si>
    <t xml:space="preserve">GREY </t>
  </si>
  <si>
    <t>NATUR</t>
  </si>
  <si>
    <t xml:space="preserve"> ANSES/CORDEGOUTT</t>
  </si>
  <si>
    <t>GOBLU</t>
  </si>
  <si>
    <t>GORED</t>
  </si>
  <si>
    <t>GOYEL</t>
  </si>
  <si>
    <t>JUAPP</t>
  </si>
  <si>
    <t>JUORA</t>
  </si>
  <si>
    <t>JUYEL</t>
  </si>
  <si>
    <t>VERTF</t>
  </si>
  <si>
    <t xml:space="preserve"> ANSES/CUIR      </t>
  </si>
  <si>
    <t>BROWN</t>
  </si>
  <si>
    <t xml:space="preserve"> ANSES/DOUBLE    </t>
  </si>
  <si>
    <t xml:space="preserve"> ANSES/DOUBLETRES</t>
  </si>
  <si>
    <t xml:space="preserve">SKB  </t>
  </si>
  <si>
    <t>TORTO</t>
  </si>
  <si>
    <t xml:space="preserve"> ANSES/F.CUIR    </t>
  </si>
  <si>
    <t xml:space="preserve">ABRI </t>
  </si>
  <si>
    <t>ALBEI</t>
  </si>
  <si>
    <t>ALNOI</t>
  </si>
  <si>
    <t>ALVIN</t>
  </si>
  <si>
    <t xml:space="preserve">AZUR </t>
  </si>
  <si>
    <t xml:space="preserve">CBBL </t>
  </si>
  <si>
    <t xml:space="preserve">CBBR </t>
  </si>
  <si>
    <t xml:space="preserve">CBMA </t>
  </si>
  <si>
    <t>CHABL</t>
  </si>
  <si>
    <t>CHAMA</t>
  </si>
  <si>
    <t>CHAMG</t>
  </si>
  <si>
    <t>CHAMN</t>
  </si>
  <si>
    <t>COBAL</t>
  </si>
  <si>
    <t>DRKOR</t>
  </si>
  <si>
    <t>GENET</t>
  </si>
  <si>
    <t xml:space="preserve">GOLD </t>
  </si>
  <si>
    <t>GREEN</t>
  </si>
  <si>
    <t xml:space="preserve">LIME </t>
  </si>
  <si>
    <t xml:space="preserve">MAG  </t>
  </si>
  <si>
    <t>NAPAB</t>
  </si>
  <si>
    <t>NAPAC</t>
  </si>
  <si>
    <t>NAPAN</t>
  </si>
  <si>
    <t>NAPBL</t>
  </si>
  <si>
    <t>NAPBO</t>
  </si>
  <si>
    <t>NAPCO</t>
  </si>
  <si>
    <t>NAPET</t>
  </si>
  <si>
    <t>NAPJA</t>
  </si>
  <si>
    <t>NAPLE</t>
  </si>
  <si>
    <t>NAPMO</t>
  </si>
  <si>
    <t>NAPNO</t>
  </si>
  <si>
    <t>NAPPO</t>
  </si>
  <si>
    <t>NAPSA</t>
  </si>
  <si>
    <t>NAPTA</t>
  </si>
  <si>
    <t>NAPVI</t>
  </si>
  <si>
    <t>OBLOM</t>
  </si>
  <si>
    <t>OBLON</t>
  </si>
  <si>
    <t>OBNAT</t>
  </si>
  <si>
    <t>PETRO</t>
  </si>
  <si>
    <t xml:space="preserve">PLUM </t>
  </si>
  <si>
    <t xml:space="preserve">PURP </t>
  </si>
  <si>
    <t>SERJA</t>
  </si>
  <si>
    <t>SERNA</t>
  </si>
  <si>
    <t>SERVE</t>
  </si>
  <si>
    <t>SERVI</t>
  </si>
  <si>
    <t>TESTA</t>
  </si>
  <si>
    <t>VERBL</t>
  </si>
  <si>
    <t>VERNA</t>
  </si>
  <si>
    <t>VERNO</t>
  </si>
  <si>
    <t>VERPE</t>
  </si>
  <si>
    <t>VERTA</t>
  </si>
  <si>
    <t>VERVI</t>
  </si>
  <si>
    <t xml:space="preserve">VERW </t>
  </si>
  <si>
    <t xml:space="preserve">VOLC </t>
  </si>
  <si>
    <t>WBLUE</t>
  </si>
  <si>
    <t xml:space="preserve"> ANSES/FIFTY     </t>
  </si>
  <si>
    <t xml:space="preserve">BLK  </t>
  </si>
  <si>
    <t>NAPCE</t>
  </si>
  <si>
    <t>NAPCR</t>
  </si>
  <si>
    <t>NAPTU</t>
  </si>
  <si>
    <t>NAPWH</t>
  </si>
  <si>
    <t xml:space="preserve"> ANSES/MICRO     </t>
  </si>
  <si>
    <t xml:space="preserve">BLBO </t>
  </si>
  <si>
    <t>BOPOR</t>
  </si>
  <si>
    <t>CHADM</t>
  </si>
  <si>
    <t>CHAMU</t>
  </si>
  <si>
    <t>CHBLU</t>
  </si>
  <si>
    <t>CHCOR</t>
  </si>
  <si>
    <t>CHGRI</t>
  </si>
  <si>
    <t>CHORA</t>
  </si>
  <si>
    <t>DENIM</t>
  </si>
  <si>
    <t>FOLKB</t>
  </si>
  <si>
    <t xml:space="preserve">MACE </t>
  </si>
  <si>
    <t xml:space="preserve">MAMO </t>
  </si>
  <si>
    <t xml:space="preserve">MAPE </t>
  </si>
  <si>
    <t xml:space="preserve">NABL </t>
  </si>
  <si>
    <t xml:space="preserve">NAGR </t>
  </si>
  <si>
    <t xml:space="preserve">NOMO </t>
  </si>
  <si>
    <t>ODPBL</t>
  </si>
  <si>
    <t>ODPTO</t>
  </si>
  <si>
    <t>ODPVE</t>
  </si>
  <si>
    <t>ROSTE</t>
  </si>
  <si>
    <t>ROTES</t>
  </si>
  <si>
    <t>SUEDO</t>
  </si>
  <si>
    <t>SUEPE</t>
  </si>
  <si>
    <t>SUEVI</t>
  </si>
  <si>
    <t>VERJA</t>
  </si>
  <si>
    <t>VIOCU</t>
  </si>
  <si>
    <t xml:space="preserve"> ANSES/MICROCHAIN</t>
  </si>
  <si>
    <t>AMARA</t>
  </si>
  <si>
    <t>ORANG</t>
  </si>
  <si>
    <t xml:space="preserve"> ANSES/MICROLON  </t>
  </si>
  <si>
    <t xml:space="preserve"> ANSES/MICROLONG </t>
  </si>
  <si>
    <t>FOLKO</t>
  </si>
  <si>
    <t xml:space="preserve"> ANSES/MICROTUB  </t>
  </si>
  <si>
    <t>3DLAT</t>
  </si>
  <si>
    <t>COGNA</t>
  </si>
  <si>
    <t>OTTAN</t>
  </si>
  <si>
    <t xml:space="preserve"> ANSES/MICROVERNI</t>
  </si>
  <si>
    <t xml:space="preserve">BLGR </t>
  </si>
  <si>
    <t>MATBE</t>
  </si>
  <si>
    <t xml:space="preserve"> ANSES/OBLO      </t>
  </si>
  <si>
    <t>BNGRI</t>
  </si>
  <si>
    <t xml:space="preserve">BNTA </t>
  </si>
  <si>
    <t>GRIGI</t>
  </si>
  <si>
    <t>PRAIR</t>
  </si>
  <si>
    <t xml:space="preserve"> ANSES/PLA.CHAINE</t>
  </si>
  <si>
    <t xml:space="preserve"> ANSES/PLA.GOUTTE</t>
  </si>
  <si>
    <t>CARNE</t>
  </si>
  <si>
    <t>CBWHI</t>
  </si>
  <si>
    <t>COBLU</t>
  </si>
  <si>
    <t>CORBL</t>
  </si>
  <si>
    <t>CORBO</t>
  </si>
  <si>
    <t>CORDO</t>
  </si>
  <si>
    <t>CORJA</t>
  </si>
  <si>
    <t>CORRO</t>
  </si>
  <si>
    <t>CORVE</t>
  </si>
  <si>
    <t>CROBL</t>
  </si>
  <si>
    <t>CROBR</t>
  </si>
  <si>
    <t>CROIC</t>
  </si>
  <si>
    <t xml:space="preserve">ECRU </t>
  </si>
  <si>
    <t xml:space="preserve">EMER </t>
  </si>
  <si>
    <t xml:space="preserve">FLAM </t>
  </si>
  <si>
    <t>FOUAC</t>
  </si>
  <si>
    <t>FOUBL</t>
  </si>
  <si>
    <t>FOUVE</t>
  </si>
  <si>
    <t>GOLIM</t>
  </si>
  <si>
    <t>GOPAP</t>
  </si>
  <si>
    <t xml:space="preserve">MELA </t>
  </si>
  <si>
    <t>MOMOB</t>
  </si>
  <si>
    <t>MOMOP</t>
  </si>
  <si>
    <t>MOMOR</t>
  </si>
  <si>
    <t>MOMOV</t>
  </si>
  <si>
    <t>SACGR</t>
  </si>
  <si>
    <t>SACTE</t>
  </si>
  <si>
    <t>SALMO</t>
  </si>
  <si>
    <t>SERBE</t>
  </si>
  <si>
    <t>SERGR</t>
  </si>
  <si>
    <t>SEROR</t>
  </si>
  <si>
    <t xml:space="preserve">TURQ </t>
  </si>
  <si>
    <t>VERBO</t>
  </si>
  <si>
    <t>VERCO</t>
  </si>
  <si>
    <t>VERMA</t>
  </si>
  <si>
    <t>VERSA</t>
  </si>
  <si>
    <t>VERTE</t>
  </si>
  <si>
    <t>VERVE</t>
  </si>
  <si>
    <t>VINGR</t>
  </si>
  <si>
    <t>VINIC</t>
  </si>
  <si>
    <t>VINMA</t>
  </si>
  <si>
    <t>VINVE</t>
  </si>
  <si>
    <t xml:space="preserve">VIOL </t>
  </si>
  <si>
    <t xml:space="preserve"> ANSES/PLA.GOUTXS</t>
  </si>
  <si>
    <t>BLUAV</t>
  </si>
  <si>
    <t>BNIVO</t>
  </si>
  <si>
    <t>GEBLU</t>
  </si>
  <si>
    <t>GEOBL</t>
  </si>
  <si>
    <t>GEOBO</t>
  </si>
  <si>
    <t>METRO</t>
  </si>
  <si>
    <t xml:space="preserve">OCRE </t>
  </si>
  <si>
    <t>SAKOC</t>
  </si>
  <si>
    <t>TAUPE</t>
  </si>
  <si>
    <t>VERGR</t>
  </si>
  <si>
    <t>VOLCA</t>
  </si>
  <si>
    <t xml:space="preserve"> ANSES/PLAGOUBAND</t>
  </si>
  <si>
    <t>DIABL</t>
  </si>
  <si>
    <t>JACBL</t>
  </si>
  <si>
    <t>JACRO</t>
  </si>
  <si>
    <t>LIGBL</t>
  </si>
  <si>
    <t>LIGRO</t>
  </si>
  <si>
    <t>VELBL</t>
  </si>
  <si>
    <t xml:space="preserve"> ANSES/PLATES    </t>
  </si>
  <si>
    <t xml:space="preserve">CBWH </t>
  </si>
  <si>
    <t>CUIBL</t>
  </si>
  <si>
    <t>CUIMA</t>
  </si>
  <si>
    <t>CUINO</t>
  </si>
  <si>
    <t>CUIVI</t>
  </si>
  <si>
    <t>CUIWI</t>
  </si>
  <si>
    <t>ECBBR</t>
  </si>
  <si>
    <t>ECBNA</t>
  </si>
  <si>
    <t xml:space="preserve">ECOB </t>
  </si>
  <si>
    <t>ECOBR</t>
  </si>
  <si>
    <t>ECONA</t>
  </si>
  <si>
    <t>ECONO</t>
  </si>
  <si>
    <t xml:space="preserve">MAR  </t>
  </si>
  <si>
    <t xml:space="preserve"> ANSES/RONDES    </t>
  </si>
  <si>
    <t>BIGRI</t>
  </si>
  <si>
    <t>BIPRA</t>
  </si>
  <si>
    <t xml:space="preserve">E    </t>
  </si>
  <si>
    <t>GOBLA</t>
  </si>
  <si>
    <t>GOCOL</t>
  </si>
  <si>
    <t>GOGRE</t>
  </si>
  <si>
    <t>GOTES</t>
  </si>
  <si>
    <t>MIBLU</t>
  </si>
  <si>
    <t>MISAL</t>
  </si>
  <si>
    <t>MITOR</t>
  </si>
  <si>
    <t>MIVER</t>
  </si>
  <si>
    <t>ROUGE</t>
  </si>
  <si>
    <t>SLBLU</t>
  </si>
  <si>
    <t>SLGLI</t>
  </si>
  <si>
    <t>SLSAL</t>
  </si>
  <si>
    <t>TURQU</t>
  </si>
  <si>
    <t>VERPO</t>
  </si>
  <si>
    <t xml:space="preserve"> ANSES/SQUARE    </t>
  </si>
  <si>
    <t>BISCO</t>
  </si>
  <si>
    <t xml:space="preserve">NAVY </t>
  </si>
  <si>
    <t xml:space="preserve">SLVG </t>
  </si>
  <si>
    <t>TERRA</t>
  </si>
  <si>
    <t xml:space="preserve"> ANSES/TISSU     </t>
  </si>
  <si>
    <t>CARGR</t>
  </si>
  <si>
    <t>CARRO</t>
  </si>
  <si>
    <t xml:space="preserve">DEN  </t>
  </si>
  <si>
    <t xml:space="preserve">FEUB </t>
  </si>
  <si>
    <t xml:space="preserve">FEUM </t>
  </si>
  <si>
    <t>FEUPE</t>
  </si>
  <si>
    <t xml:space="preserve">FEUR </t>
  </si>
  <si>
    <t xml:space="preserve">FLGR </t>
  </si>
  <si>
    <t>FLORA</t>
  </si>
  <si>
    <t>HAWAI</t>
  </si>
  <si>
    <t>MULTI</t>
  </si>
  <si>
    <t>RAIBL</t>
  </si>
  <si>
    <t>RAIRO</t>
  </si>
  <si>
    <t xml:space="preserve"> ANSES/TRESSEES  </t>
  </si>
  <si>
    <t>CUINA</t>
  </si>
  <si>
    <t xml:space="preserve">PORP </t>
  </si>
  <si>
    <t xml:space="preserve"> ANSES/TRESSESECO</t>
  </si>
  <si>
    <t xml:space="preserve"> ANSES/TWEEDGOUT </t>
  </si>
  <si>
    <t xml:space="preserve"> ANSES/VERNIS    </t>
  </si>
  <si>
    <t xml:space="preserve">BOR  </t>
  </si>
  <si>
    <t>CIPRI</t>
  </si>
  <si>
    <t>CORAL</t>
  </si>
  <si>
    <t>MARRO</t>
  </si>
  <si>
    <t>MARSA</t>
  </si>
  <si>
    <t xml:space="preserve"> ANSES:CHAINE+ECO</t>
  </si>
  <si>
    <t>FEUBE</t>
  </si>
  <si>
    <t>FEUBL</t>
  </si>
  <si>
    <t>FEUJA</t>
  </si>
  <si>
    <t>GOORA</t>
  </si>
  <si>
    <t>GRBLU</t>
  </si>
  <si>
    <t>GRPOL</t>
  </si>
  <si>
    <t>MIGRI</t>
  </si>
  <si>
    <t>VELBO</t>
  </si>
  <si>
    <t>VELNE</t>
  </si>
  <si>
    <t>VELSK</t>
  </si>
  <si>
    <t>VERBG</t>
  </si>
  <si>
    <t xml:space="preserve"> ANSESANGULAIRES </t>
  </si>
  <si>
    <t>ARANC</t>
  </si>
  <si>
    <t>MAGEN</t>
  </si>
  <si>
    <t>SABLU</t>
  </si>
  <si>
    <t>SAFAB</t>
  </si>
  <si>
    <t>SAOTT</t>
  </si>
  <si>
    <t>SAROS</t>
  </si>
  <si>
    <t>SAROU</t>
  </si>
  <si>
    <t>SATES</t>
  </si>
  <si>
    <t>SAVER</t>
  </si>
  <si>
    <t>SAVIO</t>
  </si>
  <si>
    <t>SUNAT</t>
  </si>
  <si>
    <t xml:space="preserve"> ANSESANGULAIREXS</t>
  </si>
  <si>
    <t>MABLU</t>
  </si>
  <si>
    <t>MAGRI</t>
  </si>
  <si>
    <t>MANOC</t>
  </si>
  <si>
    <t>MATER</t>
  </si>
  <si>
    <t xml:space="preserve">NOCE </t>
  </si>
  <si>
    <t xml:space="preserve"> ANSESCHAINES/GO </t>
  </si>
  <si>
    <t>LIEBL</t>
  </si>
  <si>
    <t>LIEIV</t>
  </si>
  <si>
    <t xml:space="preserve"> ANSESRONDES     </t>
  </si>
  <si>
    <t xml:space="preserve"> ANSESZAINO      </t>
  </si>
  <si>
    <t>BRUCI</t>
  </si>
  <si>
    <t xml:space="preserve"> ASTRA           </t>
  </si>
  <si>
    <t xml:space="preserve"> ATTACHESCHAINE  </t>
  </si>
  <si>
    <t xml:space="preserve"> ATTACHESOPOCKET </t>
  </si>
  <si>
    <t>BEIGE</t>
  </si>
  <si>
    <t xml:space="preserve"> BANDOBASKET     </t>
  </si>
  <si>
    <t>ALNAT</t>
  </si>
  <si>
    <t>ALNER</t>
  </si>
  <si>
    <t>ALTES</t>
  </si>
  <si>
    <t>CHABR</t>
  </si>
  <si>
    <t>CHAOR</t>
  </si>
  <si>
    <t>CHASI</t>
  </si>
  <si>
    <t xml:space="preserve">CUIB </t>
  </si>
  <si>
    <t xml:space="preserve">FLBL </t>
  </si>
  <si>
    <t>FLROS</t>
  </si>
  <si>
    <t xml:space="preserve"> BANDOBODY       </t>
  </si>
  <si>
    <t xml:space="preserve">BLOR </t>
  </si>
  <si>
    <t>CHAIN</t>
  </si>
  <si>
    <t xml:space="preserve">CNOI </t>
  </si>
  <si>
    <t>ECOAZ</t>
  </si>
  <si>
    <t xml:space="preserve">ECOW </t>
  </si>
  <si>
    <t>JARED</t>
  </si>
  <si>
    <t>TRBDX</t>
  </si>
  <si>
    <t>TROTT</t>
  </si>
  <si>
    <t>TRTOR</t>
  </si>
  <si>
    <t>TRTOU</t>
  </si>
  <si>
    <t>TWEGR</t>
  </si>
  <si>
    <t>TWENO</t>
  </si>
  <si>
    <t xml:space="preserve"> BANDOCITY       </t>
  </si>
  <si>
    <t xml:space="preserve"> BANDOCOUR       </t>
  </si>
  <si>
    <t xml:space="preserve"> BANDOCOURTE     </t>
  </si>
  <si>
    <t xml:space="preserve"> BANDOECO+CHAINE </t>
  </si>
  <si>
    <t>VEBLU</t>
  </si>
  <si>
    <t>VELAU</t>
  </si>
  <si>
    <t>VELAV</t>
  </si>
  <si>
    <t>VELBD</t>
  </si>
  <si>
    <t>VELNO</t>
  </si>
  <si>
    <t>VELPH</t>
  </si>
  <si>
    <t xml:space="preserve"> BANDOFINE       </t>
  </si>
  <si>
    <t xml:space="preserve"> BANDOFOLDER     </t>
  </si>
  <si>
    <t>BNTAU</t>
  </si>
  <si>
    <t>BNTES</t>
  </si>
  <si>
    <t>CUIVE</t>
  </si>
  <si>
    <t>ECBLU</t>
  </si>
  <si>
    <t>ECOBL</t>
  </si>
  <si>
    <t>ECOTE</t>
  </si>
  <si>
    <t>ECPRA</t>
  </si>
  <si>
    <t xml:space="preserve"> BANDOGOUTTE     </t>
  </si>
  <si>
    <t xml:space="preserve"> BANDOMINIFOLDER </t>
  </si>
  <si>
    <t>FOLKT</t>
  </si>
  <si>
    <t xml:space="preserve">KIWI </t>
  </si>
  <si>
    <t xml:space="preserve"> BANDOMOON       </t>
  </si>
  <si>
    <t>BOBLA</t>
  </si>
  <si>
    <t>BOBLU</t>
  </si>
  <si>
    <t>BOGRE</t>
  </si>
  <si>
    <t>BONAT</t>
  </si>
  <si>
    <t>BOTES</t>
  </si>
  <si>
    <t>ECOGR</t>
  </si>
  <si>
    <t>ECOVE</t>
  </si>
  <si>
    <t>RAYBL</t>
  </si>
  <si>
    <t>RAYIV</t>
  </si>
  <si>
    <t xml:space="preserve"> BANDOMOONLIGHT  </t>
  </si>
  <si>
    <t>ECOAU</t>
  </si>
  <si>
    <t>ECOOT</t>
  </si>
  <si>
    <t>ECOVO</t>
  </si>
  <si>
    <t>TRITO</t>
  </si>
  <si>
    <t>TROTA</t>
  </si>
  <si>
    <t xml:space="preserve"> BANDOSWING      </t>
  </si>
  <si>
    <t>ECTER</t>
  </si>
  <si>
    <t>ETBLU</t>
  </si>
  <si>
    <t>ETLAI</t>
  </si>
  <si>
    <t>ETRED</t>
  </si>
  <si>
    <t>ETVIN</t>
  </si>
  <si>
    <t>PERBL</t>
  </si>
  <si>
    <t>PEROR</t>
  </si>
  <si>
    <t>PERVE</t>
  </si>
  <si>
    <t>PERWH</t>
  </si>
  <si>
    <t>TRETE</t>
  </si>
  <si>
    <t xml:space="preserve"> BANDOULIERE     </t>
  </si>
  <si>
    <t xml:space="preserve">CBLA </t>
  </si>
  <si>
    <t>DISBL</t>
  </si>
  <si>
    <t>DISJA</t>
  </si>
  <si>
    <t>DISPO</t>
  </si>
  <si>
    <t>DISRE</t>
  </si>
  <si>
    <t>DTPIN</t>
  </si>
  <si>
    <t>DTSAU</t>
  </si>
  <si>
    <t xml:space="preserve">LMAR </t>
  </si>
  <si>
    <t xml:space="preserve">LNOI </t>
  </si>
  <si>
    <t xml:space="preserve"> BODYBEACH       </t>
  </si>
  <si>
    <t>ACQUA</t>
  </si>
  <si>
    <t xml:space="preserve">MAYA </t>
  </si>
  <si>
    <t xml:space="preserve">MINT </t>
  </si>
  <si>
    <t>OCEAN</t>
  </si>
  <si>
    <t>OLIVE</t>
  </si>
  <si>
    <t>PAPAY</t>
  </si>
  <si>
    <t xml:space="preserve">POW  </t>
  </si>
  <si>
    <t xml:space="preserve">ROCK </t>
  </si>
  <si>
    <t>ROSMO</t>
  </si>
  <si>
    <t xml:space="preserve">SAND </t>
  </si>
  <si>
    <t xml:space="preserve">SAU  </t>
  </si>
  <si>
    <t>SBLUE</t>
  </si>
  <si>
    <t xml:space="preserve"> BODYHOLE        </t>
  </si>
  <si>
    <t xml:space="preserve"> BORBASFOU       </t>
  </si>
  <si>
    <t xml:space="preserve">LABE </t>
  </si>
  <si>
    <t>LANOI</t>
  </si>
  <si>
    <t xml:space="preserve"> BORCHIECOFOU    </t>
  </si>
  <si>
    <t>IVOAB</t>
  </si>
  <si>
    <t>LANIB</t>
  </si>
  <si>
    <t>LANIG</t>
  </si>
  <si>
    <t>LAPAU</t>
  </si>
  <si>
    <t>LAPBL</t>
  </si>
  <si>
    <t>LAPBO</t>
  </si>
  <si>
    <t>LAPGR</t>
  </si>
  <si>
    <t>LAPIV</t>
  </si>
  <si>
    <t>LAPOR</t>
  </si>
  <si>
    <t>LAPPO</t>
  </si>
  <si>
    <t>LAPRO</t>
  </si>
  <si>
    <t>LAPSA</t>
  </si>
  <si>
    <t>LAPTE</t>
  </si>
  <si>
    <t>LAPTO</t>
  </si>
  <si>
    <t>LAPVE</t>
  </si>
  <si>
    <t>LARAB</t>
  </si>
  <si>
    <t>LARAV</t>
  </si>
  <si>
    <t>LAROS</t>
  </si>
  <si>
    <t>MARIV</t>
  </si>
  <si>
    <t>MARSI</t>
  </si>
  <si>
    <t>REVIO</t>
  </si>
  <si>
    <t>ROUAZ</t>
  </si>
  <si>
    <t>VISBL</t>
  </si>
  <si>
    <t>VISGR</t>
  </si>
  <si>
    <t>VISMU</t>
  </si>
  <si>
    <t xml:space="preserve"> BORCHIETNICO    </t>
  </si>
  <si>
    <t>BROBL</t>
  </si>
  <si>
    <t>BRODE</t>
  </si>
  <si>
    <t>BROIV</t>
  </si>
  <si>
    <t>CANFR</t>
  </si>
  <si>
    <t>FOULA</t>
  </si>
  <si>
    <t>RAFBR</t>
  </si>
  <si>
    <t>TRESA</t>
  </si>
  <si>
    <t>TRSAL</t>
  </si>
  <si>
    <t xml:space="preserve"> BORCHIFOU       </t>
  </si>
  <si>
    <t xml:space="preserve">LAIR </t>
  </si>
  <si>
    <t xml:space="preserve">LALI </t>
  </si>
  <si>
    <t xml:space="preserve">LARO </t>
  </si>
  <si>
    <t xml:space="preserve">MMAR </t>
  </si>
  <si>
    <t xml:space="preserve"> BORCHILAI       </t>
  </si>
  <si>
    <t>BOUBL</t>
  </si>
  <si>
    <t>BOUBO</t>
  </si>
  <si>
    <t>CACHD</t>
  </si>
  <si>
    <t>CACHG</t>
  </si>
  <si>
    <t>CACHM</t>
  </si>
  <si>
    <t>CHABW</t>
  </si>
  <si>
    <t>CHANB</t>
  </si>
  <si>
    <t>CHARO</t>
  </si>
  <si>
    <t>JABOR</t>
  </si>
  <si>
    <t xml:space="preserve">JADO </t>
  </si>
  <si>
    <t>JAGRE</t>
  </si>
  <si>
    <t>LAIAN</t>
  </si>
  <si>
    <t>LAIBL</t>
  </si>
  <si>
    <t>LAINN</t>
  </si>
  <si>
    <t>LAIOT</t>
  </si>
  <si>
    <t>LAIRO</t>
  </si>
  <si>
    <t>PDPBU</t>
  </si>
  <si>
    <t>PDPRU</t>
  </si>
  <si>
    <t>TRABL</t>
  </si>
  <si>
    <t>TRAIV</t>
  </si>
  <si>
    <t xml:space="preserve"> BORCHISUEDINE   </t>
  </si>
  <si>
    <t>COCDO</t>
  </si>
  <si>
    <t>COCMA</t>
  </si>
  <si>
    <t>COCNO</t>
  </si>
  <si>
    <t>FIOMA</t>
  </si>
  <si>
    <t>FIOPE</t>
  </si>
  <si>
    <t>FIOVI</t>
  </si>
  <si>
    <t xml:space="preserve"> BORDOBASKET     </t>
  </si>
  <si>
    <t xml:space="preserve"> BORDOCHIC       </t>
  </si>
  <si>
    <t>CARNO</t>
  </si>
  <si>
    <t>SOIAC</t>
  </si>
  <si>
    <t>SOIOC</t>
  </si>
  <si>
    <t>SOISI</t>
  </si>
  <si>
    <t xml:space="preserve"> BORDOCITY       </t>
  </si>
  <si>
    <t>LAIDO</t>
  </si>
  <si>
    <t>LAINO</t>
  </si>
  <si>
    <t xml:space="preserve"> BORDOFIFTY      </t>
  </si>
  <si>
    <t>ECOPH</t>
  </si>
  <si>
    <t>TRBLU</t>
  </si>
  <si>
    <t>TREVE</t>
  </si>
  <si>
    <t xml:space="preserve"> BORDURES        </t>
  </si>
  <si>
    <t xml:space="preserve">AGUG </t>
  </si>
  <si>
    <t xml:space="preserve">BLWH </t>
  </si>
  <si>
    <t>BOUJA</t>
  </si>
  <si>
    <t>BOUOR</t>
  </si>
  <si>
    <t>BOUTO</t>
  </si>
  <si>
    <t>BROGR</t>
  </si>
  <si>
    <t>CACHB</t>
  </si>
  <si>
    <t>CAMET</t>
  </si>
  <si>
    <t>CARBL</t>
  </si>
  <si>
    <t>CARBW</t>
  </si>
  <si>
    <t>CARVE</t>
  </si>
  <si>
    <t>CARVI</t>
  </si>
  <si>
    <t xml:space="preserve">CHA  </t>
  </si>
  <si>
    <t>CHABI</t>
  </si>
  <si>
    <t>COTBL</t>
  </si>
  <si>
    <t>COTDO</t>
  </si>
  <si>
    <t>COTWH</t>
  </si>
  <si>
    <t>DAMBA</t>
  </si>
  <si>
    <t>DAMBL</t>
  </si>
  <si>
    <t>DAMIV</t>
  </si>
  <si>
    <t>ECOSR</t>
  </si>
  <si>
    <t>ECOSV</t>
  </si>
  <si>
    <t>EFSBL</t>
  </si>
  <si>
    <t>FEUNO</t>
  </si>
  <si>
    <t>FEUVE</t>
  </si>
  <si>
    <t>FLAGR</t>
  </si>
  <si>
    <t>FLAVE</t>
  </si>
  <si>
    <t>FLGRE</t>
  </si>
  <si>
    <t>FLOWE</t>
  </si>
  <si>
    <t>FOLKG</t>
  </si>
  <si>
    <t xml:space="preserve">JUBL </t>
  </si>
  <si>
    <t>JUBLU</t>
  </si>
  <si>
    <t xml:space="preserve">JUGR </t>
  </si>
  <si>
    <t>JUNAT</t>
  </si>
  <si>
    <t>JUNOI</t>
  </si>
  <si>
    <t>JUOCR</t>
  </si>
  <si>
    <t>JUWHI</t>
  </si>
  <si>
    <t>KALAU</t>
  </si>
  <si>
    <t>KALOT</t>
  </si>
  <si>
    <t>LAINB</t>
  </si>
  <si>
    <t>LAIPH</t>
  </si>
  <si>
    <t>LIEDE</t>
  </si>
  <si>
    <t>LINAZ</t>
  </si>
  <si>
    <t>LINBL</t>
  </si>
  <si>
    <t>LINPH</t>
  </si>
  <si>
    <t>LINPO</t>
  </si>
  <si>
    <t>LINYE</t>
  </si>
  <si>
    <t xml:space="preserve">MATB </t>
  </si>
  <si>
    <t>MATBD</t>
  </si>
  <si>
    <t>MATBL</t>
  </si>
  <si>
    <t>MATGR</t>
  </si>
  <si>
    <t xml:space="preserve">MATL </t>
  </si>
  <si>
    <t xml:space="preserve">MATM </t>
  </si>
  <si>
    <t xml:space="preserve">MATN </t>
  </si>
  <si>
    <t>MATNO</t>
  </si>
  <si>
    <t xml:space="preserve">MATV </t>
  </si>
  <si>
    <t xml:space="preserve">MATW </t>
  </si>
  <si>
    <t xml:space="preserve">MEX  </t>
  </si>
  <si>
    <t>ODPSA</t>
  </si>
  <si>
    <t>ONDBL</t>
  </si>
  <si>
    <t>ORIBL</t>
  </si>
  <si>
    <t xml:space="preserve">PINK </t>
  </si>
  <si>
    <t xml:space="preserve">PKBL </t>
  </si>
  <si>
    <t xml:space="preserve">PKWH </t>
  </si>
  <si>
    <t>POBLU</t>
  </si>
  <si>
    <t>POIBD</t>
  </si>
  <si>
    <t xml:space="preserve">POIS </t>
  </si>
  <si>
    <t>POIWH</t>
  </si>
  <si>
    <t>POSAL</t>
  </si>
  <si>
    <t xml:space="preserve">RAF  </t>
  </si>
  <si>
    <t>RAIES</t>
  </si>
  <si>
    <t>RIVBL</t>
  </si>
  <si>
    <t>RIVJA</t>
  </si>
  <si>
    <t>RIVRO</t>
  </si>
  <si>
    <t>SOIBL</t>
  </si>
  <si>
    <t>SOIJA</t>
  </si>
  <si>
    <t>SOIOR</t>
  </si>
  <si>
    <t>SOIRO</t>
  </si>
  <si>
    <t>SUEBL</t>
  </si>
  <si>
    <t>SUEBO</t>
  </si>
  <si>
    <t>SUENA</t>
  </si>
  <si>
    <t>SUERO</t>
  </si>
  <si>
    <t>SUETE</t>
  </si>
  <si>
    <t>SWING</t>
  </si>
  <si>
    <t>TOIBL</t>
  </si>
  <si>
    <t>TOIFR</t>
  </si>
  <si>
    <t>TOISO</t>
  </si>
  <si>
    <t>TOUCA</t>
  </si>
  <si>
    <t>TWILL</t>
  </si>
  <si>
    <t>VELAI</t>
  </si>
  <si>
    <t xml:space="preserve">VINT </t>
  </si>
  <si>
    <t xml:space="preserve"> BORDUREZIP      </t>
  </si>
  <si>
    <t>ZIPNE</t>
  </si>
  <si>
    <t>ZIPVE</t>
  </si>
  <si>
    <t xml:space="preserve"> BRACELET        </t>
  </si>
  <si>
    <t xml:space="preserve">BLG  </t>
  </si>
  <si>
    <t>CAPRI</t>
  </si>
  <si>
    <t xml:space="preserve">CHO  </t>
  </si>
  <si>
    <t>FLUOG</t>
  </si>
  <si>
    <t>FLUOP</t>
  </si>
  <si>
    <t>FLUOY</t>
  </si>
  <si>
    <t xml:space="preserve">ICE  </t>
  </si>
  <si>
    <t xml:space="preserve">IRIS </t>
  </si>
  <si>
    <t>LIGHT</t>
  </si>
  <si>
    <t>LILAC</t>
  </si>
  <si>
    <t>MONTG</t>
  </si>
  <si>
    <t xml:space="preserve">NAR  </t>
  </si>
  <si>
    <t xml:space="preserve">PAST </t>
  </si>
  <si>
    <t>PEPER</t>
  </si>
  <si>
    <t>PISTA</t>
  </si>
  <si>
    <t>POLVE</t>
  </si>
  <si>
    <t xml:space="preserve">RUBY </t>
  </si>
  <si>
    <t xml:space="preserve">SAPH </t>
  </si>
  <si>
    <t>VERTO</t>
  </si>
  <si>
    <t>VIODE</t>
  </si>
  <si>
    <t xml:space="preserve">WGRE </t>
  </si>
  <si>
    <t xml:space="preserve"> BRACELETGREAT   </t>
  </si>
  <si>
    <t xml:space="preserve"> BRACELETOPALINO </t>
  </si>
  <si>
    <t>CITRO</t>
  </si>
  <si>
    <t xml:space="preserve">FRAG </t>
  </si>
  <si>
    <t>MENTH</t>
  </si>
  <si>
    <t>PUFFO</t>
  </si>
  <si>
    <t xml:space="preserve"> BRACELETWICKER  </t>
  </si>
  <si>
    <t xml:space="preserve"> BRADAISYBIG     </t>
  </si>
  <si>
    <t xml:space="preserve"> BRAFLEUR        </t>
  </si>
  <si>
    <t xml:space="preserve">UNI  </t>
  </si>
  <si>
    <t xml:space="preserve"> BRAFLEURSL      </t>
  </si>
  <si>
    <t xml:space="preserve"> BRAKNOTDOUBLE   </t>
  </si>
  <si>
    <t xml:space="preserve"> BRAKNOTSINGLE   </t>
  </si>
  <si>
    <t xml:space="preserve"> BRAN            </t>
  </si>
  <si>
    <t xml:space="preserve"> BRAN/AVIATOR    </t>
  </si>
  <si>
    <t xml:space="preserve"> CANBASECO       </t>
  </si>
  <si>
    <t xml:space="preserve">ANIM </t>
  </si>
  <si>
    <t>LAGRI</t>
  </si>
  <si>
    <t>LAPDO</t>
  </si>
  <si>
    <t>LAPNA</t>
  </si>
  <si>
    <t xml:space="preserve">NOC  </t>
  </si>
  <si>
    <t xml:space="preserve">REBL </t>
  </si>
  <si>
    <t>REBOR</t>
  </si>
  <si>
    <t>REBOU</t>
  </si>
  <si>
    <t xml:space="preserve">REDO </t>
  </si>
  <si>
    <t xml:space="preserve">REGR </t>
  </si>
  <si>
    <t>RETES</t>
  </si>
  <si>
    <t xml:space="preserve"> CANBASFOU       </t>
  </si>
  <si>
    <t>CAMOU</t>
  </si>
  <si>
    <t xml:space="preserve">PDP  </t>
  </si>
  <si>
    <t xml:space="preserve"> CANOBASKET      </t>
  </si>
  <si>
    <t>AJNAT</t>
  </si>
  <si>
    <t>AJWHI</t>
  </si>
  <si>
    <t>BOUNO</t>
  </si>
  <si>
    <t xml:space="preserve">FAN  </t>
  </si>
  <si>
    <t>FEUIL</t>
  </si>
  <si>
    <t>GRIBL</t>
  </si>
  <si>
    <t xml:space="preserve">INDO </t>
  </si>
  <si>
    <t>LINPR</t>
  </si>
  <si>
    <t>LINTO</t>
  </si>
  <si>
    <t>MAIBL</t>
  </si>
  <si>
    <t>MAIGR</t>
  </si>
  <si>
    <t xml:space="preserve">ONDE </t>
  </si>
  <si>
    <t>PDPBL</t>
  </si>
  <si>
    <t>POISB</t>
  </si>
  <si>
    <t>POISN</t>
  </si>
  <si>
    <t>POISR</t>
  </si>
  <si>
    <t>TENAC</t>
  </si>
  <si>
    <t>TENBL</t>
  </si>
  <si>
    <t>TENGR</t>
  </si>
  <si>
    <t>TENNA</t>
  </si>
  <si>
    <t xml:space="preserve">TRAP </t>
  </si>
  <si>
    <t xml:space="preserve">VEL  </t>
  </si>
  <si>
    <t>ZEBRA</t>
  </si>
  <si>
    <t xml:space="preserve"> CANOBEACH       </t>
  </si>
  <si>
    <t>TRAPP</t>
  </si>
  <si>
    <t>TRBBL</t>
  </si>
  <si>
    <t>TRBLA</t>
  </si>
  <si>
    <t>TRRED</t>
  </si>
  <si>
    <t>TRWHI</t>
  </si>
  <si>
    <t xml:space="preserve"> CANOCHIC        </t>
  </si>
  <si>
    <t>CARBE</t>
  </si>
  <si>
    <t>CARCH</t>
  </si>
  <si>
    <t>COTBO</t>
  </si>
  <si>
    <t>COTGR</t>
  </si>
  <si>
    <t>ECBEI</t>
  </si>
  <si>
    <t>ECCHO</t>
  </si>
  <si>
    <t>ECGRI</t>
  </si>
  <si>
    <t>FEUCE</t>
  </si>
  <si>
    <t>FLABL</t>
  </si>
  <si>
    <t>FLABO</t>
  </si>
  <si>
    <t>LAIBO</t>
  </si>
  <si>
    <t>LAIGR</t>
  </si>
  <si>
    <t>LAMAR</t>
  </si>
  <si>
    <t>LAMBE</t>
  </si>
  <si>
    <t>LAMBL</t>
  </si>
  <si>
    <t>LAMRO</t>
  </si>
  <si>
    <t>LAMVE</t>
  </si>
  <si>
    <t>MICDK</t>
  </si>
  <si>
    <t>MICDO</t>
  </si>
  <si>
    <t>MICGR</t>
  </si>
  <si>
    <t>OXBLA</t>
  </si>
  <si>
    <t>OXRED</t>
  </si>
  <si>
    <t>SAKBL</t>
  </si>
  <si>
    <t xml:space="preserve"> CANOCITY        </t>
  </si>
  <si>
    <t>AJCOG</t>
  </si>
  <si>
    <t>ANTRA</t>
  </si>
  <si>
    <t>ASTBL</t>
  </si>
  <si>
    <t>BOUAU</t>
  </si>
  <si>
    <t>BOUMU</t>
  </si>
  <si>
    <t>CHAPU</t>
  </si>
  <si>
    <t>COANT</t>
  </si>
  <si>
    <t>COCIE</t>
  </si>
  <si>
    <t>CORAN</t>
  </si>
  <si>
    <t>CORNA</t>
  </si>
  <si>
    <t>COTOR</t>
  </si>
  <si>
    <t>DENBL</t>
  </si>
  <si>
    <t>DENIV</t>
  </si>
  <si>
    <t>FLADO</t>
  </si>
  <si>
    <t>FLANE</t>
  </si>
  <si>
    <t>FLANO</t>
  </si>
  <si>
    <t>FLAOT</t>
  </si>
  <si>
    <t>FLSAN</t>
  </si>
  <si>
    <t>LINVE</t>
  </si>
  <si>
    <t>MATPH</t>
  </si>
  <si>
    <t>MICBL</t>
  </si>
  <si>
    <t>MICNA</t>
  </si>
  <si>
    <t>MICOT</t>
  </si>
  <si>
    <t>MICVE</t>
  </si>
  <si>
    <t>MICVI</t>
  </si>
  <si>
    <t>MOMBL</t>
  </si>
  <si>
    <t>PERFC</t>
  </si>
  <si>
    <t>PERFN</t>
  </si>
  <si>
    <t>SAFOT</t>
  </si>
  <si>
    <t>SAFTE</t>
  </si>
  <si>
    <t>SAFVE</t>
  </si>
  <si>
    <t>SAFVI</t>
  </si>
  <si>
    <t>TREBL</t>
  </si>
  <si>
    <t>TRETO</t>
  </si>
  <si>
    <t xml:space="preserve"> CANOFIFTY       </t>
  </si>
  <si>
    <t>CANIV</t>
  </si>
  <si>
    <t>GRTOR</t>
  </si>
  <si>
    <t>GRVER</t>
  </si>
  <si>
    <t>OXFBL</t>
  </si>
  <si>
    <t xml:space="preserve"> CANOFOLDER      </t>
  </si>
  <si>
    <t xml:space="preserve"> CANOMINIFOLDER  </t>
  </si>
  <si>
    <t xml:space="preserve"> CANOMOON        </t>
  </si>
  <si>
    <t>CONOI</t>
  </si>
  <si>
    <t>COWHI</t>
  </si>
  <si>
    <t>FLATO</t>
  </si>
  <si>
    <t>SSILV</t>
  </si>
  <si>
    <t>SWHIT</t>
  </si>
  <si>
    <t>VELRO</t>
  </si>
  <si>
    <t xml:space="preserve"> CANOMOONLIGHT   </t>
  </si>
  <si>
    <t>CHEBD</t>
  </si>
  <si>
    <t>CHENO</t>
  </si>
  <si>
    <t>RAYFL</t>
  </si>
  <si>
    <t>SNAVY</t>
  </si>
  <si>
    <t xml:space="preserve"> CANOPOCKET      </t>
  </si>
  <si>
    <t xml:space="preserve"> CANOSQUARE      </t>
  </si>
  <si>
    <t>BLKCA</t>
  </si>
  <si>
    <t>NATCA</t>
  </si>
  <si>
    <t>ZIPNA</t>
  </si>
  <si>
    <t>ZIPNO</t>
  </si>
  <si>
    <t xml:space="preserve"> CANOSWING       </t>
  </si>
  <si>
    <t>OPTVI</t>
  </si>
  <si>
    <t>RAYBO</t>
  </si>
  <si>
    <t xml:space="preserve"> CANVAS          </t>
  </si>
  <si>
    <t xml:space="preserve">AMER </t>
  </si>
  <si>
    <t>BRORO</t>
  </si>
  <si>
    <t>CAMGR</t>
  </si>
  <si>
    <t>CHEVR</t>
  </si>
  <si>
    <t>COIRI</t>
  </si>
  <si>
    <t>COYEL</t>
  </si>
  <si>
    <t>COZEB</t>
  </si>
  <si>
    <t>FABLE</t>
  </si>
  <si>
    <t>FAMAR</t>
  </si>
  <si>
    <t xml:space="preserve">FARO </t>
  </si>
  <si>
    <t>FAVER</t>
  </si>
  <si>
    <t>FEUAU</t>
  </si>
  <si>
    <t>FEUDO</t>
  </si>
  <si>
    <t>FEUGR</t>
  </si>
  <si>
    <t>FLBLA</t>
  </si>
  <si>
    <t>FLEUR</t>
  </si>
  <si>
    <t xml:space="preserve">FLO3 </t>
  </si>
  <si>
    <t>GRSAL</t>
  </si>
  <si>
    <t>LAMAU</t>
  </si>
  <si>
    <t>LINEE</t>
  </si>
  <si>
    <t>LINIV</t>
  </si>
  <si>
    <t>MIOTT</t>
  </si>
  <si>
    <t>MOMGR</t>
  </si>
  <si>
    <t>OXBLU</t>
  </si>
  <si>
    <t>OXFGR</t>
  </si>
  <si>
    <t xml:space="preserve">OXGR </t>
  </si>
  <si>
    <t>PAISL</t>
  </si>
  <si>
    <t>POIMA</t>
  </si>
  <si>
    <t>POINO</t>
  </si>
  <si>
    <t>PORPO</t>
  </si>
  <si>
    <t>PUBEM</t>
  </si>
  <si>
    <t>PUGBL</t>
  </si>
  <si>
    <t>PUNRO</t>
  </si>
  <si>
    <t>TARTB</t>
  </si>
  <si>
    <t>TARTD</t>
  </si>
  <si>
    <t>TARTR</t>
  </si>
  <si>
    <t>TARTV</t>
  </si>
  <si>
    <t xml:space="preserve">VAG  </t>
  </si>
  <si>
    <t>VEGRE</t>
  </si>
  <si>
    <t>VELRE</t>
  </si>
  <si>
    <t xml:space="preserve"> CANVASZIP       </t>
  </si>
  <si>
    <t>BDENI</t>
  </si>
  <si>
    <t>BLDEN</t>
  </si>
  <si>
    <t xml:space="preserve"> CAPUCHELAPIN    </t>
  </si>
  <si>
    <t xml:space="preserve">SPOT </t>
  </si>
  <si>
    <t xml:space="preserve"> CHAINE          </t>
  </si>
  <si>
    <t>CANNA</t>
  </si>
  <si>
    <t xml:space="preserve"> CHARM           </t>
  </si>
  <si>
    <t>ANIMA</t>
  </si>
  <si>
    <t>BOLLE</t>
  </si>
  <si>
    <t>FIORI</t>
  </si>
  <si>
    <t>FRUTT</t>
  </si>
  <si>
    <t xml:space="preserve"> CHARMCERCLE     </t>
  </si>
  <si>
    <t>ETNSA</t>
  </si>
  <si>
    <t>ETNVE</t>
  </si>
  <si>
    <t xml:space="preserve"> CHARMPOMPON     </t>
  </si>
  <si>
    <t xml:space="preserve">TAU  </t>
  </si>
  <si>
    <t xml:space="preserve"> CHEVRE          </t>
  </si>
  <si>
    <t xml:space="preserve"> CHQCAD          </t>
  </si>
  <si>
    <t xml:space="preserve"> CHQKAD          </t>
  </si>
  <si>
    <t xml:space="preserve"> CLIP            </t>
  </si>
  <si>
    <t>GIALL</t>
  </si>
  <si>
    <t xml:space="preserve"> COLLIER         </t>
  </si>
  <si>
    <t xml:space="preserve"> COQUEOCHIVE     </t>
  </si>
  <si>
    <t>CAMCR</t>
  </si>
  <si>
    <t>CREAM</t>
  </si>
  <si>
    <t>DARKB</t>
  </si>
  <si>
    <t xml:space="preserve"> COQUEZIPMIX     </t>
  </si>
  <si>
    <t xml:space="preserve"> COQUOPOCKET     </t>
  </si>
  <si>
    <t>GRAFI</t>
  </si>
  <si>
    <t>LATTE</t>
  </si>
  <si>
    <t>SANGR</t>
  </si>
  <si>
    <t>VERAN</t>
  </si>
  <si>
    <t xml:space="preserve"> COUVECOFOUR     </t>
  </si>
  <si>
    <t xml:space="preserve"> COYOTE          </t>
  </si>
  <si>
    <t xml:space="preserve"> DECOSHOES       </t>
  </si>
  <si>
    <t xml:space="preserve"> ECOCAPUCHE      </t>
  </si>
  <si>
    <t xml:space="preserve"> ECOFOURRURE     </t>
  </si>
  <si>
    <t>BEMAR</t>
  </si>
  <si>
    <t>BICBP</t>
  </si>
  <si>
    <t>BICNE</t>
  </si>
  <si>
    <t>BICVN</t>
  </si>
  <si>
    <t>BLMAR</t>
  </si>
  <si>
    <t>BMINK</t>
  </si>
  <si>
    <t xml:space="preserve">CINB </t>
  </si>
  <si>
    <t>CINCI</t>
  </si>
  <si>
    <t>CINNA</t>
  </si>
  <si>
    <t xml:space="preserve">DMAR </t>
  </si>
  <si>
    <t>DMINK</t>
  </si>
  <si>
    <t xml:space="preserve">GMAR </t>
  </si>
  <si>
    <t>GMINK</t>
  </si>
  <si>
    <t>GPETI</t>
  </si>
  <si>
    <t>GVOLP</t>
  </si>
  <si>
    <t>INTDO</t>
  </si>
  <si>
    <t>INTGR</t>
  </si>
  <si>
    <t>LABLA</t>
  </si>
  <si>
    <t>LABLE</t>
  </si>
  <si>
    <t>LAPAV</t>
  </si>
  <si>
    <t>LAPBE</t>
  </si>
  <si>
    <t>LAPHA</t>
  </si>
  <si>
    <t>LAPIR</t>
  </si>
  <si>
    <t>LAPNO</t>
  </si>
  <si>
    <t>LAPNP</t>
  </si>
  <si>
    <t>LAPOU</t>
  </si>
  <si>
    <t>LAPRE</t>
  </si>
  <si>
    <t>LAPSE</t>
  </si>
  <si>
    <t>LAPVI</t>
  </si>
  <si>
    <t>LAPVP</t>
  </si>
  <si>
    <t xml:space="preserve">LAUB </t>
  </si>
  <si>
    <t xml:space="preserve">LOUB </t>
  </si>
  <si>
    <t>MARBL</t>
  </si>
  <si>
    <t>MARGR</t>
  </si>
  <si>
    <t>MARMU</t>
  </si>
  <si>
    <t>MARNE</t>
  </si>
  <si>
    <t>MEMAR</t>
  </si>
  <si>
    <t xml:space="preserve">MOUB </t>
  </si>
  <si>
    <t>MOUMU</t>
  </si>
  <si>
    <t xml:space="preserve">NMAR </t>
  </si>
  <si>
    <t>RACBL</t>
  </si>
  <si>
    <t>RACNA</t>
  </si>
  <si>
    <t>RASGR</t>
  </si>
  <si>
    <t>RASPH</t>
  </si>
  <si>
    <t xml:space="preserve">REAR </t>
  </si>
  <si>
    <t>REARA</t>
  </si>
  <si>
    <t>REARO</t>
  </si>
  <si>
    <t>REB17</t>
  </si>
  <si>
    <t>REBIC</t>
  </si>
  <si>
    <t>REBLE</t>
  </si>
  <si>
    <t>REBLW</t>
  </si>
  <si>
    <t>RELIL</t>
  </si>
  <si>
    <t>RENOI</t>
  </si>
  <si>
    <t>RESAU</t>
  </si>
  <si>
    <t>RETER</t>
  </si>
  <si>
    <t xml:space="preserve">REWH </t>
  </si>
  <si>
    <t>REWHG</t>
  </si>
  <si>
    <t>RICCI</t>
  </si>
  <si>
    <t>SLANT</t>
  </si>
  <si>
    <t>SLMUL</t>
  </si>
  <si>
    <t>SLSAN</t>
  </si>
  <si>
    <t>WLOUP</t>
  </si>
  <si>
    <t xml:space="preserve">WMAR </t>
  </si>
  <si>
    <t xml:space="preserve"> ETUILUNETTES    </t>
  </si>
  <si>
    <t xml:space="preserve">CUIO </t>
  </si>
  <si>
    <t xml:space="preserve"> EXTENSIONCHAINE </t>
  </si>
  <si>
    <t xml:space="preserve"> FERMETURE       </t>
  </si>
  <si>
    <t xml:space="preserve">ECBL </t>
  </si>
  <si>
    <t xml:space="preserve">ECPH </t>
  </si>
  <si>
    <t>RAFAC</t>
  </si>
  <si>
    <t>RAFLI</t>
  </si>
  <si>
    <t>RAFMU</t>
  </si>
  <si>
    <t>RAFPA</t>
  </si>
  <si>
    <t xml:space="preserve"> FERMETUREPOCHE  </t>
  </si>
  <si>
    <t>MATTO</t>
  </si>
  <si>
    <t xml:space="preserve"> FERMOCITY       </t>
  </si>
  <si>
    <t xml:space="preserve"> FILET           </t>
  </si>
  <si>
    <t xml:space="preserve"> FLAP            </t>
  </si>
  <si>
    <t>ACARA</t>
  </si>
  <si>
    <t>ACBLU</t>
  </si>
  <si>
    <t>ACGRE</t>
  </si>
  <si>
    <t xml:space="preserve">AFRI </t>
  </si>
  <si>
    <t>AFRIB</t>
  </si>
  <si>
    <t>AJOCR</t>
  </si>
  <si>
    <t>ASTRA</t>
  </si>
  <si>
    <t>BICIE</t>
  </si>
  <si>
    <t>BIGLI</t>
  </si>
  <si>
    <t>CANGR</t>
  </si>
  <si>
    <t>CHACM</t>
  </si>
  <si>
    <t>CHRIS</t>
  </si>
  <si>
    <t xml:space="preserve">COYO </t>
  </si>
  <si>
    <t>CRBEI</t>
  </si>
  <si>
    <t>FEUIV</t>
  </si>
  <si>
    <t>FLBLU</t>
  </si>
  <si>
    <t>FLNOI</t>
  </si>
  <si>
    <t>FLOBR</t>
  </si>
  <si>
    <t>FLOCB</t>
  </si>
  <si>
    <t>FOLCB</t>
  </si>
  <si>
    <t>FOLCD</t>
  </si>
  <si>
    <t>FOLCO</t>
  </si>
  <si>
    <t>FRANB</t>
  </si>
  <si>
    <t>FRATA</t>
  </si>
  <si>
    <t>GDCBL</t>
  </si>
  <si>
    <t>GDCSA</t>
  </si>
  <si>
    <t>GDCVE</t>
  </si>
  <si>
    <t xml:space="preserve">KANG </t>
  </si>
  <si>
    <t>LAING</t>
  </si>
  <si>
    <t>LAIPO</t>
  </si>
  <si>
    <t>LAPDP</t>
  </si>
  <si>
    <t>MIBEI</t>
  </si>
  <si>
    <t xml:space="preserve">MICA </t>
  </si>
  <si>
    <t>MIDOV</t>
  </si>
  <si>
    <t xml:space="preserve">MIGR </t>
  </si>
  <si>
    <t xml:space="preserve">MIL  </t>
  </si>
  <si>
    <t xml:space="preserve">MIMA </t>
  </si>
  <si>
    <t>MOMRE</t>
  </si>
  <si>
    <t>MOMYE</t>
  </si>
  <si>
    <t xml:space="preserve">MOU  </t>
  </si>
  <si>
    <t>MOUTO</t>
  </si>
  <si>
    <t>NOEBL</t>
  </si>
  <si>
    <t>NOEGR</t>
  </si>
  <si>
    <t>NOEOR</t>
  </si>
  <si>
    <t>NOEUD</t>
  </si>
  <si>
    <t>PABLA</t>
  </si>
  <si>
    <t>PABLE</t>
  </si>
  <si>
    <t>PABOR</t>
  </si>
  <si>
    <t>PERFW</t>
  </si>
  <si>
    <t>SAKAC</t>
  </si>
  <si>
    <t>SLIBL</t>
  </si>
  <si>
    <t>SLIGL</t>
  </si>
  <si>
    <t>SLISA</t>
  </si>
  <si>
    <t xml:space="preserve">TRES </t>
  </si>
  <si>
    <t>TWEVE</t>
  </si>
  <si>
    <t xml:space="preserve"> FLAPDISNEY      </t>
  </si>
  <si>
    <t>BLDOT</t>
  </si>
  <si>
    <t>DAIAZ</t>
  </si>
  <si>
    <t>DAIRA</t>
  </si>
  <si>
    <t>DAIRO</t>
  </si>
  <si>
    <t>ECOMI</t>
  </si>
  <si>
    <t>MINAV</t>
  </si>
  <si>
    <t>MINBL</t>
  </si>
  <si>
    <t>MINJA</t>
  </si>
  <si>
    <t>MINNE</t>
  </si>
  <si>
    <t>MINRA</t>
  </si>
  <si>
    <t>MINRE</t>
  </si>
  <si>
    <t>NOROS</t>
  </si>
  <si>
    <t>POIBL</t>
  </si>
  <si>
    <t>POIRO</t>
  </si>
  <si>
    <t>RAIEB</t>
  </si>
  <si>
    <t>TEXRO</t>
  </si>
  <si>
    <t xml:space="preserve"> FLAPECO         </t>
  </si>
  <si>
    <t>LANOC</t>
  </si>
  <si>
    <t>LAPAN</t>
  </si>
  <si>
    <t>LAPCA</t>
  </si>
  <si>
    <t>LAPSI</t>
  </si>
  <si>
    <t>NABLT</t>
  </si>
  <si>
    <t xml:space="preserve"> FLAPECOFOU      </t>
  </si>
  <si>
    <t>ANIMB</t>
  </si>
  <si>
    <t>ANIMG</t>
  </si>
  <si>
    <t>CAMEL</t>
  </si>
  <si>
    <t>LABOR</t>
  </si>
  <si>
    <t>LAPDE</t>
  </si>
  <si>
    <t>LASAU</t>
  </si>
  <si>
    <t>LASBL</t>
  </si>
  <si>
    <t>LASNO</t>
  </si>
  <si>
    <t>LASTO</t>
  </si>
  <si>
    <t>NOCCE</t>
  </si>
  <si>
    <t>REMUL</t>
  </si>
  <si>
    <t>RENAB</t>
  </si>
  <si>
    <t xml:space="preserve"> FLAPLAPI        </t>
  </si>
  <si>
    <t xml:space="preserve"> FLAPLAPIN       </t>
  </si>
  <si>
    <t xml:space="preserve"> FLAPMINIOFOLDER </t>
  </si>
  <si>
    <t>MOMPR</t>
  </si>
  <si>
    <t>SATER</t>
  </si>
  <si>
    <t xml:space="preserve"> FLAPNOEL2017    </t>
  </si>
  <si>
    <t xml:space="preserve"> FLAPOFOLDER     </t>
  </si>
  <si>
    <t xml:space="preserve">CUIG </t>
  </si>
  <si>
    <t>CUITE</t>
  </si>
  <si>
    <t>ECOCB</t>
  </si>
  <si>
    <t>GHINA</t>
  </si>
  <si>
    <t>GRINA</t>
  </si>
  <si>
    <t xml:space="preserve">MICT </t>
  </si>
  <si>
    <t>PATTE</t>
  </si>
  <si>
    <t>SERMA</t>
  </si>
  <si>
    <t>SERNO</t>
  </si>
  <si>
    <t xml:space="preserve">TISG </t>
  </si>
  <si>
    <t xml:space="preserve"> FLAPOHUG        </t>
  </si>
  <si>
    <t>GBISC</t>
  </si>
  <si>
    <t>GBLAC</t>
  </si>
  <si>
    <t>GBLUE</t>
  </si>
  <si>
    <t>GFRAG</t>
  </si>
  <si>
    <t>GGREY</t>
  </si>
  <si>
    <t>GNARC</t>
  </si>
  <si>
    <t>GNAVY</t>
  </si>
  <si>
    <t>GOTTA</t>
  </si>
  <si>
    <t>GPORP</t>
  </si>
  <si>
    <t xml:space="preserve">GRED </t>
  </si>
  <si>
    <t>GROCK</t>
  </si>
  <si>
    <t>GSANG</t>
  </si>
  <si>
    <t>GTERR</t>
  </si>
  <si>
    <t>GVERA</t>
  </si>
  <si>
    <t>GVIOL</t>
  </si>
  <si>
    <t>VIOLE</t>
  </si>
  <si>
    <t xml:space="preserve"> FLAPOHUGMEN     </t>
  </si>
  <si>
    <t xml:space="preserve">BIS1 </t>
  </si>
  <si>
    <t xml:space="preserve">BIS2 </t>
  </si>
  <si>
    <t>BLUE1</t>
  </si>
  <si>
    <t>BLUE2</t>
  </si>
  <si>
    <t xml:space="preserve">GR1  </t>
  </si>
  <si>
    <t xml:space="preserve">GR2  </t>
  </si>
  <si>
    <t>NAVY1</t>
  </si>
  <si>
    <t>NAVY2</t>
  </si>
  <si>
    <t>ROCK1</t>
  </si>
  <si>
    <t>ROCK2</t>
  </si>
  <si>
    <t>VERT1</t>
  </si>
  <si>
    <t>VERT2</t>
  </si>
  <si>
    <t xml:space="preserve"> FLEUR           </t>
  </si>
  <si>
    <t xml:space="preserve"> FLEURDELUNE     </t>
  </si>
  <si>
    <t xml:space="preserve">GRIS </t>
  </si>
  <si>
    <t xml:space="preserve">PLUME       </t>
  </si>
  <si>
    <t>GRISF</t>
  </si>
  <si>
    <t>MARIN</t>
  </si>
  <si>
    <t xml:space="preserve">ROSE </t>
  </si>
  <si>
    <t xml:space="preserve"> FLOWER          </t>
  </si>
  <si>
    <t xml:space="preserve"> FOURRURE        </t>
  </si>
  <si>
    <t xml:space="preserve">BLGM </t>
  </si>
  <si>
    <t xml:space="preserve">BLM  </t>
  </si>
  <si>
    <t xml:space="preserve">BRM  </t>
  </si>
  <si>
    <t xml:space="preserve"> FOURRURE/FOX    </t>
  </si>
  <si>
    <t xml:space="preserve">DARK </t>
  </si>
  <si>
    <t xml:space="preserve"> FOURRURE2       </t>
  </si>
  <si>
    <t xml:space="preserve"> FOURRURE3       </t>
  </si>
  <si>
    <t xml:space="preserve"> FRAISPORT       </t>
  </si>
  <si>
    <t xml:space="preserve"> FRANGES/ANSES   </t>
  </si>
  <si>
    <t xml:space="preserve"> KITAB           </t>
  </si>
  <si>
    <t xml:space="preserve"> KITONE          </t>
  </si>
  <si>
    <t xml:space="preserve"> KITZAINO        </t>
  </si>
  <si>
    <t>GDCGR</t>
  </si>
  <si>
    <t xml:space="preserve"> LAPIN           </t>
  </si>
  <si>
    <t xml:space="preserve">ANIB </t>
  </si>
  <si>
    <t>ANINO</t>
  </si>
  <si>
    <t xml:space="preserve">CUIV </t>
  </si>
  <si>
    <t xml:space="preserve">MAT  </t>
  </si>
  <si>
    <t>NEIGE</t>
  </si>
  <si>
    <t xml:space="preserve"> LAPIN2          </t>
  </si>
  <si>
    <t xml:space="preserve"> LOUP            </t>
  </si>
  <si>
    <t>MELAN</t>
  </si>
  <si>
    <t>PATNE</t>
  </si>
  <si>
    <t xml:space="preserve"> MARMOTTE        </t>
  </si>
  <si>
    <t xml:space="preserve"> MINIBODYCRYSTMAT</t>
  </si>
  <si>
    <t xml:space="preserve"> MINIBOR         </t>
  </si>
  <si>
    <t>BOUAC</t>
  </si>
  <si>
    <t xml:space="preserve">BRIQ </t>
  </si>
  <si>
    <t>BROBI</t>
  </si>
  <si>
    <t>CHADO</t>
  </si>
  <si>
    <t>CHANO</t>
  </si>
  <si>
    <t>CHAPH</t>
  </si>
  <si>
    <t>ETOBL</t>
  </si>
  <si>
    <t>ETOLA</t>
  </si>
  <si>
    <t xml:space="preserve">ETOR </t>
  </si>
  <si>
    <t>ETOTT</t>
  </si>
  <si>
    <t>FLBEI</t>
  </si>
  <si>
    <t>FLBRU</t>
  </si>
  <si>
    <t>FLTES</t>
  </si>
  <si>
    <t>LABRU</t>
  </si>
  <si>
    <t>LAIBE</t>
  </si>
  <si>
    <t>LAICR</t>
  </si>
  <si>
    <t>LAIMA</t>
  </si>
  <si>
    <t>LAINA</t>
  </si>
  <si>
    <t>LAINR</t>
  </si>
  <si>
    <t>LAIOR</t>
  </si>
  <si>
    <t>LAIVE</t>
  </si>
  <si>
    <t xml:space="preserve">LAIW </t>
  </si>
  <si>
    <t xml:space="preserve">MULB </t>
  </si>
  <si>
    <t xml:space="preserve">MULG </t>
  </si>
  <si>
    <t xml:space="preserve">MULV </t>
  </si>
  <si>
    <t xml:space="preserve">PDPB </t>
  </si>
  <si>
    <t>POMBE</t>
  </si>
  <si>
    <t>POMMA</t>
  </si>
  <si>
    <t>POMNO</t>
  </si>
  <si>
    <t>POMTO</t>
  </si>
  <si>
    <t>SUEIV</t>
  </si>
  <si>
    <t>SUELI</t>
  </si>
  <si>
    <t>SUESA</t>
  </si>
  <si>
    <t xml:space="preserve">TAR  </t>
  </si>
  <si>
    <t>ZIPBO</t>
  </si>
  <si>
    <t xml:space="preserve"> MINICANOBEACH   </t>
  </si>
  <si>
    <t>TRACQ</t>
  </si>
  <si>
    <t>TRORA</t>
  </si>
  <si>
    <t>TRYEL</t>
  </si>
  <si>
    <t xml:space="preserve"> MINICANVAS      </t>
  </si>
  <si>
    <t>BROWH</t>
  </si>
  <si>
    <t>COTVE</t>
  </si>
  <si>
    <t xml:space="preserve">FLA  </t>
  </si>
  <si>
    <t>INDBR</t>
  </si>
  <si>
    <t>INDGR</t>
  </si>
  <si>
    <t>LAIDA</t>
  </si>
  <si>
    <t>LIGNE</t>
  </si>
  <si>
    <t>OXBOR</t>
  </si>
  <si>
    <t>OXTES</t>
  </si>
  <si>
    <t>PUBLW</t>
  </si>
  <si>
    <t xml:space="preserve"> MINICANVASCOU   </t>
  </si>
  <si>
    <t xml:space="preserve">NOIS </t>
  </si>
  <si>
    <t xml:space="preserve">ORAN </t>
  </si>
  <si>
    <t xml:space="preserve"> MINICO          </t>
  </si>
  <si>
    <t xml:space="preserve">MUL  </t>
  </si>
  <si>
    <t>PATCH</t>
  </si>
  <si>
    <t xml:space="preserve"> MINICOUVECO     </t>
  </si>
  <si>
    <t xml:space="preserve"> MINIECOFOURRURE </t>
  </si>
  <si>
    <t>BIAGR</t>
  </si>
  <si>
    <t>CHEBL</t>
  </si>
  <si>
    <t>GRMIN</t>
  </si>
  <si>
    <t>LAPGV</t>
  </si>
  <si>
    <t>LAPMO</t>
  </si>
  <si>
    <t>LASGR</t>
  </si>
  <si>
    <t>LASIV</t>
  </si>
  <si>
    <t>MARNA</t>
  </si>
  <si>
    <t xml:space="preserve">RAUB </t>
  </si>
  <si>
    <t>REANT</t>
  </si>
  <si>
    <t>REBER</t>
  </si>
  <si>
    <t>REBLA</t>
  </si>
  <si>
    <t xml:space="preserve">REBN </t>
  </si>
  <si>
    <t>REDOV</t>
  </si>
  <si>
    <t xml:space="preserve">REOT </t>
  </si>
  <si>
    <t>REPHA</t>
  </si>
  <si>
    <t>REPOU</t>
  </si>
  <si>
    <t>REWHI</t>
  </si>
  <si>
    <t xml:space="preserve">VIBL </t>
  </si>
  <si>
    <t xml:space="preserve">VIBO </t>
  </si>
  <si>
    <t xml:space="preserve"> MINIFERMETURE   </t>
  </si>
  <si>
    <t>LILLA</t>
  </si>
  <si>
    <t>POCHB</t>
  </si>
  <si>
    <t>POCHG</t>
  </si>
  <si>
    <t xml:space="preserve"> MINIFERMETUREPOC</t>
  </si>
  <si>
    <t>ECGRE</t>
  </si>
  <si>
    <t xml:space="preserve"> MINIFLOWER      </t>
  </si>
  <si>
    <t>BECCO</t>
  </si>
  <si>
    <t xml:space="preserve"> MINILAPIN       </t>
  </si>
  <si>
    <t xml:space="preserve">CORT </t>
  </si>
  <si>
    <t>FLEVE</t>
  </si>
  <si>
    <t>FRABE</t>
  </si>
  <si>
    <t>FRANZ</t>
  </si>
  <si>
    <t>MACBL</t>
  </si>
  <si>
    <t>MACNO</t>
  </si>
  <si>
    <t>MACSP</t>
  </si>
  <si>
    <t xml:space="preserve"> MINIMAR         </t>
  </si>
  <si>
    <t xml:space="preserve"> MINIOBEACH      </t>
  </si>
  <si>
    <t xml:space="preserve"> MINIOBODY       </t>
  </si>
  <si>
    <t xml:space="preserve">CERI </t>
  </si>
  <si>
    <t>CERIS</t>
  </si>
  <si>
    <t>POMME</t>
  </si>
  <si>
    <t>STEEL</t>
  </si>
  <si>
    <t xml:space="preserve">VALA </t>
  </si>
  <si>
    <t xml:space="preserve">VALB </t>
  </si>
  <si>
    <t xml:space="preserve">VALW </t>
  </si>
  <si>
    <t>YELCH</t>
  </si>
  <si>
    <t xml:space="preserve">ZEB  </t>
  </si>
  <si>
    <t xml:space="preserve"> MINIOBODYBRUSH  </t>
  </si>
  <si>
    <t xml:space="preserve"> MINIOBODYMATELAS</t>
  </si>
  <si>
    <t xml:space="preserve"> MINIOBODYPINS   </t>
  </si>
  <si>
    <t xml:space="preserve"> MINIOFOLDER     </t>
  </si>
  <si>
    <t>NARCI</t>
  </si>
  <si>
    <t xml:space="preserve"> MINIRENA        </t>
  </si>
  <si>
    <t xml:space="preserve"> MINIVISON       </t>
  </si>
  <si>
    <t xml:space="preserve"> MONTURE         </t>
  </si>
  <si>
    <t xml:space="preserve"> MONTURE/AVIATOR </t>
  </si>
  <si>
    <t xml:space="preserve"> MOURMASKI       </t>
  </si>
  <si>
    <t xml:space="preserve"> MOUTONAVIATEUR  </t>
  </si>
  <si>
    <t xml:space="preserve"> NEWOCHIVE       </t>
  </si>
  <si>
    <t>BOIAC</t>
  </si>
  <si>
    <t>BOICE</t>
  </si>
  <si>
    <t>BOICH</t>
  </si>
  <si>
    <t>BOICM</t>
  </si>
  <si>
    <t xml:space="preserve"> OBAGBEACH       </t>
  </si>
  <si>
    <t xml:space="preserve"> OBAGSUMMER      </t>
  </si>
  <si>
    <t xml:space="preserve"> OBASKET         </t>
  </si>
  <si>
    <t>SENAP</t>
  </si>
  <si>
    <t xml:space="preserve"> OBODY           </t>
  </si>
  <si>
    <t xml:space="preserve">ANGL </t>
  </si>
  <si>
    <t>ARGIL</t>
  </si>
  <si>
    <t>BLUCA</t>
  </si>
  <si>
    <t>LAVEN</t>
  </si>
  <si>
    <t xml:space="preserve">PRAI </t>
  </si>
  <si>
    <t xml:space="preserve"> OBODYBRUSH      </t>
  </si>
  <si>
    <t xml:space="preserve"> OBODYCRYSTAL    </t>
  </si>
  <si>
    <t xml:space="preserve"> OBODYLAM        </t>
  </si>
  <si>
    <t xml:space="preserve"> OBODYLAMINATA   </t>
  </si>
  <si>
    <t>ARGEN</t>
  </si>
  <si>
    <t xml:space="preserve">DORE </t>
  </si>
  <si>
    <t xml:space="preserve"> OBODYMIX        </t>
  </si>
  <si>
    <t xml:space="preserve"> OBODYPINS       </t>
  </si>
  <si>
    <t xml:space="preserve"> OBODYWAVY       </t>
  </si>
  <si>
    <t xml:space="preserve"> OCF02           </t>
  </si>
  <si>
    <t xml:space="preserve"> OCF05           </t>
  </si>
  <si>
    <t xml:space="preserve"> OCF20           </t>
  </si>
  <si>
    <t xml:space="preserve"> OCF22           </t>
  </si>
  <si>
    <t xml:space="preserve"> OCF30           </t>
  </si>
  <si>
    <t xml:space="preserve"> OCF43           </t>
  </si>
  <si>
    <t xml:space="preserve"> OCHIC           </t>
  </si>
  <si>
    <t xml:space="preserve"> OCHIVE          </t>
  </si>
  <si>
    <t xml:space="preserve"> OCHIVEBLACK     </t>
  </si>
  <si>
    <t xml:space="preserve"> OCHIVESOLEIL    </t>
  </si>
  <si>
    <t xml:space="preserve">BLGO </t>
  </si>
  <si>
    <t>PINKB</t>
  </si>
  <si>
    <t xml:space="preserve"> OCHIVESOLID     </t>
  </si>
  <si>
    <t>FUCHS</t>
  </si>
  <si>
    <t xml:space="preserve"> OCITY           </t>
  </si>
  <si>
    <t xml:space="preserve"> OCLEAN          </t>
  </si>
  <si>
    <t xml:space="preserve"> OCLICK          </t>
  </si>
  <si>
    <t>GLIGO</t>
  </si>
  <si>
    <t>GLISI</t>
  </si>
  <si>
    <t xml:space="preserve"> OCLICK/CROMO    </t>
  </si>
  <si>
    <t xml:space="preserve"> OCLICK/SOLEIL   </t>
  </si>
  <si>
    <t xml:space="preserve"> OCLICKCRISTAL   </t>
  </si>
  <si>
    <t xml:space="preserve">LAV  </t>
  </si>
  <si>
    <t xml:space="preserve">NEVE </t>
  </si>
  <si>
    <t xml:space="preserve"> OCLICKGLITTER   </t>
  </si>
  <si>
    <t xml:space="preserve"> OCLICKSOLID     </t>
  </si>
  <si>
    <t xml:space="preserve"> OCLICKSUNLIGHT  </t>
  </si>
  <si>
    <t>TRIBA</t>
  </si>
  <si>
    <t>WAVES</t>
  </si>
  <si>
    <t xml:space="preserve"> OCLOCK          </t>
  </si>
  <si>
    <t>MIRRO</t>
  </si>
  <si>
    <t xml:space="preserve"> OCLOCK'60S      </t>
  </si>
  <si>
    <t xml:space="preserve">BLBL </t>
  </si>
  <si>
    <t xml:space="preserve">WRED </t>
  </si>
  <si>
    <t xml:space="preserve"> OCLOCK'80       </t>
  </si>
  <si>
    <t>FLUOB</t>
  </si>
  <si>
    <t xml:space="preserve"> OCLOCK/ANIMAL   </t>
  </si>
  <si>
    <t xml:space="preserve">PAON </t>
  </si>
  <si>
    <t>PAPBE</t>
  </si>
  <si>
    <t>PAPBI</t>
  </si>
  <si>
    <t>PAPBL</t>
  </si>
  <si>
    <t>PAPBO</t>
  </si>
  <si>
    <t>PAPVE</t>
  </si>
  <si>
    <t>TORAC</t>
  </si>
  <si>
    <t>TORLI</t>
  </si>
  <si>
    <t>TORTE</t>
  </si>
  <si>
    <t>TORVI</t>
  </si>
  <si>
    <t xml:space="preserve"> OCLOCK/BOTANICAL</t>
  </si>
  <si>
    <t>LIMON</t>
  </si>
  <si>
    <t>PEONI</t>
  </si>
  <si>
    <t xml:space="preserve"> OCLOCK/CAMOUFLAG</t>
  </si>
  <si>
    <t xml:space="preserve"> OCLOCK/CHIFFRES </t>
  </si>
  <si>
    <t xml:space="preserve"> OCLOCK/CITY     </t>
  </si>
  <si>
    <t>AMSTE</t>
  </si>
  <si>
    <t>NEWYO</t>
  </si>
  <si>
    <t>PARIS</t>
  </si>
  <si>
    <t xml:space="preserve"> OCLOCK/CRYSTAL  </t>
  </si>
  <si>
    <t xml:space="preserve">BLMI </t>
  </si>
  <si>
    <t xml:space="preserve"> OCLOCK/DISNEY   </t>
  </si>
  <si>
    <t>DAISY</t>
  </si>
  <si>
    <t>DINGO</t>
  </si>
  <si>
    <t>DONAL</t>
  </si>
  <si>
    <t xml:space="preserve">MICK </t>
  </si>
  <si>
    <t>MINNI</t>
  </si>
  <si>
    <t>MOUSE</t>
  </si>
  <si>
    <t>PICSO</t>
  </si>
  <si>
    <t>PLUTO</t>
  </si>
  <si>
    <t>POPOP</t>
  </si>
  <si>
    <t xml:space="preserve"> OCLOCK/ETE2017  </t>
  </si>
  <si>
    <t>FLOMU</t>
  </si>
  <si>
    <t>HEXAM</t>
  </si>
  <si>
    <t>IRISE</t>
  </si>
  <si>
    <t>PALMI</t>
  </si>
  <si>
    <t xml:space="preserve"> OCLOCK/FABRICS  </t>
  </si>
  <si>
    <t>DENTE</t>
  </si>
  <si>
    <t xml:space="preserve"> OCLOCK/FANTASIA </t>
  </si>
  <si>
    <t xml:space="preserve"> OCLOCK/FLOWER   </t>
  </si>
  <si>
    <t xml:space="preserve">FGN  </t>
  </si>
  <si>
    <t xml:space="preserve">RD   </t>
  </si>
  <si>
    <t xml:space="preserve">SL   </t>
  </si>
  <si>
    <t xml:space="preserve"> OCLOCK/FLUIDE   </t>
  </si>
  <si>
    <t xml:space="preserve"> OCLOCK/FOULARD  </t>
  </si>
  <si>
    <t xml:space="preserve"> OCLOCK/GLIMMER  </t>
  </si>
  <si>
    <t xml:space="preserve"> OCLOCK/GLITTER  </t>
  </si>
  <si>
    <t>GOTOU</t>
  </si>
  <si>
    <t>SITOU</t>
  </si>
  <si>
    <t xml:space="preserve"> OCLOCK/HUMEUR   </t>
  </si>
  <si>
    <t>ANGRY</t>
  </si>
  <si>
    <t xml:space="preserve">GASP </t>
  </si>
  <si>
    <t>HAPPY</t>
  </si>
  <si>
    <t xml:space="preserve"> OCLOCK/ICON     </t>
  </si>
  <si>
    <t xml:space="preserve">BATJ </t>
  </si>
  <si>
    <t xml:space="preserve">BATN </t>
  </si>
  <si>
    <t xml:space="preserve">CATB </t>
  </si>
  <si>
    <t xml:space="preserve">CATN </t>
  </si>
  <si>
    <t xml:space="preserve">SUPB </t>
  </si>
  <si>
    <t xml:space="preserve">SUPR </t>
  </si>
  <si>
    <t xml:space="preserve"> OCLOCK/ILLUSION </t>
  </si>
  <si>
    <t>AROUN</t>
  </si>
  <si>
    <t>HORIZ</t>
  </si>
  <si>
    <t>SQUAR</t>
  </si>
  <si>
    <t xml:space="preserve"> OCLOCK/METAL    </t>
  </si>
  <si>
    <t xml:space="preserve"> OCLOCK/MIROIR   </t>
  </si>
  <si>
    <t xml:space="preserve"> OCLOCK/MOSAIC   </t>
  </si>
  <si>
    <t xml:space="preserve"> OCLOCK/PATTERN  </t>
  </si>
  <si>
    <t>TRIAN</t>
  </si>
  <si>
    <t>VERTI</t>
  </si>
  <si>
    <t xml:space="preserve"> OCLOCK/PAVE     </t>
  </si>
  <si>
    <t xml:space="preserve"> OCLOCK/PIPE     </t>
  </si>
  <si>
    <t xml:space="preserve"> OCLOCK/ROSONE   </t>
  </si>
  <si>
    <t xml:space="preserve"> OCLOCK/SAFARI   </t>
  </si>
  <si>
    <t xml:space="preserve">CROC </t>
  </si>
  <si>
    <t xml:space="preserve">GIR  </t>
  </si>
  <si>
    <t>LEOBL</t>
  </si>
  <si>
    <t>LEOPI</t>
  </si>
  <si>
    <t xml:space="preserve">LION </t>
  </si>
  <si>
    <t xml:space="preserve">SNA  </t>
  </si>
  <si>
    <t xml:space="preserve">TIG  </t>
  </si>
  <si>
    <t>ZEB17</t>
  </si>
  <si>
    <t xml:space="preserve"> OCLOCK/SECCHIF  </t>
  </si>
  <si>
    <t xml:space="preserve">AQUA </t>
  </si>
  <si>
    <t xml:space="preserve"> OCLOCK/SLICE    </t>
  </si>
  <si>
    <t xml:space="preserve"> OCLOCK/SPLASH   </t>
  </si>
  <si>
    <t xml:space="preserve">SPL1 </t>
  </si>
  <si>
    <t xml:space="preserve">SPL2 </t>
  </si>
  <si>
    <t xml:space="preserve">SPL3 </t>
  </si>
  <si>
    <t xml:space="preserve"> OCLOCK/STARDUST </t>
  </si>
  <si>
    <t xml:space="preserve"> OCLOCK/SUNLIGHT </t>
  </si>
  <si>
    <t>NUMBE</t>
  </si>
  <si>
    <t xml:space="preserve"> OCLOCK/SUPREME  </t>
  </si>
  <si>
    <t xml:space="preserve"> OCLOCK/TILES    </t>
  </si>
  <si>
    <t>AZULE</t>
  </si>
  <si>
    <t>CHINA</t>
  </si>
  <si>
    <t>MOSAI</t>
  </si>
  <si>
    <t xml:space="preserve"> OCLOCK/TROT     </t>
  </si>
  <si>
    <t>BLCHI</t>
  </si>
  <si>
    <t>NOCHI</t>
  </si>
  <si>
    <t xml:space="preserve"> OCLOCK/XMAS     </t>
  </si>
  <si>
    <t xml:space="preserve"> OCLOCKBLACK     </t>
  </si>
  <si>
    <t xml:space="preserve"> OCLOCKDIGITAL   </t>
  </si>
  <si>
    <t>DKSIL</t>
  </si>
  <si>
    <t xml:space="preserve">FLO1 </t>
  </si>
  <si>
    <t xml:space="preserve">FLO2 </t>
  </si>
  <si>
    <t xml:space="preserve">OPCI </t>
  </si>
  <si>
    <t>OPEXA</t>
  </si>
  <si>
    <t xml:space="preserve">OPLI </t>
  </si>
  <si>
    <t xml:space="preserve">OPTR </t>
  </si>
  <si>
    <t>TRIB2</t>
  </si>
  <si>
    <t>TRIBE</t>
  </si>
  <si>
    <t xml:space="preserve"> OCLOCKFALL2017  </t>
  </si>
  <si>
    <t>BAIBL</t>
  </si>
  <si>
    <t>CHICK</t>
  </si>
  <si>
    <t>FLRED</t>
  </si>
  <si>
    <t>FLVER</t>
  </si>
  <si>
    <t>MADAU</t>
  </si>
  <si>
    <t xml:space="preserve">MADN </t>
  </si>
  <si>
    <t>MADVO</t>
  </si>
  <si>
    <t xml:space="preserve"> OCLOCKGREAT/FANT</t>
  </si>
  <si>
    <t xml:space="preserve"> OCLOCKGREAT/TON </t>
  </si>
  <si>
    <t xml:space="preserve"> OCLOCKGREATCALEN</t>
  </si>
  <si>
    <t xml:space="preserve"> OCLOCKGREATCOKTA</t>
  </si>
  <si>
    <t>CAIPI</t>
  </si>
  <si>
    <t>MARTI</t>
  </si>
  <si>
    <t>SPRIT</t>
  </si>
  <si>
    <t xml:space="preserve"> OCLOCKGREATDATE </t>
  </si>
  <si>
    <t>BLSIL</t>
  </si>
  <si>
    <t>CABLU</t>
  </si>
  <si>
    <t>CARED</t>
  </si>
  <si>
    <t>CAYEL</t>
  </si>
  <si>
    <t>FLUOL</t>
  </si>
  <si>
    <t>FLUOR</t>
  </si>
  <si>
    <t>FLUOV</t>
  </si>
  <si>
    <t xml:space="preserve"> OCLOCKGREATDIAMO</t>
  </si>
  <si>
    <t xml:space="preserve"> OCLOCKGREATFLOWE</t>
  </si>
  <si>
    <t>LAGON</t>
  </si>
  <si>
    <t>SUNNY</t>
  </si>
  <si>
    <t>SUNSE</t>
  </si>
  <si>
    <t xml:space="preserve"> OCLOCKGREATNUMRO</t>
  </si>
  <si>
    <t xml:space="preserve"> OCLOCKGREATNUMSO</t>
  </si>
  <si>
    <t xml:space="preserve"> OCLOCKGREATRACIN</t>
  </si>
  <si>
    <t xml:space="preserve">CORA </t>
  </si>
  <si>
    <t>GRRED</t>
  </si>
  <si>
    <t xml:space="preserve">VERA </t>
  </si>
  <si>
    <t xml:space="preserve"> OCLOCKGREATSECON</t>
  </si>
  <si>
    <t xml:space="preserve"> OCLOCKGREATSODAT</t>
  </si>
  <si>
    <t xml:space="preserve"> OCLOCKGREATSOLEI</t>
  </si>
  <si>
    <t xml:space="preserve"> OCLOCKGREATSUNLI</t>
  </si>
  <si>
    <t xml:space="preserve"> OCLOCKNOEL2017  </t>
  </si>
  <si>
    <t>ETOIL</t>
  </si>
  <si>
    <t>FLOAR</t>
  </si>
  <si>
    <t>FLOOR</t>
  </si>
  <si>
    <t>FLORE</t>
  </si>
  <si>
    <t xml:space="preserve"> OCLOCKPAPAGAYO  </t>
  </si>
  <si>
    <t xml:space="preserve"> OCLOCKPEOPLE    </t>
  </si>
  <si>
    <t xml:space="preserve">AFR1 </t>
  </si>
  <si>
    <t xml:space="preserve">AFR2 </t>
  </si>
  <si>
    <t xml:space="preserve">ALAS </t>
  </si>
  <si>
    <t>AMER2</t>
  </si>
  <si>
    <t xml:space="preserve">JAP  </t>
  </si>
  <si>
    <t xml:space="preserve"> OCLOCKTARTAN    </t>
  </si>
  <si>
    <t xml:space="preserve"> OCLOCKWALL      </t>
  </si>
  <si>
    <t>BLASI</t>
  </si>
  <si>
    <t>BLAWH</t>
  </si>
  <si>
    <t>SILBL</t>
  </si>
  <si>
    <t>WHIBL</t>
  </si>
  <si>
    <t xml:space="preserve"> OEATATTACHE     </t>
  </si>
  <si>
    <t xml:space="preserve"> OEATCOQUE       </t>
  </si>
  <si>
    <t xml:space="preserve"> OEATINTERIEUR   </t>
  </si>
  <si>
    <t xml:space="preserve"> OFIFTY          </t>
  </si>
  <si>
    <t xml:space="preserve"> OFIFTYSOFT      </t>
  </si>
  <si>
    <t>GOMBL</t>
  </si>
  <si>
    <t>GOMWH</t>
  </si>
  <si>
    <t>GOMYE</t>
  </si>
  <si>
    <t xml:space="preserve"> OFIFTYZIP       </t>
  </si>
  <si>
    <t xml:space="preserve"> OFOLDER         </t>
  </si>
  <si>
    <t xml:space="preserve"> OGREATNOEL17    </t>
  </si>
  <si>
    <t xml:space="preserve"> OHUG            </t>
  </si>
  <si>
    <t>BRAUB</t>
  </si>
  <si>
    <t>BRBLA</t>
  </si>
  <si>
    <t>BROLI</t>
  </si>
  <si>
    <t>BROTT</t>
  </si>
  <si>
    <t>BRPHA</t>
  </si>
  <si>
    <t>BRRED</t>
  </si>
  <si>
    <t>BRSAB</t>
  </si>
  <si>
    <t>BRSAN</t>
  </si>
  <si>
    <t>CBTES</t>
  </si>
  <si>
    <t>CUBLU</t>
  </si>
  <si>
    <t>CUGRI</t>
  </si>
  <si>
    <t>CUIBR</t>
  </si>
  <si>
    <t>CUICE</t>
  </si>
  <si>
    <t>CUIGR</t>
  </si>
  <si>
    <t>CUIRO</t>
  </si>
  <si>
    <t>ECOPO</t>
  </si>
  <si>
    <t>ECORO</t>
  </si>
  <si>
    <t>ECROC</t>
  </si>
  <si>
    <t>TISBL</t>
  </si>
  <si>
    <t>TISTO</t>
  </si>
  <si>
    <t xml:space="preserve"> OHUGMEN         </t>
  </si>
  <si>
    <t xml:space="preserve"> OJOYBASE        </t>
  </si>
  <si>
    <t xml:space="preserve"> OJOYCABLE       </t>
  </si>
  <si>
    <t xml:space="preserve"> OJOYENCEINTE    </t>
  </si>
  <si>
    <t xml:space="preserve"> OJOYTIGE        </t>
  </si>
  <si>
    <t xml:space="preserve"> OMOON           </t>
  </si>
  <si>
    <t xml:space="preserve"> OMOONBABYFLOWER </t>
  </si>
  <si>
    <t xml:space="preserve"> OMOONCRYSTAL    </t>
  </si>
  <si>
    <t xml:space="preserve"> OMOONLIGHT      </t>
  </si>
  <si>
    <t xml:space="preserve"> OMOONPINS       </t>
  </si>
  <si>
    <t xml:space="preserve"> ONE             </t>
  </si>
  <si>
    <t xml:space="preserve"> ONEBODY         </t>
  </si>
  <si>
    <t xml:space="preserve"> OPOCKET         </t>
  </si>
  <si>
    <t xml:space="preserve"> OSHIFTBRACELET  </t>
  </si>
  <si>
    <t xml:space="preserve"> OSHIFTCADRAN    </t>
  </si>
  <si>
    <t xml:space="preserve"> OSHOES          </t>
  </si>
  <si>
    <t>35/36</t>
  </si>
  <si>
    <t>39/40</t>
  </si>
  <si>
    <t>41/42</t>
  </si>
  <si>
    <t>45/46</t>
  </si>
  <si>
    <t xml:space="preserve"> OSHOESFLOWER    </t>
  </si>
  <si>
    <t xml:space="preserve"> OSHOESHIGH      </t>
  </si>
  <si>
    <t xml:space="preserve"> OSQUARE         </t>
  </si>
  <si>
    <t xml:space="preserve"> OSWING          </t>
  </si>
  <si>
    <t>AMARI</t>
  </si>
  <si>
    <t xml:space="preserve"> PARFUMOJOY      </t>
  </si>
  <si>
    <t xml:space="preserve"> PATTAOCITY      </t>
  </si>
  <si>
    <t xml:space="preserve">APGR </t>
  </si>
  <si>
    <t>EBLUE</t>
  </si>
  <si>
    <t>ECOIV</t>
  </si>
  <si>
    <t>FLKBD</t>
  </si>
  <si>
    <t>FLKBL</t>
  </si>
  <si>
    <t>JAQRE</t>
  </si>
  <si>
    <t>SAFOR</t>
  </si>
  <si>
    <t>SAFPO</t>
  </si>
  <si>
    <t>VINTL</t>
  </si>
  <si>
    <t xml:space="preserve"> PILEMONTRE      </t>
  </si>
  <si>
    <t xml:space="preserve"> PINSBODY        </t>
  </si>
  <si>
    <t>BONHO</t>
  </si>
  <si>
    <t>BONNE</t>
  </si>
  <si>
    <t>FLWHI</t>
  </si>
  <si>
    <t>NORED</t>
  </si>
  <si>
    <t>NOVER</t>
  </si>
  <si>
    <t>SAPIN</t>
  </si>
  <si>
    <t xml:space="preserve"> POCHCARTECREDIT </t>
  </si>
  <si>
    <t xml:space="preserve"> POCHETTE        </t>
  </si>
  <si>
    <t>ACQBL</t>
  </si>
  <si>
    <t>GREJA</t>
  </si>
  <si>
    <t>GREOR</t>
  </si>
  <si>
    <t xml:space="preserve"> POCHETTE/ETE2017</t>
  </si>
  <si>
    <t>RIVYE</t>
  </si>
  <si>
    <t xml:space="preserve"> POCHETTE/HIVER17</t>
  </si>
  <si>
    <t xml:space="preserve"> POCHETTEECO     </t>
  </si>
  <si>
    <t xml:space="preserve"> POCHETTEENDUITE </t>
  </si>
  <si>
    <t>TENDO</t>
  </si>
  <si>
    <t xml:space="preserve"> POCHETTEFEU     </t>
  </si>
  <si>
    <t>RAMBU</t>
  </si>
  <si>
    <t>RAMIV</t>
  </si>
  <si>
    <t xml:space="preserve"> POCHETTEPHONE   </t>
  </si>
  <si>
    <t xml:space="preserve"> POCHETTEPVC     </t>
  </si>
  <si>
    <t xml:space="preserve"> POCHFOLDER      </t>
  </si>
  <si>
    <t xml:space="preserve"> POCKETHIDE      </t>
  </si>
  <si>
    <t xml:space="preserve"> POMPON          </t>
  </si>
  <si>
    <t xml:space="preserve"> POMPONETE2017   </t>
  </si>
  <si>
    <t xml:space="preserve">VIN  </t>
  </si>
  <si>
    <t xml:space="preserve"> PORT1           </t>
  </si>
  <si>
    <t xml:space="preserve"> PORTE-CLEFSNOEL </t>
  </si>
  <si>
    <t xml:space="preserve"> PORTECLE        </t>
  </si>
  <si>
    <t xml:space="preserve"> PORTECLES       </t>
  </si>
  <si>
    <t xml:space="preserve"> PORTECLESDISNEY </t>
  </si>
  <si>
    <t>MINFU</t>
  </si>
  <si>
    <t>MINOR</t>
  </si>
  <si>
    <t>MINRO</t>
  </si>
  <si>
    <t xml:space="preserve"> PORTEMONNAIE    </t>
  </si>
  <si>
    <t>DAIJA</t>
  </si>
  <si>
    <t xml:space="preserve"> RABANNE         </t>
  </si>
  <si>
    <t xml:space="preserve"> RENARD          </t>
  </si>
  <si>
    <t xml:space="preserve"> SUEDINE+ANSES   </t>
  </si>
  <si>
    <t>MAROS</t>
  </si>
  <si>
    <t>ROBOR</t>
  </si>
  <si>
    <t xml:space="preserve"> VERRES          </t>
  </si>
  <si>
    <t xml:space="preserve"> VERRESAVIATOR   </t>
  </si>
  <si>
    <t>COULE</t>
  </si>
  <si>
    <t>METAL</t>
  </si>
  <si>
    <t xml:space="preserve"> VISON           </t>
  </si>
  <si>
    <t>BLMIN</t>
  </si>
  <si>
    <t xml:space="preserve"> VISON/LAPIN     </t>
  </si>
  <si>
    <t xml:space="preserve"> WOOL            </t>
  </si>
  <si>
    <t>BOUGR</t>
  </si>
  <si>
    <t>JAQOR</t>
  </si>
  <si>
    <t>MOUDO</t>
  </si>
  <si>
    <t>MOUGR</t>
  </si>
  <si>
    <t>MOUOR</t>
  </si>
  <si>
    <t>MOUPO</t>
  </si>
  <si>
    <t>MOUTE</t>
  </si>
  <si>
    <t>TFBEI</t>
  </si>
  <si>
    <t>TFBLU</t>
  </si>
  <si>
    <t>TFWBL</t>
  </si>
  <si>
    <t>TORBL</t>
  </si>
  <si>
    <t>TORGR</t>
  </si>
  <si>
    <t>TORNA</t>
  </si>
  <si>
    <t>TREBO</t>
  </si>
  <si>
    <t>TREBU</t>
  </si>
  <si>
    <t>TREDO</t>
  </si>
  <si>
    <t>TRELA</t>
  </si>
  <si>
    <t>TRENO</t>
  </si>
  <si>
    <t>TRIBO</t>
  </si>
  <si>
    <t>TRIVE</t>
  </si>
  <si>
    <t xml:space="preserve">TWEB </t>
  </si>
  <si>
    <t xml:space="preserve">TWEG </t>
  </si>
  <si>
    <t xml:space="preserve"> </t>
  </si>
  <si>
    <t>Fin d'Edition, le 30/01/2018 à 20:59:42</t>
  </si>
  <si>
    <t>#N/A</t>
  </si>
  <si>
    <t>S Qté</t>
  </si>
  <si>
    <t>S Prix T</t>
  </si>
  <si>
    <t>OHUGI002 ECS70</t>
  </si>
  <si>
    <t>O HUG INTÉRIEUR PORTEFEUILLE FEMME EN FAUX CUIR AVEC BRISÉ</t>
  </si>
  <si>
    <t>OBAGS121 TES01</t>
  </si>
  <si>
    <t>POCHETTE INTÉRIEURE À COULISSE O SWING EN TISSU CANVAS</t>
  </si>
  <si>
    <t>OBAGB021 EVS03</t>
  </si>
  <si>
    <t>CORPS O SWING EVA COMPOUND EFFET OSIER</t>
  </si>
  <si>
    <t>ACCEF001 TESF4</t>
  </si>
  <si>
    <t>BANDEAU BRACELET FOULARD TISSU LUXURY CÔTELÉ</t>
  </si>
  <si>
    <t>21,24</t>
  </si>
  <si>
    <t>HLESZ817 TESI4</t>
  </si>
  <si>
    <t>ANSES SPORTY + BRETELLE O SQUARE TISSU RUBAN MARINA BICOLORE</t>
  </si>
  <si>
    <t>OBAGS018 TESG2</t>
  </si>
  <si>
    <t>POCHETTE INTÉRIEURE FERMETURE ÉCLAIR O BAG BEACH MINI EN TISSU CANVAS + RUBAN</t>
  </si>
  <si>
    <t>OHUGB002 EVS06</t>
  </si>
  <si>
    <t>O HUG CORPS PORTEFEUILLE FEMME EVA COMPOUND TEXTURE GRECQUE</t>
  </si>
  <si>
    <t>OBAGB019 EVS00</t>
  </si>
  <si>
    <t>CORPS O SQUARE EVA COMPOUND</t>
  </si>
  <si>
    <t>OBAGB018 EVS03</t>
  </si>
  <si>
    <t>CORPS O BAG BEACH MINI EVA COMPOUND EFFET OSIER</t>
  </si>
  <si>
    <t>OBAGS002 TESH2</t>
  </si>
  <si>
    <t>POCHETTE INTÉRIEURE FERMETURE ÉCLAIR O BAG MINI EN COTON MOTIF PAPILLONS</t>
  </si>
  <si>
    <t>OBAGPA06 TESE3</t>
  </si>
  <si>
    <t>RABAT TOURNIQUET O POCKET EN TISSU NYC VICHY</t>
  </si>
  <si>
    <t>OBAGS018 TESF9</t>
  </si>
  <si>
    <t>POCHETTE INTÉRIEURE FERMETURE ÉCLAIR O BAG BEACH MINI EN TISSU DEAUVILLE À RAYURES NUANC</t>
  </si>
  <si>
    <t>OBAGS121 TESF9</t>
  </si>
  <si>
    <t>POCHETTE INTÉRIEURE À COULISSE O SWING EN TISSU DEAUVILLE À RAYURES NUANCÉES</t>
  </si>
  <si>
    <t>OBAGS118 TESE6</t>
  </si>
  <si>
    <t>POCHETTE INTÉRIEURE À COULISSE O BAG BEACH MINI EN TISSU NYC À RAYURES BICOLORE</t>
  </si>
  <si>
    <t>60,12</t>
  </si>
  <si>
    <t>SHOUWA00 ECS66</t>
  </si>
  <si>
    <t>BANDOULIÈRE 80 + GOUTTE TROUÉE EN FAUX CUIR + TISSU DEAUVILLE À RAYURES EFFET FLAMMÉ</t>
  </si>
  <si>
    <t>OBAGS002 TESE6</t>
  </si>
  <si>
    <t>POCHETTE INTÉRIEURE FERMETURE ÉCLAIR O BAG MINI EN TISSU NYC À RAYURES BICOLORE</t>
  </si>
  <si>
    <t>OBAGS121 TES13</t>
  </si>
  <si>
    <t>POCHETTE INTÉRIEURE À COULISSE O SWING EN TISSU DENIM</t>
  </si>
  <si>
    <t>OHUGI002 ECS36</t>
  </si>
  <si>
    <t>O HUG INTÉRIEUR PORTEFEUILLE FEMME EN FAUX CUIR À RAYURES</t>
  </si>
  <si>
    <t>ACCEF001 TESF6</t>
  </si>
  <si>
    <t>BANDEAU BRACELET FOULARD TISSU LUXURY STRIPES</t>
  </si>
  <si>
    <t>65,88</t>
  </si>
  <si>
    <t>OHUGI002 ECS69</t>
  </si>
  <si>
    <t>O HUG INTÉRIEUR PORTEFEUILLE FEMME EN FAUX CUIR + FANTAISIE À FLEURS SUR RAYURES</t>
  </si>
  <si>
    <t>OBAGS019 TES26</t>
  </si>
  <si>
    <t>POCHETTE INTÉRIEURE FERMETURE ÉCLAIR O SQUARE EN TISSU CORDURA</t>
  </si>
  <si>
    <t>OBAGPA24 TESF4</t>
  </si>
  <si>
    <t>RABAT TOURNIQUET O POCKET EN MICRO TISSU LUXURY CÔTELÉ</t>
  </si>
  <si>
    <t>HLESZ817 TESH8</t>
  </si>
  <si>
    <t>ANSES + BRETELLE COURTE GOUTTE O SQUARE EN TISSU CAOUTCHOUTÉ RUBAN À RAYURES TECHNIQU</t>
  </si>
  <si>
    <t>OBAGT001 TESF7</t>
  </si>
  <si>
    <t>REVERS O BAG EN TISSU DEAUVILLE À RAYURES EFFET FLAMMÉ</t>
  </si>
  <si>
    <t>OBAGS001 TESE6</t>
  </si>
  <si>
    <t>POCHETTE INTÉRIEURE FERMETURE ÉCLAIR O BAG EN TISSU NYC À RAYURES BICOLORE</t>
  </si>
  <si>
    <t>OBAGP006 TESH2</t>
  </si>
  <si>
    <t>RABAT O POCKET EN COTON MOTIF PAPILLONS</t>
  </si>
  <si>
    <t>OBAGS121 TESF7</t>
  </si>
  <si>
    <t>POCHETTE INTÉRIEURE À COULISSE O SWING EN TISSU DEAUVILLE À RAYURES EFFET FLAMMÉ</t>
  </si>
  <si>
    <t>OBAGP006 TESF4</t>
  </si>
  <si>
    <t>RABAT O POCKET EN TISSU LUXURY CÔTELÉ</t>
  </si>
  <si>
    <t>OBAGS018 TESE6</t>
  </si>
  <si>
    <t>POCHETTE INTÉRIEURE FERMETURE ÉCLAIR O BAG BEACH MINI EN TISSU NYC À RAYURES BICOLORE</t>
  </si>
  <si>
    <t>ACCEF001 TESF5</t>
  </si>
  <si>
    <t>BANDEAU BRACELET FOULARD TISSU LUXURY DRIPPING</t>
  </si>
  <si>
    <t>OBAGT002 TESF7</t>
  </si>
  <si>
    <t>REVERS O BAG MINI EN TISSU DEAUVILLE À RAYURES EFFET FLAMMÉ</t>
  </si>
  <si>
    <t>OBAGS102 TESG7</t>
  </si>
  <si>
    <t>POCHETTE INTÉRIEURE À COULISSE O BAG MINI EN NYLON COULEUR UNIE</t>
  </si>
  <si>
    <t>OBAGS018 TES26</t>
  </si>
  <si>
    <t>POCHETTE INTÉRIEURE FERMETURE ÉCLAIR O BAG BEACH MINI EN TISSU CORDURA</t>
  </si>
  <si>
    <t>HLESZ817 TESI5</t>
  </si>
  <si>
    <t>ANSES SPORTY + BRETELLE O SQUARE TISSU RUBAN YACHT</t>
  </si>
  <si>
    <t>[489]</t>
  </si>
  <si>
    <t>[488]</t>
  </si>
  <si>
    <t>[473]</t>
  </si>
  <si>
    <t>[478]</t>
  </si>
  <si>
    <t>[471]</t>
  </si>
  <si>
    <r>
      <rPr>
        <b/>
        <sz val="7"/>
        <rFont val="Arial"/>
      </rPr>
      <t xml:space="preserve">Année </t>
    </r>
    <r>
      <rPr>
        <sz val="6.5"/>
        <rFont val="Arial"/>
      </rPr>
      <t xml:space="preserve">2018 </t>
    </r>
    <r>
      <rPr>
        <b/>
        <sz val="7"/>
        <rFont val="Arial"/>
      </rPr>
      <t xml:space="preserve">Index </t>
    </r>
    <r>
      <rPr>
        <sz val="6.5"/>
        <rFont val="Arial"/>
      </rPr>
      <t xml:space="preserve">321 </t>
    </r>
    <r>
      <rPr>
        <b/>
        <sz val="7"/>
        <rFont val="Arial"/>
      </rPr>
      <t xml:space="preserve">N. </t>
    </r>
    <r>
      <rPr>
        <sz val="6.5"/>
        <rFont val="Arial"/>
      </rPr>
      <t xml:space="preserve">226 </t>
    </r>
    <r>
      <rPr>
        <b/>
        <sz val="7"/>
        <rFont val="Arial"/>
      </rPr>
      <t xml:space="preserve">Date </t>
    </r>
    <r>
      <rPr>
        <sz val="6.5"/>
        <rFont val="Arial"/>
      </rPr>
      <t>12/02/2018</t>
    </r>
  </si>
  <si>
    <r>
      <rPr>
        <b/>
        <sz val="7"/>
        <rFont val="Arial"/>
      </rPr>
      <t>Échéance</t>
    </r>
  </si>
  <si>
    <r>
      <rPr>
        <b/>
        <sz val="7"/>
        <rFont val="Arial"/>
      </rPr>
      <t xml:space="preserve">Exemption </t>
    </r>
    <r>
      <rPr>
        <sz val="6.5"/>
        <rFont val="Arial"/>
      </rPr>
      <t xml:space="preserve">VEND.N.I.ART.41 L.427/93 UE </t>
    </r>
    <r>
      <rPr>
        <b/>
        <sz val="7"/>
        <rFont val="Arial"/>
      </rPr>
      <t>Lettre</t>
    </r>
  </si>
  <si>
    <r>
      <rPr>
        <b/>
        <sz val="7"/>
        <rFont val="Arial"/>
      </rPr>
      <t>Intention</t>
    </r>
  </si>
  <si>
    <r>
      <rPr>
        <sz val="6.5"/>
        <rFont val="Arial"/>
      </rPr>
      <t xml:space="preserve">Pag </t>
    </r>
    <r>
      <rPr>
        <sz val="6.5"/>
        <rFont val="Arial"/>
      </rPr>
      <t>1 1</t>
    </r>
  </si>
  <si>
    <r>
      <rPr>
        <b/>
        <sz val="7"/>
        <rFont val="Arial"/>
      </rPr>
      <t xml:space="preserve">Client </t>
    </r>
    <r>
      <rPr>
        <sz val="6.5"/>
        <rFont val="Arial"/>
      </rPr>
      <t>002487</t>
    </r>
  </si>
  <si>
    <r>
      <rPr>
        <sz val="6.5"/>
        <rFont val="Arial"/>
      </rPr>
      <t>SOFEA</t>
    </r>
  </si>
  <si>
    <r>
      <rPr>
        <sz val="6.5"/>
        <rFont val="Arial"/>
      </rPr>
      <t>10, RUE GASTON PHOEBUS</t>
    </r>
  </si>
  <si>
    <r>
      <rPr>
        <sz val="6.5"/>
        <rFont val="Arial"/>
      </rPr>
      <t xml:space="preserve">31120 LACROIX-FALGARDE -Francia </t>
    </r>
  </si>
  <si>
    <r>
      <rPr>
        <sz val="6.5"/>
        <rFont val="Arial"/>
      </rPr>
      <t>P. Iva 44808894489</t>
    </r>
  </si>
  <si>
    <r>
      <rPr>
        <b/>
        <sz val="8.5"/>
        <rFont val="Arial"/>
      </rPr>
      <t xml:space="preserve">Total FACTURE </t>
    </r>
    <r>
      <rPr>
        <b/>
        <sz val="8.5"/>
        <rFont val="Arial"/>
      </rPr>
      <t>14.935,20 EUR</t>
    </r>
  </si>
  <si>
    <r>
      <rPr>
        <b/>
        <sz val="7"/>
        <rFont val="Arial"/>
      </rPr>
      <t>Justificatif</t>
    </r>
  </si>
  <si>
    <r>
      <rPr>
        <sz val="6.5"/>
        <rFont val="Arial"/>
      </rPr>
      <t>Fattura ESTERO</t>
    </r>
  </si>
  <si>
    <r>
      <rPr>
        <b/>
        <sz val="7"/>
        <rFont val="Arial"/>
      </rPr>
      <t>Banque</t>
    </r>
  </si>
  <si>
    <r>
      <rPr>
        <b/>
        <sz val="7"/>
        <rFont val="Arial"/>
      </rPr>
      <t>Cod. Paiem.</t>
    </r>
  </si>
  <si>
    <r>
      <rPr>
        <sz val="6.5"/>
        <rFont val="Arial"/>
      </rPr>
      <t>P002 BONIFICO CLIENTE</t>
    </r>
  </si>
  <si>
    <r>
      <rPr>
        <b/>
        <sz val="7"/>
        <rFont val="Arial"/>
      </rPr>
      <t>IBAN</t>
    </r>
  </si>
  <si>
    <r>
      <rPr>
        <b/>
        <sz val="7"/>
        <rFont val="Arial"/>
      </rPr>
      <t xml:space="preserve">Remise fin. </t>
    </r>
    <r>
      <rPr>
        <b/>
        <sz val="7"/>
        <rFont val="Arial"/>
      </rPr>
      <t xml:space="preserve">Remise en-t </t>
    </r>
    <r>
      <rPr>
        <b/>
        <sz val="7"/>
        <rFont val="Arial"/>
      </rPr>
      <t>remise cond.</t>
    </r>
  </si>
  <si>
    <r>
      <rPr>
        <b/>
        <sz val="7"/>
        <rFont val="Arial"/>
      </rPr>
      <t>N.jours</t>
    </r>
  </si>
  <si>
    <r>
      <rPr>
        <b/>
        <sz val="7"/>
        <rFont val="Arial"/>
      </rPr>
      <t>Agent</t>
    </r>
  </si>
  <si>
    <r>
      <rPr>
        <sz val="6.5"/>
        <rFont val="Arial"/>
      </rPr>
      <t xml:space="preserve">AGED01 AGENTE DIREZIONALE SOCIETA' D01 </t>
    </r>
  </si>
  <si>
    <r>
      <rPr>
        <b/>
        <sz val="7"/>
        <rFont val="Arial"/>
      </rPr>
      <t>Notes facture</t>
    </r>
  </si>
  <si>
    <r>
      <rPr>
        <sz val="6.5"/>
        <rFont val="Arial"/>
      </rPr>
      <t>FT Tracking UPS: 1ZV621906876694101</t>
    </r>
  </si>
  <si>
    <r>
      <rPr>
        <b/>
        <sz val="7"/>
        <rFont val="Arial"/>
      </rPr>
      <t xml:space="preserve">Document </t>
    </r>
    <r>
      <rPr>
        <sz val="6.5"/>
        <rFont val="Arial"/>
      </rPr>
      <t>MAGD01/2018/02/1925</t>
    </r>
  </si>
  <si>
    <r>
      <rPr>
        <b/>
        <sz val="7"/>
        <rFont val="Arial"/>
      </rPr>
      <t>label</t>
    </r>
  </si>
  <si>
    <r>
      <rPr>
        <b/>
        <sz val="7"/>
        <rFont val="Arial"/>
      </rPr>
      <t>Num. C.de</t>
    </r>
  </si>
  <si>
    <r>
      <rPr>
        <sz val="6.5"/>
        <rFont val="Arial"/>
      </rPr>
      <t>2999-99-OBAG-1123</t>
    </r>
  </si>
  <si>
    <r>
      <rPr>
        <b/>
        <sz val="7"/>
        <rFont val="Arial"/>
      </rPr>
      <t xml:space="preserve">Document </t>
    </r>
    <r>
      <rPr>
        <sz val="6.5"/>
        <rFont val="Arial"/>
      </rPr>
      <t>MAGD01/2018/02/1926</t>
    </r>
  </si>
  <si>
    <r>
      <rPr>
        <sz val="6.5"/>
        <rFont val="Arial"/>
      </rPr>
      <t>2018-01-OBAG-1280</t>
    </r>
  </si>
  <si>
    <r>
      <rPr>
        <b/>
        <sz val="7"/>
        <rFont val="Arial"/>
      </rPr>
      <t xml:space="preserve">Document </t>
    </r>
    <r>
      <rPr>
        <sz val="6.5"/>
        <rFont val="Arial"/>
      </rPr>
      <t>///</t>
    </r>
  </si>
  <si>
    <r>
      <rPr>
        <sz val="6.5"/>
        <rFont val="Arial"/>
      </rPr>
      <t>---</t>
    </r>
  </si>
  <si>
    <r>
      <rPr>
        <b/>
        <sz val="7"/>
        <rFont val="Arial"/>
      </rPr>
      <t xml:space="preserve">N. </t>
    </r>
    <r>
      <rPr>
        <b/>
        <sz val="7"/>
        <rFont val="Arial"/>
      </rPr>
      <t xml:space="preserve">Modèle </t>
    </r>
    <r>
      <rPr>
        <b/>
        <sz val="7"/>
        <rFont val="Arial"/>
      </rPr>
      <t xml:space="preserve">Pièce </t>
    </r>
    <r>
      <rPr>
        <b/>
        <sz val="7"/>
        <rFont val="Arial"/>
      </rPr>
      <t xml:space="preserve">Couleur </t>
    </r>
    <r>
      <rPr>
        <b/>
        <sz val="7"/>
        <rFont val="Arial"/>
      </rPr>
      <t xml:space="preserve">Taille </t>
    </r>
    <r>
      <rPr>
        <b/>
        <sz val="7"/>
        <rFont val="Arial"/>
      </rPr>
      <t xml:space="preserve">QTÉ Um </t>
    </r>
    <r>
      <rPr>
        <b/>
        <sz val="7"/>
        <rFont val="Arial"/>
      </rPr>
      <t xml:space="preserve">Prix Remises </t>
    </r>
    <r>
      <rPr>
        <b/>
        <sz val="7"/>
        <rFont val="Arial"/>
      </rPr>
      <t>Montant Cadeaux TVA</t>
    </r>
  </si>
  <si>
    <r>
      <rPr>
        <b/>
        <sz val="7"/>
        <rFont val="Arial"/>
      </rPr>
      <t xml:space="preserve">Document </t>
    </r>
    <r>
      <rPr>
        <sz val="6.5"/>
        <rFont val="Arial"/>
      </rPr>
      <t xml:space="preserve">MAGD01/2018/02/1925 </t>
    </r>
    <r>
      <rPr>
        <b/>
        <sz val="7"/>
        <rFont val="Arial"/>
      </rPr>
      <t xml:space="preserve">Date doc. </t>
    </r>
    <r>
      <rPr>
        <sz val="6.5"/>
        <rFont val="Arial"/>
      </rPr>
      <t xml:space="preserve">12/02/2018 </t>
    </r>
    <r>
      <rPr>
        <b/>
        <sz val="7"/>
        <rFont val="Arial"/>
      </rPr>
      <t xml:space="preserve">Client dest. </t>
    </r>
    <r>
      <rPr>
        <sz val="6.5"/>
        <rFont val="Arial"/>
      </rPr>
      <t xml:space="preserve">002488 </t>
    </r>
    <r>
      <rPr>
        <sz val="6.5"/>
        <rFont val="Arial"/>
      </rPr>
      <t>O BAG STORE BLAGNAC 2 ALLEE EMILE ZOLA</t>
    </r>
  </si>
  <si>
    <r>
      <rPr>
        <b/>
        <sz val="7"/>
        <rFont val="Arial"/>
      </rPr>
      <t>Document</t>
    </r>
  </si>
  <si>
    <r>
      <rPr>
        <sz val="6.5"/>
        <rFont val="Arial"/>
      </rPr>
      <t>MAGD01/2018/02/1925</t>
    </r>
  </si>
  <si>
    <r>
      <rPr>
        <b/>
        <sz val="7"/>
        <rFont val="Arial"/>
      </rPr>
      <t>Date doc.</t>
    </r>
  </si>
  <si>
    <r>
      <rPr>
        <b/>
        <sz val="7"/>
        <rFont val="Arial"/>
      </rPr>
      <t>Client dest.</t>
    </r>
  </si>
  <si>
    <r>
      <rPr>
        <sz val="6.5"/>
        <rFont val="Arial"/>
      </rPr>
      <t xml:space="preserve"> </t>
    </r>
    <r>
      <rPr>
        <sz val="6.5"/>
        <rFont val="Arial"/>
      </rPr>
      <t xml:space="preserve">002488 </t>
    </r>
    <r>
      <rPr>
        <sz val="6.5"/>
        <rFont val="Arial"/>
      </rPr>
      <t>O BAG STORE BLAGNAC 2 ALLEE EMILE ZOLA</t>
    </r>
  </si>
  <si>
    <r>
      <rPr>
        <sz val="6.5"/>
        <rFont val="Arial"/>
      </rPr>
      <t>31700 BLAGNAC FR</t>
    </r>
  </si>
  <si>
    <r>
      <rPr>
        <sz val="6.5"/>
        <rFont val="Arial"/>
      </rPr>
      <t>FULL SPOT SPA</t>
    </r>
  </si>
  <si>
    <r>
      <rPr>
        <sz val="6.5"/>
        <rFont val="Arial"/>
      </rPr>
      <t>AUSPIK/2018/02/7964</t>
    </r>
  </si>
  <si>
    <r>
      <rPr>
        <b/>
        <sz val="7"/>
        <rFont val="Arial"/>
      </rPr>
      <t xml:space="preserve">label </t>
    </r>
    <r>
      <rPr>
        <sz val="6.5"/>
        <rFont val="Arial"/>
      </rPr>
      <t xml:space="preserve">FULL SPOT SPA </t>
    </r>
    <r>
      <rPr>
        <b/>
        <sz val="7"/>
        <rFont val="Arial"/>
      </rPr>
      <t xml:space="preserve">label </t>
    </r>
    <r>
      <rPr>
        <sz val="6.5"/>
        <rFont val="Arial"/>
      </rPr>
      <t xml:space="preserve">AUSPIK/2018/02/7964 </t>
    </r>
    <r>
      <rPr>
        <b/>
        <sz val="7"/>
        <rFont val="Arial"/>
      </rPr>
      <t xml:space="preserve">label </t>
    </r>
    <r>
      <rPr>
        <sz val="6.5"/>
        <rFont val="Arial"/>
      </rPr>
      <t>12/02/2018</t>
    </r>
  </si>
  <si>
    <r>
      <rPr>
        <sz val="6.5"/>
        <rFont val="Arial"/>
      </rPr>
      <t>2999 99/OBAG/1123 106822</t>
    </r>
  </si>
  <si>
    <r>
      <rPr>
        <b/>
        <sz val="7"/>
        <rFont val="Arial"/>
      </rPr>
      <t xml:space="preserve">Num. C.de </t>
    </r>
    <r>
      <rPr>
        <sz val="6.5"/>
        <rFont val="Arial"/>
      </rPr>
      <t>2999 99/OBAG/1123 106822</t>
    </r>
  </si>
  <si>
    <r>
      <rPr>
        <sz val="6.5"/>
        <rFont val="Arial"/>
      </rPr>
      <t>1G</t>
    </r>
  </si>
  <si>
    <r>
      <rPr>
        <sz val="6.5"/>
        <rFont val="Arial"/>
      </rPr>
      <t xml:space="preserve">78 </t>
    </r>
    <r>
      <rPr>
        <sz val="6.5"/>
        <rFont val="Arial"/>
      </rPr>
      <t xml:space="preserve">OBAGM3B4 </t>
    </r>
    <r>
      <rPr>
        <sz val="6.5"/>
        <rFont val="Arial"/>
      </rPr>
      <t xml:space="preserve">CAS03 </t>
    </r>
    <r>
      <rPr>
        <sz val="6.5"/>
        <rFont val="Arial"/>
      </rPr>
      <t xml:space="preserve">232 </t>
    </r>
    <r>
      <rPr>
        <sz val="6.5"/>
        <rFont val="Arial"/>
      </rPr>
      <t xml:space="preserve">1 PZ </t>
    </r>
    <r>
      <rPr>
        <sz val="6.5"/>
        <rFont val="Arial"/>
      </rPr>
      <t xml:space="preserve">6,000 </t>
    </r>
    <r>
      <rPr>
        <sz val="6.5"/>
        <rFont val="Arial"/>
      </rPr>
      <t xml:space="preserve">6,00 </t>
    </r>
    <r>
      <rPr>
        <sz val="6.5"/>
        <rFont val="Arial"/>
      </rPr>
      <t>1G</t>
    </r>
  </si>
  <si>
    <r>
      <rPr>
        <sz val="6.5"/>
        <rFont val="Arial"/>
      </rPr>
      <t>PZ</t>
    </r>
  </si>
  <si>
    <r>
      <rPr>
        <sz val="6.5"/>
        <rFont val="Arial"/>
      </rPr>
      <t>OBAGM3B4</t>
    </r>
  </si>
  <si>
    <r>
      <rPr>
        <sz val="6.5"/>
        <rFont val="Arial"/>
      </rPr>
      <t>CAS03</t>
    </r>
  </si>
  <si>
    <r>
      <rPr>
        <sz val="6.5"/>
        <rFont val="Arial"/>
      </rPr>
      <t>CARTELLO VETRINA NEW SPRING COLORS CARTA STAMPATA MIX COULEURS</t>
    </r>
  </si>
  <si>
    <r>
      <rPr>
        <b/>
        <sz val="7"/>
        <rFont val="Arial"/>
      </rPr>
      <t>Fabriqué e</t>
    </r>
  </si>
  <si>
    <r>
      <rPr>
        <sz val="6.5"/>
        <rFont val="Arial"/>
      </rPr>
      <t>IT - ITALIA</t>
    </r>
  </si>
  <si>
    <r>
      <rPr>
        <b/>
        <sz val="7"/>
        <rFont val="Arial"/>
      </rPr>
      <t xml:space="preserve">Fabriqué e </t>
    </r>
    <r>
      <rPr>
        <sz val="6.5"/>
        <rFont val="Arial"/>
      </rPr>
      <t xml:space="preserve">IT - ITALIA </t>
    </r>
    <r>
      <rPr>
        <b/>
        <sz val="7"/>
        <rFont val="Arial"/>
      </rPr>
      <t xml:space="preserve">label </t>
    </r>
    <r>
      <rPr>
        <sz val="6.5"/>
        <rFont val="Arial"/>
      </rPr>
      <t>49111090</t>
    </r>
  </si>
  <si>
    <r>
      <rPr>
        <sz val="6.5"/>
        <rFont val="Arial"/>
      </rPr>
      <t xml:space="preserve">259 MOBLI056 </t>
    </r>
    <r>
      <rPr>
        <sz val="6.5"/>
        <rFont val="Arial"/>
      </rPr>
      <t xml:space="preserve">FOS47 </t>
    </r>
    <r>
      <rPr>
        <sz val="6.5"/>
        <rFont val="Arial"/>
      </rPr>
      <t xml:space="preserve">232 </t>
    </r>
    <r>
      <rPr>
        <sz val="6.5"/>
        <rFont val="Arial"/>
      </rPr>
      <t xml:space="preserve">1 PZ </t>
    </r>
    <r>
      <rPr>
        <sz val="6.5"/>
        <rFont val="Arial"/>
      </rPr>
      <t xml:space="preserve">9,000 </t>
    </r>
    <r>
      <rPr>
        <sz val="6.5"/>
        <rFont val="Arial"/>
      </rPr>
      <t xml:space="preserve">9,00 </t>
    </r>
    <r>
      <rPr>
        <sz val="6.5"/>
        <rFont val="Arial"/>
      </rPr>
      <t>1G</t>
    </r>
  </si>
  <si>
    <r>
      <rPr>
        <sz val="6.5"/>
        <rFont val="Arial"/>
      </rPr>
      <t>MOBLI056</t>
    </r>
  </si>
  <si>
    <r>
      <rPr>
        <sz val="6.5"/>
        <rFont val="Arial"/>
      </rPr>
      <t>FOS47</t>
    </r>
  </si>
  <si>
    <r>
      <rPr>
        <sz val="6.5"/>
        <rFont val="Arial"/>
      </rPr>
      <t>PANNELLO PARCOM NEW SPRING COLORS MIX COULEURS</t>
    </r>
  </si>
  <si>
    <r>
      <rPr>
        <b/>
        <sz val="7"/>
        <rFont val="Arial"/>
      </rPr>
      <t xml:space="preserve">Fabriqué e </t>
    </r>
    <r>
      <rPr>
        <sz val="6.5"/>
        <rFont val="Arial"/>
      </rPr>
      <t xml:space="preserve">IT - ITALIA </t>
    </r>
    <r>
      <rPr>
        <sz val="6.5"/>
        <rFont val="Arial"/>
      </rPr>
      <t xml:space="preserve"> </t>
    </r>
    <r>
      <rPr>
        <b/>
        <sz val="7"/>
        <rFont val="Arial"/>
      </rPr>
      <t xml:space="preserve">label </t>
    </r>
    <r>
      <rPr>
        <sz val="6.5"/>
        <rFont val="Arial"/>
      </rPr>
      <t>49111090</t>
    </r>
  </si>
  <si>
    <r>
      <rPr>
        <sz val="6.5"/>
        <rFont val="Arial"/>
      </rPr>
      <t>MAGD01/2018/02/1926</t>
    </r>
  </si>
  <si>
    <r>
      <rPr>
        <b/>
        <sz val="7"/>
        <rFont val="Arial"/>
      </rPr>
      <t xml:space="preserve">Document </t>
    </r>
    <r>
      <rPr>
        <sz val="6.5"/>
        <rFont val="Arial"/>
      </rPr>
      <t xml:space="preserve">MAGD01/2018/02/1926 </t>
    </r>
    <r>
      <rPr>
        <b/>
        <sz val="7"/>
        <rFont val="Arial"/>
      </rPr>
      <t xml:space="preserve">Date doc. </t>
    </r>
    <r>
      <rPr>
        <sz val="6.5"/>
        <rFont val="Arial"/>
      </rPr>
      <t xml:space="preserve">12/02/2018 </t>
    </r>
    <r>
      <rPr>
        <b/>
        <sz val="7"/>
        <rFont val="Arial"/>
      </rPr>
      <t xml:space="preserve">Client dest. </t>
    </r>
    <r>
      <rPr>
        <sz val="6.5"/>
        <rFont val="Arial"/>
      </rPr>
      <t xml:space="preserve">002488 </t>
    </r>
    <r>
      <rPr>
        <sz val="6.5"/>
        <rFont val="Arial"/>
      </rPr>
      <t>O BAG STORE BLAGNAC 2 ALLEE EMILE ZOLA</t>
    </r>
  </si>
  <si>
    <r>
      <rPr>
        <sz val="6.5"/>
        <rFont val="Arial"/>
      </rPr>
      <t>AUSPIK/2018/02/7965</t>
    </r>
  </si>
  <si>
    <r>
      <rPr>
        <b/>
        <sz val="7"/>
        <rFont val="Arial"/>
      </rPr>
      <t xml:space="preserve">label </t>
    </r>
    <r>
      <rPr>
        <sz val="6.5"/>
        <rFont val="Arial"/>
      </rPr>
      <t xml:space="preserve">FULL SPOT SPA </t>
    </r>
    <r>
      <rPr>
        <b/>
        <sz val="7"/>
        <rFont val="Arial"/>
      </rPr>
      <t xml:space="preserve">label </t>
    </r>
    <r>
      <rPr>
        <sz val="6.5"/>
        <rFont val="Arial"/>
      </rPr>
      <t xml:space="preserve">AUSPIK/2018/02/7965 </t>
    </r>
    <r>
      <rPr>
        <b/>
        <sz val="7"/>
        <rFont val="Arial"/>
      </rPr>
      <t xml:space="preserve">label </t>
    </r>
    <r>
      <rPr>
        <sz val="6.5"/>
        <rFont val="Arial"/>
      </rPr>
      <t>12/02/2018</t>
    </r>
  </si>
  <si>
    <r>
      <rPr>
        <sz val="6.5"/>
        <rFont val="Arial"/>
      </rPr>
      <t xml:space="preserve">2018 01/OBAG/1280 </t>
    </r>
  </si>
  <si>
    <r>
      <rPr>
        <b/>
        <sz val="7"/>
        <rFont val="Arial"/>
      </rPr>
      <t xml:space="preserve">Num. C.de </t>
    </r>
    <r>
      <rPr>
        <sz val="6.5"/>
        <rFont val="Arial"/>
      </rPr>
      <t>2018 01/OBAG/1280</t>
    </r>
  </si>
  <si>
    <r>
      <rPr>
        <sz val="6.5"/>
        <rFont val="Arial"/>
      </rPr>
      <t>6307909899</t>
    </r>
  </si>
  <si>
    <r>
      <rPr>
        <sz val="6.5"/>
        <rFont val="Arial"/>
      </rPr>
      <t xml:space="preserve">1 </t>
    </r>
    <r>
      <rPr>
        <sz val="6.5"/>
        <rFont val="Arial"/>
      </rPr>
      <t xml:space="preserve">OCLKD104 </t>
    </r>
    <r>
      <rPr>
        <sz val="6.5"/>
        <rFont val="Arial"/>
      </rPr>
      <t xml:space="preserve">MES90 </t>
    </r>
    <r>
      <rPr>
        <sz val="6.5"/>
        <rFont val="Arial"/>
      </rPr>
      <t xml:space="preserve">008 </t>
    </r>
    <r>
      <rPr>
        <sz val="6.5"/>
        <rFont val="Arial"/>
      </rPr>
      <t>3 PZ</t>
    </r>
  </si>
  <si>
    <r>
      <rPr>
        <sz val="6.5"/>
        <rFont val="Arial"/>
      </rPr>
      <t>MÉCANISME GREAT DATE NYC TIMES SQUARE BLANC</t>
    </r>
  </si>
  <si>
    <r>
      <rPr>
        <b/>
        <sz val="7"/>
        <rFont val="Arial"/>
      </rPr>
      <t xml:space="preserve">Fabriqué e </t>
    </r>
    <r>
      <rPr>
        <sz val="6.5"/>
        <rFont val="Arial"/>
      </rPr>
      <t xml:space="preserve">CN - CINA </t>
    </r>
    <r>
      <rPr>
        <b/>
        <sz val="7"/>
        <rFont val="Arial"/>
      </rPr>
      <t>label</t>
    </r>
  </si>
  <si>
    <r>
      <rPr>
        <sz val="6.5"/>
        <rFont val="Arial"/>
      </rPr>
      <t xml:space="preserve">2 </t>
    </r>
    <r>
      <rPr>
        <sz val="6.5"/>
        <rFont val="Arial"/>
      </rPr>
      <t xml:space="preserve">OBAGB016 </t>
    </r>
    <r>
      <rPr>
        <sz val="6.5"/>
        <rFont val="Arial"/>
      </rPr>
      <t xml:space="preserve">EVS00 </t>
    </r>
    <r>
      <rPr>
        <sz val="6.5"/>
        <rFont val="Arial"/>
      </rPr>
      <t xml:space="preserve">371 </t>
    </r>
    <r>
      <rPr>
        <sz val="6.5"/>
        <rFont val="Arial"/>
      </rPr>
      <t>2 PZ</t>
    </r>
  </si>
  <si>
    <r>
      <rPr>
        <sz val="6.5"/>
        <rFont val="Arial"/>
      </rPr>
      <t>CORPS O MOON EVA COMPOUND LATTE</t>
    </r>
  </si>
  <si>
    <r>
      <rPr>
        <b/>
        <sz val="7"/>
        <rFont val="Arial"/>
      </rPr>
      <t xml:space="preserve">Fabriqué e </t>
    </r>
    <r>
      <rPr>
        <sz val="6.5"/>
        <rFont val="Arial"/>
      </rPr>
      <t xml:space="preserve">IT - ITALIA </t>
    </r>
    <r>
      <rPr>
        <b/>
        <sz val="7"/>
        <rFont val="Arial"/>
      </rPr>
      <t>label</t>
    </r>
  </si>
  <si>
    <r>
      <rPr>
        <sz val="6.5"/>
        <rFont val="Arial"/>
      </rPr>
      <t xml:space="preserve">3 </t>
    </r>
    <r>
      <rPr>
        <sz val="6.5"/>
        <rFont val="Arial"/>
      </rPr>
      <t xml:space="preserve">HLESD000 </t>
    </r>
    <r>
      <rPr>
        <sz val="6.5"/>
        <rFont val="Arial"/>
      </rPr>
      <t xml:space="preserve">ECS35 </t>
    </r>
    <r>
      <rPr>
        <sz val="6.5"/>
        <rFont val="Arial"/>
      </rPr>
      <t xml:space="preserve">076 </t>
    </r>
    <r>
      <rPr>
        <sz val="6.5"/>
        <rFont val="Arial"/>
      </rPr>
      <t>3 PZ</t>
    </r>
  </si>
  <si>
    <r>
      <rPr>
        <sz val="6.5"/>
        <rFont val="Arial"/>
      </rPr>
      <t>ANSES LONGUES ADAPTABLES EN FAUX CUIR BASIC ROUGE</t>
    </r>
  </si>
  <si>
    <r>
      <rPr>
        <sz val="6.5"/>
        <rFont val="Arial"/>
      </rPr>
      <t xml:space="preserve">4 </t>
    </r>
    <r>
      <rPr>
        <sz val="6.5"/>
        <rFont val="Arial"/>
      </rPr>
      <t xml:space="preserve">OBAGS009 </t>
    </r>
    <r>
      <rPr>
        <sz val="6.5"/>
        <rFont val="Arial"/>
      </rPr>
      <t xml:space="preserve">TESG9 </t>
    </r>
    <r>
      <rPr>
        <sz val="6.5"/>
        <rFont val="Arial"/>
      </rPr>
      <t xml:space="preserve">125 </t>
    </r>
    <r>
      <rPr>
        <sz val="6.5"/>
        <rFont val="Arial"/>
      </rPr>
      <t>2 PZ</t>
    </r>
  </si>
  <si>
    <r>
      <rPr>
        <sz val="6.5"/>
        <rFont val="Arial"/>
      </rPr>
      <t>POCHETTE INTÉRIEURE FERMETURE ÉCLAIR O BAG 50 EN TISSU FANTAISIE COQUELICOTS SUR RAY</t>
    </r>
  </si>
  <si>
    <r>
      <rPr>
        <sz val="6.5"/>
        <rFont val="Arial"/>
      </rPr>
      <t xml:space="preserve">5 </t>
    </r>
    <r>
      <rPr>
        <sz val="6.5"/>
        <rFont val="Arial"/>
      </rPr>
      <t xml:space="preserve">SHOUWA00 </t>
    </r>
    <r>
      <rPr>
        <sz val="6.5"/>
        <rFont val="Arial"/>
      </rPr>
      <t xml:space="preserve">ECS54 </t>
    </r>
    <r>
      <rPr>
        <sz val="6.5"/>
        <rFont val="Arial"/>
      </rPr>
      <t xml:space="preserve">215 </t>
    </r>
    <r>
      <rPr>
        <sz val="6.5"/>
        <rFont val="Arial"/>
      </rPr>
      <t>3 PZ</t>
    </r>
  </si>
  <si>
    <r>
      <rPr>
        <sz val="6.5"/>
        <rFont val="Arial"/>
      </rPr>
      <t>BANDOULIÈRE COURTE NEW GOUTTE TROUÉE EN FAUX CUIR CLOUS ÉMAILLÉS CRÈME</t>
    </r>
  </si>
  <si>
    <r>
      <rPr>
        <sz val="6.5"/>
        <rFont val="Arial"/>
      </rPr>
      <t xml:space="preserve">6 </t>
    </r>
    <r>
      <rPr>
        <sz val="6.5"/>
        <rFont val="Arial"/>
      </rPr>
      <t xml:space="preserve">HLESAD00 </t>
    </r>
    <r>
      <rPr>
        <sz val="6.5"/>
        <rFont val="Arial"/>
      </rPr>
      <t xml:space="preserve">ECS00 </t>
    </r>
    <r>
      <rPr>
        <sz val="6.5"/>
        <rFont val="Arial"/>
      </rPr>
      <t xml:space="preserve">483 </t>
    </r>
    <r>
      <rPr>
        <sz val="6.5"/>
        <rFont val="Arial"/>
      </rPr>
      <t>8 PZ</t>
    </r>
  </si>
  <si>
    <r>
      <rPr>
        <sz val="6.5"/>
        <rFont val="Arial"/>
      </rPr>
      <t>ANSES TUBULAIRES EN FAUX CUIR CHAMPAGNE</t>
    </r>
  </si>
  <si>
    <r>
      <rPr>
        <sz val="6.5"/>
        <rFont val="Arial"/>
      </rPr>
      <t xml:space="preserve">7 </t>
    </r>
    <r>
      <rPr>
        <sz val="6.5"/>
        <rFont val="Arial"/>
      </rPr>
      <t xml:space="preserve">OBAGS002 </t>
    </r>
    <r>
      <rPr>
        <sz val="6.5"/>
        <rFont val="Arial"/>
      </rPr>
      <t xml:space="preserve">TES01 </t>
    </r>
    <r>
      <rPr>
        <sz val="6.5"/>
        <rFont val="Arial"/>
      </rPr>
      <t xml:space="preserve">076 </t>
    </r>
    <r>
      <rPr>
        <sz val="6.5"/>
        <rFont val="Arial"/>
      </rPr>
      <t>3 PZ</t>
    </r>
  </si>
  <si>
    <r>
      <rPr>
        <sz val="6.5"/>
        <rFont val="Arial"/>
      </rPr>
      <t>POCHETTE INTÉRIEURE FERMETURE ÉCLAIR O BAG MINI EN TISSU CANVAS ROUGE</t>
    </r>
  </si>
  <si>
    <r>
      <rPr>
        <sz val="6.5"/>
        <rFont val="Arial"/>
      </rPr>
      <t xml:space="preserve">8 </t>
    </r>
    <r>
      <rPr>
        <sz val="6.5"/>
        <rFont val="Arial"/>
      </rPr>
      <t xml:space="preserve">OBAGPA24 </t>
    </r>
    <r>
      <rPr>
        <sz val="6.5"/>
        <rFont val="Arial"/>
      </rPr>
      <t xml:space="preserve">TESG8 </t>
    </r>
    <r>
      <rPr>
        <sz val="6.5"/>
        <rFont val="Arial"/>
      </rPr>
      <t xml:space="preserve">061 </t>
    </r>
    <r>
      <rPr>
        <sz val="6.5"/>
        <rFont val="Arial"/>
      </rPr>
      <t>2 PZ</t>
    </r>
  </si>
  <si>
    <r>
      <rPr>
        <sz val="6.5"/>
        <rFont val="Arial"/>
      </rPr>
      <t>RABAT TOURNIQUET O POCKET EN MICRO TISSU MÉTALLISÉ FLOWER BRODERIE ANGLAISE OR</t>
    </r>
  </si>
  <si>
    <r>
      <rPr>
        <sz val="6.5"/>
        <rFont val="Arial"/>
      </rPr>
      <t xml:space="preserve">9 </t>
    </r>
    <r>
      <rPr>
        <sz val="6.5"/>
        <rFont val="Arial"/>
      </rPr>
      <t xml:space="preserve">OBAGB021 </t>
    </r>
    <r>
      <rPr>
        <sz val="6.5"/>
        <rFont val="Arial"/>
      </rPr>
      <t xml:space="preserve">EVS03 </t>
    </r>
    <r>
      <rPr>
        <sz val="6.5"/>
        <rFont val="Arial"/>
      </rPr>
      <t xml:space="preserve">078 </t>
    </r>
    <r>
      <rPr>
        <sz val="6.5"/>
        <rFont val="Arial"/>
      </rPr>
      <t>2 PZ</t>
    </r>
  </si>
  <si>
    <r>
      <rPr>
        <sz val="6.5"/>
        <rFont val="Arial"/>
      </rPr>
      <t xml:space="preserve">Pag </t>
    </r>
    <r>
      <rPr>
        <b/>
        <sz val="7"/>
        <rFont val="Arial"/>
      </rPr>
      <t>2</t>
    </r>
  </si>
  <si>
    <r>
      <rPr>
        <sz val="6.5"/>
        <rFont val="Arial"/>
      </rPr>
      <t>CORPS O SWING EVA COMPOUND EFFET OSIER SABLE</t>
    </r>
  </si>
  <si>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</si>
  <si>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10 OBAGA000 ECS42 076</t>
    </r>
  </si>
  <si>
    <r>
      <rPr>
        <sz val="6.5"/>
        <rFont val="Arial"/>
      </rPr>
      <t>6 PZ</t>
    </r>
  </si>
  <si>
    <r>
      <rPr>
        <sz val="6.5"/>
        <rFont val="Arial"/>
      </rPr>
      <t xml:space="preserve">ACCESSOIRE CLIP EN FAUX CUIR OPAQUE + ARGENT ROUGE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</si>
  <si>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11 OBAGB010 EVS00 078</t>
    </r>
  </si>
  <si>
    <r>
      <rPr>
        <sz val="6.5"/>
        <rFont val="Arial"/>
      </rPr>
      <t>1 PZ</t>
    </r>
  </si>
  <si>
    <r>
      <rPr>
        <sz val="6.5"/>
        <rFont val="Arial"/>
      </rPr>
      <t xml:space="preserve">CORPS O CITY EVA COMPOUND SABLE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</si>
  <si>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12 OBAGS102 TESG7 017</t>
    </r>
  </si>
  <si>
    <r>
      <rPr>
        <sz val="6.5"/>
        <rFont val="Arial"/>
      </rPr>
      <t>2 PZ</t>
    </r>
  </si>
  <si>
    <r>
      <rPr>
        <sz val="6.5"/>
        <rFont val="Arial"/>
      </rPr>
      <t xml:space="preserve">POCHETTE INTÉRIEURE À COULISSE O BAG MINI EN NYLON COULEUR UNIE NAVY 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</si>
  <si>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13 OBAGS001 TESG9 125</t>
    </r>
  </si>
  <si>
    <r>
      <rPr>
        <sz val="6.5"/>
        <rFont val="Arial"/>
      </rPr>
      <t xml:space="preserve">POCHETTE INTÉRIEURE FERMETURE ÉCLAIR O BAG EN TISSU FANTAISIE COQUELICOTS SUR RAYUR
</t>
    </r>
    <r>
      <rPr>
        <b/>
        <sz val="7"/>
        <rFont val="Arial"/>
      </rPr>
      <t xml:space="preserve">Fabriqué e </t>
    </r>
    <r>
      <rPr>
        <sz val="6.5"/>
        <rFont val="Arial"/>
      </rPr>
      <t xml:space="preserve">IT - ITALIA </t>
    </r>
    <r>
      <rPr>
        <b/>
        <sz val="7"/>
        <rFont val="Arial"/>
      </rPr>
      <t>label</t>
    </r>
  </si>
  <si>
    <r>
      <rPr>
        <sz val="6.5"/>
        <rFont val="Arial"/>
      </rPr>
      <t>14 OBAGS121 TESG8 061</t>
    </r>
  </si>
  <si>
    <r>
      <rPr>
        <sz val="6.5"/>
        <rFont val="Arial"/>
      </rPr>
      <t xml:space="preserve">POCHETTE INTÉRIEURE À COULISSE O SWING EN TISSU MÉTALLISÉ FLOWER BRODERIE ANGLAISE O
</t>
    </r>
    <r>
      <rPr>
        <b/>
        <sz val="7"/>
        <rFont val="Arial"/>
      </rPr>
      <t xml:space="preserve">Fabriqué e </t>
    </r>
    <r>
      <rPr>
        <sz val="6.5"/>
        <rFont val="Arial"/>
      </rPr>
      <t xml:space="preserve">IT - ITALIA </t>
    </r>
    <r>
      <rPr>
        <b/>
        <sz val="7"/>
        <rFont val="Arial"/>
      </rPr>
      <t>label</t>
    </r>
  </si>
  <si>
    <r>
      <rPr>
        <sz val="6.5"/>
        <rFont val="Arial"/>
      </rPr>
      <t>15 OBAGS018 TESF9 254</t>
    </r>
  </si>
  <si>
    <r>
      <rPr>
        <sz val="6.5"/>
        <rFont val="Arial"/>
      </rPr>
      <t xml:space="preserve">POCHETTE INTÉRIEURE FERMETURE ÉCLAIR O BAG BEACH MINI EN TISSU DEAUVILLE À RAYURES N
</t>
    </r>
    <r>
      <rPr>
        <b/>
        <sz val="7"/>
        <rFont val="Arial"/>
      </rPr>
      <t xml:space="preserve">Fabriqué e </t>
    </r>
    <r>
      <rPr>
        <sz val="6.5"/>
        <rFont val="Arial"/>
      </rPr>
      <t xml:space="preserve">CN - CINA </t>
    </r>
    <r>
      <rPr>
        <b/>
        <sz val="7"/>
        <rFont val="Arial"/>
      </rPr>
      <t>label</t>
    </r>
  </si>
  <si>
    <r>
      <rPr>
        <sz val="6.5"/>
        <rFont val="Arial"/>
      </rPr>
      <t>16 ACCEO001 TES23 009</t>
    </r>
  </si>
  <si>
    <r>
      <rPr>
        <sz val="6.5"/>
        <rFont val="Arial"/>
      </rPr>
      <t>3 PZ</t>
    </r>
  </si>
  <si>
    <r>
      <rPr>
        <sz val="6.5"/>
        <rFont val="Arial"/>
      </rPr>
      <t xml:space="preserve">ACCESSOIRES PENDENTIF POMPON EN RAPHIA TISSÉ BLEU
</t>
    </r>
    <r>
      <rPr>
        <b/>
        <sz val="7"/>
        <rFont val="Arial"/>
      </rPr>
      <t xml:space="preserve">Fabriqué e </t>
    </r>
    <r>
      <rPr>
        <sz val="6.5"/>
        <rFont val="Arial"/>
      </rPr>
      <t>CN - CINA</t>
    </r>
  </si>
  <si>
    <r>
      <rPr>
        <sz val="6.5"/>
        <rFont val="Arial"/>
      </rPr>
      <t>17 OBAGS002 TESG2 017</t>
    </r>
  </si>
  <si>
    <r>
      <rPr>
        <sz val="6.5"/>
        <rFont val="Arial"/>
      </rPr>
      <t xml:space="preserve">POCHETTE INTÉRIEURE FERMETURE ÉCLAIR O BAG MINI EN TISSU CANVAS + RUBAN NAVY 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</si>
  <si>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18 OBAGS016 TES26 078</t>
    </r>
  </si>
  <si>
    <r>
      <rPr>
        <sz val="6.5"/>
        <rFont val="Arial"/>
      </rPr>
      <t xml:space="preserve">POCHETTE INTÉRIEURE FERMETURE ÉCLAIR O MOON EN TISSU CORDURA SABLE 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</si>
  <si>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19 ACCEF001 TESF6 474</t>
    </r>
  </si>
  <si>
    <r>
      <rPr>
        <sz val="6.5"/>
        <rFont val="Arial"/>
      </rPr>
      <t>4 PZ</t>
    </r>
  </si>
  <si>
    <r>
      <rPr>
        <sz val="6.5"/>
        <rFont val="Arial"/>
      </rPr>
      <t xml:space="preserve">BANDEAU BRACELET FOULARD TISSU LUXURY STRIPES BLANC/BLUETTE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</si>
  <si>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20 OBAGB024 EVS00 483</t>
    </r>
  </si>
  <si>
    <r>
      <rPr>
        <sz val="6.5"/>
        <rFont val="Arial"/>
      </rPr>
      <t xml:space="preserve">CORPS O POCKET MICRO EVA COMPOUND CHAMPAGNE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</si>
  <si>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21 OHUGB002 EVS06 026</t>
    </r>
  </si>
  <si>
    <r>
      <rPr>
        <sz val="6.5"/>
        <rFont val="Arial"/>
      </rPr>
      <t xml:space="preserve">O HUG CORPS PORTEFEUILLE FEMME EVA COMPOUND TEXTURE GRECQUE BLEU COBALT 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</si>
  <si>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 xml:space="preserve">FT </t>
    </r>
    <r>
      <rPr>
        <sz val="6.5"/>
        <rFont val="Arial"/>
      </rPr>
      <t>Tracking UPS: 1ZV621906876694101</t>
    </r>
  </si>
  <si>
    <r>
      <rPr>
        <b/>
        <sz val="7"/>
        <rFont val="Arial"/>
      </rPr>
      <t xml:space="preserve">Justificatif </t>
    </r>
    <r>
      <rPr>
        <sz val="6.5"/>
        <rFont val="Arial"/>
      </rPr>
      <t xml:space="preserve">Fattura ESTERO </t>
    </r>
    <r>
      <rPr>
        <b/>
        <sz val="7"/>
        <rFont val="Arial"/>
      </rPr>
      <t>Banque</t>
    </r>
  </si>
  <si>
    <r>
      <rPr>
        <b/>
        <sz val="7"/>
        <rFont val="Arial"/>
      </rPr>
      <t xml:space="preserve">Cod. Paiem. </t>
    </r>
    <r>
      <rPr>
        <sz val="6.5"/>
        <rFont val="Arial"/>
      </rPr>
      <t xml:space="preserve">P002 BONIFICO CLIENTE </t>
    </r>
    <r>
      <rPr>
        <b/>
        <sz val="7"/>
        <rFont val="Arial"/>
      </rPr>
      <t>IBAN</t>
    </r>
  </si>
  <si>
    <r>
      <rPr>
        <b/>
        <sz val="7"/>
        <rFont val="Arial"/>
      </rPr>
      <t xml:space="preserve">Remise fin. </t>
    </r>
    <r>
      <rPr>
        <b/>
        <sz val="7"/>
        <rFont val="Arial"/>
      </rPr>
      <t xml:space="preserve">Remise en-t </t>
    </r>
    <r>
      <rPr>
        <b/>
        <sz val="7"/>
        <rFont val="Arial"/>
      </rPr>
      <t xml:space="preserve">remise cond. </t>
    </r>
    <r>
      <rPr>
        <b/>
        <sz val="7"/>
        <rFont val="Arial"/>
      </rPr>
      <t>N.jours</t>
    </r>
  </si>
  <si>
    <r>
      <rPr>
        <sz val="7"/>
        <rFont val="Arial"/>
      </rPr>
      <t xml:space="preserve">Pag </t>
    </r>
    <r>
      <rPr>
        <b/>
        <sz val="7"/>
        <rFont val="Arial"/>
      </rPr>
      <t>3</t>
    </r>
  </si>
  <si>
    <r>
      <rPr>
        <b/>
        <sz val="7"/>
        <rFont val="Arial"/>
      </rPr>
      <t xml:space="preserve">Client </t>
    </r>
    <r>
      <rPr>
        <sz val="7"/>
        <rFont val="Arial"/>
      </rPr>
      <t>002487</t>
    </r>
  </si>
  <si>
    <r>
      <rPr>
        <sz val="7"/>
        <rFont val="Arial"/>
      </rPr>
      <t>SOFEA</t>
    </r>
  </si>
  <si>
    <r>
      <rPr>
        <sz val="7"/>
        <rFont val="Arial"/>
      </rPr>
      <t>10, RUE GASTON PHOEBUS</t>
    </r>
  </si>
  <si>
    <r>
      <rPr>
        <sz val="7"/>
        <rFont val="Arial"/>
      </rPr>
      <t xml:space="preserve">31120 LACROIX-FALGARDE -Francia </t>
    </r>
  </si>
  <si>
    <r>
      <rPr>
        <sz val="7"/>
        <rFont val="Arial"/>
      </rPr>
      <t>P. Iva 44808894489</t>
    </r>
  </si>
  <si>
    <r>
      <rPr>
        <b/>
        <sz val="7"/>
        <rFont val="Arial"/>
      </rPr>
      <t xml:space="preserve">Année </t>
    </r>
    <r>
      <rPr>
        <sz val="7"/>
        <rFont val="Arial"/>
      </rPr>
      <t xml:space="preserve">2018 </t>
    </r>
    <r>
      <rPr>
        <b/>
        <sz val="7"/>
        <rFont val="Arial"/>
      </rPr>
      <t xml:space="preserve">Index </t>
    </r>
    <r>
      <rPr>
        <sz val="7"/>
        <rFont val="Arial"/>
      </rPr>
      <t xml:space="preserve">321 </t>
    </r>
    <r>
      <rPr>
        <b/>
        <sz val="7"/>
        <rFont val="Arial"/>
      </rPr>
      <t xml:space="preserve">N. </t>
    </r>
    <r>
      <rPr>
        <sz val="7"/>
        <rFont val="Arial"/>
      </rPr>
      <t xml:space="preserve">226 </t>
    </r>
    <r>
      <rPr>
        <b/>
        <sz val="7"/>
        <rFont val="Arial"/>
      </rPr>
      <t xml:space="preserve">Date </t>
    </r>
    <r>
      <rPr>
        <sz val="7"/>
        <rFont val="Arial"/>
      </rPr>
      <t>12/02/2018</t>
    </r>
  </si>
  <si>
    <r>
      <rPr>
        <b/>
        <sz val="7"/>
        <rFont val="Arial"/>
      </rPr>
      <t xml:space="preserve">Exemption </t>
    </r>
    <r>
      <rPr>
        <sz val="7"/>
        <rFont val="Arial"/>
      </rPr>
      <t xml:space="preserve">VEND.N.I.ART.41 L.427/93 UE </t>
    </r>
    <r>
      <rPr>
        <b/>
        <sz val="7"/>
        <rFont val="Arial"/>
      </rPr>
      <t>Lettre</t>
    </r>
  </si>
  <si>
    <r>
      <rPr>
        <b/>
        <sz val="7"/>
        <rFont val="Arial"/>
      </rPr>
      <t xml:space="preserve">Justificatif </t>
    </r>
    <r>
      <rPr>
        <sz val="7"/>
        <rFont val="Arial"/>
      </rPr>
      <t xml:space="preserve">Fattura ESTERO </t>
    </r>
    <r>
      <rPr>
        <b/>
        <sz val="7"/>
        <rFont val="Arial"/>
      </rPr>
      <t>Banque</t>
    </r>
  </si>
  <si>
    <r>
      <rPr>
        <b/>
        <sz val="7"/>
        <rFont val="Arial"/>
      </rPr>
      <t xml:space="preserve">Cod. Paiem. </t>
    </r>
    <r>
      <rPr>
        <sz val="7"/>
        <rFont val="Arial"/>
      </rPr>
      <t xml:space="preserve">P002 BONIFICO CLIENTE </t>
    </r>
    <r>
      <rPr>
        <b/>
        <sz val="7"/>
        <rFont val="Arial"/>
      </rPr>
      <t>IBAN</t>
    </r>
  </si>
  <si>
    <r>
      <rPr>
        <sz val="7"/>
        <rFont val="Arial"/>
      </rPr>
      <t xml:space="preserve">AGED01 AGENTE DIREZIONALE SOCIETA' D01 </t>
    </r>
  </si>
  <si>
    <r>
      <rPr>
        <sz val="7"/>
        <rFont val="Arial"/>
      </rPr>
      <t>FT Tracking UPS: 1ZV621906876694101</t>
    </r>
  </si>
  <si>
    <r>
      <rPr>
        <b/>
        <sz val="7"/>
        <rFont val="Arial"/>
      </rPr>
      <t>N. Modèle Pièce Couleur Taille QTÉ Um</t>
    </r>
  </si>
  <si>
    <r>
      <rPr>
        <b/>
        <sz val="7"/>
        <rFont val="Arial"/>
      </rPr>
      <t>Prix</t>
    </r>
  </si>
  <si>
    <r>
      <rPr>
        <b/>
        <sz val="7"/>
        <rFont val="Arial"/>
      </rPr>
      <t>Remises</t>
    </r>
  </si>
  <si>
    <r>
      <rPr>
        <b/>
        <sz val="7"/>
        <rFont val="Arial"/>
      </rPr>
      <t>Montant Cadeaux</t>
    </r>
  </si>
  <si>
    <r>
      <rPr>
        <b/>
        <sz val="7"/>
        <rFont val="Arial"/>
      </rPr>
      <t>TVA</t>
    </r>
  </si>
  <si>
    <r>
      <rPr>
        <b/>
        <sz val="7"/>
        <rFont val="Arial"/>
      </rPr>
      <t xml:space="preserve">Document </t>
    </r>
    <r>
      <rPr>
        <sz val="7"/>
        <rFont val="Arial"/>
      </rPr>
      <t xml:space="preserve">MAGD01/2018/02/1926 </t>
    </r>
    <r>
      <rPr>
        <b/>
        <sz val="7"/>
        <rFont val="Arial"/>
      </rPr>
      <t xml:space="preserve">Date doc. </t>
    </r>
    <r>
      <rPr>
        <sz val="7"/>
        <rFont val="Arial"/>
      </rPr>
      <t xml:space="preserve">12/02/2018 </t>
    </r>
    <r>
      <rPr>
        <b/>
        <sz val="7"/>
        <rFont val="Arial"/>
      </rPr>
      <t xml:space="preserve">Client dest. </t>
    </r>
    <r>
      <rPr>
        <sz val="7"/>
        <rFont val="Arial"/>
      </rPr>
      <t>002488</t>
    </r>
  </si>
  <si>
    <r>
      <rPr>
        <sz val="7"/>
        <rFont val="Arial"/>
      </rPr>
      <t xml:space="preserve">O BAG STORE BLAGNAC 2 ALLEE EMILE ZOLA </t>
    </r>
    <r>
      <rPr>
        <sz val="7"/>
        <rFont val="Arial"/>
      </rPr>
      <t>31700 BLAGNAC FR</t>
    </r>
  </si>
  <si>
    <r>
      <rPr>
        <b/>
        <sz val="7"/>
        <rFont val="Arial"/>
      </rPr>
      <t xml:space="preserve">Num. C.de </t>
    </r>
    <r>
      <rPr>
        <sz val="7"/>
        <rFont val="Arial"/>
      </rPr>
      <t>2018 01/OBAG/1280</t>
    </r>
  </si>
  <si>
    <r>
      <rPr>
        <sz val="7"/>
        <rFont val="Arial"/>
      </rPr>
      <t>22 OBAGB024 EVS00 026 3 PZ</t>
    </r>
  </si>
  <si>
    <r>
      <rPr>
        <sz val="7"/>
        <rFont val="Arial"/>
      </rPr>
      <t>1G</t>
    </r>
  </si>
  <si>
    <r>
      <rPr>
        <sz val="7"/>
        <rFont val="Arial"/>
      </rPr>
      <t xml:space="preserve">CORPS O POCKET MICRO EVA COMPOUND BLEU COBALT
</t>
    </r>
    <r>
      <rPr>
        <b/>
        <sz val="7"/>
        <rFont val="Arial"/>
      </rPr>
      <t xml:space="preserve">Fabriqué e </t>
    </r>
    <r>
      <rPr>
        <sz val="7"/>
        <rFont val="Arial"/>
      </rPr>
      <t xml:space="preserve">IT - ITALIA </t>
    </r>
    <r>
      <rPr>
        <b/>
        <sz val="7"/>
        <rFont val="Arial"/>
      </rPr>
      <t>label</t>
    </r>
  </si>
  <si>
    <r>
      <rPr>
        <sz val="7"/>
        <rFont val="Arial"/>
      </rPr>
      <t>23 OBAGP006 TESG8 061 2 PZ</t>
    </r>
  </si>
  <si>
    <r>
      <rPr>
        <sz val="7"/>
        <rFont val="Arial"/>
      </rPr>
      <t xml:space="preserve">RABAT O POCKET EN TISSU MÉTALLISÉ FLOWER BRODERIE ANGLAISE OR
</t>
    </r>
    <r>
      <rPr>
        <b/>
        <sz val="7"/>
        <rFont val="Arial"/>
      </rPr>
      <t xml:space="preserve">Fabriqué e </t>
    </r>
    <r>
      <rPr>
        <sz val="7"/>
        <rFont val="Arial"/>
      </rPr>
      <t xml:space="preserve">IT - ITALIA </t>
    </r>
    <r>
      <rPr>
        <b/>
        <sz val="7"/>
        <rFont val="Arial"/>
      </rPr>
      <t>label</t>
    </r>
  </si>
  <si>
    <r>
      <rPr>
        <sz val="7"/>
        <rFont val="Arial"/>
      </rPr>
      <t>24 OBAGS121 TESF9 254 4 PZ</t>
    </r>
  </si>
  <si>
    <r>
      <rPr>
        <sz val="7"/>
        <rFont val="Arial"/>
      </rPr>
      <t xml:space="preserve">POCHETTE INTÉRIEURE À COULISSE O SWING EN TISSU DEAUVILLE À RAYURES NUANCÉES BLEU/BL
</t>
    </r>
    <r>
      <rPr>
        <b/>
        <sz val="7"/>
        <rFont val="Arial"/>
      </rPr>
      <t xml:space="preserve">Fabriqué e </t>
    </r>
    <r>
      <rPr>
        <sz val="7"/>
        <rFont val="Arial"/>
      </rPr>
      <t xml:space="preserve">CN - CINA </t>
    </r>
    <r>
      <rPr>
        <b/>
        <sz val="7"/>
        <rFont val="Arial"/>
      </rPr>
      <t>label</t>
    </r>
  </si>
  <si>
    <r>
      <rPr>
        <sz val="7"/>
        <rFont val="Arial"/>
      </rPr>
      <t>25 OBAGB024 EVS00 422 3 PZ</t>
    </r>
  </si>
  <si>
    <r>
      <rPr>
        <sz val="7"/>
        <rFont val="Arial"/>
      </rPr>
      <t xml:space="preserve">CORPS O POCKET MICRO EVA COMPOUND SANGRIA
</t>
    </r>
    <r>
      <rPr>
        <b/>
        <sz val="7"/>
        <rFont val="Arial"/>
      </rPr>
      <t xml:space="preserve">Fabriqué e </t>
    </r>
    <r>
      <rPr>
        <sz val="7"/>
        <rFont val="Arial"/>
      </rPr>
      <t xml:space="preserve">IT - ITALIA </t>
    </r>
    <r>
      <rPr>
        <b/>
        <sz val="7"/>
        <rFont val="Arial"/>
      </rPr>
      <t>label</t>
    </r>
  </si>
  <si>
    <r>
      <rPr>
        <sz val="7"/>
        <rFont val="Arial"/>
      </rPr>
      <t>26 OBAGPA24 TESE8 227 2 PZ</t>
    </r>
  </si>
  <si>
    <r>
      <rPr>
        <sz val="7"/>
        <rFont val="Arial"/>
      </rPr>
      <t xml:space="preserve">RABAT TOURNIQUET O POCKET EN MICRO TISSU NYC FANTAISIE GÉOMÉTRIQUE BLANC/NOIR
</t>
    </r>
    <r>
      <rPr>
        <b/>
        <sz val="7"/>
        <rFont val="Arial"/>
      </rPr>
      <t xml:space="preserve">Fabriqué e </t>
    </r>
    <r>
      <rPr>
        <sz val="7"/>
        <rFont val="Arial"/>
      </rPr>
      <t xml:space="preserve">IT - ITALIA </t>
    </r>
    <r>
      <rPr>
        <b/>
        <sz val="7"/>
        <rFont val="Arial"/>
      </rPr>
      <t>label</t>
    </r>
  </si>
  <si>
    <r>
      <rPr>
        <sz val="7"/>
        <rFont val="Arial"/>
      </rPr>
      <t>27 HLESAD00 ECS00 371 8 PZ</t>
    </r>
  </si>
  <si>
    <r>
      <rPr>
        <sz val="7"/>
        <rFont val="Arial"/>
      </rPr>
      <t xml:space="preserve">ANSES TUBULAIRES EN FAUX CUIR LATTE
</t>
    </r>
    <r>
      <rPr>
        <b/>
        <sz val="7"/>
        <rFont val="Arial"/>
      </rPr>
      <t xml:space="preserve">Fabriqué e </t>
    </r>
    <r>
      <rPr>
        <sz val="7"/>
        <rFont val="Arial"/>
      </rPr>
      <t xml:space="preserve">IT - ITALIA </t>
    </r>
    <r>
      <rPr>
        <b/>
        <sz val="7"/>
        <rFont val="Arial"/>
      </rPr>
      <t>label</t>
    </r>
  </si>
  <si>
    <r>
      <rPr>
        <sz val="7"/>
        <rFont val="Arial"/>
      </rPr>
      <t>28 OBAGB024 EVS00 075 3 PZ</t>
    </r>
  </si>
  <si>
    <r>
      <rPr>
        <sz val="7"/>
        <rFont val="Arial"/>
      </rPr>
      <t xml:space="preserve">CORPS O POCKET MICRO EVA COMPOUND ROSE SMOKE
</t>
    </r>
    <r>
      <rPr>
        <b/>
        <sz val="7"/>
        <rFont val="Arial"/>
      </rPr>
      <t xml:space="preserve">Fabriqué e </t>
    </r>
    <r>
      <rPr>
        <sz val="7"/>
        <rFont val="Arial"/>
      </rPr>
      <t xml:space="preserve">IT - ITALIA </t>
    </r>
    <r>
      <rPr>
        <b/>
        <sz val="7"/>
        <rFont val="Arial"/>
      </rPr>
      <t>label</t>
    </r>
  </si>
  <si>
    <r>
      <rPr>
        <sz val="7"/>
        <rFont val="Arial"/>
      </rPr>
      <t>29 OBAGS002 TES01 075 3 PZ</t>
    </r>
  </si>
  <si>
    <r>
      <rPr>
        <sz val="7"/>
        <rFont val="Arial"/>
      </rPr>
      <t xml:space="preserve">POCHETTE INTÉRIEURE FERMETURE ÉCLAIR O BAG MINI EN TISSU CANVAS ROSE SMOKE
</t>
    </r>
    <r>
      <rPr>
        <b/>
        <sz val="7"/>
        <rFont val="Arial"/>
      </rPr>
      <t xml:space="preserve">Fabriqué e </t>
    </r>
    <r>
      <rPr>
        <sz val="7"/>
        <rFont val="Arial"/>
      </rPr>
      <t xml:space="preserve">IT - ITALIA </t>
    </r>
    <r>
      <rPr>
        <b/>
        <sz val="7"/>
        <rFont val="Arial"/>
      </rPr>
      <t>label</t>
    </r>
  </si>
  <si>
    <r>
      <rPr>
        <sz val="7"/>
        <rFont val="Arial"/>
      </rPr>
      <t>30 OBAGT001 TESF9 254 2 PZ</t>
    </r>
  </si>
  <si>
    <r>
      <rPr>
        <sz val="7"/>
        <rFont val="Arial"/>
      </rPr>
      <t xml:space="preserve">REVERS O BAG EN TISSU DEAUVILLE À RAYURES NUANCÉES BLEU/BLUETTE
</t>
    </r>
    <r>
      <rPr>
        <b/>
        <sz val="7"/>
        <rFont val="Arial"/>
      </rPr>
      <t xml:space="preserve">Fabriqué e </t>
    </r>
    <r>
      <rPr>
        <sz val="7"/>
        <rFont val="Arial"/>
      </rPr>
      <t xml:space="preserve">CN - CINA </t>
    </r>
    <r>
      <rPr>
        <b/>
        <sz val="7"/>
        <rFont val="Arial"/>
      </rPr>
      <t>label</t>
    </r>
  </si>
  <si>
    <r>
      <rPr>
        <sz val="7"/>
        <rFont val="Arial"/>
      </rPr>
      <t>31 OBAGS118 TESE6 055 2 PZ</t>
    </r>
  </si>
  <si>
    <r>
      <rPr>
        <sz val="7"/>
        <rFont val="Arial"/>
      </rPr>
      <t xml:space="preserve">POCHETTE INTÉRIEURE À COULISSE O BAG BEACH MINI EN TISSU NYC À RAYURES BICOLORE NOIR
</t>
    </r>
    <r>
      <rPr>
        <b/>
        <sz val="7"/>
        <rFont val="Arial"/>
      </rPr>
      <t xml:space="preserve">Fabriqué e </t>
    </r>
    <r>
      <rPr>
        <sz val="7"/>
        <rFont val="Arial"/>
      </rPr>
      <t xml:space="preserve">CN - CINA </t>
    </r>
    <r>
      <rPr>
        <b/>
        <sz val="7"/>
        <rFont val="Arial"/>
      </rPr>
      <t>label</t>
    </r>
  </si>
  <si>
    <r>
      <rPr>
        <sz val="7"/>
        <rFont val="Arial"/>
      </rPr>
      <t>32 OBAGS016 TES01 347 2 PZ</t>
    </r>
  </si>
  <si>
    <r>
      <rPr>
        <sz val="7"/>
        <rFont val="Arial"/>
      </rPr>
      <t xml:space="preserve">POCHETTE INTÉRIEURE FERMETURE ÉCLAIR O MOON EN TISSU CANVAS CÈDRE
</t>
    </r>
    <r>
      <rPr>
        <b/>
        <sz val="7"/>
        <rFont val="Arial"/>
      </rPr>
      <t xml:space="preserve">Fabriqué e </t>
    </r>
    <r>
      <rPr>
        <sz val="7"/>
        <rFont val="Arial"/>
      </rPr>
      <t xml:space="preserve">CN - CINA </t>
    </r>
    <r>
      <rPr>
        <b/>
        <sz val="7"/>
        <rFont val="Arial"/>
      </rPr>
      <t>label</t>
    </r>
  </si>
  <si>
    <r>
      <rPr>
        <sz val="7"/>
        <rFont val="Arial"/>
      </rPr>
      <t>33 OBAGPA24 ECS53 061 2 PZ</t>
    </r>
  </si>
  <si>
    <r>
      <rPr>
        <sz val="7"/>
        <rFont val="Arial"/>
      </rPr>
      <t xml:space="preserve">RABAT TOURNIQUET O POCKET EN MICRO EN FAUX CUIR MÉTALLISÉ + FLEURS PVC OPAQUE OR
</t>
    </r>
    <r>
      <rPr>
        <b/>
        <sz val="7"/>
        <rFont val="Arial"/>
      </rPr>
      <t xml:space="preserve">Fabriqué e </t>
    </r>
    <r>
      <rPr>
        <sz val="7"/>
        <rFont val="Arial"/>
      </rPr>
      <t xml:space="preserve">IT - ITALIA </t>
    </r>
    <r>
      <rPr>
        <b/>
        <sz val="7"/>
        <rFont val="Arial"/>
      </rPr>
      <t>label</t>
    </r>
  </si>
  <si>
    <r>
      <rPr>
        <sz val="7"/>
        <rFont val="Arial"/>
      </rPr>
      <t>34 SHOUWA00 ECS55 479 3 PZ</t>
    </r>
  </si>
  <si>
    <r>
      <rPr>
        <sz val="7"/>
        <rFont val="Arial"/>
      </rPr>
      <t xml:space="preserve">BANDOULIÈRE COURTE NEW GOUTTE TROUÉE (80 CM) EN FAUX CUIR BASIC + FLEURS PVC SKYWAY
</t>
    </r>
    <r>
      <rPr>
        <b/>
        <sz val="7"/>
        <rFont val="Arial"/>
      </rPr>
      <t xml:space="preserve">Fabriqué e </t>
    </r>
    <r>
      <rPr>
        <sz val="7"/>
        <rFont val="Arial"/>
      </rPr>
      <t xml:space="preserve">IT - ITALIA </t>
    </r>
    <r>
      <rPr>
        <b/>
        <sz val="7"/>
        <rFont val="Arial"/>
      </rPr>
      <t>label</t>
    </r>
  </si>
  <si>
    <t>OBAGM3B4 CAS03</t>
  </si>
  <si>
    <t>MOBLI056 FOS47</t>
  </si>
  <si>
    <t>MÉCANISME GREAT DATE NYC TIMES SQUARE BLANC</t>
  </si>
  <si>
    <t>CORPS O MOON EVA COMPOUND LATTE</t>
  </si>
  <si>
    <t>ANSES LONGUES ADAPTABLES EN FAUX CUIR BASIC ROUGE</t>
  </si>
  <si>
    <t>POCHETTE INTÉRIEURE FERMETURE ÉCLAIR O BAG 50 EN TISSU FANTAISIE COQUELICOTS SUR RAY</t>
  </si>
  <si>
    <t>BANDOULIÈRE COURTE NEW GOUTTE TROUÉE EN FAUX CUIR CLOUS ÉMAILLÉS CRÈME</t>
  </si>
  <si>
    <t>ANSES TUBULAIRES EN FAUX CUIR CHAMPAGNE</t>
  </si>
  <si>
    <t>POCHETTE INTÉRIEURE FERMETURE ÉCLAIR O BAG MINI EN TISSU CANVAS ROUGE</t>
  </si>
  <si>
    <t>RABAT TOURNIQUET O POCKET EN MICRO TISSU MÉTALLISÉ FLOWER BRODERIE ANGLAISE OR</t>
  </si>
  <si>
    <t>RABAT TOURNIQUET O POCKET EN MICRO TISSU NYC FANTAISIE GÉOMÉTRIQUE BLANC/NOIR</t>
  </si>
  <si>
    <t>ANSES TUBULAIRES EN FAUX CUIR LATTE</t>
  </si>
  <si>
    <t>CORPS O POCKET MICRO EVA COMPOUND BLEU COBALT</t>
  </si>
  <si>
    <t>RABAT O POCKET EN TISSU MÉTALLISÉ FLOWER BRODERIE ANGLAISE OR</t>
  </si>
  <si>
    <t>POCHETTE INTÉRIEURE À COULISSE O SWING EN TISSU DEAUVILLE À RAYURES NUANCÉES BLEU/BL</t>
  </si>
  <si>
    <t>CORPS O POCKET MICRO EVA COMPOUND SANGRIA</t>
  </si>
  <si>
    <t>CORPS O POCKET MICRO EVA COMPOUND ROSE SMOKE</t>
  </si>
  <si>
    <t>POCHETTE INTÉRIEURE FERMETURE ÉCLAIR O BAG MINI EN TISSU CANVAS ROSE SMOKE</t>
  </si>
  <si>
    <t>REVERS O BAG EN TISSU DEAUVILLE À RAYURES NUANCÉES BLEU/BLUETTE</t>
  </si>
  <si>
    <t>POCHETTE INTÉRIEURE À COULISSE O BAG BEACH MINI EN TISSU NYC À RAYURES BICOLORE NOIR</t>
  </si>
  <si>
    <t>POCHETTE INTÉRIEURE FERMETURE ÉCLAIR O MOON EN TISSU CANVAS CÈDRE</t>
  </si>
  <si>
    <t>RABAT TOURNIQUET O POCKET EN MICRO EN FAUX CUIR MÉTALLISÉ + FLEURS PVC OPAQUE OR</t>
  </si>
  <si>
    <t>BANDOULIÈRE COURTE NEW GOUTTE TROUÉE (80 CM) EN FAUX CUIR BASIC + FLEURS PVC SKYWAY</t>
  </si>
  <si>
    <t>CORPS O SWING EVA COMPOUND EFFET OSIER SABLE</t>
  </si>
  <si>
    <r>
      <rPr>
        <sz val="6.5"/>
        <rFont val="Arial"/>
      </rPr>
      <t xml:space="preserve">Pag </t>
    </r>
    <r>
      <rPr>
        <b/>
        <sz val="7"/>
        <rFont val="Arial"/>
      </rPr>
      <t>4</t>
    </r>
  </si>
  <si>
    <r>
      <rPr>
        <b/>
        <sz val="7"/>
        <rFont val="Arial"/>
      </rPr>
      <t>N. Modèle Pièce Couleur Taille</t>
    </r>
  </si>
  <si>
    <r>
      <rPr>
        <b/>
        <sz val="7"/>
        <rFont val="Arial"/>
      </rPr>
      <t>QTÉ Um</t>
    </r>
  </si>
  <si>
    <r>
      <rPr>
        <b/>
        <sz val="7"/>
        <rFont val="Arial"/>
      </rPr>
      <t xml:space="preserve">Document </t>
    </r>
    <r>
      <rPr>
        <sz val="6.5"/>
        <rFont val="Arial"/>
      </rPr>
      <t xml:space="preserve">MAGD01/2018/02/1926 </t>
    </r>
    <r>
      <rPr>
        <b/>
        <sz val="7"/>
        <rFont val="Arial"/>
      </rPr>
      <t xml:space="preserve">Date doc. </t>
    </r>
    <r>
      <rPr>
        <sz val="6.5"/>
        <rFont val="Arial"/>
      </rPr>
      <t xml:space="preserve">12/02/2018 </t>
    </r>
    <r>
      <rPr>
        <b/>
        <sz val="7"/>
        <rFont val="Arial"/>
      </rPr>
      <t xml:space="preserve">Client dest. </t>
    </r>
    <r>
      <rPr>
        <sz val="6.5"/>
        <rFont val="Arial"/>
      </rPr>
      <t>002488</t>
    </r>
  </si>
  <si>
    <r>
      <rPr>
        <sz val="6.5"/>
        <rFont val="Arial"/>
      </rPr>
      <t xml:space="preserve">O BAG STORE BLAGNAC 2 ALLEE EMILE ZOLA </t>
    </r>
    <r>
      <rPr>
        <sz val="6.5"/>
        <rFont val="Arial"/>
      </rPr>
      <t>31700 BLAGNAC FR</t>
    </r>
  </si>
  <si>
    <r>
      <rPr>
        <sz val="6.5"/>
        <rFont val="Arial"/>
      </rPr>
      <t>35 OBAGS017 TESE3 227</t>
    </r>
  </si>
  <si>
    <r>
      <rPr>
        <sz val="6.5"/>
        <rFont val="Arial"/>
      </rPr>
      <t xml:space="preserve">POCHETTE INTÉRIEURE FERMETURE ÉCLAIR O MOON LIGHT EN TISSU NYC VICHY BLANC/NOIR
</t>
    </r>
    <r>
      <rPr>
        <b/>
        <sz val="7"/>
        <rFont val="Arial"/>
      </rPr>
      <t xml:space="preserve">Fabriqué e </t>
    </r>
    <r>
      <rPr>
        <sz val="6.5"/>
        <rFont val="Arial"/>
      </rPr>
      <t xml:space="preserve">CN - CINA </t>
    </r>
    <r>
      <rPr>
        <b/>
        <sz val="7"/>
        <rFont val="Arial"/>
      </rPr>
      <t>label</t>
    </r>
  </si>
  <si>
    <r>
      <rPr>
        <sz val="6.5"/>
        <rFont val="Arial"/>
      </rPr>
      <t>36 OBAGS001 TESG2 076</t>
    </r>
  </si>
  <si>
    <r>
      <rPr>
        <sz val="6.5"/>
        <rFont val="Arial"/>
      </rPr>
      <t xml:space="preserve">POCHETTE INTÉRIEURE FERMETURE ÉCLAIR O BAG EN TISSU CANVAS + RUBAN ROUGE 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</si>
  <si>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37 OBAGS016 TES26 055</t>
    </r>
  </si>
  <si>
    <r>
      <rPr>
        <sz val="6.5"/>
        <rFont val="Arial"/>
      </rPr>
      <t xml:space="preserve">POCHETTE INTÉRIEURE FERMETURE ÉCLAIR O MOON EN TISSU CORDURA NOIR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</si>
  <si>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38 OBAGB002 EVS00 017</t>
    </r>
  </si>
  <si>
    <r>
      <rPr>
        <sz val="6.5"/>
        <rFont val="Arial"/>
      </rPr>
      <t xml:space="preserve">CORPS O BAG MINI EVA COMPOUND NAVY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</si>
  <si>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39 OBAGB017 EVS00 479</t>
    </r>
  </si>
  <si>
    <r>
      <rPr>
        <sz val="6.5"/>
        <rFont val="Arial"/>
      </rPr>
      <t xml:space="preserve">CORPS O MOON LIGHT EVA COMPOUND SKYWAY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</si>
  <si>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40 ACCEC002 ECS65 076</t>
    </r>
  </si>
  <si>
    <r>
      <rPr>
        <sz val="6.5"/>
        <rFont val="Arial"/>
      </rPr>
      <t xml:space="preserve">ACCESSOIRES CHARMS POMPON EN FAUX CUIR PLEX + CLOUS ROUGE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</si>
  <si>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41 OBAGB018 EVS03 076</t>
    </r>
  </si>
  <si>
    <r>
      <rPr>
        <sz val="6.5"/>
        <rFont val="Arial"/>
      </rPr>
      <t xml:space="preserve">CORPS O BAG BEACH MINI EVA COMPOUND EFFET OSIER ROUGE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</si>
  <si>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42 OBAGPA06 TESF1 008</t>
    </r>
  </si>
  <si>
    <r>
      <rPr>
        <sz val="6.5"/>
        <rFont val="Arial"/>
      </rPr>
      <t xml:space="preserve">RABAT TOURNIQUET O POCKET EN TISSU + FAUX CUIR NYC À RAYURES BLANC
</t>
    </r>
    <r>
      <rPr>
        <b/>
        <sz val="7"/>
        <rFont val="Arial"/>
      </rPr>
      <t xml:space="preserve">Fabriqué e </t>
    </r>
    <r>
      <rPr>
        <sz val="6.5"/>
        <rFont val="Arial"/>
      </rPr>
      <t>CN - CINA</t>
    </r>
  </si>
  <si>
    <r>
      <rPr>
        <sz val="6.5"/>
        <rFont val="Arial"/>
      </rPr>
      <t>43 OBAGB009 EVS00 158</t>
    </r>
  </si>
  <si>
    <r>
      <rPr>
        <sz val="6.5"/>
        <rFont val="Arial"/>
      </rPr>
      <t xml:space="preserve">CORPS O BAG 50 EVA COMPOUND VOLCAN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</si>
  <si>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44 OBAGS010 TESG5 476</t>
    </r>
  </si>
  <si>
    <r>
      <rPr>
        <sz val="6.5"/>
        <rFont val="Arial"/>
      </rPr>
      <t xml:space="preserve">POCHETTE INTÉRIEURE FERMETURE ÉCLAIR O CITY EN TISSU CANVAS DÉTAIL RUBAN À RAYURES B
</t>
    </r>
    <r>
      <rPr>
        <b/>
        <sz val="7"/>
        <rFont val="Arial"/>
      </rPr>
      <t xml:space="preserve">Fabriqué e </t>
    </r>
    <r>
      <rPr>
        <sz val="6.5"/>
        <rFont val="Arial"/>
      </rPr>
      <t xml:space="preserve">IT - ITALIA </t>
    </r>
    <r>
      <rPr>
        <b/>
        <sz val="7"/>
        <rFont val="Arial"/>
      </rPr>
      <t>label</t>
    </r>
  </si>
  <si>
    <r>
      <rPr>
        <sz val="6.5"/>
        <rFont val="Arial"/>
      </rPr>
      <t>45 OBAGB206 EVS00 055</t>
    </r>
  </si>
  <si>
    <r>
      <rPr>
        <sz val="6.5"/>
        <rFont val="Arial"/>
      </rPr>
      <t xml:space="preserve">CORPS INFÉRIEUR O POCKET EVA COMPOUND NOIR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</si>
  <si>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46 OBAGS002 TESG2 130</t>
    </r>
  </si>
  <si>
    <r>
      <rPr>
        <sz val="6.5"/>
        <rFont val="Arial"/>
      </rPr>
      <t xml:space="preserve">POCHETTE INTÉRIEURE FERMETURE ÉCLAIR O BAG MINI EN TISSU CANVAS + RUBAN BLEU 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</si>
  <si>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47 OBAGS010 TESF8 480</t>
    </r>
  </si>
  <si>
    <r>
      <rPr>
        <sz val="6.5"/>
        <rFont val="Arial"/>
      </rPr>
      <t xml:space="preserve">POCHETTE INTÉRIEURE FERMETURE ÉCLAIR O CITY EN TISSU DEAUVILLE À RAYURES LARGES NAVY
</t>
    </r>
    <r>
      <rPr>
        <b/>
        <sz val="7"/>
        <rFont val="Arial"/>
      </rPr>
      <t xml:space="preserve">Fabriqué e </t>
    </r>
    <r>
      <rPr>
        <sz val="6.5"/>
        <rFont val="Arial"/>
      </rPr>
      <t xml:space="preserve">CN - CINA </t>
    </r>
    <r>
      <rPr>
        <b/>
        <sz val="7"/>
        <rFont val="Arial"/>
      </rPr>
      <t>label</t>
    </r>
  </si>
  <si>
    <r>
      <rPr>
        <sz val="7"/>
        <rFont val="Arial"/>
      </rPr>
      <t xml:space="preserve">Pag </t>
    </r>
    <r>
      <rPr>
        <b/>
        <sz val="7"/>
        <rFont val="Arial"/>
      </rPr>
      <t>5</t>
    </r>
  </si>
  <si>
    <r>
      <rPr>
        <sz val="7"/>
        <rFont val="Arial"/>
      </rPr>
      <t>48 OBAGP006 ECS54 215</t>
    </r>
  </si>
  <si>
    <r>
      <rPr>
        <sz val="7"/>
        <rFont val="Arial"/>
      </rPr>
      <t>2 PZ</t>
    </r>
  </si>
  <si>
    <r>
      <rPr>
        <sz val="7"/>
        <rFont val="Arial"/>
      </rPr>
      <t xml:space="preserve">RABAT O POCKET EN FAUX CUIR CLOUS ÉMAILLÉS CRÈME
</t>
    </r>
    <r>
      <rPr>
        <b/>
        <sz val="7"/>
        <rFont val="Arial"/>
      </rPr>
      <t xml:space="preserve">Fabriqué e </t>
    </r>
    <r>
      <rPr>
        <sz val="7"/>
        <rFont val="Arial"/>
      </rPr>
      <t>IT - ITALIA</t>
    </r>
  </si>
  <si>
    <r>
      <rPr>
        <sz val="7"/>
        <rFont val="Arial"/>
      </rPr>
      <t>49 OBAGB016 EVS00 076</t>
    </r>
  </si>
  <si>
    <r>
      <rPr>
        <sz val="7"/>
        <rFont val="Arial"/>
      </rPr>
      <t xml:space="preserve">CORPS O MOON EVA COMPOUND ROUGE
</t>
    </r>
    <r>
      <rPr>
        <b/>
        <sz val="7"/>
        <rFont val="Arial"/>
      </rPr>
      <t xml:space="preserve">Fabriqué e </t>
    </r>
    <r>
      <rPr>
        <sz val="7"/>
        <rFont val="Arial"/>
      </rPr>
      <t>IT - ITALIA</t>
    </r>
  </si>
  <si>
    <r>
      <rPr>
        <sz val="7"/>
        <rFont val="Arial"/>
      </rPr>
      <t>50 OCLKD101 MES85 075</t>
    </r>
  </si>
  <si>
    <r>
      <rPr>
        <sz val="7"/>
        <rFont val="Arial"/>
      </rPr>
      <t>3 PZ</t>
    </r>
  </si>
  <si>
    <r>
      <rPr>
        <sz val="7"/>
        <rFont val="Arial"/>
      </rPr>
      <t xml:space="preserve">MÉCANISME GREAT URBAN DECOR DIAMONDS ROSE SMOKE
</t>
    </r>
    <r>
      <rPr>
        <b/>
        <sz val="7"/>
        <rFont val="Arial"/>
      </rPr>
      <t xml:space="preserve">Fabriqué e </t>
    </r>
    <r>
      <rPr>
        <sz val="7"/>
        <rFont val="Arial"/>
      </rPr>
      <t>CN - CINA</t>
    </r>
  </si>
  <si>
    <r>
      <rPr>
        <sz val="7"/>
        <rFont val="Arial"/>
      </rPr>
      <t>51 OBAGB010 EVS00 055</t>
    </r>
  </si>
  <si>
    <r>
      <rPr>
        <sz val="7"/>
        <rFont val="Arial"/>
      </rPr>
      <t>1 PZ</t>
    </r>
  </si>
  <si>
    <r>
      <rPr>
        <sz val="7"/>
        <rFont val="Arial"/>
      </rPr>
      <t xml:space="preserve">CORPS O CITY EVA COMPOUND NOIR
</t>
    </r>
    <r>
      <rPr>
        <b/>
        <sz val="7"/>
        <rFont val="Arial"/>
      </rPr>
      <t xml:space="preserve">Fabriqué e </t>
    </r>
    <r>
      <rPr>
        <sz val="7"/>
        <rFont val="Arial"/>
      </rPr>
      <t>IT - ITALIA</t>
    </r>
  </si>
  <si>
    <r>
      <rPr>
        <sz val="7"/>
        <rFont val="Arial"/>
      </rPr>
      <t>52 OBAGB001 EVS00 038</t>
    </r>
  </si>
  <si>
    <r>
      <rPr>
        <sz val="7"/>
        <rFont val="Arial"/>
      </rPr>
      <t xml:space="preserve">CORPS O BAG EVA COMPOUND GRIS GRAPHITE
</t>
    </r>
    <r>
      <rPr>
        <b/>
        <sz val="7"/>
        <rFont val="Arial"/>
      </rPr>
      <t xml:space="preserve">Fabriqué e </t>
    </r>
    <r>
      <rPr>
        <sz val="7"/>
        <rFont val="Arial"/>
      </rPr>
      <t>IT - ITALIA</t>
    </r>
  </si>
  <si>
    <r>
      <rPr>
        <sz val="7"/>
        <rFont val="Arial"/>
      </rPr>
      <t>53 OBAGB206 EVS00 017</t>
    </r>
  </si>
  <si>
    <r>
      <rPr>
        <sz val="7"/>
        <rFont val="Arial"/>
      </rPr>
      <t xml:space="preserve">CORPS INFÉRIEUR O POCKET EVA COMPOUND NAVY
</t>
    </r>
    <r>
      <rPr>
        <b/>
        <sz val="7"/>
        <rFont val="Arial"/>
      </rPr>
      <t xml:space="preserve">Fabriqué e </t>
    </r>
    <r>
      <rPr>
        <sz val="7"/>
        <rFont val="Arial"/>
      </rPr>
      <t>IT - ITALIA</t>
    </r>
  </si>
  <si>
    <r>
      <rPr>
        <sz val="7"/>
        <rFont val="Arial"/>
      </rPr>
      <t>54 OCLKSB01 INS00 076</t>
    </r>
  </si>
  <si>
    <r>
      <rPr>
        <sz val="7"/>
        <rFont val="Arial"/>
      </rPr>
      <t>6 PZ</t>
    </r>
  </si>
  <si>
    <r>
      <rPr>
        <sz val="7"/>
        <rFont val="Arial"/>
      </rPr>
      <t xml:space="preserve">O CLOCK SHIFT BRACELET BAND EN MATÉRIAU INJECTÉ ROUGE
</t>
    </r>
    <r>
      <rPr>
        <b/>
        <sz val="7"/>
        <rFont val="Arial"/>
      </rPr>
      <t xml:space="preserve">Fabriqué e </t>
    </r>
    <r>
      <rPr>
        <sz val="7"/>
        <rFont val="Arial"/>
      </rPr>
      <t>IT - ITALIA</t>
    </r>
  </si>
  <si>
    <r>
      <rPr>
        <sz val="7"/>
        <rFont val="Arial"/>
      </rPr>
      <t>55 HLESMD00 ECS46 479</t>
    </r>
  </si>
  <si>
    <r>
      <rPr>
        <sz val="7"/>
        <rFont val="Arial"/>
      </rPr>
      <t>4 PZ</t>
    </r>
  </si>
  <si>
    <r>
      <rPr>
        <sz val="7"/>
        <rFont val="Arial"/>
      </rPr>
      <t xml:space="preserve">MICRO-ANSES TUBULAIRES COURTES EN FAUX CUIR LISSE SKYWAY
</t>
    </r>
    <r>
      <rPr>
        <b/>
        <sz val="7"/>
        <rFont val="Arial"/>
      </rPr>
      <t xml:space="preserve">Fabriqué e </t>
    </r>
    <r>
      <rPr>
        <sz val="7"/>
        <rFont val="Arial"/>
      </rPr>
      <t>IT - ITALIA</t>
    </r>
  </si>
  <si>
    <r>
      <rPr>
        <sz val="7"/>
        <rFont val="Arial"/>
      </rPr>
      <t>56 OBAGS001 TESE5 036</t>
    </r>
  </si>
  <si>
    <r>
      <rPr>
        <sz val="7"/>
        <rFont val="Arial"/>
      </rPr>
      <t xml:space="preserve">POCHETTE INTÉRIEURE FERMETURE ÉCLAIR O BAG EN TISSU NYC LOSANGES JAUNE
</t>
    </r>
    <r>
      <rPr>
        <b/>
        <sz val="7"/>
        <rFont val="Arial"/>
      </rPr>
      <t xml:space="preserve">Fabriqué e </t>
    </r>
    <r>
      <rPr>
        <sz val="7"/>
        <rFont val="Arial"/>
      </rPr>
      <t>CN - CINA</t>
    </r>
  </si>
  <si>
    <r>
      <rPr>
        <sz val="7"/>
        <rFont val="Arial"/>
      </rPr>
      <t>57 HLESAE00 ECS00 479</t>
    </r>
  </si>
  <si>
    <r>
      <rPr>
        <sz val="7"/>
        <rFont val="Arial"/>
      </rPr>
      <t xml:space="preserve">ANSES COURTES CHAÎNE AVEC TRESSAGE EN FAUX CUIR SKYWAY
</t>
    </r>
    <r>
      <rPr>
        <b/>
        <sz val="7"/>
        <rFont val="Arial"/>
      </rPr>
      <t xml:space="preserve">Fabriqué e </t>
    </r>
    <r>
      <rPr>
        <sz val="7"/>
        <rFont val="Arial"/>
      </rPr>
      <t>IT - ITALIA</t>
    </r>
  </si>
  <si>
    <r>
      <rPr>
        <sz val="7"/>
        <rFont val="Arial"/>
      </rPr>
      <t>58 OBAGS002 TESF9 254</t>
    </r>
  </si>
  <si>
    <r>
      <rPr>
        <sz val="7"/>
        <rFont val="Arial"/>
      </rPr>
      <t xml:space="preserve">POCHETTE INTÉRIEURE FERMETURE ÉCLAIR O BAG MINI EN TISSU DEAUVILLE À RAYURES NUANCÉE
</t>
    </r>
    <r>
      <rPr>
        <b/>
        <sz val="7"/>
        <rFont val="Arial"/>
      </rPr>
      <t xml:space="preserve">Fabriqué e </t>
    </r>
    <r>
      <rPr>
        <sz val="7"/>
        <rFont val="Arial"/>
      </rPr>
      <t xml:space="preserve">CN - CINA </t>
    </r>
    <r>
      <rPr>
        <b/>
        <sz val="7"/>
        <rFont val="Arial"/>
      </rPr>
      <t>label</t>
    </r>
  </si>
  <si>
    <r>
      <rPr>
        <sz val="7"/>
        <rFont val="Arial"/>
      </rPr>
      <t>59 SHOUCF00 ECS35 076</t>
    </r>
  </si>
  <si>
    <r>
      <rPr>
        <sz val="7"/>
        <rFont val="Arial"/>
      </rPr>
      <t xml:space="preserve">BANDOULIÈRE AVEC TRESSAGE + CLIP EN FAUX CUIR BASIC ROUGE
</t>
    </r>
    <r>
      <rPr>
        <b/>
        <sz val="7"/>
        <rFont val="Arial"/>
      </rPr>
      <t xml:space="preserve">Fabriqué e </t>
    </r>
    <r>
      <rPr>
        <sz val="7"/>
        <rFont val="Arial"/>
      </rPr>
      <t>CN - CINA</t>
    </r>
  </si>
  <si>
    <r>
      <rPr>
        <sz val="7"/>
        <rFont val="Arial"/>
      </rPr>
      <t>60 OBAGS018 TESG2 017</t>
    </r>
  </si>
  <si>
    <r>
      <rPr>
        <sz val="7"/>
        <rFont val="Arial"/>
      </rPr>
      <t xml:space="preserve">POCHETTE INTÉRIEURE FERMETURE ÉCLAIR O BAG BEACH MINI EN TISSU CANVAS + RUBAN NAVY
</t>
    </r>
    <r>
      <rPr>
        <b/>
        <sz val="7"/>
        <rFont val="Arial"/>
      </rPr>
      <t xml:space="preserve">Fabriqué e </t>
    </r>
    <r>
      <rPr>
        <sz val="7"/>
        <rFont val="Arial"/>
      </rPr>
      <t xml:space="preserve">IT - ITALIA </t>
    </r>
    <r>
      <rPr>
        <b/>
        <sz val="7"/>
        <rFont val="Arial"/>
      </rPr>
      <t>label</t>
    </r>
  </si>
  <si>
    <r>
      <rPr>
        <sz val="6.5"/>
        <rFont val="Arial"/>
      </rPr>
      <t xml:space="preserve">Pag </t>
    </r>
    <r>
      <rPr>
        <b/>
        <sz val="7"/>
        <rFont val="Arial"/>
      </rPr>
      <t>6</t>
    </r>
  </si>
  <si>
    <r>
      <rPr>
        <sz val="6.5"/>
        <rFont val="Arial"/>
      </rPr>
      <t>61 OBAGP024 ECS51 422</t>
    </r>
  </si>
  <si>
    <r>
      <rPr>
        <sz val="6.5"/>
        <rFont val="Arial"/>
      </rPr>
      <t xml:space="preserve">RABAT O POCKET MICRO EN FAUX CUIR CLOUS PYRAMIDES SANGRIA
</t>
    </r>
    <r>
      <rPr>
        <b/>
        <sz val="7"/>
        <rFont val="Arial"/>
      </rPr>
      <t xml:space="preserve">Fabriqué e </t>
    </r>
    <r>
      <rPr>
        <sz val="6.5"/>
        <rFont val="Arial"/>
      </rPr>
      <t>CN - CINA</t>
    </r>
  </si>
  <si>
    <r>
      <rPr>
        <sz val="6.5"/>
        <rFont val="Arial"/>
      </rPr>
      <t>62 OCLKE013 MAS00 063</t>
    </r>
  </si>
  <si>
    <r>
      <rPr>
        <sz val="6.5"/>
        <rFont val="Arial"/>
      </rPr>
      <t xml:space="preserve">O CLOCK SHIFT CASE CLASSIC SLIM EN PLASTIQUE OLIVE
</t>
    </r>
    <r>
      <rPr>
        <b/>
        <sz val="7"/>
        <rFont val="Arial"/>
      </rPr>
      <t xml:space="preserve">Fabriqué e </t>
    </r>
    <r>
      <rPr>
        <sz val="6.5"/>
        <rFont val="Arial"/>
      </rPr>
      <t>CN - CINA</t>
    </r>
  </si>
  <si>
    <r>
      <rPr>
        <sz val="6.5"/>
        <rFont val="Arial"/>
      </rPr>
      <t>63 OBAGS017 TESE6 036</t>
    </r>
  </si>
  <si>
    <r>
      <rPr>
        <sz val="6.5"/>
        <rFont val="Arial"/>
      </rPr>
      <t xml:space="preserve">POCHETTE INTÉRIEURE FERMETURE ÉCLAIR O MOON LIGHT EN TISSU NYC À RAYURES BICOLORE J
</t>
    </r>
    <r>
      <rPr>
        <b/>
        <sz val="7"/>
        <rFont val="Arial"/>
      </rPr>
      <t xml:space="preserve">Fabriqué e </t>
    </r>
    <r>
      <rPr>
        <sz val="6.5"/>
        <rFont val="Arial"/>
      </rPr>
      <t xml:space="preserve">CN - CINA </t>
    </r>
    <r>
      <rPr>
        <b/>
        <sz val="7"/>
        <rFont val="Arial"/>
      </rPr>
      <t>label</t>
    </r>
  </si>
  <si>
    <r>
      <rPr>
        <sz val="6.5"/>
        <rFont val="Arial"/>
      </rPr>
      <t>64 OBAGB002 EVS00 347</t>
    </r>
  </si>
  <si>
    <r>
      <rPr>
        <sz val="6.5"/>
        <rFont val="Arial"/>
      </rPr>
      <t xml:space="preserve">CORPS O BAG MINI EVA COMPOUND CÈDRE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</si>
  <si>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65 OBAGS010 TESF3 227</t>
    </r>
  </si>
  <si>
    <r>
      <rPr>
        <sz val="6.5"/>
        <rFont val="Arial"/>
      </rPr>
      <t xml:space="preserve">POCHETTE INTÉRIEURE FERMETURE ÉCLAIR O CITY EN NYLON À RAYURES BLANC/NOIR 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</si>
  <si>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66 SHOUGH00 TESI3 470</t>
    </r>
  </si>
  <si>
    <r>
      <rPr>
        <sz val="6.5"/>
        <rFont val="Arial"/>
      </rPr>
      <t xml:space="preserve">BANDOULIÈRE 80/120 + GOUTTE TROUÉE TISSU RUBAN TECHNIQUE GRIS ANTHRACITE/JAUNE 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</si>
  <si>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67 OBAGS010 TESG2 017</t>
    </r>
  </si>
  <si>
    <r>
      <rPr>
        <sz val="6.5"/>
        <rFont val="Arial"/>
      </rPr>
      <t xml:space="preserve">POCHETTE INTÉRIEURE FERMETURE ÉCLAIR O CITY EN TISSU CANVAS + RUBAN NAVY 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</si>
  <si>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68 OBAGB426 MAS09 055</t>
    </r>
  </si>
  <si>
    <r>
      <rPr>
        <sz val="6.5"/>
        <rFont val="Arial"/>
      </rPr>
      <t xml:space="preserve">CORPS COMPLET O BAG TOTE EN NYLON + PVC NOIR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</si>
  <si>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69 OBAGB010 EVS00 075</t>
    </r>
  </si>
  <si>
    <r>
      <rPr>
        <sz val="6.5"/>
        <rFont val="Arial"/>
      </rPr>
      <t xml:space="preserve">CORPS O CITY EVA COMPOUND ROSE SMOKE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</si>
  <si>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70 OBAGB001 EVS00 483</t>
    </r>
  </si>
  <si>
    <r>
      <rPr>
        <sz val="6.5"/>
        <rFont val="Arial"/>
      </rPr>
      <t xml:space="preserve">CORPS O BAG EVA COMPOUND CHAMPAGNE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</si>
  <si>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71 OBAGA000 ECS42 371</t>
    </r>
  </si>
  <si>
    <r>
      <rPr>
        <sz val="6.5"/>
        <rFont val="Arial"/>
      </rPr>
      <t xml:space="preserve">ACCESSOIRE CLIP EN FAUX CUIR OPAQUE + ARGENT LATTE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</si>
  <si>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72 OBAGS016 TESE6 036</t>
    </r>
  </si>
  <si>
    <r>
      <rPr>
        <sz val="6.5"/>
        <rFont val="Arial"/>
      </rPr>
      <t xml:space="preserve">POCHETTE INTÉRIEURE FERMETURE ÉCLAIR O MOON EN TISSU NYC À RAYURES BICOLORE JAUNE
</t>
    </r>
    <r>
      <rPr>
        <b/>
        <sz val="7"/>
        <rFont val="Arial"/>
      </rPr>
      <t xml:space="preserve">Fabriqué e </t>
    </r>
    <r>
      <rPr>
        <sz val="6.5"/>
        <rFont val="Arial"/>
      </rPr>
      <t xml:space="preserve">CN - CINA </t>
    </r>
    <r>
      <rPr>
        <b/>
        <sz val="7"/>
        <rFont val="Arial"/>
      </rPr>
      <t>label</t>
    </r>
  </si>
  <si>
    <r>
      <rPr>
        <sz val="6.5"/>
        <rFont val="Arial"/>
      </rPr>
      <t>73 ACCEO001 TES23 036</t>
    </r>
  </si>
  <si>
    <r>
      <rPr>
        <sz val="6.5"/>
        <rFont val="Arial"/>
      </rPr>
      <t xml:space="preserve">ACCESSOIRES PENDENTIF POMPON EN RAPHIA TISSÉ JAUNE
</t>
    </r>
    <r>
      <rPr>
        <b/>
        <sz val="7"/>
        <rFont val="Arial"/>
      </rPr>
      <t xml:space="preserve">Fabriqué e </t>
    </r>
    <r>
      <rPr>
        <sz val="6.5"/>
        <rFont val="Arial"/>
      </rPr>
      <t>CN - CINA</t>
    </r>
  </si>
  <si>
    <r>
      <rPr>
        <sz val="6.5"/>
        <rFont val="Arial"/>
      </rPr>
      <t xml:space="preserve">Pag </t>
    </r>
    <r>
      <rPr>
        <b/>
        <sz val="7"/>
        <rFont val="Arial"/>
      </rPr>
      <t>7</t>
    </r>
  </si>
  <si>
    <r>
      <rPr>
        <sz val="6.5"/>
        <rFont val="Arial"/>
      </rPr>
      <t>74 OBAGA000 ECS42 479</t>
    </r>
  </si>
  <si>
    <r>
      <rPr>
        <sz val="6.5"/>
        <rFont val="Arial"/>
      </rPr>
      <t xml:space="preserve">ACCESSOIRE CLIP EN FAUX CUIR OPAQUE + ARGENT SKYWAY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</si>
  <si>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75 OCLKD001 MES83 134</t>
    </r>
  </si>
  <si>
    <r>
      <rPr>
        <sz val="6.5"/>
        <rFont val="Arial"/>
      </rPr>
      <t xml:space="preserve">O CLOCK MÉCANISME URBAN DECOR MEADOWS GRIS ANTHRACITE
</t>
    </r>
    <r>
      <rPr>
        <b/>
        <sz val="7"/>
        <rFont val="Arial"/>
      </rPr>
      <t xml:space="preserve">Fabriqué e </t>
    </r>
    <r>
      <rPr>
        <sz val="6.5"/>
        <rFont val="Arial"/>
      </rPr>
      <t>CN - CINA</t>
    </r>
  </si>
  <si>
    <r>
      <rPr>
        <sz val="6.5"/>
        <rFont val="Arial"/>
      </rPr>
      <t>76 OBAGS017 TES26 055</t>
    </r>
  </si>
  <si>
    <r>
      <rPr>
        <sz val="6.5"/>
        <rFont val="Arial"/>
      </rPr>
      <t xml:space="preserve">POCHETTE INTÉRIEURE FERMETURE ÉCLAIR O MOON LIGHT EN TISSU CORDURA NOIR 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</si>
  <si>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77 HLESD000 ECS35 036</t>
    </r>
  </si>
  <si>
    <r>
      <rPr>
        <sz val="6.5"/>
        <rFont val="Arial"/>
      </rPr>
      <t xml:space="preserve">ANSES LONGUES ADAPTABLES EN FAUX CUIR BASIC JAUNE
</t>
    </r>
    <r>
      <rPr>
        <b/>
        <sz val="7"/>
        <rFont val="Arial"/>
      </rPr>
      <t xml:space="preserve">Fabriqué e </t>
    </r>
    <r>
      <rPr>
        <sz val="6.5"/>
        <rFont val="Arial"/>
      </rPr>
      <t>CN - CINA</t>
    </r>
  </si>
  <si>
    <r>
      <rPr>
        <sz val="6.5"/>
        <rFont val="Arial"/>
      </rPr>
      <t>79 OBAGS010 TESF8 481</t>
    </r>
  </si>
  <si>
    <r>
      <rPr>
        <sz val="6.5"/>
        <rFont val="Arial"/>
      </rPr>
      <t xml:space="preserve">POCHETTE INTÉRIEURE FERMETURE ÉCLAIR O CITY EN TISSU DEAUVILLE À RAYURES LARGES ROU
</t>
    </r>
    <r>
      <rPr>
        <b/>
        <sz val="7"/>
        <rFont val="Arial"/>
      </rPr>
      <t xml:space="preserve">Fabriqué e </t>
    </r>
    <r>
      <rPr>
        <sz val="6.5"/>
        <rFont val="Arial"/>
      </rPr>
      <t xml:space="preserve">CN - CINA </t>
    </r>
    <r>
      <rPr>
        <b/>
        <sz val="7"/>
        <rFont val="Arial"/>
      </rPr>
      <t>label</t>
    </r>
  </si>
  <si>
    <r>
      <rPr>
        <sz val="6.5"/>
        <rFont val="Arial"/>
      </rPr>
      <t>80 OBAGB001 EVS00 479</t>
    </r>
  </si>
  <si>
    <r>
      <rPr>
        <sz val="6.5"/>
        <rFont val="Arial"/>
      </rPr>
      <t xml:space="preserve">CORPS O BAG EVA COMPOUND SKYWAY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</si>
  <si>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81 OBAGB018 EVS03 371</t>
    </r>
  </si>
  <si>
    <r>
      <rPr>
        <sz val="6.5"/>
        <rFont val="Arial"/>
      </rPr>
      <t xml:space="preserve">CORPS O BAG BEACH MINI EVA COMPOUND EFFET OSIER LATTE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</si>
  <si>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82 OCLKD001 MES81 017</t>
    </r>
  </si>
  <si>
    <r>
      <rPr>
        <sz val="6.5"/>
        <rFont val="Arial"/>
      </rPr>
      <t xml:space="preserve">O CLOCK MÉCANISME DEAUVILLE LINES NAVY
</t>
    </r>
    <r>
      <rPr>
        <b/>
        <sz val="7"/>
        <rFont val="Arial"/>
      </rPr>
      <t xml:space="preserve">Fabriqué e </t>
    </r>
    <r>
      <rPr>
        <sz val="6.5"/>
        <rFont val="Arial"/>
      </rPr>
      <t>CN - CINA</t>
    </r>
  </si>
  <si>
    <r>
      <rPr>
        <sz val="6.5"/>
        <rFont val="Arial"/>
      </rPr>
      <t>83 SHOUGH00 TESI3 471</t>
    </r>
  </si>
  <si>
    <r>
      <rPr>
        <sz val="6.5"/>
        <rFont val="Arial"/>
      </rPr>
      <t xml:space="preserve">BANDOULIÈRE 80/120 + GOUTTE TROUÉE TISSU RUBAN TECHNIQUE GRIS ANTHRACITE/SANGRIA
</t>
    </r>
    <r>
      <rPr>
        <b/>
        <sz val="7"/>
        <rFont val="Arial"/>
      </rPr>
      <t xml:space="preserve">Fabriqué e </t>
    </r>
    <r>
      <rPr>
        <sz val="6.5"/>
        <rFont val="Arial"/>
      </rPr>
      <t xml:space="preserve">IT - ITALIA </t>
    </r>
    <r>
      <rPr>
        <b/>
        <sz val="7"/>
        <rFont val="Arial"/>
      </rPr>
      <t>label</t>
    </r>
  </si>
  <si>
    <r>
      <rPr>
        <sz val="6.5"/>
        <rFont val="Arial"/>
      </rPr>
      <t>84 OCLKSB01 INS00 036</t>
    </r>
  </si>
  <si>
    <r>
      <rPr>
        <sz val="6.5"/>
        <rFont val="Arial"/>
      </rPr>
      <t xml:space="preserve">O CLOCK SHIFT BRACELET BAND EN MATÉRIAU INJECTÉ JAUNE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</si>
  <si>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85 OBAGS118 TESE6 076</t>
    </r>
  </si>
  <si>
    <r>
      <rPr>
        <sz val="6.5"/>
        <rFont val="Arial"/>
      </rPr>
      <t xml:space="preserve">POCHETTE INTÉRIEURE À COULISSE O BAG BEACH MINI EN TISSU NYC À RAYURES BICOLORE ROUG
</t>
    </r>
    <r>
      <rPr>
        <b/>
        <sz val="7"/>
        <rFont val="Arial"/>
      </rPr>
      <t xml:space="preserve">Fabriqué e </t>
    </r>
    <r>
      <rPr>
        <sz val="6.5"/>
        <rFont val="Arial"/>
      </rPr>
      <t xml:space="preserve">CN - CINA </t>
    </r>
    <r>
      <rPr>
        <b/>
        <sz val="7"/>
        <rFont val="Arial"/>
      </rPr>
      <t>label</t>
    </r>
  </si>
  <si>
    <r>
      <rPr>
        <sz val="6.5"/>
        <rFont val="Arial"/>
      </rPr>
      <t>86 OCLKD104 MES92 497</t>
    </r>
  </si>
  <si>
    <r>
      <rPr>
        <sz val="6.5"/>
        <rFont val="Arial"/>
      </rPr>
      <t xml:space="preserve">MÉCANISME GREAT DATE SATIN NOIR/ROUGE/BLANC
</t>
    </r>
    <r>
      <rPr>
        <b/>
        <sz val="7"/>
        <rFont val="Arial"/>
      </rPr>
      <t xml:space="preserve">Fabriqué e </t>
    </r>
    <r>
      <rPr>
        <sz val="6.5"/>
        <rFont val="Arial"/>
      </rPr>
      <t>CN - CINA</t>
    </r>
  </si>
  <si>
    <r>
      <rPr>
        <sz val="6.5"/>
        <rFont val="Arial"/>
      </rPr>
      <t>87 OBAGB016 EVS00 078</t>
    </r>
  </si>
  <si>
    <r>
      <rPr>
        <sz val="6.5"/>
        <rFont val="Arial"/>
      </rPr>
      <t xml:space="preserve">CORPS O MOON EVA COMPOUND SABLE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</si>
  <si>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 xml:space="preserve">Pag </t>
    </r>
    <r>
      <rPr>
        <b/>
        <sz val="7"/>
        <rFont val="Arial"/>
      </rPr>
      <t>8</t>
    </r>
  </si>
  <si>
    <r>
      <rPr>
        <b/>
        <sz val="7"/>
        <rFont val="Arial"/>
      </rPr>
      <t>Prix Remises</t>
    </r>
  </si>
  <si>
    <r>
      <rPr>
        <sz val="6.5"/>
        <rFont val="Arial"/>
      </rPr>
      <t>88 OBAGS018 TESE6 036 2 PZ</t>
    </r>
  </si>
  <si>
    <r>
      <rPr>
        <sz val="6.5"/>
        <rFont val="Arial"/>
      </rPr>
      <t xml:space="preserve">POCHETTE INTÉRIEURE FERMETURE ÉCLAIR O BAG BEACH MINI EN TISSU NYC À RAYURES BICOLOR
</t>
    </r>
    <r>
      <rPr>
        <b/>
        <sz val="7"/>
        <rFont val="Arial"/>
      </rPr>
      <t xml:space="preserve">Fabriqué e </t>
    </r>
    <r>
      <rPr>
        <sz val="6.5"/>
        <rFont val="Arial"/>
      </rPr>
      <t xml:space="preserve">CN - CINA </t>
    </r>
    <r>
      <rPr>
        <b/>
        <sz val="7"/>
        <rFont val="Arial"/>
      </rPr>
      <t>label</t>
    </r>
  </si>
  <si>
    <r>
      <rPr>
        <sz val="6.5"/>
        <rFont val="Arial"/>
      </rPr>
      <t>89 HLESAD00 ECS00 422 6 PZ</t>
    </r>
  </si>
  <si>
    <r>
      <rPr>
        <sz val="6.5"/>
        <rFont val="Arial"/>
      </rPr>
      <t xml:space="preserve">ANSES TUBULAIRES EN FAUX CUIR SANGRIA
</t>
    </r>
    <r>
      <rPr>
        <b/>
        <sz val="7"/>
        <rFont val="Arial"/>
      </rPr>
      <t xml:space="preserve">Fabriqué e </t>
    </r>
    <r>
      <rPr>
        <sz val="6.5"/>
        <rFont val="Arial"/>
      </rPr>
      <t xml:space="preserve">IT - ITALIA </t>
    </r>
    <r>
      <rPr>
        <b/>
        <sz val="7"/>
        <rFont val="Arial"/>
      </rPr>
      <t>label</t>
    </r>
  </si>
  <si>
    <r>
      <rPr>
        <sz val="6.5"/>
        <rFont val="Arial"/>
      </rPr>
      <t>90 HLESMD00 ECS46 055 4 PZ</t>
    </r>
  </si>
  <si>
    <r>
      <rPr>
        <sz val="6.5"/>
        <rFont val="Arial"/>
      </rPr>
      <t xml:space="preserve">MICRO-ANSES TUBULAIRES COURTES EN FAUX CUIR LISSE NOIR
</t>
    </r>
    <r>
      <rPr>
        <b/>
        <sz val="7"/>
        <rFont val="Arial"/>
      </rPr>
      <t xml:space="preserve">Fabriqué e </t>
    </r>
    <r>
      <rPr>
        <sz val="6.5"/>
        <rFont val="Arial"/>
      </rPr>
      <t xml:space="preserve">IT - ITALIA </t>
    </r>
    <r>
      <rPr>
        <b/>
        <sz val="7"/>
        <rFont val="Arial"/>
      </rPr>
      <t>label</t>
    </r>
  </si>
  <si>
    <r>
      <rPr>
        <sz val="6.5"/>
        <rFont val="Arial"/>
      </rPr>
      <t>91 OBAGB010 EVS00 026 2 PZ</t>
    </r>
  </si>
  <si>
    <r>
      <rPr>
        <sz val="6.5"/>
        <rFont val="Arial"/>
      </rPr>
      <t xml:space="preserve">CORPS O CITY EVA COMPOUND BLEU COBALT
</t>
    </r>
    <r>
      <rPr>
        <b/>
        <sz val="7"/>
        <rFont val="Arial"/>
      </rPr>
      <t xml:space="preserve">Fabriqué e </t>
    </r>
    <r>
      <rPr>
        <sz val="6.5"/>
        <rFont val="Arial"/>
      </rPr>
      <t xml:space="preserve">IT - ITALIA </t>
    </r>
    <r>
      <rPr>
        <b/>
        <sz val="7"/>
        <rFont val="Arial"/>
      </rPr>
      <t>label</t>
    </r>
  </si>
  <si>
    <r>
      <rPr>
        <sz val="6.5"/>
        <rFont val="Arial"/>
      </rPr>
      <t>92 HLESX600 ECS00 055 6 PZ</t>
    </r>
  </si>
  <si>
    <r>
      <rPr>
        <sz val="6.5"/>
        <rFont val="Arial"/>
      </rPr>
      <t xml:space="preserve">ANSES COURTES EXTRASLIM GOUTTE AVEC DEMI-ANNEAU EN FAUX CUIR NOIR
</t>
    </r>
    <r>
      <rPr>
        <b/>
        <sz val="7"/>
        <rFont val="Arial"/>
      </rPr>
      <t xml:space="preserve">Fabriqué e </t>
    </r>
    <r>
      <rPr>
        <sz val="6.5"/>
        <rFont val="Arial"/>
      </rPr>
      <t xml:space="preserve">IT - ITALIA </t>
    </r>
    <r>
      <rPr>
        <b/>
        <sz val="7"/>
        <rFont val="Arial"/>
      </rPr>
      <t>label</t>
    </r>
  </si>
  <si>
    <r>
      <rPr>
        <sz val="6.5"/>
        <rFont val="Arial"/>
      </rPr>
      <t>93 OHUGI002 ECS36 227 4 PZ</t>
    </r>
  </si>
  <si>
    <r>
      <rPr>
        <sz val="6.5"/>
        <rFont val="Arial"/>
      </rPr>
      <t xml:space="preserve">O HUG INTÉRIEUR PORTEFEUILLE FEMME EN FAUX CUIR À RAYURES BLANC/NOIR
</t>
    </r>
    <r>
      <rPr>
        <b/>
        <sz val="7"/>
        <rFont val="Arial"/>
      </rPr>
      <t xml:space="preserve">Fabriqué e </t>
    </r>
    <r>
      <rPr>
        <sz val="6.5"/>
        <rFont val="Arial"/>
      </rPr>
      <t xml:space="preserve">IT - ITALIA </t>
    </r>
    <r>
      <rPr>
        <b/>
        <sz val="7"/>
        <rFont val="Arial"/>
      </rPr>
      <t>label</t>
    </r>
  </si>
  <si>
    <r>
      <rPr>
        <sz val="6.5"/>
        <rFont val="Arial"/>
      </rPr>
      <t>94 SHOUWA00 TESE5 036 3 PZ</t>
    </r>
  </si>
  <si>
    <r>
      <rPr>
        <sz val="6.5"/>
        <rFont val="Arial"/>
      </rPr>
      <t xml:space="preserve">BANDOULIÈRE COURTE NEW GOUTTE TROUÉE EN TISSU NYC LOSANGES JAUNE
</t>
    </r>
    <r>
      <rPr>
        <b/>
        <sz val="7"/>
        <rFont val="Arial"/>
      </rPr>
      <t xml:space="preserve">Fabriqué e </t>
    </r>
    <r>
      <rPr>
        <sz val="6.5"/>
        <rFont val="Arial"/>
      </rPr>
      <t xml:space="preserve">CN - CINA </t>
    </r>
    <r>
      <rPr>
        <b/>
        <sz val="7"/>
        <rFont val="Arial"/>
      </rPr>
      <t>label</t>
    </r>
  </si>
  <si>
    <r>
      <rPr>
        <sz val="6.5"/>
        <rFont val="Arial"/>
      </rPr>
      <t>95 OBAGB426 ECS67 072 2 PZ</t>
    </r>
  </si>
  <si>
    <r>
      <rPr>
        <sz val="6.5"/>
        <rFont val="Arial"/>
      </rPr>
      <t xml:space="preserve">CORPS COMPLET O BAG TOTE EN FAUX CUIR SOFT TOUCH ROSE
</t>
    </r>
    <r>
      <rPr>
        <b/>
        <sz val="7"/>
        <rFont val="Arial"/>
      </rPr>
      <t xml:space="preserve">Fabriqué e </t>
    </r>
    <r>
      <rPr>
        <sz val="6.5"/>
        <rFont val="Arial"/>
      </rPr>
      <t xml:space="preserve">IT - ITALIA </t>
    </r>
    <r>
      <rPr>
        <b/>
        <sz val="7"/>
        <rFont val="Arial"/>
      </rPr>
      <t>label</t>
    </r>
  </si>
  <si>
    <r>
      <rPr>
        <sz val="6.5"/>
        <rFont val="Arial"/>
      </rPr>
      <t>96 OBAGB009 EVS00 038 2 PZ</t>
    </r>
  </si>
  <si>
    <r>
      <rPr>
        <sz val="6.5"/>
        <rFont val="Arial"/>
      </rPr>
      <t xml:space="preserve">CORPS O BAG 50 EVA COMPOUND GRIS GRAPHITE
</t>
    </r>
    <r>
      <rPr>
        <b/>
        <sz val="7"/>
        <rFont val="Arial"/>
      </rPr>
      <t xml:space="preserve">Fabriqué e </t>
    </r>
    <r>
      <rPr>
        <sz val="6.5"/>
        <rFont val="Arial"/>
      </rPr>
      <t xml:space="preserve">IT - ITALIA </t>
    </r>
    <r>
      <rPr>
        <b/>
        <sz val="7"/>
        <rFont val="Arial"/>
      </rPr>
      <t>label</t>
    </r>
  </si>
  <si>
    <r>
      <rPr>
        <sz val="6.5"/>
        <rFont val="Arial"/>
      </rPr>
      <t>97 OBAGS001 TESH1 008 2 PZ</t>
    </r>
  </si>
  <si>
    <r>
      <rPr>
        <sz val="6.5"/>
        <rFont val="Arial"/>
      </rPr>
      <t xml:space="preserve">POCHETTE INTÉRIEURE FERMETURE ÉCLAIR O BAG EN TISSU BOUCLÉ DÉCOR BLANC
</t>
    </r>
    <r>
      <rPr>
        <b/>
        <sz val="7"/>
        <rFont val="Arial"/>
      </rPr>
      <t xml:space="preserve">Fabriqué e </t>
    </r>
    <r>
      <rPr>
        <sz val="6.5"/>
        <rFont val="Arial"/>
      </rPr>
      <t xml:space="preserve">IT - ITALIA </t>
    </r>
    <r>
      <rPr>
        <b/>
        <sz val="7"/>
        <rFont val="Arial"/>
      </rPr>
      <t>label</t>
    </r>
  </si>
  <si>
    <r>
      <rPr>
        <sz val="6.5"/>
        <rFont val="Arial"/>
      </rPr>
      <t>98 OCLKD001 MES84 130 3 PZ</t>
    </r>
  </si>
  <si>
    <r>
      <rPr>
        <sz val="6.5"/>
        <rFont val="Arial"/>
      </rPr>
      <t xml:space="preserve">O CLOCK MÉCANISME URBAN DECOR PETALS BLEU
</t>
    </r>
    <r>
      <rPr>
        <b/>
        <sz val="7"/>
        <rFont val="Arial"/>
      </rPr>
      <t xml:space="preserve">Fabriqué e </t>
    </r>
    <r>
      <rPr>
        <sz val="6.5"/>
        <rFont val="Arial"/>
      </rPr>
      <t xml:space="preserve">CN - CINA </t>
    </r>
    <r>
      <rPr>
        <b/>
        <sz val="7"/>
        <rFont val="Arial"/>
      </rPr>
      <t>label</t>
    </r>
  </si>
  <si>
    <r>
      <rPr>
        <sz val="6.5"/>
        <rFont val="Arial"/>
      </rPr>
      <t>99 OCLKD001 MES86 055 3 PZ</t>
    </r>
  </si>
  <si>
    <r>
      <rPr>
        <sz val="6.5"/>
        <rFont val="Arial"/>
      </rPr>
      <t xml:space="preserve">O CLOCK MÉCANISME NYC LINES NOIR
</t>
    </r>
    <r>
      <rPr>
        <b/>
        <sz val="7"/>
        <rFont val="Arial"/>
      </rPr>
      <t xml:space="preserve">Fabriqué e </t>
    </r>
    <r>
      <rPr>
        <sz val="6.5"/>
        <rFont val="Arial"/>
      </rPr>
      <t xml:space="preserve">CN - CINA </t>
    </r>
    <r>
      <rPr>
        <b/>
        <sz val="7"/>
        <rFont val="Arial"/>
      </rPr>
      <t>label</t>
    </r>
  </si>
  <si>
    <r>
      <rPr>
        <sz val="6.5"/>
        <rFont val="Arial"/>
      </rPr>
      <t>100 OBAGS019 TES26 055 18 PZ</t>
    </r>
  </si>
  <si>
    <r>
      <rPr>
        <sz val="6.5"/>
        <rFont val="Arial"/>
      </rPr>
      <t xml:space="preserve">POCHETTE INTÉRIEURE FERMETURE ÉCLAIR O SQUARE EN TISSU CORDURA NOIR
</t>
    </r>
    <r>
      <rPr>
        <b/>
        <sz val="7"/>
        <rFont val="Arial"/>
      </rPr>
      <t xml:space="preserve">Fabriqué e </t>
    </r>
    <r>
      <rPr>
        <sz val="6.5"/>
        <rFont val="Arial"/>
      </rPr>
      <t xml:space="preserve">CN - CINA </t>
    </r>
    <r>
      <rPr>
        <b/>
        <sz val="7"/>
        <rFont val="Arial"/>
      </rPr>
      <t>label</t>
    </r>
  </si>
  <si>
    <r>
      <rPr>
        <sz val="6.5"/>
        <rFont val="Arial"/>
      </rPr>
      <t xml:space="preserve">Pag </t>
    </r>
    <r>
      <rPr>
        <b/>
        <sz val="7"/>
        <rFont val="Arial"/>
      </rPr>
      <t>9</t>
    </r>
  </si>
  <si>
    <r>
      <rPr>
        <sz val="6.5"/>
        <rFont val="Arial"/>
      </rPr>
      <t>101 OBAGP024 ECS51 076</t>
    </r>
  </si>
  <si>
    <r>
      <rPr>
        <sz val="6.5"/>
        <rFont val="Arial"/>
      </rPr>
      <t xml:space="preserve">RABAT O POCKET MICRO EN FAUX CUIR CLOUS PYRAMIDES ROUGE
</t>
    </r>
    <r>
      <rPr>
        <b/>
        <sz val="7"/>
        <rFont val="Arial"/>
      </rPr>
      <t xml:space="preserve">Fabriqué e </t>
    </r>
    <r>
      <rPr>
        <sz val="6.5"/>
        <rFont val="Arial"/>
      </rPr>
      <t>CN - CINA</t>
    </r>
  </si>
  <si>
    <r>
      <rPr>
        <sz val="6.5"/>
        <rFont val="Arial"/>
      </rPr>
      <t>102 SHOUCF00 ECS35 422</t>
    </r>
  </si>
  <si>
    <r>
      <rPr>
        <sz val="6.5"/>
        <rFont val="Arial"/>
      </rPr>
      <t xml:space="preserve">BANDOULIÈRE AVEC TRESSAGE + CLIP EN FAUX CUIR BASIC SANGRIA
</t>
    </r>
    <r>
      <rPr>
        <b/>
        <sz val="7"/>
        <rFont val="Arial"/>
      </rPr>
      <t xml:space="preserve">Fabriqué e </t>
    </r>
    <r>
      <rPr>
        <sz val="6.5"/>
        <rFont val="Arial"/>
      </rPr>
      <t>CN - CINA</t>
    </r>
  </si>
  <si>
    <r>
      <rPr>
        <sz val="6.5"/>
        <rFont val="Arial"/>
      </rPr>
      <t>103 OBAGS009 TES01 347</t>
    </r>
  </si>
  <si>
    <r>
      <rPr>
        <sz val="6.5"/>
        <rFont val="Arial"/>
      </rPr>
      <t xml:space="preserve">POCHETTE INTÉRIEURE FERMETURE ÉCLAIR O BAG 50 EN TISSU CANVAS CÈDRE 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</si>
  <si>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104 OBAGB018 EVS03 055</t>
    </r>
  </si>
  <si>
    <r>
      <rPr>
        <sz val="6.5"/>
        <rFont val="Arial"/>
      </rPr>
      <t xml:space="preserve">CORPS O BAG BEACH MINI EVA COMPOUND EFFET OSIER NOIR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</si>
  <si>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105 OBAGB002 EVS00 038</t>
    </r>
  </si>
  <si>
    <r>
      <rPr>
        <sz val="6.5"/>
        <rFont val="Arial"/>
      </rPr>
      <t xml:space="preserve">CORPS O BAG MINI EVA COMPOUND GRIS GRAPHITE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</si>
  <si>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106 OBAGS002 TESH2 072</t>
    </r>
  </si>
  <si>
    <r>
      <rPr>
        <sz val="6.5"/>
        <rFont val="Arial"/>
      </rPr>
      <t xml:space="preserve">POCHETTE INTÉRIEURE FERMETURE ÉCLAIR O BAG MINI EN COTON MOTIF PAPILLONS ROSE </t>
    </r>
    <r>
      <rPr>
        <b/>
        <sz val="7"/>
        <rFont val="Arial"/>
      </rPr>
      <t xml:space="preserve">Fabriqué e </t>
    </r>
    <r>
      <rPr>
        <sz val="6.5"/>
        <rFont val="Arial"/>
      </rPr>
      <t>CN - CINA</t>
    </r>
  </si>
  <si>
    <r>
      <rPr>
        <sz val="6.5"/>
        <rFont val="Arial"/>
      </rPr>
      <t>107 OBAGB010 EVS00 017</t>
    </r>
  </si>
  <si>
    <r>
      <rPr>
        <sz val="6.5"/>
        <rFont val="Arial"/>
      </rPr>
      <t xml:space="preserve">CORPS O CITY EVA COMPOUND NAVY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</si>
  <si>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108 OBAGB016 EVS00 026</t>
    </r>
  </si>
  <si>
    <r>
      <rPr>
        <sz val="6.5"/>
        <rFont val="Arial"/>
      </rPr>
      <t xml:space="preserve">CORPS O MOON EVA COMPOUND BLEU COBALT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</si>
  <si>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109 OBAGS001 TES01 347</t>
    </r>
  </si>
  <si>
    <r>
      <rPr>
        <sz val="6.5"/>
        <rFont val="Arial"/>
      </rPr>
      <t xml:space="preserve">POCHETTE INTÉRIEURE FERMETURE ÉCLAIR O BAG EN TISSU CANVAS CÈDRE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</si>
  <si>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110 OBAGS009 TES01 075</t>
    </r>
  </si>
  <si>
    <r>
      <rPr>
        <sz val="6.5"/>
        <rFont val="Arial"/>
      </rPr>
      <t xml:space="preserve">POCHETTE INTÉRIEURE FERMETURE ÉCLAIR O BAG 50 EN TISSU CANVAS ROSE SMOKE 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</si>
  <si>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111 OBAGPA06 TESF1 055</t>
    </r>
  </si>
  <si>
    <r>
      <rPr>
        <sz val="6.5"/>
        <rFont val="Arial"/>
      </rPr>
      <t xml:space="preserve">RABAT TOURNIQUET O POCKET EN TISSU + FAUX CUIR NYC À RAYURES NOIR
</t>
    </r>
    <r>
      <rPr>
        <b/>
        <sz val="7"/>
        <rFont val="Arial"/>
      </rPr>
      <t xml:space="preserve">Fabriqué e </t>
    </r>
    <r>
      <rPr>
        <sz val="6.5"/>
        <rFont val="Arial"/>
      </rPr>
      <t>CN - CINA</t>
    </r>
  </si>
  <si>
    <r>
      <rPr>
        <sz val="6.5"/>
        <rFont val="Arial"/>
      </rPr>
      <t>112 OBAGB017 EVS00 075</t>
    </r>
  </si>
  <si>
    <r>
      <rPr>
        <sz val="6.5"/>
        <rFont val="Arial"/>
      </rPr>
      <t xml:space="preserve">CORPS O MOON LIGHT EVA COMPOUND ROSE SMOKE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</si>
  <si>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113 OBAGA000 ECS40 075</t>
    </r>
  </si>
  <si>
    <r>
      <rPr>
        <sz val="6.5"/>
        <rFont val="Arial"/>
      </rPr>
      <t xml:space="preserve">ACCESSOIRE CLIP EN FAUX CUIR OPAQUE + OR ROSE SMOKE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</si>
  <si>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7"/>
        <rFont val="Arial"/>
      </rPr>
      <t xml:space="preserve">Pag </t>
    </r>
    <r>
      <rPr>
        <sz val="7"/>
        <rFont val="Arial"/>
      </rPr>
      <t>1 1</t>
    </r>
    <r>
      <rPr>
        <b/>
        <sz val="7"/>
        <rFont val="Arial"/>
      </rPr>
      <t>0</t>
    </r>
  </si>
  <si>
    <r>
      <rPr>
        <sz val="7"/>
        <rFont val="Arial"/>
      </rPr>
      <t>114 ACCEP014 ECS35 371</t>
    </r>
  </si>
  <si>
    <r>
      <rPr>
        <sz val="7"/>
        <rFont val="Arial"/>
      </rPr>
      <t xml:space="preserve">ACCESSOIRES POCHETTE FILET EN FAUX CUIR BASIC LATTE
</t>
    </r>
    <r>
      <rPr>
        <b/>
        <sz val="7"/>
        <rFont val="Arial"/>
      </rPr>
      <t xml:space="preserve">Fabriqué e </t>
    </r>
    <r>
      <rPr>
        <sz val="7"/>
        <rFont val="Arial"/>
      </rPr>
      <t>CN - CINA</t>
    </r>
  </si>
  <si>
    <r>
      <rPr>
        <sz val="7"/>
        <rFont val="Arial"/>
      </rPr>
      <t>115 OBAGB001 EVS00 347</t>
    </r>
  </si>
  <si>
    <r>
      <rPr>
        <sz val="7"/>
        <rFont val="Arial"/>
      </rPr>
      <t xml:space="preserve">CORPS O BAG EVA COMPOUND CÈDRE
</t>
    </r>
    <r>
      <rPr>
        <b/>
        <sz val="7"/>
        <rFont val="Arial"/>
      </rPr>
      <t xml:space="preserve">Fabriqué e </t>
    </r>
    <r>
      <rPr>
        <sz val="7"/>
        <rFont val="Arial"/>
      </rPr>
      <t>IT - ITALIA</t>
    </r>
  </si>
  <si>
    <r>
      <rPr>
        <sz val="7"/>
        <rFont val="Arial"/>
      </rPr>
      <t>116 OBAGS018 TESG2 076</t>
    </r>
  </si>
  <si>
    <r>
      <rPr>
        <sz val="7"/>
        <rFont val="Arial"/>
      </rPr>
      <t xml:space="preserve">POCHETTE INTÉRIEURE FERMETURE ÉCLAIR O BAG BEACH MINI EN TISSU CANVAS + RUBAN ROUGE
</t>
    </r>
    <r>
      <rPr>
        <b/>
        <sz val="7"/>
        <rFont val="Arial"/>
      </rPr>
      <t xml:space="preserve">Fabriqué e </t>
    </r>
    <r>
      <rPr>
        <sz val="7"/>
        <rFont val="Arial"/>
      </rPr>
      <t xml:space="preserve">IT - ITALIA </t>
    </r>
    <r>
      <rPr>
        <b/>
        <sz val="7"/>
        <rFont val="Arial"/>
      </rPr>
      <t>label</t>
    </r>
  </si>
  <si>
    <r>
      <rPr>
        <sz val="7"/>
        <rFont val="Arial"/>
      </rPr>
      <t>117 OBAGT002 TESH1 008</t>
    </r>
  </si>
  <si>
    <r>
      <rPr>
        <sz val="7"/>
        <rFont val="Arial"/>
      </rPr>
      <t xml:space="preserve">REVERS O BAG MINI EN TISSU BOUCLÉ DÉCOR BLANC
</t>
    </r>
    <r>
      <rPr>
        <b/>
        <sz val="7"/>
        <rFont val="Arial"/>
      </rPr>
      <t xml:space="preserve">Fabriqué e </t>
    </r>
    <r>
      <rPr>
        <sz val="7"/>
        <rFont val="Arial"/>
      </rPr>
      <t>IT - ITALIA</t>
    </r>
  </si>
  <si>
    <r>
      <rPr>
        <sz val="7"/>
        <rFont val="Arial"/>
      </rPr>
      <t>118 SHOUG617 ECS00 055</t>
    </r>
  </si>
  <si>
    <r>
      <rPr>
        <sz val="7"/>
        <rFont val="Arial"/>
      </rPr>
      <t>10 PZ</t>
    </r>
  </si>
  <si>
    <r>
      <rPr>
        <sz val="7"/>
        <rFont val="Arial"/>
      </rPr>
      <t xml:space="preserve">LONGUE BANDOULIÈRE AVEC BOUCLE O MOON EN FAUX CUIR NOIR
</t>
    </r>
    <r>
      <rPr>
        <b/>
        <sz val="7"/>
        <rFont val="Arial"/>
      </rPr>
      <t xml:space="preserve">Fabriqué e </t>
    </r>
    <r>
      <rPr>
        <sz val="7"/>
        <rFont val="Arial"/>
      </rPr>
      <t>IT - ITALIA</t>
    </r>
  </si>
  <si>
    <r>
      <rPr>
        <sz val="7"/>
        <rFont val="Arial"/>
      </rPr>
      <t>119 OCLKD001 MES82 130</t>
    </r>
  </si>
  <si>
    <r>
      <rPr>
        <sz val="7"/>
        <rFont val="Arial"/>
      </rPr>
      <t xml:space="preserve">O CLOCK MÉCANISME URBAN DECOR FLOWERS BLEU
</t>
    </r>
    <r>
      <rPr>
        <b/>
        <sz val="7"/>
        <rFont val="Arial"/>
      </rPr>
      <t xml:space="preserve">Fabriqué e </t>
    </r>
    <r>
      <rPr>
        <sz val="7"/>
        <rFont val="Arial"/>
      </rPr>
      <t>CN - CINA</t>
    </r>
  </si>
  <si>
    <r>
      <rPr>
        <sz val="7"/>
        <rFont val="Arial"/>
      </rPr>
      <t>120 OCLKD104 MES92 498</t>
    </r>
  </si>
  <si>
    <r>
      <rPr>
        <sz val="7"/>
        <rFont val="Arial"/>
      </rPr>
      <t xml:space="preserve">MÉCANISME GREAT DATE SATIN NOIR/JAUNE/BLANC
</t>
    </r>
    <r>
      <rPr>
        <b/>
        <sz val="7"/>
        <rFont val="Arial"/>
      </rPr>
      <t xml:space="preserve">Fabriqué e </t>
    </r>
    <r>
      <rPr>
        <sz val="7"/>
        <rFont val="Arial"/>
      </rPr>
      <t>CN - CINA</t>
    </r>
  </si>
  <si>
    <r>
      <rPr>
        <sz val="7"/>
        <rFont val="Arial"/>
      </rPr>
      <t>121 SHOUD018 ECS00 055</t>
    </r>
  </si>
  <si>
    <r>
      <rPr>
        <sz val="7"/>
        <rFont val="Arial"/>
      </rPr>
      <t>8 PZ</t>
    </r>
  </si>
  <si>
    <r>
      <rPr>
        <sz val="7"/>
        <rFont val="Arial"/>
      </rPr>
      <t xml:space="preserve">LONGUE BANDOULIÈRE DOUBLE FIL O MOON LIGHT EN FAUX CUIR NOIR
</t>
    </r>
    <r>
      <rPr>
        <b/>
        <sz val="7"/>
        <rFont val="Arial"/>
      </rPr>
      <t xml:space="preserve">Fabriqué e </t>
    </r>
    <r>
      <rPr>
        <sz val="7"/>
        <rFont val="Arial"/>
      </rPr>
      <t>IT - ITALIA</t>
    </r>
  </si>
  <si>
    <r>
      <rPr>
        <sz val="7"/>
        <rFont val="Arial"/>
      </rPr>
      <t>122 OBAGP006 TESF4 473</t>
    </r>
  </si>
  <si>
    <r>
      <rPr>
        <sz val="7"/>
        <rFont val="Arial"/>
      </rPr>
      <t xml:space="preserve">RABAT O POCKET EN TISSU LUXURY CÔTELÉ BLUETTE/BLEU
</t>
    </r>
    <r>
      <rPr>
        <b/>
        <sz val="7"/>
        <rFont val="Arial"/>
      </rPr>
      <t xml:space="preserve">Fabriqué e </t>
    </r>
    <r>
      <rPr>
        <sz val="7"/>
        <rFont val="Arial"/>
      </rPr>
      <t>IT - ITALIA</t>
    </r>
  </si>
  <si>
    <r>
      <rPr>
        <sz val="7"/>
        <rFont val="Arial"/>
      </rPr>
      <t>123 OBAGT002 TESG8 061</t>
    </r>
  </si>
  <si>
    <r>
      <rPr>
        <sz val="7"/>
        <rFont val="Arial"/>
      </rPr>
      <t xml:space="preserve">REVERS O BAG MINI EN TISSU MÉTALLISÉ FLOWER BRODERIE ANGLAISE OR
</t>
    </r>
    <r>
      <rPr>
        <b/>
        <sz val="7"/>
        <rFont val="Arial"/>
      </rPr>
      <t xml:space="preserve">Fabriqué e </t>
    </r>
    <r>
      <rPr>
        <sz val="7"/>
        <rFont val="Arial"/>
      </rPr>
      <t>IT - ITALIA</t>
    </r>
  </si>
  <si>
    <r>
      <rPr>
        <sz val="7"/>
        <rFont val="Arial"/>
      </rPr>
      <t>124 OBAGS010 TES01 075</t>
    </r>
  </si>
  <si>
    <r>
      <rPr>
        <sz val="7"/>
        <rFont val="Arial"/>
      </rPr>
      <t xml:space="preserve">POCHETTE INTÉRIEURE FERMETURE ÉCLAIR O CITY EN TISSU CANVAS ROSE SMOKE
</t>
    </r>
    <r>
      <rPr>
        <b/>
        <sz val="7"/>
        <rFont val="Arial"/>
      </rPr>
      <t xml:space="preserve">Fabriqué e </t>
    </r>
    <r>
      <rPr>
        <sz val="7"/>
        <rFont val="Arial"/>
      </rPr>
      <t>IT - ITALIA</t>
    </r>
  </si>
  <si>
    <r>
      <rPr>
        <sz val="7"/>
        <rFont val="Arial"/>
      </rPr>
      <t>125 OBAGS017 TESG3 480</t>
    </r>
  </si>
  <si>
    <r>
      <rPr>
        <sz val="7"/>
        <rFont val="Arial"/>
      </rPr>
      <t xml:space="preserve">POCHETTE INTÉRIEURE FERMETURE ÉCLAIR O MOON LIGHT EN TISSU DEAUVILLE À RAYURES SERR
</t>
    </r>
    <r>
      <rPr>
        <b/>
        <sz val="7"/>
        <rFont val="Arial"/>
      </rPr>
      <t xml:space="preserve">Fabriqué e </t>
    </r>
    <r>
      <rPr>
        <sz val="7"/>
        <rFont val="Arial"/>
      </rPr>
      <t xml:space="preserve">CN - CINA </t>
    </r>
    <r>
      <rPr>
        <b/>
        <sz val="7"/>
        <rFont val="Arial"/>
      </rPr>
      <t>label</t>
    </r>
  </si>
  <si>
    <r>
      <rPr>
        <sz val="7"/>
        <rFont val="Arial"/>
      </rPr>
      <t>126 OHUGI002 ECS70 479</t>
    </r>
  </si>
  <si>
    <r>
      <rPr>
        <sz val="7"/>
        <rFont val="Arial"/>
      </rPr>
      <t xml:space="preserve">O HUG INTÉRIEUR PORTEFEUILLE FEMME EN FAUX CUIR AVEC BRISÉ SKYWAY
</t>
    </r>
    <r>
      <rPr>
        <b/>
        <sz val="7"/>
        <rFont val="Arial"/>
      </rPr>
      <t xml:space="preserve">Fabriqué e </t>
    </r>
    <r>
      <rPr>
        <sz val="7"/>
        <rFont val="Arial"/>
      </rPr>
      <t>IN - INDIA</t>
    </r>
  </si>
  <si>
    <r>
      <rPr>
        <sz val="7"/>
        <rFont val="Arial"/>
      </rPr>
      <t xml:space="preserve">FT </t>
    </r>
    <r>
      <rPr>
        <sz val="7"/>
        <rFont val="Arial"/>
      </rPr>
      <t>Tracking UPS: 1ZV621906876694101</t>
    </r>
  </si>
  <si>
    <r>
      <rPr>
        <sz val="6.5"/>
        <rFont val="Arial"/>
      </rPr>
      <t xml:space="preserve">Pag </t>
    </r>
    <r>
      <rPr>
        <sz val="6.5"/>
        <rFont val="Arial"/>
      </rPr>
      <t>11</t>
    </r>
  </si>
  <si>
    <r>
      <rPr>
        <sz val="6.5"/>
        <rFont val="Arial"/>
      </rPr>
      <t>127 OBAGB001 EVS00 078</t>
    </r>
  </si>
  <si>
    <r>
      <rPr>
        <sz val="6.5"/>
        <rFont val="Arial"/>
      </rPr>
      <t xml:space="preserve">CORPS O BAG EVA COMPOUND SABLE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</si>
  <si>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128 OBAGP106 TESG5 476</t>
    </r>
  </si>
  <si>
    <r>
      <rPr>
        <sz val="6.5"/>
        <rFont val="Arial"/>
      </rPr>
      <t xml:space="preserve">RABAT AVEC BANDEAU O POCKET TISSU CANVAS DÉTAIL RUBAN À RAYURES BLEU/ROUGE 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</si>
  <si>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129 OBAGS002 TES01 422</t>
    </r>
  </si>
  <si>
    <r>
      <rPr>
        <sz val="6.5"/>
        <rFont val="Arial"/>
      </rPr>
      <t xml:space="preserve">POCHETTE INTÉRIEURE FERMETURE ÉCLAIR O BAG MINI EN TISSU CANVAS SANGRIA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</si>
  <si>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130 OBAGB016 EVS00 055</t>
    </r>
  </si>
  <si>
    <r>
      <rPr>
        <sz val="6.5"/>
        <rFont val="Arial"/>
      </rPr>
      <t xml:space="preserve">CORPS O MOON EVA COMPOUND NOIR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</si>
  <si>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131 OBAGS001 TES01 130</t>
    </r>
  </si>
  <si>
    <r>
      <rPr>
        <sz val="6.5"/>
        <rFont val="Arial"/>
      </rPr>
      <t xml:space="preserve">POCHETTE INTÉRIEURE FERMETURE ÉCLAIR O BAG EN TISSU CANVAS BLEU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</si>
  <si>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132 OBAGB010 EVS00 158</t>
    </r>
  </si>
  <si>
    <r>
      <rPr>
        <sz val="6.5"/>
        <rFont val="Arial"/>
      </rPr>
      <t xml:space="preserve">CORPS O CITY EVA COMPOUND VOLCAN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</si>
  <si>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133 HLESAE00 ECS00 479</t>
    </r>
  </si>
  <si>
    <r>
      <rPr>
        <sz val="6.5"/>
        <rFont val="Arial"/>
      </rPr>
      <t xml:space="preserve">ANSES COURTES CHAÎNE AVEC TRESSAGE EN FAUX CUIR SKYWAY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</si>
  <si>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134 OBAGS002 TESE6 036</t>
    </r>
  </si>
  <si>
    <r>
      <rPr>
        <sz val="6.5"/>
        <rFont val="Arial"/>
      </rPr>
      <t xml:space="preserve">POCHETTE INTÉRIEURE FERMETURE ÉCLAIR O BAG MINI EN TISSU NYC À RAYURES BICOLORE JAUN
</t>
    </r>
    <r>
      <rPr>
        <b/>
        <sz val="7"/>
        <rFont val="Arial"/>
      </rPr>
      <t xml:space="preserve">Fabriqué e </t>
    </r>
    <r>
      <rPr>
        <sz val="6.5"/>
        <rFont val="Arial"/>
      </rPr>
      <t xml:space="preserve">CN - CINA </t>
    </r>
    <r>
      <rPr>
        <b/>
        <sz val="7"/>
        <rFont val="Arial"/>
      </rPr>
      <t>label</t>
    </r>
  </si>
  <si>
    <r>
      <rPr>
        <sz val="6.5"/>
        <rFont val="Arial"/>
      </rPr>
      <t>135 HLESMD00 ECS46 221</t>
    </r>
  </si>
  <si>
    <r>
      <rPr>
        <sz val="6.5"/>
        <rFont val="Arial"/>
      </rPr>
      <t xml:space="preserve">MICRO-ANSES TUBULAIRES COURTES EN FAUX CUIR LISSE COGNAC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</si>
  <si>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136 OCLKD001 MES88 347</t>
    </r>
  </si>
  <si>
    <r>
      <rPr>
        <sz val="6.5"/>
        <rFont val="Arial"/>
      </rPr>
      <t xml:space="preserve">O CLOCK MÉCANISME NYC JUNGLE CÈDRE
</t>
    </r>
    <r>
      <rPr>
        <b/>
        <sz val="7"/>
        <rFont val="Arial"/>
      </rPr>
      <t xml:space="preserve">Fabriqué e </t>
    </r>
    <r>
      <rPr>
        <sz val="6.5"/>
        <rFont val="Arial"/>
      </rPr>
      <t>CN - CINA</t>
    </r>
  </si>
  <si>
    <r>
      <rPr>
        <sz val="6.5"/>
        <rFont val="Arial"/>
      </rPr>
      <t>137 OBAGP106 ECS55 479</t>
    </r>
  </si>
  <si>
    <r>
      <rPr>
        <sz val="6.5"/>
        <rFont val="Arial"/>
      </rPr>
      <t xml:space="preserve">RABAT AVEC BANDEAU O POCKET EN FAUX CUIR BASIC + FLEURS PVC SKYWAY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</si>
  <si>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138 OBAGB002 EVS00 071</t>
    </r>
  </si>
  <si>
    <r>
      <rPr>
        <sz val="6.5"/>
        <rFont val="Arial"/>
      </rPr>
      <t xml:space="preserve">CORPS O BAG MINI EVA COMPOUND TAUPE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</si>
  <si>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139 SHOUWA00 ECS51 371</t>
    </r>
  </si>
  <si>
    <r>
      <rPr>
        <sz val="6.5"/>
        <rFont val="Arial"/>
      </rPr>
      <t xml:space="preserve">BANDOULIÈRE COURTE NEW GOUTTE TROUÉE EN FAUX CUIR CLOUS PYRAMIDES LATTE </t>
    </r>
    <r>
      <rPr>
        <b/>
        <sz val="7"/>
        <rFont val="Arial"/>
      </rPr>
      <t xml:space="preserve">Fabriqué e </t>
    </r>
    <r>
      <rPr>
        <sz val="6.5"/>
        <rFont val="Arial"/>
      </rPr>
      <t>CN - CINA</t>
    </r>
  </si>
  <si>
    <r>
      <rPr>
        <sz val="6.5"/>
        <rFont val="Arial"/>
      </rPr>
      <t xml:space="preserve">Pag </t>
    </r>
    <r>
      <rPr>
        <sz val="6.5"/>
        <rFont val="Arial"/>
      </rPr>
      <t>1 1</t>
    </r>
    <r>
      <rPr>
        <b/>
        <sz val="7"/>
        <rFont val="Arial"/>
      </rPr>
      <t>2</t>
    </r>
  </si>
  <si>
    <r>
      <rPr>
        <b/>
        <sz val="7"/>
        <rFont val="Arial"/>
      </rPr>
      <t xml:space="preserve">Document </t>
    </r>
    <r>
      <rPr>
        <sz val="6.5"/>
        <rFont val="Arial"/>
      </rPr>
      <t xml:space="preserve">MAGD01/2018/02/1926 </t>
    </r>
    <r>
      <rPr>
        <b/>
        <sz val="7"/>
        <rFont val="Arial"/>
      </rPr>
      <t xml:space="preserve">Date doc. </t>
    </r>
    <r>
      <rPr>
        <sz val="6.5"/>
        <rFont val="Arial"/>
      </rPr>
      <t>12/02/2018</t>
    </r>
  </si>
  <si>
    <r>
      <rPr>
        <b/>
        <sz val="7"/>
        <rFont val="Arial"/>
      </rPr>
      <t xml:space="preserve">Client dest. </t>
    </r>
    <r>
      <rPr>
        <sz val="6.5"/>
        <rFont val="Arial"/>
      </rPr>
      <t>002488</t>
    </r>
  </si>
  <si>
    <r>
      <rPr>
        <sz val="6.5"/>
        <rFont val="Arial"/>
      </rPr>
      <t>140 OHUGB002 EVS06 347</t>
    </r>
  </si>
  <si>
    <r>
      <rPr>
        <sz val="6.5"/>
        <rFont val="Arial"/>
      </rPr>
      <t xml:space="preserve">O HUG CORPS PORTEFEUILLE FEMME EVA COMPOUND TEXTURE GRECQUE CÈDRE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</si>
  <si>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141 OBAGS001 TESF9 254</t>
    </r>
  </si>
  <si>
    <r>
      <rPr>
        <sz val="6.5"/>
        <rFont val="Arial"/>
      </rPr>
      <t xml:space="preserve">POCHETTE INTÉRIEURE FERMETURE ÉCLAIR O BAG EN TISSU DEAUVILLE À RAYURES NUANCÉES BL
</t>
    </r>
    <r>
      <rPr>
        <b/>
        <sz val="7"/>
        <rFont val="Arial"/>
      </rPr>
      <t xml:space="preserve">Fabriqué e </t>
    </r>
    <r>
      <rPr>
        <sz val="6.5"/>
        <rFont val="Arial"/>
      </rPr>
      <t xml:space="preserve">CN - CINA </t>
    </r>
    <r>
      <rPr>
        <b/>
        <sz val="7"/>
        <rFont val="Arial"/>
      </rPr>
      <t>label</t>
    </r>
  </si>
  <si>
    <r>
      <rPr>
        <sz val="6.5"/>
        <rFont val="Arial"/>
      </rPr>
      <t>142 OBAGP006 ECS54 130</t>
    </r>
  </si>
  <si>
    <r>
      <rPr>
        <sz val="6.5"/>
        <rFont val="Arial"/>
      </rPr>
      <t xml:space="preserve">RABAT O POCKET EN FAUX CUIR CLOUS ÉMAILLÉS BLEU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</si>
  <si>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143 HLESMD00 ECS46 017</t>
    </r>
  </si>
  <si>
    <r>
      <rPr>
        <sz val="6.5"/>
        <rFont val="Arial"/>
      </rPr>
      <t xml:space="preserve">MICRO-ANSES TUBULAIRES COURTES EN FAUX CUIR LISSE NAVY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</si>
  <si>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144 HLESMD00 ECS46 483</t>
    </r>
  </si>
  <si>
    <r>
      <rPr>
        <sz val="6.5"/>
        <rFont val="Arial"/>
      </rPr>
      <t xml:space="preserve">MICRO-ANSES TUBULAIRES COURTES EN FAUX CUIR LISSE CHAMPAGNE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</si>
  <si>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145 OBAGB002 EVS00 075</t>
    </r>
  </si>
  <si>
    <r>
      <rPr>
        <sz val="6.5"/>
        <rFont val="Arial"/>
      </rPr>
      <t xml:space="preserve">CORPS O BAG MINI EVA COMPOUND ROSE SMOKE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</si>
  <si>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146 OBAGT001 TESE3 227</t>
    </r>
  </si>
  <si>
    <r>
      <rPr>
        <sz val="6.5"/>
        <rFont val="Arial"/>
      </rPr>
      <t xml:space="preserve">REVERS O BAG EN TISSU NYC VICHY BLANC/NOIR
</t>
    </r>
    <r>
      <rPr>
        <b/>
        <sz val="7"/>
        <rFont val="Arial"/>
      </rPr>
      <t xml:space="preserve">Fabriqué e </t>
    </r>
    <r>
      <rPr>
        <sz val="6.5"/>
        <rFont val="Arial"/>
      </rPr>
      <t>CN - CINA</t>
    </r>
  </si>
  <si>
    <r>
      <rPr>
        <sz val="6.5"/>
        <rFont val="Arial"/>
      </rPr>
      <t>147 OBAGB426 TESG6 408</t>
    </r>
  </si>
  <si>
    <r>
      <rPr>
        <sz val="6.5"/>
        <rFont val="Arial"/>
      </rPr>
      <t xml:space="preserve">CORPS COMPLET O BAG TOTE EN NYLON À RAYURES BLEU/BLANC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</si>
  <si>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148 OCLKD001 MES87 055</t>
    </r>
  </si>
  <si>
    <r>
      <rPr>
        <sz val="6.5"/>
        <rFont val="Arial"/>
      </rPr>
      <t xml:space="preserve">O CLOCK MÉCANISME NYC FLOWER NOIR
</t>
    </r>
    <r>
      <rPr>
        <b/>
        <sz val="7"/>
        <rFont val="Arial"/>
      </rPr>
      <t xml:space="preserve">Fabriqué e </t>
    </r>
    <r>
      <rPr>
        <sz val="6.5"/>
        <rFont val="Arial"/>
      </rPr>
      <t>CN - CINA</t>
    </r>
  </si>
  <si>
    <r>
      <rPr>
        <sz val="6.5"/>
        <rFont val="Arial"/>
      </rPr>
      <t>149 OBAGB019 EVS00 347</t>
    </r>
  </si>
  <si>
    <r>
      <rPr>
        <sz val="6.5"/>
        <rFont val="Arial"/>
      </rPr>
      <t xml:space="preserve">CORPS O SQUARE EVA COMPOUND CÈDRE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</si>
  <si>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150 SHOUWA00 ECS54 075</t>
    </r>
  </si>
  <si>
    <r>
      <rPr>
        <sz val="6.5"/>
        <rFont val="Arial"/>
      </rPr>
      <t xml:space="preserve">BANDOULIÈRE COURTE NEW GOUTTE TROUÉE EN FAUX CUIR CLOUS ÉMAILLÉS ROSE SMOKE
</t>
    </r>
    <r>
      <rPr>
        <b/>
        <sz val="7"/>
        <rFont val="Arial"/>
      </rPr>
      <t xml:space="preserve">Fabriqué e </t>
    </r>
    <r>
      <rPr>
        <sz val="6.5"/>
        <rFont val="Arial"/>
      </rPr>
      <t xml:space="preserve">IT - ITALIA </t>
    </r>
    <r>
      <rPr>
        <b/>
        <sz val="7"/>
        <rFont val="Arial"/>
      </rPr>
      <t>label</t>
    </r>
  </si>
  <si>
    <r>
      <rPr>
        <sz val="6.5"/>
        <rFont val="Arial"/>
      </rPr>
      <t>151 OBAGB021 EVS03 055</t>
    </r>
  </si>
  <si>
    <r>
      <rPr>
        <sz val="6.5"/>
        <rFont val="Arial"/>
      </rPr>
      <t xml:space="preserve">CORPS O SWING EVA COMPOUND EFFET OSIER NOIR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</si>
  <si>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152 HLESAD00 ECS00 036</t>
    </r>
  </si>
  <si>
    <r>
      <rPr>
        <sz val="6.5"/>
        <rFont val="Arial"/>
      </rPr>
      <t>8 PZ</t>
    </r>
  </si>
  <si>
    <r>
      <rPr>
        <sz val="6.5"/>
        <rFont val="Arial"/>
      </rPr>
      <t xml:space="preserve">ANSES TUBULAIRES EN FAUX CUIR JAUNE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</si>
  <si>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 xml:space="preserve">Pag </t>
    </r>
    <r>
      <rPr>
        <sz val="6.5"/>
        <rFont val="Arial"/>
      </rPr>
      <t>1 1</t>
    </r>
    <r>
      <rPr>
        <b/>
        <sz val="7"/>
        <rFont val="Arial"/>
      </rPr>
      <t>3</t>
    </r>
  </si>
  <si>
    <r>
      <rPr>
        <sz val="6.5"/>
        <rFont val="Arial"/>
      </rPr>
      <t>153 OBAGB002 EVS00 076</t>
    </r>
  </si>
  <si>
    <r>
      <rPr>
        <sz val="6.5"/>
        <rFont val="Arial"/>
      </rPr>
      <t xml:space="preserve">CORPS O BAG MINI EVA COMPOUND ROUGE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</si>
  <si>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154 OBAGPA24 TESF6 474</t>
    </r>
  </si>
  <si>
    <r>
      <rPr>
        <sz val="6.5"/>
        <rFont val="Arial"/>
      </rPr>
      <t xml:space="preserve">RABAT TOURNIQUET O POCKET EN MICRO TISSU LUXURY STRIPES BLANC/BLUETTE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</si>
  <si>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155 HLESGC00 ECS54 215</t>
    </r>
  </si>
  <si>
    <r>
      <rPr>
        <sz val="6.5"/>
        <rFont val="Arial"/>
      </rPr>
      <t xml:space="preserve">ANSES COURTES EN FAUX CUIR CLOUS ÉMAILLÉS CRÈME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</si>
  <si>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156 OBAGP106 ECS52 055</t>
    </r>
  </si>
  <si>
    <r>
      <rPr>
        <sz val="6.5"/>
        <rFont val="Arial"/>
      </rPr>
      <t xml:space="preserve">RABAT AVEC BANDEAU O POCKET EN FAUX CUIR RUBAN LIVRE BICOLORE NOIR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</si>
  <si>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157 OBAGB001 EVS00 484</t>
    </r>
  </si>
  <si>
    <r>
      <rPr>
        <sz val="6.5"/>
        <rFont val="Arial"/>
      </rPr>
      <t xml:space="preserve">CORPS O BAG EVA COMPOUND CORAIL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</si>
  <si>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158 OCLKE013 MAS00 060</t>
    </r>
  </si>
  <si>
    <r>
      <rPr>
        <sz val="6.5"/>
        <rFont val="Arial"/>
      </rPr>
      <t>159 OHUGB002 EVS06 075</t>
    </r>
  </si>
  <si>
    <r>
      <rPr>
        <sz val="6.5"/>
        <rFont val="Arial"/>
      </rPr>
      <t xml:space="preserve">O HUG CORPS PORTEFEUILLE FEMME EVA COMPOUND TEXTURE GRECQUE ROSE SMOKE 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</si>
  <si>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160 HLESZ817 TESI4 241</t>
    </r>
  </si>
  <si>
    <r>
      <rPr>
        <sz val="6.5"/>
        <rFont val="Arial"/>
      </rPr>
      <t xml:space="preserve">ANSES SPORTY + BRETELLE O SQUARE TISSU RUBAN MARINA BICOLORE NAVY - ROUGE 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</si>
  <si>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161 OBAGT002 TESE3 227</t>
    </r>
  </si>
  <si>
    <r>
      <rPr>
        <sz val="6.5"/>
        <rFont val="Arial"/>
      </rPr>
      <t xml:space="preserve">REVERS O BAG MINI EN TISSU NYC VICHY BLANC/NOIR
</t>
    </r>
    <r>
      <rPr>
        <b/>
        <sz val="7"/>
        <rFont val="Arial"/>
      </rPr>
      <t xml:space="preserve">Fabriqué e </t>
    </r>
    <r>
      <rPr>
        <sz val="6.5"/>
        <rFont val="Arial"/>
      </rPr>
      <t>CN - CINA</t>
    </r>
  </si>
  <si>
    <r>
      <rPr>
        <sz val="6.5"/>
        <rFont val="Arial"/>
      </rPr>
      <t>162 SHOUC317 ECS00 054</t>
    </r>
  </si>
  <si>
    <r>
      <rPr>
        <sz val="6.5"/>
        <rFont val="Arial"/>
      </rPr>
      <t xml:space="preserve">LONGUE BANDOULIÈRE CHAÎNE CLIP O MOON EN FAUX CUIR NUDE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</si>
  <si>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163 ACCEP014 ECS35 076</t>
    </r>
  </si>
  <si>
    <r>
      <rPr>
        <sz val="6.5"/>
        <rFont val="Arial"/>
      </rPr>
      <t xml:space="preserve">ACCESSOIRES POCHETTE FILET EN FAUX CUIR BASIC ROUGE
</t>
    </r>
    <r>
      <rPr>
        <b/>
        <sz val="7"/>
        <rFont val="Arial"/>
      </rPr>
      <t xml:space="preserve">Fabriqué e </t>
    </r>
    <r>
      <rPr>
        <sz val="6.5"/>
        <rFont val="Arial"/>
      </rPr>
      <t>CN - CINA</t>
    </r>
  </si>
  <si>
    <r>
      <rPr>
        <sz val="6.5"/>
        <rFont val="Arial"/>
      </rPr>
      <t>164 OCLKD101 MES85 130</t>
    </r>
  </si>
  <si>
    <r>
      <rPr>
        <sz val="6.5"/>
        <rFont val="Arial"/>
      </rPr>
      <t xml:space="preserve">MÉCANISME GREAT URBAN DECOR DIAMONDS BLEU
</t>
    </r>
    <r>
      <rPr>
        <b/>
        <sz val="7"/>
        <rFont val="Arial"/>
      </rPr>
      <t xml:space="preserve">Fabriqué e </t>
    </r>
    <r>
      <rPr>
        <sz val="6.5"/>
        <rFont val="Arial"/>
      </rPr>
      <t>CN - CINA</t>
    </r>
  </si>
  <si>
    <r>
      <rPr>
        <sz val="6.5"/>
        <rFont val="Arial"/>
      </rPr>
      <t>165 OBAGB206 EVS00 347</t>
    </r>
  </si>
  <si>
    <r>
      <rPr>
        <sz val="6.5"/>
        <rFont val="Arial"/>
      </rPr>
      <t xml:space="preserve">CORPS INFÉRIEUR O POCKET EVA COMPOUND CÈDRE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</si>
  <si>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 xml:space="preserve">Pag </t>
    </r>
    <r>
      <rPr>
        <sz val="6.5"/>
        <rFont val="Arial"/>
      </rPr>
      <t>1 1</t>
    </r>
    <r>
      <rPr>
        <b/>
        <sz val="7"/>
        <rFont val="Arial"/>
      </rPr>
      <t>4</t>
    </r>
  </si>
  <si>
    <r>
      <rPr>
        <sz val="6.5"/>
        <rFont val="Arial"/>
      </rPr>
      <t>166 OBAGA000 ECS42 017</t>
    </r>
  </si>
  <si>
    <r>
      <rPr>
        <sz val="6.5"/>
        <rFont val="Arial"/>
      </rPr>
      <t xml:space="preserve">ACCESSOIRE CLIP EN FAUX CUIR OPAQUE + ARGENT NAVY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</si>
  <si>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167 OBAGS001 TESG2 130</t>
    </r>
  </si>
  <si>
    <r>
      <rPr>
        <sz val="6.5"/>
        <rFont val="Arial"/>
      </rPr>
      <t xml:space="preserve">POCHETTE INTÉRIEURE FERMETURE ÉCLAIR O BAG EN TISSU CANVAS + RUBAN BLEU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</si>
  <si>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168 OBAGS002 TES01 130</t>
    </r>
  </si>
  <si>
    <r>
      <rPr>
        <sz val="6.5"/>
        <rFont val="Arial"/>
      </rPr>
      <t xml:space="preserve">POCHETTE INTÉRIEURE FERMETURE ÉCLAIR O BAG MINI EN TISSU CANVAS BLEU 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</si>
  <si>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169 OBAGS016 TES26 008</t>
    </r>
  </si>
  <si>
    <r>
      <rPr>
        <sz val="6.5"/>
        <rFont val="Arial"/>
      </rPr>
      <t xml:space="preserve">POCHETTE INTÉRIEURE FERMETURE ÉCLAIR O MOON EN TISSU CORDURA BLANC 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</si>
  <si>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170 SHOUGH00 TESI3 472</t>
    </r>
  </si>
  <si>
    <r>
      <rPr>
        <sz val="6.5"/>
        <rFont val="Arial"/>
      </rPr>
      <t xml:space="preserve">BANDOULIÈRE 80/120 + GOUTTE TROUÉE TISSU RUBAN TECHNIQUE GRIS ANTHRACITE/ROUGE 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</si>
  <si>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171 OBAGPA24 TESF4 473</t>
    </r>
  </si>
  <si>
    <r>
      <rPr>
        <sz val="6.5"/>
        <rFont val="Arial"/>
      </rPr>
      <t xml:space="preserve">RABAT TOURNIQUET O POCKET EN MICRO TISSU LUXURY CÔTELÉ BLUETTE/BLEU 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</si>
  <si>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172 OCLKSB01 INS00 059</t>
    </r>
  </si>
  <si>
    <r>
      <rPr>
        <sz val="6.5"/>
        <rFont val="Arial"/>
      </rPr>
      <t xml:space="preserve">O CLOCK SHIFT BRACELET BAND EN MATÉRIAU INJECTÉ OCÉAN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</si>
  <si>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173 OBAGS002 TESG9 125</t>
    </r>
  </si>
  <si>
    <r>
      <rPr>
        <sz val="6.5"/>
        <rFont val="Arial"/>
      </rPr>
      <t xml:space="preserve">POCHETTE INTÉRIEURE FERMETURE ÉCLAIR O BAG MINI EN TISSU FANTAISIE COQUELICOTS SUR R
</t>
    </r>
    <r>
      <rPr>
        <b/>
        <sz val="7"/>
        <rFont val="Arial"/>
      </rPr>
      <t xml:space="preserve">Fabriqué e </t>
    </r>
    <r>
      <rPr>
        <sz val="6.5"/>
        <rFont val="Arial"/>
      </rPr>
      <t xml:space="preserve">IT - ITALIA </t>
    </r>
    <r>
      <rPr>
        <b/>
        <sz val="7"/>
        <rFont val="Arial"/>
      </rPr>
      <t>label</t>
    </r>
  </si>
  <si>
    <r>
      <rPr>
        <sz val="6.5"/>
        <rFont val="Arial"/>
      </rPr>
      <t>174 OBAGP006 TESF8 480</t>
    </r>
  </si>
  <si>
    <r>
      <rPr>
        <sz val="6.5"/>
        <rFont val="Arial"/>
      </rPr>
      <t xml:space="preserve">RABAT O POCKET EN TISSU DEAUVILLE À RAYURES LARGES NAVY/CRÈME
</t>
    </r>
    <r>
      <rPr>
        <b/>
        <sz val="7"/>
        <rFont val="Arial"/>
      </rPr>
      <t xml:space="preserve">Fabriqué e </t>
    </r>
    <r>
      <rPr>
        <sz val="6.5"/>
        <rFont val="Arial"/>
      </rPr>
      <t>CN - CINA</t>
    </r>
  </si>
  <si>
    <r>
      <rPr>
        <sz val="6.5"/>
        <rFont val="Arial"/>
      </rPr>
      <t>175 OBAGB009 EVS00 422</t>
    </r>
  </si>
  <si>
    <r>
      <rPr>
        <sz val="6.5"/>
        <rFont val="Arial"/>
      </rPr>
      <t xml:space="preserve">CORPS O BAG 50 EVA COMPOUND SANGRIA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</si>
  <si>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176 OBAGB017 EVS00 371</t>
    </r>
  </si>
  <si>
    <r>
      <rPr>
        <sz val="6.5"/>
        <rFont val="Arial"/>
      </rPr>
      <t xml:space="preserve">CORPS O MOON LIGHT EVA COMPOUND LATTE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</si>
  <si>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177 OBAGB016 EVS19 479</t>
    </r>
  </si>
  <si>
    <r>
      <rPr>
        <sz val="6.5"/>
        <rFont val="Arial"/>
      </rPr>
      <t xml:space="preserve">CORPS O MOON EVA COMPOUND TEXTURE URBAN FRAME SKYWAY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</si>
  <si>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178 SHOUCF00 ECS35 008</t>
    </r>
  </si>
  <si>
    <r>
      <rPr>
        <sz val="6.5"/>
        <rFont val="Arial"/>
      </rPr>
      <t xml:space="preserve">BANDOULIÈRE AVEC TRESSAGE + CLIP EN FAUX CUIR BASIC BLANC
</t>
    </r>
    <r>
      <rPr>
        <b/>
        <sz val="7"/>
        <rFont val="Arial"/>
      </rPr>
      <t xml:space="preserve">Fabriqué e </t>
    </r>
    <r>
      <rPr>
        <sz val="6.5"/>
        <rFont val="Arial"/>
      </rPr>
      <t>CN - CINA</t>
    </r>
  </si>
  <si>
    <r>
      <rPr>
        <sz val="6.5"/>
        <rFont val="Arial"/>
      </rPr>
      <t xml:space="preserve">Pag </t>
    </r>
    <r>
      <rPr>
        <sz val="6.5"/>
        <rFont val="Arial"/>
      </rPr>
      <t>1 1</t>
    </r>
    <r>
      <rPr>
        <b/>
        <sz val="7"/>
        <rFont val="Arial"/>
      </rPr>
      <t>5</t>
    </r>
  </si>
  <si>
    <r>
      <rPr>
        <sz val="6.5"/>
        <rFont val="Arial"/>
      </rPr>
      <t>179 OBAGB001 EVS17 347 3 PZ</t>
    </r>
  </si>
  <si>
    <r>
      <rPr>
        <sz val="6.5"/>
        <rFont val="Arial"/>
      </rPr>
      <t xml:space="preserve">CORPS O BAG EVA COMPOUND + CLOUS PYRAMIDES CÈDRE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</si>
  <si>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180 OBAGB426 TESF7 475</t>
    </r>
  </si>
  <si>
    <r>
      <rPr>
        <sz val="6.5"/>
        <rFont val="Arial"/>
      </rPr>
      <t xml:space="preserve">CORPS COMPLET O BAG TOTE EN TISSU DEAUVILLE À RAYURES EFFET FLAMMÉ BLANC/ROUGE/BLEU
</t>
    </r>
    <r>
      <rPr>
        <b/>
        <sz val="7"/>
        <rFont val="Arial"/>
      </rPr>
      <t xml:space="preserve">Fabriqué e </t>
    </r>
    <r>
      <rPr>
        <sz val="6.5"/>
        <rFont val="Arial"/>
      </rPr>
      <t xml:space="preserve">IT - ITALIA </t>
    </r>
    <r>
      <rPr>
        <b/>
        <sz val="7"/>
        <rFont val="Arial"/>
      </rPr>
      <t>label</t>
    </r>
  </si>
  <si>
    <r>
      <rPr>
        <sz val="6.5"/>
        <rFont val="Arial"/>
      </rPr>
      <t>181 HLESD000 ECS35 055</t>
    </r>
  </si>
  <si>
    <r>
      <rPr>
        <sz val="6.5"/>
        <rFont val="Arial"/>
      </rPr>
      <t xml:space="preserve">ANSES LONGUES ADAPTABLES EN FAUX CUIR BASIC NOIR
</t>
    </r>
    <r>
      <rPr>
        <b/>
        <sz val="7"/>
        <rFont val="Arial"/>
      </rPr>
      <t xml:space="preserve">Fabriqué e </t>
    </r>
    <r>
      <rPr>
        <sz val="6.5"/>
        <rFont val="Arial"/>
      </rPr>
      <t>CN - CINA</t>
    </r>
  </si>
  <si>
    <r>
      <rPr>
        <sz val="6.5"/>
        <rFont val="Arial"/>
      </rPr>
      <t>182 ACCEC002 ECS65 422</t>
    </r>
  </si>
  <si>
    <r>
      <rPr>
        <sz val="6.5"/>
        <rFont val="Arial"/>
      </rPr>
      <t xml:space="preserve">ACCESSOIRES CHARMS POMPON EN FAUX CUIR PLEX + CLOUS SANGRIA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</si>
  <si>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183 OBAGB018 EVS03 017</t>
    </r>
  </si>
  <si>
    <r>
      <rPr>
        <sz val="6.5"/>
        <rFont val="Arial"/>
      </rPr>
      <t xml:space="preserve">CORPS O BAG BEACH MINI EVA COMPOUND EFFET OSIER NAVY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</si>
  <si>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184 OBAGB002 EVS00 371</t>
    </r>
  </si>
  <si>
    <r>
      <rPr>
        <sz val="6.5"/>
        <rFont val="Arial"/>
      </rPr>
      <t xml:space="preserve">CORPS O BAG MINI EVA COMPOUND LATTE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</si>
  <si>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185 HLESZ817 TESH8 036</t>
    </r>
  </si>
  <si>
    <r>
      <rPr>
        <sz val="6.5"/>
        <rFont val="Arial"/>
      </rPr>
      <t xml:space="preserve">ANSES + BRETELLE COURTE GOUTTE O SQUARE EN TISSU CAOUTCHOUTÉ RUBAN À RAYURES TECH
</t>
    </r>
    <r>
      <rPr>
        <b/>
        <sz val="7"/>
        <rFont val="Arial"/>
      </rPr>
      <t xml:space="preserve">Fabriqué e </t>
    </r>
    <r>
      <rPr>
        <sz val="6.5"/>
        <rFont val="Arial"/>
      </rPr>
      <t xml:space="preserve">IT - ITALIA </t>
    </r>
    <r>
      <rPr>
        <b/>
        <sz val="7"/>
        <rFont val="Arial"/>
      </rPr>
      <t>label</t>
    </r>
  </si>
  <si>
    <r>
      <rPr>
        <sz val="6.5"/>
        <rFont val="Arial"/>
      </rPr>
      <t>186 OBAGB016 EVS00 479</t>
    </r>
  </si>
  <si>
    <r>
      <rPr>
        <sz val="6.5"/>
        <rFont val="Arial"/>
      </rPr>
      <t xml:space="preserve">CORPS O MOON EVA COMPOUND SKYWAY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</si>
  <si>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187 OBAGP006 ECS54 072</t>
    </r>
  </si>
  <si>
    <r>
      <rPr>
        <sz val="6.5"/>
        <rFont val="Arial"/>
      </rPr>
      <t xml:space="preserve">RABAT O POCKET EN FAUX CUIR CLOUS ÉMAILLÉS ROSE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</si>
  <si>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188 OBAGS001 TESE5 076</t>
    </r>
  </si>
  <si>
    <r>
      <rPr>
        <sz val="6.5"/>
        <rFont val="Arial"/>
      </rPr>
      <t xml:space="preserve">POCHETTE INTÉRIEURE FERMETURE ÉCLAIR O BAG EN TISSU NYC LOSANGES ROUGE </t>
    </r>
    <r>
      <rPr>
        <b/>
        <sz val="7"/>
        <rFont val="Arial"/>
      </rPr>
      <t xml:space="preserve">Fabriqué e </t>
    </r>
    <r>
      <rPr>
        <sz val="6.5"/>
        <rFont val="Arial"/>
      </rPr>
      <t>CN - CINA</t>
    </r>
  </si>
  <si>
    <r>
      <rPr>
        <sz val="6.5"/>
        <rFont val="Arial"/>
      </rPr>
      <t>189 OBAGS001 TESE6 076</t>
    </r>
  </si>
  <si>
    <r>
      <rPr>
        <sz val="6.5"/>
        <rFont val="Arial"/>
      </rPr>
      <t xml:space="preserve">POCHETTE INTÉRIEURE FERMETURE ÉCLAIR O BAG EN TISSU NYC À RAYURES BICOLORE ROUGE
</t>
    </r>
    <r>
      <rPr>
        <b/>
        <sz val="7"/>
        <rFont val="Arial"/>
      </rPr>
      <t xml:space="preserve">Fabriqué e </t>
    </r>
    <r>
      <rPr>
        <sz val="6.5"/>
        <rFont val="Arial"/>
      </rPr>
      <t xml:space="preserve">CN - CINA </t>
    </r>
    <r>
      <rPr>
        <b/>
        <sz val="7"/>
        <rFont val="Arial"/>
      </rPr>
      <t>label</t>
    </r>
  </si>
  <si>
    <r>
      <rPr>
        <sz val="6.5"/>
        <rFont val="Arial"/>
      </rPr>
      <t>190 OBAGS001 TESG2 017</t>
    </r>
  </si>
  <si>
    <r>
      <rPr>
        <sz val="6.5"/>
        <rFont val="Arial"/>
      </rPr>
      <t xml:space="preserve">POCHETTE INTÉRIEURE FERMETURE ÉCLAIR O BAG EN TISSU CANVAS + RUBAN NAVY 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</si>
  <si>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191 OBAGB010 EVS00 479</t>
    </r>
  </si>
  <si>
    <r>
      <rPr>
        <sz val="6.5"/>
        <rFont val="Arial"/>
      </rPr>
      <t xml:space="preserve">CORPS O CITY EVA COMPOUND SKYWAY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</si>
  <si>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 xml:space="preserve">Pag </t>
    </r>
    <r>
      <rPr>
        <sz val="6.5"/>
        <rFont val="Arial"/>
      </rPr>
      <t>1 1</t>
    </r>
    <r>
      <rPr>
        <b/>
        <sz val="7"/>
        <rFont val="Arial"/>
      </rPr>
      <t>6</t>
    </r>
  </si>
  <si>
    <r>
      <rPr>
        <sz val="6.5"/>
        <rFont val="Arial"/>
      </rPr>
      <t>192 OBAGS018 TES26 008</t>
    </r>
  </si>
  <si>
    <r>
      <rPr>
        <sz val="6.5"/>
        <rFont val="Arial"/>
      </rPr>
      <t xml:space="preserve">POCHETTE INTÉRIEURE FERMETURE ÉCLAIR O BAG BEACH MINI EN TISSU CORDURA BLANC 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</si>
  <si>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193 OBAGB024 EVS00 347</t>
    </r>
  </si>
  <si>
    <r>
      <rPr>
        <sz val="6.5"/>
        <rFont val="Arial"/>
      </rPr>
      <t xml:space="preserve">CORPS O POCKET MICRO EVA COMPOUND CÈDRE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</si>
  <si>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194 HLESD000 ECS35 026</t>
    </r>
  </si>
  <si>
    <r>
      <rPr>
        <sz val="6.5"/>
        <rFont val="Arial"/>
      </rPr>
      <t xml:space="preserve">ANSES LONGUES ADAPTABLES EN FAUX CUIR BASIC BLEU COBALT
</t>
    </r>
    <r>
      <rPr>
        <b/>
        <sz val="7"/>
        <rFont val="Arial"/>
      </rPr>
      <t xml:space="preserve">Fabriqué e </t>
    </r>
    <r>
      <rPr>
        <sz val="6.5"/>
        <rFont val="Arial"/>
      </rPr>
      <t>CN - CINA</t>
    </r>
  </si>
  <si>
    <r>
      <rPr>
        <sz val="6.5"/>
        <rFont val="Arial"/>
      </rPr>
      <t>195 OBAGS121 TES01 055</t>
    </r>
  </si>
  <si>
    <r>
      <rPr>
        <sz val="6.5"/>
        <rFont val="Arial"/>
      </rPr>
      <t xml:space="preserve">POCHETTE INTÉRIEURE À COULISSE O SWING EN TISSU CANVAS NOIR
</t>
    </r>
    <r>
      <rPr>
        <b/>
        <sz val="7"/>
        <rFont val="Arial"/>
      </rPr>
      <t xml:space="preserve">Fabriqué e </t>
    </r>
    <r>
      <rPr>
        <sz val="6.5"/>
        <rFont val="Arial"/>
      </rPr>
      <t>CN - CINA</t>
    </r>
  </si>
  <si>
    <r>
      <rPr>
        <sz val="6.5"/>
        <rFont val="Arial"/>
      </rPr>
      <t>196 OBAGB001 EVS00 486</t>
    </r>
  </si>
  <si>
    <r>
      <rPr>
        <sz val="6.5"/>
        <rFont val="Arial"/>
      </rPr>
      <t xml:space="preserve">CORPS O BAG EVA COMPOUND PINK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</si>
  <si>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197 SHOUBG00 ECS35 075</t>
    </r>
  </si>
  <si>
    <r>
      <rPr>
        <sz val="6.5"/>
        <rFont val="Arial"/>
      </rPr>
      <t xml:space="preserve">BANDOULIÈRE /BRETELLE SLIM 140 EN FAUX CUIR BASIC ROSE SMOKE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</si>
  <si>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198 OBAGB010 EVS00 371</t>
    </r>
  </si>
  <si>
    <r>
      <rPr>
        <sz val="6.5"/>
        <rFont val="Arial"/>
      </rPr>
      <t xml:space="preserve">CORPS O CITY EVA COMPOUND LATTE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</si>
  <si>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199 OBAGP106 ECS55 075</t>
    </r>
  </si>
  <si>
    <r>
      <rPr>
        <sz val="6.5"/>
        <rFont val="Arial"/>
      </rPr>
      <t xml:space="preserve">RABAT AVEC BANDEAU O POCKET EN FAUX CUIR BASIC + FLEURS PVC ROSE SMOKE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</si>
  <si>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200 OBAGS001 TES01 076</t>
    </r>
  </si>
  <si>
    <r>
      <rPr>
        <sz val="6.5"/>
        <rFont val="Arial"/>
      </rPr>
      <t xml:space="preserve">POCHETTE INTÉRIEURE FERMETURE ÉCLAIR O BAG EN TISSU CANVAS ROUGE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</si>
  <si>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201 OBAGS016 TES01 026</t>
    </r>
  </si>
  <si>
    <r>
      <rPr>
        <sz val="6.5"/>
        <rFont val="Arial"/>
      </rPr>
      <t xml:space="preserve">POCHETTE INTÉRIEURE FERMETURE ÉCLAIR O MOON EN TISSU CANVAS BLEU COBALT </t>
    </r>
    <r>
      <rPr>
        <b/>
        <sz val="7"/>
        <rFont val="Arial"/>
      </rPr>
      <t xml:space="preserve">Fabriqué e </t>
    </r>
    <r>
      <rPr>
        <sz val="6.5"/>
        <rFont val="Arial"/>
      </rPr>
      <t>CN - CINA</t>
    </r>
  </si>
  <si>
    <r>
      <rPr>
        <sz val="6.5"/>
        <rFont val="Arial"/>
      </rPr>
      <t>202 ACCEC002 ECS03 075</t>
    </r>
  </si>
  <si>
    <r>
      <rPr>
        <sz val="6.5"/>
        <rFont val="Arial"/>
      </rPr>
      <t xml:space="preserve">ACCESSOIRES CHARMS POMPON EN FAUX CUIR SUÈDE ROSE SMOKE
</t>
    </r>
    <r>
      <rPr>
        <b/>
        <sz val="7"/>
        <rFont val="Arial"/>
      </rPr>
      <t xml:space="preserve">Fabriqué e </t>
    </r>
    <r>
      <rPr>
        <sz val="6.5"/>
        <rFont val="Arial"/>
      </rPr>
      <t>CN - CINA</t>
    </r>
  </si>
  <si>
    <r>
      <rPr>
        <sz val="6.5"/>
        <rFont val="Arial"/>
      </rPr>
      <t>203 ACCEP014 ECS35 036</t>
    </r>
  </si>
  <si>
    <r>
      <rPr>
        <sz val="6.5"/>
        <rFont val="Arial"/>
      </rPr>
      <t xml:space="preserve">ACCESSOIRES POCHETTE FILET EN FAUX CUIR BASIC JAUNE
</t>
    </r>
    <r>
      <rPr>
        <b/>
        <sz val="7"/>
        <rFont val="Arial"/>
      </rPr>
      <t xml:space="preserve">Fabriqué e </t>
    </r>
    <r>
      <rPr>
        <sz val="6.5"/>
        <rFont val="Arial"/>
      </rPr>
      <t>CN - CINA</t>
    </r>
  </si>
  <si>
    <r>
      <rPr>
        <sz val="6.5"/>
        <rFont val="Arial"/>
      </rPr>
      <t>204 OCLKSB01 INS00 008</t>
    </r>
  </si>
  <si>
    <r>
      <rPr>
        <sz val="6.5"/>
        <rFont val="Arial"/>
      </rPr>
      <t xml:space="preserve">O CLOCK SHIFT BRACELET BAND EN MATÉRIAU INJECTÉ BLANC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</si>
  <si>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7"/>
        <rFont val="Arial"/>
      </rPr>
      <t xml:space="preserve">Pag </t>
    </r>
    <r>
      <rPr>
        <sz val="7"/>
        <rFont val="Arial"/>
      </rPr>
      <t>1 1</t>
    </r>
    <r>
      <rPr>
        <b/>
        <sz val="7"/>
        <rFont val="Arial"/>
      </rPr>
      <t>7</t>
    </r>
  </si>
  <si>
    <r>
      <rPr>
        <sz val="7"/>
        <rFont val="Arial"/>
      </rPr>
      <t>205 OBAGT002 TESE8 227</t>
    </r>
  </si>
  <si>
    <r>
      <rPr>
        <sz val="7"/>
        <rFont val="Arial"/>
      </rPr>
      <t xml:space="preserve">REVERS O BAG MINI EN TISSU NYC FANTAISIE GÉOMÉTRIQUE BLANC/NOIR
</t>
    </r>
    <r>
      <rPr>
        <b/>
        <sz val="7"/>
        <rFont val="Arial"/>
      </rPr>
      <t xml:space="preserve">Fabriqué e </t>
    </r>
    <r>
      <rPr>
        <sz val="7"/>
        <rFont val="Arial"/>
      </rPr>
      <t>IT - ITALIA</t>
    </r>
  </si>
  <si>
    <r>
      <rPr>
        <sz val="7"/>
        <rFont val="Arial"/>
      </rPr>
      <t>206 OBAGS009 TES01 130</t>
    </r>
  </si>
  <si>
    <r>
      <rPr>
        <sz val="7"/>
        <rFont val="Arial"/>
      </rPr>
      <t xml:space="preserve">POCHETTE INTÉRIEURE FERMETURE ÉCLAIR O BAG 50 EN TISSU CANVAS BLEU
</t>
    </r>
    <r>
      <rPr>
        <b/>
        <sz val="7"/>
        <rFont val="Arial"/>
      </rPr>
      <t xml:space="preserve">Fabriqué e </t>
    </r>
    <r>
      <rPr>
        <sz val="7"/>
        <rFont val="Arial"/>
      </rPr>
      <t>IT - ITALIA</t>
    </r>
  </si>
  <si>
    <r>
      <rPr>
        <sz val="7"/>
        <rFont val="Arial"/>
      </rPr>
      <t>207 OBAGT001 TESH1 008</t>
    </r>
  </si>
  <si>
    <r>
      <rPr>
        <sz val="7"/>
        <rFont val="Arial"/>
      </rPr>
      <t xml:space="preserve">REVERS O BAG EN TISSU BOUCLÉ DÉCOR BLANC
</t>
    </r>
    <r>
      <rPr>
        <b/>
        <sz val="7"/>
        <rFont val="Arial"/>
      </rPr>
      <t xml:space="preserve">Fabriqué e </t>
    </r>
    <r>
      <rPr>
        <sz val="7"/>
        <rFont val="Arial"/>
      </rPr>
      <t>IT - ITALIA</t>
    </r>
  </si>
  <si>
    <r>
      <rPr>
        <sz val="7"/>
        <rFont val="Arial"/>
      </rPr>
      <t>208 HLESG000 ROS04 500</t>
    </r>
  </si>
  <si>
    <r>
      <rPr>
        <sz val="7"/>
        <rFont val="Arial"/>
      </rPr>
      <t xml:space="preserve">ANSES LONGUES EN CORDE TRICOLORE BLANC/BLUETTE/NAVY
</t>
    </r>
    <r>
      <rPr>
        <b/>
        <sz val="7"/>
        <rFont val="Arial"/>
      </rPr>
      <t xml:space="preserve">Fabriqué e </t>
    </r>
    <r>
      <rPr>
        <sz val="7"/>
        <rFont val="Arial"/>
      </rPr>
      <t>IT - ITALIA</t>
    </r>
  </si>
  <si>
    <r>
      <rPr>
        <sz val="7"/>
        <rFont val="Arial"/>
      </rPr>
      <t>209 HLESD000 ECS35 371</t>
    </r>
  </si>
  <si>
    <r>
      <rPr>
        <sz val="7"/>
        <rFont val="Arial"/>
      </rPr>
      <t xml:space="preserve">ANSES LONGUES ADAPTABLES EN FAUX CUIR BASIC LATTE
</t>
    </r>
    <r>
      <rPr>
        <b/>
        <sz val="7"/>
        <rFont val="Arial"/>
      </rPr>
      <t xml:space="preserve">Fabriqué e </t>
    </r>
    <r>
      <rPr>
        <sz val="7"/>
        <rFont val="Arial"/>
      </rPr>
      <t>CN - CINA</t>
    </r>
  </si>
  <si>
    <r>
      <rPr>
        <sz val="7"/>
        <rFont val="Arial"/>
      </rPr>
      <t>210 OBAGPA10 ECS35 076</t>
    </r>
  </si>
  <si>
    <r>
      <rPr>
        <sz val="7"/>
        <rFont val="Arial"/>
      </rPr>
      <t xml:space="preserve">RABAT TOURNIQUET O CITY EN FAUX CUIR BASIC ROUGE
</t>
    </r>
    <r>
      <rPr>
        <b/>
        <sz val="7"/>
        <rFont val="Arial"/>
      </rPr>
      <t xml:space="preserve">Fabriqué e </t>
    </r>
    <r>
      <rPr>
        <sz val="7"/>
        <rFont val="Arial"/>
      </rPr>
      <t>IT - ITALIA</t>
    </r>
  </si>
  <si>
    <r>
      <rPr>
        <sz val="7"/>
        <rFont val="Arial"/>
      </rPr>
      <t>211 OBAGS016 TESF8 480</t>
    </r>
  </si>
  <si>
    <r>
      <rPr>
        <sz val="7"/>
        <rFont val="Arial"/>
      </rPr>
      <t xml:space="preserve">POCHETTE INTÉRIEURE FERMETURE ÉCLAIR O MOON EN TISSU DEAUVILLE À RAYURES LARGES NA
</t>
    </r>
    <r>
      <rPr>
        <b/>
        <sz val="7"/>
        <rFont val="Arial"/>
      </rPr>
      <t xml:space="preserve">Fabriqué e </t>
    </r>
    <r>
      <rPr>
        <sz val="7"/>
        <rFont val="Arial"/>
      </rPr>
      <t xml:space="preserve">CN - CINA </t>
    </r>
    <r>
      <rPr>
        <b/>
        <sz val="7"/>
        <rFont val="Arial"/>
      </rPr>
      <t>label</t>
    </r>
  </si>
  <si>
    <r>
      <rPr>
        <sz val="7"/>
        <rFont val="Arial"/>
      </rPr>
      <t>212 OBAGB019 EVS00 026</t>
    </r>
  </si>
  <si>
    <r>
      <rPr>
        <sz val="7"/>
        <rFont val="Arial"/>
      </rPr>
      <t xml:space="preserve">CORPS O SQUARE EVA COMPOUND BLEU COBALT
</t>
    </r>
    <r>
      <rPr>
        <b/>
        <sz val="7"/>
        <rFont val="Arial"/>
      </rPr>
      <t xml:space="preserve">Fabriqué e </t>
    </r>
    <r>
      <rPr>
        <sz val="7"/>
        <rFont val="Arial"/>
      </rPr>
      <t>IT - ITALIA</t>
    </r>
  </si>
  <si>
    <r>
      <rPr>
        <sz val="7"/>
        <rFont val="Arial"/>
      </rPr>
      <t>213 OBAGS102 TESG6 408</t>
    </r>
  </si>
  <si>
    <r>
      <rPr>
        <sz val="7"/>
        <rFont val="Arial"/>
      </rPr>
      <t xml:space="preserve">POCHETTE INTÉRIEURE À COULISSE O BAG MINI EN NYLON À RAYURES BLEU/BLANC
</t>
    </r>
    <r>
      <rPr>
        <b/>
        <sz val="7"/>
        <rFont val="Arial"/>
      </rPr>
      <t xml:space="preserve">Fabriqué e </t>
    </r>
    <r>
      <rPr>
        <sz val="7"/>
        <rFont val="Arial"/>
      </rPr>
      <t>IT - ITALIA</t>
    </r>
  </si>
  <si>
    <r>
      <rPr>
        <sz val="7"/>
        <rFont val="Arial"/>
      </rPr>
      <t>214 OBAGB009 EVS00 017</t>
    </r>
  </si>
  <si>
    <r>
      <rPr>
        <sz val="7"/>
        <rFont val="Arial"/>
      </rPr>
      <t xml:space="preserve">CORPS O BAG 50 EVA COMPOUND NAVY
</t>
    </r>
    <r>
      <rPr>
        <b/>
        <sz val="7"/>
        <rFont val="Arial"/>
      </rPr>
      <t xml:space="preserve">Fabriqué e </t>
    </r>
    <r>
      <rPr>
        <sz val="7"/>
        <rFont val="Arial"/>
      </rPr>
      <t>IT - ITALIA</t>
    </r>
  </si>
  <si>
    <r>
      <rPr>
        <sz val="7"/>
        <rFont val="Arial"/>
      </rPr>
      <t>215 OBAGB009 EVS00 347</t>
    </r>
  </si>
  <si>
    <r>
      <rPr>
        <sz val="7"/>
        <rFont val="Arial"/>
      </rPr>
      <t xml:space="preserve">CORPS O BAG 50 EVA COMPOUND CÈDRE
</t>
    </r>
    <r>
      <rPr>
        <b/>
        <sz val="7"/>
        <rFont val="Arial"/>
      </rPr>
      <t xml:space="preserve">Fabriqué e </t>
    </r>
    <r>
      <rPr>
        <sz val="7"/>
        <rFont val="Arial"/>
      </rPr>
      <t>IT - ITALIA</t>
    </r>
  </si>
  <si>
    <r>
      <rPr>
        <sz val="7"/>
        <rFont val="Arial"/>
      </rPr>
      <t>216 OBAGS002 TESH1 008</t>
    </r>
  </si>
  <si>
    <r>
      <rPr>
        <sz val="7"/>
        <rFont val="Arial"/>
      </rPr>
      <t xml:space="preserve">POCHETTE INTÉRIEURE FERMETURE ÉCLAIR O BAG MINI EN TISSU BOUCLÉ DÉCOR BLANC </t>
    </r>
    <r>
      <rPr>
        <b/>
        <sz val="7"/>
        <rFont val="Arial"/>
      </rPr>
      <t xml:space="preserve">Fabriqué e </t>
    </r>
    <r>
      <rPr>
        <sz val="7"/>
        <rFont val="Arial"/>
      </rPr>
      <t>IT - ITALIA</t>
    </r>
  </si>
  <si>
    <r>
      <rPr>
        <sz val="7"/>
        <rFont val="Arial"/>
      </rPr>
      <t>217 OBAGS009 TES01 422</t>
    </r>
  </si>
  <si>
    <r>
      <rPr>
        <sz val="7"/>
        <rFont val="Arial"/>
      </rPr>
      <t xml:space="preserve">POCHETTE INTÉRIEURE FERMETURE ÉCLAIR O BAG 50 EN TISSU CANVAS SANGRIA </t>
    </r>
    <r>
      <rPr>
        <b/>
        <sz val="7"/>
        <rFont val="Arial"/>
      </rPr>
      <t xml:space="preserve">Fabriqué e </t>
    </r>
    <r>
      <rPr>
        <sz val="7"/>
        <rFont val="Arial"/>
      </rPr>
      <t>IT - ITALIA</t>
    </r>
  </si>
  <si>
    <r>
      <rPr>
        <sz val="6.5"/>
        <rFont val="Arial"/>
      </rPr>
      <t xml:space="preserve">Pag </t>
    </r>
    <r>
      <rPr>
        <sz val="6.5"/>
        <rFont val="Arial"/>
      </rPr>
      <t>1 1</t>
    </r>
    <r>
      <rPr>
        <b/>
        <sz val="7"/>
        <rFont val="Arial"/>
      </rPr>
      <t>8</t>
    </r>
  </si>
  <si>
    <r>
      <rPr>
        <sz val="6.5"/>
        <rFont val="Arial"/>
      </rPr>
      <t>218 HLESAE00 ECS00 075</t>
    </r>
  </si>
  <si>
    <r>
      <rPr>
        <sz val="6.5"/>
        <rFont val="Arial"/>
      </rPr>
      <t xml:space="preserve">ANSES COURTES CHAÎNE AVEC TRESSAGE EN FAUX CUIR ROSE SMOKE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</si>
  <si>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219 OBAGB002 EVS00 078</t>
    </r>
  </si>
  <si>
    <r>
      <rPr>
        <sz val="6.5"/>
        <rFont val="Arial"/>
      </rPr>
      <t xml:space="preserve">CORPS O BAG MINI EVA COMPOUND SABLE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</si>
  <si>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220 OBAGB002 EVS00 026</t>
    </r>
  </si>
  <si>
    <r>
      <rPr>
        <sz val="6.5"/>
        <rFont val="Arial"/>
      </rPr>
      <t xml:space="preserve">CORPS O BAG MINI EVA COMPOUND BLEU COBALT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</si>
  <si>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221 OBAGB024 EVS00 371</t>
    </r>
  </si>
  <si>
    <r>
      <rPr>
        <sz val="6.5"/>
        <rFont val="Arial"/>
      </rPr>
      <t xml:space="preserve">CORPS O POCKET MICRO EVA COMPOUND LATTE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</si>
  <si>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222 SHOUC106 ECS16 483</t>
    </r>
  </si>
  <si>
    <r>
      <rPr>
        <sz val="6.5"/>
        <rFont val="Arial"/>
      </rPr>
      <t xml:space="preserve">LONGUE BANDOULIÈRE CHAÎNE AVEC BANDEAU O POCKET EN FAUX CUIR MÉTALLISÉ CHAMPAGNE
</t>
    </r>
    <r>
      <rPr>
        <b/>
        <sz val="7"/>
        <rFont val="Arial"/>
      </rPr>
      <t xml:space="preserve">Fabriqué e </t>
    </r>
    <r>
      <rPr>
        <sz val="6.5"/>
        <rFont val="Arial"/>
      </rPr>
      <t xml:space="preserve">IT - ITALIA </t>
    </r>
    <r>
      <rPr>
        <b/>
        <sz val="7"/>
        <rFont val="Arial"/>
      </rPr>
      <t>label</t>
    </r>
  </si>
  <si>
    <r>
      <rPr>
        <sz val="6.5"/>
        <rFont val="Arial"/>
      </rPr>
      <t>223 OBAGS018 TESG2 130</t>
    </r>
  </si>
  <si>
    <r>
      <rPr>
        <sz val="6.5"/>
        <rFont val="Arial"/>
      </rPr>
      <t xml:space="preserve">POCHETTE INTÉRIEURE FERMETURE ÉCLAIR O BAG BEACH MINI EN TISSU CANVAS + RUBAN BLEU
</t>
    </r>
    <r>
      <rPr>
        <b/>
        <sz val="7"/>
        <rFont val="Arial"/>
      </rPr>
      <t xml:space="preserve">Fabriqué e </t>
    </r>
    <r>
      <rPr>
        <sz val="6.5"/>
        <rFont val="Arial"/>
      </rPr>
      <t xml:space="preserve">IT - ITALIA </t>
    </r>
    <r>
      <rPr>
        <b/>
        <sz val="7"/>
        <rFont val="Arial"/>
      </rPr>
      <t>label</t>
    </r>
  </si>
  <si>
    <r>
      <rPr>
        <sz val="6.5"/>
        <rFont val="Arial"/>
      </rPr>
      <t>224 OBAGB017 EVS00 055</t>
    </r>
  </si>
  <si>
    <r>
      <rPr>
        <sz val="6.5"/>
        <rFont val="Arial"/>
      </rPr>
      <t xml:space="preserve">CORPS O MOON LIGHT EVA COMPOUND NOIR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</si>
  <si>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225 OBAGS001 TESE6 036</t>
    </r>
  </si>
  <si>
    <r>
      <rPr>
        <sz val="6.5"/>
        <rFont val="Arial"/>
      </rPr>
      <t xml:space="preserve">POCHETTE INTÉRIEURE FERMETURE ÉCLAIR O BAG EN TISSU NYC À RAYURES BICOLORE JAUNE
</t>
    </r>
    <r>
      <rPr>
        <b/>
        <sz val="7"/>
        <rFont val="Arial"/>
      </rPr>
      <t xml:space="preserve">Fabriqué e </t>
    </r>
    <r>
      <rPr>
        <sz val="6.5"/>
        <rFont val="Arial"/>
      </rPr>
      <t xml:space="preserve">CN - CINA </t>
    </r>
    <r>
      <rPr>
        <b/>
        <sz val="7"/>
        <rFont val="Arial"/>
      </rPr>
      <t>label</t>
    </r>
  </si>
  <si>
    <r>
      <rPr>
        <sz val="6.5"/>
        <rFont val="Arial"/>
      </rPr>
      <t>226 OBAGB001 EVS17 055</t>
    </r>
  </si>
  <si>
    <r>
      <rPr>
        <sz val="6.5"/>
        <rFont val="Arial"/>
      </rPr>
      <t xml:space="preserve">CORPS O BAG EVA COMPOUND + CLOUS PYRAMIDES NOIR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</si>
  <si>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227 OBAGB021 EVS03 371</t>
    </r>
  </si>
  <si>
    <r>
      <rPr>
        <sz val="6.5"/>
        <rFont val="Arial"/>
      </rPr>
      <t xml:space="preserve">CORPS O SWING EVA COMPOUND EFFET OSIER LATTE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</si>
  <si>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228 OBAGB018 EVS03 479</t>
    </r>
  </si>
  <si>
    <r>
      <rPr>
        <sz val="6.5"/>
        <rFont val="Arial"/>
      </rPr>
      <t xml:space="preserve">CORPS O BAG BEACH MINI EVA COMPOUND EFFET OSIER SKYWAY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</si>
  <si>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229 HLESGC00 ECS54 075</t>
    </r>
  </si>
  <si>
    <r>
      <rPr>
        <sz val="6.5"/>
        <rFont val="Arial"/>
      </rPr>
      <t xml:space="preserve">ANSES COURTES EN FAUX CUIR CLOUS ÉMAILLÉS ROSE SMOKE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</si>
  <si>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230 OBAGA000 ECS42 026</t>
    </r>
  </si>
  <si>
    <r>
      <rPr>
        <sz val="6.5"/>
        <rFont val="Arial"/>
      </rPr>
      <t xml:space="preserve">ACCESSOIRE CLIP EN FAUX CUIR OPAQUE + ARGENT BLEU COBALT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</si>
  <si>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 xml:space="preserve">Pag </t>
    </r>
    <r>
      <rPr>
        <sz val="6.5"/>
        <rFont val="Arial"/>
      </rPr>
      <t>1 1</t>
    </r>
    <r>
      <rPr>
        <b/>
        <sz val="7"/>
        <rFont val="Arial"/>
      </rPr>
      <t>9</t>
    </r>
  </si>
  <si>
    <r>
      <rPr>
        <sz val="6.5"/>
        <rFont val="Arial"/>
      </rPr>
      <t>231 OBAGS016 TES01 422 2 PZ</t>
    </r>
  </si>
  <si>
    <r>
      <rPr>
        <sz val="6.5"/>
        <rFont val="Arial"/>
      </rPr>
      <t xml:space="preserve">POCHETTE INTÉRIEURE FERMETURE ÉCLAIR O MOON EN TISSU CANVAS SANGRIA </t>
    </r>
    <r>
      <rPr>
        <b/>
        <sz val="7"/>
        <rFont val="Arial"/>
      </rPr>
      <t xml:space="preserve">Fabriqué e </t>
    </r>
    <r>
      <rPr>
        <sz val="6.5"/>
        <rFont val="Arial"/>
      </rPr>
      <t>CN - CINA</t>
    </r>
  </si>
  <si>
    <r>
      <rPr>
        <sz val="6.5"/>
        <rFont val="Arial"/>
      </rPr>
      <t>232 OBAGB206 EVS00 371</t>
    </r>
  </si>
  <si>
    <r>
      <rPr>
        <sz val="6.5"/>
        <rFont val="Arial"/>
      </rPr>
      <t xml:space="preserve">CORPS INFÉRIEUR O POCKET EVA COMPOUND LATTE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</si>
  <si>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233 OBAGPA06 TESE3 227</t>
    </r>
  </si>
  <si>
    <r>
      <rPr>
        <sz val="6.5"/>
        <rFont val="Arial"/>
      </rPr>
      <t xml:space="preserve">RABAT TOURNIQUET O POCKET EN TISSU NYC VICHY BLANC/NOIR
</t>
    </r>
    <r>
      <rPr>
        <b/>
        <sz val="7"/>
        <rFont val="Arial"/>
      </rPr>
      <t xml:space="preserve">Fabriqué e </t>
    </r>
    <r>
      <rPr>
        <sz val="6.5"/>
        <rFont val="Arial"/>
      </rPr>
      <t>CN - CINA</t>
    </r>
  </si>
  <si>
    <r>
      <rPr>
        <sz val="6.5"/>
        <rFont val="Arial"/>
      </rPr>
      <t>234 OBAGB001 EVS00 158</t>
    </r>
  </si>
  <si>
    <r>
      <rPr>
        <sz val="6.5"/>
        <rFont val="Arial"/>
      </rPr>
      <t xml:space="preserve">CORPS O BAG EVA COMPOUND VOLCAN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</si>
  <si>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235 OBAGB019 EVS00 422</t>
    </r>
  </si>
  <si>
    <r>
      <rPr>
        <sz val="6.5"/>
        <rFont val="Arial"/>
      </rPr>
      <t xml:space="preserve">CORPS O SQUARE EVA COMPOUND SANGRIA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</si>
  <si>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236 OBAGB010 EVS00 422</t>
    </r>
  </si>
  <si>
    <r>
      <rPr>
        <sz val="6.5"/>
        <rFont val="Arial"/>
      </rPr>
      <t xml:space="preserve">CORPS O CITY EVA COMPOUND SANGRIA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</si>
  <si>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237 OBAGS001 TESG3 480</t>
    </r>
  </si>
  <si>
    <r>
      <rPr>
        <sz val="6.5"/>
        <rFont val="Arial"/>
      </rPr>
      <t xml:space="preserve">POCHETTE INTÉRIEURE FERMETURE ÉCLAIR O BAG EN TISSU DEAUVILLE À RAYURES SERRÉES NAV
</t>
    </r>
    <r>
      <rPr>
        <b/>
        <sz val="7"/>
        <rFont val="Arial"/>
      </rPr>
      <t xml:space="preserve">Fabriqué e </t>
    </r>
    <r>
      <rPr>
        <sz val="6.5"/>
        <rFont val="Arial"/>
      </rPr>
      <t xml:space="preserve">CN - CINA </t>
    </r>
    <r>
      <rPr>
        <b/>
        <sz val="7"/>
        <rFont val="Arial"/>
      </rPr>
      <t>label</t>
    </r>
  </si>
  <si>
    <r>
      <rPr>
        <sz val="6.5"/>
        <rFont val="Arial"/>
      </rPr>
      <t>238 OBAGS016 TES01 075</t>
    </r>
  </si>
  <si>
    <r>
      <rPr>
        <sz val="6.5"/>
        <rFont val="Arial"/>
      </rPr>
      <t xml:space="preserve">POCHETTE INTÉRIEURE FERMETURE ÉCLAIR O MOON EN TISSU CANVAS ROSE SMOKE </t>
    </r>
    <r>
      <rPr>
        <b/>
        <sz val="7"/>
        <rFont val="Arial"/>
      </rPr>
      <t xml:space="preserve">Fabriqué e </t>
    </r>
    <r>
      <rPr>
        <sz val="6.5"/>
        <rFont val="Arial"/>
      </rPr>
      <t>CN - CINA</t>
    </r>
  </si>
  <si>
    <r>
      <rPr>
        <sz val="6.5"/>
        <rFont val="Arial"/>
      </rPr>
      <t>239 OHUGB002 EVS06 076</t>
    </r>
  </si>
  <si>
    <r>
      <rPr>
        <sz val="6.5"/>
        <rFont val="Arial"/>
      </rPr>
      <t xml:space="preserve">O HUG CORPS PORTEFEUILLE FEMME EVA COMPOUND TEXTURE GRECQUE ROUGE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</si>
  <si>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240 HLESZ817 TESH8 055</t>
    </r>
  </si>
  <si>
    <r>
      <rPr>
        <sz val="6.5"/>
        <rFont val="Arial"/>
      </rPr>
      <t>5 PZ</t>
    </r>
  </si>
  <si>
    <r>
      <rPr>
        <sz val="6.5"/>
        <rFont val="Arial"/>
      </rPr>
      <t>241 OBAGS017 TESH2 036</t>
    </r>
  </si>
  <si>
    <r>
      <rPr>
        <sz val="6.5"/>
        <rFont val="Arial"/>
      </rPr>
      <t xml:space="preserve">POCHETTE INTÉRIEURE FERMETURE ÉCLAIR O MOON LIGHT EN COTON MOTIF PAPILLONS JAUNE
</t>
    </r>
    <r>
      <rPr>
        <b/>
        <sz val="7"/>
        <rFont val="Arial"/>
      </rPr>
      <t xml:space="preserve">Fabriqué e </t>
    </r>
    <r>
      <rPr>
        <sz val="6.5"/>
        <rFont val="Arial"/>
      </rPr>
      <t xml:space="preserve">CN - CINA </t>
    </r>
    <r>
      <rPr>
        <b/>
        <sz val="7"/>
        <rFont val="Arial"/>
      </rPr>
      <t>label</t>
    </r>
  </si>
  <si>
    <r>
      <rPr>
        <sz val="6.5"/>
        <rFont val="Arial"/>
      </rPr>
      <t>242 HLESAD00 ECS00 017</t>
    </r>
  </si>
  <si>
    <r>
      <rPr>
        <sz val="6.5"/>
        <rFont val="Arial"/>
      </rPr>
      <t xml:space="preserve">ANSES TUBULAIRES EN FAUX CUIR NAVY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</si>
  <si>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243 OBAGB001 EVS00 026</t>
    </r>
  </si>
  <si>
    <r>
      <rPr>
        <sz val="6.5"/>
        <rFont val="Arial"/>
      </rPr>
      <t xml:space="preserve">CORPS O BAG EVA COMPOUND BLEU COBALT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</si>
  <si>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Pag 2 2</t>
    </r>
    <r>
      <rPr>
        <b/>
        <sz val="7"/>
        <rFont val="Arial"/>
      </rPr>
      <t>0</t>
    </r>
  </si>
  <si>
    <r>
      <rPr>
        <sz val="6.5"/>
        <rFont val="Arial"/>
      </rPr>
      <t>244 OBAGB001 EVS00 017</t>
    </r>
  </si>
  <si>
    <r>
      <rPr>
        <sz val="6.5"/>
        <rFont val="Arial"/>
      </rPr>
      <t xml:space="preserve">CORPS O BAG EVA COMPOUND NAVY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</si>
  <si>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245 OHUGB002 EVS06 479</t>
    </r>
  </si>
  <si>
    <r>
      <rPr>
        <sz val="6.5"/>
        <rFont val="Arial"/>
      </rPr>
      <t xml:space="preserve">O HUG CORPS PORTEFEUILLE FEMME EVA COMPOUND TEXTURE GRECQUE SKYWAY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</si>
  <si>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246 OBAGS016 TESF8 481</t>
    </r>
  </si>
  <si>
    <r>
      <rPr>
        <sz val="6.5"/>
        <rFont val="Arial"/>
      </rPr>
      <t xml:space="preserve">POCHETTE INTÉRIEURE FERMETURE ÉCLAIR O MOON EN TISSU DEAUVILLE À RAYURES LARGES RO
</t>
    </r>
    <r>
      <rPr>
        <b/>
        <sz val="7"/>
        <rFont val="Arial"/>
      </rPr>
      <t xml:space="preserve">Fabriqué e </t>
    </r>
    <r>
      <rPr>
        <sz val="6.5"/>
        <rFont val="Arial"/>
      </rPr>
      <t xml:space="preserve">CN - CINA </t>
    </r>
    <r>
      <rPr>
        <b/>
        <sz val="7"/>
        <rFont val="Arial"/>
      </rPr>
      <t>label</t>
    </r>
  </si>
  <si>
    <r>
      <rPr>
        <sz val="6.5"/>
        <rFont val="Arial"/>
      </rPr>
      <t>247 SHOUGH00 TESI4 241</t>
    </r>
  </si>
  <si>
    <r>
      <rPr>
        <sz val="6.5"/>
        <rFont val="Arial"/>
      </rPr>
      <t xml:space="preserve">BANDOULIÈRE 80/120 + GOUTTE TROUÉE TISSU RUBAN MARINA BICOLORE NAVY - ROUGE 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</si>
  <si>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248 OCLKD001 MES86 076</t>
    </r>
  </si>
  <si>
    <r>
      <rPr>
        <sz val="6.5"/>
        <rFont val="Arial"/>
      </rPr>
      <t xml:space="preserve">O CLOCK MÉCANISME NYC LINES ROUGE
</t>
    </r>
    <r>
      <rPr>
        <b/>
        <sz val="7"/>
        <rFont val="Arial"/>
      </rPr>
      <t xml:space="preserve">Fabriqué e </t>
    </r>
    <r>
      <rPr>
        <sz val="6.5"/>
        <rFont val="Arial"/>
      </rPr>
      <t>CN - CINA</t>
    </r>
  </si>
  <si>
    <r>
      <rPr>
        <sz val="6.5"/>
        <rFont val="Arial"/>
      </rPr>
      <t>249 HLESD200 ROS05 017</t>
    </r>
  </si>
  <si>
    <r>
      <rPr>
        <sz val="6.5"/>
        <rFont val="Arial"/>
      </rPr>
      <t xml:space="preserve">ANSES LONGUES ADAPTABLES GOUTTE EN CORDE + GOUTTE TISSU CAOUTCHOUTÉ NAVY 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</si>
  <si>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250 OBAGB009 EVS00 371</t>
    </r>
  </si>
  <si>
    <r>
      <rPr>
        <sz val="6.5"/>
        <rFont val="Arial"/>
      </rPr>
      <t xml:space="preserve">CORPS O BAG 50 EVA COMPOUND LATTE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</si>
  <si>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251 HLESMD00 ECS46 076</t>
    </r>
  </si>
  <si>
    <r>
      <rPr>
        <sz val="6.5"/>
        <rFont val="Arial"/>
      </rPr>
      <t xml:space="preserve">MICRO-ANSES TUBULAIRES COURTES EN FAUX CUIR LISSE ROUGE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</si>
  <si>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252 OBAGS001 TESE7 055</t>
    </r>
  </si>
  <si>
    <r>
      <rPr>
        <sz val="6.5"/>
        <rFont val="Arial"/>
      </rPr>
      <t xml:space="preserve">POCHETTE INTÉRIEURE FERMETURE ÉCLAIR O BAG EN TOILE NYLON + RUBAN LIVRE BICOLORE NOI
</t>
    </r>
    <r>
      <rPr>
        <b/>
        <sz val="7"/>
        <rFont val="Arial"/>
      </rPr>
      <t xml:space="preserve">Fabriqué e </t>
    </r>
    <r>
      <rPr>
        <sz val="6.5"/>
        <rFont val="Arial"/>
      </rPr>
      <t xml:space="preserve">IT - ITALIA </t>
    </r>
    <r>
      <rPr>
        <b/>
        <sz val="7"/>
        <rFont val="Arial"/>
      </rPr>
      <t>label</t>
    </r>
  </si>
  <si>
    <r>
      <rPr>
        <sz val="6.5"/>
        <rFont val="Arial"/>
      </rPr>
      <t>253 OBAGB021 EVS03 479</t>
    </r>
  </si>
  <si>
    <r>
      <rPr>
        <sz val="6.5"/>
        <rFont val="Arial"/>
      </rPr>
      <t xml:space="preserve">CORPS O SWING EVA COMPOUND EFFET OSIER SKYWAY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</si>
  <si>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254 OBAGB009 EVS00 133</t>
    </r>
  </si>
  <si>
    <r>
      <rPr>
        <sz val="6.5"/>
        <rFont val="Arial"/>
      </rPr>
      <t xml:space="preserve">CORPS O BAG 50 EVA COMPOUND GRIS CLAIR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</si>
  <si>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255 OBAGS002 TESE6 055</t>
    </r>
  </si>
  <si>
    <r>
      <rPr>
        <sz val="6.5"/>
        <rFont val="Arial"/>
      </rPr>
      <t xml:space="preserve">POCHETTE INTÉRIEURE FERMETURE ÉCLAIR O BAG MINI EN TISSU NYC À RAYURES BICOLORE NOIR
</t>
    </r>
    <r>
      <rPr>
        <b/>
        <sz val="7"/>
        <rFont val="Arial"/>
      </rPr>
      <t xml:space="preserve">Fabriqué e </t>
    </r>
    <r>
      <rPr>
        <sz val="6.5"/>
        <rFont val="Arial"/>
      </rPr>
      <t xml:space="preserve">CN - CINA </t>
    </r>
    <r>
      <rPr>
        <b/>
        <sz val="7"/>
        <rFont val="Arial"/>
      </rPr>
      <t>label</t>
    </r>
  </si>
  <si>
    <r>
      <rPr>
        <sz val="6.5"/>
        <rFont val="Arial"/>
      </rPr>
      <t>256 OBAGB016 EVS00 071</t>
    </r>
  </si>
  <si>
    <r>
      <rPr>
        <sz val="6.5"/>
        <rFont val="Arial"/>
      </rPr>
      <t xml:space="preserve">CORPS O MOON EVA COMPOUND TAUPE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</si>
  <si>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7"/>
        <rFont val="Arial"/>
      </rPr>
      <t>Pag 21 21</t>
    </r>
  </si>
  <si>
    <r>
      <rPr>
        <sz val="7"/>
        <rFont val="Arial"/>
      </rPr>
      <t>257 SHOUA306 ECS42 055 10 PZ</t>
    </r>
  </si>
  <si>
    <r>
      <rPr>
        <sz val="7"/>
        <rFont val="Arial"/>
      </rPr>
      <t xml:space="preserve">ACCESSOIRE CLIP EN FAUX CUIR OPAQUE + ARGENT NOIR
</t>
    </r>
    <r>
      <rPr>
        <b/>
        <sz val="7"/>
        <rFont val="Arial"/>
      </rPr>
      <t xml:space="preserve">Fabriqué e </t>
    </r>
    <r>
      <rPr>
        <sz val="7"/>
        <rFont val="Arial"/>
      </rPr>
      <t xml:space="preserve">IT - ITALIA </t>
    </r>
    <r>
      <rPr>
        <b/>
        <sz val="7"/>
        <rFont val="Arial"/>
      </rPr>
      <t>label</t>
    </r>
  </si>
  <si>
    <r>
      <rPr>
        <sz val="7"/>
        <rFont val="Arial"/>
      </rPr>
      <t>258 OBAGS002 TESE7 055 2 PZ</t>
    </r>
  </si>
  <si>
    <r>
      <rPr>
        <sz val="7"/>
        <rFont val="Arial"/>
      </rPr>
      <t xml:space="preserve">POCHETTE INTÉRIEURE FERMETURE ÉCLAIR O BAG MINI EN TOILE NYLON + RUBAN LIVRE BICOLORE
</t>
    </r>
    <r>
      <rPr>
        <b/>
        <sz val="7"/>
        <rFont val="Arial"/>
      </rPr>
      <t xml:space="preserve">Fabriqué e </t>
    </r>
    <r>
      <rPr>
        <sz val="7"/>
        <rFont val="Arial"/>
      </rPr>
      <t xml:space="preserve">IT - ITALIA </t>
    </r>
    <r>
      <rPr>
        <b/>
        <sz val="7"/>
        <rFont val="Arial"/>
      </rPr>
      <t>label</t>
    </r>
  </si>
  <si>
    <r>
      <rPr>
        <sz val="7"/>
        <rFont val="Arial"/>
      </rPr>
      <t>260 OBAGS102 TESG6 408 2 PZ</t>
    </r>
  </si>
  <si>
    <r>
      <rPr>
        <sz val="7"/>
        <rFont val="Arial"/>
      </rPr>
      <t xml:space="preserve">POCHETTE INTÉRIEURE À COULISSE O BAG MINI EN NYLON À RAYURES BLEU/BLANC
</t>
    </r>
    <r>
      <rPr>
        <b/>
        <sz val="7"/>
        <rFont val="Arial"/>
      </rPr>
      <t xml:space="preserve">Fabriqué e </t>
    </r>
    <r>
      <rPr>
        <sz val="7"/>
        <rFont val="Arial"/>
      </rPr>
      <t xml:space="preserve">IT - ITALIA </t>
    </r>
    <r>
      <rPr>
        <b/>
        <sz val="7"/>
        <rFont val="Arial"/>
      </rPr>
      <t>label</t>
    </r>
  </si>
  <si>
    <r>
      <rPr>
        <sz val="7"/>
        <rFont val="Arial"/>
      </rPr>
      <t>261 OBAGS002 TESG2 076 2 PZ</t>
    </r>
  </si>
  <si>
    <r>
      <rPr>
        <sz val="7"/>
        <rFont val="Arial"/>
      </rPr>
      <t xml:space="preserve">POCHETTE INTÉRIEURE FERMETURE ÉCLAIR O BAG MINI EN TISSU CANVAS + RUBAN ROUGE
</t>
    </r>
    <r>
      <rPr>
        <b/>
        <sz val="7"/>
        <rFont val="Arial"/>
      </rPr>
      <t xml:space="preserve">Fabriqué e </t>
    </r>
    <r>
      <rPr>
        <sz val="7"/>
        <rFont val="Arial"/>
      </rPr>
      <t xml:space="preserve">IT - ITALIA </t>
    </r>
    <r>
      <rPr>
        <b/>
        <sz val="7"/>
        <rFont val="Arial"/>
      </rPr>
      <t>label</t>
    </r>
  </si>
  <si>
    <r>
      <rPr>
        <sz val="7"/>
        <rFont val="Arial"/>
      </rPr>
      <t>262 SHOUWA00 ECS55 075 3 PZ</t>
    </r>
  </si>
  <si>
    <r>
      <rPr>
        <sz val="7"/>
        <rFont val="Arial"/>
      </rPr>
      <t xml:space="preserve">BANDOULIÈRE COURTE NEW GOUTTE TROUÉE (80 CM) EN FAUX CUIR BASIC + FLEURS PVC ROSE SM
</t>
    </r>
    <r>
      <rPr>
        <b/>
        <sz val="7"/>
        <rFont val="Arial"/>
      </rPr>
      <t xml:space="preserve">Fabriqué e </t>
    </r>
    <r>
      <rPr>
        <sz val="7"/>
        <rFont val="Arial"/>
      </rPr>
      <t xml:space="preserve">IT - ITALIA </t>
    </r>
    <r>
      <rPr>
        <b/>
        <sz val="7"/>
        <rFont val="Arial"/>
      </rPr>
      <t>label</t>
    </r>
  </si>
  <si>
    <r>
      <rPr>
        <sz val="7"/>
        <rFont val="Arial"/>
      </rPr>
      <t>263 OBAGS017 TESH1 008 2 PZ</t>
    </r>
  </si>
  <si>
    <r>
      <rPr>
        <sz val="7"/>
        <rFont val="Arial"/>
      </rPr>
      <t xml:space="preserve">POCHETTE INTÉRIEURE FERMETURE ÉCLAIR O MOON LIGHT EN TISSU BOUCLÉ DÉCOR BLANC
</t>
    </r>
    <r>
      <rPr>
        <b/>
        <sz val="7"/>
        <rFont val="Arial"/>
      </rPr>
      <t xml:space="preserve">Fabriqué e </t>
    </r>
    <r>
      <rPr>
        <sz val="7"/>
        <rFont val="Arial"/>
      </rPr>
      <t xml:space="preserve">IT - ITALIA </t>
    </r>
    <r>
      <rPr>
        <b/>
        <sz val="7"/>
        <rFont val="Arial"/>
      </rPr>
      <t>label</t>
    </r>
  </si>
  <si>
    <r>
      <rPr>
        <sz val="7"/>
        <rFont val="Arial"/>
      </rPr>
      <t>264 OBAGS010 TES01 026 2 PZ</t>
    </r>
  </si>
  <si>
    <r>
      <rPr>
        <sz val="7"/>
        <rFont val="Arial"/>
      </rPr>
      <t xml:space="preserve">POCHETTE INTÉRIEURE FERMETURE ÉCLAIR O CITY EN TISSU CANVAS BLEU COBALT
</t>
    </r>
    <r>
      <rPr>
        <b/>
        <sz val="7"/>
        <rFont val="Arial"/>
      </rPr>
      <t xml:space="preserve">Fabriqué e </t>
    </r>
    <r>
      <rPr>
        <sz val="7"/>
        <rFont val="Arial"/>
      </rPr>
      <t xml:space="preserve">IT - ITALIA </t>
    </r>
    <r>
      <rPr>
        <b/>
        <sz val="7"/>
        <rFont val="Arial"/>
      </rPr>
      <t>label</t>
    </r>
  </si>
  <si>
    <r>
      <rPr>
        <sz val="7"/>
        <rFont val="Arial"/>
      </rPr>
      <t>265 SHOUBG00 ECS35 055 2 PZ</t>
    </r>
  </si>
  <si>
    <r>
      <rPr>
        <sz val="7"/>
        <rFont val="Arial"/>
      </rPr>
      <t xml:space="preserve">BANDOULIÈRE /BRETELLE SLIM 140 EN FAUX CUIR BASIC NOIR
</t>
    </r>
    <r>
      <rPr>
        <b/>
        <sz val="7"/>
        <rFont val="Arial"/>
      </rPr>
      <t xml:space="preserve">Fabriqué e </t>
    </r>
    <r>
      <rPr>
        <sz val="7"/>
        <rFont val="Arial"/>
      </rPr>
      <t xml:space="preserve">IT - ITALIA </t>
    </r>
    <r>
      <rPr>
        <b/>
        <sz val="7"/>
        <rFont val="Arial"/>
      </rPr>
      <t>label</t>
    </r>
  </si>
  <si>
    <r>
      <rPr>
        <sz val="7"/>
        <rFont val="Arial"/>
      </rPr>
      <t>266 OBAGB206 EVS00 479 3 PZ</t>
    </r>
  </si>
  <si>
    <r>
      <rPr>
        <sz val="7"/>
        <rFont val="Arial"/>
      </rPr>
      <t xml:space="preserve">CORPS INFÉRIEUR O POCKET EVA COMPOUND SKYWAY
</t>
    </r>
    <r>
      <rPr>
        <b/>
        <sz val="7"/>
        <rFont val="Arial"/>
      </rPr>
      <t xml:space="preserve">Fabriqué e </t>
    </r>
    <r>
      <rPr>
        <sz val="7"/>
        <rFont val="Arial"/>
      </rPr>
      <t xml:space="preserve">IT - ITALIA </t>
    </r>
    <r>
      <rPr>
        <b/>
        <sz val="7"/>
        <rFont val="Arial"/>
      </rPr>
      <t>label</t>
    </r>
  </si>
  <si>
    <r>
      <rPr>
        <sz val="7"/>
        <rFont val="Arial"/>
      </rPr>
      <t>267 OBAGT001 TESE8 227 2 PZ</t>
    </r>
  </si>
  <si>
    <r>
      <rPr>
        <sz val="7"/>
        <rFont val="Arial"/>
      </rPr>
      <t xml:space="preserve">REVERS O BAG EN TISSU NYC FANTAISIE GÉOMÉTRIQUE BLANC/NOIR
</t>
    </r>
    <r>
      <rPr>
        <b/>
        <sz val="7"/>
        <rFont val="Arial"/>
      </rPr>
      <t xml:space="preserve">Fabriqué e </t>
    </r>
    <r>
      <rPr>
        <sz val="7"/>
        <rFont val="Arial"/>
      </rPr>
      <t xml:space="preserve">IT - ITALIA </t>
    </r>
    <r>
      <rPr>
        <b/>
        <sz val="7"/>
        <rFont val="Arial"/>
      </rPr>
      <t>label</t>
    </r>
  </si>
  <si>
    <r>
      <rPr>
        <sz val="7"/>
        <rFont val="Arial"/>
      </rPr>
      <t>268 SHOUWA00 ECS54 479 3 PZ</t>
    </r>
  </si>
  <si>
    <r>
      <rPr>
        <sz val="7"/>
        <rFont val="Arial"/>
      </rPr>
      <t xml:space="preserve">BANDOULIÈRE COURTE NEW GOUTTE TROUÉE EN FAUX CUIR CLOUS ÉMAILLÉS SKYWAY
</t>
    </r>
    <r>
      <rPr>
        <b/>
        <sz val="7"/>
        <rFont val="Arial"/>
      </rPr>
      <t xml:space="preserve">Fabriqué e </t>
    </r>
    <r>
      <rPr>
        <sz val="7"/>
        <rFont val="Arial"/>
      </rPr>
      <t xml:space="preserve">IT - ITALIA </t>
    </r>
    <r>
      <rPr>
        <b/>
        <sz val="7"/>
        <rFont val="Arial"/>
      </rPr>
      <t>label</t>
    </r>
  </si>
  <si>
    <r>
      <rPr>
        <sz val="7"/>
        <rFont val="Arial"/>
      </rPr>
      <t>269 OBAGP024 ECS51 036 2 PZ</t>
    </r>
  </si>
  <si>
    <r>
      <rPr>
        <sz val="7"/>
        <rFont val="Arial"/>
      </rPr>
      <t xml:space="preserve">RABAT O POCKET MICRO EN FAUX CUIR CLOUS PYRAMIDES JAUNE
</t>
    </r>
    <r>
      <rPr>
        <b/>
        <sz val="7"/>
        <rFont val="Arial"/>
      </rPr>
      <t xml:space="preserve">Fabriqué e </t>
    </r>
    <r>
      <rPr>
        <sz val="7"/>
        <rFont val="Arial"/>
      </rPr>
      <t xml:space="preserve">CN - CINA </t>
    </r>
    <r>
      <rPr>
        <b/>
        <sz val="7"/>
        <rFont val="Arial"/>
      </rPr>
      <t>label</t>
    </r>
  </si>
  <si>
    <r>
      <rPr>
        <sz val="7"/>
        <rFont val="Arial"/>
      </rPr>
      <t>270 SHOUGG00 TESI2 227 2 PZ</t>
    </r>
  </si>
  <si>
    <r>
      <rPr>
        <sz val="7"/>
        <rFont val="Arial"/>
      </rPr>
      <t xml:space="preserve">BANDOULIÈRE 80/120 + CLIP EN TISSU RUBAN NEW YORK À CHEVRONS BLANC/NOIR
</t>
    </r>
    <r>
      <rPr>
        <b/>
        <sz val="7"/>
        <rFont val="Arial"/>
      </rPr>
      <t xml:space="preserve">Fabriqué e </t>
    </r>
    <r>
      <rPr>
        <sz val="7"/>
        <rFont val="Arial"/>
      </rPr>
      <t xml:space="preserve">CN - CINA </t>
    </r>
    <r>
      <rPr>
        <b/>
        <sz val="7"/>
        <rFont val="Arial"/>
      </rPr>
      <t>label</t>
    </r>
  </si>
  <si>
    <r>
      <rPr>
        <sz val="6.5"/>
        <rFont val="Arial"/>
      </rPr>
      <t>Pag 2 2</t>
    </r>
    <r>
      <rPr>
        <b/>
        <sz val="7"/>
        <rFont val="Arial"/>
      </rPr>
      <t>2</t>
    </r>
  </si>
  <si>
    <r>
      <rPr>
        <sz val="6.5"/>
        <rFont val="Arial"/>
      </rPr>
      <t>271 OBAGB009 EVS00 071</t>
    </r>
  </si>
  <si>
    <r>
      <rPr>
        <sz val="6.5"/>
        <rFont val="Arial"/>
      </rPr>
      <t xml:space="preserve">CORPS O BAG 50 EVA COMPOUND TAUPE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</si>
  <si>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272 OBAGT001 TESF8 481</t>
    </r>
  </si>
  <si>
    <r>
      <rPr>
        <sz val="6.5"/>
        <rFont val="Arial"/>
      </rPr>
      <t xml:space="preserve">REVERS O BAG EN TISSU DEAUVILLE À RAYURES LARGES ROUGE/CRÈME
</t>
    </r>
    <r>
      <rPr>
        <b/>
        <sz val="7"/>
        <rFont val="Arial"/>
      </rPr>
      <t xml:space="preserve">Fabriqué e </t>
    </r>
    <r>
      <rPr>
        <sz val="6.5"/>
        <rFont val="Arial"/>
      </rPr>
      <t>CN - CINA</t>
    </r>
  </si>
  <si>
    <r>
      <rPr>
        <sz val="6.5"/>
        <rFont val="Arial"/>
      </rPr>
      <t>273 SHOUWA00 ECS51 076</t>
    </r>
  </si>
  <si>
    <r>
      <rPr>
        <sz val="6.5"/>
        <rFont val="Arial"/>
      </rPr>
      <t xml:space="preserve">BANDOULIÈRE COURTE NEW GOUTTE TROUÉE EN FAUX CUIR CLOUS PYRAMIDES ROUGE </t>
    </r>
    <r>
      <rPr>
        <b/>
        <sz val="7"/>
        <rFont val="Arial"/>
      </rPr>
      <t xml:space="preserve">Fabriqué e </t>
    </r>
    <r>
      <rPr>
        <sz val="6.5"/>
        <rFont val="Arial"/>
      </rPr>
      <t>CN - CINA</t>
    </r>
  </si>
  <si>
    <r>
      <rPr>
        <sz val="6.5"/>
        <rFont val="Arial"/>
      </rPr>
      <t>274 OBAGB002 EVS00 486</t>
    </r>
  </si>
  <si>
    <r>
      <rPr>
        <sz val="6.5"/>
        <rFont val="Arial"/>
      </rPr>
      <t xml:space="preserve">CORPS O BAG MINI EVA COMPOUND PINK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</si>
  <si>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275 OBAGS002 TESE5 036</t>
    </r>
  </si>
  <si>
    <r>
      <rPr>
        <sz val="6.5"/>
        <rFont val="Arial"/>
      </rPr>
      <t xml:space="preserve">POCHETTE INTÉRIEURE FERMETURE ÉCLAIR O BAG MINI EN TISSU NYC LOSANGES JAUNE </t>
    </r>
    <r>
      <rPr>
        <b/>
        <sz val="7"/>
        <rFont val="Arial"/>
      </rPr>
      <t xml:space="preserve">Fabriqué e </t>
    </r>
    <r>
      <rPr>
        <sz val="6.5"/>
        <rFont val="Arial"/>
      </rPr>
      <t>CN - CINA</t>
    </r>
  </si>
  <si>
    <r>
      <rPr>
        <sz val="6.5"/>
        <rFont val="Arial"/>
      </rPr>
      <t>276 OBAGT001 TESF7 475</t>
    </r>
  </si>
  <si>
    <r>
      <rPr>
        <sz val="6.5"/>
        <rFont val="Arial"/>
      </rPr>
      <t xml:space="preserve">REVERS O BAG EN TISSU DEAUVILLE À RAYURES EFFET FLAMMÉ BLANC/ROUGE/BLEU 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</si>
  <si>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277 SHOUBG00 ECS35 017</t>
    </r>
  </si>
  <si>
    <r>
      <rPr>
        <sz val="6.5"/>
        <rFont val="Arial"/>
      </rPr>
      <t xml:space="preserve">BANDOULIÈRE /BRETELLE SLIM 140 EN FAUX CUIR BASIC NAVY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</si>
  <si>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278 OBAGB206 EVS00 071</t>
    </r>
  </si>
  <si>
    <r>
      <rPr>
        <sz val="6.5"/>
        <rFont val="Arial"/>
      </rPr>
      <t xml:space="preserve">CORPS INFÉRIEUR O POCKET EVA COMPOUND TAUPE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</si>
  <si>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279 SHOUGG00 TESI1 227</t>
    </r>
  </si>
  <si>
    <r>
      <rPr>
        <sz val="6.5"/>
        <rFont val="Arial"/>
      </rPr>
      <t xml:space="preserve">BANDOULIÈRE 80/120 + CLIP EN TISSU RUBAN NEW YORK BLANC/NOIR
</t>
    </r>
    <r>
      <rPr>
        <b/>
        <sz val="7"/>
        <rFont val="Arial"/>
      </rPr>
      <t xml:space="preserve">Fabriqué e </t>
    </r>
    <r>
      <rPr>
        <sz val="6.5"/>
        <rFont val="Arial"/>
      </rPr>
      <t>CN - CINA</t>
    </r>
  </si>
  <si>
    <r>
      <rPr>
        <sz val="6.5"/>
        <rFont val="Arial"/>
      </rPr>
      <t>280 OCLKD001 MES81 026</t>
    </r>
  </si>
  <si>
    <r>
      <rPr>
        <sz val="6.5"/>
        <rFont val="Arial"/>
      </rPr>
      <t xml:space="preserve">O CLOCK MÉCANISME DEAUVILLE LINES BLEU COBALT
</t>
    </r>
    <r>
      <rPr>
        <b/>
        <sz val="7"/>
        <rFont val="Arial"/>
      </rPr>
      <t xml:space="preserve">Fabriqué e </t>
    </r>
    <r>
      <rPr>
        <sz val="6.5"/>
        <rFont val="Arial"/>
      </rPr>
      <t>CN - CINA</t>
    </r>
  </si>
  <si>
    <r>
      <rPr>
        <sz val="6.5"/>
        <rFont val="Arial"/>
      </rPr>
      <t>281 OBAGB010 EVS00 076</t>
    </r>
  </si>
  <si>
    <r>
      <rPr>
        <sz val="6.5"/>
        <rFont val="Arial"/>
      </rPr>
      <t xml:space="preserve">CORPS O CITY EVA COMPOUND ROUGE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</si>
  <si>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282 OBAGB009 EVS00 026</t>
    </r>
  </si>
  <si>
    <r>
      <rPr>
        <sz val="6.5"/>
        <rFont val="Arial"/>
      </rPr>
      <t xml:space="preserve">CORPS O BAG 50 EVA COMPOUND BLEU COBALT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</si>
  <si>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283 OBAGP006 TESF5 441</t>
    </r>
  </si>
  <si>
    <r>
      <rPr>
        <sz val="6.5"/>
        <rFont val="Arial"/>
      </rPr>
      <t xml:space="preserve">RABAT O POCKET EN TISSU LUXURY DRIPPING ROUGE/BLUETTE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</si>
  <si>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Pag 2 2</t>
    </r>
    <r>
      <rPr>
        <b/>
        <sz val="7"/>
        <rFont val="Arial"/>
      </rPr>
      <t>3</t>
    </r>
  </si>
  <si>
    <r>
      <rPr>
        <sz val="6.5"/>
        <rFont val="Arial"/>
      </rPr>
      <t>284 OBAGS002 TESE5 076</t>
    </r>
  </si>
  <si>
    <r>
      <rPr>
        <sz val="6.5"/>
        <rFont val="Arial"/>
      </rPr>
      <t xml:space="preserve">POCHETTE INTÉRIEURE FERMETURE ÉCLAIR O BAG MINI EN TISSU NYC LOSANGES ROUGE </t>
    </r>
    <r>
      <rPr>
        <b/>
        <sz val="7"/>
        <rFont val="Arial"/>
      </rPr>
      <t xml:space="preserve">Fabriqué e </t>
    </r>
    <r>
      <rPr>
        <sz val="6.5"/>
        <rFont val="Arial"/>
      </rPr>
      <t>CN - CINA</t>
    </r>
  </si>
  <si>
    <r>
      <rPr>
        <sz val="6.5"/>
        <rFont val="Arial"/>
      </rPr>
      <t>285 OBAGB009 EVS00 075</t>
    </r>
  </si>
  <si>
    <r>
      <rPr>
        <sz val="6.5"/>
        <rFont val="Arial"/>
      </rPr>
      <t xml:space="preserve">CORPS O BAG 50 EVA COMPOUND ROSE SMOKE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</si>
  <si>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286 OCLKD001 MES88 076</t>
    </r>
  </si>
  <si>
    <r>
      <rPr>
        <sz val="6.5"/>
        <rFont val="Arial"/>
      </rPr>
      <t xml:space="preserve">O CLOCK MÉCANISME NYC JUNGLE ROUGE
</t>
    </r>
    <r>
      <rPr>
        <b/>
        <sz val="7"/>
        <rFont val="Arial"/>
      </rPr>
      <t xml:space="preserve">Fabriqué e </t>
    </r>
    <r>
      <rPr>
        <sz val="6.5"/>
        <rFont val="Arial"/>
      </rPr>
      <t>CN - CINA</t>
    </r>
  </si>
  <si>
    <r>
      <rPr>
        <sz val="6.5"/>
        <rFont val="Arial"/>
      </rPr>
      <t>287 OBAGT001 TESF8 480</t>
    </r>
  </si>
  <si>
    <r>
      <rPr>
        <sz val="6.5"/>
        <rFont val="Arial"/>
      </rPr>
      <t xml:space="preserve">REVERS O BAG EN TISSU DEAUVILLE À RAYURES LARGES NAVY/CRÈME
</t>
    </r>
    <r>
      <rPr>
        <b/>
        <sz val="7"/>
        <rFont val="Arial"/>
      </rPr>
      <t xml:space="preserve">Fabriqué e </t>
    </r>
    <r>
      <rPr>
        <sz val="6.5"/>
        <rFont val="Arial"/>
      </rPr>
      <t>CN - CINA</t>
    </r>
  </si>
  <si>
    <r>
      <rPr>
        <sz val="6.5"/>
        <rFont val="Arial"/>
      </rPr>
      <t>288 SHOUBG00 ECS35 479</t>
    </r>
  </si>
  <si>
    <r>
      <rPr>
        <sz val="6.5"/>
        <rFont val="Arial"/>
      </rPr>
      <t xml:space="preserve">BANDOULIÈRE /BRETELLE SLIM 140 EN FAUX CUIR BASIC SKYWAY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</si>
  <si>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289 OBAGB002 EVS00 483</t>
    </r>
  </si>
  <si>
    <r>
      <rPr>
        <sz val="6.5"/>
        <rFont val="Arial"/>
      </rPr>
      <t xml:space="preserve">CORPS O BAG MINI EVA COMPOUND CHAMPAGNE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</si>
  <si>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290 HLESD200 ROS05 489</t>
    </r>
  </si>
  <si>
    <r>
      <rPr>
        <sz val="6.5"/>
        <rFont val="Arial"/>
      </rPr>
      <t xml:space="preserve">ANSES LONGUES ADAPTABLES GOUTTE EN CORDE + GOUTTE TISSU CAOUTCHOUTÉ ROUGE/NAVY/BL
</t>
    </r>
    <r>
      <rPr>
        <b/>
        <sz val="7"/>
        <rFont val="Arial"/>
      </rPr>
      <t xml:space="preserve">Fabriqué e </t>
    </r>
    <r>
      <rPr>
        <sz val="6.5"/>
        <rFont val="Arial"/>
      </rPr>
      <t xml:space="preserve">IT - ITALIA </t>
    </r>
    <r>
      <rPr>
        <b/>
        <sz val="7"/>
        <rFont val="Arial"/>
      </rPr>
      <t>label</t>
    </r>
  </si>
  <si>
    <r>
      <rPr>
        <sz val="6.5"/>
        <rFont val="Arial"/>
      </rPr>
      <t>291 OBAGB001 EVS17 076</t>
    </r>
  </si>
  <si>
    <r>
      <rPr>
        <sz val="6.5"/>
        <rFont val="Arial"/>
      </rPr>
      <t xml:space="preserve">CORPS O BAG EVA COMPOUND + CLOUS PYRAMIDES ROUGE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</si>
  <si>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292 OCLKE013 MAS00 036</t>
    </r>
  </si>
  <si>
    <r>
      <rPr>
        <sz val="6.5"/>
        <rFont val="Arial"/>
      </rPr>
      <t xml:space="preserve">O CLOCK SHIFT CASE CLASSIC SLIM EN PLASTIQUE JAUNE
</t>
    </r>
    <r>
      <rPr>
        <b/>
        <sz val="7"/>
        <rFont val="Arial"/>
      </rPr>
      <t xml:space="preserve">Fabriqué e </t>
    </r>
    <r>
      <rPr>
        <sz val="6.5"/>
        <rFont val="Arial"/>
      </rPr>
      <t>CN - CINA</t>
    </r>
  </si>
  <si>
    <r>
      <rPr>
        <sz val="6.5"/>
        <rFont val="Arial"/>
      </rPr>
      <t>293 SHOUWA00 ECS66 475</t>
    </r>
  </si>
  <si>
    <r>
      <rPr>
        <sz val="6.5"/>
        <rFont val="Arial"/>
      </rPr>
      <t xml:space="preserve">BANDOULIÈRE 80 + GOUTTE TROUÉE EN FAUX CUIR + TISSU DEAUVILLE À RAYURES EFFET FLAMMÉ
</t>
    </r>
    <r>
      <rPr>
        <b/>
        <sz val="7"/>
        <rFont val="Arial"/>
      </rPr>
      <t xml:space="preserve">Fabriqué e </t>
    </r>
    <r>
      <rPr>
        <sz val="6.5"/>
        <rFont val="Arial"/>
      </rPr>
      <t xml:space="preserve">IT - ITALIA </t>
    </r>
    <r>
      <rPr>
        <b/>
        <sz val="7"/>
        <rFont val="Arial"/>
      </rPr>
      <t>label</t>
    </r>
  </si>
  <si>
    <r>
      <rPr>
        <sz val="6.5"/>
        <rFont val="Arial"/>
      </rPr>
      <t>294 OBAGB001 EVS00 371</t>
    </r>
  </si>
  <si>
    <r>
      <rPr>
        <sz val="6.5"/>
        <rFont val="Arial"/>
      </rPr>
      <t xml:space="preserve">CORPS O BAG EVA COMPOUND LATTE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</si>
  <si>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295 ACCEC002 ECS03 422</t>
    </r>
  </si>
  <si>
    <r>
      <rPr>
        <sz val="6.5"/>
        <rFont val="Arial"/>
      </rPr>
      <t xml:space="preserve">ACCESSOIRES CHARMS POMPON EN FAUX CUIR SUÈDE SANGRIA
</t>
    </r>
    <r>
      <rPr>
        <b/>
        <sz val="7"/>
        <rFont val="Arial"/>
      </rPr>
      <t xml:space="preserve">Fabriqué e </t>
    </r>
    <r>
      <rPr>
        <sz val="6.5"/>
        <rFont val="Arial"/>
      </rPr>
      <t>CN - CINA</t>
    </r>
  </si>
  <si>
    <r>
      <rPr>
        <sz val="6.5"/>
        <rFont val="Arial"/>
      </rPr>
      <t>296 OCLKE013 MAS00 055</t>
    </r>
  </si>
  <si>
    <r>
      <rPr>
        <sz val="6.5"/>
        <rFont val="Arial"/>
      </rPr>
      <t xml:space="preserve">O CLOCK SHIFT CASE CLASSIC SLIM EN PLASTIQUE NOIR
</t>
    </r>
    <r>
      <rPr>
        <b/>
        <sz val="7"/>
        <rFont val="Arial"/>
      </rPr>
      <t xml:space="preserve">Fabriqué e </t>
    </r>
    <r>
      <rPr>
        <sz val="6.5"/>
        <rFont val="Arial"/>
      </rPr>
      <t>CN - CINA</t>
    </r>
  </si>
  <si>
    <r>
      <rPr>
        <sz val="6.5"/>
        <rFont val="Arial"/>
      </rPr>
      <t>Pag 2 2</t>
    </r>
    <r>
      <rPr>
        <b/>
        <sz val="7"/>
        <rFont val="Arial"/>
      </rPr>
      <t>4</t>
    </r>
  </si>
  <si>
    <r>
      <rPr>
        <sz val="6.5"/>
        <rFont val="Arial"/>
      </rPr>
      <t>297 OBAGB019 EVS00 076</t>
    </r>
  </si>
  <si>
    <r>
      <rPr>
        <sz val="6.5"/>
        <rFont val="Arial"/>
      </rPr>
      <t xml:space="preserve">CORPS O SQUARE EVA COMPOUND ROUGE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</si>
  <si>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298 OBAGS010 TESE7 055</t>
    </r>
  </si>
  <si>
    <r>
      <rPr>
        <sz val="6.5"/>
        <rFont val="Arial"/>
      </rPr>
      <t xml:space="preserve">POCHETTE INTÉRIEURE FERMETURE ÉCLAIR O CITY EN TOILE NYLON + RUBAN LIVRE BICOLORE NO
</t>
    </r>
    <r>
      <rPr>
        <b/>
        <sz val="7"/>
        <rFont val="Arial"/>
      </rPr>
      <t xml:space="preserve">Fabriqué e </t>
    </r>
    <r>
      <rPr>
        <sz val="6.5"/>
        <rFont val="Arial"/>
      </rPr>
      <t xml:space="preserve">IT - ITALIA </t>
    </r>
    <r>
      <rPr>
        <b/>
        <sz val="7"/>
        <rFont val="Arial"/>
      </rPr>
      <t>label</t>
    </r>
  </si>
  <si>
    <r>
      <rPr>
        <sz val="6.5"/>
        <rFont val="Arial"/>
      </rPr>
      <t>299 OBAGS001 TESE6 055</t>
    </r>
  </si>
  <si>
    <r>
      <rPr>
        <sz val="6.5"/>
        <rFont val="Arial"/>
      </rPr>
      <t xml:space="preserve">POCHETTE INTÉRIEURE FERMETURE ÉCLAIR O BAG EN TISSU NYC À RAYURES BICOLORE NOIR
</t>
    </r>
    <r>
      <rPr>
        <b/>
        <sz val="7"/>
        <rFont val="Arial"/>
      </rPr>
      <t xml:space="preserve">Fabriqué e </t>
    </r>
    <r>
      <rPr>
        <sz val="6.5"/>
        <rFont val="Arial"/>
      </rPr>
      <t xml:space="preserve">CN - CINA </t>
    </r>
    <r>
      <rPr>
        <b/>
        <sz val="7"/>
        <rFont val="Arial"/>
      </rPr>
      <t>label</t>
    </r>
  </si>
  <si>
    <r>
      <rPr>
        <sz val="6.5"/>
        <rFont val="Arial"/>
      </rPr>
      <t>300 OBAGB009 EVS15 075</t>
    </r>
  </si>
  <si>
    <r>
      <rPr>
        <sz val="6.5"/>
        <rFont val="Arial"/>
      </rPr>
      <t xml:space="preserve">CORPS O BAG 50 EVA COMPOUND AVEC APPLICATIONS FLEURS ROSE SMOKE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</si>
  <si>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301 OBAGS002 TESF8 480</t>
    </r>
  </si>
  <si>
    <r>
      <rPr>
        <sz val="6.5"/>
        <rFont val="Arial"/>
      </rPr>
      <t xml:space="preserve">POCHETTE INTÉRIEURE FERMETURE ÉCLAIR O BAG MINI EN TISSU DEAUVILLE À RAYURES LARGES
</t>
    </r>
    <r>
      <rPr>
        <b/>
        <sz val="7"/>
        <rFont val="Arial"/>
      </rPr>
      <t xml:space="preserve">Fabriqué e </t>
    </r>
    <r>
      <rPr>
        <sz val="6.5"/>
        <rFont val="Arial"/>
      </rPr>
      <t xml:space="preserve">CN - CINA </t>
    </r>
    <r>
      <rPr>
        <b/>
        <sz val="7"/>
        <rFont val="Arial"/>
      </rPr>
      <t>label</t>
    </r>
  </si>
  <si>
    <r>
      <rPr>
        <sz val="6.5"/>
        <rFont val="Arial"/>
      </rPr>
      <t>302 OBAGB001 EVS00 076</t>
    </r>
  </si>
  <si>
    <r>
      <rPr>
        <sz val="6.5"/>
        <rFont val="Arial"/>
      </rPr>
      <t xml:space="preserve">CORPS O BAG EVA COMPOUND ROUGE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</si>
  <si>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303 OBAGB019 EVS00 078</t>
    </r>
  </si>
  <si>
    <r>
      <rPr>
        <sz val="6.5"/>
        <rFont val="Arial"/>
      </rPr>
      <t xml:space="preserve">CORPS O SQUARE EVA COMPOUND SABLE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</si>
  <si>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304 OBAGB001 EVS17 422</t>
    </r>
  </si>
  <si>
    <r>
      <rPr>
        <sz val="6.5"/>
        <rFont val="Arial"/>
      </rPr>
      <t xml:space="preserve">CORPS O BAG EVA COMPOUND + CLOUS PYRAMIDES SANGRIA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</si>
  <si>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305 OHUGB002 EVS06 055</t>
    </r>
  </si>
  <si>
    <r>
      <rPr>
        <sz val="6.5"/>
        <rFont val="Arial"/>
      </rPr>
      <t xml:space="preserve">O HUG CORPS PORTEFEUILLE FEMME EVA COMPOUND TEXTURE GRECQUE NOIR 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</si>
  <si>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306 HLESAD00 ECS00 076</t>
    </r>
  </si>
  <si>
    <r>
      <rPr>
        <sz val="6.5"/>
        <rFont val="Arial"/>
      </rPr>
      <t xml:space="preserve">ANSES TUBULAIRES EN FAUX CUIR ROUGE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</si>
  <si>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307 OBAGB009 EVS00 479</t>
    </r>
  </si>
  <si>
    <r>
      <rPr>
        <sz val="6.5"/>
        <rFont val="Arial"/>
      </rPr>
      <t xml:space="preserve">CORPS O BAG 50 EVA COMPOUND SKYWAY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</si>
  <si>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308 OBAGT002 TESG3 481</t>
    </r>
  </si>
  <si>
    <r>
      <rPr>
        <sz val="6.5"/>
        <rFont val="Arial"/>
      </rPr>
      <t xml:space="preserve">REVERS O BAG MINI EN TISSU DEAUVILLE À RAYURES SERRÉES ROUGE/CRÈME
</t>
    </r>
    <r>
      <rPr>
        <b/>
        <sz val="7"/>
        <rFont val="Arial"/>
      </rPr>
      <t xml:space="preserve">Fabriqué e </t>
    </r>
    <r>
      <rPr>
        <sz val="6.5"/>
        <rFont val="Arial"/>
      </rPr>
      <t>CN - CINA</t>
    </r>
  </si>
  <si>
    <r>
      <rPr>
        <sz val="6.5"/>
        <rFont val="Arial"/>
      </rPr>
      <t>309 OBAGB021 EVS03 076</t>
    </r>
  </si>
  <si>
    <r>
      <rPr>
        <sz val="6.5"/>
        <rFont val="Arial"/>
      </rPr>
      <t xml:space="preserve">CORPS O SWING EVA COMPOUND EFFET OSIER ROUGE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</si>
  <si>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Pag 2 2</t>
    </r>
    <r>
      <rPr>
        <b/>
        <sz val="7"/>
        <rFont val="Arial"/>
      </rPr>
      <t>5</t>
    </r>
  </si>
  <si>
    <r>
      <rPr>
        <sz val="6.5"/>
        <rFont val="Arial"/>
      </rPr>
      <t>310 OBAGB017 EVS00 017</t>
    </r>
  </si>
  <si>
    <r>
      <rPr>
        <sz val="6.5"/>
        <rFont val="Arial"/>
      </rPr>
      <t xml:space="preserve">CORPS O MOON LIGHT EVA COMPOUND NAVY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</si>
  <si>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311 OCLKD101 MES91 487</t>
    </r>
  </si>
  <si>
    <r>
      <rPr>
        <sz val="6.5"/>
        <rFont val="Arial"/>
      </rPr>
      <t xml:space="preserve">MÉCANISME GREAT NYC LATITUD BLANC/NOIR/CÈDRE
</t>
    </r>
    <r>
      <rPr>
        <b/>
        <sz val="7"/>
        <rFont val="Arial"/>
      </rPr>
      <t xml:space="preserve">Fabriqué e </t>
    </r>
    <r>
      <rPr>
        <sz val="6.5"/>
        <rFont val="Arial"/>
      </rPr>
      <t>CN - CINA</t>
    </r>
  </si>
  <si>
    <r>
      <rPr>
        <sz val="6.5"/>
        <rFont val="Arial"/>
      </rPr>
      <t>312 OBAGS016 TESG9 125</t>
    </r>
  </si>
  <si>
    <r>
      <rPr>
        <sz val="6.5"/>
        <rFont val="Arial"/>
      </rPr>
      <t xml:space="preserve">POCHETTE INTÉRIEURE FERMETURE ÉCLAIR O MOON EN TISSU FANTAISIE COQUELICOTS SUR RAYU
</t>
    </r>
    <r>
      <rPr>
        <b/>
        <sz val="7"/>
        <rFont val="Arial"/>
      </rPr>
      <t xml:space="preserve">Fabriqué e </t>
    </r>
    <r>
      <rPr>
        <sz val="6.5"/>
        <rFont val="Arial"/>
      </rPr>
      <t xml:space="preserve">IT - ITALIA </t>
    </r>
    <r>
      <rPr>
        <b/>
        <sz val="7"/>
        <rFont val="Arial"/>
      </rPr>
      <t>label</t>
    </r>
  </si>
  <si>
    <r>
      <rPr>
        <sz val="6.5"/>
        <rFont val="Arial"/>
      </rPr>
      <t>313 OBAGS121 TES01 054</t>
    </r>
  </si>
  <si>
    <r>
      <rPr>
        <sz val="6.5"/>
        <rFont val="Arial"/>
      </rPr>
      <t xml:space="preserve">POCHETTE INTÉRIEURE À COULISSE O SWING EN TISSU CANVAS NUDE
</t>
    </r>
    <r>
      <rPr>
        <b/>
        <sz val="7"/>
        <rFont val="Arial"/>
      </rPr>
      <t xml:space="preserve">Fabriqué e </t>
    </r>
    <r>
      <rPr>
        <sz val="6.5"/>
        <rFont val="Arial"/>
      </rPr>
      <t>CN - CINA</t>
    </r>
  </si>
  <si>
    <r>
      <rPr>
        <sz val="6.5"/>
        <rFont val="Arial"/>
      </rPr>
      <t>314 OBAGT001 TESG8 061</t>
    </r>
  </si>
  <si>
    <r>
      <rPr>
        <sz val="6.5"/>
        <rFont val="Arial"/>
      </rPr>
      <t xml:space="preserve">REVERS O BAG EN TISSU FLOWER BRODERIE ANGLAISE MÉTALLISÉE OR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</si>
  <si>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315 ACCEC002 ECS65 036</t>
    </r>
  </si>
  <si>
    <r>
      <rPr>
        <sz val="6.5"/>
        <rFont val="Arial"/>
      </rPr>
      <t xml:space="preserve">ACCESSOIRES CHARMS POMPON EN FAUX CUIR PLEX + CLOUS JAUNE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</si>
  <si>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316 OBAGS010 TESE3 227</t>
    </r>
  </si>
  <si>
    <r>
      <rPr>
        <sz val="6.5"/>
        <rFont val="Arial"/>
      </rPr>
      <t xml:space="preserve">POCHETTE INTÉRIEURE FERMETURE ÉCLAIR O CITY EN TISSU NYC VICHY BLANC/NOIR </t>
    </r>
    <r>
      <rPr>
        <b/>
        <sz val="7"/>
        <rFont val="Arial"/>
      </rPr>
      <t xml:space="preserve">Fabriqué e </t>
    </r>
    <r>
      <rPr>
        <sz val="6.5"/>
        <rFont val="Arial"/>
      </rPr>
      <t>CN - CINA</t>
    </r>
  </si>
  <si>
    <r>
      <rPr>
        <sz val="6.5"/>
        <rFont val="Arial"/>
      </rPr>
      <t>317 OBAGA000 ECS40 483</t>
    </r>
  </si>
  <si>
    <r>
      <rPr>
        <sz val="6.5"/>
        <rFont val="Arial"/>
      </rPr>
      <t xml:space="preserve">ACCESSOIRE CLIP EN FAUX CUIR OPAQUE + OR CHAMPAGNE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</si>
  <si>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318 ACCEP014 ECS35 055</t>
    </r>
  </si>
  <si>
    <r>
      <rPr>
        <sz val="6.5"/>
        <rFont val="Arial"/>
      </rPr>
      <t xml:space="preserve">ACCESSOIRES POCHETTE FILET EN FAUX CUIR BASIC NOIR
</t>
    </r>
    <r>
      <rPr>
        <b/>
        <sz val="7"/>
        <rFont val="Arial"/>
      </rPr>
      <t xml:space="preserve">Fabriqué e </t>
    </r>
    <r>
      <rPr>
        <sz val="6.5"/>
        <rFont val="Arial"/>
      </rPr>
      <t>CN - CINA</t>
    </r>
  </si>
  <si>
    <r>
      <rPr>
        <sz val="6.5"/>
        <rFont val="Arial"/>
      </rPr>
      <t>319 OCLKD101 MES85 483</t>
    </r>
  </si>
  <si>
    <r>
      <rPr>
        <sz val="6.5"/>
        <rFont val="Arial"/>
      </rPr>
      <t xml:space="preserve">MÉCANISME GREAT URBAN DECOR DIAMONDS CHAMPAGNE
</t>
    </r>
    <r>
      <rPr>
        <b/>
        <sz val="7"/>
        <rFont val="Arial"/>
      </rPr>
      <t xml:space="preserve">Fabriqué e </t>
    </r>
    <r>
      <rPr>
        <sz val="6.5"/>
        <rFont val="Arial"/>
      </rPr>
      <t>CN - CINA</t>
    </r>
  </si>
  <si>
    <r>
      <rPr>
        <sz val="6.5"/>
        <rFont val="Arial"/>
      </rPr>
      <t>320 OHUGB002 EVS06 050</t>
    </r>
  </si>
  <si>
    <r>
      <rPr>
        <sz val="6.5"/>
        <rFont val="Arial"/>
      </rPr>
      <t xml:space="preserve">O HUG CORPS PORTEFEUILLE FEMME EVA COMPOUND TEXTURE GRECQUE AUBERGINE 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</si>
  <si>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321 OBAGB021 EVS03 017</t>
    </r>
  </si>
  <si>
    <r>
      <rPr>
        <sz val="6.5"/>
        <rFont val="Arial"/>
      </rPr>
      <t xml:space="preserve">CORPS O SWING EVA COMPOUND EFFET OSIER NAVY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</si>
  <si>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322 ACCEF001 TESF5 478</t>
    </r>
  </si>
  <si>
    <r>
      <rPr>
        <sz val="6.5"/>
        <rFont val="Arial"/>
      </rPr>
      <t xml:space="preserve">BANDEAU BRACELET FOULARD TISSU LUXURY DRIPPING BLUETTE/ROUGE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</si>
  <si>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Pag 2 2</t>
    </r>
    <r>
      <rPr>
        <b/>
        <sz val="7"/>
        <rFont val="Arial"/>
      </rPr>
      <t>6</t>
    </r>
  </si>
  <si>
    <r>
      <rPr>
        <sz val="6.5"/>
        <rFont val="Arial"/>
      </rPr>
      <t>323 OBAGB002 EVS18 371</t>
    </r>
  </si>
  <si>
    <r>
      <rPr>
        <sz val="6.5"/>
        <rFont val="Arial"/>
      </rPr>
      <t xml:space="preserve">CORPS O BAG MINI EVA COMPOUND TEXTURE À CHEVRONS LATTE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</si>
  <si>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324 ACCEC002 ECS03 371</t>
    </r>
  </si>
  <si>
    <r>
      <rPr>
        <sz val="6.5"/>
        <rFont val="Arial"/>
      </rPr>
      <t xml:space="preserve">ACCESSOIRES CHARMS POMPON EN FAUX CUIR SUÈDE LATTE
</t>
    </r>
    <r>
      <rPr>
        <b/>
        <sz val="7"/>
        <rFont val="Arial"/>
      </rPr>
      <t xml:space="preserve">Fabriqué e </t>
    </r>
    <r>
      <rPr>
        <sz val="6.5"/>
        <rFont val="Arial"/>
      </rPr>
      <t>CN - CINA</t>
    </r>
  </si>
  <si>
    <r>
      <rPr>
        <sz val="6.5"/>
        <rFont val="Arial"/>
      </rPr>
      <t>325 OBAGA000 ECS42 422</t>
    </r>
  </si>
  <si>
    <r>
      <rPr>
        <sz val="6.5"/>
        <rFont val="Arial"/>
      </rPr>
      <t xml:space="preserve">ACCESSOIRE CLIP EN FAUX CUIR OPAQUE + ARGENT SANGRIA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</si>
  <si>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326 OBAGB016 EVS19 483</t>
    </r>
  </si>
  <si>
    <r>
      <rPr>
        <sz val="6.5"/>
        <rFont val="Arial"/>
      </rPr>
      <t xml:space="preserve">CORPS O MOON EVA COMPOUND TEXTURE URBAN FRAME CHAMPAGNE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</si>
  <si>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327 OBAGB010 EVS00 347</t>
    </r>
  </si>
  <si>
    <r>
      <rPr>
        <sz val="6.5"/>
        <rFont val="Arial"/>
      </rPr>
      <t xml:space="preserve">CORPS O CITY EVA COMPOUND CÈDRE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</si>
  <si>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328 OCLKSB01 INS00 422</t>
    </r>
  </si>
  <si>
    <r>
      <rPr>
        <sz val="6.5"/>
        <rFont val="Arial"/>
      </rPr>
      <t xml:space="preserve">O CLOCK SHIFT BRACELET BAND EN MATÉRIAU INJECTÉ SANGRIA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</si>
  <si>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329 OBAGB009 EVS15 371</t>
    </r>
  </si>
  <si>
    <r>
      <rPr>
        <sz val="6.5"/>
        <rFont val="Arial"/>
      </rPr>
      <t xml:space="preserve">CORPS O BAG 50 EVA COMPOUND AVEC APPLICATIONS FLEURS LATTE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</si>
  <si>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330 OCLKD104 MES90 055</t>
    </r>
  </si>
  <si>
    <r>
      <rPr>
        <sz val="6.5"/>
        <rFont val="Arial"/>
      </rPr>
      <t xml:space="preserve">MÉCANISME GREAT DATE NYC TIMES SQUARE NOIR
</t>
    </r>
    <r>
      <rPr>
        <b/>
        <sz val="7"/>
        <rFont val="Arial"/>
      </rPr>
      <t xml:space="preserve">Fabriqué e </t>
    </r>
    <r>
      <rPr>
        <sz val="6.5"/>
        <rFont val="Arial"/>
      </rPr>
      <t>CN - CINA</t>
    </r>
  </si>
  <si>
    <r>
      <rPr>
        <sz val="6.5"/>
        <rFont val="Arial"/>
      </rPr>
      <t>331 OBAGS010 TES01 347</t>
    </r>
  </si>
  <si>
    <r>
      <rPr>
        <sz val="6.5"/>
        <rFont val="Arial"/>
      </rPr>
      <t xml:space="preserve">POCHETTE INTÉRIEURE FERMETURE ÉCLAIR O CITY EN TISSU CANVAS CÈDRE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</si>
  <si>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332 HLESG000 ROS04 500</t>
    </r>
  </si>
  <si>
    <r>
      <rPr>
        <sz val="6.5"/>
        <rFont val="Arial"/>
      </rPr>
      <t xml:space="preserve">ANSES LONGUES EN CORDE TRICOLORE BLANC/BLUETTE/NAVY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</si>
  <si>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333 OCLKD001 MES80 484</t>
    </r>
  </si>
  <si>
    <r>
      <rPr>
        <sz val="6.5"/>
        <rFont val="Arial"/>
      </rPr>
      <t xml:space="preserve">O CLOCK MÉCANISME DEAUVILLE LINES + FLOWERS CORAIL
</t>
    </r>
    <r>
      <rPr>
        <b/>
        <sz val="7"/>
        <rFont val="Arial"/>
      </rPr>
      <t xml:space="preserve">Fabriqué e </t>
    </r>
    <r>
      <rPr>
        <sz val="6.5"/>
        <rFont val="Arial"/>
      </rPr>
      <t>CN - CINA</t>
    </r>
  </si>
  <si>
    <r>
      <rPr>
        <sz val="6.5"/>
        <rFont val="Arial"/>
      </rPr>
      <t>334 OBAGP006 TESE8 227</t>
    </r>
  </si>
  <si>
    <r>
      <rPr>
        <sz val="6.5"/>
        <rFont val="Arial"/>
      </rPr>
      <t xml:space="preserve">RABAT O POCKET EN TISSU NYC FANTAISIE GÉOMÉTRIQUE BLANC/NOIR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</si>
  <si>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335 OBAGB206 EVS00 026</t>
    </r>
  </si>
  <si>
    <r>
      <rPr>
        <sz val="6.5"/>
        <rFont val="Arial"/>
      </rPr>
      <t xml:space="preserve">CORPS INFÉRIEUR O POCKET EVA COMPOUND BLEU COBALT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</si>
  <si>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Pag 2 2</t>
    </r>
    <r>
      <rPr>
        <b/>
        <sz val="7"/>
        <rFont val="Arial"/>
      </rPr>
      <t>7</t>
    </r>
  </si>
  <si>
    <r>
      <rPr>
        <sz val="6.5"/>
        <rFont val="Arial"/>
      </rPr>
      <t>336 OCLKD001 MES86 347</t>
    </r>
  </si>
  <si>
    <r>
      <rPr>
        <sz val="6.5"/>
        <rFont val="Arial"/>
      </rPr>
      <t xml:space="preserve">O CLOCK MÉCANISME NYC LINES CÈDRE
</t>
    </r>
    <r>
      <rPr>
        <b/>
        <sz val="7"/>
        <rFont val="Arial"/>
      </rPr>
      <t xml:space="preserve">Fabriqué e </t>
    </r>
    <r>
      <rPr>
        <sz val="6.5"/>
        <rFont val="Arial"/>
      </rPr>
      <t>CN - CINA</t>
    </r>
  </si>
  <si>
    <r>
      <rPr>
        <sz val="6.5"/>
        <rFont val="Arial"/>
      </rPr>
      <t>337 OBAGP106 TES13 017</t>
    </r>
  </si>
  <si>
    <r>
      <rPr>
        <sz val="6.5"/>
        <rFont val="Arial"/>
      </rPr>
      <t xml:space="preserve">RABAT AVEC BANDEAU O POCKET TISSU DENIM NAVY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</si>
  <si>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338 OCLKE013 MAS00 008</t>
    </r>
  </si>
  <si>
    <r>
      <rPr>
        <sz val="6.5"/>
        <rFont val="Arial"/>
      </rPr>
      <t xml:space="preserve">O CLOCK SHIFT CASE CLASSIC SLIM EN PLASTIQUE BLANC
</t>
    </r>
    <r>
      <rPr>
        <b/>
        <sz val="7"/>
        <rFont val="Arial"/>
      </rPr>
      <t xml:space="preserve">Fabriqué e </t>
    </r>
    <r>
      <rPr>
        <sz val="6.5"/>
        <rFont val="Arial"/>
      </rPr>
      <t>CN - CINA</t>
    </r>
  </si>
  <si>
    <r>
      <rPr>
        <sz val="6.5"/>
        <rFont val="Arial"/>
      </rPr>
      <t>339 OCLKE013 MAS00 422</t>
    </r>
  </si>
  <si>
    <r>
      <rPr>
        <sz val="6.5"/>
        <rFont val="Arial"/>
      </rPr>
      <t xml:space="preserve">O CLOCK SHIFT CASE CLASSIC SLIM EN PLASTIQUE SANGRIA
</t>
    </r>
    <r>
      <rPr>
        <b/>
        <sz val="7"/>
        <rFont val="Arial"/>
      </rPr>
      <t xml:space="preserve">Fabriqué e </t>
    </r>
    <r>
      <rPr>
        <sz val="6.5"/>
        <rFont val="Arial"/>
      </rPr>
      <t>CN - CINA</t>
    </r>
  </si>
  <si>
    <r>
      <rPr>
        <sz val="6.5"/>
        <rFont val="Arial"/>
      </rPr>
      <t>340 OBAGPA10 ECS35 017</t>
    </r>
  </si>
  <si>
    <r>
      <rPr>
        <sz val="6.5"/>
        <rFont val="Arial"/>
      </rPr>
      <t xml:space="preserve">RABAT TOURNIQUET O CITY EN FAUX CUIR BASIC NAVY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</si>
  <si>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341 OBAGB001 EVS00 055</t>
    </r>
  </si>
  <si>
    <r>
      <rPr>
        <sz val="6.5"/>
        <rFont val="Arial"/>
      </rPr>
      <t xml:space="preserve">CORPS O BAG EVA COMPOUND NOIR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</si>
  <si>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342 OBAGB017 EVS00 071</t>
    </r>
  </si>
  <si>
    <r>
      <rPr>
        <sz val="6.5"/>
        <rFont val="Arial"/>
      </rPr>
      <t xml:space="preserve">CORPS O MOON LIGHT EVA COMPOUND TAUPE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</si>
  <si>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343 OBAGS001 TES01 075</t>
    </r>
  </si>
  <si>
    <r>
      <rPr>
        <sz val="6.5"/>
        <rFont val="Arial"/>
      </rPr>
      <t xml:space="preserve">POCHETTE INTÉRIEURE FERMETURE ÉCLAIR O BAG EN TISSU CANVAS ROSE SMOKE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</si>
  <si>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344 HLESD200 ROS05 008</t>
    </r>
  </si>
  <si>
    <r>
      <rPr>
        <sz val="6.5"/>
        <rFont val="Arial"/>
      </rPr>
      <t xml:space="preserve">ANSES LONGUES ADAPTABLES GOUTTE EN CORDE + GOUTTE TISSU CAOUTCHOUTÉ BLANC 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</si>
  <si>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345 OBAGP006 TESF8 481</t>
    </r>
  </si>
  <si>
    <r>
      <rPr>
        <sz val="6.5"/>
        <rFont val="Arial"/>
      </rPr>
      <t xml:space="preserve">RABAT O POCKET EN TISSU DEAUVILLE À RAYURES LARGES ROUGE/CRÈME
</t>
    </r>
    <r>
      <rPr>
        <b/>
        <sz val="7"/>
        <rFont val="Arial"/>
      </rPr>
      <t xml:space="preserve">Fabriqué e </t>
    </r>
    <r>
      <rPr>
        <sz val="6.5"/>
        <rFont val="Arial"/>
      </rPr>
      <t>CN - CINA</t>
    </r>
  </si>
  <si>
    <r>
      <rPr>
        <sz val="6.5"/>
        <rFont val="Arial"/>
      </rPr>
      <t>346 OBAGB009 EVS15 479</t>
    </r>
  </si>
  <si>
    <r>
      <rPr>
        <sz val="6.5"/>
        <rFont val="Arial"/>
      </rPr>
      <t xml:space="preserve">CORPS O BAG 50 EVA COMPOUND AVEC APPLICATIONS FLEURS SKYWAY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</si>
  <si>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347 OBAGB017 EVS00 347</t>
    </r>
  </si>
  <si>
    <r>
      <rPr>
        <sz val="6.5"/>
        <rFont val="Arial"/>
      </rPr>
      <t xml:space="preserve">CORPS O MOON LIGHT EVA COMPOUND CÈDRE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</si>
  <si>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348 HLESAD00 ECS00 055</t>
    </r>
  </si>
  <si>
    <r>
      <rPr>
        <sz val="6.5"/>
        <rFont val="Arial"/>
      </rPr>
      <t>10 PZ</t>
    </r>
  </si>
  <si>
    <r>
      <rPr>
        <sz val="6.5"/>
        <rFont val="Arial"/>
      </rPr>
      <t xml:space="preserve">ANSES TUBULAIRES EN FAUX CUIR NOIR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</si>
  <si>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Pag 2 2</t>
    </r>
    <r>
      <rPr>
        <b/>
        <sz val="7"/>
        <rFont val="Arial"/>
      </rPr>
      <t>8</t>
    </r>
  </si>
  <si>
    <r>
      <rPr>
        <sz val="6.5"/>
        <rFont val="Arial"/>
      </rPr>
      <t>349 ACCEC002 ECS03 076</t>
    </r>
  </si>
  <si>
    <r>
      <rPr>
        <sz val="6.5"/>
        <rFont val="Arial"/>
      </rPr>
      <t xml:space="preserve">ACCESSOIRES CHARMS POMPON EN FAUX CUIR SUÈDE ROUGE
</t>
    </r>
    <r>
      <rPr>
        <b/>
        <sz val="7"/>
        <rFont val="Arial"/>
      </rPr>
      <t xml:space="preserve">Fabriqué e </t>
    </r>
    <r>
      <rPr>
        <sz val="6.5"/>
        <rFont val="Arial"/>
      </rPr>
      <t>CN - CINA</t>
    </r>
  </si>
  <si>
    <r>
      <rPr>
        <sz val="6.5"/>
        <rFont val="Arial"/>
      </rPr>
      <t>350 HLESGC00 ROS04 475</t>
    </r>
  </si>
  <si>
    <r>
      <rPr>
        <sz val="6.5"/>
        <rFont val="Arial"/>
      </rPr>
      <t xml:space="preserve">ANSES COURTES EN CORDE TRICOLORE BLANC/ROUGE/BLEU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</si>
  <si>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351 ACCEC002 ECS03 026</t>
    </r>
  </si>
  <si>
    <r>
      <rPr>
        <sz val="6.5"/>
        <rFont val="Arial"/>
      </rPr>
      <t xml:space="preserve">ACCESSOIRES CHARMS POMPON EN FAUX CUIR SUÈDE BLEU COBALT
</t>
    </r>
    <r>
      <rPr>
        <b/>
        <sz val="7"/>
        <rFont val="Arial"/>
      </rPr>
      <t xml:space="preserve">Fabriqué e </t>
    </r>
    <r>
      <rPr>
        <sz val="6.5"/>
        <rFont val="Arial"/>
      </rPr>
      <t>CN - CINA</t>
    </r>
  </si>
  <si>
    <r>
      <rPr>
        <sz val="6.5"/>
        <rFont val="Arial"/>
      </rPr>
      <t>352 OBAGB024 EVS00 055</t>
    </r>
  </si>
  <si>
    <r>
      <rPr>
        <sz val="6.5"/>
        <rFont val="Arial"/>
      </rPr>
      <t xml:space="preserve">CORPS O POCKET MICRO EVA COMPOUND NOIR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</si>
  <si>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353 SHOUWA00 ECS51 422</t>
    </r>
  </si>
  <si>
    <r>
      <rPr>
        <sz val="6.5"/>
        <rFont val="Arial"/>
      </rPr>
      <t xml:space="preserve">BANDOULIÈRE COURTE NEW GOUTTE TROUÉE EN FAUX CUIR CLOUS PYRAMIDES SANGRIA </t>
    </r>
    <r>
      <rPr>
        <b/>
        <sz val="7"/>
        <rFont val="Arial"/>
      </rPr>
      <t xml:space="preserve">Fabriqué e </t>
    </r>
    <r>
      <rPr>
        <sz val="6.5"/>
        <rFont val="Arial"/>
      </rPr>
      <t>CN - CINA</t>
    </r>
  </si>
  <si>
    <r>
      <rPr>
        <sz val="6.5"/>
        <rFont val="Arial"/>
      </rPr>
      <t>354 OHUGI002 ECS68 227</t>
    </r>
  </si>
  <si>
    <r>
      <rPr>
        <sz val="6.5"/>
        <rFont val="Arial"/>
      </rPr>
      <t xml:space="preserve">O HUG INTÉRIEUR PORTEFEUILLE FEMME EN FAUX CUIR VICHY BLANC/NOIR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</si>
  <si>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355 HLESAD00 ECS00 017</t>
    </r>
  </si>
  <si>
    <r>
      <rPr>
        <sz val="6.5"/>
        <rFont val="Arial"/>
      </rPr>
      <t>356 HLESAE00 ECS00 075</t>
    </r>
  </si>
  <si>
    <r>
      <rPr>
        <sz val="6.5"/>
        <rFont val="Arial"/>
      </rPr>
      <t>357 OBAGS017 TESG3 481</t>
    </r>
  </si>
  <si>
    <r>
      <rPr>
        <sz val="6.5"/>
        <rFont val="Arial"/>
      </rPr>
      <t xml:space="preserve">POCHETTE INTÉRIEURE FERMETURE ÉCLAIR O MOON LIGHT EN TISSU DEAUVILLE À RAYURES SERR
</t>
    </r>
    <r>
      <rPr>
        <b/>
        <sz val="7"/>
        <rFont val="Arial"/>
      </rPr>
      <t xml:space="preserve">Fabriqué e </t>
    </r>
    <r>
      <rPr>
        <sz val="6.5"/>
        <rFont val="Arial"/>
      </rPr>
      <t xml:space="preserve">CN - CINA </t>
    </r>
    <r>
      <rPr>
        <b/>
        <sz val="7"/>
        <rFont val="Arial"/>
      </rPr>
      <t>label</t>
    </r>
  </si>
  <si>
    <r>
      <rPr>
        <sz val="6.5"/>
        <rFont val="Arial"/>
      </rPr>
      <t>358 OBAGS017 TES26 078</t>
    </r>
  </si>
  <si>
    <r>
      <rPr>
        <sz val="6.5"/>
        <rFont val="Arial"/>
      </rPr>
      <t xml:space="preserve">POCHETTE INTÉRIEURE FERMETURE ÉCLAIR O MOON LIGHT EN TISSU CORDURA SABLE 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</si>
  <si>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359 OBAGS001 TES01 026</t>
    </r>
  </si>
  <si>
    <r>
      <rPr>
        <sz val="6.5"/>
        <rFont val="Arial"/>
      </rPr>
      <t xml:space="preserve">POCHETTE INTÉRIEURE FERMETURE ÉCLAIR O BAG EN TISSU CANVAS BLEU COBALT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</si>
  <si>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360 OBAGB206 EVS00 133</t>
    </r>
  </si>
  <si>
    <r>
      <rPr>
        <sz val="6.5"/>
        <rFont val="Arial"/>
      </rPr>
      <t xml:space="preserve">CORPS INFÉRIEUR O POCKET EVA COMPOUND GRIS CLAIR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</si>
  <si>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361 OBAGS002 TES01 347</t>
    </r>
  </si>
  <si>
    <r>
      <rPr>
        <sz val="6.5"/>
        <rFont val="Arial"/>
      </rPr>
      <t xml:space="preserve">POCHETTE INTÉRIEURE FERMETURE ÉCLAIR O BAG MINI EN TISSU CANVAS CÈDRE 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</si>
  <si>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Pag 2 2</t>
    </r>
    <r>
      <rPr>
        <b/>
        <sz val="7"/>
        <rFont val="Arial"/>
      </rPr>
      <t>9</t>
    </r>
  </si>
  <si>
    <r>
      <rPr>
        <sz val="6.5"/>
        <rFont val="Arial"/>
      </rPr>
      <t>362 ACCEC002 ECS65 055</t>
    </r>
  </si>
  <si>
    <r>
      <rPr>
        <sz val="6.5"/>
        <rFont val="Arial"/>
      </rPr>
      <t xml:space="preserve">ACCESSOIRES CHARMS POMPON EN FAUX CUIR PLEX + CLOUS NOIR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</si>
  <si>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363 OBAGB206 EVS00 158</t>
    </r>
  </si>
  <si>
    <r>
      <rPr>
        <sz val="6.5"/>
        <rFont val="Arial"/>
      </rPr>
      <t xml:space="preserve">CORPS INFÉRIEUR O POCKET EVA COMPOUND VOLCAN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</si>
  <si>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364 OBAGB002 EVS00 158</t>
    </r>
  </si>
  <si>
    <r>
      <rPr>
        <sz val="6.5"/>
        <rFont val="Arial"/>
      </rPr>
      <t xml:space="preserve">CORPS O BAG MINI EVA COMPOUND VOLCAN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</si>
  <si>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365 OBAGB001 EVS17 008</t>
    </r>
  </si>
  <si>
    <r>
      <rPr>
        <sz val="6.5"/>
        <rFont val="Arial"/>
      </rPr>
      <t xml:space="preserve">CORPS O BAG EVA COMPOUND + CLOUS PYRAMIDES BLANC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</si>
  <si>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366 HLESD000 ECS35 017</t>
    </r>
  </si>
  <si>
    <r>
      <rPr>
        <sz val="6.5"/>
        <rFont val="Arial"/>
      </rPr>
      <t xml:space="preserve">ANSES LONGUES ADAPTABLES EN FAUX CUIR BASIC NAVY
</t>
    </r>
    <r>
      <rPr>
        <b/>
        <sz val="7"/>
        <rFont val="Arial"/>
      </rPr>
      <t xml:space="preserve">Fabriqué e </t>
    </r>
    <r>
      <rPr>
        <sz val="6.5"/>
        <rFont val="Arial"/>
      </rPr>
      <t>CN - CINA</t>
    </r>
  </si>
  <si>
    <r>
      <rPr>
        <sz val="6.5"/>
        <rFont val="Arial"/>
      </rPr>
      <t>367 OCLKSB01 INS00 060</t>
    </r>
  </si>
  <si>
    <r>
      <rPr>
        <sz val="6.5"/>
        <rFont val="Arial"/>
      </rPr>
      <t xml:space="preserve">O CLOCK SHIFT BRACELET BAND EN MATÉRIAU INJECTÉ OLIVE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</si>
  <si>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368 OBAGB426 ECS67 479</t>
    </r>
  </si>
  <si>
    <r>
      <rPr>
        <sz val="6.5"/>
        <rFont val="Arial"/>
      </rPr>
      <t xml:space="preserve">CORPS COMPLET O BAG TOTE EN FAUX CUIR SOFT TOUCH SKYWAY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</si>
  <si>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369 OBAGB002 EVS00 133</t>
    </r>
  </si>
  <si>
    <r>
      <rPr>
        <sz val="6.5"/>
        <rFont val="Arial"/>
      </rPr>
      <t xml:space="preserve">CORPS O BAG MINI EVA COMPOUND GRIS CLAIR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</si>
  <si>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370 OBAGB016 EVS00 158</t>
    </r>
  </si>
  <si>
    <r>
      <rPr>
        <sz val="6.5"/>
        <rFont val="Arial"/>
      </rPr>
      <t xml:space="preserve">CORPS O MOON EVA COMPOUND VOLCAN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</si>
  <si>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371 OBAGB019 EVS00 158</t>
    </r>
  </si>
  <si>
    <r>
      <rPr>
        <sz val="6.5"/>
        <rFont val="Arial"/>
      </rPr>
      <t xml:space="preserve">CORPS O SQUARE EVA COMPOUND VOLCAN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</si>
  <si>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372 ACCEF001 TESF4 473</t>
    </r>
  </si>
  <si>
    <r>
      <rPr>
        <sz val="6.5"/>
        <rFont val="Arial"/>
      </rPr>
      <t xml:space="preserve">BANDEAU BRACELET FOULARD TISSU LUXURY CÔTELÉ BLUETTE/BLEU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</si>
  <si>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373 OBAGS002 TESH2 036</t>
    </r>
  </si>
  <si>
    <r>
      <rPr>
        <sz val="6.5"/>
        <rFont val="Arial"/>
      </rPr>
      <t xml:space="preserve">POCHETTE INTÉRIEURE FERMETURE ÉCLAIR O BAG MINI EN COTON MOTIF PAPILLONS JAUNE
</t>
    </r>
    <r>
      <rPr>
        <b/>
        <sz val="7"/>
        <rFont val="Arial"/>
      </rPr>
      <t xml:space="preserve">Fabriqué e </t>
    </r>
    <r>
      <rPr>
        <sz val="6.5"/>
        <rFont val="Arial"/>
      </rPr>
      <t xml:space="preserve">CN - CINA </t>
    </r>
    <r>
      <rPr>
        <b/>
        <sz val="7"/>
        <rFont val="Arial"/>
      </rPr>
      <t>label</t>
    </r>
  </si>
  <si>
    <r>
      <rPr>
        <sz val="6.5"/>
        <rFont val="Arial"/>
      </rPr>
      <t>374 ACCEC002 ECS03 036</t>
    </r>
  </si>
  <si>
    <r>
      <rPr>
        <sz val="6.5"/>
        <rFont val="Arial"/>
      </rPr>
      <t xml:space="preserve">ACCESSOIRES CHARMS POMPON EN FAUX CUIR SUÈDE JAUNE
</t>
    </r>
    <r>
      <rPr>
        <b/>
        <sz val="7"/>
        <rFont val="Arial"/>
      </rPr>
      <t xml:space="preserve">Fabriqué e </t>
    </r>
    <r>
      <rPr>
        <sz val="6.5"/>
        <rFont val="Arial"/>
      </rPr>
      <t>CN - CINA</t>
    </r>
  </si>
  <si>
    <r>
      <rPr>
        <sz val="6.5"/>
        <rFont val="Arial"/>
      </rPr>
      <t>Pag 3 3</t>
    </r>
    <r>
      <rPr>
        <b/>
        <sz val="7"/>
        <rFont val="Arial"/>
      </rPr>
      <t>0</t>
    </r>
  </si>
  <si>
    <r>
      <rPr>
        <sz val="6.5"/>
        <rFont val="Arial"/>
      </rPr>
      <t>375 OHUGB002 EVS06 371</t>
    </r>
  </si>
  <si>
    <r>
      <rPr>
        <sz val="6.5"/>
        <rFont val="Arial"/>
      </rPr>
      <t xml:space="preserve">O HUG CORPS PORTEFEUILLE FEMME EVA COMPOUND TEXTURE GRECQUE LATTE 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</si>
  <si>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376 OBAGP006 TESH2 072</t>
    </r>
  </si>
  <si>
    <r>
      <rPr>
        <sz val="6.5"/>
        <rFont val="Arial"/>
      </rPr>
      <t xml:space="preserve">RABAT O POCKET EN COTON MOTIF PAPILLONS ROSE
</t>
    </r>
    <r>
      <rPr>
        <b/>
        <sz val="7"/>
        <rFont val="Arial"/>
      </rPr>
      <t xml:space="preserve">Fabriqué e </t>
    </r>
    <r>
      <rPr>
        <sz val="6.5"/>
        <rFont val="Arial"/>
      </rPr>
      <t>CN - CINA</t>
    </r>
  </si>
  <si>
    <r>
      <rPr>
        <sz val="6.5"/>
        <rFont val="Arial"/>
      </rPr>
      <t>377 OBAGS001 TESG3 481</t>
    </r>
  </si>
  <si>
    <r>
      <rPr>
        <sz val="6.5"/>
        <rFont val="Arial"/>
      </rPr>
      <t xml:space="preserve">POCHETTE INTÉRIEURE FERMETURE ÉCLAIR O BAG EN TISSU DEAUVILLE À RAYURES SERRÉES ROU
</t>
    </r>
    <r>
      <rPr>
        <b/>
        <sz val="7"/>
        <rFont val="Arial"/>
      </rPr>
      <t xml:space="preserve">Fabriqué e </t>
    </r>
    <r>
      <rPr>
        <sz val="6.5"/>
        <rFont val="Arial"/>
      </rPr>
      <t xml:space="preserve">CN - CINA </t>
    </r>
    <r>
      <rPr>
        <b/>
        <sz val="7"/>
        <rFont val="Arial"/>
      </rPr>
      <t>label</t>
    </r>
  </si>
  <si>
    <r>
      <rPr>
        <sz val="6.5"/>
        <rFont val="Arial"/>
      </rPr>
      <t>378 OBAGB426 TESG7 017</t>
    </r>
  </si>
  <si>
    <r>
      <rPr>
        <sz val="6.5"/>
        <rFont val="Arial"/>
      </rPr>
      <t xml:space="preserve">CORPS COMPLET O BAG TOTE EN NYLON COULEUR UNIE NAVY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</si>
  <si>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379 OCLKD001 MES84 075</t>
    </r>
  </si>
  <si>
    <r>
      <rPr>
        <sz val="6.5"/>
        <rFont val="Arial"/>
      </rPr>
      <t xml:space="preserve">O CLOCK MÉCANISME URBAN DECOR PETALS ROSE SMOKE
</t>
    </r>
    <r>
      <rPr>
        <b/>
        <sz val="7"/>
        <rFont val="Arial"/>
      </rPr>
      <t xml:space="preserve">Fabriqué e </t>
    </r>
    <r>
      <rPr>
        <sz val="6.5"/>
        <rFont val="Arial"/>
      </rPr>
      <t>CN - CINA</t>
    </r>
  </si>
  <si>
    <r>
      <rPr>
        <sz val="6.5"/>
        <rFont val="Arial"/>
      </rPr>
      <t>380 OBAGB016 EVS00 075</t>
    </r>
  </si>
  <si>
    <r>
      <rPr>
        <sz val="6.5"/>
        <rFont val="Arial"/>
      </rPr>
      <t xml:space="preserve">CORPS O MOON EVA COMPOUND ROSE SMOKE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</si>
  <si>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381 OBAGB001 EVS00 485</t>
    </r>
  </si>
  <si>
    <r>
      <rPr>
        <sz val="6.5"/>
        <rFont val="Arial"/>
      </rPr>
      <t xml:space="preserve">CORPS O BAG EVA COMPOUND ATLANTIC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</si>
  <si>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382 OBAGB018 EVS03 026</t>
    </r>
  </si>
  <si>
    <r>
      <rPr>
        <sz val="6.5"/>
        <rFont val="Arial"/>
      </rPr>
      <t xml:space="preserve">CORPS O BAG BEACH MINI EVA COMPOUND EFFET OSIER BLEU COBALT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</si>
  <si>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383 OCLKD001 MES82 025</t>
    </r>
  </si>
  <si>
    <r>
      <rPr>
        <sz val="6.5"/>
        <rFont val="Arial"/>
      </rPr>
      <t xml:space="preserve">O CLOCK MÉCANISME URBAN DECOR FLOWERS CIPRIA
</t>
    </r>
    <r>
      <rPr>
        <b/>
        <sz val="7"/>
        <rFont val="Arial"/>
      </rPr>
      <t xml:space="preserve">Fabriqué e </t>
    </r>
    <r>
      <rPr>
        <sz val="6.5"/>
        <rFont val="Arial"/>
      </rPr>
      <t>CN - CINA</t>
    </r>
  </si>
  <si>
    <r>
      <rPr>
        <sz val="6.5"/>
        <rFont val="Arial"/>
      </rPr>
      <t>384 HLESGC00 ROS04 475</t>
    </r>
  </si>
  <si>
    <r>
      <rPr>
        <sz val="6.5"/>
        <rFont val="Arial"/>
      </rPr>
      <t>385 OHUGI002 ECS70 026</t>
    </r>
  </si>
  <si>
    <r>
      <rPr>
        <sz val="6.5"/>
        <rFont val="Arial"/>
      </rPr>
      <t xml:space="preserve">O HUG INTÉRIEUR PORTEFEUILLE FEMME EN FAUX CUIR AVEC BRISÉ BLEU COBALT
</t>
    </r>
    <r>
      <rPr>
        <b/>
        <sz val="7"/>
        <rFont val="Arial"/>
      </rPr>
      <t xml:space="preserve">Fabriqué e </t>
    </r>
    <r>
      <rPr>
        <sz val="6.5"/>
        <rFont val="Arial"/>
      </rPr>
      <t>IN - INDIA</t>
    </r>
  </si>
  <si>
    <r>
      <rPr>
        <sz val="6.5"/>
        <rFont val="Arial"/>
      </rPr>
      <t>386 OBAGB017 EVS00 158</t>
    </r>
  </si>
  <si>
    <r>
      <rPr>
        <sz val="6.5"/>
        <rFont val="Arial"/>
      </rPr>
      <t xml:space="preserve">CORPS O MOON LIGHT EVA COMPOUND VOLCAN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</si>
  <si>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387 OBAGB206 EVS00 075</t>
    </r>
  </si>
  <si>
    <r>
      <rPr>
        <sz val="6.5"/>
        <rFont val="Arial"/>
      </rPr>
      <t xml:space="preserve">CORPS INFÉRIEUR O POCKET EVA COMPOUND ROSE SMOKE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</si>
  <si>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7"/>
        <rFont val="Arial"/>
      </rPr>
      <t xml:space="preserve">Pag </t>
    </r>
    <r>
      <rPr>
        <sz val="7"/>
        <rFont val="Arial"/>
      </rPr>
      <t>31 31</t>
    </r>
  </si>
  <si>
    <r>
      <rPr>
        <b/>
        <sz val="7"/>
        <rFont val="Arial"/>
      </rPr>
      <t xml:space="preserve">Document </t>
    </r>
    <r>
      <rPr>
        <sz val="7"/>
        <rFont val="Arial"/>
      </rPr>
      <t xml:space="preserve">MAGD01/2018/02/1926 </t>
    </r>
    <r>
      <rPr>
        <b/>
        <sz val="7"/>
        <rFont val="Arial"/>
      </rPr>
      <t xml:space="preserve">Date doc. </t>
    </r>
    <r>
      <rPr>
        <sz val="7"/>
        <rFont val="Arial"/>
      </rPr>
      <t>12/02/2018</t>
    </r>
  </si>
  <si>
    <r>
      <rPr>
        <b/>
        <sz val="7"/>
        <rFont val="Arial"/>
      </rPr>
      <t xml:space="preserve">Client dest. </t>
    </r>
    <r>
      <rPr>
        <sz val="7"/>
        <rFont val="Arial"/>
      </rPr>
      <t>002488</t>
    </r>
  </si>
  <si>
    <r>
      <rPr>
        <sz val="7"/>
        <rFont val="Arial"/>
      </rPr>
      <t>388 OBAGS121 TES13 017</t>
    </r>
  </si>
  <si>
    <r>
      <rPr>
        <sz val="7"/>
        <rFont val="Arial"/>
      </rPr>
      <t xml:space="preserve">POCHETTE INTÉRIEURE À COULISSE O SWING EN TISSU DENIM NAVY
</t>
    </r>
    <r>
      <rPr>
        <b/>
        <sz val="7"/>
        <rFont val="Arial"/>
      </rPr>
      <t xml:space="preserve">Fabriqué e </t>
    </r>
    <r>
      <rPr>
        <sz val="7"/>
        <rFont val="Arial"/>
      </rPr>
      <t>IT - ITALIA</t>
    </r>
  </si>
  <si>
    <r>
      <rPr>
        <sz val="7"/>
        <rFont val="Arial"/>
      </rPr>
      <t>389 OHUGI002 ECS69 125</t>
    </r>
  </si>
  <si>
    <r>
      <rPr>
        <sz val="7"/>
        <rFont val="Arial"/>
      </rPr>
      <t xml:space="preserve">O HUG INTÉRIEUR PORTEFEUILLE FEMME EN FAUX CUIR + FANTAISIE À FLEURS SUR RAYURES MUL
</t>
    </r>
    <r>
      <rPr>
        <b/>
        <sz val="7"/>
        <rFont val="Arial"/>
      </rPr>
      <t xml:space="preserve">Fabriqué e </t>
    </r>
    <r>
      <rPr>
        <sz val="7"/>
        <rFont val="Arial"/>
      </rPr>
      <t xml:space="preserve">IT - ITALIA </t>
    </r>
    <r>
      <rPr>
        <b/>
        <sz val="7"/>
        <rFont val="Arial"/>
      </rPr>
      <t>label</t>
    </r>
  </si>
  <si>
    <r>
      <rPr>
        <sz val="7"/>
        <rFont val="Arial"/>
      </rPr>
      <t>390 OCLKSB01 INS00 055</t>
    </r>
  </si>
  <si>
    <r>
      <rPr>
        <sz val="7"/>
        <rFont val="Arial"/>
      </rPr>
      <t xml:space="preserve">O CLOCK SHIFT BRACELET BAND EN MATÉRIAU INJECTÉ NOIR
</t>
    </r>
    <r>
      <rPr>
        <b/>
        <sz val="7"/>
        <rFont val="Arial"/>
      </rPr>
      <t xml:space="preserve">Fabriqué e </t>
    </r>
    <r>
      <rPr>
        <sz val="7"/>
        <rFont val="Arial"/>
      </rPr>
      <t>IT - ITALIA</t>
    </r>
  </si>
  <si>
    <r>
      <rPr>
        <sz val="7"/>
        <rFont val="Arial"/>
      </rPr>
      <t>391 SHOUCF00 ECS35 055</t>
    </r>
  </si>
  <si>
    <r>
      <rPr>
        <sz val="7"/>
        <rFont val="Arial"/>
      </rPr>
      <t xml:space="preserve">BANDOULIÈRE AVEC TRESSAGE + CLIP EN FAUX CUIR BASIC NOIR
</t>
    </r>
    <r>
      <rPr>
        <b/>
        <sz val="7"/>
        <rFont val="Arial"/>
      </rPr>
      <t xml:space="preserve">Fabriqué e </t>
    </r>
    <r>
      <rPr>
        <sz val="7"/>
        <rFont val="Arial"/>
      </rPr>
      <t>CN - CINA</t>
    </r>
  </si>
  <si>
    <r>
      <rPr>
        <sz val="7"/>
        <rFont val="Arial"/>
      </rPr>
      <t>392 OBAGS010 TES01 076</t>
    </r>
  </si>
  <si>
    <r>
      <rPr>
        <sz val="7"/>
        <rFont val="Arial"/>
      </rPr>
      <t xml:space="preserve">POCHETTE INTÉRIEURE FERMETURE ÉCLAIR O CITY EN TISSU CANVAS ROUGE
</t>
    </r>
    <r>
      <rPr>
        <b/>
        <sz val="7"/>
        <rFont val="Arial"/>
      </rPr>
      <t xml:space="preserve">Fabriqué e </t>
    </r>
    <r>
      <rPr>
        <sz val="7"/>
        <rFont val="Arial"/>
      </rPr>
      <t>IT - ITALIA</t>
    </r>
  </si>
  <si>
    <r>
      <rPr>
        <sz val="7"/>
        <rFont val="Arial"/>
      </rPr>
      <t>393 HLESAD00 ECS00 026</t>
    </r>
  </si>
  <si>
    <r>
      <rPr>
        <sz val="7"/>
        <rFont val="Arial"/>
      </rPr>
      <t xml:space="preserve">ANSES TUBULAIRES EN FAUX CUIR BLEU COBALT
</t>
    </r>
    <r>
      <rPr>
        <b/>
        <sz val="7"/>
        <rFont val="Arial"/>
      </rPr>
      <t xml:space="preserve">Fabriqué e </t>
    </r>
    <r>
      <rPr>
        <sz val="7"/>
        <rFont val="Arial"/>
      </rPr>
      <t>IT - ITALIA</t>
    </r>
  </si>
  <si>
    <r>
      <rPr>
        <sz val="7"/>
        <rFont val="Arial"/>
      </rPr>
      <t>394 OBAGP006 TESH2 036</t>
    </r>
  </si>
  <si>
    <r>
      <rPr>
        <sz val="7"/>
        <rFont val="Arial"/>
      </rPr>
      <t xml:space="preserve">RABAT O POCKET EN COTON MOTIF PAPILLONS JAUNE
</t>
    </r>
    <r>
      <rPr>
        <b/>
        <sz val="7"/>
        <rFont val="Arial"/>
      </rPr>
      <t xml:space="preserve">Fabriqué e </t>
    </r>
    <r>
      <rPr>
        <sz val="7"/>
        <rFont val="Arial"/>
      </rPr>
      <t>CN - CINA</t>
    </r>
  </si>
  <si>
    <r>
      <rPr>
        <sz val="7"/>
        <rFont val="Arial"/>
      </rPr>
      <t>395 OBAGB002 EVS18 422</t>
    </r>
  </si>
  <si>
    <r>
      <rPr>
        <sz val="7"/>
        <rFont val="Arial"/>
      </rPr>
      <t xml:space="preserve">CORPS O BAG MINI EVA COMPOUND TEXTURE À CHEVRONS SANGRIA
</t>
    </r>
    <r>
      <rPr>
        <b/>
        <sz val="7"/>
        <rFont val="Arial"/>
      </rPr>
      <t xml:space="preserve">Fabriqué e </t>
    </r>
    <r>
      <rPr>
        <sz val="7"/>
        <rFont val="Arial"/>
      </rPr>
      <t>IT - ITALIA</t>
    </r>
  </si>
  <si>
    <r>
      <rPr>
        <sz val="7"/>
        <rFont val="Arial"/>
      </rPr>
      <t>396 OBAGB018 EVS03 347</t>
    </r>
  </si>
  <si>
    <r>
      <rPr>
        <sz val="7"/>
        <rFont val="Arial"/>
      </rPr>
      <t xml:space="preserve">CORPS O BAG BEACH MINI EVA COMPOUND EFFET OSIER CÈDRE
</t>
    </r>
    <r>
      <rPr>
        <b/>
        <sz val="7"/>
        <rFont val="Arial"/>
      </rPr>
      <t xml:space="preserve">Fabriqué e </t>
    </r>
    <r>
      <rPr>
        <sz val="7"/>
        <rFont val="Arial"/>
      </rPr>
      <t>IT - ITALIA</t>
    </r>
  </si>
  <si>
    <r>
      <rPr>
        <sz val="7"/>
        <rFont val="Arial"/>
      </rPr>
      <t>397 OBAGS002 TES01 026</t>
    </r>
  </si>
  <si>
    <r>
      <rPr>
        <sz val="7"/>
        <rFont val="Arial"/>
      </rPr>
      <t xml:space="preserve">POCHETTE INTÉRIEURE FERMETURE ÉCLAIR O BAG MINI EN TISSU CANVAS BLEU COBALT
</t>
    </r>
    <r>
      <rPr>
        <b/>
        <sz val="7"/>
        <rFont val="Arial"/>
      </rPr>
      <t xml:space="preserve">Fabriqué e </t>
    </r>
    <r>
      <rPr>
        <sz val="7"/>
        <rFont val="Arial"/>
      </rPr>
      <t xml:space="preserve">IT - ITALIA </t>
    </r>
    <r>
      <rPr>
        <b/>
        <sz val="7"/>
        <rFont val="Arial"/>
      </rPr>
      <t>label</t>
    </r>
  </si>
  <si>
    <r>
      <rPr>
        <sz val="7"/>
        <rFont val="Arial"/>
      </rPr>
      <t>398 OBAGS002 TESF8 481</t>
    </r>
  </si>
  <si>
    <r>
      <rPr>
        <sz val="7"/>
        <rFont val="Arial"/>
      </rPr>
      <t xml:space="preserve">POCHETTE INTÉRIEURE FERMETURE ÉCLAIR O BAG MINI EN TISSU DEAUVILLE À RAYURES LARGES
</t>
    </r>
    <r>
      <rPr>
        <b/>
        <sz val="7"/>
        <rFont val="Arial"/>
      </rPr>
      <t xml:space="preserve">Fabriqué e </t>
    </r>
    <r>
      <rPr>
        <sz val="7"/>
        <rFont val="Arial"/>
      </rPr>
      <t xml:space="preserve">CN - CINA </t>
    </r>
    <r>
      <rPr>
        <b/>
        <sz val="7"/>
        <rFont val="Arial"/>
      </rPr>
      <t>label</t>
    </r>
  </si>
  <si>
    <r>
      <rPr>
        <sz val="7"/>
        <rFont val="Arial"/>
      </rPr>
      <t>399 HLESMD00 ECS46 072</t>
    </r>
  </si>
  <si>
    <r>
      <rPr>
        <sz val="7"/>
        <rFont val="Arial"/>
      </rPr>
      <t xml:space="preserve">MICRO-ANSES TUBULAIRES COURTES EN FAUX CUIR LISSE ROSE
</t>
    </r>
    <r>
      <rPr>
        <b/>
        <sz val="7"/>
        <rFont val="Arial"/>
      </rPr>
      <t xml:space="preserve">Fabriqué e </t>
    </r>
    <r>
      <rPr>
        <sz val="7"/>
        <rFont val="Arial"/>
      </rPr>
      <t>IT - ITALIA</t>
    </r>
  </si>
  <si>
    <r>
      <rPr>
        <sz val="7"/>
        <rFont val="Arial"/>
      </rPr>
      <t>400 OBAGT002 TESF7 475</t>
    </r>
  </si>
  <si>
    <r>
      <rPr>
        <sz val="7"/>
        <rFont val="Arial"/>
      </rPr>
      <t xml:space="preserve">REVERS O BAG MINI EN TISSU DEAUVILLE À RAYURES EFFET FLAMMÉ BLANC/ROUGE/BLEU
</t>
    </r>
    <r>
      <rPr>
        <b/>
        <sz val="7"/>
        <rFont val="Arial"/>
      </rPr>
      <t xml:space="preserve">Fabriqué e </t>
    </r>
    <r>
      <rPr>
        <sz val="7"/>
        <rFont val="Arial"/>
      </rPr>
      <t xml:space="preserve">IT - ITALIA </t>
    </r>
    <r>
      <rPr>
        <b/>
        <sz val="7"/>
        <rFont val="Arial"/>
      </rPr>
      <t>label</t>
    </r>
  </si>
  <si>
    <r>
      <rPr>
        <sz val="6.5"/>
        <rFont val="Arial"/>
      </rPr>
      <t>Pag 3 3</t>
    </r>
    <r>
      <rPr>
        <b/>
        <sz val="7"/>
        <rFont val="Arial"/>
      </rPr>
      <t>2</t>
    </r>
  </si>
  <si>
    <r>
      <rPr>
        <sz val="6.5"/>
        <rFont val="Arial"/>
      </rPr>
      <t>401 OBAGB016 EVS19 075 2 PZ</t>
    </r>
  </si>
  <si>
    <r>
      <rPr>
        <sz val="6.5"/>
        <rFont val="Arial"/>
      </rPr>
      <t xml:space="preserve">CORPS O MOON EVA COMPOUND TEXTURE URBAN FRAME ROSE SMOKE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</si>
  <si>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402 HLESD200 ROS05 489</t>
    </r>
  </si>
  <si>
    <r>
      <rPr>
        <sz val="6.5"/>
        <rFont val="Arial"/>
      </rPr>
      <t>403 OBAGB019 EVS00 371</t>
    </r>
  </si>
  <si>
    <r>
      <rPr>
        <sz val="6.5"/>
        <rFont val="Arial"/>
      </rPr>
      <t xml:space="preserve">CORPS O SQUARE EVA COMPOUND LATTE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</si>
  <si>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404 OBAGB002 EVS00 485</t>
    </r>
  </si>
  <si>
    <r>
      <rPr>
        <sz val="6.5"/>
        <rFont val="Arial"/>
      </rPr>
      <t xml:space="preserve">CORPS O BAG MINI EVA COMPOUND ATLANTIC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</si>
  <si>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405 OBAGB010 EVS00 071</t>
    </r>
  </si>
  <si>
    <r>
      <rPr>
        <sz val="6.5"/>
        <rFont val="Arial"/>
      </rPr>
      <t xml:space="preserve">CORPS O CITY EVA COMPOUND TAUPE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</si>
  <si>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406 OBAGB001 EVS00 075</t>
    </r>
  </si>
  <si>
    <r>
      <rPr>
        <sz val="6.5"/>
        <rFont val="Arial"/>
      </rPr>
      <t xml:space="preserve">CORPS O BAG EVA COMPOUND ROSE SMOKE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</si>
  <si>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407 OBAGPA06 TESF1 422</t>
    </r>
  </si>
  <si>
    <r>
      <rPr>
        <sz val="6.5"/>
        <rFont val="Arial"/>
      </rPr>
      <t xml:space="preserve">RABAT TOURNIQUET O POCKET EN TISSU + FAUX CUIR NYC À RAYURES SANGRIA </t>
    </r>
    <r>
      <rPr>
        <b/>
        <sz val="7"/>
        <rFont val="Arial"/>
      </rPr>
      <t xml:space="preserve">Fabriqué e </t>
    </r>
    <r>
      <rPr>
        <sz val="6.5"/>
        <rFont val="Arial"/>
      </rPr>
      <t>CN - CINA</t>
    </r>
  </si>
  <si>
    <r>
      <rPr>
        <sz val="6.5"/>
        <rFont val="Arial"/>
      </rPr>
      <t>408 OBAGB002 EVS18 347</t>
    </r>
  </si>
  <si>
    <r>
      <rPr>
        <sz val="6.5"/>
        <rFont val="Arial"/>
      </rPr>
      <t xml:space="preserve">CORPS O BAG MINI EVA COMPOUND TEXTURE À CHEVRONS CÈDRE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</si>
  <si>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409 OBAGB019 EVS00 055</t>
    </r>
  </si>
  <si>
    <r>
      <rPr>
        <sz val="6.5"/>
        <rFont val="Arial"/>
      </rPr>
      <t xml:space="preserve">CORPS O SQUARE EVA COMPOUND NOIR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</si>
  <si>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410 SHOUWA00 ECS51 036</t>
    </r>
  </si>
  <si>
    <r>
      <rPr>
        <sz val="6.5"/>
        <rFont val="Arial"/>
      </rPr>
      <t xml:space="preserve">BANDOULIÈRE COURTE NEW GOUTTE TROUÉE EN FAUX CUIR CLOUS PYRAMIDES JAUNE </t>
    </r>
    <r>
      <rPr>
        <b/>
        <sz val="7"/>
        <rFont val="Arial"/>
      </rPr>
      <t xml:space="preserve">Fabriqué e </t>
    </r>
    <r>
      <rPr>
        <sz val="6.5"/>
        <rFont val="Arial"/>
      </rPr>
      <t>CN - CINA</t>
    </r>
  </si>
  <si>
    <r>
      <rPr>
        <sz val="6.5"/>
        <rFont val="Arial"/>
      </rPr>
      <t>411 ACCEC002 ECS03 479</t>
    </r>
  </si>
  <si>
    <r>
      <rPr>
        <sz val="6.5"/>
        <rFont val="Arial"/>
      </rPr>
      <t xml:space="preserve">ACCESSOIRES CHARMS POMPON EN FAUX CUIR SUÈDE SKYWAY
</t>
    </r>
    <r>
      <rPr>
        <b/>
        <sz val="7"/>
        <rFont val="Arial"/>
      </rPr>
      <t xml:space="preserve">Fabriqué e </t>
    </r>
    <r>
      <rPr>
        <sz val="6.5"/>
        <rFont val="Arial"/>
      </rPr>
      <t>CN - CINA</t>
    </r>
  </si>
  <si>
    <r>
      <rPr>
        <sz val="6.5"/>
        <rFont val="Arial"/>
      </rPr>
      <t>412 OBAGB001 EVS00 422</t>
    </r>
  </si>
  <si>
    <r>
      <rPr>
        <sz val="6.5"/>
        <rFont val="Arial"/>
      </rPr>
      <t xml:space="preserve">CORPS O BAG EVA COMPOUND SANGRIA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</si>
  <si>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413 OBAGPA24 TESF5 441</t>
    </r>
  </si>
  <si>
    <r>
      <rPr>
        <sz val="6.5"/>
        <rFont val="Arial"/>
      </rPr>
      <t xml:space="preserve">RABAT TOURNIQUET O POCKET EN MICRO TISSU LUXURY DRIPPING ROUGE/BLUETTE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</si>
  <si>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7"/>
        <rFont val="Arial"/>
      </rPr>
      <t>Pag 3 3</t>
    </r>
    <r>
      <rPr>
        <b/>
        <sz val="7"/>
        <rFont val="Arial"/>
      </rPr>
      <t>3</t>
    </r>
  </si>
  <si>
    <r>
      <rPr>
        <sz val="7"/>
        <rFont val="Arial"/>
      </rPr>
      <t>414 OBAGB017 EVS00 026</t>
    </r>
  </si>
  <si>
    <r>
      <rPr>
        <sz val="7"/>
        <rFont val="Arial"/>
      </rPr>
      <t xml:space="preserve">CORPS O MOON LIGHT EVA COMPOUND BLEU COBALT
</t>
    </r>
    <r>
      <rPr>
        <b/>
        <sz val="7"/>
        <rFont val="Arial"/>
      </rPr>
      <t xml:space="preserve">Fabriqué e </t>
    </r>
    <r>
      <rPr>
        <sz val="7"/>
        <rFont val="Arial"/>
      </rPr>
      <t>IT - ITALIA</t>
    </r>
  </si>
  <si>
    <r>
      <rPr>
        <sz val="7"/>
        <rFont val="Arial"/>
      </rPr>
      <t>415 HLESD200 ROS05 017</t>
    </r>
  </si>
  <si>
    <r>
      <rPr>
        <sz val="7"/>
        <rFont val="Arial"/>
      </rPr>
      <t xml:space="preserve">ANSES LONGUES ADAPTABLES GOUTTE EN CORDE + GOUTTE TISSU CAOUTCHOUTÉ NAVY </t>
    </r>
    <r>
      <rPr>
        <b/>
        <sz val="7"/>
        <rFont val="Arial"/>
      </rPr>
      <t xml:space="preserve">Fabriqué e </t>
    </r>
    <r>
      <rPr>
        <sz val="7"/>
        <rFont val="Arial"/>
      </rPr>
      <t>IT - ITALIA</t>
    </r>
  </si>
  <si>
    <r>
      <rPr>
        <sz val="7"/>
        <rFont val="Arial"/>
      </rPr>
      <t>416 SHOUC317 ECS00 055</t>
    </r>
  </si>
  <si>
    <r>
      <rPr>
        <sz val="7"/>
        <rFont val="Arial"/>
      </rPr>
      <t xml:space="preserve">LONGUE BANDOULIÈRE CHAÎNE CLIP O MOON EN FAUX CUIR NOIR
</t>
    </r>
    <r>
      <rPr>
        <b/>
        <sz val="7"/>
        <rFont val="Arial"/>
      </rPr>
      <t xml:space="preserve">Fabriqué e </t>
    </r>
    <r>
      <rPr>
        <sz val="7"/>
        <rFont val="Arial"/>
      </rPr>
      <t>IT - ITALIA</t>
    </r>
  </si>
  <si>
    <r>
      <rPr>
        <sz val="7"/>
        <rFont val="Arial"/>
      </rPr>
      <t>417 OBAGB024 EVS00 479</t>
    </r>
  </si>
  <si>
    <r>
      <rPr>
        <sz val="7"/>
        <rFont val="Arial"/>
      </rPr>
      <t xml:space="preserve">CORPS O POCKET MICRO EVA COMPOUND SKYWAY
</t>
    </r>
    <r>
      <rPr>
        <b/>
        <sz val="7"/>
        <rFont val="Arial"/>
      </rPr>
      <t xml:space="preserve">Fabriqué e </t>
    </r>
    <r>
      <rPr>
        <sz val="7"/>
        <rFont val="Arial"/>
      </rPr>
      <t>IT - ITALIA</t>
    </r>
  </si>
  <si>
    <r>
      <rPr>
        <sz val="7"/>
        <rFont val="Arial"/>
      </rPr>
      <t>418 OBAGS121 TESF7 475</t>
    </r>
  </si>
  <si>
    <r>
      <rPr>
        <sz val="7"/>
        <rFont val="Arial"/>
      </rPr>
      <t xml:space="preserve">POCHETTE INTÉRIEURE À COULISSE O SWING EN TISSU DEAUVILLE À RAYURES EFFET FLAMMÉ BLA
</t>
    </r>
    <r>
      <rPr>
        <b/>
        <sz val="7"/>
        <rFont val="Arial"/>
      </rPr>
      <t xml:space="preserve">Fabriqué e </t>
    </r>
    <r>
      <rPr>
        <sz val="7"/>
        <rFont val="Arial"/>
      </rPr>
      <t xml:space="preserve">IT - ITALIA </t>
    </r>
    <r>
      <rPr>
        <b/>
        <sz val="7"/>
        <rFont val="Arial"/>
      </rPr>
      <t>label</t>
    </r>
  </si>
  <si>
    <r>
      <rPr>
        <sz val="7"/>
        <rFont val="Arial"/>
      </rPr>
      <t>419 SHOUWA00 TESE5 076</t>
    </r>
  </si>
  <si>
    <r>
      <rPr>
        <sz val="7"/>
        <rFont val="Arial"/>
      </rPr>
      <t xml:space="preserve">BANDOULIÈRE COURTE NEW GOUTTE TROUÉE EN TISSU NYC LOSANGES ROUGE </t>
    </r>
    <r>
      <rPr>
        <b/>
        <sz val="7"/>
        <rFont val="Arial"/>
      </rPr>
      <t xml:space="preserve">Fabriqué e </t>
    </r>
    <r>
      <rPr>
        <sz val="7"/>
        <rFont val="Arial"/>
      </rPr>
      <t>CN - CINA</t>
    </r>
  </si>
  <si>
    <r>
      <rPr>
        <sz val="7"/>
        <rFont val="Arial"/>
      </rPr>
      <t>420 OBAGS010 TES01 422</t>
    </r>
  </si>
  <si>
    <r>
      <rPr>
        <sz val="7"/>
        <rFont val="Arial"/>
      </rPr>
      <t xml:space="preserve">POCHETTE INTÉRIEURE FERMETURE ÉCLAIR O CITY EN TISSU CANVAS SANGRIA
</t>
    </r>
    <r>
      <rPr>
        <b/>
        <sz val="7"/>
        <rFont val="Arial"/>
      </rPr>
      <t xml:space="preserve">Fabriqué e </t>
    </r>
    <r>
      <rPr>
        <sz val="7"/>
        <rFont val="Arial"/>
      </rPr>
      <t>IT - ITALIA</t>
    </r>
  </si>
  <si>
    <r>
      <rPr>
        <sz val="7"/>
        <rFont val="Arial"/>
      </rPr>
      <t>421 OBAGS017 TESH2 072</t>
    </r>
  </si>
  <si>
    <r>
      <rPr>
        <sz val="7"/>
        <rFont val="Arial"/>
      </rPr>
      <t xml:space="preserve">POCHETTE INTÉRIEURE FERMETURE ÉCLAIR O MOON LIGHT EN COTON MOTIF PAPILLONS ROSE
</t>
    </r>
    <r>
      <rPr>
        <b/>
        <sz val="7"/>
        <rFont val="Arial"/>
      </rPr>
      <t xml:space="preserve">Fabriqué e </t>
    </r>
    <r>
      <rPr>
        <sz val="7"/>
        <rFont val="Arial"/>
      </rPr>
      <t xml:space="preserve">CN - CINA </t>
    </r>
    <r>
      <rPr>
        <b/>
        <sz val="7"/>
        <rFont val="Arial"/>
      </rPr>
      <t>label</t>
    </r>
  </si>
  <si>
    <r>
      <rPr>
        <sz val="7"/>
        <rFont val="Arial"/>
      </rPr>
      <t>422 HLESAD00 ECS00 055</t>
    </r>
  </si>
  <si>
    <r>
      <rPr>
        <sz val="7"/>
        <rFont val="Arial"/>
      </rPr>
      <t>5 PZ</t>
    </r>
  </si>
  <si>
    <r>
      <rPr>
        <sz val="7"/>
        <rFont val="Arial"/>
      </rPr>
      <t xml:space="preserve">ANSES TUBULAIRES EN FAUX CUIR NOIR
</t>
    </r>
    <r>
      <rPr>
        <b/>
        <sz val="7"/>
        <rFont val="Arial"/>
      </rPr>
      <t xml:space="preserve">Fabriqué e </t>
    </r>
    <r>
      <rPr>
        <sz val="7"/>
        <rFont val="Arial"/>
      </rPr>
      <t>IT - ITALIA</t>
    </r>
  </si>
  <si>
    <r>
      <rPr>
        <sz val="7"/>
        <rFont val="Arial"/>
      </rPr>
      <t>423 OBAGB002 EVS18 055</t>
    </r>
  </si>
  <si>
    <r>
      <rPr>
        <sz val="7"/>
        <rFont val="Arial"/>
      </rPr>
      <t xml:space="preserve">CORPS O BAG MINI EVA COMPOUND TEXTURE À CHEVRONS NOIR
</t>
    </r>
    <r>
      <rPr>
        <b/>
        <sz val="7"/>
        <rFont val="Arial"/>
      </rPr>
      <t xml:space="preserve">Fabriqué e </t>
    </r>
    <r>
      <rPr>
        <sz val="7"/>
        <rFont val="Arial"/>
      </rPr>
      <t>IT - ITALIA</t>
    </r>
  </si>
  <si>
    <r>
      <rPr>
        <sz val="7"/>
        <rFont val="Arial"/>
      </rPr>
      <t>424 OBAGS001 TES01 422</t>
    </r>
  </si>
  <si>
    <r>
      <rPr>
        <sz val="7"/>
        <rFont val="Arial"/>
      </rPr>
      <t xml:space="preserve">POCHETTE INTÉRIEURE FERMETURE ÉCLAIR O BAG EN TISSU CANVAS SANGRIA
</t>
    </r>
    <r>
      <rPr>
        <b/>
        <sz val="7"/>
        <rFont val="Arial"/>
      </rPr>
      <t xml:space="preserve">Fabriqué e </t>
    </r>
    <r>
      <rPr>
        <sz val="7"/>
        <rFont val="Arial"/>
      </rPr>
      <t>IT - ITALIA</t>
    </r>
  </si>
  <si>
    <r>
      <rPr>
        <sz val="7"/>
        <rFont val="Arial"/>
      </rPr>
      <t>425 ACCEC002 ECS03 133</t>
    </r>
  </si>
  <si>
    <r>
      <rPr>
        <sz val="7"/>
        <rFont val="Arial"/>
      </rPr>
      <t xml:space="preserve">ACCESSOIRES CHARMS POMPON EN FAUX CUIR SUÈDE GRIS CLAIR
</t>
    </r>
    <r>
      <rPr>
        <b/>
        <sz val="7"/>
        <rFont val="Arial"/>
      </rPr>
      <t xml:space="preserve">Fabriqué e </t>
    </r>
    <r>
      <rPr>
        <sz val="7"/>
        <rFont val="Arial"/>
      </rPr>
      <t>CN - CINA</t>
    </r>
  </si>
  <si>
    <r>
      <rPr>
        <sz val="7"/>
        <rFont val="Arial"/>
      </rPr>
      <t>426 SHOUG617 ECS00 054</t>
    </r>
  </si>
  <si>
    <r>
      <rPr>
        <sz val="7"/>
        <rFont val="Arial"/>
      </rPr>
      <t xml:space="preserve">LONGUE BANDOULIÈRE AVEC BOUCLE O MOON EN FAUX CUIR NUDE
</t>
    </r>
    <r>
      <rPr>
        <b/>
        <sz val="7"/>
        <rFont val="Arial"/>
      </rPr>
      <t xml:space="preserve">Fabriqué e </t>
    </r>
    <r>
      <rPr>
        <sz val="7"/>
        <rFont val="Arial"/>
      </rPr>
      <t>IT - ITALIA</t>
    </r>
  </si>
  <si>
    <r>
      <rPr>
        <sz val="7"/>
        <rFont val="Arial"/>
      </rPr>
      <t>Pag 3 3</t>
    </r>
    <r>
      <rPr>
        <b/>
        <sz val="7"/>
        <rFont val="Arial"/>
      </rPr>
      <t>4</t>
    </r>
  </si>
  <si>
    <r>
      <rPr>
        <sz val="7"/>
        <rFont val="Arial"/>
      </rPr>
      <t>427 OCLKD104 MES92 499</t>
    </r>
  </si>
  <si>
    <r>
      <rPr>
        <sz val="7"/>
        <rFont val="Arial"/>
      </rPr>
      <t xml:space="preserve">MÉCANISME GREAT DATE SATIN BLANC/ROUGE/NOIR
</t>
    </r>
    <r>
      <rPr>
        <b/>
        <sz val="7"/>
        <rFont val="Arial"/>
      </rPr>
      <t xml:space="preserve">Fabriqué e </t>
    </r>
    <r>
      <rPr>
        <sz val="7"/>
        <rFont val="Arial"/>
      </rPr>
      <t>CN - CINA</t>
    </r>
  </si>
  <si>
    <r>
      <rPr>
        <sz val="7"/>
        <rFont val="Arial"/>
      </rPr>
      <t>428 OBAGS017 TESE6 076</t>
    </r>
  </si>
  <si>
    <r>
      <rPr>
        <sz val="7"/>
        <rFont val="Arial"/>
      </rPr>
      <t xml:space="preserve">POCHETTE INTÉRIEURE FERMETURE ÉCLAIR O MOON LIGHT EN TISSU NYC À RAYURES BICOLORE R
</t>
    </r>
    <r>
      <rPr>
        <b/>
        <sz val="7"/>
        <rFont val="Arial"/>
      </rPr>
      <t xml:space="preserve">Fabriqué e </t>
    </r>
    <r>
      <rPr>
        <sz val="7"/>
        <rFont val="Arial"/>
      </rPr>
      <t xml:space="preserve">CN - CINA </t>
    </r>
    <r>
      <rPr>
        <b/>
        <sz val="7"/>
        <rFont val="Arial"/>
      </rPr>
      <t>label</t>
    </r>
  </si>
  <si>
    <r>
      <rPr>
        <sz val="7"/>
        <rFont val="Arial"/>
      </rPr>
      <t>429 OBAGB016 EVS00 347</t>
    </r>
  </si>
  <si>
    <r>
      <rPr>
        <sz val="7"/>
        <rFont val="Arial"/>
      </rPr>
      <t xml:space="preserve">CORPS O MOON EVA COMPOUND CÈDRE
</t>
    </r>
    <r>
      <rPr>
        <b/>
        <sz val="7"/>
        <rFont val="Arial"/>
      </rPr>
      <t xml:space="preserve">Fabriqué e </t>
    </r>
    <r>
      <rPr>
        <sz val="7"/>
        <rFont val="Arial"/>
      </rPr>
      <t>IT - ITALIA</t>
    </r>
  </si>
  <si>
    <r>
      <rPr>
        <sz val="7"/>
        <rFont val="Arial"/>
      </rPr>
      <t>430 HLESGC00 ECS54 479</t>
    </r>
  </si>
  <si>
    <r>
      <rPr>
        <sz val="7"/>
        <rFont val="Arial"/>
      </rPr>
      <t xml:space="preserve">ANSES COURTES EN FAUX CUIR CLOUS ÉMAILLÉS SKYWAY
</t>
    </r>
    <r>
      <rPr>
        <b/>
        <sz val="7"/>
        <rFont val="Arial"/>
      </rPr>
      <t xml:space="preserve">Fabriqué e </t>
    </r>
    <r>
      <rPr>
        <sz val="7"/>
        <rFont val="Arial"/>
      </rPr>
      <t>IT - ITALIA</t>
    </r>
  </si>
  <si>
    <r>
      <rPr>
        <sz val="7"/>
        <rFont val="Arial"/>
      </rPr>
      <t>431 SHOUWA00 ECS51 055</t>
    </r>
  </si>
  <si>
    <r>
      <rPr>
        <sz val="7"/>
        <rFont val="Arial"/>
      </rPr>
      <t xml:space="preserve">BANDOULIÈRE COURTE NEW GOUTTE TROUÉE EN FAUX CUIR CLOUS PYRAMIDES NOIR
</t>
    </r>
    <r>
      <rPr>
        <b/>
        <sz val="7"/>
        <rFont val="Arial"/>
      </rPr>
      <t xml:space="preserve">Fabriqué e </t>
    </r>
    <r>
      <rPr>
        <sz val="7"/>
        <rFont val="Arial"/>
      </rPr>
      <t xml:space="preserve">CN - CINA </t>
    </r>
    <r>
      <rPr>
        <b/>
        <sz val="7"/>
        <rFont val="Arial"/>
      </rPr>
      <t>label</t>
    </r>
  </si>
  <si>
    <r>
      <rPr>
        <sz val="7"/>
        <rFont val="Arial"/>
      </rPr>
      <t>432 OBAGB002 EVS18 076</t>
    </r>
  </si>
  <si>
    <r>
      <rPr>
        <sz val="7"/>
        <rFont val="Arial"/>
      </rPr>
      <t xml:space="preserve">CORPS O BAG MINI EVA COMPOUND TEXTURE À CHEVRONS ROUGE
</t>
    </r>
    <r>
      <rPr>
        <b/>
        <sz val="7"/>
        <rFont val="Arial"/>
      </rPr>
      <t xml:space="preserve">Fabriqué e </t>
    </r>
    <r>
      <rPr>
        <sz val="7"/>
        <rFont val="Arial"/>
      </rPr>
      <t>IT - ITALIA</t>
    </r>
  </si>
  <si>
    <r>
      <rPr>
        <sz val="7"/>
        <rFont val="Arial"/>
      </rPr>
      <t>433 ACCEP014 ECS35 017</t>
    </r>
  </si>
  <si>
    <r>
      <rPr>
        <sz val="7"/>
        <rFont val="Arial"/>
      </rPr>
      <t xml:space="preserve">ACCESSOIRES POCHETTE FILET EN FAUX CUIR BASIC NAVY
</t>
    </r>
    <r>
      <rPr>
        <b/>
        <sz val="7"/>
        <rFont val="Arial"/>
      </rPr>
      <t xml:space="preserve">Fabriqué e </t>
    </r>
    <r>
      <rPr>
        <sz val="7"/>
        <rFont val="Arial"/>
      </rPr>
      <t>CN - CINA</t>
    </r>
  </si>
  <si>
    <r>
      <rPr>
        <sz val="7"/>
        <rFont val="Arial"/>
      </rPr>
      <t>434 OBAGB018 EVS03 422</t>
    </r>
  </si>
  <si>
    <r>
      <rPr>
        <sz val="7"/>
        <rFont val="Arial"/>
      </rPr>
      <t xml:space="preserve">CORPS O BAG BEACH MINI EVA COMPOUND EFFET OSIER SANGRIA
</t>
    </r>
    <r>
      <rPr>
        <b/>
        <sz val="7"/>
        <rFont val="Arial"/>
      </rPr>
      <t xml:space="preserve">Fabriqué e </t>
    </r>
    <r>
      <rPr>
        <sz val="7"/>
        <rFont val="Arial"/>
      </rPr>
      <t>IT - ITALIA</t>
    </r>
  </si>
  <si>
    <r>
      <rPr>
        <sz val="7"/>
        <rFont val="Arial"/>
      </rPr>
      <t>435 OBAGS016 TESE6 055</t>
    </r>
  </si>
  <si>
    <r>
      <rPr>
        <sz val="7"/>
        <rFont val="Arial"/>
      </rPr>
      <t xml:space="preserve">POCHETTE INTÉRIEURE FERMETURE ÉCLAIR O MOON EN TISSU NYC À RAYURES BICOLORE NOIR
</t>
    </r>
    <r>
      <rPr>
        <b/>
        <sz val="7"/>
        <rFont val="Arial"/>
      </rPr>
      <t xml:space="preserve">Fabriqué e </t>
    </r>
    <r>
      <rPr>
        <sz val="7"/>
        <rFont val="Arial"/>
      </rPr>
      <t xml:space="preserve">CN - CINA </t>
    </r>
    <r>
      <rPr>
        <b/>
        <sz val="7"/>
        <rFont val="Arial"/>
      </rPr>
      <t>label</t>
    </r>
  </si>
  <si>
    <r>
      <rPr>
        <sz val="7"/>
        <rFont val="Arial"/>
      </rPr>
      <t>436 ACCEC002 ECS03 089</t>
    </r>
  </si>
  <si>
    <r>
      <rPr>
        <sz val="7"/>
        <rFont val="Arial"/>
      </rPr>
      <t xml:space="preserve">ACCESSOIRES CHARMS POMPON EN FAUX CUIR SUÈDE VERT
</t>
    </r>
    <r>
      <rPr>
        <b/>
        <sz val="7"/>
        <rFont val="Arial"/>
      </rPr>
      <t xml:space="preserve">Fabriqué e </t>
    </r>
    <r>
      <rPr>
        <sz val="7"/>
        <rFont val="Arial"/>
      </rPr>
      <t>CN - CINA</t>
    </r>
  </si>
  <si>
    <r>
      <rPr>
        <sz val="7"/>
        <rFont val="Arial"/>
      </rPr>
      <t>437 OBAGB206 EVS00 076</t>
    </r>
  </si>
  <si>
    <r>
      <rPr>
        <sz val="7"/>
        <rFont val="Arial"/>
      </rPr>
      <t xml:space="preserve">CORPS INFÉRIEUR O POCKET EVA COMPOUND ROUGE
</t>
    </r>
    <r>
      <rPr>
        <b/>
        <sz val="7"/>
        <rFont val="Arial"/>
      </rPr>
      <t xml:space="preserve">Fabriqué e </t>
    </r>
    <r>
      <rPr>
        <sz val="7"/>
        <rFont val="Arial"/>
      </rPr>
      <t>IT - ITALIA</t>
    </r>
  </si>
  <si>
    <r>
      <rPr>
        <sz val="7"/>
        <rFont val="Arial"/>
      </rPr>
      <t>438 HLESD200 ROS05 008</t>
    </r>
  </si>
  <si>
    <r>
      <rPr>
        <sz val="7"/>
        <rFont val="Arial"/>
      </rPr>
      <t xml:space="preserve">ANSES LONGUES ADAPTABLES GOUTTE EN CORDE + GOUTTE TISSU CAOUTCHOUTÉ BLANC
</t>
    </r>
    <r>
      <rPr>
        <b/>
        <sz val="7"/>
        <rFont val="Arial"/>
      </rPr>
      <t xml:space="preserve">Fabriqué e </t>
    </r>
    <r>
      <rPr>
        <sz val="7"/>
        <rFont val="Arial"/>
      </rPr>
      <t xml:space="preserve">IT - ITALIA </t>
    </r>
    <r>
      <rPr>
        <b/>
        <sz val="7"/>
        <rFont val="Arial"/>
      </rPr>
      <t>label</t>
    </r>
  </si>
  <si>
    <r>
      <rPr>
        <sz val="7"/>
        <rFont val="Arial"/>
      </rPr>
      <t>439 SHOUBG00 MAS10 055</t>
    </r>
  </si>
  <si>
    <r>
      <rPr>
        <sz val="7"/>
        <rFont val="Arial"/>
      </rPr>
      <t xml:space="preserve">BANDOULIÈRE /BRETELLE SLIM 140 EN PVC NOIR
</t>
    </r>
    <r>
      <rPr>
        <b/>
        <sz val="7"/>
        <rFont val="Arial"/>
      </rPr>
      <t xml:space="preserve">Fabriqué e </t>
    </r>
    <r>
      <rPr>
        <sz val="7"/>
        <rFont val="Arial"/>
      </rPr>
      <t>IT - ITALIA</t>
    </r>
  </si>
  <si>
    <r>
      <rPr>
        <sz val="6.5"/>
        <rFont val="Arial"/>
      </rPr>
      <t>Pag 3 3</t>
    </r>
    <r>
      <rPr>
        <b/>
        <sz val="7"/>
        <rFont val="Arial"/>
      </rPr>
      <t>5</t>
    </r>
  </si>
  <si>
    <r>
      <rPr>
        <sz val="6.5"/>
        <rFont val="Arial"/>
      </rPr>
      <t>440 OBAGT002 TESG3 480</t>
    </r>
  </si>
  <si>
    <r>
      <rPr>
        <sz val="6.5"/>
        <rFont val="Arial"/>
      </rPr>
      <t xml:space="preserve">REVERS O BAG MINI EN TISSU DEAUVILLE À RAYURES SERRÉES NAVY/CRÈME
</t>
    </r>
    <r>
      <rPr>
        <b/>
        <sz val="7"/>
        <rFont val="Arial"/>
      </rPr>
      <t xml:space="preserve">Fabriqué e </t>
    </r>
    <r>
      <rPr>
        <sz val="6.5"/>
        <rFont val="Arial"/>
      </rPr>
      <t>CN - CINA</t>
    </r>
  </si>
  <si>
    <r>
      <rPr>
        <sz val="6.5"/>
        <rFont val="Arial"/>
      </rPr>
      <t>441 HLESZ817 TESH8 076</t>
    </r>
  </si>
  <si>
    <r>
      <rPr>
        <sz val="6.5"/>
        <rFont val="Arial"/>
      </rPr>
      <t>442 ACCEC002 ECS03 055</t>
    </r>
  </si>
  <si>
    <r>
      <rPr>
        <sz val="6.5"/>
        <rFont val="Arial"/>
      </rPr>
      <t xml:space="preserve">ACCESSOIRES CHARMS POMPON EN FAUX CUIR SUÈDE NOIR
</t>
    </r>
    <r>
      <rPr>
        <b/>
        <sz val="7"/>
        <rFont val="Arial"/>
      </rPr>
      <t xml:space="preserve">Fabriqué e </t>
    </r>
    <r>
      <rPr>
        <sz val="6.5"/>
        <rFont val="Arial"/>
      </rPr>
      <t>CN - CINA</t>
    </r>
  </si>
  <si>
    <r>
      <rPr>
        <sz val="6.5"/>
        <rFont val="Arial"/>
      </rPr>
      <t>443 OBAGB016 EVS19 371</t>
    </r>
  </si>
  <si>
    <r>
      <rPr>
        <sz val="6.5"/>
        <rFont val="Arial"/>
      </rPr>
      <t xml:space="preserve">CORPS O MOON EVA COMPOUND TEXTURE URBAN FRAME LATTE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</si>
  <si>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444 OBAGS102 TESG7 017</t>
    </r>
  </si>
  <si>
    <r>
      <rPr>
        <sz val="6.5"/>
        <rFont val="Arial"/>
      </rPr>
      <t>445 OBAGS016 TES01 076</t>
    </r>
  </si>
  <si>
    <r>
      <rPr>
        <sz val="6.5"/>
        <rFont val="Arial"/>
      </rPr>
      <t xml:space="preserve">POCHETTE INTÉRIEURE FERMETURE ÉCLAIR O MOON EN TISSU CANVAS ROUGE
</t>
    </r>
    <r>
      <rPr>
        <b/>
        <sz val="7"/>
        <rFont val="Arial"/>
      </rPr>
      <t xml:space="preserve">Fabriqué e </t>
    </r>
    <r>
      <rPr>
        <sz val="6.5"/>
        <rFont val="Arial"/>
      </rPr>
      <t>CN - CINA</t>
    </r>
  </si>
  <si>
    <r>
      <rPr>
        <sz val="6.5"/>
        <rFont val="Arial"/>
      </rPr>
      <t>446 OBAGB009 EVS00 076</t>
    </r>
  </si>
  <si>
    <r>
      <rPr>
        <sz val="6.5"/>
        <rFont val="Arial"/>
      </rPr>
      <t xml:space="preserve">CORPS O BAG 50 EVA COMPOUND ROUGE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</si>
  <si>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447 OCLKD001 MES87 026</t>
    </r>
  </si>
  <si>
    <r>
      <rPr>
        <sz val="6.5"/>
        <rFont val="Arial"/>
      </rPr>
      <t xml:space="preserve">O CLOCK MÉCANISME NYC FLOWER BLEU COBALT
</t>
    </r>
    <r>
      <rPr>
        <b/>
        <sz val="7"/>
        <rFont val="Arial"/>
      </rPr>
      <t xml:space="preserve">Fabriqué e </t>
    </r>
    <r>
      <rPr>
        <sz val="6.5"/>
        <rFont val="Arial"/>
      </rPr>
      <t>CN - CINA</t>
    </r>
  </si>
  <si>
    <r>
      <rPr>
        <sz val="6.5"/>
        <rFont val="Arial"/>
      </rPr>
      <t>448 OCLKD001 MES87 422</t>
    </r>
  </si>
  <si>
    <r>
      <rPr>
        <sz val="6.5"/>
        <rFont val="Arial"/>
      </rPr>
      <t xml:space="preserve">O CLOCK MÉCANISME NYC FLOWER SANGRIA
</t>
    </r>
    <r>
      <rPr>
        <b/>
        <sz val="7"/>
        <rFont val="Arial"/>
      </rPr>
      <t xml:space="preserve">Fabriqué e </t>
    </r>
    <r>
      <rPr>
        <sz val="6.5"/>
        <rFont val="Arial"/>
      </rPr>
      <t>CN - CINA</t>
    </r>
  </si>
  <si>
    <r>
      <rPr>
        <sz val="6.5"/>
        <rFont val="Arial"/>
      </rPr>
      <t>449 OBAGB002 EVS00 479</t>
    </r>
  </si>
  <si>
    <r>
      <rPr>
        <sz val="6.5"/>
        <rFont val="Arial"/>
      </rPr>
      <t xml:space="preserve">CORPS O BAG MINI EVA COMPOUND SKYWAY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</si>
  <si>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450 OBAGPA06 TESF1 036</t>
    </r>
  </si>
  <si>
    <r>
      <rPr>
        <sz val="6.5"/>
        <rFont val="Arial"/>
      </rPr>
      <t xml:space="preserve">RABAT TOURNIQUET O POCKET EN TISSU + FAUX CUIR NYC À RAYURES JAUNE
</t>
    </r>
    <r>
      <rPr>
        <b/>
        <sz val="7"/>
        <rFont val="Arial"/>
      </rPr>
      <t xml:space="preserve">Fabriqué e </t>
    </r>
    <r>
      <rPr>
        <sz val="6.5"/>
        <rFont val="Arial"/>
      </rPr>
      <t>CN - CINA</t>
    </r>
  </si>
  <si>
    <r>
      <rPr>
        <sz val="6.5"/>
        <rFont val="Arial"/>
      </rPr>
      <t>451 OBAGS016 TESE6 076</t>
    </r>
  </si>
  <si>
    <r>
      <rPr>
        <sz val="6.5"/>
        <rFont val="Arial"/>
      </rPr>
      <t xml:space="preserve">POCHETTE INTÉRIEURE FERMETURE ÉCLAIR O MOON EN TISSU NYC À RAYURES BICOLORE ROUGE
</t>
    </r>
    <r>
      <rPr>
        <b/>
        <sz val="7"/>
        <rFont val="Arial"/>
      </rPr>
      <t xml:space="preserve">Fabriqué e </t>
    </r>
    <r>
      <rPr>
        <sz val="6.5"/>
        <rFont val="Arial"/>
      </rPr>
      <t xml:space="preserve">CN - CINA </t>
    </r>
    <r>
      <rPr>
        <b/>
        <sz val="7"/>
        <rFont val="Arial"/>
      </rPr>
      <t>label</t>
    </r>
  </si>
  <si>
    <r>
      <rPr>
        <sz val="6.5"/>
        <rFont val="Arial"/>
      </rPr>
      <t>452 OBAGA000 ECS42 036</t>
    </r>
  </si>
  <si>
    <r>
      <rPr>
        <sz val="6.5"/>
        <rFont val="Arial"/>
      </rPr>
      <t xml:space="preserve">ACCESSOIRE CLIP EN FAUX CUIR OPAQUE + ARGENT JAUNE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</si>
  <si>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Pag 3 3</t>
    </r>
    <r>
      <rPr>
        <b/>
        <sz val="7"/>
        <rFont val="Arial"/>
      </rPr>
      <t>6</t>
    </r>
  </si>
  <si>
    <r>
      <rPr>
        <sz val="6.5"/>
        <rFont val="Arial"/>
      </rPr>
      <t>453 OBAGS009 TES01 026</t>
    </r>
  </si>
  <si>
    <r>
      <rPr>
        <sz val="6.5"/>
        <rFont val="Arial"/>
      </rPr>
      <t xml:space="preserve">POCHETTE INTÉRIEURE FERMETURE ÉCLAIR O BAG 50 EN TISSU CANVAS BLEU COBALT 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</si>
  <si>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454 ACCEO001 TES23 076</t>
    </r>
  </si>
  <si>
    <r>
      <rPr>
        <sz val="6.5"/>
        <rFont val="Arial"/>
      </rPr>
      <t xml:space="preserve">ACCESSOIRES PENDENTIF POMPON EN RAPHIA TISSÉ ROUGE
</t>
    </r>
    <r>
      <rPr>
        <b/>
        <sz val="7"/>
        <rFont val="Arial"/>
      </rPr>
      <t xml:space="preserve">Fabriqué e </t>
    </r>
    <r>
      <rPr>
        <sz val="6.5"/>
        <rFont val="Arial"/>
      </rPr>
      <t>CN - CINA</t>
    </r>
  </si>
  <si>
    <r>
      <rPr>
        <sz val="6.5"/>
        <rFont val="Arial"/>
      </rPr>
      <t>455 SHOUD018 ECS00 054</t>
    </r>
  </si>
  <si>
    <r>
      <rPr>
        <sz val="6.5"/>
        <rFont val="Arial"/>
      </rPr>
      <t xml:space="preserve">LONGUE BANDOULIÈRE DOUBLE FIL O MOON LIGHT EN FAUX CUIR NUDE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</si>
  <si>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456 OBAGP024 ECS51 055</t>
    </r>
  </si>
  <si>
    <r>
      <rPr>
        <sz val="6.5"/>
        <rFont val="Arial"/>
      </rPr>
      <t xml:space="preserve">RABAT O POCKET MICRO EN FAUX CUIR CLOUS PYRAMIDES NOIR
</t>
    </r>
    <r>
      <rPr>
        <b/>
        <sz val="7"/>
        <rFont val="Arial"/>
      </rPr>
      <t xml:space="preserve">Fabriqué e </t>
    </r>
    <r>
      <rPr>
        <sz val="6.5"/>
        <rFont val="Arial"/>
      </rPr>
      <t>CN - CINA</t>
    </r>
  </si>
  <si>
    <r>
      <rPr>
        <sz val="6.5"/>
        <rFont val="Arial"/>
      </rPr>
      <t>457 OBAGB426 TESF9 009</t>
    </r>
  </si>
  <si>
    <r>
      <rPr>
        <sz val="6.5"/>
        <rFont val="Arial"/>
      </rPr>
      <t xml:space="preserve">CORPS COMPLET O BAG TOTE EN TISSU DEAUVILLE À RAYURES NUANCÉES BLEU 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</si>
  <si>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458 OBAGS017 TESE6 055</t>
    </r>
  </si>
  <si>
    <r>
      <rPr>
        <sz val="6.5"/>
        <rFont val="Arial"/>
      </rPr>
      <t xml:space="preserve">POCHETTE INTÉRIEURE FERMETURE ÉCLAIR O MOON LIGHT EN TISSU NYC À RAYURES BICOLORE N
</t>
    </r>
    <r>
      <rPr>
        <b/>
        <sz val="7"/>
        <rFont val="Arial"/>
      </rPr>
      <t xml:space="preserve">Fabriqué e </t>
    </r>
    <r>
      <rPr>
        <sz val="6.5"/>
        <rFont val="Arial"/>
      </rPr>
      <t xml:space="preserve">CN - CINA </t>
    </r>
    <r>
      <rPr>
        <b/>
        <sz val="7"/>
        <rFont val="Arial"/>
      </rPr>
      <t>label</t>
    </r>
  </si>
  <si>
    <r>
      <rPr>
        <sz val="6.5"/>
        <rFont val="Arial"/>
      </rPr>
      <t>459 SHOUCF00 ECS35 036</t>
    </r>
  </si>
  <si>
    <r>
      <rPr>
        <sz val="6.5"/>
        <rFont val="Arial"/>
      </rPr>
      <t xml:space="preserve">BANDOULIÈRE AVEC TRESSAGE + CLIP EN FAUX CUIR BASIC JAUNE
</t>
    </r>
    <r>
      <rPr>
        <b/>
        <sz val="7"/>
        <rFont val="Arial"/>
      </rPr>
      <t xml:space="preserve">Fabriqué e </t>
    </r>
    <r>
      <rPr>
        <sz val="6.5"/>
        <rFont val="Arial"/>
      </rPr>
      <t>CN - CINA</t>
    </r>
  </si>
  <si>
    <r>
      <rPr>
        <sz val="6.5"/>
        <rFont val="Arial"/>
      </rPr>
      <t>460 OBAGB009 EVS00 078</t>
    </r>
  </si>
  <si>
    <r>
      <rPr>
        <sz val="6.5"/>
        <rFont val="Arial"/>
      </rPr>
      <t xml:space="preserve">CORPS O BAG 50 EVA COMPOUND SABLE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</si>
  <si>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461 OBAGB002 EVS00 484</t>
    </r>
  </si>
  <si>
    <r>
      <rPr>
        <sz val="6.5"/>
        <rFont val="Arial"/>
      </rPr>
      <t xml:space="preserve">CORPS O BAG MINI EVA COMPOUND CORAIL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</si>
  <si>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462 ACCEP014 ECS35 026</t>
    </r>
  </si>
  <si>
    <r>
      <rPr>
        <sz val="6.5"/>
        <rFont val="Arial"/>
      </rPr>
      <t xml:space="preserve">ACCESSOIRES POCHETTE FILET EN FAUX CUIR BASIC BLEU COBALT
</t>
    </r>
    <r>
      <rPr>
        <b/>
        <sz val="7"/>
        <rFont val="Arial"/>
      </rPr>
      <t xml:space="preserve">Fabriqué e </t>
    </r>
    <r>
      <rPr>
        <sz val="6.5"/>
        <rFont val="Arial"/>
      </rPr>
      <t>CN - CINA</t>
    </r>
  </si>
  <si>
    <r>
      <rPr>
        <sz val="6.5"/>
        <rFont val="Arial"/>
      </rPr>
      <t>463 HLESZ817 TESI5 488</t>
    </r>
  </si>
  <si>
    <r>
      <rPr>
        <sz val="6.5"/>
        <rFont val="Arial"/>
      </rPr>
      <t xml:space="preserve">ANSES SPORTY + BRETELLE O SQUARE TISSU RUBAN YACHT BLUETTE/ROUGE/BLEU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</si>
  <si>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464 OBAGB206 EVS00 078</t>
    </r>
  </si>
  <si>
    <r>
      <rPr>
        <sz val="6.5"/>
        <rFont val="Arial"/>
      </rPr>
      <t xml:space="preserve">CORPS INFÉRIEUR O POCKET EVA COMPOUND SABLE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</si>
  <si>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465 OBAGB002 EVS00 422</t>
    </r>
  </si>
  <si>
    <r>
      <rPr>
        <sz val="6.5"/>
        <rFont val="Arial"/>
      </rPr>
      <t xml:space="preserve">CORPS O BAG MINI EVA COMPOUND SANGRIA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</si>
  <si>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Pag 3 3</t>
    </r>
    <r>
      <rPr>
        <b/>
        <sz val="7"/>
        <rFont val="Arial"/>
      </rPr>
      <t>7</t>
    </r>
  </si>
  <si>
    <r>
      <rPr>
        <sz val="6.5"/>
        <rFont val="Arial"/>
      </rPr>
      <t>466 SHOUGH00 TESI7 482</t>
    </r>
  </si>
  <si>
    <r>
      <rPr>
        <sz val="6.5"/>
        <rFont val="Arial"/>
      </rPr>
      <t xml:space="preserve">BANDOULIÈRE 80/120 + GOUTTE TROUÉE TISSU RUBAN METAL DECOR ROSE/CHAMPAGNE </t>
    </r>
    <r>
      <rPr>
        <b/>
        <sz val="7"/>
        <rFont val="Arial"/>
      </rPr>
      <t xml:space="preserve">Fabriqué e </t>
    </r>
    <r>
      <rPr>
        <sz val="6.5"/>
        <rFont val="Arial"/>
      </rPr>
      <t>CN - CINA</t>
    </r>
  </si>
  <si>
    <r>
      <rPr>
        <sz val="6.5"/>
        <rFont val="Arial"/>
      </rPr>
      <t>467 OBAGS010 TESG2 076</t>
    </r>
  </si>
  <si>
    <r>
      <rPr>
        <sz val="6.5"/>
        <rFont val="Arial"/>
      </rPr>
      <t xml:space="preserve">POCHETTE INTÉRIEURE FERMETURE ÉCLAIR O CITY EN TISSU CANVAS + RUBAN ROUGE 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</si>
  <si>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468 OBAGB024 EVS00 076</t>
    </r>
  </si>
  <si>
    <r>
      <rPr>
        <sz val="6.5"/>
        <rFont val="Arial"/>
      </rPr>
      <t xml:space="preserve">CORPS O POCKET MICRO EVA COMPOUND ROUGE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</si>
  <si>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469 OBAGB021 EVS03 026</t>
    </r>
  </si>
  <si>
    <r>
      <rPr>
        <sz val="6.5"/>
        <rFont val="Arial"/>
      </rPr>
      <t xml:space="preserve">CORPS O SWING EVA COMPOUND EFFET OSIER BLEU COBALT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</si>
  <si>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470 OBAGP024 ECS51 008</t>
    </r>
  </si>
  <si>
    <r>
      <rPr>
        <sz val="6.5"/>
        <rFont val="Arial"/>
      </rPr>
      <t xml:space="preserve">RABAT O POCKET MICRO EN FAUX CUIR CLOUS PYRAMIDES BLANC
</t>
    </r>
    <r>
      <rPr>
        <b/>
        <sz val="7"/>
        <rFont val="Arial"/>
      </rPr>
      <t xml:space="preserve">Fabriqué e </t>
    </r>
    <r>
      <rPr>
        <sz val="6.5"/>
        <rFont val="Arial"/>
      </rPr>
      <t>CN - CINA</t>
    </r>
  </si>
  <si>
    <r>
      <rPr>
        <sz val="6.5"/>
        <rFont val="Arial"/>
      </rPr>
      <t>471 OBAGP006 TESF6 474</t>
    </r>
  </si>
  <si>
    <r>
      <rPr>
        <sz val="6.5"/>
        <rFont val="Arial"/>
      </rPr>
      <t xml:space="preserve">RABAT O POCKET EN TISSU LUXURY STRIPES BLANC/BLUETTE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</si>
  <si>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472 OBAGP006 TESF2 055</t>
    </r>
  </si>
  <si>
    <r>
      <rPr>
        <sz val="6.5"/>
        <rFont val="Arial"/>
      </rPr>
      <t xml:space="preserve">RABAT O POCKET EN NYLON À RAYURES + PVC NOIR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</si>
  <si>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473 OBAGS009 TES01 076</t>
    </r>
  </si>
  <si>
    <r>
      <rPr>
        <sz val="6.5"/>
        <rFont val="Arial"/>
      </rPr>
      <t xml:space="preserve">POCHETTE INTÉRIEURE FERMETURE ÉCLAIR O BAG 50 EN TISSU CANVAS ROUGE 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</si>
  <si>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474 OCLKSB01 INS00 063</t>
    </r>
  </si>
  <si>
    <r>
      <rPr>
        <sz val="6.5"/>
        <rFont val="Arial"/>
      </rPr>
      <t>475 OBAGS002 TESE6 076</t>
    </r>
  </si>
  <si>
    <r>
      <rPr>
        <sz val="6.5"/>
        <rFont val="Arial"/>
      </rPr>
      <t xml:space="preserve">POCHETTE INTÉRIEURE FERMETURE ÉCLAIR O BAG MINI EN TISSU NYC À RAYURES BICOLORE ROU
</t>
    </r>
    <r>
      <rPr>
        <b/>
        <sz val="7"/>
        <rFont val="Arial"/>
      </rPr>
      <t xml:space="preserve">Fabriqué e </t>
    </r>
    <r>
      <rPr>
        <sz val="6.5"/>
        <rFont val="Arial"/>
      </rPr>
      <t xml:space="preserve">CN - CINA </t>
    </r>
    <r>
      <rPr>
        <b/>
        <sz val="7"/>
        <rFont val="Arial"/>
      </rPr>
      <t>label</t>
    </r>
  </si>
  <si>
    <r>
      <rPr>
        <sz val="6.5"/>
        <rFont val="Arial"/>
      </rPr>
      <t>476 OBAGPA06 TESF1 076</t>
    </r>
  </si>
  <si>
    <r>
      <rPr>
        <sz val="6.5"/>
        <rFont val="Arial"/>
      </rPr>
      <t xml:space="preserve">RABAT TOURNIQUET O POCKET EN TISSU + FAUX CUIR NYC À RAYURES ROUGE
</t>
    </r>
    <r>
      <rPr>
        <b/>
        <sz val="7"/>
        <rFont val="Arial"/>
      </rPr>
      <t xml:space="preserve">Fabriqué e </t>
    </r>
    <r>
      <rPr>
        <sz val="6.5"/>
        <rFont val="Arial"/>
      </rPr>
      <t>CN - CINA</t>
    </r>
  </si>
  <si>
    <r>
      <rPr>
        <sz val="6.5"/>
        <rFont val="Arial"/>
      </rPr>
      <t>477 OBAGB001 EVS00 071</t>
    </r>
  </si>
  <si>
    <r>
      <rPr>
        <sz val="6.5"/>
        <rFont val="Arial"/>
      </rPr>
      <t xml:space="preserve">CORPS O BAG EVA COMPOUND TAUPE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</si>
  <si>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478 OCLKD001 MES80 347</t>
    </r>
  </si>
  <si>
    <r>
      <rPr>
        <sz val="6.5"/>
        <rFont val="Arial"/>
      </rPr>
      <t xml:space="preserve">O CLOCK MÉCANISME DEAUVILLE LINES + FLOWERS CÈDRE
</t>
    </r>
    <r>
      <rPr>
        <b/>
        <sz val="7"/>
        <rFont val="Arial"/>
      </rPr>
      <t xml:space="preserve">Fabriqué e </t>
    </r>
    <r>
      <rPr>
        <sz val="6.5"/>
        <rFont val="Arial"/>
      </rPr>
      <t>CN - CINA</t>
    </r>
  </si>
  <si>
    <r>
      <rPr>
        <sz val="6.5"/>
        <rFont val="Arial"/>
      </rPr>
      <t>Pag 3 3</t>
    </r>
    <r>
      <rPr>
        <b/>
        <sz val="7"/>
        <rFont val="Arial"/>
      </rPr>
      <t>8</t>
    </r>
  </si>
  <si>
    <r>
      <rPr>
        <sz val="6.5"/>
        <rFont val="Arial"/>
      </rPr>
      <t>479 OHUGI002 ECS70 076</t>
    </r>
  </si>
  <si>
    <r>
      <rPr>
        <sz val="6.5"/>
        <rFont val="Arial"/>
      </rPr>
      <t xml:space="preserve">O HUG INTÉRIEUR PORTEFEUILLE FEMME EN FAUX CUIR AVEC BRISÉ ROUGE
</t>
    </r>
    <r>
      <rPr>
        <b/>
        <sz val="7"/>
        <rFont val="Arial"/>
      </rPr>
      <t xml:space="preserve">Fabriqué e </t>
    </r>
    <r>
      <rPr>
        <sz val="6.5"/>
        <rFont val="Arial"/>
      </rPr>
      <t>IN - INDIA</t>
    </r>
  </si>
  <si>
    <r>
      <rPr>
        <sz val="6.5"/>
        <rFont val="Arial"/>
      </rPr>
      <t>480 OCLKE013 MAS00 059</t>
    </r>
  </si>
  <si>
    <r>
      <rPr>
        <sz val="6.5"/>
        <rFont val="Arial"/>
      </rPr>
      <t xml:space="preserve">O CLOCK SHIFT CASE CLASSIC SLIM EN PLASTIQUE OCÉAN
</t>
    </r>
    <r>
      <rPr>
        <b/>
        <sz val="7"/>
        <rFont val="Arial"/>
      </rPr>
      <t xml:space="preserve">Fabriqué e </t>
    </r>
    <r>
      <rPr>
        <sz val="6.5"/>
        <rFont val="Arial"/>
      </rPr>
      <t>CN - CINA</t>
    </r>
  </si>
  <si>
    <r>
      <rPr>
        <sz val="6.5"/>
        <rFont val="Arial"/>
      </rPr>
      <t>481 OBAGPA10 ECS35 479</t>
    </r>
  </si>
  <si>
    <r>
      <rPr>
        <sz val="6.5"/>
        <rFont val="Arial"/>
      </rPr>
      <t xml:space="preserve">RABAT TOURNIQUET O CITY EN FAUX CUIR BASIC SKYWAY
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</si>
  <si>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482 OBAGS018 TES26 055</t>
    </r>
  </si>
  <si>
    <r>
      <rPr>
        <sz val="6.5"/>
        <rFont val="Arial"/>
      </rPr>
      <t xml:space="preserve">POCHETTE INTÉRIEURE FERMETURE ÉCLAIR O BAG BEACH MINI EN TISSU CORDURA NOIR 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</si>
  <si>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483 OBAGPA24 ECS53 072</t>
    </r>
  </si>
  <si>
    <r>
      <rPr>
        <sz val="6.5"/>
        <rFont val="Arial"/>
      </rPr>
      <t xml:space="preserve">RABAT TOURNIQUET O POCKET EN MICRO EN FAUX CUIR MÉTALLISÉ + FLEURS PVC OPAQUE ROSE
</t>
    </r>
    <r>
      <rPr>
        <b/>
        <sz val="7"/>
        <rFont val="Arial"/>
      </rPr>
      <t xml:space="preserve">Fabriqué e </t>
    </r>
    <r>
      <rPr>
        <sz val="6.5"/>
        <rFont val="Arial"/>
      </rPr>
      <t xml:space="preserve">IT - ITALIA </t>
    </r>
    <r>
      <rPr>
        <b/>
        <sz val="7"/>
        <rFont val="Arial"/>
      </rPr>
      <t>label</t>
    </r>
  </si>
  <si>
    <r>
      <rPr>
        <sz val="6.5"/>
        <rFont val="Arial"/>
      </rPr>
      <t>484 OBAGS016 TESH1 008</t>
    </r>
  </si>
  <si>
    <r>
      <rPr>
        <sz val="6.5"/>
        <rFont val="Arial"/>
      </rPr>
      <t xml:space="preserve">POCHETTE INTÉRIEURE FERMETURE ÉCLAIR O MOON EN TISSU BOUCLÉ DÉCOR BLANC 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</si>
  <si>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sz val="6.5"/>
        <rFont val="Arial"/>
      </rPr>
      <t>485 OBAGP106 ECS52 076</t>
    </r>
  </si>
  <si>
    <r>
      <rPr>
        <sz val="6.5"/>
        <rFont val="Arial"/>
      </rPr>
      <t xml:space="preserve">RABAT AVEC BANDEAU O POCKET EN FAUX CUIR RUBAN LIVRE BICOLORE ROUGE </t>
    </r>
    <r>
      <rPr>
        <b/>
        <sz val="7"/>
        <rFont val="Arial"/>
      </rPr>
      <t xml:space="preserve">Fabriqué e </t>
    </r>
    <r>
      <rPr>
        <sz val="6.5"/>
        <rFont val="Arial"/>
      </rPr>
      <t>IT - ITALIA</t>
    </r>
  </si>
  <si>
    <r>
      <rPr>
        <b/>
        <sz val="7"/>
        <rFont val="Arial"/>
      </rPr>
      <t>Document Date doc. Client dest.</t>
    </r>
  </si>
  <si>
    <r>
      <rPr>
        <b/>
        <sz val="7"/>
        <rFont val="Arial"/>
      </rPr>
      <t xml:space="preserve">Num. C.de </t>
    </r>
    <r>
      <rPr>
        <sz val="6.5"/>
        <rFont val="Arial"/>
      </rPr>
      <t>//</t>
    </r>
  </si>
  <si>
    <r>
      <rPr>
        <sz val="6.5"/>
        <rFont val="Arial"/>
      </rPr>
      <t>486 000_SPTRASP</t>
    </r>
  </si>
  <si>
    <r>
      <rPr>
        <sz val="6.5"/>
        <rFont val="Arial"/>
      </rPr>
      <t>1 NR</t>
    </r>
  </si>
  <si>
    <r>
      <rPr>
        <sz val="6.5"/>
        <rFont val="Arial"/>
      </rPr>
      <t>DÉBIT FRAIS DE TRANSPORT</t>
    </r>
  </si>
  <si>
    <r>
      <rPr>
        <b/>
        <sz val="7"/>
        <rFont val="Arial"/>
      </rPr>
      <t xml:space="preserve">label </t>
    </r>
    <r>
      <rPr>
        <sz val="6.5"/>
        <rFont val="Arial"/>
      </rPr>
      <t>1.370</t>
    </r>
  </si>
  <si>
    <r>
      <rPr>
        <b/>
        <sz val="8.5"/>
        <rFont val="Arial"/>
      </rPr>
      <t xml:space="preserve">RECAPITULATIFS
</t>
    </r>
    <r>
      <rPr>
        <vertAlign val="superscript"/>
        <sz val="5"/>
        <rFont val="Arial"/>
      </rPr>
      <t>359</t>
    </r>
    <r>
      <rPr>
        <sz val="6.5"/>
        <rFont val="Arial"/>
      </rPr>
      <t xml:space="preserve"> PZ</t>
    </r>
  </si>
  <si>
    <r>
      <rPr>
        <b/>
        <sz val="7"/>
        <rFont val="Arial"/>
      </rPr>
      <t xml:space="preserve">Récapitulatif catégories douanières
</t>
    </r>
    <r>
      <rPr>
        <sz val="6.5"/>
        <rFont val="Arial"/>
      </rPr>
      <t xml:space="preserve">420222100 </t>
    </r>
    <r>
      <rPr>
        <b/>
        <sz val="7"/>
        <rFont val="Arial"/>
      </rPr>
      <t>Catégorie</t>
    </r>
  </si>
  <si>
    <r>
      <rPr>
        <b/>
        <sz val="7"/>
        <rFont val="Arial"/>
      </rPr>
      <t xml:space="preserve">Total
</t>
    </r>
    <r>
      <rPr>
        <sz val="6.5"/>
        <rFont val="Arial"/>
      </rPr>
      <t xml:space="preserve">KG </t>
    </r>
    <r>
      <rPr>
        <b/>
        <sz val="7"/>
        <rFont val="Arial"/>
      </rPr>
      <t xml:space="preserve">Um poids
</t>
    </r>
    <r>
      <rPr>
        <b/>
        <sz val="7"/>
        <rFont val="Arial"/>
      </rPr>
      <t>Total</t>
    </r>
  </si>
  <si>
    <r>
      <rPr>
        <sz val="6.5"/>
        <rFont val="Arial"/>
      </rPr>
      <t xml:space="preserve">24,359
</t>
    </r>
    <r>
      <rPr>
        <sz val="6.5"/>
        <rFont val="Arial"/>
      </rPr>
      <t xml:space="preserve">92,936 PZ
</t>
    </r>
    <r>
      <rPr>
        <b/>
        <sz val="7"/>
        <rFont val="Arial"/>
      </rPr>
      <t xml:space="preserve">Poids Um Qté
</t>
    </r>
    <r>
      <rPr>
        <sz val="6.5"/>
        <rFont val="Arial"/>
      </rPr>
      <t>92,936</t>
    </r>
  </si>
  <si>
    <r>
      <rPr>
        <sz val="6.5"/>
        <rFont val="Arial"/>
      </rPr>
      <t xml:space="preserve">302 </t>
    </r>
    <r>
      <rPr>
        <b/>
        <sz val="7"/>
        <rFont val="Arial"/>
      </rPr>
      <t>Quantité</t>
    </r>
  </si>
  <si>
    <r>
      <rPr>
        <sz val="6.5"/>
        <rFont val="Arial"/>
      </rPr>
      <t xml:space="preserve">3575,64
</t>
    </r>
    <r>
      <rPr>
        <sz val="6.5"/>
        <rFont val="Arial"/>
      </rPr>
      <t xml:space="preserve">4002 </t>
    </r>
    <r>
      <rPr>
        <b/>
        <sz val="7"/>
        <rFont val="Arial"/>
      </rPr>
      <t xml:space="preserve">Valeur
</t>
    </r>
    <r>
      <rPr>
        <sz val="6.5"/>
        <rFont val="Arial"/>
      </rPr>
      <t>4002</t>
    </r>
  </si>
  <si>
    <r>
      <rPr>
        <sz val="6.5"/>
        <rFont val="Arial"/>
      </rPr>
      <t>KG</t>
    </r>
  </si>
  <si>
    <r>
      <rPr>
        <b/>
        <sz val="7"/>
        <rFont val="Arial"/>
      </rPr>
      <t>Total</t>
    </r>
  </si>
  <si>
    <r>
      <rPr>
        <sz val="6.5"/>
        <rFont val="Arial"/>
      </rPr>
      <t>Pag 3 3</t>
    </r>
    <r>
      <rPr>
        <b/>
        <sz val="7"/>
        <rFont val="Arial"/>
      </rPr>
      <t xml:space="preserve">9
</t>
    </r>
    <r>
      <rPr>
        <b/>
        <sz val="7"/>
        <rFont val="Arial"/>
      </rPr>
      <t xml:space="preserve">Client </t>
    </r>
    <r>
      <rPr>
        <sz val="6.5"/>
        <rFont val="Arial"/>
      </rPr>
      <t>002487</t>
    </r>
  </si>
  <si>
    <r>
      <rPr>
        <sz val="6.5"/>
        <rFont val="Arial"/>
      </rPr>
      <t xml:space="preserve">SOFEA
</t>
    </r>
    <r>
      <rPr>
        <sz val="6.5"/>
        <rFont val="Arial"/>
      </rPr>
      <t xml:space="preserve">10, RUE GASTON PHOEBUS
</t>
    </r>
    <r>
      <rPr>
        <sz val="6.5"/>
        <rFont val="Arial"/>
      </rPr>
      <t xml:space="preserve">31120 LACROIX-FALGARDE -Francia </t>
    </r>
    <r>
      <rPr>
        <sz val="6.5"/>
        <rFont val="Arial"/>
      </rPr>
      <t>P. Iva 44808894489</t>
    </r>
  </si>
  <si>
    <r>
      <rPr>
        <b/>
        <sz val="7"/>
        <rFont val="Arial"/>
      </rPr>
      <t xml:space="preserve">Échéance
</t>
    </r>
    <r>
      <rPr>
        <b/>
        <sz val="7"/>
        <rFont val="Arial"/>
      </rPr>
      <t xml:space="preserve">Exemption </t>
    </r>
    <r>
      <rPr>
        <sz val="6.5"/>
        <rFont val="Arial"/>
      </rPr>
      <t xml:space="preserve">VEND.N.I.ART.41 L.427/93 UE </t>
    </r>
    <r>
      <rPr>
        <b/>
        <sz val="7"/>
        <rFont val="Arial"/>
      </rPr>
      <t xml:space="preserve">Lettre
</t>
    </r>
    <r>
      <rPr>
        <b/>
        <sz val="7"/>
        <rFont val="Arial"/>
      </rPr>
      <t>Intention</t>
    </r>
  </si>
  <si>
    <r>
      <rPr>
        <b/>
        <sz val="8.5"/>
        <rFont val="Arial"/>
      </rPr>
      <t>Total FACTURE 14.935,20 EUR</t>
    </r>
  </si>
  <si>
    <r>
      <rPr>
        <b/>
        <sz val="7"/>
        <rFont val="Arial"/>
      </rPr>
      <t xml:space="preserve">Justificatif </t>
    </r>
    <r>
      <rPr>
        <sz val="6.5"/>
        <rFont val="Arial"/>
      </rPr>
      <t xml:space="preserve">Fattura ESTERO </t>
    </r>
    <r>
      <rPr>
        <b/>
        <sz val="7"/>
        <rFont val="Arial"/>
      </rPr>
      <t xml:space="preserve">Banque
</t>
    </r>
    <r>
      <rPr>
        <b/>
        <sz val="7"/>
        <rFont val="Arial"/>
      </rPr>
      <t xml:space="preserve">Cod. Paiem. </t>
    </r>
    <r>
      <rPr>
        <sz val="6.5"/>
        <rFont val="Arial"/>
      </rPr>
      <t xml:space="preserve">P002 BONIFICO CLIENTE </t>
    </r>
    <r>
      <rPr>
        <b/>
        <sz val="7"/>
        <rFont val="Arial"/>
      </rPr>
      <t xml:space="preserve">IBAN
</t>
    </r>
    <r>
      <rPr>
        <b/>
        <sz val="7"/>
        <rFont val="Arial"/>
      </rPr>
      <t>Remise fin. Remise en-t remise cond. N.jours</t>
    </r>
  </si>
  <si>
    <r>
      <rPr>
        <b/>
        <sz val="7"/>
        <rFont val="Arial"/>
      </rPr>
      <t xml:space="preserve">Agent
</t>
    </r>
    <r>
      <rPr>
        <sz val="6.5"/>
        <rFont val="Arial"/>
      </rPr>
      <t xml:space="preserve">AGED01 AGENTE DIREZIONALE SOCIETA' D01 </t>
    </r>
    <r>
      <rPr>
        <b/>
        <sz val="7"/>
        <rFont val="Arial"/>
      </rPr>
      <t xml:space="preserve">Notes facture
</t>
    </r>
    <r>
      <rPr>
        <sz val="6.5"/>
        <rFont val="Arial"/>
      </rPr>
      <t>FT Tracking UPS: 1ZV621906876694101</t>
    </r>
  </si>
  <si>
    <r>
      <rPr>
        <b/>
        <sz val="7"/>
        <rFont val="Arial"/>
      </rPr>
      <t xml:space="preserve">N. Modèle Pièce Couleur Taille QTÉ Um Prix Remises Montant Cadeaux TVA
</t>
    </r>
    <r>
      <rPr>
        <sz val="6.5"/>
        <rFont val="Arial"/>
      </rPr>
      <t xml:space="preserve">49111090 KG 1,7 PZ 2 15
</t>
    </r>
    <r>
      <rPr>
        <b/>
        <sz val="7"/>
        <rFont val="Arial"/>
      </rPr>
      <t xml:space="preserve">Total </t>
    </r>
    <r>
      <rPr>
        <sz val="6.5"/>
        <rFont val="Arial"/>
      </rPr>
      <t xml:space="preserve">1,7 15
</t>
    </r>
    <r>
      <rPr>
        <sz val="6.5"/>
        <rFont val="Arial"/>
      </rPr>
      <t xml:space="preserve">560900000 KG 8,168 PZ 37 411,12
</t>
    </r>
    <r>
      <rPr>
        <b/>
        <sz val="7"/>
        <rFont val="Arial"/>
      </rPr>
      <t xml:space="preserve">Total </t>
    </r>
    <r>
      <rPr>
        <sz val="6.5"/>
        <rFont val="Arial"/>
      </rPr>
      <t xml:space="preserve">8,168 411,12
</t>
    </r>
    <r>
      <rPr>
        <sz val="6.5"/>
        <rFont val="Arial"/>
      </rPr>
      <t xml:space="preserve">63079098 KG 3,792 PZ 64 881,52
</t>
    </r>
    <r>
      <rPr>
        <b/>
        <sz val="7"/>
        <rFont val="Arial"/>
      </rPr>
      <t xml:space="preserve">Total </t>
    </r>
    <r>
      <rPr>
        <sz val="6.5"/>
        <rFont val="Arial"/>
      </rPr>
      <t xml:space="preserve">3,792 881,52
</t>
    </r>
    <r>
      <rPr>
        <sz val="6.5"/>
        <rFont val="Arial"/>
      </rPr>
      <t xml:space="preserve">630790989 KG 5,664 PZ 64 880,8
</t>
    </r>
    <r>
      <rPr>
        <b/>
        <sz val="7"/>
        <rFont val="Arial"/>
      </rPr>
      <t xml:space="preserve">Total </t>
    </r>
    <r>
      <rPr>
        <sz val="6.5"/>
        <rFont val="Arial"/>
      </rPr>
      <t xml:space="preserve">5,664 880,8
</t>
    </r>
    <r>
      <rPr>
        <sz val="6.5"/>
        <rFont val="Arial"/>
      </rPr>
      <t xml:space="preserve">790700000 KG 1,167 PZ 51 373,32
</t>
    </r>
    <r>
      <rPr>
        <b/>
        <sz val="7"/>
        <rFont val="Arial"/>
      </rPr>
      <t xml:space="preserve">Total </t>
    </r>
    <r>
      <rPr>
        <sz val="6.5"/>
        <rFont val="Arial"/>
      </rPr>
      <t xml:space="preserve">1,167 373,32
</t>
    </r>
    <r>
      <rPr>
        <sz val="6.5"/>
        <rFont val="Arial"/>
      </rPr>
      <t xml:space="preserve">790900000 KG ,166 PZ 16 72,96
</t>
    </r>
    <r>
      <rPr>
        <b/>
        <sz val="7"/>
        <rFont val="Arial"/>
      </rPr>
      <t xml:space="preserve">Total </t>
    </r>
    <r>
      <rPr>
        <sz val="6.5"/>
        <rFont val="Arial"/>
      </rPr>
      <t xml:space="preserve">,166 72,96
</t>
    </r>
    <r>
      <rPr>
        <sz val="6.5"/>
        <rFont val="Arial"/>
      </rPr>
      <t xml:space="preserve">91021100 KG 1,554 PZ 42 80,64
</t>
    </r>
    <r>
      <rPr>
        <b/>
        <sz val="7"/>
        <rFont val="Arial"/>
      </rPr>
      <t xml:space="preserve">Total </t>
    </r>
    <r>
      <rPr>
        <sz val="6.5"/>
        <rFont val="Arial"/>
      </rPr>
      <t xml:space="preserve">1,554 80,64
</t>
    </r>
    <r>
      <rPr>
        <sz val="6.5"/>
        <rFont val="Arial"/>
      </rPr>
      <t xml:space="preserve">911180000 KG ,687 PZ 78 771,84
</t>
    </r>
    <r>
      <rPr>
        <b/>
        <sz val="7"/>
        <rFont val="Arial"/>
      </rPr>
      <t xml:space="preserve">Total </t>
    </r>
    <r>
      <rPr>
        <sz val="6.5"/>
        <rFont val="Arial"/>
      </rPr>
      <t xml:space="preserve">,687 771,84
</t>
    </r>
    <r>
      <rPr>
        <sz val="6.5"/>
        <rFont val="Arial"/>
      </rPr>
      <t xml:space="preserve">911390009 KG 12,44 PZ 48 120,96
</t>
    </r>
    <r>
      <rPr>
        <b/>
        <sz val="7"/>
        <rFont val="Arial"/>
      </rPr>
      <t xml:space="preserve">Total </t>
    </r>
    <r>
      <rPr>
        <sz val="6.5"/>
        <rFont val="Arial"/>
      </rPr>
      <t xml:space="preserve">12,44 120,96
</t>
    </r>
    <r>
      <rPr>
        <b/>
        <sz val="7"/>
        <rFont val="Arial"/>
      </rPr>
      <t>Récapitulatif TVA</t>
    </r>
  </si>
  <si>
    <r>
      <rPr>
        <b/>
        <sz val="7"/>
        <rFont val="Arial"/>
      </rPr>
      <t>Imposable</t>
    </r>
  </si>
  <si>
    <r>
      <rPr>
        <b/>
        <sz val="7"/>
        <rFont val="Arial"/>
      </rPr>
      <t>Participation</t>
    </r>
  </si>
  <si>
    <r>
      <rPr>
        <b/>
        <sz val="7"/>
        <rFont val="Arial"/>
      </rPr>
      <t>Configurer</t>
    </r>
  </si>
  <si>
    <r>
      <rPr>
        <sz val="6.5"/>
        <rFont val="Arial"/>
      </rPr>
      <t xml:space="preserve">1G VEND.N.I.ART.41 L.427/93 UE 14.935,20 0 0,00
</t>
    </r>
    <r>
      <rPr>
        <b/>
        <sz val="7"/>
        <rFont val="Arial"/>
      </rPr>
      <t>Echéances</t>
    </r>
  </si>
  <si>
    <r>
      <rPr>
        <b/>
        <sz val="7"/>
        <rFont val="Arial"/>
      </rPr>
      <t>Date</t>
    </r>
  </si>
  <si>
    <r>
      <rPr>
        <b/>
        <sz val="7"/>
        <rFont val="Arial"/>
      </rPr>
      <t>Montant</t>
    </r>
  </si>
  <si>
    <r>
      <rPr>
        <sz val="6.5"/>
        <rFont val="Arial"/>
      </rPr>
      <t>12/02/2018 14.935,20</t>
    </r>
  </si>
  <si>
    <r>
      <rPr>
        <b/>
        <sz val="7"/>
        <rFont val="Arial"/>
      </rPr>
      <t>Totaux Montants</t>
    </r>
  </si>
  <si>
    <r>
      <rPr>
        <b/>
        <sz val="7"/>
        <rFont val="Arial"/>
      </rPr>
      <t xml:space="preserve">Remises Montant brut </t>
    </r>
    <r>
      <rPr>
        <sz val="6.5"/>
        <rFont val="Arial"/>
      </rPr>
      <t>14.635,20</t>
    </r>
  </si>
  <si>
    <r>
      <rPr>
        <b/>
        <sz val="8.5"/>
        <rFont val="Arial"/>
      </rPr>
      <t>Total FACTURE</t>
    </r>
  </si>
  <si>
    <r>
      <rPr>
        <b/>
        <sz val="7"/>
        <rFont val="Arial"/>
      </rPr>
      <t xml:space="preserve">Remise </t>
    </r>
    <r>
      <rPr>
        <sz val="6.5"/>
        <rFont val="Arial"/>
      </rPr>
      <t xml:space="preserve">0,00 </t>
    </r>
    <r>
      <rPr>
        <b/>
        <sz val="7"/>
        <rFont val="Arial"/>
      </rPr>
      <t xml:space="preserve">Brut frais </t>
    </r>
    <r>
      <rPr>
        <sz val="6.5"/>
        <rFont val="Arial"/>
      </rPr>
      <t xml:space="preserve">300,00
</t>
    </r>
    <r>
      <rPr>
        <b/>
        <sz val="7"/>
        <rFont val="Arial"/>
      </rPr>
      <t xml:space="preserve">Cadeaux </t>
    </r>
    <r>
      <rPr>
        <sz val="6.5"/>
        <rFont val="Arial"/>
      </rPr>
      <t xml:space="preserve">0,00
</t>
    </r>
    <r>
      <rPr>
        <b/>
        <sz val="7"/>
        <rFont val="Arial"/>
      </rPr>
      <t xml:space="preserve">Remise financière </t>
    </r>
    <r>
      <rPr>
        <sz val="6.5"/>
        <rFont val="Arial"/>
      </rPr>
      <t xml:space="preserve">0,00 </t>
    </r>
    <r>
      <rPr>
        <b/>
        <sz val="7"/>
        <rFont val="Arial"/>
      </rPr>
      <t xml:space="preserve">Montant net </t>
    </r>
    <r>
      <rPr>
        <sz val="6.5"/>
        <rFont val="Arial"/>
      </rPr>
      <t xml:space="preserve">14.635,20
</t>
    </r>
    <r>
      <rPr>
        <b/>
        <sz val="7"/>
        <rFont val="Arial"/>
      </rPr>
      <t xml:space="preserve">Remise En-tête </t>
    </r>
    <r>
      <rPr>
        <sz val="6.5"/>
        <rFont val="Arial"/>
      </rPr>
      <t xml:space="preserve">0,00 </t>
    </r>
    <r>
      <rPr>
        <b/>
        <sz val="7"/>
        <rFont val="Arial"/>
      </rPr>
      <t xml:space="preserve">Acomptes </t>
    </r>
    <r>
      <rPr>
        <sz val="6.5"/>
        <rFont val="Arial"/>
      </rPr>
      <t xml:space="preserve">0,00 </t>
    </r>
    <r>
      <rPr>
        <b/>
        <sz val="7"/>
        <rFont val="Arial"/>
      </rPr>
      <t xml:space="preserve">Montant net de tout </t>
    </r>
    <r>
      <rPr>
        <sz val="6.5"/>
        <rFont val="Arial"/>
      </rPr>
      <t>14.635,20</t>
    </r>
  </si>
  <si>
    <r>
      <rPr>
        <b/>
        <sz val="8.5"/>
        <rFont val="Arial"/>
      </rPr>
      <t>14.935,20 EUR</t>
    </r>
  </si>
  <si>
    <r>
      <rPr>
        <sz val="6.5"/>
        <rFont val="Arial"/>
      </rPr>
      <t>Pag 4 4</t>
    </r>
    <r>
      <rPr>
        <b/>
        <sz val="7"/>
        <rFont val="Arial"/>
      </rPr>
      <t xml:space="preserve">0
</t>
    </r>
    <r>
      <rPr>
        <b/>
        <sz val="7"/>
        <rFont val="Arial"/>
      </rPr>
      <t xml:space="preserve">Client </t>
    </r>
    <r>
      <rPr>
        <sz val="6.5"/>
        <rFont val="Arial"/>
      </rPr>
      <t>002487</t>
    </r>
  </si>
  <si>
    <r>
      <rPr>
        <b/>
        <sz val="7"/>
        <rFont val="Arial"/>
      </rPr>
      <t>N. Modèle Pièce Couleur Taille QTÉ Um Prix Remises Montant Cadeaux TVA</t>
    </r>
  </si>
  <si>
    <r>
      <rPr>
        <b/>
        <sz val="7"/>
        <rFont val="Arial"/>
      </rPr>
      <t xml:space="preserve">label
</t>
    </r>
    <r>
      <rPr>
        <sz val="6.5"/>
        <rFont val="Arial"/>
      </rPr>
      <t>Out In - Mag C/O Full Spot</t>
    </r>
  </si>
  <si>
    <r>
      <rPr>
        <b/>
        <sz val="7"/>
        <rFont val="Arial"/>
      </rPr>
      <t>label Port</t>
    </r>
  </si>
  <si>
    <r>
      <rPr>
        <sz val="6.5"/>
        <rFont val="Arial"/>
      </rPr>
      <t xml:space="preserve">Via Austria, 17 </t>
    </r>
    <r>
      <rPr>
        <sz val="6.5"/>
        <rFont val="Arial"/>
      </rPr>
      <t>35127 Padova -Italia</t>
    </r>
  </si>
  <si>
    <r>
      <rPr>
        <b/>
        <sz val="7"/>
        <rFont val="Arial"/>
      </rPr>
      <t xml:space="preserve">N. colis Um Poids brut Poids net Tot Poids brut Tot Poids net Date début transpo
</t>
    </r>
    <r>
      <rPr>
        <sz val="6.5"/>
        <rFont val="Arial"/>
      </rPr>
      <t xml:space="preserve">2 KG 91,500 90,500 183,000 181,000
</t>
    </r>
    <r>
      <rPr>
        <sz val="6.5"/>
        <rFont val="Arial"/>
      </rPr>
      <t>1 KG 5,000 4,000 5,000 4,000</t>
    </r>
  </si>
  <si>
    <r>
      <rPr>
        <sz val="6.5"/>
        <rFont val="Arial"/>
      </rPr>
      <t xml:space="preserve">KG 188,000 185,000
</t>
    </r>
    <r>
      <rPr>
        <sz val="6.5"/>
        <rFont val="Arial"/>
      </rPr>
      <t xml:space="preserve"> 0,000 0,000</t>
    </r>
  </si>
  <si>
    <r>
      <rPr>
        <sz val="6.5"/>
        <rFont val="Arial"/>
      </rPr>
      <t>0,000 0,000</t>
    </r>
  </si>
  <si>
    <r>
      <rPr>
        <b/>
        <sz val="7"/>
        <rFont val="Arial"/>
      </rPr>
      <t>***</t>
    </r>
  </si>
  <si>
    <r>
      <rPr>
        <b/>
        <sz val="7"/>
        <rFont val="Arial"/>
      </rPr>
      <t>Transporteurs</t>
    </r>
  </si>
  <si>
    <t>POCHETTE INTÉRIEURE À COULISSE O SWING EN TISSU MÉTALLISÉ FLOWER BRODERIE ANGLAISE O</t>
  </si>
  <si>
    <t>ACCESSOIRE CLIP EN FAUX CUIR OPAQUE + ARGENT ROUGE</t>
  </si>
  <si>
    <t>CORPS O CITY EVA COMPOUND SABLE</t>
  </si>
  <si>
    <t>POCHETTE INTÉRIEURE À COULISSE O BAG MINI EN NYLON COULEUR UNIE NAVY</t>
  </si>
  <si>
    <t>POCHETTE INTÉRIEURE FERMETURE ÉCLAIR O BAG EN TISSU FANTAISIE COQUELICOTS SUR RAYUR</t>
  </si>
  <si>
    <t>POCHETTE INTÉRIEURE FERMETURE ÉCLAIR O BAG BEACH MINI EN TISSU DEAUVILLE À RAYURES N</t>
  </si>
  <si>
    <t>ACCESSOIRES PENDENTIF POMPON EN RAPHIA TISSÉ BLEU</t>
  </si>
  <si>
    <t>POCHETTE INTÉRIEURE FERMETURE ÉCLAIR O BAG MINI EN TISSU CANVAS + RUBAN NAVY</t>
  </si>
  <si>
    <t>POCHETTE INTÉRIEURE FERMETURE ÉCLAIR O MOON EN TISSU CORDURA SABLE</t>
  </si>
  <si>
    <t>BANDEAU BRACELET FOULARD TISSU LUXURY STRIPES BLANC/BLUETTE</t>
  </si>
  <si>
    <t>CORPS O POCKET MICRO EVA COMPOUND CHAMPAGNE</t>
  </si>
  <si>
    <t>O HUG CORPS PORTEFEUILLE FEMME EVA COMPOUND TEXTURE GRECQUE BLEU COBALT</t>
  </si>
  <si>
    <t>3,6</t>
  </si>
  <si>
    <t>13,08</t>
  </si>
  <si>
    <t>9,6</t>
  </si>
  <si>
    <t>19,2</t>
  </si>
  <si>
    <t>7,8</t>
  </si>
  <si>
    <t>23,4</t>
  </si>
  <si>
    <t>9,72</t>
  </si>
  <si>
    <t>19,44</t>
  </si>
  <si>
    <t>11,4</t>
  </si>
  <si>
    <t>22,8</t>
  </si>
  <si>
    <t>28,32</t>
  </si>
  <si>
    <t>6,6</t>
  </si>
  <si>
    <t>19,8</t>
  </si>
  <si>
    <t>POCHETTE INTÉRIEURE FERMETURE ÉCLAIR O MOON LIGHT EN TISSU NYC VICHY BLANC/NOIR</t>
  </si>
  <si>
    <t>POCHETTE INTÉRIEURE FERMETURE ÉCLAIR O BAG EN TISSU CANVAS + RUBAN ROUGE</t>
  </si>
  <si>
    <t>POCHETTE INTÉRIEURE FERMETURE ÉCLAIR O MOON EN TISSU CORDURA NOIR</t>
  </si>
  <si>
    <t>CORPS O BAG MINI EVA COMPOUND NAVY</t>
  </si>
  <si>
    <t>11,04</t>
  </si>
  <si>
    <t>CORPS O MOON LIGHT EVA COMPOUND SKYWAY</t>
  </si>
  <si>
    <t>22,08</t>
  </si>
  <si>
    <t>ACCESSOIRES CHARMS POMPON EN FAUX CUIR PLEX + CLOUS ROUGE</t>
  </si>
  <si>
    <t>CORPS O BAG BEACH MINI EVA COMPOUND EFFET OSIER ROUGE</t>
  </si>
  <si>
    <t>35,64</t>
  </si>
  <si>
    <t>12,72</t>
  </si>
  <si>
    <t>RABAT TOURNIQUET O POCKET EN TISSU + FAUX CUIR NYC À RAYURES BLANC</t>
  </si>
  <si>
    <t>25,44</t>
  </si>
  <si>
    <t>CORPS O BAG 50 EVA COMPOUND VOLCAN</t>
  </si>
  <si>
    <t>POCHETTE INTÉRIEURE FERMETURE ÉCLAIR O CITY EN TISSU CANVAS DÉTAIL RUBAN À RAYURES B</t>
  </si>
  <si>
    <t>CORPS INFÉRIEUR O POCKET EVA COMPOUND NOIR</t>
  </si>
  <si>
    <t>POCHETTE INTÉRIEURE FERMETURE ÉCLAIR O BAG MINI EN TISSU CANVAS + RUBAN BLEU</t>
  </si>
  <si>
    <t>POCHETTE INTÉRIEURE FERMETURE ÉCLAIR O CITY EN TISSU DEAUVILLE À RAYURES LARGES NAVY</t>
  </si>
  <si>
    <t>18,12</t>
  </si>
  <si>
    <t>RABAT O POCKET EN FAUX CUIR CLOUS ÉMAILLÉS CRÈME</t>
  </si>
  <si>
    <t>36,24</t>
  </si>
  <si>
    <t>CORPS O MOON EVA COMPOUND ROUGE</t>
  </si>
  <si>
    <t>MÉCANISME GREAT URBAN DECOR DIAMONDS ROSE SMOKE</t>
  </si>
  <si>
    <t>CORPS O CITY EVA COMPOUND NOIR</t>
  </si>
  <si>
    <t>CORPS O BAG EVA COMPOUND GRIS GRAPHITE</t>
  </si>
  <si>
    <t>CORPS INFÉRIEUR O POCKET EVA COMPOUND NAVY</t>
  </si>
  <si>
    <t>2,52</t>
  </si>
  <si>
    <t>O CLOCK SHIFT BRACELET BAND EN MATÉRIAU INJECTÉ ROUGE</t>
  </si>
  <si>
    <t>15,12</t>
  </si>
  <si>
    <t>MICRO-ANSES TUBULAIRES COURTES EN FAUX CUIR LISSE SKYWAY</t>
  </si>
  <si>
    <t>50,88</t>
  </si>
  <si>
    <t>POCHETTE INTÉRIEURE FERMETURE ÉCLAIR O BAG EN TISSU NYC LOSANGES JAUNE</t>
  </si>
  <si>
    <t>ANSES COURTES CHAÎNE AVEC TRESSAGE EN FAUX CUIR SKYWAY</t>
  </si>
  <si>
    <t>27,36</t>
  </si>
  <si>
    <t>POCHETTE INTÉRIEURE FERMETURE ÉCLAIR O BAG MINI EN TISSU DEAUVILLE À RAYURES NUANCÉE</t>
  </si>
  <si>
    <t>32,4</t>
  </si>
  <si>
    <t>BANDOULIÈRE AVEC TRESSAGE + CLIP EN FAUX CUIR BASIC ROUGE</t>
  </si>
  <si>
    <t>47,52</t>
  </si>
  <si>
    <t>POCHETTE INTÉRIEURE FERMETURE ÉCLAIR O BAG BEACH MINI EN TISSU CANVAS + RUBAN NAVY</t>
  </si>
  <si>
    <t>OBAGP024 ECS51</t>
  </si>
  <si>
    <t>RABAT O POCKET MICRO EN FAUX CUIR CLOUS PYRAMIDES SANGRIA</t>
  </si>
  <si>
    <t>1,92</t>
  </si>
  <si>
    <t>O CLOCK SHIFT CASE CLASSIC SLIM EN PLASTIQUE OLIVE</t>
  </si>
  <si>
    <t>11,52</t>
  </si>
  <si>
    <t>POCHETTE INTÉRIEURE FERMETURE ÉCLAIR O MOON LIGHT EN TISSU NYC À RAYURES BICOLORE J</t>
  </si>
  <si>
    <t>CORPS O BAG MINI EVA COMPOUND CÈDRE</t>
  </si>
  <si>
    <t>POCHETTE INTÉRIEURE FERMETURE ÉCLAIR O CITY EN NYLON À RAYURES BLANC/NOIR</t>
  </si>
  <si>
    <t>BANDOULIÈRE 80/120 + GOUTTE TROUÉE TISSU RUBAN TECHNIQUE GRIS ANTHRACITE/JAUNE</t>
  </si>
  <si>
    <t>POCHETTE INTÉRIEURE FERMETURE ÉCLAIR O CITY EN TISSU CANVAS + RUBAN NAVY</t>
  </si>
  <si>
    <t>29,4</t>
  </si>
  <si>
    <t>CORPS COMPLET O BAG TOTE EN NYLON + PVC NOIR</t>
  </si>
  <si>
    <t>88,2</t>
  </si>
  <si>
    <t>CORPS O CITY EVA COMPOUND ROSE SMOKE</t>
  </si>
  <si>
    <t>26,16</t>
  </si>
  <si>
    <t>CORPS O BAG EVA COMPOUND CHAMPAGNE</t>
  </si>
  <si>
    <t>ACCESSOIRE CLIP EN FAUX CUIR OPAQUE + ARGENT LATTE</t>
  </si>
  <si>
    <t>POCHETTE INTÉRIEURE FERMETURE ÉCLAIR O MOON EN TISSU NYC À RAYURES BICOLORE JAUNE</t>
  </si>
  <si>
    <t>ACCESSOIRES PENDENTIF POMPON EN RAPHIA TISSÉ JAUNE</t>
  </si>
  <si>
    <t>ACCESSOIRE CLIP EN FAUX CUIR OPAQUE + ARGENT SKYWAY</t>
  </si>
  <si>
    <t>9,36</t>
  </si>
  <si>
    <t>O CLOCK MÉCANISME URBAN DECOR MEADOWS GRIS ANTHRACITE</t>
  </si>
  <si>
    <t>28,08</t>
  </si>
  <si>
    <t>10,44</t>
  </si>
  <si>
    <t>POCHETTE INTÉRIEURE FERMETURE ÉCLAIR O MOON LIGHT EN TISSU CORDURA NOIR</t>
  </si>
  <si>
    <t>20,88</t>
  </si>
  <si>
    <t>ANSES LONGUES ADAPTABLES EN FAUX CUIR BASIC JAUNE</t>
  </si>
  <si>
    <t>POCHETTE INTÉRIEURE FERMETURE ÉCLAIR O CITY EN TISSU DEAUVILLE À RAYURES LARGES ROU</t>
  </si>
  <si>
    <t>CORPS O BAG EVA COMPOUND SKYWAY</t>
  </si>
  <si>
    <t>CORPS O BAG BEACH MINI EVA COMPOUND EFFET OSIER LATTE</t>
  </si>
  <si>
    <t>O CLOCK MÉCANISME DEAUVILLE LINES NAVY</t>
  </si>
  <si>
    <t>BANDOULIÈRE 80/120 + GOUTTE TROUÉE TISSU RUBAN TECHNIQUE GRIS ANTHRACITE/SANGRIA</t>
  </si>
  <si>
    <t>O CLOCK SHIFT BRACELET BAND EN MATÉRIAU INJECTÉ JAUNE</t>
  </si>
  <si>
    <t>POCHETTE INTÉRIEURE À COULISSE O BAG BEACH MINI EN TISSU NYC À RAYURES BICOLORE ROUG</t>
  </si>
  <si>
    <t>18,96</t>
  </si>
  <si>
    <t>MÉCANISME GREAT DATE SATIN NOIR/ROUGE/BLANC</t>
  </si>
  <si>
    <t>56,88</t>
  </si>
  <si>
    <t>CORPS O MOON EVA COMPOUND SABLE</t>
  </si>
  <si>
    <t>SMSJ1npg</t>
  </si>
  <si>
    <t>POCHETTE INTÉRIEURE FERMETURE ÉCLAIR O BAG BEACH MINI EN TISSU NYC À RAYURES BICOLOR</t>
  </si>
  <si>
    <t>ANSES TUBULAIRES EN FAUX CUIR SANGRIA</t>
  </si>
  <si>
    <t>MICRO-ANSES TUBULAIRES COURTES EN FAUX CUIR LISSE NOIR</t>
  </si>
  <si>
    <t>CORPS O CITY EVA COMPOUND BLEU COBALT</t>
  </si>
  <si>
    <t>ANSES COURTES EXTRASLIM GOUTTE AVEC DEMI-ANNEAU EN FAUX CUIR NOIR</t>
  </si>
  <si>
    <t>O HUG INTÉRIEUR PORTEFEUILLE FEMME EN FAUX CUIR À RAYURES BLANC/NOIR</t>
  </si>
  <si>
    <t>72,48</t>
  </si>
  <si>
    <t>13,32</t>
  </si>
  <si>
    <t>BANDOULIÈRE COURTE NEW GOUTTE TROUÉE EN TISSU NYC LOSANGES JAUNE</t>
  </si>
  <si>
    <t>39,96</t>
  </si>
  <si>
    <t>CORPS COMPLET O BAG TOTE EN FAUX CUIR SOFT TOUCH ROSE</t>
  </si>
  <si>
    <t>58,8</t>
  </si>
  <si>
    <t>CORPS O BAG 50 EVA COMPOUND GRIS GRAPHITE</t>
  </si>
  <si>
    <t>POCHETTE INTÉRIEURE FERMETURE ÉCLAIR O BAG EN TISSU BOUCLÉ DÉCOR BLANC</t>
  </si>
  <si>
    <t>8,4</t>
  </si>
  <si>
    <t>O CLOCK MÉCANISME URBAN DECOR PETALS BLEU</t>
  </si>
  <si>
    <t>O CLOCK MÉCANISME NYC LINES NOIR</t>
  </si>
  <si>
    <t>POCHETTE INTÉRIEURE FERMETURE ÉCLAIR O SQUARE EN TISSU CORDURA NOIR</t>
  </si>
  <si>
    <t>226,8</t>
  </si>
  <si>
    <t>ACCESSOIRES POCHETTE FILET EN FAUX CUIR BASIC LATTE</t>
  </si>
  <si>
    <t>CORPS O BAG EVA COMPOUND CÈDRE</t>
  </si>
  <si>
    <t>57,6</t>
  </si>
  <si>
    <t>POCHETTE INTÉRIEURE FERMETURE ÉCLAIR O BAG BEACH MINI EN TISSU CANVAS + RUBAN ROUGE</t>
  </si>
  <si>
    <t>REVERS O BAG MINI EN TISSU BOUCLÉ DÉCOR BLANC</t>
  </si>
  <si>
    <t>LONGUE BANDOULIÈRE AVEC BOUCLE O MOON EN FAUX CUIR NOIR</t>
  </si>
  <si>
    <t>O CLOCK MÉCANISME URBAN DECOR FLOWERS BLEU</t>
  </si>
  <si>
    <t>MÉCANISME GREAT DATE SATIN NOIR/JAUNE/BLANC</t>
  </si>
  <si>
    <t>SHOUD018 ECS00</t>
  </si>
  <si>
    <t>7,2</t>
  </si>
  <si>
    <t>LONGUE BANDOULIÈRE DOUBLE FIL O MOON LIGHT EN FAUX CUIR NOIR</t>
  </si>
  <si>
    <t>RABAT O POCKET EN TISSU LUXURY CÔTELÉ BLUETTE/BLEU</t>
  </si>
  <si>
    <t>18,24</t>
  </si>
  <si>
    <t>REVERS O BAG MINI EN TISSU MÉTALLISÉ FLOWER BRODERIE ANGLAISE OR</t>
  </si>
  <si>
    <t>POCHETTE INTÉRIEURE FERMETURE ÉCLAIR O CITY EN TISSU CANVAS ROSE SMOKE</t>
  </si>
  <si>
    <t>18,72</t>
  </si>
  <si>
    <t>POCHETTE INTÉRIEURE FERMETURE ÉCLAIR O MOON LIGHT EN TISSU DEAUVILLE À RAYURES SERR</t>
  </si>
  <si>
    <t>19,32</t>
  </si>
  <si>
    <t>O HUG INTÉRIEUR PORTEFEUILLE FEMME EN FAUX CUIR AVEC BRISÉ SKYWAY</t>
  </si>
  <si>
    <t>57,96</t>
  </si>
  <si>
    <t>CORPS O BAG EVA COMPOUND SABLE</t>
  </si>
  <si>
    <t>RABAT AVEC BANDEAU O POCKET TISSU CANVAS DÉTAIL RUBAN À RAYURES BLEU/ROUGE</t>
  </si>
  <si>
    <t>POCHETTE INTÉRIEURE FERMETURE ÉCLAIR O BAG MINI EN TISSU CANVAS SANGRIA</t>
  </si>
  <si>
    <t>CORPS O MOON EVA COMPOUND NOIR</t>
  </si>
  <si>
    <t>POCHETTE INTÉRIEURE FERMETURE ÉCLAIR O BAG EN TISSU CANVAS BLEU</t>
  </si>
  <si>
    <t>CORPS O CITY EVA COMPOUND VOLCAN</t>
  </si>
  <si>
    <t>9,12</t>
  </si>
  <si>
    <t>POCHETTE INTÉRIEURE FERMETURE ÉCLAIR O BAG MINI EN TISSU NYC À RAYURES BICOLORE JAUN</t>
  </si>
  <si>
    <t>MICRO-ANSES TUBULAIRES COURTES EN FAUX CUIR LISSE COGNAC</t>
  </si>
  <si>
    <t>76,32</t>
  </si>
  <si>
    <t>O CLOCK MÉCANISME NYC JUNGLE CÈDRE</t>
  </si>
  <si>
    <t>RABAT AVEC BANDEAU O POCKET EN FAUX CUIR BASIC + FLEURS PVC SKYWAY</t>
  </si>
  <si>
    <t>38,64</t>
  </si>
  <si>
    <t>CORPS O BAG MINI EVA COMPOUND TAUPE</t>
  </si>
  <si>
    <t>BANDOULIÈRE COURTE NEW GOUTTE TROUÉE EN FAUX CUIR CLOUS PYRAMIDES LATTE</t>
  </si>
  <si>
    <t>RABAT O POCKET MICRO EN FAUX CUIR CLOUS PYRAMIDES ROUGE</t>
  </si>
  <si>
    <t>BANDOULIÈRE AVEC TRESSAGE + CLIP EN FAUX CUIR BASIC SANGRIA</t>
  </si>
  <si>
    <t>9,78</t>
  </si>
  <si>
    <t>POCHETTE INTÉRIEURE FERMETURE ÉCLAIR O BAG 50 EN TISSU CANVAS CÈDRE</t>
  </si>
  <si>
    <t>19,56</t>
  </si>
  <si>
    <t>CORPS O BAG BEACH MINI EVA COMPOUND EFFET OSIER NOIR</t>
  </si>
  <si>
    <t>CORPS O BAG MINI EVA COMPOUND GRIS GRAPHITE</t>
  </si>
  <si>
    <t>POCHETTE INTÉRIEURE FERMETURE ÉCLAIR O BAG MINI EN COTON MOTIF PAPILLONS ROSE</t>
  </si>
  <si>
    <t>CORPS O CITY EVA COMPOUND NAVY</t>
  </si>
  <si>
    <t>CORPS O MOON EVA COMPOUND BLEU COBALT</t>
  </si>
  <si>
    <t>POCHETTE INTÉRIEURE FERMETURE ÉCLAIR O BAG EN TISSU CANVAS CÈDRE</t>
  </si>
  <si>
    <t>POCHETTE INTÉRIEURE FERMETURE ÉCLAIR O BAG 50 EN TISSU CANVAS ROSE SMOKE</t>
  </si>
  <si>
    <t>RABAT TOURNIQUET O POCKET EN TISSU + FAUX CUIR NYC À RAYURES NOIR</t>
  </si>
  <si>
    <t>CORPS O MOON LIGHT EVA COMPOUND ROSE SMOKE</t>
  </si>
  <si>
    <t>ACCESSOIRE CLIP EN FAUX CUIR OPAQUE + OR ROSE SMOKE</t>
  </si>
  <si>
    <t>O HUG CORPS PORTEFEUILLE FEMME EVA COMPOUND TEXTURE GRECQUE CÈDRE</t>
  </si>
  <si>
    <t>POCHETTE INTÉRIEURE FERMETURE ÉCLAIR O BAG EN TISSU DEAUVILLE À RAYURES NUANCÉES BL</t>
  </si>
  <si>
    <t>32,04</t>
  </si>
  <si>
    <t>RABAT O POCKET EN FAUX CUIR CLOUS ÉMAILLÉS BLEU</t>
  </si>
  <si>
    <t>MICRO-ANSES TUBULAIRES COURTES EN FAUX CUIR LISSE NAVY</t>
  </si>
  <si>
    <t>MICRO-ANSES TUBULAIRES COURTES EN FAUX CUIR LISSE CHAMPAGNE</t>
  </si>
  <si>
    <t>CORPS O BAG MINI EVA COMPOUND ROSE SMOKE</t>
  </si>
  <si>
    <t>REVERS O BAG EN TISSU NYC VICHY BLANC/NOIR</t>
  </si>
  <si>
    <t>29,88</t>
  </si>
  <si>
    <t>CORPS COMPLET O BAG TOTE EN NYLON À RAYURES BLEU/BLANC</t>
  </si>
  <si>
    <t>59,76</t>
  </si>
  <si>
    <t>O CLOCK MÉCANISME NYC FLOWER NOIR</t>
  </si>
  <si>
    <t>13,92</t>
  </si>
  <si>
    <t>CORPS O SQUARE EVA COMPOUND CÈDRE</t>
  </si>
  <si>
    <t>27,84</t>
  </si>
  <si>
    <t>BANDOULIÈRE COURTE NEW GOUTTE TROUÉE EN FAUX CUIR CLOUS ÉMAILLÉS ROSE SMOKE</t>
  </si>
  <si>
    <t>CORPS O SWING EVA COMPOUND EFFET OSIER NOIR</t>
  </si>
  <si>
    <t>ANSES TUBULAIRES EN FAUX CUIR JAUNE</t>
  </si>
  <si>
    <t>CORPS O BAG MINI EVA COMPOUND ROUGE</t>
  </si>
  <si>
    <t>RABAT TOURNIQUET O POCKET EN MICRO TISSU LUXURY STRIPES BLANC/BLUETTE</t>
  </si>
  <si>
    <t>16,32</t>
  </si>
  <si>
    <t>ANSES COURTES EN FAUX CUIR CLOUS ÉMAILLÉS CRÈME</t>
  </si>
  <si>
    <t>48,96</t>
  </si>
  <si>
    <t>RABAT AVEC BANDEAU O POCKET EN FAUX CUIR RUBAN LIVRE BICOLORE NOIR</t>
  </si>
  <si>
    <t>CORPS O BAG EVA COMPOUND CORAIL</t>
  </si>
  <si>
    <t>O HUG CORPS PORTEFEUILLE FEMME EVA COMPOUND TEXTURE GRECQUE ROSE SMOKE</t>
  </si>
  <si>
    <t>ANSES SPORTY + BRETELLE O SQUARE TISSU RUBAN MARINA BICOLORE NAVY - ROUGE</t>
  </si>
  <si>
    <t>REVERS O BAG MINI EN TISSU NYC VICHY BLANC/NOIR</t>
  </si>
  <si>
    <t>SHOUC317 ECS00</t>
  </si>
  <si>
    <t>10,2</t>
  </si>
  <si>
    <t>LONGUE BANDOULIÈRE CHAÎNE CLIP O MOON EN FAUX CUIR NUDE</t>
  </si>
  <si>
    <t>61,2</t>
  </si>
  <si>
    <t>ACCESSOIRES POCHETTE FILET EN FAUX CUIR BASIC ROUGE</t>
  </si>
  <si>
    <t>MÉCANISME GREAT URBAN DECOR DIAMONDS BLEU</t>
  </si>
  <si>
    <t>CORPS INFÉRIEUR O POCKET EVA COMPOUND CÈDRE</t>
  </si>
  <si>
    <t>ACCESSOIRE CLIP EN FAUX CUIR OPAQUE + ARGENT NAVY</t>
  </si>
  <si>
    <t>POCHETTE INTÉRIEURE FERMETURE ÉCLAIR O BAG EN TISSU CANVAS + RUBAN BLEU</t>
  </si>
  <si>
    <t>POCHETTE INTÉRIEURE FERMETURE ÉCLAIR O BAG MINI EN TISSU CANVAS BLEU</t>
  </si>
  <si>
    <t>POCHETTE INTÉRIEURE FERMETURE ÉCLAIR O MOON EN TISSU CORDURA BLANC</t>
  </si>
  <si>
    <t>BANDOULIÈRE 80/120 + GOUTTE TROUÉE TISSU RUBAN TECHNIQUE GRIS ANTHRACITE/ROUGE</t>
  </si>
  <si>
    <t>40,32</t>
  </si>
  <si>
    <t>RABAT TOURNIQUET O POCKET EN MICRO TISSU LUXURY CÔTELÉ BLUETTE/BLEU</t>
  </si>
  <si>
    <t>O CLOCK SHIFT BRACELET BAND EN MATÉRIAU INJECTÉ OCÉAN</t>
  </si>
  <si>
    <t>POCHETTE INTÉRIEURE FERMETURE ÉCLAIR O BAG MINI EN TISSU FANTAISIE COQUELICOTS SUR R</t>
  </si>
  <si>
    <t>RABAT O POCKET EN TISSU DEAUVILLE À RAYURES LARGES NAVY/CRÈME</t>
  </si>
  <si>
    <t>CORPS O BAG 50 EVA COMPOUND SANGRIA</t>
  </si>
  <si>
    <t>CORPS O MOON LIGHT EVA COMPOUND LATTE</t>
  </si>
  <si>
    <t>13,8</t>
  </si>
  <si>
    <t>CORPS O MOON EVA COMPOUND TEXTURE URBAN FRAME SKYWAY</t>
  </si>
  <si>
    <t>27,6</t>
  </si>
  <si>
    <t>BANDOULIÈRE AVEC TRESSAGE + CLIP EN FAUX CUIR BASIC BLANC</t>
  </si>
  <si>
    <t>71,28</t>
  </si>
  <si>
    <t>CORPS O BAG EVA COMPOUND + CLOUS PYRAMIDES CÈDRE</t>
  </si>
  <si>
    <t>CORPS COMPLET O BAG TOTE EN TISSU DEAUVILLE À RAYURES EFFET FLAMMÉ BLANC/ROUGE/BLEU</t>
  </si>
  <si>
    <t>ANSES LONGUES ADAPTABLES EN FAUX CUIR BASIC NOIR</t>
  </si>
  <si>
    <t>ACCESSOIRES CHARMS POMPON EN FAUX CUIR PLEX + CLOUS SANGRIA</t>
  </si>
  <si>
    <t>CORPS O BAG BEACH MINI EVA COMPOUND EFFET OSIER NAVY</t>
  </si>
  <si>
    <t>CORPS O BAG MINI EVA COMPOUND LATTE</t>
  </si>
  <si>
    <t>ANSES + BRETELLE COURTE GOUTTE O SQUARE EN TISSU CAOUTCHOUTÉ RUBAN À RAYURES TECH</t>
  </si>
  <si>
    <t>CORPS O MOON EVA COMPOUND SKYWAY</t>
  </si>
  <si>
    <t>RABAT O POCKET EN FAUX CUIR CLOUS ÉMAILLÉS ROSE</t>
  </si>
  <si>
    <t>POCHETTE INTÉRIEURE FERMETURE ÉCLAIR O BAG EN TISSU NYC LOSANGES ROUGE</t>
  </si>
  <si>
    <t>POCHETTE INTÉRIEURE FERMETURE ÉCLAIR O BAG EN TISSU NYC À RAYURES BICOLORE ROUGE</t>
  </si>
  <si>
    <t>POCHETTE INTÉRIEURE FERMETURE ÉCLAIR O BAG EN TISSU CANVAS + RUBAN NAVY</t>
  </si>
  <si>
    <t>CORPS O CITY EVA COMPOUND SKYWAY</t>
  </si>
  <si>
    <t>POCHETTE INTÉRIEURE FERMETURE ÉCLAIR O BAG BEACH MINI EN TISSU CORDURA BLANC</t>
  </si>
  <si>
    <t>CORPS O POCKET MICRO EVA COMPOUND CÈDRE</t>
  </si>
  <si>
    <t>ANSES LONGUES ADAPTABLES EN FAUX CUIR BASIC BLEU COBALT</t>
  </si>
  <si>
    <t>POCHETTE INTÉRIEURE À COULISSE O SWING EN TISSU CANVAS NOIR</t>
  </si>
  <si>
    <t>CORPS O BAG EVA COMPOUND PINK</t>
  </si>
  <si>
    <t>BANDOULIÈRE /BRETELLE SLIM 140 EN FAUX CUIR BASIC ROSE SMOKE</t>
  </si>
  <si>
    <t>CORPS O CITY EVA COMPOUND LATTE</t>
  </si>
  <si>
    <t>RABAT AVEC BANDEAU O POCKET EN FAUX CUIR BASIC + FLEURS PVC ROSE SMOKE</t>
  </si>
  <si>
    <t>POCHETTE INTÉRIEURE FERMETURE ÉCLAIR O BAG EN TISSU CANVAS ROUGE</t>
  </si>
  <si>
    <t>POCHETTE INTÉRIEURE FERMETURE ÉCLAIR O MOON EN TISSU CANVAS BLEU COBALT</t>
  </si>
  <si>
    <t>ACCESSOIRES CHARMS POMPON EN FAUX CUIR SUÈDE ROSE SMOKE</t>
  </si>
  <si>
    <t>14,16</t>
  </si>
  <si>
    <t>ACCESSOIRES POCHETTE FILET EN FAUX CUIR BASIC JAUNE</t>
  </si>
  <si>
    <t>O CLOCK SHIFT BRACELET BAND EN MATÉRIAU INJECTÉ BLANC</t>
  </si>
  <si>
    <t>REVERS O BAG MINI EN TISSU NYC FANTAISIE GÉOMÉTRIQUE BLANC/NOIR</t>
  </si>
  <si>
    <t>POCHETTE INTÉRIEURE FERMETURE ÉCLAIR O BAG 50 EN TISSU CANVAS BLEU</t>
  </si>
  <si>
    <t>REVERS O BAG EN TISSU BOUCLÉ DÉCOR BLANC</t>
  </si>
  <si>
    <t>ANSES LONGUES EN CORDE TRICOLORE BLANC/BLUETTE/NAVY</t>
  </si>
  <si>
    <t>ANSES LONGUES ADAPTABLES EN FAUX CUIR BASIC LATTE</t>
  </si>
  <si>
    <t>6,72</t>
  </si>
  <si>
    <t>RABAT TOURNIQUET O CITY EN FAUX CUIR BASIC ROUGE</t>
  </si>
  <si>
    <t>POCHETTE INTÉRIEURE FERMETURE ÉCLAIR O MOON EN TISSU DEAUVILLE À RAYURES LARGES NA</t>
  </si>
  <si>
    <t>CORPS O SQUARE EVA COMPOUND BLEU COBALT</t>
  </si>
  <si>
    <t>POCHETTE INTÉRIEURE À COULISSE O BAG MINI EN NYLON À RAYURES BLEU/BLANC</t>
  </si>
  <si>
    <t>CORPS O BAG 50 EVA COMPOUND NAVY</t>
  </si>
  <si>
    <t>CORPS O BAG 50 EVA COMPOUND CÈDRE</t>
  </si>
  <si>
    <t>POCHETTE INTÉRIEURE FERMETURE ÉCLAIR O BAG MINI EN TISSU BOUCLÉ DÉCOR BLANC</t>
  </si>
  <si>
    <t>POCHETTE INTÉRIEURE FERMETURE ÉCLAIR O BAG 50 EN TISSU CANVAS SANGRIA</t>
  </si>
  <si>
    <t>ANSES COURTES CHAÎNE AVEC TRESSAGE EN FAUX CUIR ROSE SMOKE</t>
  </si>
  <si>
    <t>CORPS O BAG MINI EVA COMPOUND SABLE</t>
  </si>
  <si>
    <t>CORPS O BAG MINI EVA COMPOUND BLEU COBALT</t>
  </si>
  <si>
    <t>CORPS O POCKET MICRO EVA COMPOUND LATTE</t>
  </si>
  <si>
    <t>LONGUE BANDOULIÈRE CHAÎNE AVEC BANDEAU O POCKET EN FAUX CUIR MÉTALLISÉ CHAMPAGNE</t>
  </si>
  <si>
    <t>POCHETTE INTÉRIEURE FERMETURE ÉCLAIR O BAG BEACH MINI EN TISSU CANVAS + RUBAN BLEU</t>
  </si>
  <si>
    <t>CORPS O MOON LIGHT EVA COMPOUND NOIR</t>
  </si>
  <si>
    <t>POCHETTE INTÉRIEURE FERMETURE ÉCLAIR O BAG EN TISSU NYC À RAYURES BICOLORE JAUNE</t>
  </si>
  <si>
    <t>CORPS O BAG EVA COMPOUND + CLOUS PYRAMIDES NOIR</t>
  </si>
  <si>
    <t>CORPS O SWING EVA COMPOUND EFFET OSIER LATTE</t>
  </si>
  <si>
    <t>CORPS O BAG BEACH MINI EVA COMPOUND EFFET OSIER SKYWAY</t>
  </si>
  <si>
    <t>ANSES COURTES EN FAUX CUIR CLOUS ÉMAILLÉS ROSE SMOKE</t>
  </si>
  <si>
    <t>ACCESSOIRE CLIP EN FAUX CUIR OPAQUE + ARGENT BLEU COBALT</t>
  </si>
  <si>
    <t>POCHETTE INTÉRIEURE FERMETURE ÉCLAIR O MOON EN TISSU CANVAS SANGRIA</t>
  </si>
  <si>
    <t>CORPS INFÉRIEUR O POCKET EVA COMPOUND LATTE</t>
  </si>
  <si>
    <t>RABAT TOURNIQUET O POCKET EN TISSU NYC VICHY BLANC/NOIR</t>
  </si>
  <si>
    <t>CORPS O BAG EVA COMPOUND VOLCAN</t>
  </si>
  <si>
    <t>CORPS O SQUARE EVA COMPOUND SANGRIA</t>
  </si>
  <si>
    <t>CORPS O CITY EVA COMPOUND SANGRIA</t>
  </si>
  <si>
    <t>POCHETTE INTÉRIEURE FERMETURE ÉCLAIR O BAG EN TISSU DEAUVILLE À RAYURES SERRÉES NAV</t>
  </si>
  <si>
    <t>POCHETTE INTÉRIEURE FERMETURE ÉCLAIR O MOON EN TISSU CANVAS ROSE SMOKE</t>
  </si>
  <si>
    <t>O HUG CORPS PORTEFEUILLE FEMME EVA COMPOUND TEXTURE GRECQUE ROUGE</t>
  </si>
  <si>
    <t>POCHETTE INTÉRIEURE FERMETURE ÉCLAIR O MOON LIGHT EN COTON MOTIF PAPILLONS JAUNE</t>
  </si>
  <si>
    <t>ANSES TUBULAIRES EN FAUX CUIR NAVY</t>
  </si>
  <si>
    <t>CORPS O BAG EVA COMPOUND BLEU COBALT</t>
  </si>
  <si>
    <t>CORPS O BAG EVA COMPOUND NAVY</t>
  </si>
  <si>
    <t>O HUG CORPS PORTEFEUILLE FEMME EVA COMPOUND TEXTURE GRECQUE SKYWAY</t>
  </si>
  <si>
    <t>POCHETTE INTÉRIEURE FERMETURE ÉCLAIR O MOON EN TISSU DEAUVILLE À RAYURES LARGES RO</t>
  </si>
  <si>
    <t>BANDOULIÈRE 80/120 + GOUTTE TROUÉE TISSU RUBAN MARINA BICOLORE NAVY - ROUGE</t>
  </si>
  <si>
    <t>50,4</t>
  </si>
  <si>
    <t>O CLOCK MÉCANISME NYC LINES ROUGE</t>
  </si>
  <si>
    <t>ANSES LONGUES ADAPTABLES GOUTTE EN CORDE + GOUTTE TISSU CAOUTCHOUTÉ NAVY</t>
  </si>
  <si>
    <t>80,64</t>
  </si>
  <si>
    <t>CORPS O BAG 50 EVA COMPOUND LATTE</t>
  </si>
  <si>
    <t>MICRO-ANSES TUBULAIRES COURTES EN FAUX CUIR LISSE ROUGE</t>
  </si>
  <si>
    <t>POCHETTE INTÉRIEURE FERMETURE ÉCLAIR O BAG EN TOILE NYLON + RUBAN LIVRE BICOLORE NOI</t>
  </si>
  <si>
    <t>CORPS O SWING EVA COMPOUND EFFET OSIER SKYWAY</t>
  </si>
  <si>
    <t>CORPS O BAG 50 EVA COMPOUND GRIS CLAIR</t>
  </si>
  <si>
    <t>POCHETTE INTÉRIEURE FERMETURE ÉCLAIR O BAG MINI EN TISSU NYC À RAYURES BICOLORE NOIR</t>
  </si>
  <si>
    <t>CORPS O MOON EVA COMPOUND TAUPE</t>
  </si>
  <si>
    <t>ACCESSOIRE CLIP EN FAUX CUIR OPAQUE + ARGENT NOIR</t>
  </si>
  <si>
    <t>POCHETTE INTÉRIEURE FERMETURE ÉCLAIR O BAG MINI EN TOILE NYLON + RUBAN LIVRE BICOLORE</t>
  </si>
  <si>
    <t>POCHETTE INTÉRIEURE FERMETURE ÉCLAIR O BAG MINI EN TISSU CANVAS + RUBAN ROUGE</t>
  </si>
  <si>
    <t>BANDOULIÈRE COURTE NEW GOUTTE TROUÉE (80 CM) EN FAUX CUIR BASIC + FLEURS PVC ROSE SM</t>
  </si>
  <si>
    <t>POCHETTE INTÉRIEURE FERMETURE ÉCLAIR O MOON LIGHT EN TISSU BOUCLÉ DÉCOR BLANC</t>
  </si>
  <si>
    <t>POCHETTE INTÉRIEURE FERMETURE ÉCLAIR O CITY EN TISSU CANVAS BLEU COBALT</t>
  </si>
  <si>
    <t>BANDOULIÈRE /BRETELLE SLIM 140 EN FAUX CUIR BASIC NOIR</t>
  </si>
  <si>
    <t>CORPS INFÉRIEUR O POCKET EVA COMPOUND SKYWAY</t>
  </si>
  <si>
    <t>REVERS O BAG EN TISSU NYC FANTAISIE GÉOMÉTRIQUE BLANC/NOIR</t>
  </si>
  <si>
    <t>BANDOULIÈRE COURTE NEW GOUTTE TROUÉE EN FAUX CUIR CLOUS ÉMAILLÉS SKYWAY</t>
  </si>
  <si>
    <t>RABAT O POCKET MICRO EN FAUX CUIR CLOUS PYRAMIDES JAUNE</t>
  </si>
  <si>
    <t>BANDOULIÈRE 80/120 + CLIP EN TISSU RUBAN NEW YORK À CHEVRONS BLANC/NOIR</t>
  </si>
  <si>
    <t>CORPS O BAG 50 EVA COMPOUND TAUPE</t>
  </si>
  <si>
    <t>REVERS O BAG EN TISSU DEAUVILLE À RAYURES LARGES ROUGE/CRÈME</t>
  </si>
  <si>
    <t>BANDOULIÈRE COURTE NEW GOUTTE TROUÉE EN FAUX CUIR CLOUS PYRAMIDES ROUGE</t>
  </si>
  <si>
    <t>CORPS O BAG MINI EVA COMPOUND PINK</t>
  </si>
  <si>
    <t>POCHETTE INTÉRIEURE FERMETURE ÉCLAIR O BAG MINI EN TISSU NYC LOSANGES JAUNE</t>
  </si>
  <si>
    <t>REVERS O BAG EN TISSU DEAUVILLE À RAYURES EFFET FLAMMÉ BLANC/ROUGE/BLEU</t>
  </si>
  <si>
    <t>BANDOULIÈRE /BRETELLE SLIM 140 EN FAUX CUIR BASIC NAVY</t>
  </si>
  <si>
    <t>CORPS INFÉRIEUR O POCKET EVA COMPOUND TAUPE</t>
  </si>
  <si>
    <t>BANDOULIÈRE 80/120 + CLIP EN TISSU RUBAN NEW YORK BLANC/NOIR</t>
  </si>
  <si>
    <t>O CLOCK MÉCANISME DEAUVILLE LINES BLEU COBALT</t>
  </si>
  <si>
    <t>CORPS O CITY EVA COMPOUND ROUGE</t>
  </si>
  <si>
    <t>CORPS O BAG 50 EVA COMPOUND BLEU COBALT</t>
  </si>
  <si>
    <t>RABAT O POCKET EN TISSU LUXURY DRIPPING ROUGE/BLUETTE</t>
  </si>
  <si>
    <t>POCHETTE INTÉRIEURE FERMETURE ÉCLAIR O BAG MINI EN TISSU NYC LOSANGES ROUGE</t>
  </si>
  <si>
    <t>CORPS O BAG 50 EVA COMPOUND ROSE SMOKE</t>
  </si>
  <si>
    <t>O CLOCK MÉCANISME NYC JUNGLE ROUGE</t>
  </si>
  <si>
    <t>REVERS O BAG EN TISSU DEAUVILLE À RAYURES LARGES NAVY/CRÈME</t>
  </si>
  <si>
    <t>BANDOULIÈRE /BRETELLE SLIM 140 EN FAUX CUIR BASIC SKYWAY</t>
  </si>
  <si>
    <t>CORPS O BAG MINI EVA COMPOUND CHAMPAGNE</t>
  </si>
  <si>
    <t>ANSES LONGUES ADAPTABLES GOUTTE EN CORDE + GOUTTE TISSU CAOUTCHOUTÉ ROUGE/NAVY/BL</t>
  </si>
  <si>
    <t>CORPS O BAG EVA COMPOUND + CLOUS PYRAMIDES ROUGE</t>
  </si>
  <si>
    <t>O CLOCK SHIFT CASE CLASSIC SLIM EN PLASTIQUE JAUNE</t>
  </si>
  <si>
    <t>BANDOULIÈRE 80 + GOUTTE TROUÉE EN FAUX CUIR + TISSU DEAUVILLE À RAYURES EFFET FLAMMÉ</t>
  </si>
  <si>
    <t>CORPS O BAG EVA COMPOUND LATTE</t>
  </si>
  <si>
    <t>ACCESSOIRES CHARMS POMPON EN FAUX CUIR SUÈDE SANGRIA</t>
  </si>
  <si>
    <t>O CLOCK SHIFT CASE CLASSIC SLIM EN PLASTIQUE NOIR</t>
  </si>
  <si>
    <t>CORPS O SQUARE EVA COMPOUND ROUGE</t>
  </si>
  <si>
    <t>POCHETTE INTÉRIEURE FERMETURE ÉCLAIR O CITY EN TOILE NYLON + RUBAN LIVRE BICOLORE NO</t>
  </si>
  <si>
    <t>POCHETTE INTÉRIEURE FERMETURE ÉCLAIR O BAG EN TISSU NYC À RAYURES BICOLORE NOIR</t>
  </si>
  <si>
    <t>CORPS O BAG 50 EVA COMPOUND AVEC APPLICATIONS FLEURS ROSE SMOKE</t>
  </si>
  <si>
    <t>POCHETTE INTÉRIEURE FERMETURE ÉCLAIR O BAG MINI EN TISSU DEAUVILLE À RAYURES LARGES</t>
  </si>
  <si>
    <t>CORPS O BAG EVA COMPOUND ROUGE</t>
  </si>
  <si>
    <t>CORPS O SQUARE EVA COMPOUND SABLE</t>
  </si>
  <si>
    <t>CORPS O BAG EVA COMPOUND + CLOUS PYRAMIDES SANGRIA</t>
  </si>
  <si>
    <t>O HUG CORPS PORTEFEUILLE FEMME EVA COMPOUND TEXTURE GRECQUE NOIR</t>
  </si>
  <si>
    <t>13,2</t>
  </si>
  <si>
    <t>ANSES TUBULAIRES EN FAUX CUIR ROUGE</t>
  </si>
  <si>
    <t>CORPS O BAG 50 EVA COMPOUND SKYWAY</t>
  </si>
  <si>
    <t>REVERS O BAG MINI EN TISSU DEAUVILLE À RAYURES SERRÉES ROUGE/CRÈME</t>
  </si>
  <si>
    <t>CORPS O SWING EVA COMPOUND EFFET OSIER ROUGE</t>
  </si>
  <si>
    <t>CORPS O MOON LIGHT EVA COMPOUND NAVY</t>
  </si>
  <si>
    <t>MÉCANISME GREAT NYC LATITUD BLANC/NOIR/CÈDRE</t>
  </si>
  <si>
    <t>POCHETTE INTÉRIEURE FERMETURE ÉCLAIR O MOON EN TISSU FANTAISIE COQUELICOTS SUR RAYU</t>
  </si>
  <si>
    <t>POCHETTE INTÉRIEURE À COULISSE O SWING EN TISSU CANVAS NUDE</t>
  </si>
  <si>
    <t>REVERS O BAG EN TISSU FLOWER BRODERIE ANGLAISE MÉTALLISÉE OR</t>
  </si>
  <si>
    <t>40,08</t>
  </si>
  <si>
    <t>ACCESSOIRES CHARMS POMPON EN FAUX CUIR PLEX + CLOUS JAUNE</t>
  </si>
  <si>
    <t>POCHETTE INTÉRIEURE FERMETURE ÉCLAIR O CITY EN TISSU NYC VICHY BLANC/NOIR</t>
  </si>
  <si>
    <t>ACCESSOIRE CLIP EN FAUX CUIR OPAQUE + OR CHAMPAGNE</t>
  </si>
  <si>
    <t>ACCESSOIRES POCHETTE FILET EN FAUX CUIR BASIC NOIR</t>
  </si>
  <si>
    <t>38,4</t>
  </si>
  <si>
    <t>MÉCANISME GREAT URBAN DECOR DIAMONDS CHAMPAGNE</t>
  </si>
  <si>
    <t>O HUG CORPS PORTEFEUILLE FEMME EVA COMPOUND TEXTURE GRECQUE AUBERGINE</t>
  </si>
  <si>
    <t>CORPS O SWING EVA COMPOUND EFFET OSIER NAVY</t>
  </si>
  <si>
    <t>BANDEAU BRACELET FOULARD TISSU LUXURY DRIPPING BLUETTE/ROUGE</t>
  </si>
  <si>
    <t>CORPS O BAG MINI EVA COMPOUND TEXTURE À CHEVRONS LATTE</t>
  </si>
  <si>
    <t>46,8</t>
  </si>
  <si>
    <t>ACCESSOIRES CHARMS POMPON EN FAUX CUIR SUÈDE LATTE</t>
  </si>
  <si>
    <t>ACCESSOIRE CLIP EN FAUX CUIR OPAQUE + ARGENT SANGRIA</t>
  </si>
  <si>
    <t>CORPS O MOON EVA COMPOUND TEXTURE URBAN FRAME CHAMPAGNE</t>
  </si>
  <si>
    <t>CORPS O CITY EVA COMPOUND CÈDRE</t>
  </si>
  <si>
    <t>O CLOCK SHIFT BRACELET BAND EN MATÉRIAU INJECTÉ SANGRIA</t>
  </si>
  <si>
    <t>CORPS O BAG 50 EVA COMPOUND AVEC APPLICATIONS FLEURS LATTE</t>
  </si>
  <si>
    <t>MÉCANISME GREAT DATE NYC TIMES SQUARE NOIR</t>
  </si>
  <si>
    <t>POCHETTE INTÉRIEURE FERMETURE ÉCLAIR O CITY EN TISSU CANVAS CÈDRE</t>
  </si>
  <si>
    <t>O CLOCK MÉCANISME DEAUVILLE LINES + FLOWERS CORAIL</t>
  </si>
  <si>
    <t>RABAT O POCKET EN TISSU NYC FANTAISIE GÉOMÉTRIQUE BLANC/NOIR</t>
  </si>
  <si>
    <t>CORPS INFÉRIEUR O POCKET EVA COMPOUND BLEU COBALT</t>
  </si>
  <si>
    <t>O CLOCK MÉCANISME NYC LINES CÈDRE</t>
  </si>
  <si>
    <t>RABAT AVEC BANDEAU O POCKET TISSU DENIM NAVY</t>
  </si>
  <si>
    <t>O CLOCK SHIFT CASE CLASSIC SLIM EN PLASTIQUE BLANC</t>
  </si>
  <si>
    <t>O CLOCK SHIFT CASE CLASSIC SLIM EN PLASTIQUE SANGRIA</t>
  </si>
  <si>
    <t>RABAT TOURNIQUET O CITY EN FAUX CUIR BASIC NAVY</t>
  </si>
  <si>
    <t>CORPS O BAG EVA COMPOUND NOIR</t>
  </si>
  <si>
    <t>CORPS O MOON LIGHT EVA COMPOUND TAUPE</t>
  </si>
  <si>
    <t>POCHETTE INTÉRIEURE FERMETURE ÉCLAIR O BAG EN TISSU CANVAS ROSE SMOKE</t>
  </si>
  <si>
    <t>ANSES LONGUES ADAPTABLES GOUTTE EN CORDE + GOUTTE TISSU CAOUTCHOUTÉ BLANC</t>
  </si>
  <si>
    <t>RABAT O POCKET EN TISSU DEAUVILLE À RAYURES LARGES ROUGE/CRÈME</t>
  </si>
  <si>
    <t>CORPS O BAG 50 EVA COMPOUND AVEC APPLICATIONS FLEURS SKYWAY</t>
  </si>
  <si>
    <t>CORPS O MOON LIGHT EVA COMPOUND CÈDRE</t>
  </si>
  <si>
    <t>ANSES TUBULAIRES EN FAUX CUIR NOIR</t>
  </si>
  <si>
    <t>45,6</t>
  </si>
  <si>
    <t>ACCESSOIRES CHARMS POMPON EN FAUX CUIR SUÈDE ROUGE</t>
  </si>
  <si>
    <t>ANSES COURTES EN CORDE TRICOLORE BLANC/ROUGE/BLEU</t>
  </si>
  <si>
    <t>ACCESSOIRES CHARMS POMPON EN FAUX CUIR SUÈDE BLEU COBALT</t>
  </si>
  <si>
    <t>CORPS O POCKET MICRO EVA COMPOUND NOIR</t>
  </si>
  <si>
    <t>BANDOULIÈRE COURTE NEW GOUTTE TROUÉE EN FAUX CUIR CLOUS PYRAMIDES SANGRIA</t>
  </si>
  <si>
    <t>OHUGI002 ECS68</t>
  </si>
  <si>
    <t>O HUG INTÉRIEUR PORTEFEUILLE FEMME EN FAUX CUIR VICHY BLANC/NOIR</t>
  </si>
  <si>
    <t>POCHETTE INTÉRIEURE FERMETURE ÉCLAIR O MOON LIGHT EN TISSU CORDURA SABLE</t>
  </si>
  <si>
    <t>POCHETTE INTÉRIEURE FERMETURE ÉCLAIR O BAG EN TISSU CANVAS BLEU COBALT</t>
  </si>
  <si>
    <t>CORPS INFÉRIEUR O POCKET EVA COMPOUND GRIS CLAIR</t>
  </si>
  <si>
    <t>POCHETTE INTÉRIEURE FERMETURE ÉCLAIR O BAG MINI EN TISSU CANVAS CÈDRE</t>
  </si>
  <si>
    <t>ACCESSOIRES CHARMS POMPON EN FAUX CUIR PLEX + CLOUS NOIR</t>
  </si>
  <si>
    <t>CORPS INFÉRIEUR O POCKET EVA COMPOUND VOLCAN</t>
  </si>
  <si>
    <t>CORPS O BAG MINI EVA COMPOUND VOLCAN</t>
  </si>
  <si>
    <t>CORPS O BAG EVA COMPOUND + CLOUS PYRAMIDES BLANC</t>
  </si>
  <si>
    <t>ANSES LONGUES ADAPTABLES EN FAUX CUIR BASIC NAVY</t>
  </si>
  <si>
    <t>O CLOCK SHIFT BRACELET BAND EN MATÉRIAU INJECTÉ OLIVE</t>
  </si>
  <si>
    <t>CORPS COMPLET O BAG TOTE EN FAUX CUIR SOFT TOUCH SKYWAY</t>
  </si>
  <si>
    <t>CORPS O BAG MINI EVA COMPOUND GRIS CLAIR</t>
  </si>
  <si>
    <t>CORPS O MOON EVA COMPOUND VOLCAN</t>
  </si>
  <si>
    <t>CORPS O SQUARE EVA COMPOUND VOLCAN</t>
  </si>
  <si>
    <t>BANDEAU BRACELET FOULARD TISSU LUXURY CÔTELÉ BLUETTE/BLEU</t>
  </si>
  <si>
    <t>POCHETTE INTÉRIEURE FERMETURE ÉCLAIR O BAG MINI EN COTON MOTIF PAPILLONS JAUNE</t>
  </si>
  <si>
    <t>ACCESSOIRES CHARMS POMPON EN FAUX CUIR SUÈDE JAUNE</t>
  </si>
  <si>
    <t>O HUG CORPS PORTEFEUILLE FEMME EVA COMPOUND TEXTURE GRECQUE LATTE</t>
  </si>
  <si>
    <t>RABAT O POCKET EN COTON MOTIF PAPILLONS ROSE</t>
  </si>
  <si>
    <t>POCHETTE INTÉRIEURE FERMETURE ÉCLAIR O BAG EN TISSU DEAUVILLE À RAYURES SERRÉES ROU</t>
  </si>
  <si>
    <t>CORPS COMPLET O BAG TOTE EN NYLON COULEUR UNIE NAVY</t>
  </si>
  <si>
    <t>51,12</t>
  </si>
  <si>
    <t>O CLOCK MÉCANISME URBAN DECOR PETALS ROSE SMOKE</t>
  </si>
  <si>
    <t>CORPS O MOON EVA COMPOUND ROSE SMOKE</t>
  </si>
  <si>
    <t>CORPS O BAG EVA COMPOUND ATLANTIC</t>
  </si>
  <si>
    <t>CORPS O BAG BEACH MINI EVA COMPOUND EFFET OSIER BLEU COBALT</t>
  </si>
  <si>
    <t>O CLOCK MÉCANISME URBAN DECOR FLOWERS CIPRIA</t>
  </si>
  <si>
    <t>O HUG INTÉRIEUR PORTEFEUILLE FEMME EN FAUX CUIR AVEC BRISÉ BLEU COBALT</t>
  </si>
  <si>
    <t>CORPS O MOON LIGHT EVA COMPOUND VOLCAN</t>
  </si>
  <si>
    <t>CORPS INFÉRIEUR O POCKET EVA COMPOUND ROSE SMOKE</t>
  </si>
  <si>
    <t>POCHETTE INTÉRIEURE À COULISSE O SWING EN TISSU DENIM NAVY</t>
  </si>
  <si>
    <t>O HUG INTÉRIEUR PORTEFEUILLE FEMME EN FAUX CUIR + FANTAISIE À FLEURS SUR RAYURES MUL</t>
  </si>
  <si>
    <t>O CLOCK SHIFT BRACELET BAND EN MATÉRIAU INJECTÉ NOIR</t>
  </si>
  <si>
    <t>BANDOULIÈRE AVEC TRESSAGE + CLIP EN FAUX CUIR BASIC NOIR</t>
  </si>
  <si>
    <t>POCHETTE INTÉRIEURE FERMETURE ÉCLAIR O CITY EN TISSU CANVAS ROUGE</t>
  </si>
  <si>
    <t>ANSES TUBULAIRES EN FAUX CUIR BLEU COBALT</t>
  </si>
  <si>
    <t>RABAT O POCKET EN COTON MOTIF PAPILLONS JAUNE</t>
  </si>
  <si>
    <t>CORPS O BAG MINI EVA COMPOUND TEXTURE À CHEVRONS SANGRIA</t>
  </si>
  <si>
    <t>CORPS O BAG BEACH MINI EVA COMPOUND EFFET OSIER CÈDRE</t>
  </si>
  <si>
    <t>POCHETTE INTÉRIEURE FERMETURE ÉCLAIR O BAG MINI EN TISSU CANVAS BLEU COBALT</t>
  </si>
  <si>
    <t>MICRO-ANSES TUBULAIRES COURTES EN FAUX CUIR LISSE ROSE</t>
  </si>
  <si>
    <t>REVERS O BAG MINI EN TISSU DEAUVILLE À RAYURES EFFET FLAMMÉ BLANC/ROUGE/BLEU</t>
  </si>
  <si>
    <t>CORPS O MOON EVA COMPOUND TEXTURE URBAN FRAME ROSE SMOKE</t>
  </si>
  <si>
    <t>CORPS O SQUARE EVA COMPOUND LATTE</t>
  </si>
  <si>
    <t>CORPS O BAG MINI EVA COMPOUND ATLANTIC</t>
  </si>
  <si>
    <t>CORPS O CITY EVA COMPOUND TAUPE</t>
  </si>
  <si>
    <t>CORPS O BAG EVA COMPOUND ROSE SMOKE</t>
  </si>
  <si>
    <t>RABAT TOURNIQUET O POCKET EN TISSU + FAUX CUIR NYC À RAYURES SANGRIA</t>
  </si>
  <si>
    <t>CORPS O BAG MINI EVA COMPOUND TEXTURE À CHEVRONS CÈDRE</t>
  </si>
  <si>
    <t>CORPS O SQUARE EVA COMPOUND NOIR</t>
  </si>
  <si>
    <t>BANDOULIÈRE COURTE NEW GOUTTE TROUÉE EN FAUX CUIR CLOUS PYRAMIDES JAUNE</t>
  </si>
  <si>
    <t>ACCESSOIRES CHARMS POMPON EN FAUX CUIR SUÈDE SKYWAY</t>
  </si>
  <si>
    <t>CORPS O BAG EVA COMPOUND SANGRIA</t>
  </si>
  <si>
    <t>RABAT TOURNIQUET O POCKET EN MICRO TISSU LUXURY DRIPPING ROUGE/BLUETTE</t>
  </si>
  <si>
    <t>CORPS O MOON LIGHT EVA COMPOUND BLEU COBALT</t>
  </si>
  <si>
    <t>LONGUE BANDOULIÈRE CHAÎNE CLIP O MOON EN FAUX CUIR NOIR</t>
  </si>
  <si>
    <t>81,6</t>
  </si>
  <si>
    <t>CORPS O POCKET MICRO EVA COMPOUND SKYWAY</t>
  </si>
  <si>
    <t>POCHETTE INTÉRIEURE À COULISSE O SWING EN TISSU DEAUVILLE À RAYURES EFFET FLAMMÉ BLA</t>
  </si>
  <si>
    <t>37,8</t>
  </si>
  <si>
    <t>BANDOULIÈRE COURTE NEW GOUTTE TROUÉE EN TISSU NYC LOSANGES ROUGE</t>
  </si>
  <si>
    <t>POCHETTE INTÉRIEURE FERMETURE ÉCLAIR O CITY EN TISSU CANVAS SANGRIA</t>
  </si>
  <si>
    <t>POCHETTE INTÉRIEURE FERMETURE ÉCLAIR O MOON LIGHT EN COTON MOTIF PAPILLONS ROSE</t>
  </si>
  <si>
    <t>CORPS O BAG MINI EVA COMPOUND TEXTURE À CHEVRONS NOIR</t>
  </si>
  <si>
    <t>POCHETTE INTÉRIEURE FERMETURE ÉCLAIR O BAG EN TISSU CANVAS SANGRIA</t>
  </si>
  <si>
    <t>ACCESSOIRES CHARMS POMPON EN FAUX CUIR SUÈDE GRIS CLAIR</t>
  </si>
  <si>
    <t>LONGUE BANDOULIÈRE AVEC BOUCLE O MOON EN FAUX CUIR NUDE</t>
  </si>
  <si>
    <t>76,8</t>
  </si>
  <si>
    <t>MÉCANISME GREAT DATE SATIN BLANC/ROUGE/NOIR</t>
  </si>
  <si>
    <t>POCHETTE INTÉRIEURE FERMETURE ÉCLAIR O MOON LIGHT EN TISSU NYC À RAYURES BICOLORE R</t>
  </si>
  <si>
    <t>CORPS O MOON EVA COMPOUND CÈDRE</t>
  </si>
  <si>
    <t>ANSES COURTES EN FAUX CUIR CLOUS ÉMAILLÉS SKYWAY</t>
  </si>
  <si>
    <t>BANDOULIÈRE COURTE NEW GOUTTE TROUÉE EN FAUX CUIR CLOUS PYRAMIDES NOIR</t>
  </si>
  <si>
    <t>CORPS O BAG MINI EVA COMPOUND TEXTURE À CHEVRONS ROUGE</t>
  </si>
  <si>
    <t>ACCESSOIRES POCHETTE FILET EN FAUX CUIR BASIC NAVY</t>
  </si>
  <si>
    <t>CORPS O BAG BEACH MINI EVA COMPOUND EFFET OSIER SANGRIA</t>
  </si>
  <si>
    <t>POCHETTE INTÉRIEURE FERMETURE ÉCLAIR O MOON EN TISSU NYC À RAYURES BICOLORE NOIR</t>
  </si>
  <si>
    <t>ACCESSOIRES CHARMS POMPON EN FAUX CUIR SUÈDE VERT</t>
  </si>
  <si>
    <t>CORPS INFÉRIEUR O POCKET EVA COMPOUND ROUGE</t>
  </si>
  <si>
    <t>BANDOULIÈRE /BRETELLE SLIM 140 EN PVC NOIR</t>
  </si>
  <si>
    <t>REVERS O BAG MINI EN TISSU DEAUVILLE À RAYURES SERRÉES NAVY/CRÈME</t>
  </si>
  <si>
    <t>ACCESSOIRES CHARMS POMPON EN FAUX CUIR SUÈDE NOIR</t>
  </si>
  <si>
    <t>CORPS O MOON EVA COMPOUND TEXTURE URBAN FRAME LATTE</t>
  </si>
  <si>
    <t>POCHETTE INTÉRIEURE FERMETURE ÉCLAIR O MOON EN TISSU CANVAS ROUGE</t>
  </si>
  <si>
    <t>CORPS O BAG 50 EVA COMPOUND ROUGE</t>
  </si>
  <si>
    <t>O CLOCK MÉCANISME NYC FLOWER BLEU COBALT</t>
  </si>
  <si>
    <t>O CLOCK MÉCANISME NYC FLOWER SANGRIA</t>
  </si>
  <si>
    <t>CORPS O BAG MINI EVA COMPOUND SKYWAY</t>
  </si>
  <si>
    <t>RABAT TOURNIQUET O POCKET EN TISSU + FAUX CUIR NYC À RAYURES JAUNE</t>
  </si>
  <si>
    <t>POCHETTE INTÉRIEURE FERMETURE ÉCLAIR O MOON EN TISSU NYC À RAYURES BICOLORE ROUGE</t>
  </si>
  <si>
    <t>ACCESSOIRE CLIP EN FAUX CUIR OPAQUE + ARGENT JAUNE</t>
  </si>
  <si>
    <t>POCHETTE INTÉRIEURE FERMETURE ÉCLAIR O BAG 50 EN TISSU CANVAS BLEU COBALT</t>
  </si>
  <si>
    <t>ACCESSOIRES PENDENTIF POMPON EN RAPHIA TISSÉ ROUGE</t>
  </si>
  <si>
    <t>LONGUE BANDOULIÈRE DOUBLE FIL O MOON LIGHT EN FAUX CUIR NUDE</t>
  </si>
  <si>
    <t>RABAT O POCKET MICRO EN FAUX CUIR CLOUS PYRAMIDES NOIR</t>
  </si>
  <si>
    <t>20,4</t>
  </si>
  <si>
    <t>CORPS COMPLET O BAG TOTE EN TISSU DEAUVILLE À RAYURES NUANCÉES BLEU</t>
  </si>
  <si>
    <t>40,8</t>
  </si>
  <si>
    <t>POCHETTE INTÉRIEURE FERMETURE ÉCLAIR O MOON LIGHT EN TISSU NYC À RAYURES BICOLORE N</t>
  </si>
  <si>
    <t>BANDOULIÈRE AVEC TRESSAGE + CLIP EN FAUX CUIR BASIC JAUNE</t>
  </si>
  <si>
    <t>CORPS O BAG 50 EVA COMPOUND SABLE</t>
  </si>
  <si>
    <t>CORPS O BAG MINI EVA COMPOUND CORAIL</t>
  </si>
  <si>
    <t>ACCESSOIRES POCHETTE FILET EN FAUX CUIR BASIC BLEU COBALT</t>
  </si>
  <si>
    <t>ANSES SPORTY + BRETELLE O SQUARE TISSU RUBAN YACHT BLUETTE/ROUGE/BLEU</t>
  </si>
  <si>
    <t>CORPS INFÉRIEUR O POCKET EVA COMPOUND SABLE</t>
  </si>
  <si>
    <t>CORPS O BAG MINI EVA COMPOUND SANGRIA</t>
  </si>
  <si>
    <t>BANDOULIÈRE 80/120 + GOUTTE TROUÉE TISSU RUBAN METAL DECOR ROSE/CHAMPAGNE</t>
  </si>
  <si>
    <t>53,76</t>
  </si>
  <si>
    <t>POCHETTE INTÉRIEURE FERMETURE ÉCLAIR O CITY EN TISSU CANVAS + RUBAN ROUGE</t>
  </si>
  <si>
    <t>CORPS O POCKET MICRO EVA COMPOUND ROUGE</t>
  </si>
  <si>
    <t>CORPS O SWING EVA COMPOUND EFFET OSIER BLEU COBALT</t>
  </si>
  <si>
    <t>RABAT O POCKET MICRO EN FAUX CUIR CLOUS PYRAMIDES BLANC</t>
  </si>
  <si>
    <t>RABAT O POCKET EN TISSU LUXURY STRIPES BLANC/BLUETTE</t>
  </si>
  <si>
    <t>RABAT O POCKET EN NYLON À RAYURES + PVC NOIR</t>
  </si>
  <si>
    <t>POCHETTE INTÉRIEURE FERMETURE ÉCLAIR O BAG 50 EN TISSU CANVAS ROUGE</t>
  </si>
  <si>
    <t>POCHETTE INTÉRIEURE FERMETURE ÉCLAIR O BAG MINI EN TISSU NYC À RAYURES BICOLORE ROU</t>
  </si>
  <si>
    <t>RABAT TOURNIQUET O POCKET EN TISSU + FAUX CUIR NYC À RAYURES ROUGE</t>
  </si>
  <si>
    <t>CORPS O BAG EVA COMPOUND TAUPE</t>
  </si>
  <si>
    <t>O CLOCK MÉCANISME DEAUVILLE LINES + FLOWERS CÈDRE</t>
  </si>
  <si>
    <t>O HUG INTÉRIEUR PORTEFEUILLE FEMME EN FAUX CUIR AVEC BRISÉ ROUGE</t>
  </si>
  <si>
    <t>O CLOCK SHIFT CASE CLASSIC SLIM EN PLASTIQUE OCÉAN</t>
  </si>
  <si>
    <t>RABAT TOURNIQUET O CITY EN FAUX CUIR BASIC SKYWAY</t>
  </si>
  <si>
    <t>POCHETTE INTÉRIEURE FERMETURE ÉCLAIR O BAG BEACH MINI EN TISSU CORDURA NOIR</t>
  </si>
  <si>
    <t>RABAT TOURNIQUET O POCKET EN MICRO EN FAUX CUIR MÉTALLISÉ + FLEURS PVC OPAQUE ROSE</t>
  </si>
  <si>
    <t>POCHETTE INTÉRIEURE FERMETURE ÉCLAIR O MOON EN TISSU BOUCLÉ DÉCOR BLANC</t>
  </si>
  <si>
    <t>RABAT AVEC BANDEAU O POCKET EN FAUX CUIR RUBAN LIVRE BICOLORE ROUGE</t>
  </si>
  <si>
    <t>Somme sur Qté</t>
  </si>
  <si>
    <t>Somme sur Prix T2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</si>
</sst>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4" formatCode="_ * #,##0.00_)\ &quot;€&quot;_ ;_ * \(#,##0.00\)\ &quot;€&quot;_ ;_ * &quot;-&quot;??_)\ &quot;€&quot;_ ;_ @_ "/>
    <numFmt numFmtId="164" formatCode="000"/>
    <numFmt numFmtId="165" formatCode="d/m/yyyy"/>
    <numFmt numFmtId="166" formatCode="0.000"/>
    <numFmt numFmtId="167" formatCode="00.000"/>
    <numFmt numFmtId="168" formatCode="00.00"/>
    <numFmt numFmtId="169" formatCode="000.00"/>
    <numFmt numFmtId="170" formatCode="000.000"/>
    <numFmt numFmtId="171" formatCode="0.0"/>
  </numFmts>
  <fonts count="18" x14ac:knownFonts="1">
    <font>
      <sz val="11"/>
      <color rgb="FF000000"/>
      <name val="Calibri"/>
      <family val="2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</font>
    <font>
      <u/>
      <sz val="11"/>
      <color theme="11"/>
      <name val="Calibri"/>
      <family val="2"/>
    </font>
    <font>
      <sz val="12"/>
      <color rgb="FF000000"/>
      <name val="Lucida Grande"/>
    </font>
    <font>
      <b/>
      <sz val="11"/>
      <color rgb="FF000000"/>
      <name val="Calibri"/>
    </font>
    <font>
      <sz val="14"/>
      <color rgb="FF000000"/>
      <name val="Calibri"/>
    </font>
    <font>
      <sz val="8"/>
      <name val="Calibri"/>
      <family val="2"/>
    </font>
    <font>
      <sz val="11"/>
      <color rgb="FF000000"/>
      <name val="Calibri"/>
      <family val="2"/>
      <scheme val="minor"/>
    </font>
    <font>
      <b/>
      <sz val="14"/>
      <color rgb="FF000000"/>
      <name val="Calibri"/>
    </font>
    <font>
      <sz val="11"/>
      <color theme="1"/>
      <name val="Calibri"/>
      <family val="2"/>
      <scheme val="minor"/>
    </font>
    <font>
      <sz val="15"/>
      <color rgb="FF000000"/>
      <name val="Calibri"/>
    </font>
    <font>
      <b/>
      <sz val="7"/>
      <name val="Arial"/>
    </font>
    <font>
      <sz val="6.5"/>
      <name val="Arial"/>
    </font>
    <font>
      <b/>
      <sz val="8.5"/>
      <name val="Arial"/>
    </font>
    <font>
      <sz val="7"/>
      <name val="Arial"/>
    </font>
    <font>
      <vertAlign val="superscript"/>
      <sz val="5"/>
      <name val="Arial"/>
    </font>
  </fonts>
  <fills count="7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194">
    <xf numFmtId="0" fontId="0" fillId="0" borderId="0"/>
    <xf numFmtId="0" fontId="2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1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11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95">
    <xf numFmtId="0" fontId="0" fillId="0" borderId="0" xfId="0"/>
    <xf numFmtId="164" fontId="0" fillId="0" borderId="0" xfId="0" applyNumberFormat="1"/>
    <xf numFmtId="44" fontId="6" fillId="2" borderId="0" xfId="29" applyFont="1" applyFill="1"/>
    <xf numFmtId="0" fontId="7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1" fillId="3" borderId="0" xfId="44" applyFill="1"/>
    <xf numFmtId="0" fontId="1" fillId="0" borderId="0" xfId="44"/>
    <xf numFmtId="0" fontId="9" fillId="0" borderId="0" xfId="44" applyFont="1" applyAlignment="1">
      <alignment horizontal="left"/>
    </xf>
    <xf numFmtId="0" fontId="9" fillId="0" borderId="0" xfId="44" applyFont="1"/>
    <xf numFmtId="0" fontId="0" fillId="4" borderId="0" xfId="0" applyFill="1"/>
    <xf numFmtId="1" fontId="0" fillId="0" borderId="0" xfId="0" applyNumberFormat="1"/>
    <xf numFmtId="1" fontId="6" fillId="0" borderId="0" xfId="0" applyNumberFormat="1" applyFont="1"/>
    <xf numFmtId="0" fontId="10" fillId="0" borderId="0" xfId="0" applyFont="1"/>
    <xf numFmtId="0" fontId="11" fillId="0" borderId="0" xfId="127"/>
    <xf numFmtId="1" fontId="11" fillId="0" borderId="0" xfId="127" applyNumberFormat="1"/>
    <xf numFmtId="1" fontId="0" fillId="0" borderId="0" xfId="0" applyNumberFormat="1" applyAlignment="1">
      <alignment horizontal="center"/>
    </xf>
    <xf numFmtId="0" fontId="11" fillId="5" borderId="0" xfId="127" applyFill="1"/>
    <xf numFmtId="0" fontId="0" fillId="5" borderId="0" xfId="0" applyFill="1"/>
    <xf numFmtId="0" fontId="0" fillId="0" borderId="0" xfId="0" applyAlignment="1">
      <alignment horizontal="left" indent="3"/>
    </xf>
    <xf numFmtId="0" fontId="12" fillId="0" borderId="0" xfId="0" applyFont="1"/>
    <xf numFmtId="0" fontId="13" fillId="0" borderId="0" xfId="0" applyFont="1" applyBorder="1" applyAlignment="1">
      <alignment horizontal="left" vertical="top"/>
    </xf>
    <xf numFmtId="0" fontId="14" fillId="0" borderId="0" xfId="0" applyFont="1" applyBorder="1" applyAlignment="1">
      <alignment horizontal="left" vertical="top"/>
    </xf>
    <xf numFmtId="0" fontId="15" fillId="0" borderId="0" xfId="0" applyFont="1" applyBorder="1" applyAlignment="1">
      <alignment horizontal="left" vertical="top"/>
    </xf>
    <xf numFmtId="0" fontId="14" fillId="0" borderId="1" xfId="0" applyFont="1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13" fillId="0" borderId="2" xfId="0" applyFont="1" applyBorder="1" applyAlignment="1">
      <alignment horizontal="left" vertical="center" wrapText="1"/>
    </xf>
    <xf numFmtId="0" fontId="13" fillId="0" borderId="2" xfId="0" applyFont="1" applyBorder="1" applyAlignment="1">
      <alignment horizontal="right" vertical="center" wrapText="1" indent="2"/>
    </xf>
    <xf numFmtId="165" fontId="14" fillId="0" borderId="2" xfId="0" applyNumberFormat="1" applyFont="1" applyBorder="1" applyAlignment="1">
      <alignment horizontal="right" vertical="center" wrapText="1" indent="1"/>
    </xf>
    <xf numFmtId="0" fontId="13" fillId="0" borderId="2" xfId="0" applyFont="1" applyBorder="1" applyAlignment="1">
      <alignment horizontal="center" vertical="center" wrapText="1"/>
    </xf>
    <xf numFmtId="0" fontId="14" fillId="0" borderId="2" xfId="0" applyFont="1" applyBorder="1" applyAlignment="1">
      <alignment horizontal="left" vertical="center" wrapText="1" indent="2"/>
    </xf>
    <xf numFmtId="0" fontId="13" fillId="0" borderId="2" xfId="0" applyFont="1" applyBorder="1" applyAlignment="1">
      <alignment horizontal="right" vertical="center" wrapText="1" indent="3"/>
    </xf>
    <xf numFmtId="165" fontId="14" fillId="0" borderId="2" xfId="0" applyNumberFormat="1" applyFont="1" applyBorder="1" applyAlignment="1">
      <alignment horizontal="right" vertical="center" wrapText="1" indent="2"/>
    </xf>
    <xf numFmtId="0" fontId="13" fillId="0" borderId="0" xfId="0" applyFont="1" applyAlignment="1">
      <alignment horizontal="left" vertical="center" wrapText="1"/>
    </xf>
    <xf numFmtId="0" fontId="13" fillId="0" borderId="0" xfId="0" applyFont="1" applyAlignment="1">
      <alignment horizontal="right" vertical="center" wrapText="1" indent="2"/>
    </xf>
    <xf numFmtId="165" fontId="14" fillId="0" borderId="0" xfId="0" applyNumberFormat="1" applyFont="1" applyAlignment="1">
      <alignment horizontal="right" vertical="center" wrapText="1" indent="1"/>
    </xf>
    <xf numFmtId="0" fontId="13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center" wrapText="1" indent="2"/>
    </xf>
    <xf numFmtId="0" fontId="13" fillId="0" borderId="0" xfId="0" applyFont="1" applyAlignment="1">
      <alignment horizontal="right" vertical="center" wrapText="1" indent="3"/>
    </xf>
    <xf numFmtId="165" fontId="14" fillId="0" borderId="0" xfId="0" applyNumberFormat="1" applyFont="1" applyAlignment="1">
      <alignment horizontal="right" vertical="center" wrapText="1" indent="2"/>
    </xf>
    <xf numFmtId="0" fontId="13" fillId="0" borderId="1" xfId="0" applyFont="1" applyBorder="1" applyAlignment="1">
      <alignment horizontal="left" vertical="center" wrapText="1"/>
    </xf>
    <xf numFmtId="0" fontId="13" fillId="0" borderId="1" xfId="0" applyFont="1" applyBorder="1" applyAlignment="1">
      <alignment horizontal="right" vertical="center" wrapText="1" indent="2"/>
    </xf>
    <xf numFmtId="0" fontId="13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 vertical="center" wrapText="1" indent="2"/>
    </xf>
    <xf numFmtId="0" fontId="13" fillId="0" borderId="1" xfId="0" applyFont="1" applyBorder="1" applyAlignment="1">
      <alignment horizontal="right" vertical="center" wrapText="1" indent="3"/>
    </xf>
    <xf numFmtId="165" fontId="14" fillId="0" borderId="0" xfId="0" applyNumberFormat="1" applyFont="1" applyBorder="1" applyAlignment="1">
      <alignment horizontal="left" vertical="top"/>
    </xf>
    <xf numFmtId="166" fontId="14" fillId="0" borderId="0" xfId="0" applyNumberFormat="1" applyFont="1" applyBorder="1" applyAlignment="1">
      <alignment horizontal="left" vertical="top"/>
    </xf>
    <xf numFmtId="2" fontId="14" fillId="0" borderId="0" xfId="0" applyNumberFormat="1" applyFont="1" applyBorder="1" applyAlignment="1">
      <alignment horizontal="left" vertical="top"/>
    </xf>
    <xf numFmtId="1" fontId="14" fillId="0" borderId="0" xfId="0" applyNumberFormat="1" applyFont="1" applyBorder="1" applyAlignment="1">
      <alignment horizontal="left" vertical="top"/>
    </xf>
    <xf numFmtId="166" fontId="14" fillId="0" borderId="0" xfId="0" applyNumberFormat="1" applyFont="1" applyAlignment="1">
      <alignment horizontal="right" vertical="top" wrapText="1"/>
    </xf>
    <xf numFmtId="0" fontId="0" fillId="0" borderId="0" xfId="0" applyAlignment="1">
      <alignment horizontal="left" vertical="top" wrapText="1"/>
    </xf>
    <xf numFmtId="2" fontId="14" fillId="0" borderId="0" xfId="0" applyNumberFormat="1" applyFont="1" applyAlignment="1">
      <alignment horizontal="right" vertical="top" wrapText="1"/>
    </xf>
    <xf numFmtId="0" fontId="14" fillId="0" borderId="0" xfId="0" applyFont="1" applyAlignment="1">
      <alignment horizontal="right" vertical="top" wrapText="1" indent="1"/>
    </xf>
    <xf numFmtId="1" fontId="14" fillId="0" borderId="0" xfId="0" applyNumberFormat="1" applyFont="1" applyAlignment="1">
      <alignment horizontal="right" wrapText="1" indent="2"/>
    </xf>
    <xf numFmtId="167" fontId="14" fillId="0" borderId="0" xfId="0" applyNumberFormat="1" applyFont="1" applyAlignment="1">
      <alignment horizontal="right" vertical="top" wrapText="1"/>
    </xf>
    <xf numFmtId="168" fontId="14" fillId="0" borderId="0" xfId="0" applyNumberFormat="1" applyFont="1" applyAlignment="1">
      <alignment horizontal="right" vertical="top" wrapText="1"/>
    </xf>
    <xf numFmtId="0" fontId="14" fillId="0" borderId="0" xfId="0" applyFont="1" applyAlignment="1">
      <alignment horizontal="right" vertical="top" wrapText="1" indent="2"/>
    </xf>
    <xf numFmtId="0" fontId="13" fillId="0" borderId="0" xfId="0" applyFont="1" applyAlignment="1">
      <alignment horizontal="left" vertical="top" wrapText="1" indent="15"/>
    </xf>
    <xf numFmtId="0" fontId="13" fillId="0" borderId="0" xfId="0" applyFont="1" applyAlignment="1">
      <alignment horizontal="right" vertical="top" wrapText="1" indent="4"/>
    </xf>
    <xf numFmtId="1" fontId="14" fillId="0" borderId="0" xfId="0" applyNumberFormat="1" applyFont="1" applyAlignment="1">
      <alignment horizontal="right" vertical="center" wrapText="1" indent="2"/>
    </xf>
    <xf numFmtId="0" fontId="14" fillId="0" borderId="0" xfId="0" applyFont="1" applyAlignment="1">
      <alignment horizontal="left" vertical="top" wrapText="1"/>
    </xf>
    <xf numFmtId="0" fontId="13" fillId="0" borderId="0" xfId="0" applyFont="1" applyAlignment="1">
      <alignment horizontal="right" wrapText="1" indent="4"/>
    </xf>
    <xf numFmtId="0" fontId="14" fillId="0" borderId="0" xfId="0" applyFont="1" applyAlignment="1">
      <alignment horizontal="left" vertical="top" wrapText="1" indent="15"/>
    </xf>
    <xf numFmtId="0" fontId="14" fillId="0" borderId="1" xfId="0" applyFont="1" applyBorder="1" applyAlignment="1">
      <alignment horizontal="left" vertical="top" wrapText="1" indent="15"/>
    </xf>
    <xf numFmtId="0" fontId="13" fillId="0" borderId="1" xfId="0" applyFont="1" applyBorder="1" applyAlignment="1">
      <alignment horizontal="right" wrapText="1" indent="4"/>
    </xf>
    <xf numFmtId="1" fontId="14" fillId="0" borderId="1" xfId="0" applyNumberFormat="1" applyFont="1" applyBorder="1" applyAlignment="1">
      <alignment horizontal="right" wrapText="1" indent="2"/>
    </xf>
    <xf numFmtId="0" fontId="16" fillId="0" borderId="0" xfId="0" applyFont="1" applyBorder="1" applyAlignment="1">
      <alignment horizontal="left" vertical="top"/>
    </xf>
    <xf numFmtId="0" fontId="16" fillId="0" borderId="1" xfId="0" applyFont="1" applyBorder="1" applyAlignment="1">
      <alignment horizontal="left" vertical="top" wrapText="1" indent="1"/>
    </xf>
    <xf numFmtId="0" fontId="13" fillId="0" borderId="2" xfId="0" applyFont="1" applyBorder="1" applyAlignment="1">
      <alignment horizontal="left" vertical="top" wrapText="1"/>
    </xf>
    <xf numFmtId="0" fontId="13" fillId="0" borderId="2" xfId="0" applyFont="1" applyBorder="1" applyAlignment="1">
      <alignment horizontal="right" vertical="top" wrapText="1" indent="1"/>
    </xf>
    <xf numFmtId="0" fontId="13" fillId="0" borderId="2" xfId="0" applyFont="1" applyBorder="1" applyAlignment="1">
      <alignment horizontal="center" vertical="top" wrapText="1"/>
    </xf>
    <xf numFmtId="0" fontId="13" fillId="0" borderId="0" xfId="0" applyFont="1" applyAlignment="1">
      <alignment horizontal="left" vertical="top" wrapText="1"/>
    </xf>
    <xf numFmtId="0" fontId="16" fillId="0" borderId="0" xfId="0" applyFont="1" applyAlignment="1">
      <alignment horizontal="left" vertical="top" wrapText="1" indent="1"/>
    </xf>
    <xf numFmtId="166" fontId="16" fillId="0" borderId="0" xfId="0" applyNumberFormat="1" applyFont="1" applyAlignment="1">
      <alignment horizontal="right" vertical="top" wrapText="1"/>
    </xf>
    <xf numFmtId="168" fontId="16" fillId="0" borderId="0" xfId="0" applyNumberFormat="1" applyFont="1" applyAlignment="1">
      <alignment horizontal="right" vertical="top" wrapText="1"/>
    </xf>
    <xf numFmtId="0" fontId="16" fillId="0" borderId="0" xfId="0" applyFont="1" applyAlignment="1">
      <alignment horizontal="right" vertical="top" wrapText="1" indent="1"/>
    </xf>
    <xf numFmtId="0" fontId="16" fillId="0" borderId="0" xfId="0" applyFont="1" applyAlignment="1">
      <alignment horizontal="left" vertical="top" wrapText="1"/>
    </xf>
    <xf numFmtId="1" fontId="16" fillId="0" borderId="0" xfId="0" applyNumberFormat="1" applyFont="1" applyAlignment="1">
      <alignment horizontal="left" wrapText="1"/>
    </xf>
    <xf numFmtId="167" fontId="16" fillId="0" borderId="0" xfId="0" applyNumberFormat="1" applyFont="1" applyAlignment="1">
      <alignment horizontal="right" vertical="top" wrapText="1"/>
    </xf>
    <xf numFmtId="2" fontId="16" fillId="0" borderId="0" xfId="0" applyNumberFormat="1" applyFont="1" applyAlignment="1">
      <alignment horizontal="right" vertical="top" wrapText="1"/>
    </xf>
    <xf numFmtId="0" fontId="16" fillId="0" borderId="1" xfId="0" applyFont="1" applyBorder="1" applyAlignment="1">
      <alignment horizontal="left" vertical="top" wrapText="1"/>
    </xf>
    <xf numFmtId="1" fontId="16" fillId="0" borderId="1" xfId="0" applyNumberFormat="1" applyFont="1" applyBorder="1" applyAlignment="1">
      <alignment horizontal="left" wrapText="1"/>
    </xf>
    <xf numFmtId="0" fontId="14" fillId="0" borderId="0" xfId="0" applyFont="1" applyAlignment="1">
      <alignment horizontal="left" vertical="top" wrapText="1"/>
    </xf>
    <xf numFmtId="0" fontId="0" fillId="6" borderId="0" xfId="0" applyFill="1" applyAlignment="1">
      <alignment horizontal="left" vertical="top" wrapText="1"/>
    </xf>
    <xf numFmtId="166" fontId="14" fillId="6" borderId="0" xfId="0" applyNumberFormat="1" applyFont="1" applyFill="1" applyAlignment="1">
      <alignment horizontal="right" vertical="top" wrapText="1"/>
    </xf>
    <xf numFmtId="2" fontId="14" fillId="6" borderId="0" xfId="0" applyNumberFormat="1" applyFont="1" applyFill="1" applyAlignment="1">
      <alignment horizontal="right" vertical="top" wrapText="1"/>
    </xf>
    <xf numFmtId="0" fontId="14" fillId="6" borderId="0" xfId="0" applyFont="1" applyFill="1" applyAlignment="1">
      <alignment horizontal="right" vertical="top" wrapText="1" indent="1"/>
    </xf>
    <xf numFmtId="1" fontId="14" fillId="6" borderId="0" xfId="0" applyNumberFormat="1" applyFont="1" applyFill="1" applyAlignment="1">
      <alignment horizontal="right" wrapText="1" indent="2"/>
    </xf>
    <xf numFmtId="167" fontId="14" fillId="6" borderId="0" xfId="0" applyNumberFormat="1" applyFont="1" applyFill="1" applyAlignment="1">
      <alignment horizontal="right" vertical="top" wrapText="1"/>
    </xf>
    <xf numFmtId="168" fontId="14" fillId="6" borderId="0" xfId="0" applyNumberFormat="1" applyFont="1" applyFill="1" applyAlignment="1">
      <alignment horizontal="right" vertical="top" wrapText="1"/>
    </xf>
    <xf numFmtId="167" fontId="14" fillId="6" borderId="0" xfId="0" applyNumberFormat="1" applyFont="1" applyFill="1" applyAlignment="1">
      <alignment horizontal="right" wrapText="1"/>
    </xf>
    <xf numFmtId="0" fontId="14" fillId="6" borderId="0" xfId="0" applyFont="1" applyFill="1" applyAlignment="1">
      <alignment horizontal="right" vertical="top" wrapText="1" indent="2"/>
    </xf>
    <xf numFmtId="2" fontId="14" fillId="6" borderId="0" xfId="0" applyNumberFormat="1" applyFont="1" applyFill="1" applyAlignment="1">
      <alignment horizontal="right" wrapText="1"/>
    </xf>
    <xf numFmtId="0" fontId="14" fillId="6" borderId="0" xfId="0" applyFont="1" applyFill="1" applyAlignment="1">
      <alignment horizontal="right" wrapText="1" indent="1"/>
    </xf>
    <xf numFmtId="164" fontId="0" fillId="0" borderId="0" xfId="0" applyNumberFormat="1" applyAlignment="1">
      <alignment wrapText="1"/>
    </xf>
    <xf numFmtId="0" fontId="14" fillId="6" borderId="0" xfId="0" applyFont="1" applyFill="1" applyBorder="1" applyAlignment="1">
      <alignment horizontal="left" vertical="top"/>
    </xf>
    <xf numFmtId="0" fontId="14" fillId="0" borderId="1" xfId="0" applyFont="1" applyBorder="1" applyAlignment="1">
      <alignment horizontal="left" vertical="top" wrapText="1" indent="1"/>
    </xf>
    <xf numFmtId="0" fontId="13" fillId="0" borderId="2" xfId="0" applyFont="1" applyBorder="1" applyAlignment="1">
      <alignment horizontal="right" vertical="top" wrapText="1" indent="2"/>
    </xf>
    <xf numFmtId="0" fontId="13" fillId="0" borderId="0" xfId="0" applyFont="1" applyAlignment="1">
      <alignment horizontal="left" vertical="top" wrapText="1"/>
    </xf>
    <xf numFmtId="1" fontId="14" fillId="0" borderId="0" xfId="0" applyNumberFormat="1" applyFont="1" applyAlignment="1">
      <alignment horizontal="left" wrapText="1"/>
    </xf>
    <xf numFmtId="0" fontId="14" fillId="0" borderId="1" xfId="0" applyFont="1" applyBorder="1" applyAlignment="1">
      <alignment horizontal="left" vertical="top" wrapText="1"/>
    </xf>
    <xf numFmtId="1" fontId="14" fillId="0" borderId="1" xfId="0" applyNumberFormat="1" applyFont="1" applyBorder="1" applyAlignment="1">
      <alignment horizontal="left" wrapText="1"/>
    </xf>
    <xf numFmtId="0" fontId="13" fillId="0" borderId="2" xfId="0" applyFont="1" applyBorder="1" applyAlignment="1">
      <alignment horizontal="left" vertical="top" wrapText="1"/>
    </xf>
    <xf numFmtId="0" fontId="16" fillId="0" borderId="0" xfId="0" applyFont="1" applyAlignment="1">
      <alignment horizontal="right" vertical="top" wrapText="1" indent="2"/>
    </xf>
    <xf numFmtId="0" fontId="16" fillId="0" borderId="0" xfId="0" applyFont="1" applyAlignment="1">
      <alignment horizontal="center" vertical="top" wrapText="1"/>
    </xf>
    <xf numFmtId="0" fontId="16" fillId="0" borderId="0" xfId="0" applyFont="1" applyAlignment="1">
      <alignment horizontal="left" vertical="top" wrapText="1"/>
    </xf>
    <xf numFmtId="0" fontId="16" fillId="0" borderId="1" xfId="0" applyFont="1" applyBorder="1" applyAlignment="1">
      <alignment horizontal="left" vertical="top" wrapText="1"/>
    </xf>
    <xf numFmtId="0" fontId="13" fillId="0" borderId="2" xfId="0" applyFont="1" applyBorder="1" applyAlignment="1">
      <alignment horizontal="right" vertical="top" wrapText="1" indent="3"/>
    </xf>
    <xf numFmtId="1" fontId="14" fillId="0" borderId="0" xfId="0" applyNumberFormat="1" applyFont="1" applyAlignment="1">
      <alignment horizontal="left" wrapText="1" indent="7"/>
    </xf>
    <xf numFmtId="169" fontId="14" fillId="0" borderId="0" xfId="0" applyNumberFormat="1" applyFont="1" applyAlignment="1">
      <alignment horizontal="right" vertical="top" wrapText="1"/>
    </xf>
    <xf numFmtId="1" fontId="14" fillId="0" borderId="1" xfId="0" applyNumberFormat="1" applyFont="1" applyBorder="1" applyAlignment="1">
      <alignment horizontal="left" wrapText="1" indent="7"/>
    </xf>
    <xf numFmtId="1" fontId="14" fillId="0" borderId="0" xfId="0" applyNumberFormat="1" applyFont="1" applyAlignment="1">
      <alignment horizontal="right" wrapText="1"/>
    </xf>
    <xf numFmtId="1" fontId="14" fillId="0" borderId="1" xfId="0" applyNumberFormat="1" applyFont="1" applyBorder="1" applyAlignment="1">
      <alignment horizontal="right" wrapText="1"/>
    </xf>
    <xf numFmtId="0" fontId="16" fillId="0" borderId="0" xfId="0" applyFont="1" applyAlignment="1">
      <alignment horizontal="left" vertical="top" wrapText="1" indent="1"/>
    </xf>
    <xf numFmtId="0" fontId="14" fillId="0" borderId="0" xfId="0" applyFont="1" applyAlignment="1">
      <alignment horizontal="center" vertical="top" wrapText="1"/>
    </xf>
    <xf numFmtId="0" fontId="14" fillId="0" borderId="0" xfId="0" applyFont="1" applyAlignment="1">
      <alignment horizontal="left" vertical="top" wrapText="1" indent="1"/>
    </xf>
    <xf numFmtId="0" fontId="13" fillId="0" borderId="0" xfId="0" applyFont="1" applyAlignment="1">
      <alignment horizontal="right" vertical="top" wrapText="1" indent="2"/>
    </xf>
    <xf numFmtId="0" fontId="13" fillId="0" borderId="0" xfId="0" applyFont="1" applyAlignment="1">
      <alignment horizontal="right" wrapText="1" indent="3"/>
    </xf>
    <xf numFmtId="0" fontId="13" fillId="0" borderId="1" xfId="0" applyFont="1" applyBorder="1" applyAlignment="1">
      <alignment horizontal="right" wrapText="1" indent="3"/>
    </xf>
    <xf numFmtId="0" fontId="13" fillId="0" borderId="0" xfId="0" applyFont="1" applyAlignment="1">
      <alignment horizontal="left" vertical="center" wrapText="1"/>
    </xf>
    <xf numFmtId="0" fontId="16" fillId="0" borderId="0" xfId="0" applyFont="1" applyAlignment="1">
      <alignment horizontal="left" vertical="top" wrapText="1" indent="15"/>
    </xf>
    <xf numFmtId="0" fontId="16" fillId="0" borderId="1" xfId="0" applyFont="1" applyBorder="1" applyAlignment="1">
      <alignment horizontal="left" vertical="top" wrapText="1" indent="15"/>
    </xf>
    <xf numFmtId="1" fontId="16" fillId="0" borderId="0" xfId="0" applyNumberFormat="1" applyFont="1" applyAlignment="1">
      <alignment horizontal="left" wrapText="1" indent="7"/>
    </xf>
    <xf numFmtId="1" fontId="16" fillId="0" borderId="1" xfId="0" applyNumberFormat="1" applyFont="1" applyBorder="1" applyAlignment="1">
      <alignment horizontal="left" wrapText="1" indent="7"/>
    </xf>
    <xf numFmtId="0" fontId="14" fillId="0" borderId="1" xfId="0" applyFont="1" applyBorder="1" applyAlignment="1">
      <alignment horizontal="center" vertical="top" wrapText="1"/>
    </xf>
    <xf numFmtId="1" fontId="14" fillId="0" borderId="0" xfId="0" applyNumberFormat="1" applyFont="1" applyAlignment="1">
      <alignment horizontal="left" vertical="center" wrapText="1"/>
    </xf>
    <xf numFmtId="170" fontId="14" fillId="0" borderId="0" xfId="0" applyNumberFormat="1" applyFont="1" applyAlignment="1">
      <alignment horizontal="right" vertical="top" wrapText="1"/>
    </xf>
    <xf numFmtId="0" fontId="13" fillId="0" borderId="0" xfId="0" applyFont="1" applyAlignment="1">
      <alignment horizontal="right" vertical="top" wrapText="1" indent="1"/>
    </xf>
    <xf numFmtId="0" fontId="13" fillId="0" borderId="0" xfId="0" applyFont="1" applyAlignment="1">
      <alignment horizontal="right" vertical="top" wrapText="1" indent="5"/>
    </xf>
    <xf numFmtId="0" fontId="14" fillId="0" borderId="0" xfId="0" applyFont="1" applyAlignment="1">
      <alignment horizontal="right" vertical="top" wrapText="1" indent="15"/>
    </xf>
    <xf numFmtId="1" fontId="14" fillId="0" borderId="0" xfId="0" applyNumberFormat="1" applyFont="1" applyAlignment="1">
      <alignment horizontal="left" vertical="center" wrapText="1" indent="1"/>
    </xf>
    <xf numFmtId="0" fontId="14" fillId="0" borderId="0" xfId="0" applyFont="1" applyAlignment="1">
      <alignment horizontal="left" vertical="center" wrapText="1" indent="3"/>
    </xf>
    <xf numFmtId="166" fontId="14" fillId="0" borderId="0" xfId="0" applyNumberFormat="1" applyFont="1" applyAlignment="1">
      <alignment horizontal="right" vertical="center" wrapText="1"/>
    </xf>
    <xf numFmtId="0" fontId="14" fillId="0" borderId="0" xfId="0" applyFont="1" applyAlignment="1">
      <alignment horizontal="right" vertical="center" wrapText="1" indent="9"/>
    </xf>
    <xf numFmtId="1" fontId="14" fillId="0" borderId="0" xfId="0" applyNumberFormat="1" applyFont="1" applyAlignment="1">
      <alignment horizontal="right" vertical="center" wrapText="1" indent="6"/>
    </xf>
    <xf numFmtId="2" fontId="14" fillId="0" borderId="0" xfId="0" applyNumberFormat="1" applyFont="1" applyAlignment="1">
      <alignment horizontal="right" vertical="center" wrapText="1" indent="15"/>
    </xf>
    <xf numFmtId="0" fontId="13" fillId="0" borderId="0" xfId="0" applyFont="1" applyAlignment="1">
      <alignment horizontal="right" vertical="center" wrapText="1" indent="5"/>
    </xf>
    <xf numFmtId="1" fontId="14" fillId="0" borderId="0" xfId="0" applyNumberFormat="1" applyFont="1" applyAlignment="1">
      <alignment horizontal="right" vertical="center" wrapText="1" indent="7"/>
    </xf>
    <xf numFmtId="171" fontId="14" fillId="0" borderId="0" xfId="0" applyNumberFormat="1" applyFont="1" applyAlignment="1">
      <alignment horizontal="right" vertical="center" wrapText="1" indent="15"/>
    </xf>
    <xf numFmtId="0" fontId="13" fillId="0" borderId="1" xfId="0" applyFont="1" applyBorder="1" applyAlignment="1">
      <alignment horizontal="right" vertical="center" wrapText="1" indent="5"/>
    </xf>
    <xf numFmtId="166" fontId="14" fillId="0" borderId="1" xfId="0" applyNumberFormat="1" applyFont="1" applyBorder="1" applyAlignment="1">
      <alignment horizontal="right" vertical="center" wrapText="1"/>
    </xf>
    <xf numFmtId="2" fontId="14" fillId="0" borderId="1" xfId="0" applyNumberFormat="1" applyFont="1" applyBorder="1" applyAlignment="1">
      <alignment horizontal="right" vertical="center" wrapText="1" indent="15"/>
    </xf>
    <xf numFmtId="0" fontId="0" fillId="0" borderId="8" xfId="0" applyBorder="1" applyAlignment="1">
      <alignment horizontal="left" vertical="top" wrapText="1"/>
    </xf>
    <xf numFmtId="0" fontId="13" fillId="0" borderId="7" xfId="0" applyFont="1" applyBorder="1" applyAlignment="1">
      <alignment horizontal="right" vertical="center" wrapText="1" indent="14"/>
    </xf>
    <xf numFmtId="0" fontId="0" fillId="0" borderId="3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10" xfId="0" applyBorder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6" fillId="0" borderId="0" xfId="0" applyFont="1" applyAlignment="1">
      <alignment horizontal="left" vertical="center" wrapText="1" indent="2"/>
    </xf>
    <xf numFmtId="0" fontId="13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 indent="2"/>
    </xf>
    <xf numFmtId="0" fontId="14" fillId="0" borderId="1" xfId="0" applyFont="1" applyBorder="1" applyAlignment="1">
      <alignment horizontal="left" vertical="top" wrapText="1"/>
    </xf>
    <xf numFmtId="0" fontId="13" fillId="0" borderId="2" xfId="0" applyFont="1" applyBorder="1" applyAlignment="1">
      <alignment horizontal="left" vertical="top" wrapText="1"/>
    </xf>
    <xf numFmtId="0" fontId="16" fillId="0" borderId="0" xfId="0" applyFont="1" applyAlignment="1">
      <alignment horizontal="left" vertical="top" wrapText="1"/>
    </xf>
    <xf numFmtId="0" fontId="16" fillId="0" borderId="1" xfId="0" applyFont="1" applyBorder="1" applyAlignment="1">
      <alignment horizontal="left" vertical="top" wrapText="1"/>
    </xf>
    <xf numFmtId="0" fontId="16" fillId="0" borderId="0" xfId="0" applyFont="1" applyAlignment="1">
      <alignment horizontal="left" vertical="top" wrapText="1" indent="1"/>
    </xf>
    <xf numFmtId="0" fontId="14" fillId="0" borderId="0" xfId="0" applyFont="1" applyAlignment="1">
      <alignment horizontal="left" vertical="top" wrapText="1" indent="1"/>
    </xf>
    <xf numFmtId="0" fontId="13" fillId="0" borderId="0" xfId="0" applyFont="1" applyAlignment="1">
      <alignment horizontal="left" vertical="center" wrapText="1"/>
    </xf>
    <xf numFmtId="0" fontId="14" fillId="0" borderId="0" xfId="0" applyFont="1" applyAlignment="1">
      <alignment horizontal="right" vertical="top" wrapText="1"/>
    </xf>
    <xf numFmtId="0" fontId="15" fillId="0" borderId="0" xfId="0" applyFont="1" applyAlignment="1">
      <alignment horizontal="right" vertical="top" wrapText="1"/>
    </xf>
    <xf numFmtId="0" fontId="13" fillId="0" borderId="7" xfId="0" applyFont="1" applyBorder="1" applyAlignment="1">
      <alignment horizontal="left" vertical="top" wrapText="1" indent="2"/>
    </xf>
    <xf numFmtId="0" fontId="0" fillId="0" borderId="3" xfId="0" applyBorder="1" applyAlignment="1">
      <alignment horizontal="left" vertical="top" wrapText="1"/>
    </xf>
    <xf numFmtId="0" fontId="14" fillId="0" borderId="4" xfId="0" applyFont="1" applyBorder="1" applyAlignment="1">
      <alignment horizontal="right" vertical="top" wrapText="1"/>
    </xf>
    <xf numFmtId="0" fontId="0" fillId="0" borderId="5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14" fillId="0" borderId="7" xfId="0" applyFont="1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13" fillId="0" borderId="9" xfId="0" applyFont="1" applyBorder="1" applyAlignment="1">
      <alignment horizontal="left" vertical="center" wrapText="1" indent="1"/>
    </xf>
    <xf numFmtId="0" fontId="0" fillId="0" borderId="10" xfId="0" applyBorder="1" applyAlignment="1">
      <alignment horizontal="left" vertical="top" wrapText="1"/>
    </xf>
    <xf numFmtId="0" fontId="13" fillId="0" borderId="8" xfId="0" applyFont="1" applyBorder="1" applyAlignment="1">
      <alignment horizontal="left" vertical="top" wrapText="1" indent="1"/>
    </xf>
    <xf numFmtId="0" fontId="0" fillId="0" borderId="8" xfId="0" applyBorder="1" applyAlignment="1">
      <alignment horizontal="left" vertical="top" wrapText="1"/>
    </xf>
    <xf numFmtId="0" fontId="15" fillId="0" borderId="7" xfId="0" applyFont="1" applyBorder="1" applyAlignment="1">
      <alignment horizontal="right" vertical="center" wrapText="1" indent="6"/>
    </xf>
    <xf numFmtId="0" fontId="13" fillId="0" borderId="7" xfId="0" applyFont="1" applyBorder="1" applyAlignment="1">
      <alignment horizontal="left" vertical="top" wrapText="1" indent="1"/>
    </xf>
    <xf numFmtId="0" fontId="13" fillId="0" borderId="9" xfId="0" applyFont="1" applyBorder="1" applyAlignment="1">
      <alignment horizontal="left" vertical="top" wrapText="1" indent="1"/>
    </xf>
    <xf numFmtId="0" fontId="13" fillId="0" borderId="7" xfId="0" applyFont="1" applyBorder="1" applyAlignment="1">
      <alignment horizontal="right" vertical="center" wrapText="1" indent="15"/>
    </xf>
    <xf numFmtId="0" fontId="13" fillId="0" borderId="7" xfId="0" applyFont="1" applyBorder="1" applyAlignment="1">
      <alignment horizontal="right" vertical="center" wrapText="1"/>
    </xf>
    <xf numFmtId="0" fontId="14" fillId="0" borderId="9" xfId="0" applyFont="1" applyBorder="1" applyAlignment="1">
      <alignment horizontal="left" vertical="top" wrapText="1" indent="2"/>
    </xf>
    <xf numFmtId="0" fontId="14" fillId="0" borderId="7" xfId="0" applyFont="1" applyBorder="1" applyAlignment="1">
      <alignment horizontal="left" vertical="top" wrapText="1" indent="3"/>
    </xf>
    <xf numFmtId="0" fontId="13" fillId="0" borderId="8" xfId="0" applyFont="1" applyBorder="1" applyAlignment="1">
      <alignment horizontal="left" vertical="center" wrapText="1" indent="3"/>
    </xf>
    <xf numFmtId="0" fontId="15" fillId="0" borderId="9" xfId="0" applyFont="1" applyBorder="1" applyAlignment="1">
      <alignment horizontal="right" vertical="center" wrapText="1" indent="11"/>
    </xf>
    <xf numFmtId="0" fontId="13" fillId="0" borderId="7" xfId="0" applyFont="1" applyBorder="1" applyAlignment="1">
      <alignment horizontal="right" vertical="top" wrapText="1" indent="2"/>
    </xf>
    <xf numFmtId="0" fontId="15" fillId="0" borderId="8" xfId="0" applyFont="1" applyBorder="1" applyAlignment="1">
      <alignment horizontal="right" vertical="top" wrapText="1" indent="2"/>
    </xf>
    <xf numFmtId="0" fontId="13" fillId="0" borderId="7" xfId="0" applyFont="1" applyBorder="1" applyAlignment="1">
      <alignment horizontal="left" vertical="center" wrapText="1" indent="2"/>
    </xf>
    <xf numFmtId="0" fontId="14" fillId="0" borderId="7" xfId="0" applyFont="1" applyBorder="1" applyAlignment="1">
      <alignment horizontal="right" vertical="top" wrapText="1" indent="12"/>
    </xf>
    <xf numFmtId="0" fontId="13" fillId="0" borderId="9" xfId="0" applyFont="1" applyBorder="1" applyAlignment="1">
      <alignment horizontal="left" vertical="top" wrapText="1" indent="2"/>
    </xf>
    <xf numFmtId="0" fontId="13" fillId="0" borderId="9" xfId="0" applyFont="1" applyBorder="1" applyAlignment="1">
      <alignment horizontal="left" vertical="top" wrapText="1"/>
    </xf>
    <xf numFmtId="0" fontId="14" fillId="0" borderId="8" xfId="0" applyFont="1" applyBorder="1" applyAlignment="1">
      <alignment horizontal="left" vertical="top" wrapText="1" indent="2"/>
    </xf>
    <xf numFmtId="0" fontId="13" fillId="0" borderId="7" xfId="0" applyFont="1" applyBorder="1" applyAlignment="1">
      <alignment horizontal="right" vertical="top" wrapText="1" indent="15"/>
    </xf>
    <xf numFmtId="0" fontId="0" fillId="0" borderId="9" xfId="0" applyBorder="1" applyAlignment="1">
      <alignment horizontal="left" vertical="top" wrapText="1"/>
    </xf>
    <xf numFmtId="0" fontId="13" fillId="0" borderId="7" xfId="0" applyFont="1" applyBorder="1" applyAlignment="1">
      <alignment horizontal="left" vertical="top" wrapText="1"/>
    </xf>
    <xf numFmtId="0" fontId="14" fillId="0" borderId="7" xfId="0" applyFont="1" applyBorder="1" applyAlignment="1">
      <alignment horizontal="right" vertical="center" wrapText="1" indent="12"/>
    </xf>
    <xf numFmtId="0" fontId="13" fillId="0" borderId="7" xfId="0" applyFont="1" applyBorder="1" applyAlignment="1">
      <alignment horizontal="left" vertical="center" wrapText="1" indent="1"/>
    </xf>
  </cellXfs>
  <cellStyles count="194">
    <cellStyle name="Lien hypertexte" xfId="2" builtinId="8" hidden="1"/>
    <cellStyle name="Lien hypertexte" xfId="4" builtinId="8" hidden="1"/>
    <cellStyle name="Lien hypertexte" xfId="15" builtinId="8" hidden="1"/>
    <cellStyle name="Lien hypertexte" xfId="17" builtinId="8" hidden="1"/>
    <cellStyle name="Lien hypertexte" xfId="19" builtinId="8" hidden="1"/>
    <cellStyle name="Lien hypertexte" xfId="21" builtinId="8" hidden="1"/>
    <cellStyle name="Lien hypertexte" xfId="23" builtinId="8" hidden="1"/>
    <cellStyle name="Lien hypertexte" xfId="25" builtinId="8" hidden="1"/>
    <cellStyle name="Lien hypertexte" xfId="27" builtinId="8" hidden="1"/>
    <cellStyle name="Lien hypertexte" xfId="30" builtinId="8" hidden="1"/>
    <cellStyle name="Lien hypertexte" xfId="32" builtinId="8" hidden="1"/>
    <cellStyle name="Lien hypertexte" xfId="34" builtinId="8" hidden="1"/>
    <cellStyle name="Lien hypertexte" xfId="36" builtinId="8" hidden="1"/>
    <cellStyle name="Lien hypertexte" xfId="38" builtinId="8" hidden="1"/>
    <cellStyle name="Lien hypertexte" xfId="40" builtinId="8" hidden="1"/>
    <cellStyle name="Lien hypertexte" xfId="42" builtinId="8" hidden="1"/>
    <cellStyle name="Lien hypertexte" xfId="45" builtinId="8" hidden="1"/>
    <cellStyle name="Lien hypertexte" xfId="47" builtinId="8" hidden="1"/>
    <cellStyle name="Lien hypertexte" xfId="49" builtinId="8" hidden="1"/>
    <cellStyle name="Lien hypertexte" xfId="51" builtinId="8" hidden="1"/>
    <cellStyle name="Lien hypertexte" xfId="53" builtinId="8" hidden="1"/>
    <cellStyle name="Lien hypertexte" xfId="55" builtinId="8" hidden="1"/>
    <cellStyle name="Lien hypertexte" xfId="57" builtinId="8" hidden="1"/>
    <cellStyle name="Lien hypertexte" xfId="59" builtinId="8" hidden="1"/>
    <cellStyle name="Lien hypertexte" xfId="61" builtinId="8" hidden="1"/>
    <cellStyle name="Lien hypertexte" xfId="63" builtinId="8" hidden="1"/>
    <cellStyle name="Lien hypertexte" xfId="65" builtinId="8" hidden="1"/>
    <cellStyle name="Lien hypertexte" xfId="67" builtinId="8" hidden="1"/>
    <cellStyle name="Lien hypertexte" xfId="69" builtinId="8" hidden="1"/>
    <cellStyle name="Lien hypertexte" xfId="71" builtinId="8" hidden="1"/>
    <cellStyle name="Lien hypertexte" xfId="73" builtinId="8" hidden="1"/>
    <cellStyle name="Lien hypertexte" xfId="75" builtinId="8" hidden="1"/>
    <cellStyle name="Lien hypertexte" xfId="77" builtinId="8" hidden="1"/>
    <cellStyle name="Lien hypertexte" xfId="79" builtinId="8" hidden="1"/>
    <cellStyle name="Lien hypertexte" xfId="81" builtinId="8" hidden="1"/>
    <cellStyle name="Lien hypertexte" xfId="83" builtinId="8" hidden="1"/>
    <cellStyle name="Lien hypertexte" xfId="85" builtinId="8" hidden="1"/>
    <cellStyle name="Lien hypertexte" xfId="87" builtinId="8" hidden="1"/>
    <cellStyle name="Lien hypertexte" xfId="89" builtinId="8" hidden="1"/>
    <cellStyle name="Lien hypertexte" xfId="91" builtinId="8" hidden="1"/>
    <cellStyle name="Lien hypertexte" xfId="93" builtinId="8" hidden="1"/>
    <cellStyle name="Lien hypertexte" xfId="95" builtinId="8" hidden="1"/>
    <cellStyle name="Lien hypertexte" xfId="97" builtinId="8" hidden="1"/>
    <cellStyle name="Lien hypertexte" xfId="99" builtinId="8" hidden="1"/>
    <cellStyle name="Lien hypertexte" xfId="101" builtinId="8" hidden="1"/>
    <cellStyle name="Lien hypertexte" xfId="103" builtinId="8" hidden="1"/>
    <cellStyle name="Lien hypertexte" xfId="105" builtinId="8" hidden="1"/>
    <cellStyle name="Lien hypertexte" xfId="107" builtinId="8" hidden="1"/>
    <cellStyle name="Lien hypertexte" xfId="109" builtinId="8" hidden="1"/>
    <cellStyle name="Lien hypertexte" xfId="111" builtinId="8" hidden="1"/>
    <cellStyle name="Lien hypertexte" xfId="113" builtinId="8" hidden="1"/>
    <cellStyle name="Lien hypertexte" xfId="115" builtinId="8" hidden="1"/>
    <cellStyle name="Lien hypertexte" xfId="117" builtinId="8" hidden="1"/>
    <cellStyle name="Lien hypertexte" xfId="119" builtinId="8" hidden="1"/>
    <cellStyle name="Lien hypertexte" xfId="121" builtinId="8" hidden="1"/>
    <cellStyle name="Lien hypertexte" xfId="123" builtinId="8" hidden="1"/>
    <cellStyle name="Lien hypertexte" xfId="125" builtinId="8" hidden="1"/>
    <cellStyle name="Lien hypertexte" xfId="128" builtinId="8" hidden="1"/>
    <cellStyle name="Lien hypertexte" xfId="130" builtinId="8" hidden="1"/>
    <cellStyle name="Lien hypertexte" xfId="132" builtinId="8" hidden="1"/>
    <cellStyle name="Lien hypertexte" xfId="134" builtinId="8" hidden="1"/>
    <cellStyle name="Lien hypertexte" xfId="136" builtinId="8" hidden="1"/>
    <cellStyle name="Lien hypertexte" xfId="138" builtinId="8" hidden="1"/>
    <cellStyle name="Lien hypertexte" xfId="140" builtinId="8" hidden="1"/>
    <cellStyle name="Lien hypertexte" xfId="142" builtinId="8" hidden="1"/>
    <cellStyle name="Lien hypertexte" xfId="144" builtinId="8" hidden="1"/>
    <cellStyle name="Lien hypertexte" xfId="146" builtinId="8" hidden="1"/>
    <cellStyle name="Lien hypertexte" xfId="148" builtinId="8" hidden="1"/>
    <cellStyle name="Lien hypertexte" xfId="150" builtinId="8" hidden="1"/>
    <cellStyle name="Lien hypertexte" xfId="152" builtinId="8" hidden="1"/>
    <cellStyle name="Lien hypertexte" xfId="154" builtinId="8" hidden="1"/>
    <cellStyle name="Lien hypertexte" xfId="156" builtinId="8" hidden="1"/>
    <cellStyle name="Lien hypertexte" xfId="158" builtinId="8" hidden="1"/>
    <cellStyle name="Lien hypertexte" xfId="160" builtinId="8" hidden="1"/>
    <cellStyle name="Lien hypertexte" xfId="162" builtinId="8" hidden="1"/>
    <cellStyle name="Lien hypertexte" xfId="164" builtinId="8" hidden="1"/>
    <cellStyle name="Lien hypertexte" xfId="166" builtinId="8" hidden="1"/>
    <cellStyle name="Lien hypertexte" xfId="168" builtinId="8" hidden="1"/>
    <cellStyle name="Lien hypertexte" xfId="170" builtinId="8" hidden="1"/>
    <cellStyle name="Lien hypertexte" xfId="172" builtinId="8" hidden="1"/>
    <cellStyle name="Lien hypertexte" xfId="174" builtinId="8" hidden="1"/>
    <cellStyle name="Lien hypertexte" xfId="176" builtinId="8" hidden="1"/>
    <cellStyle name="Lien hypertexte" xfId="178" builtinId="8" hidden="1"/>
    <cellStyle name="Lien hypertexte" xfId="180" builtinId="8" hidden="1"/>
    <cellStyle name="Lien hypertexte" xfId="182" builtinId="8" hidden="1"/>
    <cellStyle name="Lien hypertexte" xfId="184" builtinId="8" hidden="1"/>
    <cellStyle name="Lien hypertexte" xfId="186" builtinId="8" hidden="1"/>
    <cellStyle name="Lien hypertexte" xfId="188" builtinId="8" hidden="1"/>
    <cellStyle name="Lien hypertexte" xfId="190" builtinId="8" hidden="1"/>
    <cellStyle name="Lien hypertexte" xfId="192" builtinId="8" hidden="1"/>
    <cellStyle name="Lien hypertexte visité" xfId="3" builtinId="9" hidden="1"/>
    <cellStyle name="Lien hypertexte visité" xfId="5" builtinId="9" hidden="1"/>
    <cellStyle name="Lien hypertexte visité" xfId="6" builtinId="9" hidden="1"/>
    <cellStyle name="Lien hypertexte visité" xfId="7" builtinId="9" hidden="1"/>
    <cellStyle name="Lien hypertexte visité" xfId="8" builtinId="9" hidden="1"/>
    <cellStyle name="Lien hypertexte visité" xfId="9" builtinId="9" hidden="1"/>
    <cellStyle name="Lien hypertexte visité" xfId="10" builtinId="9" hidden="1"/>
    <cellStyle name="Lien hypertexte visité" xfId="11" builtinId="9" hidden="1"/>
    <cellStyle name="Lien hypertexte visité" xfId="12" builtinId="9" hidden="1"/>
    <cellStyle name="Lien hypertexte visité" xfId="13" builtinId="9" hidden="1"/>
    <cellStyle name="Lien hypertexte visité" xfId="14" builtinId="9" hidden="1"/>
    <cellStyle name="Lien hypertexte visité" xfId="16" builtinId="9" hidden="1"/>
    <cellStyle name="Lien hypertexte visité" xfId="18" builtinId="9" hidden="1"/>
    <cellStyle name="Lien hypertexte visité" xfId="20" builtinId="9" hidden="1"/>
    <cellStyle name="Lien hypertexte visité" xfId="22" builtinId="9" hidden="1"/>
    <cellStyle name="Lien hypertexte visité" xfId="24" builtinId="9" hidden="1"/>
    <cellStyle name="Lien hypertexte visité" xfId="26" builtinId="9" hidden="1"/>
    <cellStyle name="Lien hypertexte visité" xfId="28" builtinId="9" hidden="1"/>
    <cellStyle name="Lien hypertexte visité" xfId="31" builtinId="9" hidden="1"/>
    <cellStyle name="Lien hypertexte visité" xfId="33" builtinId="9" hidden="1"/>
    <cellStyle name="Lien hypertexte visité" xfId="35" builtinId="9" hidden="1"/>
    <cellStyle name="Lien hypertexte visité" xfId="37" builtinId="9" hidden="1"/>
    <cellStyle name="Lien hypertexte visité" xfId="39" builtinId="9" hidden="1"/>
    <cellStyle name="Lien hypertexte visité" xfId="41" builtinId="9" hidden="1"/>
    <cellStyle name="Lien hypertexte visité" xfId="43" builtinId="9" hidden="1"/>
    <cellStyle name="Lien hypertexte visité" xfId="46" builtinId="9" hidden="1"/>
    <cellStyle name="Lien hypertexte visité" xfId="48" builtinId="9" hidden="1"/>
    <cellStyle name="Lien hypertexte visité" xfId="50" builtinId="9" hidden="1"/>
    <cellStyle name="Lien hypertexte visité" xfId="52" builtinId="9" hidden="1"/>
    <cellStyle name="Lien hypertexte visité" xfId="54" builtinId="9" hidden="1"/>
    <cellStyle name="Lien hypertexte visité" xfId="56" builtinId="9" hidden="1"/>
    <cellStyle name="Lien hypertexte visité" xfId="58" builtinId="9" hidden="1"/>
    <cellStyle name="Lien hypertexte visité" xfId="60" builtinId="9" hidden="1"/>
    <cellStyle name="Lien hypertexte visité" xfId="62" builtinId="9" hidden="1"/>
    <cellStyle name="Lien hypertexte visité" xfId="64" builtinId="9" hidden="1"/>
    <cellStyle name="Lien hypertexte visité" xfId="66" builtinId="9" hidden="1"/>
    <cellStyle name="Lien hypertexte visité" xfId="68" builtinId="9" hidden="1"/>
    <cellStyle name="Lien hypertexte visité" xfId="70" builtinId="9" hidden="1"/>
    <cellStyle name="Lien hypertexte visité" xfId="72" builtinId="9" hidden="1"/>
    <cellStyle name="Lien hypertexte visité" xfId="74" builtinId="9" hidden="1"/>
    <cellStyle name="Lien hypertexte visité" xfId="76" builtinId="9" hidden="1"/>
    <cellStyle name="Lien hypertexte visité" xfId="78" builtinId="9" hidden="1"/>
    <cellStyle name="Lien hypertexte visité" xfId="80" builtinId="9" hidden="1"/>
    <cellStyle name="Lien hypertexte visité" xfId="82" builtinId="9" hidden="1"/>
    <cellStyle name="Lien hypertexte visité" xfId="84" builtinId="9" hidden="1"/>
    <cellStyle name="Lien hypertexte visité" xfId="86" builtinId="9" hidden="1"/>
    <cellStyle name="Lien hypertexte visité" xfId="88" builtinId="9" hidden="1"/>
    <cellStyle name="Lien hypertexte visité" xfId="90" builtinId="9" hidden="1"/>
    <cellStyle name="Lien hypertexte visité" xfId="92" builtinId="9" hidden="1"/>
    <cellStyle name="Lien hypertexte visité" xfId="94" builtinId="9" hidden="1"/>
    <cellStyle name="Lien hypertexte visité" xfId="96" builtinId="9" hidden="1"/>
    <cellStyle name="Lien hypertexte visité" xfId="98" builtinId="9" hidden="1"/>
    <cellStyle name="Lien hypertexte visité" xfId="100" builtinId="9" hidden="1"/>
    <cellStyle name="Lien hypertexte visité" xfId="102" builtinId="9" hidden="1"/>
    <cellStyle name="Lien hypertexte visité" xfId="104" builtinId="9" hidden="1"/>
    <cellStyle name="Lien hypertexte visité" xfId="106" builtinId="9" hidden="1"/>
    <cellStyle name="Lien hypertexte visité" xfId="108" builtinId="9" hidden="1"/>
    <cellStyle name="Lien hypertexte visité" xfId="110" builtinId="9" hidden="1"/>
    <cellStyle name="Lien hypertexte visité" xfId="112" builtinId="9" hidden="1"/>
    <cellStyle name="Lien hypertexte visité" xfId="114" builtinId="9" hidden="1"/>
    <cellStyle name="Lien hypertexte visité" xfId="116" builtinId="9" hidden="1"/>
    <cellStyle name="Lien hypertexte visité" xfId="118" builtinId="9" hidden="1"/>
    <cellStyle name="Lien hypertexte visité" xfId="120" builtinId="9" hidden="1"/>
    <cellStyle name="Lien hypertexte visité" xfId="122" builtinId="9" hidden="1"/>
    <cellStyle name="Lien hypertexte visité" xfId="124" builtinId="9" hidden="1"/>
    <cellStyle name="Lien hypertexte visité" xfId="126" builtinId="9" hidden="1"/>
    <cellStyle name="Lien hypertexte visité" xfId="129" builtinId="9" hidden="1"/>
    <cellStyle name="Lien hypertexte visité" xfId="131" builtinId="9" hidden="1"/>
    <cellStyle name="Lien hypertexte visité" xfId="133" builtinId="9" hidden="1"/>
    <cellStyle name="Lien hypertexte visité" xfId="135" builtinId="9" hidden="1"/>
    <cellStyle name="Lien hypertexte visité" xfId="137" builtinId="9" hidden="1"/>
    <cellStyle name="Lien hypertexte visité" xfId="139" builtinId="9" hidden="1"/>
    <cellStyle name="Lien hypertexte visité" xfId="141" builtinId="9" hidden="1"/>
    <cellStyle name="Lien hypertexte visité" xfId="143" builtinId="9" hidden="1"/>
    <cellStyle name="Lien hypertexte visité" xfId="145" builtinId="9" hidden="1"/>
    <cellStyle name="Lien hypertexte visité" xfId="147" builtinId="9" hidden="1"/>
    <cellStyle name="Lien hypertexte visité" xfId="149" builtinId="9" hidden="1"/>
    <cellStyle name="Lien hypertexte visité" xfId="151" builtinId="9" hidden="1"/>
    <cellStyle name="Lien hypertexte visité" xfId="153" builtinId="9" hidden="1"/>
    <cellStyle name="Lien hypertexte visité" xfId="155" builtinId="9" hidden="1"/>
    <cellStyle name="Lien hypertexte visité" xfId="157" builtinId="9" hidden="1"/>
    <cellStyle name="Lien hypertexte visité" xfId="159" builtinId="9" hidden="1"/>
    <cellStyle name="Lien hypertexte visité" xfId="161" builtinId="9" hidden="1"/>
    <cellStyle name="Lien hypertexte visité" xfId="163" builtinId="9" hidden="1"/>
    <cellStyle name="Lien hypertexte visité" xfId="165" builtinId="9" hidden="1"/>
    <cellStyle name="Lien hypertexte visité" xfId="167" builtinId="9" hidden="1"/>
    <cellStyle name="Lien hypertexte visité" xfId="169" builtinId="9" hidden="1"/>
    <cellStyle name="Lien hypertexte visité" xfId="171" builtinId="9" hidden="1"/>
    <cellStyle name="Lien hypertexte visité" xfId="173" builtinId="9" hidden="1"/>
    <cellStyle name="Lien hypertexte visité" xfId="175" builtinId="9" hidden="1"/>
    <cellStyle name="Lien hypertexte visité" xfId="177" builtinId="9" hidden="1"/>
    <cellStyle name="Lien hypertexte visité" xfId="179" builtinId="9" hidden="1"/>
    <cellStyle name="Lien hypertexte visité" xfId="181" builtinId="9" hidden="1"/>
    <cellStyle name="Lien hypertexte visité" xfId="183" builtinId="9" hidden="1"/>
    <cellStyle name="Lien hypertexte visité" xfId="185" builtinId="9" hidden="1"/>
    <cellStyle name="Lien hypertexte visité" xfId="187" builtinId="9" hidden="1"/>
    <cellStyle name="Lien hypertexte visité" xfId="189" builtinId="9" hidden="1"/>
    <cellStyle name="Lien hypertexte visité" xfId="191" builtinId="9" hidden="1"/>
    <cellStyle name="Lien hypertexte visité" xfId="193" builtinId="9" hidden="1"/>
    <cellStyle name="Monétaire" xfId="29" builtinId="4"/>
    <cellStyle name="Normal" xfId="0" builtinId="0"/>
    <cellStyle name="Normal 2" xfId="1"/>
    <cellStyle name="Normal 3" xfId="44"/>
    <cellStyle name="Normal 4" xfId="127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" formatCode="0"/>
    </dxf>
    <dxf>
      <numFmt numFmtId="1" formatCode="0"/>
    </dxf>
    <dxf>
      <numFmt numFmtId="1" formatCode="0"/>
    </dxf>
    <dxf>
      <numFmt numFmtId="1" formatCode="0"/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worksheet" Target="worksheets/sheet19.xml"/><Relationship Id="rId50" Type="http://schemas.openxmlformats.org/officeDocument/2006/relationships/pivotCacheDefinition" Target="pivotCache/pivotCacheDefinition2.xml"/><Relationship Id="rId51" Type="http://schemas.openxmlformats.org/officeDocument/2006/relationships/pivotCacheDefinition" Target="pivotCache/pivotCacheDefinition3.xml"/><Relationship Id="rId52" Type="http://schemas.openxmlformats.org/officeDocument/2006/relationships/theme" Target="theme/theme1.xml"/><Relationship Id="rId53" Type="http://schemas.openxmlformats.org/officeDocument/2006/relationships/styles" Target="styles.xml"/><Relationship Id="rId54" Type="http://schemas.openxmlformats.org/officeDocument/2006/relationships/sharedStrings" Target="sharedStrings.xml"/><Relationship Id="rId55" Type="http://schemas.openxmlformats.org/officeDocument/2006/relationships/calcChain" Target="calcChain.xml"/><Relationship Id="rId56" Type="http://schemas.microsoft.com/office/2006/relationships/vbaProject" Target="vbaProject.bin"/><Relationship Id="rId40" Type="http://schemas.openxmlformats.org/officeDocument/2006/relationships/worksheet" Target="worksheets/sheet40.xml"/><Relationship Id="rId41" Type="http://schemas.openxmlformats.org/officeDocument/2006/relationships/worksheet" Target="worksheets/sheet41.xml"/><Relationship Id="rId42" Type="http://schemas.openxmlformats.org/officeDocument/2006/relationships/worksheet" Target="worksheets/sheet42.xml"/><Relationship Id="rId43" Type="http://schemas.openxmlformats.org/officeDocument/2006/relationships/worksheet" Target="worksheets/sheet43.xml"/><Relationship Id="rId44" Type="http://schemas.openxmlformats.org/officeDocument/2006/relationships/worksheet" Target="worksheets/sheet44.xml"/><Relationship Id="rId45" Type="http://schemas.openxmlformats.org/officeDocument/2006/relationships/worksheet" Target="worksheets/sheet45.xml"/><Relationship Id="rId46" Type="http://schemas.openxmlformats.org/officeDocument/2006/relationships/worksheet" Target="worksheets/sheet46.xml"/><Relationship Id="rId47" Type="http://schemas.openxmlformats.org/officeDocument/2006/relationships/worksheet" Target="worksheets/sheet47.xml"/><Relationship Id="rId48" Type="http://schemas.openxmlformats.org/officeDocument/2006/relationships/worksheet" Target="worksheets/sheet48.xml"/><Relationship Id="rId49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30" Type="http://schemas.openxmlformats.org/officeDocument/2006/relationships/worksheet" Target="worksheets/sheet30.xml"/><Relationship Id="rId31" Type="http://schemas.openxmlformats.org/officeDocument/2006/relationships/worksheet" Target="worksheets/sheet31.xml"/><Relationship Id="rId32" Type="http://schemas.openxmlformats.org/officeDocument/2006/relationships/worksheet" Target="worksheets/sheet32.xml"/><Relationship Id="rId33" Type="http://schemas.openxmlformats.org/officeDocument/2006/relationships/worksheet" Target="worksheets/sheet33.xml"/><Relationship Id="rId34" Type="http://schemas.openxmlformats.org/officeDocument/2006/relationships/worksheet" Target="worksheets/sheet34.xml"/><Relationship Id="rId35" Type="http://schemas.openxmlformats.org/officeDocument/2006/relationships/worksheet" Target="worksheets/sheet35.xml"/><Relationship Id="rId36" Type="http://schemas.openxmlformats.org/officeDocument/2006/relationships/worksheet" Target="worksheets/sheet36.xml"/><Relationship Id="rId37" Type="http://schemas.openxmlformats.org/officeDocument/2006/relationships/worksheet" Target="worksheets/sheet37.xml"/><Relationship Id="rId38" Type="http://schemas.openxmlformats.org/officeDocument/2006/relationships/worksheet" Target="worksheets/sheet38.xml"/><Relationship Id="rId39" Type="http://schemas.openxmlformats.org/officeDocument/2006/relationships/worksheet" Target="worksheets/sheet39.xml"/><Relationship Id="rId20" Type="http://schemas.openxmlformats.org/officeDocument/2006/relationships/worksheet" Target="worksheets/sheet20.xml"/><Relationship Id="rId21" Type="http://schemas.openxmlformats.org/officeDocument/2006/relationships/worksheet" Target="worksheets/sheet21.xml"/><Relationship Id="rId22" Type="http://schemas.openxmlformats.org/officeDocument/2006/relationships/worksheet" Target="worksheets/sheet22.xml"/><Relationship Id="rId23" Type="http://schemas.openxmlformats.org/officeDocument/2006/relationships/worksheet" Target="worksheets/sheet23.xml"/><Relationship Id="rId24" Type="http://schemas.openxmlformats.org/officeDocument/2006/relationships/worksheet" Target="worksheets/sheet24.xml"/><Relationship Id="rId25" Type="http://schemas.openxmlformats.org/officeDocument/2006/relationships/worksheet" Target="worksheets/sheet25.xml"/><Relationship Id="rId26" Type="http://schemas.openxmlformats.org/officeDocument/2006/relationships/worksheet" Target="worksheets/sheet26.xml"/><Relationship Id="rId27" Type="http://schemas.openxmlformats.org/officeDocument/2006/relationships/worksheet" Target="worksheets/sheet27.xml"/><Relationship Id="rId28" Type="http://schemas.openxmlformats.org/officeDocument/2006/relationships/worksheet" Target="worksheets/sheet28.xml"/><Relationship Id="rId29" Type="http://schemas.openxmlformats.org/officeDocument/2006/relationships/worksheet" Target="worksheets/sheet29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127000</xdr:colOff>
          <xdr:row>0</xdr:row>
          <xdr:rowOff>114300</xdr:rowOff>
        </xdr:from>
        <xdr:to>
          <xdr:col>4</xdr:col>
          <xdr:colOff>101600</xdr:colOff>
          <xdr:row>2</xdr:row>
          <xdr:rowOff>38100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Rechercher Codes barre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698500</xdr:colOff>
          <xdr:row>0</xdr:row>
          <xdr:rowOff>101600</xdr:rowOff>
        </xdr:from>
        <xdr:to>
          <xdr:col>6</xdr:col>
          <xdr:colOff>177800</xdr:colOff>
          <xdr:row>1</xdr:row>
          <xdr:rowOff>152400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RAZ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88900</xdr:colOff>
          <xdr:row>0</xdr:row>
          <xdr:rowOff>139700</xdr:rowOff>
        </xdr:from>
        <xdr:to>
          <xdr:col>8</xdr:col>
          <xdr:colOff>0</xdr:colOff>
          <xdr:row>2</xdr:row>
          <xdr:rowOff>38100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Extraire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182222</xdr:colOff>
      <xdr:row>5</xdr:row>
      <xdr:rowOff>88888</xdr:rowOff>
    </xdr:to>
    <xdr:pic>
      <xdr:nvPicPr>
        <xdr:cNvPr id="2" name="Picture"/>
        <xdr:cNvPicPr preferRelativeResize="0"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3535022" cy="97788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3135873</xdr:colOff>
      <xdr:row>5</xdr:row>
      <xdr:rowOff>88888</xdr:rowOff>
    </xdr:to>
    <xdr:pic>
      <xdr:nvPicPr>
        <xdr:cNvPr id="2" name="Picture"/>
        <xdr:cNvPicPr preferRelativeResize="0"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3135873" cy="97788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3135873</xdr:colOff>
      <xdr:row>5</xdr:row>
      <xdr:rowOff>88888</xdr:rowOff>
    </xdr:to>
    <xdr:pic>
      <xdr:nvPicPr>
        <xdr:cNvPr id="2" name="Picture"/>
        <xdr:cNvPicPr preferRelativeResize="0"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3135873" cy="97788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3135873</xdr:colOff>
      <xdr:row>5</xdr:row>
      <xdr:rowOff>88888</xdr:rowOff>
    </xdr:to>
    <xdr:pic>
      <xdr:nvPicPr>
        <xdr:cNvPr id="2" name="Picture"/>
        <xdr:cNvPicPr preferRelativeResize="0"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3135873" cy="97788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3135873</xdr:colOff>
      <xdr:row>5</xdr:row>
      <xdr:rowOff>88888</xdr:rowOff>
    </xdr:to>
    <xdr:pic>
      <xdr:nvPicPr>
        <xdr:cNvPr id="2" name="Picture"/>
        <xdr:cNvPicPr preferRelativeResize="0"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3135873" cy="97788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3135873</xdr:colOff>
      <xdr:row>5</xdr:row>
      <xdr:rowOff>88888</xdr:rowOff>
    </xdr:to>
    <xdr:pic>
      <xdr:nvPicPr>
        <xdr:cNvPr id="2" name="Picture"/>
        <xdr:cNvPicPr preferRelativeResize="0"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3135873" cy="977888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3135873</xdr:colOff>
      <xdr:row>5</xdr:row>
      <xdr:rowOff>88888</xdr:rowOff>
    </xdr:to>
    <xdr:pic>
      <xdr:nvPicPr>
        <xdr:cNvPr id="2" name="Picture"/>
        <xdr:cNvPicPr preferRelativeResize="0"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3135873" cy="977888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3135873</xdr:colOff>
      <xdr:row>5</xdr:row>
      <xdr:rowOff>88888</xdr:rowOff>
    </xdr:to>
    <xdr:pic>
      <xdr:nvPicPr>
        <xdr:cNvPr id="2" name="Picture"/>
        <xdr:cNvPicPr preferRelativeResize="0"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3135873" cy="977888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3135873</xdr:colOff>
      <xdr:row>5</xdr:row>
      <xdr:rowOff>88888</xdr:rowOff>
    </xdr:to>
    <xdr:pic>
      <xdr:nvPicPr>
        <xdr:cNvPr id="2" name="Picture"/>
        <xdr:cNvPicPr preferRelativeResize="0"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3135873" cy="977888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3135873</xdr:colOff>
      <xdr:row>5</xdr:row>
      <xdr:rowOff>88888</xdr:rowOff>
    </xdr:to>
    <xdr:pic>
      <xdr:nvPicPr>
        <xdr:cNvPr id="2" name="Picture"/>
        <xdr:cNvPicPr preferRelativeResize="0"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3135873" cy="977888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3135873</xdr:colOff>
      <xdr:row>5</xdr:row>
      <xdr:rowOff>88888</xdr:rowOff>
    </xdr:to>
    <xdr:pic>
      <xdr:nvPicPr>
        <xdr:cNvPr id="2" name="Picture"/>
        <xdr:cNvPicPr preferRelativeResize="0"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3135873" cy="977888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3135873</xdr:colOff>
      <xdr:row>5</xdr:row>
      <xdr:rowOff>88888</xdr:rowOff>
    </xdr:to>
    <xdr:pic>
      <xdr:nvPicPr>
        <xdr:cNvPr id="2" name="Picture"/>
        <xdr:cNvPicPr preferRelativeResize="0"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3135873" cy="977888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3135873</xdr:colOff>
      <xdr:row>5</xdr:row>
      <xdr:rowOff>88888</xdr:rowOff>
    </xdr:to>
    <xdr:pic>
      <xdr:nvPicPr>
        <xdr:cNvPr id="2" name="Picture"/>
        <xdr:cNvPicPr preferRelativeResize="0"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3135873" cy="977888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3135873</xdr:colOff>
      <xdr:row>5</xdr:row>
      <xdr:rowOff>88888</xdr:rowOff>
    </xdr:to>
    <xdr:pic>
      <xdr:nvPicPr>
        <xdr:cNvPr id="2" name="Picture"/>
        <xdr:cNvPicPr preferRelativeResize="0"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3135873" cy="977888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3135873</xdr:colOff>
      <xdr:row>5</xdr:row>
      <xdr:rowOff>88888</xdr:rowOff>
    </xdr:to>
    <xdr:pic>
      <xdr:nvPicPr>
        <xdr:cNvPr id="2" name="Picture"/>
        <xdr:cNvPicPr preferRelativeResize="0"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3135873" cy="977888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3135873</xdr:colOff>
      <xdr:row>5</xdr:row>
      <xdr:rowOff>88888</xdr:rowOff>
    </xdr:to>
    <xdr:pic>
      <xdr:nvPicPr>
        <xdr:cNvPr id="2" name="Picture"/>
        <xdr:cNvPicPr preferRelativeResize="0"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3135873" cy="977888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3135873</xdr:colOff>
      <xdr:row>5</xdr:row>
      <xdr:rowOff>88888</xdr:rowOff>
    </xdr:to>
    <xdr:pic>
      <xdr:nvPicPr>
        <xdr:cNvPr id="2" name="Picture"/>
        <xdr:cNvPicPr preferRelativeResize="0"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3135873" cy="977888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3135873</xdr:colOff>
      <xdr:row>5</xdr:row>
      <xdr:rowOff>88888</xdr:rowOff>
    </xdr:to>
    <xdr:pic>
      <xdr:nvPicPr>
        <xdr:cNvPr id="2" name="Picture"/>
        <xdr:cNvPicPr preferRelativeResize="0"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3135873" cy="977888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3135873</xdr:colOff>
      <xdr:row>5</xdr:row>
      <xdr:rowOff>88888</xdr:rowOff>
    </xdr:to>
    <xdr:pic>
      <xdr:nvPicPr>
        <xdr:cNvPr id="2" name="Picture"/>
        <xdr:cNvPicPr preferRelativeResize="0"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3135873" cy="977888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3135873</xdr:colOff>
      <xdr:row>5</xdr:row>
      <xdr:rowOff>88888</xdr:rowOff>
    </xdr:to>
    <xdr:pic>
      <xdr:nvPicPr>
        <xdr:cNvPr id="2" name="Picture"/>
        <xdr:cNvPicPr preferRelativeResize="0"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3135873" cy="977888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3135873</xdr:colOff>
      <xdr:row>5</xdr:row>
      <xdr:rowOff>88888</xdr:rowOff>
    </xdr:to>
    <xdr:pic>
      <xdr:nvPicPr>
        <xdr:cNvPr id="2" name="Picture"/>
        <xdr:cNvPicPr preferRelativeResize="0"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3135873" cy="977888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3135873</xdr:colOff>
      <xdr:row>5</xdr:row>
      <xdr:rowOff>88888</xdr:rowOff>
    </xdr:to>
    <xdr:pic>
      <xdr:nvPicPr>
        <xdr:cNvPr id="2" name="Picture"/>
        <xdr:cNvPicPr preferRelativeResize="0"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3135873" cy="977888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3135873</xdr:colOff>
      <xdr:row>5</xdr:row>
      <xdr:rowOff>88888</xdr:rowOff>
    </xdr:to>
    <xdr:pic>
      <xdr:nvPicPr>
        <xdr:cNvPr id="2" name="Picture"/>
        <xdr:cNvPicPr preferRelativeResize="0"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3135873" cy="977888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3135873</xdr:colOff>
      <xdr:row>5</xdr:row>
      <xdr:rowOff>88888</xdr:rowOff>
    </xdr:to>
    <xdr:pic>
      <xdr:nvPicPr>
        <xdr:cNvPr id="2" name="Picture"/>
        <xdr:cNvPicPr preferRelativeResize="0"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3135873" cy="977888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3135873</xdr:colOff>
      <xdr:row>5</xdr:row>
      <xdr:rowOff>88888</xdr:rowOff>
    </xdr:to>
    <xdr:pic>
      <xdr:nvPicPr>
        <xdr:cNvPr id="2" name="Picture"/>
        <xdr:cNvPicPr preferRelativeResize="0"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3135873" cy="977888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3135873</xdr:colOff>
      <xdr:row>5</xdr:row>
      <xdr:rowOff>88888</xdr:rowOff>
    </xdr:to>
    <xdr:pic>
      <xdr:nvPicPr>
        <xdr:cNvPr id="2" name="Picture"/>
        <xdr:cNvPicPr preferRelativeResize="0"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3135873" cy="977888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3135873</xdr:colOff>
      <xdr:row>5</xdr:row>
      <xdr:rowOff>88888</xdr:rowOff>
    </xdr:to>
    <xdr:pic>
      <xdr:nvPicPr>
        <xdr:cNvPr id="2" name="Picture"/>
        <xdr:cNvPicPr preferRelativeResize="0"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3135873" cy="977888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3135873</xdr:colOff>
      <xdr:row>5</xdr:row>
      <xdr:rowOff>88888</xdr:rowOff>
    </xdr:to>
    <xdr:pic>
      <xdr:nvPicPr>
        <xdr:cNvPr id="2" name="Picture"/>
        <xdr:cNvPicPr preferRelativeResize="0"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3135873" cy="977888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3135873</xdr:colOff>
      <xdr:row>5</xdr:row>
      <xdr:rowOff>88888</xdr:rowOff>
    </xdr:to>
    <xdr:pic>
      <xdr:nvPicPr>
        <xdr:cNvPr id="2" name="Picture"/>
        <xdr:cNvPicPr preferRelativeResize="0"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3135873" cy="977888"/>
        </a:xfrm>
        <a:prstGeom prst="rect">
          <a:avLst/>
        </a:prstGeom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3135873</xdr:colOff>
      <xdr:row>5</xdr:row>
      <xdr:rowOff>88888</xdr:rowOff>
    </xdr:to>
    <xdr:pic>
      <xdr:nvPicPr>
        <xdr:cNvPr id="2" name="Picture"/>
        <xdr:cNvPicPr preferRelativeResize="0"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3135873" cy="977888"/>
        </a:xfrm>
        <a:prstGeom prst="rect">
          <a:avLst/>
        </a:prstGeom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3135873</xdr:colOff>
      <xdr:row>5</xdr:row>
      <xdr:rowOff>88888</xdr:rowOff>
    </xdr:to>
    <xdr:pic>
      <xdr:nvPicPr>
        <xdr:cNvPr id="2" name="Picture"/>
        <xdr:cNvPicPr preferRelativeResize="0"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3135873" cy="977888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3135873</xdr:colOff>
      <xdr:row>5</xdr:row>
      <xdr:rowOff>88888</xdr:rowOff>
    </xdr:to>
    <xdr:pic>
      <xdr:nvPicPr>
        <xdr:cNvPr id="2" name="Picture"/>
        <xdr:cNvPicPr preferRelativeResize="0"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3135873" cy="977888"/>
        </a:xfrm>
        <a:prstGeom prst="rect">
          <a:avLst/>
        </a:prstGeom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3135873</xdr:colOff>
      <xdr:row>5</xdr:row>
      <xdr:rowOff>88888</xdr:rowOff>
    </xdr:to>
    <xdr:pic>
      <xdr:nvPicPr>
        <xdr:cNvPr id="2" name="Picture"/>
        <xdr:cNvPicPr preferRelativeResize="0"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3135873" cy="977888"/>
        </a:xfrm>
        <a:prstGeom prst="rect">
          <a:avLst/>
        </a:prstGeom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3135873</xdr:colOff>
      <xdr:row>5</xdr:row>
      <xdr:rowOff>88888</xdr:rowOff>
    </xdr:to>
    <xdr:pic>
      <xdr:nvPicPr>
        <xdr:cNvPr id="2" name="Picture"/>
        <xdr:cNvPicPr preferRelativeResize="0"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3135873" cy="977888"/>
        </a:xfrm>
        <a:prstGeom prst="rect">
          <a:avLst/>
        </a:prstGeom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3135873</xdr:colOff>
      <xdr:row>5</xdr:row>
      <xdr:rowOff>88888</xdr:rowOff>
    </xdr:to>
    <xdr:pic>
      <xdr:nvPicPr>
        <xdr:cNvPr id="2" name="Picture"/>
        <xdr:cNvPicPr preferRelativeResize="0"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3135873" cy="977888"/>
        </a:xfrm>
        <a:prstGeom prst="rect">
          <a:avLst/>
        </a:prstGeom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3135873</xdr:colOff>
      <xdr:row>5</xdr:row>
      <xdr:rowOff>88888</xdr:rowOff>
    </xdr:to>
    <xdr:pic>
      <xdr:nvPicPr>
        <xdr:cNvPr id="2" name="Picture"/>
        <xdr:cNvPicPr preferRelativeResize="0"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3135873" cy="977888"/>
        </a:xfrm>
        <a:prstGeom prst="rect">
          <a:avLst/>
        </a:prstGeom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3135873</xdr:colOff>
      <xdr:row>5</xdr:row>
      <xdr:rowOff>88888</xdr:rowOff>
    </xdr:to>
    <xdr:pic>
      <xdr:nvPicPr>
        <xdr:cNvPr id="2" name="Picture"/>
        <xdr:cNvPicPr preferRelativeResize="0"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3135873" cy="977888"/>
        </a:xfrm>
        <a:prstGeom prst="rect">
          <a:avLst/>
        </a:prstGeom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3135873</xdr:colOff>
      <xdr:row>5</xdr:row>
      <xdr:rowOff>88888</xdr:rowOff>
    </xdr:to>
    <xdr:pic>
      <xdr:nvPicPr>
        <xdr:cNvPr id="2" name="Picture"/>
        <xdr:cNvPicPr preferRelativeResize="0"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3135873" cy="97788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ean Lestang" refreshedDate="43137.387712152777" createdVersion="4" refreshedVersion="4" minRefreshableVersion="3" recordCount="453">
  <cacheSource type="worksheet">
    <worksheetSource ref="A4:M457" sheet="Extraction"/>
  </cacheSource>
  <cacheFields count="13">
    <cacheField name="Code complet" numFmtId="0">
      <sharedItems/>
    </cacheField>
    <cacheField name="n°" numFmtId="0">
      <sharedItems containsSemiMixedTypes="0" containsString="0" containsNumber="1" containsInteger="1" minValue="1" maxValue="453"/>
    </cacheField>
    <cacheField name="Code produit" numFmtId="0">
      <sharedItems containsBlank="1" count="166">
        <s v="OBAGS001 TES01"/>
        <s v="HLESMD00 ECS46"/>
        <s v="OBAGB024 EVS00"/>
        <s v="SHOUGH00 TESI3"/>
        <s v="SHOUWA00 ECS51"/>
        <s v="OBAGS010 TES01"/>
        <s v="OBAGPA06 TESF1"/>
        <s v="SHOUCF00 ECS35"/>
        <s v="ACCEC002 ECS65"/>
        <s v="HLESD000 ECS35"/>
        <s v="SHOUBG00 ECS35"/>
        <s v="OBAGS010 TESF8"/>
        <s v="OCLKD001 MES81"/>
        <s v="OHUGI002 ECS70"/>
        <s v="OBAGS121 TESG8"/>
        <s v="OCLKD001 MES84"/>
        <s v="OBAGPA10 ECS35"/>
        <s v="ACCEP014 ECS35"/>
        <s v="SHOUG617 ECS00"/>
        <s v="OBAGB001 EVS00"/>
        <s v="OBAGB009 EVS00"/>
        <s v="OBAGB010 EVS00"/>
        <s v="OBAGB206 EVS00"/>
        <s v="OBAGB016 EVS00"/>
        <s v="OBAGB002 EVS00"/>
        <s v="OBAGS121 TES01"/>
        <s v="OBAGB021 EVS03"/>
        <s v="OCLKE013 MAS00"/>
        <s v="ACCEF001 TESF4"/>
        <s v="SHOUGG00 TESI1"/>
        <s v="ACCEC002 ECS03"/>
        <s v="OBAGB426 MAS09"/>
        <s v="HLESZ817 TESI4"/>
        <s v="OBAGS002 TESG2"/>
        <s v="OBAGS010 TESG2"/>
        <s v="OBAGS018 TESG2"/>
        <s v="OBAGS009 TES01"/>
        <s v="OBAGS016 TES01"/>
        <s v="HLESAE00 ECS00"/>
        <s v="OBAGA000 ECS40"/>
        <s v="OHUGB002 EVS06"/>
        <s v="OBAGB019 EVS00"/>
        <s v="OBAGB017 EVS00"/>
        <s v="OBAGB018 EVS03"/>
        <s v="OCLKSB01 INS00"/>
        <s v="OBAGS017 TESE3"/>
        <s v="OBAGT002 TESG3"/>
        <s v="OBAGS002 TESH2"/>
        <s v="OBAGPA06 TESE3"/>
        <s v="OBAGS001 TESG3"/>
        <s v="OBAGT001 TESE3"/>
        <s v="OBAGT002 TESH1"/>
        <s v="OBAGS002 TESH1"/>
        <s v="OBAGS010 TESG5"/>
        <s v="OBAGS018 TESF9"/>
        <s v="OBAGS121 TESF9"/>
        <s v="OBAGB426 TESG6"/>
        <s v="OBAGS118 TESE6"/>
        <s v="OBAGT002 TESE3"/>
        <s v="ACCEO001 TES23"/>
        <s v="HLESD200 ROS05"/>
        <s v="SHOUGH00 TESI7"/>
        <s v="SHOUWA00 ECS55"/>
        <s v="SHOUWA00 ECS66"/>
        <s v="OBAGS002 TES01"/>
        <s v="OBAGS002 TESE6"/>
        <s v="OBAGB002 EVS18"/>
        <s v="HLESAD00 ECS00"/>
        <s v="OBAGS016 TES26"/>
        <s v="OBAGPA24 TESE8"/>
        <s v="OBAGA000 ECS42"/>
        <s v="OCLKD001 MES86"/>
        <s v="OCLKD104 MES90"/>
        <s v="OCLKD104 MES92"/>
        <s v="OBAGS001 TESG2"/>
        <s v="OBAGB016 EVS19"/>
        <s v="OBAGP006 ECS54"/>
        <s v="OCLKD001 MES82"/>
        <s v="OBAGS016 TESH1"/>
        <s v="OBAGS016 TESF8"/>
        <s v="SHOUC106 ECS16"/>
        <s v="OBAGS121 TES13"/>
        <s v="OBAGT001 TESE8"/>
        <s v="OBAGP106 TESG5"/>
        <s v="HLESG000 ROS04"/>
        <s v="OBAGS002 TESE5"/>
        <s v="OBAGP106 ECS55"/>
        <s v="OBAGS016 TESE6"/>
        <s v="OBAGP006 TESE8"/>
        <s v="OHUGI002 ECS36"/>
        <s v="ACCEF001 TESF6"/>
        <s v="OCLKD001 MES80"/>
        <s v="SHOUWA00 ECS54"/>
        <s v="OHUGI002 ECS69"/>
        <s v="OBAGS019 TES26"/>
        <s v="SHOUA306 ECS42"/>
        <s v="OBAGP106 ECS52"/>
        <s v="OBAGPA24 TESF4"/>
        <s v="HLESZ817 TESH8"/>
        <s v="OBAGT001 TESF7"/>
        <s v="OBAGS017 TESE6"/>
        <s v="SHOUGG00 TESI2"/>
        <s v="OBAGS002 TESG9"/>
        <s v="SHOUWA00 TESE5"/>
        <s v="OBAGS001 TESE6"/>
        <s v="OBAGB426 TESF9"/>
        <s v="OBAGS102 TESG6"/>
        <s v="OCLKD001 MES87"/>
        <s v="OCLKD001 MES88"/>
        <s v="OBAGP006 TESF5"/>
        <s v="OBAGP006 TESF6"/>
        <s v="OBAGP006 TESF8"/>
        <s v="OBAGPA24 TESF6"/>
        <s v="OBAGB009 EVS15"/>
        <s v="OBAGP006 TESH2"/>
        <s v="OCLKD101 MES85"/>
        <s v="OBAGS017 TESH2"/>
        <s v="OBAGP006 TESF2"/>
        <s v="SHOUGH00 TESI4"/>
        <s v="OBAGS121 TESF7"/>
        <s v="OBAGT001 TESF9"/>
        <s v="OBAGP006 TESF4"/>
        <s v="OBAGP106 TES13"/>
        <s v="OBAGS001 TESF9"/>
        <s v="HLESGC00 ECS54"/>
        <s v="OBAGT001 TESG8"/>
        <s v="OBAGT002 TESG8"/>
        <s v="OBAGT002 TESE8"/>
        <s v="OBAGB001 EVS17"/>
        <s v="OBAGS018 TESE6"/>
        <s v="OBAGS002 TESE7"/>
        <s v="OCLKD101 MES91"/>
        <s v="ACCEF001 TESF5"/>
        <s v="OBAGB426 ECS67"/>
        <s v="OBAGPA24 ECS53"/>
        <s v="OBAGS009 TESG9"/>
        <s v="OBAGT002 TESF7"/>
        <s v="OBAGS102 TESG7"/>
        <s v="OBAGS016 TESG9"/>
        <s v="OBAGS017 TESG3"/>
        <s v="OBAGT001 TESH1"/>
        <s v="OBAGS002 TESF8"/>
        <s v="OBAGPA24 TESF5"/>
        <s v="OCLKD001 MES83"/>
        <s v="OBAGS017 TES26"/>
        <s v="OBAGS010 TESF3"/>
        <s v="OBAGS018 TES26"/>
        <s v="OBAGS001 TESE7"/>
        <s v="HLESX600 ECS00"/>
        <s v="OBAGS010 TESE7"/>
        <s v="OBAGPA24 TESG8"/>
        <s v="HLESGC00 ROS04"/>
        <s v="OBAGS001 TESE5"/>
        <s v="HLESZ817 TESI5"/>
        <s v="OBAGT001 TESF8"/>
        <s v="OBAGB426 TESG7"/>
        <s v="OBAGS010 TESE3"/>
        <s v="OBAGS002 TESF9"/>
        <s v="OBAGB426 TESF7"/>
        <s v="OBAGS001 TESH1"/>
        <s v="OBAGS017 TESH1"/>
        <s v="OBAGP006 TESG8"/>
        <s v="OBAGS001 TESG9"/>
        <s v="SHOUBG00 MAS10"/>
        <m u="1"/>
        <s v="OBAGS010 TESH1" u="1"/>
      </sharedItems>
    </cacheField>
    <cacheField name="Code" numFmtId="0">
      <sharedItems containsSemiMixedTypes="0" containsString="0" containsNumber="1" containsInteger="1" minValue="8" maxValue="500"/>
    </cacheField>
    <cacheField name="Couleur" numFmtId="0">
      <sharedItems containsBlank="1" count="55">
        <s v="[26]"/>
        <s v="[76]"/>
        <s v="[347]"/>
        <s v="[470]"/>
        <s v="SANGRIA"/>
        <s v="WHITE"/>
        <s v="[36]"/>
        <s v="[479]"/>
        <s v="[481]"/>
        <s v="NAVY BLUE"/>
        <s v="GOLD"/>
        <s v="[75]"/>
        <s v="[130]"/>
        <s v="MILK"/>
        <s v="BLACK"/>
        <s v="VOLCANO"/>
        <s v="SAND"/>
        <s v="LIGHT GREY"/>
        <s v="[483]"/>
        <s v="[486]"/>
        <s v="[473]"/>
        <s v="[227]"/>
        <s v="[89]"/>
        <s v="[241]"/>
        <s v="[471]"/>
        <s v="[480]"/>
        <s v="[476]"/>
        <s v="[254]"/>
        <s v="[408]"/>
        <s v="[9]"/>
        <s v="[489]"/>
        <s v="[482]"/>
        <s v="[475]"/>
        <s v="[497]"/>
        <s v="[485]"/>
        <s v="ROCK"/>
        <s v="[221]"/>
        <s v="[472]"/>
        <s v="[500]"/>
        <s v="[498]"/>
        <s v="[499]"/>
        <s v="[474]"/>
        <s v="[484]"/>
        <s v="[125]"/>
        <s v="[54]"/>
        <s v="[441]"/>
        <s v="[72]"/>
        <s v="[487]"/>
        <s v="[478]"/>
        <s v="[38]"/>
        <s v="[63]"/>
        <s v="[25]"/>
        <s v="[134]"/>
        <s v="[488]"/>
        <m u="1"/>
      </sharedItems>
    </cacheField>
    <cacheField name="Decription" numFmtId="164">
      <sharedItems containsBlank="1" count="165">
        <s v="POCHETTE INTÉRIEURE FERMETURE ÉCLAIR O BAG EN TISSU CANVAS"/>
        <s v="MICRO-ANSES TUBULAIRES COURTES EN FAUX CUIR LISSE"/>
        <s v="CORPS O POCKET MICRO EVA COMPOUND"/>
        <s v="BANDOULIÈRE 80/120 + GOUTTE TROUÉE TISSU RUBAN TECHNIQUE"/>
        <s v="BANDOULIÈRE COURTE NEW GOUTTE TROUÉE EN FAUX CUIR CLOUS PYRAMIDES"/>
        <s v="POCHETTE INTÉRIEURE FERMETURE ÉCLAIR O CITY EN TISSU CANVAS"/>
        <s v="RABAT TOURNIQUET O POCKET EN TISSU + FAUX CUIR NYC À RAYURES"/>
        <s v="BANDOULIÈRE AVEC TRESSAGE + CLIP EN FAUX CUIR BASIC"/>
        <s v="ACCESSOIRES CHARMS POMPON EN FAUX CUIR PLEX + CLOUS"/>
        <s v="ANSES LONGUES ADAPTABLES EN FAUX CUIR BASIC"/>
        <s v="BANDOULIÈRE /BRETELLE SLIM 140 EN FAUX CUIR BASIC"/>
        <s v="POCHETTE INTÉRIEURE FERMETURE ÉCLAIR O CITY EN TISSU DEAUVILLE À RAYURES LARGES"/>
        <s v="O CLOCK MÉCANISME DEAUVILLE LINES"/>
        <s v="O HUG INTÉRIEUR PORTEFEUILLE FEMME EN FAUX CUIR AVEC BRISÉ"/>
        <s v="POCHETTE INTÉRIEURE À COULISSE O SWING EN TISSU MÉTALLISÉ FLOWER BRODERIE ANGLAISE"/>
        <s v="O CLOCK MÉCANISME URBAN DECOR PETALS"/>
        <s v="RABAT TOURNIQUET O CITY EN FAUX CUIR BASIC"/>
        <s v="ACCESSOIRES POCHETTE FILET EN FAUX CUIR BASIC"/>
        <s v="LONGUE BANDOULIÈRE AVEC BOUCLE O MOON EN FAUX CUIR"/>
        <s v="CORPS O BAG EVA COMPOUND"/>
        <s v="CORPS O BAG 50 EVA COMPOUND"/>
        <s v="CORPS O CITY EVA COMPOUND"/>
        <s v="CORPS INFÉRIEUR O POCKET EVA COMPOUND"/>
        <s v="CORPS O MOON EVA COMPOUND"/>
        <s v="CORPS O BAG MINI EVA COMPOUND"/>
        <s v="POCHETTE INTÉRIEURE À COULISSE O SWING EN TISSU CANVAS"/>
        <s v="CORPS O SWING EVA COMPOUND EFFET OSIER"/>
        <s v="O CLOCK SHIFT CASE CLASSIC SLIM EN PLASTIQUE"/>
        <s v="BANDEAU BRACELET FOULARD TISSU LUXURY CÔTELÉ"/>
        <s v="BANDOULIÈRE 80/120 + CLIP EN TISSU RUBAN NEW YORK"/>
        <s v="ACCESSOIRES CHARMS POMPON EN FAUX CUIR SUÈDE"/>
        <s v="CORPS COMPLET O BAG TOTE EN NYLON + PVC"/>
        <s v="ANSES SPORTY + BRETELLE O SQUARE TISSU RUBAN MARINA BICOLORE"/>
        <s v="POCHETTE INTÉRIEURE FERMETURE ÉCLAIR O BAG MINI EN TISSU CANVAS + RUBAN"/>
        <s v="POCHETTE INTÉRIEURE FERMETURE ÉCLAIR O CITY EN TISSU CANVAS + RUBAN"/>
        <s v="POCHETTE INTÉRIEURE FERMETURE ÉCLAIR O BAG BEACH MINI EN TISSU CANVAS + RUBAN"/>
        <s v="POCHETTE INTÉRIEURE FERMETURE ÉCLAIR O BAG 50 EN TISSU CANVAS"/>
        <s v="POCHETTE INTÉRIEURE FERMETURE ÉCLAIR O MOON EN TISSU CANVAS"/>
        <s v="ANSES COURTES CHAÎNE AVEC TRESSAGE EN FAUX CUIR"/>
        <s v="ACCESSOIRE CLIP EN FAUX CUIR OPAQUE + OR"/>
        <s v="O HUG CORPS PORTEFEUILLE FEMME EVA COMPOUND TEXTURE GRECQUE"/>
        <s v="CORPS O SQUARE EVA COMPOUND"/>
        <s v="CORPS O MOON LIGHT EVA COMPOUND"/>
        <s v="CORPS O BAG BEACH MINI EVA COMPOUND EFFET OSIER"/>
        <s v="O CLOCK SHIFT BRACELET BAND EN MATÉRIAU INJECTÉ"/>
        <s v="POCHETTE INTÉRIEURE FERMETURE ÉCLAIR O MOON LIGHT EN TISSU NYC VICHY"/>
        <s v="REVERS O BAG MINI EN TISSU DEAUVILLE À RAYURES SERRÉES"/>
        <s v="POCHETTE INTÉRIEURE FERMETURE ÉCLAIR O BAG MINI EN COTON MOTIF PAPILLONS"/>
        <s v="RABAT TOURNIQUET O POCKET EN TISSU NYC VICHY"/>
        <s v="POCHETTE INTÉRIEURE FERMETURE ÉCLAIR O BAG EN TISSU DEAUVILLE À RAYURES SERRÉES"/>
        <s v="REVERS O BAG EN TISSU NYC VICHY"/>
        <s v="REVERS O BAG MINI EN TISSU BOUCLÉ DÉCOR"/>
        <s v="POCHETTE INTÉRIEURE FERMETURE ÉCLAIR O BAG MINI EN TISSU BOUCLÉ DÉCOR"/>
        <s v="POCHETTE INTÉRIEURE FERMETURE ÉCLAIR O CITY EN TISSU CANVAS DÉTAIL RUBAN À RAYURES"/>
        <s v="POCHETTE INTÉRIEURE FERMETURE ÉCLAIR O BAG BEACH MINI EN TISSU DEAUVILLE À RAYURES NUANC"/>
        <s v="POCHETTE INTÉRIEURE À COULISSE O SWING EN TISSU DEAUVILLE À RAYURES NUANCÉES"/>
        <s v="CORPS COMPLET O BAG TOTE EN NYLON À RAYURES"/>
        <s v="POCHETTE INTÉRIEURE À COULISSE O BAG BEACH MINI EN TISSU NYC À RAYURES BICOLORE"/>
        <s v="REVERS O BAG MINI EN TISSU NYC VICHY"/>
        <s v="ACCESSOIRES PENDENTIF POMPON EN RAPHIA TISSÉ"/>
        <s v="ANSES LONGUES ADAPTABLES GOUTTE EN CORDE + GOUTTE TISSU CAOUTCHOUTÉ"/>
        <s v="BANDOULIÈRE 80/120 + GOUTTE TROUÉE TISSU RUBAN METAL DECOR"/>
        <s v="BANDOULIÈRE COURTE NEW GOUTTE TROUÉE (80 CM) EN FAUX CUIR BASIC + FLEURS PVC"/>
        <s v="BANDOULIÈRE 80 + GOUTTE TROUÉE EN FAUX CUIR + TISSU DEAUVILLE À RAYURES EFFET FLAMMÉ"/>
        <s v="POCHETTE INTÉRIEURE FERMETURE ÉCLAIR O BAG MINI EN TISSU CANVAS"/>
        <s v="POCHETTE INTÉRIEURE FERMETURE ÉCLAIR O BAG MINI EN TISSU NYC À RAYURES BICOLORE"/>
        <s v="CORPS O BAG MINI EVA COMPOUND TEXTURE À CHEVRONS"/>
        <s v="ANSES TUBULAIRES EN FAUX CUIR"/>
        <s v="POCHETTE INTÉRIEURE FERMETURE ÉCLAIR O MOON EN TISSU CORDURA"/>
        <s v="RABAT TOURNIQUET O POCKET EN MICRO TISSU NYC FANTAISIE GÉOMÉTRIQUE"/>
        <s v="ACCESSOIRE CLIP EN FAUX CUIR OPAQUE + ARGENT"/>
        <s v="O CLOCK MÉCANISME NYC LINES"/>
        <s v="MÉCANISME GREAT DATE NYC TIMES SQUARE"/>
        <s v="MÉCANISME GREAT DATE SATIN"/>
        <s v="POCHETTE INTÉRIEURE FERMETURE ÉCLAIR O BAG EN TISSU CANVAS + RUBAN"/>
        <s v="CORPS O MOON EVA COMPOUND TEXTURE URBAN FRAME"/>
        <s v="RABAT O POCKET EN FAUX CUIR CLOUS ÉMAILLÉS"/>
        <s v="O CLOCK MÉCANISME URBAN DECOR FLOWERS"/>
        <s v="POCHETTE INTÉRIEURE FERMETURE ÉCLAIR O MOON EN TISSU BOUCLÉ DÉCOR"/>
        <s v="POCHETTE INTÉRIEURE FERMETURE ÉCLAIR O MOON EN TISSU DEAUVILLE À RAYURES LARGES"/>
        <s v="LONGUE BANDOULIÈRE CHAÎNE AVEC BANDEAU O POCKET EN FAUX CUIR MÉTALLISÉ"/>
        <s v="POCHETTE INTÉRIEURE À COULISSE O SWING EN TISSU DENIM"/>
        <s v="REVERS O BAG EN TISSU NYC FANTAISIE GÉOMÉTRIQUE"/>
        <s v="RABAT AVEC BANDEAU O POCKET TISSU CANVAS DÉTAIL RUBAN À RAYURES"/>
        <s v="ANSES LONGUES EN CORDE TRICOLORE"/>
        <s v="POCHETTE INTÉRIEURE FERMETURE ÉCLAIR O BAG MINI EN TISSU NYC LOSANGES"/>
        <s v="RABAT AVEC BANDEAU O POCKET EN FAUX CUIR BASIC + FLEURS PVC"/>
        <s v="POCHETTE INTÉRIEURE FERMETURE ÉCLAIR O MOON EN TISSU NYC À RAYURES BICOLORE"/>
        <s v="RABAT O POCKET EN TISSU NYC FANTAISIE GÉOMÉTRIQUE"/>
        <s v="O HUG INTÉRIEUR PORTEFEUILLE FEMME EN FAUX CUIR À RAYURES"/>
        <s v="BANDEAU BRACELET FOULARD TISSU LUXURY STRIPES"/>
        <s v="O CLOCK MÉCANISME DEAUVILLE LINES + FLOWERS"/>
        <s v="BANDOULIÈRE COURTE NEW GOUTTE TROUÉE EN FAUX CUIR CLOUS ÉMAILLÉS"/>
        <s v="O HUG INTÉRIEUR PORTEFEUILLE FEMME EN FAUX CUIR + FANTAISIE À FLEURS SUR RAYURES"/>
        <s v="POCHETTE INTÉRIEURE FERMETURE ÉCLAIR O SQUARE EN TISSU CORDURA"/>
        <s v="RABAT AVEC BANDEAU O POCKET EN FAUX CUIR RUBAN LIVRE BICOLORE"/>
        <s v="RABAT TOURNIQUET O POCKET EN MICRO TISSU LUXURY CÔTELÉ"/>
        <s v="ANSES + BRETELLE COURTE GOUTTE O SQUARE EN TISSU CAOUTCHOUTÉ RUBAN À RAYURES TECHNIQU"/>
        <s v="REVERS O BAG EN TISSU DEAUVILLE À RAYURES EFFET FLAMMÉ"/>
        <s v="POCHETTE INTÉRIEURE FERMETURE ÉCLAIR O MOON LIGHT EN TISSU NYC À RAYURES BICOLORE"/>
        <s v="BANDOULIÈRE 80/120 + CLIP EN TISSU RUBAN NEW YORK À CHEVRONS"/>
        <s v="POCHETTE INTÉRIEURE FERMETURE ÉCLAIR O BAG MINI EN TISSU FANTAISIE COQUELICOTS SUR RAYUR"/>
        <s v="BANDOULIÈRE COURTE NEW GOUTTE TROUÉE EN TISSU NYC LOSANGES"/>
        <s v="POCHETTE INTÉRIEURE FERMETURE ÉCLAIR O BAG EN TISSU NYC À RAYURES BICOLORE"/>
        <s v="CORPS COMPLET O BAG TOTE EN TISSU DEAUVILLE À RAYURES NUANCÉES"/>
        <s v="POCHETTE INTÉRIEURE À COULISSE O BAG MINI EN NYLON À RAYURES"/>
        <s v="O CLOCK MÉCANISME NYC FLOWER"/>
        <s v="O CLOCK MÉCANISME NYC JUNGLE"/>
        <s v="RABAT O POCKET EN TISSU LUXURY DRIPPING"/>
        <s v="RABAT O POCKET EN TISSU LUXURY STRIPES"/>
        <s v="RABAT O POCKET EN TISSU DEAUVILLE À RAYURES LARGES"/>
        <s v="RABAT TOURNIQUET O POCKET EN MICRO TISSU LUXURY STRIPES"/>
        <s v="CORPS O BAG 50 EVA COMPOUND AVEC APPLICATIONS FLEURS"/>
        <s v="RABAT O POCKET EN COTON MOTIF PAPILLONS"/>
        <s v="MÉCANISME GREAT URBAN DECOR DIAMONDS"/>
        <s v="POCHETTE INTÉRIEURE FERMETURE ÉCLAIR O MOON LIGHT EN COTON MOTIF PAPILLONS"/>
        <s v="RABAT O POCKET EN NYLON À RAYURES + PVC"/>
        <s v="BANDOULIÈRE 80/120 + GOUTTE TROUÉE TISSU RUBAN MARINA BICOLORE"/>
        <s v="POCHETTE INTÉRIEURE À COULISSE O SWING EN TISSU DEAUVILLE À RAYURES EFFET FLAMMÉ"/>
        <s v="REVERS O BAG EN TISSU DEAUVILLE À RAYURES NUANCÉES"/>
        <s v="RABAT O POCKET EN TISSU LUXURY CÔTELÉ"/>
        <s v="RABAT AVEC BANDEAU O POCKET TISSU DENIM"/>
        <s v="POCHETTE INTÉRIEURE FERMETURE ÉCLAIR O BAG EN TISSU DEAUVILLE À RAYURES NUANCÉES"/>
        <s v="ANSES COURTES EN FAUX CUIR CLOUS ÉMAILLÉS"/>
        <s v="REVERS O BAG EN TISSU FLOWER BRODERIE ANGLAISE MÉTALLISÉE"/>
        <s v="REVERS O BAG MINI EN TISSU MÉTALLISÉ FLOWER BRODERIE ANGLAISE"/>
        <s v="REVERS O BAG MINI EN TISSU NYC FANTAISIE GÉOMÉTRIQUE"/>
        <s v="CORPS O BAG EVA COMPOUND + CLOUS PYRAMIDES"/>
        <s v="POCHETTE INTÉRIEURE FERMETURE ÉCLAIR O BAG BEACH MINI EN TISSU NYC À RAYURES BICOLORE"/>
        <s v="POCHETTE INTÉRIEURE FERMETURE ÉCLAIR O BAG MINI EN TOILE NYLON + RUBAN LIVRE BICOLORE"/>
        <s v="MÉCANISME GREAT NYC LATITUD"/>
        <s v="BANDEAU BRACELET FOULARD TISSU LUXURY DRIPPING"/>
        <s v="CORPS COMPLET O BAG TOTE EN FAUX CUIR SOFT TOUCH"/>
        <s v="RABAT TOURNIQUET O POCKET EN MICRO EN FAUX CUIR MÉTALLISÉ + FLEURS PVC OPAQUE"/>
        <s v="POCHETTE INTÉRIEURE FERMETURE ÉCLAIR O BAG 50 EN TISSU FANTAISIE COQUELICOTS SUR RAYURES"/>
        <s v="REVERS O BAG MINI EN TISSU DEAUVILLE À RAYURES EFFET FLAMMÉ"/>
        <s v="POCHETTE INTÉRIEURE À COULISSE O BAG MINI EN NYLON COULEUR UNIE"/>
        <s v="POCHETTE INTÉRIEURE FERMETURE ÉCLAIR O MOON EN TISSU FANTAISIE COQUELICOTS SUR RAYURES"/>
        <s v="POCHETTE INTÉRIEURE FERMETURE ÉCLAIR O MOON LIGHT EN TISSU DEAUVILLE À RAYURES SERRÉES"/>
        <s v="REVERS O BAG EN TISSU BOUCLÉ DÉCOR"/>
        <s v="POCHETTE INTÉRIEURE FERMETURE ÉCLAIR O BAG MINI EN TISSU DEAUVILLE À RAYURES LARGES"/>
        <s v="RABAT TOURNIQUET O POCKET EN MICRO TISSU LUXURY DRIPPING"/>
        <s v="O CLOCK MÉCANISME URBAN DECOR MEADOWS"/>
        <s v="POCHETTE INTÉRIEURE FERMETURE ÉCLAIR O MOON LIGHT EN TISSU CORDURA"/>
        <s v="POCHETTE INTÉRIEURE FERMETURE ÉCLAIR O CITY EN NYLON À RAYURES"/>
        <s v="POCHETTE INTÉRIEURE FERMETURE ÉCLAIR O BAG BEACH MINI EN TISSU CORDURA"/>
        <s v="POCHETTE INTÉRIEURE FERMETURE ÉCLAIR O BAG EN TOILE NYLON + RUBAN LIVRE BICOLORE"/>
        <s v="ANSES COURTES EXTRASLIM GOUTTE AVEC DEMI-ANNEAU EN FAUX CUIR"/>
        <s v="POCHETTE INTÉRIEURE FERMETURE ÉCLAIR O CITY EN TOILE NYLON + RUBAN LIVRE BICOLORE"/>
        <s v="RABAT TOURNIQUET O POCKET EN MICRO TISSU MÉTALLISÉ FLOWER BRODERIE ANGLAISE"/>
        <s v="ANSES COURTES EN CORDE TRICOLORE"/>
        <s v="POCHETTE INTÉRIEURE FERMETURE ÉCLAIR O BAG EN TISSU NYC LOSANGES"/>
        <s v="ANSES SPORTY + BRETELLE O SQUARE TISSU RUBAN YACHT"/>
        <s v="REVERS O BAG EN TISSU DEAUVILLE À RAYURES LARGES"/>
        <s v="CORPS COMPLET O BAG TOTE EN NYLON COULEUR UNIE"/>
        <s v="POCHETTE INTÉRIEURE FERMETURE ÉCLAIR O CITY EN TISSU NYC VICHY"/>
        <s v="POCHETTE INTÉRIEURE FERMETURE ÉCLAIR O BAG MINI EN TISSU DEAUVILLE À RAYURES NUANCÉES"/>
        <s v="CORPS COMPLET O BAG TOTE EN TISSU DEAUVILLE À RAYURES EFFET FLAMMÉ"/>
        <s v="POCHETTE INTÉRIEURE FERMETURE ÉCLAIR O BAG EN TISSU BOUCLÉ DÉCOR"/>
        <s v="POCHETTE INTÉRIEURE FERMETURE ÉCLAIR O MOON LIGHT EN TISSU BOUCLÉ DÉCOR"/>
        <s v="RABAT O POCKET EN TISSU MÉTALLISÉ FLOWER BRODERIE ANGLAISE"/>
        <s v="POCHETTE INTÉRIEURE FERMETURE ÉCLAIR O BAG EN TISSU FANTAISIE COQUELICOTS SUR RAYURES"/>
        <s v="BANDOULIÈRE /BRETELLE SLIM 140 EN PVC"/>
        <m u="1"/>
        <s v="POCHETTE INTÉRIEURE FERMETURE ÉCLAIR O CITY EN TISSU BOUCLÉ DÉCOR" u="1"/>
      </sharedItems>
    </cacheField>
    <cacheField name="Qté" numFmtId="0">
      <sharedItems containsSemiMixedTypes="0" containsString="0" containsNumber="1" containsInteger="1" minValue="1" maxValue="18"/>
    </cacheField>
    <cacheField name="Prix U" numFmtId="0">
      <sharedItems containsMixedTypes="1" containsNumber="1" containsInteger="1" minValue="3" maxValue="33"/>
    </cacheField>
    <cacheField name="Prix T" numFmtId="0">
      <sharedItems containsMixedTypes="1" containsNumber="1" containsInteger="1" minValue="18" maxValue="99"/>
    </cacheField>
    <cacheField name="Prix T2" numFmtId="0">
      <sharedItems containsSemiMixedTypes="0" containsString="0" containsNumber="1" minValue="4.8" maxValue="226.79999999999998"/>
    </cacheField>
    <cacheField name="Check" numFmtId="0">
      <sharedItems/>
    </cacheField>
    <cacheField name="Vide" numFmtId="0">
      <sharedItems containsNonDate="0" containsString="0" containsBlank="1"/>
    </cacheField>
    <cacheField name="Catalogue" numFmtId="0">
      <sharedItems containsMixedTypes="1" containsNumber="1" containsInteger="1" minValue="0" maxValue="0" count="6">
        <e v="#N/A"/>
        <s v="Spring 2018"/>
        <s v="Spring 2018 .continuativo"/>
        <s v="WINTER 2017 COLLECTION"/>
        <s v="Fall 2018 continuativo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Jean Lestang" refreshedDate="43148.851978472223" createdVersion="4" refreshedVersion="4" minRefreshableVersion="3" recordCount="379">
  <cacheSource type="worksheet">
    <worksheetSource ref="D6:J10000" sheet="Codes Barre"/>
  </cacheSource>
  <cacheFields count="7">
    <cacheField name="Code complet" numFmtId="0">
      <sharedItems containsBlank="1" count="446">
        <s v="OBAGB016 EVS19 483"/>
        <s v="OBAGB426 ECS67 479"/>
        <s v="OBAGS121 TESG8 061"/>
        <s v="OCLKD001 MES82 025"/>
        <s v="OCLKD001 MES82 130"/>
        <s v="OCLKD001 MES84 130"/>
        <s v="OBAGB002 EVS00 485"/>
        <s v="OBAGB009 EVS00 071"/>
        <s v="OBAGB002 EVS00 071"/>
        <s v="OBAGB002 EVS00 133"/>
        <s v="OBAGB001 EVS00 076"/>
        <s v="OBAGB010 EVS00 078"/>
        <s v="OBAGB206 EVS00 017"/>
        <s v="OBAGB206 EVS00 076"/>
        <s v="OBAGS002 TES01 026"/>
        <s v="OBAGB016 EVS00 076"/>
        <s v="OBAGB009 EVS00 422"/>
        <s v="OBAGB017 EVS00 347"/>
        <s v="OBAGB017 EVS00 075"/>
        <s v="OCLKSB01 INS00 422"/>
        <s v="ACCEC002 ECS03 075"/>
        <s v="HLESD000 ECS35 055"/>
        <s v="OBAGS010 TESF3 227"/>
        <s v="OBAGT002 TESG3 480"/>
        <s v="ACCEC002 ECS03 371"/>
        <s v="ACCEP014 ECS35 055"/>
        <s v="SHOUCF00 ECS35 076"/>
        <s v="HLESAD00 ECS00 055"/>
        <s v="OBAGT002 TESH1 008"/>
        <s v="OBAGS001 TES01 076"/>
        <s v="OBAGS002 TESH1 008"/>
        <s v="ACCEC002 ECS65 055"/>
        <s v="HLESGC00 ECS54 075"/>
        <s v="HLESGC00 ROS04 475"/>
        <s v="OBAGT002 TESG3 481"/>
        <s v="HLESD000 ECS35 036"/>
        <s v="HLESD000 ECS35 371"/>
        <s v="OBAGS002 TES01 347"/>
        <s v="OBAGS001 TES01 130"/>
        <s v="OBAGS016 TESE6 055"/>
        <s v="HLESAD00 ECS00 017"/>
        <s v="HLESAD00 ECS00 036"/>
        <s v="OBAGS017 TESE6 055"/>
        <s v="SHOUCF00 ECS35 008"/>
        <s v="ACCEP014 ECS35 026"/>
        <s v="OBAGS002 TESG2 017"/>
        <s v="OBAGP106 ECS55 479"/>
        <s v="OBAGB016 EVS00 026"/>
        <s v="OCLKE013 MAS00 008"/>
        <s v="OCLKE013 MAS00 055"/>
        <s v="OCLKE013 MAS00 063"/>
        <s v="OCLKE013 MAS00 036"/>
        <s v="OCLKSB01 INS00 036"/>
        <s v="ACCEC002 ECS03 055"/>
        <s v="OBAGS002 TESG2 130"/>
        <s v="OBAGS010 TES01 076"/>
        <s v="OBAGS016 TESE6 076"/>
        <s v="HLESMD00 ECS46 017"/>
        <s v="HLESMD00 ECS46 479"/>
        <s v="SHOUWA00 ECS51 055"/>
        <s v="OBAGS001 TESH1 008"/>
        <s v="OBAGT002 TESE3 227"/>
        <s v="OBAGP006 ECS54 072"/>
        <s v="OBAGP006 TESG8 061"/>
        <s v="OBAGPA24 TESG8 061"/>
        <s v="OBAGB024 EVS00 055"/>
        <s v="OBAGB017 EVS00 479"/>
        <s v="OBAGT001 TESG8 061"/>
        <s v="OBAGT002 TESE8 227"/>
        <s v="OBAGS001 TES01 347"/>
        <s v="OBAGB002 EVS18 371"/>
        <s v="OBAGS102 TESG6 408"/>
        <s v="OBAGB002 EVS18 347"/>
        <s v="OBAGB024 EVS00 347"/>
        <s v="OBAGS016 TES01 347"/>
        <s v="OCLKD001 MES88 076"/>
        <s v="OCLKD101 MES91 487"/>
        <s v="OCLKD104 MES90 008"/>
        <s v="OBAGB024 EVS00 026"/>
        <s v="SHOUBG00 ECS35 479"/>
        <s v="OBAGS009 TES01 026"/>
        <s v="ACCEO001 TES23 036"/>
        <s v="ACCEO001 TES23 076"/>
        <s v="OBAGB016 EVS19 479"/>
        <s v="OBAGP006 ECS54 130"/>
        <s v="OBAGPA24 ECS53 061"/>
        <s v="SHOUWA00 ECS54 479"/>
        <s v="HLESMD00 ECS46 072"/>
        <s v="HLESMD00 ECS46 483"/>
        <s v="OBAGA000 ECS40 483"/>
        <s v="OBAGB001 EVS00 078"/>
        <s v="OBAGB001 EVS00 017"/>
        <s v="OBAGB016 EVS00 071"/>
        <s v="OBAGS017 TES26 078"/>
        <s v="OBAGB010 EVS00 076"/>
        <s v="OBAGB009 EVS00 075"/>
        <s v="OBAGB206 EVS00 071"/>
        <s v="OBAGB010 EVS00 371"/>
        <s v="OBAGB009 EVS00 371"/>
        <s v="OBAGB016 EVS00 347"/>
        <s v="OBAGB017 EVS00 026"/>
        <s v="OBAGB001 EVS00 479"/>
        <s v="OCLKSB01 INS00 008"/>
        <s v="OBAGS017 TESH2 036"/>
        <s v="OBAGT001 TESF8 480"/>
        <s v="OBAGB001 EVS00 484"/>
        <s v="OBAGP006 TESF2 055"/>
        <s v="OBAGS002 TESF9 254"/>
        <s v="OBAGS009 TESG9 125"/>
        <s v="ACCEC002 ECS03 036"/>
        <s v="HLESAE00 ECS00 075"/>
        <s v="OBAGB017 EVS00 017"/>
        <s v="OBAGB017 EVS00 071"/>
        <s v="HLESMD00 ECS46 055"/>
        <s v="OBAGB010 EVS00 422"/>
        <s v="OBAGS016 TES26 055"/>
        <s v="OBAGS017 TES26 055"/>
        <s v="OBAGB009 EVS00 026"/>
        <s v="OBAGB016 EVS00 075"/>
        <s v="OBAGB001 EVS00 026"/>
        <s v="OCLKSB01 INS00 060"/>
        <s v="OBAGB426 TESG7 017"/>
        <s v="OBAGS009 TES01 076"/>
        <s v="ACCEC002 ECS03 089"/>
        <s v="HLESAD00 ECS00 076"/>
        <s v="HLESX600 ECS00 055"/>
        <s v="OBAGB426 TESG6 408"/>
        <s v="OBAGPA24 ECS53 072"/>
        <s v="OBAGS002 TES01 076"/>
        <s v="ACCEO001 TES23 009"/>
        <s v="SHOUGH00 TESI7 482"/>
        <s v="OBAGB002 EVS18 055"/>
        <s v="OBAGB024 EVS00 075"/>
        <s v="OBAGS001 TESE5 036"/>
        <s v="OBAGS002 TES01 422"/>
        <s v="HLESD200 ROS05 008"/>
        <s v="OBAGS002 TES01 075"/>
        <s v="OBAGB426 TESF9 009"/>
        <s v="HLESMD00 ECS46 076"/>
        <s v="ACCEC002 ECS65 076"/>
        <s v="HLESAD00 ECS00 371"/>
        <s v="OBAGS016 TES01 422"/>
        <s v="OBAGS016 TES26 008"/>
        <s v="OBAGPA06 TESF1 036"/>
        <s v="OCLKD104 MES92 497"/>
        <s v="OBAGB024 EVS00 479"/>
        <s v="OBAGS017 TESG3 481"/>
        <s v="OBAGPA24 TESF6 474"/>
        <s v="OBAGA000 ECS42 479"/>
        <s v="OBAGB009 EVS15 075"/>
        <s v="OBAGS009 TES01 075"/>
        <s v="OBAGS009 TES01 422"/>
        <s v="OBAGS010 TES01 422"/>
        <s v="SHOUBG00 ECS35 055"/>
        <s v="SHOUG617 ECS00 055"/>
        <s v="OBAGS016 TES26 078"/>
        <s v="OBAGB206 EVS00 133"/>
        <s v="HLESMD00 ECS46 221"/>
        <s v="SHOUGH00 TESI3 470"/>
        <s v="OBAGP006 TESE8 227"/>
        <s v="OBAGPA24 TESE8 227"/>
        <s v="ACCEC002 ECS65 422"/>
        <s v="OCLKD001 MES87 055"/>
        <s v="HLESAD00 ECS00 026"/>
        <s v="OBAGS010 TES01 026"/>
        <s v="OBAGP006 TESF6 474"/>
        <s v="OBAGPA10 ECS35 017"/>
        <s v="OBAGA000 ECS40 075"/>
        <s v="OBAGB009 EVS00 055"/>
        <s v="OBAGB010 EVS00 055"/>
        <s v="SHOUG617 ECS00 054"/>
        <s v="OBAGB002 EVS00 371"/>
        <s v="OBAGB009 EVS00 158"/>
        <s v="OBAGB206 EVS00 055"/>
        <s v="OBAGB206 EVS00 078"/>
        <s v="OBAGB009 EVS00 133"/>
        <s v="OBAGB017 EVS00 158"/>
        <s v="OBAGB002 EVS00 075"/>
        <s v="SHOUA306 ECS42 055"/>
        <s v="OBAGB002 EVS00 422"/>
        <s v="OBAGB010 EVS00 347"/>
        <s v="OBAGB002 EVS00 483"/>
        <s v="OCLKSB01 INS00 076"/>
        <s v="OCLKE013 MAS00 422"/>
        <s v="OBAGB206 EVS00 347"/>
        <s v="OBAGS016 TESH1 008"/>
        <s v="SHOUGH00 TESI4 241"/>
        <s v="OBAGS010 TESH1 008"/>
        <s v="SHOUC106 ECS16 483"/>
        <s v="OBAGP006 TESF8 480"/>
        <s v="OBAGP106 TES13 017"/>
        <s v="OBAGS017 TESE6 076"/>
        <s v="OBAGB426 MAS09 055"/>
        <s v="OBAGS001 TESE7 055"/>
        <s v="SHOUBG00 ECS35 075"/>
        <s v="OBAGT001 TESE8 227"/>
        <s v="OBAGS016 TES01 076"/>
        <s v="OBAGB001 EVS00 483"/>
        <s v="HLESGC00 ECS54 479"/>
        <s v="SHOUWA00 TESE5 036"/>
        <s v="OBAGS002 TESF8 481"/>
        <s v="ACCEP014 ECS35 076"/>
        <s v="OBAGB002 EVS00 484"/>
        <s v="OBAGB002 EVS00 486"/>
        <s v="OBAGS016 TESF8 481"/>
        <s v="OBAGS002 TESE7 055"/>
        <s v="OBAGP106 ECS52 055"/>
        <s v="OBAGA000 ECS42 036"/>
        <s v="OCLKD001 MES86 347"/>
        <s v="OBAGS009 TES01 130"/>
        <s v="OBAGS016 TES01 026"/>
        <s v="OBAGP006 TESF5 441"/>
        <s v="OCLKD001 MES81 017"/>
        <s v="OBAGB009 EVS15 479"/>
        <s v="OBAGS010 TES01 075"/>
        <s v="OBAGS017 TESH2 072"/>
        <s v="HLESAE00 ECS00 479"/>
        <s v="OCLKD001 MES84 075"/>
        <s v="OCLKD101 MES85 483"/>
        <s v="OBAGB001 EVS00 071"/>
        <s v="OBAGB002 EVS00 076"/>
        <s v="OBAGB009 EVS00 017"/>
        <s v="OBAGB206 EVS00 479"/>
        <s v="OBAGB426 TESF7 475"/>
        <s v="OBAGS010 TESF8 480"/>
        <s v="ACCEC002 ECS03 479"/>
        <s v="OBAGA000 ECS42 017"/>
        <s v="OBAGS017 TESH1 008"/>
        <s v="OBAGS001 TESG2 130"/>
        <s v="ACCEC002 ECS03 026"/>
        <s v="OBAGB426 ECS67 072"/>
        <s v="OBAGP106 TESG5 476"/>
        <s v="SHOUWA00 ECS55 075"/>
        <s v="OBAGB016 EVS19 075"/>
        <s v="OBAGT002 TESG8 061"/>
        <s v="OBAGT001 TESF8 481"/>
        <s v="OBAGB010 EVS00 479"/>
        <s v="HLESD200 ROS05 017"/>
        <s v="OBAGS001 TES01 026"/>
        <s v="OBAGS001 TES01 075"/>
        <s v="OBAGB001 EVS17 055"/>
        <s v="OBAGB024 EVS00 422"/>
        <s v="SHOUWA00 ECS51 076"/>
        <s v="OBAGPA06 TESF1 008"/>
        <s v="OBAGPA06 TESF1 055"/>
        <s v="SHOUCF00 ECS35 036"/>
        <s v="SHOUCF00 ECS35 055"/>
        <s v="OBAGA000 ECS42 371"/>
        <s v="OCLKD001 MES87 026"/>
        <s v="OCLKD001 MES88 347"/>
        <s v="OCLKD104 MES90 055"/>
        <s v="OCLKD104 MES92 499"/>
        <s v="HLESD000 ECS35 017"/>
        <s v="HLESD000 ECS35 026"/>
        <s v="OBAGB009 EVS15 371"/>
        <s v="OBAGP006 ECS54 215"/>
        <s v="HLESAD00 ECS00 483"/>
        <s v="OBAGS009 TES01 347"/>
        <s v="OBAGA000 ECS42 026"/>
        <s v="OBAGPA10 ECS35 076"/>
        <s v="OBAGB001 EVS00 055"/>
        <s v="OBAGB002 EVS00 158"/>
        <s v="OBAGB010 EVS00 158"/>
        <s v="OBAGB016 EVS00 158"/>
        <s v="OBAGB016 EVS00 078"/>
        <s v="OBAGB206 EVS00 075"/>
        <s v="OBAGB001 EVS00 422"/>
        <s v="OBAGB010 EVS00 026"/>
        <s v="OBAGB002 EVS00 347"/>
        <s v="OBAGB001 EVS00 486"/>
        <s v="OBAGB001 EVS00 485"/>
        <s v="OCLKE013 MAS00 060"/>
        <s v="OBAGS002 TESF8 480"/>
        <s v="OBAGS010 TESE3 227"/>
        <s v="SHOUGG00 TESI1 227"/>
        <s v="SHOUWA00 ECS54 075"/>
        <s v="OBAGT001 TESF9 254"/>
        <s v="OBAGP106 ECS52 076"/>
        <s v="OBAGS010 TESG5 476"/>
        <s v="SHOUGG00 TESI2 227"/>
        <s v="OBAGS010 TESE7 055"/>
        <s v="OBAGS002 TESG9 125"/>
        <s v="OBAGS001 TES01 422"/>
        <s v="SHOUWA00 ECS54 215"/>
        <s v="OCLKD001 MES83 134"/>
        <s v="OCLKD101 MES85 075"/>
        <s v="OCLKD101 MES85 130"/>
        <s v="OBAGPA10 ECS35 479"/>
        <s v="OBAGB010 EVS00 017"/>
        <s v="OBAGB001 EVS00 038"/>
        <s v="OBAGB001 EVS00 158"/>
        <s v="OBAGB009 EVS00 076"/>
        <s v="OBAGB206 EVS00 158"/>
        <s v="OBAGB010 EVS00 075"/>
        <s v="OBAGB009 EVS00 347"/>
        <s v="OBAGB016 EVS00 371"/>
        <s v="OBAGB002 EVS00 026"/>
        <s v="OCLKE013 MAS00 059"/>
        <s v="OCLKSB01 INS00 063"/>
        <s v="OBAGB009 EVS00 479"/>
        <s v="OBAGS016 TESF8 480"/>
        <s v="ACCEC002 ECS03 133"/>
        <s v="OBAGS001 TESG3 480"/>
        <s v="OBAGS001 TESF9 254"/>
        <s v="OBAGS001 TESG9 125"/>
        <s v="OBAGS017 TESG3 480"/>
        <s v="OBAGT001 TESH1 008"/>
        <s v="HLESG000 ROS04 500"/>
        <s v="HLESGC00 ECS54 215"/>
        <s v="OBAGS002 TESE5 036"/>
        <s v="OBAGS002 TES01 130"/>
        <s v="OBAGP106 ECS55 075"/>
        <s v="SHOUWA00 ECS55 479"/>
        <s v="OBAGB002 EVS18 076"/>
        <s v="OBAGB024 EVS00 371"/>
        <s v="HLESD000 ECS35 076"/>
        <s v="OBAGB002 EVS18 422"/>
        <s v="OBAGS010 TES01 347"/>
        <s v="OBAGS016 TESE6 036"/>
        <s v="OBAGA000 ECS42 076"/>
        <s v="ACCEC002 ECS65 036"/>
        <s v="ACCEP014 ECS35 036"/>
        <s v="OCLKD001 MES86 055"/>
        <s v="OCLKD001 MES86 076"/>
        <s v="OCLKD001 MES87 422"/>
        <s v="OCLKD104 MES92 498"/>
        <s v="OBAGPA24 TESF5 441"/>
        <s v="OCLKD001 MES80 347"/>
        <s v="OCLKD001 MES80 484"/>
        <s v="OCLKD001 MES81 026"/>
        <s v="OBAGB016 EVS19 371"/>
        <s v="OBAGS016 TES01 075"/>
        <s v="ACCEP014 ECS35 371"/>
        <s v="OBAGB009 EVS00 038"/>
        <s v="OBAGB017 EVS00 055"/>
        <s v="OBAGB002 EVS00 038"/>
        <s v="OBAGB206 EVS00 371"/>
        <s v="OBAGB001 EVS00 075"/>
        <s v="OBAGB009 EVS00 078"/>
        <s v="OBAGB010 EVS00 071"/>
        <s v="OBAGB017 EVS00 371"/>
        <s v="OBAGB001 EVS00 347"/>
        <s v="OBAGB002 EVS00 479"/>
        <s v="SHOUBG00 ECS35 017"/>
        <s v="OBAGS017 TESE3 227"/>
        <s v="OBAGB016 EVS00 479"/>
        <s v="OBAGT001 TESE3 227"/>
        <s v="ACCEC002 ECS03 422"/>
        <s v="SHOUGH00 TESI3 472"/>
        <s v="ACCEC002 ECS03 076"/>
        <s v="OBAGS016 TESG9 125"/>
        <s v="SHOUBG00 MAS10 055"/>
        <s v="OBAGS001 TESG3 481"/>
        <s v="OBAGB206 EVS00 026"/>
        <s v="OBAGB024 EVS00 076"/>
        <s v="SHOUWA00 ECS51 371"/>
        <s v="OBAGS017 TESE6 036"/>
        <s v="ACCEP014 ECS35 017"/>
        <s v="OBAGS001 TESG2 017"/>
        <s v="OBAGS010 TESG2 017"/>
        <s v="OBAGS010 TESF8 481"/>
        <s v="OBAGP006 TESF8 481"/>
        <m/>
        <s v="OHUGI002 ECS70 026" u="1"/>
        <s v="OBAGS001 TESE6 036" u="1"/>
        <s v="OBAGS002 TESE6 036" u="1"/>
        <s v="OBAGS018 TESE6 036" u="1"/>
        <s v="OBAGS018 TESG2 017" u="1"/>
        <s v="OBAGB018 EVS03 026" u="1"/>
        <s v="OBAGB021 EVS03 026" u="1"/>
        <s v="OBAGB018 EVS03 347" u="1"/>
        <s v="OHUGB002 EVS06 075" u="1"/>
        <s v="OBAGB018 EVS03 422" u="1"/>
        <s v="OHUGI002 ECS36 227" u="1"/>
        <s v="SHOUCF00 ECS35 422" u="1"/>
        <s v="OBAGS018 TES26 055" u="1"/>
        <s v="OBAGS019 TES26 055" u="1"/>
        <s v="OBAGPA06 TESF1 422" u="1"/>
        <s v="OBAGB019 EVS00 347" u="1"/>
        <s v="OBAGB019 EVS00 422" u="1"/>
        <s v="OBAGS121 TES01 054" u="1"/>
        <s v="OBAGS121 TES01 055" u="1"/>
        <s v="HLESZ817 TESI5 488" u="1"/>
        <s v="HLESZ817 TESI4 241" u="1"/>
        <s v="OBAGS001 TESE6 055" u="1"/>
        <s v="OBAGS002 TESE6 055" u="1"/>
        <s v="OBAGS118 TESE6 055" u="1"/>
        <s v="OBAGA000 ECS42 422" u="1"/>
        <s v="SHOUWA00 ECS51 422" u="1"/>
        <s v="OBAGP006 TESH2 036" u="1"/>
        <s v="OBAGS002 TESH2 036" u="1"/>
        <s v="HLESAD00 ECS00 422" u="1"/>
        <s v="OBAGB018 EVS03 055" u="1"/>
        <s v="OBAGB021 EVS03 055" u="1"/>
        <s v="OBAGB018 EVS03 371" u="1"/>
        <s v="OBAGB021 EVS03 371" u="1"/>
        <s v="HLESZ817 TESH8 036" u="1"/>
        <s v="SHOUWA00 ECS51 036" u="1"/>
        <s v="OHUGB002 EVS06 026" u="1"/>
        <s v="OHUGB002 EVS06 347" u="1"/>
        <s v="OBAGPA06 TESE3 227" u="1"/>
        <s v="SHOUWA00 TESE5 076" u="1"/>
        <s v="OBAGS001 TESE6 076" u="1"/>
        <s v="OBAGS002 TESE6 076" u="1"/>
        <s v="OBAGS118 TESE6 076" u="1"/>
        <s v="OBAGB019 EVS00 055" u="1"/>
        <s v="OBAGS018 TES26 008" u="1"/>
        <s v="OBAGB019 EVS00 371" u="1"/>
        <s v="OBAGS018 TESG2 130" u="1"/>
        <s v="OBAGS001 TESE5 076" u="1"/>
        <s v="OBAGS002 TESE5 076" u="1"/>
        <s v="OBAGS121 TESF7 475" u="1"/>
        <s v="OBAGT001 TESF7 475" u="1"/>
        <s v="OBAGT002 TESF7 475" u="1"/>
        <s v="OHUGI002 ECS70 479" u="1"/>
        <s v="OBAGP006 TESF4 473" u="1"/>
        <s v="OBAGPA24 TESF4 473" u="1"/>
        <s v="ACCEF001 TESF6 474" u="1"/>
        <s v="OBAGB018 EVS03 076" u="1"/>
        <s v="OBAGB021 EVS03 078" u="1"/>
        <s v="HLESZ817 TESH8 055" u="1"/>
        <s v="OBAGS121 TES13 017" u="1"/>
        <s v="OBAGB018 EVS03 479" u="1"/>
        <s v="OBAGB021 EVS03 479" u="1"/>
        <s v="ACCEF001 TESF5 478" u="1"/>
        <s v="ACCEF001 TESF4 473" u="1"/>
        <s v="OBAGS018 TESF9 254" u="1"/>
        <s v="OBAGS121 TESF9 254" u="1"/>
        <s v="OBAGPA06 TESF1 076" u="1"/>
        <s v="OBAGB019 EVS00 076" u="1"/>
        <s v="OBAGB019 EVS00 078" u="1"/>
        <s v="OBAGS001 TESG2 076" u="1"/>
        <s v="OBAGS002 TESG2 076" u="1"/>
        <s v="OBAGS010 TESG2 076" u="1"/>
        <s v="OBAGS018 TESG2 076" u="1"/>
        <s v="OBAGB019 EVS00 158" u="1"/>
        <s v="HLESD200 ROS05 489" u="1"/>
        <s v="OBAGP006 TESH2 072" u="1"/>
        <s v="OBAGS002 TESH2 072" u="1"/>
        <s v="SHOUGH00 TESI3 471" u="1"/>
        <s v="SHOUWA00 ECS66 475" u="1"/>
        <s v="OBAGS102 TESG7 017" u="1"/>
        <s v="OHUGI002 ECS69 125" u="1"/>
        <s v="HLESZ817 TESH8 076" u="1"/>
        <s v="OBAGB018 EVS03 017" u="1"/>
        <s v="OBAGB021 EVS03 017" u="1"/>
      </sharedItems>
    </cacheField>
    <cacheField name="Code Barre" numFmtId="1">
      <sharedItems containsBlank="1" containsMixedTypes="1" containsNumber="1" containsInteger="1" minValue="8050450212456" maxValue="8058983596418" count="305">
        <s v="Inconnu"/>
        <n v="8050846005525"/>
        <n v="8050846007666"/>
        <n v="8050846007659"/>
        <n v="8050846007697"/>
        <n v="8050846016750"/>
        <s v="Vide"/>
        <n v="8051770309819"/>
        <n v="8051770308508"/>
        <n v="8056099177231"/>
        <n v="8056099178863"/>
        <n v="8050846003767"/>
        <n v="8050846006843"/>
        <n v="8050846006881"/>
        <n v="8050846005419"/>
        <n v="8050846002647"/>
        <n v="8050846003729"/>
        <n v="8050846002753"/>
        <n v="8050846003170"/>
        <n v="8050846002586"/>
        <n v="8050846005013"/>
        <n v="8050846001800"/>
        <n v="8050846004917"/>
        <n v="8050846002746"/>
        <n v="8050846005365"/>
        <n v="8050846004436"/>
        <n v="8050846003736"/>
        <n v="8050846002678"/>
        <n v="8050846002012"/>
        <n v="8050846004863"/>
        <n v="8050846002272"/>
        <n v="8050846002616"/>
        <n v="8050846002357"/>
        <n v="8050846003194"/>
        <n v="8050846004672"/>
        <n v="8050846003774"/>
        <n v="8050846006782"/>
        <n v="8050846008113"/>
        <n v="8050846008137"/>
        <n v="8050846008144"/>
        <n v="8050846008168"/>
        <n v="8050846002760"/>
        <n v="8050846003781"/>
        <n v="8050846002159"/>
        <n v="8050846002289"/>
        <n v="8050846004573"/>
        <n v="8050846004566"/>
        <n v="8050846003057"/>
        <n v="8050846005167"/>
        <n v="8050846005150"/>
        <n v="8050846004825"/>
        <n v="8050846006270"/>
        <n v="8050846011588"/>
        <n v="8050846001794"/>
        <n v="8050846003309"/>
        <n v="8050846003859"/>
        <n v="8050846003330"/>
        <n v="8050846006294"/>
        <n v="8050846002241"/>
        <n v="8050846007857"/>
        <n v="8050846007840"/>
        <n v="8050846006324"/>
        <n v="8050846005648"/>
        <n v="8050846004009"/>
        <n v="8050846004658"/>
        <n v="8050846004641"/>
        <n v="8050846005174"/>
        <n v="8050846004832"/>
        <n v="8050846005549"/>
        <n v="8050846005402"/>
        <n v="8050846005303"/>
        <n v="8051770308669"/>
        <n v="8050450217574"/>
        <n v="8056098539856"/>
        <n v="8056099171574"/>
        <n v="8056099178559"/>
        <n v="8058983592427"/>
        <n v="8051770309673"/>
        <n v="8050846006768"/>
        <n v="8050846006850"/>
        <n v="8050846011434"/>
        <n v="8050846005112"/>
        <n v="8050846016552"/>
        <n v="8050846002494"/>
        <n v="8050846003804"/>
        <n v="8050846005044"/>
        <n v="8050846005327"/>
        <n v="8056099177958"/>
        <n v="8050538590056"/>
        <n v="8050538595198"/>
        <n v="8058983596418"/>
        <n v="8050846002319"/>
        <n v="8050846008281"/>
        <n v="8050846006720"/>
        <n v="8050846006805"/>
        <n v="8050846006393"/>
        <n v="8050846004733"/>
        <n v="8050846002227"/>
        <n v="8050846002791"/>
        <n v="8050846002593"/>
        <n v="8050846002630"/>
        <n v="8050846004726"/>
        <n v="8050846004849"/>
        <n v="8050846002029"/>
        <n v="8050846004634"/>
        <n v="8050846005594"/>
        <n v="8050846003316"/>
        <n v="8050846006355"/>
        <n v="8050846002036"/>
        <n v="8050846004511"/>
        <n v="8050846004948"/>
        <n v="8050846004702"/>
        <n v="8050846004580"/>
        <n v="8050846002715"/>
        <n v="8050846002623"/>
        <n v="8050846002265"/>
        <n v="8050846002326"/>
        <n v="8050846002456"/>
        <n v="8050846004078"/>
        <n v="8050846003545"/>
        <n v="8050846004313"/>
        <n v="8050846005051"/>
        <n v="8050846002234"/>
        <n v="8050846002166"/>
        <n v="8050846003248"/>
        <n v="8056099170676"/>
        <n v="8056099171529"/>
        <n v="8050538595563"/>
        <n v="8050846003125"/>
        <n v="8050846002401"/>
        <n v="8050846001725"/>
        <n v="8050846002739"/>
        <n v="8050846004443"/>
        <n v="8050846003927"/>
        <n v="8050846004122"/>
        <n v="8050846004610"/>
        <n v="8050846005297"/>
        <n v="8056099170621"/>
        <n v="8056099177125"/>
        <n v="8051770309703"/>
        <n v="8050450215655"/>
        <n v="8056099178757"/>
        <n v="8050450218342"/>
        <n v="8050450213255"/>
        <n v="8050846006638"/>
        <n v="8050846006584"/>
        <n v="8050846008182"/>
        <n v="8050846006928"/>
        <n v="8050846005099"/>
        <n v="8050846004757"/>
        <n v="8050846005020"/>
        <n v="8050846005600"/>
        <n v="8050846004146"/>
        <n v="8050846004139"/>
        <n v="8050846002364"/>
        <n v="8050846003026"/>
        <n v="8050846005655"/>
        <n v="8050846002258"/>
        <n v="8050846006416"/>
        <n v="8050846005389"/>
        <n v="8050846003033"/>
        <n v="8050846003835"/>
        <n v="8050846016736"/>
        <n v="8050846006591"/>
        <n v="8050846004047"/>
        <n v="8050846002104"/>
        <n v="8050846002470"/>
        <n v="8050846002548"/>
        <n v="8050846007734"/>
        <n v="8050846005037"/>
        <n v="8050846004023"/>
        <n v="8050846004115"/>
        <n v="8050846007642"/>
        <n v="8050846005457"/>
        <n v="8050846005129"/>
        <n v="8050846005310"/>
        <n v="8050846007680"/>
        <n v="8050846007727"/>
        <n v="8051770308652"/>
        <n v="8050450215624"/>
        <n v="8058983596210"/>
        <n v="8050846006959"/>
        <n v="8050846004696"/>
        <n v="8050846003965"/>
        <n v="8050846005426"/>
        <n v="8050846004306"/>
        <n v="8050846005105"/>
        <n v="8050846004337"/>
        <n v="8050846005501"/>
        <n v="8050846004092"/>
        <n v="8050846005570"/>
        <n v="8050846004924"/>
        <n v="8050846011496"/>
        <n v="8050846004504"/>
        <n v="8050846003620"/>
        <n v="8050846004894"/>
        <n v="8050846002814"/>
        <n v="8050846006317"/>
        <n v="8050846003071"/>
        <n v="8050846002463"/>
        <n v="8050846002425"/>
        <n v="8050846003187"/>
        <n v="8050846003156"/>
        <n v="8050846002579"/>
        <n v="8050846007833"/>
        <n v="8050846004450"/>
        <n v="8050846005181"/>
        <n v="8050846005358"/>
        <n v="8050846002210"/>
        <n v="8050846004320"/>
        <n v="8050846004597"/>
        <n v="8051770308638"/>
        <n v="8050450218243"/>
        <n v="8056099177927"/>
        <n v="8056099179785"/>
        <n v="8056300455745"/>
        <n v="8050846006652"/>
        <n v="8050846006546"/>
        <n v="8050846006423"/>
        <n v="8050846006447"/>
        <n v="8050846008151"/>
        <n v="8050846003828"/>
        <n v="8050846002173"/>
        <n v="8050846003101"/>
        <n v="8050846005532"/>
        <n v="8050846002487"/>
        <n v="8050846003958"/>
        <n v="8050846003118"/>
        <n v="8050846002203"/>
        <n v="8050846004900"/>
        <n v="8050846001817"/>
        <n v="8050846005556"/>
        <n v="8050846007673"/>
        <n v="8050846007710"/>
        <n v="8050846007703"/>
        <n v="8050846004603"/>
        <n v="8058983596401"/>
        <n v="8050450212456"/>
        <n v="8050450217451"/>
        <n v="8050538590964"/>
        <n v="8056300452195"/>
        <n v="8050846006706"/>
        <n v="8050846011540"/>
        <n v="8050846006560"/>
        <n v="8050846008175"/>
        <n v="8050846011526"/>
        <n v="8050846004030"/>
        <n v="8050846005433"/>
        <n v="8050846004061"/>
        <n v="8050846005372"/>
        <n v="8050846002128"/>
        <n v="8050846004931"/>
        <n v="8050846005587"/>
        <n v="8050846003323"/>
        <n v="8050846011403"/>
        <n v="8050846002654"/>
        <n v="8050846003347"/>
        <n v="8050846002142"/>
        <n v="8050846002296"/>
        <n v="8050846002531"/>
        <n v="8050846002722"/>
        <n v="8050846007758"/>
        <n v="8050846007741"/>
        <n v="8050846003538"/>
        <n v="8050846007611"/>
        <n v="8050846007628"/>
        <n v="8050846007635"/>
        <n v="8050846005075"/>
        <n v="8058983596241"/>
        <n v="8056098539931"/>
        <n v="8056300457374"/>
        <n v="8056099179617"/>
        <n v="8050450217581"/>
        <n v="8050846011571"/>
        <n v="8050846006379"/>
        <n v="8050846011465"/>
        <n v="8050846004771"/>
        <n v="8050846002340"/>
        <n v="8050846011557"/>
        <n v="8050846002777"/>
        <n v="8050846904149"/>
        <n v="8050846002784"/>
        <n v="8050846005082"/>
        <n v="8050846003200"/>
        <n v="8050846006942"/>
        <n v="8050846003095"/>
        <n v="8050846002371"/>
        <n v="8050846003934"/>
        <n v="8050846003972"/>
        <n v="8050846004153"/>
        <m/>
        <n v="8050846006461" u="1"/>
        <n v="8050538597826" u="1"/>
        <n v="8050846007253" u="1"/>
        <n v="8056099176784" u="1"/>
        <n v="8050846001947" u="1"/>
        <n v="8050538597949" u="1"/>
        <n v="8056098539450" u="1"/>
        <n v="8050538597833" u="1"/>
        <n v="8056099170003" u="1"/>
        <n v="8050846006478" u="1"/>
        <n v="8050846007260" u="1"/>
        <n v="8050846007130" u="1"/>
        <n v="8050846001930" u="1"/>
        <n v="8050538597932" u="1"/>
      </sharedItems>
    </cacheField>
    <cacheField name="Qté" numFmtId="0">
      <sharedItems containsString="0" containsBlank="1" containsNumber="1" containsInteger="1" minValue="1" maxValue="10"/>
    </cacheField>
    <cacheField name="void" numFmtId="0">
      <sharedItems containsNonDate="0" containsString="0" containsBlank="1"/>
    </cacheField>
    <cacheField name="Vu" numFmtId="0">
      <sharedItems containsString="0" containsBlank="1" containsNumber="1" containsInteger="1" minValue="0" maxValue="3"/>
    </cacheField>
    <cacheField name="Page" numFmtId="0">
      <sharedItems containsString="0" containsBlank="1" containsNumber="1" containsInteger="1" minValue="4" maxValue="242" count="101">
        <m/>
        <n v="153"/>
        <n v="165"/>
        <n v="166"/>
        <n v="6"/>
        <n v="5"/>
        <n v="4"/>
        <n v="7"/>
        <n v="9"/>
        <n v="16"/>
        <n v="99"/>
        <n v="11"/>
        <n v="8"/>
        <n v="13"/>
        <n v="159"/>
        <n v="20"/>
        <n v="109"/>
        <n v="82"/>
        <n v="160"/>
        <n v="53"/>
        <n v="36"/>
        <n v="83"/>
        <n v="92"/>
        <n v="104"/>
        <n v="158"/>
        <n v="35"/>
        <n v="33"/>
        <n v="114"/>
        <n v="118"/>
        <n v="101"/>
        <n v="198"/>
        <n v="108"/>
        <n v="34"/>
        <n v="48"/>
        <n v="96"/>
        <n v="81"/>
        <n v="136"/>
        <n v="140"/>
        <n v="10"/>
        <n v="78"/>
        <n v="103"/>
        <n v="17"/>
        <n v="167"/>
        <n v="184"/>
        <n v="183"/>
        <n v="54"/>
        <n v="106"/>
        <n v="141"/>
        <n v="49"/>
        <n v="68"/>
        <n v="120"/>
        <n v="77"/>
        <n v="132"/>
        <n v="25"/>
        <n v="152"/>
        <n v="52"/>
        <n v="93"/>
        <n v="131"/>
        <n v="119"/>
        <n v="67"/>
        <n v="51"/>
        <n v="130"/>
        <n v="138"/>
        <n v="134"/>
        <n v="142"/>
        <n v="27"/>
        <n v="116"/>
        <n v="111"/>
        <n v="55"/>
        <n v="135"/>
        <n v="151"/>
        <n v="94"/>
        <n v="76"/>
        <n v="102"/>
        <n v="115"/>
        <n v="100"/>
        <n v="133"/>
        <n v="164"/>
        <n v="50"/>
        <n v="110"/>
        <n v="95"/>
        <n v="79"/>
        <n v="139"/>
        <n v="122" u="1"/>
        <n v="121" u="1"/>
        <n v="14" u="1"/>
        <n v="38" u="1"/>
        <n v="242" u="1"/>
        <n v="241" u="1"/>
        <n v="240" u="1"/>
        <n v="12" u="1"/>
        <n v="37" u="1"/>
        <n v="15" u="1"/>
        <n v="42" u="1"/>
        <n v="72" u="1"/>
        <n v="149" u="1"/>
        <n v="125" u="1"/>
        <n v="71" u="1"/>
        <n v="124" u="1"/>
        <n v="146" u="1"/>
        <n v="123" u="1"/>
      </sharedItems>
    </cacheField>
    <cacheField name="Catalogue" numFmtId="0">
      <sharedItems containsBlank="1" count="5">
        <m/>
        <s v="Spring 2018"/>
        <s v="Spring 2018 .continuativo"/>
        <s v="Fall 2018 continuativo"/>
        <s v="WINTER 2017 COLLECTION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Jean Lestang" refreshedDate="43149.828080092593" createdVersion="4" refreshedVersion="4" minRefreshableVersion="3" recordCount="487">
  <cacheSource type="worksheet">
    <worksheetSource ref="B4:K491" sheet="Extraction"/>
  </cacheSource>
  <cacheFields count="10">
    <cacheField name="n°" numFmtId="0">
      <sharedItems containsSemiMixedTypes="0" containsString="0" containsNumber="1" containsInteger="1" minValue="1" maxValue="485"/>
    </cacheField>
    <cacheField name="Code produit" numFmtId="0">
      <sharedItems count="170">
        <s v="OBAGM3B4 CAS03"/>
        <s v="MOBLI056 FOS47"/>
        <s v="OCLKD104 MES90"/>
        <s v="OBAGB016 EVS00"/>
        <s v="HLESD000 ECS35"/>
        <s v="OBAGS009 TESG9"/>
        <s v="SHOUWA00 ECS54"/>
        <s v="HLESAD00 ECS00"/>
        <s v="OBAGS002 TES01"/>
        <s v="OBAGPA24 TESG8"/>
        <s v="OBAGB021 EVS03"/>
        <s v="OBAGA000 ECS42"/>
        <s v="OBAGB010 EVS00"/>
        <s v="OBAGS102 TESG7"/>
        <s v="OBAGS001 TESG9"/>
        <s v="OBAGS121 TESG8"/>
        <s v="OBAGS018 TESF9"/>
        <s v="ACCEO001 TES23"/>
        <s v="OBAGS002 TESG2"/>
        <s v="OBAGS016 TES26"/>
        <s v="ACCEF001 TESF6"/>
        <s v="OBAGB024 EVS00"/>
        <s v="OHUGB002 EVS06"/>
        <s v="OBAGP006 TESG8"/>
        <s v="OBAGS121 TESF9"/>
        <s v="OBAGPA24 TESE8"/>
        <s v="OBAGT001 TESF9"/>
        <s v="OBAGS118 TESE6"/>
        <s v="OBAGS016 TES01"/>
        <s v="OBAGPA24 ECS53"/>
        <s v="SHOUWA00 ECS55"/>
        <s v="OBAGS017 TESE3"/>
        <s v="OBAGS001 TESG2"/>
        <s v="OBAGB002 EVS00"/>
        <s v="OBAGB017 EVS00"/>
        <s v="ACCEC002 ECS65"/>
        <s v="OBAGB018 EVS03"/>
        <s v="OBAGPA06 TESF1"/>
        <s v="OBAGB009 EVS00"/>
        <s v="OBAGS010 TESG5"/>
        <s v="OBAGB206 EVS00"/>
        <s v="OBAGS010 TESF8"/>
        <s v="OBAGP006 ECS54"/>
        <s v="OCLKD101 MES85"/>
        <s v="OBAGB001 EVS00"/>
        <s v="OCLKSB01 INS00"/>
        <s v="HLESMD00 ECS46"/>
        <s v="OBAGS001 TESE5"/>
        <s v="HLESAE00 ECS00"/>
        <s v="OBAGS002 TESF9"/>
        <s v="SHOUCF00 ECS35"/>
        <s v="OBAGS018 TESG2"/>
        <s v="OBAGP024 ECS51"/>
        <s v="OCLKE013 MAS00"/>
        <s v="OBAGS017 TESE6"/>
        <s v="OBAGS010 TESF3"/>
        <s v="SHOUGH00 TESI3"/>
        <s v="OBAGS010 TESG2"/>
        <s v="OBAGB426 MAS09"/>
        <s v="OBAGS016 TESE6"/>
        <s v="OCLKD001 MES83"/>
        <s v="OBAGS017 TES26"/>
        <s v="OCLKD001 MES81"/>
        <s v="OCLKD104 MES92"/>
        <s v="OBAGS018 TESE6"/>
        <s v="HLESX600 ECS00"/>
        <s v="OHUGI002 ECS36"/>
        <s v="SHOUWA00 TESE5"/>
        <s v="OBAGB426 ECS67"/>
        <s v="OBAGS001 TESH1"/>
        <s v="OCLKD001 MES84"/>
        <s v="OCLKD001 MES86"/>
        <s v="OBAGS019 TES26"/>
        <s v="OBAGS009 TES01"/>
        <s v="OBAGS002 TESH2"/>
        <s v="OBAGS001 TES01"/>
        <s v="OBAGA000 ECS40"/>
        <s v="ACCEP014 ECS35"/>
        <s v="OBAGT002 TESH1"/>
        <s v="SHOUG617 ECS00"/>
        <s v="OCLKD001 MES82"/>
        <s v="SHOUD018 ECS00"/>
        <s v="OBAGP006 TESF4"/>
        <s v="OBAGT002 TESG8"/>
        <s v="OBAGS010 TES01"/>
        <s v="OBAGS017 TESG3"/>
        <s v="OHUGI002 ECS70"/>
        <s v="OBAGP106 TESG5"/>
        <s v="OBAGS002 TESE6"/>
        <s v="OCLKD001 MES88"/>
        <s v="OBAGP106 ECS55"/>
        <s v="SHOUWA00 ECS51"/>
        <s v="OBAGS001 TESF9"/>
        <s v="OBAGT001 TESE3"/>
        <s v="OBAGB426 TESG6"/>
        <s v="OCLKD001 MES87"/>
        <s v="OBAGB019 EVS00"/>
        <s v="OBAGPA24 TESF6"/>
        <s v="HLESGC00 ECS54"/>
        <s v="OBAGP106 ECS52"/>
        <s v="HLESZ817 TESI4"/>
        <s v="OBAGT002 TESE3"/>
        <s v="SHOUC317 ECS00"/>
        <s v="OBAGPA24 TESF4"/>
        <s v="OBAGS002 TESG9"/>
        <s v="OBAGP006 TESF8"/>
        <s v="OBAGB016 EVS19"/>
        <s v="OBAGB001 EVS17"/>
        <s v="OBAGB426 TESF7"/>
        <s v="HLESZ817 TESH8"/>
        <s v="OBAGS001 TESE6"/>
        <s v="OBAGS018 TES26"/>
        <s v="OBAGS121 TES01"/>
        <s v="SHOUBG00 ECS35"/>
        <s v="ACCEC002 ECS03"/>
        <s v="OBAGT002 TESE8"/>
        <s v="OBAGT001 TESH1"/>
        <s v="HLESG000 ROS04"/>
        <s v="OBAGPA10 ECS35"/>
        <s v="OBAGS016 TESF8"/>
        <s v="OBAGS102 TESG6"/>
        <s v="OBAGS002 TESH1"/>
        <s v="SHOUC106 ECS16"/>
        <s v="OBAGPA06 TESE3"/>
        <s v="OBAGS001 TESG3"/>
        <s v="OBAGS017 TESH2"/>
        <s v="SHOUGH00 TESI4"/>
        <s v="HLESD200 ROS05"/>
        <s v="OBAGS001 TESE7"/>
        <s v="SHOUA306 ECS42"/>
        <s v="OBAGS002 TESE7"/>
        <s v="OBAGS017 TESH1"/>
        <s v="OBAGT001 TESE8"/>
        <s v="SHOUGG00 TESI2"/>
        <s v="OBAGT001 TESF8"/>
        <s v="OBAGS002 TESE5"/>
        <s v="OBAGT001 TESF7"/>
        <s v="SHOUGG00 TESI1"/>
        <s v="OBAGP006 TESF5"/>
        <s v="SHOUWA00 ECS66"/>
        <s v="OBAGS010 TESE7"/>
        <s v="OBAGB009 EVS15"/>
        <s v="OBAGS002 TESF8"/>
        <s v="OBAGT002 TESG3"/>
        <s v="OCLKD101 MES91"/>
        <s v="OBAGS016 TESG9"/>
        <s v="OBAGT001 TESG8"/>
        <s v="OBAGS010 TESE3"/>
        <s v="ACCEF001 TESF5"/>
        <s v="OBAGB002 EVS18"/>
        <s v="OCLKD001 MES80"/>
        <s v="OBAGP006 TESE8"/>
        <s v="OBAGP106 TES13"/>
        <s v="HLESGC00 ROS04"/>
        <s v="OHUGI002 ECS68"/>
        <s v="ACCEF001 TESF4"/>
        <s v="OBAGP006 TESH2"/>
        <s v="OBAGB426 TESG7"/>
        <s v="OBAGS121 TES13"/>
        <s v="OHUGI002 ECS69"/>
        <s v="OBAGT002 TESF7"/>
        <s v="OBAGPA24 TESF5"/>
        <s v="OBAGS121 TESF7"/>
        <s v="SHOUBG00 MAS10"/>
        <s v="OBAGB426 TESF9"/>
        <s v="HLESZ817 TESI5"/>
        <s v="SHOUGH00 TESI7"/>
        <s v="OBAGP006 TESF6"/>
        <s v="OBAGP006 TESF2"/>
        <s v="OBAGS016 TESH1"/>
      </sharedItems>
    </cacheField>
    <cacheField name="Code" numFmtId="0">
      <sharedItems containsSemiMixedTypes="0" containsString="0" containsNumber="1" containsInteger="1" minValue="8" maxValue="500"/>
    </cacheField>
    <cacheField name="Couleur" numFmtId="0">
      <sharedItems count="56">
        <s v="[232]"/>
        <s v="WHITE"/>
        <s v="MILK"/>
        <s v="[76]"/>
        <s v="[125]"/>
        <s v="VOLCANO"/>
        <s v="[483]"/>
        <s v="GOLD"/>
        <s v="SAND"/>
        <s v="NAVY BLUE"/>
        <s v="[254]"/>
        <s v="[9]"/>
        <s v="[474]"/>
        <s v="[26]"/>
        <s v="SANGRIA"/>
        <s v="[227]"/>
        <s v="[75]"/>
        <s v="BLACK"/>
        <s v="[347]"/>
        <s v="[479]"/>
        <s v="[476]"/>
        <s v="[130]"/>
        <s v="[480]"/>
        <s v="[38]"/>
        <s v="[36]"/>
        <s v="[63]"/>
        <s v="[470]"/>
        <s v="[134]"/>
        <s v="[481]"/>
        <s v="[471]"/>
        <s v="[497]"/>
        <s v="[72]"/>
        <s v="[498]"/>
        <s v="[473]"/>
        <s v="[221]"/>
        <s v="ROCK"/>
        <s v="[408]"/>
        <s v="[484]"/>
        <s v="[241]"/>
        <s v="[54]"/>
        <s v="[472]"/>
        <s v="[475]"/>
        <s v="[486]"/>
        <s v="[500]"/>
        <s v="LIGHT GREY"/>
        <s v="[441]"/>
        <s v="[489]"/>
        <s v="[487]"/>
        <s v="[50]"/>
        <s v="[478]"/>
        <s v="[485]"/>
        <s v="[25]"/>
        <s v="[499]"/>
        <s v="[89]"/>
        <s v="[488]"/>
        <s v="[482]"/>
      </sharedItems>
    </cacheField>
    <cacheField name="Decription" numFmtId="164">
      <sharedItems containsMixedTypes="1" containsNumber="1" containsInteger="1" minValue="1" maxValue="6" count="468">
        <n v="6"/>
        <n v="1"/>
        <s v="MÉCANISME GREAT DATE NYC TIMES SQUARE BLANC"/>
        <s v="CORPS O MOON EVA COMPOUND LATTE"/>
        <s v="ANSES LONGUES ADAPTABLES EN FAUX CUIR BASIC ROUGE"/>
        <s v="POCHETTE INTÉRIEURE FERMETURE ÉCLAIR O BAG 50 EN TISSU FANTAISIE COQUELICOTS SUR RAY"/>
        <s v="BANDOULIÈRE COURTE NEW GOUTTE TROUÉE EN FAUX CUIR CLOUS ÉMAILLÉS CRÈME"/>
        <s v="ANSES TUBULAIRES EN FAUX CUIR CHAMPAGNE"/>
        <s v="POCHETTE INTÉRIEURE FERMETURE ÉCLAIR O BAG MINI EN TISSU CANVAS ROUGE"/>
        <s v="RABAT TOURNIQUET O POCKET EN MICRO TISSU MÉTALLISÉ FLOWER BRODERIE ANGLAISE OR"/>
        <s v="CORPS O SWING EVA COMPOUND EFFET OSIER SABLE"/>
        <s v="ACCESSOIRE CLIP EN FAUX CUIR OPAQUE + ARGENT ROUGE"/>
        <s v="CORPS O CITY EVA COMPOUND SABLE"/>
        <s v="POCHETTE INTÉRIEURE À COULISSE O BAG MINI EN NYLON COULEUR UNIE NAVY"/>
        <s v="POCHETTE INTÉRIEURE FERMETURE ÉCLAIR O BAG EN TISSU FANTAISIE COQUELICOTS SUR RAYUR"/>
        <s v="POCHETTE INTÉRIEURE À COULISSE O SWING EN TISSU MÉTALLISÉ FLOWER BRODERIE ANGLAISE O"/>
        <s v="POCHETTE INTÉRIEURE FERMETURE ÉCLAIR O BAG BEACH MINI EN TISSU DEAUVILLE À RAYURES N"/>
        <s v="ACCESSOIRES PENDENTIF POMPON EN RAPHIA TISSÉ BLEU"/>
        <s v="POCHETTE INTÉRIEURE FERMETURE ÉCLAIR O BAG MINI EN TISSU CANVAS + RUBAN NAVY"/>
        <s v="POCHETTE INTÉRIEURE FERMETURE ÉCLAIR O MOON EN TISSU CORDURA SABLE"/>
        <s v="BANDEAU BRACELET FOULARD TISSU LUXURY STRIPES BLANC/BLUETTE"/>
        <s v="CORPS O POCKET MICRO EVA COMPOUND CHAMPAGNE"/>
        <s v="O HUG CORPS PORTEFEUILLE FEMME EVA COMPOUND TEXTURE GRECQUE BLEU COBALT"/>
        <s v="CORPS O POCKET MICRO EVA COMPOUND BLEU COBALT"/>
        <s v="RABAT O POCKET EN TISSU MÉTALLISÉ FLOWER BRODERIE ANGLAISE OR"/>
        <s v="POCHETTE INTÉRIEURE À COULISSE O SWING EN TISSU DEAUVILLE À RAYURES NUANCÉES BLEU/BL"/>
        <s v="CORPS O POCKET MICRO EVA COMPOUND SANGRIA"/>
        <s v="RABAT TOURNIQUET O POCKET EN MICRO TISSU NYC FANTAISIE GÉOMÉTRIQUE BLANC/NOIR"/>
        <s v="ANSES TUBULAIRES EN FAUX CUIR LATTE"/>
        <s v="CORPS O POCKET MICRO EVA COMPOUND ROSE SMOKE"/>
        <s v="POCHETTE INTÉRIEURE FERMETURE ÉCLAIR O BAG MINI EN TISSU CANVAS ROSE SMOKE"/>
        <s v="REVERS O BAG EN TISSU DEAUVILLE À RAYURES NUANCÉES BLEU/BLUETTE"/>
        <s v="POCHETTE INTÉRIEURE À COULISSE O BAG BEACH MINI EN TISSU NYC À RAYURES BICOLORE NOIR"/>
        <s v="POCHETTE INTÉRIEURE FERMETURE ÉCLAIR O MOON EN TISSU CANVAS CÈDRE"/>
        <s v="RABAT TOURNIQUET O POCKET EN MICRO EN FAUX CUIR MÉTALLISÉ + FLEURS PVC OPAQUE OR"/>
        <s v="BANDOULIÈRE COURTE NEW GOUTTE TROUÉE (80 CM) EN FAUX CUIR BASIC + FLEURS PVC SKYWAY"/>
        <s v="POCHETTE INTÉRIEURE FERMETURE ÉCLAIR O MOON LIGHT EN TISSU NYC VICHY BLANC/NOIR"/>
        <s v="POCHETTE INTÉRIEURE FERMETURE ÉCLAIR O BAG EN TISSU CANVAS + RUBAN ROUGE"/>
        <s v="POCHETTE INTÉRIEURE FERMETURE ÉCLAIR O MOON EN TISSU CORDURA NOIR"/>
        <s v="CORPS O BAG MINI EVA COMPOUND NAVY"/>
        <s v="CORPS O MOON LIGHT EVA COMPOUND SKYWAY"/>
        <s v="ACCESSOIRES CHARMS POMPON EN FAUX CUIR PLEX + CLOUS ROUGE"/>
        <s v="CORPS O BAG BEACH MINI EVA COMPOUND EFFET OSIER ROUGE"/>
        <s v="RABAT TOURNIQUET O POCKET EN TISSU + FAUX CUIR NYC À RAYURES BLANC"/>
        <s v="CORPS O BAG 50 EVA COMPOUND VOLCAN"/>
        <s v="POCHETTE INTÉRIEURE FERMETURE ÉCLAIR O CITY EN TISSU CANVAS DÉTAIL RUBAN À RAYURES B"/>
        <s v="CORPS INFÉRIEUR O POCKET EVA COMPOUND NOIR"/>
        <s v="POCHETTE INTÉRIEURE FERMETURE ÉCLAIR O BAG MINI EN TISSU CANVAS + RUBAN BLEU"/>
        <s v="POCHETTE INTÉRIEURE FERMETURE ÉCLAIR O CITY EN TISSU DEAUVILLE À RAYURES LARGES NAVY"/>
        <s v="RABAT O POCKET EN FAUX CUIR CLOUS ÉMAILLÉS CRÈME"/>
        <s v="CORPS O MOON EVA COMPOUND ROUGE"/>
        <s v="MÉCANISME GREAT URBAN DECOR DIAMONDS ROSE SMOKE"/>
        <s v="CORPS O CITY EVA COMPOUND NOIR"/>
        <s v="CORPS O BAG EVA COMPOUND GRIS GRAPHITE"/>
        <s v="CORPS INFÉRIEUR O POCKET EVA COMPOUND NAVY"/>
        <s v="O CLOCK SHIFT BRACELET BAND EN MATÉRIAU INJECTÉ ROUGE"/>
        <s v="MICRO-ANSES TUBULAIRES COURTES EN FAUX CUIR LISSE SKYWAY"/>
        <s v="POCHETTE INTÉRIEURE FERMETURE ÉCLAIR O BAG EN TISSU NYC LOSANGES JAUNE"/>
        <s v="ANSES COURTES CHAÎNE AVEC TRESSAGE EN FAUX CUIR SKYWAY"/>
        <s v="POCHETTE INTÉRIEURE FERMETURE ÉCLAIR O BAG MINI EN TISSU DEAUVILLE À RAYURES NUANCÉE"/>
        <s v="BANDOULIÈRE AVEC TRESSAGE + CLIP EN FAUX CUIR BASIC ROUGE"/>
        <s v="POCHETTE INTÉRIEURE FERMETURE ÉCLAIR O BAG BEACH MINI EN TISSU CANVAS + RUBAN NAVY"/>
        <s v="RABAT O POCKET MICRO EN FAUX CUIR CLOUS PYRAMIDES SANGRIA"/>
        <s v="O CLOCK SHIFT CASE CLASSIC SLIM EN PLASTIQUE OLIVE"/>
        <s v="POCHETTE INTÉRIEURE FERMETURE ÉCLAIR O MOON LIGHT EN TISSU NYC À RAYURES BICOLORE J"/>
        <s v="CORPS O BAG MINI EVA COMPOUND CÈDRE"/>
        <s v="POCHETTE INTÉRIEURE FERMETURE ÉCLAIR O CITY EN NYLON À RAYURES BLANC/NOIR"/>
        <s v="BANDOULIÈRE 80/120 + GOUTTE TROUÉE TISSU RUBAN TECHNIQUE GRIS ANTHRACITE/JAUNE"/>
        <s v="POCHETTE INTÉRIEURE FERMETURE ÉCLAIR O CITY EN TISSU CANVAS + RUBAN NAVY"/>
        <s v="CORPS COMPLET O BAG TOTE EN NYLON + PVC NOIR"/>
        <s v="CORPS O CITY EVA COMPOUND ROSE SMOKE"/>
        <s v="CORPS O BAG EVA COMPOUND CHAMPAGNE"/>
        <s v="ACCESSOIRE CLIP EN FAUX CUIR OPAQUE + ARGENT LATTE"/>
        <s v="POCHETTE INTÉRIEURE FERMETURE ÉCLAIR O MOON EN TISSU NYC À RAYURES BICOLORE JAUNE"/>
        <s v="ACCESSOIRES PENDENTIF POMPON EN RAPHIA TISSÉ JAUNE"/>
        <s v="ACCESSOIRE CLIP EN FAUX CUIR OPAQUE + ARGENT SKYWAY"/>
        <s v="O CLOCK MÉCANISME URBAN DECOR MEADOWS GRIS ANTHRACITE"/>
        <s v="POCHETTE INTÉRIEURE FERMETURE ÉCLAIR O MOON LIGHT EN TISSU CORDURA NOIR"/>
        <s v="ANSES LONGUES ADAPTABLES EN FAUX CUIR BASIC JAUNE"/>
        <s v="POCHETTE INTÉRIEURE FERMETURE ÉCLAIR O CITY EN TISSU DEAUVILLE À RAYURES LARGES ROU"/>
        <s v="CORPS O BAG EVA COMPOUND SKYWAY"/>
        <s v="CORPS O BAG BEACH MINI EVA COMPOUND EFFET OSIER LATTE"/>
        <s v="O CLOCK MÉCANISME DEAUVILLE LINES NAVY"/>
        <s v="BANDOULIÈRE 80/120 + GOUTTE TROUÉE TISSU RUBAN TECHNIQUE GRIS ANTHRACITE/SANGRIA"/>
        <s v="O CLOCK SHIFT BRACELET BAND EN MATÉRIAU INJECTÉ JAUNE"/>
        <s v="POCHETTE INTÉRIEURE À COULISSE O BAG BEACH MINI EN TISSU NYC À RAYURES BICOLORE ROUG"/>
        <s v="MÉCANISME GREAT DATE SATIN NOIR/ROUGE/BLANC"/>
        <s v="CORPS O MOON EVA COMPOUND SABLE"/>
        <s v="POCHETTE INTÉRIEURE FERMETURE ÉCLAIR O BAG BEACH MINI EN TISSU NYC À RAYURES BICOLOR"/>
        <s v="ANSES TUBULAIRES EN FAUX CUIR SANGRIA"/>
        <s v="MICRO-ANSES TUBULAIRES COURTES EN FAUX CUIR LISSE NOIR"/>
        <s v="CORPS O CITY EVA COMPOUND BLEU COBALT"/>
        <s v="ANSES COURTES EXTRASLIM GOUTTE AVEC DEMI-ANNEAU EN FAUX CUIR NOIR"/>
        <s v="O HUG INTÉRIEUR PORTEFEUILLE FEMME EN FAUX CUIR À RAYURES BLANC/NOIR"/>
        <s v="BANDOULIÈRE COURTE NEW GOUTTE TROUÉE EN TISSU NYC LOSANGES JAUNE"/>
        <s v="CORPS COMPLET O BAG TOTE EN FAUX CUIR SOFT TOUCH ROSE"/>
        <s v="CORPS O BAG 50 EVA COMPOUND GRIS GRAPHITE"/>
        <s v="POCHETTE INTÉRIEURE FERMETURE ÉCLAIR O BAG EN TISSU BOUCLÉ DÉCOR BLANC"/>
        <s v="O CLOCK MÉCANISME URBAN DECOR PETALS BLEU"/>
        <s v="O CLOCK MÉCANISME NYC LINES NOIR"/>
        <s v="POCHETTE INTÉRIEURE FERMETURE ÉCLAIR O SQUARE EN TISSU CORDURA NOIR"/>
        <s v="RABAT O POCKET MICRO EN FAUX CUIR CLOUS PYRAMIDES ROUGE"/>
        <s v="BANDOULIÈRE AVEC TRESSAGE + CLIP EN FAUX CUIR BASIC SANGRIA"/>
        <s v="POCHETTE INTÉRIEURE FERMETURE ÉCLAIR O BAG 50 EN TISSU CANVAS CÈDRE"/>
        <s v="CORPS O BAG BEACH MINI EVA COMPOUND EFFET OSIER NOIR"/>
        <s v="CORPS O BAG MINI EVA COMPOUND GRIS GRAPHITE"/>
        <s v="POCHETTE INTÉRIEURE FERMETURE ÉCLAIR O BAG MINI EN COTON MOTIF PAPILLONS ROSE"/>
        <s v="CORPS O CITY EVA COMPOUND NAVY"/>
        <s v="CORPS O MOON EVA COMPOUND BLEU COBALT"/>
        <s v="POCHETTE INTÉRIEURE FERMETURE ÉCLAIR O BAG EN TISSU CANVAS CÈDRE"/>
        <s v="POCHETTE INTÉRIEURE FERMETURE ÉCLAIR O BAG 50 EN TISSU CANVAS ROSE SMOKE"/>
        <s v="RABAT TOURNIQUET O POCKET EN TISSU + FAUX CUIR NYC À RAYURES NOIR"/>
        <s v="CORPS O MOON LIGHT EVA COMPOUND ROSE SMOKE"/>
        <s v="ACCESSOIRE CLIP EN FAUX CUIR OPAQUE + OR ROSE SMOKE"/>
        <s v="ACCESSOIRES POCHETTE FILET EN FAUX CUIR BASIC LATTE"/>
        <s v="CORPS O BAG EVA COMPOUND CÈDRE"/>
        <s v="POCHETTE INTÉRIEURE FERMETURE ÉCLAIR O BAG BEACH MINI EN TISSU CANVAS + RUBAN ROUGE"/>
        <s v="REVERS O BAG MINI EN TISSU BOUCLÉ DÉCOR BLANC"/>
        <s v="LONGUE BANDOULIÈRE AVEC BOUCLE O MOON EN FAUX CUIR NOIR"/>
        <s v="O CLOCK MÉCANISME URBAN DECOR FLOWERS BLEU"/>
        <s v="MÉCANISME GREAT DATE SATIN NOIR/JAUNE/BLANC"/>
        <s v="LONGUE BANDOULIÈRE DOUBLE FIL O MOON LIGHT EN FAUX CUIR NOIR"/>
        <s v="RABAT O POCKET EN TISSU LUXURY CÔTELÉ BLUETTE/BLEU"/>
        <s v="REVERS O BAG MINI EN TISSU MÉTALLISÉ FLOWER BRODERIE ANGLAISE OR"/>
        <s v="POCHETTE INTÉRIEURE FERMETURE ÉCLAIR O CITY EN TISSU CANVAS ROSE SMOKE"/>
        <s v="POCHETTE INTÉRIEURE FERMETURE ÉCLAIR O MOON LIGHT EN TISSU DEAUVILLE À RAYURES SERR"/>
        <s v="O HUG INTÉRIEUR PORTEFEUILLE FEMME EN FAUX CUIR AVEC BRISÉ SKYWAY"/>
        <s v="CORPS O BAG EVA COMPOUND SABLE"/>
        <s v="RABAT AVEC BANDEAU O POCKET TISSU CANVAS DÉTAIL RUBAN À RAYURES BLEU/ROUGE"/>
        <s v="POCHETTE INTÉRIEURE FERMETURE ÉCLAIR O BAG MINI EN TISSU CANVAS SANGRIA"/>
        <s v="CORPS O MOON EVA COMPOUND NOIR"/>
        <s v="POCHETTE INTÉRIEURE FERMETURE ÉCLAIR O BAG EN TISSU CANVAS BLEU"/>
        <s v="CORPS O CITY EVA COMPOUND VOLCAN"/>
        <s v="POCHETTE INTÉRIEURE FERMETURE ÉCLAIR O BAG MINI EN TISSU NYC À RAYURES BICOLORE JAUN"/>
        <s v="MICRO-ANSES TUBULAIRES COURTES EN FAUX CUIR LISSE COGNAC"/>
        <s v="O CLOCK MÉCANISME NYC JUNGLE CÈDRE"/>
        <s v="RABAT AVEC BANDEAU O POCKET EN FAUX CUIR BASIC + FLEURS PVC SKYWAY"/>
        <s v="CORPS O BAG MINI EVA COMPOUND TAUPE"/>
        <s v="BANDOULIÈRE COURTE NEW GOUTTE TROUÉE EN FAUX CUIR CLOUS PYRAMIDES LATTE"/>
        <s v="O HUG CORPS PORTEFEUILLE FEMME EVA COMPOUND TEXTURE GRECQUE CÈDRE"/>
        <s v="POCHETTE INTÉRIEURE FERMETURE ÉCLAIR O BAG EN TISSU DEAUVILLE À RAYURES NUANCÉES BL"/>
        <s v="RABAT O POCKET EN FAUX CUIR CLOUS ÉMAILLÉS BLEU"/>
        <s v="MICRO-ANSES TUBULAIRES COURTES EN FAUX CUIR LISSE NAVY"/>
        <s v="MICRO-ANSES TUBULAIRES COURTES EN FAUX CUIR LISSE CHAMPAGNE"/>
        <s v="CORPS O BAG MINI EVA COMPOUND ROSE SMOKE"/>
        <s v="REVERS O BAG EN TISSU NYC VICHY BLANC/NOIR"/>
        <s v="CORPS COMPLET O BAG TOTE EN NYLON À RAYURES BLEU/BLANC"/>
        <s v="O CLOCK MÉCANISME NYC FLOWER NOIR"/>
        <s v="CORPS O SQUARE EVA COMPOUND CÈDRE"/>
        <s v="BANDOULIÈRE COURTE NEW GOUTTE TROUÉE EN FAUX CUIR CLOUS ÉMAILLÉS ROSE SMOKE"/>
        <s v="CORPS O SWING EVA COMPOUND EFFET OSIER NOIR"/>
        <s v="ANSES TUBULAIRES EN FAUX CUIR JAUNE"/>
        <s v="CORPS O BAG MINI EVA COMPOUND ROUGE"/>
        <s v="RABAT TOURNIQUET O POCKET EN MICRO TISSU LUXURY STRIPES BLANC/BLUETTE"/>
        <s v="ANSES COURTES EN FAUX CUIR CLOUS ÉMAILLÉS CRÈME"/>
        <s v="RABAT AVEC BANDEAU O POCKET EN FAUX CUIR RUBAN LIVRE BICOLORE NOIR"/>
        <s v="CORPS O BAG EVA COMPOUND CORAIL"/>
        <s v="O HUG CORPS PORTEFEUILLE FEMME EVA COMPOUND TEXTURE GRECQUE ROSE SMOKE"/>
        <s v="ANSES SPORTY + BRETELLE O SQUARE TISSU RUBAN MARINA BICOLORE NAVY - ROUGE"/>
        <s v="REVERS O BAG MINI EN TISSU NYC VICHY BLANC/NOIR"/>
        <s v="LONGUE BANDOULIÈRE CHAÎNE CLIP O MOON EN FAUX CUIR NUDE"/>
        <s v="ACCESSOIRES POCHETTE FILET EN FAUX CUIR BASIC ROUGE"/>
        <s v="MÉCANISME GREAT URBAN DECOR DIAMONDS BLEU"/>
        <s v="CORPS INFÉRIEUR O POCKET EVA COMPOUND CÈDRE"/>
        <s v="ACCESSOIRE CLIP EN FAUX CUIR OPAQUE + ARGENT NAVY"/>
        <s v="POCHETTE INTÉRIEURE FERMETURE ÉCLAIR O BAG EN TISSU CANVAS + RUBAN BLEU"/>
        <s v="POCHETTE INTÉRIEURE FERMETURE ÉCLAIR O BAG MINI EN TISSU CANVAS BLEU"/>
        <s v="POCHETTE INTÉRIEURE FERMETURE ÉCLAIR O MOON EN TISSU CORDURA BLANC"/>
        <s v="BANDOULIÈRE 80/120 + GOUTTE TROUÉE TISSU RUBAN TECHNIQUE GRIS ANTHRACITE/ROUGE"/>
        <s v="RABAT TOURNIQUET O POCKET EN MICRO TISSU LUXURY CÔTELÉ BLUETTE/BLEU"/>
        <s v="O CLOCK SHIFT BRACELET BAND EN MATÉRIAU INJECTÉ OCÉAN"/>
        <s v="POCHETTE INTÉRIEURE FERMETURE ÉCLAIR O BAG MINI EN TISSU FANTAISIE COQUELICOTS SUR R"/>
        <s v="RABAT O POCKET EN TISSU DEAUVILLE À RAYURES LARGES NAVY/CRÈME"/>
        <s v="CORPS O BAG 50 EVA COMPOUND SANGRIA"/>
        <s v="CORPS O MOON LIGHT EVA COMPOUND LATTE"/>
        <s v="CORPS O MOON EVA COMPOUND TEXTURE URBAN FRAME SKYWAY"/>
        <s v="BANDOULIÈRE AVEC TRESSAGE + CLIP EN FAUX CUIR BASIC BLANC"/>
        <s v="CORPS O BAG EVA COMPOUND + CLOUS PYRAMIDES CÈDRE"/>
        <s v="CORPS COMPLET O BAG TOTE EN TISSU DEAUVILLE À RAYURES EFFET FLAMMÉ BLANC/ROUGE/BLEU"/>
        <s v="ANSES LONGUES ADAPTABLES EN FAUX CUIR BASIC NOIR"/>
        <s v="ACCESSOIRES CHARMS POMPON EN FAUX CUIR PLEX + CLOUS SANGRIA"/>
        <s v="CORPS O BAG BEACH MINI EVA COMPOUND EFFET OSIER NAVY"/>
        <s v="CORPS O BAG MINI EVA COMPOUND LATTE"/>
        <s v="ANSES + BRETELLE COURTE GOUTTE O SQUARE EN TISSU CAOUTCHOUTÉ RUBAN À RAYURES TECH"/>
        <s v="CORPS O MOON EVA COMPOUND SKYWAY"/>
        <s v="RABAT O POCKET EN FAUX CUIR CLOUS ÉMAILLÉS ROSE"/>
        <s v="POCHETTE INTÉRIEURE FERMETURE ÉCLAIR O BAG EN TISSU NYC LOSANGES ROUGE"/>
        <s v="POCHETTE INTÉRIEURE FERMETURE ÉCLAIR O BAG EN TISSU NYC À RAYURES BICOLORE ROUGE"/>
        <s v="POCHETTE INTÉRIEURE FERMETURE ÉCLAIR O BAG EN TISSU CANVAS + RUBAN NAVY"/>
        <s v="CORPS O CITY EVA COMPOUND SKYWAY"/>
        <s v="POCHETTE INTÉRIEURE FERMETURE ÉCLAIR O BAG BEACH MINI EN TISSU CORDURA BLANC"/>
        <s v="CORPS O POCKET MICRO EVA COMPOUND CÈDRE"/>
        <s v="ANSES LONGUES ADAPTABLES EN FAUX CUIR BASIC BLEU COBALT"/>
        <s v="POCHETTE INTÉRIEURE À COULISSE O SWING EN TISSU CANVAS NOIR"/>
        <s v="CORPS O BAG EVA COMPOUND PINK"/>
        <s v="BANDOULIÈRE /BRETELLE SLIM 140 EN FAUX CUIR BASIC ROSE SMOKE"/>
        <s v="CORPS O CITY EVA COMPOUND LATTE"/>
        <s v="RABAT AVEC BANDEAU O POCKET EN FAUX CUIR BASIC + FLEURS PVC ROSE SMOKE"/>
        <s v="POCHETTE INTÉRIEURE FERMETURE ÉCLAIR O BAG EN TISSU CANVAS ROUGE"/>
        <s v="POCHETTE INTÉRIEURE FERMETURE ÉCLAIR O MOON EN TISSU CANVAS BLEU COBALT"/>
        <s v="ACCESSOIRES CHARMS POMPON EN FAUX CUIR SUÈDE ROSE SMOKE"/>
        <s v="ACCESSOIRES POCHETTE FILET EN FAUX CUIR BASIC JAUNE"/>
        <s v="O CLOCK SHIFT BRACELET BAND EN MATÉRIAU INJECTÉ BLANC"/>
        <s v="REVERS O BAG MINI EN TISSU NYC FANTAISIE GÉOMÉTRIQUE BLANC/NOIR"/>
        <s v="POCHETTE INTÉRIEURE FERMETURE ÉCLAIR O BAG 50 EN TISSU CANVAS BLEU"/>
        <s v="REVERS O BAG EN TISSU BOUCLÉ DÉCOR BLANC"/>
        <s v="ANSES LONGUES EN CORDE TRICOLORE BLANC/BLUETTE/NAVY"/>
        <s v="ANSES LONGUES ADAPTABLES EN FAUX CUIR BASIC LATTE"/>
        <s v="RABAT TOURNIQUET O CITY EN FAUX CUIR BASIC ROUGE"/>
        <s v="POCHETTE INTÉRIEURE FERMETURE ÉCLAIR O MOON EN TISSU DEAUVILLE À RAYURES LARGES NA"/>
        <s v="CORPS O SQUARE EVA COMPOUND BLEU COBALT"/>
        <s v="POCHETTE INTÉRIEURE À COULISSE O BAG MINI EN NYLON À RAYURES BLEU/BLANC"/>
        <s v="CORPS O BAG 50 EVA COMPOUND NAVY"/>
        <s v="CORPS O BAG 50 EVA COMPOUND CÈDRE"/>
        <s v="POCHETTE INTÉRIEURE FERMETURE ÉCLAIR O BAG MINI EN TISSU BOUCLÉ DÉCOR BLANC"/>
        <s v="POCHETTE INTÉRIEURE FERMETURE ÉCLAIR O BAG 50 EN TISSU CANVAS SANGRIA"/>
        <s v="ANSES COURTES CHAÎNE AVEC TRESSAGE EN FAUX CUIR ROSE SMOKE"/>
        <s v="CORPS O BAG MINI EVA COMPOUND SABLE"/>
        <s v="CORPS O BAG MINI EVA COMPOUND BLEU COBALT"/>
        <s v="CORPS O POCKET MICRO EVA COMPOUND LATTE"/>
        <s v="LONGUE BANDOULIÈRE CHAÎNE AVEC BANDEAU O POCKET EN FAUX CUIR MÉTALLISÉ CHAMPAGNE"/>
        <s v="POCHETTE INTÉRIEURE FERMETURE ÉCLAIR O BAG BEACH MINI EN TISSU CANVAS + RUBAN BLEU"/>
        <s v="CORPS O MOON LIGHT EVA COMPOUND NOIR"/>
        <s v="POCHETTE INTÉRIEURE FERMETURE ÉCLAIR O BAG EN TISSU NYC À RAYURES BICOLORE JAUNE"/>
        <s v="CORPS O BAG EVA COMPOUND + CLOUS PYRAMIDES NOIR"/>
        <s v="CORPS O SWING EVA COMPOUND EFFET OSIER LATTE"/>
        <s v="CORPS O BAG BEACH MINI EVA COMPOUND EFFET OSIER SKYWAY"/>
        <s v="ANSES COURTES EN FAUX CUIR CLOUS ÉMAILLÉS ROSE SMOKE"/>
        <s v="ACCESSOIRE CLIP EN FAUX CUIR OPAQUE + ARGENT BLEU COBALT"/>
        <s v="POCHETTE INTÉRIEURE FERMETURE ÉCLAIR O MOON EN TISSU CANVAS SANGRIA"/>
        <s v="CORPS INFÉRIEUR O POCKET EVA COMPOUND LATTE"/>
        <s v="RABAT TOURNIQUET O POCKET EN TISSU NYC VICHY BLANC/NOIR"/>
        <s v="CORPS O BAG EVA COMPOUND VOLCAN"/>
        <s v="CORPS O SQUARE EVA COMPOUND SANGRIA"/>
        <s v="CORPS O CITY EVA COMPOUND SANGRIA"/>
        <s v="POCHETTE INTÉRIEURE FERMETURE ÉCLAIR O BAG EN TISSU DEAUVILLE À RAYURES SERRÉES NAV"/>
        <s v="POCHETTE INTÉRIEURE FERMETURE ÉCLAIR O MOON EN TISSU CANVAS ROSE SMOKE"/>
        <s v="O HUG CORPS PORTEFEUILLE FEMME EVA COMPOUND TEXTURE GRECQUE ROUGE"/>
        <s v="POCHETTE INTÉRIEURE FERMETURE ÉCLAIR O MOON LIGHT EN COTON MOTIF PAPILLONS JAUNE"/>
        <s v="ANSES TUBULAIRES EN FAUX CUIR NAVY"/>
        <s v="CORPS O BAG EVA COMPOUND BLEU COBALT"/>
        <s v="CORPS O BAG EVA COMPOUND NAVY"/>
        <s v="O HUG CORPS PORTEFEUILLE FEMME EVA COMPOUND TEXTURE GRECQUE SKYWAY"/>
        <s v="POCHETTE INTÉRIEURE FERMETURE ÉCLAIR O MOON EN TISSU DEAUVILLE À RAYURES LARGES RO"/>
        <s v="BANDOULIÈRE 80/120 + GOUTTE TROUÉE TISSU RUBAN MARINA BICOLORE NAVY - ROUGE"/>
        <s v="O CLOCK MÉCANISME NYC LINES ROUGE"/>
        <s v="ANSES LONGUES ADAPTABLES GOUTTE EN CORDE + GOUTTE TISSU CAOUTCHOUTÉ NAVY"/>
        <s v="CORPS O BAG 50 EVA COMPOUND LATTE"/>
        <s v="MICRO-ANSES TUBULAIRES COURTES EN FAUX CUIR LISSE ROUGE"/>
        <s v="POCHETTE INTÉRIEURE FERMETURE ÉCLAIR O BAG EN TOILE NYLON + RUBAN LIVRE BICOLORE NOI"/>
        <s v="CORPS O SWING EVA COMPOUND EFFET OSIER SKYWAY"/>
        <s v="CORPS O BAG 50 EVA COMPOUND GRIS CLAIR"/>
        <s v="POCHETTE INTÉRIEURE FERMETURE ÉCLAIR O BAG MINI EN TISSU NYC À RAYURES BICOLORE NOIR"/>
        <s v="CORPS O MOON EVA COMPOUND TAUPE"/>
        <s v="ACCESSOIRE CLIP EN FAUX CUIR OPAQUE + ARGENT NOIR"/>
        <s v="POCHETTE INTÉRIEURE FERMETURE ÉCLAIR O BAG MINI EN TOILE NYLON + RUBAN LIVRE BICOLORE"/>
        <s v="POCHETTE INTÉRIEURE FERMETURE ÉCLAIR O BAG MINI EN TISSU CANVAS + RUBAN ROUGE"/>
        <s v="BANDOULIÈRE COURTE NEW GOUTTE TROUÉE (80 CM) EN FAUX CUIR BASIC + FLEURS PVC ROSE SM"/>
        <s v="POCHETTE INTÉRIEURE FERMETURE ÉCLAIR O MOON LIGHT EN TISSU BOUCLÉ DÉCOR BLANC"/>
        <s v="POCHETTE INTÉRIEURE FERMETURE ÉCLAIR O CITY EN TISSU CANVAS BLEU COBALT"/>
        <s v="BANDOULIÈRE /BRETELLE SLIM 140 EN FAUX CUIR BASIC NOIR"/>
        <s v="CORPS INFÉRIEUR O POCKET EVA COMPOUND SKYWAY"/>
        <s v="REVERS O BAG EN TISSU NYC FANTAISIE GÉOMÉTRIQUE BLANC/NOIR"/>
        <s v="BANDOULIÈRE COURTE NEW GOUTTE TROUÉE EN FAUX CUIR CLOUS ÉMAILLÉS SKYWAY"/>
        <s v="RABAT O POCKET MICRO EN FAUX CUIR CLOUS PYRAMIDES JAUNE"/>
        <s v="BANDOULIÈRE 80/120 + CLIP EN TISSU RUBAN NEW YORK À CHEVRONS BLANC/NOIR"/>
        <s v="CORPS O BAG 50 EVA COMPOUND TAUPE"/>
        <s v="REVERS O BAG EN TISSU DEAUVILLE À RAYURES LARGES ROUGE/CRÈME"/>
        <s v="BANDOULIÈRE COURTE NEW GOUTTE TROUÉE EN FAUX CUIR CLOUS PYRAMIDES ROUGE"/>
        <s v="CORPS O BAG MINI EVA COMPOUND PINK"/>
        <s v="POCHETTE INTÉRIEURE FERMETURE ÉCLAIR O BAG MINI EN TISSU NYC LOSANGES JAUNE"/>
        <s v="REVERS O BAG EN TISSU DEAUVILLE À RAYURES EFFET FLAMMÉ BLANC/ROUGE/BLEU"/>
        <s v="BANDOULIÈRE /BRETELLE SLIM 140 EN FAUX CUIR BASIC NAVY"/>
        <s v="CORPS INFÉRIEUR O POCKET EVA COMPOUND TAUPE"/>
        <s v="BANDOULIÈRE 80/120 + CLIP EN TISSU RUBAN NEW YORK BLANC/NOIR"/>
        <s v="O CLOCK MÉCANISME DEAUVILLE LINES BLEU COBALT"/>
        <s v="CORPS O CITY EVA COMPOUND ROUGE"/>
        <s v="CORPS O BAG 50 EVA COMPOUND BLEU COBALT"/>
        <s v="RABAT O POCKET EN TISSU LUXURY DRIPPING ROUGE/BLUETTE"/>
        <s v="POCHETTE INTÉRIEURE FERMETURE ÉCLAIR O BAG MINI EN TISSU NYC LOSANGES ROUGE"/>
        <s v="CORPS O BAG 50 EVA COMPOUND ROSE SMOKE"/>
        <s v="O CLOCK MÉCANISME NYC JUNGLE ROUGE"/>
        <s v="REVERS O BAG EN TISSU DEAUVILLE À RAYURES LARGES NAVY/CRÈME"/>
        <s v="BANDOULIÈRE /BRETELLE SLIM 140 EN FAUX CUIR BASIC SKYWAY"/>
        <s v="CORPS O BAG MINI EVA COMPOUND CHAMPAGNE"/>
        <s v="ANSES LONGUES ADAPTABLES GOUTTE EN CORDE + GOUTTE TISSU CAOUTCHOUTÉ ROUGE/NAVY/BL"/>
        <s v="CORPS O BAG EVA COMPOUND + CLOUS PYRAMIDES ROUGE"/>
        <s v="O CLOCK SHIFT CASE CLASSIC SLIM EN PLASTIQUE JAUNE"/>
        <s v="BANDOULIÈRE 80 + GOUTTE TROUÉE EN FAUX CUIR + TISSU DEAUVILLE À RAYURES EFFET FLAMMÉ"/>
        <s v="CORPS O BAG EVA COMPOUND LATTE"/>
        <s v="ACCESSOIRES CHARMS POMPON EN FAUX CUIR SUÈDE SANGRIA"/>
        <s v="O CLOCK SHIFT CASE CLASSIC SLIM EN PLASTIQUE NOIR"/>
        <s v="CORPS O SQUARE EVA COMPOUND ROUGE"/>
        <s v="POCHETTE INTÉRIEURE FERMETURE ÉCLAIR O CITY EN TOILE NYLON + RUBAN LIVRE BICOLORE NO"/>
        <s v="POCHETTE INTÉRIEURE FERMETURE ÉCLAIR O BAG EN TISSU NYC À RAYURES BICOLORE NOIR"/>
        <s v="CORPS O BAG 50 EVA COMPOUND AVEC APPLICATIONS FLEURS ROSE SMOKE"/>
        <s v="POCHETTE INTÉRIEURE FERMETURE ÉCLAIR O BAG MINI EN TISSU DEAUVILLE À RAYURES LARGES"/>
        <s v="CORPS O BAG EVA COMPOUND ROUGE"/>
        <s v="CORPS O SQUARE EVA COMPOUND SABLE"/>
        <s v="CORPS O BAG EVA COMPOUND + CLOUS PYRAMIDES SANGRIA"/>
        <s v="O HUG CORPS PORTEFEUILLE FEMME EVA COMPOUND TEXTURE GRECQUE NOIR"/>
        <s v="ANSES TUBULAIRES EN FAUX CUIR ROUGE"/>
        <s v="CORPS O BAG 50 EVA COMPOUND SKYWAY"/>
        <s v="REVERS O BAG MINI EN TISSU DEAUVILLE À RAYURES SERRÉES ROUGE/CRÈME"/>
        <s v="CORPS O SWING EVA COMPOUND EFFET OSIER ROUGE"/>
        <s v="CORPS O MOON LIGHT EVA COMPOUND NAVY"/>
        <s v="MÉCANISME GREAT NYC LATITUD BLANC/NOIR/CÈDRE"/>
        <s v="POCHETTE INTÉRIEURE FERMETURE ÉCLAIR O MOON EN TISSU FANTAISIE COQUELICOTS SUR RAYU"/>
        <s v="POCHETTE INTÉRIEURE À COULISSE O SWING EN TISSU CANVAS NUDE"/>
        <s v="REVERS O BAG EN TISSU FLOWER BRODERIE ANGLAISE MÉTALLISÉE OR"/>
        <s v="ACCESSOIRES CHARMS POMPON EN FAUX CUIR PLEX + CLOUS JAUNE"/>
        <s v="POCHETTE INTÉRIEURE FERMETURE ÉCLAIR O CITY EN TISSU NYC VICHY BLANC/NOIR"/>
        <s v="ACCESSOIRE CLIP EN FAUX CUIR OPAQUE + OR CHAMPAGNE"/>
        <s v="ACCESSOIRES POCHETTE FILET EN FAUX CUIR BASIC NOIR"/>
        <s v="MÉCANISME GREAT URBAN DECOR DIAMONDS CHAMPAGNE"/>
        <s v="O HUG CORPS PORTEFEUILLE FEMME EVA COMPOUND TEXTURE GRECQUE AUBERGINE"/>
        <s v="CORPS O SWING EVA COMPOUND EFFET OSIER NAVY"/>
        <s v="BANDEAU BRACELET FOULARD TISSU LUXURY DRIPPING BLUETTE/ROUGE"/>
        <s v="CORPS O BAG MINI EVA COMPOUND TEXTURE À CHEVRONS LATTE"/>
        <s v="ACCESSOIRES CHARMS POMPON EN FAUX CUIR SUÈDE LATTE"/>
        <s v="ACCESSOIRE CLIP EN FAUX CUIR OPAQUE + ARGENT SANGRIA"/>
        <s v="CORPS O MOON EVA COMPOUND TEXTURE URBAN FRAME CHAMPAGNE"/>
        <s v="CORPS O CITY EVA COMPOUND CÈDRE"/>
        <s v="O CLOCK SHIFT BRACELET BAND EN MATÉRIAU INJECTÉ SANGRIA"/>
        <s v="CORPS O BAG 50 EVA COMPOUND AVEC APPLICATIONS FLEURS LATTE"/>
        <s v="MÉCANISME GREAT DATE NYC TIMES SQUARE NOIR"/>
        <s v="POCHETTE INTÉRIEURE FERMETURE ÉCLAIR O CITY EN TISSU CANVAS CÈDRE"/>
        <s v="O CLOCK MÉCANISME DEAUVILLE LINES + FLOWERS CORAIL"/>
        <s v="RABAT O POCKET EN TISSU NYC FANTAISIE GÉOMÉTRIQUE BLANC/NOIR"/>
        <s v="CORPS INFÉRIEUR O POCKET EVA COMPOUND BLEU COBALT"/>
        <s v="O CLOCK MÉCANISME NYC LINES CÈDRE"/>
        <s v="RABAT AVEC BANDEAU O POCKET TISSU DENIM NAVY"/>
        <s v="O CLOCK SHIFT CASE CLASSIC SLIM EN PLASTIQUE BLANC"/>
        <s v="O CLOCK SHIFT CASE CLASSIC SLIM EN PLASTIQUE SANGRIA"/>
        <s v="RABAT TOURNIQUET O CITY EN FAUX CUIR BASIC NAVY"/>
        <s v="CORPS O BAG EVA COMPOUND NOIR"/>
        <s v="CORPS O MOON LIGHT EVA COMPOUND TAUPE"/>
        <s v="POCHETTE INTÉRIEURE FERMETURE ÉCLAIR O BAG EN TISSU CANVAS ROSE SMOKE"/>
        <s v="ANSES LONGUES ADAPTABLES GOUTTE EN CORDE + GOUTTE TISSU CAOUTCHOUTÉ BLANC"/>
        <s v="RABAT O POCKET EN TISSU DEAUVILLE À RAYURES LARGES ROUGE/CRÈME"/>
        <s v="CORPS O BAG 50 EVA COMPOUND AVEC APPLICATIONS FLEURS SKYWAY"/>
        <s v="CORPS O MOON LIGHT EVA COMPOUND CÈDRE"/>
        <s v="ANSES TUBULAIRES EN FAUX CUIR NOIR"/>
        <s v="ACCESSOIRES CHARMS POMPON EN FAUX CUIR SUÈDE ROUGE"/>
        <s v="ANSES COURTES EN CORDE TRICOLORE BLANC/ROUGE/BLEU"/>
        <s v="ACCESSOIRES CHARMS POMPON EN FAUX CUIR SUÈDE BLEU COBALT"/>
        <s v="CORPS O POCKET MICRO EVA COMPOUND NOIR"/>
        <s v="BANDOULIÈRE COURTE NEW GOUTTE TROUÉE EN FAUX CUIR CLOUS PYRAMIDES SANGRIA"/>
        <s v="O HUG INTÉRIEUR PORTEFEUILLE FEMME EN FAUX CUIR VICHY BLANC/NOIR"/>
        <s v="POCHETTE INTÉRIEURE FERMETURE ÉCLAIR O MOON LIGHT EN TISSU CORDURA SABLE"/>
        <s v="POCHETTE INTÉRIEURE FERMETURE ÉCLAIR O BAG EN TISSU CANVAS BLEU COBALT"/>
        <s v="CORPS INFÉRIEUR O POCKET EVA COMPOUND GRIS CLAIR"/>
        <s v="POCHETTE INTÉRIEURE FERMETURE ÉCLAIR O BAG MINI EN TISSU CANVAS CÈDRE"/>
        <s v="ACCESSOIRES CHARMS POMPON EN FAUX CUIR PLEX + CLOUS NOIR"/>
        <s v="CORPS INFÉRIEUR O POCKET EVA COMPOUND VOLCAN"/>
        <s v="CORPS O BAG MINI EVA COMPOUND VOLCAN"/>
        <s v="CORPS O BAG EVA COMPOUND + CLOUS PYRAMIDES BLANC"/>
        <s v="ANSES LONGUES ADAPTABLES EN FAUX CUIR BASIC NAVY"/>
        <s v="O CLOCK SHIFT BRACELET BAND EN MATÉRIAU INJECTÉ OLIVE"/>
        <s v="CORPS COMPLET O BAG TOTE EN FAUX CUIR SOFT TOUCH SKYWAY"/>
        <s v="CORPS O BAG MINI EVA COMPOUND GRIS CLAIR"/>
        <s v="CORPS O MOON EVA COMPOUND VOLCAN"/>
        <s v="CORPS O SQUARE EVA COMPOUND VOLCAN"/>
        <s v="BANDEAU BRACELET FOULARD TISSU LUXURY CÔTELÉ BLUETTE/BLEU"/>
        <s v="POCHETTE INTÉRIEURE FERMETURE ÉCLAIR O BAG MINI EN COTON MOTIF PAPILLONS JAUNE"/>
        <s v="ACCESSOIRES CHARMS POMPON EN FAUX CUIR SUÈDE JAUNE"/>
        <s v="O HUG CORPS PORTEFEUILLE FEMME EVA COMPOUND TEXTURE GRECQUE LATTE"/>
        <s v="RABAT O POCKET EN COTON MOTIF PAPILLONS ROSE"/>
        <s v="POCHETTE INTÉRIEURE FERMETURE ÉCLAIR O BAG EN TISSU DEAUVILLE À RAYURES SERRÉES ROU"/>
        <s v="CORPS COMPLET O BAG TOTE EN NYLON COULEUR UNIE NAVY"/>
        <s v="O CLOCK MÉCANISME URBAN DECOR PETALS ROSE SMOKE"/>
        <s v="CORPS O MOON EVA COMPOUND ROSE SMOKE"/>
        <s v="CORPS O BAG EVA COMPOUND ATLANTIC"/>
        <s v="CORPS O BAG BEACH MINI EVA COMPOUND EFFET OSIER BLEU COBALT"/>
        <s v="O CLOCK MÉCANISME URBAN DECOR FLOWERS CIPRIA"/>
        <s v="O HUG INTÉRIEUR PORTEFEUILLE FEMME EN FAUX CUIR AVEC BRISÉ BLEU COBALT"/>
        <s v="CORPS O MOON LIGHT EVA COMPOUND VOLCAN"/>
        <s v="CORPS INFÉRIEUR O POCKET EVA COMPOUND ROSE SMOKE"/>
        <s v="POCHETTE INTÉRIEURE À COULISSE O SWING EN TISSU DENIM NAVY"/>
        <s v="O HUG INTÉRIEUR PORTEFEUILLE FEMME EN FAUX CUIR + FANTAISIE À FLEURS SUR RAYURES MUL"/>
        <s v="O CLOCK SHIFT BRACELET BAND EN MATÉRIAU INJECTÉ NOIR"/>
        <s v="BANDOULIÈRE AVEC TRESSAGE + CLIP EN FAUX CUIR BASIC NOIR"/>
        <s v="POCHETTE INTÉRIEURE FERMETURE ÉCLAIR O CITY EN TISSU CANVAS ROUGE"/>
        <s v="ANSES TUBULAIRES EN FAUX CUIR BLEU COBALT"/>
        <s v="RABAT O POCKET EN COTON MOTIF PAPILLONS JAUNE"/>
        <s v="CORPS O BAG MINI EVA COMPOUND TEXTURE À CHEVRONS SANGRIA"/>
        <s v="CORPS O BAG BEACH MINI EVA COMPOUND EFFET OSIER CÈDRE"/>
        <s v="POCHETTE INTÉRIEURE FERMETURE ÉCLAIR O BAG MINI EN TISSU CANVAS BLEU COBALT"/>
        <s v="MICRO-ANSES TUBULAIRES COURTES EN FAUX CUIR LISSE ROSE"/>
        <s v="REVERS O BAG MINI EN TISSU DEAUVILLE À RAYURES EFFET FLAMMÉ BLANC/ROUGE/BLEU"/>
        <s v="CORPS O MOON EVA COMPOUND TEXTURE URBAN FRAME ROSE SMOKE"/>
        <s v="CORPS O SQUARE EVA COMPOUND LATTE"/>
        <s v="CORPS O BAG MINI EVA COMPOUND ATLANTIC"/>
        <s v="CORPS O CITY EVA COMPOUND TAUPE"/>
        <s v="CORPS O BAG EVA COMPOUND ROSE SMOKE"/>
        <s v="RABAT TOURNIQUET O POCKET EN TISSU + FAUX CUIR NYC À RAYURES SANGRIA"/>
        <s v="CORPS O BAG MINI EVA COMPOUND TEXTURE À CHEVRONS CÈDRE"/>
        <s v="CORPS O SQUARE EVA COMPOUND NOIR"/>
        <s v="BANDOULIÈRE COURTE NEW GOUTTE TROUÉE EN FAUX CUIR CLOUS PYRAMIDES JAUNE"/>
        <s v="ACCESSOIRES CHARMS POMPON EN FAUX CUIR SUÈDE SKYWAY"/>
        <s v="CORPS O BAG EVA COMPOUND SANGRIA"/>
        <s v="RABAT TOURNIQUET O POCKET EN MICRO TISSU LUXURY DRIPPING ROUGE/BLUETTE"/>
        <s v="CORPS O MOON LIGHT EVA COMPOUND BLEU COBALT"/>
        <s v="LONGUE BANDOULIÈRE CHAÎNE CLIP O MOON EN FAUX CUIR NOIR"/>
        <s v="CORPS O POCKET MICRO EVA COMPOUND SKYWAY"/>
        <s v="POCHETTE INTÉRIEURE À COULISSE O SWING EN TISSU DEAUVILLE À RAYURES EFFET FLAMMÉ BLA"/>
        <s v="BANDOULIÈRE COURTE NEW GOUTTE TROUÉE EN TISSU NYC LOSANGES ROUGE"/>
        <s v="POCHETTE INTÉRIEURE FERMETURE ÉCLAIR O CITY EN TISSU CANVAS SANGRIA"/>
        <s v="POCHETTE INTÉRIEURE FERMETURE ÉCLAIR O MOON LIGHT EN COTON MOTIF PAPILLONS ROSE"/>
        <s v="CORPS O BAG MINI EVA COMPOUND TEXTURE À CHEVRONS NOIR"/>
        <s v="POCHETTE INTÉRIEURE FERMETURE ÉCLAIR O BAG EN TISSU CANVAS SANGRIA"/>
        <s v="ACCESSOIRES CHARMS POMPON EN FAUX CUIR SUÈDE GRIS CLAIR"/>
        <s v="LONGUE BANDOULIÈRE AVEC BOUCLE O MOON EN FAUX CUIR NUDE"/>
        <s v="MÉCANISME GREAT DATE SATIN BLANC/ROUGE/NOIR"/>
        <s v="POCHETTE INTÉRIEURE FERMETURE ÉCLAIR O MOON LIGHT EN TISSU NYC À RAYURES BICOLORE R"/>
        <s v="CORPS O MOON EVA COMPOUND CÈDRE"/>
        <s v="ANSES COURTES EN FAUX CUIR CLOUS ÉMAILLÉS SKYWAY"/>
        <s v="BANDOULIÈRE COURTE NEW GOUTTE TROUÉE EN FAUX CUIR CLOUS PYRAMIDES NOIR"/>
        <s v="CORPS O BAG MINI EVA COMPOUND TEXTURE À CHEVRONS ROUGE"/>
        <s v="ACCESSOIRES POCHETTE FILET EN FAUX CUIR BASIC NAVY"/>
        <s v="CORPS O BAG BEACH MINI EVA COMPOUND EFFET OSIER SANGRIA"/>
        <s v="POCHETTE INTÉRIEURE FERMETURE ÉCLAIR O MOON EN TISSU NYC À RAYURES BICOLORE NOIR"/>
        <s v="ACCESSOIRES CHARMS POMPON EN FAUX CUIR SUÈDE VERT"/>
        <s v="CORPS INFÉRIEUR O POCKET EVA COMPOUND ROUGE"/>
        <s v="BANDOULIÈRE /BRETELLE SLIM 140 EN PVC NOIR"/>
        <s v="REVERS O BAG MINI EN TISSU DEAUVILLE À RAYURES SERRÉES NAVY/CRÈME"/>
        <s v="ACCESSOIRES CHARMS POMPON EN FAUX CUIR SUÈDE NOIR"/>
        <s v="CORPS O MOON EVA COMPOUND TEXTURE URBAN FRAME LATTE"/>
        <s v="POCHETTE INTÉRIEURE FERMETURE ÉCLAIR O MOON EN TISSU CANVAS ROUGE"/>
        <s v="CORPS O BAG 50 EVA COMPOUND ROUGE"/>
        <s v="O CLOCK MÉCANISME NYC FLOWER BLEU COBALT"/>
        <s v="O CLOCK MÉCANISME NYC FLOWER SANGRIA"/>
        <s v="CORPS O BAG MINI EVA COMPOUND SKYWAY"/>
        <s v="RABAT TOURNIQUET O POCKET EN TISSU + FAUX CUIR NYC À RAYURES JAUNE"/>
        <s v="POCHETTE INTÉRIEURE FERMETURE ÉCLAIR O MOON EN TISSU NYC À RAYURES BICOLORE ROUGE"/>
        <s v="ACCESSOIRE CLIP EN FAUX CUIR OPAQUE + ARGENT JAUNE"/>
        <s v="POCHETTE INTÉRIEURE FERMETURE ÉCLAIR O BAG 50 EN TISSU CANVAS BLEU COBALT"/>
        <s v="ACCESSOIRES PENDENTIF POMPON EN RAPHIA TISSÉ ROUGE"/>
        <s v="LONGUE BANDOULIÈRE DOUBLE FIL O MOON LIGHT EN FAUX CUIR NUDE"/>
        <s v="RABAT O POCKET MICRO EN FAUX CUIR CLOUS PYRAMIDES NOIR"/>
        <s v="CORPS COMPLET O BAG TOTE EN TISSU DEAUVILLE À RAYURES NUANCÉES BLEU"/>
        <s v="POCHETTE INTÉRIEURE FERMETURE ÉCLAIR O MOON LIGHT EN TISSU NYC À RAYURES BICOLORE N"/>
        <s v="BANDOULIÈRE AVEC TRESSAGE + CLIP EN FAUX CUIR BASIC JAUNE"/>
        <s v="CORPS O BAG 50 EVA COMPOUND SABLE"/>
        <s v="CORPS O BAG MINI EVA COMPOUND CORAIL"/>
        <s v="ACCESSOIRES POCHETTE FILET EN FAUX CUIR BASIC BLEU COBALT"/>
        <s v="ANSES SPORTY + BRETELLE O SQUARE TISSU RUBAN YACHT BLUETTE/ROUGE/BLEU"/>
        <s v="CORPS INFÉRIEUR O POCKET EVA COMPOUND SABLE"/>
        <s v="CORPS O BAG MINI EVA COMPOUND SANGRIA"/>
        <s v="BANDOULIÈRE 80/120 + GOUTTE TROUÉE TISSU RUBAN METAL DECOR ROSE/CHAMPAGNE"/>
        <s v="POCHETTE INTÉRIEURE FERMETURE ÉCLAIR O CITY EN TISSU CANVAS + RUBAN ROUGE"/>
        <s v="CORPS O POCKET MICRO EVA COMPOUND ROUGE"/>
        <s v="CORPS O SWING EVA COMPOUND EFFET OSIER BLEU COBALT"/>
        <s v="RABAT O POCKET MICRO EN FAUX CUIR CLOUS PYRAMIDES BLANC"/>
        <s v="RABAT O POCKET EN TISSU LUXURY STRIPES BLANC/BLUETTE"/>
        <s v="RABAT O POCKET EN NYLON À RAYURES + PVC NOIR"/>
        <s v="POCHETTE INTÉRIEURE FERMETURE ÉCLAIR O BAG 50 EN TISSU CANVAS ROUGE"/>
        <s v="POCHETTE INTÉRIEURE FERMETURE ÉCLAIR O BAG MINI EN TISSU NYC À RAYURES BICOLORE ROU"/>
        <s v="RABAT TOURNIQUET O POCKET EN TISSU + FAUX CUIR NYC À RAYURES ROUGE"/>
        <s v="CORPS O BAG EVA COMPOUND TAUPE"/>
        <s v="O CLOCK MÉCANISME DEAUVILLE LINES + FLOWERS CÈDRE"/>
        <s v="O HUG INTÉRIEUR PORTEFEUILLE FEMME EN FAUX CUIR AVEC BRISÉ ROUGE"/>
        <s v="O CLOCK SHIFT CASE CLASSIC SLIM EN PLASTIQUE OCÉAN"/>
        <s v="RABAT TOURNIQUET O CITY EN FAUX CUIR BASIC SKYWAY"/>
        <s v="POCHETTE INTÉRIEURE FERMETURE ÉCLAIR O BAG BEACH MINI EN TISSU CORDURA NOIR"/>
        <s v="RABAT TOURNIQUET O POCKET EN MICRO EN FAUX CUIR MÉTALLISÉ + FLEURS PVC OPAQUE ROSE"/>
        <s v="POCHETTE INTÉRIEURE FERMETURE ÉCLAIR O MOON EN TISSU BOUCLÉ DÉCOR BLANC"/>
        <s v="RABAT AVEC BANDEAU O POCKET EN FAUX CUIR RUBAN LIVRE BICOLORE ROUGE"/>
      </sharedItems>
    </cacheField>
    <cacheField name="Qté" numFmtId="0">
      <sharedItems containsSemiMixedTypes="0" containsString="0" containsNumber="1" containsInteger="1" minValue="1" maxValue="18" count="9">
        <n v="1"/>
        <n v="3"/>
        <n v="2"/>
        <n v="8"/>
        <n v="6"/>
        <n v="4"/>
        <n v="18"/>
        <n v="10"/>
        <n v="5"/>
      </sharedItems>
    </cacheField>
    <cacheField name="Prix U" numFmtId="0">
      <sharedItems containsMixedTypes="1" containsNumber="1" containsInteger="1" minValue="3" maxValue="33"/>
    </cacheField>
    <cacheField name="Prix T" numFmtId="0">
      <sharedItems containsMixedTypes="1" containsNumber="1" containsInteger="1" minValue="6" maxValue="6307909899"/>
    </cacheField>
    <cacheField name="Prix T2" numFmtId="0">
      <sharedItems containsSemiMixedTypes="0" containsString="0" containsNumber="1" minValue="4.8" maxValue="226.79999999999998"/>
    </cacheField>
    <cacheField name="Chec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53">
  <r>
    <s v="OBAGS001 TES01 26"/>
    <n v="1"/>
    <x v="0"/>
    <n v="26"/>
    <x v="0"/>
    <x v="0"/>
    <n v="3"/>
    <s v="7,8"/>
    <s v="23,4"/>
    <n v="23.4"/>
    <b v="1"/>
    <m/>
    <x v="0"/>
  </r>
  <r>
    <s v="HLESMD00 ECS46 76"/>
    <n v="2"/>
    <x v="1"/>
    <n v="76"/>
    <x v="1"/>
    <x v="1"/>
    <n v="4"/>
    <s v="12,72"/>
    <s v="50,88"/>
    <n v="50.88"/>
    <b v="1"/>
    <m/>
    <x v="0"/>
  </r>
  <r>
    <s v="OBAGB024 EVS00 347"/>
    <n v="3"/>
    <x v="2"/>
    <n v="347"/>
    <x v="2"/>
    <x v="2"/>
    <n v="3"/>
    <s v="4,8"/>
    <s v="14,4"/>
    <n v="14.399999999999999"/>
    <b v="1"/>
    <m/>
    <x v="1"/>
  </r>
  <r>
    <s v="SHOUGH00 TESI3 470"/>
    <n v="4"/>
    <x v="3"/>
    <n v="470"/>
    <x v="3"/>
    <x v="3"/>
    <n v="2"/>
    <s v="13,44"/>
    <s v="26,88"/>
    <n v="26.88"/>
    <b v="1"/>
    <m/>
    <x v="1"/>
  </r>
  <r>
    <s v="SHOUWA00 ECS51 422"/>
    <n v="5"/>
    <x v="4"/>
    <n v="422"/>
    <x v="4"/>
    <x v="4"/>
    <n v="2"/>
    <s v="18,12"/>
    <s v="36,24"/>
    <n v="36.24"/>
    <b v="1"/>
    <m/>
    <x v="0"/>
  </r>
  <r>
    <s v="OBAGS010 TES01 347"/>
    <n v="6"/>
    <x v="5"/>
    <n v="347"/>
    <x v="2"/>
    <x v="5"/>
    <n v="2"/>
    <s v="9,36"/>
    <s v="18,72"/>
    <n v="18.72"/>
    <b v="1"/>
    <m/>
    <x v="1"/>
  </r>
  <r>
    <s v="OBAGPA06 TESF1 422"/>
    <n v="7"/>
    <x v="6"/>
    <n v="422"/>
    <x v="4"/>
    <x v="6"/>
    <n v="2"/>
    <s v="12,72"/>
    <s v="25,44"/>
    <n v="25.44"/>
    <b v="1"/>
    <m/>
    <x v="0"/>
  </r>
  <r>
    <s v="SHOUCF00 ECS35 8"/>
    <n v="8"/>
    <x v="7"/>
    <n v="8"/>
    <x v="5"/>
    <x v="7"/>
    <n v="6"/>
    <s v="11,88"/>
    <s v="71,28"/>
    <n v="71.28"/>
    <b v="1"/>
    <m/>
    <x v="0"/>
  </r>
  <r>
    <s v="ACCEC002 ECS65 36"/>
    <n v="9"/>
    <x v="8"/>
    <n v="36"/>
    <x v="6"/>
    <x v="8"/>
    <n v="2"/>
    <s v="7,8"/>
    <s v="15,6"/>
    <n v="15.6"/>
    <b v="1"/>
    <m/>
    <x v="0"/>
  </r>
  <r>
    <s v="HLESD000 ECS35 26"/>
    <n v="10"/>
    <x v="9"/>
    <n v="26"/>
    <x v="0"/>
    <x v="9"/>
    <n v="3"/>
    <s v="14,4"/>
    <s v="43,2"/>
    <n v="43.2"/>
    <b v="1"/>
    <m/>
    <x v="0"/>
  </r>
  <r>
    <s v="SHOUBG00 ECS35 479"/>
    <n v="11"/>
    <x v="10"/>
    <n v="479"/>
    <x v="7"/>
    <x v="10"/>
    <n v="2"/>
    <s v="7,2"/>
    <s v="14,4"/>
    <n v="14.4"/>
    <b v="1"/>
    <m/>
    <x v="1"/>
  </r>
  <r>
    <s v="OBAGS010 TESF8 481"/>
    <n v="12"/>
    <x v="11"/>
    <n v="481"/>
    <x v="8"/>
    <x v="11"/>
    <n v="2"/>
    <s v="12,72"/>
    <s v="25,44"/>
    <n v="25.44"/>
    <b v="1"/>
    <m/>
    <x v="1"/>
  </r>
  <r>
    <s v="OBAGS010 TES01 26"/>
    <n v="13"/>
    <x v="5"/>
    <n v="26"/>
    <x v="0"/>
    <x v="5"/>
    <n v="2"/>
    <s v="9,36"/>
    <s v="18,72"/>
    <n v="18.72"/>
    <b v="1"/>
    <m/>
    <x v="0"/>
  </r>
  <r>
    <s v="OCLKD001 MES81 17"/>
    <n v="14"/>
    <x v="12"/>
    <n v="17"/>
    <x v="9"/>
    <x v="12"/>
    <n v="3"/>
    <n v="9"/>
    <n v="27"/>
    <n v="27"/>
    <b v="1"/>
    <m/>
    <x v="0"/>
  </r>
  <r>
    <s v="OHUGI002 ECS70 26"/>
    <n v="15"/>
    <x v="13"/>
    <n v="26"/>
    <x v="0"/>
    <x v="13"/>
    <n v="3"/>
    <s v="19,32"/>
    <s v="57,96"/>
    <n v="57.96"/>
    <b v="1"/>
    <m/>
    <x v="0"/>
  </r>
  <r>
    <s v="OBAGS121 TESG8 61"/>
    <n v="16"/>
    <x v="14"/>
    <n v="61"/>
    <x v="10"/>
    <x v="14"/>
    <n v="2"/>
    <s v="15,6"/>
    <s v="31,2"/>
    <n v="31.2"/>
    <b v="1"/>
    <m/>
    <x v="0"/>
  </r>
  <r>
    <s v="OCLKD001 MES84 75"/>
    <n v="17"/>
    <x v="15"/>
    <n v="75"/>
    <x v="11"/>
    <x v="15"/>
    <n v="3"/>
    <s v="8,4"/>
    <s v="25,2"/>
    <n v="25.200000000000003"/>
    <b v="1"/>
    <m/>
    <x v="0"/>
  </r>
  <r>
    <s v="OCLKD001 MES84 130"/>
    <n v="18"/>
    <x v="15"/>
    <n v="130"/>
    <x v="12"/>
    <x v="15"/>
    <n v="3"/>
    <s v="8,4"/>
    <s v="25,2"/>
    <n v="25.200000000000003"/>
    <b v="1"/>
    <m/>
    <x v="1"/>
  </r>
  <r>
    <s v="OBAGPA10 ECS35 76"/>
    <n v="19"/>
    <x v="16"/>
    <n v="76"/>
    <x v="1"/>
    <x v="16"/>
    <n v="2"/>
    <s v="6,72"/>
    <s v="13,44"/>
    <n v="13.44"/>
    <b v="1"/>
    <m/>
    <x v="0"/>
  </r>
  <r>
    <s v="ACCEP014 ECS35 371"/>
    <n v="20"/>
    <x v="17"/>
    <n v="371"/>
    <x v="13"/>
    <x v="17"/>
    <n v="3"/>
    <s v="9,6"/>
    <s v="28,8"/>
    <n v="28.799999999999997"/>
    <b v="1"/>
    <m/>
    <x v="1"/>
  </r>
  <r>
    <s v="SHOUG617 ECS00 55"/>
    <n v="21"/>
    <x v="18"/>
    <n v="55"/>
    <x v="14"/>
    <x v="18"/>
    <n v="10"/>
    <s v="9,6"/>
    <n v="96"/>
    <n v="96"/>
    <b v="1"/>
    <m/>
    <x v="0"/>
  </r>
  <r>
    <s v="OBAGB001 EVS00 76"/>
    <n v="22"/>
    <x v="19"/>
    <n v="76"/>
    <x v="1"/>
    <x v="19"/>
    <n v="3"/>
    <s v="14,4"/>
    <s v="43,2"/>
    <n v="43.2"/>
    <b v="1"/>
    <m/>
    <x v="0"/>
  </r>
  <r>
    <s v="OBAGB009 EVS00 158"/>
    <n v="23"/>
    <x v="20"/>
    <n v="158"/>
    <x v="15"/>
    <x v="20"/>
    <n v="1"/>
    <s v="14,4"/>
    <s v="14,4"/>
    <n v="14.4"/>
    <b v="1"/>
    <m/>
    <x v="2"/>
  </r>
  <r>
    <s v="OBAGB010 EVS00 158"/>
    <n v="24"/>
    <x v="21"/>
    <n v="158"/>
    <x v="15"/>
    <x v="21"/>
    <n v="1"/>
    <s v="13,08"/>
    <s v="13,08"/>
    <n v="13.08"/>
    <b v="1"/>
    <m/>
    <x v="2"/>
  </r>
  <r>
    <s v="OBAGB206 EVS00 78"/>
    <n v="25"/>
    <x v="22"/>
    <n v="78"/>
    <x v="16"/>
    <x v="22"/>
    <n v="1"/>
    <s v="4,8"/>
    <s v="4,8"/>
    <n v="4.8"/>
    <b v="1"/>
    <m/>
    <x v="0"/>
  </r>
  <r>
    <s v="OBAGB206 EVS00 133"/>
    <n v="26"/>
    <x v="22"/>
    <n v="133"/>
    <x v="17"/>
    <x v="22"/>
    <n v="1"/>
    <s v="4,8"/>
    <s v="4,8"/>
    <n v="4.8"/>
    <b v="1"/>
    <m/>
    <x v="2"/>
  </r>
  <r>
    <s v="OBAGB016 EVS00 158"/>
    <n v="27"/>
    <x v="23"/>
    <n v="158"/>
    <x v="15"/>
    <x v="23"/>
    <n v="2"/>
    <s v="12,6"/>
    <s v="25,2"/>
    <n v="25.2"/>
    <b v="1"/>
    <m/>
    <x v="2"/>
  </r>
  <r>
    <s v="OBAGB002 EVS00 75"/>
    <n v="28"/>
    <x v="24"/>
    <n v="75"/>
    <x v="11"/>
    <x v="24"/>
    <n v="3"/>
    <s v="14,4"/>
    <s v="43,2"/>
    <n v="43.2"/>
    <b v="1"/>
    <m/>
    <x v="0"/>
  </r>
  <r>
    <s v="OBAGB002 EVS00 422"/>
    <n v="29"/>
    <x v="24"/>
    <n v="422"/>
    <x v="4"/>
    <x v="24"/>
    <n v="3"/>
    <s v="14,4"/>
    <s v="43,2"/>
    <n v="43.2"/>
    <b v="1"/>
    <m/>
    <x v="3"/>
  </r>
  <r>
    <s v="OBAGS121 TES01 55"/>
    <n v="30"/>
    <x v="25"/>
    <n v="55"/>
    <x v="14"/>
    <x v="25"/>
    <n v="3"/>
    <s v="7,8"/>
    <s v="23,4"/>
    <n v="23.4"/>
    <b v="1"/>
    <m/>
    <x v="0"/>
  </r>
  <r>
    <s v="OBAGB010 EVS00 422"/>
    <n v="31"/>
    <x v="21"/>
    <n v="422"/>
    <x v="4"/>
    <x v="21"/>
    <n v="2"/>
    <s v="13,08"/>
    <s v="26,16"/>
    <n v="26.16"/>
    <b v="1"/>
    <m/>
    <x v="3"/>
  </r>
  <r>
    <s v="OBAGB021 EVS03 26"/>
    <n v="32"/>
    <x v="26"/>
    <n v="26"/>
    <x v="0"/>
    <x v="26"/>
    <n v="3"/>
    <s v="11,88"/>
    <s v="35,64"/>
    <n v="35.64"/>
    <b v="1"/>
    <m/>
    <x v="0"/>
  </r>
  <r>
    <s v="OBAGB001 EVS00 347"/>
    <n v="33"/>
    <x v="19"/>
    <n v="347"/>
    <x v="2"/>
    <x v="19"/>
    <n v="4"/>
    <s v="14,4"/>
    <s v="57,6"/>
    <n v="57.6"/>
    <b v="1"/>
    <m/>
    <x v="1"/>
  </r>
  <r>
    <s v="OBAGB002 EVS00 483"/>
    <n v="34"/>
    <x v="24"/>
    <n v="483"/>
    <x v="18"/>
    <x v="24"/>
    <n v="3"/>
    <s v="14,4"/>
    <s v="43,2"/>
    <n v="43.2"/>
    <b v="1"/>
    <m/>
    <x v="1"/>
  </r>
  <r>
    <s v="OBAGB001 EVS00 486"/>
    <n v="35"/>
    <x v="19"/>
    <n v="486"/>
    <x v="19"/>
    <x v="19"/>
    <n v="3"/>
    <s v="14,4"/>
    <s v="43,2"/>
    <n v="43.2"/>
    <b v="1"/>
    <m/>
    <x v="1"/>
  </r>
  <r>
    <s v="OBAGB001 EVS00 479"/>
    <n v="36"/>
    <x v="19"/>
    <n v="479"/>
    <x v="7"/>
    <x v="19"/>
    <n v="3"/>
    <s v="14,4"/>
    <s v="43,2"/>
    <n v="43.2"/>
    <b v="1"/>
    <m/>
    <x v="1"/>
  </r>
  <r>
    <s v="OCLKE013 MAS00 36"/>
    <n v="37"/>
    <x v="27"/>
    <n v="36"/>
    <x v="6"/>
    <x v="27"/>
    <n v="6"/>
    <s v="1,92"/>
    <s v="11,52"/>
    <n v="11.52"/>
    <b v="1"/>
    <m/>
    <x v="0"/>
  </r>
  <r>
    <s v="ACCEF001 TESF4 473"/>
    <n v="38"/>
    <x v="28"/>
    <n v="473"/>
    <x v="20"/>
    <x v="28"/>
    <n v="4"/>
    <s v="7,08"/>
    <s v="28,32"/>
    <n v="28.32"/>
    <b v="1"/>
    <m/>
    <x v="0"/>
  </r>
  <r>
    <s v="SHOUGG00 TESI1 227"/>
    <n v="39"/>
    <x v="29"/>
    <n v="227"/>
    <x v="21"/>
    <x v="29"/>
    <n v="2"/>
    <s v="13,44"/>
    <s v="26,88"/>
    <n v="26.88"/>
    <b v="1"/>
    <m/>
    <x v="1"/>
  </r>
  <r>
    <s v="ACCEC002 ECS03 371"/>
    <n v="40"/>
    <x v="30"/>
    <n v="371"/>
    <x v="13"/>
    <x v="30"/>
    <n v="3"/>
    <s v="7,08"/>
    <s v="21,24"/>
    <n v="21.240000000000002"/>
    <b v="1"/>
    <m/>
    <x v="1"/>
  </r>
  <r>
    <s v="SHOUCF00 ECS35 76"/>
    <n v="41"/>
    <x v="7"/>
    <n v="76"/>
    <x v="1"/>
    <x v="7"/>
    <n v="4"/>
    <s v="11,88"/>
    <s v="47,52"/>
    <n v="47.52"/>
    <b v="1"/>
    <m/>
    <x v="0"/>
  </r>
  <r>
    <s v="OBAGB426 MAS09 55"/>
    <n v="42"/>
    <x v="31"/>
    <n v="55"/>
    <x v="14"/>
    <x v="31"/>
    <n v="3"/>
    <s v="29,4"/>
    <s v="88,2"/>
    <n v="88.199999999999989"/>
    <b v="1"/>
    <m/>
    <x v="0"/>
  </r>
  <r>
    <s v="ACCEC002 ECS03 89"/>
    <n v="43"/>
    <x v="30"/>
    <n v="89"/>
    <x v="22"/>
    <x v="30"/>
    <n v="2"/>
    <s v="7,08"/>
    <s v="14,16"/>
    <n v="14.16"/>
    <b v="1"/>
    <m/>
    <x v="0"/>
  </r>
  <r>
    <s v="HLESZ817 TESI4 241"/>
    <n v="44"/>
    <x v="32"/>
    <n v="241"/>
    <x v="23"/>
    <x v="32"/>
    <n v="4"/>
    <n v="18"/>
    <n v="72"/>
    <n v="72"/>
    <b v="1"/>
    <m/>
    <x v="0"/>
  </r>
  <r>
    <s v="OBAGS001 TES01 75"/>
    <n v="45"/>
    <x v="0"/>
    <n v="75"/>
    <x v="11"/>
    <x v="0"/>
    <n v="3"/>
    <s v="7,8"/>
    <s v="23,4"/>
    <n v="23.4"/>
    <b v="1"/>
    <m/>
    <x v="0"/>
  </r>
  <r>
    <s v="OBAGB024 EVS00 76"/>
    <n v="46"/>
    <x v="2"/>
    <n v="76"/>
    <x v="1"/>
    <x v="2"/>
    <n v="3"/>
    <s v="4,8"/>
    <s v="14,4"/>
    <n v="14.399999999999999"/>
    <b v="1"/>
    <m/>
    <x v="0"/>
  </r>
  <r>
    <s v="SHOUGH00 TESI3 471"/>
    <n v="47"/>
    <x v="3"/>
    <n v="471"/>
    <x v="24"/>
    <x v="3"/>
    <n v="2"/>
    <s v="13,44"/>
    <s v="26,88"/>
    <n v="26.88"/>
    <b v="1"/>
    <m/>
    <x v="0"/>
  </r>
  <r>
    <s v="SHOUWA00 ECS51 76"/>
    <n v="48"/>
    <x v="4"/>
    <n v="76"/>
    <x v="1"/>
    <x v="4"/>
    <n v="2"/>
    <s v="18,12"/>
    <s v="36,24"/>
    <n v="36.24"/>
    <b v="1"/>
    <m/>
    <x v="0"/>
  </r>
  <r>
    <s v="ACCEC002 ECS65 422"/>
    <n v="49"/>
    <x v="8"/>
    <n v="422"/>
    <x v="4"/>
    <x v="8"/>
    <n v="2"/>
    <s v="7,8"/>
    <s v="15,6"/>
    <n v="15.6"/>
    <b v="1"/>
    <m/>
    <x v="1"/>
  </r>
  <r>
    <s v="OBAGS002 TESG2 76"/>
    <n v="50"/>
    <x v="33"/>
    <n v="76"/>
    <x v="1"/>
    <x v="33"/>
    <n v="2"/>
    <s v="9,72"/>
    <s v="19,44"/>
    <n v="19.440000000000001"/>
    <b v="1"/>
    <m/>
    <x v="0"/>
  </r>
  <r>
    <s v="OBAGS010 TESG2 17"/>
    <n v="51"/>
    <x v="34"/>
    <n v="17"/>
    <x v="9"/>
    <x v="34"/>
    <n v="2"/>
    <s v="14,4"/>
    <s v="28,8"/>
    <n v="28.8"/>
    <b v="1"/>
    <m/>
    <x v="0"/>
  </r>
  <r>
    <s v="OBAGS018 TESG2 76"/>
    <n v="52"/>
    <x v="35"/>
    <n v="76"/>
    <x v="1"/>
    <x v="35"/>
    <n v="2"/>
    <s v="12,72"/>
    <s v="25,44"/>
    <n v="25.44"/>
    <b v="1"/>
    <m/>
    <x v="0"/>
  </r>
  <r>
    <s v="OBAGB021 EVS03 479"/>
    <n v="53"/>
    <x v="26"/>
    <n v="479"/>
    <x v="7"/>
    <x v="26"/>
    <n v="3"/>
    <s v="11,88"/>
    <s v="35,64"/>
    <n v="35.64"/>
    <b v="1"/>
    <m/>
    <x v="0"/>
  </r>
  <r>
    <s v="OBAGS009 TES01 75"/>
    <n v="54"/>
    <x v="36"/>
    <n v="75"/>
    <x v="11"/>
    <x v="36"/>
    <n v="2"/>
    <s v="9,78"/>
    <s v="19,56"/>
    <n v="19.559999999999999"/>
    <b v="1"/>
    <m/>
    <x v="0"/>
  </r>
  <r>
    <s v="OBAGS016 TES01 75"/>
    <n v="55"/>
    <x v="37"/>
    <n v="75"/>
    <x v="11"/>
    <x v="37"/>
    <n v="2"/>
    <s v="10,8"/>
    <s v="21,6"/>
    <n v="21.6"/>
    <b v="1"/>
    <m/>
    <x v="0"/>
  </r>
  <r>
    <s v="HLESAE00 ECS00 479"/>
    <n v="56"/>
    <x v="38"/>
    <n v="479"/>
    <x v="7"/>
    <x v="38"/>
    <n v="2"/>
    <s v="4,56"/>
    <s v="9,12"/>
    <n v="9.1199999999999992"/>
    <b v="1"/>
    <m/>
    <x v="1"/>
  </r>
  <r>
    <s v="SHOUBG00 ECS35 55"/>
    <n v="57"/>
    <x v="10"/>
    <n v="55"/>
    <x v="14"/>
    <x v="10"/>
    <n v="2"/>
    <s v="7,2"/>
    <s v="14,4"/>
    <n v="14.4"/>
    <b v="1"/>
    <m/>
    <x v="0"/>
  </r>
  <r>
    <s v="OBAGA000 ECS40 483"/>
    <n v="58"/>
    <x v="39"/>
    <n v="483"/>
    <x v="18"/>
    <x v="39"/>
    <n v="6"/>
    <n v="3"/>
    <n v="18"/>
    <n v="18"/>
    <b v="1"/>
    <m/>
    <x v="1"/>
  </r>
  <r>
    <s v="OBAGB206 EVS00 55"/>
    <n v="59"/>
    <x v="22"/>
    <n v="55"/>
    <x v="14"/>
    <x v="22"/>
    <n v="1"/>
    <s v="4,8"/>
    <s v="4,8"/>
    <n v="4.8"/>
    <b v="1"/>
    <m/>
    <x v="0"/>
  </r>
  <r>
    <s v="OBAGB206 EVS00 371"/>
    <n v="60"/>
    <x v="22"/>
    <n v="371"/>
    <x v="13"/>
    <x v="22"/>
    <n v="1"/>
    <s v="4,8"/>
    <s v="4,8"/>
    <n v="4.8"/>
    <b v="1"/>
    <m/>
    <x v="4"/>
  </r>
  <r>
    <s v="OBAGB010 EVS00 75"/>
    <n v="61"/>
    <x v="21"/>
    <n v="75"/>
    <x v="11"/>
    <x v="21"/>
    <n v="2"/>
    <s v="13,08"/>
    <s v="26,16"/>
    <n v="26.16"/>
    <b v="1"/>
    <m/>
    <x v="0"/>
  </r>
  <r>
    <s v="OHUGB002 EVS06 75"/>
    <n v="62"/>
    <x v="40"/>
    <n v="75"/>
    <x v="11"/>
    <x v="40"/>
    <n v="3"/>
    <s v="6,6"/>
    <s v="19,8"/>
    <n v="19.799999999999997"/>
    <b v="1"/>
    <m/>
    <x v="0"/>
  </r>
  <r>
    <s v="OBAGB019 EVS00 158"/>
    <n v="63"/>
    <x v="41"/>
    <n v="158"/>
    <x v="15"/>
    <x v="41"/>
    <n v="2"/>
    <s v="13,92"/>
    <s v="27,84"/>
    <n v="27.84"/>
    <b v="1"/>
    <m/>
    <x v="0"/>
  </r>
  <r>
    <s v="OBAGB017 EVS00 158"/>
    <n v="64"/>
    <x v="42"/>
    <n v="158"/>
    <x v="15"/>
    <x v="42"/>
    <n v="2"/>
    <s v="11,04"/>
    <s v="22,08"/>
    <n v="22.08"/>
    <b v="1"/>
    <m/>
    <x v="2"/>
  </r>
  <r>
    <s v="OBAGB021 EVS03 55"/>
    <n v="65"/>
    <x v="26"/>
    <n v="55"/>
    <x v="14"/>
    <x v="26"/>
    <n v="2"/>
    <s v="11,88"/>
    <s v="23,76"/>
    <n v="23.76"/>
    <b v="1"/>
    <m/>
    <x v="0"/>
  </r>
  <r>
    <s v="OBAGB018 EVS03 371"/>
    <n v="66"/>
    <x v="43"/>
    <n v="371"/>
    <x v="13"/>
    <x v="43"/>
    <n v="3"/>
    <s v="11,88"/>
    <s v="35,64"/>
    <n v="35.64"/>
    <b v="1"/>
    <m/>
    <x v="0"/>
  </r>
  <r>
    <s v="OBAGB018 EVS03 17"/>
    <n v="67"/>
    <x v="43"/>
    <n v="17"/>
    <x v="9"/>
    <x v="43"/>
    <n v="2"/>
    <s v="11,88"/>
    <s v="23,76"/>
    <n v="23.76"/>
    <b v="1"/>
    <m/>
    <x v="0"/>
  </r>
  <r>
    <s v="OBAGB009 EVS00 347"/>
    <n v="68"/>
    <x v="20"/>
    <n v="347"/>
    <x v="2"/>
    <x v="20"/>
    <n v="2"/>
    <s v="14,4"/>
    <s v="28,8"/>
    <n v="28.8"/>
    <b v="1"/>
    <m/>
    <x v="1"/>
  </r>
  <r>
    <s v="OBAGB017 EVS00 26"/>
    <n v="69"/>
    <x v="42"/>
    <n v="26"/>
    <x v="0"/>
    <x v="42"/>
    <n v="2"/>
    <s v="11,04"/>
    <s v="22,08"/>
    <n v="22.08"/>
    <b v="1"/>
    <m/>
    <x v="0"/>
  </r>
  <r>
    <s v="OBAGB019 EVS00 371"/>
    <n v="70"/>
    <x v="41"/>
    <n v="371"/>
    <x v="13"/>
    <x v="41"/>
    <n v="2"/>
    <s v="13,92"/>
    <s v="27,84"/>
    <n v="27.84"/>
    <b v="1"/>
    <m/>
    <x v="0"/>
  </r>
  <r>
    <s v="OCLKE013 MAS00 60"/>
    <n v="71"/>
    <x v="27"/>
    <n v="60"/>
    <x v="14"/>
    <x v="27"/>
    <n v="6"/>
    <s v="1,92"/>
    <s v="11,52"/>
    <n v="11.52"/>
    <b v="1"/>
    <m/>
    <x v="0"/>
  </r>
  <r>
    <s v="OCLKSB01 INS00 36"/>
    <n v="72"/>
    <x v="44"/>
    <n v="36"/>
    <x v="6"/>
    <x v="44"/>
    <n v="6"/>
    <s v="2,52"/>
    <s v="15,12"/>
    <n v="15.120000000000001"/>
    <b v="1"/>
    <m/>
    <x v="0"/>
  </r>
  <r>
    <s v="HLESD000 ECS35 55"/>
    <n v="73"/>
    <x v="9"/>
    <n v="55"/>
    <x v="14"/>
    <x v="9"/>
    <n v="4"/>
    <s v="14,4"/>
    <s v="57,6"/>
    <n v="57.6"/>
    <b v="1"/>
    <m/>
    <x v="0"/>
  </r>
  <r>
    <s v="OBAGS017 TESE3 227"/>
    <n v="74"/>
    <x v="45"/>
    <n v="227"/>
    <x v="21"/>
    <x v="45"/>
    <n v="2"/>
    <s v="10,8"/>
    <s v="21,6"/>
    <n v="21.6"/>
    <b v="1"/>
    <m/>
    <x v="1"/>
  </r>
  <r>
    <s v="OBAGT002 TESG3 480"/>
    <n v="75"/>
    <x v="46"/>
    <n v="480"/>
    <x v="25"/>
    <x v="46"/>
    <n v="2"/>
    <s v="10,8"/>
    <s v="21,6"/>
    <n v="21.6"/>
    <b v="1"/>
    <m/>
    <x v="1"/>
  </r>
  <r>
    <s v="ACCEP014 ECS35 55"/>
    <n v="76"/>
    <x v="17"/>
    <n v="55"/>
    <x v="14"/>
    <x v="17"/>
    <n v="4"/>
    <s v="9,6"/>
    <s v="38,4"/>
    <n v="38.4"/>
    <b v="1"/>
    <m/>
    <x v="0"/>
  </r>
  <r>
    <s v="OBAGS002 TESH2 36"/>
    <n v="77"/>
    <x v="47"/>
    <n v="36"/>
    <x v="6"/>
    <x v="47"/>
    <n v="2"/>
    <s v="12,72"/>
    <s v="25,44"/>
    <n v="25.44"/>
    <b v="1"/>
    <m/>
    <x v="0"/>
  </r>
  <r>
    <s v="OBAGS010 TESF8 480"/>
    <n v="78"/>
    <x v="11"/>
    <n v="480"/>
    <x v="25"/>
    <x v="11"/>
    <n v="2"/>
    <s v="12,72"/>
    <s v="25,44"/>
    <n v="25.44"/>
    <b v="1"/>
    <m/>
    <x v="1"/>
  </r>
  <r>
    <s v="OBAGPA06 TESE3 227"/>
    <n v="79"/>
    <x v="48"/>
    <n v="227"/>
    <x v="21"/>
    <x v="48"/>
    <n v="2"/>
    <s v="10,8"/>
    <s v="21,6"/>
    <n v="21.6"/>
    <b v="1"/>
    <m/>
    <x v="0"/>
  </r>
  <r>
    <s v="OBAGS001 TESG3 480"/>
    <n v="80"/>
    <x v="49"/>
    <n v="480"/>
    <x v="25"/>
    <x v="49"/>
    <n v="2"/>
    <s v="11,88"/>
    <s v="23,76"/>
    <n v="23.76"/>
    <b v="1"/>
    <m/>
    <x v="1"/>
  </r>
  <r>
    <s v="OBAGT001 TESE3 227"/>
    <n v="81"/>
    <x v="50"/>
    <n v="227"/>
    <x v="21"/>
    <x v="50"/>
    <n v="2"/>
    <s v="10,8"/>
    <s v="21,6"/>
    <n v="21.6"/>
    <b v="1"/>
    <m/>
    <x v="1"/>
  </r>
  <r>
    <s v="OBAGT002 TESH1 8"/>
    <n v="82"/>
    <x v="51"/>
    <n v="8"/>
    <x v="5"/>
    <x v="51"/>
    <n v="2"/>
    <s v="12,72"/>
    <s v="25,44"/>
    <n v="25.44"/>
    <b v="1"/>
    <m/>
    <x v="0"/>
  </r>
  <r>
    <s v="OBAGS002 TESH1 8"/>
    <n v="83"/>
    <x v="52"/>
    <n v="8"/>
    <x v="5"/>
    <x v="52"/>
    <n v="2"/>
    <s v="9,72"/>
    <s v="19,44"/>
    <n v="19.440000000000001"/>
    <b v="1"/>
    <m/>
    <x v="0"/>
  </r>
  <r>
    <s v="OBAGS010 TESG5 476"/>
    <n v="84"/>
    <x v="53"/>
    <n v="476"/>
    <x v="26"/>
    <x v="53"/>
    <n v="2"/>
    <s v="12,6"/>
    <s v="25,2"/>
    <n v="25.2"/>
    <b v="1"/>
    <m/>
    <x v="1"/>
  </r>
  <r>
    <s v="OBAGS018 TESF9 254"/>
    <n v="85"/>
    <x v="54"/>
    <n v="254"/>
    <x v="27"/>
    <x v="54"/>
    <n v="2"/>
    <s v="13,44"/>
    <s v="26,88"/>
    <n v="26.88"/>
    <b v="1"/>
    <m/>
    <x v="0"/>
  </r>
  <r>
    <s v="OBAGS121 TESF9 254"/>
    <n v="86"/>
    <x v="55"/>
    <n v="254"/>
    <x v="27"/>
    <x v="55"/>
    <n v="4"/>
    <s v="10,8"/>
    <s v="43,2"/>
    <n v="43.2"/>
    <b v="1"/>
    <m/>
    <x v="0"/>
  </r>
  <r>
    <s v="SHOUBG00 ECS35 75"/>
    <n v="87"/>
    <x v="10"/>
    <n v="75"/>
    <x v="11"/>
    <x v="10"/>
    <n v="2"/>
    <s v="7,2"/>
    <s v="14,4"/>
    <n v="14.4"/>
    <b v="1"/>
    <m/>
    <x v="0"/>
  </r>
  <r>
    <s v="OBAGB426 TESG6 408"/>
    <n v="88"/>
    <x v="56"/>
    <n v="408"/>
    <x v="28"/>
    <x v="56"/>
    <n v="2"/>
    <s v="29,88"/>
    <s v="59,76"/>
    <n v="59.76"/>
    <b v="1"/>
    <m/>
    <x v="1"/>
  </r>
  <r>
    <s v="OBAGS118 TESE6 76"/>
    <n v="89"/>
    <x v="57"/>
    <n v="76"/>
    <x v="1"/>
    <x v="57"/>
    <n v="2"/>
    <s v="13,44"/>
    <s v="26,88"/>
    <n v="26.88"/>
    <b v="1"/>
    <m/>
    <x v="0"/>
  </r>
  <r>
    <s v="OBAGT002 TESE3 227"/>
    <n v="90"/>
    <x v="58"/>
    <n v="227"/>
    <x v="21"/>
    <x v="58"/>
    <n v="2"/>
    <s v="10,8"/>
    <s v="21,6"/>
    <n v="21.6"/>
    <b v="1"/>
    <m/>
    <x v="1"/>
  </r>
  <r>
    <s v="ACCEO001 TES23 9"/>
    <n v="91"/>
    <x v="59"/>
    <n v="9"/>
    <x v="29"/>
    <x v="59"/>
    <n v="3"/>
    <s v="7,8"/>
    <s v="23,4"/>
    <n v="23.4"/>
    <b v="1"/>
    <m/>
    <x v="0"/>
  </r>
  <r>
    <s v="HLESD200 ROS05 489"/>
    <n v="92"/>
    <x v="60"/>
    <n v="489"/>
    <x v="30"/>
    <x v="60"/>
    <n v="3"/>
    <s v="13,44"/>
    <s v="40,32"/>
    <n v="40.32"/>
    <b v="1"/>
    <m/>
    <x v="0"/>
  </r>
  <r>
    <s v="OBAGS016 TES01 76"/>
    <n v="93"/>
    <x v="37"/>
    <n v="76"/>
    <x v="1"/>
    <x v="37"/>
    <n v="2"/>
    <s v="10,8"/>
    <s v="21,6"/>
    <n v="21.6"/>
    <b v="1"/>
    <m/>
    <x v="0"/>
  </r>
  <r>
    <s v="SHOUGH00 TESI7 482"/>
    <n v="94"/>
    <x v="61"/>
    <n v="482"/>
    <x v="31"/>
    <x v="61"/>
    <n v="4"/>
    <s v="13,44"/>
    <s v="53,76"/>
    <n v="53.76"/>
    <b v="1"/>
    <m/>
    <x v="1"/>
  </r>
  <r>
    <s v="SHOUWA00 ECS55 75"/>
    <n v="95"/>
    <x v="62"/>
    <n v="75"/>
    <x v="11"/>
    <x v="62"/>
    <n v="3"/>
    <s v="20,04"/>
    <s v="60,12"/>
    <n v="60.12"/>
    <b v="1"/>
    <m/>
    <x v="0"/>
  </r>
  <r>
    <s v="SHOUWA00 ECS66 475"/>
    <n v="96"/>
    <x v="63"/>
    <n v="475"/>
    <x v="32"/>
    <x v="63"/>
    <n v="2"/>
    <s v="12,72"/>
    <s v="25,44"/>
    <n v="25.44"/>
    <b v="1"/>
    <m/>
    <x v="0"/>
  </r>
  <r>
    <s v="OBAGB001 EVS00 483"/>
    <n v="97"/>
    <x v="19"/>
    <n v="483"/>
    <x v="18"/>
    <x v="19"/>
    <n v="3"/>
    <s v="14,4"/>
    <s v="43,2"/>
    <n v="43.2"/>
    <b v="1"/>
    <m/>
    <x v="1"/>
  </r>
  <r>
    <s v="OBAGT002 TESG3 481"/>
    <n v="98"/>
    <x v="46"/>
    <n v="481"/>
    <x v="8"/>
    <x v="46"/>
    <n v="2"/>
    <s v="10,8"/>
    <s v="21,6"/>
    <n v="21.6"/>
    <b v="1"/>
    <m/>
    <x v="1"/>
  </r>
  <r>
    <s v="OBAGS001 TES01 422"/>
    <n v="99"/>
    <x v="0"/>
    <n v="422"/>
    <x v="4"/>
    <x v="0"/>
    <n v="2"/>
    <s v="7,8"/>
    <s v="15,6"/>
    <n v="15.6"/>
    <b v="1"/>
    <m/>
    <x v="1"/>
  </r>
  <r>
    <s v="OBAGS002 TES01 347"/>
    <n v="100"/>
    <x v="64"/>
    <n v="347"/>
    <x v="2"/>
    <x v="64"/>
    <n v="3"/>
    <s v="7,08"/>
    <s v="21,24"/>
    <n v="21.240000000000002"/>
    <b v="1"/>
    <m/>
    <x v="1"/>
  </r>
  <r>
    <s v="OBAGS002 TESE6 36"/>
    <n v="101"/>
    <x v="65"/>
    <n v="36"/>
    <x v="6"/>
    <x v="65"/>
    <n v="2"/>
    <s v="10,8"/>
    <s v="21,6"/>
    <n v="21.6"/>
    <b v="1"/>
    <m/>
    <x v="0"/>
  </r>
  <r>
    <s v="OBAGS002 TESE6 55"/>
    <n v="102"/>
    <x v="65"/>
    <n v="55"/>
    <x v="14"/>
    <x v="65"/>
    <n v="2"/>
    <s v="10,8"/>
    <s v="21,6"/>
    <n v="21.6"/>
    <b v="1"/>
    <m/>
    <x v="0"/>
  </r>
  <r>
    <s v="HLESD200 ROS05 8"/>
    <n v="103"/>
    <x v="60"/>
    <n v="8"/>
    <x v="5"/>
    <x v="60"/>
    <n v="6"/>
    <s v="13,44"/>
    <s v="80,64"/>
    <n v="80.64"/>
    <b v="1"/>
    <m/>
    <x v="0"/>
  </r>
  <r>
    <s v="HLESD200 ROS05 8"/>
    <n v="104"/>
    <x v="60"/>
    <n v="8"/>
    <x v="5"/>
    <x v="60"/>
    <n v="3"/>
    <s v="13,44"/>
    <s v="40,32"/>
    <n v="40.32"/>
    <b v="1"/>
    <m/>
    <x v="0"/>
  </r>
  <r>
    <s v="HLESD200 ROS05 17"/>
    <n v="105"/>
    <x v="60"/>
    <n v="17"/>
    <x v="9"/>
    <x v="60"/>
    <n v="3"/>
    <s v="13,44"/>
    <s v="40,32"/>
    <n v="40.32"/>
    <b v="1"/>
    <m/>
    <x v="0"/>
  </r>
  <r>
    <s v="OBAGS002 TES01 130"/>
    <n v="106"/>
    <x v="64"/>
    <n v="130"/>
    <x v="12"/>
    <x v="64"/>
    <n v="3"/>
    <s v="7,08"/>
    <s v="21,24"/>
    <n v="21.240000000000002"/>
    <b v="1"/>
    <m/>
    <x v="1"/>
  </r>
  <r>
    <s v="OBAGB002 EVS00 486"/>
    <n v="107"/>
    <x v="24"/>
    <n v="486"/>
    <x v="19"/>
    <x v="24"/>
    <n v="3"/>
    <s v="14,4"/>
    <s v="43,2"/>
    <n v="43.2"/>
    <b v="1"/>
    <m/>
    <x v="1"/>
  </r>
  <r>
    <s v="OBAGB024 EVS00 371"/>
    <n v="108"/>
    <x v="2"/>
    <n v="371"/>
    <x v="13"/>
    <x v="2"/>
    <n v="3"/>
    <s v="4,8"/>
    <s v="14,4"/>
    <n v="14.399999999999999"/>
    <b v="1"/>
    <m/>
    <x v="4"/>
  </r>
  <r>
    <s v="OBAGB002 EVS18 347"/>
    <n v="109"/>
    <x v="66"/>
    <n v="347"/>
    <x v="2"/>
    <x v="66"/>
    <n v="3"/>
    <s v="15,6"/>
    <s v="46,8"/>
    <n v="46.8"/>
    <b v="1"/>
    <m/>
    <x v="1"/>
  </r>
  <r>
    <s v="OBAGB024 EVS00 422"/>
    <n v="110"/>
    <x v="2"/>
    <n v="422"/>
    <x v="4"/>
    <x v="2"/>
    <n v="3"/>
    <s v="4,8"/>
    <s v="14,4"/>
    <n v="14.399999999999999"/>
    <b v="1"/>
    <m/>
    <x v="1"/>
  </r>
  <r>
    <s v="HLESAD00 ECS00 36"/>
    <n v="111"/>
    <x v="67"/>
    <n v="36"/>
    <x v="6"/>
    <x v="67"/>
    <n v="8"/>
    <s v="4,56"/>
    <s v="36,48"/>
    <n v="36.479999999999997"/>
    <b v="1"/>
    <m/>
    <x v="0"/>
  </r>
  <r>
    <s v="OBAGS016 TES26 8"/>
    <n v="112"/>
    <x v="68"/>
    <n v="8"/>
    <x v="5"/>
    <x v="68"/>
    <n v="2"/>
    <s v="11,4"/>
    <s v="22,8"/>
    <n v="22.8"/>
    <b v="1"/>
    <m/>
    <x v="0"/>
  </r>
  <r>
    <s v="OBAGPA06 TESF1 55"/>
    <n v="113"/>
    <x v="6"/>
    <n v="55"/>
    <x v="14"/>
    <x v="6"/>
    <n v="2"/>
    <s v="12,72"/>
    <s v="25,44"/>
    <n v="25.44"/>
    <b v="1"/>
    <m/>
    <x v="0"/>
  </r>
  <r>
    <s v="OBAGPA24 TESE8 227"/>
    <n v="114"/>
    <x v="69"/>
    <n v="227"/>
    <x v="21"/>
    <x v="69"/>
    <n v="2"/>
    <s v="12,6"/>
    <s v="25,2"/>
    <n v="25.2"/>
    <b v="1"/>
    <m/>
    <x v="1"/>
  </r>
  <r>
    <s v="OBAGA000 ECS42 36"/>
    <n v="115"/>
    <x v="70"/>
    <n v="36"/>
    <x v="6"/>
    <x v="70"/>
    <n v="6"/>
    <s v="3,6"/>
    <s v="21,6"/>
    <n v="21.6"/>
    <b v="1"/>
    <m/>
    <x v="0"/>
  </r>
  <r>
    <s v="OBAGA000 ECS42 422"/>
    <n v="116"/>
    <x v="70"/>
    <n v="422"/>
    <x v="4"/>
    <x v="70"/>
    <n v="6"/>
    <s v="3,6"/>
    <s v="21,6"/>
    <n v="21.6"/>
    <b v="1"/>
    <m/>
    <x v="0"/>
  </r>
  <r>
    <s v="OCLKD001 MES86 55"/>
    <n v="117"/>
    <x v="71"/>
    <n v="55"/>
    <x v="14"/>
    <x v="71"/>
    <n v="3"/>
    <s v="8,4"/>
    <s v="25,2"/>
    <n v="25.200000000000003"/>
    <b v="1"/>
    <m/>
    <x v="0"/>
  </r>
  <r>
    <s v="OCLKD104 MES90 8"/>
    <n v="118"/>
    <x v="72"/>
    <n v="8"/>
    <x v="5"/>
    <x v="72"/>
    <n v="3"/>
    <s v="8,52"/>
    <s v="25,56"/>
    <n v="25.56"/>
    <b v="1"/>
    <m/>
    <x v="0"/>
  </r>
  <r>
    <s v="OCLKD104 MES92 497"/>
    <n v="119"/>
    <x v="73"/>
    <n v="497"/>
    <x v="33"/>
    <x v="73"/>
    <n v="3"/>
    <s v="18,96"/>
    <s v="56,88"/>
    <n v="56.88"/>
    <b v="1"/>
    <m/>
    <x v="1"/>
  </r>
  <r>
    <s v="OBAGS001 TESG2 76"/>
    <n v="120"/>
    <x v="74"/>
    <n v="76"/>
    <x v="1"/>
    <x v="74"/>
    <n v="2"/>
    <s v="10,8"/>
    <s v="21,6"/>
    <n v="21.6"/>
    <b v="1"/>
    <m/>
    <x v="0"/>
  </r>
  <r>
    <s v="OBAGS009 TES01 26"/>
    <n v="121"/>
    <x v="36"/>
    <n v="26"/>
    <x v="0"/>
    <x v="36"/>
    <n v="2"/>
    <s v="9,78"/>
    <s v="19,56"/>
    <n v="19.559999999999999"/>
    <b v="1"/>
    <m/>
    <x v="0"/>
  </r>
  <r>
    <s v="OBAGS010 TESG2 76"/>
    <n v="122"/>
    <x v="34"/>
    <n v="76"/>
    <x v="1"/>
    <x v="34"/>
    <n v="2"/>
    <s v="14,4"/>
    <s v="28,8"/>
    <n v="28.8"/>
    <b v="1"/>
    <m/>
    <x v="0"/>
  </r>
  <r>
    <s v="ACCEO001 TES23 76"/>
    <n v="123"/>
    <x v="59"/>
    <n v="76"/>
    <x v="1"/>
    <x v="59"/>
    <n v="3"/>
    <s v="7,8"/>
    <s v="23,4"/>
    <n v="23.4"/>
    <b v="1"/>
    <m/>
    <x v="0"/>
  </r>
  <r>
    <s v="OCLKD001 MES81 26"/>
    <n v="124"/>
    <x v="12"/>
    <n v="26"/>
    <x v="0"/>
    <x v="12"/>
    <n v="3"/>
    <n v="9"/>
    <n v="27"/>
    <n v="27"/>
    <b v="1"/>
    <m/>
    <x v="0"/>
  </r>
  <r>
    <s v="OBAGB016 EVS19 483"/>
    <n v="125"/>
    <x v="75"/>
    <n v="483"/>
    <x v="18"/>
    <x v="75"/>
    <n v="2"/>
    <s v="13,8"/>
    <s v="27,6"/>
    <n v="27.6"/>
    <b v="1"/>
    <m/>
    <x v="5"/>
  </r>
  <r>
    <s v="OBAGP006 ECS54 215"/>
    <n v="126"/>
    <x v="76"/>
    <n v="215"/>
    <x v="15"/>
    <x v="76"/>
    <n v="2"/>
    <s v="18,12"/>
    <s v="36,24"/>
    <n v="36.24"/>
    <b v="1"/>
    <m/>
    <x v="1"/>
  </r>
  <r>
    <s v="OCLKD001 MES82 130"/>
    <n v="127"/>
    <x v="77"/>
    <n v="130"/>
    <x v="12"/>
    <x v="77"/>
    <n v="3"/>
    <n v="9"/>
    <n v="27"/>
    <n v="27"/>
    <b v="1"/>
    <m/>
    <x v="1"/>
  </r>
  <r>
    <s v="OBAGS009 TES01 422"/>
    <n v="128"/>
    <x v="36"/>
    <n v="422"/>
    <x v="4"/>
    <x v="36"/>
    <n v="2"/>
    <s v="9,78"/>
    <s v="19,56"/>
    <n v="19.559999999999999"/>
    <b v="1"/>
    <m/>
    <x v="1"/>
  </r>
  <r>
    <s v="OBAGB002 EVS00 485"/>
    <n v="129"/>
    <x v="24"/>
    <n v="485"/>
    <x v="34"/>
    <x v="24"/>
    <n v="3"/>
    <s v="14,4"/>
    <s v="43,2"/>
    <n v="43.2"/>
    <b v="1"/>
    <m/>
    <x v="1"/>
  </r>
  <r>
    <s v="OBAGB001 EVS00 71"/>
    <n v="130"/>
    <x v="19"/>
    <n v="71"/>
    <x v="35"/>
    <x v="19"/>
    <n v="1"/>
    <s v="14,4"/>
    <s v="14,4"/>
    <n v="14.4"/>
    <b v="1"/>
    <m/>
    <x v="0"/>
  </r>
  <r>
    <s v="OBAGB002 EVS00 71"/>
    <n v="131"/>
    <x v="24"/>
    <n v="71"/>
    <x v="35"/>
    <x v="24"/>
    <n v="1"/>
    <s v="14,4"/>
    <s v="14,4"/>
    <n v="14.4"/>
    <b v="1"/>
    <m/>
    <x v="0"/>
  </r>
  <r>
    <s v="OBAGB001 EVS00 17"/>
    <n v="132"/>
    <x v="19"/>
    <n v="17"/>
    <x v="9"/>
    <x v="19"/>
    <n v="1"/>
    <s v="14,4"/>
    <s v="14,4"/>
    <n v="14.4"/>
    <b v="1"/>
    <m/>
    <x v="0"/>
  </r>
  <r>
    <s v="OBAGB016 EVS00 71"/>
    <n v="133"/>
    <x v="23"/>
    <n v="71"/>
    <x v="35"/>
    <x v="23"/>
    <n v="2"/>
    <s v="12,6"/>
    <s v="25,2"/>
    <n v="25.2"/>
    <b v="1"/>
    <m/>
    <x v="0"/>
  </r>
  <r>
    <s v="OBAGS016 TES26 78"/>
    <n v="134"/>
    <x v="68"/>
    <n v="78"/>
    <x v="16"/>
    <x v="68"/>
    <n v="2"/>
    <s v="11,4"/>
    <s v="22,8"/>
    <n v="22.8"/>
    <b v="1"/>
    <m/>
    <x v="0"/>
  </r>
  <r>
    <s v="OBAGB001 EVS00 158"/>
    <n v="135"/>
    <x v="19"/>
    <n v="158"/>
    <x v="15"/>
    <x v="19"/>
    <n v="1"/>
    <s v="14,4"/>
    <s v="14,4"/>
    <n v="14.4"/>
    <b v="1"/>
    <m/>
    <x v="2"/>
  </r>
  <r>
    <s v="OBAGB002 EVS00 76"/>
    <n v="136"/>
    <x v="24"/>
    <n v="76"/>
    <x v="1"/>
    <x v="24"/>
    <n v="3"/>
    <s v="14,4"/>
    <s v="43,2"/>
    <n v="43.2"/>
    <b v="1"/>
    <m/>
    <x v="0"/>
  </r>
  <r>
    <s v="OBAGB009 EVS00 76"/>
    <n v="137"/>
    <x v="20"/>
    <n v="76"/>
    <x v="1"/>
    <x v="20"/>
    <n v="2"/>
    <s v="14,4"/>
    <s v="28,8"/>
    <n v="28.8"/>
    <b v="1"/>
    <m/>
    <x v="0"/>
  </r>
  <r>
    <s v="OBAGB010 EVS00 76"/>
    <n v="138"/>
    <x v="21"/>
    <n v="76"/>
    <x v="1"/>
    <x v="21"/>
    <n v="2"/>
    <s v="13,08"/>
    <s v="26,16"/>
    <n v="26.16"/>
    <b v="1"/>
    <m/>
    <x v="0"/>
  </r>
  <r>
    <s v="OBAGB019 EVS00 55"/>
    <n v="139"/>
    <x v="41"/>
    <n v="55"/>
    <x v="14"/>
    <x v="41"/>
    <n v="2"/>
    <s v="13,92"/>
    <s v="27,84"/>
    <n v="27.84"/>
    <b v="1"/>
    <m/>
    <x v="0"/>
  </r>
  <r>
    <s v="OBAGB019 EVS00 78"/>
    <n v="140"/>
    <x v="41"/>
    <n v="78"/>
    <x v="16"/>
    <x v="41"/>
    <n v="2"/>
    <s v="13,92"/>
    <s v="27,84"/>
    <n v="27.84"/>
    <b v="1"/>
    <m/>
    <x v="0"/>
  </r>
  <r>
    <s v="OBAGB206 EVS00 75"/>
    <n v="141"/>
    <x v="22"/>
    <n v="75"/>
    <x v="11"/>
    <x v="22"/>
    <n v="3"/>
    <s v="4,8"/>
    <s v="14,4"/>
    <n v="14.399999999999999"/>
    <b v="1"/>
    <m/>
    <x v="0"/>
  </r>
  <r>
    <s v="HLESMD00 ECS46 221"/>
    <n v="142"/>
    <x v="1"/>
    <n v="221"/>
    <x v="36"/>
    <x v="1"/>
    <n v="6"/>
    <s v="12,72"/>
    <s v="76,32"/>
    <n v="76.320000000000007"/>
    <b v="1"/>
    <m/>
    <x v="3"/>
  </r>
  <r>
    <s v="OBAGB010 EVS00 371"/>
    <n v="143"/>
    <x v="21"/>
    <n v="371"/>
    <x v="13"/>
    <x v="21"/>
    <n v="1"/>
    <s v="13,08"/>
    <s v="13,08"/>
    <n v="13.08"/>
    <b v="1"/>
    <m/>
    <x v="2"/>
  </r>
  <r>
    <s v="OBAGB016 EVS00 371"/>
    <n v="144"/>
    <x v="23"/>
    <n v="371"/>
    <x v="13"/>
    <x v="23"/>
    <n v="2"/>
    <s v="12,6"/>
    <s v="25,2"/>
    <n v="25.2"/>
    <b v="1"/>
    <m/>
    <x v="4"/>
  </r>
  <r>
    <s v="OBAGB017 EVS00 75"/>
    <n v="145"/>
    <x v="42"/>
    <n v="75"/>
    <x v="11"/>
    <x v="42"/>
    <n v="2"/>
    <s v="11,04"/>
    <s v="22,08"/>
    <n v="22.08"/>
    <b v="1"/>
    <m/>
    <x v="0"/>
  </r>
  <r>
    <s v="OBAGS002 TESG2 130"/>
    <n v="146"/>
    <x v="33"/>
    <n v="130"/>
    <x v="12"/>
    <x v="33"/>
    <n v="2"/>
    <s v="9,72"/>
    <s v="19,44"/>
    <n v="19.440000000000001"/>
    <b v="1"/>
    <m/>
    <x v="1"/>
  </r>
  <r>
    <s v="OBAGS016 TESH1 8"/>
    <n v="147"/>
    <x v="78"/>
    <n v="8"/>
    <x v="5"/>
    <x v="78"/>
    <n v="2"/>
    <s v="12,72"/>
    <s v="25,44"/>
    <n v="25.44"/>
    <b v="1"/>
    <m/>
    <x v="0"/>
  </r>
  <r>
    <s v="OBAGB206 EVS00 479"/>
    <n v="148"/>
    <x v="22"/>
    <n v="479"/>
    <x v="7"/>
    <x v="22"/>
    <n v="3"/>
    <s v="4,8"/>
    <s v="14,4"/>
    <n v="14.399999999999999"/>
    <b v="1"/>
    <m/>
    <x v="1"/>
  </r>
  <r>
    <s v="OBAGS016 TESF8 480"/>
    <n v="149"/>
    <x v="79"/>
    <n v="480"/>
    <x v="25"/>
    <x v="79"/>
    <n v="2"/>
    <s v="11,88"/>
    <s v="23,76"/>
    <n v="23.76"/>
    <b v="1"/>
    <m/>
    <x v="1"/>
  </r>
  <r>
    <s v="SHOUC106 ECS16 483"/>
    <n v="150"/>
    <x v="80"/>
    <n v="483"/>
    <x v="18"/>
    <x v="80"/>
    <n v="3"/>
    <s v="9,6"/>
    <s v="28,8"/>
    <n v="28.799999999999997"/>
    <b v="1"/>
    <m/>
    <x v="1"/>
  </r>
  <r>
    <s v="ACCEC002 ECS03 36"/>
    <n v="151"/>
    <x v="30"/>
    <n v="36"/>
    <x v="6"/>
    <x v="30"/>
    <n v="2"/>
    <s v="7,08"/>
    <s v="14,16"/>
    <n v="14.16"/>
    <b v="1"/>
    <m/>
    <x v="0"/>
  </r>
  <r>
    <s v="ACCEC002 ECS03 133"/>
    <n v="152"/>
    <x v="30"/>
    <n v="133"/>
    <x v="17"/>
    <x v="30"/>
    <n v="2"/>
    <s v="7,08"/>
    <s v="14,16"/>
    <n v="14.16"/>
    <b v="1"/>
    <m/>
    <x v="1"/>
  </r>
  <r>
    <s v="HLESAE00 ECS00 75"/>
    <n v="153"/>
    <x v="38"/>
    <n v="75"/>
    <x v="11"/>
    <x v="38"/>
    <n v="6"/>
    <s v="4,56"/>
    <s v="27,36"/>
    <n v="27.36"/>
    <b v="1"/>
    <m/>
    <x v="0"/>
  </r>
  <r>
    <s v="OBAGS018 TESG2 130"/>
    <n v="154"/>
    <x v="35"/>
    <n v="130"/>
    <x v="12"/>
    <x v="35"/>
    <n v="2"/>
    <s v="12,72"/>
    <s v="25,44"/>
    <n v="25.44"/>
    <b v="1"/>
    <m/>
    <x v="0"/>
  </r>
  <r>
    <s v="OBAGS001 TES01 76"/>
    <n v="155"/>
    <x v="0"/>
    <n v="76"/>
    <x v="1"/>
    <x v="0"/>
    <n v="2"/>
    <s v="7,8"/>
    <s v="15,6"/>
    <n v="15.6"/>
    <b v="1"/>
    <m/>
    <x v="0"/>
  </r>
  <r>
    <s v="OBAGS121 TES13 17"/>
    <n v="156"/>
    <x v="81"/>
    <n v="17"/>
    <x v="9"/>
    <x v="81"/>
    <n v="4"/>
    <s v="14,4"/>
    <s v="57,6"/>
    <n v="57.6"/>
    <b v="1"/>
    <m/>
    <x v="0"/>
  </r>
  <r>
    <s v="OBAGT001 TESE8 227"/>
    <n v="157"/>
    <x v="82"/>
    <n v="227"/>
    <x v="21"/>
    <x v="82"/>
    <n v="2"/>
    <s v="14,4"/>
    <s v="28,8"/>
    <n v="28.8"/>
    <b v="1"/>
    <m/>
    <x v="1"/>
  </r>
  <r>
    <s v="SHOUGH00 TESI3 472"/>
    <n v="158"/>
    <x v="3"/>
    <n v="472"/>
    <x v="37"/>
    <x v="3"/>
    <n v="3"/>
    <s v="13,44"/>
    <s v="40,32"/>
    <n v="40.32"/>
    <b v="1"/>
    <m/>
    <x v="1"/>
  </r>
  <r>
    <s v="ACCEC002 ECS65 55"/>
    <n v="159"/>
    <x v="8"/>
    <n v="55"/>
    <x v="14"/>
    <x v="8"/>
    <n v="2"/>
    <s v="7,8"/>
    <s v="15,6"/>
    <n v="15.6"/>
    <b v="1"/>
    <m/>
    <x v="0"/>
  </r>
  <r>
    <s v="HLESD200 ROS05 489"/>
    <n v="160"/>
    <x v="60"/>
    <n v="489"/>
    <x v="30"/>
    <x v="60"/>
    <n v="2"/>
    <s v="13,44"/>
    <s v="26,88"/>
    <n v="26.88"/>
    <b v="1"/>
    <m/>
    <x v="0"/>
  </r>
  <r>
    <s v="OBAGP106 TESG5 476"/>
    <n v="161"/>
    <x v="83"/>
    <n v="476"/>
    <x v="26"/>
    <x v="83"/>
    <n v="2"/>
    <s v="14,4"/>
    <s v="28,8"/>
    <n v="28.8"/>
    <b v="1"/>
    <m/>
    <x v="1"/>
  </r>
  <r>
    <s v="HLESG000 ROS04 500"/>
    <n v="162"/>
    <x v="84"/>
    <n v="500"/>
    <x v="38"/>
    <x v="84"/>
    <n v="4"/>
    <s v="7,8"/>
    <s v="31,2"/>
    <n v="31.2"/>
    <b v="1"/>
    <m/>
    <x v="5"/>
  </r>
  <r>
    <s v="OBAGS002 TESE5 36"/>
    <n v="163"/>
    <x v="85"/>
    <n v="36"/>
    <x v="6"/>
    <x v="85"/>
    <n v="2"/>
    <s v="10,8"/>
    <s v="21,6"/>
    <n v="21.6"/>
    <b v="1"/>
    <m/>
    <x v="0"/>
  </r>
  <r>
    <s v="OBAGS002 TES01 422"/>
    <n v="164"/>
    <x v="64"/>
    <n v="422"/>
    <x v="4"/>
    <x v="64"/>
    <n v="3"/>
    <s v="7,08"/>
    <s v="21,24"/>
    <n v="21.240000000000002"/>
    <b v="1"/>
    <m/>
    <x v="1"/>
  </r>
  <r>
    <s v="OBAGP106 ECS55 75"/>
    <n v="165"/>
    <x v="86"/>
    <n v="75"/>
    <x v="11"/>
    <x v="86"/>
    <n v="2"/>
    <s v="19,32"/>
    <s v="38,64"/>
    <n v="38.64"/>
    <b v="1"/>
    <m/>
    <x v="0"/>
  </r>
  <r>
    <s v="SHOUWA00 ECS51 371"/>
    <n v="166"/>
    <x v="4"/>
    <n v="371"/>
    <x v="13"/>
    <x v="4"/>
    <n v="2"/>
    <s v="18,12"/>
    <s v="36,24"/>
    <n v="36.24"/>
    <b v="1"/>
    <m/>
    <x v="1"/>
  </r>
  <r>
    <s v="HLESD000 ECS35 76"/>
    <n v="167"/>
    <x v="9"/>
    <n v="76"/>
    <x v="1"/>
    <x v="9"/>
    <n v="3"/>
    <s v="14,4"/>
    <s v="43,2"/>
    <n v="43.2"/>
    <b v="1"/>
    <m/>
    <x v="0"/>
  </r>
  <r>
    <s v="HLESAD00 ECS00 371"/>
    <n v="168"/>
    <x v="67"/>
    <n v="371"/>
    <x v="13"/>
    <x v="67"/>
    <n v="8"/>
    <s v="4,56"/>
    <s v="36,48"/>
    <n v="36.479999999999997"/>
    <b v="1"/>
    <m/>
    <x v="1"/>
  </r>
  <r>
    <s v="SHOUWA00 ECS51 36"/>
    <n v="169"/>
    <x v="4"/>
    <n v="36"/>
    <x v="6"/>
    <x v="4"/>
    <n v="2"/>
    <s v="18,12"/>
    <s v="36,24"/>
    <n v="36.24"/>
    <b v="1"/>
    <m/>
    <x v="0"/>
  </r>
  <r>
    <s v="OBAGS016 TESE6 36"/>
    <n v="170"/>
    <x v="87"/>
    <n v="36"/>
    <x v="6"/>
    <x v="87"/>
    <n v="2"/>
    <s v="11,88"/>
    <s v="23,76"/>
    <n v="23.76"/>
    <b v="1"/>
    <m/>
    <x v="0"/>
  </r>
  <r>
    <s v="OBAGS018 TESG2 17"/>
    <n v="171"/>
    <x v="35"/>
    <n v="17"/>
    <x v="9"/>
    <x v="35"/>
    <n v="2"/>
    <s v="12,72"/>
    <s v="25,44"/>
    <n v="25.44"/>
    <b v="1"/>
    <m/>
    <x v="0"/>
  </r>
  <r>
    <s v="OBAGP006 TESE8 227"/>
    <n v="172"/>
    <x v="88"/>
    <n v="227"/>
    <x v="21"/>
    <x v="88"/>
    <n v="2"/>
    <s v="12,72"/>
    <s v="25,44"/>
    <n v="25.44"/>
    <b v="1"/>
    <m/>
    <x v="1"/>
  </r>
  <r>
    <s v="SHOUCF00 ECS35 422"/>
    <n v="173"/>
    <x v="7"/>
    <n v="422"/>
    <x v="4"/>
    <x v="7"/>
    <n v="4"/>
    <s v="11,88"/>
    <s v="47,52"/>
    <n v="47.52"/>
    <b v="1"/>
    <m/>
    <x v="0"/>
  </r>
  <r>
    <s v="OBAGA000 ECS42 371"/>
    <n v="174"/>
    <x v="70"/>
    <n v="371"/>
    <x v="13"/>
    <x v="70"/>
    <n v="6"/>
    <s v="3,6"/>
    <s v="21,6"/>
    <n v="21.6"/>
    <b v="1"/>
    <m/>
    <x v="1"/>
  </r>
  <r>
    <s v="OCLKD104 MES92 498"/>
    <n v="175"/>
    <x v="73"/>
    <n v="498"/>
    <x v="39"/>
    <x v="73"/>
    <n v="3"/>
    <s v="18,96"/>
    <s v="56,88"/>
    <n v="56.88"/>
    <b v="1"/>
    <m/>
    <x v="1"/>
  </r>
  <r>
    <s v="OCLKD104 MES92 499"/>
    <n v="176"/>
    <x v="73"/>
    <n v="499"/>
    <x v="40"/>
    <x v="73"/>
    <n v="3"/>
    <s v="18,96"/>
    <s v="56,88"/>
    <n v="56.88"/>
    <b v="1"/>
    <m/>
    <x v="1"/>
  </r>
  <r>
    <s v="OHUGI002 ECS36 227"/>
    <n v="177"/>
    <x v="89"/>
    <n v="227"/>
    <x v="21"/>
    <x v="89"/>
    <n v="4"/>
    <s v="18,12"/>
    <s v="72,48"/>
    <n v="72.48"/>
    <b v="1"/>
    <m/>
    <x v="0"/>
  </r>
  <r>
    <s v="OHUGB002 EVS06 347"/>
    <n v="178"/>
    <x v="40"/>
    <n v="347"/>
    <x v="2"/>
    <x v="40"/>
    <n v="3"/>
    <s v="6,6"/>
    <s v="19,8"/>
    <n v="19.799999999999997"/>
    <b v="1"/>
    <m/>
    <x v="0"/>
  </r>
  <r>
    <s v="OBAGB024 EVS00 479"/>
    <n v="179"/>
    <x v="2"/>
    <n v="479"/>
    <x v="7"/>
    <x v="2"/>
    <n v="3"/>
    <s v="4,8"/>
    <s v="14,4"/>
    <n v="14.399999999999999"/>
    <b v="1"/>
    <m/>
    <x v="1"/>
  </r>
  <r>
    <s v="HLESD000 ECS35 17"/>
    <n v="180"/>
    <x v="9"/>
    <n v="17"/>
    <x v="9"/>
    <x v="9"/>
    <n v="3"/>
    <s v="14,4"/>
    <s v="43,2"/>
    <n v="43.2"/>
    <b v="1"/>
    <m/>
    <x v="0"/>
  </r>
  <r>
    <s v="ACCEF001 TESF6 474"/>
    <n v="181"/>
    <x v="90"/>
    <n v="474"/>
    <x v="41"/>
    <x v="90"/>
    <n v="4"/>
    <s v="7,08"/>
    <s v="28,32"/>
    <n v="28.32"/>
    <b v="1"/>
    <m/>
    <x v="0"/>
  </r>
  <r>
    <s v="ACCEO001 TES23 36"/>
    <n v="182"/>
    <x v="59"/>
    <n v="36"/>
    <x v="6"/>
    <x v="59"/>
    <n v="3"/>
    <s v="7,8"/>
    <s v="23,4"/>
    <n v="23.4"/>
    <b v="1"/>
    <m/>
    <x v="0"/>
  </r>
  <r>
    <s v="OCLKD001 MES80 347"/>
    <n v="183"/>
    <x v="91"/>
    <n v="347"/>
    <x v="2"/>
    <x v="91"/>
    <n v="3"/>
    <n v="9"/>
    <n v="27"/>
    <n v="27"/>
    <b v="1"/>
    <m/>
    <x v="1"/>
  </r>
  <r>
    <s v="OCLKD001 MES80 484"/>
    <n v="184"/>
    <x v="91"/>
    <n v="484"/>
    <x v="42"/>
    <x v="91"/>
    <n v="3"/>
    <n v="9"/>
    <n v="27"/>
    <n v="27"/>
    <b v="1"/>
    <m/>
    <x v="1"/>
  </r>
  <r>
    <s v="SHOUWA00 ECS54 479"/>
    <n v="185"/>
    <x v="92"/>
    <n v="479"/>
    <x v="7"/>
    <x v="92"/>
    <n v="3"/>
    <s v="21,96"/>
    <s v="65,88"/>
    <n v="65.88"/>
    <b v="1"/>
    <m/>
    <x v="1"/>
  </r>
  <r>
    <s v="OBAGA000 ECS40 75"/>
    <n v="186"/>
    <x v="39"/>
    <n v="75"/>
    <x v="11"/>
    <x v="39"/>
    <n v="6"/>
    <n v="3"/>
    <n v="18"/>
    <n v="18"/>
    <b v="1"/>
    <m/>
    <x v="0"/>
  </r>
  <r>
    <s v="OHUGI002 ECS69 125"/>
    <n v="187"/>
    <x v="93"/>
    <n v="125"/>
    <x v="43"/>
    <x v="93"/>
    <n v="4"/>
    <s v="18,12"/>
    <s v="72,48"/>
    <n v="72.48"/>
    <b v="1"/>
    <m/>
    <x v="0"/>
  </r>
  <r>
    <s v="SHOUG617 ECS00 54"/>
    <n v="188"/>
    <x v="18"/>
    <n v="54"/>
    <x v="44"/>
    <x v="18"/>
    <n v="8"/>
    <s v="9,6"/>
    <s v="76,8"/>
    <n v="76.8"/>
    <b v="1"/>
    <m/>
    <x v="0"/>
  </r>
  <r>
    <s v="OBAGB017 EVS00 55"/>
    <n v="189"/>
    <x v="42"/>
    <n v="55"/>
    <x v="14"/>
    <x v="42"/>
    <n v="2"/>
    <s v="11,04"/>
    <s v="22,08"/>
    <n v="22.08"/>
    <b v="1"/>
    <m/>
    <x v="0"/>
  </r>
  <r>
    <s v="OBAGB002 EVS00 158"/>
    <n v="190"/>
    <x v="24"/>
    <n v="158"/>
    <x v="15"/>
    <x v="24"/>
    <n v="1"/>
    <s v="14,4"/>
    <s v="14,4"/>
    <n v="14.4"/>
    <b v="1"/>
    <m/>
    <x v="2"/>
  </r>
  <r>
    <s v="OBAGB206 EVS00 158"/>
    <n v="191"/>
    <x v="22"/>
    <n v="158"/>
    <x v="15"/>
    <x v="22"/>
    <n v="1"/>
    <s v="4,8"/>
    <s v="4,8"/>
    <n v="4.8"/>
    <b v="1"/>
    <m/>
    <x v="2"/>
  </r>
  <r>
    <s v="OBAGS019 TES26 55"/>
    <n v="192"/>
    <x v="94"/>
    <n v="55"/>
    <x v="14"/>
    <x v="94"/>
    <n v="18"/>
    <s v="12,6"/>
    <s v="226,8"/>
    <n v="226.79999999999998"/>
    <b v="1"/>
    <m/>
    <x v="0"/>
  </r>
  <r>
    <s v="OBAGB009 EVS00 133"/>
    <n v="193"/>
    <x v="20"/>
    <n v="133"/>
    <x v="17"/>
    <x v="20"/>
    <n v="1"/>
    <s v="14,4"/>
    <s v="14,4"/>
    <n v="14.4"/>
    <b v="1"/>
    <m/>
    <x v="2"/>
  </r>
  <r>
    <s v="OBAGB017 EVS00 71"/>
    <n v="194"/>
    <x v="42"/>
    <n v="71"/>
    <x v="35"/>
    <x v="42"/>
    <n v="2"/>
    <s v="11,04"/>
    <s v="22,08"/>
    <n v="22.08"/>
    <b v="1"/>
    <m/>
    <x v="0"/>
  </r>
  <r>
    <s v="OBAGB010 EVS00 71"/>
    <n v="195"/>
    <x v="21"/>
    <n v="71"/>
    <x v="35"/>
    <x v="21"/>
    <n v="1"/>
    <s v="13,08"/>
    <s v="13,08"/>
    <n v="13.08"/>
    <b v="1"/>
    <m/>
    <x v="0"/>
  </r>
  <r>
    <s v="SHOUA306 ECS42 55"/>
    <n v="196"/>
    <x v="95"/>
    <n v="55"/>
    <x v="14"/>
    <x v="70"/>
    <n v="10"/>
    <s v="3,6"/>
    <n v="36"/>
    <n v="36"/>
    <b v="1"/>
    <m/>
    <x v="0"/>
  </r>
  <r>
    <s v="OBAGS016 TES26 55"/>
    <n v="197"/>
    <x v="68"/>
    <n v="55"/>
    <x v="14"/>
    <x v="68"/>
    <n v="2"/>
    <s v="11,4"/>
    <s v="22,8"/>
    <n v="22.8"/>
    <b v="1"/>
    <m/>
    <x v="0"/>
  </r>
  <r>
    <s v="OBAGP106 ECS52 76"/>
    <n v="198"/>
    <x v="96"/>
    <n v="76"/>
    <x v="1"/>
    <x v="95"/>
    <n v="2"/>
    <s v="15,6"/>
    <s v="31,2"/>
    <n v="31.2"/>
    <b v="1"/>
    <m/>
    <x v="0"/>
  </r>
  <r>
    <s v="OBAGB009 EVS00 26"/>
    <n v="199"/>
    <x v="20"/>
    <n v="26"/>
    <x v="0"/>
    <x v="20"/>
    <n v="2"/>
    <s v="14,4"/>
    <s v="28,8"/>
    <n v="28.8"/>
    <b v="1"/>
    <m/>
    <x v="0"/>
  </r>
  <r>
    <s v="OBAGB016 EVS00 347"/>
    <n v="200"/>
    <x v="23"/>
    <n v="347"/>
    <x v="2"/>
    <x v="23"/>
    <n v="2"/>
    <s v="12,6"/>
    <s v="25,2"/>
    <n v="25.2"/>
    <b v="1"/>
    <m/>
    <x v="1"/>
  </r>
  <r>
    <s v="OBAGB016 EVS00 75"/>
    <n v="201"/>
    <x v="23"/>
    <n v="75"/>
    <x v="11"/>
    <x v="23"/>
    <n v="2"/>
    <s v="12,6"/>
    <s v="25,2"/>
    <n v="25.2"/>
    <b v="1"/>
    <m/>
    <x v="0"/>
  </r>
  <r>
    <s v="OBAGB009 EVS00 479"/>
    <n v="202"/>
    <x v="20"/>
    <n v="479"/>
    <x v="7"/>
    <x v="20"/>
    <n v="2"/>
    <s v="14,4"/>
    <s v="28,8"/>
    <n v="28.8"/>
    <b v="1"/>
    <m/>
    <x v="1"/>
  </r>
  <r>
    <s v="OBAGPA24 TESF4 473"/>
    <n v="203"/>
    <x v="97"/>
    <n v="473"/>
    <x v="20"/>
    <x v="96"/>
    <n v="2"/>
    <s v="15,6"/>
    <s v="31,2"/>
    <n v="31.2"/>
    <b v="1"/>
    <m/>
    <x v="0"/>
  </r>
  <r>
    <s v="HLESZ817 TESH8 55"/>
    <n v="204"/>
    <x v="98"/>
    <n v="55"/>
    <x v="14"/>
    <x v="97"/>
    <n v="5"/>
    <s v="14,4"/>
    <n v="72"/>
    <n v="72"/>
    <b v="1"/>
    <m/>
    <x v="0"/>
  </r>
  <r>
    <s v="OBAGT001 TESF7 475"/>
    <n v="205"/>
    <x v="99"/>
    <n v="475"/>
    <x v="32"/>
    <x v="98"/>
    <n v="2"/>
    <s v="14,4"/>
    <s v="28,8"/>
    <n v="28.8"/>
    <b v="1"/>
    <m/>
    <x v="0"/>
  </r>
  <r>
    <s v="ACCEC002 ECS03 479"/>
    <n v="206"/>
    <x v="30"/>
    <n v="479"/>
    <x v="7"/>
    <x v="30"/>
    <n v="2"/>
    <s v="7,08"/>
    <s v="14,16"/>
    <n v="14.16"/>
    <b v="1"/>
    <m/>
    <x v="1"/>
  </r>
  <r>
    <s v="OBAGS017 TESE6 76"/>
    <n v="207"/>
    <x v="100"/>
    <n v="76"/>
    <x v="1"/>
    <x v="99"/>
    <n v="2"/>
    <s v="11,88"/>
    <s v="23,76"/>
    <n v="23.76"/>
    <b v="1"/>
    <m/>
    <x v="0"/>
  </r>
  <r>
    <s v="ACCEC002 ECS03 422"/>
    <n v="208"/>
    <x v="30"/>
    <n v="422"/>
    <x v="4"/>
    <x v="30"/>
    <n v="2"/>
    <s v="7,08"/>
    <s v="14,16"/>
    <n v="14.16"/>
    <b v="1"/>
    <m/>
    <x v="1"/>
  </r>
  <r>
    <s v="SHOUGG00 TESI2 227"/>
    <n v="209"/>
    <x v="101"/>
    <n v="227"/>
    <x v="21"/>
    <x v="100"/>
    <n v="2"/>
    <s v="13,44"/>
    <s v="26,88"/>
    <n v="26.88"/>
    <b v="1"/>
    <m/>
    <x v="1"/>
  </r>
  <r>
    <s v="HLESAD00 ECS00 76"/>
    <n v="210"/>
    <x v="67"/>
    <n v="76"/>
    <x v="1"/>
    <x v="67"/>
    <n v="8"/>
    <s v="4,56"/>
    <s v="36,48"/>
    <n v="36.479999999999997"/>
    <b v="1"/>
    <m/>
    <x v="0"/>
  </r>
  <r>
    <s v="OBAGS002 TESG9 125"/>
    <n v="211"/>
    <x v="102"/>
    <n v="125"/>
    <x v="43"/>
    <x v="101"/>
    <n v="2"/>
    <s v="9,6"/>
    <s v="19,2"/>
    <n v="19.2"/>
    <b v="1"/>
    <m/>
    <x v="1"/>
  </r>
  <r>
    <s v="OBAGB024 EVS00 75"/>
    <n v="212"/>
    <x v="2"/>
    <n v="75"/>
    <x v="11"/>
    <x v="2"/>
    <n v="3"/>
    <s v="4,8"/>
    <s v="14,4"/>
    <n v="14.399999999999999"/>
    <b v="1"/>
    <m/>
    <x v="0"/>
  </r>
  <r>
    <s v="OBAGB017 EVS00 479"/>
    <n v="213"/>
    <x v="42"/>
    <n v="479"/>
    <x v="7"/>
    <x v="42"/>
    <n v="2"/>
    <s v="11,04"/>
    <s v="22,08"/>
    <n v="22.08"/>
    <b v="1"/>
    <m/>
    <x v="1"/>
  </r>
  <r>
    <s v="SHOUWA00 TESE5 36"/>
    <n v="214"/>
    <x v="103"/>
    <n v="36"/>
    <x v="6"/>
    <x v="102"/>
    <n v="3"/>
    <s v="13,32"/>
    <s v="39,96"/>
    <n v="39.96"/>
    <b v="1"/>
    <m/>
    <x v="0"/>
  </r>
  <r>
    <s v="OBAGS001 TESE6 55"/>
    <n v="215"/>
    <x v="104"/>
    <n v="55"/>
    <x v="14"/>
    <x v="103"/>
    <n v="2"/>
    <s v="10,8"/>
    <s v="21,6"/>
    <n v="21.6"/>
    <b v="1"/>
    <m/>
    <x v="0"/>
  </r>
  <r>
    <s v="OBAGS001 TESE6 36"/>
    <n v="216"/>
    <x v="104"/>
    <n v="36"/>
    <x v="6"/>
    <x v="103"/>
    <n v="2"/>
    <s v="10,8"/>
    <s v="21,6"/>
    <n v="21.6"/>
    <b v="1"/>
    <m/>
    <x v="0"/>
  </r>
  <r>
    <s v="OBAGS001 TES01 130"/>
    <n v="217"/>
    <x v="0"/>
    <n v="130"/>
    <x v="12"/>
    <x v="0"/>
    <n v="3"/>
    <s v="7,8"/>
    <s v="23,4"/>
    <n v="23.4"/>
    <b v="1"/>
    <m/>
    <x v="1"/>
  </r>
  <r>
    <s v="OBAGS002 TES01 75"/>
    <n v="218"/>
    <x v="64"/>
    <n v="75"/>
    <x v="11"/>
    <x v="64"/>
    <n v="3"/>
    <s v="7,08"/>
    <s v="21,24"/>
    <n v="21.240000000000002"/>
    <b v="1"/>
    <m/>
    <x v="0"/>
  </r>
  <r>
    <s v="OBAGS016 TESF8 481"/>
    <n v="219"/>
    <x v="79"/>
    <n v="481"/>
    <x v="8"/>
    <x v="79"/>
    <n v="2"/>
    <s v="11,88"/>
    <s v="23,76"/>
    <n v="23.76"/>
    <b v="1"/>
    <m/>
    <x v="1"/>
  </r>
  <r>
    <s v="OBAGB426 TESF9 9"/>
    <n v="220"/>
    <x v="105"/>
    <n v="9"/>
    <x v="29"/>
    <x v="104"/>
    <n v="2"/>
    <s v="20,4"/>
    <s v="40,8"/>
    <n v="40.799999999999997"/>
    <b v="1"/>
    <m/>
    <x v="0"/>
  </r>
  <r>
    <s v="OBAGS102 TESG6 408"/>
    <n v="221"/>
    <x v="106"/>
    <n v="408"/>
    <x v="28"/>
    <x v="105"/>
    <n v="2"/>
    <s v="11,88"/>
    <s v="23,76"/>
    <n v="23.76"/>
    <b v="1"/>
    <m/>
    <x v="1"/>
  </r>
  <r>
    <s v="SHOUCF00 ECS35 55"/>
    <n v="222"/>
    <x v="7"/>
    <n v="55"/>
    <x v="14"/>
    <x v="7"/>
    <n v="6"/>
    <s v="11,88"/>
    <s v="71,28"/>
    <n v="71.28"/>
    <b v="1"/>
    <m/>
    <x v="0"/>
  </r>
  <r>
    <s v="OCLKD001 MES87 26"/>
    <n v="223"/>
    <x v="107"/>
    <n v="26"/>
    <x v="0"/>
    <x v="106"/>
    <n v="3"/>
    <s v="8,4"/>
    <s v="25,2"/>
    <n v="25.200000000000003"/>
    <b v="1"/>
    <m/>
    <x v="0"/>
  </r>
  <r>
    <s v="OCLKD001 MES87 422"/>
    <n v="224"/>
    <x v="107"/>
    <n v="422"/>
    <x v="4"/>
    <x v="106"/>
    <n v="3"/>
    <s v="8,4"/>
    <s v="25,2"/>
    <n v="25.200000000000003"/>
    <b v="1"/>
    <m/>
    <x v="1"/>
  </r>
  <r>
    <s v="OCLKD001 MES88 347"/>
    <n v="225"/>
    <x v="108"/>
    <n v="347"/>
    <x v="2"/>
    <x v="107"/>
    <n v="3"/>
    <s v="8,4"/>
    <s v="25,2"/>
    <n v="25.200000000000003"/>
    <b v="1"/>
    <m/>
    <x v="1"/>
  </r>
  <r>
    <s v="OBAGS016 TES01 26"/>
    <n v="226"/>
    <x v="37"/>
    <n v="26"/>
    <x v="0"/>
    <x v="37"/>
    <n v="2"/>
    <s v="10,8"/>
    <s v="21,6"/>
    <n v="21.6"/>
    <b v="1"/>
    <m/>
    <x v="0"/>
  </r>
  <r>
    <s v="OBAGP006 TESF5 441"/>
    <n v="227"/>
    <x v="109"/>
    <n v="441"/>
    <x v="45"/>
    <x v="108"/>
    <n v="2"/>
    <s v="18,12"/>
    <s v="36,24"/>
    <n v="36.24"/>
    <b v="1"/>
    <m/>
    <x v="1"/>
  </r>
  <r>
    <s v="OBAGP006 TESF6 474"/>
    <n v="228"/>
    <x v="110"/>
    <n v="474"/>
    <x v="41"/>
    <x v="109"/>
    <n v="2"/>
    <s v="18,12"/>
    <s v="36,24"/>
    <n v="36.24"/>
    <b v="1"/>
    <m/>
    <x v="1"/>
  </r>
  <r>
    <s v="OBAGP006 TESF8 481"/>
    <n v="229"/>
    <x v="111"/>
    <n v="481"/>
    <x v="8"/>
    <x v="110"/>
    <n v="2"/>
    <s v="11,88"/>
    <s v="23,76"/>
    <n v="23.76"/>
    <b v="1"/>
    <m/>
    <x v="1"/>
  </r>
  <r>
    <s v="OBAGPA24 TESF6 474"/>
    <n v="230"/>
    <x v="112"/>
    <n v="474"/>
    <x v="41"/>
    <x v="111"/>
    <n v="2"/>
    <s v="15,6"/>
    <s v="31,2"/>
    <n v="31.2"/>
    <b v="1"/>
    <m/>
    <x v="1"/>
  </r>
  <r>
    <s v="OBAGA000 ECS42 479"/>
    <n v="231"/>
    <x v="70"/>
    <n v="479"/>
    <x v="7"/>
    <x v="70"/>
    <n v="6"/>
    <s v="3,6"/>
    <s v="21,6"/>
    <n v="21.6"/>
    <b v="1"/>
    <m/>
    <x v="1"/>
  </r>
  <r>
    <s v="OBAGB009 EVS15 479"/>
    <n v="232"/>
    <x v="113"/>
    <n v="479"/>
    <x v="7"/>
    <x v="112"/>
    <n v="2"/>
    <n v="24"/>
    <n v="48"/>
    <n v="48"/>
    <b v="1"/>
    <m/>
    <x v="5"/>
  </r>
  <r>
    <s v="OBAGP006 TESH2 72"/>
    <n v="233"/>
    <x v="114"/>
    <n v="72"/>
    <x v="46"/>
    <x v="113"/>
    <n v="2"/>
    <s v="12,72"/>
    <s v="25,44"/>
    <n v="25.44"/>
    <b v="1"/>
    <m/>
    <x v="0"/>
  </r>
  <r>
    <s v="OBAGP106 ECS55 479"/>
    <n v="234"/>
    <x v="86"/>
    <n v="479"/>
    <x v="7"/>
    <x v="86"/>
    <n v="2"/>
    <s v="19,32"/>
    <s v="38,64"/>
    <n v="38.64"/>
    <b v="1"/>
    <m/>
    <x v="5"/>
  </r>
  <r>
    <s v="OCLKD101 MES85 483"/>
    <n v="235"/>
    <x v="115"/>
    <n v="483"/>
    <x v="18"/>
    <x v="114"/>
    <n v="3"/>
    <n v="9"/>
    <n v="27"/>
    <n v="27"/>
    <b v="1"/>
    <m/>
    <x v="1"/>
  </r>
  <r>
    <s v="OBAGB018 EVS03 347"/>
    <n v="236"/>
    <x v="43"/>
    <n v="347"/>
    <x v="2"/>
    <x v="43"/>
    <n v="3"/>
    <s v="11,88"/>
    <s v="35,64"/>
    <n v="35.64"/>
    <b v="1"/>
    <m/>
    <x v="0"/>
  </r>
  <r>
    <s v="OBAGB002 EVS00 371"/>
    <n v="237"/>
    <x v="24"/>
    <n v="371"/>
    <x v="13"/>
    <x v="24"/>
    <n v="1"/>
    <s v="14,4"/>
    <s v="14,4"/>
    <n v="14.4"/>
    <b v="1"/>
    <m/>
    <x v="4"/>
  </r>
  <r>
    <s v="OBAGB009 EVS00 17"/>
    <n v="238"/>
    <x v="20"/>
    <n v="17"/>
    <x v="9"/>
    <x v="20"/>
    <n v="1"/>
    <s v="14,4"/>
    <s v="14,4"/>
    <n v="14.4"/>
    <b v="1"/>
    <m/>
    <x v="0"/>
  </r>
  <r>
    <s v="OBAGS002 TES01 26"/>
    <n v="239"/>
    <x v="64"/>
    <n v="26"/>
    <x v="0"/>
    <x v="64"/>
    <n v="3"/>
    <s v="7,08"/>
    <s v="21,24"/>
    <n v="21.240000000000002"/>
    <b v="1"/>
    <m/>
    <x v="0"/>
  </r>
  <r>
    <s v="OBAGB017 EVS00 17"/>
    <n v="240"/>
    <x v="42"/>
    <n v="17"/>
    <x v="9"/>
    <x v="42"/>
    <n v="2"/>
    <s v="11,04"/>
    <s v="22,08"/>
    <n v="22.08"/>
    <b v="1"/>
    <m/>
    <x v="0"/>
  </r>
  <r>
    <s v="OBAGB016 EVS00 76"/>
    <n v="241"/>
    <x v="23"/>
    <n v="76"/>
    <x v="1"/>
    <x v="23"/>
    <n v="2"/>
    <s v="12,6"/>
    <s v="25,2"/>
    <n v="25.2"/>
    <b v="1"/>
    <m/>
    <x v="0"/>
  </r>
  <r>
    <s v="OBAGB016 EVS00 78"/>
    <n v="242"/>
    <x v="23"/>
    <n v="78"/>
    <x v="16"/>
    <x v="23"/>
    <n v="2"/>
    <s v="12,6"/>
    <s v="25,2"/>
    <n v="25.2"/>
    <b v="1"/>
    <m/>
    <x v="0"/>
  </r>
  <r>
    <s v="OBAGB001 EVS00 422"/>
    <n v="243"/>
    <x v="19"/>
    <n v="422"/>
    <x v="4"/>
    <x v="19"/>
    <n v="3"/>
    <s v="14,4"/>
    <s v="43,2"/>
    <n v="43.2"/>
    <b v="1"/>
    <m/>
    <x v="3"/>
  </r>
  <r>
    <s v="OBAGB009 EVS00 422"/>
    <n v="244"/>
    <x v="20"/>
    <n v="422"/>
    <x v="4"/>
    <x v="20"/>
    <n v="2"/>
    <s v="14,4"/>
    <s v="28,8"/>
    <n v="28.8"/>
    <b v="1"/>
    <m/>
    <x v="3"/>
  </r>
  <r>
    <s v="OBAGS121 TES01 54"/>
    <n v="245"/>
    <x v="25"/>
    <n v="54"/>
    <x v="44"/>
    <x v="25"/>
    <n v="3"/>
    <s v="7,8"/>
    <s v="23,4"/>
    <n v="23.4"/>
    <b v="1"/>
    <m/>
    <x v="0"/>
  </r>
  <r>
    <s v="OBAGB018 EVS03 76"/>
    <n v="246"/>
    <x v="43"/>
    <n v="76"/>
    <x v="1"/>
    <x v="43"/>
    <n v="3"/>
    <s v="11,88"/>
    <s v="35,64"/>
    <n v="35.64"/>
    <b v="1"/>
    <m/>
    <x v="0"/>
  </r>
  <r>
    <s v="OBAGB017 EVS00 371"/>
    <n v="247"/>
    <x v="42"/>
    <n v="371"/>
    <x v="13"/>
    <x v="42"/>
    <n v="2"/>
    <s v="11,04"/>
    <s v="22,08"/>
    <n v="22.08"/>
    <b v="1"/>
    <m/>
    <x v="4"/>
  </r>
  <r>
    <s v="OBAGB017 EVS00 347"/>
    <n v="248"/>
    <x v="42"/>
    <n v="347"/>
    <x v="2"/>
    <x v="42"/>
    <n v="2"/>
    <s v="11,04"/>
    <s v="22,08"/>
    <n v="22.08"/>
    <b v="1"/>
    <m/>
    <x v="1"/>
  </r>
  <r>
    <s v="OBAGB021 EVS03 78"/>
    <n v="249"/>
    <x v="26"/>
    <n v="78"/>
    <x v="16"/>
    <x v="26"/>
    <n v="2"/>
    <s v="11,88"/>
    <s v="23,76"/>
    <n v="23.76"/>
    <b v="1"/>
    <m/>
    <x v="0"/>
  </r>
  <r>
    <s v="OBAGB001 EVS00 485"/>
    <n v="250"/>
    <x v="19"/>
    <n v="485"/>
    <x v="34"/>
    <x v="19"/>
    <n v="3"/>
    <s v="14,4"/>
    <s v="43,2"/>
    <n v="43.2"/>
    <b v="1"/>
    <m/>
    <x v="1"/>
  </r>
  <r>
    <s v="OCLKE013 MAS00 55"/>
    <n v="251"/>
    <x v="27"/>
    <n v="55"/>
    <x v="14"/>
    <x v="27"/>
    <n v="6"/>
    <s v="1,92"/>
    <s v="11,52"/>
    <n v="11.52"/>
    <b v="1"/>
    <m/>
    <x v="0"/>
  </r>
  <r>
    <s v="OCLKE013 MAS00 59"/>
    <n v="252"/>
    <x v="27"/>
    <n v="59"/>
    <x v="14"/>
    <x v="27"/>
    <n v="6"/>
    <s v="1,92"/>
    <s v="11,52"/>
    <n v="11.52"/>
    <b v="1"/>
    <m/>
    <x v="0"/>
  </r>
  <r>
    <s v="OCLKSB01 INS00 8"/>
    <n v="253"/>
    <x v="44"/>
    <n v="8"/>
    <x v="5"/>
    <x v="44"/>
    <n v="6"/>
    <s v="2,52"/>
    <s v="15,12"/>
    <n v="15.120000000000001"/>
    <b v="1"/>
    <m/>
    <x v="0"/>
  </r>
  <r>
    <s v="OCLKSB01 INS00 60"/>
    <n v="254"/>
    <x v="44"/>
    <n v="60"/>
    <x v="14"/>
    <x v="44"/>
    <n v="6"/>
    <s v="2,52"/>
    <s v="15,12"/>
    <n v="15.120000000000001"/>
    <b v="1"/>
    <m/>
    <x v="0"/>
  </r>
  <r>
    <s v="OBAGS017 TESH2 36"/>
    <n v="255"/>
    <x v="116"/>
    <n v="36"/>
    <x v="6"/>
    <x v="115"/>
    <n v="2"/>
    <s v="12,72"/>
    <s v="25,44"/>
    <n v="25.44"/>
    <b v="1"/>
    <m/>
    <x v="0"/>
  </r>
  <r>
    <s v="OBAGP006 TESF2 55"/>
    <n v="256"/>
    <x v="117"/>
    <n v="55"/>
    <x v="14"/>
    <x v="116"/>
    <n v="2"/>
    <s v="18,12"/>
    <s v="36,24"/>
    <n v="36.24"/>
    <b v="1"/>
    <m/>
    <x v="0"/>
  </r>
  <r>
    <s v="OBAGS010 TES01 76"/>
    <n v="257"/>
    <x v="5"/>
    <n v="76"/>
    <x v="1"/>
    <x v="5"/>
    <n v="2"/>
    <s v="9,36"/>
    <s v="18,72"/>
    <n v="18.72"/>
    <b v="1"/>
    <m/>
    <x v="0"/>
  </r>
  <r>
    <s v="SHOUGH00 TESI4 241"/>
    <n v="258"/>
    <x v="118"/>
    <n v="241"/>
    <x v="23"/>
    <x v="117"/>
    <n v="4"/>
    <s v="12,6"/>
    <s v="50,4"/>
    <n v="50.4"/>
    <b v="1"/>
    <m/>
    <x v="1"/>
  </r>
  <r>
    <s v="OBAGS002 TESE5 76"/>
    <n v="259"/>
    <x v="85"/>
    <n v="76"/>
    <x v="1"/>
    <x v="85"/>
    <n v="2"/>
    <s v="10,8"/>
    <s v="21,6"/>
    <n v="21.6"/>
    <b v="1"/>
    <m/>
    <x v="0"/>
  </r>
  <r>
    <s v="OBAGS001 TESE6 76"/>
    <n v="260"/>
    <x v="104"/>
    <n v="76"/>
    <x v="1"/>
    <x v="103"/>
    <n v="2"/>
    <s v="10,8"/>
    <s v="21,6"/>
    <n v="21.6"/>
    <b v="1"/>
    <m/>
    <x v="0"/>
  </r>
  <r>
    <s v="OBAGS009 TES01 76"/>
    <n v="261"/>
    <x v="36"/>
    <n v="76"/>
    <x v="1"/>
    <x v="36"/>
    <n v="2"/>
    <s v="9,78"/>
    <s v="19,56"/>
    <n v="19.559999999999999"/>
    <b v="1"/>
    <m/>
    <x v="0"/>
  </r>
  <r>
    <s v="OBAGS121 TESF7 475"/>
    <n v="262"/>
    <x v="119"/>
    <n v="475"/>
    <x v="32"/>
    <x v="118"/>
    <n v="3"/>
    <s v="12,6"/>
    <s v="37,8"/>
    <n v="37.799999999999997"/>
    <b v="1"/>
    <m/>
    <x v="0"/>
  </r>
  <r>
    <s v="OBAGT001 TESF9 254"/>
    <n v="263"/>
    <x v="120"/>
    <n v="254"/>
    <x v="27"/>
    <x v="119"/>
    <n v="2"/>
    <s v="10,68"/>
    <s v="21,36"/>
    <n v="21.36"/>
    <b v="1"/>
    <m/>
    <x v="1"/>
  </r>
  <r>
    <s v="OBAGP006 TESF4 473"/>
    <n v="264"/>
    <x v="121"/>
    <n v="473"/>
    <x v="20"/>
    <x v="120"/>
    <n v="2"/>
    <s v="18,12"/>
    <s v="36,24"/>
    <n v="36.24"/>
    <b v="1"/>
    <m/>
    <x v="0"/>
  </r>
  <r>
    <s v="OBAGP106 TES13 17"/>
    <n v="265"/>
    <x v="122"/>
    <n v="17"/>
    <x v="9"/>
    <x v="121"/>
    <n v="2"/>
    <s v="14,4"/>
    <s v="28,8"/>
    <n v="28.8"/>
    <b v="1"/>
    <m/>
    <x v="0"/>
  </r>
  <r>
    <s v="SHOUWA00 TESE5 76"/>
    <n v="266"/>
    <x v="103"/>
    <n v="76"/>
    <x v="1"/>
    <x v="102"/>
    <n v="3"/>
    <s v="13,32"/>
    <s v="39,96"/>
    <n v="39.96"/>
    <b v="1"/>
    <m/>
    <x v="0"/>
  </r>
  <r>
    <s v="OBAGS001 TESF9 254"/>
    <n v="267"/>
    <x v="123"/>
    <n v="254"/>
    <x v="27"/>
    <x v="122"/>
    <n v="3"/>
    <s v="10,68"/>
    <s v="32,04"/>
    <n v="32.04"/>
    <b v="1"/>
    <m/>
    <x v="1"/>
  </r>
  <r>
    <s v="OHUGB002 EVS06 26"/>
    <n v="268"/>
    <x v="40"/>
    <n v="26"/>
    <x v="0"/>
    <x v="40"/>
    <n v="3"/>
    <s v="6,6"/>
    <s v="19,8"/>
    <n v="19.799999999999997"/>
    <b v="1"/>
    <m/>
    <x v="0"/>
  </r>
  <r>
    <s v="HLESGC00 ECS54 215"/>
    <n v="269"/>
    <x v="124"/>
    <n v="215"/>
    <x v="15"/>
    <x v="123"/>
    <n v="3"/>
    <s v="16,32"/>
    <s v="48,96"/>
    <n v="48.96"/>
    <b v="1"/>
    <m/>
    <x v="1"/>
  </r>
  <r>
    <s v="HLESGC00 ECS54 479"/>
    <n v="270"/>
    <x v="124"/>
    <n v="479"/>
    <x v="7"/>
    <x v="123"/>
    <n v="3"/>
    <s v="16,32"/>
    <s v="48,96"/>
    <n v="48.96"/>
    <b v="1"/>
    <m/>
    <x v="1"/>
  </r>
  <r>
    <s v="OBAGT001 TESG8 61"/>
    <n v="271"/>
    <x v="125"/>
    <n v="61"/>
    <x v="10"/>
    <x v="124"/>
    <n v="2"/>
    <s v="20,04"/>
    <s v="40,08"/>
    <n v="40.08"/>
    <b v="1"/>
    <m/>
    <x v="0"/>
  </r>
  <r>
    <s v="OBAGT002 TESG8 61"/>
    <n v="272"/>
    <x v="126"/>
    <n v="61"/>
    <x v="10"/>
    <x v="125"/>
    <n v="2"/>
    <s v="18,24"/>
    <s v="36,48"/>
    <n v="36.479999999999997"/>
    <b v="1"/>
    <m/>
    <x v="0"/>
  </r>
  <r>
    <s v="OBAGT002 TESE8 227"/>
    <n v="273"/>
    <x v="127"/>
    <n v="227"/>
    <x v="21"/>
    <x v="126"/>
    <n v="2"/>
    <s v="12,72"/>
    <s v="25,44"/>
    <n v="25.44"/>
    <b v="1"/>
    <m/>
    <x v="1"/>
  </r>
  <r>
    <s v="OBAGS001 TESG3 481"/>
    <n v="274"/>
    <x v="49"/>
    <n v="481"/>
    <x v="8"/>
    <x v="49"/>
    <n v="2"/>
    <s v="11,88"/>
    <s v="23,76"/>
    <n v="23.76"/>
    <b v="1"/>
    <m/>
    <x v="1"/>
  </r>
  <r>
    <s v="OBAGB206 EVS00 26"/>
    <n v="275"/>
    <x v="22"/>
    <n v="26"/>
    <x v="0"/>
    <x v="22"/>
    <n v="3"/>
    <s v="4,8"/>
    <s v="14,4"/>
    <n v="14.399999999999999"/>
    <b v="1"/>
    <m/>
    <x v="0"/>
  </r>
  <r>
    <s v="ACCEP014 ECS35 76"/>
    <n v="276"/>
    <x v="17"/>
    <n v="76"/>
    <x v="1"/>
    <x v="17"/>
    <n v="3"/>
    <s v="9,6"/>
    <s v="28,8"/>
    <n v="28.799999999999997"/>
    <b v="1"/>
    <m/>
    <x v="0"/>
  </r>
  <r>
    <s v="OBAGB001 EVS17 55"/>
    <n v="277"/>
    <x v="128"/>
    <n v="55"/>
    <x v="14"/>
    <x v="127"/>
    <n v="3"/>
    <n v="33"/>
    <n v="99"/>
    <n v="99"/>
    <b v="1"/>
    <m/>
    <x v="0"/>
  </r>
  <r>
    <s v="OBAGS118 TESE6 55"/>
    <n v="278"/>
    <x v="57"/>
    <n v="55"/>
    <x v="14"/>
    <x v="57"/>
    <n v="2"/>
    <s v="13,44"/>
    <s v="26,88"/>
    <n v="26.88"/>
    <b v="1"/>
    <m/>
    <x v="0"/>
  </r>
  <r>
    <s v="OBAGS018 TESE6 36"/>
    <n v="279"/>
    <x v="129"/>
    <n v="36"/>
    <x v="6"/>
    <x v="128"/>
    <n v="2"/>
    <s v="13,44"/>
    <s v="26,88"/>
    <n v="26.88"/>
    <b v="1"/>
    <m/>
    <x v="0"/>
  </r>
  <r>
    <s v="OBAGS102 TESG6 408"/>
    <n v="280"/>
    <x v="106"/>
    <n v="408"/>
    <x v="28"/>
    <x v="105"/>
    <n v="2"/>
    <s v="11,88"/>
    <s v="23,76"/>
    <n v="23.76"/>
    <b v="1"/>
    <m/>
    <x v="1"/>
  </r>
  <r>
    <s v="OBAGS002 TESE7 55"/>
    <n v="281"/>
    <x v="130"/>
    <n v="55"/>
    <x v="14"/>
    <x v="129"/>
    <n v="2"/>
    <s v="12,72"/>
    <s v="25,44"/>
    <n v="25.44"/>
    <b v="1"/>
    <m/>
    <x v="0"/>
  </r>
  <r>
    <s v="HLESAD00 ECS00 17"/>
    <n v="282"/>
    <x v="67"/>
    <n v="17"/>
    <x v="9"/>
    <x v="67"/>
    <n v="8"/>
    <s v="4,56"/>
    <s v="36,48"/>
    <n v="36.479999999999997"/>
    <b v="1"/>
    <m/>
    <x v="0"/>
  </r>
  <r>
    <s v="HLESAD00 ECS00 17"/>
    <n v="283"/>
    <x v="67"/>
    <n v="17"/>
    <x v="9"/>
    <x v="67"/>
    <n v="6"/>
    <s v="4,56"/>
    <s v="27,36"/>
    <n v="27.36"/>
    <b v="1"/>
    <m/>
    <x v="0"/>
  </r>
  <r>
    <s v="HLESAD00 ECS00 422"/>
    <n v="284"/>
    <x v="67"/>
    <n v="422"/>
    <x v="4"/>
    <x v="67"/>
    <n v="6"/>
    <s v="4,56"/>
    <s v="27,36"/>
    <n v="27.36"/>
    <b v="1"/>
    <m/>
    <x v="0"/>
  </r>
  <r>
    <s v="HLESZ817 TESH8 76"/>
    <n v="285"/>
    <x v="98"/>
    <n v="76"/>
    <x v="1"/>
    <x v="97"/>
    <n v="3"/>
    <s v="14,4"/>
    <s v="43,2"/>
    <n v="43.2"/>
    <b v="1"/>
    <m/>
    <x v="0"/>
  </r>
  <r>
    <s v="OBAGS016 TES01 347"/>
    <n v="286"/>
    <x v="37"/>
    <n v="347"/>
    <x v="2"/>
    <x v="37"/>
    <n v="2"/>
    <s v="10,8"/>
    <s v="21,6"/>
    <n v="21.6"/>
    <b v="1"/>
    <m/>
    <x v="1"/>
  </r>
  <r>
    <s v="OBAGS017 TESE6 55"/>
    <n v="287"/>
    <x v="100"/>
    <n v="55"/>
    <x v="14"/>
    <x v="99"/>
    <n v="2"/>
    <s v="11,88"/>
    <s v="23,76"/>
    <n v="23.76"/>
    <b v="1"/>
    <m/>
    <x v="0"/>
  </r>
  <r>
    <s v="OBAGPA06 TESF1 8"/>
    <n v="288"/>
    <x v="6"/>
    <n v="8"/>
    <x v="5"/>
    <x v="6"/>
    <n v="2"/>
    <s v="12,72"/>
    <s v="25,44"/>
    <n v="25.44"/>
    <b v="1"/>
    <m/>
    <x v="0"/>
  </r>
  <r>
    <s v="SHOUCF00 ECS35 36"/>
    <n v="289"/>
    <x v="7"/>
    <n v="36"/>
    <x v="6"/>
    <x v="7"/>
    <n v="4"/>
    <s v="11,88"/>
    <s v="47,52"/>
    <n v="47.52"/>
    <b v="1"/>
    <m/>
    <x v="0"/>
  </r>
  <r>
    <s v="OCLKD001 MES86 76"/>
    <n v="290"/>
    <x v="71"/>
    <n v="76"/>
    <x v="1"/>
    <x v="71"/>
    <n v="3"/>
    <s v="8,4"/>
    <s v="25,2"/>
    <n v="25.200000000000003"/>
    <b v="1"/>
    <m/>
    <x v="0"/>
  </r>
  <r>
    <s v="OCLKD001 MES86 347"/>
    <n v="291"/>
    <x v="71"/>
    <n v="347"/>
    <x v="2"/>
    <x v="71"/>
    <n v="3"/>
    <s v="8,4"/>
    <s v="25,2"/>
    <n v="25.200000000000003"/>
    <b v="1"/>
    <m/>
    <x v="1"/>
  </r>
  <r>
    <s v="OCLKD101 MES91 487"/>
    <n v="292"/>
    <x v="131"/>
    <n v="487"/>
    <x v="47"/>
    <x v="130"/>
    <n v="3"/>
    <n v="9"/>
    <n v="27"/>
    <n v="27"/>
    <b v="1"/>
    <m/>
    <x v="1"/>
  </r>
  <r>
    <s v="OBAGB024 EVS00 26"/>
    <n v="293"/>
    <x v="2"/>
    <n v="26"/>
    <x v="0"/>
    <x v="2"/>
    <n v="3"/>
    <s v="4,8"/>
    <s v="14,4"/>
    <n v="14.399999999999999"/>
    <b v="1"/>
    <m/>
    <x v="0"/>
  </r>
  <r>
    <s v="OBAGS001 TESG2 17"/>
    <n v="294"/>
    <x v="74"/>
    <n v="17"/>
    <x v="9"/>
    <x v="74"/>
    <n v="2"/>
    <s v="10,8"/>
    <s v="21,6"/>
    <n v="21.6"/>
    <b v="1"/>
    <m/>
    <x v="0"/>
  </r>
  <r>
    <s v="OBAGS009 TES01 130"/>
    <n v="295"/>
    <x v="36"/>
    <n v="130"/>
    <x v="12"/>
    <x v="36"/>
    <n v="2"/>
    <s v="9,78"/>
    <s v="19,56"/>
    <n v="19.559999999999999"/>
    <b v="1"/>
    <m/>
    <x v="1"/>
  </r>
  <r>
    <s v="ACCEF001 TESF5 478"/>
    <n v="296"/>
    <x v="132"/>
    <n v="478"/>
    <x v="48"/>
    <x v="131"/>
    <n v="4"/>
    <s v="7,08"/>
    <s v="28,32"/>
    <n v="28.32"/>
    <b v="1"/>
    <m/>
    <x v="0"/>
  </r>
  <r>
    <s v="OBAGB009 EVS15 371"/>
    <n v="297"/>
    <x v="113"/>
    <n v="371"/>
    <x v="13"/>
    <x v="112"/>
    <n v="2"/>
    <n v="24"/>
    <n v="48"/>
    <n v="48"/>
    <b v="1"/>
    <m/>
    <x v="5"/>
  </r>
  <r>
    <s v="OBAGB426 ECS67 479"/>
    <n v="298"/>
    <x v="133"/>
    <n v="479"/>
    <x v="7"/>
    <x v="132"/>
    <n v="2"/>
    <s v="29,4"/>
    <s v="58,8"/>
    <n v="58.8"/>
    <b v="1"/>
    <m/>
    <x v="1"/>
  </r>
  <r>
    <s v="OBAGPA24 ECS53 61"/>
    <n v="299"/>
    <x v="134"/>
    <n v="61"/>
    <x v="10"/>
    <x v="133"/>
    <n v="2"/>
    <s v="15,6"/>
    <s v="31,2"/>
    <n v="31.2"/>
    <b v="1"/>
    <m/>
    <x v="0"/>
  </r>
  <r>
    <s v="SHOUWA00 ECS54 215"/>
    <n v="300"/>
    <x v="92"/>
    <n v="215"/>
    <x v="15"/>
    <x v="92"/>
    <n v="3"/>
    <s v="21,96"/>
    <s v="65,88"/>
    <n v="65.88"/>
    <b v="1"/>
    <m/>
    <x v="1"/>
  </r>
  <r>
    <s v="OBAGPA10 ECS35 479"/>
    <n v="301"/>
    <x v="16"/>
    <n v="479"/>
    <x v="7"/>
    <x v="16"/>
    <n v="2"/>
    <s v="6,72"/>
    <s v="13,44"/>
    <n v="13.44"/>
    <b v="1"/>
    <m/>
    <x v="1"/>
  </r>
  <r>
    <s v="OBAGB009 EVS00 71"/>
    <n v="302"/>
    <x v="20"/>
    <n v="71"/>
    <x v="35"/>
    <x v="20"/>
    <n v="1"/>
    <s v="14,4"/>
    <s v="14,4"/>
    <n v="14.4"/>
    <b v="1"/>
    <m/>
    <x v="0"/>
  </r>
  <r>
    <s v="OBAGB010 EVS00 55"/>
    <n v="303"/>
    <x v="21"/>
    <n v="55"/>
    <x v="14"/>
    <x v="21"/>
    <n v="1"/>
    <s v="13,08"/>
    <s v="13,08"/>
    <n v="13.08"/>
    <b v="1"/>
    <m/>
    <x v="0"/>
  </r>
  <r>
    <s v="OBAGB001 EVS00 38"/>
    <n v="304"/>
    <x v="19"/>
    <n v="38"/>
    <x v="49"/>
    <x v="19"/>
    <n v="2"/>
    <s v="14,4"/>
    <s v="28,8"/>
    <n v="28.8"/>
    <b v="1"/>
    <m/>
    <x v="0"/>
  </r>
  <r>
    <s v="OBAGB009 EVS00 75"/>
    <n v="305"/>
    <x v="20"/>
    <n v="75"/>
    <x v="11"/>
    <x v="20"/>
    <n v="2"/>
    <s v="14,4"/>
    <s v="28,8"/>
    <n v="28.8"/>
    <b v="1"/>
    <m/>
    <x v="0"/>
  </r>
  <r>
    <s v="OBAGB018 EVS03 422"/>
    <n v="306"/>
    <x v="43"/>
    <n v="422"/>
    <x v="4"/>
    <x v="43"/>
    <n v="3"/>
    <s v="11,88"/>
    <s v="35,64"/>
    <n v="35.64"/>
    <b v="1"/>
    <m/>
    <x v="0"/>
  </r>
  <r>
    <s v="OBAGB010 EVS00 26"/>
    <n v="307"/>
    <x v="21"/>
    <n v="26"/>
    <x v="0"/>
    <x v="21"/>
    <n v="2"/>
    <s v="13,08"/>
    <s v="26,16"/>
    <n v="26.16"/>
    <b v="1"/>
    <m/>
    <x v="0"/>
  </r>
  <r>
    <s v="OBAGB021 EVS03 371"/>
    <n v="308"/>
    <x v="26"/>
    <n v="371"/>
    <x v="13"/>
    <x v="26"/>
    <n v="2"/>
    <s v="11,88"/>
    <s v="23,76"/>
    <n v="23.76"/>
    <b v="1"/>
    <m/>
    <x v="0"/>
  </r>
  <r>
    <s v="OBAGB001 EVS00 26"/>
    <n v="309"/>
    <x v="19"/>
    <n v="26"/>
    <x v="0"/>
    <x v="19"/>
    <n v="3"/>
    <s v="14,4"/>
    <s v="43,2"/>
    <n v="43.2"/>
    <b v="1"/>
    <m/>
    <x v="0"/>
  </r>
  <r>
    <s v="OBAGB019 EVS00 76"/>
    <n v="310"/>
    <x v="41"/>
    <n v="76"/>
    <x v="1"/>
    <x v="41"/>
    <n v="2"/>
    <s v="13,92"/>
    <s v="27,84"/>
    <n v="27.84"/>
    <b v="1"/>
    <m/>
    <x v="0"/>
  </r>
  <r>
    <s v="OBAGB002 EVS00 479"/>
    <n v="311"/>
    <x v="24"/>
    <n v="479"/>
    <x v="7"/>
    <x v="24"/>
    <n v="3"/>
    <s v="14,4"/>
    <s v="43,2"/>
    <n v="43.2"/>
    <b v="1"/>
    <m/>
    <x v="1"/>
  </r>
  <r>
    <s v="OCLKE013 MAS00 8"/>
    <n v="312"/>
    <x v="27"/>
    <n v="8"/>
    <x v="5"/>
    <x v="27"/>
    <n v="6"/>
    <s v="1,92"/>
    <s v="11,52"/>
    <n v="11.52"/>
    <b v="1"/>
    <m/>
    <x v="0"/>
  </r>
  <r>
    <s v="OCLKE013 MAS00 63"/>
    <n v="313"/>
    <x v="27"/>
    <n v="63"/>
    <x v="50"/>
    <x v="27"/>
    <n v="6"/>
    <s v="1,92"/>
    <s v="11,52"/>
    <n v="11.52"/>
    <b v="1"/>
    <m/>
    <x v="0"/>
  </r>
  <r>
    <s v="OCLKSB01 INS00 63"/>
    <n v="314"/>
    <x v="44"/>
    <n v="63"/>
    <x v="50"/>
    <x v="44"/>
    <n v="6"/>
    <s v="2,52"/>
    <s v="15,12"/>
    <n v="15.120000000000001"/>
    <b v="1"/>
    <m/>
    <x v="0"/>
  </r>
  <r>
    <s v="OCLKSB01 INS00 422"/>
    <n v="315"/>
    <x v="44"/>
    <n v="422"/>
    <x v="4"/>
    <x v="44"/>
    <n v="6"/>
    <s v="2,52"/>
    <s v="15,12"/>
    <n v="15.120000000000001"/>
    <b v="1"/>
    <m/>
    <x v="5"/>
  </r>
  <r>
    <s v="SHOUBG00 ECS35 17"/>
    <n v="316"/>
    <x v="10"/>
    <n v="17"/>
    <x v="9"/>
    <x v="10"/>
    <n v="6"/>
    <s v="7,2"/>
    <s v="43,2"/>
    <n v="43.2"/>
    <b v="1"/>
    <m/>
    <x v="0"/>
  </r>
  <r>
    <s v="ACCEC002 ECS03 55"/>
    <n v="317"/>
    <x v="30"/>
    <n v="55"/>
    <x v="14"/>
    <x v="30"/>
    <n v="2"/>
    <s v="7,08"/>
    <s v="14,16"/>
    <n v="14.16"/>
    <b v="1"/>
    <m/>
    <x v="0"/>
  </r>
  <r>
    <s v="OBAGS009 TESG9 125"/>
    <n v="318"/>
    <x v="135"/>
    <n v="125"/>
    <x v="43"/>
    <x v="134"/>
    <n v="2"/>
    <s v="10,8"/>
    <s v="21,6"/>
    <n v="21.6"/>
    <b v="1"/>
    <m/>
    <x v="1"/>
  </r>
  <r>
    <s v="OBAGT002 TESF7 475"/>
    <n v="319"/>
    <x v="136"/>
    <n v="475"/>
    <x v="32"/>
    <x v="135"/>
    <n v="2"/>
    <s v="12,72"/>
    <s v="25,44"/>
    <n v="25.44"/>
    <b v="1"/>
    <m/>
    <x v="0"/>
  </r>
  <r>
    <s v="HLESAE00 ECS00 75"/>
    <n v="320"/>
    <x v="38"/>
    <n v="75"/>
    <x v="11"/>
    <x v="38"/>
    <n v="2"/>
    <s v="4,56"/>
    <s v="9,12"/>
    <n v="9.1199999999999992"/>
    <b v="1"/>
    <m/>
    <x v="0"/>
  </r>
  <r>
    <s v="OBAGB016 EVS00 479"/>
    <n v="321"/>
    <x v="23"/>
    <n v="479"/>
    <x v="7"/>
    <x v="23"/>
    <n v="2"/>
    <s v="12,6"/>
    <s v="25,2"/>
    <n v="25.2"/>
    <b v="1"/>
    <m/>
    <x v="1"/>
  </r>
  <r>
    <s v="OBAGS002 TES01 76"/>
    <n v="322"/>
    <x v="64"/>
    <n v="76"/>
    <x v="1"/>
    <x v="64"/>
    <n v="3"/>
    <s v="7,08"/>
    <s v="21,24"/>
    <n v="21.240000000000002"/>
    <b v="1"/>
    <m/>
    <x v="0"/>
  </r>
  <r>
    <s v="OBAGS102 TESG7 17"/>
    <n v="323"/>
    <x v="137"/>
    <n v="17"/>
    <x v="9"/>
    <x v="136"/>
    <n v="2"/>
    <s v="11,88"/>
    <s v="23,76"/>
    <n v="23.76"/>
    <b v="1"/>
    <m/>
    <x v="0"/>
  </r>
  <r>
    <s v="HLESGC00 ECS54 75"/>
    <n v="324"/>
    <x v="124"/>
    <n v="75"/>
    <x v="11"/>
    <x v="123"/>
    <n v="3"/>
    <s v="16,32"/>
    <s v="48,96"/>
    <n v="48.96"/>
    <b v="1"/>
    <m/>
    <x v="0"/>
  </r>
  <r>
    <s v="OBAGB018 EVS03 479"/>
    <n v="325"/>
    <x v="43"/>
    <n v="479"/>
    <x v="7"/>
    <x v="43"/>
    <n v="3"/>
    <s v="11,88"/>
    <s v="35,64"/>
    <n v="35.64"/>
    <b v="1"/>
    <m/>
    <x v="0"/>
  </r>
  <r>
    <s v="OBAGB426 ECS67 72"/>
    <n v="326"/>
    <x v="133"/>
    <n v="72"/>
    <x v="46"/>
    <x v="132"/>
    <n v="2"/>
    <s v="29,4"/>
    <s v="58,8"/>
    <n v="58.8"/>
    <b v="1"/>
    <m/>
    <x v="0"/>
  </r>
  <r>
    <s v="OBAGP006 ECS54 72"/>
    <n v="327"/>
    <x v="76"/>
    <n v="72"/>
    <x v="46"/>
    <x v="76"/>
    <n v="2"/>
    <s v="18,12"/>
    <s v="36,24"/>
    <n v="36.24"/>
    <b v="1"/>
    <m/>
    <x v="0"/>
  </r>
  <r>
    <s v="OBAGS016 TESG9 125"/>
    <n v="328"/>
    <x v="138"/>
    <n v="125"/>
    <x v="43"/>
    <x v="137"/>
    <n v="2"/>
    <s v="11,88"/>
    <s v="23,76"/>
    <n v="23.76"/>
    <b v="1"/>
    <m/>
    <x v="1"/>
  </r>
  <r>
    <s v="OBAGS017 TESG3 480"/>
    <n v="329"/>
    <x v="139"/>
    <n v="480"/>
    <x v="25"/>
    <x v="138"/>
    <n v="2"/>
    <s v="10,8"/>
    <s v="21,6"/>
    <n v="21.6"/>
    <b v="1"/>
    <m/>
    <x v="1"/>
  </r>
  <r>
    <s v="OBAGT001 TESH1 8"/>
    <n v="330"/>
    <x v="140"/>
    <n v="8"/>
    <x v="5"/>
    <x v="139"/>
    <n v="2"/>
    <s v="12,72"/>
    <s v="25,44"/>
    <n v="25.44"/>
    <b v="1"/>
    <m/>
    <x v="0"/>
  </r>
  <r>
    <s v="OBAGB016 EVS19 75"/>
    <n v="331"/>
    <x v="75"/>
    <n v="75"/>
    <x v="11"/>
    <x v="75"/>
    <n v="2"/>
    <s v="13,8"/>
    <s v="27,6"/>
    <n v="27.6"/>
    <b v="1"/>
    <m/>
    <x v="0"/>
  </r>
  <r>
    <s v="OHUGI002 ECS70 479"/>
    <n v="332"/>
    <x v="13"/>
    <n v="479"/>
    <x v="7"/>
    <x v="13"/>
    <n v="3"/>
    <s v="19,32"/>
    <s v="57,96"/>
    <n v="57.96"/>
    <b v="1"/>
    <m/>
    <x v="0"/>
  </r>
  <r>
    <s v="OBAGS002 TESF8 481"/>
    <n v="333"/>
    <x v="141"/>
    <n v="481"/>
    <x v="8"/>
    <x v="140"/>
    <n v="2"/>
    <s v="10,8"/>
    <s v="21,6"/>
    <n v="21.6"/>
    <b v="1"/>
    <m/>
    <x v="1"/>
  </r>
  <r>
    <s v="OBAGB010 EVS00 479"/>
    <n v="334"/>
    <x v="21"/>
    <n v="479"/>
    <x v="7"/>
    <x v="21"/>
    <n v="2"/>
    <s v="13,08"/>
    <s v="26,16"/>
    <n v="26.16"/>
    <b v="1"/>
    <m/>
    <x v="1"/>
  </r>
  <r>
    <s v="OBAGS001 TES01 347"/>
    <n v="335"/>
    <x v="0"/>
    <n v="347"/>
    <x v="2"/>
    <x v="0"/>
    <n v="2"/>
    <s v="7,8"/>
    <s v="15,6"/>
    <n v="15.6"/>
    <b v="1"/>
    <m/>
    <x v="1"/>
  </r>
  <r>
    <s v="OBAGB002 EVS00 484"/>
    <n v="336"/>
    <x v="24"/>
    <n v="484"/>
    <x v="42"/>
    <x v="24"/>
    <n v="3"/>
    <s v="14,4"/>
    <s v="43,2"/>
    <n v="43.2"/>
    <b v="1"/>
    <m/>
    <x v="1"/>
  </r>
  <r>
    <s v="OBAGB002 EVS18 371"/>
    <n v="337"/>
    <x v="66"/>
    <n v="371"/>
    <x v="13"/>
    <x v="66"/>
    <n v="3"/>
    <s v="15,6"/>
    <s v="46,8"/>
    <n v="46.8"/>
    <b v="1"/>
    <m/>
    <x v="1"/>
  </r>
  <r>
    <s v="HLESZ817 TESH8 36"/>
    <n v="338"/>
    <x v="98"/>
    <n v="36"/>
    <x v="6"/>
    <x v="97"/>
    <n v="3"/>
    <s v="14,4"/>
    <s v="43,2"/>
    <n v="43.2"/>
    <b v="1"/>
    <m/>
    <x v="0"/>
  </r>
  <r>
    <s v="OBAGS017 TESE6 36"/>
    <n v="339"/>
    <x v="100"/>
    <n v="36"/>
    <x v="6"/>
    <x v="99"/>
    <n v="2"/>
    <s v="11,88"/>
    <s v="23,76"/>
    <n v="23.76"/>
    <b v="1"/>
    <m/>
    <x v="0"/>
  </r>
  <r>
    <s v="OBAGP106 ECS52 55"/>
    <n v="340"/>
    <x v="96"/>
    <n v="55"/>
    <x v="14"/>
    <x v="95"/>
    <n v="2"/>
    <s v="15,6"/>
    <s v="31,2"/>
    <n v="31.2"/>
    <b v="1"/>
    <m/>
    <x v="0"/>
  </r>
  <r>
    <s v="ACCEP014 ECS35 26"/>
    <n v="341"/>
    <x v="17"/>
    <n v="26"/>
    <x v="0"/>
    <x v="17"/>
    <n v="3"/>
    <s v="9,6"/>
    <s v="28,8"/>
    <n v="28.799999999999997"/>
    <b v="1"/>
    <m/>
    <x v="0"/>
  </r>
  <r>
    <s v="HLESAD00 ECS00 26"/>
    <n v="342"/>
    <x v="67"/>
    <n v="26"/>
    <x v="0"/>
    <x v="67"/>
    <n v="8"/>
    <s v="4,56"/>
    <s v="36,48"/>
    <n v="36.479999999999997"/>
    <b v="1"/>
    <m/>
    <x v="0"/>
  </r>
  <r>
    <s v="OBAGS017 TESG3 481"/>
    <n v="343"/>
    <x v="139"/>
    <n v="481"/>
    <x v="8"/>
    <x v="138"/>
    <n v="2"/>
    <s v="10,8"/>
    <s v="21,6"/>
    <n v="21.6"/>
    <b v="1"/>
    <m/>
    <x v="1"/>
  </r>
  <r>
    <s v="OBAGPA24 TESF5 441"/>
    <n v="344"/>
    <x v="142"/>
    <n v="441"/>
    <x v="45"/>
    <x v="141"/>
    <n v="2"/>
    <s v="15,6"/>
    <s v="31,2"/>
    <n v="31.2"/>
    <b v="1"/>
    <m/>
    <x v="1"/>
  </r>
  <r>
    <s v="OBAGB016 EVS19 371"/>
    <n v="345"/>
    <x v="75"/>
    <n v="371"/>
    <x v="13"/>
    <x v="75"/>
    <n v="2"/>
    <s v="13,8"/>
    <s v="27,6"/>
    <n v="27.6"/>
    <b v="1"/>
    <m/>
    <x v="5"/>
  </r>
  <r>
    <s v="OBAGB016 EVS19 479"/>
    <n v="346"/>
    <x v="75"/>
    <n v="479"/>
    <x v="7"/>
    <x v="75"/>
    <n v="2"/>
    <s v="13,8"/>
    <s v="27,6"/>
    <n v="27.6"/>
    <b v="1"/>
    <m/>
    <x v="5"/>
  </r>
  <r>
    <s v="OBAGP006 ECS54 130"/>
    <n v="347"/>
    <x v="76"/>
    <n v="130"/>
    <x v="12"/>
    <x v="76"/>
    <n v="2"/>
    <s v="18,12"/>
    <s v="36,24"/>
    <n v="36.24"/>
    <b v="1"/>
    <m/>
    <x v="1"/>
  </r>
  <r>
    <s v="OBAGS010 TES01 75"/>
    <n v="348"/>
    <x v="5"/>
    <n v="75"/>
    <x v="11"/>
    <x v="5"/>
    <n v="2"/>
    <s v="9,36"/>
    <s v="18,72"/>
    <n v="18.72"/>
    <b v="1"/>
    <m/>
    <x v="0"/>
  </r>
  <r>
    <s v="OBAGS017 TESH2 72"/>
    <n v="349"/>
    <x v="116"/>
    <n v="72"/>
    <x v="46"/>
    <x v="115"/>
    <n v="2"/>
    <s v="12,72"/>
    <s v="25,44"/>
    <n v="25.44"/>
    <b v="1"/>
    <m/>
    <x v="0"/>
  </r>
  <r>
    <s v="HLESMD00 ECS46 72"/>
    <n v="350"/>
    <x v="1"/>
    <n v="72"/>
    <x v="46"/>
    <x v="1"/>
    <n v="4"/>
    <s v="12,72"/>
    <s v="50,88"/>
    <n v="50.88"/>
    <b v="1"/>
    <m/>
    <x v="0"/>
  </r>
  <r>
    <s v="HLESAD00 ECS00 483"/>
    <n v="351"/>
    <x v="67"/>
    <n v="483"/>
    <x v="18"/>
    <x v="67"/>
    <n v="8"/>
    <s v="4,56"/>
    <s v="36,48"/>
    <n v="36.479999999999997"/>
    <b v="1"/>
    <m/>
    <x v="1"/>
  </r>
  <r>
    <s v="OCLKD001 MES82 25"/>
    <n v="352"/>
    <x v="77"/>
    <n v="25"/>
    <x v="51"/>
    <x v="77"/>
    <n v="3"/>
    <n v="9"/>
    <n v="27"/>
    <n v="27"/>
    <b v="1"/>
    <m/>
    <x v="0"/>
  </r>
  <r>
    <s v="OCLKD001 MES83 134"/>
    <n v="353"/>
    <x v="143"/>
    <n v="134"/>
    <x v="52"/>
    <x v="142"/>
    <n v="3"/>
    <s v="9,36"/>
    <s v="28,08"/>
    <n v="28.08"/>
    <b v="1"/>
    <m/>
    <x v="1"/>
  </r>
  <r>
    <s v="OCLKD101 MES85 75"/>
    <n v="354"/>
    <x v="115"/>
    <n v="75"/>
    <x v="11"/>
    <x v="114"/>
    <n v="3"/>
    <n v="9"/>
    <n v="27"/>
    <n v="27"/>
    <b v="1"/>
    <m/>
    <x v="0"/>
  </r>
  <r>
    <s v="OCLKD101 MES85 130"/>
    <n v="355"/>
    <x v="115"/>
    <n v="130"/>
    <x v="12"/>
    <x v="114"/>
    <n v="3"/>
    <n v="9"/>
    <n v="27"/>
    <n v="27"/>
    <b v="1"/>
    <m/>
    <x v="1"/>
  </r>
  <r>
    <s v="OBAGS009 TES01 347"/>
    <n v="356"/>
    <x v="36"/>
    <n v="347"/>
    <x v="2"/>
    <x v="36"/>
    <n v="2"/>
    <s v="9,78"/>
    <s v="19,56"/>
    <n v="19.559999999999999"/>
    <b v="1"/>
    <m/>
    <x v="1"/>
  </r>
  <r>
    <s v="OBAGS010 TES01 422"/>
    <n v="357"/>
    <x v="5"/>
    <n v="422"/>
    <x v="4"/>
    <x v="5"/>
    <n v="2"/>
    <s v="9,36"/>
    <s v="18,72"/>
    <n v="18.72"/>
    <b v="1"/>
    <m/>
    <x v="1"/>
  </r>
  <r>
    <s v="OBAGB009 EVS00 38"/>
    <n v="358"/>
    <x v="20"/>
    <n v="38"/>
    <x v="49"/>
    <x v="20"/>
    <n v="2"/>
    <s v="14,4"/>
    <s v="28,8"/>
    <n v="28.8"/>
    <b v="1"/>
    <m/>
    <x v="0"/>
  </r>
  <r>
    <s v="OBAGS017 TES26 78"/>
    <n v="359"/>
    <x v="144"/>
    <n v="78"/>
    <x v="16"/>
    <x v="143"/>
    <n v="2"/>
    <s v="10,44"/>
    <s v="20,88"/>
    <n v="20.88"/>
    <b v="1"/>
    <m/>
    <x v="0"/>
  </r>
  <r>
    <s v="OBAGB018 EVS03 55"/>
    <n v="360"/>
    <x v="43"/>
    <n v="55"/>
    <x v="14"/>
    <x v="43"/>
    <n v="2"/>
    <s v="11,88"/>
    <s v="23,76"/>
    <n v="23.76"/>
    <b v="1"/>
    <m/>
    <x v="0"/>
  </r>
  <r>
    <s v="OBAGB002 EVS00 38"/>
    <n v="361"/>
    <x v="24"/>
    <n v="38"/>
    <x v="49"/>
    <x v="24"/>
    <n v="3"/>
    <s v="14,4"/>
    <s v="43,2"/>
    <n v="43.2"/>
    <b v="1"/>
    <m/>
    <x v="0"/>
  </r>
  <r>
    <s v="OBAGB206 EVS00 17"/>
    <n v="362"/>
    <x v="22"/>
    <n v="17"/>
    <x v="9"/>
    <x v="22"/>
    <n v="1"/>
    <s v="4,8"/>
    <s v="4,8"/>
    <n v="4.8"/>
    <b v="1"/>
    <m/>
    <x v="0"/>
  </r>
  <r>
    <s v="OBAGB009 EVS00 78"/>
    <n v="363"/>
    <x v="20"/>
    <n v="78"/>
    <x v="16"/>
    <x v="20"/>
    <n v="1"/>
    <s v="14,4"/>
    <s v="14,4"/>
    <n v="14.4"/>
    <b v="1"/>
    <m/>
    <x v="0"/>
  </r>
  <r>
    <s v="HLESMD00 ECS46 55"/>
    <n v="364"/>
    <x v="1"/>
    <n v="55"/>
    <x v="14"/>
    <x v="1"/>
    <n v="4"/>
    <s v="12,72"/>
    <s v="50,88"/>
    <n v="50.88"/>
    <b v="1"/>
    <m/>
    <x v="0"/>
  </r>
  <r>
    <s v="OBAGS017 TES26 55"/>
    <n v="365"/>
    <x v="144"/>
    <n v="55"/>
    <x v="14"/>
    <x v="143"/>
    <n v="2"/>
    <s v="10,44"/>
    <s v="20,88"/>
    <n v="20.88"/>
    <b v="1"/>
    <m/>
    <x v="0"/>
  </r>
  <r>
    <s v="OBAGB021 EVS03 17"/>
    <n v="366"/>
    <x v="26"/>
    <n v="17"/>
    <x v="9"/>
    <x v="26"/>
    <n v="2"/>
    <s v="11,88"/>
    <s v="23,76"/>
    <n v="23.76"/>
    <b v="1"/>
    <m/>
    <x v="0"/>
  </r>
  <r>
    <s v="OBAGB018 EVS03 26"/>
    <n v="367"/>
    <x v="43"/>
    <n v="26"/>
    <x v="0"/>
    <x v="43"/>
    <n v="3"/>
    <s v="11,88"/>
    <s v="35,64"/>
    <n v="35.64"/>
    <b v="1"/>
    <m/>
    <x v="0"/>
  </r>
  <r>
    <s v="OBAGB016 EVS00 26"/>
    <n v="368"/>
    <x v="23"/>
    <n v="26"/>
    <x v="0"/>
    <x v="23"/>
    <n v="2"/>
    <s v="12,6"/>
    <s v="25,2"/>
    <n v="25.2"/>
    <b v="1"/>
    <m/>
    <x v="0"/>
  </r>
  <r>
    <s v="OBAGB002 EVS00 347"/>
    <n v="369"/>
    <x v="24"/>
    <n v="347"/>
    <x v="2"/>
    <x v="24"/>
    <n v="3"/>
    <s v="14,4"/>
    <s v="43,2"/>
    <n v="43.2"/>
    <b v="1"/>
    <m/>
    <x v="1"/>
  </r>
  <r>
    <s v="OCLKSB01 INS00 76"/>
    <n v="370"/>
    <x v="44"/>
    <n v="76"/>
    <x v="1"/>
    <x v="44"/>
    <n v="6"/>
    <s v="2,52"/>
    <s v="15,12"/>
    <n v="15.120000000000001"/>
    <b v="1"/>
    <m/>
    <x v="0"/>
  </r>
  <r>
    <s v="OCLKE013 MAS00 422"/>
    <n v="371"/>
    <x v="27"/>
    <n v="422"/>
    <x v="4"/>
    <x v="27"/>
    <n v="6"/>
    <s v="1,92"/>
    <s v="11,52"/>
    <n v="11.52"/>
    <b v="1"/>
    <m/>
    <x v="1"/>
  </r>
  <r>
    <s v="ACCEC002 ECS03 75"/>
    <n v="372"/>
    <x v="30"/>
    <n v="75"/>
    <x v="11"/>
    <x v="30"/>
    <n v="2"/>
    <s v="7,08"/>
    <s v="14,16"/>
    <n v="14.16"/>
    <b v="1"/>
    <m/>
    <x v="0"/>
  </r>
  <r>
    <s v="OBAGB206 EVS00 347"/>
    <n v="373"/>
    <x v="22"/>
    <n v="347"/>
    <x v="2"/>
    <x v="22"/>
    <n v="3"/>
    <s v="4,8"/>
    <s v="14,4"/>
    <n v="14.399999999999999"/>
    <b v="1"/>
    <m/>
    <x v="1"/>
  </r>
  <r>
    <s v="OBAGP006 TESH2 36"/>
    <n v="374"/>
    <x v="114"/>
    <n v="36"/>
    <x v="6"/>
    <x v="113"/>
    <n v="2"/>
    <s v="12,72"/>
    <s v="25,44"/>
    <n v="25.44"/>
    <b v="1"/>
    <m/>
    <x v="0"/>
  </r>
  <r>
    <s v="OBAGS010 TESF3 227"/>
    <n v="375"/>
    <x v="145"/>
    <n v="227"/>
    <x v="21"/>
    <x v="144"/>
    <n v="2"/>
    <s v="14,4"/>
    <s v="28,8"/>
    <n v="28.8"/>
    <b v="1"/>
    <m/>
    <x v="1"/>
  </r>
  <r>
    <s v="OBAGS018 TES26 55"/>
    <n v="376"/>
    <x v="146"/>
    <n v="55"/>
    <x v="14"/>
    <x v="145"/>
    <n v="2"/>
    <s v="10,8"/>
    <s v="21,6"/>
    <n v="21.6"/>
    <b v="1"/>
    <m/>
    <x v="0"/>
  </r>
  <r>
    <s v="HLESMD00 ECS46 17"/>
    <n v="377"/>
    <x v="1"/>
    <n v="17"/>
    <x v="9"/>
    <x v="1"/>
    <n v="4"/>
    <s v="12,72"/>
    <s v="50,88"/>
    <n v="50.88"/>
    <b v="1"/>
    <m/>
    <x v="0"/>
  </r>
  <r>
    <s v="HLESMD00 ECS46 479"/>
    <n v="378"/>
    <x v="1"/>
    <n v="479"/>
    <x v="7"/>
    <x v="1"/>
    <n v="4"/>
    <s v="12,72"/>
    <s v="50,88"/>
    <n v="50.88"/>
    <b v="1"/>
    <m/>
    <x v="1"/>
  </r>
  <r>
    <s v="OBAGS002 TESE6 76"/>
    <n v="379"/>
    <x v="65"/>
    <n v="76"/>
    <x v="1"/>
    <x v="65"/>
    <n v="2"/>
    <s v="10,8"/>
    <s v="21,6"/>
    <n v="21.6"/>
    <b v="1"/>
    <m/>
    <x v="0"/>
  </r>
  <r>
    <s v="SHOUWA00 ECS51 55"/>
    <n v="380"/>
    <x v="4"/>
    <n v="55"/>
    <x v="14"/>
    <x v="4"/>
    <n v="2"/>
    <s v="18,12"/>
    <s v="36,24"/>
    <n v="36.24"/>
    <b v="1"/>
    <m/>
    <x v="0"/>
  </r>
  <r>
    <s v="HLESAD00 ECS00 55"/>
    <n v="381"/>
    <x v="67"/>
    <n v="55"/>
    <x v="14"/>
    <x v="67"/>
    <n v="10"/>
    <s v="4,56"/>
    <s v="45,6"/>
    <n v="45.599999999999994"/>
    <b v="1"/>
    <m/>
    <x v="0"/>
  </r>
  <r>
    <s v="OBAGA000 ECS42 17"/>
    <n v="382"/>
    <x v="70"/>
    <n v="17"/>
    <x v="9"/>
    <x v="70"/>
    <n v="4"/>
    <s v="3,6"/>
    <s v="14,4"/>
    <n v="14.4"/>
    <b v="1"/>
    <m/>
    <x v="0"/>
  </r>
  <r>
    <s v="OBAGP006 TESF8 480"/>
    <n v="383"/>
    <x v="111"/>
    <n v="480"/>
    <x v="25"/>
    <x v="110"/>
    <n v="2"/>
    <s v="11,88"/>
    <s v="23,76"/>
    <n v="23.76"/>
    <b v="1"/>
    <m/>
    <x v="1"/>
  </r>
  <r>
    <s v="OBAGS001 TESE7 55"/>
    <n v="384"/>
    <x v="147"/>
    <n v="55"/>
    <x v="14"/>
    <x v="146"/>
    <n v="2"/>
    <s v="12,72"/>
    <s v="25,44"/>
    <n v="25.44"/>
    <b v="1"/>
    <m/>
    <x v="0"/>
  </r>
  <r>
    <s v="HLESX600 ECS00 55"/>
    <n v="385"/>
    <x v="148"/>
    <n v="55"/>
    <x v="14"/>
    <x v="147"/>
    <n v="6"/>
    <n v="9"/>
    <n v="54"/>
    <n v="54"/>
    <b v="1"/>
    <m/>
    <x v="0"/>
  </r>
  <r>
    <s v="OBAGS010 TESE7 55"/>
    <n v="386"/>
    <x v="149"/>
    <n v="55"/>
    <x v="14"/>
    <x v="148"/>
    <n v="2"/>
    <s v="15,6"/>
    <s v="31,2"/>
    <n v="31.2"/>
    <b v="1"/>
    <m/>
    <x v="0"/>
  </r>
  <r>
    <s v="ACCEC002 ECS03 76"/>
    <n v="387"/>
    <x v="30"/>
    <n v="76"/>
    <x v="1"/>
    <x v="30"/>
    <n v="2"/>
    <s v="7,08"/>
    <s v="14,16"/>
    <n v="14.16"/>
    <b v="1"/>
    <m/>
    <x v="0"/>
  </r>
  <r>
    <s v="OBAGPA24 TESG8 61"/>
    <n v="388"/>
    <x v="150"/>
    <n v="61"/>
    <x v="10"/>
    <x v="149"/>
    <n v="2"/>
    <s v="14,4"/>
    <s v="28,8"/>
    <n v="28.8"/>
    <b v="1"/>
    <m/>
    <x v="0"/>
  </r>
  <r>
    <s v="HLESGC00 ROS04 475"/>
    <n v="389"/>
    <x v="151"/>
    <n v="475"/>
    <x v="32"/>
    <x v="150"/>
    <n v="3"/>
    <s v="6,6"/>
    <s v="19,8"/>
    <n v="19.799999999999997"/>
    <b v="1"/>
    <m/>
    <x v="1"/>
  </r>
  <r>
    <s v="HLESGC00 ROS04 475"/>
    <n v="390"/>
    <x v="151"/>
    <n v="475"/>
    <x v="32"/>
    <x v="150"/>
    <n v="3"/>
    <s v="6,6"/>
    <s v="19,8"/>
    <n v="19.799999999999997"/>
    <b v="1"/>
    <m/>
    <x v="1"/>
  </r>
  <r>
    <s v="HLESG000 ROS04 500"/>
    <n v="391"/>
    <x v="84"/>
    <n v="500"/>
    <x v="38"/>
    <x v="84"/>
    <n v="4"/>
    <s v="7,8"/>
    <s v="31,2"/>
    <n v="31.2"/>
    <b v="1"/>
    <m/>
    <x v="5"/>
  </r>
  <r>
    <s v="OBAGS001 TESE5 36"/>
    <n v="392"/>
    <x v="152"/>
    <n v="36"/>
    <x v="6"/>
    <x v="151"/>
    <n v="2"/>
    <s v="10,8"/>
    <s v="21,6"/>
    <n v="21.6"/>
    <b v="1"/>
    <m/>
    <x v="0"/>
  </r>
  <r>
    <s v="HLESD000 ECS35 36"/>
    <n v="393"/>
    <x v="9"/>
    <n v="36"/>
    <x v="6"/>
    <x v="9"/>
    <n v="3"/>
    <s v="14,4"/>
    <s v="43,2"/>
    <n v="43.2"/>
    <b v="1"/>
    <m/>
    <x v="0"/>
  </r>
  <r>
    <s v="HLESD200 ROS05 17"/>
    <n v="394"/>
    <x v="60"/>
    <n v="17"/>
    <x v="9"/>
    <x v="60"/>
    <n v="6"/>
    <s v="13,44"/>
    <s v="80,64"/>
    <n v="80.64"/>
    <b v="1"/>
    <m/>
    <x v="0"/>
  </r>
  <r>
    <s v="SHOUWA00 ECS55 479"/>
    <n v="395"/>
    <x v="62"/>
    <n v="479"/>
    <x v="7"/>
    <x v="62"/>
    <n v="3"/>
    <s v="20,04"/>
    <s v="60,12"/>
    <n v="60.12"/>
    <b v="1"/>
    <m/>
    <x v="1"/>
  </r>
  <r>
    <s v="OBAGB002 EVS18 76"/>
    <n v="396"/>
    <x v="66"/>
    <n v="76"/>
    <x v="1"/>
    <x v="66"/>
    <n v="3"/>
    <s v="15,6"/>
    <s v="46,8"/>
    <n v="46.8"/>
    <b v="1"/>
    <m/>
    <x v="0"/>
  </r>
  <r>
    <s v="OBAGS016 TESE6 55"/>
    <n v="397"/>
    <x v="87"/>
    <n v="55"/>
    <x v="14"/>
    <x v="87"/>
    <n v="2"/>
    <s v="11,88"/>
    <s v="23,76"/>
    <n v="23.76"/>
    <b v="1"/>
    <m/>
    <x v="0"/>
  </r>
  <r>
    <s v="ACCEC002 ECS65 76"/>
    <n v="398"/>
    <x v="8"/>
    <n v="76"/>
    <x v="1"/>
    <x v="8"/>
    <n v="2"/>
    <s v="7,8"/>
    <s v="15,6"/>
    <n v="15.6"/>
    <b v="1"/>
    <m/>
    <x v="0"/>
  </r>
  <r>
    <s v="OBAGB002 EVS18 422"/>
    <n v="399"/>
    <x v="66"/>
    <n v="422"/>
    <x v="4"/>
    <x v="66"/>
    <n v="3"/>
    <s v="15,6"/>
    <s v="46,8"/>
    <n v="46.8"/>
    <b v="1"/>
    <m/>
    <x v="1"/>
  </r>
  <r>
    <s v="OBAGS016 TES01 422"/>
    <n v="400"/>
    <x v="37"/>
    <n v="422"/>
    <x v="4"/>
    <x v="37"/>
    <n v="2"/>
    <s v="10,8"/>
    <s v="21,6"/>
    <n v="21.6"/>
    <b v="1"/>
    <m/>
    <x v="1"/>
  </r>
  <r>
    <s v="OBAGS018 TES26 8"/>
    <n v="401"/>
    <x v="146"/>
    <n v="8"/>
    <x v="5"/>
    <x v="145"/>
    <n v="2"/>
    <s v="10,8"/>
    <s v="21,6"/>
    <n v="21.6"/>
    <b v="1"/>
    <m/>
    <x v="0"/>
  </r>
  <r>
    <s v="OBAGPA06 TESF1 36"/>
    <n v="402"/>
    <x v="6"/>
    <n v="36"/>
    <x v="6"/>
    <x v="6"/>
    <n v="2"/>
    <s v="12,72"/>
    <s v="25,44"/>
    <n v="25.44"/>
    <b v="1"/>
    <m/>
    <x v="0"/>
  </r>
  <r>
    <s v="OBAGA000 ECS42 76"/>
    <n v="403"/>
    <x v="70"/>
    <n v="76"/>
    <x v="1"/>
    <x v="70"/>
    <n v="6"/>
    <s v="3,6"/>
    <s v="21,6"/>
    <n v="21.6"/>
    <b v="1"/>
    <m/>
    <x v="0"/>
  </r>
  <r>
    <s v="ACCEP014 ECS35 17"/>
    <n v="404"/>
    <x v="17"/>
    <n v="17"/>
    <x v="9"/>
    <x v="17"/>
    <n v="3"/>
    <s v="9,6"/>
    <s v="28,8"/>
    <n v="28.799999999999997"/>
    <b v="1"/>
    <m/>
    <x v="0"/>
  </r>
  <r>
    <s v="ACCEP014 ECS35 36"/>
    <n v="405"/>
    <x v="17"/>
    <n v="36"/>
    <x v="6"/>
    <x v="17"/>
    <n v="3"/>
    <s v="9,6"/>
    <s v="28,8"/>
    <n v="28.799999999999997"/>
    <b v="1"/>
    <m/>
    <x v="0"/>
  </r>
  <r>
    <s v="OCLKD001 MES87 55"/>
    <n v="406"/>
    <x v="107"/>
    <n v="55"/>
    <x v="14"/>
    <x v="106"/>
    <n v="3"/>
    <s v="8,4"/>
    <s v="25,2"/>
    <n v="25.200000000000003"/>
    <b v="1"/>
    <m/>
    <x v="0"/>
  </r>
  <r>
    <s v="OCLKD001 MES88 76"/>
    <n v="407"/>
    <x v="108"/>
    <n v="76"/>
    <x v="1"/>
    <x v="107"/>
    <n v="3"/>
    <s v="8,4"/>
    <s v="25,2"/>
    <n v="25.200000000000003"/>
    <b v="1"/>
    <m/>
    <x v="0"/>
  </r>
  <r>
    <s v="OCLKD104 MES90 55"/>
    <n v="408"/>
    <x v="72"/>
    <n v="55"/>
    <x v="14"/>
    <x v="72"/>
    <n v="3"/>
    <s v="8,52"/>
    <s v="25,56"/>
    <n v="25.56"/>
    <b v="1"/>
    <m/>
    <x v="0"/>
  </r>
  <r>
    <s v="HLESZ817 TESI5 488"/>
    <n v="409"/>
    <x v="153"/>
    <n v="488"/>
    <x v="53"/>
    <x v="152"/>
    <n v="3"/>
    <n v="18"/>
    <n v="54"/>
    <n v="54"/>
    <b v="1"/>
    <m/>
    <x v="0"/>
  </r>
  <r>
    <s v="OBAGS002 TESG2 17"/>
    <n v="410"/>
    <x v="33"/>
    <n v="17"/>
    <x v="9"/>
    <x v="33"/>
    <n v="2"/>
    <s v="9,72"/>
    <s v="19,44"/>
    <n v="19.440000000000001"/>
    <b v="1"/>
    <m/>
    <x v="0"/>
  </r>
  <r>
    <s v="OBAGPA10 ECS35 17"/>
    <n v="411"/>
    <x v="16"/>
    <n v="17"/>
    <x v="9"/>
    <x v="16"/>
    <n v="2"/>
    <s v="6,72"/>
    <s v="13,44"/>
    <n v="13.44"/>
    <b v="1"/>
    <m/>
    <x v="0"/>
  </r>
  <r>
    <s v="OBAGB009 EVS15 75"/>
    <n v="412"/>
    <x v="113"/>
    <n v="75"/>
    <x v="11"/>
    <x v="112"/>
    <n v="2"/>
    <n v="24"/>
    <n v="48"/>
    <n v="48"/>
    <b v="1"/>
    <m/>
    <x v="0"/>
  </r>
  <r>
    <s v="OBAGS002 TESH2 72"/>
    <n v="413"/>
    <x v="47"/>
    <n v="72"/>
    <x v="46"/>
    <x v="47"/>
    <n v="2"/>
    <s v="12,72"/>
    <s v="25,44"/>
    <n v="25.44"/>
    <b v="1"/>
    <m/>
    <x v="0"/>
  </r>
  <r>
    <s v="HLESAE00 ECS00 479"/>
    <n v="414"/>
    <x v="38"/>
    <n v="479"/>
    <x v="7"/>
    <x v="38"/>
    <n v="6"/>
    <s v="4,56"/>
    <s v="27,36"/>
    <n v="27.36"/>
    <b v="1"/>
    <m/>
    <x v="1"/>
  </r>
  <r>
    <s v="HLESMD00 ECS46 483"/>
    <n v="415"/>
    <x v="1"/>
    <n v="483"/>
    <x v="18"/>
    <x v="1"/>
    <n v="4"/>
    <s v="12,72"/>
    <s v="50,88"/>
    <n v="50.88"/>
    <b v="1"/>
    <m/>
    <x v="1"/>
  </r>
  <r>
    <s v="OBAGA000 ECS42 26"/>
    <n v="416"/>
    <x v="70"/>
    <n v="26"/>
    <x v="0"/>
    <x v="70"/>
    <n v="6"/>
    <s v="3,6"/>
    <s v="21,6"/>
    <n v="21.6"/>
    <b v="1"/>
    <m/>
    <x v="0"/>
  </r>
  <r>
    <s v="OBAGB001 EVS00 78"/>
    <n v="417"/>
    <x v="19"/>
    <n v="78"/>
    <x v="16"/>
    <x v="19"/>
    <n v="1"/>
    <s v="14,4"/>
    <s v="14,4"/>
    <n v="14.4"/>
    <b v="1"/>
    <m/>
    <x v="0"/>
  </r>
  <r>
    <s v="OBAGB001 EVS00 55"/>
    <n v="418"/>
    <x v="19"/>
    <n v="55"/>
    <x v="14"/>
    <x v="19"/>
    <n v="1"/>
    <s v="14,4"/>
    <s v="14,4"/>
    <n v="14.4"/>
    <b v="1"/>
    <m/>
    <x v="0"/>
  </r>
  <r>
    <s v="OBAGB002 EVS00 133"/>
    <n v="419"/>
    <x v="24"/>
    <n v="133"/>
    <x v="17"/>
    <x v="24"/>
    <n v="1"/>
    <s v="14,4"/>
    <s v="14,4"/>
    <n v="14.4"/>
    <b v="1"/>
    <m/>
    <x v="2"/>
  </r>
  <r>
    <s v="OBAGB010 EVS00 17"/>
    <n v="420"/>
    <x v="21"/>
    <n v="17"/>
    <x v="9"/>
    <x v="21"/>
    <n v="1"/>
    <s v="13,08"/>
    <s v="13,08"/>
    <n v="13.08"/>
    <b v="1"/>
    <m/>
    <x v="0"/>
  </r>
  <r>
    <s v="OBAGB010 EVS00 78"/>
    <n v="421"/>
    <x v="21"/>
    <n v="78"/>
    <x v="16"/>
    <x v="21"/>
    <n v="1"/>
    <s v="13,08"/>
    <s v="13,08"/>
    <n v="13.08"/>
    <b v="1"/>
    <m/>
    <x v="0"/>
  </r>
  <r>
    <s v="OBAGB206 EVS00 76"/>
    <n v="422"/>
    <x v="22"/>
    <n v="76"/>
    <x v="1"/>
    <x v="22"/>
    <n v="3"/>
    <s v="4,8"/>
    <s v="14,4"/>
    <n v="14.399999999999999"/>
    <b v="1"/>
    <m/>
    <x v="0"/>
  </r>
  <r>
    <s v="OBAGB001 EVS00 75"/>
    <n v="423"/>
    <x v="19"/>
    <n v="75"/>
    <x v="11"/>
    <x v="19"/>
    <n v="3"/>
    <s v="14,4"/>
    <s v="43,2"/>
    <n v="43.2"/>
    <b v="1"/>
    <m/>
    <x v="0"/>
  </r>
  <r>
    <s v="OBAGB206 EVS00 71"/>
    <n v="424"/>
    <x v="22"/>
    <n v="71"/>
    <x v="35"/>
    <x v="22"/>
    <n v="1"/>
    <s v="4,8"/>
    <s v="4,8"/>
    <n v="4.8"/>
    <b v="1"/>
    <m/>
    <x v="0"/>
  </r>
  <r>
    <s v="OBAGB019 EVS00 422"/>
    <n v="425"/>
    <x v="41"/>
    <n v="422"/>
    <x v="4"/>
    <x v="41"/>
    <n v="2"/>
    <s v="13,92"/>
    <s v="27,84"/>
    <n v="27.84"/>
    <b v="1"/>
    <m/>
    <x v="0"/>
  </r>
  <r>
    <s v="OBAGB009 EVS00 371"/>
    <n v="426"/>
    <x v="20"/>
    <n v="371"/>
    <x v="13"/>
    <x v="20"/>
    <n v="1"/>
    <s v="14,4"/>
    <s v="14,4"/>
    <n v="14.4"/>
    <b v="1"/>
    <m/>
    <x v="2"/>
  </r>
  <r>
    <s v="OBAGB002 EVS00 26"/>
    <n v="427"/>
    <x v="24"/>
    <n v="26"/>
    <x v="0"/>
    <x v="24"/>
    <n v="3"/>
    <s v="14,4"/>
    <s v="43,2"/>
    <n v="43.2"/>
    <b v="1"/>
    <m/>
    <x v="0"/>
  </r>
  <r>
    <s v="OBAGB019 EVS00 347"/>
    <n v="428"/>
    <x v="41"/>
    <n v="347"/>
    <x v="2"/>
    <x v="41"/>
    <n v="2"/>
    <s v="13,92"/>
    <s v="27,84"/>
    <n v="27.84"/>
    <b v="1"/>
    <m/>
    <x v="0"/>
  </r>
  <r>
    <s v="OBAGT001 TESF8 480"/>
    <n v="429"/>
    <x v="154"/>
    <n v="480"/>
    <x v="25"/>
    <x v="153"/>
    <n v="2"/>
    <s v="10,68"/>
    <s v="21,36"/>
    <n v="21.36"/>
    <b v="1"/>
    <m/>
    <x v="1"/>
  </r>
  <r>
    <s v="OBAGB001 EVS00 484"/>
    <n v="430"/>
    <x v="19"/>
    <n v="484"/>
    <x v="42"/>
    <x v="19"/>
    <n v="3"/>
    <s v="14,4"/>
    <s v="43,2"/>
    <n v="43.2"/>
    <b v="1"/>
    <m/>
    <x v="1"/>
  </r>
  <r>
    <s v="OBAGB426 TESG7 17"/>
    <n v="431"/>
    <x v="155"/>
    <n v="17"/>
    <x v="9"/>
    <x v="154"/>
    <n v="2"/>
    <s v="25,56"/>
    <s v="51,12"/>
    <n v="51.12"/>
    <b v="1"/>
    <m/>
    <x v="0"/>
  </r>
  <r>
    <s v="OBAGS002 TESF8 480"/>
    <n v="432"/>
    <x v="141"/>
    <n v="480"/>
    <x v="25"/>
    <x v="140"/>
    <n v="2"/>
    <s v="10,8"/>
    <s v="21,6"/>
    <n v="21.6"/>
    <b v="1"/>
    <m/>
    <x v="1"/>
  </r>
  <r>
    <s v="OBAGS010 TESE3 227"/>
    <n v="433"/>
    <x v="156"/>
    <n v="227"/>
    <x v="21"/>
    <x v="155"/>
    <n v="2"/>
    <s v="12,72"/>
    <s v="25,44"/>
    <n v="25.44"/>
    <b v="1"/>
    <m/>
    <x v="1"/>
  </r>
  <r>
    <s v="OBAGS002 TESF9 254"/>
    <n v="434"/>
    <x v="157"/>
    <n v="254"/>
    <x v="27"/>
    <x v="156"/>
    <n v="3"/>
    <s v="10,8"/>
    <s v="32,4"/>
    <n v="32.400000000000006"/>
    <b v="1"/>
    <m/>
    <x v="1"/>
  </r>
  <r>
    <s v="OBAGS016 TESE6 76"/>
    <n v="435"/>
    <x v="87"/>
    <n v="76"/>
    <x v="1"/>
    <x v="87"/>
    <n v="2"/>
    <s v="11,88"/>
    <s v="23,76"/>
    <n v="23.76"/>
    <b v="1"/>
    <m/>
    <x v="0"/>
  </r>
  <r>
    <s v="SHOUWA00 ECS54 75"/>
    <n v="436"/>
    <x v="92"/>
    <n v="75"/>
    <x v="11"/>
    <x v="92"/>
    <n v="3"/>
    <s v="21,96"/>
    <s v="65,88"/>
    <n v="65.88"/>
    <b v="1"/>
    <m/>
    <x v="0"/>
  </r>
  <r>
    <s v="OBAGB426 TESF7 475"/>
    <n v="437"/>
    <x v="158"/>
    <n v="475"/>
    <x v="32"/>
    <x v="157"/>
    <n v="2"/>
    <s v="29,88"/>
    <s v="59,76"/>
    <n v="59.76"/>
    <b v="1"/>
    <m/>
    <x v="1"/>
  </r>
  <r>
    <s v="HLESAD00 ECS00 55"/>
    <n v="438"/>
    <x v="67"/>
    <n v="55"/>
    <x v="14"/>
    <x v="67"/>
    <n v="5"/>
    <s v="4,56"/>
    <s v="22,8"/>
    <n v="22.799999999999997"/>
    <b v="1"/>
    <m/>
    <x v="0"/>
  </r>
  <r>
    <s v="OBAGS001 TESH1 8"/>
    <n v="439"/>
    <x v="159"/>
    <n v="8"/>
    <x v="5"/>
    <x v="158"/>
    <n v="2"/>
    <s v="10,8"/>
    <s v="21,6"/>
    <n v="21.6"/>
    <b v="1"/>
    <m/>
    <x v="0"/>
  </r>
  <r>
    <s v="OBAGS017 TESH1 8"/>
    <n v="440"/>
    <x v="160"/>
    <n v="8"/>
    <x v="5"/>
    <x v="159"/>
    <n v="2"/>
    <s v="12,72"/>
    <s v="25,44"/>
    <n v="25.44"/>
    <b v="1"/>
    <m/>
    <x v="0"/>
  </r>
  <r>
    <s v="OBAGPA06 TESF1 76"/>
    <n v="441"/>
    <x v="6"/>
    <n v="76"/>
    <x v="1"/>
    <x v="6"/>
    <n v="2"/>
    <s v="12,72"/>
    <s v="25,44"/>
    <n v="25.44"/>
    <b v="1"/>
    <m/>
    <x v="0"/>
  </r>
  <r>
    <s v="OBAGS001 TESG2 130"/>
    <n v="442"/>
    <x v="74"/>
    <n v="130"/>
    <x v="12"/>
    <x v="74"/>
    <n v="2"/>
    <s v="10,8"/>
    <s v="21,6"/>
    <n v="21.6"/>
    <b v="1"/>
    <m/>
    <x v="1"/>
  </r>
  <r>
    <s v="OBAGPA24 ECS53 72"/>
    <n v="443"/>
    <x v="134"/>
    <n v="72"/>
    <x v="46"/>
    <x v="133"/>
    <n v="2"/>
    <s v="15,6"/>
    <s v="31,2"/>
    <n v="31.2"/>
    <b v="1"/>
    <m/>
    <x v="0"/>
  </r>
  <r>
    <s v="OBAGS001 TESE5 76"/>
    <n v="444"/>
    <x v="152"/>
    <n v="76"/>
    <x v="1"/>
    <x v="151"/>
    <n v="2"/>
    <s v="10,8"/>
    <s v="21,6"/>
    <n v="21.6"/>
    <b v="1"/>
    <m/>
    <x v="0"/>
  </r>
  <r>
    <s v="OBAGS102 TESG7 17"/>
    <n v="445"/>
    <x v="137"/>
    <n v="17"/>
    <x v="9"/>
    <x v="136"/>
    <n v="2"/>
    <s v="11,88"/>
    <s v="23,76"/>
    <n v="23.76"/>
    <b v="1"/>
    <m/>
    <x v="0"/>
  </r>
  <r>
    <s v="ACCEC002 ECS03 26"/>
    <n v="446"/>
    <x v="30"/>
    <n v="26"/>
    <x v="0"/>
    <x v="30"/>
    <n v="3"/>
    <s v="7,08"/>
    <s v="21,24"/>
    <n v="21.240000000000002"/>
    <b v="1"/>
    <m/>
    <x v="0"/>
  </r>
  <r>
    <s v="OBAGP006 TESG8 61"/>
    <n v="447"/>
    <x v="161"/>
    <n v="61"/>
    <x v="10"/>
    <x v="160"/>
    <n v="2"/>
    <s v="15,6"/>
    <s v="31,2"/>
    <n v="31.2"/>
    <b v="1"/>
    <m/>
    <x v="0"/>
  </r>
  <r>
    <s v="OBAGS001 TESG9 125"/>
    <n v="448"/>
    <x v="162"/>
    <n v="125"/>
    <x v="43"/>
    <x v="161"/>
    <n v="2"/>
    <s v="9,6"/>
    <s v="19,2"/>
    <n v="19.2"/>
    <b v="1"/>
    <m/>
    <x v="1"/>
  </r>
  <r>
    <s v="SHOUBG00 MAS10 55"/>
    <n v="449"/>
    <x v="163"/>
    <n v="55"/>
    <x v="14"/>
    <x v="162"/>
    <n v="3"/>
    <s v="7,2"/>
    <s v="21,6"/>
    <n v="21.6"/>
    <b v="1"/>
    <m/>
    <x v="0"/>
  </r>
  <r>
    <s v="OBAGB002 EVS18 55"/>
    <n v="450"/>
    <x v="66"/>
    <n v="55"/>
    <x v="14"/>
    <x v="66"/>
    <n v="3"/>
    <s v="15,6"/>
    <s v="46,8"/>
    <n v="46.8"/>
    <b v="1"/>
    <m/>
    <x v="0"/>
  </r>
  <r>
    <s v="OBAGB024 EVS00 55"/>
    <n v="451"/>
    <x v="2"/>
    <n v="55"/>
    <x v="14"/>
    <x v="2"/>
    <n v="3"/>
    <s v="4,8"/>
    <s v="14,4"/>
    <n v="14.399999999999999"/>
    <b v="1"/>
    <m/>
    <x v="0"/>
  </r>
  <r>
    <s v="OBAGT001 TESF8 481"/>
    <n v="452"/>
    <x v="154"/>
    <n v="481"/>
    <x v="8"/>
    <x v="153"/>
    <n v="2"/>
    <s v="10,68"/>
    <s v="21,36"/>
    <n v="21.36"/>
    <b v="1"/>
    <m/>
    <x v="1"/>
  </r>
  <r>
    <s v="HLESD000 ECS35 371"/>
    <n v="453"/>
    <x v="9"/>
    <n v="371"/>
    <x v="13"/>
    <x v="9"/>
    <n v="3"/>
    <s v="14,4"/>
    <s v="43,2"/>
    <n v="43.2"/>
    <b v="1"/>
    <m/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79">
  <r>
    <x v="0"/>
    <x v="0"/>
    <n v="2"/>
    <m/>
    <n v="0"/>
    <x v="0"/>
    <x v="0"/>
  </r>
  <r>
    <x v="1"/>
    <x v="1"/>
    <n v="2"/>
    <m/>
    <n v="1"/>
    <x v="1"/>
    <x v="1"/>
  </r>
  <r>
    <x v="2"/>
    <x v="0"/>
    <n v="2"/>
    <m/>
    <n v="0"/>
    <x v="0"/>
    <x v="0"/>
  </r>
  <r>
    <x v="3"/>
    <x v="2"/>
    <n v="3"/>
    <m/>
    <n v="1"/>
    <x v="2"/>
    <x v="1"/>
  </r>
  <r>
    <x v="4"/>
    <x v="3"/>
    <n v="3"/>
    <m/>
    <n v="1"/>
    <x v="2"/>
    <x v="1"/>
  </r>
  <r>
    <x v="5"/>
    <x v="4"/>
    <n v="3"/>
    <m/>
    <n v="1"/>
    <x v="3"/>
    <x v="1"/>
  </r>
  <r>
    <x v="6"/>
    <x v="5"/>
    <n v="2"/>
    <m/>
    <n v="1"/>
    <x v="4"/>
    <x v="1"/>
  </r>
  <r>
    <x v="7"/>
    <x v="6"/>
    <n v="1"/>
    <m/>
    <n v="1"/>
    <x v="4"/>
    <x v="2"/>
  </r>
  <r>
    <x v="8"/>
    <x v="7"/>
    <n v="1"/>
    <m/>
    <n v="2"/>
    <x v="5"/>
    <x v="3"/>
  </r>
  <r>
    <x v="9"/>
    <x v="6"/>
    <n v="1"/>
    <m/>
    <n v="1"/>
    <x v="5"/>
    <x v="2"/>
  </r>
  <r>
    <x v="10"/>
    <x v="8"/>
    <n v="2"/>
    <m/>
    <n v="1"/>
    <x v="6"/>
    <x v="1"/>
  </r>
  <r>
    <x v="11"/>
    <x v="6"/>
    <n v="1"/>
    <m/>
    <n v="1"/>
    <x v="7"/>
    <x v="2"/>
  </r>
  <r>
    <x v="12"/>
    <x v="9"/>
    <n v="1"/>
    <m/>
    <n v="2"/>
    <x v="8"/>
    <x v="3"/>
  </r>
  <r>
    <x v="13"/>
    <x v="10"/>
    <n v="2"/>
    <m/>
    <n v="1"/>
    <x v="9"/>
    <x v="1"/>
  </r>
  <r>
    <x v="14"/>
    <x v="11"/>
    <n v="2"/>
    <m/>
    <n v="1"/>
    <x v="10"/>
    <x v="1"/>
  </r>
  <r>
    <x v="15"/>
    <x v="6"/>
    <n v="2"/>
    <m/>
    <n v="1"/>
    <x v="11"/>
    <x v="1"/>
  </r>
  <r>
    <x v="16"/>
    <x v="6"/>
    <n v="2"/>
    <m/>
    <n v="2"/>
    <x v="12"/>
    <x v="4"/>
  </r>
  <r>
    <x v="17"/>
    <x v="12"/>
    <n v="2"/>
    <m/>
    <n v="1"/>
    <x v="13"/>
    <x v="1"/>
  </r>
  <r>
    <x v="18"/>
    <x v="13"/>
    <n v="2"/>
    <m/>
    <n v="1"/>
    <x v="13"/>
    <x v="1"/>
  </r>
  <r>
    <x v="19"/>
    <x v="0"/>
    <n v="6"/>
    <m/>
    <n v="0"/>
    <x v="0"/>
    <x v="0"/>
  </r>
  <r>
    <x v="20"/>
    <x v="14"/>
    <n v="2"/>
    <m/>
    <n v="1"/>
    <x v="14"/>
    <x v="1"/>
  </r>
  <r>
    <x v="21"/>
    <x v="15"/>
    <n v="3"/>
    <m/>
    <n v="1"/>
    <x v="15"/>
    <x v="1"/>
  </r>
  <r>
    <x v="22"/>
    <x v="6"/>
    <n v="2"/>
    <m/>
    <n v="1"/>
    <x v="16"/>
    <x v="1"/>
  </r>
  <r>
    <x v="23"/>
    <x v="16"/>
    <n v="2"/>
    <m/>
    <n v="1"/>
    <x v="17"/>
    <x v="1"/>
  </r>
  <r>
    <x v="24"/>
    <x v="17"/>
    <n v="2"/>
    <m/>
    <n v="1"/>
    <x v="14"/>
    <x v="1"/>
  </r>
  <r>
    <x v="25"/>
    <x v="6"/>
    <n v="3"/>
    <m/>
    <n v="1"/>
    <x v="18"/>
    <x v="1"/>
  </r>
  <r>
    <x v="26"/>
    <x v="18"/>
    <n v="3"/>
    <m/>
    <n v="1"/>
    <x v="19"/>
    <x v="1"/>
  </r>
  <r>
    <x v="27"/>
    <x v="19"/>
    <n v="5"/>
    <m/>
    <n v="1"/>
    <x v="20"/>
    <x v="1"/>
  </r>
  <r>
    <x v="28"/>
    <x v="20"/>
    <n v="2"/>
    <m/>
    <n v="1"/>
    <x v="21"/>
    <x v="1"/>
  </r>
  <r>
    <x v="29"/>
    <x v="21"/>
    <n v="2"/>
    <m/>
    <n v="1"/>
    <x v="22"/>
    <x v="1"/>
  </r>
  <r>
    <x v="30"/>
    <x v="22"/>
    <n v="2"/>
    <m/>
    <n v="1"/>
    <x v="23"/>
    <x v="1"/>
  </r>
  <r>
    <x v="31"/>
    <x v="23"/>
    <n v="2"/>
    <m/>
    <n v="1"/>
    <x v="24"/>
    <x v="1"/>
  </r>
  <r>
    <x v="32"/>
    <x v="24"/>
    <n v="2"/>
    <m/>
    <n v="1"/>
    <x v="25"/>
    <x v="1"/>
  </r>
  <r>
    <x v="33"/>
    <x v="25"/>
    <n v="2"/>
    <m/>
    <n v="1"/>
    <x v="26"/>
    <x v="1"/>
  </r>
  <r>
    <x v="34"/>
    <x v="26"/>
    <n v="2"/>
    <m/>
    <n v="1"/>
    <x v="17"/>
    <x v="1"/>
  </r>
  <r>
    <x v="35"/>
    <x v="27"/>
    <n v="2"/>
    <m/>
    <n v="1"/>
    <x v="15"/>
    <x v="1"/>
  </r>
  <r>
    <x v="36"/>
    <x v="6"/>
    <n v="2"/>
    <m/>
    <n v="1"/>
    <x v="15"/>
    <x v="1"/>
  </r>
  <r>
    <x v="37"/>
    <x v="28"/>
    <n v="2"/>
    <m/>
    <n v="1"/>
    <x v="10"/>
    <x v="1"/>
  </r>
  <r>
    <x v="38"/>
    <x v="29"/>
    <n v="2"/>
    <m/>
    <n v="1"/>
    <x v="22"/>
    <x v="1"/>
  </r>
  <r>
    <x v="39"/>
    <x v="30"/>
    <n v="2"/>
    <m/>
    <n v="1"/>
    <x v="27"/>
    <x v="1"/>
  </r>
  <r>
    <x v="40"/>
    <x v="6"/>
    <n v="6"/>
    <m/>
    <n v="1"/>
    <x v="20"/>
    <x v="1"/>
  </r>
  <r>
    <x v="41"/>
    <x v="31"/>
    <n v="6"/>
    <m/>
    <n v="1"/>
    <x v="20"/>
    <x v="1"/>
  </r>
  <r>
    <x v="42"/>
    <x v="32"/>
    <n v="2"/>
    <m/>
    <n v="1"/>
    <x v="28"/>
    <x v="1"/>
  </r>
  <r>
    <x v="43"/>
    <x v="33"/>
    <n v="4"/>
    <m/>
    <n v="1"/>
    <x v="19"/>
    <x v="1"/>
  </r>
  <r>
    <x v="44"/>
    <x v="34"/>
    <n v="2"/>
    <m/>
    <n v="1"/>
    <x v="18"/>
    <x v="1"/>
  </r>
  <r>
    <x v="45"/>
    <x v="35"/>
    <n v="2"/>
    <m/>
    <n v="1"/>
    <x v="29"/>
    <x v="1"/>
  </r>
  <r>
    <x v="46"/>
    <x v="0"/>
    <n v="2"/>
    <m/>
    <n v="0"/>
    <x v="0"/>
    <x v="0"/>
  </r>
  <r>
    <x v="47"/>
    <x v="36"/>
    <n v="2"/>
    <m/>
    <n v="1"/>
    <x v="11"/>
    <x v="1"/>
  </r>
  <r>
    <x v="48"/>
    <x v="37"/>
    <n v="6"/>
    <m/>
    <n v="1"/>
    <x v="30"/>
    <x v="1"/>
  </r>
  <r>
    <x v="49"/>
    <x v="38"/>
    <n v="6"/>
    <m/>
    <n v="1"/>
    <x v="30"/>
    <x v="1"/>
  </r>
  <r>
    <x v="50"/>
    <x v="39"/>
    <n v="6"/>
    <m/>
    <n v="1"/>
    <x v="30"/>
    <x v="1"/>
  </r>
  <r>
    <x v="51"/>
    <x v="40"/>
    <n v="6"/>
    <m/>
    <n v="1"/>
    <x v="30"/>
    <x v="1"/>
  </r>
  <r>
    <x v="52"/>
    <x v="0"/>
    <n v="6"/>
    <m/>
    <n v="0"/>
    <x v="0"/>
    <x v="0"/>
  </r>
  <r>
    <x v="53"/>
    <x v="41"/>
    <n v="2"/>
    <m/>
    <n v="1"/>
    <x v="14"/>
    <x v="1"/>
  </r>
  <r>
    <x v="54"/>
    <x v="42"/>
    <n v="2"/>
    <m/>
    <n v="1"/>
    <x v="29"/>
    <x v="1"/>
  </r>
  <r>
    <x v="55"/>
    <x v="43"/>
    <n v="2"/>
    <m/>
    <n v="1"/>
    <x v="31"/>
    <x v="1"/>
  </r>
  <r>
    <x v="56"/>
    <x v="44"/>
    <n v="2"/>
    <m/>
    <n v="1"/>
    <x v="27"/>
    <x v="1"/>
  </r>
  <r>
    <x v="57"/>
    <x v="45"/>
    <n v="3"/>
    <m/>
    <n v="1"/>
    <x v="32"/>
    <x v="1"/>
  </r>
  <r>
    <x v="58"/>
    <x v="46"/>
    <n v="3"/>
    <m/>
    <n v="1"/>
    <x v="32"/>
    <x v="1"/>
  </r>
  <r>
    <x v="59"/>
    <x v="47"/>
    <n v="2"/>
    <m/>
    <n v="1"/>
    <x v="33"/>
    <x v="1"/>
  </r>
  <r>
    <x v="60"/>
    <x v="6"/>
    <n v="2"/>
    <m/>
    <n v="1"/>
    <x v="34"/>
    <x v="1"/>
  </r>
  <r>
    <x v="61"/>
    <x v="6"/>
    <n v="2"/>
    <m/>
    <n v="1"/>
    <x v="35"/>
    <x v="1"/>
  </r>
  <r>
    <x v="62"/>
    <x v="48"/>
    <n v="2"/>
    <m/>
    <n v="1"/>
    <x v="36"/>
    <x v="1"/>
  </r>
  <r>
    <x v="63"/>
    <x v="49"/>
    <n v="2"/>
    <m/>
    <n v="1"/>
    <x v="36"/>
    <x v="1"/>
  </r>
  <r>
    <x v="64"/>
    <x v="50"/>
    <n v="2"/>
    <m/>
    <n v="1"/>
    <x v="37"/>
    <x v="1"/>
  </r>
  <r>
    <x v="65"/>
    <x v="51"/>
    <n v="2"/>
    <m/>
    <n v="2"/>
    <x v="38"/>
    <x v="3"/>
  </r>
  <r>
    <x v="66"/>
    <x v="52"/>
    <n v="2"/>
    <m/>
    <n v="1"/>
    <x v="13"/>
    <x v="1"/>
  </r>
  <r>
    <x v="67"/>
    <x v="6"/>
    <n v="2"/>
    <m/>
    <n v="1"/>
    <x v="39"/>
    <x v="1"/>
  </r>
  <r>
    <x v="68"/>
    <x v="6"/>
    <n v="2"/>
    <m/>
    <n v="1"/>
    <x v="35"/>
    <x v="1"/>
  </r>
  <r>
    <x v="69"/>
    <x v="53"/>
    <n v="2"/>
    <m/>
    <n v="1"/>
    <x v="22"/>
    <x v="1"/>
  </r>
  <r>
    <x v="70"/>
    <x v="54"/>
    <n v="2"/>
    <m/>
    <n v="1"/>
    <x v="7"/>
    <x v="1"/>
  </r>
  <r>
    <x v="71"/>
    <x v="55"/>
    <n v="2"/>
    <m/>
    <n v="1"/>
    <x v="40"/>
    <x v="1"/>
  </r>
  <r>
    <x v="72"/>
    <x v="56"/>
    <n v="2"/>
    <m/>
    <n v="1"/>
    <x v="7"/>
    <x v="1"/>
  </r>
  <r>
    <x v="73"/>
    <x v="57"/>
    <n v="2"/>
    <m/>
    <n v="1"/>
    <x v="41"/>
    <x v="1"/>
  </r>
  <r>
    <x v="74"/>
    <x v="58"/>
    <n v="2"/>
    <m/>
    <n v="1"/>
    <x v="27"/>
    <x v="1"/>
  </r>
  <r>
    <x v="75"/>
    <x v="6"/>
    <n v="3"/>
    <m/>
    <n v="1"/>
    <x v="42"/>
    <x v="1"/>
  </r>
  <r>
    <x v="76"/>
    <x v="59"/>
    <n v="3"/>
    <m/>
    <n v="1"/>
    <x v="43"/>
    <x v="1"/>
  </r>
  <r>
    <x v="77"/>
    <x v="60"/>
    <n v="3"/>
    <m/>
    <n v="1"/>
    <x v="44"/>
    <x v="1"/>
  </r>
  <r>
    <x v="78"/>
    <x v="61"/>
    <n v="2"/>
    <m/>
    <n v="1"/>
    <x v="41"/>
    <x v="1"/>
  </r>
  <r>
    <x v="79"/>
    <x v="62"/>
    <n v="2"/>
    <m/>
    <n v="1"/>
    <x v="45"/>
    <x v="1"/>
  </r>
  <r>
    <x v="80"/>
    <x v="63"/>
    <n v="2"/>
    <m/>
    <n v="1"/>
    <x v="46"/>
    <x v="1"/>
  </r>
  <r>
    <x v="81"/>
    <x v="64"/>
    <n v="2"/>
    <m/>
    <n v="1"/>
    <x v="24"/>
    <x v="1"/>
  </r>
  <r>
    <x v="82"/>
    <x v="65"/>
    <n v="2"/>
    <m/>
    <n v="1"/>
    <x v="24"/>
    <x v="1"/>
  </r>
  <r>
    <x v="83"/>
    <x v="0"/>
    <n v="2"/>
    <m/>
    <n v="0"/>
    <x v="0"/>
    <x v="0"/>
  </r>
  <r>
    <x v="84"/>
    <x v="66"/>
    <n v="2"/>
    <m/>
    <n v="1"/>
    <x v="36"/>
    <x v="1"/>
  </r>
  <r>
    <x v="85"/>
    <x v="67"/>
    <n v="2"/>
    <m/>
    <n v="1"/>
    <x v="47"/>
    <x v="1"/>
  </r>
  <r>
    <x v="86"/>
    <x v="68"/>
    <n v="2"/>
    <m/>
    <n v="1"/>
    <x v="48"/>
    <x v="1"/>
  </r>
  <r>
    <x v="87"/>
    <x v="69"/>
    <n v="3"/>
    <m/>
    <n v="1"/>
    <x v="32"/>
    <x v="1"/>
  </r>
  <r>
    <x v="88"/>
    <x v="6"/>
    <n v="3"/>
    <m/>
    <n v="1"/>
    <x v="32"/>
    <x v="1"/>
  </r>
  <r>
    <x v="89"/>
    <x v="70"/>
    <n v="6"/>
    <m/>
    <n v="1"/>
    <x v="49"/>
    <x v="1"/>
  </r>
  <r>
    <x v="90"/>
    <x v="71"/>
    <n v="1"/>
    <m/>
    <n v="2"/>
    <x v="6"/>
    <x v="3"/>
  </r>
  <r>
    <x v="91"/>
    <x v="72"/>
    <n v="1"/>
    <m/>
    <n v="2"/>
    <x v="6"/>
    <x v="3"/>
  </r>
  <r>
    <x v="92"/>
    <x v="73"/>
    <n v="2"/>
    <m/>
    <n v="2"/>
    <x v="4"/>
    <x v="3"/>
  </r>
  <r>
    <x v="93"/>
    <x v="74"/>
    <n v="2"/>
    <m/>
    <n v="2"/>
    <x v="25"/>
    <x v="3"/>
  </r>
  <r>
    <x v="94"/>
    <x v="75"/>
    <n v="2"/>
    <m/>
    <n v="1"/>
    <x v="38"/>
    <x v="1"/>
  </r>
  <r>
    <x v="95"/>
    <x v="76"/>
    <n v="2"/>
    <m/>
    <n v="1"/>
    <x v="12"/>
    <x v="1"/>
  </r>
  <r>
    <x v="96"/>
    <x v="77"/>
    <n v="1"/>
    <m/>
    <n v="2"/>
    <x v="8"/>
    <x v="3"/>
  </r>
  <r>
    <x v="97"/>
    <x v="6"/>
    <n v="1"/>
    <m/>
    <n v="1"/>
    <x v="7"/>
    <x v="2"/>
  </r>
  <r>
    <x v="98"/>
    <x v="6"/>
    <n v="1"/>
    <m/>
    <n v="1"/>
    <x v="4"/>
    <x v="2"/>
  </r>
  <r>
    <x v="99"/>
    <x v="78"/>
    <n v="2"/>
    <m/>
    <n v="1"/>
    <x v="11"/>
    <x v="1"/>
  </r>
  <r>
    <x v="100"/>
    <x v="79"/>
    <n v="2"/>
    <m/>
    <n v="1"/>
    <x v="13"/>
    <x v="1"/>
  </r>
  <r>
    <x v="101"/>
    <x v="80"/>
    <n v="2"/>
    <m/>
    <n v="1"/>
    <x v="6"/>
    <x v="1"/>
  </r>
  <r>
    <x v="102"/>
    <x v="0"/>
    <n v="6"/>
    <m/>
    <n v="0"/>
    <x v="0"/>
    <x v="0"/>
  </r>
  <r>
    <x v="103"/>
    <x v="81"/>
    <n v="2"/>
    <m/>
    <n v="1"/>
    <x v="50"/>
    <x v="1"/>
  </r>
  <r>
    <x v="104"/>
    <x v="6"/>
    <n v="2"/>
    <m/>
    <n v="1"/>
    <x v="51"/>
    <x v="1"/>
  </r>
  <r>
    <x v="105"/>
    <x v="82"/>
    <n v="2"/>
    <m/>
    <n v="1"/>
    <x v="6"/>
    <x v="1"/>
  </r>
  <r>
    <x v="106"/>
    <x v="83"/>
    <n v="2"/>
    <m/>
    <n v="1"/>
    <x v="52"/>
    <x v="1"/>
  </r>
  <r>
    <x v="107"/>
    <x v="84"/>
    <n v="2"/>
    <m/>
    <n v="1"/>
    <x v="29"/>
    <x v="1"/>
  </r>
  <r>
    <x v="108"/>
    <x v="85"/>
    <n v="2"/>
    <m/>
    <n v="1"/>
    <x v="46"/>
    <x v="1"/>
  </r>
  <r>
    <x v="109"/>
    <x v="0"/>
    <n v="2"/>
    <m/>
    <n v="0"/>
    <x v="0"/>
    <x v="0"/>
  </r>
  <r>
    <x v="110"/>
    <x v="86"/>
    <n v="2"/>
    <m/>
    <n v="1"/>
    <x v="25"/>
    <x v="1"/>
  </r>
  <r>
    <x v="111"/>
    <x v="87"/>
    <n v="2"/>
    <m/>
    <n v="2"/>
    <x v="7"/>
    <x v="3"/>
  </r>
  <r>
    <x v="112"/>
    <x v="88"/>
    <n v="2"/>
    <m/>
    <n v="2"/>
    <x v="7"/>
    <x v="3"/>
  </r>
  <r>
    <x v="113"/>
    <x v="89"/>
    <n v="4"/>
    <m/>
    <n v="2"/>
    <x v="53"/>
    <x v="4"/>
  </r>
  <r>
    <x v="114"/>
    <x v="90"/>
    <n v="2"/>
    <m/>
    <n v="2"/>
    <x v="38"/>
    <x v="4"/>
  </r>
  <r>
    <x v="115"/>
    <x v="91"/>
    <n v="2"/>
    <m/>
    <n v="3"/>
    <x v="32"/>
    <x v="3"/>
  </r>
  <r>
    <x v="116"/>
    <x v="92"/>
    <n v="2"/>
    <m/>
    <n v="2"/>
    <x v="25"/>
    <x v="3"/>
  </r>
  <r>
    <x v="117"/>
    <x v="93"/>
    <n v="2"/>
    <m/>
    <n v="1"/>
    <x v="12"/>
    <x v="1"/>
  </r>
  <r>
    <x v="118"/>
    <x v="94"/>
    <n v="2"/>
    <m/>
    <n v="1"/>
    <x v="11"/>
    <x v="1"/>
  </r>
  <r>
    <x v="119"/>
    <x v="95"/>
    <n v="2"/>
    <m/>
    <n v="1"/>
    <x v="6"/>
    <x v="1"/>
  </r>
  <r>
    <x v="120"/>
    <x v="0"/>
    <n v="6"/>
    <m/>
    <n v="0"/>
    <x v="0"/>
    <x v="0"/>
  </r>
  <r>
    <x v="121"/>
    <x v="96"/>
    <n v="2"/>
    <m/>
    <n v="1"/>
    <x v="1"/>
    <x v="1"/>
  </r>
  <r>
    <x v="122"/>
    <x v="97"/>
    <n v="2"/>
    <m/>
    <n v="1"/>
    <x v="46"/>
    <x v="1"/>
  </r>
  <r>
    <x v="123"/>
    <x v="98"/>
    <n v="2"/>
    <m/>
    <n v="1"/>
    <x v="14"/>
    <x v="1"/>
  </r>
  <r>
    <x v="124"/>
    <x v="99"/>
    <n v="6"/>
    <m/>
    <n v="1"/>
    <x v="20"/>
    <x v="1"/>
  </r>
  <r>
    <x v="125"/>
    <x v="100"/>
    <n v="4"/>
    <m/>
    <n v="1"/>
    <x v="26"/>
    <x v="1"/>
  </r>
  <r>
    <x v="126"/>
    <x v="101"/>
    <n v="2"/>
    <m/>
    <n v="1"/>
    <x v="54"/>
    <x v="1"/>
  </r>
  <r>
    <x v="127"/>
    <x v="102"/>
    <n v="2"/>
    <m/>
    <n v="1"/>
    <x v="47"/>
    <x v="1"/>
  </r>
  <r>
    <x v="128"/>
    <x v="103"/>
    <n v="2"/>
    <m/>
    <n v="1"/>
    <x v="10"/>
    <x v="1"/>
  </r>
  <r>
    <x v="129"/>
    <x v="104"/>
    <n v="2"/>
    <m/>
    <n v="1"/>
    <x v="24"/>
    <x v="1"/>
  </r>
  <r>
    <x v="130"/>
    <x v="105"/>
    <n v="3"/>
    <m/>
    <n v="1"/>
    <x v="55"/>
    <x v="1"/>
  </r>
  <r>
    <x v="131"/>
    <x v="106"/>
    <n v="2"/>
    <m/>
    <n v="1"/>
    <x v="7"/>
    <x v="1"/>
  </r>
  <r>
    <x v="132"/>
    <x v="107"/>
    <n v="2"/>
    <m/>
    <n v="1"/>
    <x v="41"/>
    <x v="1"/>
  </r>
  <r>
    <x v="133"/>
    <x v="6"/>
    <n v="2"/>
    <m/>
    <n v="1"/>
    <x v="56"/>
    <x v="1"/>
  </r>
  <r>
    <x v="134"/>
    <x v="108"/>
    <n v="2"/>
    <m/>
    <n v="1"/>
    <x v="10"/>
    <x v="1"/>
  </r>
  <r>
    <x v="135"/>
    <x v="109"/>
    <n v="2"/>
    <m/>
    <n v="1"/>
    <x v="15"/>
    <x v="1"/>
  </r>
  <r>
    <x v="136"/>
    <x v="110"/>
    <n v="2"/>
    <m/>
    <n v="1"/>
    <x v="10"/>
    <x v="1"/>
  </r>
  <r>
    <x v="137"/>
    <x v="111"/>
    <n v="2"/>
    <m/>
    <n v="1"/>
    <x v="54"/>
    <x v="1"/>
  </r>
  <r>
    <x v="138"/>
    <x v="112"/>
    <n v="3"/>
    <m/>
    <n v="1"/>
    <x v="32"/>
    <x v="1"/>
  </r>
  <r>
    <x v="139"/>
    <x v="113"/>
    <n v="2"/>
    <m/>
    <n v="1"/>
    <x v="24"/>
    <x v="1"/>
  </r>
  <r>
    <x v="140"/>
    <x v="114"/>
    <n v="6"/>
    <m/>
    <n v="1"/>
    <x v="20"/>
    <x v="1"/>
  </r>
  <r>
    <x v="141"/>
    <x v="115"/>
    <n v="2"/>
    <m/>
    <n v="1"/>
    <x v="27"/>
    <x v="1"/>
  </r>
  <r>
    <x v="142"/>
    <x v="116"/>
    <n v="2"/>
    <m/>
    <n v="2"/>
    <x v="32"/>
    <x v="3"/>
  </r>
  <r>
    <x v="143"/>
    <x v="117"/>
    <n v="2"/>
    <m/>
    <n v="1"/>
    <x v="57"/>
    <x v="1"/>
  </r>
  <r>
    <x v="144"/>
    <x v="6"/>
    <n v="3"/>
    <m/>
    <n v="1"/>
    <x v="43"/>
    <x v="1"/>
  </r>
  <r>
    <x v="145"/>
    <x v="6"/>
    <n v="2"/>
    <m/>
    <n v="1"/>
    <x v="41"/>
    <x v="1"/>
  </r>
  <r>
    <x v="146"/>
    <x v="118"/>
    <n v="2"/>
    <m/>
    <n v="1"/>
    <x v="58"/>
    <x v="1"/>
  </r>
  <r>
    <x v="147"/>
    <x v="119"/>
    <n v="2"/>
    <m/>
    <n v="1"/>
    <x v="37"/>
    <x v="1"/>
  </r>
  <r>
    <x v="148"/>
    <x v="120"/>
    <n v="6"/>
    <m/>
    <n v="1"/>
    <x v="59"/>
    <x v="1"/>
  </r>
  <r>
    <x v="149"/>
    <x v="0"/>
    <n v="2"/>
    <m/>
    <n v="0"/>
    <x v="0"/>
    <x v="0"/>
  </r>
  <r>
    <x v="150"/>
    <x v="121"/>
    <n v="2"/>
    <m/>
    <n v="1"/>
    <x v="46"/>
    <x v="1"/>
  </r>
  <r>
    <x v="151"/>
    <x v="122"/>
    <n v="2"/>
    <m/>
    <n v="1"/>
    <x v="46"/>
    <x v="1"/>
  </r>
  <r>
    <x v="152"/>
    <x v="123"/>
    <n v="2"/>
    <m/>
    <n v="1"/>
    <x v="31"/>
    <x v="1"/>
  </r>
  <r>
    <x v="153"/>
    <x v="124"/>
    <n v="2"/>
    <m/>
    <n v="1"/>
    <x v="45"/>
    <x v="1"/>
  </r>
  <r>
    <x v="154"/>
    <x v="125"/>
    <n v="10"/>
    <m/>
    <n v="2"/>
    <x v="26"/>
    <x v="4"/>
  </r>
  <r>
    <x v="155"/>
    <x v="126"/>
    <n v="2"/>
    <m/>
    <n v="2"/>
    <x v="32"/>
    <x v="3"/>
  </r>
  <r>
    <x v="156"/>
    <x v="6"/>
    <n v="1"/>
    <m/>
    <n v="1"/>
    <x v="38"/>
    <x v="2"/>
  </r>
  <r>
    <x v="157"/>
    <x v="127"/>
    <n v="4"/>
    <m/>
    <n v="2"/>
    <x v="53"/>
    <x v="4"/>
  </r>
  <r>
    <x v="158"/>
    <x v="128"/>
    <n v="2"/>
    <m/>
    <n v="1"/>
    <x v="60"/>
    <x v="1"/>
  </r>
  <r>
    <x v="159"/>
    <x v="129"/>
    <n v="2"/>
    <m/>
    <n v="1"/>
    <x v="61"/>
    <x v="1"/>
  </r>
  <r>
    <x v="160"/>
    <x v="130"/>
    <n v="2"/>
    <m/>
    <n v="1"/>
    <x v="62"/>
    <x v="1"/>
  </r>
  <r>
    <x v="161"/>
    <x v="131"/>
    <n v="2"/>
    <m/>
    <n v="1"/>
    <x v="24"/>
    <x v="1"/>
  </r>
  <r>
    <x v="162"/>
    <x v="6"/>
    <n v="3"/>
    <m/>
    <n v="1"/>
    <x v="42"/>
    <x v="1"/>
  </r>
  <r>
    <x v="163"/>
    <x v="132"/>
    <n v="6"/>
    <m/>
    <n v="1"/>
    <x v="20"/>
    <x v="1"/>
  </r>
  <r>
    <x v="164"/>
    <x v="133"/>
    <n v="2"/>
    <m/>
    <n v="1"/>
    <x v="31"/>
    <x v="1"/>
  </r>
  <r>
    <x v="165"/>
    <x v="134"/>
    <n v="2"/>
    <m/>
    <n v="1"/>
    <x v="63"/>
    <x v="1"/>
  </r>
  <r>
    <x v="166"/>
    <x v="135"/>
    <n v="2"/>
    <m/>
    <n v="1"/>
    <x v="64"/>
    <x v="1"/>
  </r>
  <r>
    <x v="167"/>
    <x v="136"/>
    <n v="6"/>
    <m/>
    <n v="1"/>
    <x v="49"/>
    <x v="1"/>
  </r>
  <r>
    <x v="168"/>
    <x v="6"/>
    <n v="1"/>
    <m/>
    <n v="1"/>
    <x v="4"/>
    <x v="2"/>
  </r>
  <r>
    <x v="169"/>
    <x v="6"/>
    <n v="1"/>
    <m/>
    <n v="1"/>
    <x v="7"/>
    <x v="2"/>
  </r>
  <r>
    <x v="170"/>
    <x v="137"/>
    <n v="8"/>
    <m/>
    <n v="2"/>
    <x v="26"/>
    <x v="4"/>
  </r>
  <r>
    <x v="171"/>
    <x v="138"/>
    <n v="1"/>
    <m/>
    <n v="2"/>
    <x v="5"/>
    <x v="3"/>
  </r>
  <r>
    <x v="172"/>
    <x v="6"/>
    <n v="1"/>
    <m/>
    <n v="1"/>
    <x v="4"/>
    <x v="2"/>
  </r>
  <r>
    <x v="173"/>
    <x v="139"/>
    <n v="1"/>
    <m/>
    <n v="2"/>
    <x v="8"/>
    <x v="3"/>
  </r>
  <r>
    <x v="174"/>
    <x v="140"/>
    <n v="1"/>
    <m/>
    <n v="2"/>
    <x v="8"/>
    <x v="3"/>
  </r>
  <r>
    <x v="175"/>
    <x v="6"/>
    <n v="1"/>
    <m/>
    <n v="1"/>
    <x v="4"/>
    <x v="2"/>
  </r>
  <r>
    <x v="176"/>
    <x v="141"/>
    <n v="2"/>
    <m/>
    <n v="1"/>
    <x v="8"/>
    <x v="2"/>
  </r>
  <r>
    <x v="177"/>
    <x v="142"/>
    <n v="2"/>
    <m/>
    <n v="1"/>
    <x v="4"/>
    <x v="1"/>
  </r>
  <r>
    <x v="178"/>
    <x v="143"/>
    <n v="6"/>
    <m/>
    <n v="2"/>
    <x v="65"/>
    <x v="3"/>
  </r>
  <r>
    <x v="179"/>
    <x v="6"/>
    <n v="2"/>
    <m/>
    <n v="2"/>
    <x v="4"/>
    <x v="4"/>
  </r>
  <r>
    <x v="180"/>
    <x v="144"/>
    <n v="2"/>
    <m/>
    <n v="1"/>
    <x v="38"/>
    <x v="1"/>
  </r>
  <r>
    <x v="181"/>
    <x v="145"/>
    <n v="2"/>
    <m/>
    <n v="1"/>
    <x v="4"/>
    <x v="1"/>
  </r>
  <r>
    <x v="182"/>
    <x v="0"/>
    <n v="6"/>
    <m/>
    <n v="0"/>
    <x v="0"/>
    <x v="0"/>
  </r>
  <r>
    <x v="183"/>
    <x v="146"/>
    <n v="6"/>
    <m/>
    <n v="1"/>
    <x v="30"/>
    <x v="1"/>
  </r>
  <r>
    <x v="184"/>
    <x v="147"/>
    <n v="2"/>
    <m/>
    <n v="1"/>
    <x v="9"/>
    <x v="1"/>
  </r>
  <r>
    <x v="185"/>
    <x v="148"/>
    <n v="2"/>
    <m/>
    <n v="1"/>
    <x v="66"/>
    <x v="1"/>
  </r>
  <r>
    <x v="186"/>
    <x v="149"/>
    <n v="3"/>
    <m/>
    <n v="1"/>
    <x v="55"/>
    <x v="1"/>
  </r>
  <r>
    <x v="187"/>
    <x v="150"/>
    <n v="2"/>
    <m/>
    <n v="1"/>
    <x v="67"/>
    <x v="1"/>
  </r>
  <r>
    <x v="188"/>
    <x v="151"/>
    <n v="2"/>
    <m/>
    <n v="1"/>
    <x v="68"/>
    <x v="1"/>
  </r>
  <r>
    <x v="189"/>
    <x v="152"/>
    <n v="2"/>
    <m/>
    <n v="1"/>
    <x v="69"/>
    <x v="1"/>
  </r>
  <r>
    <x v="190"/>
    <x v="153"/>
    <n v="2"/>
    <m/>
    <n v="1"/>
    <x v="63"/>
    <x v="1"/>
  </r>
  <r>
    <x v="191"/>
    <x v="154"/>
    <n v="2"/>
    <m/>
    <n v="1"/>
    <x v="28"/>
    <x v="1"/>
  </r>
  <r>
    <x v="192"/>
    <x v="155"/>
    <n v="3"/>
    <m/>
    <n v="1"/>
    <x v="70"/>
    <x v="1"/>
  </r>
  <r>
    <x v="193"/>
    <x v="6"/>
    <n v="2"/>
    <m/>
    <n v="1"/>
    <x v="71"/>
    <x v="1"/>
  </r>
  <r>
    <x v="194"/>
    <x v="156"/>
    <n v="2"/>
    <m/>
    <n v="1"/>
    <x v="45"/>
    <x v="1"/>
  </r>
  <r>
    <x v="195"/>
    <x v="6"/>
    <n v="2"/>
    <m/>
    <n v="1"/>
    <x v="72"/>
    <x v="1"/>
  </r>
  <r>
    <x v="196"/>
    <x v="157"/>
    <n v="2"/>
    <m/>
    <n v="1"/>
    <x v="27"/>
    <x v="1"/>
  </r>
  <r>
    <x v="197"/>
    <x v="158"/>
    <n v="2"/>
    <m/>
    <n v="1"/>
    <x v="6"/>
    <x v="1"/>
  </r>
  <r>
    <x v="198"/>
    <x v="159"/>
    <n v="2"/>
    <m/>
    <n v="1"/>
    <x v="25"/>
    <x v="1"/>
  </r>
  <r>
    <x v="199"/>
    <x v="160"/>
    <n v="2"/>
    <m/>
    <n v="1"/>
    <x v="33"/>
    <x v="1"/>
  </r>
  <r>
    <x v="200"/>
    <x v="161"/>
    <n v="2"/>
    <m/>
    <n v="1"/>
    <x v="73"/>
    <x v="1"/>
  </r>
  <r>
    <x v="201"/>
    <x v="6"/>
    <n v="2"/>
    <m/>
    <n v="1"/>
    <x v="18"/>
    <x v="1"/>
  </r>
  <r>
    <x v="202"/>
    <x v="162"/>
    <n v="2"/>
    <m/>
    <n v="1"/>
    <x v="4"/>
    <x v="1"/>
  </r>
  <r>
    <x v="203"/>
    <x v="163"/>
    <n v="2"/>
    <m/>
    <n v="1"/>
    <x v="4"/>
    <x v="1"/>
  </r>
  <r>
    <x v="204"/>
    <x v="164"/>
    <n v="2"/>
    <m/>
    <n v="1"/>
    <x v="74"/>
    <x v="1"/>
  </r>
  <r>
    <x v="205"/>
    <x v="165"/>
    <n v="2"/>
    <m/>
    <n v="1"/>
    <x v="75"/>
    <x v="1"/>
  </r>
  <r>
    <x v="206"/>
    <x v="166"/>
    <n v="2"/>
    <m/>
    <n v="1"/>
    <x v="57"/>
    <x v="1"/>
  </r>
  <r>
    <x v="207"/>
    <x v="167"/>
    <n v="6"/>
    <m/>
    <n v="1"/>
    <x v="59"/>
    <x v="1"/>
  </r>
  <r>
    <x v="208"/>
    <x v="168"/>
    <n v="3"/>
    <m/>
    <n v="1"/>
    <x v="3"/>
    <x v="1"/>
  </r>
  <r>
    <x v="209"/>
    <x v="169"/>
    <n v="2"/>
    <m/>
    <n v="1"/>
    <x v="46"/>
    <x v="1"/>
  </r>
  <r>
    <x v="210"/>
    <x v="170"/>
    <n v="2"/>
    <m/>
    <n v="1"/>
    <x v="27"/>
    <x v="1"/>
  </r>
  <r>
    <x v="211"/>
    <x v="171"/>
    <n v="2"/>
    <m/>
    <n v="1"/>
    <x v="76"/>
    <x v="1"/>
  </r>
  <r>
    <x v="212"/>
    <x v="172"/>
    <n v="3"/>
    <m/>
    <n v="1"/>
    <x v="77"/>
    <x v="1"/>
  </r>
  <r>
    <x v="213"/>
    <x v="0"/>
    <n v="2"/>
    <m/>
    <n v="0"/>
    <x v="0"/>
    <x v="0"/>
  </r>
  <r>
    <x v="214"/>
    <x v="173"/>
    <n v="2"/>
    <m/>
    <n v="1"/>
    <x v="31"/>
    <x v="1"/>
  </r>
  <r>
    <x v="215"/>
    <x v="174"/>
    <n v="2"/>
    <m/>
    <n v="1"/>
    <x v="50"/>
    <x v="1"/>
  </r>
  <r>
    <x v="216"/>
    <x v="175"/>
    <n v="4"/>
    <m/>
    <n v="1"/>
    <x v="25"/>
    <x v="1"/>
  </r>
  <r>
    <x v="217"/>
    <x v="176"/>
    <n v="3"/>
    <m/>
    <n v="1"/>
    <x v="3"/>
    <x v="1"/>
  </r>
  <r>
    <x v="218"/>
    <x v="177"/>
    <n v="3"/>
    <m/>
    <n v="1"/>
    <x v="44"/>
    <x v="1"/>
  </r>
  <r>
    <x v="219"/>
    <x v="178"/>
    <n v="1"/>
    <m/>
    <n v="2"/>
    <x v="6"/>
    <x v="3"/>
  </r>
  <r>
    <x v="220"/>
    <x v="179"/>
    <n v="2"/>
    <m/>
    <n v="1"/>
    <x v="4"/>
    <x v="1"/>
  </r>
  <r>
    <x v="221"/>
    <x v="180"/>
    <n v="1"/>
    <m/>
    <n v="1"/>
    <x v="4"/>
    <x v="2"/>
  </r>
  <r>
    <x v="222"/>
    <x v="181"/>
    <n v="2"/>
    <m/>
    <n v="1"/>
    <x v="9"/>
    <x v="1"/>
  </r>
  <r>
    <x v="223"/>
    <x v="182"/>
    <n v="2"/>
    <m/>
    <n v="1"/>
    <x v="70"/>
    <x v="1"/>
  </r>
  <r>
    <x v="224"/>
    <x v="183"/>
    <n v="2"/>
    <m/>
    <n v="1"/>
    <x v="67"/>
    <x v="1"/>
  </r>
  <r>
    <x v="225"/>
    <x v="184"/>
    <n v="2"/>
    <m/>
    <n v="1"/>
    <x v="14"/>
    <x v="1"/>
  </r>
  <r>
    <x v="226"/>
    <x v="185"/>
    <n v="6"/>
    <m/>
    <n v="1"/>
    <x v="59"/>
    <x v="1"/>
  </r>
  <r>
    <x v="227"/>
    <x v="186"/>
    <n v="2"/>
    <m/>
    <n v="1"/>
    <x v="58"/>
    <x v="1"/>
  </r>
  <r>
    <x v="228"/>
    <x v="6"/>
    <n v="2"/>
    <m/>
    <n v="1"/>
    <x v="71"/>
    <x v="1"/>
  </r>
  <r>
    <x v="229"/>
    <x v="187"/>
    <n v="2"/>
    <m/>
    <n v="1"/>
    <x v="14"/>
    <x v="1"/>
  </r>
  <r>
    <x v="230"/>
    <x v="188"/>
    <n v="2"/>
    <m/>
    <n v="1"/>
    <x v="1"/>
    <x v="1"/>
  </r>
  <r>
    <x v="231"/>
    <x v="189"/>
    <n v="2"/>
    <m/>
    <n v="1"/>
    <x v="52"/>
    <x v="1"/>
  </r>
  <r>
    <x v="232"/>
    <x v="190"/>
    <n v="2"/>
    <m/>
    <n v="1"/>
    <x v="48"/>
    <x v="1"/>
  </r>
  <r>
    <x v="233"/>
    <x v="0"/>
    <n v="2"/>
    <m/>
    <n v="0"/>
    <x v="0"/>
    <x v="0"/>
  </r>
  <r>
    <x v="234"/>
    <x v="191"/>
    <n v="2"/>
    <m/>
    <n v="1"/>
    <x v="21"/>
    <x v="1"/>
  </r>
  <r>
    <x v="235"/>
    <x v="6"/>
    <n v="2"/>
    <m/>
    <n v="1"/>
    <x v="51"/>
    <x v="1"/>
  </r>
  <r>
    <x v="236"/>
    <x v="192"/>
    <n v="2"/>
    <m/>
    <n v="1"/>
    <x v="38"/>
    <x v="1"/>
  </r>
  <r>
    <x v="237"/>
    <x v="193"/>
    <n v="2"/>
    <m/>
    <n v="1"/>
    <x v="15"/>
    <x v="1"/>
  </r>
  <r>
    <x v="238"/>
    <x v="194"/>
    <n v="2"/>
    <m/>
    <n v="1"/>
    <x v="22"/>
    <x v="1"/>
  </r>
  <r>
    <x v="239"/>
    <x v="195"/>
    <n v="2"/>
    <m/>
    <n v="1"/>
    <x v="22"/>
    <x v="1"/>
  </r>
  <r>
    <x v="240"/>
    <x v="196"/>
    <n v="2"/>
    <m/>
    <n v="1"/>
    <x v="5"/>
    <x v="1"/>
  </r>
  <r>
    <x v="241"/>
    <x v="197"/>
    <n v="2"/>
    <m/>
    <n v="1"/>
    <x v="41"/>
    <x v="1"/>
  </r>
  <r>
    <x v="242"/>
    <x v="198"/>
    <n v="2"/>
    <m/>
    <n v="1"/>
    <x v="33"/>
    <x v="1"/>
  </r>
  <r>
    <x v="243"/>
    <x v="199"/>
    <n v="2"/>
    <m/>
    <n v="1"/>
    <x v="57"/>
    <x v="1"/>
  </r>
  <r>
    <x v="244"/>
    <x v="200"/>
    <n v="2"/>
    <m/>
    <n v="1"/>
    <x v="57"/>
    <x v="1"/>
  </r>
  <r>
    <x v="245"/>
    <x v="201"/>
    <n v="3"/>
    <m/>
    <n v="1"/>
    <x v="19"/>
    <x v="1"/>
  </r>
  <r>
    <x v="246"/>
    <x v="202"/>
    <n v="4"/>
    <m/>
    <n v="1"/>
    <x v="19"/>
    <x v="1"/>
  </r>
  <r>
    <x v="247"/>
    <x v="203"/>
    <n v="6"/>
    <m/>
    <n v="1"/>
    <x v="59"/>
    <x v="1"/>
  </r>
  <r>
    <x v="248"/>
    <x v="6"/>
    <n v="3"/>
    <m/>
    <n v="1"/>
    <x v="42"/>
    <x v="1"/>
  </r>
  <r>
    <x v="249"/>
    <x v="6"/>
    <n v="3"/>
    <m/>
    <n v="1"/>
    <x v="42"/>
    <x v="1"/>
  </r>
  <r>
    <x v="250"/>
    <x v="204"/>
    <n v="3"/>
    <m/>
    <n v="1"/>
    <x v="44"/>
    <x v="1"/>
  </r>
  <r>
    <x v="251"/>
    <x v="6"/>
    <n v="3"/>
    <m/>
    <n v="1"/>
    <x v="43"/>
    <x v="1"/>
  </r>
  <r>
    <x v="252"/>
    <x v="6"/>
    <n v="2"/>
    <m/>
    <n v="1"/>
    <x v="15"/>
    <x v="1"/>
  </r>
  <r>
    <x v="253"/>
    <x v="205"/>
    <n v="2"/>
    <m/>
    <n v="1"/>
    <x v="15"/>
    <x v="1"/>
  </r>
  <r>
    <x v="254"/>
    <x v="0"/>
    <n v="2"/>
    <m/>
    <n v="0"/>
    <x v="0"/>
    <x v="0"/>
  </r>
  <r>
    <x v="255"/>
    <x v="206"/>
    <n v="2"/>
    <m/>
    <n v="1"/>
    <x v="36"/>
    <x v="1"/>
  </r>
  <r>
    <x v="256"/>
    <x v="207"/>
    <n v="6"/>
    <m/>
    <n v="1"/>
    <x v="20"/>
    <x v="1"/>
  </r>
  <r>
    <x v="216"/>
    <x v="175"/>
    <n v="2"/>
    <m/>
    <n v="1"/>
    <x v="25"/>
    <x v="1"/>
  </r>
  <r>
    <x v="257"/>
    <x v="208"/>
    <n v="2"/>
    <m/>
    <n v="1"/>
    <x v="46"/>
    <x v="1"/>
  </r>
  <r>
    <x v="258"/>
    <x v="209"/>
    <n v="6"/>
    <m/>
    <n v="1"/>
    <x v="59"/>
    <x v="1"/>
  </r>
  <r>
    <x v="259"/>
    <x v="210"/>
    <n v="2"/>
    <m/>
    <n v="1"/>
    <x v="64"/>
    <x v="1"/>
  </r>
  <r>
    <x v="260"/>
    <x v="211"/>
    <n v="1"/>
    <m/>
    <n v="2"/>
    <x v="6"/>
    <x v="3"/>
  </r>
  <r>
    <x v="261"/>
    <x v="212"/>
    <n v="1"/>
    <m/>
    <n v="1"/>
    <x v="5"/>
    <x v="2"/>
  </r>
  <r>
    <x v="262"/>
    <x v="6"/>
    <n v="1"/>
    <m/>
    <n v="1"/>
    <x v="7"/>
    <x v="2"/>
  </r>
  <r>
    <x v="263"/>
    <x v="213"/>
    <n v="2"/>
    <m/>
    <n v="1"/>
    <x v="12"/>
    <x v="2"/>
  </r>
  <r>
    <x v="264"/>
    <x v="214"/>
    <n v="2"/>
    <m/>
    <n v="2"/>
    <x v="4"/>
    <x v="3"/>
  </r>
  <r>
    <x v="265"/>
    <x v="215"/>
    <n v="2"/>
    <m/>
    <n v="1"/>
    <x v="9"/>
    <x v="1"/>
  </r>
  <r>
    <x v="266"/>
    <x v="6"/>
    <n v="2"/>
    <m/>
    <n v="2"/>
    <x v="6"/>
    <x v="4"/>
  </r>
  <r>
    <x v="267"/>
    <x v="216"/>
    <n v="2"/>
    <m/>
    <n v="1"/>
    <x v="38"/>
    <x v="1"/>
  </r>
  <r>
    <x v="268"/>
    <x v="217"/>
    <n v="2"/>
    <m/>
    <n v="1"/>
    <x v="4"/>
    <x v="1"/>
  </r>
  <r>
    <x v="269"/>
    <x v="218"/>
    <n v="2"/>
    <m/>
    <n v="1"/>
    <x v="6"/>
    <x v="1"/>
  </r>
  <r>
    <x v="270"/>
    <x v="219"/>
    <n v="2"/>
    <m/>
    <n v="1"/>
    <x v="6"/>
    <x v="1"/>
  </r>
  <r>
    <x v="271"/>
    <x v="220"/>
    <n v="6"/>
    <m/>
    <n v="1"/>
    <x v="30"/>
    <x v="1"/>
  </r>
  <r>
    <x v="272"/>
    <x v="221"/>
    <n v="2"/>
    <m/>
    <n v="1"/>
    <x v="73"/>
    <x v="1"/>
  </r>
  <r>
    <x v="273"/>
    <x v="222"/>
    <n v="2"/>
    <m/>
    <n v="1"/>
    <x v="31"/>
    <x v="1"/>
  </r>
  <r>
    <x v="274"/>
    <x v="223"/>
    <n v="2"/>
    <m/>
    <n v="1"/>
    <x v="78"/>
    <x v="1"/>
  </r>
  <r>
    <x v="275"/>
    <x v="224"/>
    <n v="2"/>
    <m/>
    <n v="1"/>
    <x v="48"/>
    <x v="1"/>
  </r>
  <r>
    <x v="276"/>
    <x v="6"/>
    <n v="2"/>
    <m/>
    <n v="1"/>
    <x v="39"/>
    <x v="1"/>
  </r>
  <r>
    <x v="110"/>
    <x v="86"/>
    <n v="4"/>
    <m/>
    <n v="1"/>
    <x v="25"/>
    <x v="1"/>
  </r>
  <r>
    <x v="277"/>
    <x v="225"/>
    <n v="2"/>
    <m/>
    <n v="1"/>
    <x v="57"/>
    <x v="1"/>
  </r>
  <r>
    <x v="278"/>
    <x v="226"/>
    <n v="2"/>
    <m/>
    <n v="1"/>
    <x v="79"/>
    <x v="1"/>
  </r>
  <r>
    <x v="279"/>
    <x v="227"/>
    <n v="2"/>
    <m/>
    <n v="1"/>
    <x v="60"/>
    <x v="1"/>
  </r>
  <r>
    <x v="280"/>
    <x v="228"/>
    <n v="2"/>
    <m/>
    <n v="1"/>
    <x v="16"/>
    <x v="1"/>
  </r>
  <r>
    <x v="281"/>
    <x v="229"/>
    <n v="2"/>
    <m/>
    <n v="1"/>
    <x v="40"/>
    <x v="1"/>
  </r>
  <r>
    <x v="282"/>
    <x v="230"/>
    <n v="2"/>
    <m/>
    <n v="1"/>
    <x v="22"/>
    <x v="1"/>
  </r>
  <r>
    <x v="40"/>
    <x v="6"/>
    <n v="6"/>
    <m/>
    <n v="1"/>
    <x v="20"/>
    <x v="1"/>
  </r>
  <r>
    <x v="283"/>
    <x v="231"/>
    <n v="2"/>
    <m/>
    <n v="1"/>
    <x v="48"/>
    <x v="1"/>
  </r>
  <r>
    <x v="284"/>
    <x v="232"/>
    <n v="3"/>
    <m/>
    <n v="1"/>
    <x v="2"/>
    <x v="1"/>
  </r>
  <r>
    <x v="285"/>
    <x v="233"/>
    <n v="3"/>
    <m/>
    <n v="1"/>
    <x v="44"/>
    <x v="1"/>
  </r>
  <r>
    <x v="286"/>
    <x v="234"/>
    <n v="3"/>
    <m/>
    <n v="1"/>
    <x v="44"/>
    <x v="1"/>
  </r>
  <r>
    <x v="287"/>
    <x v="235"/>
    <n v="2"/>
    <m/>
    <n v="1"/>
    <x v="64"/>
    <x v="1"/>
  </r>
  <r>
    <x v="288"/>
    <x v="236"/>
    <n v="1"/>
    <m/>
    <n v="1"/>
    <x v="7"/>
    <x v="2"/>
  </r>
  <r>
    <x v="289"/>
    <x v="237"/>
    <n v="2"/>
    <m/>
    <n v="2"/>
    <x v="5"/>
    <x v="4"/>
  </r>
  <r>
    <x v="290"/>
    <x v="238"/>
    <n v="1"/>
    <m/>
    <n v="1"/>
    <x v="6"/>
    <x v="2"/>
  </r>
  <r>
    <x v="291"/>
    <x v="239"/>
    <n v="2"/>
    <m/>
    <n v="1"/>
    <x v="12"/>
    <x v="1"/>
  </r>
  <r>
    <x v="292"/>
    <x v="6"/>
    <n v="1"/>
    <m/>
    <n v="1"/>
    <x v="38"/>
    <x v="2"/>
  </r>
  <r>
    <x v="293"/>
    <x v="240"/>
    <n v="2"/>
    <m/>
    <n v="1"/>
    <x v="38"/>
    <x v="1"/>
  </r>
  <r>
    <x v="294"/>
    <x v="241"/>
    <n v="2"/>
    <m/>
    <n v="1"/>
    <x v="12"/>
    <x v="1"/>
  </r>
  <r>
    <x v="295"/>
    <x v="242"/>
    <n v="2"/>
    <m/>
    <n v="2"/>
    <x v="4"/>
    <x v="3"/>
  </r>
  <r>
    <x v="296"/>
    <x v="243"/>
    <n v="2"/>
    <m/>
    <n v="1"/>
    <x v="4"/>
    <x v="1"/>
  </r>
  <r>
    <x v="297"/>
    <x v="244"/>
    <n v="6"/>
    <m/>
    <n v="1"/>
    <x v="30"/>
    <x v="1"/>
  </r>
  <r>
    <x v="298"/>
    <x v="0"/>
    <n v="6"/>
    <m/>
    <n v="0"/>
    <x v="0"/>
    <x v="0"/>
  </r>
  <r>
    <x v="299"/>
    <x v="245"/>
    <n v="2"/>
    <m/>
    <n v="1"/>
    <x v="12"/>
    <x v="1"/>
  </r>
  <r>
    <x v="300"/>
    <x v="246"/>
    <n v="2"/>
    <m/>
    <n v="1"/>
    <x v="74"/>
    <x v="1"/>
  </r>
  <r>
    <x v="301"/>
    <x v="247"/>
    <n v="2"/>
    <m/>
    <n v="1"/>
    <x v="14"/>
    <x v="1"/>
  </r>
  <r>
    <x v="27"/>
    <x v="19"/>
    <n v="8"/>
    <m/>
    <n v="1"/>
    <x v="20"/>
    <x v="1"/>
  </r>
  <r>
    <x v="302"/>
    <x v="6"/>
    <n v="2"/>
    <m/>
    <n v="1"/>
    <x v="80"/>
    <x v="1"/>
  </r>
  <r>
    <x v="303"/>
    <x v="6"/>
    <n v="2"/>
    <m/>
    <n v="1"/>
    <x v="80"/>
    <x v="1"/>
  </r>
  <r>
    <x v="304"/>
    <x v="6"/>
    <n v="2"/>
    <m/>
    <n v="1"/>
    <x v="34"/>
    <x v="1"/>
  </r>
  <r>
    <x v="305"/>
    <x v="248"/>
    <n v="2"/>
    <m/>
    <n v="1"/>
    <x v="58"/>
    <x v="1"/>
  </r>
  <r>
    <x v="306"/>
    <x v="6"/>
    <n v="2"/>
    <m/>
    <n v="1"/>
    <x v="81"/>
    <x v="1"/>
  </r>
  <r>
    <x v="307"/>
    <x v="0"/>
    <n v="3"/>
    <m/>
    <n v="0"/>
    <x v="0"/>
    <x v="0"/>
  </r>
  <r>
    <x v="308"/>
    <x v="249"/>
    <n v="2"/>
    <m/>
    <n v="1"/>
    <x v="25"/>
    <x v="1"/>
  </r>
  <r>
    <x v="309"/>
    <x v="250"/>
    <n v="2"/>
    <m/>
    <n v="1"/>
    <x v="75"/>
    <x v="1"/>
  </r>
  <r>
    <x v="310"/>
    <x v="251"/>
    <n v="2"/>
    <m/>
    <n v="1"/>
    <x v="10"/>
    <x v="1"/>
  </r>
  <r>
    <x v="311"/>
    <x v="0"/>
    <n v="2"/>
    <m/>
    <n v="0"/>
    <x v="0"/>
    <x v="0"/>
  </r>
  <r>
    <x v="312"/>
    <x v="252"/>
    <n v="2"/>
    <m/>
    <n v="1"/>
    <x v="48"/>
    <x v="1"/>
  </r>
  <r>
    <x v="313"/>
    <x v="253"/>
    <n v="2"/>
    <m/>
    <n v="1"/>
    <x v="7"/>
    <x v="1"/>
  </r>
  <r>
    <x v="314"/>
    <x v="254"/>
    <n v="2"/>
    <m/>
    <n v="2"/>
    <x v="38"/>
    <x v="3"/>
  </r>
  <r>
    <x v="315"/>
    <x v="255"/>
    <n v="2"/>
    <m/>
    <n v="1"/>
    <x v="15"/>
    <x v="1"/>
  </r>
  <r>
    <x v="316"/>
    <x v="256"/>
    <n v="2"/>
    <m/>
    <n v="1"/>
    <x v="7"/>
    <x v="1"/>
  </r>
  <r>
    <x v="317"/>
    <x v="257"/>
    <n v="2"/>
    <m/>
    <n v="1"/>
    <x v="31"/>
    <x v="1"/>
  </r>
  <r>
    <x v="318"/>
    <x v="258"/>
    <n v="2"/>
    <m/>
    <n v="1"/>
    <x v="27"/>
    <x v="1"/>
  </r>
  <r>
    <x v="319"/>
    <x v="259"/>
    <n v="6"/>
    <m/>
    <n v="1"/>
    <x v="59"/>
    <x v="1"/>
  </r>
  <r>
    <x v="320"/>
    <x v="260"/>
    <n v="2"/>
    <m/>
    <n v="1"/>
    <x v="24"/>
    <x v="1"/>
  </r>
  <r>
    <x v="321"/>
    <x v="6"/>
    <n v="2"/>
    <m/>
    <n v="1"/>
    <x v="18"/>
    <x v="1"/>
  </r>
  <r>
    <x v="322"/>
    <x v="261"/>
    <n v="3"/>
    <m/>
    <n v="1"/>
    <x v="3"/>
    <x v="1"/>
  </r>
  <r>
    <x v="323"/>
    <x v="262"/>
    <n v="3"/>
    <m/>
    <n v="1"/>
    <x v="3"/>
    <x v="1"/>
  </r>
  <r>
    <x v="324"/>
    <x v="6"/>
    <n v="3"/>
    <m/>
    <n v="1"/>
    <x v="42"/>
    <x v="1"/>
  </r>
  <r>
    <x v="325"/>
    <x v="6"/>
    <n v="3"/>
    <m/>
    <n v="1"/>
    <x v="43"/>
    <x v="1"/>
  </r>
  <r>
    <x v="326"/>
    <x v="263"/>
    <n v="2"/>
    <m/>
    <n v="1"/>
    <x v="82"/>
    <x v="1"/>
  </r>
  <r>
    <x v="327"/>
    <x v="264"/>
    <n v="3"/>
    <m/>
    <n v="1"/>
    <x v="77"/>
    <x v="1"/>
  </r>
  <r>
    <x v="328"/>
    <x v="265"/>
    <n v="3"/>
    <m/>
    <n v="1"/>
    <x v="77"/>
    <x v="1"/>
  </r>
  <r>
    <x v="329"/>
    <x v="266"/>
    <n v="3"/>
    <m/>
    <n v="1"/>
    <x v="77"/>
    <x v="1"/>
  </r>
  <r>
    <x v="330"/>
    <x v="0"/>
    <n v="2"/>
    <m/>
    <n v="0"/>
    <x v="0"/>
    <x v="0"/>
  </r>
  <r>
    <x v="331"/>
    <x v="267"/>
    <n v="2"/>
    <m/>
    <n v="1"/>
    <x v="27"/>
    <x v="1"/>
  </r>
  <r>
    <x v="332"/>
    <x v="6"/>
    <n v="2"/>
    <m/>
    <n v="1"/>
    <x v="18"/>
    <x v="1"/>
  </r>
  <r>
    <x v="333"/>
    <x v="268"/>
    <n v="2"/>
    <m/>
    <n v="2"/>
    <x v="8"/>
    <x v="4"/>
  </r>
  <r>
    <x v="334"/>
    <x v="269"/>
    <n v="2"/>
    <m/>
    <n v="2"/>
    <x v="7"/>
    <x v="3"/>
  </r>
  <r>
    <x v="335"/>
    <x v="270"/>
    <n v="2"/>
    <m/>
    <n v="2"/>
    <x v="7"/>
    <x v="4"/>
  </r>
  <r>
    <x v="336"/>
    <x v="271"/>
    <n v="1"/>
    <m/>
    <n v="2"/>
    <x v="8"/>
    <x v="3"/>
  </r>
  <r>
    <x v="337"/>
    <x v="272"/>
    <n v="2"/>
    <m/>
    <n v="1"/>
    <x v="6"/>
    <x v="1"/>
  </r>
  <r>
    <x v="338"/>
    <x v="6"/>
    <n v="1"/>
    <m/>
    <n v="1"/>
    <x v="4"/>
    <x v="2"/>
  </r>
  <r>
    <x v="339"/>
    <x v="6"/>
    <n v="1"/>
    <m/>
    <n v="1"/>
    <x v="7"/>
    <x v="2"/>
  </r>
  <r>
    <x v="340"/>
    <x v="273"/>
    <n v="2"/>
    <m/>
    <n v="2"/>
    <x v="7"/>
    <x v="3"/>
  </r>
  <r>
    <x v="341"/>
    <x v="274"/>
    <n v="3"/>
    <m/>
    <n v="1"/>
    <x v="6"/>
    <x v="1"/>
  </r>
  <r>
    <x v="342"/>
    <x v="275"/>
    <n v="2"/>
    <m/>
    <n v="1"/>
    <x v="4"/>
    <x v="1"/>
  </r>
  <r>
    <x v="343"/>
    <x v="276"/>
    <n v="6"/>
    <m/>
    <n v="1"/>
    <x v="45"/>
    <x v="1"/>
  </r>
  <r>
    <x v="344"/>
    <x v="277"/>
    <n v="2"/>
    <m/>
    <n v="1"/>
    <x v="28"/>
    <x v="1"/>
  </r>
  <r>
    <x v="345"/>
    <x v="278"/>
    <n v="2"/>
    <m/>
    <n v="1"/>
    <x v="11"/>
    <x v="1"/>
  </r>
  <r>
    <x v="346"/>
    <x v="6"/>
    <n v="2"/>
    <m/>
    <n v="1"/>
    <x v="72"/>
    <x v="1"/>
  </r>
  <r>
    <x v="347"/>
    <x v="279"/>
    <n v="2"/>
    <m/>
    <n v="1"/>
    <x v="14"/>
    <x v="1"/>
  </r>
  <r>
    <x v="348"/>
    <x v="280"/>
    <n v="2"/>
    <m/>
    <n v="1"/>
    <x v="60"/>
    <x v="1"/>
  </r>
  <r>
    <x v="349"/>
    <x v="281"/>
    <n v="2"/>
    <m/>
    <n v="1"/>
    <x v="14"/>
    <x v="1"/>
  </r>
  <r>
    <x v="350"/>
    <x v="282"/>
    <n v="2"/>
    <m/>
    <n v="1"/>
    <x v="66"/>
    <x v="1"/>
  </r>
  <r>
    <x v="351"/>
    <x v="283"/>
    <n v="3"/>
    <m/>
    <n v="1"/>
    <x v="45"/>
    <x v="1"/>
  </r>
  <r>
    <x v="352"/>
    <x v="6"/>
    <n v="2"/>
    <m/>
    <n v="1"/>
    <x v="80"/>
    <x v="1"/>
  </r>
  <r>
    <x v="353"/>
    <x v="284"/>
    <n v="2"/>
    <m/>
    <n v="1"/>
    <x v="9"/>
    <x v="1"/>
  </r>
  <r>
    <x v="354"/>
    <x v="6"/>
    <n v="2"/>
    <m/>
    <n v="1"/>
    <x v="41"/>
    <x v="1"/>
  </r>
  <r>
    <x v="355"/>
    <x v="285"/>
    <n v="2"/>
    <m/>
    <n v="1"/>
    <x v="33"/>
    <x v="1"/>
  </r>
  <r>
    <x v="356"/>
    <x v="286"/>
    <n v="2"/>
    <m/>
    <n v="1"/>
    <x v="28"/>
    <x v="1"/>
  </r>
  <r>
    <x v="357"/>
    <x v="6"/>
    <n v="2"/>
    <m/>
    <n v="1"/>
    <x v="18"/>
    <x v="1"/>
  </r>
  <r>
    <x v="358"/>
    <x v="6"/>
    <n v="2"/>
    <m/>
    <n v="1"/>
    <x v="71"/>
    <x v="1"/>
  </r>
  <r>
    <x v="359"/>
    <x v="287"/>
    <n v="2"/>
    <m/>
    <n v="1"/>
    <x v="79"/>
    <x v="1"/>
  </r>
  <r>
    <x v="360"/>
    <x v="288"/>
    <n v="2"/>
    <m/>
    <n v="1"/>
    <x v="67"/>
    <x v="1"/>
  </r>
  <r>
    <x v="361"/>
    <x v="289"/>
    <n v="2"/>
    <m/>
    <n v="1"/>
    <x v="69"/>
    <x v="1"/>
  </r>
  <r>
    <x v="362"/>
    <x v="290"/>
    <m/>
    <m/>
    <m/>
    <x v="0"/>
    <x v="0"/>
  </r>
  <r>
    <x v="362"/>
    <x v="290"/>
    <m/>
    <m/>
    <m/>
    <x v="0"/>
    <x v="0"/>
  </r>
  <r>
    <x v="362"/>
    <x v="290"/>
    <m/>
    <m/>
    <m/>
    <x v="0"/>
    <x v="0"/>
  </r>
  <r>
    <x v="362"/>
    <x v="290"/>
    <m/>
    <m/>
    <m/>
    <x v="0"/>
    <x v="0"/>
  </r>
  <r>
    <x v="362"/>
    <x v="290"/>
    <m/>
    <m/>
    <m/>
    <x v="0"/>
    <x v="0"/>
  </r>
  <r>
    <x v="362"/>
    <x v="290"/>
    <m/>
    <m/>
    <m/>
    <x v="0"/>
    <x v="0"/>
  </r>
  <r>
    <x v="362"/>
    <x v="290"/>
    <m/>
    <m/>
    <m/>
    <x v="0"/>
    <x v="0"/>
  </r>
  <r>
    <x v="362"/>
    <x v="290"/>
    <m/>
    <m/>
    <m/>
    <x v="0"/>
    <x v="0"/>
  </r>
  <r>
    <x v="362"/>
    <x v="290"/>
    <m/>
    <m/>
    <m/>
    <x v="0"/>
    <x v="0"/>
  </r>
  <r>
    <x v="362"/>
    <x v="290"/>
    <m/>
    <m/>
    <m/>
    <x v="0"/>
    <x v="0"/>
  </r>
  <r>
    <x v="362"/>
    <x v="290"/>
    <m/>
    <m/>
    <m/>
    <x v="0"/>
    <x v="0"/>
  </r>
  <r>
    <x v="362"/>
    <x v="290"/>
    <m/>
    <m/>
    <m/>
    <x v="0"/>
    <x v="0"/>
  </r>
  <r>
    <x v="362"/>
    <x v="290"/>
    <m/>
    <m/>
    <m/>
    <x v="0"/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487">
  <r>
    <n v="78"/>
    <x v="0"/>
    <n v="232"/>
    <x v="0"/>
    <x v="0"/>
    <x v="0"/>
    <n v="6"/>
    <n v="6"/>
    <n v="6"/>
    <b v="1"/>
  </r>
  <r>
    <n v="78"/>
    <x v="0"/>
    <n v="232"/>
    <x v="0"/>
    <x v="0"/>
    <x v="0"/>
    <n v="6"/>
    <n v="6"/>
    <n v="6"/>
    <b v="1"/>
  </r>
  <r>
    <n v="78"/>
    <x v="0"/>
    <n v="232"/>
    <x v="0"/>
    <x v="0"/>
    <x v="0"/>
    <n v="6"/>
    <n v="6"/>
    <n v="6"/>
    <b v="1"/>
  </r>
  <r>
    <n v="259"/>
    <x v="1"/>
    <n v="232"/>
    <x v="0"/>
    <x v="1"/>
    <x v="0"/>
    <n v="9"/>
    <n v="9"/>
    <n v="9"/>
    <b v="1"/>
  </r>
  <r>
    <n v="1"/>
    <x v="2"/>
    <n v="8"/>
    <x v="1"/>
    <x v="2"/>
    <x v="1"/>
    <s v="8,52"/>
    <s v="25,56"/>
    <n v="25.56"/>
    <b v="1"/>
  </r>
  <r>
    <n v="2"/>
    <x v="3"/>
    <n v="371"/>
    <x v="2"/>
    <x v="3"/>
    <x v="2"/>
    <s v="12,6"/>
    <s v="25,2"/>
    <n v="25.2"/>
    <b v="1"/>
  </r>
  <r>
    <n v="3"/>
    <x v="4"/>
    <n v="76"/>
    <x v="3"/>
    <x v="4"/>
    <x v="1"/>
    <s v="14,4"/>
    <s v="43,2"/>
    <n v="43.2"/>
    <b v="1"/>
  </r>
  <r>
    <n v="4"/>
    <x v="5"/>
    <n v="125"/>
    <x v="4"/>
    <x v="5"/>
    <x v="2"/>
    <s v="10,8"/>
    <s v="21,6"/>
    <n v="21.6"/>
    <b v="1"/>
  </r>
  <r>
    <n v="5"/>
    <x v="6"/>
    <n v="215"/>
    <x v="5"/>
    <x v="6"/>
    <x v="1"/>
    <s v="21,96"/>
    <s v="65,88"/>
    <n v="65.88"/>
    <b v="1"/>
  </r>
  <r>
    <n v="6"/>
    <x v="7"/>
    <n v="483"/>
    <x v="6"/>
    <x v="7"/>
    <x v="3"/>
    <s v="4,56"/>
    <s v="36,48"/>
    <n v="36.479999999999997"/>
    <b v="1"/>
  </r>
  <r>
    <n v="7"/>
    <x v="8"/>
    <n v="76"/>
    <x v="3"/>
    <x v="8"/>
    <x v="1"/>
    <s v="7,08"/>
    <s v="21,24"/>
    <n v="21.240000000000002"/>
    <b v="1"/>
  </r>
  <r>
    <n v="8"/>
    <x v="9"/>
    <n v="61"/>
    <x v="7"/>
    <x v="9"/>
    <x v="2"/>
    <s v="14,4"/>
    <s v="28,8"/>
    <n v="28.8"/>
    <b v="1"/>
  </r>
  <r>
    <n v="9"/>
    <x v="10"/>
    <n v="78"/>
    <x v="8"/>
    <x v="10"/>
    <x v="2"/>
    <s v="11,88"/>
    <n v="6307909899"/>
    <n v="23.76"/>
    <b v="0"/>
  </r>
  <r>
    <n v="10"/>
    <x v="11"/>
    <n v="76"/>
    <x v="3"/>
    <x v="11"/>
    <x v="4"/>
    <s v="3,6"/>
    <s v="21,6"/>
    <n v="21.6"/>
    <b v="1"/>
  </r>
  <r>
    <n v="11"/>
    <x v="12"/>
    <n v="78"/>
    <x v="8"/>
    <x v="12"/>
    <x v="0"/>
    <s v="13,08"/>
    <s v="13,08"/>
    <n v="13.08"/>
    <b v="1"/>
  </r>
  <r>
    <n v="12"/>
    <x v="13"/>
    <n v="17"/>
    <x v="9"/>
    <x v="13"/>
    <x v="2"/>
    <s v="11,88"/>
    <s v="23,76"/>
    <n v="23.76"/>
    <b v="1"/>
  </r>
  <r>
    <n v="13"/>
    <x v="14"/>
    <n v="125"/>
    <x v="4"/>
    <x v="14"/>
    <x v="2"/>
    <s v="9,6"/>
    <s v="19,2"/>
    <n v="19.2"/>
    <b v="1"/>
  </r>
  <r>
    <n v="14"/>
    <x v="15"/>
    <n v="61"/>
    <x v="7"/>
    <x v="15"/>
    <x v="2"/>
    <s v="15,6"/>
    <s v="31,2"/>
    <n v="31.2"/>
    <b v="1"/>
  </r>
  <r>
    <n v="15"/>
    <x v="16"/>
    <n v="254"/>
    <x v="10"/>
    <x v="16"/>
    <x v="2"/>
    <s v="13,44"/>
    <s v="26,88"/>
    <n v="26.88"/>
    <b v="1"/>
  </r>
  <r>
    <n v="16"/>
    <x v="17"/>
    <n v="9"/>
    <x v="11"/>
    <x v="17"/>
    <x v="1"/>
    <s v="7,8"/>
    <s v="23,4"/>
    <n v="23.4"/>
    <b v="1"/>
  </r>
  <r>
    <n v="17"/>
    <x v="18"/>
    <n v="17"/>
    <x v="9"/>
    <x v="18"/>
    <x v="2"/>
    <s v="9,72"/>
    <s v="19,44"/>
    <n v="19.440000000000001"/>
    <b v="1"/>
  </r>
  <r>
    <n v="18"/>
    <x v="19"/>
    <n v="78"/>
    <x v="8"/>
    <x v="19"/>
    <x v="2"/>
    <s v="11,4"/>
    <s v="22,8"/>
    <n v="22.8"/>
    <b v="1"/>
  </r>
  <r>
    <n v="19"/>
    <x v="20"/>
    <n v="474"/>
    <x v="12"/>
    <x v="20"/>
    <x v="5"/>
    <s v="7,08"/>
    <s v="28,32"/>
    <n v="28.32"/>
    <b v="1"/>
  </r>
  <r>
    <n v="20"/>
    <x v="21"/>
    <n v="483"/>
    <x v="6"/>
    <x v="21"/>
    <x v="1"/>
    <s v="4,8"/>
    <s v="14,4"/>
    <n v="14.399999999999999"/>
    <b v="1"/>
  </r>
  <r>
    <n v="21"/>
    <x v="22"/>
    <n v="26"/>
    <x v="13"/>
    <x v="22"/>
    <x v="1"/>
    <s v="6,6"/>
    <s v="19,8"/>
    <n v="19.799999999999997"/>
    <b v="1"/>
  </r>
  <r>
    <n v="22"/>
    <x v="21"/>
    <n v="26"/>
    <x v="13"/>
    <x v="23"/>
    <x v="1"/>
    <s v="4,8"/>
    <s v="14,4"/>
    <n v="14.399999999999999"/>
    <b v="1"/>
  </r>
  <r>
    <n v="23"/>
    <x v="23"/>
    <n v="61"/>
    <x v="7"/>
    <x v="24"/>
    <x v="2"/>
    <s v="15,6"/>
    <s v="31,2"/>
    <n v="31.2"/>
    <b v="1"/>
  </r>
  <r>
    <n v="24"/>
    <x v="24"/>
    <n v="254"/>
    <x v="10"/>
    <x v="25"/>
    <x v="5"/>
    <s v="10,8"/>
    <s v="43,2"/>
    <n v="43.2"/>
    <b v="1"/>
  </r>
  <r>
    <n v="25"/>
    <x v="21"/>
    <n v="422"/>
    <x v="14"/>
    <x v="26"/>
    <x v="1"/>
    <s v="4,8"/>
    <s v="14,4"/>
    <n v="14.399999999999999"/>
    <b v="1"/>
  </r>
  <r>
    <n v="26"/>
    <x v="25"/>
    <n v="227"/>
    <x v="15"/>
    <x v="27"/>
    <x v="2"/>
    <s v="12,6"/>
    <s v="25,2"/>
    <n v="25.2"/>
    <b v="1"/>
  </r>
  <r>
    <n v="27"/>
    <x v="7"/>
    <n v="371"/>
    <x v="2"/>
    <x v="28"/>
    <x v="3"/>
    <s v="4,56"/>
    <s v="36,48"/>
    <n v="36.479999999999997"/>
    <b v="1"/>
  </r>
  <r>
    <n v="28"/>
    <x v="21"/>
    <n v="75"/>
    <x v="16"/>
    <x v="29"/>
    <x v="1"/>
    <s v="4,8"/>
    <s v="14,4"/>
    <n v="14.399999999999999"/>
    <b v="1"/>
  </r>
  <r>
    <n v="29"/>
    <x v="8"/>
    <n v="75"/>
    <x v="16"/>
    <x v="30"/>
    <x v="1"/>
    <s v="7,08"/>
    <s v="21,24"/>
    <n v="21.240000000000002"/>
    <b v="1"/>
  </r>
  <r>
    <n v="30"/>
    <x v="26"/>
    <n v="254"/>
    <x v="10"/>
    <x v="31"/>
    <x v="2"/>
    <s v="10,68"/>
    <s v="21,36"/>
    <n v="21.36"/>
    <b v="1"/>
  </r>
  <r>
    <n v="31"/>
    <x v="27"/>
    <n v="55"/>
    <x v="17"/>
    <x v="32"/>
    <x v="2"/>
    <s v="13,44"/>
    <s v="26,88"/>
    <n v="26.88"/>
    <b v="1"/>
  </r>
  <r>
    <n v="32"/>
    <x v="28"/>
    <n v="347"/>
    <x v="18"/>
    <x v="33"/>
    <x v="2"/>
    <s v="10,8"/>
    <s v="21,6"/>
    <n v="21.6"/>
    <b v="1"/>
  </r>
  <r>
    <n v="33"/>
    <x v="29"/>
    <n v="61"/>
    <x v="7"/>
    <x v="34"/>
    <x v="2"/>
    <s v="15,6"/>
    <s v="31,2"/>
    <n v="31.2"/>
    <b v="1"/>
  </r>
  <r>
    <n v="34"/>
    <x v="30"/>
    <n v="479"/>
    <x v="19"/>
    <x v="35"/>
    <x v="1"/>
    <s v="20,04"/>
    <s v="60,12"/>
    <n v="60.12"/>
    <b v="1"/>
  </r>
  <r>
    <n v="35"/>
    <x v="31"/>
    <n v="227"/>
    <x v="15"/>
    <x v="36"/>
    <x v="2"/>
    <s v="10,8"/>
    <s v="21,6"/>
    <n v="21.6"/>
    <b v="1"/>
  </r>
  <r>
    <n v="36"/>
    <x v="32"/>
    <n v="76"/>
    <x v="3"/>
    <x v="37"/>
    <x v="2"/>
    <s v="10,8"/>
    <s v="21,6"/>
    <n v="21.6"/>
    <b v="1"/>
  </r>
  <r>
    <n v="37"/>
    <x v="19"/>
    <n v="55"/>
    <x v="17"/>
    <x v="38"/>
    <x v="2"/>
    <s v="11,4"/>
    <s v="22,8"/>
    <n v="22.8"/>
    <b v="1"/>
  </r>
  <r>
    <n v="38"/>
    <x v="33"/>
    <n v="17"/>
    <x v="9"/>
    <x v="39"/>
    <x v="0"/>
    <s v="14,4"/>
    <s v="14,4"/>
    <n v="14.4"/>
    <b v="1"/>
  </r>
  <r>
    <n v="39"/>
    <x v="34"/>
    <n v="479"/>
    <x v="19"/>
    <x v="40"/>
    <x v="2"/>
    <s v="11,04"/>
    <s v="22,08"/>
    <n v="22.08"/>
    <b v="1"/>
  </r>
  <r>
    <n v="40"/>
    <x v="35"/>
    <n v="76"/>
    <x v="3"/>
    <x v="41"/>
    <x v="2"/>
    <s v="7,8"/>
    <s v="15,6"/>
    <n v="15.6"/>
    <b v="1"/>
  </r>
  <r>
    <n v="41"/>
    <x v="36"/>
    <n v="76"/>
    <x v="3"/>
    <x v="42"/>
    <x v="1"/>
    <s v="11,88"/>
    <s v="35,64"/>
    <n v="35.64"/>
    <b v="1"/>
  </r>
  <r>
    <n v="42"/>
    <x v="37"/>
    <n v="8"/>
    <x v="1"/>
    <x v="43"/>
    <x v="2"/>
    <s v="12,72"/>
    <s v="25,44"/>
    <n v="25.44"/>
    <b v="1"/>
  </r>
  <r>
    <n v="43"/>
    <x v="38"/>
    <n v="158"/>
    <x v="5"/>
    <x v="44"/>
    <x v="0"/>
    <s v="14,4"/>
    <s v="14,4"/>
    <n v="14.4"/>
    <b v="1"/>
  </r>
  <r>
    <n v="44"/>
    <x v="39"/>
    <n v="476"/>
    <x v="20"/>
    <x v="45"/>
    <x v="2"/>
    <s v="12,6"/>
    <s v="25,2"/>
    <n v="25.2"/>
    <b v="1"/>
  </r>
  <r>
    <n v="45"/>
    <x v="40"/>
    <n v="55"/>
    <x v="17"/>
    <x v="46"/>
    <x v="0"/>
    <s v="4,8"/>
    <s v="4,8"/>
    <n v="4.8"/>
    <b v="1"/>
  </r>
  <r>
    <n v="46"/>
    <x v="18"/>
    <n v="130"/>
    <x v="21"/>
    <x v="47"/>
    <x v="2"/>
    <s v="9,72"/>
    <s v="19,44"/>
    <n v="19.440000000000001"/>
    <b v="1"/>
  </r>
  <r>
    <n v="47"/>
    <x v="41"/>
    <n v="480"/>
    <x v="22"/>
    <x v="48"/>
    <x v="2"/>
    <s v="12,72"/>
    <s v="25,44"/>
    <n v="25.44"/>
    <b v="1"/>
  </r>
  <r>
    <n v="48"/>
    <x v="42"/>
    <n v="215"/>
    <x v="5"/>
    <x v="49"/>
    <x v="2"/>
    <s v="18,12"/>
    <s v="36,24"/>
    <n v="36.24"/>
    <b v="1"/>
  </r>
  <r>
    <n v="49"/>
    <x v="3"/>
    <n v="76"/>
    <x v="3"/>
    <x v="50"/>
    <x v="2"/>
    <s v="12,6"/>
    <s v="25,2"/>
    <n v="25.2"/>
    <b v="1"/>
  </r>
  <r>
    <n v="50"/>
    <x v="43"/>
    <n v="75"/>
    <x v="16"/>
    <x v="51"/>
    <x v="1"/>
    <n v="9"/>
    <n v="27"/>
    <n v="27"/>
    <b v="1"/>
  </r>
  <r>
    <n v="51"/>
    <x v="12"/>
    <n v="55"/>
    <x v="17"/>
    <x v="52"/>
    <x v="0"/>
    <s v="13,08"/>
    <s v="13,08"/>
    <n v="13.08"/>
    <b v="1"/>
  </r>
  <r>
    <n v="52"/>
    <x v="44"/>
    <n v="38"/>
    <x v="23"/>
    <x v="53"/>
    <x v="2"/>
    <s v="14,4"/>
    <s v="28,8"/>
    <n v="28.8"/>
    <b v="1"/>
  </r>
  <r>
    <n v="53"/>
    <x v="40"/>
    <n v="17"/>
    <x v="9"/>
    <x v="54"/>
    <x v="0"/>
    <s v="4,8"/>
    <s v="4,8"/>
    <n v="4.8"/>
    <b v="1"/>
  </r>
  <r>
    <n v="54"/>
    <x v="45"/>
    <n v="76"/>
    <x v="3"/>
    <x v="55"/>
    <x v="4"/>
    <s v="2,52"/>
    <s v="15,12"/>
    <n v="15.120000000000001"/>
    <b v="1"/>
  </r>
  <r>
    <n v="55"/>
    <x v="46"/>
    <n v="479"/>
    <x v="19"/>
    <x v="56"/>
    <x v="5"/>
    <s v="12,72"/>
    <s v="50,88"/>
    <n v="50.88"/>
    <b v="1"/>
  </r>
  <r>
    <n v="56"/>
    <x v="47"/>
    <n v="36"/>
    <x v="24"/>
    <x v="57"/>
    <x v="2"/>
    <s v="10,8"/>
    <s v="21,6"/>
    <n v="21.6"/>
    <b v="1"/>
  </r>
  <r>
    <n v="57"/>
    <x v="48"/>
    <n v="479"/>
    <x v="19"/>
    <x v="58"/>
    <x v="4"/>
    <s v="4,56"/>
    <s v="27,36"/>
    <n v="27.36"/>
    <b v="1"/>
  </r>
  <r>
    <n v="58"/>
    <x v="49"/>
    <n v="254"/>
    <x v="10"/>
    <x v="59"/>
    <x v="1"/>
    <s v="10,8"/>
    <s v="32,4"/>
    <n v="32.400000000000006"/>
    <b v="1"/>
  </r>
  <r>
    <n v="59"/>
    <x v="50"/>
    <n v="76"/>
    <x v="3"/>
    <x v="60"/>
    <x v="5"/>
    <s v="11,88"/>
    <s v="47,52"/>
    <n v="47.52"/>
    <b v="1"/>
  </r>
  <r>
    <n v="60"/>
    <x v="51"/>
    <n v="17"/>
    <x v="9"/>
    <x v="61"/>
    <x v="2"/>
    <s v="12,72"/>
    <s v="25,44"/>
    <n v="25.44"/>
    <b v="1"/>
  </r>
  <r>
    <n v="61"/>
    <x v="52"/>
    <n v="422"/>
    <x v="14"/>
    <x v="62"/>
    <x v="2"/>
    <s v="14,4"/>
    <s v="28,8"/>
    <n v="28.8"/>
    <b v="1"/>
  </r>
  <r>
    <n v="62"/>
    <x v="53"/>
    <n v="63"/>
    <x v="25"/>
    <x v="63"/>
    <x v="4"/>
    <s v="1,92"/>
    <s v="11,52"/>
    <n v="11.52"/>
    <b v="1"/>
  </r>
  <r>
    <n v="63"/>
    <x v="54"/>
    <n v="36"/>
    <x v="24"/>
    <x v="64"/>
    <x v="2"/>
    <s v="11,88"/>
    <s v="23,76"/>
    <n v="23.76"/>
    <b v="1"/>
  </r>
  <r>
    <n v="64"/>
    <x v="33"/>
    <n v="347"/>
    <x v="18"/>
    <x v="65"/>
    <x v="1"/>
    <s v="14,4"/>
    <s v="43,2"/>
    <n v="43.2"/>
    <b v="1"/>
  </r>
  <r>
    <n v="65"/>
    <x v="55"/>
    <n v="227"/>
    <x v="15"/>
    <x v="66"/>
    <x v="2"/>
    <s v="14,4"/>
    <s v="28,8"/>
    <n v="28.8"/>
    <b v="1"/>
  </r>
  <r>
    <n v="66"/>
    <x v="56"/>
    <n v="470"/>
    <x v="26"/>
    <x v="67"/>
    <x v="2"/>
    <s v="13,44"/>
    <s v="26,88"/>
    <n v="26.88"/>
    <b v="1"/>
  </r>
  <r>
    <n v="67"/>
    <x v="57"/>
    <n v="17"/>
    <x v="9"/>
    <x v="68"/>
    <x v="2"/>
    <s v="14,4"/>
    <s v="28,8"/>
    <n v="28.8"/>
    <b v="1"/>
  </r>
  <r>
    <n v="68"/>
    <x v="58"/>
    <n v="55"/>
    <x v="17"/>
    <x v="69"/>
    <x v="1"/>
    <s v="29,4"/>
    <s v="88,2"/>
    <n v="88.199999999999989"/>
    <b v="1"/>
  </r>
  <r>
    <n v="69"/>
    <x v="12"/>
    <n v="75"/>
    <x v="16"/>
    <x v="70"/>
    <x v="2"/>
    <s v="13,08"/>
    <s v="26,16"/>
    <n v="26.16"/>
    <b v="1"/>
  </r>
  <r>
    <n v="70"/>
    <x v="44"/>
    <n v="483"/>
    <x v="6"/>
    <x v="71"/>
    <x v="1"/>
    <s v="14,4"/>
    <s v="43,2"/>
    <n v="43.2"/>
    <b v="1"/>
  </r>
  <r>
    <n v="71"/>
    <x v="11"/>
    <n v="371"/>
    <x v="2"/>
    <x v="72"/>
    <x v="4"/>
    <s v="3,6"/>
    <s v="21,6"/>
    <n v="21.6"/>
    <b v="1"/>
  </r>
  <r>
    <n v="72"/>
    <x v="59"/>
    <n v="36"/>
    <x v="24"/>
    <x v="73"/>
    <x v="2"/>
    <s v="11,88"/>
    <s v="23,76"/>
    <n v="23.76"/>
    <b v="1"/>
  </r>
  <r>
    <n v="73"/>
    <x v="17"/>
    <n v="36"/>
    <x v="24"/>
    <x v="74"/>
    <x v="1"/>
    <s v="7,8"/>
    <s v="23,4"/>
    <n v="23.4"/>
    <b v="1"/>
  </r>
  <r>
    <n v="74"/>
    <x v="11"/>
    <n v="479"/>
    <x v="19"/>
    <x v="75"/>
    <x v="4"/>
    <s v="3,6"/>
    <s v="21,6"/>
    <n v="21.6"/>
    <b v="1"/>
  </r>
  <r>
    <n v="75"/>
    <x v="60"/>
    <n v="134"/>
    <x v="27"/>
    <x v="76"/>
    <x v="1"/>
    <s v="9,36"/>
    <s v="28,08"/>
    <n v="28.08"/>
    <b v="1"/>
  </r>
  <r>
    <n v="76"/>
    <x v="61"/>
    <n v="55"/>
    <x v="17"/>
    <x v="77"/>
    <x v="2"/>
    <s v="10,44"/>
    <s v="20,88"/>
    <n v="20.88"/>
    <b v="1"/>
  </r>
  <r>
    <n v="77"/>
    <x v="4"/>
    <n v="36"/>
    <x v="24"/>
    <x v="78"/>
    <x v="1"/>
    <s v="14,4"/>
    <s v="43,2"/>
    <n v="43.2"/>
    <b v="1"/>
  </r>
  <r>
    <n v="79"/>
    <x v="41"/>
    <n v="481"/>
    <x v="28"/>
    <x v="79"/>
    <x v="2"/>
    <s v="12,72"/>
    <s v="25,44"/>
    <n v="25.44"/>
    <b v="1"/>
  </r>
  <r>
    <n v="80"/>
    <x v="44"/>
    <n v="479"/>
    <x v="19"/>
    <x v="80"/>
    <x v="1"/>
    <s v="14,4"/>
    <s v="43,2"/>
    <n v="43.2"/>
    <b v="1"/>
  </r>
  <r>
    <n v="81"/>
    <x v="36"/>
    <n v="371"/>
    <x v="2"/>
    <x v="81"/>
    <x v="1"/>
    <s v="11,88"/>
    <s v="35,64"/>
    <n v="35.64"/>
    <b v="1"/>
  </r>
  <r>
    <n v="82"/>
    <x v="62"/>
    <n v="17"/>
    <x v="9"/>
    <x v="82"/>
    <x v="1"/>
    <n v="9"/>
    <n v="27"/>
    <n v="27"/>
    <b v="1"/>
  </r>
  <r>
    <n v="83"/>
    <x v="56"/>
    <n v="471"/>
    <x v="29"/>
    <x v="83"/>
    <x v="2"/>
    <s v="13,44"/>
    <s v="26,88"/>
    <n v="26.88"/>
    <b v="1"/>
  </r>
  <r>
    <n v="84"/>
    <x v="45"/>
    <n v="36"/>
    <x v="24"/>
    <x v="84"/>
    <x v="4"/>
    <s v="2,52"/>
    <s v="15,12"/>
    <n v="15.120000000000001"/>
    <b v="1"/>
  </r>
  <r>
    <n v="85"/>
    <x v="27"/>
    <n v="76"/>
    <x v="3"/>
    <x v="85"/>
    <x v="2"/>
    <s v="13,44"/>
    <s v="26,88"/>
    <n v="26.88"/>
    <b v="1"/>
  </r>
  <r>
    <n v="86"/>
    <x v="63"/>
    <n v="497"/>
    <x v="30"/>
    <x v="86"/>
    <x v="1"/>
    <s v="18,96"/>
    <s v="56,88"/>
    <n v="56.88"/>
    <b v="1"/>
  </r>
  <r>
    <n v="87"/>
    <x v="3"/>
    <n v="78"/>
    <x v="8"/>
    <x v="87"/>
    <x v="2"/>
    <s v="12,6"/>
    <s v="25,2"/>
    <n v="25.2"/>
    <b v="1"/>
  </r>
  <r>
    <n v="88"/>
    <x v="64"/>
    <n v="36"/>
    <x v="24"/>
    <x v="88"/>
    <x v="2"/>
    <s v="13,44"/>
    <s v="26,88"/>
    <n v="26.88"/>
    <b v="1"/>
  </r>
  <r>
    <n v="89"/>
    <x v="7"/>
    <n v="422"/>
    <x v="14"/>
    <x v="89"/>
    <x v="4"/>
    <s v="4,56"/>
    <s v="27,36"/>
    <n v="27.36"/>
    <b v="1"/>
  </r>
  <r>
    <n v="90"/>
    <x v="46"/>
    <n v="55"/>
    <x v="17"/>
    <x v="90"/>
    <x v="5"/>
    <s v="12,72"/>
    <s v="50,88"/>
    <n v="50.88"/>
    <b v="1"/>
  </r>
  <r>
    <n v="91"/>
    <x v="12"/>
    <n v="26"/>
    <x v="13"/>
    <x v="91"/>
    <x v="2"/>
    <s v="13,08"/>
    <s v="26,16"/>
    <n v="26.16"/>
    <b v="1"/>
  </r>
  <r>
    <n v="92"/>
    <x v="65"/>
    <n v="55"/>
    <x v="17"/>
    <x v="92"/>
    <x v="4"/>
    <n v="9"/>
    <n v="54"/>
    <n v="54"/>
    <b v="1"/>
  </r>
  <r>
    <n v="93"/>
    <x v="66"/>
    <n v="227"/>
    <x v="15"/>
    <x v="93"/>
    <x v="5"/>
    <s v="18,12"/>
    <s v="72,48"/>
    <n v="72.48"/>
    <b v="1"/>
  </r>
  <r>
    <n v="94"/>
    <x v="67"/>
    <n v="36"/>
    <x v="24"/>
    <x v="94"/>
    <x v="1"/>
    <s v="13,32"/>
    <s v="39,96"/>
    <n v="39.96"/>
    <b v="1"/>
  </r>
  <r>
    <n v="95"/>
    <x v="68"/>
    <n v="72"/>
    <x v="31"/>
    <x v="95"/>
    <x v="2"/>
    <s v="29,4"/>
    <s v="58,8"/>
    <n v="58.8"/>
    <b v="1"/>
  </r>
  <r>
    <n v="96"/>
    <x v="38"/>
    <n v="38"/>
    <x v="23"/>
    <x v="96"/>
    <x v="2"/>
    <s v="14,4"/>
    <s v="28,8"/>
    <n v="28.8"/>
    <b v="1"/>
  </r>
  <r>
    <n v="97"/>
    <x v="69"/>
    <n v="8"/>
    <x v="1"/>
    <x v="97"/>
    <x v="2"/>
    <s v="10,8"/>
    <s v="21,6"/>
    <n v="21.6"/>
    <b v="1"/>
  </r>
  <r>
    <n v="98"/>
    <x v="70"/>
    <n v="130"/>
    <x v="21"/>
    <x v="98"/>
    <x v="1"/>
    <s v="8,4"/>
    <s v="25,2"/>
    <n v="25.200000000000003"/>
    <b v="1"/>
  </r>
  <r>
    <n v="99"/>
    <x v="71"/>
    <n v="55"/>
    <x v="17"/>
    <x v="99"/>
    <x v="1"/>
    <s v="8,4"/>
    <s v="25,2"/>
    <n v="25.200000000000003"/>
    <b v="1"/>
  </r>
  <r>
    <n v="100"/>
    <x v="72"/>
    <n v="55"/>
    <x v="17"/>
    <x v="100"/>
    <x v="6"/>
    <s v="12,6"/>
    <s v="226,8"/>
    <n v="226.79999999999998"/>
    <b v="1"/>
  </r>
  <r>
    <n v="101"/>
    <x v="52"/>
    <n v="76"/>
    <x v="3"/>
    <x v="101"/>
    <x v="2"/>
    <s v="14,4"/>
    <s v="28,8"/>
    <n v="28.8"/>
    <b v="1"/>
  </r>
  <r>
    <n v="102"/>
    <x v="50"/>
    <n v="422"/>
    <x v="14"/>
    <x v="102"/>
    <x v="5"/>
    <s v="11,88"/>
    <s v="47,52"/>
    <n v="47.52"/>
    <b v="1"/>
  </r>
  <r>
    <n v="103"/>
    <x v="73"/>
    <n v="347"/>
    <x v="18"/>
    <x v="103"/>
    <x v="2"/>
    <s v="9,78"/>
    <s v="19,56"/>
    <n v="19.559999999999999"/>
    <b v="1"/>
  </r>
  <r>
    <n v="104"/>
    <x v="36"/>
    <n v="55"/>
    <x v="17"/>
    <x v="104"/>
    <x v="2"/>
    <s v="11,88"/>
    <s v="23,76"/>
    <n v="23.76"/>
    <b v="1"/>
  </r>
  <r>
    <n v="105"/>
    <x v="33"/>
    <n v="38"/>
    <x v="23"/>
    <x v="105"/>
    <x v="1"/>
    <s v="14,4"/>
    <s v="43,2"/>
    <n v="43.2"/>
    <b v="1"/>
  </r>
  <r>
    <n v="106"/>
    <x v="74"/>
    <n v="72"/>
    <x v="31"/>
    <x v="106"/>
    <x v="2"/>
    <s v="12,72"/>
    <s v="25,44"/>
    <n v="25.44"/>
    <b v="1"/>
  </r>
  <r>
    <n v="107"/>
    <x v="12"/>
    <n v="17"/>
    <x v="9"/>
    <x v="107"/>
    <x v="0"/>
    <s v="13,08"/>
    <s v="13,08"/>
    <n v="13.08"/>
    <b v="1"/>
  </r>
  <r>
    <n v="108"/>
    <x v="3"/>
    <n v="26"/>
    <x v="13"/>
    <x v="108"/>
    <x v="2"/>
    <s v="12,6"/>
    <s v="25,2"/>
    <n v="25.2"/>
    <b v="1"/>
  </r>
  <r>
    <n v="109"/>
    <x v="75"/>
    <n v="347"/>
    <x v="18"/>
    <x v="109"/>
    <x v="2"/>
    <s v="7,8"/>
    <s v="15,6"/>
    <n v="15.6"/>
    <b v="1"/>
  </r>
  <r>
    <n v="110"/>
    <x v="73"/>
    <n v="75"/>
    <x v="16"/>
    <x v="110"/>
    <x v="2"/>
    <s v="9,78"/>
    <s v="19,56"/>
    <n v="19.559999999999999"/>
    <b v="1"/>
  </r>
  <r>
    <n v="111"/>
    <x v="37"/>
    <n v="55"/>
    <x v="17"/>
    <x v="111"/>
    <x v="2"/>
    <s v="12,72"/>
    <s v="25,44"/>
    <n v="25.44"/>
    <b v="1"/>
  </r>
  <r>
    <n v="112"/>
    <x v="34"/>
    <n v="75"/>
    <x v="16"/>
    <x v="112"/>
    <x v="2"/>
    <s v="11,04"/>
    <s v="22,08"/>
    <n v="22.08"/>
    <b v="1"/>
  </r>
  <r>
    <n v="113"/>
    <x v="76"/>
    <n v="75"/>
    <x v="16"/>
    <x v="113"/>
    <x v="4"/>
    <n v="3"/>
    <n v="18"/>
    <n v="18"/>
    <b v="1"/>
  </r>
  <r>
    <n v="114"/>
    <x v="77"/>
    <n v="371"/>
    <x v="2"/>
    <x v="114"/>
    <x v="1"/>
    <s v="9,6"/>
    <s v="28,8"/>
    <n v="28.799999999999997"/>
    <b v="1"/>
  </r>
  <r>
    <n v="115"/>
    <x v="44"/>
    <n v="347"/>
    <x v="18"/>
    <x v="115"/>
    <x v="5"/>
    <s v="14,4"/>
    <s v="57,6"/>
    <n v="57.6"/>
    <b v="1"/>
  </r>
  <r>
    <n v="116"/>
    <x v="51"/>
    <n v="76"/>
    <x v="3"/>
    <x v="116"/>
    <x v="2"/>
    <s v="12,72"/>
    <s v="25,44"/>
    <n v="25.44"/>
    <b v="1"/>
  </r>
  <r>
    <n v="117"/>
    <x v="78"/>
    <n v="8"/>
    <x v="1"/>
    <x v="117"/>
    <x v="2"/>
    <s v="12,72"/>
    <s v="25,44"/>
    <n v="25.44"/>
    <b v="1"/>
  </r>
  <r>
    <n v="118"/>
    <x v="79"/>
    <n v="55"/>
    <x v="17"/>
    <x v="118"/>
    <x v="7"/>
    <s v="9,6"/>
    <n v="96"/>
    <n v="96"/>
    <b v="1"/>
  </r>
  <r>
    <n v="119"/>
    <x v="80"/>
    <n v="130"/>
    <x v="21"/>
    <x v="119"/>
    <x v="1"/>
    <n v="9"/>
    <n v="27"/>
    <n v="27"/>
    <b v="1"/>
  </r>
  <r>
    <n v="120"/>
    <x v="63"/>
    <n v="498"/>
    <x v="32"/>
    <x v="120"/>
    <x v="1"/>
    <s v="18,96"/>
    <s v="56,88"/>
    <n v="56.88"/>
    <b v="1"/>
  </r>
  <r>
    <n v="121"/>
    <x v="81"/>
    <n v="55"/>
    <x v="17"/>
    <x v="121"/>
    <x v="3"/>
    <s v="7,2"/>
    <s v="57,6"/>
    <n v="57.6"/>
    <b v="1"/>
  </r>
  <r>
    <n v="122"/>
    <x v="82"/>
    <n v="473"/>
    <x v="33"/>
    <x v="122"/>
    <x v="2"/>
    <s v="18,12"/>
    <s v="36,24"/>
    <n v="36.24"/>
    <b v="1"/>
  </r>
  <r>
    <n v="123"/>
    <x v="83"/>
    <n v="61"/>
    <x v="7"/>
    <x v="123"/>
    <x v="2"/>
    <s v="18,24"/>
    <s v="36,48"/>
    <n v="36.479999999999997"/>
    <b v="1"/>
  </r>
  <r>
    <n v="124"/>
    <x v="84"/>
    <n v="75"/>
    <x v="16"/>
    <x v="124"/>
    <x v="2"/>
    <s v="9,36"/>
    <s v="18,72"/>
    <n v="18.72"/>
    <b v="1"/>
  </r>
  <r>
    <n v="125"/>
    <x v="85"/>
    <n v="480"/>
    <x v="22"/>
    <x v="125"/>
    <x v="2"/>
    <s v="10,8"/>
    <s v="21,6"/>
    <n v="21.6"/>
    <b v="1"/>
  </r>
  <r>
    <n v="126"/>
    <x v="86"/>
    <n v="479"/>
    <x v="19"/>
    <x v="126"/>
    <x v="1"/>
    <s v="19,32"/>
    <s v="57,96"/>
    <n v="57.96"/>
    <b v="1"/>
  </r>
  <r>
    <n v="127"/>
    <x v="44"/>
    <n v="78"/>
    <x v="8"/>
    <x v="127"/>
    <x v="0"/>
    <s v="14,4"/>
    <s v="14,4"/>
    <n v="14.4"/>
    <b v="1"/>
  </r>
  <r>
    <n v="128"/>
    <x v="87"/>
    <n v="476"/>
    <x v="20"/>
    <x v="128"/>
    <x v="2"/>
    <s v="14,4"/>
    <s v="28,8"/>
    <n v="28.8"/>
    <b v="1"/>
  </r>
  <r>
    <n v="129"/>
    <x v="8"/>
    <n v="422"/>
    <x v="14"/>
    <x v="129"/>
    <x v="1"/>
    <s v="7,08"/>
    <s v="21,24"/>
    <n v="21.240000000000002"/>
    <b v="1"/>
  </r>
  <r>
    <n v="130"/>
    <x v="3"/>
    <n v="55"/>
    <x v="17"/>
    <x v="130"/>
    <x v="2"/>
    <s v="12,6"/>
    <s v="25,2"/>
    <n v="25.2"/>
    <b v="1"/>
  </r>
  <r>
    <n v="131"/>
    <x v="75"/>
    <n v="130"/>
    <x v="21"/>
    <x v="131"/>
    <x v="1"/>
    <s v="7,8"/>
    <s v="23,4"/>
    <n v="23.4"/>
    <b v="1"/>
  </r>
  <r>
    <n v="132"/>
    <x v="12"/>
    <n v="158"/>
    <x v="5"/>
    <x v="132"/>
    <x v="0"/>
    <s v="13,08"/>
    <s v="13,08"/>
    <n v="13.08"/>
    <b v="1"/>
  </r>
  <r>
    <n v="133"/>
    <x v="48"/>
    <n v="479"/>
    <x v="19"/>
    <x v="58"/>
    <x v="2"/>
    <s v="4,56"/>
    <s v="9,12"/>
    <n v="9.1199999999999992"/>
    <b v="1"/>
  </r>
  <r>
    <n v="134"/>
    <x v="88"/>
    <n v="36"/>
    <x v="24"/>
    <x v="133"/>
    <x v="2"/>
    <s v="10,8"/>
    <s v="21,6"/>
    <n v="21.6"/>
    <b v="1"/>
  </r>
  <r>
    <n v="135"/>
    <x v="46"/>
    <n v="221"/>
    <x v="34"/>
    <x v="134"/>
    <x v="4"/>
    <s v="12,72"/>
    <s v="76,32"/>
    <n v="76.320000000000007"/>
    <b v="1"/>
  </r>
  <r>
    <n v="136"/>
    <x v="89"/>
    <n v="347"/>
    <x v="18"/>
    <x v="135"/>
    <x v="1"/>
    <s v="8,4"/>
    <s v="25,2"/>
    <n v="25.200000000000003"/>
    <b v="1"/>
  </r>
  <r>
    <n v="137"/>
    <x v="90"/>
    <n v="479"/>
    <x v="19"/>
    <x v="136"/>
    <x v="2"/>
    <s v="19,32"/>
    <s v="38,64"/>
    <n v="38.64"/>
    <b v="1"/>
  </r>
  <r>
    <n v="138"/>
    <x v="33"/>
    <n v="71"/>
    <x v="35"/>
    <x v="137"/>
    <x v="0"/>
    <s v="14,4"/>
    <s v="14,4"/>
    <n v="14.4"/>
    <b v="1"/>
  </r>
  <r>
    <n v="139"/>
    <x v="91"/>
    <n v="371"/>
    <x v="2"/>
    <x v="138"/>
    <x v="2"/>
    <s v="18,12"/>
    <s v="36,24"/>
    <n v="36.24"/>
    <b v="1"/>
  </r>
  <r>
    <n v="140"/>
    <x v="22"/>
    <n v="347"/>
    <x v="18"/>
    <x v="139"/>
    <x v="1"/>
    <s v="6,6"/>
    <s v="19,8"/>
    <n v="19.799999999999997"/>
    <b v="1"/>
  </r>
  <r>
    <n v="141"/>
    <x v="92"/>
    <n v="254"/>
    <x v="10"/>
    <x v="140"/>
    <x v="1"/>
    <s v="10,68"/>
    <s v="32,04"/>
    <n v="32.04"/>
    <b v="1"/>
  </r>
  <r>
    <n v="142"/>
    <x v="42"/>
    <n v="130"/>
    <x v="21"/>
    <x v="141"/>
    <x v="2"/>
    <s v="18,12"/>
    <s v="36,24"/>
    <n v="36.24"/>
    <b v="1"/>
  </r>
  <r>
    <n v="143"/>
    <x v="46"/>
    <n v="17"/>
    <x v="9"/>
    <x v="142"/>
    <x v="5"/>
    <s v="12,72"/>
    <s v="50,88"/>
    <n v="50.88"/>
    <b v="1"/>
  </r>
  <r>
    <n v="144"/>
    <x v="46"/>
    <n v="483"/>
    <x v="6"/>
    <x v="143"/>
    <x v="5"/>
    <s v="12,72"/>
    <s v="50,88"/>
    <n v="50.88"/>
    <b v="1"/>
  </r>
  <r>
    <n v="145"/>
    <x v="33"/>
    <n v="75"/>
    <x v="16"/>
    <x v="144"/>
    <x v="1"/>
    <s v="14,4"/>
    <s v="43,2"/>
    <n v="43.2"/>
    <b v="1"/>
  </r>
  <r>
    <n v="146"/>
    <x v="93"/>
    <n v="227"/>
    <x v="15"/>
    <x v="145"/>
    <x v="2"/>
    <s v="10,8"/>
    <s v="21,6"/>
    <n v="21.6"/>
    <b v="1"/>
  </r>
  <r>
    <n v="147"/>
    <x v="94"/>
    <n v="408"/>
    <x v="36"/>
    <x v="146"/>
    <x v="2"/>
    <s v="29,88"/>
    <s v="59,76"/>
    <n v="59.76"/>
    <b v="1"/>
  </r>
  <r>
    <n v="148"/>
    <x v="95"/>
    <n v="55"/>
    <x v="17"/>
    <x v="147"/>
    <x v="1"/>
    <s v="8,4"/>
    <s v="25,2"/>
    <n v="25.200000000000003"/>
    <b v="1"/>
  </r>
  <r>
    <n v="149"/>
    <x v="96"/>
    <n v="347"/>
    <x v="18"/>
    <x v="148"/>
    <x v="2"/>
    <s v="13,92"/>
    <s v="27,84"/>
    <n v="27.84"/>
    <b v="1"/>
  </r>
  <r>
    <n v="150"/>
    <x v="6"/>
    <n v="75"/>
    <x v="16"/>
    <x v="149"/>
    <x v="1"/>
    <s v="21,96"/>
    <s v="65,88"/>
    <n v="65.88"/>
    <b v="1"/>
  </r>
  <r>
    <n v="151"/>
    <x v="10"/>
    <n v="55"/>
    <x v="17"/>
    <x v="150"/>
    <x v="2"/>
    <s v="11,88"/>
    <s v="23,76"/>
    <n v="23.76"/>
    <b v="1"/>
  </r>
  <r>
    <n v="152"/>
    <x v="7"/>
    <n v="36"/>
    <x v="24"/>
    <x v="151"/>
    <x v="3"/>
    <s v="4,56"/>
    <s v="36,48"/>
    <n v="36.479999999999997"/>
    <b v="1"/>
  </r>
  <r>
    <n v="153"/>
    <x v="33"/>
    <n v="76"/>
    <x v="3"/>
    <x v="152"/>
    <x v="1"/>
    <s v="14,4"/>
    <s v="43,2"/>
    <n v="43.2"/>
    <b v="1"/>
  </r>
  <r>
    <n v="154"/>
    <x v="97"/>
    <n v="474"/>
    <x v="12"/>
    <x v="153"/>
    <x v="2"/>
    <s v="15,6"/>
    <s v="31,2"/>
    <n v="31.2"/>
    <b v="1"/>
  </r>
  <r>
    <n v="155"/>
    <x v="98"/>
    <n v="215"/>
    <x v="5"/>
    <x v="154"/>
    <x v="1"/>
    <s v="16,32"/>
    <s v="48,96"/>
    <n v="48.96"/>
    <b v="1"/>
  </r>
  <r>
    <n v="156"/>
    <x v="99"/>
    <n v="55"/>
    <x v="17"/>
    <x v="155"/>
    <x v="2"/>
    <s v="15,6"/>
    <s v="31,2"/>
    <n v="31.2"/>
    <b v="1"/>
  </r>
  <r>
    <n v="157"/>
    <x v="44"/>
    <n v="484"/>
    <x v="37"/>
    <x v="156"/>
    <x v="1"/>
    <s v="14,4"/>
    <s v="43,2"/>
    <n v="43.2"/>
    <b v="1"/>
  </r>
  <r>
    <n v="158"/>
    <x v="53"/>
    <n v="60"/>
    <x v="17"/>
    <x v="63"/>
    <x v="4"/>
    <s v="1,92"/>
    <s v="11,52"/>
    <n v="11.52"/>
    <b v="1"/>
  </r>
  <r>
    <n v="159"/>
    <x v="22"/>
    <n v="75"/>
    <x v="16"/>
    <x v="157"/>
    <x v="1"/>
    <s v="6,6"/>
    <s v="19,8"/>
    <n v="19.799999999999997"/>
    <b v="1"/>
  </r>
  <r>
    <n v="160"/>
    <x v="100"/>
    <n v="241"/>
    <x v="38"/>
    <x v="158"/>
    <x v="5"/>
    <n v="18"/>
    <n v="72"/>
    <n v="72"/>
    <b v="1"/>
  </r>
  <r>
    <n v="161"/>
    <x v="101"/>
    <n v="227"/>
    <x v="15"/>
    <x v="159"/>
    <x v="2"/>
    <s v="10,8"/>
    <s v="21,6"/>
    <n v="21.6"/>
    <b v="1"/>
  </r>
  <r>
    <n v="162"/>
    <x v="102"/>
    <n v="54"/>
    <x v="39"/>
    <x v="160"/>
    <x v="4"/>
    <s v="10,2"/>
    <s v="61,2"/>
    <n v="61.199999999999996"/>
    <b v="1"/>
  </r>
  <r>
    <n v="163"/>
    <x v="77"/>
    <n v="76"/>
    <x v="3"/>
    <x v="161"/>
    <x v="1"/>
    <s v="9,6"/>
    <s v="28,8"/>
    <n v="28.799999999999997"/>
    <b v="1"/>
  </r>
  <r>
    <n v="164"/>
    <x v="43"/>
    <n v="130"/>
    <x v="21"/>
    <x v="162"/>
    <x v="1"/>
    <n v="9"/>
    <n v="27"/>
    <n v="27"/>
    <b v="1"/>
  </r>
  <r>
    <n v="165"/>
    <x v="40"/>
    <n v="347"/>
    <x v="18"/>
    <x v="163"/>
    <x v="1"/>
    <s v="4,8"/>
    <s v="14,4"/>
    <n v="14.399999999999999"/>
    <b v="1"/>
  </r>
  <r>
    <n v="166"/>
    <x v="11"/>
    <n v="17"/>
    <x v="9"/>
    <x v="164"/>
    <x v="5"/>
    <s v="3,6"/>
    <s v="14,4"/>
    <n v="14.4"/>
    <b v="1"/>
  </r>
  <r>
    <n v="167"/>
    <x v="32"/>
    <n v="130"/>
    <x v="21"/>
    <x v="165"/>
    <x v="2"/>
    <s v="10,8"/>
    <s v="21,6"/>
    <n v="21.6"/>
    <b v="1"/>
  </r>
  <r>
    <n v="168"/>
    <x v="8"/>
    <n v="130"/>
    <x v="21"/>
    <x v="166"/>
    <x v="1"/>
    <s v="7,08"/>
    <s v="21,24"/>
    <n v="21.240000000000002"/>
    <b v="1"/>
  </r>
  <r>
    <n v="169"/>
    <x v="19"/>
    <n v="8"/>
    <x v="1"/>
    <x v="167"/>
    <x v="2"/>
    <s v="11,4"/>
    <s v="22,8"/>
    <n v="22.8"/>
    <b v="1"/>
  </r>
  <r>
    <n v="170"/>
    <x v="56"/>
    <n v="472"/>
    <x v="40"/>
    <x v="168"/>
    <x v="1"/>
    <s v="13,44"/>
    <s v="40,32"/>
    <n v="40.32"/>
    <b v="1"/>
  </r>
  <r>
    <n v="171"/>
    <x v="103"/>
    <n v="473"/>
    <x v="33"/>
    <x v="169"/>
    <x v="2"/>
    <s v="15,6"/>
    <s v="31,2"/>
    <n v="31.2"/>
    <b v="1"/>
  </r>
  <r>
    <n v="172"/>
    <x v="45"/>
    <n v="59"/>
    <x v="17"/>
    <x v="170"/>
    <x v="4"/>
    <s v="2,52"/>
    <s v="15,12"/>
    <n v="15.120000000000001"/>
    <b v="1"/>
  </r>
  <r>
    <n v="173"/>
    <x v="104"/>
    <n v="125"/>
    <x v="4"/>
    <x v="171"/>
    <x v="2"/>
    <s v="9,6"/>
    <s v="19,2"/>
    <n v="19.2"/>
    <b v="1"/>
  </r>
  <r>
    <n v="174"/>
    <x v="105"/>
    <n v="480"/>
    <x v="22"/>
    <x v="172"/>
    <x v="2"/>
    <s v="11,88"/>
    <s v="23,76"/>
    <n v="23.76"/>
    <b v="1"/>
  </r>
  <r>
    <n v="175"/>
    <x v="38"/>
    <n v="422"/>
    <x v="14"/>
    <x v="173"/>
    <x v="2"/>
    <s v="14,4"/>
    <s v="28,8"/>
    <n v="28.8"/>
    <b v="1"/>
  </r>
  <r>
    <n v="176"/>
    <x v="34"/>
    <n v="371"/>
    <x v="2"/>
    <x v="174"/>
    <x v="2"/>
    <s v="11,04"/>
    <s v="22,08"/>
    <n v="22.08"/>
    <b v="1"/>
  </r>
  <r>
    <n v="177"/>
    <x v="106"/>
    <n v="479"/>
    <x v="19"/>
    <x v="175"/>
    <x v="2"/>
    <s v="13,8"/>
    <s v="27,6"/>
    <n v="27.6"/>
    <b v="1"/>
  </r>
  <r>
    <n v="178"/>
    <x v="50"/>
    <n v="8"/>
    <x v="1"/>
    <x v="176"/>
    <x v="4"/>
    <s v="11,88"/>
    <s v="71,28"/>
    <n v="71.28"/>
    <b v="1"/>
  </r>
  <r>
    <n v="179"/>
    <x v="107"/>
    <n v="347"/>
    <x v="18"/>
    <x v="177"/>
    <x v="1"/>
    <n v="33"/>
    <n v="99"/>
    <n v="99"/>
    <b v="1"/>
  </r>
  <r>
    <n v="180"/>
    <x v="108"/>
    <n v="475"/>
    <x v="41"/>
    <x v="178"/>
    <x v="2"/>
    <s v="29,88"/>
    <s v="59,76"/>
    <n v="59.76"/>
    <b v="1"/>
  </r>
  <r>
    <n v="181"/>
    <x v="4"/>
    <n v="55"/>
    <x v="17"/>
    <x v="179"/>
    <x v="5"/>
    <s v="14,4"/>
    <s v="57,6"/>
    <n v="57.6"/>
    <b v="1"/>
  </r>
  <r>
    <n v="182"/>
    <x v="35"/>
    <n v="422"/>
    <x v="14"/>
    <x v="180"/>
    <x v="2"/>
    <s v="7,8"/>
    <s v="15,6"/>
    <n v="15.6"/>
    <b v="1"/>
  </r>
  <r>
    <n v="183"/>
    <x v="36"/>
    <n v="17"/>
    <x v="9"/>
    <x v="181"/>
    <x v="2"/>
    <s v="11,88"/>
    <s v="23,76"/>
    <n v="23.76"/>
    <b v="1"/>
  </r>
  <r>
    <n v="184"/>
    <x v="33"/>
    <n v="371"/>
    <x v="2"/>
    <x v="182"/>
    <x v="0"/>
    <s v="14,4"/>
    <s v="14,4"/>
    <n v="14.4"/>
    <b v="1"/>
  </r>
  <r>
    <n v="185"/>
    <x v="109"/>
    <n v="36"/>
    <x v="24"/>
    <x v="183"/>
    <x v="1"/>
    <s v="14,4"/>
    <s v="43,2"/>
    <n v="43.2"/>
    <b v="1"/>
  </r>
  <r>
    <n v="186"/>
    <x v="3"/>
    <n v="479"/>
    <x v="19"/>
    <x v="184"/>
    <x v="2"/>
    <s v="12,6"/>
    <s v="25,2"/>
    <n v="25.2"/>
    <b v="1"/>
  </r>
  <r>
    <n v="187"/>
    <x v="42"/>
    <n v="72"/>
    <x v="31"/>
    <x v="185"/>
    <x v="2"/>
    <s v="18,12"/>
    <s v="36,24"/>
    <n v="36.24"/>
    <b v="1"/>
  </r>
  <r>
    <n v="188"/>
    <x v="47"/>
    <n v="76"/>
    <x v="3"/>
    <x v="186"/>
    <x v="2"/>
    <s v="10,8"/>
    <s v="21,6"/>
    <n v="21.6"/>
    <b v="1"/>
  </r>
  <r>
    <n v="189"/>
    <x v="110"/>
    <n v="76"/>
    <x v="3"/>
    <x v="187"/>
    <x v="2"/>
    <s v="10,8"/>
    <s v="21,6"/>
    <n v="21.6"/>
    <b v="1"/>
  </r>
  <r>
    <n v="190"/>
    <x v="32"/>
    <n v="17"/>
    <x v="9"/>
    <x v="188"/>
    <x v="2"/>
    <s v="10,8"/>
    <s v="21,6"/>
    <n v="21.6"/>
    <b v="1"/>
  </r>
  <r>
    <n v="191"/>
    <x v="12"/>
    <n v="479"/>
    <x v="19"/>
    <x v="189"/>
    <x v="2"/>
    <s v="13,08"/>
    <s v="26,16"/>
    <n v="26.16"/>
    <b v="1"/>
  </r>
  <r>
    <n v="192"/>
    <x v="111"/>
    <n v="8"/>
    <x v="1"/>
    <x v="190"/>
    <x v="2"/>
    <s v="10,8"/>
    <s v="21,6"/>
    <n v="21.6"/>
    <b v="1"/>
  </r>
  <r>
    <n v="193"/>
    <x v="21"/>
    <n v="347"/>
    <x v="18"/>
    <x v="191"/>
    <x v="1"/>
    <s v="4,8"/>
    <s v="14,4"/>
    <n v="14.399999999999999"/>
    <b v="1"/>
  </r>
  <r>
    <n v="194"/>
    <x v="4"/>
    <n v="26"/>
    <x v="13"/>
    <x v="192"/>
    <x v="1"/>
    <s v="14,4"/>
    <s v="43,2"/>
    <n v="43.2"/>
    <b v="1"/>
  </r>
  <r>
    <n v="195"/>
    <x v="112"/>
    <n v="55"/>
    <x v="17"/>
    <x v="193"/>
    <x v="1"/>
    <s v="7,8"/>
    <s v="23,4"/>
    <n v="23.4"/>
    <b v="1"/>
  </r>
  <r>
    <n v="196"/>
    <x v="44"/>
    <n v="486"/>
    <x v="42"/>
    <x v="194"/>
    <x v="1"/>
    <s v="14,4"/>
    <s v="43,2"/>
    <n v="43.2"/>
    <b v="1"/>
  </r>
  <r>
    <n v="197"/>
    <x v="113"/>
    <n v="75"/>
    <x v="16"/>
    <x v="195"/>
    <x v="2"/>
    <s v="7,2"/>
    <s v="14,4"/>
    <n v="14.4"/>
    <b v="1"/>
  </r>
  <r>
    <n v="198"/>
    <x v="12"/>
    <n v="371"/>
    <x v="2"/>
    <x v="196"/>
    <x v="0"/>
    <s v="13,08"/>
    <s v="13,08"/>
    <n v="13.08"/>
    <b v="1"/>
  </r>
  <r>
    <n v="199"/>
    <x v="90"/>
    <n v="75"/>
    <x v="16"/>
    <x v="197"/>
    <x v="2"/>
    <s v="19,32"/>
    <s v="38,64"/>
    <n v="38.64"/>
    <b v="1"/>
  </r>
  <r>
    <n v="200"/>
    <x v="75"/>
    <n v="76"/>
    <x v="3"/>
    <x v="198"/>
    <x v="2"/>
    <s v="7,8"/>
    <s v="15,6"/>
    <n v="15.6"/>
    <b v="1"/>
  </r>
  <r>
    <n v="201"/>
    <x v="28"/>
    <n v="26"/>
    <x v="13"/>
    <x v="199"/>
    <x v="2"/>
    <s v="10,8"/>
    <s v="21,6"/>
    <n v="21.6"/>
    <b v="1"/>
  </r>
  <r>
    <n v="202"/>
    <x v="114"/>
    <n v="75"/>
    <x v="16"/>
    <x v="200"/>
    <x v="2"/>
    <s v="7,08"/>
    <s v="14,16"/>
    <n v="14.16"/>
    <b v="1"/>
  </r>
  <r>
    <n v="203"/>
    <x v="77"/>
    <n v="36"/>
    <x v="24"/>
    <x v="201"/>
    <x v="1"/>
    <s v="9,6"/>
    <s v="28,8"/>
    <n v="28.799999999999997"/>
    <b v="1"/>
  </r>
  <r>
    <n v="204"/>
    <x v="45"/>
    <n v="8"/>
    <x v="1"/>
    <x v="202"/>
    <x v="4"/>
    <s v="2,52"/>
    <s v="15,12"/>
    <n v="15.120000000000001"/>
    <b v="1"/>
  </r>
  <r>
    <n v="205"/>
    <x v="115"/>
    <n v="227"/>
    <x v="15"/>
    <x v="203"/>
    <x v="2"/>
    <s v="12,72"/>
    <s v="25,44"/>
    <n v="25.44"/>
    <b v="1"/>
  </r>
  <r>
    <n v="206"/>
    <x v="73"/>
    <n v="130"/>
    <x v="21"/>
    <x v="204"/>
    <x v="2"/>
    <s v="9,78"/>
    <s v="19,56"/>
    <n v="19.559999999999999"/>
    <b v="1"/>
  </r>
  <r>
    <n v="207"/>
    <x v="116"/>
    <n v="8"/>
    <x v="1"/>
    <x v="205"/>
    <x v="2"/>
    <s v="12,72"/>
    <s v="25,44"/>
    <n v="25.44"/>
    <b v="1"/>
  </r>
  <r>
    <n v="208"/>
    <x v="117"/>
    <n v="500"/>
    <x v="43"/>
    <x v="206"/>
    <x v="5"/>
    <s v="7,8"/>
    <s v="31,2"/>
    <n v="31.2"/>
    <b v="1"/>
  </r>
  <r>
    <n v="209"/>
    <x v="4"/>
    <n v="371"/>
    <x v="2"/>
    <x v="207"/>
    <x v="1"/>
    <s v="14,4"/>
    <s v="43,2"/>
    <n v="43.2"/>
    <b v="1"/>
  </r>
  <r>
    <n v="210"/>
    <x v="118"/>
    <n v="76"/>
    <x v="3"/>
    <x v="208"/>
    <x v="2"/>
    <s v="6,72"/>
    <s v="13,44"/>
    <n v="13.44"/>
    <b v="1"/>
  </r>
  <r>
    <n v="211"/>
    <x v="119"/>
    <n v="480"/>
    <x v="22"/>
    <x v="209"/>
    <x v="2"/>
    <s v="11,88"/>
    <s v="23,76"/>
    <n v="23.76"/>
    <b v="1"/>
  </r>
  <r>
    <n v="212"/>
    <x v="96"/>
    <n v="26"/>
    <x v="13"/>
    <x v="210"/>
    <x v="2"/>
    <s v="13,92"/>
    <s v="27,84"/>
    <n v="27.84"/>
    <b v="1"/>
  </r>
  <r>
    <n v="213"/>
    <x v="120"/>
    <n v="408"/>
    <x v="36"/>
    <x v="211"/>
    <x v="2"/>
    <s v="11,88"/>
    <s v="23,76"/>
    <n v="23.76"/>
    <b v="1"/>
  </r>
  <r>
    <n v="214"/>
    <x v="38"/>
    <n v="17"/>
    <x v="9"/>
    <x v="212"/>
    <x v="0"/>
    <s v="14,4"/>
    <s v="14,4"/>
    <n v="14.4"/>
    <b v="1"/>
  </r>
  <r>
    <n v="215"/>
    <x v="38"/>
    <n v="347"/>
    <x v="18"/>
    <x v="213"/>
    <x v="2"/>
    <s v="14,4"/>
    <s v="28,8"/>
    <n v="28.8"/>
    <b v="1"/>
  </r>
  <r>
    <n v="216"/>
    <x v="121"/>
    <n v="8"/>
    <x v="1"/>
    <x v="214"/>
    <x v="2"/>
    <s v="9,72"/>
    <s v="19,44"/>
    <n v="19.440000000000001"/>
    <b v="1"/>
  </r>
  <r>
    <n v="217"/>
    <x v="73"/>
    <n v="422"/>
    <x v="14"/>
    <x v="215"/>
    <x v="2"/>
    <s v="9,78"/>
    <s v="19,56"/>
    <n v="19.559999999999999"/>
    <b v="1"/>
  </r>
  <r>
    <n v="218"/>
    <x v="48"/>
    <n v="75"/>
    <x v="16"/>
    <x v="216"/>
    <x v="4"/>
    <s v="4,56"/>
    <s v="27,36"/>
    <n v="27.36"/>
    <b v="1"/>
  </r>
  <r>
    <n v="219"/>
    <x v="33"/>
    <n v="78"/>
    <x v="8"/>
    <x v="217"/>
    <x v="0"/>
    <s v="14,4"/>
    <s v="14,4"/>
    <n v="14.4"/>
    <b v="1"/>
  </r>
  <r>
    <n v="220"/>
    <x v="33"/>
    <n v="26"/>
    <x v="13"/>
    <x v="218"/>
    <x v="1"/>
    <s v="14,4"/>
    <s v="43,2"/>
    <n v="43.2"/>
    <b v="1"/>
  </r>
  <r>
    <n v="221"/>
    <x v="21"/>
    <n v="371"/>
    <x v="2"/>
    <x v="219"/>
    <x v="1"/>
    <s v="4,8"/>
    <s v="14,4"/>
    <n v="14.399999999999999"/>
    <b v="1"/>
  </r>
  <r>
    <n v="222"/>
    <x v="122"/>
    <n v="483"/>
    <x v="6"/>
    <x v="220"/>
    <x v="1"/>
    <s v="9,6"/>
    <s v="28,8"/>
    <n v="28.799999999999997"/>
    <b v="1"/>
  </r>
  <r>
    <n v="223"/>
    <x v="51"/>
    <n v="130"/>
    <x v="21"/>
    <x v="221"/>
    <x v="2"/>
    <s v="12,72"/>
    <s v="25,44"/>
    <n v="25.44"/>
    <b v="1"/>
  </r>
  <r>
    <n v="224"/>
    <x v="34"/>
    <n v="55"/>
    <x v="17"/>
    <x v="222"/>
    <x v="2"/>
    <s v="11,04"/>
    <s v="22,08"/>
    <n v="22.08"/>
    <b v="1"/>
  </r>
  <r>
    <n v="225"/>
    <x v="110"/>
    <n v="36"/>
    <x v="24"/>
    <x v="223"/>
    <x v="2"/>
    <s v="10,8"/>
    <s v="21,6"/>
    <n v="21.6"/>
    <b v="1"/>
  </r>
  <r>
    <n v="226"/>
    <x v="107"/>
    <n v="55"/>
    <x v="17"/>
    <x v="224"/>
    <x v="1"/>
    <n v="33"/>
    <n v="99"/>
    <n v="99"/>
    <b v="1"/>
  </r>
  <r>
    <n v="227"/>
    <x v="10"/>
    <n v="371"/>
    <x v="2"/>
    <x v="225"/>
    <x v="2"/>
    <s v="11,88"/>
    <s v="23,76"/>
    <n v="23.76"/>
    <b v="1"/>
  </r>
  <r>
    <n v="228"/>
    <x v="36"/>
    <n v="479"/>
    <x v="19"/>
    <x v="226"/>
    <x v="1"/>
    <s v="11,88"/>
    <s v="35,64"/>
    <n v="35.64"/>
    <b v="1"/>
  </r>
  <r>
    <n v="229"/>
    <x v="98"/>
    <n v="75"/>
    <x v="16"/>
    <x v="227"/>
    <x v="1"/>
    <s v="16,32"/>
    <s v="48,96"/>
    <n v="48.96"/>
    <b v="1"/>
  </r>
  <r>
    <n v="230"/>
    <x v="11"/>
    <n v="26"/>
    <x v="13"/>
    <x v="228"/>
    <x v="4"/>
    <s v="3,6"/>
    <s v="21,6"/>
    <n v="21.6"/>
    <b v="1"/>
  </r>
  <r>
    <n v="231"/>
    <x v="28"/>
    <n v="422"/>
    <x v="14"/>
    <x v="229"/>
    <x v="2"/>
    <s v="10,8"/>
    <s v="21,6"/>
    <n v="21.6"/>
    <b v="1"/>
  </r>
  <r>
    <n v="232"/>
    <x v="40"/>
    <n v="371"/>
    <x v="2"/>
    <x v="230"/>
    <x v="0"/>
    <s v="4,8"/>
    <s v="4,8"/>
    <n v="4.8"/>
    <b v="1"/>
  </r>
  <r>
    <n v="233"/>
    <x v="123"/>
    <n v="227"/>
    <x v="15"/>
    <x v="231"/>
    <x v="2"/>
    <s v="10,8"/>
    <s v="21,6"/>
    <n v="21.6"/>
    <b v="1"/>
  </r>
  <r>
    <n v="234"/>
    <x v="44"/>
    <n v="158"/>
    <x v="5"/>
    <x v="232"/>
    <x v="0"/>
    <s v="14,4"/>
    <s v="14,4"/>
    <n v="14.4"/>
    <b v="1"/>
  </r>
  <r>
    <n v="235"/>
    <x v="96"/>
    <n v="422"/>
    <x v="14"/>
    <x v="233"/>
    <x v="2"/>
    <s v="13,92"/>
    <s v="27,84"/>
    <n v="27.84"/>
    <b v="1"/>
  </r>
  <r>
    <n v="236"/>
    <x v="12"/>
    <n v="422"/>
    <x v="14"/>
    <x v="234"/>
    <x v="2"/>
    <s v="13,08"/>
    <s v="26,16"/>
    <n v="26.16"/>
    <b v="1"/>
  </r>
  <r>
    <n v="237"/>
    <x v="124"/>
    <n v="480"/>
    <x v="22"/>
    <x v="235"/>
    <x v="2"/>
    <s v="11,88"/>
    <s v="23,76"/>
    <n v="23.76"/>
    <b v="1"/>
  </r>
  <r>
    <n v="238"/>
    <x v="28"/>
    <n v="75"/>
    <x v="16"/>
    <x v="236"/>
    <x v="2"/>
    <s v="10,8"/>
    <s v="21,6"/>
    <n v="21.6"/>
    <b v="1"/>
  </r>
  <r>
    <n v="239"/>
    <x v="22"/>
    <n v="76"/>
    <x v="3"/>
    <x v="237"/>
    <x v="1"/>
    <s v="6,6"/>
    <s v="19,8"/>
    <n v="19.799999999999997"/>
    <b v="1"/>
  </r>
  <r>
    <n v="240"/>
    <x v="109"/>
    <n v="55"/>
    <x v="17"/>
    <x v="183"/>
    <x v="8"/>
    <s v="14,4"/>
    <n v="72"/>
    <n v="72"/>
    <b v="1"/>
  </r>
  <r>
    <n v="241"/>
    <x v="125"/>
    <n v="36"/>
    <x v="24"/>
    <x v="238"/>
    <x v="2"/>
    <s v="12,72"/>
    <s v="25,44"/>
    <n v="25.44"/>
    <b v="1"/>
  </r>
  <r>
    <n v="242"/>
    <x v="7"/>
    <n v="17"/>
    <x v="9"/>
    <x v="239"/>
    <x v="3"/>
    <s v="4,56"/>
    <s v="36,48"/>
    <n v="36.479999999999997"/>
    <b v="1"/>
  </r>
  <r>
    <n v="243"/>
    <x v="44"/>
    <n v="26"/>
    <x v="13"/>
    <x v="240"/>
    <x v="1"/>
    <s v="14,4"/>
    <s v="43,2"/>
    <n v="43.2"/>
    <b v="1"/>
  </r>
  <r>
    <n v="244"/>
    <x v="44"/>
    <n v="17"/>
    <x v="9"/>
    <x v="241"/>
    <x v="0"/>
    <s v="14,4"/>
    <s v="14,4"/>
    <n v="14.4"/>
    <b v="1"/>
  </r>
  <r>
    <n v="245"/>
    <x v="22"/>
    <n v="479"/>
    <x v="19"/>
    <x v="242"/>
    <x v="1"/>
    <s v="6,6"/>
    <s v="19,8"/>
    <n v="19.799999999999997"/>
    <b v="1"/>
  </r>
  <r>
    <n v="246"/>
    <x v="119"/>
    <n v="481"/>
    <x v="28"/>
    <x v="243"/>
    <x v="2"/>
    <s v="11,88"/>
    <s v="23,76"/>
    <n v="23.76"/>
    <b v="1"/>
  </r>
  <r>
    <n v="247"/>
    <x v="126"/>
    <n v="241"/>
    <x v="38"/>
    <x v="244"/>
    <x v="5"/>
    <s v="12,6"/>
    <s v="50,4"/>
    <n v="50.4"/>
    <b v="1"/>
  </r>
  <r>
    <n v="248"/>
    <x v="71"/>
    <n v="76"/>
    <x v="3"/>
    <x v="245"/>
    <x v="1"/>
    <s v="8,4"/>
    <s v="25,2"/>
    <n v="25.200000000000003"/>
    <b v="1"/>
  </r>
  <r>
    <n v="249"/>
    <x v="127"/>
    <n v="17"/>
    <x v="9"/>
    <x v="246"/>
    <x v="4"/>
    <s v="13,44"/>
    <s v="80,64"/>
    <n v="80.64"/>
    <b v="1"/>
  </r>
  <r>
    <n v="250"/>
    <x v="38"/>
    <n v="371"/>
    <x v="2"/>
    <x v="247"/>
    <x v="0"/>
    <s v="14,4"/>
    <s v="14,4"/>
    <n v="14.4"/>
    <b v="1"/>
  </r>
  <r>
    <n v="251"/>
    <x v="46"/>
    <n v="76"/>
    <x v="3"/>
    <x v="248"/>
    <x v="5"/>
    <s v="12,72"/>
    <s v="50,88"/>
    <n v="50.88"/>
    <b v="1"/>
  </r>
  <r>
    <n v="252"/>
    <x v="128"/>
    <n v="55"/>
    <x v="17"/>
    <x v="249"/>
    <x v="2"/>
    <s v="12,72"/>
    <s v="25,44"/>
    <n v="25.44"/>
    <b v="1"/>
  </r>
  <r>
    <n v="253"/>
    <x v="10"/>
    <n v="479"/>
    <x v="19"/>
    <x v="250"/>
    <x v="1"/>
    <s v="11,88"/>
    <s v="35,64"/>
    <n v="35.64"/>
    <b v="1"/>
  </r>
  <r>
    <n v="254"/>
    <x v="38"/>
    <n v="133"/>
    <x v="44"/>
    <x v="251"/>
    <x v="0"/>
    <s v="14,4"/>
    <s v="14,4"/>
    <n v="14.4"/>
    <b v="1"/>
  </r>
  <r>
    <n v="255"/>
    <x v="88"/>
    <n v="55"/>
    <x v="17"/>
    <x v="252"/>
    <x v="2"/>
    <s v="10,8"/>
    <s v="21,6"/>
    <n v="21.6"/>
    <b v="1"/>
  </r>
  <r>
    <n v="256"/>
    <x v="3"/>
    <n v="71"/>
    <x v="35"/>
    <x v="253"/>
    <x v="2"/>
    <s v="12,6"/>
    <s v="25,2"/>
    <n v="25.2"/>
    <b v="1"/>
  </r>
  <r>
    <n v="257"/>
    <x v="129"/>
    <n v="55"/>
    <x v="17"/>
    <x v="254"/>
    <x v="7"/>
    <s v="3,6"/>
    <n v="36"/>
    <n v="36"/>
    <b v="1"/>
  </r>
  <r>
    <n v="258"/>
    <x v="130"/>
    <n v="55"/>
    <x v="17"/>
    <x v="255"/>
    <x v="2"/>
    <s v="12,72"/>
    <s v="25,44"/>
    <n v="25.44"/>
    <b v="1"/>
  </r>
  <r>
    <n v="260"/>
    <x v="120"/>
    <n v="408"/>
    <x v="36"/>
    <x v="211"/>
    <x v="2"/>
    <s v="11,88"/>
    <s v="23,76"/>
    <n v="23.76"/>
    <b v="1"/>
  </r>
  <r>
    <n v="261"/>
    <x v="18"/>
    <n v="76"/>
    <x v="3"/>
    <x v="256"/>
    <x v="2"/>
    <s v="9,72"/>
    <s v="19,44"/>
    <n v="19.440000000000001"/>
    <b v="1"/>
  </r>
  <r>
    <n v="262"/>
    <x v="30"/>
    <n v="75"/>
    <x v="16"/>
    <x v="257"/>
    <x v="1"/>
    <s v="20,04"/>
    <s v="60,12"/>
    <n v="60.12"/>
    <b v="1"/>
  </r>
  <r>
    <n v="263"/>
    <x v="131"/>
    <n v="8"/>
    <x v="1"/>
    <x v="258"/>
    <x v="2"/>
    <s v="12,72"/>
    <s v="25,44"/>
    <n v="25.44"/>
    <b v="1"/>
  </r>
  <r>
    <n v="264"/>
    <x v="84"/>
    <n v="26"/>
    <x v="13"/>
    <x v="259"/>
    <x v="2"/>
    <s v="9,36"/>
    <s v="18,72"/>
    <n v="18.72"/>
    <b v="1"/>
  </r>
  <r>
    <n v="265"/>
    <x v="113"/>
    <n v="55"/>
    <x v="17"/>
    <x v="260"/>
    <x v="2"/>
    <s v="7,2"/>
    <s v="14,4"/>
    <n v="14.4"/>
    <b v="1"/>
  </r>
  <r>
    <n v="266"/>
    <x v="40"/>
    <n v="479"/>
    <x v="19"/>
    <x v="261"/>
    <x v="1"/>
    <s v="4,8"/>
    <s v="14,4"/>
    <n v="14.399999999999999"/>
    <b v="1"/>
  </r>
  <r>
    <n v="267"/>
    <x v="132"/>
    <n v="227"/>
    <x v="15"/>
    <x v="262"/>
    <x v="2"/>
    <s v="14,4"/>
    <s v="28,8"/>
    <n v="28.8"/>
    <b v="1"/>
  </r>
  <r>
    <n v="268"/>
    <x v="6"/>
    <n v="479"/>
    <x v="19"/>
    <x v="263"/>
    <x v="1"/>
    <s v="21,96"/>
    <s v="65,88"/>
    <n v="65.88"/>
    <b v="1"/>
  </r>
  <r>
    <n v="269"/>
    <x v="52"/>
    <n v="36"/>
    <x v="24"/>
    <x v="264"/>
    <x v="2"/>
    <s v="14,4"/>
    <s v="28,8"/>
    <n v="28.8"/>
    <b v="1"/>
  </r>
  <r>
    <n v="270"/>
    <x v="133"/>
    <n v="227"/>
    <x v="15"/>
    <x v="265"/>
    <x v="2"/>
    <s v="13,44"/>
    <s v="26,88"/>
    <n v="26.88"/>
    <b v="1"/>
  </r>
  <r>
    <n v="271"/>
    <x v="38"/>
    <n v="71"/>
    <x v="35"/>
    <x v="266"/>
    <x v="0"/>
    <s v="14,4"/>
    <s v="14,4"/>
    <n v="14.4"/>
    <b v="1"/>
  </r>
  <r>
    <n v="272"/>
    <x v="134"/>
    <n v="481"/>
    <x v="28"/>
    <x v="267"/>
    <x v="2"/>
    <s v="10,68"/>
    <s v="21,36"/>
    <n v="21.36"/>
    <b v="1"/>
  </r>
  <r>
    <n v="273"/>
    <x v="91"/>
    <n v="76"/>
    <x v="3"/>
    <x v="268"/>
    <x v="2"/>
    <s v="18,12"/>
    <s v="36,24"/>
    <n v="36.24"/>
    <b v="1"/>
  </r>
  <r>
    <n v="274"/>
    <x v="33"/>
    <n v="486"/>
    <x v="42"/>
    <x v="269"/>
    <x v="1"/>
    <s v="14,4"/>
    <s v="43,2"/>
    <n v="43.2"/>
    <b v="1"/>
  </r>
  <r>
    <n v="275"/>
    <x v="135"/>
    <n v="36"/>
    <x v="24"/>
    <x v="270"/>
    <x v="2"/>
    <s v="10,8"/>
    <s v="21,6"/>
    <n v="21.6"/>
    <b v="1"/>
  </r>
  <r>
    <n v="276"/>
    <x v="136"/>
    <n v="475"/>
    <x v="41"/>
    <x v="271"/>
    <x v="2"/>
    <s v="14,4"/>
    <s v="28,8"/>
    <n v="28.8"/>
    <b v="1"/>
  </r>
  <r>
    <n v="277"/>
    <x v="113"/>
    <n v="17"/>
    <x v="9"/>
    <x v="272"/>
    <x v="4"/>
    <s v="7,2"/>
    <s v="43,2"/>
    <n v="43.2"/>
    <b v="1"/>
  </r>
  <r>
    <n v="278"/>
    <x v="40"/>
    <n v="71"/>
    <x v="35"/>
    <x v="273"/>
    <x v="0"/>
    <s v="4,8"/>
    <s v="4,8"/>
    <n v="4.8"/>
    <b v="1"/>
  </r>
  <r>
    <n v="279"/>
    <x v="137"/>
    <n v="227"/>
    <x v="15"/>
    <x v="274"/>
    <x v="2"/>
    <s v="13,44"/>
    <s v="26,88"/>
    <n v="26.88"/>
    <b v="1"/>
  </r>
  <r>
    <n v="280"/>
    <x v="62"/>
    <n v="26"/>
    <x v="13"/>
    <x v="275"/>
    <x v="1"/>
    <n v="9"/>
    <n v="27"/>
    <n v="27"/>
    <b v="1"/>
  </r>
  <r>
    <n v="281"/>
    <x v="12"/>
    <n v="76"/>
    <x v="3"/>
    <x v="276"/>
    <x v="2"/>
    <s v="13,08"/>
    <s v="26,16"/>
    <n v="26.16"/>
    <b v="1"/>
  </r>
  <r>
    <n v="282"/>
    <x v="38"/>
    <n v="26"/>
    <x v="13"/>
    <x v="277"/>
    <x v="2"/>
    <s v="14,4"/>
    <s v="28,8"/>
    <n v="28.8"/>
    <b v="1"/>
  </r>
  <r>
    <n v="283"/>
    <x v="138"/>
    <n v="441"/>
    <x v="45"/>
    <x v="278"/>
    <x v="2"/>
    <s v="18,12"/>
    <s v="36,24"/>
    <n v="36.24"/>
    <b v="1"/>
  </r>
  <r>
    <n v="284"/>
    <x v="135"/>
    <n v="76"/>
    <x v="3"/>
    <x v="279"/>
    <x v="2"/>
    <s v="10,8"/>
    <s v="21,6"/>
    <n v="21.6"/>
    <b v="1"/>
  </r>
  <r>
    <n v="285"/>
    <x v="38"/>
    <n v="75"/>
    <x v="16"/>
    <x v="280"/>
    <x v="2"/>
    <s v="14,4"/>
    <s v="28,8"/>
    <n v="28.8"/>
    <b v="1"/>
  </r>
  <r>
    <n v="286"/>
    <x v="89"/>
    <n v="76"/>
    <x v="3"/>
    <x v="281"/>
    <x v="1"/>
    <s v="8,4"/>
    <s v="25,2"/>
    <n v="25.200000000000003"/>
    <b v="1"/>
  </r>
  <r>
    <n v="287"/>
    <x v="134"/>
    <n v="480"/>
    <x v="22"/>
    <x v="282"/>
    <x v="2"/>
    <s v="10,68"/>
    <s v="21,36"/>
    <n v="21.36"/>
    <b v="1"/>
  </r>
  <r>
    <n v="288"/>
    <x v="113"/>
    <n v="479"/>
    <x v="19"/>
    <x v="283"/>
    <x v="2"/>
    <s v="7,2"/>
    <s v="14,4"/>
    <n v="14.4"/>
    <b v="1"/>
  </r>
  <r>
    <n v="289"/>
    <x v="33"/>
    <n v="483"/>
    <x v="6"/>
    <x v="284"/>
    <x v="1"/>
    <s v="14,4"/>
    <s v="43,2"/>
    <n v="43.2"/>
    <b v="1"/>
  </r>
  <r>
    <n v="290"/>
    <x v="127"/>
    <n v="489"/>
    <x v="46"/>
    <x v="285"/>
    <x v="2"/>
    <s v="13,44"/>
    <s v="26,88"/>
    <n v="26.88"/>
    <b v="1"/>
  </r>
  <r>
    <n v="291"/>
    <x v="107"/>
    <n v="76"/>
    <x v="3"/>
    <x v="286"/>
    <x v="1"/>
    <n v="33"/>
    <n v="99"/>
    <n v="99"/>
    <b v="1"/>
  </r>
  <r>
    <n v="292"/>
    <x v="53"/>
    <n v="36"/>
    <x v="24"/>
    <x v="287"/>
    <x v="4"/>
    <s v="1,92"/>
    <s v="11,52"/>
    <n v="11.52"/>
    <b v="1"/>
  </r>
  <r>
    <n v="293"/>
    <x v="139"/>
    <n v="475"/>
    <x v="41"/>
    <x v="288"/>
    <x v="2"/>
    <s v="12,72"/>
    <s v="25,44"/>
    <n v="25.44"/>
    <b v="1"/>
  </r>
  <r>
    <n v="294"/>
    <x v="44"/>
    <n v="371"/>
    <x v="2"/>
    <x v="289"/>
    <x v="0"/>
    <s v="14,4"/>
    <s v="14,4"/>
    <n v="14.4"/>
    <b v="1"/>
  </r>
  <r>
    <n v="295"/>
    <x v="114"/>
    <n v="422"/>
    <x v="14"/>
    <x v="290"/>
    <x v="2"/>
    <s v="7,08"/>
    <s v="14,16"/>
    <n v="14.16"/>
    <b v="1"/>
  </r>
  <r>
    <n v="296"/>
    <x v="53"/>
    <n v="55"/>
    <x v="17"/>
    <x v="291"/>
    <x v="4"/>
    <s v="1,92"/>
    <s v="11,52"/>
    <n v="11.52"/>
    <b v="1"/>
  </r>
  <r>
    <n v="297"/>
    <x v="96"/>
    <n v="76"/>
    <x v="3"/>
    <x v="292"/>
    <x v="2"/>
    <s v="13,92"/>
    <s v="27,84"/>
    <n v="27.84"/>
    <b v="1"/>
  </r>
  <r>
    <n v="298"/>
    <x v="140"/>
    <n v="55"/>
    <x v="17"/>
    <x v="293"/>
    <x v="2"/>
    <s v="15,6"/>
    <s v="31,2"/>
    <n v="31.2"/>
    <b v="1"/>
  </r>
  <r>
    <n v="299"/>
    <x v="110"/>
    <n v="55"/>
    <x v="17"/>
    <x v="294"/>
    <x v="2"/>
    <s v="10,8"/>
    <s v="21,6"/>
    <n v="21.6"/>
    <b v="1"/>
  </r>
  <r>
    <n v="300"/>
    <x v="141"/>
    <n v="75"/>
    <x v="16"/>
    <x v="295"/>
    <x v="2"/>
    <n v="24"/>
    <n v="48"/>
    <n v="48"/>
    <b v="1"/>
  </r>
  <r>
    <n v="301"/>
    <x v="142"/>
    <n v="480"/>
    <x v="22"/>
    <x v="296"/>
    <x v="2"/>
    <s v="10,8"/>
    <s v="21,6"/>
    <n v="21.6"/>
    <b v="1"/>
  </r>
  <r>
    <n v="302"/>
    <x v="44"/>
    <n v="76"/>
    <x v="3"/>
    <x v="297"/>
    <x v="1"/>
    <s v="14,4"/>
    <s v="43,2"/>
    <n v="43.2"/>
    <b v="1"/>
  </r>
  <r>
    <n v="303"/>
    <x v="96"/>
    <n v="78"/>
    <x v="8"/>
    <x v="298"/>
    <x v="2"/>
    <s v="13,92"/>
    <s v="27,84"/>
    <n v="27.84"/>
    <b v="1"/>
  </r>
  <r>
    <n v="304"/>
    <x v="107"/>
    <n v="422"/>
    <x v="14"/>
    <x v="299"/>
    <x v="1"/>
    <n v="33"/>
    <n v="99"/>
    <n v="99"/>
    <b v="1"/>
  </r>
  <r>
    <n v="305"/>
    <x v="22"/>
    <n v="55"/>
    <x v="17"/>
    <x v="300"/>
    <x v="2"/>
    <s v="6,6"/>
    <s v="13,2"/>
    <n v="13.2"/>
    <b v="1"/>
  </r>
  <r>
    <n v="306"/>
    <x v="7"/>
    <n v="76"/>
    <x v="3"/>
    <x v="301"/>
    <x v="3"/>
    <s v="4,56"/>
    <s v="36,48"/>
    <n v="36.479999999999997"/>
    <b v="1"/>
  </r>
  <r>
    <n v="307"/>
    <x v="38"/>
    <n v="479"/>
    <x v="19"/>
    <x v="302"/>
    <x v="2"/>
    <s v="14,4"/>
    <s v="28,8"/>
    <n v="28.8"/>
    <b v="1"/>
  </r>
  <r>
    <n v="308"/>
    <x v="143"/>
    <n v="481"/>
    <x v="28"/>
    <x v="303"/>
    <x v="2"/>
    <s v="10,8"/>
    <s v="21,6"/>
    <n v="21.6"/>
    <b v="1"/>
  </r>
  <r>
    <n v="309"/>
    <x v="10"/>
    <n v="76"/>
    <x v="3"/>
    <x v="304"/>
    <x v="1"/>
    <s v="11,88"/>
    <s v="35,64"/>
    <n v="35.64"/>
    <b v="1"/>
  </r>
  <r>
    <n v="310"/>
    <x v="34"/>
    <n v="17"/>
    <x v="9"/>
    <x v="305"/>
    <x v="2"/>
    <s v="11,04"/>
    <s v="22,08"/>
    <n v="22.08"/>
    <b v="1"/>
  </r>
  <r>
    <n v="311"/>
    <x v="144"/>
    <n v="487"/>
    <x v="47"/>
    <x v="306"/>
    <x v="1"/>
    <n v="9"/>
    <n v="27"/>
    <n v="27"/>
    <b v="1"/>
  </r>
  <r>
    <n v="312"/>
    <x v="145"/>
    <n v="125"/>
    <x v="4"/>
    <x v="307"/>
    <x v="2"/>
    <s v="11,88"/>
    <s v="23,76"/>
    <n v="23.76"/>
    <b v="1"/>
  </r>
  <r>
    <n v="313"/>
    <x v="112"/>
    <n v="54"/>
    <x v="39"/>
    <x v="308"/>
    <x v="1"/>
    <s v="7,8"/>
    <s v="23,4"/>
    <n v="23.4"/>
    <b v="1"/>
  </r>
  <r>
    <n v="314"/>
    <x v="146"/>
    <n v="61"/>
    <x v="7"/>
    <x v="309"/>
    <x v="2"/>
    <s v="20,04"/>
    <s v="40,08"/>
    <n v="40.08"/>
    <b v="1"/>
  </r>
  <r>
    <n v="315"/>
    <x v="35"/>
    <n v="36"/>
    <x v="24"/>
    <x v="310"/>
    <x v="2"/>
    <s v="7,8"/>
    <s v="15,6"/>
    <n v="15.6"/>
    <b v="1"/>
  </r>
  <r>
    <n v="316"/>
    <x v="147"/>
    <n v="227"/>
    <x v="15"/>
    <x v="311"/>
    <x v="2"/>
    <s v="12,72"/>
    <s v="25,44"/>
    <n v="25.44"/>
    <b v="1"/>
  </r>
  <r>
    <n v="317"/>
    <x v="76"/>
    <n v="483"/>
    <x v="6"/>
    <x v="312"/>
    <x v="4"/>
    <n v="3"/>
    <n v="18"/>
    <n v="18"/>
    <b v="1"/>
  </r>
  <r>
    <n v="318"/>
    <x v="77"/>
    <n v="55"/>
    <x v="17"/>
    <x v="313"/>
    <x v="5"/>
    <s v="9,6"/>
    <s v="38,4"/>
    <n v="38.4"/>
    <b v="1"/>
  </r>
  <r>
    <n v="319"/>
    <x v="43"/>
    <n v="483"/>
    <x v="6"/>
    <x v="314"/>
    <x v="1"/>
    <n v="9"/>
    <n v="27"/>
    <n v="27"/>
    <b v="1"/>
  </r>
  <r>
    <n v="320"/>
    <x v="22"/>
    <n v="50"/>
    <x v="48"/>
    <x v="315"/>
    <x v="0"/>
    <s v="6,6"/>
    <s v="6,6"/>
    <n v="6.6"/>
    <b v="1"/>
  </r>
  <r>
    <n v="321"/>
    <x v="10"/>
    <n v="17"/>
    <x v="9"/>
    <x v="316"/>
    <x v="2"/>
    <s v="11,88"/>
    <s v="23,76"/>
    <n v="23.76"/>
    <b v="1"/>
  </r>
  <r>
    <n v="322"/>
    <x v="148"/>
    <n v="478"/>
    <x v="49"/>
    <x v="317"/>
    <x v="5"/>
    <s v="7,08"/>
    <s v="28,32"/>
    <n v="28.32"/>
    <b v="1"/>
  </r>
  <r>
    <n v="323"/>
    <x v="149"/>
    <n v="371"/>
    <x v="2"/>
    <x v="318"/>
    <x v="1"/>
    <s v="15,6"/>
    <s v="46,8"/>
    <n v="46.8"/>
    <b v="1"/>
  </r>
  <r>
    <n v="324"/>
    <x v="114"/>
    <n v="371"/>
    <x v="2"/>
    <x v="319"/>
    <x v="1"/>
    <s v="7,08"/>
    <s v="21,24"/>
    <n v="21.240000000000002"/>
    <b v="1"/>
  </r>
  <r>
    <n v="325"/>
    <x v="11"/>
    <n v="422"/>
    <x v="14"/>
    <x v="320"/>
    <x v="4"/>
    <s v="3,6"/>
    <s v="21,6"/>
    <n v="21.6"/>
    <b v="1"/>
  </r>
  <r>
    <n v="326"/>
    <x v="106"/>
    <n v="483"/>
    <x v="6"/>
    <x v="321"/>
    <x v="2"/>
    <s v="13,8"/>
    <s v="27,6"/>
    <n v="27.6"/>
    <b v="1"/>
  </r>
  <r>
    <n v="327"/>
    <x v="12"/>
    <n v="347"/>
    <x v="18"/>
    <x v="322"/>
    <x v="2"/>
    <s v="13,08"/>
    <s v="26,16"/>
    <n v="26.16"/>
    <b v="1"/>
  </r>
  <r>
    <n v="328"/>
    <x v="45"/>
    <n v="422"/>
    <x v="14"/>
    <x v="323"/>
    <x v="4"/>
    <s v="2,52"/>
    <s v="15,12"/>
    <n v="15.120000000000001"/>
    <b v="1"/>
  </r>
  <r>
    <n v="329"/>
    <x v="141"/>
    <n v="371"/>
    <x v="2"/>
    <x v="324"/>
    <x v="2"/>
    <n v="24"/>
    <n v="48"/>
    <n v="48"/>
    <b v="1"/>
  </r>
  <r>
    <n v="330"/>
    <x v="2"/>
    <n v="55"/>
    <x v="17"/>
    <x v="325"/>
    <x v="1"/>
    <s v="8,52"/>
    <s v="25,56"/>
    <n v="25.56"/>
    <b v="1"/>
  </r>
  <r>
    <n v="331"/>
    <x v="84"/>
    <n v="347"/>
    <x v="18"/>
    <x v="326"/>
    <x v="2"/>
    <s v="9,36"/>
    <s v="18,72"/>
    <n v="18.72"/>
    <b v="1"/>
  </r>
  <r>
    <n v="332"/>
    <x v="117"/>
    <n v="500"/>
    <x v="43"/>
    <x v="206"/>
    <x v="5"/>
    <s v="7,8"/>
    <s v="31,2"/>
    <n v="31.2"/>
    <b v="1"/>
  </r>
  <r>
    <n v="333"/>
    <x v="150"/>
    <n v="484"/>
    <x v="37"/>
    <x v="327"/>
    <x v="1"/>
    <n v="9"/>
    <n v="27"/>
    <n v="27"/>
    <b v="1"/>
  </r>
  <r>
    <n v="334"/>
    <x v="151"/>
    <n v="227"/>
    <x v="15"/>
    <x v="328"/>
    <x v="2"/>
    <s v="12,72"/>
    <s v="25,44"/>
    <n v="25.44"/>
    <b v="1"/>
  </r>
  <r>
    <n v="335"/>
    <x v="40"/>
    <n v="26"/>
    <x v="13"/>
    <x v="329"/>
    <x v="1"/>
    <s v="4,8"/>
    <s v="14,4"/>
    <n v="14.399999999999999"/>
    <b v="1"/>
  </r>
  <r>
    <n v="336"/>
    <x v="71"/>
    <n v="347"/>
    <x v="18"/>
    <x v="330"/>
    <x v="1"/>
    <s v="8,4"/>
    <s v="25,2"/>
    <n v="25.200000000000003"/>
    <b v="1"/>
  </r>
  <r>
    <n v="337"/>
    <x v="152"/>
    <n v="17"/>
    <x v="9"/>
    <x v="331"/>
    <x v="2"/>
    <s v="14,4"/>
    <s v="28,8"/>
    <n v="28.8"/>
    <b v="1"/>
  </r>
  <r>
    <n v="338"/>
    <x v="53"/>
    <n v="8"/>
    <x v="1"/>
    <x v="332"/>
    <x v="4"/>
    <s v="1,92"/>
    <s v="11,52"/>
    <n v="11.52"/>
    <b v="1"/>
  </r>
  <r>
    <n v="339"/>
    <x v="53"/>
    <n v="422"/>
    <x v="14"/>
    <x v="333"/>
    <x v="4"/>
    <s v="1,92"/>
    <s v="11,52"/>
    <n v="11.52"/>
    <b v="1"/>
  </r>
  <r>
    <n v="340"/>
    <x v="118"/>
    <n v="17"/>
    <x v="9"/>
    <x v="334"/>
    <x v="2"/>
    <s v="6,72"/>
    <s v="13,44"/>
    <n v="13.44"/>
    <b v="1"/>
  </r>
  <r>
    <n v="341"/>
    <x v="44"/>
    <n v="55"/>
    <x v="17"/>
    <x v="335"/>
    <x v="0"/>
    <s v="14,4"/>
    <s v="14,4"/>
    <n v="14.4"/>
    <b v="1"/>
  </r>
  <r>
    <n v="342"/>
    <x v="34"/>
    <n v="71"/>
    <x v="35"/>
    <x v="336"/>
    <x v="2"/>
    <s v="11,04"/>
    <s v="22,08"/>
    <n v="22.08"/>
    <b v="1"/>
  </r>
  <r>
    <n v="343"/>
    <x v="75"/>
    <n v="75"/>
    <x v="16"/>
    <x v="337"/>
    <x v="1"/>
    <s v="7,8"/>
    <s v="23,4"/>
    <n v="23.4"/>
    <b v="1"/>
  </r>
  <r>
    <n v="344"/>
    <x v="127"/>
    <n v="8"/>
    <x v="1"/>
    <x v="338"/>
    <x v="4"/>
    <s v="13,44"/>
    <s v="80,64"/>
    <n v="80.64"/>
    <b v="1"/>
  </r>
  <r>
    <n v="345"/>
    <x v="105"/>
    <n v="481"/>
    <x v="28"/>
    <x v="339"/>
    <x v="2"/>
    <s v="11,88"/>
    <s v="23,76"/>
    <n v="23.76"/>
    <b v="1"/>
  </r>
  <r>
    <n v="346"/>
    <x v="141"/>
    <n v="479"/>
    <x v="19"/>
    <x v="340"/>
    <x v="2"/>
    <n v="24"/>
    <n v="48"/>
    <n v="48"/>
    <b v="1"/>
  </r>
  <r>
    <n v="347"/>
    <x v="34"/>
    <n v="347"/>
    <x v="18"/>
    <x v="341"/>
    <x v="2"/>
    <s v="11,04"/>
    <s v="22,08"/>
    <n v="22.08"/>
    <b v="1"/>
  </r>
  <r>
    <n v="348"/>
    <x v="7"/>
    <n v="55"/>
    <x v="17"/>
    <x v="342"/>
    <x v="7"/>
    <s v="4,56"/>
    <s v="45,6"/>
    <n v="45.599999999999994"/>
    <b v="1"/>
  </r>
  <r>
    <n v="349"/>
    <x v="114"/>
    <n v="76"/>
    <x v="3"/>
    <x v="343"/>
    <x v="2"/>
    <s v="7,08"/>
    <s v="14,16"/>
    <n v="14.16"/>
    <b v="1"/>
  </r>
  <r>
    <n v="350"/>
    <x v="153"/>
    <n v="475"/>
    <x v="41"/>
    <x v="344"/>
    <x v="1"/>
    <s v="6,6"/>
    <s v="19,8"/>
    <n v="19.799999999999997"/>
    <b v="1"/>
  </r>
  <r>
    <n v="351"/>
    <x v="114"/>
    <n v="26"/>
    <x v="13"/>
    <x v="345"/>
    <x v="1"/>
    <s v="7,08"/>
    <s v="21,24"/>
    <n v="21.240000000000002"/>
    <b v="1"/>
  </r>
  <r>
    <n v="352"/>
    <x v="21"/>
    <n v="55"/>
    <x v="17"/>
    <x v="346"/>
    <x v="1"/>
    <s v="4,8"/>
    <s v="14,4"/>
    <n v="14.399999999999999"/>
    <b v="1"/>
  </r>
  <r>
    <n v="353"/>
    <x v="91"/>
    <n v="422"/>
    <x v="14"/>
    <x v="347"/>
    <x v="2"/>
    <s v="18,12"/>
    <s v="36,24"/>
    <n v="36.24"/>
    <b v="1"/>
  </r>
  <r>
    <n v="354"/>
    <x v="154"/>
    <n v="227"/>
    <x v="15"/>
    <x v="348"/>
    <x v="5"/>
    <s v="18,12"/>
    <s v="72,48"/>
    <n v="72.48"/>
    <b v="1"/>
  </r>
  <r>
    <n v="355"/>
    <x v="7"/>
    <n v="17"/>
    <x v="9"/>
    <x v="239"/>
    <x v="4"/>
    <s v="4,56"/>
    <s v="27,36"/>
    <n v="27.36"/>
    <b v="1"/>
  </r>
  <r>
    <n v="356"/>
    <x v="48"/>
    <n v="75"/>
    <x v="16"/>
    <x v="216"/>
    <x v="2"/>
    <s v="4,56"/>
    <s v="9,12"/>
    <n v="9.1199999999999992"/>
    <b v="1"/>
  </r>
  <r>
    <n v="357"/>
    <x v="85"/>
    <n v="481"/>
    <x v="28"/>
    <x v="125"/>
    <x v="2"/>
    <s v="10,8"/>
    <s v="21,6"/>
    <n v="21.6"/>
    <b v="1"/>
  </r>
  <r>
    <n v="358"/>
    <x v="61"/>
    <n v="78"/>
    <x v="8"/>
    <x v="349"/>
    <x v="2"/>
    <s v="10,44"/>
    <s v="20,88"/>
    <n v="20.88"/>
    <b v="1"/>
  </r>
  <r>
    <n v="359"/>
    <x v="75"/>
    <n v="26"/>
    <x v="13"/>
    <x v="350"/>
    <x v="1"/>
    <s v="7,8"/>
    <s v="23,4"/>
    <n v="23.4"/>
    <b v="1"/>
  </r>
  <r>
    <n v="360"/>
    <x v="40"/>
    <n v="133"/>
    <x v="44"/>
    <x v="351"/>
    <x v="0"/>
    <s v="4,8"/>
    <s v="4,8"/>
    <n v="4.8"/>
    <b v="1"/>
  </r>
  <r>
    <n v="361"/>
    <x v="8"/>
    <n v="347"/>
    <x v="18"/>
    <x v="352"/>
    <x v="1"/>
    <s v="7,08"/>
    <s v="21,24"/>
    <n v="21.240000000000002"/>
    <b v="1"/>
  </r>
  <r>
    <n v="362"/>
    <x v="35"/>
    <n v="55"/>
    <x v="17"/>
    <x v="353"/>
    <x v="2"/>
    <s v="7,8"/>
    <s v="15,6"/>
    <n v="15.6"/>
    <b v="1"/>
  </r>
  <r>
    <n v="363"/>
    <x v="40"/>
    <n v="158"/>
    <x v="5"/>
    <x v="354"/>
    <x v="0"/>
    <s v="4,8"/>
    <s v="4,8"/>
    <n v="4.8"/>
    <b v="1"/>
  </r>
  <r>
    <n v="364"/>
    <x v="33"/>
    <n v="158"/>
    <x v="5"/>
    <x v="355"/>
    <x v="0"/>
    <s v="14,4"/>
    <s v="14,4"/>
    <n v="14.4"/>
    <b v="1"/>
  </r>
  <r>
    <n v="365"/>
    <x v="107"/>
    <n v="8"/>
    <x v="1"/>
    <x v="356"/>
    <x v="1"/>
    <n v="33"/>
    <n v="99"/>
    <n v="99"/>
    <b v="1"/>
  </r>
  <r>
    <n v="366"/>
    <x v="4"/>
    <n v="17"/>
    <x v="9"/>
    <x v="357"/>
    <x v="1"/>
    <s v="14,4"/>
    <s v="43,2"/>
    <n v="43.2"/>
    <b v="1"/>
  </r>
  <r>
    <n v="367"/>
    <x v="45"/>
    <n v="60"/>
    <x v="17"/>
    <x v="358"/>
    <x v="4"/>
    <s v="2,52"/>
    <s v="15,12"/>
    <n v="15.120000000000001"/>
    <b v="1"/>
  </r>
  <r>
    <n v="368"/>
    <x v="68"/>
    <n v="479"/>
    <x v="19"/>
    <x v="359"/>
    <x v="2"/>
    <s v="29,4"/>
    <s v="58,8"/>
    <n v="58.8"/>
    <b v="1"/>
  </r>
  <r>
    <n v="369"/>
    <x v="33"/>
    <n v="133"/>
    <x v="44"/>
    <x v="360"/>
    <x v="0"/>
    <s v="14,4"/>
    <s v="14,4"/>
    <n v="14.4"/>
    <b v="1"/>
  </r>
  <r>
    <n v="370"/>
    <x v="3"/>
    <n v="158"/>
    <x v="5"/>
    <x v="361"/>
    <x v="2"/>
    <s v="12,6"/>
    <s v="25,2"/>
    <n v="25.2"/>
    <b v="1"/>
  </r>
  <r>
    <n v="371"/>
    <x v="96"/>
    <n v="158"/>
    <x v="5"/>
    <x v="362"/>
    <x v="2"/>
    <s v="13,92"/>
    <s v="27,84"/>
    <n v="27.84"/>
    <b v="1"/>
  </r>
  <r>
    <n v="372"/>
    <x v="155"/>
    <n v="473"/>
    <x v="33"/>
    <x v="363"/>
    <x v="5"/>
    <s v="7,08"/>
    <s v="28,32"/>
    <n v="28.32"/>
    <b v="1"/>
  </r>
  <r>
    <n v="373"/>
    <x v="74"/>
    <n v="36"/>
    <x v="24"/>
    <x v="364"/>
    <x v="2"/>
    <s v="12,72"/>
    <s v="25,44"/>
    <n v="25.44"/>
    <b v="1"/>
  </r>
  <r>
    <n v="374"/>
    <x v="114"/>
    <n v="36"/>
    <x v="24"/>
    <x v="365"/>
    <x v="2"/>
    <s v="7,08"/>
    <s v="14,16"/>
    <n v="14.16"/>
    <b v="1"/>
  </r>
  <r>
    <n v="375"/>
    <x v="22"/>
    <n v="371"/>
    <x v="2"/>
    <x v="366"/>
    <x v="2"/>
    <s v="6,6"/>
    <s v="13,2"/>
    <n v="13.2"/>
    <b v="1"/>
  </r>
  <r>
    <n v="376"/>
    <x v="156"/>
    <n v="72"/>
    <x v="31"/>
    <x v="367"/>
    <x v="2"/>
    <s v="12,72"/>
    <s v="25,44"/>
    <n v="25.44"/>
    <b v="1"/>
  </r>
  <r>
    <n v="377"/>
    <x v="124"/>
    <n v="481"/>
    <x v="28"/>
    <x v="368"/>
    <x v="2"/>
    <s v="11,88"/>
    <s v="23,76"/>
    <n v="23.76"/>
    <b v="1"/>
  </r>
  <r>
    <n v="378"/>
    <x v="157"/>
    <n v="17"/>
    <x v="9"/>
    <x v="369"/>
    <x v="2"/>
    <s v="25,56"/>
    <s v="51,12"/>
    <n v="51.12"/>
    <b v="1"/>
  </r>
  <r>
    <n v="379"/>
    <x v="70"/>
    <n v="75"/>
    <x v="16"/>
    <x v="370"/>
    <x v="1"/>
    <s v="8,4"/>
    <s v="25,2"/>
    <n v="25.200000000000003"/>
    <b v="1"/>
  </r>
  <r>
    <n v="380"/>
    <x v="3"/>
    <n v="75"/>
    <x v="16"/>
    <x v="371"/>
    <x v="2"/>
    <s v="12,6"/>
    <s v="25,2"/>
    <n v="25.2"/>
    <b v="1"/>
  </r>
  <r>
    <n v="381"/>
    <x v="44"/>
    <n v="485"/>
    <x v="50"/>
    <x v="372"/>
    <x v="1"/>
    <s v="14,4"/>
    <s v="43,2"/>
    <n v="43.2"/>
    <b v="1"/>
  </r>
  <r>
    <n v="382"/>
    <x v="36"/>
    <n v="26"/>
    <x v="13"/>
    <x v="373"/>
    <x v="1"/>
    <s v="11,88"/>
    <s v="35,64"/>
    <n v="35.64"/>
    <b v="1"/>
  </r>
  <r>
    <n v="383"/>
    <x v="80"/>
    <n v="25"/>
    <x v="51"/>
    <x v="374"/>
    <x v="1"/>
    <n v="9"/>
    <n v="27"/>
    <n v="27"/>
    <b v="1"/>
  </r>
  <r>
    <n v="384"/>
    <x v="153"/>
    <n v="475"/>
    <x v="41"/>
    <x v="344"/>
    <x v="1"/>
    <s v="6,6"/>
    <s v="19,8"/>
    <n v="19.799999999999997"/>
    <b v="1"/>
  </r>
  <r>
    <n v="385"/>
    <x v="86"/>
    <n v="26"/>
    <x v="13"/>
    <x v="375"/>
    <x v="1"/>
    <s v="19,32"/>
    <s v="57,96"/>
    <n v="57.96"/>
    <b v="1"/>
  </r>
  <r>
    <n v="386"/>
    <x v="34"/>
    <n v="158"/>
    <x v="5"/>
    <x v="376"/>
    <x v="2"/>
    <s v="11,04"/>
    <s v="22,08"/>
    <n v="22.08"/>
    <b v="1"/>
  </r>
  <r>
    <n v="387"/>
    <x v="40"/>
    <n v="75"/>
    <x v="16"/>
    <x v="377"/>
    <x v="1"/>
    <s v="4,8"/>
    <s v="14,4"/>
    <n v="14.399999999999999"/>
    <b v="1"/>
  </r>
  <r>
    <n v="388"/>
    <x v="158"/>
    <n v="17"/>
    <x v="9"/>
    <x v="378"/>
    <x v="5"/>
    <s v="14,4"/>
    <s v="57,6"/>
    <n v="57.6"/>
    <b v="1"/>
  </r>
  <r>
    <n v="389"/>
    <x v="159"/>
    <n v="125"/>
    <x v="4"/>
    <x v="379"/>
    <x v="5"/>
    <s v="18,12"/>
    <s v="72,48"/>
    <n v="72.48"/>
    <b v="1"/>
  </r>
  <r>
    <n v="390"/>
    <x v="45"/>
    <n v="55"/>
    <x v="17"/>
    <x v="380"/>
    <x v="4"/>
    <s v="2,52"/>
    <s v="15,12"/>
    <n v="15.120000000000001"/>
    <b v="1"/>
  </r>
  <r>
    <n v="391"/>
    <x v="50"/>
    <n v="55"/>
    <x v="17"/>
    <x v="381"/>
    <x v="4"/>
    <s v="11,88"/>
    <s v="71,28"/>
    <n v="71.28"/>
    <b v="1"/>
  </r>
  <r>
    <n v="392"/>
    <x v="84"/>
    <n v="76"/>
    <x v="3"/>
    <x v="382"/>
    <x v="2"/>
    <s v="9,36"/>
    <s v="18,72"/>
    <n v="18.72"/>
    <b v="1"/>
  </r>
  <r>
    <n v="393"/>
    <x v="7"/>
    <n v="26"/>
    <x v="13"/>
    <x v="383"/>
    <x v="3"/>
    <s v="4,56"/>
    <s v="36,48"/>
    <n v="36.479999999999997"/>
    <b v="1"/>
  </r>
  <r>
    <n v="394"/>
    <x v="156"/>
    <n v="36"/>
    <x v="24"/>
    <x v="384"/>
    <x v="2"/>
    <s v="12,72"/>
    <s v="25,44"/>
    <n v="25.44"/>
    <b v="1"/>
  </r>
  <r>
    <n v="395"/>
    <x v="149"/>
    <n v="422"/>
    <x v="14"/>
    <x v="385"/>
    <x v="1"/>
    <s v="15,6"/>
    <s v="46,8"/>
    <n v="46.8"/>
    <b v="1"/>
  </r>
  <r>
    <n v="396"/>
    <x v="36"/>
    <n v="347"/>
    <x v="18"/>
    <x v="386"/>
    <x v="1"/>
    <s v="11,88"/>
    <s v="35,64"/>
    <n v="35.64"/>
    <b v="1"/>
  </r>
  <r>
    <n v="397"/>
    <x v="8"/>
    <n v="26"/>
    <x v="13"/>
    <x v="387"/>
    <x v="1"/>
    <s v="7,08"/>
    <s v="21,24"/>
    <n v="21.240000000000002"/>
    <b v="1"/>
  </r>
  <r>
    <n v="398"/>
    <x v="142"/>
    <n v="481"/>
    <x v="28"/>
    <x v="296"/>
    <x v="2"/>
    <s v="10,8"/>
    <s v="21,6"/>
    <n v="21.6"/>
    <b v="1"/>
  </r>
  <r>
    <n v="399"/>
    <x v="46"/>
    <n v="72"/>
    <x v="31"/>
    <x v="388"/>
    <x v="5"/>
    <s v="12,72"/>
    <s v="50,88"/>
    <n v="50.88"/>
    <b v="1"/>
  </r>
  <r>
    <n v="400"/>
    <x v="160"/>
    <n v="475"/>
    <x v="41"/>
    <x v="389"/>
    <x v="2"/>
    <s v="12,72"/>
    <s v="25,44"/>
    <n v="25.44"/>
    <b v="1"/>
  </r>
  <r>
    <n v="401"/>
    <x v="106"/>
    <n v="75"/>
    <x v="16"/>
    <x v="390"/>
    <x v="2"/>
    <s v="13,8"/>
    <s v="27,6"/>
    <n v="27.6"/>
    <b v="1"/>
  </r>
  <r>
    <n v="402"/>
    <x v="127"/>
    <n v="489"/>
    <x v="46"/>
    <x v="285"/>
    <x v="1"/>
    <s v="13,44"/>
    <s v="40,32"/>
    <n v="40.32"/>
    <b v="1"/>
  </r>
  <r>
    <n v="403"/>
    <x v="96"/>
    <n v="371"/>
    <x v="2"/>
    <x v="391"/>
    <x v="2"/>
    <s v="13,92"/>
    <s v="27,84"/>
    <n v="27.84"/>
    <b v="1"/>
  </r>
  <r>
    <n v="404"/>
    <x v="33"/>
    <n v="485"/>
    <x v="50"/>
    <x v="392"/>
    <x v="1"/>
    <s v="14,4"/>
    <s v="43,2"/>
    <n v="43.2"/>
    <b v="1"/>
  </r>
  <r>
    <n v="405"/>
    <x v="12"/>
    <n v="71"/>
    <x v="35"/>
    <x v="393"/>
    <x v="0"/>
    <s v="13,08"/>
    <s v="13,08"/>
    <n v="13.08"/>
    <b v="1"/>
  </r>
  <r>
    <n v="406"/>
    <x v="44"/>
    <n v="75"/>
    <x v="16"/>
    <x v="394"/>
    <x v="1"/>
    <s v="14,4"/>
    <s v="43,2"/>
    <n v="43.2"/>
    <b v="1"/>
  </r>
  <r>
    <n v="407"/>
    <x v="37"/>
    <n v="422"/>
    <x v="14"/>
    <x v="395"/>
    <x v="2"/>
    <s v="12,72"/>
    <s v="25,44"/>
    <n v="25.44"/>
    <b v="1"/>
  </r>
  <r>
    <n v="408"/>
    <x v="149"/>
    <n v="347"/>
    <x v="18"/>
    <x v="396"/>
    <x v="1"/>
    <s v="15,6"/>
    <s v="46,8"/>
    <n v="46.8"/>
    <b v="1"/>
  </r>
  <r>
    <n v="409"/>
    <x v="96"/>
    <n v="55"/>
    <x v="17"/>
    <x v="397"/>
    <x v="2"/>
    <s v="13,92"/>
    <s v="27,84"/>
    <n v="27.84"/>
    <b v="1"/>
  </r>
  <r>
    <n v="410"/>
    <x v="91"/>
    <n v="36"/>
    <x v="24"/>
    <x v="398"/>
    <x v="2"/>
    <s v="18,12"/>
    <s v="36,24"/>
    <n v="36.24"/>
    <b v="1"/>
  </r>
  <r>
    <n v="411"/>
    <x v="114"/>
    <n v="479"/>
    <x v="19"/>
    <x v="399"/>
    <x v="2"/>
    <s v="7,08"/>
    <s v="14,16"/>
    <n v="14.16"/>
    <b v="1"/>
  </r>
  <r>
    <n v="412"/>
    <x v="44"/>
    <n v="422"/>
    <x v="14"/>
    <x v="400"/>
    <x v="1"/>
    <s v="14,4"/>
    <s v="43,2"/>
    <n v="43.2"/>
    <b v="1"/>
  </r>
  <r>
    <n v="413"/>
    <x v="161"/>
    <n v="441"/>
    <x v="45"/>
    <x v="401"/>
    <x v="2"/>
    <s v="15,6"/>
    <s v="31,2"/>
    <n v="31.2"/>
    <b v="1"/>
  </r>
  <r>
    <n v="414"/>
    <x v="34"/>
    <n v="26"/>
    <x v="13"/>
    <x v="402"/>
    <x v="2"/>
    <s v="11,04"/>
    <s v="22,08"/>
    <n v="22.08"/>
    <b v="1"/>
  </r>
  <r>
    <n v="415"/>
    <x v="127"/>
    <n v="17"/>
    <x v="9"/>
    <x v="246"/>
    <x v="1"/>
    <s v="13,44"/>
    <s v="40,32"/>
    <n v="40.32"/>
    <b v="1"/>
  </r>
  <r>
    <n v="416"/>
    <x v="102"/>
    <n v="55"/>
    <x v="17"/>
    <x v="403"/>
    <x v="3"/>
    <s v="10,2"/>
    <s v="81,6"/>
    <n v="81.599999999999994"/>
    <b v="1"/>
  </r>
  <r>
    <n v="417"/>
    <x v="21"/>
    <n v="479"/>
    <x v="19"/>
    <x v="404"/>
    <x v="1"/>
    <s v="4,8"/>
    <s v="14,4"/>
    <n v="14.399999999999999"/>
    <b v="1"/>
  </r>
  <r>
    <n v="418"/>
    <x v="162"/>
    <n v="475"/>
    <x v="41"/>
    <x v="405"/>
    <x v="1"/>
    <s v="12,6"/>
    <s v="37,8"/>
    <n v="37.799999999999997"/>
    <b v="1"/>
  </r>
  <r>
    <n v="419"/>
    <x v="67"/>
    <n v="76"/>
    <x v="3"/>
    <x v="406"/>
    <x v="1"/>
    <s v="13,32"/>
    <s v="39,96"/>
    <n v="39.96"/>
    <b v="1"/>
  </r>
  <r>
    <n v="420"/>
    <x v="84"/>
    <n v="422"/>
    <x v="14"/>
    <x v="407"/>
    <x v="2"/>
    <s v="9,36"/>
    <s v="18,72"/>
    <n v="18.72"/>
    <b v="1"/>
  </r>
  <r>
    <n v="421"/>
    <x v="125"/>
    <n v="72"/>
    <x v="31"/>
    <x v="408"/>
    <x v="2"/>
    <s v="12,72"/>
    <s v="25,44"/>
    <n v="25.44"/>
    <b v="1"/>
  </r>
  <r>
    <n v="422"/>
    <x v="7"/>
    <n v="55"/>
    <x v="17"/>
    <x v="342"/>
    <x v="8"/>
    <s v="4,56"/>
    <s v="22,8"/>
    <n v="22.799999999999997"/>
    <b v="1"/>
  </r>
  <r>
    <n v="423"/>
    <x v="149"/>
    <n v="55"/>
    <x v="17"/>
    <x v="409"/>
    <x v="1"/>
    <s v="15,6"/>
    <s v="46,8"/>
    <n v="46.8"/>
    <b v="1"/>
  </r>
  <r>
    <n v="424"/>
    <x v="75"/>
    <n v="422"/>
    <x v="14"/>
    <x v="410"/>
    <x v="2"/>
    <s v="7,8"/>
    <s v="15,6"/>
    <n v="15.6"/>
    <b v="1"/>
  </r>
  <r>
    <n v="425"/>
    <x v="114"/>
    <n v="133"/>
    <x v="44"/>
    <x v="411"/>
    <x v="2"/>
    <s v="7,08"/>
    <s v="14,16"/>
    <n v="14.16"/>
    <b v="1"/>
  </r>
  <r>
    <n v="426"/>
    <x v="79"/>
    <n v="54"/>
    <x v="39"/>
    <x v="412"/>
    <x v="3"/>
    <s v="9,6"/>
    <s v="76,8"/>
    <n v="76.8"/>
    <b v="1"/>
  </r>
  <r>
    <n v="427"/>
    <x v="63"/>
    <n v="499"/>
    <x v="52"/>
    <x v="413"/>
    <x v="1"/>
    <s v="18,96"/>
    <s v="56,88"/>
    <n v="56.88"/>
    <b v="1"/>
  </r>
  <r>
    <n v="428"/>
    <x v="54"/>
    <n v="76"/>
    <x v="3"/>
    <x v="414"/>
    <x v="2"/>
    <s v="11,88"/>
    <s v="23,76"/>
    <n v="23.76"/>
    <b v="1"/>
  </r>
  <r>
    <n v="429"/>
    <x v="3"/>
    <n v="347"/>
    <x v="18"/>
    <x v="415"/>
    <x v="2"/>
    <s v="12,6"/>
    <s v="25,2"/>
    <n v="25.2"/>
    <b v="1"/>
  </r>
  <r>
    <n v="430"/>
    <x v="98"/>
    <n v="479"/>
    <x v="19"/>
    <x v="416"/>
    <x v="1"/>
    <s v="16,32"/>
    <s v="48,96"/>
    <n v="48.96"/>
    <b v="1"/>
  </r>
  <r>
    <n v="431"/>
    <x v="91"/>
    <n v="55"/>
    <x v="17"/>
    <x v="417"/>
    <x v="2"/>
    <s v="18,12"/>
    <s v="36,24"/>
    <n v="36.24"/>
    <b v="1"/>
  </r>
  <r>
    <n v="432"/>
    <x v="149"/>
    <n v="76"/>
    <x v="3"/>
    <x v="418"/>
    <x v="1"/>
    <s v="15,6"/>
    <s v="46,8"/>
    <n v="46.8"/>
    <b v="1"/>
  </r>
  <r>
    <n v="433"/>
    <x v="77"/>
    <n v="17"/>
    <x v="9"/>
    <x v="419"/>
    <x v="1"/>
    <s v="9,6"/>
    <s v="28,8"/>
    <n v="28.799999999999997"/>
    <b v="1"/>
  </r>
  <r>
    <n v="434"/>
    <x v="36"/>
    <n v="422"/>
    <x v="14"/>
    <x v="420"/>
    <x v="1"/>
    <s v="11,88"/>
    <s v="35,64"/>
    <n v="35.64"/>
    <b v="1"/>
  </r>
  <r>
    <n v="435"/>
    <x v="59"/>
    <n v="55"/>
    <x v="17"/>
    <x v="421"/>
    <x v="2"/>
    <s v="11,88"/>
    <s v="23,76"/>
    <n v="23.76"/>
    <b v="1"/>
  </r>
  <r>
    <n v="436"/>
    <x v="114"/>
    <n v="89"/>
    <x v="53"/>
    <x v="422"/>
    <x v="2"/>
    <s v="7,08"/>
    <s v="14,16"/>
    <n v="14.16"/>
    <b v="1"/>
  </r>
  <r>
    <n v="437"/>
    <x v="40"/>
    <n v="76"/>
    <x v="3"/>
    <x v="423"/>
    <x v="1"/>
    <s v="4,8"/>
    <s v="14,4"/>
    <n v="14.399999999999999"/>
    <b v="1"/>
  </r>
  <r>
    <n v="438"/>
    <x v="127"/>
    <n v="8"/>
    <x v="1"/>
    <x v="338"/>
    <x v="1"/>
    <s v="13,44"/>
    <s v="40,32"/>
    <n v="40.32"/>
    <b v="1"/>
  </r>
  <r>
    <n v="439"/>
    <x v="163"/>
    <n v="55"/>
    <x v="17"/>
    <x v="424"/>
    <x v="1"/>
    <s v="7,2"/>
    <s v="21,6"/>
    <n v="21.6"/>
    <b v="1"/>
  </r>
  <r>
    <n v="440"/>
    <x v="143"/>
    <n v="480"/>
    <x v="22"/>
    <x v="425"/>
    <x v="2"/>
    <s v="10,8"/>
    <s v="21,6"/>
    <n v="21.6"/>
    <b v="1"/>
  </r>
  <r>
    <n v="441"/>
    <x v="109"/>
    <n v="76"/>
    <x v="3"/>
    <x v="183"/>
    <x v="1"/>
    <s v="14,4"/>
    <s v="43,2"/>
    <n v="43.2"/>
    <b v="1"/>
  </r>
  <r>
    <n v="442"/>
    <x v="114"/>
    <n v="55"/>
    <x v="17"/>
    <x v="426"/>
    <x v="2"/>
    <s v="7,08"/>
    <s v="14,16"/>
    <n v="14.16"/>
    <b v="1"/>
  </r>
  <r>
    <n v="443"/>
    <x v="106"/>
    <n v="371"/>
    <x v="2"/>
    <x v="427"/>
    <x v="2"/>
    <s v="13,8"/>
    <s v="27,6"/>
    <n v="27.6"/>
    <b v="1"/>
  </r>
  <r>
    <n v="444"/>
    <x v="13"/>
    <n v="17"/>
    <x v="9"/>
    <x v="13"/>
    <x v="2"/>
    <s v="11,88"/>
    <s v="23,76"/>
    <n v="23.76"/>
    <b v="1"/>
  </r>
  <r>
    <n v="445"/>
    <x v="28"/>
    <n v="76"/>
    <x v="3"/>
    <x v="428"/>
    <x v="2"/>
    <s v="10,8"/>
    <s v="21,6"/>
    <n v="21.6"/>
    <b v="1"/>
  </r>
  <r>
    <n v="446"/>
    <x v="38"/>
    <n v="76"/>
    <x v="3"/>
    <x v="429"/>
    <x v="2"/>
    <s v="14,4"/>
    <s v="28,8"/>
    <n v="28.8"/>
    <b v="1"/>
  </r>
  <r>
    <n v="447"/>
    <x v="95"/>
    <n v="26"/>
    <x v="13"/>
    <x v="430"/>
    <x v="1"/>
    <s v="8,4"/>
    <s v="25,2"/>
    <n v="25.200000000000003"/>
    <b v="1"/>
  </r>
  <r>
    <n v="448"/>
    <x v="95"/>
    <n v="422"/>
    <x v="14"/>
    <x v="431"/>
    <x v="1"/>
    <s v="8,4"/>
    <s v="25,2"/>
    <n v="25.200000000000003"/>
    <b v="1"/>
  </r>
  <r>
    <n v="449"/>
    <x v="33"/>
    <n v="479"/>
    <x v="19"/>
    <x v="432"/>
    <x v="1"/>
    <s v="14,4"/>
    <s v="43,2"/>
    <n v="43.2"/>
    <b v="1"/>
  </r>
  <r>
    <n v="450"/>
    <x v="37"/>
    <n v="36"/>
    <x v="24"/>
    <x v="433"/>
    <x v="2"/>
    <s v="12,72"/>
    <s v="25,44"/>
    <n v="25.44"/>
    <b v="1"/>
  </r>
  <r>
    <n v="451"/>
    <x v="59"/>
    <n v="76"/>
    <x v="3"/>
    <x v="434"/>
    <x v="2"/>
    <s v="11,88"/>
    <s v="23,76"/>
    <n v="23.76"/>
    <b v="1"/>
  </r>
  <r>
    <n v="452"/>
    <x v="11"/>
    <n v="36"/>
    <x v="24"/>
    <x v="435"/>
    <x v="4"/>
    <s v="3,6"/>
    <s v="21,6"/>
    <n v="21.6"/>
    <b v="1"/>
  </r>
  <r>
    <n v="453"/>
    <x v="73"/>
    <n v="26"/>
    <x v="13"/>
    <x v="436"/>
    <x v="2"/>
    <s v="9,78"/>
    <s v="19,56"/>
    <n v="19.559999999999999"/>
    <b v="1"/>
  </r>
  <r>
    <n v="454"/>
    <x v="17"/>
    <n v="76"/>
    <x v="3"/>
    <x v="437"/>
    <x v="1"/>
    <s v="7,8"/>
    <s v="23,4"/>
    <n v="23.4"/>
    <b v="1"/>
  </r>
  <r>
    <n v="455"/>
    <x v="81"/>
    <n v="54"/>
    <x v="39"/>
    <x v="438"/>
    <x v="4"/>
    <s v="7,2"/>
    <s v="43,2"/>
    <n v="43.2"/>
    <b v="1"/>
  </r>
  <r>
    <n v="456"/>
    <x v="52"/>
    <n v="55"/>
    <x v="17"/>
    <x v="439"/>
    <x v="2"/>
    <s v="14,4"/>
    <s v="28,8"/>
    <n v="28.8"/>
    <b v="1"/>
  </r>
  <r>
    <n v="457"/>
    <x v="164"/>
    <n v="9"/>
    <x v="11"/>
    <x v="440"/>
    <x v="2"/>
    <s v="20,4"/>
    <s v="40,8"/>
    <n v="40.799999999999997"/>
    <b v="1"/>
  </r>
  <r>
    <n v="458"/>
    <x v="54"/>
    <n v="55"/>
    <x v="17"/>
    <x v="441"/>
    <x v="2"/>
    <s v="11,88"/>
    <s v="23,76"/>
    <n v="23.76"/>
    <b v="1"/>
  </r>
  <r>
    <n v="459"/>
    <x v="50"/>
    <n v="36"/>
    <x v="24"/>
    <x v="442"/>
    <x v="5"/>
    <s v="11,88"/>
    <s v="47,52"/>
    <n v="47.52"/>
    <b v="1"/>
  </r>
  <r>
    <n v="460"/>
    <x v="38"/>
    <n v="78"/>
    <x v="8"/>
    <x v="443"/>
    <x v="0"/>
    <s v="14,4"/>
    <s v="14,4"/>
    <n v="14.4"/>
    <b v="1"/>
  </r>
  <r>
    <n v="461"/>
    <x v="33"/>
    <n v="484"/>
    <x v="37"/>
    <x v="444"/>
    <x v="1"/>
    <s v="14,4"/>
    <s v="43,2"/>
    <n v="43.2"/>
    <b v="1"/>
  </r>
  <r>
    <n v="462"/>
    <x v="77"/>
    <n v="26"/>
    <x v="13"/>
    <x v="445"/>
    <x v="1"/>
    <s v="9,6"/>
    <s v="28,8"/>
    <n v="28.799999999999997"/>
    <b v="1"/>
  </r>
  <r>
    <n v="463"/>
    <x v="165"/>
    <n v="488"/>
    <x v="54"/>
    <x v="446"/>
    <x v="1"/>
    <n v="18"/>
    <n v="54"/>
    <n v="54"/>
    <b v="1"/>
  </r>
  <r>
    <n v="464"/>
    <x v="40"/>
    <n v="78"/>
    <x v="8"/>
    <x v="447"/>
    <x v="0"/>
    <s v="4,8"/>
    <s v="4,8"/>
    <n v="4.8"/>
    <b v="1"/>
  </r>
  <r>
    <n v="465"/>
    <x v="33"/>
    <n v="422"/>
    <x v="14"/>
    <x v="448"/>
    <x v="1"/>
    <s v="14,4"/>
    <s v="43,2"/>
    <n v="43.2"/>
    <b v="1"/>
  </r>
  <r>
    <n v="466"/>
    <x v="166"/>
    <n v="482"/>
    <x v="55"/>
    <x v="449"/>
    <x v="5"/>
    <s v="13,44"/>
    <s v="53,76"/>
    <n v="53.76"/>
    <b v="1"/>
  </r>
  <r>
    <n v="467"/>
    <x v="57"/>
    <n v="76"/>
    <x v="3"/>
    <x v="450"/>
    <x v="2"/>
    <s v="14,4"/>
    <s v="28,8"/>
    <n v="28.8"/>
    <b v="1"/>
  </r>
  <r>
    <n v="468"/>
    <x v="21"/>
    <n v="76"/>
    <x v="3"/>
    <x v="451"/>
    <x v="1"/>
    <s v="4,8"/>
    <s v="14,4"/>
    <n v="14.399999999999999"/>
    <b v="1"/>
  </r>
  <r>
    <n v="469"/>
    <x v="10"/>
    <n v="26"/>
    <x v="13"/>
    <x v="452"/>
    <x v="1"/>
    <s v="11,88"/>
    <s v="35,64"/>
    <n v="35.64"/>
    <b v="1"/>
  </r>
  <r>
    <n v="470"/>
    <x v="52"/>
    <n v="8"/>
    <x v="1"/>
    <x v="453"/>
    <x v="2"/>
    <s v="14,4"/>
    <s v="28,8"/>
    <n v="28.8"/>
    <b v="1"/>
  </r>
  <r>
    <n v="471"/>
    <x v="167"/>
    <n v="474"/>
    <x v="12"/>
    <x v="454"/>
    <x v="2"/>
    <s v="18,12"/>
    <s v="36,24"/>
    <n v="36.24"/>
    <b v="1"/>
  </r>
  <r>
    <n v="472"/>
    <x v="168"/>
    <n v="55"/>
    <x v="17"/>
    <x v="455"/>
    <x v="2"/>
    <s v="18,12"/>
    <s v="36,24"/>
    <n v="36.24"/>
    <b v="1"/>
  </r>
  <r>
    <n v="473"/>
    <x v="73"/>
    <n v="76"/>
    <x v="3"/>
    <x v="456"/>
    <x v="2"/>
    <s v="9,78"/>
    <s v="19,56"/>
    <n v="19.559999999999999"/>
    <b v="1"/>
  </r>
  <r>
    <n v="474"/>
    <x v="45"/>
    <n v="63"/>
    <x v="25"/>
    <x v="358"/>
    <x v="4"/>
    <s v="2,52"/>
    <s v="15,12"/>
    <n v="15.120000000000001"/>
    <b v="1"/>
  </r>
  <r>
    <n v="475"/>
    <x v="88"/>
    <n v="76"/>
    <x v="3"/>
    <x v="457"/>
    <x v="2"/>
    <s v="10,8"/>
    <s v="21,6"/>
    <n v="21.6"/>
    <b v="1"/>
  </r>
  <r>
    <n v="476"/>
    <x v="37"/>
    <n v="76"/>
    <x v="3"/>
    <x v="458"/>
    <x v="2"/>
    <s v="12,72"/>
    <s v="25,44"/>
    <n v="25.44"/>
    <b v="1"/>
  </r>
  <r>
    <n v="477"/>
    <x v="44"/>
    <n v="71"/>
    <x v="35"/>
    <x v="459"/>
    <x v="0"/>
    <s v="14,4"/>
    <s v="14,4"/>
    <n v="14.4"/>
    <b v="1"/>
  </r>
  <r>
    <n v="478"/>
    <x v="150"/>
    <n v="347"/>
    <x v="18"/>
    <x v="460"/>
    <x v="1"/>
    <n v="9"/>
    <n v="27"/>
    <n v="27"/>
    <b v="1"/>
  </r>
  <r>
    <n v="479"/>
    <x v="86"/>
    <n v="76"/>
    <x v="3"/>
    <x v="461"/>
    <x v="1"/>
    <s v="19,32"/>
    <s v="57,96"/>
    <n v="57.96"/>
    <b v="1"/>
  </r>
  <r>
    <n v="480"/>
    <x v="53"/>
    <n v="59"/>
    <x v="17"/>
    <x v="462"/>
    <x v="4"/>
    <s v="1,92"/>
    <s v="11,52"/>
    <n v="11.52"/>
    <b v="1"/>
  </r>
  <r>
    <n v="481"/>
    <x v="118"/>
    <n v="479"/>
    <x v="19"/>
    <x v="463"/>
    <x v="2"/>
    <s v="6,72"/>
    <s v="13,44"/>
    <n v="13.44"/>
    <b v="1"/>
  </r>
  <r>
    <n v="482"/>
    <x v="111"/>
    <n v="55"/>
    <x v="17"/>
    <x v="464"/>
    <x v="2"/>
    <s v="10,8"/>
    <s v="21,6"/>
    <n v="21.6"/>
    <b v="1"/>
  </r>
  <r>
    <n v="483"/>
    <x v="29"/>
    <n v="72"/>
    <x v="31"/>
    <x v="465"/>
    <x v="2"/>
    <s v="15,6"/>
    <s v="31,2"/>
    <n v="31.2"/>
    <b v="1"/>
  </r>
  <r>
    <n v="484"/>
    <x v="169"/>
    <n v="8"/>
    <x v="1"/>
    <x v="466"/>
    <x v="2"/>
    <s v="12,72"/>
    <s v="25,44"/>
    <n v="25.44"/>
    <b v="1"/>
  </r>
  <r>
    <n v="485"/>
    <x v="99"/>
    <n v="76"/>
    <x v="3"/>
    <x v="467"/>
    <x v="2"/>
    <s v="15,6"/>
    <s v="31,2"/>
    <n v="31.2"/>
    <b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Tableau croisé dynamique3" cacheId="31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outline="1" outlineData="1" gridDropZones="1" multipleFieldFilters="0">
  <location ref="A3:C902" firstHeaderRow="1" firstDataRow="2" firstDataCol="1"/>
  <pivotFields count="13">
    <pivotField showAll="0"/>
    <pivotField showAll="0"/>
    <pivotField axis="axisRow" showAll="0">
      <items count="167">
        <item x="30"/>
        <item x="8"/>
        <item x="28"/>
        <item x="132"/>
        <item x="90"/>
        <item x="59"/>
        <item x="17"/>
        <item x="67"/>
        <item x="38"/>
        <item x="9"/>
        <item x="60"/>
        <item x="84"/>
        <item x="124"/>
        <item x="151"/>
        <item x="1"/>
        <item x="148"/>
        <item x="98"/>
        <item x="32"/>
        <item x="153"/>
        <item x="39"/>
        <item x="70"/>
        <item x="19"/>
        <item x="128"/>
        <item x="24"/>
        <item x="66"/>
        <item x="20"/>
        <item x="113"/>
        <item x="21"/>
        <item x="23"/>
        <item x="75"/>
        <item x="42"/>
        <item x="43"/>
        <item x="41"/>
        <item x="26"/>
        <item x="2"/>
        <item x="22"/>
        <item x="133"/>
        <item x="31"/>
        <item x="158"/>
        <item x="105"/>
        <item x="56"/>
        <item x="155"/>
        <item x="76"/>
        <item x="88"/>
        <item x="117"/>
        <item x="121"/>
        <item x="109"/>
        <item x="110"/>
        <item x="111"/>
        <item x="161"/>
        <item x="114"/>
        <item x="96"/>
        <item x="86"/>
        <item x="122"/>
        <item x="83"/>
        <item x="48"/>
        <item x="6"/>
        <item x="16"/>
        <item x="134"/>
        <item x="69"/>
        <item x="97"/>
        <item x="142"/>
        <item x="112"/>
        <item x="150"/>
        <item x="0"/>
        <item x="152"/>
        <item x="104"/>
        <item x="147"/>
        <item x="123"/>
        <item x="74"/>
        <item x="49"/>
        <item x="162"/>
        <item x="159"/>
        <item x="64"/>
        <item x="85"/>
        <item x="65"/>
        <item x="130"/>
        <item x="141"/>
        <item x="157"/>
        <item x="33"/>
        <item x="102"/>
        <item x="52"/>
        <item x="47"/>
        <item x="36"/>
        <item x="135"/>
        <item x="5"/>
        <item x="156"/>
        <item x="149"/>
        <item x="145"/>
        <item x="11"/>
        <item x="34"/>
        <item x="53"/>
        <item x="37"/>
        <item x="68"/>
        <item x="87"/>
        <item x="79"/>
        <item x="138"/>
        <item x="78"/>
        <item x="144"/>
        <item x="45"/>
        <item x="100"/>
        <item x="139"/>
        <item x="160"/>
        <item x="116"/>
        <item x="146"/>
        <item x="129"/>
        <item x="54"/>
        <item x="35"/>
        <item x="94"/>
        <item x="106"/>
        <item x="137"/>
        <item x="57"/>
        <item x="25"/>
        <item x="81"/>
        <item x="119"/>
        <item x="55"/>
        <item x="14"/>
        <item x="50"/>
        <item x="82"/>
        <item x="99"/>
        <item x="154"/>
        <item x="120"/>
        <item x="125"/>
        <item x="140"/>
        <item x="58"/>
        <item x="127"/>
        <item x="136"/>
        <item x="46"/>
        <item x="126"/>
        <item x="51"/>
        <item x="91"/>
        <item x="12"/>
        <item x="77"/>
        <item x="143"/>
        <item x="15"/>
        <item x="71"/>
        <item x="107"/>
        <item x="108"/>
        <item x="115"/>
        <item x="131"/>
        <item x="72"/>
        <item x="73"/>
        <item x="27"/>
        <item x="44"/>
        <item x="40"/>
        <item x="89"/>
        <item x="93"/>
        <item x="13"/>
        <item x="95"/>
        <item x="10"/>
        <item x="163"/>
        <item x="80"/>
        <item x="7"/>
        <item x="18"/>
        <item x="29"/>
        <item x="101"/>
        <item x="3"/>
        <item x="118"/>
        <item x="61"/>
        <item x="4"/>
        <item x="92"/>
        <item x="62"/>
        <item x="63"/>
        <item x="103"/>
        <item m="1" x="165"/>
        <item m="1" x="164"/>
        <item t="default"/>
      </items>
    </pivotField>
    <pivotField showAll="0"/>
    <pivotField axis="axisRow" showAll="0">
      <items count="56">
        <item x="43"/>
        <item x="12"/>
        <item x="52"/>
        <item x="36"/>
        <item x="21"/>
        <item x="23"/>
        <item x="51"/>
        <item x="27"/>
        <item x="0"/>
        <item x="2"/>
        <item x="6"/>
        <item x="49"/>
        <item x="28"/>
        <item x="45"/>
        <item x="3"/>
        <item x="24"/>
        <item x="37"/>
        <item x="20"/>
        <item x="41"/>
        <item x="32"/>
        <item x="26"/>
        <item x="48"/>
        <item x="7"/>
        <item x="25"/>
        <item x="8"/>
        <item x="31"/>
        <item x="18"/>
        <item x="42"/>
        <item x="34"/>
        <item x="19"/>
        <item x="47"/>
        <item x="53"/>
        <item x="30"/>
        <item x="33"/>
        <item x="39"/>
        <item x="40"/>
        <item x="38"/>
        <item x="44"/>
        <item x="50"/>
        <item x="46"/>
        <item x="11"/>
        <item x="1"/>
        <item x="22"/>
        <item x="29"/>
        <item x="14"/>
        <item x="10"/>
        <item x="17"/>
        <item x="13"/>
        <item x="9"/>
        <item x="35"/>
        <item x="16"/>
        <item x="4"/>
        <item x="15"/>
        <item x="5"/>
        <item m="1" x="54"/>
        <item t="default"/>
      </items>
    </pivotField>
    <pivotField axis="axisRow" showAll="0">
      <items count="166">
        <item x="70"/>
        <item x="39"/>
        <item x="8"/>
        <item x="30"/>
        <item x="59"/>
        <item x="17"/>
        <item x="97"/>
        <item x="38"/>
        <item x="150"/>
        <item x="123"/>
        <item x="147"/>
        <item x="9"/>
        <item x="60"/>
        <item x="84"/>
        <item x="32"/>
        <item x="152"/>
        <item x="67"/>
        <item x="28"/>
        <item x="131"/>
        <item x="90"/>
        <item x="10"/>
        <item x="162"/>
        <item x="63"/>
        <item x="29"/>
        <item x="100"/>
        <item x="117"/>
        <item x="61"/>
        <item x="3"/>
        <item x="7"/>
        <item x="62"/>
        <item x="92"/>
        <item x="4"/>
        <item x="102"/>
        <item x="132"/>
        <item x="31"/>
        <item x="56"/>
        <item x="154"/>
        <item x="157"/>
        <item x="104"/>
        <item x="22"/>
        <item x="20"/>
        <item x="112"/>
        <item x="43"/>
        <item x="19"/>
        <item x="127"/>
        <item x="24"/>
        <item x="66"/>
        <item x="21"/>
        <item x="23"/>
        <item x="75"/>
        <item x="42"/>
        <item x="2"/>
        <item x="41"/>
        <item x="26"/>
        <item x="18"/>
        <item x="80"/>
        <item x="72"/>
        <item x="73"/>
        <item x="130"/>
        <item x="114"/>
        <item x="1"/>
        <item x="12"/>
        <item x="91"/>
        <item x="106"/>
        <item x="107"/>
        <item x="71"/>
        <item x="77"/>
        <item x="142"/>
        <item x="15"/>
        <item x="44"/>
        <item x="27"/>
        <item x="40"/>
        <item x="93"/>
        <item x="89"/>
        <item x="13"/>
        <item x="57"/>
        <item x="105"/>
        <item x="136"/>
        <item x="25"/>
        <item x="118"/>
        <item x="55"/>
        <item x="81"/>
        <item x="14"/>
        <item x="36"/>
        <item x="134"/>
        <item x="35"/>
        <item x="145"/>
        <item x="54"/>
        <item x="128"/>
        <item x="158"/>
        <item x="0"/>
        <item x="74"/>
        <item x="122"/>
        <item x="49"/>
        <item x="161"/>
        <item x="103"/>
        <item x="151"/>
        <item x="146"/>
        <item x="47"/>
        <item x="52"/>
        <item x="64"/>
        <item x="33"/>
        <item x="140"/>
        <item x="156"/>
        <item x="101"/>
        <item x="65"/>
        <item x="85"/>
        <item x="129"/>
        <item x="144"/>
        <item x="5"/>
        <item x="34"/>
        <item x="53"/>
        <item x="11"/>
        <item x="155"/>
        <item x="148"/>
        <item x="78"/>
        <item x="37"/>
        <item x="68"/>
        <item x="79"/>
        <item x="137"/>
        <item x="87"/>
        <item x="115"/>
        <item x="159"/>
        <item x="143"/>
        <item x="138"/>
        <item x="99"/>
        <item x="45"/>
        <item x="94"/>
        <item x="86"/>
        <item x="95"/>
        <item x="83"/>
        <item x="121"/>
        <item x="113"/>
        <item x="76"/>
        <item x="116"/>
        <item x="110"/>
        <item x="120"/>
        <item x="108"/>
        <item x="109"/>
        <item x="160"/>
        <item x="88"/>
        <item x="16"/>
        <item x="133"/>
        <item x="96"/>
        <item x="141"/>
        <item x="111"/>
        <item x="149"/>
        <item x="69"/>
        <item x="6"/>
        <item x="48"/>
        <item x="139"/>
        <item x="98"/>
        <item x="153"/>
        <item x="119"/>
        <item x="124"/>
        <item x="82"/>
        <item x="50"/>
        <item x="51"/>
        <item x="135"/>
        <item x="46"/>
        <item x="125"/>
        <item x="126"/>
        <item x="58"/>
        <item m="1" x="164"/>
        <item m="1" x="163"/>
        <item t="default"/>
      </items>
    </pivotField>
    <pivotField dataField="1" showAll="0"/>
    <pivotField showAll="0"/>
    <pivotField showAll="0"/>
    <pivotField dataField="1" showAll="0"/>
    <pivotField showAll="0"/>
    <pivotField showAll="0"/>
    <pivotField axis="axisRow" showAll="0">
      <items count="7">
        <item x="5"/>
        <item x="4"/>
        <item x="1"/>
        <item x="2"/>
        <item x="3"/>
        <item x="0"/>
        <item t="default"/>
      </items>
    </pivotField>
  </pivotFields>
  <rowFields count="4">
    <field x="12"/>
    <field x="5"/>
    <field x="2"/>
    <field x="4"/>
  </rowFields>
  <rowItems count="898">
    <i>
      <x/>
    </i>
    <i r="1">
      <x v="13"/>
    </i>
    <i r="2">
      <x v="11"/>
    </i>
    <i r="3">
      <x v="36"/>
    </i>
    <i r="1">
      <x v="41"/>
    </i>
    <i r="2">
      <x v="26"/>
    </i>
    <i r="3">
      <x v="22"/>
    </i>
    <i r="3">
      <x v="47"/>
    </i>
    <i r="1">
      <x v="49"/>
    </i>
    <i r="2">
      <x v="29"/>
    </i>
    <i r="3">
      <x v="22"/>
    </i>
    <i r="3">
      <x v="26"/>
    </i>
    <i r="3">
      <x v="47"/>
    </i>
    <i r="1">
      <x v="69"/>
    </i>
    <i r="2">
      <x v="143"/>
    </i>
    <i r="3">
      <x v="51"/>
    </i>
    <i r="1">
      <x v="128"/>
    </i>
    <i r="2">
      <x v="52"/>
    </i>
    <i r="3">
      <x v="22"/>
    </i>
    <i>
      <x v="1"/>
    </i>
    <i r="1">
      <x v="39"/>
    </i>
    <i r="2">
      <x v="35"/>
    </i>
    <i r="3">
      <x v="47"/>
    </i>
    <i r="1">
      <x v="45"/>
    </i>
    <i r="2">
      <x v="23"/>
    </i>
    <i r="3">
      <x v="47"/>
    </i>
    <i r="1">
      <x v="48"/>
    </i>
    <i r="2">
      <x v="28"/>
    </i>
    <i r="3">
      <x v="47"/>
    </i>
    <i r="1">
      <x v="50"/>
    </i>
    <i r="2">
      <x v="30"/>
    </i>
    <i r="3">
      <x v="47"/>
    </i>
    <i r="1">
      <x v="51"/>
    </i>
    <i r="2">
      <x v="34"/>
    </i>
    <i r="3">
      <x v="47"/>
    </i>
    <i>
      <x v="2"/>
    </i>
    <i r="1">
      <x/>
    </i>
    <i r="2">
      <x v="20"/>
    </i>
    <i r="3">
      <x v="22"/>
    </i>
    <i r="3">
      <x v="47"/>
    </i>
    <i r="1">
      <x v="1"/>
    </i>
    <i r="2">
      <x v="19"/>
    </i>
    <i r="3">
      <x v="26"/>
    </i>
    <i r="1">
      <x v="2"/>
    </i>
    <i r="2">
      <x v="1"/>
    </i>
    <i r="3">
      <x v="51"/>
    </i>
    <i r="1">
      <x v="3"/>
    </i>
    <i r="2">
      <x/>
    </i>
    <i r="3">
      <x v="22"/>
    </i>
    <i r="3">
      <x v="46"/>
    </i>
    <i r="3">
      <x v="47"/>
    </i>
    <i r="3">
      <x v="51"/>
    </i>
    <i r="1">
      <x v="5"/>
    </i>
    <i r="2">
      <x v="6"/>
    </i>
    <i r="3">
      <x v="47"/>
    </i>
    <i r="1">
      <x v="7"/>
    </i>
    <i r="2">
      <x v="8"/>
    </i>
    <i r="3">
      <x v="22"/>
    </i>
    <i r="1">
      <x v="8"/>
    </i>
    <i r="2">
      <x v="13"/>
    </i>
    <i r="3">
      <x v="19"/>
    </i>
    <i r="1">
      <x v="9"/>
    </i>
    <i r="2">
      <x v="12"/>
    </i>
    <i r="3">
      <x v="22"/>
    </i>
    <i r="3">
      <x v="52"/>
    </i>
    <i r="1">
      <x v="11"/>
    </i>
    <i r="2">
      <x v="9"/>
    </i>
    <i r="3">
      <x v="47"/>
    </i>
    <i r="1">
      <x v="16"/>
    </i>
    <i r="2">
      <x v="7"/>
    </i>
    <i r="3">
      <x v="26"/>
    </i>
    <i r="3">
      <x v="47"/>
    </i>
    <i r="1">
      <x v="20"/>
    </i>
    <i r="2">
      <x v="149"/>
    </i>
    <i r="3">
      <x v="22"/>
    </i>
    <i r="1">
      <x v="23"/>
    </i>
    <i r="2">
      <x v="154"/>
    </i>
    <i r="3">
      <x v="4"/>
    </i>
    <i r="1">
      <x v="24"/>
    </i>
    <i r="2">
      <x v="155"/>
    </i>
    <i r="3">
      <x v="4"/>
    </i>
    <i r="1">
      <x v="25"/>
    </i>
    <i r="2">
      <x v="157"/>
    </i>
    <i r="3">
      <x v="5"/>
    </i>
    <i r="1">
      <x v="26"/>
    </i>
    <i r="2">
      <x v="158"/>
    </i>
    <i r="3">
      <x v="25"/>
    </i>
    <i r="1">
      <x v="27"/>
    </i>
    <i r="2">
      <x v="156"/>
    </i>
    <i r="3">
      <x v="14"/>
    </i>
    <i r="3">
      <x v="16"/>
    </i>
    <i r="1">
      <x v="29"/>
    </i>
    <i r="2">
      <x v="161"/>
    </i>
    <i r="3">
      <x v="22"/>
    </i>
    <i r="1">
      <x v="30"/>
    </i>
    <i r="2">
      <x v="160"/>
    </i>
    <i r="3">
      <x v="22"/>
    </i>
    <i r="3">
      <x v="52"/>
    </i>
    <i r="1">
      <x v="31"/>
    </i>
    <i r="2">
      <x v="159"/>
    </i>
    <i r="3">
      <x v="47"/>
    </i>
    <i r="1">
      <x v="33"/>
    </i>
    <i r="2">
      <x v="36"/>
    </i>
    <i r="3">
      <x v="22"/>
    </i>
    <i r="1">
      <x v="35"/>
    </i>
    <i r="2">
      <x v="40"/>
    </i>
    <i r="3">
      <x v="12"/>
    </i>
    <i r="1">
      <x v="37"/>
    </i>
    <i r="2">
      <x v="38"/>
    </i>
    <i r="3">
      <x v="19"/>
    </i>
    <i r="1">
      <x v="39"/>
    </i>
    <i r="2">
      <x v="35"/>
    </i>
    <i r="3">
      <x v="9"/>
    </i>
    <i r="3">
      <x v="22"/>
    </i>
    <i r="1">
      <x v="40"/>
    </i>
    <i r="2">
      <x v="25"/>
    </i>
    <i r="3">
      <x v="9"/>
    </i>
    <i r="3">
      <x v="22"/>
    </i>
    <i r="1">
      <x v="43"/>
    </i>
    <i r="2">
      <x v="21"/>
    </i>
    <i r="3">
      <x v="9"/>
    </i>
    <i r="3">
      <x v="22"/>
    </i>
    <i r="3">
      <x v="26"/>
    </i>
    <i r="3">
      <x v="27"/>
    </i>
    <i r="3">
      <x v="28"/>
    </i>
    <i r="3">
      <x v="29"/>
    </i>
    <i r="1">
      <x v="45"/>
    </i>
    <i r="2">
      <x v="23"/>
    </i>
    <i r="3">
      <x v="9"/>
    </i>
    <i r="3">
      <x v="22"/>
    </i>
    <i r="3">
      <x v="26"/>
    </i>
    <i r="3">
      <x v="27"/>
    </i>
    <i r="3">
      <x v="28"/>
    </i>
    <i r="3">
      <x v="29"/>
    </i>
    <i r="1">
      <x v="46"/>
    </i>
    <i r="2">
      <x v="24"/>
    </i>
    <i r="3">
      <x v="9"/>
    </i>
    <i r="3">
      <x v="47"/>
    </i>
    <i r="3">
      <x v="51"/>
    </i>
    <i r="1">
      <x v="47"/>
    </i>
    <i r="2">
      <x v="27"/>
    </i>
    <i r="3">
      <x v="22"/>
    </i>
    <i r="1">
      <x v="48"/>
    </i>
    <i r="2">
      <x v="28"/>
    </i>
    <i r="3">
      <x v="9"/>
    </i>
    <i r="3">
      <x v="22"/>
    </i>
    <i r="1">
      <x v="50"/>
    </i>
    <i r="2">
      <x v="30"/>
    </i>
    <i r="3">
      <x v="9"/>
    </i>
    <i r="3">
      <x v="22"/>
    </i>
    <i r="1">
      <x v="51"/>
    </i>
    <i r="2">
      <x v="34"/>
    </i>
    <i r="3">
      <x v="9"/>
    </i>
    <i r="3">
      <x v="22"/>
    </i>
    <i r="3">
      <x v="51"/>
    </i>
    <i r="1">
      <x v="55"/>
    </i>
    <i r="2">
      <x v="151"/>
    </i>
    <i r="3">
      <x v="26"/>
    </i>
    <i r="1">
      <x v="57"/>
    </i>
    <i r="2">
      <x v="141"/>
    </i>
    <i r="3">
      <x v="33"/>
    </i>
    <i r="3">
      <x v="34"/>
    </i>
    <i r="3">
      <x v="35"/>
    </i>
    <i r="1">
      <x v="58"/>
    </i>
    <i r="2">
      <x v="139"/>
    </i>
    <i r="3">
      <x v="30"/>
    </i>
    <i r="1">
      <x v="59"/>
    </i>
    <i r="2">
      <x v="138"/>
    </i>
    <i r="3">
      <x v="1"/>
    </i>
    <i r="3">
      <x v="26"/>
    </i>
    <i r="1">
      <x v="60"/>
    </i>
    <i r="2">
      <x v="14"/>
    </i>
    <i r="3">
      <x v="22"/>
    </i>
    <i r="3">
      <x v="26"/>
    </i>
    <i r="1">
      <x v="62"/>
    </i>
    <i r="2">
      <x v="130"/>
    </i>
    <i r="3">
      <x v="9"/>
    </i>
    <i r="3">
      <x v="27"/>
    </i>
    <i r="1">
      <x v="63"/>
    </i>
    <i r="2">
      <x v="136"/>
    </i>
    <i r="3">
      <x v="51"/>
    </i>
    <i r="1">
      <x v="64"/>
    </i>
    <i r="2">
      <x v="137"/>
    </i>
    <i r="3">
      <x v="9"/>
    </i>
    <i r="1">
      <x v="65"/>
    </i>
    <i r="2">
      <x v="135"/>
    </i>
    <i r="3">
      <x v="9"/>
    </i>
    <i r="1">
      <x v="66"/>
    </i>
    <i r="2">
      <x v="132"/>
    </i>
    <i r="3">
      <x v="1"/>
    </i>
    <i r="1">
      <x v="67"/>
    </i>
    <i r="2">
      <x v="133"/>
    </i>
    <i r="3">
      <x v="2"/>
    </i>
    <i r="1">
      <x v="68"/>
    </i>
    <i r="2">
      <x v="134"/>
    </i>
    <i r="3">
      <x v="1"/>
    </i>
    <i r="1">
      <x v="70"/>
    </i>
    <i r="2">
      <x v="142"/>
    </i>
    <i r="3">
      <x v="51"/>
    </i>
    <i r="1">
      <x v="76"/>
    </i>
    <i r="2">
      <x v="109"/>
    </i>
    <i r="3">
      <x v="12"/>
    </i>
    <i r="1">
      <x v="83"/>
    </i>
    <i r="2">
      <x v="83"/>
    </i>
    <i r="3">
      <x v="1"/>
    </i>
    <i r="3">
      <x v="9"/>
    </i>
    <i r="3">
      <x v="51"/>
    </i>
    <i r="1">
      <x v="84"/>
    </i>
    <i r="2">
      <x v="84"/>
    </i>
    <i r="3">
      <x/>
    </i>
    <i r="1">
      <x v="90"/>
    </i>
    <i r="2">
      <x v="64"/>
    </i>
    <i r="3">
      <x v="1"/>
    </i>
    <i r="3">
      <x v="9"/>
    </i>
    <i r="3">
      <x v="51"/>
    </i>
    <i r="1">
      <x v="91"/>
    </i>
    <i r="2">
      <x v="69"/>
    </i>
    <i r="3">
      <x v="1"/>
    </i>
    <i r="1">
      <x v="92"/>
    </i>
    <i r="2">
      <x v="68"/>
    </i>
    <i r="3">
      <x v="7"/>
    </i>
    <i r="1">
      <x v="93"/>
    </i>
    <i r="2">
      <x v="70"/>
    </i>
    <i r="3">
      <x v="23"/>
    </i>
    <i r="3">
      <x v="24"/>
    </i>
    <i r="1">
      <x v="94"/>
    </i>
    <i r="2">
      <x v="71"/>
    </i>
    <i r="3">
      <x/>
    </i>
    <i r="1">
      <x v="100"/>
    </i>
    <i r="2">
      <x v="73"/>
    </i>
    <i r="3">
      <x v="1"/>
    </i>
    <i r="3">
      <x v="9"/>
    </i>
    <i r="3">
      <x v="51"/>
    </i>
    <i r="1">
      <x v="101"/>
    </i>
    <i r="2">
      <x v="79"/>
    </i>
    <i r="3">
      <x v="1"/>
    </i>
    <i r="1">
      <x v="102"/>
    </i>
    <i r="2">
      <x v="77"/>
    </i>
    <i r="3">
      <x v="23"/>
    </i>
    <i r="3">
      <x v="24"/>
    </i>
    <i r="1">
      <x v="103"/>
    </i>
    <i r="2">
      <x v="78"/>
    </i>
    <i r="3">
      <x v="7"/>
    </i>
    <i r="1">
      <x v="104"/>
    </i>
    <i r="2">
      <x v="80"/>
    </i>
    <i r="3">
      <x/>
    </i>
    <i r="1">
      <x v="108"/>
    </i>
    <i r="2">
      <x v="88"/>
    </i>
    <i r="3">
      <x v="4"/>
    </i>
    <i r="1">
      <x v="109"/>
    </i>
    <i r="2">
      <x v="85"/>
    </i>
    <i r="3">
      <x v="9"/>
    </i>
    <i r="3">
      <x v="51"/>
    </i>
    <i r="1">
      <x v="111"/>
    </i>
    <i r="2">
      <x v="91"/>
    </i>
    <i r="3">
      <x v="20"/>
    </i>
    <i r="1">
      <x v="112"/>
    </i>
    <i r="2">
      <x v="89"/>
    </i>
    <i r="3">
      <x v="23"/>
    </i>
    <i r="3">
      <x v="24"/>
    </i>
    <i r="1">
      <x v="113"/>
    </i>
    <i r="2">
      <x v="86"/>
    </i>
    <i r="3">
      <x v="4"/>
    </i>
    <i r="1">
      <x v="116"/>
    </i>
    <i r="2">
      <x v="92"/>
    </i>
    <i r="3">
      <x v="9"/>
    </i>
    <i r="3">
      <x v="51"/>
    </i>
    <i r="1">
      <x v="118"/>
    </i>
    <i r="2">
      <x v="95"/>
    </i>
    <i r="3">
      <x v="23"/>
    </i>
    <i r="3">
      <x v="24"/>
    </i>
    <i r="1">
      <x v="119"/>
    </i>
    <i r="2">
      <x v="96"/>
    </i>
    <i r="3">
      <x/>
    </i>
    <i r="1">
      <x v="124"/>
    </i>
    <i r="2">
      <x v="101"/>
    </i>
    <i r="3">
      <x v="23"/>
    </i>
    <i r="3">
      <x v="24"/>
    </i>
    <i r="1">
      <x v="126"/>
    </i>
    <i r="2">
      <x v="99"/>
    </i>
    <i r="3">
      <x v="4"/>
    </i>
    <i r="1">
      <x v="130"/>
    </i>
    <i r="2">
      <x v="54"/>
    </i>
    <i r="3">
      <x v="20"/>
    </i>
    <i r="1">
      <x v="133"/>
    </i>
    <i r="2">
      <x v="42"/>
    </i>
    <i r="3">
      <x v="1"/>
    </i>
    <i r="3">
      <x v="52"/>
    </i>
    <i r="1">
      <x v="135"/>
    </i>
    <i r="2">
      <x v="48"/>
    </i>
    <i r="3">
      <x v="23"/>
    </i>
    <i r="3">
      <x v="24"/>
    </i>
    <i r="1">
      <x v="137"/>
    </i>
    <i r="2">
      <x v="46"/>
    </i>
    <i r="3">
      <x v="13"/>
    </i>
    <i r="1">
      <x v="138"/>
    </i>
    <i r="2">
      <x v="47"/>
    </i>
    <i r="3">
      <x v="18"/>
    </i>
    <i r="1">
      <x v="140"/>
    </i>
    <i r="2">
      <x v="43"/>
    </i>
    <i r="3">
      <x v="4"/>
    </i>
    <i r="1">
      <x v="141"/>
    </i>
    <i r="2">
      <x v="57"/>
    </i>
    <i r="3">
      <x v="22"/>
    </i>
    <i r="1">
      <x v="144"/>
    </i>
    <i r="2">
      <x v="61"/>
    </i>
    <i r="3">
      <x v="13"/>
    </i>
    <i r="1">
      <x v="145"/>
    </i>
    <i r="2">
      <x v="62"/>
    </i>
    <i r="3">
      <x v="18"/>
    </i>
    <i r="1">
      <x v="147"/>
    </i>
    <i r="2">
      <x v="59"/>
    </i>
    <i r="3">
      <x v="4"/>
    </i>
    <i r="1">
      <x v="152"/>
    </i>
    <i r="2">
      <x v="120"/>
    </i>
    <i r="3">
      <x v="23"/>
    </i>
    <i r="3">
      <x v="24"/>
    </i>
    <i r="1">
      <x v="153"/>
    </i>
    <i r="2">
      <x v="121"/>
    </i>
    <i r="3">
      <x v="7"/>
    </i>
    <i r="1">
      <x v="155"/>
    </i>
    <i r="2">
      <x v="118"/>
    </i>
    <i r="3">
      <x v="4"/>
    </i>
    <i r="1">
      <x v="156"/>
    </i>
    <i r="2">
      <x v="117"/>
    </i>
    <i r="3">
      <x v="4"/>
    </i>
    <i r="1">
      <x v="159"/>
    </i>
    <i r="2">
      <x v="127"/>
    </i>
    <i r="3">
      <x v="23"/>
    </i>
    <i r="3">
      <x v="24"/>
    </i>
    <i r="1">
      <x v="161"/>
    </i>
    <i r="2">
      <x v="125"/>
    </i>
    <i r="3">
      <x v="4"/>
    </i>
    <i r="1">
      <x v="162"/>
    </i>
    <i r="2">
      <x v="124"/>
    </i>
    <i r="3">
      <x v="4"/>
    </i>
    <i>
      <x v="3"/>
    </i>
    <i r="1">
      <x v="39"/>
    </i>
    <i r="2">
      <x v="35"/>
    </i>
    <i r="3">
      <x v="46"/>
    </i>
    <i r="3">
      <x v="52"/>
    </i>
    <i r="1">
      <x v="40"/>
    </i>
    <i r="2">
      <x v="25"/>
    </i>
    <i r="3">
      <x v="46"/>
    </i>
    <i r="3">
      <x v="47"/>
    </i>
    <i r="3">
      <x v="52"/>
    </i>
    <i r="1">
      <x v="43"/>
    </i>
    <i r="2">
      <x v="21"/>
    </i>
    <i r="3">
      <x v="52"/>
    </i>
    <i r="1">
      <x v="45"/>
    </i>
    <i r="2">
      <x v="23"/>
    </i>
    <i r="3">
      <x v="46"/>
    </i>
    <i r="3">
      <x v="52"/>
    </i>
    <i r="1">
      <x v="47"/>
    </i>
    <i r="2">
      <x v="27"/>
    </i>
    <i r="3">
      <x v="47"/>
    </i>
    <i r="3">
      <x v="52"/>
    </i>
    <i r="1">
      <x v="48"/>
    </i>
    <i r="2">
      <x v="28"/>
    </i>
    <i r="3">
      <x v="52"/>
    </i>
    <i r="1">
      <x v="50"/>
    </i>
    <i r="2">
      <x v="30"/>
    </i>
    <i r="3">
      <x v="52"/>
    </i>
    <i>
      <x v="4"/>
    </i>
    <i r="1">
      <x v="40"/>
    </i>
    <i r="2">
      <x v="25"/>
    </i>
    <i r="3">
      <x v="51"/>
    </i>
    <i r="1">
      <x v="43"/>
    </i>
    <i r="2">
      <x v="21"/>
    </i>
    <i r="3">
      <x v="51"/>
    </i>
    <i r="1">
      <x v="45"/>
    </i>
    <i r="2">
      <x v="23"/>
    </i>
    <i r="3">
      <x v="51"/>
    </i>
    <i r="1">
      <x v="47"/>
    </i>
    <i r="2">
      <x v="27"/>
    </i>
    <i r="3">
      <x v="51"/>
    </i>
    <i r="1">
      <x v="60"/>
    </i>
    <i r="2">
      <x v="14"/>
    </i>
    <i r="3">
      <x v="3"/>
    </i>
    <i>
      <x v="5"/>
    </i>
    <i r="1">
      <x/>
    </i>
    <i r="2">
      <x v="20"/>
    </i>
    <i r="3">
      <x v="8"/>
    </i>
    <i r="3">
      <x v="10"/>
    </i>
    <i r="3">
      <x v="41"/>
    </i>
    <i r="3">
      <x v="48"/>
    </i>
    <i r="3">
      <x v="51"/>
    </i>
    <i r="2">
      <x v="148"/>
    </i>
    <i r="3">
      <x v="44"/>
    </i>
    <i r="1">
      <x v="1"/>
    </i>
    <i r="2">
      <x v="19"/>
    </i>
    <i r="3">
      <x v="40"/>
    </i>
    <i r="1">
      <x v="2"/>
    </i>
    <i r="2">
      <x v="1"/>
    </i>
    <i r="3">
      <x v="10"/>
    </i>
    <i r="3">
      <x v="41"/>
    </i>
    <i r="3">
      <x v="44"/>
    </i>
    <i r="1">
      <x v="3"/>
    </i>
    <i r="2">
      <x/>
    </i>
    <i r="3">
      <x v="8"/>
    </i>
    <i r="3">
      <x v="10"/>
    </i>
    <i r="3">
      <x v="40"/>
    </i>
    <i r="3">
      <x v="41"/>
    </i>
    <i r="3">
      <x v="42"/>
    </i>
    <i r="3">
      <x v="44"/>
    </i>
    <i r="1">
      <x v="4"/>
    </i>
    <i r="2">
      <x v="5"/>
    </i>
    <i r="3">
      <x v="10"/>
    </i>
    <i r="3">
      <x v="41"/>
    </i>
    <i r="3">
      <x v="43"/>
    </i>
    <i r="1">
      <x v="5"/>
    </i>
    <i r="2">
      <x v="6"/>
    </i>
    <i r="3">
      <x v="8"/>
    </i>
    <i r="3">
      <x v="10"/>
    </i>
    <i r="3">
      <x v="41"/>
    </i>
    <i r="3">
      <x v="44"/>
    </i>
    <i r="3">
      <x v="48"/>
    </i>
    <i r="1">
      <x v="6"/>
    </i>
    <i r="2">
      <x v="16"/>
    </i>
    <i r="3">
      <x v="10"/>
    </i>
    <i r="3">
      <x v="41"/>
    </i>
    <i r="3">
      <x v="44"/>
    </i>
    <i r="1">
      <x v="7"/>
    </i>
    <i r="2">
      <x v="8"/>
    </i>
    <i r="3">
      <x v="40"/>
    </i>
    <i r="1">
      <x v="9"/>
    </i>
    <i r="2">
      <x v="12"/>
    </i>
    <i r="3">
      <x v="40"/>
    </i>
    <i r="1">
      <x v="10"/>
    </i>
    <i r="2">
      <x v="15"/>
    </i>
    <i r="3">
      <x v="44"/>
    </i>
    <i r="1">
      <x v="11"/>
    </i>
    <i r="2">
      <x v="9"/>
    </i>
    <i r="3">
      <x v="8"/>
    </i>
    <i r="3">
      <x v="10"/>
    </i>
    <i r="3">
      <x v="41"/>
    </i>
    <i r="3">
      <x v="44"/>
    </i>
    <i r="3">
      <x v="48"/>
    </i>
    <i r="1">
      <x v="12"/>
    </i>
    <i r="2">
      <x v="10"/>
    </i>
    <i r="3">
      <x v="32"/>
    </i>
    <i r="3">
      <x v="48"/>
    </i>
    <i r="3">
      <x v="53"/>
    </i>
    <i r="1">
      <x v="14"/>
    </i>
    <i r="2">
      <x v="17"/>
    </i>
    <i r="3">
      <x v="5"/>
    </i>
    <i r="1">
      <x v="15"/>
    </i>
    <i r="2">
      <x v="18"/>
    </i>
    <i r="3">
      <x v="31"/>
    </i>
    <i r="1">
      <x v="16"/>
    </i>
    <i r="2">
      <x v="7"/>
    </i>
    <i r="3">
      <x v="8"/>
    </i>
    <i r="3">
      <x v="10"/>
    </i>
    <i r="3">
      <x v="41"/>
    </i>
    <i r="3">
      <x v="44"/>
    </i>
    <i r="3">
      <x v="48"/>
    </i>
    <i r="3">
      <x v="51"/>
    </i>
    <i r="1">
      <x v="17"/>
    </i>
    <i r="2">
      <x v="2"/>
    </i>
    <i r="3">
      <x v="17"/>
    </i>
    <i r="1">
      <x v="18"/>
    </i>
    <i r="2">
      <x v="3"/>
    </i>
    <i r="3">
      <x v="21"/>
    </i>
    <i r="1">
      <x v="19"/>
    </i>
    <i r="2">
      <x v="4"/>
    </i>
    <i r="3">
      <x v="18"/>
    </i>
    <i r="1">
      <x v="20"/>
    </i>
    <i r="2">
      <x v="149"/>
    </i>
    <i r="3">
      <x v="40"/>
    </i>
    <i r="3">
      <x v="44"/>
    </i>
    <i r="3">
      <x v="48"/>
    </i>
    <i r="1">
      <x v="21"/>
    </i>
    <i r="2">
      <x v="150"/>
    </i>
    <i r="3">
      <x v="44"/>
    </i>
    <i r="1">
      <x v="22"/>
    </i>
    <i r="2">
      <x v="162"/>
    </i>
    <i r="3">
      <x v="19"/>
    </i>
    <i r="1">
      <x v="27"/>
    </i>
    <i r="2">
      <x v="156"/>
    </i>
    <i r="3">
      <x v="15"/>
    </i>
    <i r="1">
      <x v="28"/>
    </i>
    <i r="2">
      <x v="152"/>
    </i>
    <i r="3">
      <x v="10"/>
    </i>
    <i r="3">
      <x v="41"/>
    </i>
    <i r="3">
      <x v="44"/>
    </i>
    <i r="3">
      <x v="51"/>
    </i>
    <i r="3">
      <x v="53"/>
    </i>
    <i r="1">
      <x v="29"/>
    </i>
    <i r="2">
      <x v="161"/>
    </i>
    <i r="3">
      <x v="40"/>
    </i>
    <i r="1">
      <x v="30"/>
    </i>
    <i r="2">
      <x v="160"/>
    </i>
    <i r="3">
      <x v="40"/>
    </i>
    <i r="1">
      <x v="31"/>
    </i>
    <i r="2">
      <x v="159"/>
    </i>
    <i r="3">
      <x v="10"/>
    </i>
    <i r="3">
      <x v="41"/>
    </i>
    <i r="3">
      <x v="44"/>
    </i>
    <i r="3">
      <x v="51"/>
    </i>
    <i r="1">
      <x v="32"/>
    </i>
    <i r="2">
      <x v="163"/>
    </i>
    <i r="3">
      <x v="10"/>
    </i>
    <i r="3">
      <x v="41"/>
    </i>
    <i r="1">
      <x v="33"/>
    </i>
    <i r="2">
      <x v="36"/>
    </i>
    <i r="3">
      <x v="39"/>
    </i>
    <i r="1">
      <x v="34"/>
    </i>
    <i r="2">
      <x v="37"/>
    </i>
    <i r="3">
      <x v="44"/>
    </i>
    <i r="1">
      <x v="36"/>
    </i>
    <i r="2">
      <x v="41"/>
    </i>
    <i r="3">
      <x v="48"/>
    </i>
    <i r="1">
      <x v="38"/>
    </i>
    <i r="2">
      <x v="39"/>
    </i>
    <i r="3">
      <x v="43"/>
    </i>
    <i r="1">
      <x v="39"/>
    </i>
    <i r="2">
      <x v="35"/>
    </i>
    <i r="3">
      <x v="8"/>
    </i>
    <i r="3">
      <x v="40"/>
    </i>
    <i r="3">
      <x v="41"/>
    </i>
    <i r="3">
      <x v="44"/>
    </i>
    <i r="3">
      <x v="48"/>
    </i>
    <i r="3">
      <x v="49"/>
    </i>
    <i r="3">
      <x v="50"/>
    </i>
    <i r="1">
      <x v="40"/>
    </i>
    <i r="2">
      <x v="25"/>
    </i>
    <i r="3">
      <x v="8"/>
    </i>
    <i r="3">
      <x v="11"/>
    </i>
    <i r="3">
      <x v="40"/>
    </i>
    <i r="3">
      <x v="41"/>
    </i>
    <i r="3">
      <x v="48"/>
    </i>
    <i r="3">
      <x v="49"/>
    </i>
    <i r="3">
      <x v="50"/>
    </i>
    <i r="1">
      <x v="41"/>
    </i>
    <i r="2">
      <x v="26"/>
    </i>
    <i r="3">
      <x v="40"/>
    </i>
    <i r="1">
      <x v="42"/>
    </i>
    <i r="2">
      <x v="31"/>
    </i>
    <i r="3">
      <x v="8"/>
    </i>
    <i r="3">
      <x v="9"/>
    </i>
    <i r="3">
      <x v="22"/>
    </i>
    <i r="3">
      <x v="41"/>
    </i>
    <i r="3">
      <x v="44"/>
    </i>
    <i r="3">
      <x v="47"/>
    </i>
    <i r="3">
      <x v="48"/>
    </i>
    <i r="3">
      <x v="51"/>
    </i>
    <i r="1">
      <x v="43"/>
    </i>
    <i r="2">
      <x v="21"/>
    </i>
    <i r="3">
      <x v="8"/>
    </i>
    <i r="3">
      <x v="11"/>
    </i>
    <i r="3">
      <x v="40"/>
    </i>
    <i r="3">
      <x v="41"/>
    </i>
    <i r="3">
      <x v="44"/>
    </i>
    <i r="3">
      <x v="48"/>
    </i>
    <i r="3">
      <x v="49"/>
    </i>
    <i r="3">
      <x v="50"/>
    </i>
    <i r="1">
      <x v="44"/>
    </i>
    <i r="2">
      <x v="22"/>
    </i>
    <i r="3">
      <x v="44"/>
    </i>
    <i r="1">
      <x v="45"/>
    </i>
    <i r="2">
      <x v="23"/>
    </i>
    <i r="3">
      <x v="8"/>
    </i>
    <i r="3">
      <x v="11"/>
    </i>
    <i r="3">
      <x v="40"/>
    </i>
    <i r="3">
      <x v="41"/>
    </i>
    <i r="3">
      <x v="49"/>
    </i>
    <i r="1">
      <x v="46"/>
    </i>
    <i r="2">
      <x v="24"/>
    </i>
    <i r="3">
      <x v="41"/>
    </i>
    <i r="3">
      <x v="44"/>
    </i>
    <i r="1">
      <x v="47"/>
    </i>
    <i r="2">
      <x v="27"/>
    </i>
    <i r="3">
      <x v="8"/>
    </i>
    <i r="3">
      <x v="40"/>
    </i>
    <i r="3">
      <x v="41"/>
    </i>
    <i r="3">
      <x v="44"/>
    </i>
    <i r="3">
      <x v="48"/>
    </i>
    <i r="3">
      <x v="49"/>
    </i>
    <i r="3">
      <x v="50"/>
    </i>
    <i r="1">
      <x v="48"/>
    </i>
    <i r="2">
      <x v="28"/>
    </i>
    <i r="3">
      <x v="8"/>
    </i>
    <i r="3">
      <x v="40"/>
    </i>
    <i r="3">
      <x v="41"/>
    </i>
    <i r="3">
      <x v="49"/>
    </i>
    <i r="3">
      <x v="50"/>
    </i>
    <i r="1">
      <x v="49"/>
    </i>
    <i r="2">
      <x v="29"/>
    </i>
    <i r="3">
      <x v="40"/>
    </i>
    <i r="1">
      <x v="50"/>
    </i>
    <i r="2">
      <x v="30"/>
    </i>
    <i r="3">
      <x v="8"/>
    </i>
    <i r="3">
      <x v="40"/>
    </i>
    <i r="3">
      <x v="44"/>
    </i>
    <i r="3">
      <x v="48"/>
    </i>
    <i r="3">
      <x v="49"/>
    </i>
    <i r="1">
      <x v="51"/>
    </i>
    <i r="2">
      <x v="34"/>
    </i>
    <i r="3">
      <x v="8"/>
    </i>
    <i r="3">
      <x v="40"/>
    </i>
    <i r="3">
      <x v="41"/>
    </i>
    <i r="3">
      <x v="44"/>
    </i>
    <i r="1">
      <x v="52"/>
    </i>
    <i r="2">
      <x v="32"/>
    </i>
    <i r="3">
      <x v="9"/>
    </i>
    <i r="3">
      <x v="41"/>
    </i>
    <i r="3">
      <x v="44"/>
    </i>
    <i r="3">
      <x v="47"/>
    </i>
    <i r="3">
      <x v="50"/>
    </i>
    <i r="3">
      <x v="51"/>
    </i>
    <i r="3">
      <x v="52"/>
    </i>
    <i r="1">
      <x v="53"/>
    </i>
    <i r="2">
      <x v="33"/>
    </i>
    <i r="3">
      <x v="8"/>
    </i>
    <i r="3">
      <x v="22"/>
    </i>
    <i r="3">
      <x v="44"/>
    </i>
    <i r="3">
      <x v="47"/>
    </i>
    <i r="3">
      <x v="48"/>
    </i>
    <i r="3">
      <x v="50"/>
    </i>
    <i r="1">
      <x v="54"/>
    </i>
    <i r="2">
      <x v="153"/>
    </i>
    <i r="3">
      <x v="37"/>
    </i>
    <i r="3">
      <x v="44"/>
    </i>
    <i r="1">
      <x v="56"/>
    </i>
    <i r="2">
      <x v="140"/>
    </i>
    <i r="3">
      <x v="44"/>
    </i>
    <i r="3">
      <x v="53"/>
    </i>
    <i r="1">
      <x v="59"/>
    </i>
    <i r="2">
      <x v="138"/>
    </i>
    <i r="3">
      <x v="40"/>
    </i>
    <i r="1">
      <x v="60"/>
    </i>
    <i r="2">
      <x v="14"/>
    </i>
    <i r="3">
      <x v="39"/>
    </i>
    <i r="3">
      <x v="41"/>
    </i>
    <i r="3">
      <x v="44"/>
    </i>
    <i r="3">
      <x v="48"/>
    </i>
    <i r="1">
      <x v="61"/>
    </i>
    <i r="2">
      <x v="131"/>
    </i>
    <i r="3">
      <x v="8"/>
    </i>
    <i r="3">
      <x v="48"/>
    </i>
    <i r="1">
      <x v="63"/>
    </i>
    <i r="2">
      <x v="136"/>
    </i>
    <i r="3">
      <x v="8"/>
    </i>
    <i r="3">
      <x v="44"/>
    </i>
    <i r="1">
      <x v="64"/>
    </i>
    <i r="2">
      <x v="137"/>
    </i>
    <i r="3">
      <x v="41"/>
    </i>
    <i r="1">
      <x v="65"/>
    </i>
    <i r="2">
      <x v="135"/>
    </i>
    <i r="3">
      <x v="41"/>
    </i>
    <i r="3">
      <x v="44"/>
    </i>
    <i r="1">
      <x v="66"/>
    </i>
    <i r="2">
      <x v="132"/>
    </i>
    <i r="3">
      <x v="6"/>
    </i>
    <i r="1">
      <x v="68"/>
    </i>
    <i r="2">
      <x v="134"/>
    </i>
    <i r="3">
      <x v="40"/>
    </i>
    <i r="1">
      <x v="69"/>
    </i>
    <i r="2">
      <x v="143"/>
    </i>
    <i r="3">
      <x v="10"/>
    </i>
    <i r="3">
      <x v="38"/>
    </i>
    <i r="3">
      <x v="41"/>
    </i>
    <i r="3">
      <x v="44"/>
    </i>
    <i r="3">
      <x v="53"/>
    </i>
    <i r="1">
      <x v="70"/>
    </i>
    <i r="2">
      <x v="142"/>
    </i>
    <i r="3">
      <x v="10"/>
    </i>
    <i r="3">
      <x v="38"/>
    </i>
    <i r="3">
      <x v="44"/>
    </i>
    <i r="3">
      <x v="53"/>
    </i>
    <i r="1">
      <x v="71"/>
    </i>
    <i r="2">
      <x v="144"/>
    </i>
    <i r="3">
      <x v="8"/>
    </i>
    <i r="3">
      <x v="9"/>
    </i>
    <i r="3">
      <x v="40"/>
    </i>
    <i r="1">
      <x v="72"/>
    </i>
    <i r="2">
      <x v="146"/>
    </i>
    <i r="3">
      <x/>
    </i>
    <i r="1">
      <x v="73"/>
    </i>
    <i r="2">
      <x v="145"/>
    </i>
    <i r="3">
      <x v="4"/>
    </i>
    <i r="1">
      <x v="74"/>
    </i>
    <i r="2">
      <x v="147"/>
    </i>
    <i r="3">
      <x v="8"/>
    </i>
    <i r="3">
      <x v="22"/>
    </i>
    <i r="1">
      <x v="75"/>
    </i>
    <i r="2">
      <x v="111"/>
    </i>
    <i r="3">
      <x v="41"/>
    </i>
    <i r="3">
      <x v="44"/>
    </i>
    <i r="1">
      <x v="77"/>
    </i>
    <i r="2">
      <x v="110"/>
    </i>
    <i r="3">
      <x v="48"/>
    </i>
    <i r="1">
      <x v="78"/>
    </i>
    <i r="2">
      <x v="112"/>
    </i>
    <i r="3">
      <x v="37"/>
    </i>
    <i r="3">
      <x v="44"/>
    </i>
    <i r="1">
      <x v="79"/>
    </i>
    <i r="2">
      <x v="114"/>
    </i>
    <i r="3">
      <x v="19"/>
    </i>
    <i r="1">
      <x v="80"/>
    </i>
    <i r="2">
      <x v="115"/>
    </i>
    <i r="3">
      <x v="7"/>
    </i>
    <i r="1">
      <x v="81"/>
    </i>
    <i r="2">
      <x v="113"/>
    </i>
    <i r="3">
      <x v="48"/>
    </i>
    <i r="1">
      <x v="82"/>
    </i>
    <i r="2">
      <x v="116"/>
    </i>
    <i r="3">
      <x v="45"/>
    </i>
    <i r="1">
      <x v="83"/>
    </i>
    <i r="2">
      <x v="83"/>
    </i>
    <i r="3">
      <x v="8"/>
    </i>
    <i r="3">
      <x v="40"/>
    </i>
    <i r="3">
      <x v="41"/>
    </i>
    <i r="1">
      <x v="85"/>
    </i>
    <i r="2">
      <x v="107"/>
    </i>
    <i r="3">
      <x v="1"/>
    </i>
    <i r="3">
      <x v="41"/>
    </i>
    <i r="3">
      <x v="48"/>
    </i>
    <i r="1">
      <x v="86"/>
    </i>
    <i r="2">
      <x v="104"/>
    </i>
    <i r="3">
      <x v="44"/>
    </i>
    <i r="3">
      <x v="53"/>
    </i>
    <i r="1">
      <x v="87"/>
    </i>
    <i r="2">
      <x v="106"/>
    </i>
    <i r="3">
      <x v="7"/>
    </i>
    <i r="1">
      <x v="88"/>
    </i>
    <i r="2">
      <x v="105"/>
    </i>
    <i r="3">
      <x v="10"/>
    </i>
    <i r="1">
      <x v="89"/>
    </i>
    <i r="2">
      <x v="72"/>
    </i>
    <i r="3">
      <x v="53"/>
    </i>
    <i r="1">
      <x v="90"/>
    </i>
    <i r="2">
      <x v="64"/>
    </i>
    <i r="3">
      <x v="8"/>
    </i>
    <i r="3">
      <x v="40"/>
    </i>
    <i r="3">
      <x v="41"/>
    </i>
    <i r="1">
      <x v="91"/>
    </i>
    <i r="2">
      <x v="69"/>
    </i>
    <i r="3">
      <x v="41"/>
    </i>
    <i r="3">
      <x v="48"/>
    </i>
    <i r="1">
      <x v="95"/>
    </i>
    <i r="2">
      <x v="66"/>
    </i>
    <i r="3">
      <x v="10"/>
    </i>
    <i r="3">
      <x v="41"/>
    </i>
    <i r="3">
      <x v="44"/>
    </i>
    <i r="1">
      <x v="96"/>
    </i>
    <i r="2">
      <x v="65"/>
    </i>
    <i r="3">
      <x v="10"/>
    </i>
    <i r="3">
      <x v="41"/>
    </i>
    <i r="1">
      <x v="97"/>
    </i>
    <i r="2">
      <x v="67"/>
    </i>
    <i r="3">
      <x v="44"/>
    </i>
    <i r="1">
      <x v="98"/>
    </i>
    <i r="2">
      <x v="82"/>
    </i>
    <i r="3">
      <x v="10"/>
    </i>
    <i r="3">
      <x v="39"/>
    </i>
    <i r="1">
      <x v="99"/>
    </i>
    <i r="2">
      <x v="81"/>
    </i>
    <i r="3">
      <x v="53"/>
    </i>
    <i r="1">
      <x v="100"/>
    </i>
    <i r="2">
      <x v="73"/>
    </i>
    <i r="3">
      <x v="8"/>
    </i>
    <i r="3">
      <x v="40"/>
    </i>
    <i r="3">
      <x v="41"/>
    </i>
    <i r="1">
      <x v="101"/>
    </i>
    <i r="2">
      <x v="79"/>
    </i>
    <i r="3">
      <x v="41"/>
    </i>
    <i r="3">
      <x v="48"/>
    </i>
    <i r="1">
      <x v="105"/>
    </i>
    <i r="2">
      <x v="75"/>
    </i>
    <i r="3">
      <x v="10"/>
    </i>
    <i r="3">
      <x v="41"/>
    </i>
    <i r="3">
      <x v="44"/>
    </i>
    <i r="1">
      <x v="106"/>
    </i>
    <i r="2">
      <x v="74"/>
    </i>
    <i r="3">
      <x v="10"/>
    </i>
    <i r="3">
      <x v="41"/>
    </i>
    <i r="1">
      <x v="107"/>
    </i>
    <i r="2">
      <x v="76"/>
    </i>
    <i r="3">
      <x v="44"/>
    </i>
    <i r="1">
      <x v="109"/>
    </i>
    <i r="2">
      <x v="85"/>
    </i>
    <i r="3">
      <x v="8"/>
    </i>
    <i r="3">
      <x v="40"/>
    </i>
    <i r="3">
      <x v="41"/>
    </i>
    <i r="1">
      <x v="110"/>
    </i>
    <i r="2">
      <x v="90"/>
    </i>
    <i r="3">
      <x v="41"/>
    </i>
    <i r="3">
      <x v="48"/>
    </i>
    <i r="1">
      <x v="114"/>
    </i>
    <i r="2">
      <x v="87"/>
    </i>
    <i r="3">
      <x v="44"/>
    </i>
    <i r="1">
      <x v="115"/>
    </i>
    <i r="2">
      <x v="97"/>
    </i>
    <i r="3">
      <x v="53"/>
    </i>
    <i r="1">
      <x v="116"/>
    </i>
    <i r="2">
      <x v="92"/>
    </i>
    <i r="3">
      <x v="8"/>
    </i>
    <i r="3">
      <x v="40"/>
    </i>
    <i r="3">
      <x v="41"/>
    </i>
    <i r="1">
      <x v="117"/>
    </i>
    <i r="2">
      <x v="93"/>
    </i>
    <i r="3">
      <x v="44"/>
    </i>
    <i r="3">
      <x v="50"/>
    </i>
    <i r="3">
      <x v="53"/>
    </i>
    <i r="1">
      <x v="120"/>
    </i>
    <i r="2">
      <x v="94"/>
    </i>
    <i r="3">
      <x v="10"/>
    </i>
    <i r="3">
      <x v="41"/>
    </i>
    <i r="3">
      <x v="44"/>
    </i>
    <i r="1">
      <x v="121"/>
    </i>
    <i r="2">
      <x v="103"/>
    </i>
    <i r="3">
      <x v="10"/>
    </i>
    <i r="3">
      <x v="39"/>
    </i>
    <i r="1">
      <x v="122"/>
    </i>
    <i r="2">
      <x v="102"/>
    </i>
    <i r="3">
      <x v="53"/>
    </i>
    <i r="1">
      <x v="123"/>
    </i>
    <i r="2">
      <x v="98"/>
    </i>
    <i r="3">
      <x v="44"/>
    </i>
    <i r="3">
      <x v="50"/>
    </i>
    <i r="1">
      <x v="125"/>
    </i>
    <i r="2">
      <x v="100"/>
    </i>
    <i r="3">
      <x v="10"/>
    </i>
    <i r="3">
      <x v="41"/>
    </i>
    <i r="3">
      <x v="44"/>
    </i>
    <i r="1">
      <x v="127"/>
    </i>
    <i r="2">
      <x v="108"/>
    </i>
    <i r="3">
      <x v="44"/>
    </i>
    <i r="1">
      <x v="128"/>
    </i>
    <i r="2">
      <x v="52"/>
    </i>
    <i r="3">
      <x v="40"/>
    </i>
    <i r="1">
      <x v="129"/>
    </i>
    <i r="2">
      <x v="51"/>
    </i>
    <i r="3">
      <x v="41"/>
    </i>
    <i r="3">
      <x v="44"/>
    </i>
    <i r="1">
      <x v="131"/>
    </i>
    <i r="2">
      <x v="53"/>
    </i>
    <i r="3">
      <x v="48"/>
    </i>
    <i r="1">
      <x v="132"/>
    </i>
    <i r="2">
      <x v="50"/>
    </i>
    <i r="3">
      <x v="10"/>
    </i>
    <i r="3">
      <x v="39"/>
    </i>
    <i r="1">
      <x v="133"/>
    </i>
    <i r="2">
      <x v="42"/>
    </i>
    <i r="3">
      <x v="39"/>
    </i>
    <i r="1">
      <x v="134"/>
    </i>
    <i r="2">
      <x v="44"/>
    </i>
    <i r="3">
      <x v="44"/>
    </i>
    <i r="1">
      <x v="136"/>
    </i>
    <i r="2">
      <x v="45"/>
    </i>
    <i r="3">
      <x v="17"/>
    </i>
    <i r="1">
      <x v="139"/>
    </i>
    <i r="2">
      <x v="49"/>
    </i>
    <i r="3">
      <x v="45"/>
    </i>
    <i r="1">
      <x v="141"/>
    </i>
    <i r="2">
      <x v="57"/>
    </i>
    <i r="3">
      <x v="41"/>
    </i>
    <i r="3">
      <x v="48"/>
    </i>
    <i r="1">
      <x v="142"/>
    </i>
    <i r="2">
      <x v="58"/>
    </i>
    <i r="3">
      <x v="39"/>
    </i>
    <i r="3">
      <x v="45"/>
    </i>
    <i r="1">
      <x v="143"/>
    </i>
    <i r="2">
      <x v="60"/>
    </i>
    <i r="3">
      <x v="17"/>
    </i>
    <i r="1">
      <x v="146"/>
    </i>
    <i r="2">
      <x v="63"/>
    </i>
    <i r="3">
      <x v="45"/>
    </i>
    <i r="1">
      <x v="148"/>
    </i>
    <i r="2">
      <x v="56"/>
    </i>
    <i r="3">
      <x v="10"/>
    </i>
    <i r="3">
      <x v="41"/>
    </i>
    <i r="3">
      <x v="44"/>
    </i>
    <i r="3">
      <x v="51"/>
    </i>
    <i r="3">
      <x v="53"/>
    </i>
    <i r="1">
      <x v="149"/>
    </i>
    <i r="2">
      <x v="55"/>
    </i>
    <i r="3">
      <x v="4"/>
    </i>
    <i r="1">
      <x v="150"/>
    </i>
    <i r="2">
      <x v="123"/>
    </i>
    <i r="3">
      <x v="53"/>
    </i>
    <i r="1">
      <x v="151"/>
    </i>
    <i r="2">
      <x v="119"/>
    </i>
    <i r="3">
      <x v="19"/>
    </i>
    <i r="1">
      <x v="154"/>
    </i>
    <i r="2">
      <x v="122"/>
    </i>
    <i r="3">
      <x v="45"/>
    </i>
    <i r="1">
      <x v="157"/>
    </i>
    <i r="2">
      <x v="129"/>
    </i>
    <i r="3">
      <x v="53"/>
    </i>
    <i r="1">
      <x v="158"/>
    </i>
    <i r="2">
      <x v="126"/>
    </i>
    <i r="3">
      <x v="19"/>
    </i>
    <i r="1">
      <x v="160"/>
    </i>
    <i r="2">
      <x v="128"/>
    </i>
    <i r="3">
      <x v="45"/>
    </i>
    <i t="grand">
      <x/>
    </i>
  </rowItems>
  <colFields count="1">
    <field x="-2"/>
  </colFields>
  <colItems count="2">
    <i>
      <x/>
    </i>
    <i i="1">
      <x v="1"/>
    </i>
  </colItems>
  <dataFields count="2">
    <dataField name="S Qté" fld="6" baseField="0" baseItem="0"/>
    <dataField name="S Prix T" fld="9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eau croisé dynamique2" cacheId="32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outline="1" outlineData="1" gridDropZones="1" multipleFieldFilters="0">
  <location ref="A3:C109" firstHeaderRow="1" firstDataRow="2" firstDataCol="1" rowPageCount="1" colPageCount="1"/>
  <pivotFields count="7">
    <pivotField axis="axisRow" showAll="0">
      <items count="447">
        <item x="10"/>
        <item x="8"/>
        <item x="9"/>
        <item x="6"/>
        <item x="7"/>
        <item x="16"/>
        <item x="11"/>
        <item x="15"/>
        <item x="18"/>
        <item x="17"/>
        <item x="12"/>
        <item x="13"/>
        <item x="1"/>
        <item x="14"/>
        <item x="2"/>
        <item x="3"/>
        <item x="4"/>
        <item x="5"/>
        <item x="4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2"/>
        <item x="238"/>
        <item x="138"/>
        <item x="73"/>
        <item x="158"/>
        <item m="1" x="388"/>
        <item x="317"/>
        <item m="1" x="377"/>
        <item x="43"/>
        <item x="320"/>
        <item x="253"/>
        <item x="79"/>
        <item x="360"/>
        <item x="164"/>
        <item x="212"/>
        <item m="1" x="363"/>
        <item x="217"/>
        <item x="259"/>
        <item x="332"/>
        <item x="154"/>
        <item x="172"/>
        <item x="262"/>
        <item x="174"/>
        <item x="156"/>
        <item x="263"/>
        <item x="177"/>
        <item x="179"/>
        <item m="1" x="381"/>
        <item x="114"/>
        <item m="1" x="369"/>
        <item x="341"/>
        <item x="181"/>
        <item x="269"/>
        <item x="101"/>
        <item x="51"/>
        <item m="1" x="425"/>
        <item x="274"/>
        <item x="192"/>
        <item x="123"/>
        <item m="1" x="383"/>
        <item x="239"/>
        <item x="354"/>
        <item m="1" x="439"/>
        <item x="242"/>
        <item x="161"/>
        <item m="1" x="432"/>
        <item x="359"/>
        <item m="1" x="434"/>
        <item m="1" x="423"/>
        <item x="150"/>
        <item x="331"/>
        <item x="216"/>
        <item x="153"/>
        <item x="89"/>
        <item x="173"/>
        <item x="336"/>
        <item x="293"/>
        <item m="1" x="371"/>
        <item m="1" x="435"/>
        <item x="176"/>
        <item m="1" x="393"/>
        <item m="1" x="394"/>
        <item m="1" x="444"/>
        <item x="294"/>
        <item x="100"/>
        <item m="1" x="407"/>
        <item x="271"/>
        <item x="52"/>
        <item x="344"/>
        <item m="1" x="390"/>
        <item x="224"/>
        <item m="1" x="400"/>
        <item x="302"/>
        <item x="346"/>
        <item x="278"/>
        <item m="1" x="426"/>
        <item m="1" x="427"/>
        <item x="194"/>
        <item x="126"/>
        <item m="1" x="404"/>
        <item x="61"/>
        <item x="129"/>
        <item m="1" x="436"/>
        <item x="196"/>
        <item x="130"/>
        <item x="232"/>
        <item m="1" x="440"/>
        <item x="197"/>
        <item x="282"/>
        <item x="37"/>
        <item m="1" x="365"/>
        <item m="1" x="385"/>
        <item x="135"/>
        <item x="237"/>
        <item x="310"/>
        <item x="203"/>
        <item x="314"/>
        <item x="72"/>
        <item x="241"/>
        <item x="41"/>
        <item x="142"/>
        <item x="244"/>
        <item x="160"/>
        <item x="207"/>
        <item m="1" x="387"/>
        <item x="322"/>
        <item x="77"/>
        <item x="144"/>
        <item m="1" x="431"/>
        <item x="80"/>
        <item m="1" x="433"/>
        <item x="82"/>
        <item x="329"/>
        <item x="0"/>
        <item x="255"/>
        <item x="151"/>
        <item x="219"/>
        <item x="91"/>
        <item x="92"/>
        <item x="155"/>
        <item x="290"/>
        <item x="220"/>
        <item x="291"/>
        <item x="94"/>
        <item m="1" x="405"/>
        <item m="1" x="430"/>
        <item x="265"/>
        <item x="157"/>
        <item x="97"/>
        <item x="295"/>
        <item x="54"/>
        <item x="185"/>
        <item x="222"/>
        <item x="300"/>
        <item x="188"/>
        <item x="109"/>
        <item x="301"/>
        <item x="110"/>
        <item m="1" x="408"/>
        <item m="1" x="421"/>
        <item x="195"/>
        <item x="348"/>
        <item x="231"/>
        <item x="307"/>
        <item x="309"/>
        <item x="134"/>
        <item x="311"/>
        <item x="355"/>
        <item x="315"/>
        <item x="140"/>
        <item m="1" x="397"/>
        <item x="318"/>
        <item m="1" x="367"/>
        <item x="159"/>
        <item m="1" x="374"/>
        <item x="247"/>
        <item x="325"/>
        <item x="251"/>
        <item m="1" x="373"/>
        <item m="1" x="399"/>
        <item x="145"/>
        <item x="252"/>
        <item m="1" x="417"/>
        <item x="81"/>
        <item x="327"/>
        <item x="328"/>
        <item x="86"/>
        <item x="167"/>
        <item m="1" x="442"/>
        <item x="170"/>
        <item x="334"/>
        <item x="261"/>
        <item x="292"/>
        <item m="1" x="376"/>
        <item x="175"/>
        <item x="112"/>
        <item x="339"/>
        <item x="178"/>
        <item x="115"/>
        <item x="277"/>
        <item x="117"/>
        <item x="99"/>
        <item x="118"/>
        <item x="299"/>
        <item m="1" x="416"/>
        <item m="1" x="420"/>
        <item m="1" x="412"/>
        <item x="225"/>
        <item x="191"/>
        <item x="347"/>
        <item x="279"/>
        <item x="124"/>
        <item x="281"/>
        <item x="132"/>
        <item x="66"/>
        <item x="199"/>
        <item m="1" x="384"/>
        <item m="1" x="364"/>
        <item x="38"/>
        <item x="136"/>
        <item x="204"/>
        <item x="137"/>
        <item x="71"/>
        <item x="246"/>
        <item x="248"/>
        <item x="324"/>
        <item x="249"/>
        <item x="210"/>
        <item x="211"/>
        <item x="165"/>
        <item x="361"/>
        <item x="147"/>
        <item x="148"/>
        <item x="213"/>
        <item m="1" x="437"/>
        <item x="46"/>
        <item x="218"/>
        <item m="1" x="370"/>
        <item x="171"/>
        <item x="221"/>
        <item x="111"/>
        <item x="264"/>
        <item x="266"/>
        <item m="1" x="380"/>
        <item m="1" x="418"/>
        <item x="340"/>
        <item m="1" x="419"/>
        <item x="270"/>
        <item x="49"/>
        <item x="297"/>
        <item x="102"/>
        <item x="120"/>
        <item x="103"/>
        <item x="106"/>
        <item x="55"/>
        <item x="186"/>
        <item m="1" x="410"/>
        <item m="1" x="402"/>
        <item x="122"/>
        <item m="1" x="411"/>
        <item x="276"/>
        <item m="1" x="415"/>
        <item x="190"/>
        <item m="1" x="401"/>
        <item x="303"/>
        <item m="1" x="398"/>
        <item x="308"/>
        <item x="198"/>
        <item x="67"/>
        <item x="234"/>
        <item x="68"/>
        <item x="352"/>
        <item x="353"/>
        <item x="201"/>
        <item x="240"/>
        <item m="1" x="386"/>
        <item m="1" x="366"/>
        <item x="205"/>
        <item x="40"/>
        <item m="1" x="391"/>
        <item m="1" x="443"/>
        <item x="74"/>
        <item x="42"/>
        <item x="243"/>
        <item x="245"/>
        <item x="323"/>
        <item x="208"/>
        <item x="76"/>
        <item x="78"/>
        <item x="358"/>
        <item x="209"/>
        <item m="1" x="424"/>
        <item x="254"/>
        <item x="85"/>
        <item x="283"/>
        <item x="287"/>
        <item x="169"/>
        <item x="289"/>
        <item x="95"/>
        <item m="1" x="372"/>
        <item x="267"/>
        <item m="1" x="395"/>
        <item x="119"/>
        <item m="1" x="429"/>
        <item x="342"/>
        <item x="50"/>
        <item x="298"/>
        <item x="343"/>
        <item x="53"/>
        <item x="108"/>
        <item m="1" x="413"/>
        <item x="345"/>
        <item x="128"/>
        <item m="1" x="441"/>
        <item m="1" x="422"/>
        <item x="230"/>
        <item x="62"/>
        <item x="350"/>
        <item x="305"/>
        <item x="306"/>
        <item x="233"/>
        <item m="1" x="414"/>
        <item x="200"/>
        <item x="236"/>
        <item x="69"/>
        <item x="202"/>
        <item x="70"/>
        <item m="1" x="396"/>
        <item x="356"/>
        <item x="206"/>
        <item x="44"/>
        <item x="163"/>
        <item x="146"/>
        <item x="326"/>
        <item x="330"/>
        <item x="83"/>
        <item x="84"/>
        <item x="214"/>
        <item x="215"/>
        <item x="87"/>
        <item x="256"/>
        <item x="284"/>
        <item x="285"/>
        <item x="286"/>
        <item x="257"/>
        <item x="152"/>
        <item x="333"/>
        <item x="93"/>
        <item m="1" x="392"/>
        <item x="335"/>
        <item x="338"/>
        <item x="113"/>
        <item x="116"/>
        <item m="1" x="445"/>
        <item m="1" x="368"/>
        <item x="47"/>
        <item x="268"/>
        <item x="182"/>
        <item x="183"/>
        <item x="184"/>
        <item m="1" x="389"/>
        <item m="1" x="375"/>
        <item x="57"/>
        <item x="58"/>
        <item m="1" x="403"/>
        <item x="59"/>
        <item x="226"/>
        <item x="189"/>
        <item x="193"/>
        <item x="125"/>
        <item x="280"/>
        <item x="349"/>
        <item x="64"/>
        <item x="133"/>
        <item x="312"/>
        <item x="313"/>
        <item x="39"/>
        <item x="139"/>
        <item x="316"/>
        <item x="141"/>
        <item m="1" x="406"/>
        <item x="143"/>
        <item x="319"/>
        <item x="357"/>
        <item x="321"/>
        <item x="162"/>
        <item x="75"/>
        <item x="250"/>
        <item m="1" x="382"/>
        <item x="45"/>
        <item x="166"/>
        <item x="149"/>
        <item m="1" x="438"/>
        <item x="88"/>
        <item x="258"/>
        <item x="90"/>
        <item x="260"/>
        <item x="288"/>
        <item x="337"/>
        <item x="96"/>
        <item m="1" x="379"/>
        <item x="98"/>
        <item x="296"/>
        <item m="1" x="378"/>
        <item x="104"/>
        <item x="105"/>
        <item x="121"/>
        <item x="272"/>
        <item x="273"/>
        <item x="107"/>
        <item x="56"/>
        <item x="275"/>
        <item x="223"/>
        <item x="60"/>
        <item x="227"/>
        <item m="1" x="428"/>
        <item x="228"/>
        <item x="127"/>
        <item m="1" x="409"/>
        <item x="229"/>
        <item x="63"/>
        <item x="304"/>
        <item x="351"/>
        <item x="131"/>
        <item x="65"/>
        <item x="235"/>
        <item x="36"/>
        <item x="168"/>
        <item x="180"/>
        <item x="187"/>
        <item t="default"/>
      </items>
    </pivotField>
    <pivotField axis="axisPage" dataField="1" multipleItemSelectionAllowed="1" showAll="0">
      <items count="306">
        <item h="1" x="7"/>
        <item h="1" x="9"/>
        <item h="1" x="290"/>
        <item h="1" x="125"/>
        <item h="1" x="140"/>
        <item h="1" m="1" x="296"/>
        <item h="1" x="90"/>
        <item h="1" x="139"/>
        <item h="1" x="271"/>
        <item h="1" m="1" x="298"/>
        <item h="1" m="1" x="291"/>
        <item h="1" m="1" x="300"/>
        <item h="1" m="1" x="302"/>
        <item h="1" x="254"/>
        <item h="1" x="116"/>
        <item h="1" x="178"/>
        <item h="1" x="72"/>
        <item h="1" x="73"/>
        <item h="1" x="126"/>
        <item h="1" m="1" x="299"/>
        <item h="1" m="1" x="294"/>
        <item h="1" x="127"/>
        <item h="1" x="242"/>
        <item h="1" x="137"/>
        <item h="1" x="269"/>
        <item h="1" x="88"/>
        <item h="1" x="143"/>
        <item h="1" x="91"/>
        <item h="1" x="138"/>
        <item h="1" x="87"/>
        <item h="1" x="214"/>
        <item h="1" m="1" x="304"/>
        <item h="1" x="273"/>
        <item h="1" m="1" x="301"/>
        <item h="1" x="237"/>
        <item h="1" m="1" x="293"/>
        <item h="1" x="268"/>
        <item h="1" x="74"/>
        <item h="1" m="1" x="297"/>
        <item h="1" x="270"/>
        <item h="1" x="89"/>
        <item h="1" x="92"/>
        <item h="1" m="1" x="292"/>
        <item h="1" m="1" x="295"/>
        <item h="1" m="1" x="303"/>
        <item h="1" x="71"/>
        <item h="1" x="211"/>
        <item h="1" x="77"/>
        <item h="1" x="51"/>
        <item x="0"/>
        <item h="1" x="1"/>
        <item h="1" x="2"/>
        <item h="1" x="3"/>
        <item h="1" x="4"/>
        <item h="1" x="5"/>
        <item x="6"/>
        <item h="1" x="8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5"/>
        <item h="1" x="76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7"/>
        <item h="1" x="118"/>
        <item h="1" x="119"/>
        <item h="1" x="120"/>
        <item h="1" x="121"/>
        <item h="1" x="122"/>
        <item h="1" x="123"/>
        <item h="1" x="124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41"/>
        <item h="1" x="142"/>
        <item h="1" x="144"/>
        <item h="1" x="145"/>
        <item h="1" x="146"/>
        <item h="1" x="147"/>
        <item h="1" x="148"/>
        <item h="1" x="149"/>
        <item h="1" x="150"/>
        <item h="1" x="151"/>
        <item h="1" x="152"/>
        <item h="1" x="153"/>
        <item h="1" x="154"/>
        <item h="1" x="155"/>
        <item h="1" x="156"/>
        <item h="1" x="157"/>
        <item h="1" x="158"/>
        <item h="1" x="159"/>
        <item h="1" x="160"/>
        <item h="1" x="161"/>
        <item h="1" x="162"/>
        <item h="1" x="163"/>
        <item h="1" x="164"/>
        <item h="1" x="165"/>
        <item h="1" x="166"/>
        <item h="1" x="167"/>
        <item h="1" x="168"/>
        <item h="1" x="169"/>
        <item h="1" x="170"/>
        <item h="1" x="171"/>
        <item h="1" x="172"/>
        <item h="1" x="173"/>
        <item h="1" x="174"/>
        <item h="1" x="175"/>
        <item h="1" x="176"/>
        <item h="1" x="177"/>
        <item h="1" x="179"/>
        <item h="1" x="180"/>
        <item h="1" x="181"/>
        <item h="1" x="182"/>
        <item h="1" x="183"/>
        <item h="1" x="184"/>
        <item h="1" x="185"/>
        <item h="1" x="186"/>
        <item h="1" x="187"/>
        <item h="1" x="188"/>
        <item h="1" x="189"/>
        <item h="1" x="190"/>
        <item h="1" x="191"/>
        <item h="1" x="192"/>
        <item h="1" x="193"/>
        <item h="1" x="194"/>
        <item h="1" x="195"/>
        <item h="1" x="196"/>
        <item h="1" x="197"/>
        <item h="1" x="198"/>
        <item h="1" x="199"/>
        <item h="1" x="200"/>
        <item h="1" x="201"/>
        <item h="1" x="202"/>
        <item h="1" x="203"/>
        <item h="1" x="204"/>
        <item h="1" x="205"/>
        <item h="1" x="206"/>
        <item h="1" x="207"/>
        <item h="1" x="208"/>
        <item h="1" x="209"/>
        <item h="1" x="210"/>
        <item h="1" x="212"/>
        <item h="1" x="213"/>
        <item h="1" x="215"/>
        <item h="1" x="216"/>
        <item h="1" x="217"/>
        <item h="1" x="218"/>
        <item h="1" x="219"/>
        <item h="1" x="220"/>
        <item h="1" x="221"/>
        <item h="1" x="222"/>
        <item h="1" x="223"/>
        <item h="1" x="224"/>
        <item h="1" x="225"/>
        <item h="1" x="226"/>
        <item h="1" x="227"/>
        <item h="1" x="228"/>
        <item h="1" x="229"/>
        <item h="1" x="230"/>
        <item h="1" x="231"/>
        <item h="1" x="232"/>
        <item h="1" x="233"/>
        <item h="1" x="234"/>
        <item h="1" x="235"/>
        <item h="1" x="236"/>
        <item h="1" x="238"/>
        <item h="1" x="239"/>
        <item h="1" x="240"/>
        <item h="1" x="241"/>
        <item h="1" x="243"/>
        <item h="1" x="244"/>
        <item h="1" x="245"/>
        <item h="1" x="246"/>
        <item h="1" x="247"/>
        <item h="1" x="248"/>
        <item h="1" x="249"/>
        <item h="1" x="250"/>
        <item h="1" x="251"/>
        <item h="1" x="252"/>
        <item h="1" x="253"/>
        <item h="1" x="255"/>
        <item h="1" x="256"/>
        <item h="1" x="257"/>
        <item h="1" x="258"/>
        <item h="1" x="259"/>
        <item h="1" x="260"/>
        <item h="1" x="261"/>
        <item h="1" x="262"/>
        <item h="1" x="263"/>
        <item h="1" x="264"/>
        <item h="1" x="265"/>
        <item h="1" x="266"/>
        <item h="1" x="267"/>
        <item h="1" x="272"/>
        <item h="1" x="274"/>
        <item h="1" x="275"/>
        <item h="1" x="276"/>
        <item h="1" x="277"/>
        <item h="1" x="278"/>
        <item h="1" x="279"/>
        <item h="1" x="280"/>
        <item h="1" x="281"/>
        <item h="1" x="282"/>
        <item h="1" x="283"/>
        <item h="1" x="284"/>
        <item h="1" x="285"/>
        <item h="1" x="286"/>
        <item h="1" x="287"/>
        <item h="1" x="288"/>
        <item h="1" x="289"/>
        <item t="default"/>
      </items>
    </pivotField>
    <pivotField showAll="0"/>
    <pivotField showAll="0"/>
    <pivotField dataField="1" showAll="0"/>
    <pivotField axis="axisRow" showAll="0">
      <items count="102">
        <item x="6"/>
        <item x="5"/>
        <item x="4"/>
        <item x="7"/>
        <item x="12"/>
        <item x="8"/>
        <item x="11"/>
        <item x="13"/>
        <item x="9"/>
        <item x="15"/>
        <item x="26"/>
        <item x="25"/>
        <item x="20"/>
        <item x="19"/>
        <item x="17"/>
        <item x="21"/>
        <item x="22"/>
        <item x="10"/>
        <item x="23"/>
        <item x="16"/>
        <item x="1"/>
        <item x="24"/>
        <item x="14"/>
        <item x="18"/>
        <item x="2"/>
        <item x="3"/>
        <item x="30"/>
        <item x="0"/>
        <item x="32"/>
        <item x="41"/>
        <item x="60"/>
        <item x="33"/>
        <item x="31"/>
        <item x="57"/>
        <item x="45"/>
        <item x="67"/>
        <item x="77"/>
        <item m="1" x="89"/>
        <item x="64"/>
        <item x="38"/>
        <item m="1" x="85"/>
        <item m="1" x="97"/>
        <item x="78"/>
        <item x="70"/>
        <item x="29"/>
        <item x="79"/>
        <item m="1" x="96"/>
        <item x="46"/>
        <item x="27"/>
        <item x="49"/>
        <item m="1" x="90"/>
        <item m="1" x="93"/>
        <item x="28"/>
        <item x="61"/>
        <item x="80"/>
        <item x="72"/>
        <item m="1" x="98"/>
        <item m="1" x="84"/>
        <item x="54"/>
        <item m="1" x="100"/>
        <item x="35"/>
        <item x="55"/>
        <item x="48"/>
        <item x="62"/>
        <item x="59"/>
        <item x="44"/>
        <item x="43"/>
        <item x="71"/>
        <item x="36"/>
        <item x="53"/>
        <item x="66"/>
        <item x="74"/>
        <item x="68"/>
        <item m="1" x="83"/>
        <item x="52"/>
        <item x="75"/>
        <item m="1" x="88"/>
        <item m="1" x="94"/>
        <item m="1" x="87"/>
        <item m="1" x="86"/>
        <item x="65"/>
        <item x="82"/>
        <item m="1" x="95"/>
        <item x="51"/>
        <item x="40"/>
        <item x="56"/>
        <item x="42"/>
        <item x="76"/>
        <item x="63"/>
        <item x="69"/>
        <item x="37"/>
        <item m="1" x="92"/>
        <item x="50"/>
        <item x="39"/>
        <item x="47"/>
        <item m="1" x="99"/>
        <item x="73"/>
        <item x="58"/>
        <item x="81"/>
        <item m="1" x="91"/>
        <item x="34"/>
        <item t="default"/>
      </items>
    </pivotField>
    <pivotField axis="axisRow" showAll="0">
      <items count="6">
        <item x="3"/>
        <item x="1"/>
        <item x="2"/>
        <item x="4"/>
        <item x="0"/>
        <item t="default"/>
      </items>
    </pivotField>
  </pivotFields>
  <rowFields count="3">
    <field x="6"/>
    <field x="5"/>
    <field x="0"/>
  </rowFields>
  <rowItems count="105">
    <i>
      <x v="1"/>
    </i>
    <i r="1">
      <x v="6"/>
    </i>
    <i r="2">
      <x v="7"/>
    </i>
    <i r="1">
      <x v="9"/>
    </i>
    <i r="2">
      <x v="197"/>
    </i>
    <i r="2">
      <x v="442"/>
    </i>
    <i r="1">
      <x v="12"/>
    </i>
    <i r="2">
      <x v="294"/>
    </i>
    <i r="1">
      <x v="19"/>
    </i>
    <i r="2">
      <x v="22"/>
    </i>
    <i r="1">
      <x v="23"/>
    </i>
    <i r="2">
      <x v="25"/>
    </i>
    <i r="2">
      <x v="54"/>
    </i>
    <i r="2">
      <x v="289"/>
    </i>
    <i r="2">
      <x v="399"/>
    </i>
    <i r="2">
      <x v="400"/>
    </i>
    <i r="1">
      <x v="28"/>
    </i>
    <i r="2">
      <x v="409"/>
    </i>
    <i r="1">
      <x v="29"/>
    </i>
    <i r="2">
      <x v="77"/>
    </i>
    <i r="2">
      <x v="196"/>
    </i>
    <i r="1">
      <x v="54"/>
    </i>
    <i r="2">
      <x v="108"/>
    </i>
    <i r="2">
      <x v="280"/>
    </i>
    <i r="2">
      <x v="287"/>
    </i>
    <i r="1">
      <x v="55"/>
    </i>
    <i r="2">
      <x v="109"/>
    </i>
    <i r="2">
      <x v="176"/>
    </i>
    <i r="1">
      <x v="60"/>
    </i>
    <i r="2">
      <x v="116"/>
    </i>
    <i r="2">
      <x v="286"/>
    </i>
    <i r="1">
      <x v="66"/>
    </i>
    <i r="2">
      <x v="143"/>
    </i>
    <i r="2">
      <x v="192"/>
    </i>
    <i r="2">
      <x v="193"/>
    </i>
    <i r="1">
      <x v="67"/>
    </i>
    <i r="2">
      <x v="305"/>
    </i>
    <i r="2">
      <x v="384"/>
    </i>
    <i r="2">
      <x v="432"/>
    </i>
    <i r="1">
      <x v="83"/>
    </i>
    <i r="2">
      <x v="420"/>
    </i>
    <i r="2">
      <x v="441"/>
    </i>
    <i r="1">
      <x v="85"/>
    </i>
    <i r="2">
      <x v="389"/>
    </i>
    <i r="1">
      <x v="86"/>
    </i>
    <i r="2">
      <x v="240"/>
    </i>
    <i r="2">
      <x v="241"/>
    </i>
    <i r="2">
      <x v="242"/>
    </i>
    <i r="2">
      <x v="401"/>
    </i>
    <i r="2">
      <x v="402"/>
    </i>
    <i r="1">
      <x v="93"/>
    </i>
    <i r="2">
      <x v="276"/>
    </i>
    <i r="2">
      <x v="284"/>
    </i>
    <i r="1">
      <x v="98"/>
    </i>
    <i r="2">
      <x v="335"/>
    </i>
    <i r="1">
      <x v="100"/>
    </i>
    <i r="2">
      <x v="429"/>
    </i>
    <i r="2">
      <x v="437"/>
    </i>
    <i>
      <x v="2"/>
    </i>
    <i r="1">
      <x v="1"/>
    </i>
    <i r="2">
      <x v="2"/>
    </i>
    <i r="1">
      <x v="2"/>
    </i>
    <i r="2">
      <x v="4"/>
    </i>
    <i r="2">
      <x v="56"/>
    </i>
    <i r="2">
      <x v="210"/>
    </i>
    <i r="2">
      <x v="366"/>
    </i>
    <i r="2">
      <x v="417"/>
    </i>
    <i r="2">
      <x v="443"/>
    </i>
    <i r="1">
      <x v="3"/>
    </i>
    <i r="2">
      <x v="6"/>
    </i>
    <i r="2">
      <x v="57"/>
    </i>
    <i r="2">
      <x v="164"/>
    </i>
    <i r="2">
      <x v="212"/>
    </i>
    <i r="2">
      <x v="312"/>
    </i>
    <i r="1">
      <x v="39"/>
    </i>
    <i r="2">
      <x v="59"/>
    </i>
    <i r="2">
      <x v="208"/>
    </i>
    <i>
      <x v="3"/>
    </i>
    <i r="1">
      <x/>
    </i>
    <i r="2">
      <x v="258"/>
    </i>
    <i r="1">
      <x v="2"/>
    </i>
    <i r="2">
      <x v="62"/>
    </i>
    <i r="1">
      <x v="4"/>
    </i>
    <i r="2">
      <x v="5"/>
    </i>
    <i>
      <x v="4"/>
    </i>
    <i r="1">
      <x v="27"/>
    </i>
    <i r="2">
      <x v="14"/>
    </i>
    <i r="2">
      <x v="19"/>
    </i>
    <i r="2">
      <x v="103"/>
    </i>
    <i r="2">
      <x v="149"/>
    </i>
    <i r="2">
      <x v="171"/>
    </i>
    <i r="2">
      <x v="179"/>
    </i>
    <i r="2">
      <x v="182"/>
    </i>
    <i r="2">
      <x v="249"/>
    </i>
    <i r="2">
      <x v="251"/>
    </i>
    <i r="2">
      <x v="266"/>
    </i>
    <i r="2">
      <x v="267"/>
    </i>
    <i r="2">
      <x v="308"/>
    </i>
    <i r="2">
      <x v="322"/>
    </i>
    <i r="2">
      <x v="336"/>
    </i>
    <i r="2">
      <x v="350"/>
    </i>
    <i r="2">
      <x v="351"/>
    </i>
    <i r="2">
      <x v="373"/>
    </i>
    <i r="2">
      <x v="407"/>
    </i>
    <i t="grand">
      <x/>
    </i>
  </rowItems>
  <colFields count="1">
    <field x="-2"/>
  </colFields>
  <colItems count="2">
    <i>
      <x/>
    </i>
    <i i="1">
      <x v="1"/>
    </i>
  </colItems>
  <pageFields count="1">
    <pageField fld="1" hier="-1"/>
  </pageFields>
  <dataFields count="2">
    <dataField name="Somme sur Vu" fld="4" baseField="0" baseItem="0"/>
    <dataField name="Somme sur Code Barre" fld="1" baseField="0" baseItem="0" numFmtId="1"/>
  </dataFields>
  <formats count="4">
    <format dxfId="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5">
      <pivotArea type="topRight" dataOnly="0" labelOnly="1" outline="0" fieldPosition="0"/>
    </format>
    <format dxfId="4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3">
      <pivotArea dataOnly="0" labelOnly="1" outline="0" fieldPosition="0">
        <references count="1">
          <reference field="1" count="0"/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leau croisé dynamique1" cacheId="33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outline="1" outlineData="1" gridDropZones="1" multipleFieldFilters="0">
  <location ref="A3:C643" firstHeaderRow="1" firstDataRow="2" firstDataCol="1"/>
  <pivotFields count="10">
    <pivotField showAll="0"/>
    <pivotField axis="axisRow" showAll="0">
      <items count="171">
        <item x="114"/>
        <item x="35"/>
        <item x="155"/>
        <item x="148"/>
        <item x="20"/>
        <item x="17"/>
        <item x="77"/>
        <item x="7"/>
        <item x="48"/>
        <item x="4"/>
        <item x="127"/>
        <item x="117"/>
        <item x="98"/>
        <item x="153"/>
        <item x="46"/>
        <item x="65"/>
        <item x="109"/>
        <item x="100"/>
        <item x="165"/>
        <item x="1"/>
        <item x="76"/>
        <item x="11"/>
        <item x="44"/>
        <item x="107"/>
        <item x="33"/>
        <item x="149"/>
        <item x="38"/>
        <item x="141"/>
        <item x="12"/>
        <item x="3"/>
        <item x="106"/>
        <item x="34"/>
        <item x="36"/>
        <item x="96"/>
        <item x="10"/>
        <item x="21"/>
        <item x="40"/>
        <item x="68"/>
        <item x="58"/>
        <item x="108"/>
        <item x="164"/>
        <item x="94"/>
        <item x="157"/>
        <item x="0"/>
        <item x="42"/>
        <item x="151"/>
        <item x="168"/>
        <item x="82"/>
        <item x="138"/>
        <item x="167"/>
        <item x="105"/>
        <item x="23"/>
        <item x="156"/>
        <item x="52"/>
        <item x="99"/>
        <item x="90"/>
        <item x="152"/>
        <item x="87"/>
        <item x="123"/>
        <item x="37"/>
        <item x="118"/>
        <item x="29"/>
        <item x="25"/>
        <item x="103"/>
        <item x="161"/>
        <item x="97"/>
        <item x="9"/>
        <item x="75"/>
        <item x="47"/>
        <item x="110"/>
        <item x="128"/>
        <item x="92"/>
        <item x="32"/>
        <item x="124"/>
        <item x="14"/>
        <item x="69"/>
        <item x="8"/>
        <item x="135"/>
        <item x="88"/>
        <item x="130"/>
        <item x="142"/>
        <item x="49"/>
        <item x="18"/>
        <item x="104"/>
        <item x="121"/>
        <item x="74"/>
        <item x="73"/>
        <item x="5"/>
        <item x="84"/>
        <item x="147"/>
        <item x="140"/>
        <item x="55"/>
        <item x="41"/>
        <item x="57"/>
        <item x="39"/>
        <item x="28"/>
        <item x="19"/>
        <item x="59"/>
        <item x="119"/>
        <item x="145"/>
        <item x="169"/>
        <item x="61"/>
        <item x="31"/>
        <item x="54"/>
        <item x="85"/>
        <item x="131"/>
        <item x="125"/>
        <item x="111"/>
        <item x="64"/>
        <item x="16"/>
        <item x="51"/>
        <item x="72"/>
        <item x="120"/>
        <item x="13"/>
        <item x="27"/>
        <item x="112"/>
        <item x="158"/>
        <item x="162"/>
        <item x="24"/>
        <item x="15"/>
        <item x="93"/>
        <item x="132"/>
        <item x="136"/>
        <item x="134"/>
        <item x="26"/>
        <item x="146"/>
        <item x="116"/>
        <item x="101"/>
        <item x="115"/>
        <item x="160"/>
        <item x="143"/>
        <item x="83"/>
        <item x="78"/>
        <item x="150"/>
        <item x="62"/>
        <item x="80"/>
        <item x="60"/>
        <item x="70"/>
        <item x="71"/>
        <item x="95"/>
        <item x="89"/>
        <item x="43"/>
        <item x="144"/>
        <item x="2"/>
        <item x="63"/>
        <item x="53"/>
        <item x="45"/>
        <item x="22"/>
        <item x="66"/>
        <item x="154"/>
        <item x="159"/>
        <item x="86"/>
        <item x="129"/>
        <item x="113"/>
        <item x="163"/>
        <item x="122"/>
        <item x="102"/>
        <item x="50"/>
        <item x="81"/>
        <item x="79"/>
        <item x="137"/>
        <item x="133"/>
        <item x="56"/>
        <item x="126"/>
        <item x="166"/>
        <item x="91"/>
        <item x="6"/>
        <item x="30"/>
        <item x="139"/>
        <item x="67"/>
        <item t="default"/>
      </items>
    </pivotField>
    <pivotField showAll="0"/>
    <pivotField showAll="0">
      <items count="57">
        <item x="4"/>
        <item x="21"/>
        <item x="27"/>
        <item x="34"/>
        <item x="15"/>
        <item x="0"/>
        <item x="38"/>
        <item x="51"/>
        <item x="10"/>
        <item x="13"/>
        <item x="18"/>
        <item x="24"/>
        <item x="23"/>
        <item x="36"/>
        <item x="45"/>
        <item x="26"/>
        <item x="29"/>
        <item x="40"/>
        <item x="33"/>
        <item x="12"/>
        <item x="41"/>
        <item x="20"/>
        <item x="49"/>
        <item x="19"/>
        <item x="22"/>
        <item x="28"/>
        <item x="55"/>
        <item x="6"/>
        <item x="37"/>
        <item x="50"/>
        <item x="42"/>
        <item x="47"/>
        <item x="54"/>
        <item x="46"/>
        <item x="30"/>
        <item x="32"/>
        <item x="52"/>
        <item x="48"/>
        <item x="43"/>
        <item x="39"/>
        <item x="25"/>
        <item x="31"/>
        <item x="16"/>
        <item x="3"/>
        <item x="53"/>
        <item x="11"/>
        <item x="17"/>
        <item x="7"/>
        <item x="44"/>
        <item x="2"/>
        <item x="9"/>
        <item x="35"/>
        <item x="8"/>
        <item x="14"/>
        <item x="5"/>
        <item x="1"/>
        <item t="default"/>
      </items>
    </pivotField>
    <pivotField axis="axisRow" showAll="0">
      <items count="469">
        <item x="1"/>
        <item x="0"/>
        <item x="228"/>
        <item x="435"/>
        <item x="72"/>
        <item x="164"/>
        <item x="254"/>
        <item x="11"/>
        <item x="320"/>
        <item x="75"/>
        <item x="312"/>
        <item x="113"/>
        <item x="310"/>
        <item x="353"/>
        <item x="41"/>
        <item x="180"/>
        <item x="345"/>
        <item x="411"/>
        <item x="365"/>
        <item x="319"/>
        <item x="426"/>
        <item x="200"/>
        <item x="343"/>
        <item x="290"/>
        <item x="399"/>
        <item x="422"/>
        <item x="17"/>
        <item x="74"/>
        <item x="437"/>
        <item x="445"/>
        <item x="201"/>
        <item x="114"/>
        <item x="419"/>
        <item x="313"/>
        <item x="161"/>
        <item x="183"/>
        <item x="216"/>
        <item x="58"/>
        <item x="344"/>
        <item x="154"/>
        <item x="227"/>
        <item x="416"/>
        <item x="92"/>
        <item x="192"/>
        <item x="78"/>
        <item x="207"/>
        <item x="357"/>
        <item x="179"/>
        <item x="4"/>
        <item x="338"/>
        <item x="246"/>
        <item x="285"/>
        <item x="206"/>
        <item x="158"/>
        <item x="446"/>
        <item x="383"/>
        <item x="7"/>
        <item x="151"/>
        <item x="28"/>
        <item x="239"/>
        <item x="342"/>
        <item x="301"/>
        <item x="89"/>
        <item x="363"/>
        <item x="317"/>
        <item x="20"/>
        <item x="272"/>
        <item x="260"/>
        <item x="195"/>
        <item x="283"/>
        <item x="424"/>
        <item x="288"/>
        <item x="265"/>
        <item x="274"/>
        <item x="244"/>
        <item x="449"/>
        <item x="67"/>
        <item x="168"/>
        <item x="83"/>
        <item x="176"/>
        <item x="442"/>
        <item x="381"/>
        <item x="60"/>
        <item x="102"/>
        <item x="257"/>
        <item x="35"/>
        <item x="6"/>
        <item x="149"/>
        <item x="263"/>
        <item x="398"/>
        <item x="138"/>
        <item x="417"/>
        <item x="268"/>
        <item x="347"/>
        <item x="94"/>
        <item x="406"/>
        <item x="95"/>
        <item x="359"/>
        <item x="69"/>
        <item x="146"/>
        <item x="369"/>
        <item x="178"/>
        <item x="440"/>
        <item x="329"/>
        <item x="163"/>
        <item x="351"/>
        <item x="230"/>
        <item x="54"/>
        <item x="46"/>
        <item x="377"/>
        <item x="423"/>
        <item x="447"/>
        <item x="261"/>
        <item x="273"/>
        <item x="354"/>
        <item x="324"/>
        <item x="295"/>
        <item x="340"/>
        <item x="277"/>
        <item x="213"/>
        <item x="251"/>
        <item x="96"/>
        <item x="247"/>
        <item x="212"/>
        <item x="280"/>
        <item x="429"/>
        <item x="443"/>
        <item x="173"/>
        <item x="302"/>
        <item x="266"/>
        <item x="44"/>
        <item x="373"/>
        <item x="386"/>
        <item x="81"/>
        <item x="181"/>
        <item x="104"/>
        <item x="42"/>
        <item x="420"/>
        <item x="226"/>
        <item x="356"/>
        <item x="177"/>
        <item x="224"/>
        <item x="286"/>
        <item x="299"/>
        <item x="372"/>
        <item x="240"/>
        <item x="115"/>
        <item x="71"/>
        <item x="156"/>
        <item x="53"/>
        <item x="289"/>
        <item x="241"/>
        <item x="335"/>
        <item x="194"/>
        <item x="394"/>
        <item x="297"/>
        <item x="127"/>
        <item x="400"/>
        <item x="80"/>
        <item x="459"/>
        <item x="232"/>
        <item x="392"/>
        <item x="218"/>
        <item x="65"/>
        <item x="284"/>
        <item x="444"/>
        <item x="360"/>
        <item x="105"/>
        <item x="182"/>
        <item x="39"/>
        <item x="269"/>
        <item x="144"/>
        <item x="152"/>
        <item x="217"/>
        <item x="448"/>
        <item x="432"/>
        <item x="137"/>
        <item x="396"/>
        <item x="318"/>
        <item x="409"/>
        <item x="418"/>
        <item x="385"/>
        <item x="355"/>
        <item x="91"/>
        <item x="322"/>
        <item x="196"/>
        <item x="107"/>
        <item x="52"/>
        <item x="70"/>
        <item x="276"/>
        <item x="12"/>
        <item x="234"/>
        <item x="189"/>
        <item x="393"/>
        <item x="132"/>
        <item x="108"/>
        <item x="415"/>
        <item x="3"/>
        <item x="130"/>
        <item x="371"/>
        <item x="50"/>
        <item x="87"/>
        <item x="184"/>
        <item x="253"/>
        <item x="321"/>
        <item x="427"/>
        <item x="390"/>
        <item x="175"/>
        <item x="361"/>
        <item x="402"/>
        <item x="341"/>
        <item x="174"/>
        <item x="305"/>
        <item x="222"/>
        <item x="112"/>
        <item x="40"/>
        <item x="336"/>
        <item x="376"/>
        <item x="23"/>
        <item x="191"/>
        <item x="21"/>
        <item x="219"/>
        <item x="346"/>
        <item x="29"/>
        <item x="451"/>
        <item x="26"/>
        <item x="404"/>
        <item x="210"/>
        <item x="148"/>
        <item x="391"/>
        <item x="397"/>
        <item x="292"/>
        <item x="298"/>
        <item x="233"/>
        <item x="362"/>
        <item x="452"/>
        <item x="225"/>
        <item x="316"/>
        <item x="150"/>
        <item x="304"/>
        <item x="10"/>
        <item x="250"/>
        <item x="118"/>
        <item x="412"/>
        <item x="220"/>
        <item x="403"/>
        <item x="160"/>
        <item x="121"/>
        <item x="438"/>
        <item x="2"/>
        <item x="325"/>
        <item x="413"/>
        <item x="120"/>
        <item x="86"/>
        <item x="306"/>
        <item x="162"/>
        <item x="314"/>
        <item x="51"/>
        <item x="143"/>
        <item x="134"/>
        <item x="142"/>
        <item x="90"/>
        <item x="388"/>
        <item x="248"/>
        <item x="56"/>
        <item x="460"/>
        <item x="327"/>
        <item x="275"/>
        <item x="82"/>
        <item x="430"/>
        <item x="147"/>
        <item x="431"/>
        <item x="135"/>
        <item x="281"/>
        <item x="330"/>
        <item x="99"/>
        <item x="245"/>
        <item x="119"/>
        <item x="374"/>
        <item x="76"/>
        <item x="98"/>
        <item x="370"/>
        <item x="202"/>
        <item x="84"/>
        <item x="380"/>
        <item x="170"/>
        <item x="358"/>
        <item x="55"/>
        <item x="323"/>
        <item x="332"/>
        <item x="287"/>
        <item x="291"/>
        <item x="462"/>
        <item x="63"/>
        <item x="333"/>
        <item x="315"/>
        <item x="22"/>
        <item x="139"/>
        <item x="366"/>
        <item x="300"/>
        <item x="157"/>
        <item x="237"/>
        <item x="242"/>
        <item x="379"/>
        <item x="93"/>
        <item x="375"/>
        <item x="461"/>
        <item x="126"/>
        <item x="348"/>
        <item x="32"/>
        <item x="85"/>
        <item x="211"/>
        <item x="13"/>
        <item x="193"/>
        <item x="308"/>
        <item x="405"/>
        <item x="25"/>
        <item x="378"/>
        <item x="15"/>
        <item x="204"/>
        <item x="436"/>
        <item x="103"/>
        <item x="110"/>
        <item x="456"/>
        <item x="215"/>
        <item x="5"/>
        <item x="221"/>
        <item x="61"/>
        <item x="116"/>
        <item x="190"/>
        <item x="464"/>
        <item x="16"/>
        <item x="88"/>
        <item x="97"/>
        <item x="165"/>
        <item x="188"/>
        <item x="37"/>
        <item x="131"/>
        <item x="350"/>
        <item x="109"/>
        <item x="337"/>
        <item x="198"/>
        <item x="410"/>
        <item x="140"/>
        <item x="235"/>
        <item x="368"/>
        <item x="14"/>
        <item x="223"/>
        <item x="294"/>
        <item x="187"/>
        <item x="57"/>
        <item x="186"/>
        <item x="249"/>
        <item x="364"/>
        <item x="106"/>
        <item x="214"/>
        <item x="47"/>
        <item x="18"/>
        <item x="256"/>
        <item x="166"/>
        <item x="387"/>
        <item x="352"/>
        <item x="30"/>
        <item x="8"/>
        <item x="129"/>
        <item x="296"/>
        <item x="59"/>
        <item x="171"/>
        <item x="133"/>
        <item x="252"/>
        <item x="457"/>
        <item x="270"/>
        <item x="279"/>
        <item x="255"/>
        <item x="66"/>
        <item x="68"/>
        <item x="450"/>
        <item x="259"/>
        <item x="326"/>
        <item x="45"/>
        <item x="124"/>
        <item x="382"/>
        <item x="407"/>
        <item x="48"/>
        <item x="79"/>
        <item x="311"/>
        <item x="293"/>
        <item x="466"/>
        <item x="199"/>
        <item x="33"/>
        <item x="236"/>
        <item x="428"/>
        <item x="229"/>
        <item x="167"/>
        <item x="38"/>
        <item x="19"/>
        <item x="209"/>
        <item x="243"/>
        <item x="307"/>
        <item x="73"/>
        <item x="421"/>
        <item x="434"/>
        <item x="238"/>
        <item x="408"/>
        <item x="258"/>
        <item x="77"/>
        <item x="349"/>
        <item x="125"/>
        <item x="64"/>
        <item x="441"/>
        <item x="414"/>
        <item x="36"/>
        <item x="100"/>
        <item x="197"/>
        <item x="136"/>
        <item x="155"/>
        <item x="467"/>
        <item x="128"/>
        <item x="331"/>
        <item x="384"/>
        <item x="367"/>
        <item x="141"/>
        <item x="49"/>
        <item x="185"/>
        <item x="455"/>
        <item x="172"/>
        <item x="339"/>
        <item x="122"/>
        <item x="278"/>
        <item x="454"/>
        <item x="24"/>
        <item x="328"/>
        <item x="453"/>
        <item x="264"/>
        <item x="439"/>
        <item x="101"/>
        <item x="62"/>
        <item x="334"/>
        <item x="208"/>
        <item x="463"/>
        <item x="34"/>
        <item x="465"/>
        <item x="169"/>
        <item x="401"/>
        <item x="153"/>
        <item x="9"/>
        <item x="27"/>
        <item x="43"/>
        <item x="433"/>
        <item x="111"/>
        <item x="458"/>
        <item x="395"/>
        <item x="231"/>
        <item x="205"/>
        <item x="271"/>
        <item x="282"/>
        <item x="267"/>
        <item x="31"/>
        <item x="309"/>
        <item x="262"/>
        <item x="145"/>
        <item x="117"/>
        <item x="389"/>
        <item x="425"/>
        <item x="303"/>
        <item x="123"/>
        <item x="203"/>
        <item x="159"/>
        <item t="default"/>
      </items>
    </pivotField>
    <pivotField dataField="1" showAll="0">
      <items count="10">
        <item x="0"/>
        <item x="2"/>
        <item x="1"/>
        <item x="5"/>
        <item x="8"/>
        <item x="4"/>
        <item x="3"/>
        <item x="7"/>
        <item x="6"/>
        <item t="default"/>
      </items>
    </pivotField>
    <pivotField showAll="0"/>
    <pivotField showAll="0"/>
    <pivotField dataField="1" showAll="0"/>
    <pivotField showAll="0"/>
  </pivotFields>
  <rowFields count="2">
    <field x="1"/>
    <field x="4"/>
  </rowFields>
  <rowItems count="639">
    <i>
      <x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>
      <x v="1"/>
    </i>
    <i r="1">
      <x v="12"/>
    </i>
    <i r="1">
      <x v="13"/>
    </i>
    <i r="1">
      <x v="14"/>
    </i>
    <i r="1">
      <x v="15"/>
    </i>
    <i>
      <x v="2"/>
    </i>
    <i r="1">
      <x v="63"/>
    </i>
    <i>
      <x v="3"/>
    </i>
    <i r="1">
      <x v="64"/>
    </i>
    <i>
      <x v="4"/>
    </i>
    <i r="1">
      <x v="65"/>
    </i>
    <i>
      <x v="5"/>
    </i>
    <i r="1">
      <x v="26"/>
    </i>
    <i r="1">
      <x v="27"/>
    </i>
    <i r="1">
      <x v="28"/>
    </i>
    <i>
      <x v="6"/>
    </i>
    <i r="1">
      <x v="29"/>
    </i>
    <i r="1">
      <x v="30"/>
    </i>
    <i r="1">
      <x v="31"/>
    </i>
    <i r="1">
      <x v="32"/>
    </i>
    <i r="1">
      <x v="33"/>
    </i>
    <i r="1">
      <x v="34"/>
    </i>
    <i>
      <x v="7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>
      <x v="8"/>
    </i>
    <i r="1">
      <x v="36"/>
    </i>
    <i r="1">
      <x v="37"/>
    </i>
    <i>
      <x v="9"/>
    </i>
    <i r="1">
      <x v="43"/>
    </i>
    <i r="1">
      <x v="44"/>
    </i>
    <i r="1">
      <x v="45"/>
    </i>
    <i r="1">
      <x v="46"/>
    </i>
    <i r="1">
      <x v="47"/>
    </i>
    <i r="1">
      <x v="48"/>
    </i>
    <i>
      <x v="10"/>
    </i>
    <i r="1">
      <x v="49"/>
    </i>
    <i r="1">
      <x v="50"/>
    </i>
    <i r="1">
      <x v="51"/>
    </i>
    <i>
      <x v="11"/>
    </i>
    <i r="1">
      <x v="52"/>
    </i>
    <i>
      <x v="12"/>
    </i>
    <i r="1">
      <x v="39"/>
    </i>
    <i r="1">
      <x v="40"/>
    </i>
    <i r="1">
      <x v="41"/>
    </i>
    <i>
      <x v="13"/>
    </i>
    <i r="1">
      <x v="38"/>
    </i>
    <i>
      <x v="14"/>
    </i>
    <i r="1">
      <x v="258"/>
    </i>
    <i r="1">
      <x v="259"/>
    </i>
    <i r="1">
      <x v="260"/>
    </i>
    <i r="1">
      <x v="261"/>
    </i>
    <i r="1">
      <x v="262"/>
    </i>
    <i r="1">
      <x v="263"/>
    </i>
    <i r="1">
      <x v="264"/>
    </i>
    <i>
      <x v="15"/>
    </i>
    <i r="1">
      <x v="42"/>
    </i>
    <i>
      <x v="16"/>
    </i>
    <i r="1">
      <x v="35"/>
    </i>
    <i>
      <x v="17"/>
    </i>
    <i r="1">
      <x v="53"/>
    </i>
    <i>
      <x v="18"/>
    </i>
    <i r="1">
      <x v="54"/>
    </i>
    <i>
      <x v="19"/>
    </i>
    <i r="1">
      <x/>
    </i>
    <i>
      <x v="20"/>
    </i>
    <i r="1">
      <x v="10"/>
    </i>
    <i r="1">
      <x v="11"/>
    </i>
    <i>
      <x v="21"/>
    </i>
    <i r="1">
      <x v="2"/>
    </i>
    <i r="1">
      <x v="3"/>
    </i>
    <i r="1">
      <x v="4"/>
    </i>
    <i r="1">
      <x v="5"/>
    </i>
    <i r="1">
      <x v="7"/>
    </i>
    <i r="1">
      <x v="8"/>
    </i>
    <i r="1">
      <x v="9"/>
    </i>
    <i>
      <x v="22"/>
    </i>
    <i r="1">
      <x v="144"/>
    </i>
    <i r="1">
      <x v="145"/>
    </i>
    <i r="1">
      <x v="146"/>
    </i>
    <i r="1">
      <x v="147"/>
    </i>
    <i r="1">
      <x v="148"/>
    </i>
    <i r="1">
      <x v="149"/>
    </i>
    <i r="1">
      <x v="150"/>
    </i>
    <i r="1">
      <x v="151"/>
    </i>
    <i r="1">
      <x v="152"/>
    </i>
    <i r="1">
      <x v="153"/>
    </i>
    <i r="1">
      <x v="154"/>
    </i>
    <i r="1">
      <x v="155"/>
    </i>
    <i r="1">
      <x v="156"/>
    </i>
    <i r="1">
      <x v="157"/>
    </i>
    <i r="1">
      <x v="158"/>
    </i>
    <i r="1">
      <x v="159"/>
    </i>
    <i r="1">
      <x v="160"/>
    </i>
    <i>
      <x v="23"/>
    </i>
    <i r="1">
      <x v="139"/>
    </i>
    <i r="1">
      <x v="140"/>
    </i>
    <i r="1">
      <x v="141"/>
    </i>
    <i r="1">
      <x v="142"/>
    </i>
    <i r="1">
      <x v="143"/>
    </i>
    <i>
      <x v="24"/>
    </i>
    <i r="1">
      <x v="161"/>
    </i>
    <i r="1">
      <x v="162"/>
    </i>
    <i r="1">
      <x v="163"/>
    </i>
    <i r="1">
      <x v="164"/>
    </i>
    <i r="1">
      <x v="165"/>
    </i>
    <i r="1">
      <x v="166"/>
    </i>
    <i r="1">
      <x v="167"/>
    </i>
    <i r="1">
      <x v="168"/>
    </i>
    <i r="1">
      <x v="169"/>
    </i>
    <i r="1">
      <x v="170"/>
    </i>
    <i r="1">
      <x v="171"/>
    </i>
    <i r="1">
      <x v="172"/>
    </i>
    <i r="1">
      <x v="173"/>
    </i>
    <i r="1">
      <x v="174"/>
    </i>
    <i r="1">
      <x v="175"/>
    </i>
    <i r="1">
      <x v="176"/>
    </i>
    <i r="1">
      <x v="182"/>
    </i>
    <i>
      <x v="25"/>
    </i>
    <i r="1">
      <x v="177"/>
    </i>
    <i r="1">
      <x v="178"/>
    </i>
    <i r="1">
      <x v="179"/>
    </i>
    <i r="1">
      <x v="180"/>
    </i>
    <i r="1">
      <x v="181"/>
    </i>
    <i>
      <x v="26"/>
    </i>
    <i r="1">
      <x v="118"/>
    </i>
    <i r="1">
      <x v="119"/>
    </i>
    <i r="1">
      <x v="120"/>
    </i>
    <i r="1">
      <x v="121"/>
    </i>
    <i r="1">
      <x v="122"/>
    </i>
    <i r="1">
      <x v="123"/>
    </i>
    <i r="1">
      <x v="124"/>
    </i>
    <i r="1">
      <x v="125"/>
    </i>
    <i r="1">
      <x v="126"/>
    </i>
    <i r="1">
      <x v="127"/>
    </i>
    <i r="1">
      <x v="128"/>
    </i>
    <i r="1">
      <x v="129"/>
    </i>
    <i r="1">
      <x v="130"/>
    </i>
    <i>
      <x v="27"/>
    </i>
    <i r="1">
      <x v="115"/>
    </i>
    <i r="1">
      <x v="116"/>
    </i>
    <i r="1">
      <x v="117"/>
    </i>
    <i>
      <x v="28"/>
    </i>
    <i r="1">
      <x v="183"/>
    </i>
    <i r="1">
      <x v="184"/>
    </i>
    <i r="1">
      <x v="185"/>
    </i>
    <i r="1">
      <x v="186"/>
    </i>
    <i r="1">
      <x v="187"/>
    </i>
    <i r="1">
      <x v="188"/>
    </i>
    <i r="1">
      <x v="189"/>
    </i>
    <i r="1">
      <x v="190"/>
    </i>
    <i r="1">
      <x v="191"/>
    </i>
    <i r="1">
      <x v="192"/>
    </i>
    <i r="1">
      <x v="193"/>
    </i>
    <i r="1">
      <x v="194"/>
    </i>
    <i>
      <x v="29"/>
    </i>
    <i r="1">
      <x v="195"/>
    </i>
    <i r="1">
      <x v="196"/>
    </i>
    <i r="1">
      <x v="197"/>
    </i>
    <i r="1">
      <x v="198"/>
    </i>
    <i r="1">
      <x v="199"/>
    </i>
    <i r="1">
      <x v="200"/>
    </i>
    <i r="1">
      <x v="201"/>
    </i>
    <i r="1">
      <x v="202"/>
    </i>
    <i r="1">
      <x v="203"/>
    </i>
    <i r="1">
      <x v="208"/>
    </i>
    <i>
      <x v="30"/>
    </i>
    <i r="1">
      <x v="204"/>
    </i>
    <i r="1">
      <x v="205"/>
    </i>
    <i r="1">
      <x v="206"/>
    </i>
    <i r="1">
      <x v="207"/>
    </i>
    <i>
      <x v="31"/>
    </i>
    <i r="1">
      <x v="209"/>
    </i>
    <i r="1">
      <x v="210"/>
    </i>
    <i r="1">
      <x v="211"/>
    </i>
    <i r="1">
      <x v="212"/>
    </i>
    <i r="1">
      <x v="213"/>
    </i>
    <i r="1">
      <x v="214"/>
    </i>
    <i r="1">
      <x v="215"/>
    </i>
    <i r="1">
      <x v="216"/>
    </i>
    <i r="1">
      <x v="217"/>
    </i>
    <i>
      <x v="32"/>
    </i>
    <i r="1">
      <x v="131"/>
    </i>
    <i r="1">
      <x v="132"/>
    </i>
    <i r="1">
      <x v="133"/>
    </i>
    <i r="1">
      <x v="134"/>
    </i>
    <i r="1">
      <x v="135"/>
    </i>
    <i r="1">
      <x v="136"/>
    </i>
    <i r="1">
      <x v="137"/>
    </i>
    <i r="1">
      <x v="138"/>
    </i>
    <i>
      <x v="33"/>
    </i>
    <i r="1">
      <x v="227"/>
    </i>
    <i r="1">
      <x v="228"/>
    </i>
    <i r="1">
      <x v="229"/>
    </i>
    <i r="1">
      <x v="230"/>
    </i>
    <i r="1">
      <x v="231"/>
    </i>
    <i r="1">
      <x v="232"/>
    </i>
    <i r="1">
      <x v="233"/>
    </i>
    <i r="1">
      <x v="234"/>
    </i>
    <i>
      <x v="34"/>
    </i>
    <i r="1">
      <x v="235"/>
    </i>
    <i r="1">
      <x v="236"/>
    </i>
    <i r="1">
      <x v="237"/>
    </i>
    <i r="1">
      <x v="238"/>
    </i>
    <i r="1">
      <x v="239"/>
    </i>
    <i r="1">
      <x v="240"/>
    </i>
    <i r="1">
      <x v="241"/>
    </i>
    <i>
      <x v="35"/>
    </i>
    <i r="1">
      <x v="218"/>
    </i>
    <i r="1">
      <x v="219"/>
    </i>
    <i r="1">
      <x v="220"/>
    </i>
    <i r="1">
      <x v="221"/>
    </i>
    <i r="1">
      <x v="222"/>
    </i>
    <i r="1">
      <x v="223"/>
    </i>
    <i r="1">
      <x v="224"/>
    </i>
    <i r="1">
      <x v="225"/>
    </i>
    <i r="1">
      <x v="226"/>
    </i>
    <i>
      <x v="36"/>
    </i>
    <i r="1">
      <x v="103"/>
    </i>
    <i r="1">
      <x v="104"/>
    </i>
    <i r="1">
      <x v="105"/>
    </i>
    <i r="1">
      <x v="106"/>
    </i>
    <i r="1">
      <x v="107"/>
    </i>
    <i r="1">
      <x v="108"/>
    </i>
    <i r="1">
      <x v="109"/>
    </i>
    <i r="1">
      <x v="110"/>
    </i>
    <i r="1">
      <x v="111"/>
    </i>
    <i r="1">
      <x v="112"/>
    </i>
    <i r="1">
      <x v="113"/>
    </i>
    <i r="1">
      <x v="114"/>
    </i>
    <i>
      <x v="37"/>
    </i>
    <i r="1">
      <x v="96"/>
    </i>
    <i r="1">
      <x v="97"/>
    </i>
    <i>
      <x v="38"/>
    </i>
    <i r="1">
      <x v="98"/>
    </i>
    <i>
      <x v="39"/>
    </i>
    <i r="1">
      <x v="101"/>
    </i>
    <i>
      <x v="40"/>
    </i>
    <i r="1">
      <x v="102"/>
    </i>
    <i>
      <x v="41"/>
    </i>
    <i r="1">
      <x v="99"/>
    </i>
    <i>
      <x v="42"/>
    </i>
    <i r="1">
      <x v="100"/>
    </i>
    <i>
      <x v="43"/>
    </i>
    <i r="1">
      <x v="1"/>
    </i>
    <i>
      <x v="44"/>
    </i>
    <i r="1">
      <x v="421"/>
    </i>
    <i r="1">
      <x v="422"/>
    </i>
    <i r="1">
      <x v="423"/>
    </i>
    <i>
      <x v="45"/>
    </i>
    <i r="1">
      <x v="431"/>
    </i>
    <i>
      <x v="46"/>
    </i>
    <i r="1">
      <x v="424"/>
    </i>
    <i>
      <x v="47"/>
    </i>
    <i r="1">
      <x v="427"/>
    </i>
    <i>
      <x v="48"/>
    </i>
    <i r="1">
      <x v="428"/>
    </i>
    <i>
      <x v="49"/>
    </i>
    <i r="1">
      <x v="429"/>
    </i>
    <i>
      <x v="50"/>
    </i>
    <i r="1">
      <x v="425"/>
    </i>
    <i r="1">
      <x v="426"/>
    </i>
    <i>
      <x v="51"/>
    </i>
    <i r="1">
      <x v="430"/>
    </i>
    <i>
      <x v="52"/>
    </i>
    <i r="1">
      <x v="419"/>
    </i>
    <i r="1">
      <x v="420"/>
    </i>
    <i>
      <x v="53"/>
    </i>
    <i r="1">
      <x v="432"/>
    </i>
    <i r="1">
      <x v="433"/>
    </i>
    <i r="1">
      <x v="434"/>
    </i>
    <i r="1">
      <x v="435"/>
    </i>
    <i r="1">
      <x v="436"/>
    </i>
    <i>
      <x v="54"/>
    </i>
    <i r="1">
      <x v="415"/>
    </i>
    <i r="1">
      <x v="416"/>
    </i>
    <i>
      <x v="55"/>
    </i>
    <i r="1">
      <x v="413"/>
    </i>
    <i r="1">
      <x v="414"/>
    </i>
    <i>
      <x v="56"/>
    </i>
    <i r="1">
      <x v="418"/>
    </i>
    <i>
      <x v="57"/>
    </i>
    <i r="1">
      <x v="417"/>
    </i>
    <i>
      <x v="58"/>
    </i>
    <i r="1">
      <x v="452"/>
    </i>
    <i>
      <x v="59"/>
    </i>
    <i r="1">
      <x v="447"/>
    </i>
    <i r="1">
      <x v="448"/>
    </i>
    <i r="1">
      <x v="449"/>
    </i>
    <i r="1">
      <x v="450"/>
    </i>
    <i r="1">
      <x v="451"/>
    </i>
    <i>
      <x v="60"/>
    </i>
    <i r="1">
      <x v="437"/>
    </i>
    <i r="1">
      <x v="438"/>
    </i>
    <i r="1">
      <x v="439"/>
    </i>
    <i>
      <x v="61"/>
    </i>
    <i r="1">
      <x v="440"/>
    </i>
    <i r="1">
      <x v="441"/>
    </i>
    <i>
      <x v="62"/>
    </i>
    <i r="1">
      <x v="446"/>
    </i>
    <i>
      <x v="63"/>
    </i>
    <i r="1">
      <x v="442"/>
    </i>
    <i>
      <x v="64"/>
    </i>
    <i r="1">
      <x v="443"/>
    </i>
    <i>
      <x v="65"/>
    </i>
    <i r="1">
      <x v="444"/>
    </i>
    <i>
      <x v="66"/>
    </i>
    <i r="1">
      <x v="445"/>
    </i>
    <i>
      <x v="67"/>
    </i>
    <i r="1">
      <x v="337"/>
    </i>
    <i r="1">
      <x v="338"/>
    </i>
    <i r="1">
      <x v="339"/>
    </i>
    <i r="1">
      <x v="340"/>
    </i>
    <i r="1">
      <x v="341"/>
    </i>
    <i r="1">
      <x v="342"/>
    </i>
    <i>
      <x v="68"/>
    </i>
    <i r="1">
      <x v="350"/>
    </i>
    <i r="1">
      <x v="351"/>
    </i>
    <i>
      <x v="69"/>
    </i>
    <i r="1">
      <x v="347"/>
    </i>
    <i r="1">
      <x v="348"/>
    </i>
    <i r="1">
      <x v="349"/>
    </i>
    <i>
      <x v="70"/>
    </i>
    <i r="1">
      <x v="352"/>
    </i>
    <i>
      <x v="71"/>
    </i>
    <i r="1">
      <x v="343"/>
    </i>
    <i>
      <x v="72"/>
    </i>
    <i r="1">
      <x v="334"/>
    </i>
    <i r="1">
      <x v="335"/>
    </i>
    <i r="1">
      <x v="336"/>
    </i>
    <i>
      <x v="73"/>
    </i>
    <i r="1">
      <x v="344"/>
    </i>
    <i r="1">
      <x v="345"/>
    </i>
    <i>
      <x v="74"/>
    </i>
    <i r="1">
      <x v="346"/>
    </i>
    <i>
      <x v="75"/>
    </i>
    <i r="1">
      <x v="333"/>
    </i>
    <i>
      <x v="76"/>
    </i>
    <i r="1">
      <x v="359"/>
    </i>
    <i r="1">
      <x v="360"/>
    </i>
    <i r="1">
      <x v="361"/>
    </i>
    <i r="1">
      <x v="362"/>
    </i>
    <i r="1">
      <x v="363"/>
    </i>
    <i r="1">
      <x v="364"/>
    </i>
    <i>
      <x v="77"/>
    </i>
    <i r="1">
      <x v="371"/>
    </i>
    <i r="1">
      <x v="372"/>
    </i>
    <i>
      <x v="78"/>
    </i>
    <i r="1">
      <x v="368"/>
    </i>
    <i r="1">
      <x v="369"/>
    </i>
    <i r="1">
      <x v="370"/>
    </i>
    <i>
      <x v="79"/>
    </i>
    <i r="1">
      <x v="373"/>
    </i>
    <i>
      <x v="80"/>
    </i>
    <i r="1">
      <x v="365"/>
    </i>
    <i>
      <x v="81"/>
    </i>
    <i r="1">
      <x v="366"/>
    </i>
    <i>
      <x v="82"/>
    </i>
    <i r="1">
      <x v="356"/>
    </i>
    <i r="1">
      <x v="357"/>
    </i>
    <i r="1">
      <x v="358"/>
    </i>
    <i>
      <x v="83"/>
    </i>
    <i r="1">
      <x v="367"/>
    </i>
    <i>
      <x v="84"/>
    </i>
    <i r="1">
      <x v="355"/>
    </i>
    <i>
      <x v="85"/>
    </i>
    <i r="1">
      <x v="353"/>
    </i>
    <i r="1">
      <x v="354"/>
    </i>
    <i>
      <x v="86"/>
    </i>
    <i r="1">
      <x v="319"/>
    </i>
    <i r="1">
      <x v="320"/>
    </i>
    <i r="1">
      <x v="321"/>
    </i>
    <i r="1">
      <x v="322"/>
    </i>
    <i r="1">
      <x v="323"/>
    </i>
    <i r="1">
      <x v="324"/>
    </i>
    <i>
      <x v="87"/>
    </i>
    <i r="1">
      <x v="325"/>
    </i>
    <i>
      <x v="88"/>
    </i>
    <i r="1">
      <x v="377"/>
    </i>
    <i r="1">
      <x v="378"/>
    </i>
    <i r="1">
      <x v="380"/>
    </i>
    <i r="1">
      <x v="381"/>
    </i>
    <i r="1">
      <x v="382"/>
    </i>
    <i>
      <x v="89"/>
    </i>
    <i r="1">
      <x v="385"/>
    </i>
    <i>
      <x v="90"/>
    </i>
    <i r="1">
      <x v="386"/>
    </i>
    <i>
      <x v="91"/>
    </i>
    <i r="1">
      <x v="374"/>
    </i>
    <i>
      <x v="92"/>
    </i>
    <i r="1">
      <x v="383"/>
    </i>
    <i r="1">
      <x v="384"/>
    </i>
    <i>
      <x v="93"/>
    </i>
    <i r="1">
      <x v="375"/>
    </i>
    <i r="1">
      <x v="376"/>
    </i>
    <i>
      <x v="94"/>
    </i>
    <i r="1">
      <x v="379"/>
    </i>
    <i>
      <x v="95"/>
    </i>
    <i r="1">
      <x v="388"/>
    </i>
    <i r="1">
      <x v="389"/>
    </i>
    <i r="1">
      <x v="390"/>
    </i>
    <i r="1">
      <x v="391"/>
    </i>
    <i r="1">
      <x v="392"/>
    </i>
    <i>
      <x v="96"/>
    </i>
    <i r="1">
      <x v="393"/>
    </i>
    <i r="1">
      <x v="394"/>
    </i>
    <i r="1">
      <x v="395"/>
    </i>
    <i>
      <x v="97"/>
    </i>
    <i r="1">
      <x v="399"/>
    </i>
    <i r="1">
      <x v="400"/>
    </i>
    <i r="1">
      <x v="401"/>
    </i>
    <i>
      <x v="98"/>
    </i>
    <i r="1">
      <x v="396"/>
    </i>
    <i r="1">
      <x v="397"/>
    </i>
    <i>
      <x v="99"/>
    </i>
    <i r="1">
      <x v="398"/>
    </i>
    <i>
      <x v="100"/>
    </i>
    <i r="1">
      <x v="387"/>
    </i>
    <i>
      <x v="101"/>
    </i>
    <i r="1">
      <x v="405"/>
    </i>
    <i r="1">
      <x v="406"/>
    </i>
    <i>
      <x v="102"/>
    </i>
    <i r="1">
      <x v="411"/>
    </i>
    <i>
      <x v="103"/>
    </i>
    <i r="1">
      <x v="408"/>
    </i>
    <i r="1">
      <x v="409"/>
    </i>
    <i r="1">
      <x v="410"/>
    </i>
    <i>
      <x v="104"/>
    </i>
    <i r="1">
      <x v="407"/>
    </i>
    <i>
      <x v="105"/>
    </i>
    <i r="1">
      <x v="404"/>
    </i>
    <i>
      <x v="106"/>
    </i>
    <i r="1">
      <x v="402"/>
    </i>
    <i r="1">
      <x v="403"/>
    </i>
    <i>
      <x v="107"/>
    </i>
    <i r="1">
      <x v="329"/>
    </i>
    <i r="1">
      <x v="330"/>
    </i>
    <i>
      <x v="108"/>
    </i>
    <i r="1">
      <x v="332"/>
    </i>
    <i>
      <x v="109"/>
    </i>
    <i r="1">
      <x v="331"/>
    </i>
    <i>
      <x v="110"/>
    </i>
    <i r="1">
      <x v="326"/>
    </i>
    <i r="1">
      <x v="327"/>
    </i>
    <i r="1">
      <x v="328"/>
    </i>
    <i>
      <x v="111"/>
    </i>
    <i r="1">
      <x v="412"/>
    </i>
    <i>
      <x v="112"/>
    </i>
    <i r="1">
      <x v="311"/>
    </i>
    <i>
      <x v="113"/>
    </i>
    <i r="1">
      <x v="312"/>
    </i>
    <i>
      <x v="114"/>
    </i>
    <i r="1">
      <x v="309"/>
    </i>
    <i r="1">
      <x v="310"/>
    </i>
    <i>
      <x v="115"/>
    </i>
    <i r="1">
      <x v="313"/>
    </i>
    <i r="1">
      <x v="314"/>
    </i>
    <i>
      <x v="116"/>
    </i>
    <i r="1">
      <x v="317"/>
    </i>
    <i>
      <x v="117"/>
    </i>
    <i r="1">
      <x v="315"/>
    </i>
    <i>
      <x v="118"/>
    </i>
    <i r="1">
      <x v="316"/>
    </i>
    <i>
      <x v="119"/>
    </i>
    <i r="1">
      <x v="318"/>
    </i>
    <i>
      <x v="120"/>
    </i>
    <i r="1">
      <x v="460"/>
    </i>
    <i>
      <x v="121"/>
    </i>
    <i r="1">
      <x v="459"/>
    </i>
    <i>
      <x v="122"/>
    </i>
    <i r="1">
      <x v="454"/>
    </i>
    <i>
      <x v="123"/>
    </i>
    <i r="1">
      <x v="455"/>
    </i>
    <i r="1">
      <x v="456"/>
    </i>
    <i>
      <x v="124"/>
    </i>
    <i r="1">
      <x v="457"/>
    </i>
    <i>
      <x v="125"/>
    </i>
    <i r="1">
      <x v="458"/>
    </i>
    <i>
      <x v="126"/>
    </i>
    <i r="1">
      <x v="453"/>
    </i>
    <i>
      <x v="127"/>
    </i>
    <i r="1">
      <x v="467"/>
    </i>
    <i>
      <x v="128"/>
    </i>
    <i r="1">
      <x v="466"/>
    </i>
    <i>
      <x v="129"/>
    </i>
    <i r="1">
      <x v="462"/>
    </i>
    <i>
      <x v="130"/>
    </i>
    <i r="1">
      <x v="463"/>
    </i>
    <i r="1">
      <x v="464"/>
    </i>
    <i>
      <x v="131"/>
    </i>
    <i r="1">
      <x v="465"/>
    </i>
    <i>
      <x v="132"/>
    </i>
    <i r="1">
      <x v="461"/>
    </i>
    <i>
      <x v="133"/>
    </i>
    <i r="1">
      <x v="265"/>
    </i>
    <i r="1">
      <x v="266"/>
    </i>
    <i>
      <x v="134"/>
    </i>
    <i r="1">
      <x v="267"/>
    </i>
    <i r="1">
      <x v="268"/>
    </i>
    <i>
      <x v="135"/>
    </i>
    <i r="1">
      <x v="277"/>
    </i>
    <i r="1">
      <x v="278"/>
    </i>
    <i>
      <x v="136"/>
    </i>
    <i r="1">
      <x v="279"/>
    </i>
    <i>
      <x v="137"/>
    </i>
    <i r="1">
      <x v="280"/>
    </i>
    <i r="1">
      <x v="281"/>
    </i>
    <i>
      <x v="138"/>
    </i>
    <i r="1">
      <x v="274"/>
    </i>
    <i r="1">
      <x v="275"/>
    </i>
    <i r="1">
      <x v="276"/>
    </i>
    <i>
      <x v="139"/>
    </i>
    <i r="1">
      <x v="269"/>
    </i>
    <i r="1">
      <x v="270"/>
    </i>
    <i r="1">
      <x v="271"/>
    </i>
    <i>
      <x v="140"/>
    </i>
    <i r="1">
      <x v="272"/>
    </i>
    <i r="1">
      <x v="273"/>
    </i>
    <i>
      <x v="141"/>
    </i>
    <i r="1">
      <x v="255"/>
    </i>
    <i r="1">
      <x v="256"/>
    </i>
    <i r="1">
      <x v="257"/>
    </i>
    <i>
      <x v="142"/>
    </i>
    <i r="1">
      <x v="254"/>
    </i>
    <i>
      <x v="143"/>
    </i>
    <i r="1">
      <x v="249"/>
    </i>
    <i r="1">
      <x v="250"/>
    </i>
    <i>
      <x v="144"/>
    </i>
    <i r="1">
      <x v="251"/>
    </i>
    <i r="1">
      <x v="252"/>
    </i>
    <i r="1">
      <x v="253"/>
    </i>
    <i>
      <x v="145"/>
    </i>
    <i r="1">
      <x v="289"/>
    </i>
    <i r="1">
      <x v="290"/>
    </i>
    <i r="1">
      <x v="291"/>
    </i>
    <i r="1">
      <x v="292"/>
    </i>
    <i r="1">
      <x v="293"/>
    </i>
    <i r="1">
      <x v="294"/>
    </i>
    <i>
      <x v="146"/>
    </i>
    <i r="1">
      <x v="282"/>
    </i>
    <i r="1">
      <x v="283"/>
    </i>
    <i r="1">
      <x v="284"/>
    </i>
    <i r="1">
      <x v="285"/>
    </i>
    <i r="1">
      <x v="286"/>
    </i>
    <i r="1">
      <x v="287"/>
    </i>
    <i r="1">
      <x v="288"/>
    </i>
    <i>
      <x v="147"/>
    </i>
    <i r="1">
      <x v="295"/>
    </i>
    <i r="1">
      <x v="296"/>
    </i>
    <i r="1">
      <x v="297"/>
    </i>
    <i r="1">
      <x v="298"/>
    </i>
    <i r="1">
      <x v="299"/>
    </i>
    <i r="1">
      <x v="300"/>
    </i>
    <i r="1">
      <x v="301"/>
    </i>
    <i r="1">
      <x v="302"/>
    </i>
    <i>
      <x v="148"/>
    </i>
    <i r="1">
      <x v="304"/>
    </i>
    <i>
      <x v="149"/>
    </i>
    <i r="1">
      <x v="308"/>
    </i>
    <i>
      <x v="150"/>
    </i>
    <i r="1">
      <x v="303"/>
    </i>
    <i>
      <x v="151"/>
    </i>
    <i r="1">
      <x v="305"/>
    </i>
    <i r="1">
      <x v="306"/>
    </i>
    <i r="1">
      <x v="307"/>
    </i>
    <i>
      <x v="152"/>
    </i>
    <i r="1">
      <x v="6"/>
    </i>
    <i>
      <x v="153"/>
    </i>
    <i r="1">
      <x v="66"/>
    </i>
    <i r="1">
      <x v="67"/>
    </i>
    <i r="1">
      <x v="68"/>
    </i>
    <i r="1">
      <x v="69"/>
    </i>
    <i>
      <x v="154"/>
    </i>
    <i r="1">
      <x v="70"/>
    </i>
    <i>
      <x v="155"/>
    </i>
    <i r="1">
      <x v="244"/>
    </i>
    <i>
      <x v="156"/>
    </i>
    <i r="1">
      <x v="245"/>
    </i>
    <i r="1">
      <x v="246"/>
    </i>
    <i>
      <x v="157"/>
    </i>
    <i r="1">
      <x v="79"/>
    </i>
    <i r="1">
      <x v="80"/>
    </i>
    <i r="1">
      <x v="81"/>
    </i>
    <i r="1">
      <x v="82"/>
    </i>
    <i r="1">
      <x v="83"/>
    </i>
    <i>
      <x v="158"/>
    </i>
    <i r="1">
      <x v="247"/>
    </i>
    <i r="1">
      <x v="248"/>
    </i>
    <i>
      <x v="159"/>
    </i>
    <i r="1">
      <x v="242"/>
    </i>
    <i r="1">
      <x v="243"/>
    </i>
    <i>
      <x v="160"/>
    </i>
    <i r="1">
      <x v="73"/>
    </i>
    <i>
      <x v="161"/>
    </i>
    <i r="1">
      <x v="72"/>
    </i>
    <i>
      <x v="162"/>
    </i>
    <i r="1">
      <x v="76"/>
    </i>
    <i r="1">
      <x v="77"/>
    </i>
    <i r="1">
      <x v="78"/>
    </i>
    <i>
      <x v="163"/>
    </i>
    <i r="1">
      <x v="74"/>
    </i>
    <i>
      <x v="164"/>
    </i>
    <i r="1">
      <x v="75"/>
    </i>
    <i>
      <x v="165"/>
    </i>
    <i r="1">
      <x v="89"/>
    </i>
    <i r="1">
      <x v="90"/>
    </i>
    <i r="1">
      <x v="91"/>
    </i>
    <i r="1">
      <x v="92"/>
    </i>
    <i r="1">
      <x v="93"/>
    </i>
    <i>
      <x v="166"/>
    </i>
    <i r="1">
      <x v="86"/>
    </i>
    <i r="1">
      <x v="87"/>
    </i>
    <i r="1">
      <x v="88"/>
    </i>
    <i>
      <x v="167"/>
    </i>
    <i r="1">
      <x v="84"/>
    </i>
    <i r="1">
      <x v="85"/>
    </i>
    <i>
      <x v="168"/>
    </i>
    <i r="1">
      <x v="71"/>
    </i>
    <i>
      <x v="169"/>
    </i>
    <i r="1">
      <x v="94"/>
    </i>
    <i r="1">
      <x v="95"/>
    </i>
    <i t="grand">
      <x/>
    </i>
  </rowItems>
  <colFields count="1">
    <field x="-2"/>
  </colFields>
  <colItems count="2">
    <i>
      <x/>
    </i>
    <i i="1">
      <x v="1"/>
    </i>
  </colItems>
  <dataFields count="2">
    <dataField name="Somme sur Qté" fld="5" baseField="0" baseItem="0"/>
    <dataField name="Somme sur Prix T2" fld="8" baseField="0" baseItem="0"/>
  </dataFields>
  <pivotTableStyleInfo name="PivotStyleMedium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Bureau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Bureau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Bureau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 enableFormatConditionsCalculation="0"/>
  <dimension ref="A3:B18"/>
  <sheetViews>
    <sheetView workbookViewId="0">
      <selection activeCell="B19" sqref="B19"/>
    </sheetView>
  </sheetViews>
  <sheetFormatPr baseColWidth="10" defaultRowHeight="18" x14ac:dyDescent="0"/>
  <cols>
    <col min="1" max="1" width="10.83203125" style="16"/>
  </cols>
  <sheetData>
    <row r="3" spans="1:2">
      <c r="A3" s="16" t="s">
        <v>408</v>
      </c>
    </row>
    <row r="4" spans="1:2">
      <c r="B4" t="s">
        <v>409</v>
      </c>
    </row>
    <row r="5" spans="1:2">
      <c r="B5" t="s">
        <v>410</v>
      </c>
    </row>
    <row r="7" spans="1:2">
      <c r="A7" s="16" t="s">
        <v>411</v>
      </c>
    </row>
    <row r="8" spans="1:2">
      <c r="B8" t="s">
        <v>412</v>
      </c>
    </row>
    <row r="9" spans="1:2">
      <c r="B9" t="s">
        <v>413</v>
      </c>
    </row>
    <row r="11" spans="1:2">
      <c r="B11" t="s">
        <v>414</v>
      </c>
    </row>
    <row r="12" spans="1:2">
      <c r="B12" t="s">
        <v>415</v>
      </c>
    </row>
    <row r="13" spans="1:2">
      <c r="B13" t="s">
        <v>416</v>
      </c>
    </row>
    <row r="15" spans="1:2">
      <c r="A15" s="16" t="s">
        <v>417</v>
      </c>
    </row>
    <row r="16" spans="1:2">
      <c r="B16" t="s">
        <v>419</v>
      </c>
    </row>
    <row r="17" spans="2:2">
      <c r="B17" t="s">
        <v>418</v>
      </c>
    </row>
    <row r="18" spans="2:2">
      <c r="B18" t="s">
        <v>420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 enableFormatConditionsCalculation="0">
    <pageSetUpPr fitToPage="1"/>
  </sheetPr>
  <dimension ref="A2:C902"/>
  <sheetViews>
    <sheetView workbookViewId="0">
      <selection activeCell="A21" sqref="A21"/>
    </sheetView>
  </sheetViews>
  <sheetFormatPr baseColWidth="10" defaultRowHeight="14" x14ac:dyDescent="0"/>
  <cols>
    <col min="1" max="1" width="85.5" bestFit="1" customWidth="1"/>
    <col min="2" max="2" width="7" bestFit="1" customWidth="1"/>
    <col min="3" max="3" width="9.1640625" customWidth="1"/>
    <col min="4" max="4" width="10.1640625" customWidth="1"/>
    <col min="5" max="5" width="20.33203125" customWidth="1"/>
    <col min="6" max="6" width="21.33203125" customWidth="1"/>
    <col min="7" max="8" width="5.1640625" customWidth="1"/>
    <col min="9" max="9" width="12.83203125" bestFit="1" customWidth="1"/>
    <col min="10" max="10" width="21.33203125" bestFit="1" customWidth="1"/>
    <col min="11" max="11" width="12.83203125" bestFit="1" customWidth="1"/>
    <col min="12" max="12" width="17" bestFit="1" customWidth="1"/>
    <col min="13" max="13" width="12.83203125" bestFit="1" customWidth="1"/>
    <col min="14" max="14" width="21.1640625" bestFit="1" customWidth="1"/>
    <col min="15" max="15" width="17" bestFit="1" customWidth="1"/>
  </cols>
  <sheetData>
    <row r="2" spans="1:3" ht="19">
      <c r="A2" s="23" t="e">
        <f>Extraction!F2</f>
        <v>#REF!</v>
      </c>
    </row>
    <row r="3" spans="1:3">
      <c r="B3" s="4" t="s">
        <v>264</v>
      </c>
    </row>
    <row r="4" spans="1:3">
      <c r="A4" s="4" t="s">
        <v>263</v>
      </c>
      <c r="B4" t="s">
        <v>2412</v>
      </c>
      <c r="C4" t="s">
        <v>2413</v>
      </c>
    </row>
    <row r="5" spans="1:3">
      <c r="A5" s="5">
        <v>0</v>
      </c>
      <c r="B5" s="6">
        <v>26</v>
      </c>
      <c r="C5" s="6">
        <v>294.95999999999998</v>
      </c>
    </row>
    <row r="6" spans="1:3">
      <c r="A6" s="7" t="s">
        <v>199</v>
      </c>
      <c r="B6" s="6">
        <v>8</v>
      </c>
      <c r="C6" s="6">
        <v>62.4</v>
      </c>
    </row>
    <row r="7" spans="1:3">
      <c r="A7" s="8" t="s">
        <v>67</v>
      </c>
      <c r="B7" s="6">
        <v>8</v>
      </c>
      <c r="C7" s="6">
        <v>62.4</v>
      </c>
    </row>
    <row r="8" spans="1:3">
      <c r="A8" s="22" t="s">
        <v>343</v>
      </c>
      <c r="B8" s="6">
        <v>8</v>
      </c>
      <c r="C8" s="6">
        <v>62.4</v>
      </c>
    </row>
    <row r="9" spans="1:3">
      <c r="A9" s="7" t="s">
        <v>219</v>
      </c>
      <c r="B9" s="6">
        <v>4</v>
      </c>
      <c r="C9" s="6">
        <v>96</v>
      </c>
    </row>
    <row r="10" spans="1:3">
      <c r="A10" s="8" t="s">
        <v>88</v>
      </c>
      <c r="B10" s="6">
        <v>4</v>
      </c>
      <c r="C10" s="6">
        <v>96</v>
      </c>
    </row>
    <row r="11" spans="1:3">
      <c r="A11" s="22" t="s">
        <v>321</v>
      </c>
      <c r="B11" s="6">
        <v>2</v>
      </c>
      <c r="C11" s="6">
        <v>48</v>
      </c>
    </row>
    <row r="12" spans="1:3">
      <c r="A12" s="22" t="s">
        <v>305</v>
      </c>
      <c r="B12" s="6">
        <v>2</v>
      </c>
      <c r="C12" s="6">
        <v>48</v>
      </c>
    </row>
    <row r="13" spans="1:3">
      <c r="A13" s="7" t="s">
        <v>191</v>
      </c>
      <c r="B13" s="6">
        <v>6</v>
      </c>
      <c r="C13" s="6">
        <v>82.800000000000011</v>
      </c>
    </row>
    <row r="14" spans="1:3">
      <c r="A14" s="8" t="s">
        <v>59</v>
      </c>
      <c r="B14" s="6">
        <v>6</v>
      </c>
      <c r="C14" s="6">
        <v>82.800000000000011</v>
      </c>
    </row>
    <row r="15" spans="1:3">
      <c r="A15" s="22" t="s">
        <v>321</v>
      </c>
      <c r="B15" s="6">
        <v>2</v>
      </c>
      <c r="C15" s="6">
        <v>27.6</v>
      </c>
    </row>
    <row r="16" spans="1:3">
      <c r="A16" s="22" t="s">
        <v>324</v>
      </c>
      <c r="B16" s="6">
        <v>2</v>
      </c>
      <c r="C16" s="6">
        <v>27.6</v>
      </c>
    </row>
    <row r="17" spans="1:3">
      <c r="A17" s="22" t="s">
        <v>305</v>
      </c>
      <c r="B17" s="6">
        <v>2</v>
      </c>
      <c r="C17" s="6">
        <v>27.6</v>
      </c>
    </row>
    <row r="18" spans="1:3">
      <c r="A18" s="7" t="s">
        <v>167</v>
      </c>
      <c r="B18" s="6">
        <v>6</v>
      </c>
      <c r="C18" s="6">
        <v>15.120000000000001</v>
      </c>
    </row>
    <row r="19" spans="1:3">
      <c r="A19" s="8" t="s">
        <v>35</v>
      </c>
      <c r="B19" s="6">
        <v>6</v>
      </c>
      <c r="C19" s="6">
        <v>15.120000000000001</v>
      </c>
    </row>
    <row r="20" spans="1:3">
      <c r="A20" s="22" t="s">
        <v>306</v>
      </c>
      <c r="B20" s="6">
        <v>6</v>
      </c>
      <c r="C20" s="6">
        <v>15.120000000000001</v>
      </c>
    </row>
    <row r="21" spans="1:3">
      <c r="A21" s="7" t="s">
        <v>201</v>
      </c>
      <c r="B21" s="6">
        <v>2</v>
      </c>
      <c r="C21" s="6">
        <v>38.64</v>
      </c>
    </row>
    <row r="22" spans="1:3">
      <c r="A22" s="8" t="s">
        <v>69</v>
      </c>
      <c r="B22" s="6">
        <v>2</v>
      </c>
      <c r="C22" s="6">
        <v>38.64</v>
      </c>
    </row>
    <row r="23" spans="1:3">
      <c r="A23" s="22" t="s">
        <v>321</v>
      </c>
      <c r="B23" s="6">
        <v>2</v>
      </c>
      <c r="C23" s="6">
        <v>38.64</v>
      </c>
    </row>
    <row r="24" spans="1:3">
      <c r="A24" s="5" t="s">
        <v>350</v>
      </c>
      <c r="B24" s="6">
        <v>9</v>
      </c>
      <c r="C24" s="6">
        <v>80.88</v>
      </c>
    </row>
    <row r="25" spans="1:3">
      <c r="A25" s="7" t="s">
        <v>153</v>
      </c>
      <c r="B25" s="6">
        <v>1</v>
      </c>
      <c r="C25" s="6">
        <v>4.8</v>
      </c>
    </row>
    <row r="26" spans="1:3">
      <c r="A26" s="8" t="s">
        <v>24</v>
      </c>
      <c r="B26" s="6">
        <v>1</v>
      </c>
      <c r="C26" s="6">
        <v>4.8</v>
      </c>
    </row>
    <row r="27" spans="1:3">
      <c r="A27" s="22" t="s">
        <v>305</v>
      </c>
      <c r="B27" s="6">
        <v>1</v>
      </c>
      <c r="C27" s="6">
        <v>4.8</v>
      </c>
    </row>
    <row r="28" spans="1:3">
      <c r="A28" s="7" t="s">
        <v>155</v>
      </c>
      <c r="B28" s="6">
        <v>1</v>
      </c>
      <c r="C28" s="6">
        <v>14.4</v>
      </c>
    </row>
    <row r="29" spans="1:3">
      <c r="A29" s="8" t="s">
        <v>26</v>
      </c>
      <c r="B29" s="6">
        <v>1</v>
      </c>
      <c r="C29" s="6">
        <v>14.4</v>
      </c>
    </row>
    <row r="30" spans="1:3">
      <c r="A30" s="22" t="s">
        <v>305</v>
      </c>
      <c r="B30" s="6">
        <v>1</v>
      </c>
      <c r="C30" s="6">
        <v>14.4</v>
      </c>
    </row>
    <row r="31" spans="1:3">
      <c r="A31" s="7" t="s">
        <v>154</v>
      </c>
      <c r="B31" s="6">
        <v>2</v>
      </c>
      <c r="C31" s="6">
        <v>25.2</v>
      </c>
    </row>
    <row r="32" spans="1:3">
      <c r="A32" s="8" t="s">
        <v>25</v>
      </c>
      <c r="B32" s="6">
        <v>2</v>
      </c>
      <c r="C32" s="6">
        <v>25.2</v>
      </c>
    </row>
    <row r="33" spans="1:3">
      <c r="A33" s="22" t="s">
        <v>305</v>
      </c>
      <c r="B33" s="6">
        <v>2</v>
      </c>
      <c r="C33" s="6">
        <v>25.2</v>
      </c>
    </row>
    <row r="34" spans="1:3">
      <c r="A34" s="7" t="s">
        <v>166</v>
      </c>
      <c r="B34" s="6">
        <v>2</v>
      </c>
      <c r="C34" s="6">
        <v>22.08</v>
      </c>
    </row>
    <row r="35" spans="1:3">
      <c r="A35" s="8" t="s">
        <v>34</v>
      </c>
      <c r="B35" s="6">
        <v>2</v>
      </c>
      <c r="C35" s="6">
        <v>22.08</v>
      </c>
    </row>
    <row r="36" spans="1:3">
      <c r="A36" s="22" t="s">
        <v>305</v>
      </c>
      <c r="B36" s="6">
        <v>2</v>
      </c>
      <c r="C36" s="6">
        <v>22.08</v>
      </c>
    </row>
    <row r="37" spans="1:3">
      <c r="A37" s="7" t="s">
        <v>134</v>
      </c>
      <c r="B37" s="6">
        <v>3</v>
      </c>
      <c r="C37" s="6">
        <v>14.399999999999999</v>
      </c>
    </row>
    <row r="38" spans="1:3">
      <c r="A38" s="8" t="s">
        <v>2</v>
      </c>
      <c r="B38" s="6">
        <v>3</v>
      </c>
      <c r="C38" s="6">
        <v>14.399999999999999</v>
      </c>
    </row>
    <row r="39" spans="1:3">
      <c r="A39" s="22" t="s">
        <v>305</v>
      </c>
      <c r="B39" s="6">
        <v>3</v>
      </c>
      <c r="C39" s="6">
        <v>14.399999999999999</v>
      </c>
    </row>
    <row r="40" spans="1:3">
      <c r="A40" s="5" t="s">
        <v>358</v>
      </c>
      <c r="B40" s="6">
        <v>363</v>
      </c>
      <c r="C40" s="6">
        <v>4012.7999999999988</v>
      </c>
    </row>
    <row r="41" spans="1:3">
      <c r="A41" s="7" t="s">
        <v>186</v>
      </c>
      <c r="B41" s="6">
        <v>12</v>
      </c>
      <c r="C41" s="6">
        <v>43.2</v>
      </c>
    </row>
    <row r="42" spans="1:3">
      <c r="A42" s="8" t="s">
        <v>54</v>
      </c>
      <c r="B42" s="6">
        <v>12</v>
      </c>
      <c r="C42" s="6">
        <v>43.2</v>
      </c>
    </row>
    <row r="43" spans="1:3">
      <c r="A43" s="22" t="s">
        <v>321</v>
      </c>
      <c r="B43" s="6">
        <v>6</v>
      </c>
      <c r="C43" s="6">
        <v>21.6</v>
      </c>
    </row>
    <row r="44" spans="1:3">
      <c r="A44" s="22" t="s">
        <v>305</v>
      </c>
      <c r="B44" s="6">
        <v>6</v>
      </c>
      <c r="C44" s="6">
        <v>21.6</v>
      </c>
    </row>
    <row r="45" spans="1:3">
      <c r="A45" s="7" t="s">
        <v>165</v>
      </c>
      <c r="B45" s="6">
        <v>6</v>
      </c>
      <c r="C45" s="6">
        <v>18</v>
      </c>
    </row>
    <row r="46" spans="1:3">
      <c r="A46" s="8" t="s">
        <v>33</v>
      </c>
      <c r="B46" s="6">
        <v>6</v>
      </c>
      <c r="C46" s="6">
        <v>18</v>
      </c>
    </row>
    <row r="47" spans="1:3">
      <c r="A47" s="22" t="s">
        <v>324</v>
      </c>
      <c r="B47" s="6">
        <v>6</v>
      </c>
      <c r="C47" s="6">
        <v>18</v>
      </c>
    </row>
    <row r="48" spans="1:3">
      <c r="A48" s="7" t="s">
        <v>140</v>
      </c>
      <c r="B48" s="6">
        <v>2</v>
      </c>
      <c r="C48" s="6">
        <v>15.6</v>
      </c>
    </row>
    <row r="49" spans="1:3">
      <c r="A49" s="8" t="s">
        <v>8</v>
      </c>
      <c r="B49" s="6">
        <v>2</v>
      </c>
      <c r="C49" s="6">
        <v>15.6</v>
      </c>
    </row>
    <row r="50" spans="1:3">
      <c r="A50" s="22" t="s">
        <v>306</v>
      </c>
      <c r="B50" s="6">
        <v>2</v>
      </c>
      <c r="C50" s="6">
        <v>15.6</v>
      </c>
    </row>
    <row r="51" spans="1:3">
      <c r="A51" s="7" t="s">
        <v>158</v>
      </c>
      <c r="B51" s="6">
        <v>9</v>
      </c>
      <c r="C51" s="6">
        <v>63.72</v>
      </c>
    </row>
    <row r="52" spans="1:3">
      <c r="A52" s="8" t="s">
        <v>29</v>
      </c>
      <c r="B52" s="6">
        <v>9</v>
      </c>
      <c r="C52" s="6">
        <v>63.72</v>
      </c>
    </row>
    <row r="53" spans="1:3">
      <c r="A53" s="22" t="s">
        <v>321</v>
      </c>
      <c r="B53" s="6">
        <v>2</v>
      </c>
      <c r="C53" s="6">
        <v>14.16</v>
      </c>
    </row>
    <row r="54" spans="1:3">
      <c r="A54" s="22" t="s">
        <v>295</v>
      </c>
      <c r="B54" s="6">
        <v>2</v>
      </c>
      <c r="C54" s="6">
        <v>14.16</v>
      </c>
    </row>
    <row r="55" spans="1:3">
      <c r="A55" s="22" t="s">
        <v>305</v>
      </c>
      <c r="B55" s="6">
        <v>3</v>
      </c>
      <c r="C55" s="6">
        <v>21.240000000000002</v>
      </c>
    </row>
    <row r="56" spans="1:3">
      <c r="A56" s="22" t="s">
        <v>306</v>
      </c>
      <c r="B56" s="6">
        <v>2</v>
      </c>
      <c r="C56" s="6">
        <v>14.16</v>
      </c>
    </row>
    <row r="57" spans="1:3">
      <c r="A57" s="7" t="s">
        <v>148</v>
      </c>
      <c r="B57" s="6">
        <v>3</v>
      </c>
      <c r="C57" s="6">
        <v>28.799999999999997</v>
      </c>
    </row>
    <row r="58" spans="1:3">
      <c r="A58" s="8" t="s">
        <v>19</v>
      </c>
      <c r="B58" s="6">
        <v>3</v>
      </c>
      <c r="C58" s="6">
        <v>28.799999999999997</v>
      </c>
    </row>
    <row r="59" spans="1:3">
      <c r="A59" s="22" t="s">
        <v>305</v>
      </c>
      <c r="B59" s="6">
        <v>3</v>
      </c>
      <c r="C59" s="6">
        <v>28.799999999999997</v>
      </c>
    </row>
    <row r="60" spans="1:3">
      <c r="A60" s="7" t="s">
        <v>164</v>
      </c>
      <c r="B60" s="6">
        <v>8</v>
      </c>
      <c r="C60" s="6">
        <v>36.479999999999997</v>
      </c>
    </row>
    <row r="61" spans="1:3">
      <c r="A61" s="8" t="s">
        <v>32</v>
      </c>
      <c r="B61" s="6">
        <v>8</v>
      </c>
      <c r="C61" s="6">
        <v>36.479999999999997</v>
      </c>
    </row>
    <row r="62" spans="1:3">
      <c r="A62" s="22" t="s">
        <v>321</v>
      </c>
      <c r="B62" s="6">
        <v>8</v>
      </c>
      <c r="C62" s="6">
        <v>36.479999999999997</v>
      </c>
    </row>
    <row r="63" spans="1:3">
      <c r="A63" s="7" t="s">
        <v>249</v>
      </c>
      <c r="B63" s="6">
        <v>6</v>
      </c>
      <c r="C63" s="6">
        <v>39.599999999999994</v>
      </c>
    </row>
    <row r="64" spans="1:3">
      <c r="A64" s="8" t="s">
        <v>118</v>
      </c>
      <c r="B64" s="6">
        <v>6</v>
      </c>
      <c r="C64" s="6">
        <v>39.599999999999994</v>
      </c>
    </row>
    <row r="65" spans="1:3">
      <c r="A65" s="22" t="s">
        <v>319</v>
      </c>
      <c r="B65" s="6">
        <v>6</v>
      </c>
      <c r="C65" s="6">
        <v>39.599999999999994</v>
      </c>
    </row>
    <row r="66" spans="1:3">
      <c r="A66" s="7" t="s">
        <v>227</v>
      </c>
      <c r="B66" s="6">
        <v>6</v>
      </c>
      <c r="C66" s="6">
        <v>97.92</v>
      </c>
    </row>
    <row r="67" spans="1:3">
      <c r="A67" s="8" t="s">
        <v>96</v>
      </c>
      <c r="B67" s="6">
        <v>6</v>
      </c>
      <c r="C67" s="6">
        <v>97.92</v>
      </c>
    </row>
    <row r="68" spans="1:3">
      <c r="A68" s="22" t="s">
        <v>321</v>
      </c>
      <c r="B68" s="6">
        <v>3</v>
      </c>
      <c r="C68" s="6">
        <v>48.96</v>
      </c>
    </row>
    <row r="69" spans="1:3">
      <c r="A69" s="22" t="s">
        <v>302</v>
      </c>
      <c r="B69" s="6">
        <v>3</v>
      </c>
      <c r="C69" s="6">
        <v>48.96</v>
      </c>
    </row>
    <row r="70" spans="1:3">
      <c r="A70" s="7" t="s">
        <v>141</v>
      </c>
      <c r="B70" s="6">
        <v>3</v>
      </c>
      <c r="C70" s="6">
        <v>43.2</v>
      </c>
    </row>
    <row r="71" spans="1:3">
      <c r="A71" s="8" t="s">
        <v>9</v>
      </c>
      <c r="B71" s="6">
        <v>3</v>
      </c>
      <c r="C71" s="6">
        <v>43.2</v>
      </c>
    </row>
    <row r="72" spans="1:3">
      <c r="A72" s="22" t="s">
        <v>305</v>
      </c>
      <c r="B72" s="6">
        <v>3</v>
      </c>
      <c r="C72" s="6">
        <v>43.2</v>
      </c>
    </row>
    <row r="73" spans="1:3">
      <c r="A73" s="7" t="s">
        <v>183</v>
      </c>
      <c r="B73" s="6">
        <v>16</v>
      </c>
      <c r="C73" s="6">
        <v>72.959999999999994</v>
      </c>
    </row>
    <row r="74" spans="1:3">
      <c r="A74" s="8" t="s">
        <v>51</v>
      </c>
      <c r="B74" s="6">
        <v>16</v>
      </c>
      <c r="C74" s="6">
        <v>72.959999999999994</v>
      </c>
    </row>
    <row r="75" spans="1:3">
      <c r="A75" s="22" t="s">
        <v>324</v>
      </c>
      <c r="B75" s="6">
        <v>8</v>
      </c>
      <c r="C75" s="6">
        <v>36.479999999999997</v>
      </c>
    </row>
    <row r="76" spans="1:3">
      <c r="A76" s="22" t="s">
        <v>305</v>
      </c>
      <c r="B76" s="6">
        <v>8</v>
      </c>
      <c r="C76" s="6">
        <v>36.479999999999997</v>
      </c>
    </row>
    <row r="77" spans="1:3">
      <c r="A77" s="7" t="s">
        <v>142</v>
      </c>
      <c r="B77" s="6">
        <v>2</v>
      </c>
      <c r="C77" s="6">
        <v>14.4</v>
      </c>
    </row>
    <row r="78" spans="1:3">
      <c r="A78" s="8" t="s">
        <v>10</v>
      </c>
      <c r="B78" s="6">
        <v>2</v>
      </c>
      <c r="C78" s="6">
        <v>14.4</v>
      </c>
    </row>
    <row r="79" spans="1:3">
      <c r="A79" s="22" t="s">
        <v>321</v>
      </c>
      <c r="B79" s="6">
        <v>2</v>
      </c>
      <c r="C79" s="6">
        <v>14.4</v>
      </c>
    </row>
    <row r="80" spans="1:3">
      <c r="A80" s="7" t="s">
        <v>157</v>
      </c>
      <c r="B80" s="6">
        <v>2</v>
      </c>
      <c r="C80" s="6">
        <v>26.88</v>
      </c>
    </row>
    <row r="81" spans="1:3">
      <c r="A81" s="8" t="s">
        <v>28</v>
      </c>
      <c r="B81" s="6">
        <v>2</v>
      </c>
      <c r="C81" s="6">
        <v>26.88</v>
      </c>
    </row>
    <row r="82" spans="1:3">
      <c r="A82" s="22" t="s">
        <v>309</v>
      </c>
      <c r="B82" s="6">
        <v>2</v>
      </c>
      <c r="C82" s="6">
        <v>26.88</v>
      </c>
    </row>
    <row r="83" spans="1:3">
      <c r="A83" s="7" t="s">
        <v>208</v>
      </c>
      <c r="B83" s="6">
        <v>2</v>
      </c>
      <c r="C83" s="6">
        <v>26.88</v>
      </c>
    </row>
    <row r="84" spans="1:3">
      <c r="A84" s="8" t="s">
        <v>77</v>
      </c>
      <c r="B84" s="6">
        <v>2</v>
      </c>
      <c r="C84" s="6">
        <v>26.88</v>
      </c>
    </row>
    <row r="85" spans="1:3">
      <c r="A85" s="22" t="s">
        <v>309</v>
      </c>
      <c r="B85" s="6">
        <v>2</v>
      </c>
      <c r="C85" s="6">
        <v>26.88</v>
      </c>
    </row>
    <row r="86" spans="1:3">
      <c r="A86" s="7" t="s">
        <v>223</v>
      </c>
      <c r="B86" s="6">
        <v>4</v>
      </c>
      <c r="C86" s="6">
        <v>50.4</v>
      </c>
    </row>
    <row r="87" spans="1:3">
      <c r="A87" s="8" t="s">
        <v>92</v>
      </c>
      <c r="B87" s="6">
        <v>4</v>
      </c>
      <c r="C87" s="6">
        <v>50.4</v>
      </c>
    </row>
    <row r="88" spans="1:3">
      <c r="A88" s="22" t="s">
        <v>341</v>
      </c>
      <c r="B88" s="6">
        <v>4</v>
      </c>
      <c r="C88" s="6">
        <v>50.4</v>
      </c>
    </row>
    <row r="89" spans="1:3">
      <c r="A89" s="7" t="s">
        <v>179</v>
      </c>
      <c r="B89" s="6">
        <v>4</v>
      </c>
      <c r="C89" s="6">
        <v>53.76</v>
      </c>
    </row>
    <row r="90" spans="1:3">
      <c r="A90" s="8" t="s">
        <v>47</v>
      </c>
      <c r="B90" s="6">
        <v>4</v>
      </c>
      <c r="C90" s="6">
        <v>53.76</v>
      </c>
    </row>
    <row r="91" spans="1:3">
      <c r="A91" s="22" t="s">
        <v>342</v>
      </c>
      <c r="B91" s="6">
        <v>4</v>
      </c>
      <c r="C91" s="6">
        <v>53.76</v>
      </c>
    </row>
    <row r="92" spans="1:3">
      <c r="A92" s="7" t="s">
        <v>135</v>
      </c>
      <c r="B92" s="6">
        <v>5</v>
      </c>
      <c r="C92" s="6">
        <v>67.2</v>
      </c>
    </row>
    <row r="93" spans="1:3">
      <c r="A93" s="8" t="s">
        <v>3</v>
      </c>
      <c r="B93" s="6">
        <v>5</v>
      </c>
      <c r="C93" s="6">
        <v>67.2</v>
      </c>
    </row>
    <row r="94" spans="1:3">
      <c r="A94" s="22" t="s">
        <v>317</v>
      </c>
      <c r="B94" s="6">
        <v>2</v>
      </c>
      <c r="C94" s="6">
        <v>26.88</v>
      </c>
    </row>
    <row r="95" spans="1:3">
      <c r="A95" s="22" t="s">
        <v>332</v>
      </c>
      <c r="B95" s="6">
        <v>3</v>
      </c>
      <c r="C95" s="6">
        <v>40.32</v>
      </c>
    </row>
    <row r="96" spans="1:3">
      <c r="A96" s="7" t="s">
        <v>180</v>
      </c>
      <c r="B96" s="6">
        <v>3</v>
      </c>
      <c r="C96" s="6">
        <v>60.12</v>
      </c>
    </row>
    <row r="97" spans="1:3">
      <c r="A97" s="8" t="s">
        <v>48</v>
      </c>
      <c r="B97" s="6">
        <v>3</v>
      </c>
      <c r="C97" s="6">
        <v>60.12</v>
      </c>
    </row>
    <row r="98" spans="1:3">
      <c r="A98" s="22" t="s">
        <v>321</v>
      </c>
      <c r="B98" s="6">
        <v>3</v>
      </c>
      <c r="C98" s="6">
        <v>60.12</v>
      </c>
    </row>
    <row r="99" spans="1:3">
      <c r="A99" s="7" t="s">
        <v>205</v>
      </c>
      <c r="B99" s="6">
        <v>6</v>
      </c>
      <c r="C99" s="6">
        <v>131.76</v>
      </c>
    </row>
    <row r="100" spans="1:3">
      <c r="A100" s="8" t="s">
        <v>73</v>
      </c>
      <c r="B100" s="6">
        <v>6</v>
      </c>
      <c r="C100" s="6">
        <v>131.76</v>
      </c>
    </row>
    <row r="101" spans="1:3">
      <c r="A101" s="22" t="s">
        <v>321</v>
      </c>
      <c r="B101" s="6">
        <v>3</v>
      </c>
      <c r="C101" s="6">
        <v>65.88</v>
      </c>
    </row>
    <row r="102" spans="1:3">
      <c r="A102" s="22" t="s">
        <v>302</v>
      </c>
      <c r="B102" s="6">
        <v>3</v>
      </c>
      <c r="C102" s="6">
        <v>65.88</v>
      </c>
    </row>
    <row r="103" spans="1:3">
      <c r="A103" s="7" t="s">
        <v>136</v>
      </c>
      <c r="B103" s="6">
        <v>2</v>
      </c>
      <c r="C103" s="6">
        <v>36.24</v>
      </c>
    </row>
    <row r="104" spans="1:3">
      <c r="A104" s="8" t="s">
        <v>4</v>
      </c>
      <c r="B104" s="6">
        <v>2</v>
      </c>
      <c r="C104" s="6">
        <v>36.24</v>
      </c>
    </row>
    <row r="105" spans="1:3">
      <c r="A105" s="22" t="s">
        <v>305</v>
      </c>
      <c r="B105" s="6">
        <v>2</v>
      </c>
      <c r="C105" s="6">
        <v>36.24</v>
      </c>
    </row>
    <row r="106" spans="1:3">
      <c r="A106" s="7" t="s">
        <v>234</v>
      </c>
      <c r="B106" s="6">
        <v>2</v>
      </c>
      <c r="C106" s="6">
        <v>58.8</v>
      </c>
    </row>
    <row r="107" spans="1:3">
      <c r="A107" s="8" t="s">
        <v>103</v>
      </c>
      <c r="B107" s="6">
        <v>2</v>
      </c>
      <c r="C107" s="6">
        <v>58.8</v>
      </c>
    </row>
    <row r="108" spans="1:3">
      <c r="A108" s="22" t="s">
        <v>321</v>
      </c>
      <c r="B108" s="6">
        <v>2</v>
      </c>
      <c r="C108" s="6">
        <v>58.8</v>
      </c>
    </row>
    <row r="109" spans="1:3">
      <c r="A109" s="7" t="s">
        <v>175</v>
      </c>
      <c r="B109" s="6">
        <v>2</v>
      </c>
      <c r="C109" s="6">
        <v>59.76</v>
      </c>
    </row>
    <row r="110" spans="1:3">
      <c r="A110" s="8" t="s">
        <v>43</v>
      </c>
      <c r="B110" s="6">
        <v>2</v>
      </c>
      <c r="C110" s="6">
        <v>59.76</v>
      </c>
    </row>
    <row r="111" spans="1:3">
      <c r="A111" s="22" t="s">
        <v>315</v>
      </c>
      <c r="B111" s="6">
        <v>2</v>
      </c>
      <c r="C111" s="6">
        <v>59.76</v>
      </c>
    </row>
    <row r="112" spans="1:3">
      <c r="A112" s="7" t="s">
        <v>255</v>
      </c>
      <c r="B112" s="6">
        <v>2</v>
      </c>
      <c r="C112" s="6">
        <v>59.76</v>
      </c>
    </row>
    <row r="113" spans="1:3">
      <c r="A113" s="8" t="s">
        <v>124</v>
      </c>
      <c r="B113" s="6">
        <v>2</v>
      </c>
      <c r="C113" s="6">
        <v>59.76</v>
      </c>
    </row>
    <row r="114" spans="1:3">
      <c r="A114" s="22" t="s">
        <v>319</v>
      </c>
      <c r="B114" s="6">
        <v>2</v>
      </c>
      <c r="C114" s="6">
        <v>59.76</v>
      </c>
    </row>
    <row r="115" spans="1:3">
      <c r="A115" s="7" t="s">
        <v>153</v>
      </c>
      <c r="B115" s="6">
        <v>6</v>
      </c>
      <c r="C115" s="6">
        <v>28.799999999999997</v>
      </c>
    </row>
    <row r="116" spans="1:3">
      <c r="A116" s="8" t="s">
        <v>24</v>
      </c>
      <c r="B116" s="6">
        <v>6</v>
      </c>
      <c r="C116" s="6">
        <v>28.799999999999997</v>
      </c>
    </row>
    <row r="117" spans="1:3">
      <c r="A117" s="22" t="s">
        <v>312</v>
      </c>
      <c r="B117" s="6">
        <v>3</v>
      </c>
      <c r="C117" s="6">
        <v>14.399999999999999</v>
      </c>
    </row>
    <row r="118" spans="1:3">
      <c r="A118" s="22" t="s">
        <v>321</v>
      </c>
      <c r="B118" s="6">
        <v>3</v>
      </c>
      <c r="C118" s="6">
        <v>14.399999999999999</v>
      </c>
    </row>
    <row r="119" spans="1:3">
      <c r="A119" s="7" t="s">
        <v>151</v>
      </c>
      <c r="B119" s="6">
        <v>4</v>
      </c>
      <c r="C119" s="6">
        <v>57.6</v>
      </c>
    </row>
    <row r="120" spans="1:3">
      <c r="A120" s="8" t="s">
        <v>22</v>
      </c>
      <c r="B120" s="6">
        <v>4</v>
      </c>
      <c r="C120" s="6">
        <v>57.6</v>
      </c>
    </row>
    <row r="121" spans="1:3">
      <c r="A121" s="22" t="s">
        <v>312</v>
      </c>
      <c r="B121" s="6">
        <v>2</v>
      </c>
      <c r="C121" s="6">
        <v>28.8</v>
      </c>
    </row>
    <row r="122" spans="1:3">
      <c r="A122" s="22" t="s">
        <v>321</v>
      </c>
      <c r="B122" s="6">
        <v>2</v>
      </c>
      <c r="C122" s="6">
        <v>28.8</v>
      </c>
    </row>
    <row r="123" spans="1:3">
      <c r="A123" s="7" t="s">
        <v>150</v>
      </c>
      <c r="B123" s="6">
        <v>19</v>
      </c>
      <c r="C123" s="6">
        <v>273.59999999999997</v>
      </c>
    </row>
    <row r="124" spans="1:3">
      <c r="A124" s="8" t="s">
        <v>21</v>
      </c>
      <c r="B124" s="6">
        <v>19</v>
      </c>
      <c r="C124" s="6">
        <v>273.59999999999997</v>
      </c>
    </row>
    <row r="125" spans="1:3">
      <c r="A125" s="22" t="s">
        <v>312</v>
      </c>
      <c r="B125" s="6">
        <v>4</v>
      </c>
      <c r="C125" s="6">
        <v>57.6</v>
      </c>
    </row>
    <row r="126" spans="1:3">
      <c r="A126" s="22" t="s">
        <v>321</v>
      </c>
      <c r="B126" s="6">
        <v>3</v>
      </c>
      <c r="C126" s="6">
        <v>43.2</v>
      </c>
    </row>
    <row r="127" spans="1:3">
      <c r="A127" s="22" t="s">
        <v>324</v>
      </c>
      <c r="B127" s="6">
        <v>3</v>
      </c>
      <c r="C127" s="6">
        <v>43.2</v>
      </c>
    </row>
    <row r="128" spans="1:3">
      <c r="A128" s="22" t="s">
        <v>333</v>
      </c>
      <c r="B128" s="6">
        <v>3</v>
      </c>
      <c r="C128" s="6">
        <v>43.2</v>
      </c>
    </row>
    <row r="129" spans="1:3">
      <c r="A129" s="22" t="s">
        <v>334</v>
      </c>
      <c r="B129" s="6">
        <v>3</v>
      </c>
      <c r="C129" s="6">
        <v>43.2</v>
      </c>
    </row>
    <row r="130" spans="1:3">
      <c r="A130" s="22" t="s">
        <v>335</v>
      </c>
      <c r="B130" s="6">
        <v>3</v>
      </c>
      <c r="C130" s="6">
        <v>43.2</v>
      </c>
    </row>
    <row r="131" spans="1:3">
      <c r="A131" s="7" t="s">
        <v>155</v>
      </c>
      <c r="B131" s="6">
        <v>18</v>
      </c>
      <c r="C131" s="6">
        <v>259.2</v>
      </c>
    </row>
    <row r="132" spans="1:3">
      <c r="A132" s="8" t="s">
        <v>26</v>
      </c>
      <c r="B132" s="6">
        <v>18</v>
      </c>
      <c r="C132" s="6">
        <v>259.2</v>
      </c>
    </row>
    <row r="133" spans="1:3">
      <c r="A133" s="22" t="s">
        <v>312</v>
      </c>
      <c r="B133" s="6">
        <v>3</v>
      </c>
      <c r="C133" s="6">
        <v>43.2</v>
      </c>
    </row>
    <row r="134" spans="1:3">
      <c r="A134" s="22" t="s">
        <v>321</v>
      </c>
      <c r="B134" s="6">
        <v>3</v>
      </c>
      <c r="C134" s="6">
        <v>43.2</v>
      </c>
    </row>
    <row r="135" spans="1:3">
      <c r="A135" s="22" t="s">
        <v>324</v>
      </c>
      <c r="B135" s="6">
        <v>3</v>
      </c>
      <c r="C135" s="6">
        <v>43.2</v>
      </c>
    </row>
    <row r="136" spans="1:3">
      <c r="A136" s="22" t="s">
        <v>333</v>
      </c>
      <c r="B136" s="6">
        <v>3</v>
      </c>
      <c r="C136" s="6">
        <v>43.2</v>
      </c>
    </row>
    <row r="137" spans="1:3">
      <c r="A137" s="22" t="s">
        <v>334</v>
      </c>
      <c r="B137" s="6">
        <v>3</v>
      </c>
      <c r="C137" s="6">
        <v>43.2</v>
      </c>
    </row>
    <row r="138" spans="1:3">
      <c r="A138" s="22" t="s">
        <v>335</v>
      </c>
      <c r="B138" s="6">
        <v>3</v>
      </c>
      <c r="C138" s="6">
        <v>43.2</v>
      </c>
    </row>
    <row r="139" spans="1:3">
      <c r="A139" s="7" t="s">
        <v>182</v>
      </c>
      <c r="B139" s="6">
        <v>9</v>
      </c>
      <c r="C139" s="6">
        <v>140.39999999999998</v>
      </c>
    </row>
    <row r="140" spans="1:3">
      <c r="A140" s="8" t="s">
        <v>50</v>
      </c>
      <c r="B140" s="6">
        <v>9</v>
      </c>
      <c r="C140" s="6">
        <v>140.39999999999998</v>
      </c>
    </row>
    <row r="141" spans="1:3">
      <c r="A141" s="22" t="s">
        <v>312</v>
      </c>
      <c r="B141" s="6">
        <v>3</v>
      </c>
      <c r="C141" s="6">
        <v>46.8</v>
      </c>
    </row>
    <row r="142" spans="1:3">
      <c r="A142" s="22" t="s">
        <v>305</v>
      </c>
      <c r="B142" s="6">
        <v>3</v>
      </c>
      <c r="C142" s="6">
        <v>46.8</v>
      </c>
    </row>
    <row r="143" spans="1:3">
      <c r="A143" s="22" t="s">
        <v>306</v>
      </c>
      <c r="B143" s="6">
        <v>3</v>
      </c>
      <c r="C143" s="6">
        <v>46.8</v>
      </c>
    </row>
    <row r="144" spans="1:3">
      <c r="A144" s="7" t="s">
        <v>152</v>
      </c>
      <c r="B144" s="6">
        <v>2</v>
      </c>
      <c r="C144" s="6">
        <v>26.16</v>
      </c>
    </row>
    <row r="145" spans="1:3">
      <c r="A145" s="8" t="s">
        <v>23</v>
      </c>
      <c r="B145" s="6">
        <v>2</v>
      </c>
      <c r="C145" s="6">
        <v>26.16</v>
      </c>
    </row>
    <row r="146" spans="1:3">
      <c r="A146" s="22" t="s">
        <v>321</v>
      </c>
      <c r="B146" s="6">
        <v>2</v>
      </c>
      <c r="C146" s="6">
        <v>26.16</v>
      </c>
    </row>
    <row r="147" spans="1:3">
      <c r="A147" s="7" t="s">
        <v>154</v>
      </c>
      <c r="B147" s="6">
        <v>4</v>
      </c>
      <c r="C147" s="6">
        <v>50.4</v>
      </c>
    </row>
    <row r="148" spans="1:3">
      <c r="A148" s="8" t="s">
        <v>25</v>
      </c>
      <c r="B148" s="6">
        <v>4</v>
      </c>
      <c r="C148" s="6">
        <v>50.4</v>
      </c>
    </row>
    <row r="149" spans="1:3">
      <c r="A149" s="22" t="s">
        <v>312</v>
      </c>
      <c r="B149" s="6">
        <v>2</v>
      </c>
      <c r="C149" s="6">
        <v>25.2</v>
      </c>
    </row>
    <row r="150" spans="1:3">
      <c r="A150" s="22" t="s">
        <v>321</v>
      </c>
      <c r="B150" s="6">
        <v>2</v>
      </c>
      <c r="C150" s="6">
        <v>25.2</v>
      </c>
    </row>
    <row r="151" spans="1:3">
      <c r="A151" s="7" t="s">
        <v>166</v>
      </c>
      <c r="B151" s="6">
        <v>4</v>
      </c>
      <c r="C151" s="6">
        <v>44.16</v>
      </c>
    </row>
    <row r="152" spans="1:3">
      <c r="A152" s="8" t="s">
        <v>34</v>
      </c>
      <c r="B152" s="6">
        <v>4</v>
      </c>
      <c r="C152" s="6">
        <v>44.16</v>
      </c>
    </row>
    <row r="153" spans="1:3">
      <c r="A153" s="22" t="s">
        <v>312</v>
      </c>
      <c r="B153" s="6">
        <v>2</v>
      </c>
      <c r="C153" s="6">
        <v>22.08</v>
      </c>
    </row>
    <row r="154" spans="1:3">
      <c r="A154" s="22" t="s">
        <v>321</v>
      </c>
      <c r="B154" s="6">
        <v>2</v>
      </c>
      <c r="C154" s="6">
        <v>22.08</v>
      </c>
    </row>
    <row r="155" spans="1:3">
      <c r="A155" s="7" t="s">
        <v>134</v>
      </c>
      <c r="B155" s="6">
        <v>9</v>
      </c>
      <c r="C155" s="6">
        <v>43.199999999999996</v>
      </c>
    </row>
    <row r="156" spans="1:3">
      <c r="A156" s="8" t="s">
        <v>2</v>
      </c>
      <c r="B156" s="6">
        <v>9</v>
      </c>
      <c r="C156" s="6">
        <v>43.199999999999996</v>
      </c>
    </row>
    <row r="157" spans="1:3">
      <c r="A157" s="22" t="s">
        <v>312</v>
      </c>
      <c r="B157" s="6">
        <v>3</v>
      </c>
      <c r="C157" s="6">
        <v>14.399999999999999</v>
      </c>
    </row>
    <row r="158" spans="1:3">
      <c r="A158" s="22" t="s">
        <v>321</v>
      </c>
      <c r="B158" s="6">
        <v>3</v>
      </c>
      <c r="C158" s="6">
        <v>14.399999999999999</v>
      </c>
    </row>
    <row r="159" spans="1:3">
      <c r="A159" s="22" t="s">
        <v>306</v>
      </c>
      <c r="B159" s="6">
        <v>3</v>
      </c>
      <c r="C159" s="6">
        <v>14.399999999999999</v>
      </c>
    </row>
    <row r="160" spans="1:3">
      <c r="A160" s="7" t="s">
        <v>196</v>
      </c>
      <c r="B160" s="6">
        <v>3</v>
      </c>
      <c r="C160" s="6">
        <v>28.799999999999997</v>
      </c>
    </row>
    <row r="161" spans="1:3">
      <c r="A161" s="8" t="s">
        <v>64</v>
      </c>
      <c r="B161" s="6">
        <v>3</v>
      </c>
      <c r="C161" s="6">
        <v>28.799999999999997</v>
      </c>
    </row>
    <row r="162" spans="1:3">
      <c r="A162" s="22" t="s">
        <v>324</v>
      </c>
      <c r="B162" s="6">
        <v>3</v>
      </c>
      <c r="C162" s="6">
        <v>28.799999999999997</v>
      </c>
    </row>
    <row r="163" spans="1:3">
      <c r="A163" s="7" t="s">
        <v>189</v>
      </c>
      <c r="B163" s="6">
        <v>9</v>
      </c>
      <c r="C163" s="6">
        <v>170.64000000000001</v>
      </c>
    </row>
    <row r="164" spans="1:3">
      <c r="A164" s="8" t="s">
        <v>57</v>
      </c>
      <c r="B164" s="6">
        <v>9</v>
      </c>
      <c r="C164" s="6">
        <v>170.64000000000001</v>
      </c>
    </row>
    <row r="165" spans="1:3">
      <c r="A165" s="22" t="s">
        <v>337</v>
      </c>
      <c r="B165" s="6">
        <v>3</v>
      </c>
      <c r="C165" s="6">
        <v>56.88</v>
      </c>
    </row>
    <row r="166" spans="1:3">
      <c r="A166" s="22" t="s">
        <v>338</v>
      </c>
      <c r="B166" s="6">
        <v>3</v>
      </c>
      <c r="C166" s="6">
        <v>56.88</v>
      </c>
    </row>
    <row r="167" spans="1:3">
      <c r="A167" s="22" t="s">
        <v>339</v>
      </c>
      <c r="B167" s="6">
        <v>3</v>
      </c>
      <c r="C167" s="6">
        <v>56.88</v>
      </c>
    </row>
    <row r="168" spans="1:3">
      <c r="A168" s="7" t="s">
        <v>233</v>
      </c>
      <c r="B168" s="6">
        <v>3</v>
      </c>
      <c r="C168" s="6">
        <v>27</v>
      </c>
    </row>
    <row r="169" spans="1:3">
      <c r="A169" s="8" t="s">
        <v>102</v>
      </c>
      <c r="B169" s="6">
        <v>3</v>
      </c>
      <c r="C169" s="6">
        <v>27</v>
      </c>
    </row>
    <row r="170" spans="1:3">
      <c r="A170" s="22" t="s">
        <v>336</v>
      </c>
      <c r="B170" s="6">
        <v>3</v>
      </c>
      <c r="C170" s="6">
        <v>27</v>
      </c>
    </row>
    <row r="171" spans="1:3">
      <c r="A171" s="7" t="s">
        <v>220</v>
      </c>
      <c r="B171" s="6">
        <v>6</v>
      </c>
      <c r="C171" s="6">
        <v>54</v>
      </c>
    </row>
    <row r="172" spans="1:3">
      <c r="A172" s="8" t="s">
        <v>89</v>
      </c>
      <c r="B172" s="6">
        <v>6</v>
      </c>
      <c r="C172" s="6">
        <v>54</v>
      </c>
    </row>
    <row r="173" spans="1:3">
      <c r="A173" s="22" t="s">
        <v>308</v>
      </c>
      <c r="B173" s="6">
        <v>3</v>
      </c>
      <c r="C173" s="6">
        <v>27</v>
      </c>
    </row>
    <row r="174" spans="1:3">
      <c r="A174" s="22" t="s">
        <v>324</v>
      </c>
      <c r="B174" s="6">
        <v>3</v>
      </c>
      <c r="C174" s="6">
        <v>27</v>
      </c>
    </row>
    <row r="175" spans="1:3">
      <c r="A175" s="7" t="s">
        <v>133</v>
      </c>
      <c r="B175" s="6">
        <v>8</v>
      </c>
      <c r="C175" s="6">
        <v>101.76</v>
      </c>
    </row>
    <row r="176" spans="1:3">
      <c r="A176" s="8" t="s">
        <v>1</v>
      </c>
      <c r="B176" s="6">
        <v>8</v>
      </c>
      <c r="C176" s="6">
        <v>101.76</v>
      </c>
    </row>
    <row r="177" spans="1:3">
      <c r="A177" s="22" t="s">
        <v>321</v>
      </c>
      <c r="B177" s="6">
        <v>4</v>
      </c>
      <c r="C177" s="6">
        <v>50.88</v>
      </c>
    </row>
    <row r="178" spans="1:3">
      <c r="A178" s="22" t="s">
        <v>324</v>
      </c>
      <c r="B178" s="6">
        <v>4</v>
      </c>
      <c r="C178" s="6">
        <v>50.88</v>
      </c>
    </row>
    <row r="179" spans="1:3">
      <c r="A179" s="7" t="s">
        <v>204</v>
      </c>
      <c r="B179" s="6">
        <v>6</v>
      </c>
      <c r="C179" s="6">
        <v>54</v>
      </c>
    </row>
    <row r="180" spans="1:3">
      <c r="A180" s="8" t="s">
        <v>72</v>
      </c>
      <c r="B180" s="6">
        <v>6</v>
      </c>
      <c r="C180" s="6">
        <v>54</v>
      </c>
    </row>
    <row r="181" spans="1:3">
      <c r="A181" s="22" t="s">
        <v>312</v>
      </c>
      <c r="B181" s="6">
        <v>3</v>
      </c>
      <c r="C181" s="6">
        <v>27</v>
      </c>
    </row>
    <row r="182" spans="1:3">
      <c r="A182" s="22" t="s">
        <v>333</v>
      </c>
      <c r="B182" s="6">
        <v>3</v>
      </c>
      <c r="C182" s="6">
        <v>27</v>
      </c>
    </row>
    <row r="183" spans="1:3">
      <c r="A183" s="7" t="s">
        <v>213</v>
      </c>
      <c r="B183" s="6">
        <v>3</v>
      </c>
      <c r="C183" s="6">
        <v>25.200000000000003</v>
      </c>
    </row>
    <row r="184" spans="1:3">
      <c r="A184" s="8" t="s">
        <v>82</v>
      </c>
      <c r="B184" s="6">
        <v>3</v>
      </c>
      <c r="C184" s="6">
        <v>25.200000000000003</v>
      </c>
    </row>
    <row r="185" spans="1:3">
      <c r="A185" s="22" t="s">
        <v>306</v>
      </c>
      <c r="B185" s="6">
        <v>3</v>
      </c>
      <c r="C185" s="6">
        <v>25.200000000000003</v>
      </c>
    </row>
    <row r="186" spans="1:3">
      <c r="A186" s="7" t="s">
        <v>214</v>
      </c>
      <c r="B186" s="6">
        <v>3</v>
      </c>
      <c r="C186" s="6">
        <v>25.200000000000003</v>
      </c>
    </row>
    <row r="187" spans="1:3">
      <c r="A187" s="8" t="s">
        <v>83</v>
      </c>
      <c r="B187" s="6">
        <v>3</v>
      </c>
      <c r="C187" s="6">
        <v>25.200000000000003</v>
      </c>
    </row>
    <row r="188" spans="1:3">
      <c r="A188" s="22" t="s">
        <v>312</v>
      </c>
      <c r="B188" s="6">
        <v>3</v>
      </c>
      <c r="C188" s="6">
        <v>25.200000000000003</v>
      </c>
    </row>
    <row r="189" spans="1:3">
      <c r="A189" s="7" t="s">
        <v>187</v>
      </c>
      <c r="B189" s="6">
        <v>3</v>
      </c>
      <c r="C189" s="6">
        <v>25.200000000000003</v>
      </c>
    </row>
    <row r="190" spans="1:3">
      <c r="A190" s="8" t="s">
        <v>55</v>
      </c>
      <c r="B190" s="6">
        <v>3</v>
      </c>
      <c r="C190" s="6">
        <v>25.200000000000003</v>
      </c>
    </row>
    <row r="191" spans="1:3">
      <c r="A191" s="22" t="s">
        <v>312</v>
      </c>
      <c r="B191" s="6">
        <v>3</v>
      </c>
      <c r="C191" s="6">
        <v>25.200000000000003</v>
      </c>
    </row>
    <row r="192" spans="1:3">
      <c r="A192" s="7" t="s">
        <v>193</v>
      </c>
      <c r="B192" s="6">
        <v>3</v>
      </c>
      <c r="C192" s="6">
        <v>27</v>
      </c>
    </row>
    <row r="193" spans="1:3">
      <c r="A193" s="8" t="s">
        <v>61</v>
      </c>
      <c r="B193" s="6">
        <v>3</v>
      </c>
      <c r="C193" s="6">
        <v>27</v>
      </c>
    </row>
    <row r="194" spans="1:3">
      <c r="A194" s="22" t="s">
        <v>308</v>
      </c>
      <c r="B194" s="6">
        <v>3</v>
      </c>
      <c r="C194" s="6">
        <v>27</v>
      </c>
    </row>
    <row r="195" spans="1:3">
      <c r="A195" s="7" t="s">
        <v>242</v>
      </c>
      <c r="B195" s="6">
        <v>3</v>
      </c>
      <c r="C195" s="6">
        <v>28.08</v>
      </c>
    </row>
    <row r="196" spans="1:3">
      <c r="A196" s="8" t="s">
        <v>111</v>
      </c>
      <c r="B196" s="6">
        <v>3</v>
      </c>
      <c r="C196" s="6">
        <v>28.08</v>
      </c>
    </row>
    <row r="197" spans="1:3">
      <c r="A197" s="22" t="s">
        <v>330</v>
      </c>
      <c r="B197" s="6">
        <v>3</v>
      </c>
      <c r="C197" s="6">
        <v>28.08</v>
      </c>
    </row>
    <row r="198" spans="1:3">
      <c r="A198" s="7" t="s">
        <v>146</v>
      </c>
      <c r="B198" s="6">
        <v>3</v>
      </c>
      <c r="C198" s="6">
        <v>25.200000000000003</v>
      </c>
    </row>
    <row r="199" spans="1:3">
      <c r="A199" s="8" t="s">
        <v>17</v>
      </c>
      <c r="B199" s="6">
        <v>3</v>
      </c>
      <c r="C199" s="6">
        <v>25.200000000000003</v>
      </c>
    </row>
    <row r="200" spans="1:3">
      <c r="A200" s="22" t="s">
        <v>308</v>
      </c>
      <c r="B200" s="6">
        <v>3</v>
      </c>
      <c r="C200" s="6">
        <v>25.200000000000003</v>
      </c>
    </row>
    <row r="201" spans="1:3">
      <c r="A201" s="7" t="s">
        <v>156</v>
      </c>
      <c r="B201" s="6">
        <v>6</v>
      </c>
      <c r="C201" s="6">
        <v>11.52</v>
      </c>
    </row>
    <row r="202" spans="1:3">
      <c r="A202" s="8" t="s">
        <v>27</v>
      </c>
      <c r="B202" s="6">
        <v>6</v>
      </c>
      <c r="C202" s="6">
        <v>11.52</v>
      </c>
    </row>
    <row r="203" spans="1:3">
      <c r="A203" s="22" t="s">
        <v>306</v>
      </c>
      <c r="B203" s="6">
        <v>6</v>
      </c>
      <c r="C203" s="6">
        <v>11.52</v>
      </c>
    </row>
    <row r="204" spans="1:3">
      <c r="A204" s="7" t="s">
        <v>212</v>
      </c>
      <c r="B204" s="6">
        <v>4</v>
      </c>
      <c r="C204" s="6">
        <v>47.52</v>
      </c>
    </row>
    <row r="205" spans="1:3">
      <c r="A205" s="8" t="s">
        <v>81</v>
      </c>
      <c r="B205" s="6">
        <v>4</v>
      </c>
      <c r="C205" s="6">
        <v>47.52</v>
      </c>
    </row>
    <row r="206" spans="1:3">
      <c r="A206" s="22" t="s">
        <v>315</v>
      </c>
      <c r="B206" s="6">
        <v>4</v>
      </c>
      <c r="C206" s="6">
        <v>47.52</v>
      </c>
    </row>
    <row r="207" spans="1:3">
      <c r="A207" s="7" t="s">
        <v>162</v>
      </c>
      <c r="B207" s="6">
        <v>6</v>
      </c>
      <c r="C207" s="6">
        <v>58.679999999999993</v>
      </c>
    </row>
    <row r="208" spans="1:3">
      <c r="A208" s="8" t="s">
        <v>15</v>
      </c>
      <c r="B208" s="6">
        <v>6</v>
      </c>
      <c r="C208" s="6">
        <v>58.679999999999993</v>
      </c>
    </row>
    <row r="209" spans="1:3">
      <c r="A209" s="22" t="s">
        <v>308</v>
      </c>
      <c r="B209" s="6">
        <v>2</v>
      </c>
      <c r="C209" s="6">
        <v>19.559999999999999</v>
      </c>
    </row>
    <row r="210" spans="1:3">
      <c r="A210" s="22" t="s">
        <v>312</v>
      </c>
      <c r="B210" s="6">
        <v>2</v>
      </c>
      <c r="C210" s="6">
        <v>19.559999999999999</v>
      </c>
    </row>
    <row r="211" spans="1:3">
      <c r="A211" s="22" t="s">
        <v>306</v>
      </c>
      <c r="B211" s="6">
        <v>2</v>
      </c>
      <c r="C211" s="6">
        <v>19.559999999999999</v>
      </c>
    </row>
    <row r="212" spans="1:3">
      <c r="A212" s="7" t="s">
        <v>236</v>
      </c>
      <c r="B212" s="6">
        <v>2</v>
      </c>
      <c r="C212" s="6">
        <v>21.6</v>
      </c>
    </row>
    <row r="213" spans="1:3">
      <c r="A213" s="8" t="s">
        <v>105</v>
      </c>
      <c r="B213" s="6">
        <v>2</v>
      </c>
      <c r="C213" s="6">
        <v>21.6</v>
      </c>
    </row>
    <row r="214" spans="1:3">
      <c r="A214" s="22" t="s">
        <v>307</v>
      </c>
      <c r="B214" s="6">
        <v>2</v>
      </c>
      <c r="C214" s="6">
        <v>21.6</v>
      </c>
    </row>
    <row r="215" spans="1:3">
      <c r="A215" s="7" t="s">
        <v>132</v>
      </c>
      <c r="B215" s="6">
        <v>7</v>
      </c>
      <c r="C215" s="6">
        <v>54.6</v>
      </c>
    </row>
    <row r="216" spans="1:3">
      <c r="A216" s="8" t="s">
        <v>0</v>
      </c>
      <c r="B216" s="6">
        <v>7</v>
      </c>
      <c r="C216" s="6">
        <v>54.6</v>
      </c>
    </row>
    <row r="217" spans="1:3">
      <c r="A217" s="22" t="s">
        <v>308</v>
      </c>
      <c r="B217" s="6">
        <v>3</v>
      </c>
      <c r="C217" s="6">
        <v>23.4</v>
      </c>
    </row>
    <row r="218" spans="1:3">
      <c r="A218" s="22" t="s">
        <v>312</v>
      </c>
      <c r="B218" s="6">
        <v>2</v>
      </c>
      <c r="C218" s="6">
        <v>15.6</v>
      </c>
    </row>
    <row r="219" spans="1:3">
      <c r="A219" s="22" t="s">
        <v>306</v>
      </c>
      <c r="B219" s="6">
        <v>2</v>
      </c>
      <c r="C219" s="6">
        <v>15.6</v>
      </c>
    </row>
    <row r="220" spans="1:3">
      <c r="A220" s="7" t="s">
        <v>190</v>
      </c>
      <c r="B220" s="6">
        <v>2</v>
      </c>
      <c r="C220" s="6">
        <v>21.6</v>
      </c>
    </row>
    <row r="221" spans="1:3">
      <c r="A221" s="8" t="s">
        <v>58</v>
      </c>
      <c r="B221" s="6">
        <v>2</v>
      </c>
      <c r="C221" s="6">
        <v>21.6</v>
      </c>
    </row>
    <row r="222" spans="1:3">
      <c r="A222" s="22" t="s">
        <v>308</v>
      </c>
      <c r="B222" s="6">
        <v>2</v>
      </c>
      <c r="C222" s="6">
        <v>21.6</v>
      </c>
    </row>
    <row r="223" spans="1:3">
      <c r="A223" s="7" t="s">
        <v>226</v>
      </c>
      <c r="B223" s="6">
        <v>3</v>
      </c>
      <c r="C223" s="6">
        <v>32.04</v>
      </c>
    </row>
    <row r="224" spans="1:3">
      <c r="A224" s="8" t="s">
        <v>95</v>
      </c>
      <c r="B224" s="6">
        <v>3</v>
      </c>
      <c r="C224" s="6">
        <v>32.04</v>
      </c>
    </row>
    <row r="225" spans="1:3">
      <c r="A225" s="22" t="s">
        <v>310</v>
      </c>
      <c r="B225" s="6">
        <v>3</v>
      </c>
      <c r="C225" s="6">
        <v>32.04</v>
      </c>
    </row>
    <row r="226" spans="1:3">
      <c r="A226" s="7" t="s">
        <v>170</v>
      </c>
      <c r="B226" s="6">
        <v>4</v>
      </c>
      <c r="C226" s="6">
        <v>47.52</v>
      </c>
    </row>
    <row r="227" spans="1:3">
      <c r="A227" s="8" t="s">
        <v>38</v>
      </c>
      <c r="B227" s="6">
        <v>4</v>
      </c>
      <c r="C227" s="6">
        <v>47.52</v>
      </c>
    </row>
    <row r="228" spans="1:3">
      <c r="A228" s="22" t="s">
        <v>322</v>
      </c>
      <c r="B228" s="6">
        <v>2</v>
      </c>
      <c r="C228" s="6">
        <v>23.76</v>
      </c>
    </row>
    <row r="229" spans="1:3">
      <c r="A229" s="22" t="s">
        <v>323</v>
      </c>
      <c r="B229" s="6">
        <v>2</v>
      </c>
      <c r="C229" s="6">
        <v>23.76</v>
      </c>
    </row>
    <row r="230" spans="1:3">
      <c r="A230" s="7" t="s">
        <v>259</v>
      </c>
      <c r="B230" s="6">
        <v>2</v>
      </c>
      <c r="C230" s="6">
        <v>19.2</v>
      </c>
    </row>
    <row r="231" spans="1:3">
      <c r="A231" s="8" t="s">
        <v>129</v>
      </c>
      <c r="B231" s="6">
        <v>2</v>
      </c>
      <c r="C231" s="6">
        <v>19.2</v>
      </c>
    </row>
    <row r="232" spans="1:3">
      <c r="A232" s="22" t="s">
        <v>307</v>
      </c>
      <c r="B232" s="6">
        <v>2</v>
      </c>
      <c r="C232" s="6">
        <v>19.2</v>
      </c>
    </row>
    <row r="233" spans="1:3">
      <c r="A233" s="7" t="s">
        <v>181</v>
      </c>
      <c r="B233" s="6">
        <v>9</v>
      </c>
      <c r="C233" s="6">
        <v>63.720000000000006</v>
      </c>
    </row>
    <row r="234" spans="1:3">
      <c r="A234" s="8" t="s">
        <v>49</v>
      </c>
      <c r="B234" s="6">
        <v>9</v>
      </c>
      <c r="C234" s="6">
        <v>63.720000000000006</v>
      </c>
    </row>
    <row r="235" spans="1:3">
      <c r="A235" s="22" t="s">
        <v>308</v>
      </c>
      <c r="B235" s="6">
        <v>3</v>
      </c>
      <c r="C235" s="6">
        <v>21.240000000000002</v>
      </c>
    </row>
    <row r="236" spans="1:3">
      <c r="A236" s="22" t="s">
        <v>312</v>
      </c>
      <c r="B236" s="6">
        <v>3</v>
      </c>
      <c r="C236" s="6">
        <v>21.240000000000002</v>
      </c>
    </row>
    <row r="237" spans="1:3">
      <c r="A237" s="22" t="s">
        <v>306</v>
      </c>
      <c r="B237" s="6">
        <v>3</v>
      </c>
      <c r="C237" s="6">
        <v>21.240000000000002</v>
      </c>
    </row>
    <row r="238" spans="1:3">
      <c r="A238" s="7" t="s">
        <v>160</v>
      </c>
      <c r="B238" s="6">
        <v>2</v>
      </c>
      <c r="C238" s="6">
        <v>19.440000000000001</v>
      </c>
    </row>
    <row r="239" spans="1:3">
      <c r="A239" s="8" t="s">
        <v>13</v>
      </c>
      <c r="B239" s="6">
        <v>2</v>
      </c>
      <c r="C239" s="6">
        <v>19.440000000000001</v>
      </c>
    </row>
    <row r="240" spans="1:3">
      <c r="A240" s="22" t="s">
        <v>308</v>
      </c>
      <c r="B240" s="6">
        <v>2</v>
      </c>
      <c r="C240" s="6">
        <v>19.440000000000001</v>
      </c>
    </row>
    <row r="241" spans="1:3">
      <c r="A241" s="7" t="s">
        <v>240</v>
      </c>
      <c r="B241" s="6">
        <v>4</v>
      </c>
      <c r="C241" s="6">
        <v>43.2</v>
      </c>
    </row>
    <row r="242" spans="1:3">
      <c r="A242" s="8" t="s">
        <v>109</v>
      </c>
      <c r="B242" s="6">
        <v>4</v>
      </c>
      <c r="C242" s="6">
        <v>43.2</v>
      </c>
    </row>
    <row r="243" spans="1:3">
      <c r="A243" s="22" t="s">
        <v>322</v>
      </c>
      <c r="B243" s="6">
        <v>2</v>
      </c>
      <c r="C243" s="6">
        <v>21.6</v>
      </c>
    </row>
    <row r="244" spans="1:3">
      <c r="A244" s="22" t="s">
        <v>323</v>
      </c>
      <c r="B244" s="6">
        <v>2</v>
      </c>
      <c r="C244" s="6">
        <v>21.6</v>
      </c>
    </row>
    <row r="245" spans="1:3">
      <c r="A245" s="7" t="s">
        <v>254</v>
      </c>
      <c r="B245" s="6">
        <v>3</v>
      </c>
      <c r="C245" s="6">
        <v>32.400000000000006</v>
      </c>
    </row>
    <row r="246" spans="1:3">
      <c r="A246" s="8" t="s">
        <v>123</v>
      </c>
      <c r="B246" s="6">
        <v>3</v>
      </c>
      <c r="C246" s="6">
        <v>32.400000000000006</v>
      </c>
    </row>
    <row r="247" spans="1:3">
      <c r="A247" s="22" t="s">
        <v>310</v>
      </c>
      <c r="B247" s="6">
        <v>3</v>
      </c>
      <c r="C247" s="6">
        <v>32.400000000000006</v>
      </c>
    </row>
    <row r="248" spans="1:3">
      <c r="A248" s="7" t="s">
        <v>209</v>
      </c>
      <c r="B248" s="6">
        <v>2</v>
      </c>
      <c r="C248" s="6">
        <v>19.2</v>
      </c>
    </row>
    <row r="249" spans="1:3">
      <c r="A249" s="8" t="s">
        <v>78</v>
      </c>
      <c r="B249" s="6">
        <v>2</v>
      </c>
      <c r="C249" s="6">
        <v>19.2</v>
      </c>
    </row>
    <row r="250" spans="1:3">
      <c r="A250" s="22" t="s">
        <v>307</v>
      </c>
      <c r="B250" s="6">
        <v>2</v>
      </c>
      <c r="C250" s="6">
        <v>19.2</v>
      </c>
    </row>
    <row r="251" spans="1:3">
      <c r="A251" s="7" t="s">
        <v>244</v>
      </c>
      <c r="B251" s="6">
        <v>2</v>
      </c>
      <c r="C251" s="6">
        <v>28.8</v>
      </c>
    </row>
    <row r="252" spans="1:3">
      <c r="A252" s="8" t="s">
        <v>113</v>
      </c>
      <c r="B252" s="6">
        <v>2</v>
      </c>
      <c r="C252" s="6">
        <v>28.8</v>
      </c>
    </row>
    <row r="253" spans="1:3">
      <c r="A253" s="22" t="s">
        <v>309</v>
      </c>
      <c r="B253" s="6">
        <v>2</v>
      </c>
      <c r="C253" s="6">
        <v>28.8</v>
      </c>
    </row>
    <row r="254" spans="1:3">
      <c r="A254" s="7" t="s">
        <v>137</v>
      </c>
      <c r="B254" s="6">
        <v>4</v>
      </c>
      <c r="C254" s="6">
        <v>37.44</v>
      </c>
    </row>
    <row r="255" spans="1:3">
      <c r="A255" s="8" t="s">
        <v>5</v>
      </c>
      <c r="B255" s="6">
        <v>4</v>
      </c>
      <c r="C255" s="6">
        <v>37.44</v>
      </c>
    </row>
    <row r="256" spans="1:3">
      <c r="A256" s="22" t="s">
        <v>312</v>
      </c>
      <c r="B256" s="6">
        <v>2</v>
      </c>
      <c r="C256" s="6">
        <v>18.72</v>
      </c>
    </row>
    <row r="257" spans="1:3">
      <c r="A257" s="22" t="s">
        <v>306</v>
      </c>
      <c r="B257" s="6">
        <v>2</v>
      </c>
      <c r="C257" s="6">
        <v>18.72</v>
      </c>
    </row>
    <row r="258" spans="1:3">
      <c r="A258" s="7" t="s">
        <v>174</v>
      </c>
      <c r="B258" s="6">
        <v>2</v>
      </c>
      <c r="C258" s="6">
        <v>25.2</v>
      </c>
    </row>
    <row r="259" spans="1:3">
      <c r="A259" s="8" t="s">
        <v>42</v>
      </c>
      <c r="B259" s="6">
        <v>2</v>
      </c>
      <c r="C259" s="6">
        <v>25.2</v>
      </c>
    </row>
    <row r="260" spans="1:3">
      <c r="A260" s="22" t="s">
        <v>320</v>
      </c>
      <c r="B260" s="6">
        <v>2</v>
      </c>
      <c r="C260" s="6">
        <v>25.2</v>
      </c>
    </row>
    <row r="261" spans="1:3">
      <c r="A261" s="7" t="s">
        <v>143</v>
      </c>
      <c r="B261" s="6">
        <v>4</v>
      </c>
      <c r="C261" s="6">
        <v>50.88</v>
      </c>
    </row>
    <row r="262" spans="1:3">
      <c r="A262" s="8" t="s">
        <v>11</v>
      </c>
      <c r="B262" s="6">
        <v>4</v>
      </c>
      <c r="C262" s="6">
        <v>50.88</v>
      </c>
    </row>
    <row r="263" spans="1:3">
      <c r="A263" s="22" t="s">
        <v>322</v>
      </c>
      <c r="B263" s="6">
        <v>2</v>
      </c>
      <c r="C263" s="6">
        <v>25.44</v>
      </c>
    </row>
    <row r="264" spans="1:3">
      <c r="A264" s="22" t="s">
        <v>323</v>
      </c>
      <c r="B264" s="6">
        <v>2</v>
      </c>
      <c r="C264" s="6">
        <v>25.44</v>
      </c>
    </row>
    <row r="265" spans="1:3">
      <c r="A265" s="7" t="s">
        <v>253</v>
      </c>
      <c r="B265" s="6">
        <v>2</v>
      </c>
      <c r="C265" s="6">
        <v>25.44</v>
      </c>
    </row>
    <row r="266" spans="1:3">
      <c r="A266" s="8" t="s">
        <v>122</v>
      </c>
      <c r="B266" s="6">
        <v>2</v>
      </c>
      <c r="C266" s="6">
        <v>25.44</v>
      </c>
    </row>
    <row r="267" spans="1:3">
      <c r="A267" s="22" t="s">
        <v>309</v>
      </c>
      <c r="B267" s="6">
        <v>2</v>
      </c>
      <c r="C267" s="6">
        <v>25.44</v>
      </c>
    </row>
    <row r="268" spans="1:3">
      <c r="A268" s="7" t="s">
        <v>163</v>
      </c>
      <c r="B268" s="6">
        <v>4</v>
      </c>
      <c r="C268" s="6">
        <v>43.2</v>
      </c>
    </row>
    <row r="269" spans="1:3">
      <c r="A269" s="8" t="s">
        <v>31</v>
      </c>
      <c r="B269" s="6">
        <v>4</v>
      </c>
      <c r="C269" s="6">
        <v>43.2</v>
      </c>
    </row>
    <row r="270" spans="1:3">
      <c r="A270" s="22" t="s">
        <v>312</v>
      </c>
      <c r="B270" s="6">
        <v>2</v>
      </c>
      <c r="C270" s="6">
        <v>21.6</v>
      </c>
    </row>
    <row r="271" spans="1:3">
      <c r="A271" s="22" t="s">
        <v>306</v>
      </c>
      <c r="B271" s="6">
        <v>2</v>
      </c>
      <c r="C271" s="6">
        <v>21.6</v>
      </c>
    </row>
    <row r="272" spans="1:3">
      <c r="A272" s="7" t="s">
        <v>195</v>
      </c>
      <c r="B272" s="6">
        <v>4</v>
      </c>
      <c r="C272" s="6">
        <v>47.52</v>
      </c>
    </row>
    <row r="273" spans="1:3">
      <c r="A273" s="8" t="s">
        <v>63</v>
      </c>
      <c r="B273" s="6">
        <v>4</v>
      </c>
      <c r="C273" s="6">
        <v>47.52</v>
      </c>
    </row>
    <row r="274" spans="1:3">
      <c r="A274" s="22" t="s">
        <v>322</v>
      </c>
      <c r="B274" s="6">
        <v>2</v>
      </c>
      <c r="C274" s="6">
        <v>23.76</v>
      </c>
    </row>
    <row r="275" spans="1:3">
      <c r="A275" s="22" t="s">
        <v>323</v>
      </c>
      <c r="B275" s="6">
        <v>2</v>
      </c>
      <c r="C275" s="6">
        <v>23.76</v>
      </c>
    </row>
    <row r="276" spans="1:3">
      <c r="A276" s="7" t="s">
        <v>237</v>
      </c>
      <c r="B276" s="6">
        <v>2</v>
      </c>
      <c r="C276" s="6">
        <v>23.76</v>
      </c>
    </row>
    <row r="277" spans="1:3">
      <c r="A277" s="8" t="s">
        <v>106</v>
      </c>
      <c r="B277" s="6">
        <v>2</v>
      </c>
      <c r="C277" s="6">
        <v>23.76</v>
      </c>
    </row>
    <row r="278" spans="1:3">
      <c r="A278" s="22" t="s">
        <v>307</v>
      </c>
      <c r="B278" s="6">
        <v>2</v>
      </c>
      <c r="C278" s="6">
        <v>23.76</v>
      </c>
    </row>
    <row r="279" spans="1:3">
      <c r="A279" s="7" t="s">
        <v>238</v>
      </c>
      <c r="B279" s="6">
        <v>4</v>
      </c>
      <c r="C279" s="6">
        <v>43.2</v>
      </c>
    </row>
    <row r="280" spans="1:3">
      <c r="A280" s="8" t="s">
        <v>107</v>
      </c>
      <c r="B280" s="6">
        <v>4</v>
      </c>
      <c r="C280" s="6">
        <v>43.2</v>
      </c>
    </row>
    <row r="281" spans="1:3">
      <c r="A281" s="22" t="s">
        <v>322</v>
      </c>
      <c r="B281" s="6">
        <v>2</v>
      </c>
      <c r="C281" s="6">
        <v>21.6</v>
      </c>
    </row>
    <row r="282" spans="1:3">
      <c r="A282" s="22" t="s">
        <v>323</v>
      </c>
      <c r="B282" s="6">
        <v>2</v>
      </c>
      <c r="C282" s="6">
        <v>21.6</v>
      </c>
    </row>
    <row r="283" spans="1:3">
      <c r="A283" s="7" t="s">
        <v>168</v>
      </c>
      <c r="B283" s="6">
        <v>2</v>
      </c>
      <c r="C283" s="6">
        <v>21.6</v>
      </c>
    </row>
    <row r="284" spans="1:3">
      <c r="A284" s="8" t="s">
        <v>36</v>
      </c>
      <c r="B284" s="6">
        <v>2</v>
      </c>
      <c r="C284" s="6">
        <v>21.6</v>
      </c>
    </row>
    <row r="285" spans="1:3">
      <c r="A285" s="22" t="s">
        <v>309</v>
      </c>
      <c r="B285" s="6">
        <v>2</v>
      </c>
      <c r="C285" s="6">
        <v>21.6</v>
      </c>
    </row>
    <row r="286" spans="1:3">
      <c r="A286" s="7" t="s">
        <v>198</v>
      </c>
      <c r="B286" s="6">
        <v>2</v>
      </c>
      <c r="C286" s="6">
        <v>28.8</v>
      </c>
    </row>
    <row r="287" spans="1:3">
      <c r="A287" s="8" t="s">
        <v>66</v>
      </c>
      <c r="B287" s="6">
        <v>2</v>
      </c>
      <c r="C287" s="6">
        <v>28.8</v>
      </c>
    </row>
    <row r="288" spans="1:3">
      <c r="A288" s="22" t="s">
        <v>320</v>
      </c>
      <c r="B288" s="6">
        <v>2</v>
      </c>
      <c r="C288" s="6">
        <v>28.8</v>
      </c>
    </row>
    <row r="289" spans="1:3">
      <c r="A289" s="7" t="s">
        <v>192</v>
      </c>
      <c r="B289" s="6">
        <v>4</v>
      </c>
      <c r="C289" s="6">
        <v>72.48</v>
      </c>
    </row>
    <row r="290" spans="1:3">
      <c r="A290" s="8" t="s">
        <v>60</v>
      </c>
      <c r="B290" s="6">
        <v>4</v>
      </c>
      <c r="C290" s="6">
        <v>72.48</v>
      </c>
    </row>
    <row r="291" spans="1:3">
      <c r="A291" s="22" t="s">
        <v>308</v>
      </c>
      <c r="B291" s="6">
        <v>2</v>
      </c>
      <c r="C291" s="6">
        <v>36.24</v>
      </c>
    </row>
    <row r="292" spans="1:3">
      <c r="A292" s="22" t="s">
        <v>302</v>
      </c>
      <c r="B292" s="6">
        <v>2</v>
      </c>
      <c r="C292" s="6">
        <v>36.24</v>
      </c>
    </row>
    <row r="293" spans="1:3">
      <c r="A293" s="7" t="s">
        <v>217</v>
      </c>
      <c r="B293" s="6">
        <v>4</v>
      </c>
      <c r="C293" s="6">
        <v>47.52</v>
      </c>
    </row>
    <row r="294" spans="1:3">
      <c r="A294" s="8" t="s">
        <v>86</v>
      </c>
      <c r="B294" s="6">
        <v>4</v>
      </c>
      <c r="C294" s="6">
        <v>47.52</v>
      </c>
    </row>
    <row r="295" spans="1:3">
      <c r="A295" s="22" t="s">
        <v>322</v>
      </c>
      <c r="B295" s="6">
        <v>2</v>
      </c>
      <c r="C295" s="6">
        <v>23.76</v>
      </c>
    </row>
    <row r="296" spans="1:3">
      <c r="A296" s="22" t="s">
        <v>323</v>
      </c>
      <c r="B296" s="6">
        <v>2</v>
      </c>
      <c r="C296" s="6">
        <v>23.76</v>
      </c>
    </row>
    <row r="297" spans="1:3">
      <c r="A297" s="7" t="s">
        <v>215</v>
      </c>
      <c r="B297" s="6">
        <v>2</v>
      </c>
      <c r="C297" s="6">
        <v>36.24</v>
      </c>
    </row>
    <row r="298" spans="1:3">
      <c r="A298" s="8" t="s">
        <v>84</v>
      </c>
      <c r="B298" s="6">
        <v>2</v>
      </c>
      <c r="C298" s="6">
        <v>36.24</v>
      </c>
    </row>
    <row r="299" spans="1:3">
      <c r="A299" s="22" t="s">
        <v>316</v>
      </c>
      <c r="B299" s="6">
        <v>2</v>
      </c>
      <c r="C299" s="6">
        <v>36.24</v>
      </c>
    </row>
    <row r="300" spans="1:3">
      <c r="A300" s="7" t="s">
        <v>216</v>
      </c>
      <c r="B300" s="6">
        <v>2</v>
      </c>
      <c r="C300" s="6">
        <v>36.24</v>
      </c>
    </row>
    <row r="301" spans="1:3">
      <c r="A301" s="8" t="s">
        <v>85</v>
      </c>
      <c r="B301" s="6">
        <v>2</v>
      </c>
      <c r="C301" s="6">
        <v>36.24</v>
      </c>
    </row>
    <row r="302" spans="1:3">
      <c r="A302" s="22" t="s">
        <v>318</v>
      </c>
      <c r="B302" s="6">
        <v>2</v>
      </c>
      <c r="C302" s="6">
        <v>36.24</v>
      </c>
    </row>
    <row r="303" spans="1:3">
      <c r="A303" s="7" t="s">
        <v>203</v>
      </c>
      <c r="B303" s="6">
        <v>2</v>
      </c>
      <c r="C303" s="6">
        <v>25.44</v>
      </c>
    </row>
    <row r="304" spans="1:3">
      <c r="A304" s="8" t="s">
        <v>71</v>
      </c>
      <c r="B304" s="6">
        <v>2</v>
      </c>
      <c r="C304" s="6">
        <v>25.44</v>
      </c>
    </row>
    <row r="305" spans="1:3">
      <c r="A305" s="22" t="s">
        <v>309</v>
      </c>
      <c r="B305" s="6">
        <v>2</v>
      </c>
      <c r="C305" s="6">
        <v>25.44</v>
      </c>
    </row>
    <row r="306" spans="1:3">
      <c r="A306" s="7" t="s">
        <v>147</v>
      </c>
      <c r="B306" s="6">
        <v>2</v>
      </c>
      <c r="C306" s="6">
        <v>13.44</v>
      </c>
    </row>
    <row r="307" spans="1:3">
      <c r="A307" s="8" t="s">
        <v>18</v>
      </c>
      <c r="B307" s="6">
        <v>2</v>
      </c>
      <c r="C307" s="6">
        <v>13.44</v>
      </c>
    </row>
    <row r="308" spans="1:3">
      <c r="A308" s="22" t="s">
        <v>321</v>
      </c>
      <c r="B308" s="6">
        <v>2</v>
      </c>
      <c r="C308" s="6">
        <v>13.44</v>
      </c>
    </row>
    <row r="309" spans="1:3">
      <c r="A309" s="7" t="s">
        <v>241</v>
      </c>
      <c r="B309" s="6">
        <v>2</v>
      </c>
      <c r="C309" s="6">
        <v>31.2</v>
      </c>
    </row>
    <row r="310" spans="1:3">
      <c r="A310" s="8" t="s">
        <v>110</v>
      </c>
      <c r="B310" s="6">
        <v>2</v>
      </c>
      <c r="C310" s="6">
        <v>31.2</v>
      </c>
    </row>
    <row r="311" spans="1:3">
      <c r="A311" s="22" t="s">
        <v>316</v>
      </c>
      <c r="B311" s="6">
        <v>2</v>
      </c>
      <c r="C311" s="6">
        <v>31.2</v>
      </c>
    </row>
    <row r="312" spans="1:3">
      <c r="A312" s="7" t="s">
        <v>218</v>
      </c>
      <c r="B312" s="6">
        <v>2</v>
      </c>
      <c r="C312" s="6">
        <v>31.2</v>
      </c>
    </row>
    <row r="313" spans="1:3">
      <c r="A313" s="8" t="s">
        <v>87</v>
      </c>
      <c r="B313" s="6">
        <v>2</v>
      </c>
      <c r="C313" s="6">
        <v>31.2</v>
      </c>
    </row>
    <row r="314" spans="1:3">
      <c r="A314" s="22" t="s">
        <v>318</v>
      </c>
      <c r="B314" s="6">
        <v>2</v>
      </c>
      <c r="C314" s="6">
        <v>31.2</v>
      </c>
    </row>
    <row r="315" spans="1:3">
      <c r="A315" s="7" t="s">
        <v>185</v>
      </c>
      <c r="B315" s="6">
        <v>2</v>
      </c>
      <c r="C315" s="6">
        <v>25.2</v>
      </c>
    </row>
    <row r="316" spans="1:3">
      <c r="A316" s="8" t="s">
        <v>53</v>
      </c>
      <c r="B316" s="6">
        <v>2</v>
      </c>
      <c r="C316" s="6">
        <v>25.2</v>
      </c>
    </row>
    <row r="317" spans="1:3">
      <c r="A317" s="22" t="s">
        <v>309</v>
      </c>
      <c r="B317" s="6">
        <v>2</v>
      </c>
      <c r="C317" s="6">
        <v>25.2</v>
      </c>
    </row>
    <row r="318" spans="1:3">
      <c r="A318" s="7" t="s">
        <v>251</v>
      </c>
      <c r="B318" s="6">
        <v>4</v>
      </c>
      <c r="C318" s="6">
        <v>42.72</v>
      </c>
    </row>
    <row r="319" spans="1:3">
      <c r="A319" s="8" t="s">
        <v>120</v>
      </c>
      <c r="B319" s="6">
        <v>4</v>
      </c>
      <c r="C319" s="6">
        <v>42.72</v>
      </c>
    </row>
    <row r="320" spans="1:3">
      <c r="A320" s="22" t="s">
        <v>322</v>
      </c>
      <c r="B320" s="6">
        <v>2</v>
      </c>
      <c r="C320" s="6">
        <v>21.36</v>
      </c>
    </row>
    <row r="321" spans="1:3">
      <c r="A321" s="22" t="s">
        <v>323</v>
      </c>
      <c r="B321" s="6">
        <v>2</v>
      </c>
      <c r="C321" s="6">
        <v>21.36</v>
      </c>
    </row>
    <row r="322" spans="1:3">
      <c r="A322" s="7" t="s">
        <v>224</v>
      </c>
      <c r="B322" s="6">
        <v>2</v>
      </c>
      <c r="C322" s="6">
        <v>21.36</v>
      </c>
    </row>
    <row r="323" spans="1:3">
      <c r="A323" s="8" t="s">
        <v>93</v>
      </c>
      <c r="B323" s="6">
        <v>2</v>
      </c>
      <c r="C323" s="6">
        <v>21.36</v>
      </c>
    </row>
    <row r="324" spans="1:3">
      <c r="A324" s="22" t="s">
        <v>310</v>
      </c>
      <c r="B324" s="6">
        <v>2</v>
      </c>
      <c r="C324" s="6">
        <v>21.36</v>
      </c>
    </row>
    <row r="325" spans="1:3">
      <c r="A325" s="7" t="s">
        <v>197</v>
      </c>
      <c r="B325" s="6">
        <v>2</v>
      </c>
      <c r="C325" s="6">
        <v>28.8</v>
      </c>
    </row>
    <row r="326" spans="1:3">
      <c r="A326" s="8" t="s">
        <v>65</v>
      </c>
      <c r="B326" s="6">
        <v>2</v>
      </c>
      <c r="C326" s="6">
        <v>28.8</v>
      </c>
    </row>
    <row r="327" spans="1:3">
      <c r="A327" s="22" t="s">
        <v>309</v>
      </c>
      <c r="B327" s="6">
        <v>2</v>
      </c>
      <c r="C327" s="6">
        <v>28.8</v>
      </c>
    </row>
    <row r="328" spans="1:3">
      <c r="A328" s="7" t="s">
        <v>171</v>
      </c>
      <c r="B328" s="6">
        <v>2</v>
      </c>
      <c r="C328" s="6">
        <v>21.6</v>
      </c>
    </row>
    <row r="329" spans="1:3">
      <c r="A329" s="8" t="s">
        <v>39</v>
      </c>
      <c r="B329" s="6">
        <v>2</v>
      </c>
      <c r="C329" s="6">
        <v>21.6</v>
      </c>
    </row>
    <row r="330" spans="1:3">
      <c r="A330" s="22" t="s">
        <v>309</v>
      </c>
      <c r="B330" s="6">
        <v>2</v>
      </c>
      <c r="C330" s="6">
        <v>21.6</v>
      </c>
    </row>
    <row r="331" spans="1:3">
      <c r="A331" s="7" t="s">
        <v>169</v>
      </c>
      <c r="B331" s="6">
        <v>4</v>
      </c>
      <c r="C331" s="6">
        <v>43.2</v>
      </c>
    </row>
    <row r="332" spans="1:3">
      <c r="A332" s="8" t="s">
        <v>37</v>
      </c>
      <c r="B332" s="6">
        <v>4</v>
      </c>
      <c r="C332" s="6">
        <v>43.2</v>
      </c>
    </row>
    <row r="333" spans="1:3">
      <c r="A333" s="22" t="s">
        <v>322</v>
      </c>
      <c r="B333" s="6">
        <v>2</v>
      </c>
      <c r="C333" s="6">
        <v>21.6</v>
      </c>
    </row>
    <row r="334" spans="1:3">
      <c r="A334" s="22" t="s">
        <v>323</v>
      </c>
      <c r="B334" s="6">
        <v>2</v>
      </c>
      <c r="C334" s="6">
        <v>21.6</v>
      </c>
    </row>
    <row r="335" spans="1:3">
      <c r="A335" s="7" t="s">
        <v>230</v>
      </c>
      <c r="B335" s="6">
        <v>2</v>
      </c>
      <c r="C335" s="6">
        <v>25.44</v>
      </c>
    </row>
    <row r="336" spans="1:3">
      <c r="A336" s="8" t="s">
        <v>99</v>
      </c>
      <c r="B336" s="6">
        <v>2</v>
      </c>
      <c r="C336" s="6">
        <v>25.44</v>
      </c>
    </row>
    <row r="337" spans="1:3">
      <c r="A337" s="22" t="s">
        <v>309</v>
      </c>
      <c r="B337" s="6">
        <v>2</v>
      </c>
      <c r="C337" s="6">
        <v>25.44</v>
      </c>
    </row>
    <row r="338" spans="1:3">
      <c r="A338" s="7" t="s">
        <v>176</v>
      </c>
      <c r="B338" s="6">
        <v>2</v>
      </c>
      <c r="C338" s="6">
        <v>21.6</v>
      </c>
    </row>
    <row r="339" spans="1:3">
      <c r="A339" s="8" t="s">
        <v>44</v>
      </c>
      <c r="B339" s="6">
        <v>2</v>
      </c>
      <c r="C339" s="6">
        <v>21.6</v>
      </c>
    </row>
    <row r="340" spans="1:3">
      <c r="A340" s="22" t="s">
        <v>309</v>
      </c>
      <c r="B340" s="6">
        <v>2</v>
      </c>
      <c r="C340" s="6">
        <v>21.6</v>
      </c>
    </row>
    <row r="341" spans="1:3">
      <c r="A341" s="5" t="s">
        <v>357</v>
      </c>
      <c r="B341" s="6">
        <v>14</v>
      </c>
      <c r="C341" s="6">
        <v>169.44</v>
      </c>
    </row>
    <row r="342" spans="1:3">
      <c r="A342" s="7" t="s">
        <v>153</v>
      </c>
      <c r="B342" s="6">
        <v>2</v>
      </c>
      <c r="C342" s="6">
        <v>9.6</v>
      </c>
    </row>
    <row r="343" spans="1:3">
      <c r="A343" s="8" t="s">
        <v>24</v>
      </c>
      <c r="B343" s="6">
        <v>2</v>
      </c>
      <c r="C343" s="6">
        <v>9.6</v>
      </c>
    </row>
    <row r="344" spans="1:3">
      <c r="A344" s="22" t="s">
        <v>295</v>
      </c>
      <c r="B344" s="6">
        <v>1</v>
      </c>
      <c r="C344" s="6">
        <v>4.8</v>
      </c>
    </row>
    <row r="345" spans="1:3">
      <c r="A345" s="22" t="s">
        <v>302</v>
      </c>
      <c r="B345" s="6">
        <v>1</v>
      </c>
      <c r="C345" s="6">
        <v>4.8</v>
      </c>
    </row>
    <row r="346" spans="1:3">
      <c r="A346" s="7" t="s">
        <v>151</v>
      </c>
      <c r="B346" s="6">
        <v>3</v>
      </c>
      <c r="C346" s="6">
        <v>43.2</v>
      </c>
    </row>
    <row r="347" spans="1:3">
      <c r="A347" s="8" t="s">
        <v>22</v>
      </c>
      <c r="B347" s="6">
        <v>3</v>
      </c>
      <c r="C347" s="6">
        <v>43.2</v>
      </c>
    </row>
    <row r="348" spans="1:3">
      <c r="A348" s="22" t="s">
        <v>295</v>
      </c>
      <c r="B348" s="6">
        <v>1</v>
      </c>
      <c r="C348" s="6">
        <v>14.4</v>
      </c>
    </row>
    <row r="349" spans="1:3">
      <c r="A349" s="22" t="s">
        <v>305</v>
      </c>
      <c r="B349" s="6">
        <v>1</v>
      </c>
      <c r="C349" s="6">
        <v>14.4</v>
      </c>
    </row>
    <row r="350" spans="1:3">
      <c r="A350" s="22" t="s">
        <v>302</v>
      </c>
      <c r="B350" s="6">
        <v>1</v>
      </c>
      <c r="C350" s="6">
        <v>14.4</v>
      </c>
    </row>
    <row r="351" spans="1:3">
      <c r="A351" s="7" t="s">
        <v>150</v>
      </c>
      <c r="B351" s="6">
        <v>1</v>
      </c>
      <c r="C351" s="6">
        <v>14.4</v>
      </c>
    </row>
    <row r="352" spans="1:3">
      <c r="A352" s="8" t="s">
        <v>21</v>
      </c>
      <c r="B352" s="6">
        <v>1</v>
      </c>
      <c r="C352" s="6">
        <v>14.4</v>
      </c>
    </row>
    <row r="353" spans="1:3">
      <c r="A353" s="22" t="s">
        <v>302</v>
      </c>
      <c r="B353" s="6">
        <v>1</v>
      </c>
      <c r="C353" s="6">
        <v>14.4</v>
      </c>
    </row>
    <row r="354" spans="1:3">
      <c r="A354" s="7" t="s">
        <v>155</v>
      </c>
      <c r="B354" s="6">
        <v>2</v>
      </c>
      <c r="C354" s="6">
        <v>28.8</v>
      </c>
    </row>
    <row r="355" spans="1:3">
      <c r="A355" s="8" t="s">
        <v>26</v>
      </c>
      <c r="B355" s="6">
        <v>2</v>
      </c>
      <c r="C355" s="6">
        <v>28.8</v>
      </c>
    </row>
    <row r="356" spans="1:3">
      <c r="A356" s="22" t="s">
        <v>295</v>
      </c>
      <c r="B356" s="6">
        <v>1</v>
      </c>
      <c r="C356" s="6">
        <v>14.4</v>
      </c>
    </row>
    <row r="357" spans="1:3">
      <c r="A357" s="22" t="s">
        <v>302</v>
      </c>
      <c r="B357" s="6">
        <v>1</v>
      </c>
      <c r="C357" s="6">
        <v>14.4</v>
      </c>
    </row>
    <row r="358" spans="1:3">
      <c r="A358" s="7" t="s">
        <v>152</v>
      </c>
      <c r="B358" s="6">
        <v>2</v>
      </c>
      <c r="C358" s="6">
        <v>26.16</v>
      </c>
    </row>
    <row r="359" spans="1:3">
      <c r="A359" s="8" t="s">
        <v>23</v>
      </c>
      <c r="B359" s="6">
        <v>2</v>
      </c>
      <c r="C359" s="6">
        <v>26.16</v>
      </c>
    </row>
    <row r="360" spans="1:3">
      <c r="A360" s="22" t="s">
        <v>305</v>
      </c>
      <c r="B360" s="6">
        <v>1</v>
      </c>
      <c r="C360" s="6">
        <v>13.08</v>
      </c>
    </row>
    <row r="361" spans="1:3">
      <c r="A361" s="22" t="s">
        <v>302</v>
      </c>
      <c r="B361" s="6">
        <v>1</v>
      </c>
      <c r="C361" s="6">
        <v>13.08</v>
      </c>
    </row>
    <row r="362" spans="1:3">
      <c r="A362" s="7" t="s">
        <v>154</v>
      </c>
      <c r="B362" s="6">
        <v>2</v>
      </c>
      <c r="C362" s="6">
        <v>25.2</v>
      </c>
    </row>
    <row r="363" spans="1:3">
      <c r="A363" s="8" t="s">
        <v>25</v>
      </c>
      <c r="B363" s="6">
        <v>2</v>
      </c>
      <c r="C363" s="6">
        <v>25.2</v>
      </c>
    </row>
    <row r="364" spans="1:3">
      <c r="A364" s="22" t="s">
        <v>302</v>
      </c>
      <c r="B364" s="6">
        <v>2</v>
      </c>
      <c r="C364" s="6">
        <v>25.2</v>
      </c>
    </row>
    <row r="365" spans="1:3">
      <c r="A365" s="7" t="s">
        <v>166</v>
      </c>
      <c r="B365" s="6">
        <v>2</v>
      </c>
      <c r="C365" s="6">
        <v>22.08</v>
      </c>
    </row>
    <row r="366" spans="1:3">
      <c r="A366" s="8" t="s">
        <v>34</v>
      </c>
      <c r="B366" s="6">
        <v>2</v>
      </c>
      <c r="C366" s="6">
        <v>22.08</v>
      </c>
    </row>
    <row r="367" spans="1:3">
      <c r="A367" s="22" t="s">
        <v>302</v>
      </c>
      <c r="B367" s="6">
        <v>2</v>
      </c>
      <c r="C367" s="6">
        <v>22.08</v>
      </c>
    </row>
    <row r="368" spans="1:3">
      <c r="A368" s="5" t="s">
        <v>349</v>
      </c>
      <c r="B368" s="6">
        <v>16</v>
      </c>
      <c r="C368" s="6">
        <v>217.68</v>
      </c>
    </row>
    <row r="369" spans="1:3">
      <c r="A369" s="7" t="s">
        <v>151</v>
      </c>
      <c r="B369" s="6">
        <v>2</v>
      </c>
      <c r="C369" s="6">
        <v>28.8</v>
      </c>
    </row>
    <row r="370" spans="1:3">
      <c r="A370" s="8" t="s">
        <v>22</v>
      </c>
      <c r="B370" s="6">
        <v>2</v>
      </c>
      <c r="C370" s="6">
        <v>28.8</v>
      </c>
    </row>
    <row r="371" spans="1:3">
      <c r="A371" s="22" t="s">
        <v>306</v>
      </c>
      <c r="B371" s="6">
        <v>2</v>
      </c>
      <c r="C371" s="6">
        <v>28.8</v>
      </c>
    </row>
    <row r="372" spans="1:3">
      <c r="A372" s="7" t="s">
        <v>150</v>
      </c>
      <c r="B372" s="6">
        <v>3</v>
      </c>
      <c r="C372" s="6">
        <v>43.2</v>
      </c>
    </row>
    <row r="373" spans="1:3">
      <c r="A373" s="8" t="s">
        <v>21</v>
      </c>
      <c r="B373" s="6">
        <v>3</v>
      </c>
      <c r="C373" s="6">
        <v>43.2</v>
      </c>
    </row>
    <row r="374" spans="1:3">
      <c r="A374" s="22" t="s">
        <v>306</v>
      </c>
      <c r="B374" s="6">
        <v>3</v>
      </c>
      <c r="C374" s="6">
        <v>43.2</v>
      </c>
    </row>
    <row r="375" spans="1:3">
      <c r="A375" s="7" t="s">
        <v>155</v>
      </c>
      <c r="B375" s="6">
        <v>3</v>
      </c>
      <c r="C375" s="6">
        <v>43.2</v>
      </c>
    </row>
    <row r="376" spans="1:3">
      <c r="A376" s="8" t="s">
        <v>26</v>
      </c>
      <c r="B376" s="6">
        <v>3</v>
      </c>
      <c r="C376" s="6">
        <v>43.2</v>
      </c>
    </row>
    <row r="377" spans="1:3">
      <c r="A377" s="22" t="s">
        <v>306</v>
      </c>
      <c r="B377" s="6">
        <v>3</v>
      </c>
      <c r="C377" s="6">
        <v>43.2</v>
      </c>
    </row>
    <row r="378" spans="1:3">
      <c r="A378" s="7" t="s">
        <v>152</v>
      </c>
      <c r="B378" s="6">
        <v>2</v>
      </c>
      <c r="C378" s="6">
        <v>26.16</v>
      </c>
    </row>
    <row r="379" spans="1:3">
      <c r="A379" s="8" t="s">
        <v>23</v>
      </c>
      <c r="B379" s="6">
        <v>2</v>
      </c>
      <c r="C379" s="6">
        <v>26.16</v>
      </c>
    </row>
    <row r="380" spans="1:3">
      <c r="A380" s="22" t="s">
        <v>306</v>
      </c>
      <c r="B380" s="6">
        <v>2</v>
      </c>
      <c r="C380" s="6">
        <v>26.16</v>
      </c>
    </row>
    <row r="381" spans="1:3">
      <c r="A381" s="7" t="s">
        <v>133</v>
      </c>
      <c r="B381" s="6">
        <v>6</v>
      </c>
      <c r="C381" s="6">
        <v>76.320000000000007</v>
      </c>
    </row>
    <row r="382" spans="1:3">
      <c r="A382" s="8" t="s">
        <v>1</v>
      </c>
      <c r="B382" s="6">
        <v>6</v>
      </c>
      <c r="C382" s="6">
        <v>76.320000000000007</v>
      </c>
    </row>
    <row r="383" spans="1:3">
      <c r="A383" s="22" t="s">
        <v>344</v>
      </c>
      <c r="B383" s="6">
        <v>6</v>
      </c>
      <c r="C383" s="6">
        <v>76.320000000000007</v>
      </c>
    </row>
    <row r="384" spans="1:3">
      <c r="A384" s="5" t="s">
        <v>2411</v>
      </c>
      <c r="B384" s="6">
        <v>845</v>
      </c>
      <c r="C384" s="6">
        <v>8655.1200000000099</v>
      </c>
    </row>
    <row r="385" spans="1:3">
      <c r="A385" s="7" t="s">
        <v>186</v>
      </c>
      <c r="B385" s="6">
        <v>38</v>
      </c>
      <c r="C385" s="6">
        <v>136.80000000000001</v>
      </c>
    </row>
    <row r="386" spans="1:3">
      <c r="A386" s="8" t="s">
        <v>54</v>
      </c>
      <c r="B386" s="6">
        <v>28</v>
      </c>
      <c r="C386" s="6">
        <v>100.80000000000001</v>
      </c>
    </row>
    <row r="387" spans="1:3">
      <c r="A387" s="22" t="s">
        <v>311</v>
      </c>
      <c r="B387" s="6">
        <v>6</v>
      </c>
      <c r="C387" s="6">
        <v>21.6</v>
      </c>
    </row>
    <row r="388" spans="1:3">
      <c r="A388" s="22" t="s">
        <v>313</v>
      </c>
      <c r="B388" s="6">
        <v>6</v>
      </c>
      <c r="C388" s="6">
        <v>21.6</v>
      </c>
    </row>
    <row r="389" spans="1:3">
      <c r="A389" s="22" t="s">
        <v>327</v>
      </c>
      <c r="B389" s="6">
        <v>6</v>
      </c>
      <c r="C389" s="6">
        <v>21.6</v>
      </c>
    </row>
    <row r="390" spans="1:3">
      <c r="A390" s="22" t="s">
        <v>275</v>
      </c>
      <c r="B390" s="6">
        <v>4</v>
      </c>
      <c r="C390" s="6">
        <v>14.4</v>
      </c>
    </row>
    <row r="391" spans="1:3">
      <c r="A391" s="22" t="s">
        <v>306</v>
      </c>
      <c r="B391" s="6">
        <v>6</v>
      </c>
      <c r="C391" s="6">
        <v>21.6</v>
      </c>
    </row>
    <row r="392" spans="1:3">
      <c r="A392" s="8" t="s">
        <v>74</v>
      </c>
      <c r="B392" s="6">
        <v>10</v>
      </c>
      <c r="C392" s="6">
        <v>36</v>
      </c>
    </row>
    <row r="393" spans="1:3">
      <c r="A393" s="22" t="s">
        <v>280</v>
      </c>
      <c r="B393" s="6">
        <v>10</v>
      </c>
      <c r="C393" s="6">
        <v>36</v>
      </c>
    </row>
    <row r="394" spans="1:3">
      <c r="A394" s="7" t="s">
        <v>165</v>
      </c>
      <c r="B394" s="6">
        <v>6</v>
      </c>
      <c r="C394" s="6">
        <v>18</v>
      </c>
    </row>
    <row r="395" spans="1:3">
      <c r="A395" s="8" t="s">
        <v>33</v>
      </c>
      <c r="B395" s="6">
        <v>6</v>
      </c>
      <c r="C395" s="6">
        <v>18</v>
      </c>
    </row>
    <row r="396" spans="1:3">
      <c r="A396" s="22" t="s">
        <v>326</v>
      </c>
      <c r="B396" s="6">
        <v>6</v>
      </c>
      <c r="C396" s="6">
        <v>18</v>
      </c>
    </row>
    <row r="397" spans="1:3">
      <c r="A397" s="7" t="s">
        <v>140</v>
      </c>
      <c r="B397" s="6">
        <v>6</v>
      </c>
      <c r="C397" s="6">
        <v>46.8</v>
      </c>
    </row>
    <row r="398" spans="1:3">
      <c r="A398" s="8" t="s">
        <v>8</v>
      </c>
      <c r="B398" s="6">
        <v>6</v>
      </c>
      <c r="C398" s="6">
        <v>46.8</v>
      </c>
    </row>
    <row r="399" spans="1:3">
      <c r="A399" s="22" t="s">
        <v>313</v>
      </c>
      <c r="B399" s="6">
        <v>2</v>
      </c>
      <c r="C399" s="6">
        <v>15.6</v>
      </c>
    </row>
    <row r="400" spans="1:3">
      <c r="A400" s="22" t="s">
        <v>327</v>
      </c>
      <c r="B400" s="6">
        <v>2</v>
      </c>
      <c r="C400" s="6">
        <v>15.6</v>
      </c>
    </row>
    <row r="401" spans="1:3">
      <c r="A401" s="22" t="s">
        <v>280</v>
      </c>
      <c r="B401" s="6">
        <v>2</v>
      </c>
      <c r="C401" s="6">
        <v>15.6</v>
      </c>
    </row>
    <row r="402" spans="1:3">
      <c r="A402" s="7" t="s">
        <v>158</v>
      </c>
      <c r="B402" s="6">
        <v>13</v>
      </c>
      <c r="C402" s="6">
        <v>92.039999999999992</v>
      </c>
    </row>
    <row r="403" spans="1:3">
      <c r="A403" s="8" t="s">
        <v>29</v>
      </c>
      <c r="B403" s="6">
        <v>13</v>
      </c>
      <c r="C403" s="6">
        <v>92.039999999999992</v>
      </c>
    </row>
    <row r="404" spans="1:3">
      <c r="A404" s="22" t="s">
        <v>311</v>
      </c>
      <c r="B404" s="6">
        <v>3</v>
      </c>
      <c r="C404" s="6">
        <v>21.240000000000002</v>
      </c>
    </row>
    <row r="405" spans="1:3">
      <c r="A405" s="22" t="s">
        <v>313</v>
      </c>
      <c r="B405" s="6">
        <v>2</v>
      </c>
      <c r="C405" s="6">
        <v>14.16</v>
      </c>
    </row>
    <row r="406" spans="1:3">
      <c r="A406" s="22" t="s">
        <v>326</v>
      </c>
      <c r="B406" s="6">
        <v>2</v>
      </c>
      <c r="C406" s="6">
        <v>14.16</v>
      </c>
    </row>
    <row r="407" spans="1:3">
      <c r="A407" s="22" t="s">
        <v>327</v>
      </c>
      <c r="B407" s="6">
        <v>2</v>
      </c>
      <c r="C407" s="6">
        <v>14.16</v>
      </c>
    </row>
    <row r="408" spans="1:3">
      <c r="A408" s="22" t="s">
        <v>328</v>
      </c>
      <c r="B408" s="6">
        <v>2</v>
      </c>
      <c r="C408" s="6">
        <v>14.16</v>
      </c>
    </row>
    <row r="409" spans="1:3">
      <c r="A409" s="22" t="s">
        <v>280</v>
      </c>
      <c r="B409" s="6">
        <v>2</v>
      </c>
      <c r="C409" s="6">
        <v>14.16</v>
      </c>
    </row>
    <row r="410" spans="1:3">
      <c r="A410" s="7" t="s">
        <v>177</v>
      </c>
      <c r="B410" s="6">
        <v>9</v>
      </c>
      <c r="C410" s="6">
        <v>70.199999999999989</v>
      </c>
    </row>
    <row r="411" spans="1:3">
      <c r="A411" s="8" t="s">
        <v>45</v>
      </c>
      <c r="B411" s="6">
        <v>9</v>
      </c>
      <c r="C411" s="6">
        <v>70.199999999999989</v>
      </c>
    </row>
    <row r="412" spans="1:3">
      <c r="A412" s="22" t="s">
        <v>313</v>
      </c>
      <c r="B412" s="6">
        <v>3</v>
      </c>
      <c r="C412" s="6">
        <v>23.4</v>
      </c>
    </row>
    <row r="413" spans="1:3">
      <c r="A413" s="22" t="s">
        <v>327</v>
      </c>
      <c r="B413" s="6">
        <v>3</v>
      </c>
      <c r="C413" s="6">
        <v>23.4</v>
      </c>
    </row>
    <row r="414" spans="1:3">
      <c r="A414" s="22" t="s">
        <v>329</v>
      </c>
      <c r="B414" s="6">
        <v>3</v>
      </c>
      <c r="C414" s="6">
        <v>23.4</v>
      </c>
    </row>
    <row r="415" spans="1:3">
      <c r="A415" s="7" t="s">
        <v>148</v>
      </c>
      <c r="B415" s="6">
        <v>16</v>
      </c>
      <c r="C415" s="6">
        <v>153.59999999999997</v>
      </c>
    </row>
    <row r="416" spans="1:3">
      <c r="A416" s="8" t="s">
        <v>19</v>
      </c>
      <c r="B416" s="6">
        <v>16</v>
      </c>
      <c r="C416" s="6">
        <v>153.59999999999997</v>
      </c>
    </row>
    <row r="417" spans="1:3">
      <c r="A417" s="22" t="s">
        <v>311</v>
      </c>
      <c r="B417" s="6">
        <v>3</v>
      </c>
      <c r="C417" s="6">
        <v>28.799999999999997</v>
      </c>
    </row>
    <row r="418" spans="1:3">
      <c r="A418" s="22" t="s">
        <v>313</v>
      </c>
      <c r="B418" s="6">
        <v>3</v>
      </c>
      <c r="C418" s="6">
        <v>28.799999999999997</v>
      </c>
    </row>
    <row r="419" spans="1:3">
      <c r="A419" s="22" t="s">
        <v>327</v>
      </c>
      <c r="B419" s="6">
        <v>3</v>
      </c>
      <c r="C419" s="6">
        <v>28.799999999999997</v>
      </c>
    </row>
    <row r="420" spans="1:3">
      <c r="A420" s="22" t="s">
        <v>280</v>
      </c>
      <c r="B420" s="6">
        <v>4</v>
      </c>
      <c r="C420" s="6">
        <v>38.4</v>
      </c>
    </row>
    <row r="421" spans="1:3">
      <c r="A421" s="22" t="s">
        <v>275</v>
      </c>
      <c r="B421" s="6">
        <v>3</v>
      </c>
      <c r="C421" s="6">
        <v>28.799999999999997</v>
      </c>
    </row>
    <row r="422" spans="1:3">
      <c r="A422" s="7" t="s">
        <v>2462</v>
      </c>
      <c r="B422" s="6">
        <v>11</v>
      </c>
      <c r="C422" s="6">
        <v>158.4</v>
      </c>
    </row>
    <row r="423" spans="1:3">
      <c r="A423" s="8" t="s">
        <v>2461</v>
      </c>
      <c r="B423" s="6">
        <v>11</v>
      </c>
      <c r="C423" s="6">
        <v>158.4</v>
      </c>
    </row>
    <row r="424" spans="1:3">
      <c r="A424" s="22" t="s">
        <v>313</v>
      </c>
      <c r="B424" s="6">
        <v>3</v>
      </c>
      <c r="C424" s="6">
        <v>43.2</v>
      </c>
    </row>
    <row r="425" spans="1:3">
      <c r="A425" s="22" t="s">
        <v>327</v>
      </c>
      <c r="B425" s="6">
        <v>3</v>
      </c>
      <c r="C425" s="6">
        <v>43.2</v>
      </c>
    </row>
    <row r="426" spans="1:3">
      <c r="A426" s="22" t="s">
        <v>280</v>
      </c>
      <c r="B426" s="6">
        <v>5</v>
      </c>
      <c r="C426" s="6">
        <v>72</v>
      </c>
    </row>
    <row r="427" spans="1:3">
      <c r="A427" s="7" t="s">
        <v>164</v>
      </c>
      <c r="B427" s="6">
        <v>8</v>
      </c>
      <c r="C427" s="6">
        <v>36.479999999999997</v>
      </c>
    </row>
    <row r="428" spans="1:3">
      <c r="A428" s="8" t="s">
        <v>32</v>
      </c>
      <c r="B428" s="6">
        <v>8</v>
      </c>
      <c r="C428" s="6">
        <v>36.479999999999997</v>
      </c>
    </row>
    <row r="429" spans="1:3">
      <c r="A429" s="22" t="s">
        <v>326</v>
      </c>
      <c r="B429" s="6">
        <v>8</v>
      </c>
      <c r="C429" s="6">
        <v>36.479999999999997</v>
      </c>
    </row>
    <row r="430" spans="1:3">
      <c r="A430" s="7" t="s">
        <v>227</v>
      </c>
      <c r="B430" s="6">
        <v>3</v>
      </c>
      <c r="C430" s="6">
        <v>48.96</v>
      </c>
    </row>
    <row r="431" spans="1:3">
      <c r="A431" s="8" t="s">
        <v>96</v>
      </c>
      <c r="B431" s="6">
        <v>3</v>
      </c>
      <c r="C431" s="6">
        <v>48.96</v>
      </c>
    </row>
    <row r="432" spans="1:3">
      <c r="A432" s="22" t="s">
        <v>326</v>
      </c>
      <c r="B432" s="6">
        <v>3</v>
      </c>
      <c r="C432" s="6">
        <v>48.96</v>
      </c>
    </row>
    <row r="433" spans="1:3">
      <c r="A433" s="7" t="s">
        <v>246</v>
      </c>
      <c r="B433" s="6">
        <v>6</v>
      </c>
      <c r="C433" s="6">
        <v>54</v>
      </c>
    </row>
    <row r="434" spans="1:3">
      <c r="A434" s="8" t="s">
        <v>115</v>
      </c>
      <c r="B434" s="6">
        <v>6</v>
      </c>
      <c r="C434" s="6">
        <v>54</v>
      </c>
    </row>
    <row r="435" spans="1:3">
      <c r="A435" s="22" t="s">
        <v>280</v>
      </c>
      <c r="B435" s="6">
        <v>6</v>
      </c>
      <c r="C435" s="6">
        <v>54</v>
      </c>
    </row>
    <row r="436" spans="1:3">
      <c r="A436" s="7" t="s">
        <v>141</v>
      </c>
      <c r="B436" s="6">
        <v>16</v>
      </c>
      <c r="C436" s="6">
        <v>230.40000000000003</v>
      </c>
    </row>
    <row r="437" spans="1:3">
      <c r="A437" s="8" t="s">
        <v>9</v>
      </c>
      <c r="B437" s="6">
        <v>16</v>
      </c>
      <c r="C437" s="6">
        <v>230.40000000000003</v>
      </c>
    </row>
    <row r="438" spans="1:3">
      <c r="A438" s="22" t="s">
        <v>311</v>
      </c>
      <c r="B438" s="6">
        <v>3</v>
      </c>
      <c r="C438" s="6">
        <v>43.2</v>
      </c>
    </row>
    <row r="439" spans="1:3">
      <c r="A439" s="22" t="s">
        <v>313</v>
      </c>
      <c r="B439" s="6">
        <v>3</v>
      </c>
      <c r="C439" s="6">
        <v>43.2</v>
      </c>
    </row>
    <row r="440" spans="1:3">
      <c r="A440" s="22" t="s">
        <v>327</v>
      </c>
      <c r="B440" s="6">
        <v>3</v>
      </c>
      <c r="C440" s="6">
        <v>43.2</v>
      </c>
    </row>
    <row r="441" spans="1:3">
      <c r="A441" s="22" t="s">
        <v>280</v>
      </c>
      <c r="B441" s="6">
        <v>4</v>
      </c>
      <c r="C441" s="6">
        <v>57.6</v>
      </c>
    </row>
    <row r="442" spans="1:3">
      <c r="A442" s="22" t="s">
        <v>275</v>
      </c>
      <c r="B442" s="6">
        <v>3</v>
      </c>
      <c r="C442" s="6">
        <v>43.2</v>
      </c>
    </row>
    <row r="443" spans="1:3">
      <c r="A443" s="7" t="s">
        <v>178</v>
      </c>
      <c r="B443" s="6">
        <v>23</v>
      </c>
      <c r="C443" s="6">
        <v>309.12</v>
      </c>
    </row>
    <row r="444" spans="1:3">
      <c r="A444" s="8" t="s">
        <v>46</v>
      </c>
      <c r="B444" s="6">
        <v>23</v>
      </c>
      <c r="C444" s="6">
        <v>309.12</v>
      </c>
    </row>
    <row r="445" spans="1:3">
      <c r="A445" s="22" t="s">
        <v>2485</v>
      </c>
      <c r="B445" s="6">
        <v>5</v>
      </c>
      <c r="C445" s="6">
        <v>67.2</v>
      </c>
    </row>
    <row r="446" spans="1:3">
      <c r="A446" s="22" t="s">
        <v>275</v>
      </c>
      <c r="B446" s="6">
        <v>9</v>
      </c>
      <c r="C446" s="6">
        <v>120.96000000000001</v>
      </c>
    </row>
    <row r="447" spans="1:3">
      <c r="A447" s="22" t="s">
        <v>273</v>
      </c>
      <c r="B447" s="6">
        <v>9</v>
      </c>
      <c r="C447" s="6">
        <v>120.96000000000001</v>
      </c>
    </row>
    <row r="448" spans="1:3">
      <c r="A448" s="7" t="s">
        <v>2424</v>
      </c>
      <c r="B448" s="6">
        <v>4</v>
      </c>
      <c r="C448" s="6">
        <v>72</v>
      </c>
    </row>
    <row r="449" spans="1:3">
      <c r="A449" s="8" t="s">
        <v>2423</v>
      </c>
      <c r="B449" s="6">
        <v>4</v>
      </c>
      <c r="C449" s="6">
        <v>72</v>
      </c>
    </row>
    <row r="450" spans="1:3">
      <c r="A450" s="22" t="s">
        <v>341</v>
      </c>
      <c r="B450" s="6">
        <v>4</v>
      </c>
      <c r="C450" s="6">
        <v>72</v>
      </c>
    </row>
    <row r="451" spans="1:3">
      <c r="A451" s="7" t="s">
        <v>2484</v>
      </c>
      <c r="B451" s="6">
        <v>3</v>
      </c>
      <c r="C451" s="6">
        <v>54</v>
      </c>
    </row>
    <row r="452" spans="1:3">
      <c r="A452" s="8" t="s">
        <v>2483</v>
      </c>
      <c r="B452" s="6">
        <v>3</v>
      </c>
      <c r="C452" s="6">
        <v>54</v>
      </c>
    </row>
    <row r="453" spans="1:3">
      <c r="A453" s="22" t="s">
        <v>2486</v>
      </c>
      <c r="B453" s="6">
        <v>3</v>
      </c>
      <c r="C453" s="6">
        <v>54</v>
      </c>
    </row>
    <row r="454" spans="1:3">
      <c r="A454" s="7" t="s">
        <v>183</v>
      </c>
      <c r="B454" s="6">
        <v>59</v>
      </c>
      <c r="C454" s="6">
        <v>269.03999999999996</v>
      </c>
    </row>
    <row r="455" spans="1:3">
      <c r="A455" s="8" t="s">
        <v>51</v>
      </c>
      <c r="B455" s="6">
        <v>59</v>
      </c>
      <c r="C455" s="6">
        <v>269.03999999999996</v>
      </c>
    </row>
    <row r="456" spans="1:3">
      <c r="A456" s="22" t="s">
        <v>311</v>
      </c>
      <c r="B456" s="6">
        <v>8</v>
      </c>
      <c r="C456" s="6">
        <v>36.479999999999997</v>
      </c>
    </row>
    <row r="457" spans="1:3">
      <c r="A457" s="22" t="s">
        <v>313</v>
      </c>
      <c r="B457" s="6">
        <v>8</v>
      </c>
      <c r="C457" s="6">
        <v>36.479999999999997</v>
      </c>
    </row>
    <row r="458" spans="1:3">
      <c r="A458" s="22" t="s">
        <v>327</v>
      </c>
      <c r="B458" s="6">
        <v>8</v>
      </c>
      <c r="C458" s="6">
        <v>36.479999999999997</v>
      </c>
    </row>
    <row r="459" spans="1:3">
      <c r="A459" s="22" t="s">
        <v>280</v>
      </c>
      <c r="B459" s="6">
        <v>15</v>
      </c>
      <c r="C459" s="6">
        <v>68.399999999999991</v>
      </c>
    </row>
    <row r="460" spans="1:3">
      <c r="A460" s="22" t="s">
        <v>275</v>
      </c>
      <c r="B460" s="6">
        <v>14</v>
      </c>
      <c r="C460" s="6">
        <v>63.839999999999996</v>
      </c>
    </row>
    <row r="461" spans="1:3">
      <c r="A461" s="22" t="s">
        <v>306</v>
      </c>
      <c r="B461" s="6">
        <v>6</v>
      </c>
      <c r="C461" s="6">
        <v>27.36</v>
      </c>
    </row>
    <row r="462" spans="1:3">
      <c r="A462" s="7" t="s">
        <v>2421</v>
      </c>
      <c r="B462" s="6">
        <v>4</v>
      </c>
      <c r="C462" s="6">
        <v>28.32</v>
      </c>
    </row>
    <row r="463" spans="1:3">
      <c r="A463" s="8" t="s">
        <v>2420</v>
      </c>
      <c r="B463" s="6">
        <v>4</v>
      </c>
      <c r="C463" s="6">
        <v>28.32</v>
      </c>
    </row>
    <row r="464" spans="1:3">
      <c r="A464" s="22" t="s">
        <v>2487</v>
      </c>
      <c r="B464" s="6">
        <v>4</v>
      </c>
      <c r="C464" s="6">
        <v>28.32</v>
      </c>
    </row>
    <row r="465" spans="1:3">
      <c r="A465" s="7" t="s">
        <v>2476</v>
      </c>
      <c r="B465" s="6">
        <v>4</v>
      </c>
      <c r="C465" s="6">
        <v>28.32</v>
      </c>
    </row>
    <row r="466" spans="1:3">
      <c r="A466" s="8" t="s">
        <v>2475</v>
      </c>
      <c r="B466" s="6">
        <v>4</v>
      </c>
      <c r="C466" s="6">
        <v>28.32</v>
      </c>
    </row>
    <row r="467" spans="1:3">
      <c r="A467" s="22" t="s">
        <v>2488</v>
      </c>
      <c r="B467" s="6">
        <v>4</v>
      </c>
      <c r="C467" s="6">
        <v>28.32</v>
      </c>
    </row>
    <row r="468" spans="1:3">
      <c r="A468" s="7" t="s">
        <v>2453</v>
      </c>
      <c r="B468" s="6">
        <v>4</v>
      </c>
      <c r="C468" s="6">
        <v>28.32</v>
      </c>
    </row>
    <row r="469" spans="1:3">
      <c r="A469" s="8" t="s">
        <v>2452</v>
      </c>
      <c r="B469" s="6">
        <v>4</v>
      </c>
      <c r="C469" s="6">
        <v>28.32</v>
      </c>
    </row>
    <row r="470" spans="1:3">
      <c r="A470" s="22" t="s">
        <v>318</v>
      </c>
      <c r="B470" s="6">
        <v>4</v>
      </c>
      <c r="C470" s="6">
        <v>28.32</v>
      </c>
    </row>
    <row r="471" spans="1:3">
      <c r="A471" s="7" t="s">
        <v>142</v>
      </c>
      <c r="B471" s="6">
        <v>10</v>
      </c>
      <c r="C471" s="6">
        <v>72</v>
      </c>
    </row>
    <row r="472" spans="1:3">
      <c r="A472" s="8" t="s">
        <v>10</v>
      </c>
      <c r="B472" s="6">
        <v>10</v>
      </c>
      <c r="C472" s="6">
        <v>72</v>
      </c>
    </row>
    <row r="473" spans="1:3">
      <c r="A473" s="22" t="s">
        <v>326</v>
      </c>
      <c r="B473" s="6">
        <v>2</v>
      </c>
      <c r="C473" s="6">
        <v>14.4</v>
      </c>
    </row>
    <row r="474" spans="1:3">
      <c r="A474" s="22" t="s">
        <v>280</v>
      </c>
      <c r="B474" s="6">
        <v>2</v>
      </c>
      <c r="C474" s="6">
        <v>14.4</v>
      </c>
    </row>
    <row r="475" spans="1:3">
      <c r="A475" s="22" t="s">
        <v>275</v>
      </c>
      <c r="B475" s="6">
        <v>6</v>
      </c>
      <c r="C475" s="6">
        <v>43.2</v>
      </c>
    </row>
    <row r="476" spans="1:3">
      <c r="A476" s="7" t="s">
        <v>260</v>
      </c>
      <c r="B476" s="6">
        <v>3</v>
      </c>
      <c r="C476" s="6">
        <v>21.6</v>
      </c>
    </row>
    <row r="477" spans="1:3">
      <c r="A477" s="8" t="s">
        <v>130</v>
      </c>
      <c r="B477" s="6">
        <v>3</v>
      </c>
      <c r="C477" s="6">
        <v>21.6</v>
      </c>
    </row>
    <row r="478" spans="1:3">
      <c r="A478" s="22" t="s">
        <v>280</v>
      </c>
      <c r="B478" s="6">
        <v>3</v>
      </c>
      <c r="C478" s="6">
        <v>21.6</v>
      </c>
    </row>
    <row r="479" spans="1:3">
      <c r="A479" s="7" t="s">
        <v>2445</v>
      </c>
      <c r="B479" s="6">
        <v>2</v>
      </c>
      <c r="C479" s="6">
        <v>25.44</v>
      </c>
    </row>
    <row r="480" spans="1:3">
      <c r="A480" s="8" t="s">
        <v>2444</v>
      </c>
      <c r="B480" s="6">
        <v>2</v>
      </c>
      <c r="C480" s="6">
        <v>25.44</v>
      </c>
    </row>
    <row r="481" spans="1:3">
      <c r="A481" s="22" t="s">
        <v>319</v>
      </c>
      <c r="B481" s="6">
        <v>2</v>
      </c>
      <c r="C481" s="6">
        <v>25.44</v>
      </c>
    </row>
    <row r="482" spans="1:3">
      <c r="A482" s="7" t="s">
        <v>135</v>
      </c>
      <c r="B482" s="6">
        <v>2</v>
      </c>
      <c r="C482" s="6">
        <v>26.88</v>
      </c>
    </row>
    <row r="483" spans="1:3">
      <c r="A483" s="8" t="s">
        <v>3</v>
      </c>
      <c r="B483" s="6">
        <v>2</v>
      </c>
      <c r="C483" s="6">
        <v>26.88</v>
      </c>
    </row>
    <row r="484" spans="1:3">
      <c r="A484" s="22" t="s">
        <v>2489</v>
      </c>
      <c r="B484" s="6">
        <v>2</v>
      </c>
      <c r="C484" s="6">
        <v>26.88</v>
      </c>
    </row>
    <row r="485" spans="1:3">
      <c r="A485" s="7" t="s">
        <v>139</v>
      </c>
      <c r="B485" s="6">
        <v>24</v>
      </c>
      <c r="C485" s="6">
        <v>285.12</v>
      </c>
    </row>
    <row r="486" spans="1:3">
      <c r="A486" s="8" t="s">
        <v>7</v>
      </c>
      <c r="B486" s="6">
        <v>24</v>
      </c>
      <c r="C486" s="6">
        <v>285.12</v>
      </c>
    </row>
    <row r="487" spans="1:3">
      <c r="A487" s="22" t="s">
        <v>313</v>
      </c>
      <c r="B487" s="6">
        <v>4</v>
      </c>
      <c r="C487" s="6">
        <v>47.52</v>
      </c>
    </row>
    <row r="488" spans="1:3">
      <c r="A488" s="22" t="s">
        <v>327</v>
      </c>
      <c r="B488" s="6">
        <v>4</v>
      </c>
      <c r="C488" s="6">
        <v>47.52</v>
      </c>
    </row>
    <row r="489" spans="1:3">
      <c r="A489" s="22" t="s">
        <v>280</v>
      </c>
      <c r="B489" s="6">
        <v>6</v>
      </c>
      <c r="C489" s="6">
        <v>71.28</v>
      </c>
    </row>
    <row r="490" spans="1:3">
      <c r="A490" s="22" t="s">
        <v>306</v>
      </c>
      <c r="B490" s="6">
        <v>4</v>
      </c>
      <c r="C490" s="6">
        <v>47.52</v>
      </c>
    </row>
    <row r="491" spans="1:3">
      <c r="A491" s="22" t="s">
        <v>273</v>
      </c>
      <c r="B491" s="6">
        <v>6</v>
      </c>
      <c r="C491" s="6">
        <v>71.28</v>
      </c>
    </row>
    <row r="492" spans="1:3">
      <c r="A492" s="7" t="s">
        <v>180</v>
      </c>
      <c r="B492" s="6">
        <v>3</v>
      </c>
      <c r="C492" s="6">
        <v>60.12</v>
      </c>
    </row>
    <row r="493" spans="1:3">
      <c r="A493" s="8" t="s">
        <v>48</v>
      </c>
      <c r="B493" s="6">
        <v>3</v>
      </c>
      <c r="C493" s="6">
        <v>60.12</v>
      </c>
    </row>
    <row r="494" spans="1:3">
      <c r="A494" s="22" t="s">
        <v>326</v>
      </c>
      <c r="B494" s="6">
        <v>3</v>
      </c>
      <c r="C494" s="6">
        <v>60.12</v>
      </c>
    </row>
    <row r="495" spans="1:3">
      <c r="A495" s="7" t="s">
        <v>205</v>
      </c>
      <c r="B495" s="6">
        <v>3</v>
      </c>
      <c r="C495" s="6">
        <v>65.88</v>
      </c>
    </row>
    <row r="496" spans="1:3">
      <c r="A496" s="8" t="s">
        <v>73</v>
      </c>
      <c r="B496" s="6">
        <v>3</v>
      </c>
      <c r="C496" s="6">
        <v>65.88</v>
      </c>
    </row>
    <row r="497" spans="1:3">
      <c r="A497" s="22" t="s">
        <v>326</v>
      </c>
      <c r="B497" s="6">
        <v>3</v>
      </c>
      <c r="C497" s="6">
        <v>65.88</v>
      </c>
    </row>
    <row r="498" spans="1:3">
      <c r="A498" s="7" t="s">
        <v>136</v>
      </c>
      <c r="B498" s="6">
        <v>8</v>
      </c>
      <c r="C498" s="6">
        <v>144.96</v>
      </c>
    </row>
    <row r="499" spans="1:3">
      <c r="A499" s="8" t="s">
        <v>4</v>
      </c>
      <c r="B499" s="6">
        <v>8</v>
      </c>
      <c r="C499" s="6">
        <v>144.96</v>
      </c>
    </row>
    <row r="500" spans="1:3">
      <c r="A500" s="22" t="s">
        <v>313</v>
      </c>
      <c r="B500" s="6">
        <v>2</v>
      </c>
      <c r="C500" s="6">
        <v>36.24</v>
      </c>
    </row>
    <row r="501" spans="1:3">
      <c r="A501" s="22" t="s">
        <v>327</v>
      </c>
      <c r="B501" s="6">
        <v>2</v>
      </c>
      <c r="C501" s="6">
        <v>36.24</v>
      </c>
    </row>
    <row r="502" spans="1:3">
      <c r="A502" s="22" t="s">
        <v>280</v>
      </c>
      <c r="B502" s="6">
        <v>2</v>
      </c>
      <c r="C502" s="6">
        <v>36.24</v>
      </c>
    </row>
    <row r="503" spans="1:3">
      <c r="A503" s="22" t="s">
        <v>306</v>
      </c>
      <c r="B503" s="6">
        <v>2</v>
      </c>
      <c r="C503" s="6">
        <v>36.24</v>
      </c>
    </row>
    <row r="504" spans="1:3">
      <c r="A504" s="7" t="s">
        <v>210</v>
      </c>
      <c r="B504" s="6">
        <v>6</v>
      </c>
      <c r="C504" s="6">
        <v>79.92</v>
      </c>
    </row>
    <row r="505" spans="1:3">
      <c r="A505" s="8" t="s">
        <v>79</v>
      </c>
      <c r="B505" s="6">
        <v>6</v>
      </c>
      <c r="C505" s="6">
        <v>79.92</v>
      </c>
    </row>
    <row r="506" spans="1:3">
      <c r="A506" s="22" t="s">
        <v>313</v>
      </c>
      <c r="B506" s="6">
        <v>3</v>
      </c>
      <c r="C506" s="6">
        <v>39.96</v>
      </c>
    </row>
    <row r="507" spans="1:3">
      <c r="A507" s="22" t="s">
        <v>327</v>
      </c>
      <c r="B507" s="6">
        <v>3</v>
      </c>
      <c r="C507" s="6">
        <v>39.96</v>
      </c>
    </row>
    <row r="508" spans="1:3">
      <c r="A508" s="7" t="s">
        <v>234</v>
      </c>
      <c r="B508" s="6">
        <v>2</v>
      </c>
      <c r="C508" s="6">
        <v>58.8</v>
      </c>
    </row>
    <row r="509" spans="1:3">
      <c r="A509" s="8" t="s">
        <v>103</v>
      </c>
      <c r="B509" s="6">
        <v>2</v>
      </c>
      <c r="C509" s="6">
        <v>58.8</v>
      </c>
    </row>
    <row r="510" spans="1:3">
      <c r="A510" s="22" t="s">
        <v>325</v>
      </c>
      <c r="B510" s="6">
        <v>2</v>
      </c>
      <c r="C510" s="6">
        <v>58.8</v>
      </c>
    </row>
    <row r="511" spans="1:3">
      <c r="A511" s="7" t="s">
        <v>159</v>
      </c>
      <c r="B511" s="6">
        <v>3</v>
      </c>
      <c r="C511" s="6">
        <v>88.199999999999989</v>
      </c>
    </row>
    <row r="512" spans="1:3">
      <c r="A512" s="8" t="s">
        <v>30</v>
      </c>
      <c r="B512" s="6">
        <v>3</v>
      </c>
      <c r="C512" s="6">
        <v>88.199999999999989</v>
      </c>
    </row>
    <row r="513" spans="1:3">
      <c r="A513" s="22" t="s">
        <v>280</v>
      </c>
      <c r="B513" s="6">
        <v>3</v>
      </c>
      <c r="C513" s="6">
        <v>88.199999999999989</v>
      </c>
    </row>
    <row r="514" spans="1:3">
      <c r="A514" s="7" t="s">
        <v>252</v>
      </c>
      <c r="B514" s="6">
        <v>2</v>
      </c>
      <c r="C514" s="6">
        <v>51.12</v>
      </c>
    </row>
    <row r="515" spans="1:3">
      <c r="A515" s="8" t="s">
        <v>121</v>
      </c>
      <c r="B515" s="6">
        <v>2</v>
      </c>
      <c r="C515" s="6">
        <v>51.12</v>
      </c>
    </row>
    <row r="516" spans="1:3">
      <c r="A516" s="22" t="s">
        <v>275</v>
      </c>
      <c r="B516" s="6">
        <v>2</v>
      </c>
      <c r="C516" s="6">
        <v>51.12</v>
      </c>
    </row>
    <row r="517" spans="1:3">
      <c r="A517" s="7" t="s">
        <v>211</v>
      </c>
      <c r="B517" s="6">
        <v>2</v>
      </c>
      <c r="C517" s="6">
        <v>40.799999999999997</v>
      </c>
    </row>
    <row r="518" spans="1:3">
      <c r="A518" s="8" t="s">
        <v>80</v>
      </c>
      <c r="B518" s="6">
        <v>2</v>
      </c>
      <c r="C518" s="6">
        <v>40.799999999999997</v>
      </c>
    </row>
    <row r="519" spans="1:3">
      <c r="A519" s="22" t="s">
        <v>329</v>
      </c>
      <c r="B519" s="6">
        <v>2</v>
      </c>
      <c r="C519" s="6">
        <v>40.799999999999997</v>
      </c>
    </row>
    <row r="520" spans="1:3">
      <c r="A520" s="7" t="s">
        <v>153</v>
      </c>
      <c r="B520" s="6">
        <v>13</v>
      </c>
      <c r="C520" s="6">
        <v>62.399999999999984</v>
      </c>
    </row>
    <row r="521" spans="1:3">
      <c r="A521" s="8" t="s">
        <v>24</v>
      </c>
      <c r="B521" s="6">
        <v>13</v>
      </c>
      <c r="C521" s="6">
        <v>62.399999999999984</v>
      </c>
    </row>
    <row r="522" spans="1:3">
      <c r="A522" s="22" t="s">
        <v>311</v>
      </c>
      <c r="B522" s="6">
        <v>3</v>
      </c>
      <c r="C522" s="6">
        <v>14.399999999999999</v>
      </c>
    </row>
    <row r="523" spans="1:3">
      <c r="A523" s="22" t="s">
        <v>326</v>
      </c>
      <c r="B523" s="6">
        <v>3</v>
      </c>
      <c r="C523" s="6">
        <v>14.399999999999999</v>
      </c>
    </row>
    <row r="524" spans="1:3">
      <c r="A524" s="22" t="s">
        <v>327</v>
      </c>
      <c r="B524" s="6">
        <v>3</v>
      </c>
      <c r="C524" s="6">
        <v>14.399999999999999</v>
      </c>
    </row>
    <row r="525" spans="1:3">
      <c r="A525" s="22" t="s">
        <v>280</v>
      </c>
      <c r="B525" s="6">
        <v>1</v>
      </c>
      <c r="C525" s="6">
        <v>4.8</v>
      </c>
    </row>
    <row r="526" spans="1:3">
      <c r="A526" s="22" t="s">
        <v>275</v>
      </c>
      <c r="B526" s="6">
        <v>1</v>
      </c>
      <c r="C526" s="6">
        <v>4.8</v>
      </c>
    </row>
    <row r="527" spans="1:3">
      <c r="A527" s="22" t="s">
        <v>285</v>
      </c>
      <c r="B527" s="6">
        <v>1</v>
      </c>
      <c r="C527" s="6">
        <v>4.8</v>
      </c>
    </row>
    <row r="528" spans="1:3">
      <c r="A528" s="22" t="s">
        <v>286</v>
      </c>
      <c r="B528" s="6">
        <v>1</v>
      </c>
      <c r="C528" s="6">
        <v>4.8</v>
      </c>
    </row>
    <row r="529" spans="1:3">
      <c r="A529" s="7" t="s">
        <v>151</v>
      </c>
      <c r="B529" s="6">
        <v>11</v>
      </c>
      <c r="C529" s="6">
        <v>158.4</v>
      </c>
    </row>
    <row r="530" spans="1:3">
      <c r="A530" s="8" t="s">
        <v>22</v>
      </c>
      <c r="B530" s="6">
        <v>11</v>
      </c>
      <c r="C530" s="6">
        <v>158.4</v>
      </c>
    </row>
    <row r="531" spans="1:3">
      <c r="A531" s="22" t="s">
        <v>311</v>
      </c>
      <c r="B531" s="6">
        <v>2</v>
      </c>
      <c r="C531" s="6">
        <v>28.8</v>
      </c>
    </row>
    <row r="532" spans="1:3">
      <c r="A532" s="22" t="s">
        <v>314</v>
      </c>
      <c r="B532" s="6">
        <v>2</v>
      </c>
      <c r="C532" s="6">
        <v>28.8</v>
      </c>
    </row>
    <row r="533" spans="1:3">
      <c r="A533" s="22" t="s">
        <v>326</v>
      </c>
      <c r="B533" s="6">
        <v>2</v>
      </c>
      <c r="C533" s="6">
        <v>28.8</v>
      </c>
    </row>
    <row r="534" spans="1:3">
      <c r="A534" s="22" t="s">
        <v>327</v>
      </c>
      <c r="B534" s="6">
        <v>2</v>
      </c>
      <c r="C534" s="6">
        <v>28.8</v>
      </c>
    </row>
    <row r="535" spans="1:3">
      <c r="A535" s="22" t="s">
        <v>275</v>
      </c>
      <c r="B535" s="6">
        <v>1</v>
      </c>
      <c r="C535" s="6">
        <v>14.4</v>
      </c>
    </row>
    <row r="536" spans="1:3">
      <c r="A536" s="22" t="s">
        <v>285</v>
      </c>
      <c r="B536" s="6">
        <v>1</v>
      </c>
      <c r="C536" s="6">
        <v>14.4</v>
      </c>
    </row>
    <row r="537" spans="1:3">
      <c r="A537" s="22" t="s">
        <v>286</v>
      </c>
      <c r="B537" s="6">
        <v>1</v>
      </c>
      <c r="C537" s="6">
        <v>14.4</v>
      </c>
    </row>
    <row r="538" spans="1:3">
      <c r="A538" s="7" t="s">
        <v>219</v>
      </c>
      <c r="B538" s="6">
        <v>2</v>
      </c>
      <c r="C538" s="6">
        <v>48</v>
      </c>
    </row>
    <row r="539" spans="1:3">
      <c r="A539" s="8" t="s">
        <v>88</v>
      </c>
      <c r="B539" s="6">
        <v>2</v>
      </c>
      <c r="C539" s="6">
        <v>48</v>
      </c>
    </row>
    <row r="540" spans="1:3">
      <c r="A540" s="22" t="s">
        <v>326</v>
      </c>
      <c r="B540" s="6">
        <v>2</v>
      </c>
      <c r="C540" s="6">
        <v>48</v>
      </c>
    </row>
    <row r="541" spans="1:3">
      <c r="A541" s="7" t="s">
        <v>2432</v>
      </c>
      <c r="B541" s="6">
        <v>22</v>
      </c>
      <c r="C541" s="6">
        <v>261.35999999999996</v>
      </c>
    </row>
    <row r="542" spans="1:3">
      <c r="A542" s="8" t="s">
        <v>2431</v>
      </c>
      <c r="B542" s="6">
        <v>22</v>
      </c>
      <c r="C542" s="6">
        <v>261.35999999999996</v>
      </c>
    </row>
    <row r="543" spans="1:3">
      <c r="A543" s="22" t="s">
        <v>311</v>
      </c>
      <c r="B543" s="6">
        <v>3</v>
      </c>
      <c r="C543" s="6">
        <v>35.64</v>
      </c>
    </row>
    <row r="544" spans="1:3">
      <c r="A544" s="22" t="s">
        <v>312</v>
      </c>
      <c r="B544" s="6">
        <v>3</v>
      </c>
      <c r="C544" s="6">
        <v>35.64</v>
      </c>
    </row>
    <row r="545" spans="1:3">
      <c r="A545" s="22" t="s">
        <v>321</v>
      </c>
      <c r="B545" s="6">
        <v>3</v>
      </c>
      <c r="C545" s="6">
        <v>35.64</v>
      </c>
    </row>
    <row r="546" spans="1:3">
      <c r="A546" s="22" t="s">
        <v>327</v>
      </c>
      <c r="B546" s="6">
        <v>3</v>
      </c>
      <c r="C546" s="6">
        <v>35.64</v>
      </c>
    </row>
    <row r="547" spans="1:3">
      <c r="A547" s="22" t="s">
        <v>280</v>
      </c>
      <c r="B547" s="6">
        <v>2</v>
      </c>
      <c r="C547" s="6">
        <v>23.76</v>
      </c>
    </row>
    <row r="548" spans="1:3">
      <c r="A548" s="22" t="s">
        <v>305</v>
      </c>
      <c r="B548" s="6">
        <v>3</v>
      </c>
      <c r="C548" s="6">
        <v>35.64</v>
      </c>
    </row>
    <row r="549" spans="1:3">
      <c r="A549" s="22" t="s">
        <v>275</v>
      </c>
      <c r="B549" s="6">
        <v>2</v>
      </c>
      <c r="C549" s="6">
        <v>23.76</v>
      </c>
    </row>
    <row r="550" spans="1:3">
      <c r="A550" s="22" t="s">
        <v>306</v>
      </c>
      <c r="B550" s="6">
        <v>3</v>
      </c>
      <c r="C550" s="6">
        <v>35.64</v>
      </c>
    </row>
    <row r="551" spans="1:3">
      <c r="A551" s="7" t="s">
        <v>150</v>
      </c>
      <c r="B551" s="6">
        <v>15</v>
      </c>
      <c r="C551" s="6">
        <v>216.00000000000003</v>
      </c>
    </row>
    <row r="552" spans="1:3">
      <c r="A552" s="8" t="s">
        <v>21</v>
      </c>
      <c r="B552" s="6">
        <v>15</v>
      </c>
      <c r="C552" s="6">
        <v>216.00000000000003</v>
      </c>
    </row>
    <row r="553" spans="1:3">
      <c r="A553" s="22" t="s">
        <v>311</v>
      </c>
      <c r="B553" s="6">
        <v>3</v>
      </c>
      <c r="C553" s="6">
        <v>43.2</v>
      </c>
    </row>
    <row r="554" spans="1:3">
      <c r="A554" s="22" t="s">
        <v>314</v>
      </c>
      <c r="B554" s="6">
        <v>2</v>
      </c>
      <c r="C554" s="6">
        <v>28.8</v>
      </c>
    </row>
    <row r="555" spans="1:3">
      <c r="A555" s="22" t="s">
        <v>326</v>
      </c>
      <c r="B555" s="6">
        <v>3</v>
      </c>
      <c r="C555" s="6">
        <v>43.2</v>
      </c>
    </row>
    <row r="556" spans="1:3">
      <c r="A556" s="22" t="s">
        <v>327</v>
      </c>
      <c r="B556" s="6">
        <v>3</v>
      </c>
      <c r="C556" s="6">
        <v>43.2</v>
      </c>
    </row>
    <row r="557" spans="1:3">
      <c r="A557" s="22" t="s">
        <v>280</v>
      </c>
      <c r="B557" s="6">
        <v>1</v>
      </c>
      <c r="C557" s="6">
        <v>14.4</v>
      </c>
    </row>
    <row r="558" spans="1:3">
      <c r="A558" s="22" t="s">
        <v>275</v>
      </c>
      <c r="B558" s="6">
        <v>1</v>
      </c>
      <c r="C558" s="6">
        <v>14.4</v>
      </c>
    </row>
    <row r="559" spans="1:3">
      <c r="A559" s="22" t="s">
        <v>285</v>
      </c>
      <c r="B559" s="6">
        <v>1</v>
      </c>
      <c r="C559" s="6">
        <v>14.4</v>
      </c>
    </row>
    <row r="560" spans="1:3">
      <c r="A560" s="22" t="s">
        <v>286</v>
      </c>
      <c r="B560" s="6">
        <v>1</v>
      </c>
      <c r="C560" s="6">
        <v>14.4</v>
      </c>
    </row>
    <row r="561" spans="1:3">
      <c r="A561" s="7" t="s">
        <v>231</v>
      </c>
      <c r="B561" s="6">
        <v>3</v>
      </c>
      <c r="C561" s="6">
        <v>99</v>
      </c>
    </row>
    <row r="562" spans="1:3">
      <c r="A562" s="8" t="s">
        <v>100</v>
      </c>
      <c r="B562" s="6">
        <v>3</v>
      </c>
      <c r="C562" s="6">
        <v>99</v>
      </c>
    </row>
    <row r="563" spans="1:3">
      <c r="A563" s="22" t="s">
        <v>280</v>
      </c>
      <c r="B563" s="6">
        <v>3</v>
      </c>
      <c r="C563" s="6">
        <v>99</v>
      </c>
    </row>
    <row r="564" spans="1:3">
      <c r="A564" s="7" t="s">
        <v>155</v>
      </c>
      <c r="B564" s="6">
        <v>13</v>
      </c>
      <c r="C564" s="6">
        <v>187.20000000000002</v>
      </c>
    </row>
    <row r="565" spans="1:3">
      <c r="A565" s="8" t="s">
        <v>26</v>
      </c>
      <c r="B565" s="6">
        <v>13</v>
      </c>
      <c r="C565" s="6">
        <v>187.20000000000002</v>
      </c>
    </row>
    <row r="566" spans="1:3">
      <c r="A566" s="22" t="s">
        <v>311</v>
      </c>
      <c r="B566" s="6">
        <v>3</v>
      </c>
      <c r="C566" s="6">
        <v>43.2</v>
      </c>
    </row>
    <row r="567" spans="1:3">
      <c r="A567" s="22" t="s">
        <v>314</v>
      </c>
      <c r="B567" s="6">
        <v>3</v>
      </c>
      <c r="C567" s="6">
        <v>43.2</v>
      </c>
    </row>
    <row r="568" spans="1:3">
      <c r="A568" s="22" t="s">
        <v>326</v>
      </c>
      <c r="B568" s="6">
        <v>3</v>
      </c>
      <c r="C568" s="6">
        <v>43.2</v>
      </c>
    </row>
    <row r="569" spans="1:3">
      <c r="A569" s="22" t="s">
        <v>327</v>
      </c>
      <c r="B569" s="6">
        <v>3</v>
      </c>
      <c r="C569" s="6">
        <v>43.2</v>
      </c>
    </row>
    <row r="570" spans="1:3">
      <c r="A570" s="22" t="s">
        <v>285</v>
      </c>
      <c r="B570" s="6">
        <v>1</v>
      </c>
      <c r="C570" s="6">
        <v>14.4</v>
      </c>
    </row>
    <row r="571" spans="1:3">
      <c r="A571" s="7" t="s">
        <v>182</v>
      </c>
      <c r="B571" s="6">
        <v>6</v>
      </c>
      <c r="C571" s="6">
        <v>93.6</v>
      </c>
    </row>
    <row r="572" spans="1:3">
      <c r="A572" s="8" t="s">
        <v>50</v>
      </c>
      <c r="B572" s="6">
        <v>6</v>
      </c>
      <c r="C572" s="6">
        <v>93.6</v>
      </c>
    </row>
    <row r="573" spans="1:3">
      <c r="A573" s="22" t="s">
        <v>327</v>
      </c>
      <c r="B573" s="6">
        <v>3</v>
      </c>
      <c r="C573" s="6">
        <v>46.8</v>
      </c>
    </row>
    <row r="574" spans="1:3">
      <c r="A574" s="22" t="s">
        <v>280</v>
      </c>
      <c r="B574" s="6">
        <v>3</v>
      </c>
      <c r="C574" s="6">
        <v>46.8</v>
      </c>
    </row>
    <row r="575" spans="1:3">
      <c r="A575" s="7" t="s">
        <v>152</v>
      </c>
      <c r="B575" s="6">
        <v>10</v>
      </c>
      <c r="C575" s="6">
        <v>130.80000000000001</v>
      </c>
    </row>
    <row r="576" spans="1:3">
      <c r="A576" s="8" t="s">
        <v>23</v>
      </c>
      <c r="B576" s="6">
        <v>10</v>
      </c>
      <c r="C576" s="6">
        <v>130.80000000000001</v>
      </c>
    </row>
    <row r="577" spans="1:3">
      <c r="A577" s="22" t="s">
        <v>311</v>
      </c>
      <c r="B577" s="6">
        <v>2</v>
      </c>
      <c r="C577" s="6">
        <v>26.16</v>
      </c>
    </row>
    <row r="578" spans="1:3">
      <c r="A578" s="22" t="s">
        <v>326</v>
      </c>
      <c r="B578" s="6">
        <v>2</v>
      </c>
      <c r="C578" s="6">
        <v>26.16</v>
      </c>
    </row>
    <row r="579" spans="1:3">
      <c r="A579" s="22" t="s">
        <v>327</v>
      </c>
      <c r="B579" s="6">
        <v>2</v>
      </c>
      <c r="C579" s="6">
        <v>26.16</v>
      </c>
    </row>
    <row r="580" spans="1:3">
      <c r="A580" s="22" t="s">
        <v>280</v>
      </c>
      <c r="B580" s="6">
        <v>1</v>
      </c>
      <c r="C580" s="6">
        <v>13.08</v>
      </c>
    </row>
    <row r="581" spans="1:3">
      <c r="A581" s="22" t="s">
        <v>275</v>
      </c>
      <c r="B581" s="6">
        <v>1</v>
      </c>
      <c r="C581" s="6">
        <v>13.08</v>
      </c>
    </row>
    <row r="582" spans="1:3">
      <c r="A582" s="22" t="s">
        <v>285</v>
      </c>
      <c r="B582" s="6">
        <v>1</v>
      </c>
      <c r="C582" s="6">
        <v>13.08</v>
      </c>
    </row>
    <row r="583" spans="1:3">
      <c r="A583" s="22" t="s">
        <v>286</v>
      </c>
      <c r="B583" s="6">
        <v>1</v>
      </c>
      <c r="C583" s="6">
        <v>13.08</v>
      </c>
    </row>
    <row r="584" spans="1:3">
      <c r="A584" s="7" t="s">
        <v>154</v>
      </c>
      <c r="B584" s="6">
        <v>10</v>
      </c>
      <c r="C584" s="6">
        <v>126</v>
      </c>
    </row>
    <row r="585" spans="1:3">
      <c r="A585" s="8" t="s">
        <v>25</v>
      </c>
      <c r="B585" s="6">
        <v>10</v>
      </c>
      <c r="C585" s="6">
        <v>126</v>
      </c>
    </row>
    <row r="586" spans="1:3">
      <c r="A586" s="22" t="s">
        <v>311</v>
      </c>
      <c r="B586" s="6">
        <v>2</v>
      </c>
      <c r="C586" s="6">
        <v>25.2</v>
      </c>
    </row>
    <row r="587" spans="1:3">
      <c r="A587" s="22" t="s">
        <v>326</v>
      </c>
      <c r="B587" s="6">
        <v>2</v>
      </c>
      <c r="C587" s="6">
        <v>25.2</v>
      </c>
    </row>
    <row r="588" spans="1:3">
      <c r="A588" s="22" t="s">
        <v>327</v>
      </c>
      <c r="B588" s="6">
        <v>2</v>
      </c>
      <c r="C588" s="6">
        <v>25.2</v>
      </c>
    </row>
    <row r="589" spans="1:3">
      <c r="A589" s="22" t="s">
        <v>285</v>
      </c>
      <c r="B589" s="6">
        <v>2</v>
      </c>
      <c r="C589" s="6">
        <v>25.2</v>
      </c>
    </row>
    <row r="590" spans="1:3">
      <c r="A590" s="22" t="s">
        <v>286</v>
      </c>
      <c r="B590" s="6">
        <v>2</v>
      </c>
      <c r="C590" s="6">
        <v>25.2</v>
      </c>
    </row>
    <row r="591" spans="1:3">
      <c r="A591" s="7" t="s">
        <v>191</v>
      </c>
      <c r="B591" s="6">
        <v>2</v>
      </c>
      <c r="C591" s="6">
        <v>27.6</v>
      </c>
    </row>
    <row r="592" spans="1:3">
      <c r="A592" s="8" t="s">
        <v>59</v>
      </c>
      <c r="B592" s="6">
        <v>2</v>
      </c>
      <c r="C592" s="6">
        <v>27.6</v>
      </c>
    </row>
    <row r="593" spans="1:3">
      <c r="A593" s="22" t="s">
        <v>326</v>
      </c>
      <c r="B593" s="6">
        <v>2</v>
      </c>
      <c r="C593" s="6">
        <v>27.6</v>
      </c>
    </row>
    <row r="594" spans="1:3">
      <c r="A594" s="7" t="s">
        <v>166</v>
      </c>
      <c r="B594" s="6">
        <v>10</v>
      </c>
      <c r="C594" s="6">
        <v>110.39999999999999</v>
      </c>
    </row>
    <row r="595" spans="1:3">
      <c r="A595" s="8" t="s">
        <v>34</v>
      </c>
      <c r="B595" s="6">
        <v>10</v>
      </c>
      <c r="C595" s="6">
        <v>110.39999999999999</v>
      </c>
    </row>
    <row r="596" spans="1:3">
      <c r="A596" s="22" t="s">
        <v>311</v>
      </c>
      <c r="B596" s="6">
        <v>2</v>
      </c>
      <c r="C596" s="6">
        <v>22.08</v>
      </c>
    </row>
    <row r="597" spans="1:3">
      <c r="A597" s="22" t="s">
        <v>326</v>
      </c>
      <c r="B597" s="6">
        <v>2</v>
      </c>
      <c r="C597" s="6">
        <v>22.08</v>
      </c>
    </row>
    <row r="598" spans="1:3">
      <c r="A598" s="22" t="s">
        <v>280</v>
      </c>
      <c r="B598" s="6">
        <v>2</v>
      </c>
      <c r="C598" s="6">
        <v>22.08</v>
      </c>
    </row>
    <row r="599" spans="1:3">
      <c r="A599" s="22" t="s">
        <v>275</v>
      </c>
      <c r="B599" s="6">
        <v>2</v>
      </c>
      <c r="C599" s="6">
        <v>22.08</v>
      </c>
    </row>
    <row r="600" spans="1:3">
      <c r="A600" s="22" t="s">
        <v>285</v>
      </c>
      <c r="B600" s="6">
        <v>2</v>
      </c>
      <c r="C600" s="6">
        <v>22.08</v>
      </c>
    </row>
    <row r="601" spans="1:3">
      <c r="A601" s="7" t="s">
        <v>134</v>
      </c>
      <c r="B601" s="6">
        <v>12</v>
      </c>
      <c r="C601" s="6">
        <v>57.599999999999994</v>
      </c>
    </row>
    <row r="602" spans="1:3">
      <c r="A602" s="8" t="s">
        <v>2</v>
      </c>
      <c r="B602" s="6">
        <v>12</v>
      </c>
      <c r="C602" s="6">
        <v>57.599999999999994</v>
      </c>
    </row>
    <row r="603" spans="1:3">
      <c r="A603" s="22" t="s">
        <v>311</v>
      </c>
      <c r="B603" s="6">
        <v>3</v>
      </c>
      <c r="C603" s="6">
        <v>14.399999999999999</v>
      </c>
    </row>
    <row r="604" spans="1:3">
      <c r="A604" s="22" t="s">
        <v>326</v>
      </c>
      <c r="B604" s="6">
        <v>3</v>
      </c>
      <c r="C604" s="6">
        <v>14.399999999999999</v>
      </c>
    </row>
    <row r="605" spans="1:3">
      <c r="A605" s="22" t="s">
        <v>327</v>
      </c>
      <c r="B605" s="6">
        <v>3</v>
      </c>
      <c r="C605" s="6">
        <v>14.399999999999999</v>
      </c>
    </row>
    <row r="606" spans="1:3">
      <c r="A606" s="22" t="s">
        <v>280</v>
      </c>
      <c r="B606" s="6">
        <v>3</v>
      </c>
      <c r="C606" s="6">
        <v>14.399999999999999</v>
      </c>
    </row>
    <row r="607" spans="1:3">
      <c r="A607" s="7" t="s">
        <v>2430</v>
      </c>
      <c r="B607" s="6">
        <v>14</v>
      </c>
      <c r="C607" s="6">
        <v>194.88</v>
      </c>
    </row>
    <row r="608" spans="1:3">
      <c r="A608" s="8" t="s">
        <v>2429</v>
      </c>
      <c r="B608" s="6">
        <v>14</v>
      </c>
      <c r="C608" s="6">
        <v>194.88</v>
      </c>
    </row>
    <row r="609" spans="1:3">
      <c r="A609" s="22" t="s">
        <v>312</v>
      </c>
      <c r="B609" s="6">
        <v>2</v>
      </c>
      <c r="C609" s="6">
        <v>27.84</v>
      </c>
    </row>
    <row r="610" spans="1:3">
      <c r="A610" s="22" t="s">
        <v>327</v>
      </c>
      <c r="B610" s="6">
        <v>2</v>
      </c>
      <c r="C610" s="6">
        <v>27.84</v>
      </c>
    </row>
    <row r="611" spans="1:3">
      <c r="A611" s="22" t="s">
        <v>280</v>
      </c>
      <c r="B611" s="6">
        <v>2</v>
      </c>
      <c r="C611" s="6">
        <v>27.84</v>
      </c>
    </row>
    <row r="612" spans="1:3">
      <c r="A612" s="22" t="s">
        <v>305</v>
      </c>
      <c r="B612" s="6">
        <v>2</v>
      </c>
      <c r="C612" s="6">
        <v>27.84</v>
      </c>
    </row>
    <row r="613" spans="1:3">
      <c r="A613" s="22" t="s">
        <v>286</v>
      </c>
      <c r="B613" s="6">
        <v>2</v>
      </c>
      <c r="C613" s="6">
        <v>27.84</v>
      </c>
    </row>
    <row r="614" spans="1:3">
      <c r="A614" s="22" t="s">
        <v>306</v>
      </c>
      <c r="B614" s="6">
        <v>2</v>
      </c>
      <c r="C614" s="6">
        <v>27.84</v>
      </c>
    </row>
    <row r="615" spans="1:3">
      <c r="A615" s="22" t="s">
        <v>302</v>
      </c>
      <c r="B615" s="6">
        <v>2</v>
      </c>
      <c r="C615" s="6">
        <v>27.84</v>
      </c>
    </row>
    <row r="616" spans="1:3">
      <c r="A616" s="7" t="s">
        <v>2419</v>
      </c>
      <c r="B616" s="6">
        <v>14</v>
      </c>
      <c r="C616" s="6">
        <v>166.32</v>
      </c>
    </row>
    <row r="617" spans="1:3">
      <c r="A617" s="8" t="s">
        <v>2418</v>
      </c>
      <c r="B617" s="6">
        <v>14</v>
      </c>
      <c r="C617" s="6">
        <v>166.32</v>
      </c>
    </row>
    <row r="618" spans="1:3">
      <c r="A618" s="22" t="s">
        <v>311</v>
      </c>
      <c r="B618" s="6">
        <v>3</v>
      </c>
      <c r="C618" s="6">
        <v>35.64</v>
      </c>
    </row>
    <row r="619" spans="1:3">
      <c r="A619" s="22" t="s">
        <v>321</v>
      </c>
      <c r="B619" s="6">
        <v>3</v>
      </c>
      <c r="C619" s="6">
        <v>35.64</v>
      </c>
    </row>
    <row r="620" spans="1:3">
      <c r="A620" s="22" t="s">
        <v>280</v>
      </c>
      <c r="B620" s="6">
        <v>2</v>
      </c>
      <c r="C620" s="6">
        <v>23.76</v>
      </c>
    </row>
    <row r="621" spans="1:3">
      <c r="A621" s="22" t="s">
        <v>305</v>
      </c>
      <c r="B621" s="6">
        <v>2</v>
      </c>
      <c r="C621" s="6">
        <v>23.76</v>
      </c>
    </row>
    <row r="622" spans="1:3">
      <c r="A622" s="22" t="s">
        <v>275</v>
      </c>
      <c r="B622" s="6">
        <v>2</v>
      </c>
      <c r="C622" s="6">
        <v>23.76</v>
      </c>
    </row>
    <row r="623" spans="1:3">
      <c r="A623" s="22" t="s">
        <v>286</v>
      </c>
      <c r="B623" s="6">
        <v>2</v>
      </c>
      <c r="C623" s="6">
        <v>23.76</v>
      </c>
    </row>
    <row r="624" spans="1:3">
      <c r="A624" s="7" t="s">
        <v>149</v>
      </c>
      <c r="B624" s="6">
        <v>18</v>
      </c>
      <c r="C624" s="6">
        <v>172.8</v>
      </c>
    </row>
    <row r="625" spans="1:3">
      <c r="A625" s="8" t="s">
        <v>20</v>
      </c>
      <c r="B625" s="6">
        <v>18</v>
      </c>
      <c r="C625" s="6">
        <v>172.8</v>
      </c>
    </row>
    <row r="626" spans="1:3">
      <c r="A626" s="22" t="s">
        <v>340</v>
      </c>
      <c r="B626" s="6">
        <v>8</v>
      </c>
      <c r="C626" s="6">
        <v>76.8</v>
      </c>
    </row>
    <row r="627" spans="1:3">
      <c r="A627" s="22" t="s">
        <v>280</v>
      </c>
      <c r="B627" s="6">
        <v>10</v>
      </c>
      <c r="C627" s="6">
        <v>96</v>
      </c>
    </row>
    <row r="628" spans="1:3">
      <c r="A628" s="7" t="s">
        <v>188</v>
      </c>
      <c r="B628" s="6">
        <v>6</v>
      </c>
      <c r="C628" s="6">
        <v>51.12</v>
      </c>
    </row>
    <row r="629" spans="1:3">
      <c r="A629" s="8" t="s">
        <v>56</v>
      </c>
      <c r="B629" s="6">
        <v>6</v>
      </c>
      <c r="C629" s="6">
        <v>51.12</v>
      </c>
    </row>
    <row r="630" spans="1:3">
      <c r="A630" s="22" t="s">
        <v>280</v>
      </c>
      <c r="B630" s="6">
        <v>3</v>
      </c>
      <c r="C630" s="6">
        <v>25.56</v>
      </c>
    </row>
    <row r="631" spans="1:3">
      <c r="A631" s="22" t="s">
        <v>273</v>
      </c>
      <c r="B631" s="6">
        <v>3</v>
      </c>
      <c r="C631" s="6">
        <v>25.56</v>
      </c>
    </row>
    <row r="632" spans="1:3">
      <c r="A632" s="7" t="s">
        <v>220</v>
      </c>
      <c r="B632" s="6">
        <v>3</v>
      </c>
      <c r="C632" s="6">
        <v>27</v>
      </c>
    </row>
    <row r="633" spans="1:3">
      <c r="A633" s="8" t="s">
        <v>89</v>
      </c>
      <c r="B633" s="6">
        <v>3</v>
      </c>
      <c r="C633" s="6">
        <v>27</v>
      </c>
    </row>
    <row r="634" spans="1:3">
      <c r="A634" s="22" t="s">
        <v>326</v>
      </c>
      <c r="B634" s="6">
        <v>3</v>
      </c>
      <c r="C634" s="6">
        <v>27</v>
      </c>
    </row>
    <row r="635" spans="1:3">
      <c r="A635" s="7" t="s">
        <v>133</v>
      </c>
      <c r="B635" s="6">
        <v>16</v>
      </c>
      <c r="C635" s="6">
        <v>203.52</v>
      </c>
    </row>
    <row r="636" spans="1:3">
      <c r="A636" s="8" t="s">
        <v>1</v>
      </c>
      <c r="B636" s="6">
        <v>16</v>
      </c>
      <c r="C636" s="6">
        <v>203.52</v>
      </c>
    </row>
    <row r="637" spans="1:3">
      <c r="A637" s="22" t="s">
        <v>325</v>
      </c>
      <c r="B637" s="6">
        <v>4</v>
      </c>
      <c r="C637" s="6">
        <v>50.88</v>
      </c>
    </row>
    <row r="638" spans="1:3">
      <c r="A638" s="22" t="s">
        <v>327</v>
      </c>
      <c r="B638" s="6">
        <v>4</v>
      </c>
      <c r="C638" s="6">
        <v>50.88</v>
      </c>
    </row>
    <row r="639" spans="1:3">
      <c r="A639" s="22" t="s">
        <v>280</v>
      </c>
      <c r="B639" s="6">
        <v>4</v>
      </c>
      <c r="C639" s="6">
        <v>50.88</v>
      </c>
    </row>
    <row r="640" spans="1:3">
      <c r="A640" s="22" t="s">
        <v>275</v>
      </c>
      <c r="B640" s="6">
        <v>4</v>
      </c>
      <c r="C640" s="6">
        <v>50.88</v>
      </c>
    </row>
    <row r="641" spans="1:3">
      <c r="A641" s="7" t="s">
        <v>144</v>
      </c>
      <c r="B641" s="6">
        <v>6</v>
      </c>
      <c r="C641" s="6">
        <v>54</v>
      </c>
    </row>
    <row r="642" spans="1:3">
      <c r="A642" s="8" t="s">
        <v>12</v>
      </c>
      <c r="B642" s="6">
        <v>6</v>
      </c>
      <c r="C642" s="6">
        <v>54</v>
      </c>
    </row>
    <row r="643" spans="1:3">
      <c r="A643" s="22" t="s">
        <v>311</v>
      </c>
      <c r="B643" s="6">
        <v>3</v>
      </c>
      <c r="C643" s="6">
        <v>27</v>
      </c>
    </row>
    <row r="644" spans="1:3">
      <c r="A644" s="22" t="s">
        <v>275</v>
      </c>
      <c r="B644" s="6">
        <v>3</v>
      </c>
      <c r="C644" s="6">
        <v>27</v>
      </c>
    </row>
    <row r="645" spans="1:3">
      <c r="A645" s="7" t="s">
        <v>213</v>
      </c>
      <c r="B645" s="6">
        <v>6</v>
      </c>
      <c r="C645" s="6">
        <v>50.400000000000006</v>
      </c>
    </row>
    <row r="646" spans="1:3">
      <c r="A646" s="8" t="s">
        <v>82</v>
      </c>
      <c r="B646" s="6">
        <v>6</v>
      </c>
      <c r="C646" s="6">
        <v>50.400000000000006</v>
      </c>
    </row>
    <row r="647" spans="1:3">
      <c r="A647" s="22" t="s">
        <v>311</v>
      </c>
      <c r="B647" s="6">
        <v>3</v>
      </c>
      <c r="C647" s="6">
        <v>25.200000000000003</v>
      </c>
    </row>
    <row r="648" spans="1:3">
      <c r="A648" s="22" t="s">
        <v>280</v>
      </c>
      <c r="B648" s="6">
        <v>3</v>
      </c>
      <c r="C648" s="6">
        <v>25.200000000000003</v>
      </c>
    </row>
    <row r="649" spans="1:3">
      <c r="A649" s="7" t="s">
        <v>214</v>
      </c>
      <c r="B649" s="6">
        <v>3</v>
      </c>
      <c r="C649" s="6">
        <v>25.200000000000003</v>
      </c>
    </row>
    <row r="650" spans="1:3">
      <c r="A650" s="8" t="s">
        <v>83</v>
      </c>
      <c r="B650" s="6">
        <v>3</v>
      </c>
      <c r="C650" s="6">
        <v>25.200000000000003</v>
      </c>
    </row>
    <row r="651" spans="1:3">
      <c r="A651" s="22" t="s">
        <v>327</v>
      </c>
      <c r="B651" s="6">
        <v>3</v>
      </c>
      <c r="C651" s="6">
        <v>25.200000000000003</v>
      </c>
    </row>
    <row r="652" spans="1:3">
      <c r="A652" s="7" t="s">
        <v>187</v>
      </c>
      <c r="B652" s="6">
        <v>6</v>
      </c>
      <c r="C652" s="6">
        <v>50.400000000000006</v>
      </c>
    </row>
    <row r="653" spans="1:3">
      <c r="A653" s="8" t="s">
        <v>55</v>
      </c>
      <c r="B653" s="6">
        <v>6</v>
      </c>
      <c r="C653" s="6">
        <v>50.400000000000006</v>
      </c>
    </row>
    <row r="654" spans="1:3">
      <c r="A654" s="22" t="s">
        <v>327</v>
      </c>
      <c r="B654" s="6">
        <v>3</v>
      </c>
      <c r="C654" s="6">
        <v>25.200000000000003</v>
      </c>
    </row>
    <row r="655" spans="1:3">
      <c r="A655" s="22" t="s">
        <v>280</v>
      </c>
      <c r="B655" s="6">
        <v>3</v>
      </c>
      <c r="C655" s="6">
        <v>25.200000000000003</v>
      </c>
    </row>
    <row r="656" spans="1:3">
      <c r="A656" s="7" t="s">
        <v>193</v>
      </c>
      <c r="B656" s="6">
        <v>3</v>
      </c>
      <c r="C656" s="6">
        <v>27</v>
      </c>
    </row>
    <row r="657" spans="1:3">
      <c r="A657" s="8" t="s">
        <v>61</v>
      </c>
      <c r="B657" s="6">
        <v>3</v>
      </c>
      <c r="C657" s="6">
        <v>27</v>
      </c>
    </row>
    <row r="658" spans="1:3">
      <c r="A658" s="22" t="s">
        <v>331</v>
      </c>
      <c r="B658" s="6">
        <v>3</v>
      </c>
      <c r="C658" s="6">
        <v>27</v>
      </c>
    </row>
    <row r="659" spans="1:3">
      <c r="A659" s="7" t="s">
        <v>146</v>
      </c>
      <c r="B659" s="6">
        <v>3</v>
      </c>
      <c r="C659" s="6">
        <v>25.200000000000003</v>
      </c>
    </row>
    <row r="660" spans="1:3">
      <c r="A660" s="8" t="s">
        <v>17</v>
      </c>
      <c r="B660" s="6">
        <v>3</v>
      </c>
      <c r="C660" s="6">
        <v>25.200000000000003</v>
      </c>
    </row>
    <row r="661" spans="1:3">
      <c r="A661" s="22" t="s">
        <v>326</v>
      </c>
      <c r="B661" s="6">
        <v>3</v>
      </c>
      <c r="C661" s="6">
        <v>25.200000000000003</v>
      </c>
    </row>
    <row r="662" spans="1:3">
      <c r="A662" s="7" t="s">
        <v>167</v>
      </c>
      <c r="B662" s="6">
        <v>30</v>
      </c>
      <c r="C662" s="6">
        <v>75.600000000000009</v>
      </c>
    </row>
    <row r="663" spans="1:3">
      <c r="A663" s="8" t="s">
        <v>35</v>
      </c>
      <c r="B663" s="6">
        <v>30</v>
      </c>
      <c r="C663" s="6">
        <v>75.600000000000009</v>
      </c>
    </row>
    <row r="664" spans="1:3">
      <c r="A664" s="22" t="s">
        <v>313</v>
      </c>
      <c r="B664" s="6">
        <v>6</v>
      </c>
      <c r="C664" s="6">
        <v>15.120000000000001</v>
      </c>
    </row>
    <row r="665" spans="1:3">
      <c r="A665" s="22" t="s">
        <v>345</v>
      </c>
      <c r="B665" s="6">
        <v>6</v>
      </c>
      <c r="C665" s="6">
        <v>15.120000000000001</v>
      </c>
    </row>
    <row r="666" spans="1:3">
      <c r="A666" s="22" t="s">
        <v>327</v>
      </c>
      <c r="B666" s="6">
        <v>6</v>
      </c>
      <c r="C666" s="6">
        <v>15.120000000000001</v>
      </c>
    </row>
    <row r="667" spans="1:3">
      <c r="A667" s="22" t="s">
        <v>280</v>
      </c>
      <c r="B667" s="6">
        <v>6</v>
      </c>
      <c r="C667" s="6">
        <v>15.120000000000001</v>
      </c>
    </row>
    <row r="668" spans="1:3">
      <c r="A668" s="22" t="s">
        <v>273</v>
      </c>
      <c r="B668" s="6">
        <v>6</v>
      </c>
      <c r="C668" s="6">
        <v>15.120000000000001</v>
      </c>
    </row>
    <row r="669" spans="1:3">
      <c r="A669" s="7" t="s">
        <v>156</v>
      </c>
      <c r="B669" s="6">
        <v>36</v>
      </c>
      <c r="C669" s="6">
        <v>69.12</v>
      </c>
    </row>
    <row r="670" spans="1:3">
      <c r="A670" s="8" t="s">
        <v>27</v>
      </c>
      <c r="B670" s="6">
        <v>36</v>
      </c>
      <c r="C670" s="6">
        <v>69.12</v>
      </c>
    </row>
    <row r="671" spans="1:3">
      <c r="A671" s="22" t="s">
        <v>313</v>
      </c>
      <c r="B671" s="6">
        <v>6</v>
      </c>
      <c r="C671" s="6">
        <v>11.52</v>
      </c>
    </row>
    <row r="672" spans="1:3">
      <c r="A672" s="22" t="s">
        <v>345</v>
      </c>
      <c r="B672" s="6">
        <v>6</v>
      </c>
      <c r="C672" s="6">
        <v>11.52</v>
      </c>
    </row>
    <row r="673" spans="1:3">
      <c r="A673" s="22" t="s">
        <v>280</v>
      </c>
      <c r="B673" s="6">
        <v>18</v>
      </c>
      <c r="C673" s="6">
        <v>34.56</v>
      </c>
    </row>
    <row r="674" spans="1:3">
      <c r="A674" s="22" t="s">
        <v>273</v>
      </c>
      <c r="B674" s="6">
        <v>6</v>
      </c>
      <c r="C674" s="6">
        <v>11.52</v>
      </c>
    </row>
    <row r="675" spans="1:3">
      <c r="A675" s="7" t="s">
        <v>2428</v>
      </c>
      <c r="B675" s="6">
        <v>9</v>
      </c>
      <c r="C675" s="6">
        <v>59.399999999999991</v>
      </c>
    </row>
    <row r="676" spans="1:3">
      <c r="A676" s="8" t="s">
        <v>2427</v>
      </c>
      <c r="B676" s="6">
        <v>9</v>
      </c>
      <c r="C676" s="6">
        <v>59.399999999999991</v>
      </c>
    </row>
    <row r="677" spans="1:3">
      <c r="A677" s="22" t="s">
        <v>311</v>
      </c>
      <c r="B677" s="6">
        <v>3</v>
      </c>
      <c r="C677" s="6">
        <v>19.799999999999997</v>
      </c>
    </row>
    <row r="678" spans="1:3">
      <c r="A678" s="22" t="s">
        <v>312</v>
      </c>
      <c r="B678" s="6">
        <v>3</v>
      </c>
      <c r="C678" s="6">
        <v>19.799999999999997</v>
      </c>
    </row>
    <row r="679" spans="1:3">
      <c r="A679" s="22" t="s">
        <v>326</v>
      </c>
      <c r="B679" s="6">
        <v>3</v>
      </c>
      <c r="C679" s="6">
        <v>19.799999999999997</v>
      </c>
    </row>
    <row r="680" spans="1:3">
      <c r="A680" s="7" t="s">
        <v>2456</v>
      </c>
      <c r="B680" s="6">
        <v>4</v>
      </c>
      <c r="C680" s="6">
        <v>72.48</v>
      </c>
    </row>
    <row r="681" spans="1:3">
      <c r="A681" s="8" t="s">
        <v>2455</v>
      </c>
      <c r="B681" s="6">
        <v>4</v>
      </c>
      <c r="C681" s="6">
        <v>72.48</v>
      </c>
    </row>
    <row r="682" spans="1:3">
      <c r="A682" s="22" t="s">
        <v>307</v>
      </c>
      <c r="B682" s="6">
        <v>4</v>
      </c>
      <c r="C682" s="6">
        <v>72.48</v>
      </c>
    </row>
    <row r="683" spans="1:3">
      <c r="A683" s="7" t="s">
        <v>2451</v>
      </c>
      <c r="B683" s="6">
        <v>4</v>
      </c>
      <c r="C683" s="6">
        <v>72.48</v>
      </c>
    </row>
    <row r="684" spans="1:3">
      <c r="A684" s="8" t="s">
        <v>2450</v>
      </c>
      <c r="B684" s="6">
        <v>4</v>
      </c>
      <c r="C684" s="6">
        <v>72.48</v>
      </c>
    </row>
    <row r="685" spans="1:3">
      <c r="A685" s="22" t="s">
        <v>309</v>
      </c>
      <c r="B685" s="6">
        <v>4</v>
      </c>
      <c r="C685" s="6">
        <v>72.48</v>
      </c>
    </row>
    <row r="686" spans="1:3">
      <c r="A686" s="7" t="s">
        <v>2415</v>
      </c>
      <c r="B686" s="6">
        <v>6</v>
      </c>
      <c r="C686" s="6">
        <v>115.92</v>
      </c>
    </row>
    <row r="687" spans="1:3">
      <c r="A687" s="8" t="s">
        <v>2414</v>
      </c>
      <c r="B687" s="6">
        <v>6</v>
      </c>
      <c r="C687" s="6">
        <v>115.92</v>
      </c>
    </row>
    <row r="688" spans="1:3">
      <c r="A688" s="22" t="s">
        <v>311</v>
      </c>
      <c r="B688" s="6">
        <v>3</v>
      </c>
      <c r="C688" s="6">
        <v>57.96</v>
      </c>
    </row>
    <row r="689" spans="1:3">
      <c r="A689" s="22" t="s">
        <v>321</v>
      </c>
      <c r="B689" s="6">
        <v>3</v>
      </c>
      <c r="C689" s="6">
        <v>57.96</v>
      </c>
    </row>
    <row r="690" spans="1:3">
      <c r="A690" s="7" t="s">
        <v>2442</v>
      </c>
      <c r="B690" s="6">
        <v>4</v>
      </c>
      <c r="C690" s="6">
        <v>53.76</v>
      </c>
    </row>
    <row r="691" spans="1:3">
      <c r="A691" s="8" t="s">
        <v>2441</v>
      </c>
      <c r="B691" s="6">
        <v>4</v>
      </c>
      <c r="C691" s="6">
        <v>53.76</v>
      </c>
    </row>
    <row r="692" spans="1:3">
      <c r="A692" s="22" t="s">
        <v>327</v>
      </c>
      <c r="B692" s="6">
        <v>2</v>
      </c>
      <c r="C692" s="6">
        <v>26.88</v>
      </c>
    </row>
    <row r="693" spans="1:3">
      <c r="A693" s="22" t="s">
        <v>280</v>
      </c>
      <c r="B693" s="6">
        <v>2</v>
      </c>
      <c r="C693" s="6">
        <v>26.88</v>
      </c>
    </row>
    <row r="694" spans="1:3">
      <c r="A694" s="7" t="s">
        <v>2480</v>
      </c>
      <c r="B694" s="6">
        <v>4</v>
      </c>
      <c r="C694" s="6">
        <v>47.52</v>
      </c>
    </row>
    <row r="695" spans="1:3">
      <c r="A695" s="8" t="s">
        <v>2479</v>
      </c>
      <c r="B695" s="6">
        <v>4</v>
      </c>
      <c r="C695" s="6">
        <v>47.52</v>
      </c>
    </row>
    <row r="696" spans="1:3">
      <c r="A696" s="22" t="s">
        <v>275</v>
      </c>
      <c r="B696" s="6">
        <v>4</v>
      </c>
      <c r="C696" s="6">
        <v>47.52</v>
      </c>
    </row>
    <row r="697" spans="1:3">
      <c r="A697" s="7" t="s">
        <v>2417</v>
      </c>
      <c r="B697" s="6">
        <v>6</v>
      </c>
      <c r="C697" s="6">
        <v>46.8</v>
      </c>
    </row>
    <row r="698" spans="1:3">
      <c r="A698" s="8" t="s">
        <v>2416</v>
      </c>
      <c r="B698" s="6">
        <v>6</v>
      </c>
      <c r="C698" s="6">
        <v>46.8</v>
      </c>
    </row>
    <row r="699" spans="1:3">
      <c r="A699" s="22" t="s">
        <v>340</v>
      </c>
      <c r="B699" s="6">
        <v>3</v>
      </c>
      <c r="C699" s="6">
        <v>23.4</v>
      </c>
    </row>
    <row r="700" spans="1:3">
      <c r="A700" s="22" t="s">
        <v>280</v>
      </c>
      <c r="B700" s="6">
        <v>3</v>
      </c>
      <c r="C700" s="6">
        <v>23.4</v>
      </c>
    </row>
    <row r="701" spans="1:3">
      <c r="A701" s="7" t="s">
        <v>2470</v>
      </c>
      <c r="B701" s="6">
        <v>3</v>
      </c>
      <c r="C701" s="6">
        <v>37.799999999999997</v>
      </c>
    </row>
    <row r="702" spans="1:3">
      <c r="A702" s="8" t="s">
        <v>2469</v>
      </c>
      <c r="B702" s="6">
        <v>3</v>
      </c>
      <c r="C702" s="6">
        <v>37.799999999999997</v>
      </c>
    </row>
    <row r="703" spans="1:3">
      <c r="A703" s="22" t="s">
        <v>319</v>
      </c>
      <c r="B703" s="6">
        <v>3</v>
      </c>
      <c r="C703" s="6">
        <v>37.799999999999997</v>
      </c>
    </row>
    <row r="704" spans="1:3">
      <c r="A704" s="7" t="s">
        <v>2440</v>
      </c>
      <c r="B704" s="6">
        <v>4</v>
      </c>
      <c r="C704" s="6">
        <v>43.2</v>
      </c>
    </row>
    <row r="705" spans="1:3">
      <c r="A705" s="8" t="s">
        <v>2439</v>
      </c>
      <c r="B705" s="6">
        <v>4</v>
      </c>
      <c r="C705" s="6">
        <v>43.2</v>
      </c>
    </row>
    <row r="706" spans="1:3">
      <c r="A706" s="22" t="s">
        <v>310</v>
      </c>
      <c r="B706" s="6">
        <v>4</v>
      </c>
      <c r="C706" s="6">
        <v>43.2</v>
      </c>
    </row>
    <row r="707" spans="1:3">
      <c r="A707" s="7" t="s">
        <v>2449</v>
      </c>
      <c r="B707" s="6">
        <v>4</v>
      </c>
      <c r="C707" s="6">
        <v>57.6</v>
      </c>
    </row>
    <row r="708" spans="1:3">
      <c r="A708" s="8" t="s">
        <v>2448</v>
      </c>
      <c r="B708" s="6">
        <v>4</v>
      </c>
      <c r="C708" s="6">
        <v>57.6</v>
      </c>
    </row>
    <row r="709" spans="1:3">
      <c r="A709" s="22" t="s">
        <v>275</v>
      </c>
      <c r="B709" s="6">
        <v>4</v>
      </c>
      <c r="C709" s="6">
        <v>57.6</v>
      </c>
    </row>
    <row r="710" spans="1:3">
      <c r="A710" s="7" t="s">
        <v>145</v>
      </c>
      <c r="B710" s="6">
        <v>2</v>
      </c>
      <c r="C710" s="6">
        <v>31.2</v>
      </c>
    </row>
    <row r="711" spans="1:3">
      <c r="A711" s="8" t="s">
        <v>16</v>
      </c>
      <c r="B711" s="6">
        <v>2</v>
      </c>
      <c r="C711" s="6">
        <v>31.2</v>
      </c>
    </row>
    <row r="712" spans="1:3">
      <c r="A712" s="22" t="s">
        <v>281</v>
      </c>
      <c r="B712" s="6">
        <v>2</v>
      </c>
      <c r="C712" s="6">
        <v>31.2</v>
      </c>
    </row>
    <row r="713" spans="1:3">
      <c r="A713" s="7" t="s">
        <v>162</v>
      </c>
      <c r="B713" s="6">
        <v>6</v>
      </c>
      <c r="C713" s="6">
        <v>58.679999999999993</v>
      </c>
    </row>
    <row r="714" spans="1:3">
      <c r="A714" s="8" t="s">
        <v>15</v>
      </c>
      <c r="B714" s="6">
        <v>6</v>
      </c>
      <c r="C714" s="6">
        <v>58.679999999999993</v>
      </c>
    </row>
    <row r="715" spans="1:3">
      <c r="A715" s="22" t="s">
        <v>311</v>
      </c>
      <c r="B715" s="6">
        <v>2</v>
      </c>
      <c r="C715" s="6">
        <v>19.559999999999999</v>
      </c>
    </row>
    <row r="716" spans="1:3">
      <c r="A716" s="22" t="s">
        <v>326</v>
      </c>
      <c r="B716" s="6">
        <v>2</v>
      </c>
      <c r="C716" s="6">
        <v>19.559999999999999</v>
      </c>
    </row>
    <row r="717" spans="1:3">
      <c r="A717" s="22" t="s">
        <v>327</v>
      </c>
      <c r="B717" s="6">
        <v>2</v>
      </c>
      <c r="C717" s="6">
        <v>19.559999999999999</v>
      </c>
    </row>
    <row r="718" spans="1:3">
      <c r="A718" s="7" t="s">
        <v>2426</v>
      </c>
      <c r="B718" s="6">
        <v>6</v>
      </c>
      <c r="C718" s="6">
        <v>76.320000000000007</v>
      </c>
    </row>
    <row r="719" spans="1:3">
      <c r="A719" s="8" t="s">
        <v>2425</v>
      </c>
      <c r="B719" s="6">
        <v>6</v>
      </c>
      <c r="C719" s="6">
        <v>76.320000000000007</v>
      </c>
    </row>
    <row r="720" spans="1:3">
      <c r="A720" s="22" t="s">
        <v>308</v>
      </c>
      <c r="B720" s="6">
        <v>2</v>
      </c>
      <c r="C720" s="6">
        <v>25.44</v>
      </c>
    </row>
    <row r="721" spans="1:3">
      <c r="A721" s="22" t="s">
        <v>327</v>
      </c>
      <c r="B721" s="6">
        <v>2</v>
      </c>
      <c r="C721" s="6">
        <v>25.44</v>
      </c>
    </row>
    <row r="722" spans="1:3">
      <c r="A722" s="22" t="s">
        <v>275</v>
      </c>
      <c r="B722" s="6">
        <v>2</v>
      </c>
      <c r="C722" s="6">
        <v>25.44</v>
      </c>
    </row>
    <row r="723" spans="1:3">
      <c r="A723" s="7" t="s">
        <v>2482</v>
      </c>
      <c r="B723" s="6">
        <v>4</v>
      </c>
      <c r="C723" s="6">
        <v>43.2</v>
      </c>
    </row>
    <row r="724" spans="1:3">
      <c r="A724" s="8" t="s">
        <v>2481</v>
      </c>
      <c r="B724" s="6">
        <v>4</v>
      </c>
      <c r="C724" s="6">
        <v>43.2</v>
      </c>
    </row>
    <row r="725" spans="1:3">
      <c r="A725" s="22" t="s">
        <v>280</v>
      </c>
      <c r="B725" s="6">
        <v>2</v>
      </c>
      <c r="C725" s="6">
        <v>21.6</v>
      </c>
    </row>
    <row r="726" spans="1:3">
      <c r="A726" s="22" t="s">
        <v>273</v>
      </c>
      <c r="B726" s="6">
        <v>2</v>
      </c>
      <c r="C726" s="6">
        <v>21.6</v>
      </c>
    </row>
    <row r="727" spans="1:3">
      <c r="A727" s="7" t="s">
        <v>2438</v>
      </c>
      <c r="B727" s="6">
        <v>2</v>
      </c>
      <c r="C727" s="6">
        <v>26.88</v>
      </c>
    </row>
    <row r="728" spans="1:3">
      <c r="A728" s="8" t="s">
        <v>2437</v>
      </c>
      <c r="B728" s="6">
        <v>2</v>
      </c>
      <c r="C728" s="6">
        <v>26.88</v>
      </c>
    </row>
    <row r="729" spans="1:3">
      <c r="A729" s="22" t="s">
        <v>310</v>
      </c>
      <c r="B729" s="6">
        <v>2</v>
      </c>
      <c r="C729" s="6">
        <v>26.88</v>
      </c>
    </row>
    <row r="730" spans="1:3">
      <c r="A730" s="7" t="s">
        <v>2474</v>
      </c>
      <c r="B730" s="6">
        <v>2</v>
      </c>
      <c r="C730" s="6">
        <v>26.88</v>
      </c>
    </row>
    <row r="731" spans="1:3">
      <c r="A731" s="8" t="s">
        <v>2473</v>
      </c>
      <c r="B731" s="6">
        <v>2</v>
      </c>
      <c r="C731" s="6">
        <v>26.88</v>
      </c>
    </row>
    <row r="732" spans="1:3">
      <c r="A732" s="22" t="s">
        <v>313</v>
      </c>
      <c r="B732" s="6">
        <v>2</v>
      </c>
      <c r="C732" s="6">
        <v>26.88</v>
      </c>
    </row>
    <row r="733" spans="1:3">
      <c r="A733" s="7" t="s">
        <v>256</v>
      </c>
      <c r="B733" s="6">
        <v>2</v>
      </c>
      <c r="C733" s="6">
        <v>21.6</v>
      </c>
    </row>
    <row r="734" spans="1:3">
      <c r="A734" s="8" t="s">
        <v>125</v>
      </c>
      <c r="B734" s="6">
        <v>2</v>
      </c>
      <c r="C734" s="6">
        <v>21.6</v>
      </c>
    </row>
    <row r="735" spans="1:3">
      <c r="A735" s="22" t="s">
        <v>273</v>
      </c>
      <c r="B735" s="6">
        <v>2</v>
      </c>
      <c r="C735" s="6">
        <v>21.6</v>
      </c>
    </row>
    <row r="736" spans="1:3">
      <c r="A736" s="7" t="s">
        <v>132</v>
      </c>
      <c r="B736" s="6">
        <v>8</v>
      </c>
      <c r="C736" s="6">
        <v>62.4</v>
      </c>
    </row>
    <row r="737" spans="1:3">
      <c r="A737" s="8" t="s">
        <v>0</v>
      </c>
      <c r="B737" s="6">
        <v>8</v>
      </c>
      <c r="C737" s="6">
        <v>62.4</v>
      </c>
    </row>
    <row r="738" spans="1:3">
      <c r="A738" s="22" t="s">
        <v>311</v>
      </c>
      <c r="B738" s="6">
        <v>3</v>
      </c>
      <c r="C738" s="6">
        <v>23.4</v>
      </c>
    </row>
    <row r="739" spans="1:3">
      <c r="A739" s="22" t="s">
        <v>326</v>
      </c>
      <c r="B739" s="6">
        <v>3</v>
      </c>
      <c r="C739" s="6">
        <v>23.4</v>
      </c>
    </row>
    <row r="740" spans="1:3">
      <c r="A740" s="22" t="s">
        <v>327</v>
      </c>
      <c r="B740" s="6">
        <v>2</v>
      </c>
      <c r="C740" s="6">
        <v>15.6</v>
      </c>
    </row>
    <row r="741" spans="1:3">
      <c r="A741" s="7" t="s">
        <v>190</v>
      </c>
      <c r="B741" s="6">
        <v>4</v>
      </c>
      <c r="C741" s="6">
        <v>43.2</v>
      </c>
    </row>
    <row r="742" spans="1:3">
      <c r="A742" s="8" t="s">
        <v>58</v>
      </c>
      <c r="B742" s="6">
        <v>4</v>
      </c>
      <c r="C742" s="6">
        <v>43.2</v>
      </c>
    </row>
    <row r="743" spans="1:3">
      <c r="A743" s="22" t="s">
        <v>327</v>
      </c>
      <c r="B743" s="6">
        <v>2</v>
      </c>
      <c r="C743" s="6">
        <v>21.6</v>
      </c>
    </row>
    <row r="744" spans="1:3">
      <c r="A744" s="22" t="s">
        <v>275</v>
      </c>
      <c r="B744" s="6">
        <v>2</v>
      </c>
      <c r="C744" s="6">
        <v>21.6</v>
      </c>
    </row>
    <row r="745" spans="1:3">
      <c r="A745" s="7" t="s">
        <v>2466</v>
      </c>
      <c r="B745" s="6">
        <v>6</v>
      </c>
      <c r="C745" s="6">
        <v>64.800000000000011</v>
      </c>
    </row>
    <row r="746" spans="1:3">
      <c r="A746" s="8" t="s">
        <v>2465</v>
      </c>
      <c r="B746" s="6">
        <v>6</v>
      </c>
      <c r="C746" s="6">
        <v>64.800000000000011</v>
      </c>
    </row>
    <row r="747" spans="1:3">
      <c r="A747" s="22" t="s">
        <v>313</v>
      </c>
      <c r="B747" s="6">
        <v>2</v>
      </c>
      <c r="C747" s="6">
        <v>21.6</v>
      </c>
    </row>
    <row r="748" spans="1:3">
      <c r="A748" s="22" t="s">
        <v>327</v>
      </c>
      <c r="B748" s="6">
        <v>2</v>
      </c>
      <c r="C748" s="6">
        <v>21.6</v>
      </c>
    </row>
    <row r="749" spans="1:3">
      <c r="A749" s="22" t="s">
        <v>280</v>
      </c>
      <c r="B749" s="6">
        <v>2</v>
      </c>
      <c r="C749" s="6">
        <v>21.6</v>
      </c>
    </row>
    <row r="750" spans="1:3">
      <c r="A750" s="7" t="s">
        <v>250</v>
      </c>
      <c r="B750" s="6">
        <v>4</v>
      </c>
      <c r="C750" s="6">
        <v>43.2</v>
      </c>
    </row>
    <row r="751" spans="1:3">
      <c r="A751" s="8" t="s">
        <v>119</v>
      </c>
      <c r="B751" s="6">
        <v>4</v>
      </c>
      <c r="C751" s="6">
        <v>43.2</v>
      </c>
    </row>
    <row r="752" spans="1:3">
      <c r="A752" s="22" t="s">
        <v>313</v>
      </c>
      <c r="B752" s="6">
        <v>2</v>
      </c>
      <c r="C752" s="6">
        <v>21.6</v>
      </c>
    </row>
    <row r="753" spans="1:3">
      <c r="A753" s="22" t="s">
        <v>327</v>
      </c>
      <c r="B753" s="6">
        <v>2</v>
      </c>
      <c r="C753" s="6">
        <v>21.6</v>
      </c>
    </row>
    <row r="754" spans="1:3">
      <c r="A754" s="7" t="s">
        <v>245</v>
      </c>
      <c r="B754" s="6">
        <v>2</v>
      </c>
      <c r="C754" s="6">
        <v>25.44</v>
      </c>
    </row>
    <row r="755" spans="1:3">
      <c r="A755" s="8" t="s">
        <v>114</v>
      </c>
      <c r="B755" s="6">
        <v>2</v>
      </c>
      <c r="C755" s="6">
        <v>25.44</v>
      </c>
    </row>
    <row r="756" spans="1:3">
      <c r="A756" s="22" t="s">
        <v>280</v>
      </c>
      <c r="B756" s="6">
        <v>2</v>
      </c>
      <c r="C756" s="6">
        <v>25.44</v>
      </c>
    </row>
    <row r="757" spans="1:3">
      <c r="A757" s="7" t="s">
        <v>2434</v>
      </c>
      <c r="B757" s="6">
        <v>4</v>
      </c>
      <c r="C757" s="6">
        <v>50.88</v>
      </c>
    </row>
    <row r="758" spans="1:3">
      <c r="A758" s="8" t="s">
        <v>2433</v>
      </c>
      <c r="B758" s="6">
        <v>4</v>
      </c>
      <c r="C758" s="6">
        <v>50.88</v>
      </c>
    </row>
    <row r="759" spans="1:3">
      <c r="A759" s="22" t="s">
        <v>313</v>
      </c>
      <c r="B759" s="6">
        <v>2</v>
      </c>
      <c r="C759" s="6">
        <v>25.44</v>
      </c>
    </row>
    <row r="760" spans="1:3">
      <c r="A760" s="22" t="s">
        <v>325</v>
      </c>
      <c r="B760" s="6">
        <v>2</v>
      </c>
      <c r="C760" s="6">
        <v>25.44</v>
      </c>
    </row>
    <row r="761" spans="1:3">
      <c r="A761" s="7" t="s">
        <v>173</v>
      </c>
      <c r="B761" s="6">
        <v>2</v>
      </c>
      <c r="C761" s="6">
        <v>19.440000000000001</v>
      </c>
    </row>
    <row r="762" spans="1:3">
      <c r="A762" s="8" t="s">
        <v>41</v>
      </c>
      <c r="B762" s="6">
        <v>2</v>
      </c>
      <c r="C762" s="6">
        <v>19.440000000000001</v>
      </c>
    </row>
    <row r="763" spans="1:3">
      <c r="A763" s="22" t="s">
        <v>273</v>
      </c>
      <c r="B763" s="6">
        <v>2</v>
      </c>
      <c r="C763" s="6">
        <v>19.440000000000001</v>
      </c>
    </row>
    <row r="764" spans="1:3">
      <c r="A764" s="7" t="s">
        <v>181</v>
      </c>
      <c r="B764" s="6">
        <v>9</v>
      </c>
      <c r="C764" s="6">
        <v>63.720000000000006</v>
      </c>
    </row>
    <row r="765" spans="1:3">
      <c r="A765" s="8" t="s">
        <v>49</v>
      </c>
      <c r="B765" s="6">
        <v>9</v>
      </c>
      <c r="C765" s="6">
        <v>63.720000000000006</v>
      </c>
    </row>
    <row r="766" spans="1:3">
      <c r="A766" s="22" t="s">
        <v>311</v>
      </c>
      <c r="B766" s="6">
        <v>3</v>
      </c>
      <c r="C766" s="6">
        <v>21.240000000000002</v>
      </c>
    </row>
    <row r="767" spans="1:3">
      <c r="A767" s="22" t="s">
        <v>326</v>
      </c>
      <c r="B767" s="6">
        <v>3</v>
      </c>
      <c r="C767" s="6">
        <v>21.240000000000002</v>
      </c>
    </row>
    <row r="768" spans="1:3">
      <c r="A768" s="22" t="s">
        <v>327</v>
      </c>
      <c r="B768" s="6">
        <v>3</v>
      </c>
      <c r="C768" s="6">
        <v>21.240000000000002</v>
      </c>
    </row>
    <row r="769" spans="1:3">
      <c r="A769" s="7" t="s">
        <v>160</v>
      </c>
      <c r="B769" s="6">
        <v>4</v>
      </c>
      <c r="C769" s="6">
        <v>38.880000000000003</v>
      </c>
    </row>
    <row r="770" spans="1:3">
      <c r="A770" s="8" t="s">
        <v>13</v>
      </c>
      <c r="B770" s="6">
        <v>4</v>
      </c>
      <c r="C770" s="6">
        <v>38.880000000000003</v>
      </c>
    </row>
    <row r="771" spans="1:3">
      <c r="A771" s="22" t="s">
        <v>327</v>
      </c>
      <c r="B771" s="6">
        <v>2</v>
      </c>
      <c r="C771" s="6">
        <v>19.440000000000001</v>
      </c>
    </row>
    <row r="772" spans="1:3">
      <c r="A772" s="22" t="s">
        <v>275</v>
      </c>
      <c r="B772" s="6">
        <v>2</v>
      </c>
      <c r="C772" s="6">
        <v>19.440000000000001</v>
      </c>
    </row>
    <row r="773" spans="1:3">
      <c r="A773" s="7" t="s">
        <v>2447</v>
      </c>
      <c r="B773" s="6">
        <v>6</v>
      </c>
      <c r="C773" s="6">
        <v>64.800000000000011</v>
      </c>
    </row>
    <row r="774" spans="1:3">
      <c r="A774" s="8" t="s">
        <v>2446</v>
      </c>
      <c r="B774" s="6">
        <v>6</v>
      </c>
      <c r="C774" s="6">
        <v>64.800000000000011</v>
      </c>
    </row>
    <row r="775" spans="1:3">
      <c r="A775" s="22" t="s">
        <v>313</v>
      </c>
      <c r="B775" s="6">
        <v>2</v>
      </c>
      <c r="C775" s="6">
        <v>21.6</v>
      </c>
    </row>
    <row r="776" spans="1:3">
      <c r="A776" s="22" t="s">
        <v>327</v>
      </c>
      <c r="B776" s="6">
        <v>2</v>
      </c>
      <c r="C776" s="6">
        <v>21.6</v>
      </c>
    </row>
    <row r="777" spans="1:3">
      <c r="A777" s="22" t="s">
        <v>280</v>
      </c>
      <c r="B777" s="6">
        <v>2</v>
      </c>
      <c r="C777" s="6">
        <v>21.6</v>
      </c>
    </row>
    <row r="778" spans="1:3">
      <c r="A778" s="7" t="s">
        <v>200</v>
      </c>
      <c r="B778" s="6">
        <v>4</v>
      </c>
      <c r="C778" s="6">
        <v>43.2</v>
      </c>
    </row>
    <row r="779" spans="1:3">
      <c r="A779" s="8" t="s">
        <v>68</v>
      </c>
      <c r="B779" s="6">
        <v>4</v>
      </c>
      <c r="C779" s="6">
        <v>43.2</v>
      </c>
    </row>
    <row r="780" spans="1:3">
      <c r="A780" s="22" t="s">
        <v>313</v>
      </c>
      <c r="B780" s="6">
        <v>2</v>
      </c>
      <c r="C780" s="6">
        <v>21.6</v>
      </c>
    </row>
    <row r="781" spans="1:3">
      <c r="A781" s="22" t="s">
        <v>327</v>
      </c>
      <c r="B781" s="6">
        <v>2</v>
      </c>
      <c r="C781" s="6">
        <v>21.6</v>
      </c>
    </row>
    <row r="782" spans="1:3">
      <c r="A782" s="7" t="s">
        <v>232</v>
      </c>
      <c r="B782" s="6">
        <v>2</v>
      </c>
      <c r="C782" s="6">
        <v>25.44</v>
      </c>
    </row>
    <row r="783" spans="1:3">
      <c r="A783" s="8" t="s">
        <v>101</v>
      </c>
      <c r="B783" s="6">
        <v>2</v>
      </c>
      <c r="C783" s="6">
        <v>25.44</v>
      </c>
    </row>
    <row r="784" spans="1:3">
      <c r="A784" s="22" t="s">
        <v>280</v>
      </c>
      <c r="B784" s="6">
        <v>2</v>
      </c>
      <c r="C784" s="6">
        <v>25.44</v>
      </c>
    </row>
    <row r="785" spans="1:3">
      <c r="A785" s="7" t="s">
        <v>137</v>
      </c>
      <c r="B785" s="6">
        <v>6</v>
      </c>
      <c r="C785" s="6">
        <v>56.16</v>
      </c>
    </row>
    <row r="786" spans="1:3">
      <c r="A786" s="8" t="s">
        <v>5</v>
      </c>
      <c r="B786" s="6">
        <v>6</v>
      </c>
      <c r="C786" s="6">
        <v>56.16</v>
      </c>
    </row>
    <row r="787" spans="1:3">
      <c r="A787" s="22" t="s">
        <v>311</v>
      </c>
      <c r="B787" s="6">
        <v>2</v>
      </c>
      <c r="C787" s="6">
        <v>18.72</v>
      </c>
    </row>
    <row r="788" spans="1:3">
      <c r="A788" s="22" t="s">
        <v>326</v>
      </c>
      <c r="B788" s="6">
        <v>2</v>
      </c>
      <c r="C788" s="6">
        <v>18.72</v>
      </c>
    </row>
    <row r="789" spans="1:3">
      <c r="A789" s="22" t="s">
        <v>327</v>
      </c>
      <c r="B789" s="6">
        <v>2</v>
      </c>
      <c r="C789" s="6">
        <v>18.72</v>
      </c>
    </row>
    <row r="790" spans="1:3">
      <c r="A790" s="7" t="s">
        <v>161</v>
      </c>
      <c r="B790" s="6">
        <v>4</v>
      </c>
      <c r="C790" s="6">
        <v>57.6</v>
      </c>
    </row>
    <row r="791" spans="1:3">
      <c r="A791" s="8" t="s">
        <v>14</v>
      </c>
      <c r="B791" s="6">
        <v>4</v>
      </c>
      <c r="C791" s="6">
        <v>57.6</v>
      </c>
    </row>
    <row r="792" spans="1:3">
      <c r="A792" s="22" t="s">
        <v>327</v>
      </c>
      <c r="B792" s="6">
        <v>2</v>
      </c>
      <c r="C792" s="6">
        <v>28.8</v>
      </c>
    </row>
    <row r="793" spans="1:3">
      <c r="A793" s="22" t="s">
        <v>275</v>
      </c>
      <c r="B793" s="6">
        <v>2</v>
      </c>
      <c r="C793" s="6">
        <v>28.8</v>
      </c>
    </row>
    <row r="794" spans="1:3">
      <c r="A794" s="7" t="s">
        <v>247</v>
      </c>
      <c r="B794" s="6">
        <v>2</v>
      </c>
      <c r="C794" s="6">
        <v>31.2</v>
      </c>
    </row>
    <row r="795" spans="1:3">
      <c r="A795" s="8" t="s">
        <v>116</v>
      </c>
      <c r="B795" s="6">
        <v>2</v>
      </c>
      <c r="C795" s="6">
        <v>31.2</v>
      </c>
    </row>
    <row r="796" spans="1:3">
      <c r="A796" s="22" t="s">
        <v>280</v>
      </c>
      <c r="B796" s="6">
        <v>2</v>
      </c>
      <c r="C796" s="6">
        <v>31.2</v>
      </c>
    </row>
    <row r="797" spans="1:3">
      <c r="A797" s="7" t="s">
        <v>194</v>
      </c>
      <c r="B797" s="6">
        <v>2</v>
      </c>
      <c r="C797" s="6">
        <v>25.44</v>
      </c>
    </row>
    <row r="798" spans="1:3">
      <c r="A798" s="8" t="s">
        <v>62</v>
      </c>
      <c r="B798" s="6">
        <v>2</v>
      </c>
      <c r="C798" s="6">
        <v>25.44</v>
      </c>
    </row>
    <row r="799" spans="1:3">
      <c r="A799" s="22" t="s">
        <v>273</v>
      </c>
      <c r="B799" s="6">
        <v>2</v>
      </c>
      <c r="C799" s="6">
        <v>25.44</v>
      </c>
    </row>
    <row r="800" spans="1:3">
      <c r="A800" s="7" t="s">
        <v>163</v>
      </c>
      <c r="B800" s="6">
        <v>6</v>
      </c>
      <c r="C800" s="6">
        <v>64.800000000000011</v>
      </c>
    </row>
    <row r="801" spans="1:3">
      <c r="A801" s="8" t="s">
        <v>31</v>
      </c>
      <c r="B801" s="6">
        <v>6</v>
      </c>
      <c r="C801" s="6">
        <v>64.800000000000011</v>
      </c>
    </row>
    <row r="802" spans="1:3">
      <c r="A802" s="22" t="s">
        <v>311</v>
      </c>
      <c r="B802" s="6">
        <v>2</v>
      </c>
      <c r="C802" s="6">
        <v>21.6</v>
      </c>
    </row>
    <row r="803" spans="1:3">
      <c r="A803" s="22" t="s">
        <v>326</v>
      </c>
      <c r="B803" s="6">
        <v>2</v>
      </c>
      <c r="C803" s="6">
        <v>21.6</v>
      </c>
    </row>
    <row r="804" spans="1:3">
      <c r="A804" s="22" t="s">
        <v>327</v>
      </c>
      <c r="B804" s="6">
        <v>2</v>
      </c>
      <c r="C804" s="6">
        <v>21.6</v>
      </c>
    </row>
    <row r="805" spans="1:3">
      <c r="A805" s="7" t="s">
        <v>184</v>
      </c>
      <c r="B805" s="6">
        <v>6</v>
      </c>
      <c r="C805" s="6">
        <v>68.400000000000006</v>
      </c>
    </row>
    <row r="806" spans="1:3">
      <c r="A806" s="8" t="s">
        <v>52</v>
      </c>
      <c r="B806" s="6">
        <v>6</v>
      </c>
      <c r="C806" s="6">
        <v>68.400000000000006</v>
      </c>
    </row>
    <row r="807" spans="1:3">
      <c r="A807" s="22" t="s">
        <v>280</v>
      </c>
      <c r="B807" s="6">
        <v>2</v>
      </c>
      <c r="C807" s="6">
        <v>22.8</v>
      </c>
    </row>
    <row r="808" spans="1:3">
      <c r="A808" s="22" t="s">
        <v>286</v>
      </c>
      <c r="B808" s="6">
        <v>2</v>
      </c>
      <c r="C808" s="6">
        <v>22.8</v>
      </c>
    </row>
    <row r="809" spans="1:3">
      <c r="A809" s="22" t="s">
        <v>273</v>
      </c>
      <c r="B809" s="6">
        <v>2</v>
      </c>
      <c r="C809" s="6">
        <v>22.8</v>
      </c>
    </row>
    <row r="810" spans="1:3">
      <c r="A810" s="7" t="s">
        <v>202</v>
      </c>
      <c r="B810" s="6">
        <v>6</v>
      </c>
      <c r="C810" s="6">
        <v>71.28</v>
      </c>
    </row>
    <row r="811" spans="1:3">
      <c r="A811" s="8" t="s">
        <v>70</v>
      </c>
      <c r="B811" s="6">
        <v>6</v>
      </c>
      <c r="C811" s="6">
        <v>71.28</v>
      </c>
    </row>
    <row r="812" spans="1:3">
      <c r="A812" s="22" t="s">
        <v>313</v>
      </c>
      <c r="B812" s="6">
        <v>2</v>
      </c>
      <c r="C812" s="6">
        <v>23.76</v>
      </c>
    </row>
    <row r="813" spans="1:3">
      <c r="A813" s="22" t="s">
        <v>327</v>
      </c>
      <c r="B813" s="6">
        <v>2</v>
      </c>
      <c r="C813" s="6">
        <v>23.76</v>
      </c>
    </row>
    <row r="814" spans="1:3">
      <c r="A814" s="22" t="s">
        <v>280</v>
      </c>
      <c r="B814" s="6">
        <v>2</v>
      </c>
      <c r="C814" s="6">
        <v>23.76</v>
      </c>
    </row>
    <row r="815" spans="1:3">
      <c r="A815" s="7" t="s">
        <v>221</v>
      </c>
      <c r="B815" s="6">
        <v>4</v>
      </c>
      <c r="C815" s="6">
        <v>50.88</v>
      </c>
    </row>
    <row r="816" spans="1:3">
      <c r="A816" s="8" t="s">
        <v>90</v>
      </c>
      <c r="B816" s="6">
        <v>4</v>
      </c>
      <c r="C816" s="6">
        <v>50.88</v>
      </c>
    </row>
    <row r="817" spans="1:3">
      <c r="A817" s="22" t="s">
        <v>313</v>
      </c>
      <c r="B817" s="6">
        <v>2</v>
      </c>
      <c r="C817" s="6">
        <v>25.44</v>
      </c>
    </row>
    <row r="818" spans="1:3">
      <c r="A818" s="22" t="s">
        <v>325</v>
      </c>
      <c r="B818" s="6">
        <v>2</v>
      </c>
      <c r="C818" s="6">
        <v>25.44</v>
      </c>
    </row>
    <row r="819" spans="1:3">
      <c r="A819" s="7" t="s">
        <v>257</v>
      </c>
      <c r="B819" s="6">
        <v>2</v>
      </c>
      <c r="C819" s="6">
        <v>25.44</v>
      </c>
    </row>
    <row r="820" spans="1:3">
      <c r="A820" s="8" t="s">
        <v>126</v>
      </c>
      <c r="B820" s="6">
        <v>2</v>
      </c>
      <c r="C820" s="6">
        <v>25.44</v>
      </c>
    </row>
    <row r="821" spans="1:3">
      <c r="A821" s="22" t="s">
        <v>273</v>
      </c>
      <c r="B821" s="6">
        <v>2</v>
      </c>
      <c r="C821" s="6">
        <v>25.44</v>
      </c>
    </row>
    <row r="822" spans="1:3">
      <c r="A822" s="7" t="s">
        <v>243</v>
      </c>
      <c r="B822" s="6">
        <v>4</v>
      </c>
      <c r="C822" s="6">
        <v>41.76</v>
      </c>
    </row>
    <row r="823" spans="1:3">
      <c r="A823" s="8" t="s">
        <v>112</v>
      </c>
      <c r="B823" s="6">
        <v>4</v>
      </c>
      <c r="C823" s="6">
        <v>41.76</v>
      </c>
    </row>
    <row r="824" spans="1:3">
      <c r="A824" s="22" t="s">
        <v>280</v>
      </c>
      <c r="B824" s="6">
        <v>2</v>
      </c>
      <c r="C824" s="6">
        <v>20.88</v>
      </c>
    </row>
    <row r="825" spans="1:3">
      <c r="A825" s="22" t="s">
        <v>286</v>
      </c>
      <c r="B825" s="6">
        <v>2</v>
      </c>
      <c r="C825" s="6">
        <v>20.88</v>
      </c>
    </row>
    <row r="826" spans="1:3">
      <c r="A826" s="7" t="s">
        <v>207</v>
      </c>
      <c r="B826" s="6">
        <v>6</v>
      </c>
      <c r="C826" s="6">
        <v>71.28</v>
      </c>
    </row>
    <row r="827" spans="1:3">
      <c r="A827" s="8" t="s">
        <v>76</v>
      </c>
      <c r="B827" s="6">
        <v>6</v>
      </c>
      <c r="C827" s="6">
        <v>71.28</v>
      </c>
    </row>
    <row r="828" spans="1:3">
      <c r="A828" s="22" t="s">
        <v>313</v>
      </c>
      <c r="B828" s="6">
        <v>2</v>
      </c>
      <c r="C828" s="6">
        <v>23.76</v>
      </c>
    </row>
    <row r="829" spans="1:3">
      <c r="A829" s="22" t="s">
        <v>327</v>
      </c>
      <c r="B829" s="6">
        <v>2</v>
      </c>
      <c r="C829" s="6">
        <v>23.76</v>
      </c>
    </row>
    <row r="830" spans="1:3">
      <c r="A830" s="22" t="s">
        <v>280</v>
      </c>
      <c r="B830" s="6">
        <v>2</v>
      </c>
      <c r="C830" s="6">
        <v>23.76</v>
      </c>
    </row>
    <row r="831" spans="1:3">
      <c r="A831" s="7" t="s">
        <v>2458</v>
      </c>
      <c r="B831" s="6">
        <v>18</v>
      </c>
      <c r="C831" s="6">
        <v>226.79999999999998</v>
      </c>
    </row>
    <row r="832" spans="1:3">
      <c r="A832" s="8" t="s">
        <v>2457</v>
      </c>
      <c r="B832" s="6">
        <v>18</v>
      </c>
      <c r="C832" s="6">
        <v>226.79999999999998</v>
      </c>
    </row>
    <row r="833" spans="1:3">
      <c r="A833" s="22" t="s">
        <v>280</v>
      </c>
      <c r="B833" s="6">
        <v>18</v>
      </c>
      <c r="C833" s="6">
        <v>226.79999999999998</v>
      </c>
    </row>
    <row r="834" spans="1:3">
      <c r="A834" s="7" t="s">
        <v>201</v>
      </c>
      <c r="B834" s="6">
        <v>2</v>
      </c>
      <c r="C834" s="6">
        <v>38.64</v>
      </c>
    </row>
    <row r="835" spans="1:3">
      <c r="A835" s="8" t="s">
        <v>69</v>
      </c>
      <c r="B835" s="6">
        <v>2</v>
      </c>
      <c r="C835" s="6">
        <v>38.64</v>
      </c>
    </row>
    <row r="836" spans="1:3">
      <c r="A836" s="22" t="s">
        <v>326</v>
      </c>
      <c r="B836" s="6">
        <v>2</v>
      </c>
      <c r="C836" s="6">
        <v>38.64</v>
      </c>
    </row>
    <row r="837" spans="1:3">
      <c r="A837" s="7" t="s">
        <v>206</v>
      </c>
      <c r="B837" s="6">
        <v>4</v>
      </c>
      <c r="C837" s="6">
        <v>62.4</v>
      </c>
    </row>
    <row r="838" spans="1:3">
      <c r="A838" s="8" t="s">
        <v>75</v>
      </c>
      <c r="B838" s="6">
        <v>4</v>
      </c>
      <c r="C838" s="6">
        <v>62.4</v>
      </c>
    </row>
    <row r="839" spans="1:3">
      <c r="A839" s="22" t="s">
        <v>327</v>
      </c>
      <c r="B839" s="6">
        <v>2</v>
      </c>
      <c r="C839" s="6">
        <v>31.2</v>
      </c>
    </row>
    <row r="840" spans="1:3">
      <c r="A840" s="22" t="s">
        <v>280</v>
      </c>
      <c r="B840" s="6">
        <v>2</v>
      </c>
      <c r="C840" s="6">
        <v>31.2</v>
      </c>
    </row>
    <row r="841" spans="1:3">
      <c r="A841" s="7" t="s">
        <v>225</v>
      </c>
      <c r="B841" s="6">
        <v>2</v>
      </c>
      <c r="C841" s="6">
        <v>28.8</v>
      </c>
    </row>
    <row r="842" spans="1:3">
      <c r="A842" s="8" t="s">
        <v>94</v>
      </c>
      <c r="B842" s="6">
        <v>2</v>
      </c>
      <c r="C842" s="6">
        <v>28.8</v>
      </c>
    </row>
    <row r="843" spans="1:3">
      <c r="A843" s="22" t="s">
        <v>275</v>
      </c>
      <c r="B843" s="6">
        <v>2</v>
      </c>
      <c r="C843" s="6">
        <v>28.8</v>
      </c>
    </row>
    <row r="844" spans="1:3">
      <c r="A844" s="7" t="s">
        <v>2468</v>
      </c>
      <c r="B844" s="6">
        <v>4</v>
      </c>
      <c r="C844" s="6">
        <v>50.88</v>
      </c>
    </row>
    <row r="845" spans="1:3">
      <c r="A845" s="8" t="s">
        <v>2467</v>
      </c>
      <c r="B845" s="6">
        <v>4</v>
      </c>
      <c r="C845" s="6">
        <v>50.88</v>
      </c>
    </row>
    <row r="846" spans="1:3">
      <c r="A846" s="22" t="s">
        <v>313</v>
      </c>
      <c r="B846" s="6">
        <v>2</v>
      </c>
      <c r="C846" s="6">
        <v>25.44</v>
      </c>
    </row>
    <row r="847" spans="1:3">
      <c r="A847" s="22" t="s">
        <v>325</v>
      </c>
      <c r="B847" s="6">
        <v>2</v>
      </c>
      <c r="C847" s="6">
        <v>25.44</v>
      </c>
    </row>
    <row r="848" spans="1:3">
      <c r="A848" s="7" t="s">
        <v>192</v>
      </c>
      <c r="B848" s="6">
        <v>2</v>
      </c>
      <c r="C848" s="6">
        <v>36.24</v>
      </c>
    </row>
    <row r="849" spans="1:3">
      <c r="A849" s="8" t="s">
        <v>60</v>
      </c>
      <c r="B849" s="6">
        <v>2</v>
      </c>
      <c r="C849" s="6">
        <v>36.24</v>
      </c>
    </row>
    <row r="850" spans="1:3">
      <c r="A850" s="22" t="s">
        <v>325</v>
      </c>
      <c r="B850" s="6">
        <v>2</v>
      </c>
      <c r="C850" s="6">
        <v>36.24</v>
      </c>
    </row>
    <row r="851" spans="1:3">
      <c r="A851" s="7" t="s">
        <v>222</v>
      </c>
      <c r="B851" s="6">
        <v>2</v>
      </c>
      <c r="C851" s="6">
        <v>36.24</v>
      </c>
    </row>
    <row r="852" spans="1:3">
      <c r="A852" s="8" t="s">
        <v>91</v>
      </c>
      <c r="B852" s="6">
        <v>2</v>
      </c>
      <c r="C852" s="6">
        <v>36.24</v>
      </c>
    </row>
    <row r="853" spans="1:3">
      <c r="A853" s="22" t="s">
        <v>280</v>
      </c>
      <c r="B853" s="6">
        <v>2</v>
      </c>
      <c r="C853" s="6">
        <v>36.24</v>
      </c>
    </row>
    <row r="854" spans="1:3">
      <c r="A854" s="7" t="s">
        <v>2472</v>
      </c>
      <c r="B854" s="6">
        <v>2</v>
      </c>
      <c r="C854" s="6">
        <v>36.24</v>
      </c>
    </row>
    <row r="855" spans="1:3">
      <c r="A855" s="8" t="s">
        <v>2471</v>
      </c>
      <c r="B855" s="6">
        <v>2</v>
      </c>
      <c r="C855" s="6">
        <v>36.24</v>
      </c>
    </row>
    <row r="856" spans="1:3">
      <c r="A856" s="22" t="s">
        <v>2487</v>
      </c>
      <c r="B856" s="6">
        <v>2</v>
      </c>
      <c r="C856" s="6">
        <v>36.24</v>
      </c>
    </row>
    <row r="857" spans="1:3">
      <c r="A857" s="7" t="s">
        <v>258</v>
      </c>
      <c r="B857" s="6">
        <v>2</v>
      </c>
      <c r="C857" s="6">
        <v>31.2</v>
      </c>
    </row>
    <row r="858" spans="1:3">
      <c r="A858" s="8" t="s">
        <v>128</v>
      </c>
      <c r="B858" s="6">
        <v>2</v>
      </c>
      <c r="C858" s="6">
        <v>31.2</v>
      </c>
    </row>
    <row r="859" spans="1:3">
      <c r="A859" s="22" t="s">
        <v>281</v>
      </c>
      <c r="B859" s="6">
        <v>2</v>
      </c>
      <c r="C859" s="6">
        <v>31.2</v>
      </c>
    </row>
    <row r="860" spans="1:3">
      <c r="A860" s="7" t="s">
        <v>147</v>
      </c>
      <c r="B860" s="6">
        <v>4</v>
      </c>
      <c r="C860" s="6">
        <v>26.88</v>
      </c>
    </row>
    <row r="861" spans="1:3">
      <c r="A861" s="8" t="s">
        <v>18</v>
      </c>
      <c r="B861" s="6">
        <v>4</v>
      </c>
      <c r="C861" s="6">
        <v>26.88</v>
      </c>
    </row>
    <row r="862" spans="1:3">
      <c r="A862" s="22" t="s">
        <v>327</v>
      </c>
      <c r="B862" s="6">
        <v>2</v>
      </c>
      <c r="C862" s="6">
        <v>13.44</v>
      </c>
    </row>
    <row r="863" spans="1:3">
      <c r="A863" s="22" t="s">
        <v>275</v>
      </c>
      <c r="B863" s="6">
        <v>2</v>
      </c>
      <c r="C863" s="6">
        <v>13.44</v>
      </c>
    </row>
    <row r="864" spans="1:3">
      <c r="A864" s="7" t="s">
        <v>235</v>
      </c>
      <c r="B864" s="6">
        <v>4</v>
      </c>
      <c r="C864" s="6">
        <v>62.4</v>
      </c>
    </row>
    <row r="865" spans="1:3">
      <c r="A865" s="8" t="s">
        <v>104</v>
      </c>
      <c r="B865" s="6">
        <v>4</v>
      </c>
      <c r="C865" s="6">
        <v>62.4</v>
      </c>
    </row>
    <row r="866" spans="1:3">
      <c r="A866" s="22" t="s">
        <v>325</v>
      </c>
      <c r="B866" s="6">
        <v>2</v>
      </c>
      <c r="C866" s="6">
        <v>31.2</v>
      </c>
    </row>
    <row r="867" spans="1:3">
      <c r="A867" s="22" t="s">
        <v>281</v>
      </c>
      <c r="B867" s="6">
        <v>2</v>
      </c>
      <c r="C867" s="6">
        <v>31.2</v>
      </c>
    </row>
    <row r="868" spans="1:3">
      <c r="A868" s="7" t="s">
        <v>2460</v>
      </c>
      <c r="B868" s="6">
        <v>2</v>
      </c>
      <c r="C868" s="6">
        <v>31.2</v>
      </c>
    </row>
    <row r="869" spans="1:3">
      <c r="A869" s="8" t="s">
        <v>2459</v>
      </c>
      <c r="B869" s="6">
        <v>2</v>
      </c>
      <c r="C869" s="6">
        <v>31.2</v>
      </c>
    </row>
    <row r="870" spans="1:3">
      <c r="A870" s="22" t="s">
        <v>2487</v>
      </c>
      <c r="B870" s="6">
        <v>2</v>
      </c>
      <c r="C870" s="6">
        <v>31.2</v>
      </c>
    </row>
    <row r="871" spans="1:3">
      <c r="A871" s="7" t="s">
        <v>248</v>
      </c>
      <c r="B871" s="6">
        <v>2</v>
      </c>
      <c r="C871" s="6">
        <v>28.8</v>
      </c>
    </row>
    <row r="872" spans="1:3">
      <c r="A872" s="8" t="s">
        <v>117</v>
      </c>
      <c r="B872" s="6">
        <v>2</v>
      </c>
      <c r="C872" s="6">
        <v>28.8</v>
      </c>
    </row>
    <row r="873" spans="1:3">
      <c r="A873" s="22" t="s">
        <v>281</v>
      </c>
      <c r="B873" s="6">
        <v>2</v>
      </c>
      <c r="C873" s="6">
        <v>28.8</v>
      </c>
    </row>
    <row r="874" spans="1:3">
      <c r="A874" s="7" t="s">
        <v>138</v>
      </c>
      <c r="B874" s="6">
        <v>10</v>
      </c>
      <c r="C874" s="6">
        <v>127.2</v>
      </c>
    </row>
    <row r="875" spans="1:3">
      <c r="A875" s="8" t="s">
        <v>6</v>
      </c>
      <c r="B875" s="6">
        <v>10</v>
      </c>
      <c r="C875" s="6">
        <v>127.2</v>
      </c>
    </row>
    <row r="876" spans="1:3">
      <c r="A876" s="22" t="s">
        <v>313</v>
      </c>
      <c r="B876" s="6">
        <v>2</v>
      </c>
      <c r="C876" s="6">
        <v>25.44</v>
      </c>
    </row>
    <row r="877" spans="1:3">
      <c r="A877" s="22" t="s">
        <v>327</v>
      </c>
      <c r="B877" s="6">
        <v>2</v>
      </c>
      <c r="C877" s="6">
        <v>25.44</v>
      </c>
    </row>
    <row r="878" spans="1:3">
      <c r="A878" s="22" t="s">
        <v>280</v>
      </c>
      <c r="B878" s="6">
        <v>2</v>
      </c>
      <c r="C878" s="6">
        <v>25.44</v>
      </c>
    </row>
    <row r="879" spans="1:3">
      <c r="A879" s="22" t="s">
        <v>306</v>
      </c>
      <c r="B879" s="6">
        <v>2</v>
      </c>
      <c r="C879" s="6">
        <v>25.44</v>
      </c>
    </row>
    <row r="880" spans="1:3">
      <c r="A880" s="22" t="s">
        <v>273</v>
      </c>
      <c r="B880" s="6">
        <v>2</v>
      </c>
      <c r="C880" s="6">
        <v>25.44</v>
      </c>
    </row>
    <row r="881" spans="1:3">
      <c r="A881" s="7" t="s">
        <v>2436</v>
      </c>
      <c r="B881" s="6">
        <v>2</v>
      </c>
      <c r="C881" s="6">
        <v>21.6</v>
      </c>
    </row>
    <row r="882" spans="1:3">
      <c r="A882" s="8" t="s">
        <v>2435</v>
      </c>
      <c r="B882" s="6">
        <v>2</v>
      </c>
      <c r="C882" s="6">
        <v>21.6</v>
      </c>
    </row>
    <row r="883" spans="1:3">
      <c r="A883" s="22" t="s">
        <v>309</v>
      </c>
      <c r="B883" s="6">
        <v>2</v>
      </c>
      <c r="C883" s="6">
        <v>21.6</v>
      </c>
    </row>
    <row r="884" spans="1:3">
      <c r="A884" s="7" t="s">
        <v>239</v>
      </c>
      <c r="B884" s="6">
        <v>2</v>
      </c>
      <c r="C884" s="6">
        <v>25.44</v>
      </c>
    </row>
    <row r="885" spans="1:3">
      <c r="A885" s="8" t="s">
        <v>108</v>
      </c>
      <c r="B885" s="6">
        <v>2</v>
      </c>
      <c r="C885" s="6">
        <v>25.44</v>
      </c>
    </row>
    <row r="886" spans="1:3">
      <c r="A886" s="22" t="s">
        <v>273</v>
      </c>
      <c r="B886" s="6">
        <v>2</v>
      </c>
      <c r="C886" s="6">
        <v>25.44</v>
      </c>
    </row>
    <row r="887" spans="1:3">
      <c r="A887" s="7" t="s">
        <v>2464</v>
      </c>
      <c r="B887" s="6">
        <v>2</v>
      </c>
      <c r="C887" s="6">
        <v>28.8</v>
      </c>
    </row>
    <row r="888" spans="1:3">
      <c r="A888" s="8" t="s">
        <v>2463</v>
      </c>
      <c r="B888" s="6">
        <v>2</v>
      </c>
      <c r="C888" s="6">
        <v>28.8</v>
      </c>
    </row>
    <row r="889" spans="1:3">
      <c r="A889" s="22" t="s">
        <v>319</v>
      </c>
      <c r="B889" s="6">
        <v>2</v>
      </c>
      <c r="C889" s="6">
        <v>28.8</v>
      </c>
    </row>
    <row r="890" spans="1:3">
      <c r="A890" s="7" t="s">
        <v>228</v>
      </c>
      <c r="B890" s="6">
        <v>2</v>
      </c>
      <c r="C890" s="6">
        <v>40.08</v>
      </c>
    </row>
    <row r="891" spans="1:3">
      <c r="A891" s="8" t="s">
        <v>97</v>
      </c>
      <c r="B891" s="6">
        <v>2</v>
      </c>
      <c r="C891" s="6">
        <v>40.08</v>
      </c>
    </row>
    <row r="892" spans="1:3">
      <c r="A892" s="22" t="s">
        <v>281</v>
      </c>
      <c r="B892" s="6">
        <v>2</v>
      </c>
      <c r="C892" s="6">
        <v>40.08</v>
      </c>
    </row>
    <row r="893" spans="1:3">
      <c r="A893" s="7" t="s">
        <v>172</v>
      </c>
      <c r="B893" s="6">
        <v>2</v>
      </c>
      <c r="C893" s="6">
        <v>25.44</v>
      </c>
    </row>
    <row r="894" spans="1:3">
      <c r="A894" s="8" t="s">
        <v>40</v>
      </c>
      <c r="B894" s="6">
        <v>2</v>
      </c>
      <c r="C894" s="6">
        <v>25.44</v>
      </c>
    </row>
    <row r="895" spans="1:3">
      <c r="A895" s="22" t="s">
        <v>273</v>
      </c>
      <c r="B895" s="6">
        <v>2</v>
      </c>
      <c r="C895" s="6">
        <v>25.44</v>
      </c>
    </row>
    <row r="896" spans="1:3">
      <c r="A896" s="7" t="s">
        <v>2478</v>
      </c>
      <c r="B896" s="6">
        <v>2</v>
      </c>
      <c r="C896" s="6">
        <v>25.44</v>
      </c>
    </row>
    <row r="897" spans="1:3">
      <c r="A897" s="8" t="s">
        <v>2477</v>
      </c>
      <c r="B897" s="6">
        <v>2</v>
      </c>
      <c r="C897" s="6">
        <v>25.44</v>
      </c>
    </row>
    <row r="898" spans="1:3">
      <c r="A898" s="22" t="s">
        <v>319</v>
      </c>
      <c r="B898" s="6">
        <v>2</v>
      </c>
      <c r="C898" s="6">
        <v>25.44</v>
      </c>
    </row>
    <row r="899" spans="1:3">
      <c r="A899" s="7" t="s">
        <v>229</v>
      </c>
      <c r="B899" s="6">
        <v>2</v>
      </c>
      <c r="C899" s="6">
        <v>36.479999999999997</v>
      </c>
    </row>
    <row r="900" spans="1:3">
      <c r="A900" s="8" t="s">
        <v>98</v>
      </c>
      <c r="B900" s="6">
        <v>2</v>
      </c>
      <c r="C900" s="6">
        <v>36.479999999999997</v>
      </c>
    </row>
    <row r="901" spans="1:3">
      <c r="A901" s="22" t="s">
        <v>281</v>
      </c>
      <c r="B901" s="6">
        <v>2</v>
      </c>
      <c r="C901" s="6">
        <v>36.479999999999997</v>
      </c>
    </row>
    <row r="902" spans="1:3">
      <c r="A902" s="5" t="s">
        <v>131</v>
      </c>
      <c r="B902" s="6">
        <v>1273</v>
      </c>
      <c r="C902" s="6">
        <v>13430.880000000005</v>
      </c>
    </row>
  </sheetData>
  <phoneticPr fontId="8" type="noConversion"/>
  <pageMargins left="0.25" right="0.25" top="0.75000000000000011" bottom="0.75000000000000011" header="0.30000000000000004" footer="0.30000000000000004"/>
  <pageSetup paperSize="9" scale="91" fitToHeight="0" orientation="portrait" horizontalDpi="4294967292" verticalDpi="4294967292"/>
  <headerFooter>
    <oddFooter>&amp;L&amp;K000000&amp;A&amp;R&amp;K000000&amp;P / &amp;N - &amp;D &amp;T</oddFooter>
  </headerFooter>
  <extLst>
    <ext xmlns:mx="http://schemas.microsoft.com/office/mac/excel/2008/main" uri="{64002731-A6B0-56B0-2670-7721B7C09600}">
      <mx:PLV Mode="0" OnePage="0" WScale="10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 enableFormatConditionsCalculation="0"/>
  <dimension ref="A1:V459"/>
  <sheetViews>
    <sheetView workbookViewId="0">
      <selection activeCell="I8" sqref="I8"/>
    </sheetView>
  </sheetViews>
  <sheetFormatPr baseColWidth="10" defaultRowHeight="14" x14ac:dyDescent="0"/>
  <cols>
    <col min="1" max="1" width="14.33203125" customWidth="1"/>
    <col min="4" max="4" width="17.83203125" bestFit="1" customWidth="1"/>
    <col min="5" max="5" width="13.33203125" style="19" bestFit="1" customWidth="1"/>
    <col min="6" max="6" width="6.33203125" customWidth="1"/>
    <col min="7" max="7" width="4.5" customWidth="1"/>
    <col min="8" max="8" width="3.33203125" bestFit="1" customWidth="1"/>
    <col min="9" max="9" width="4.83203125" bestFit="1" customWidth="1"/>
    <col min="10" max="10" width="23" customWidth="1"/>
    <col min="11" max="11" width="13.33203125" bestFit="1" customWidth="1"/>
    <col min="13" max="13" width="13.33203125" bestFit="1" customWidth="1"/>
    <col min="15" max="15" width="13.33203125" bestFit="1" customWidth="1"/>
    <col min="17" max="17" width="13.33203125" bestFit="1" customWidth="1"/>
  </cols>
  <sheetData>
    <row r="1" spans="1:22">
      <c r="J1" t="s">
        <v>402</v>
      </c>
      <c r="K1" s="14">
        <f>COUNTA(E:E)-1</f>
        <v>366</v>
      </c>
    </row>
    <row r="2" spans="1:22">
      <c r="A2" t="s">
        <v>348</v>
      </c>
      <c r="J2" t="s">
        <v>403</v>
      </c>
      <c r="K2" s="14">
        <f>COUNTIF(E:E,"&gt;0")-1</f>
        <v>290</v>
      </c>
    </row>
    <row r="3" spans="1:22">
      <c r="A3" s="13" t="s">
        <v>347</v>
      </c>
      <c r="J3" t="s">
        <v>784</v>
      </c>
      <c r="K3">
        <f>COUNTIF(E:E,"Vide")</f>
        <v>57</v>
      </c>
    </row>
    <row r="4" spans="1:22">
      <c r="J4" t="s">
        <v>401</v>
      </c>
      <c r="K4">
        <f>COUNTIF(E:E,"Inconnu")</f>
        <v>18</v>
      </c>
    </row>
    <row r="6" spans="1:22">
      <c r="A6" t="s">
        <v>261</v>
      </c>
      <c r="B6" t="s">
        <v>352</v>
      </c>
      <c r="D6" t="s">
        <v>353</v>
      </c>
      <c r="E6" s="19" t="s">
        <v>356</v>
      </c>
      <c r="F6" t="s">
        <v>262</v>
      </c>
      <c r="G6" t="s">
        <v>405</v>
      </c>
      <c r="H6" t="s">
        <v>404</v>
      </c>
      <c r="I6" t="s">
        <v>361</v>
      </c>
      <c r="J6" t="s">
        <v>355</v>
      </c>
      <c r="K6" t="s">
        <v>354</v>
      </c>
      <c r="L6" t="s">
        <v>350</v>
      </c>
      <c r="M6" t="s">
        <v>354</v>
      </c>
      <c r="N6" t="s">
        <v>349</v>
      </c>
      <c r="O6" t="s">
        <v>354</v>
      </c>
      <c r="P6" t="s">
        <v>357</v>
      </c>
      <c r="Q6" t="s">
        <v>354</v>
      </c>
      <c r="R6" t="s">
        <v>358</v>
      </c>
      <c r="S6" t="s">
        <v>354</v>
      </c>
      <c r="T6" t="s">
        <v>359</v>
      </c>
      <c r="U6" t="s">
        <v>354</v>
      </c>
      <c r="V6" t="s">
        <v>360</v>
      </c>
    </row>
    <row r="7" spans="1:22">
      <c r="A7" t="s">
        <v>59</v>
      </c>
      <c r="B7">
        <v>483</v>
      </c>
      <c r="D7" t="s">
        <v>537</v>
      </c>
      <c r="E7" s="19" t="s">
        <v>789</v>
      </c>
      <c r="F7">
        <v>2</v>
      </c>
      <c r="H7">
        <v>0</v>
      </c>
      <c r="K7" s="15"/>
      <c r="M7" s="15"/>
      <c r="Q7" s="15"/>
    </row>
    <row r="8" spans="1:22">
      <c r="A8" t="s">
        <v>103</v>
      </c>
      <c r="B8">
        <v>479</v>
      </c>
      <c r="D8" t="s">
        <v>362</v>
      </c>
      <c r="E8" s="19">
        <v>8050846005525</v>
      </c>
      <c r="F8">
        <v>2</v>
      </c>
      <c r="H8">
        <v>1</v>
      </c>
      <c r="I8">
        <v>153</v>
      </c>
      <c r="J8" t="s">
        <v>358</v>
      </c>
      <c r="K8" s="15"/>
      <c r="M8" s="15"/>
      <c r="O8" s="15"/>
      <c r="Q8" s="15">
        <v>8050846005525</v>
      </c>
      <c r="R8">
        <v>153</v>
      </c>
      <c r="S8" s="15"/>
      <c r="U8" s="15"/>
    </row>
    <row r="9" spans="1:22">
      <c r="A9" t="s">
        <v>16</v>
      </c>
      <c r="B9">
        <v>61</v>
      </c>
      <c r="D9" t="s">
        <v>363</v>
      </c>
      <c r="E9" s="19" t="s">
        <v>789</v>
      </c>
      <c r="F9">
        <v>2</v>
      </c>
      <c r="H9">
        <v>0</v>
      </c>
      <c r="Q9" s="15"/>
    </row>
    <row r="10" spans="1:22">
      <c r="A10" t="s">
        <v>61</v>
      </c>
      <c r="B10">
        <v>25</v>
      </c>
      <c r="D10" t="s">
        <v>364</v>
      </c>
      <c r="E10" s="19">
        <v>8050846007666</v>
      </c>
      <c r="F10">
        <v>3</v>
      </c>
      <c r="H10">
        <v>1</v>
      </c>
      <c r="I10">
        <v>165</v>
      </c>
      <c r="J10" t="s">
        <v>358</v>
      </c>
      <c r="K10" s="15"/>
      <c r="M10" s="15"/>
      <c r="O10" s="15"/>
      <c r="Q10" s="15">
        <v>8050846007666</v>
      </c>
      <c r="R10">
        <v>165</v>
      </c>
      <c r="S10" s="15"/>
      <c r="U10" s="15"/>
    </row>
    <row r="11" spans="1:22">
      <c r="A11" t="s">
        <v>61</v>
      </c>
      <c r="B11">
        <v>130</v>
      </c>
      <c r="D11" t="s">
        <v>365</v>
      </c>
      <c r="E11" s="19">
        <v>8050846007659</v>
      </c>
      <c r="F11">
        <v>3</v>
      </c>
      <c r="H11">
        <v>1</v>
      </c>
      <c r="I11">
        <v>165</v>
      </c>
      <c r="J11" t="s">
        <v>358</v>
      </c>
      <c r="K11" s="15"/>
      <c r="M11" s="15"/>
      <c r="O11" s="15"/>
      <c r="Q11" s="15">
        <v>8050846007659</v>
      </c>
      <c r="R11">
        <v>165</v>
      </c>
      <c r="S11" s="15"/>
      <c r="U11" s="15"/>
    </row>
    <row r="12" spans="1:22">
      <c r="A12" t="s">
        <v>17</v>
      </c>
      <c r="B12">
        <v>130</v>
      </c>
      <c r="D12" t="s">
        <v>366</v>
      </c>
      <c r="E12" s="19">
        <v>8050846007697</v>
      </c>
      <c r="F12">
        <v>3</v>
      </c>
      <c r="H12">
        <v>1</v>
      </c>
      <c r="I12">
        <v>166</v>
      </c>
      <c r="J12" t="s">
        <v>358</v>
      </c>
      <c r="K12" s="15"/>
      <c r="M12" s="15"/>
      <c r="O12" s="15"/>
      <c r="Q12" s="15">
        <v>8050846007697</v>
      </c>
      <c r="R12">
        <v>166</v>
      </c>
      <c r="S12" s="15"/>
      <c r="U12" s="15"/>
    </row>
    <row r="13" spans="1:22">
      <c r="A13" t="s">
        <v>26</v>
      </c>
      <c r="B13">
        <v>485</v>
      </c>
      <c r="D13" t="s">
        <v>367</v>
      </c>
      <c r="E13" s="19">
        <v>8050846016750</v>
      </c>
      <c r="F13">
        <v>2</v>
      </c>
      <c r="H13">
        <v>1</v>
      </c>
      <c r="I13">
        <v>6</v>
      </c>
      <c r="J13" t="s">
        <v>358</v>
      </c>
      <c r="K13" s="15"/>
      <c r="M13" s="15"/>
      <c r="O13" s="15"/>
      <c r="Q13" s="15">
        <v>8050846016750</v>
      </c>
      <c r="R13">
        <v>6</v>
      </c>
      <c r="S13" s="15"/>
      <c r="U13" s="15"/>
    </row>
    <row r="14" spans="1:22">
      <c r="A14" t="s">
        <v>22</v>
      </c>
      <c r="B14">
        <v>71</v>
      </c>
      <c r="D14" t="s">
        <v>368</v>
      </c>
      <c r="E14" s="19" t="s">
        <v>790</v>
      </c>
      <c r="F14">
        <v>1</v>
      </c>
      <c r="H14">
        <v>1</v>
      </c>
      <c r="I14">
        <v>6</v>
      </c>
      <c r="J14" t="s">
        <v>357</v>
      </c>
      <c r="K14" s="15"/>
      <c r="M14" s="15"/>
      <c r="O14" s="15"/>
      <c r="P14">
        <v>6</v>
      </c>
      <c r="Q14" s="15"/>
      <c r="S14" s="15"/>
      <c r="U14" s="15"/>
    </row>
    <row r="15" spans="1:22">
      <c r="A15" t="s">
        <v>26</v>
      </c>
      <c r="B15">
        <v>71</v>
      </c>
      <c r="D15" t="s">
        <v>369</v>
      </c>
      <c r="E15" s="19">
        <v>8051770309819</v>
      </c>
      <c r="F15">
        <v>1</v>
      </c>
      <c r="H15">
        <v>2</v>
      </c>
      <c r="I15">
        <v>5</v>
      </c>
      <c r="J15" t="s">
        <v>350</v>
      </c>
      <c r="K15" s="15">
        <v>8051770309819</v>
      </c>
      <c r="L15" t="s">
        <v>370</v>
      </c>
      <c r="M15" s="15"/>
      <c r="O15" s="15"/>
      <c r="P15">
        <v>5</v>
      </c>
      <c r="Q15" s="15"/>
      <c r="S15" s="15"/>
      <c r="U15" s="15"/>
    </row>
    <row r="16" spans="1:22">
      <c r="A16" t="s">
        <v>26</v>
      </c>
      <c r="B16">
        <v>133</v>
      </c>
      <c r="D16" t="s">
        <v>371</v>
      </c>
      <c r="E16" s="19" t="s">
        <v>790</v>
      </c>
      <c r="F16">
        <v>1</v>
      </c>
      <c r="H16">
        <v>1</v>
      </c>
      <c r="I16">
        <v>5</v>
      </c>
      <c r="J16" t="s">
        <v>357</v>
      </c>
      <c r="K16" s="15"/>
      <c r="M16" s="15"/>
      <c r="O16" s="15"/>
      <c r="P16">
        <v>5</v>
      </c>
      <c r="Q16" s="15"/>
      <c r="S16" s="15"/>
      <c r="U16" s="15"/>
    </row>
    <row r="17" spans="1:21">
      <c r="A17" t="s">
        <v>21</v>
      </c>
      <c r="B17">
        <v>76</v>
      </c>
      <c r="D17" t="s">
        <v>372</v>
      </c>
      <c r="E17" s="19">
        <v>8051770308508</v>
      </c>
      <c r="F17">
        <v>2</v>
      </c>
      <c r="H17">
        <v>1</v>
      </c>
      <c r="I17">
        <v>4</v>
      </c>
      <c r="J17" t="s">
        <v>358</v>
      </c>
      <c r="K17" s="15"/>
      <c r="M17" s="15"/>
      <c r="O17" s="15"/>
      <c r="Q17" s="15">
        <v>8051770308508</v>
      </c>
      <c r="R17">
        <v>4</v>
      </c>
      <c r="S17" s="15"/>
      <c r="U17" s="15"/>
    </row>
    <row r="18" spans="1:21">
      <c r="A18" t="s">
        <v>23</v>
      </c>
      <c r="B18">
        <v>78</v>
      </c>
      <c r="D18" t="s">
        <v>373</v>
      </c>
      <c r="E18" s="19" t="s">
        <v>790</v>
      </c>
      <c r="F18">
        <v>1</v>
      </c>
      <c r="H18">
        <v>1</v>
      </c>
      <c r="I18">
        <v>7</v>
      </c>
      <c r="J18" t="s">
        <v>357</v>
      </c>
      <c r="K18" s="15"/>
      <c r="M18" s="15"/>
      <c r="O18" s="15"/>
      <c r="P18">
        <v>7</v>
      </c>
      <c r="Q18" s="15"/>
      <c r="S18" s="15"/>
      <c r="U18" s="15"/>
    </row>
    <row r="19" spans="1:21">
      <c r="A19" t="s">
        <v>24</v>
      </c>
      <c r="B19">
        <v>17</v>
      </c>
      <c r="D19" t="s">
        <v>374</v>
      </c>
      <c r="E19" s="19">
        <v>8056099177231</v>
      </c>
      <c r="F19">
        <v>1</v>
      </c>
      <c r="H19">
        <v>2</v>
      </c>
      <c r="I19">
        <v>9</v>
      </c>
      <c r="J19" t="s">
        <v>350</v>
      </c>
      <c r="K19" s="15">
        <v>8056099177231</v>
      </c>
      <c r="L19" t="s">
        <v>375</v>
      </c>
      <c r="M19" s="15"/>
      <c r="O19" s="15">
        <v>8056099177231</v>
      </c>
      <c r="P19">
        <v>10</v>
      </c>
      <c r="Q19" s="15"/>
      <c r="S19" s="15"/>
      <c r="U19" s="15"/>
    </row>
    <row r="20" spans="1:21">
      <c r="A20" t="s">
        <v>24</v>
      </c>
      <c r="B20">
        <v>76</v>
      </c>
      <c r="D20" t="s">
        <v>376</v>
      </c>
      <c r="E20" s="19">
        <v>8056099178863</v>
      </c>
      <c r="F20">
        <v>2</v>
      </c>
      <c r="H20">
        <v>1</v>
      </c>
      <c r="I20">
        <v>16</v>
      </c>
      <c r="J20" t="s">
        <v>358</v>
      </c>
      <c r="K20" s="15"/>
      <c r="M20" s="15"/>
      <c r="O20" s="15"/>
      <c r="Q20" s="15">
        <v>8056099178863</v>
      </c>
      <c r="R20">
        <v>16</v>
      </c>
      <c r="S20" s="15"/>
      <c r="U20" s="15"/>
    </row>
    <row r="21" spans="1:21">
      <c r="A21" t="s">
        <v>49</v>
      </c>
      <c r="B21">
        <v>26</v>
      </c>
      <c r="D21" t="s">
        <v>377</v>
      </c>
      <c r="E21" s="19">
        <v>8050846003767</v>
      </c>
      <c r="F21">
        <v>2</v>
      </c>
      <c r="H21">
        <v>1</v>
      </c>
      <c r="I21">
        <v>99</v>
      </c>
      <c r="J21" t="s">
        <v>358</v>
      </c>
      <c r="K21" s="15"/>
      <c r="M21" s="15"/>
      <c r="O21" s="15"/>
      <c r="Q21" s="15">
        <v>8050846003767</v>
      </c>
      <c r="R21">
        <v>99</v>
      </c>
      <c r="S21" s="15"/>
      <c r="U21" s="15"/>
    </row>
    <row r="22" spans="1:21">
      <c r="A22" t="s">
        <v>25</v>
      </c>
      <c r="B22">
        <v>76</v>
      </c>
      <c r="D22" t="s">
        <v>378</v>
      </c>
      <c r="E22" s="19" t="s">
        <v>790</v>
      </c>
      <c r="F22">
        <v>2</v>
      </c>
      <c r="H22">
        <v>1</v>
      </c>
      <c r="I22">
        <v>11</v>
      </c>
      <c r="J22" t="s">
        <v>358</v>
      </c>
      <c r="K22" s="15"/>
      <c r="M22" s="15"/>
      <c r="O22" s="15"/>
      <c r="Q22" s="15"/>
      <c r="R22">
        <v>11</v>
      </c>
      <c r="S22" s="15"/>
      <c r="U22" s="15"/>
    </row>
    <row r="23" spans="1:21">
      <c r="A23" t="s">
        <v>22</v>
      </c>
      <c r="B23">
        <v>422</v>
      </c>
      <c r="D23" t="s">
        <v>379</v>
      </c>
      <c r="E23" s="19" t="s">
        <v>790</v>
      </c>
      <c r="F23">
        <v>2</v>
      </c>
      <c r="H23">
        <v>2</v>
      </c>
      <c r="I23">
        <v>8</v>
      </c>
      <c r="J23" t="s">
        <v>349</v>
      </c>
      <c r="K23" s="15"/>
      <c r="M23" s="15" t="s">
        <v>380</v>
      </c>
      <c r="N23" t="s">
        <v>381</v>
      </c>
      <c r="O23" s="15"/>
      <c r="Q23" s="15">
        <v>8050846006713</v>
      </c>
      <c r="R23">
        <v>8</v>
      </c>
      <c r="S23" s="15"/>
      <c r="U23" s="15"/>
    </row>
    <row r="24" spans="1:21">
      <c r="A24" t="s">
        <v>34</v>
      </c>
      <c r="B24">
        <v>347</v>
      </c>
      <c r="D24" t="s">
        <v>382</v>
      </c>
      <c r="E24" s="19">
        <v>8050846006843</v>
      </c>
      <c r="F24">
        <v>2</v>
      </c>
      <c r="H24">
        <v>1</v>
      </c>
      <c r="I24">
        <v>13</v>
      </c>
      <c r="J24" t="s">
        <v>358</v>
      </c>
      <c r="K24" s="15"/>
      <c r="M24" s="15"/>
      <c r="O24" s="15"/>
      <c r="Q24" s="15">
        <v>8050846006843</v>
      </c>
      <c r="R24">
        <v>13</v>
      </c>
      <c r="S24" s="15"/>
      <c r="U24" s="15"/>
    </row>
    <row r="25" spans="1:21">
      <c r="A25" t="s">
        <v>34</v>
      </c>
      <c r="B25">
        <v>75</v>
      </c>
      <c r="D25" t="s">
        <v>383</v>
      </c>
      <c r="E25" s="19">
        <v>8050846006881</v>
      </c>
      <c r="F25">
        <v>2</v>
      </c>
      <c r="H25">
        <v>1</v>
      </c>
      <c r="I25">
        <v>13</v>
      </c>
      <c r="J25" t="s">
        <v>358</v>
      </c>
      <c r="K25" s="15"/>
      <c r="M25" s="15"/>
      <c r="O25" s="15"/>
      <c r="Q25" s="15">
        <v>8050846006881</v>
      </c>
      <c r="R25">
        <v>13</v>
      </c>
      <c r="S25" s="15"/>
      <c r="U25" s="15"/>
    </row>
    <row r="26" spans="1:21">
      <c r="A26" t="s">
        <v>35</v>
      </c>
      <c r="B26">
        <v>422</v>
      </c>
      <c r="D26" t="s">
        <v>384</v>
      </c>
      <c r="E26" s="19" t="s">
        <v>789</v>
      </c>
      <c r="F26">
        <v>6</v>
      </c>
      <c r="H26">
        <v>0</v>
      </c>
      <c r="Q26" s="15"/>
    </row>
    <row r="27" spans="1:21">
      <c r="A27" t="s">
        <v>29</v>
      </c>
      <c r="B27">
        <v>75</v>
      </c>
      <c r="D27" t="s">
        <v>385</v>
      </c>
      <c r="E27" s="19">
        <v>8050846005419</v>
      </c>
      <c r="F27">
        <v>2</v>
      </c>
      <c r="H27">
        <v>1</v>
      </c>
      <c r="I27">
        <v>159</v>
      </c>
      <c r="J27" t="s">
        <v>358</v>
      </c>
      <c r="K27" s="15"/>
      <c r="M27" s="15"/>
      <c r="O27" s="15"/>
      <c r="Q27" s="15">
        <v>8050846005419</v>
      </c>
      <c r="R27">
        <v>159</v>
      </c>
      <c r="S27" s="15"/>
      <c r="U27" s="15"/>
    </row>
    <row r="28" spans="1:21">
      <c r="A28" t="s">
        <v>9</v>
      </c>
      <c r="B28">
        <v>55</v>
      </c>
      <c r="D28" t="s">
        <v>386</v>
      </c>
      <c r="E28" s="19">
        <v>8050846002647</v>
      </c>
      <c r="F28">
        <v>3</v>
      </c>
      <c r="H28">
        <v>1</v>
      </c>
      <c r="I28">
        <v>20</v>
      </c>
      <c r="J28" t="s">
        <v>358</v>
      </c>
      <c r="K28" s="15"/>
      <c r="M28" s="15"/>
      <c r="O28" s="15"/>
      <c r="Q28" s="15">
        <v>8050846002647</v>
      </c>
      <c r="R28">
        <v>20</v>
      </c>
      <c r="S28" s="15"/>
      <c r="U28" s="15"/>
    </row>
    <row r="29" spans="1:21">
      <c r="A29" t="s">
        <v>113</v>
      </c>
      <c r="B29">
        <v>227</v>
      </c>
      <c r="D29" t="s">
        <v>387</v>
      </c>
      <c r="E29" s="19" t="s">
        <v>790</v>
      </c>
      <c r="F29">
        <v>2</v>
      </c>
      <c r="H29">
        <v>1</v>
      </c>
      <c r="I29">
        <v>109</v>
      </c>
      <c r="J29" t="s">
        <v>358</v>
      </c>
      <c r="K29" s="15"/>
      <c r="M29" s="15"/>
      <c r="O29" s="15"/>
      <c r="Q29" s="15"/>
      <c r="R29">
        <v>109</v>
      </c>
      <c r="S29" s="15"/>
      <c r="U29" s="15"/>
    </row>
    <row r="30" spans="1:21">
      <c r="A30" t="s">
        <v>37</v>
      </c>
      <c r="B30">
        <v>480</v>
      </c>
      <c r="D30" t="s">
        <v>388</v>
      </c>
      <c r="E30" s="19">
        <v>8050846003729</v>
      </c>
      <c r="F30">
        <v>2</v>
      </c>
      <c r="H30">
        <v>1</v>
      </c>
      <c r="I30">
        <v>82</v>
      </c>
      <c r="J30" t="s">
        <v>358</v>
      </c>
      <c r="K30" s="15"/>
      <c r="M30" s="15"/>
      <c r="O30" s="15"/>
      <c r="Q30" s="15">
        <v>8050846003729</v>
      </c>
      <c r="R30">
        <v>82</v>
      </c>
      <c r="S30" s="15"/>
      <c r="U30" s="15"/>
    </row>
    <row r="31" spans="1:21">
      <c r="A31" t="s">
        <v>29</v>
      </c>
      <c r="B31">
        <v>371</v>
      </c>
      <c r="D31" t="s">
        <v>389</v>
      </c>
      <c r="E31" s="19">
        <v>8050846002753</v>
      </c>
      <c r="F31">
        <v>2</v>
      </c>
      <c r="H31">
        <v>1</v>
      </c>
      <c r="I31">
        <v>159</v>
      </c>
      <c r="J31" t="s">
        <v>358</v>
      </c>
      <c r="K31" s="15"/>
      <c r="M31" s="15"/>
      <c r="O31" s="15"/>
      <c r="Q31" s="15">
        <v>8050846002753</v>
      </c>
      <c r="R31">
        <v>159</v>
      </c>
      <c r="S31" s="15"/>
      <c r="U31" s="15"/>
    </row>
    <row r="32" spans="1:21">
      <c r="A32" t="s">
        <v>19</v>
      </c>
      <c r="B32">
        <v>55</v>
      </c>
      <c r="D32" t="s">
        <v>390</v>
      </c>
      <c r="E32" s="19" t="s">
        <v>790</v>
      </c>
      <c r="F32">
        <v>3</v>
      </c>
      <c r="H32">
        <v>1</v>
      </c>
      <c r="I32">
        <v>160</v>
      </c>
      <c r="J32" t="s">
        <v>358</v>
      </c>
      <c r="K32" s="15"/>
      <c r="M32" s="15"/>
      <c r="O32" s="15"/>
      <c r="Q32" s="15"/>
      <c r="R32">
        <v>160</v>
      </c>
      <c r="S32" s="15"/>
      <c r="U32" s="15"/>
    </row>
    <row r="33" spans="1:21">
      <c r="A33" t="s">
        <v>7</v>
      </c>
      <c r="B33">
        <v>76</v>
      </c>
      <c r="D33" t="s">
        <v>391</v>
      </c>
      <c r="E33" s="19">
        <v>8050846003170</v>
      </c>
      <c r="F33">
        <v>3</v>
      </c>
      <c r="H33">
        <v>1</v>
      </c>
      <c r="I33">
        <v>53</v>
      </c>
      <c r="J33" t="s">
        <v>358</v>
      </c>
      <c r="K33" s="15"/>
      <c r="M33" s="15"/>
      <c r="O33" s="15"/>
      <c r="Q33" s="15">
        <v>8050846003170</v>
      </c>
      <c r="R33">
        <v>53</v>
      </c>
      <c r="S33" s="15"/>
      <c r="U33" s="15"/>
    </row>
    <row r="34" spans="1:21">
      <c r="A34" t="s">
        <v>51</v>
      </c>
      <c r="B34">
        <v>55</v>
      </c>
      <c r="D34" t="s">
        <v>392</v>
      </c>
      <c r="E34" s="19">
        <v>8050846002586</v>
      </c>
      <c r="F34">
        <v>5</v>
      </c>
      <c r="H34">
        <v>1</v>
      </c>
      <c r="I34">
        <v>36</v>
      </c>
      <c r="J34" t="s">
        <v>358</v>
      </c>
      <c r="K34" s="15"/>
      <c r="M34" s="15"/>
      <c r="O34" s="15"/>
      <c r="Q34" s="15">
        <v>8050846002586</v>
      </c>
      <c r="R34">
        <v>36</v>
      </c>
      <c r="S34" s="15"/>
      <c r="U34" s="15"/>
    </row>
    <row r="35" spans="1:21">
      <c r="A35" t="s">
        <v>40</v>
      </c>
      <c r="B35">
        <v>8</v>
      </c>
      <c r="D35" t="s">
        <v>393</v>
      </c>
      <c r="E35" s="19">
        <v>8050846005013</v>
      </c>
      <c r="F35">
        <v>2</v>
      </c>
      <c r="H35">
        <v>1</v>
      </c>
      <c r="I35">
        <v>83</v>
      </c>
      <c r="J35" t="s">
        <v>358</v>
      </c>
      <c r="K35" s="15"/>
      <c r="M35" s="15"/>
      <c r="O35" s="15"/>
      <c r="Q35" s="15">
        <v>8050846005013</v>
      </c>
      <c r="R35">
        <v>83</v>
      </c>
      <c r="S35" s="15"/>
      <c r="U35" s="15"/>
    </row>
    <row r="36" spans="1:21">
      <c r="A36" t="s">
        <v>0</v>
      </c>
      <c r="B36">
        <v>76</v>
      </c>
      <c r="D36" t="s">
        <v>394</v>
      </c>
      <c r="E36" s="19">
        <v>8050846001800</v>
      </c>
      <c r="F36">
        <v>2</v>
      </c>
      <c r="H36">
        <v>1</v>
      </c>
      <c r="I36">
        <v>92</v>
      </c>
      <c r="J36" t="s">
        <v>358</v>
      </c>
      <c r="K36" s="15"/>
      <c r="M36" s="15"/>
      <c r="O36" s="15"/>
      <c r="Q36" s="15">
        <v>8050846001800</v>
      </c>
      <c r="R36">
        <v>92</v>
      </c>
      <c r="S36" s="15"/>
      <c r="U36" s="15"/>
    </row>
    <row r="37" spans="1:21">
      <c r="A37" t="s">
        <v>41</v>
      </c>
      <c r="B37">
        <v>8</v>
      </c>
      <c r="D37" t="s">
        <v>395</v>
      </c>
      <c r="E37" s="19">
        <v>8050846004917</v>
      </c>
      <c r="F37">
        <v>2</v>
      </c>
      <c r="H37">
        <v>1</v>
      </c>
      <c r="I37">
        <v>104</v>
      </c>
      <c r="J37" t="s">
        <v>358</v>
      </c>
      <c r="K37" s="15"/>
      <c r="M37" s="15"/>
      <c r="O37" s="15"/>
      <c r="Q37" s="15">
        <v>8050846004917</v>
      </c>
      <c r="R37">
        <v>104</v>
      </c>
      <c r="S37" s="15"/>
      <c r="U37" s="15"/>
    </row>
    <row r="38" spans="1:21">
      <c r="A38" t="s">
        <v>8</v>
      </c>
      <c r="B38">
        <v>55</v>
      </c>
      <c r="D38" t="s">
        <v>396</v>
      </c>
      <c r="E38" s="19">
        <v>8050846002746</v>
      </c>
      <c r="F38">
        <v>2</v>
      </c>
      <c r="H38">
        <v>1</v>
      </c>
      <c r="I38">
        <v>158</v>
      </c>
      <c r="J38" t="s">
        <v>358</v>
      </c>
      <c r="K38" s="15"/>
      <c r="M38" s="15"/>
      <c r="O38" s="15"/>
      <c r="Q38" s="15">
        <v>8050846002746</v>
      </c>
      <c r="R38">
        <v>158</v>
      </c>
      <c r="S38" s="15"/>
      <c r="U38" s="15"/>
    </row>
    <row r="39" spans="1:21">
      <c r="A39" t="s">
        <v>96</v>
      </c>
      <c r="B39">
        <v>75</v>
      </c>
      <c r="D39" t="s">
        <v>397</v>
      </c>
      <c r="E39" s="19">
        <v>8050846005365</v>
      </c>
      <c r="F39">
        <v>2</v>
      </c>
      <c r="H39">
        <v>1</v>
      </c>
      <c r="I39">
        <v>35</v>
      </c>
      <c r="J39" t="s">
        <v>358</v>
      </c>
      <c r="K39" s="15"/>
      <c r="M39" s="15"/>
      <c r="O39" s="15"/>
      <c r="Q39" s="15">
        <v>8050846005365</v>
      </c>
      <c r="R39">
        <v>35</v>
      </c>
      <c r="S39" s="15"/>
      <c r="U39" s="15"/>
    </row>
    <row r="40" spans="1:21">
      <c r="A40" t="s">
        <v>118</v>
      </c>
      <c r="B40">
        <v>475</v>
      </c>
      <c r="D40" t="s">
        <v>398</v>
      </c>
      <c r="E40" s="19">
        <v>8050846004436</v>
      </c>
      <c r="F40">
        <v>2</v>
      </c>
      <c r="H40">
        <v>1</v>
      </c>
      <c r="I40">
        <v>33</v>
      </c>
      <c r="J40" t="s">
        <v>358</v>
      </c>
      <c r="K40" s="15"/>
      <c r="M40" s="15"/>
      <c r="O40" s="15"/>
      <c r="Q40" s="15">
        <v>8050846004436</v>
      </c>
      <c r="R40">
        <v>33</v>
      </c>
      <c r="S40" s="15"/>
      <c r="U40" s="15"/>
    </row>
    <row r="41" spans="1:21">
      <c r="A41" t="s">
        <v>37</v>
      </c>
      <c r="B41">
        <v>481</v>
      </c>
      <c r="D41" t="s">
        <v>399</v>
      </c>
      <c r="E41" s="19">
        <v>8050846003736</v>
      </c>
      <c r="F41">
        <v>2</v>
      </c>
      <c r="H41">
        <v>1</v>
      </c>
      <c r="I41">
        <v>82</v>
      </c>
      <c r="J41" t="s">
        <v>358</v>
      </c>
      <c r="K41" s="15"/>
      <c r="M41" s="15"/>
      <c r="O41" s="15"/>
      <c r="Q41" s="15">
        <v>8050846003736</v>
      </c>
      <c r="R41">
        <v>82</v>
      </c>
      <c r="S41" s="15"/>
      <c r="U41" s="15"/>
    </row>
    <row r="42" spans="1:21">
      <c r="A42" t="s">
        <v>9</v>
      </c>
      <c r="B42">
        <v>36</v>
      </c>
      <c r="D42" t="s">
        <v>400</v>
      </c>
      <c r="E42" s="19">
        <v>8050846002678</v>
      </c>
      <c r="F42">
        <v>2</v>
      </c>
      <c r="H42">
        <v>1</v>
      </c>
      <c r="I42">
        <v>20</v>
      </c>
      <c r="J42" t="s">
        <v>358</v>
      </c>
      <c r="K42" s="15"/>
      <c r="M42" s="15"/>
      <c r="O42" s="15"/>
      <c r="Q42" s="15">
        <v>8050846002678</v>
      </c>
      <c r="R42">
        <v>20</v>
      </c>
      <c r="S42" s="15"/>
      <c r="U42" s="15"/>
    </row>
    <row r="43" spans="1:21">
      <c r="A43" t="s">
        <v>9</v>
      </c>
      <c r="B43">
        <v>371</v>
      </c>
      <c r="D43" t="s">
        <v>783</v>
      </c>
      <c r="E43" s="19" t="s">
        <v>790</v>
      </c>
      <c r="F43">
        <v>2</v>
      </c>
      <c r="H43">
        <v>1</v>
      </c>
      <c r="I43">
        <v>20</v>
      </c>
      <c r="J43" t="s">
        <v>358</v>
      </c>
      <c r="K43" s="15"/>
      <c r="M43" s="15"/>
      <c r="O43" s="15"/>
      <c r="Q43" s="15"/>
      <c r="R43">
        <v>20</v>
      </c>
      <c r="S43" s="15"/>
      <c r="U43" s="15"/>
    </row>
    <row r="44" spans="1:21">
      <c r="A44" t="s">
        <v>49</v>
      </c>
      <c r="B44">
        <v>347</v>
      </c>
      <c r="D44" t="s">
        <v>517</v>
      </c>
      <c r="E44" s="19">
        <v>8050846002012</v>
      </c>
      <c r="F44">
        <v>2</v>
      </c>
      <c r="H44">
        <v>1</v>
      </c>
      <c r="I44">
        <v>99</v>
      </c>
      <c r="J44" t="s">
        <v>358</v>
      </c>
      <c r="K44" s="15"/>
      <c r="M44" s="15"/>
      <c r="O44" s="15"/>
      <c r="Q44" s="15">
        <v>8050846002012</v>
      </c>
      <c r="R44">
        <v>99</v>
      </c>
      <c r="S44" s="15"/>
      <c r="U44" s="15"/>
    </row>
    <row r="45" spans="1:21">
      <c r="A45" t="s">
        <v>0</v>
      </c>
      <c r="B45">
        <v>130</v>
      </c>
      <c r="D45" t="s">
        <v>610</v>
      </c>
      <c r="E45" s="19">
        <v>8050846004863</v>
      </c>
      <c r="F45">
        <v>2</v>
      </c>
      <c r="H45">
        <v>1</v>
      </c>
      <c r="I45">
        <v>92</v>
      </c>
      <c r="J45" t="s">
        <v>358</v>
      </c>
      <c r="K45" s="15"/>
      <c r="M45" s="15"/>
      <c r="O45" s="15"/>
      <c r="Q45" s="15">
        <v>8050846004863</v>
      </c>
      <c r="R45">
        <v>92</v>
      </c>
      <c r="S45" s="15"/>
      <c r="U45" s="15"/>
    </row>
    <row r="46" spans="1:21">
      <c r="A46" t="s">
        <v>70</v>
      </c>
      <c r="B46">
        <v>55</v>
      </c>
      <c r="D46" t="s">
        <v>740</v>
      </c>
      <c r="E46" s="19">
        <v>8050846002272</v>
      </c>
      <c r="F46">
        <v>2</v>
      </c>
      <c r="H46">
        <v>1</v>
      </c>
      <c r="I46">
        <v>114</v>
      </c>
      <c r="J46" t="s">
        <v>358</v>
      </c>
      <c r="K46" s="15"/>
      <c r="M46" s="15"/>
      <c r="O46" s="15"/>
      <c r="Q46" s="15">
        <v>8050846002272</v>
      </c>
      <c r="R46">
        <v>114</v>
      </c>
      <c r="S46" s="15"/>
      <c r="U46" s="15"/>
    </row>
    <row r="47" spans="1:21">
      <c r="A47" t="s">
        <v>51</v>
      </c>
      <c r="B47">
        <v>17</v>
      </c>
      <c r="D47" t="s">
        <v>657</v>
      </c>
      <c r="E47" s="19" t="s">
        <v>790</v>
      </c>
      <c r="F47">
        <v>6</v>
      </c>
      <c r="H47">
        <v>1</v>
      </c>
      <c r="I47">
        <v>36</v>
      </c>
      <c r="J47" t="s">
        <v>358</v>
      </c>
      <c r="K47" s="15"/>
      <c r="M47" s="15"/>
      <c r="O47" s="15"/>
      <c r="Q47" s="15"/>
      <c r="R47">
        <v>36</v>
      </c>
      <c r="S47" s="15"/>
      <c r="U47" s="15"/>
    </row>
    <row r="48" spans="1:21">
      <c r="A48" t="s">
        <v>51</v>
      </c>
      <c r="B48">
        <v>36</v>
      </c>
      <c r="D48" t="s">
        <v>525</v>
      </c>
      <c r="E48" s="19">
        <v>8050846002616</v>
      </c>
      <c r="F48">
        <v>6</v>
      </c>
      <c r="H48">
        <v>1</v>
      </c>
      <c r="I48">
        <v>36</v>
      </c>
      <c r="J48" t="s">
        <v>358</v>
      </c>
      <c r="K48" s="15"/>
      <c r="M48" s="15"/>
      <c r="O48" s="15"/>
      <c r="Q48" s="15">
        <v>8050846002616</v>
      </c>
      <c r="R48">
        <v>36</v>
      </c>
      <c r="S48" s="15"/>
      <c r="U48" s="15"/>
    </row>
    <row r="49" spans="1:21">
      <c r="A49" t="s">
        <v>76</v>
      </c>
      <c r="B49">
        <v>55</v>
      </c>
      <c r="D49" t="s">
        <v>659</v>
      </c>
      <c r="E49" s="19">
        <v>8050846002357</v>
      </c>
      <c r="F49">
        <v>2</v>
      </c>
      <c r="H49">
        <v>1</v>
      </c>
      <c r="I49">
        <v>118</v>
      </c>
      <c r="J49" t="s">
        <v>358</v>
      </c>
      <c r="K49" s="15"/>
      <c r="M49" s="15"/>
      <c r="O49" s="15"/>
      <c r="Q49" s="15">
        <v>8050846002357</v>
      </c>
      <c r="R49">
        <v>118</v>
      </c>
      <c r="S49" s="15"/>
      <c r="U49" s="15"/>
    </row>
    <row r="50" spans="1:21">
      <c r="A50" t="s">
        <v>7</v>
      </c>
      <c r="B50">
        <v>8</v>
      </c>
      <c r="D50" t="s">
        <v>455</v>
      </c>
      <c r="E50" s="19">
        <v>8050846003194</v>
      </c>
      <c r="F50">
        <v>4</v>
      </c>
      <c r="H50">
        <v>1</v>
      </c>
      <c r="I50">
        <v>53</v>
      </c>
      <c r="J50" t="s">
        <v>358</v>
      </c>
      <c r="K50" s="15"/>
      <c r="M50" s="15"/>
      <c r="O50" s="15"/>
      <c r="Q50" s="15">
        <v>8050846003194</v>
      </c>
      <c r="R50">
        <v>53</v>
      </c>
      <c r="S50" s="15"/>
      <c r="U50" s="15"/>
    </row>
    <row r="51" spans="1:21">
      <c r="A51" t="s">
        <v>19</v>
      </c>
      <c r="B51">
        <v>26</v>
      </c>
      <c r="D51" t="s">
        <v>698</v>
      </c>
      <c r="E51" s="19">
        <v>8050846004672</v>
      </c>
      <c r="F51">
        <v>2</v>
      </c>
      <c r="H51">
        <v>1</v>
      </c>
      <c r="I51">
        <v>160</v>
      </c>
      <c r="J51" t="s">
        <v>358</v>
      </c>
      <c r="K51" s="15"/>
      <c r="M51" s="15"/>
      <c r="O51" s="15"/>
      <c r="Q51" s="15">
        <v>8050846004672</v>
      </c>
      <c r="R51">
        <v>160</v>
      </c>
      <c r="S51" s="15"/>
      <c r="U51" s="15"/>
    </row>
    <row r="52" spans="1:21">
      <c r="A52" t="s">
        <v>13</v>
      </c>
      <c r="B52">
        <v>17</v>
      </c>
      <c r="D52" t="s">
        <v>751</v>
      </c>
      <c r="E52" s="19">
        <v>8050846003774</v>
      </c>
      <c r="F52">
        <v>2</v>
      </c>
      <c r="H52">
        <v>1</v>
      </c>
      <c r="I52">
        <v>101</v>
      </c>
      <c r="J52" t="s">
        <v>358</v>
      </c>
      <c r="K52" s="15"/>
      <c r="M52" s="15"/>
      <c r="O52" s="15"/>
      <c r="Q52" s="15">
        <v>8050846003774</v>
      </c>
      <c r="R52">
        <v>101</v>
      </c>
      <c r="S52" s="15"/>
      <c r="U52" s="15"/>
    </row>
    <row r="53" spans="1:21">
      <c r="A53" t="s">
        <v>69</v>
      </c>
      <c r="B53">
        <v>479</v>
      </c>
      <c r="D53" t="s">
        <v>626</v>
      </c>
      <c r="E53" s="19" t="s">
        <v>789</v>
      </c>
      <c r="F53">
        <v>2</v>
      </c>
      <c r="H53">
        <v>0</v>
      </c>
      <c r="Q53" s="15"/>
    </row>
    <row r="54" spans="1:21">
      <c r="A54" t="s">
        <v>25</v>
      </c>
      <c r="B54">
        <v>26</v>
      </c>
      <c r="D54" t="s">
        <v>722</v>
      </c>
      <c r="E54" s="19">
        <v>8050846006782</v>
      </c>
      <c r="F54">
        <v>2</v>
      </c>
      <c r="H54">
        <v>1</v>
      </c>
      <c r="I54">
        <v>11</v>
      </c>
      <c r="J54" t="s">
        <v>358</v>
      </c>
      <c r="K54" s="15"/>
      <c r="M54" s="15"/>
      <c r="O54" s="15"/>
      <c r="Q54" s="15">
        <v>8050846006782</v>
      </c>
      <c r="R54">
        <v>11</v>
      </c>
      <c r="S54" s="15"/>
      <c r="U54" s="15"/>
    </row>
    <row r="55" spans="1:21">
      <c r="A55" t="s">
        <v>27</v>
      </c>
      <c r="B55">
        <v>8</v>
      </c>
      <c r="D55" t="s">
        <v>351</v>
      </c>
      <c r="E55" s="19">
        <v>8050846008113</v>
      </c>
      <c r="F55">
        <v>6</v>
      </c>
      <c r="H55">
        <v>1</v>
      </c>
      <c r="I55">
        <v>198</v>
      </c>
      <c r="J55" t="s">
        <v>358</v>
      </c>
      <c r="K55" s="15"/>
      <c r="M55" s="15"/>
      <c r="Q55" s="15">
        <v>8050846008113</v>
      </c>
      <c r="R55">
        <v>198</v>
      </c>
    </row>
    <row r="56" spans="1:21">
      <c r="A56" t="s">
        <v>27</v>
      </c>
      <c r="B56">
        <v>55</v>
      </c>
      <c r="D56" t="s">
        <v>635</v>
      </c>
      <c r="E56" s="19">
        <v>8050846008137</v>
      </c>
      <c r="F56">
        <v>6</v>
      </c>
      <c r="H56">
        <v>1</v>
      </c>
      <c r="I56">
        <v>198</v>
      </c>
      <c r="J56" t="s">
        <v>358</v>
      </c>
      <c r="Q56" s="15">
        <v>8050846008137</v>
      </c>
      <c r="R56">
        <v>198</v>
      </c>
    </row>
    <row r="57" spans="1:21">
      <c r="A57" t="s">
        <v>27</v>
      </c>
      <c r="B57">
        <v>63</v>
      </c>
      <c r="D57" t="s">
        <v>678</v>
      </c>
      <c r="E57" s="19">
        <v>8050846008144</v>
      </c>
      <c r="F57">
        <v>6</v>
      </c>
      <c r="H57">
        <v>1</v>
      </c>
      <c r="I57">
        <v>198</v>
      </c>
      <c r="J57" t="s">
        <v>358</v>
      </c>
      <c r="Q57" s="15">
        <v>8050846008144</v>
      </c>
      <c r="R57">
        <v>198</v>
      </c>
    </row>
    <row r="58" spans="1:21">
      <c r="A58" t="s">
        <v>27</v>
      </c>
      <c r="B58">
        <v>36</v>
      </c>
      <c r="D58" t="s">
        <v>481</v>
      </c>
      <c r="E58" s="19">
        <v>8050846008168</v>
      </c>
      <c r="F58">
        <v>6</v>
      </c>
      <c r="H58">
        <v>1</v>
      </c>
      <c r="I58">
        <v>198</v>
      </c>
      <c r="J58" t="s">
        <v>358</v>
      </c>
      <c r="Q58" s="15">
        <v>8050846008168</v>
      </c>
      <c r="R58">
        <v>198</v>
      </c>
    </row>
    <row r="59" spans="1:21">
      <c r="A59" t="s">
        <v>35</v>
      </c>
      <c r="B59">
        <v>36</v>
      </c>
      <c r="D59" t="s">
        <v>502</v>
      </c>
      <c r="E59" s="19" t="s">
        <v>789</v>
      </c>
      <c r="F59">
        <v>6</v>
      </c>
      <c r="H59">
        <v>0</v>
      </c>
      <c r="Q59" s="15"/>
    </row>
    <row r="60" spans="1:21">
      <c r="A60" t="s">
        <v>29</v>
      </c>
      <c r="B60">
        <v>55</v>
      </c>
      <c r="D60" t="s">
        <v>681</v>
      </c>
      <c r="E60" s="19">
        <v>8050846002760</v>
      </c>
      <c r="F60">
        <v>2</v>
      </c>
      <c r="H60">
        <v>1</v>
      </c>
      <c r="I60">
        <v>159</v>
      </c>
      <c r="J60" t="s">
        <v>358</v>
      </c>
      <c r="Q60" s="15">
        <v>8050846002760</v>
      </c>
      <c r="R60">
        <v>159</v>
      </c>
    </row>
    <row r="61" spans="1:21">
      <c r="A61" t="s">
        <v>13</v>
      </c>
      <c r="B61">
        <v>130</v>
      </c>
      <c r="D61" t="s">
        <v>555</v>
      </c>
      <c r="E61" s="19">
        <v>8050846003781</v>
      </c>
      <c r="F61">
        <v>2</v>
      </c>
      <c r="H61">
        <v>1</v>
      </c>
      <c r="I61">
        <v>101</v>
      </c>
      <c r="J61" t="s">
        <v>358</v>
      </c>
      <c r="Q61" s="15">
        <v>8050846003781</v>
      </c>
      <c r="R61">
        <v>101</v>
      </c>
    </row>
    <row r="62" spans="1:21">
      <c r="A62" t="s">
        <v>5</v>
      </c>
      <c r="B62">
        <v>76</v>
      </c>
      <c r="D62" t="s">
        <v>641</v>
      </c>
      <c r="E62" s="19">
        <v>8050846002159</v>
      </c>
      <c r="F62">
        <v>2</v>
      </c>
      <c r="H62">
        <v>1</v>
      </c>
      <c r="I62">
        <v>108</v>
      </c>
      <c r="J62" t="s">
        <v>358</v>
      </c>
      <c r="Q62" s="15">
        <v>8050846002159</v>
      </c>
      <c r="R62">
        <v>108</v>
      </c>
    </row>
    <row r="63" spans="1:21">
      <c r="A63" t="s">
        <v>70</v>
      </c>
      <c r="B63">
        <v>76</v>
      </c>
      <c r="D63" t="s">
        <v>769</v>
      </c>
      <c r="E63" s="19">
        <v>8050846002289</v>
      </c>
      <c r="F63">
        <v>2</v>
      </c>
      <c r="H63">
        <v>1</v>
      </c>
      <c r="I63">
        <v>114</v>
      </c>
      <c r="J63" t="s">
        <v>358</v>
      </c>
      <c r="Q63" s="15">
        <v>8050846002289</v>
      </c>
      <c r="R63">
        <v>114</v>
      </c>
    </row>
    <row r="64" spans="1:21">
      <c r="A64" t="s">
        <v>1</v>
      </c>
      <c r="B64">
        <v>17</v>
      </c>
      <c r="D64" t="s">
        <v>727</v>
      </c>
      <c r="E64" s="19">
        <v>8050846004573</v>
      </c>
      <c r="F64">
        <v>3</v>
      </c>
      <c r="H64">
        <v>1</v>
      </c>
      <c r="I64">
        <v>34</v>
      </c>
      <c r="J64" t="s">
        <v>358</v>
      </c>
      <c r="Q64" s="15">
        <v>8050846004573</v>
      </c>
      <c r="R64">
        <v>34</v>
      </c>
    </row>
    <row r="65" spans="1:18">
      <c r="A65" t="s">
        <v>1</v>
      </c>
      <c r="B65">
        <v>479</v>
      </c>
      <c r="D65" t="s">
        <v>728</v>
      </c>
      <c r="E65" s="19">
        <v>8050846004566</v>
      </c>
      <c r="F65">
        <v>3</v>
      </c>
      <c r="H65">
        <v>1</v>
      </c>
      <c r="I65">
        <v>34</v>
      </c>
      <c r="J65" t="s">
        <v>358</v>
      </c>
      <c r="K65" s="15"/>
      <c r="O65" s="15"/>
      <c r="Q65" s="15">
        <v>8050846004566</v>
      </c>
      <c r="R65">
        <v>34</v>
      </c>
    </row>
    <row r="66" spans="1:18">
      <c r="A66" t="s">
        <v>4</v>
      </c>
      <c r="B66">
        <v>55</v>
      </c>
      <c r="D66" t="s">
        <v>729</v>
      </c>
      <c r="E66" s="19">
        <v>8050846003057</v>
      </c>
      <c r="F66">
        <v>2</v>
      </c>
      <c r="H66">
        <v>1</v>
      </c>
      <c r="I66">
        <v>48</v>
      </c>
      <c r="J66" t="s">
        <v>358</v>
      </c>
      <c r="K66" s="15"/>
      <c r="O66" s="15"/>
      <c r="Q66" s="15">
        <v>8050846003057</v>
      </c>
      <c r="R66">
        <v>48</v>
      </c>
    </row>
    <row r="67" spans="1:18">
      <c r="A67" t="s">
        <v>125</v>
      </c>
      <c r="B67">
        <v>8</v>
      </c>
      <c r="D67" t="s">
        <v>772</v>
      </c>
      <c r="E67" s="19" t="s">
        <v>790</v>
      </c>
      <c r="F67">
        <v>2</v>
      </c>
      <c r="H67">
        <v>1</v>
      </c>
      <c r="I67">
        <v>96</v>
      </c>
      <c r="J67" t="s">
        <v>358</v>
      </c>
      <c r="Q67" s="15"/>
      <c r="R67">
        <v>96</v>
      </c>
    </row>
    <row r="68" spans="1:18">
      <c r="A68" t="s">
        <v>44</v>
      </c>
      <c r="B68">
        <v>227</v>
      </c>
      <c r="D68" t="s">
        <v>510</v>
      </c>
      <c r="E68" s="19" t="s">
        <v>790</v>
      </c>
      <c r="F68">
        <v>2</v>
      </c>
      <c r="H68">
        <v>1</v>
      </c>
      <c r="I68">
        <v>81</v>
      </c>
      <c r="J68" t="s">
        <v>358</v>
      </c>
      <c r="Q68" s="15"/>
      <c r="R68">
        <v>81</v>
      </c>
    </row>
    <row r="69" spans="1:18">
      <c r="A69" t="s">
        <v>60</v>
      </c>
      <c r="B69">
        <v>72</v>
      </c>
      <c r="D69" t="s">
        <v>686</v>
      </c>
      <c r="E69" s="19">
        <v>8050846005167</v>
      </c>
      <c r="F69">
        <v>2</v>
      </c>
      <c r="H69">
        <v>1</v>
      </c>
      <c r="I69">
        <v>136</v>
      </c>
      <c r="J69" t="s">
        <v>358</v>
      </c>
      <c r="O69" s="15"/>
      <c r="Q69" s="15">
        <v>8050846005167</v>
      </c>
      <c r="R69">
        <v>136</v>
      </c>
    </row>
    <row r="70" spans="1:18">
      <c r="A70" t="s">
        <v>128</v>
      </c>
      <c r="B70">
        <v>61</v>
      </c>
      <c r="D70" t="s">
        <v>777</v>
      </c>
      <c r="E70" s="19">
        <v>8050846005150</v>
      </c>
      <c r="F70">
        <v>2</v>
      </c>
      <c r="H70">
        <v>1</v>
      </c>
      <c r="I70">
        <v>136</v>
      </c>
      <c r="J70" t="s">
        <v>358</v>
      </c>
      <c r="O70" s="15"/>
      <c r="Q70" s="15">
        <v>8050846005150</v>
      </c>
      <c r="R70">
        <v>136</v>
      </c>
    </row>
    <row r="71" spans="1:18">
      <c r="A71" t="s">
        <v>117</v>
      </c>
      <c r="B71">
        <v>61</v>
      </c>
      <c r="D71" t="s">
        <v>736</v>
      </c>
      <c r="E71" s="19">
        <v>8050846004825</v>
      </c>
      <c r="F71">
        <v>2</v>
      </c>
      <c r="H71">
        <v>1</v>
      </c>
      <c r="I71">
        <v>140</v>
      </c>
      <c r="J71" t="s">
        <v>358</v>
      </c>
      <c r="K71" s="15"/>
      <c r="Q71" s="15">
        <v>8050846004825</v>
      </c>
      <c r="R71">
        <v>140</v>
      </c>
    </row>
    <row r="72" spans="1:18">
      <c r="A72" t="s">
        <v>2</v>
      </c>
      <c r="B72">
        <v>55</v>
      </c>
      <c r="D72" t="s">
        <v>781</v>
      </c>
      <c r="E72" s="19">
        <v>8050846006270</v>
      </c>
      <c r="F72">
        <v>2</v>
      </c>
      <c r="H72">
        <v>2</v>
      </c>
      <c r="I72">
        <v>10</v>
      </c>
      <c r="J72" t="s">
        <v>350</v>
      </c>
      <c r="K72" s="15">
        <v>8050846006270</v>
      </c>
      <c r="L72" t="s">
        <v>476</v>
      </c>
      <c r="Q72" s="15"/>
      <c r="R72">
        <v>17</v>
      </c>
    </row>
    <row r="73" spans="1:18">
      <c r="A73" t="s">
        <v>34</v>
      </c>
      <c r="B73">
        <v>479</v>
      </c>
      <c r="D73" t="s">
        <v>608</v>
      </c>
      <c r="E73" s="19">
        <v>8050846011588</v>
      </c>
      <c r="F73">
        <v>2</v>
      </c>
      <c r="H73">
        <v>1</v>
      </c>
      <c r="I73">
        <v>13</v>
      </c>
      <c r="J73" t="s">
        <v>358</v>
      </c>
      <c r="K73" s="15"/>
      <c r="Q73" s="15">
        <v>8050846011588</v>
      </c>
      <c r="R73">
        <v>13</v>
      </c>
    </row>
    <row r="74" spans="1:18">
      <c r="A74" t="s">
        <v>97</v>
      </c>
      <c r="B74">
        <v>61</v>
      </c>
      <c r="D74" t="s">
        <v>649</v>
      </c>
      <c r="E74" s="19" t="s">
        <v>790</v>
      </c>
      <c r="F74">
        <v>2</v>
      </c>
      <c r="H74">
        <v>1</v>
      </c>
      <c r="I74">
        <v>78</v>
      </c>
      <c r="J74" t="s">
        <v>358</v>
      </c>
      <c r="Q74" s="15"/>
      <c r="R74">
        <v>78</v>
      </c>
    </row>
    <row r="75" spans="1:18">
      <c r="A75" t="s">
        <v>99</v>
      </c>
      <c r="B75">
        <v>227</v>
      </c>
      <c r="D75" t="s">
        <v>651</v>
      </c>
      <c r="E75" s="19" t="s">
        <v>790</v>
      </c>
      <c r="F75">
        <v>2</v>
      </c>
      <c r="H75">
        <v>1</v>
      </c>
      <c r="I75">
        <v>81</v>
      </c>
      <c r="J75" t="s">
        <v>358</v>
      </c>
      <c r="Q75" s="15"/>
      <c r="R75">
        <v>81</v>
      </c>
    </row>
    <row r="76" spans="1:18">
      <c r="A76" t="s">
        <v>0</v>
      </c>
      <c r="B76">
        <v>347</v>
      </c>
      <c r="D76" t="s">
        <v>693</v>
      </c>
      <c r="E76" s="19">
        <v>8050846001794</v>
      </c>
      <c r="F76">
        <v>2</v>
      </c>
      <c r="H76">
        <v>1</v>
      </c>
      <c r="I76">
        <v>92</v>
      </c>
      <c r="J76" t="s">
        <v>358</v>
      </c>
      <c r="K76" s="15"/>
      <c r="O76" s="15"/>
      <c r="Q76" s="15">
        <v>8050846001794</v>
      </c>
      <c r="R76">
        <v>92</v>
      </c>
    </row>
    <row r="77" spans="1:18">
      <c r="A77" t="s">
        <v>50</v>
      </c>
      <c r="B77">
        <v>371</v>
      </c>
      <c r="D77" t="s">
        <v>695</v>
      </c>
      <c r="E77" s="19">
        <v>8050846003309</v>
      </c>
      <c r="F77">
        <v>2</v>
      </c>
      <c r="H77">
        <v>1</v>
      </c>
      <c r="I77">
        <v>7</v>
      </c>
      <c r="J77" t="s">
        <v>358</v>
      </c>
      <c r="Q77" s="15">
        <v>8050846003309</v>
      </c>
      <c r="R77">
        <v>7</v>
      </c>
    </row>
    <row r="78" spans="1:18">
      <c r="A78" t="s">
        <v>81</v>
      </c>
      <c r="B78">
        <v>408</v>
      </c>
      <c r="D78" t="s">
        <v>614</v>
      </c>
      <c r="E78" s="19">
        <v>8050846003859</v>
      </c>
      <c r="F78">
        <v>2</v>
      </c>
      <c r="H78">
        <v>1</v>
      </c>
      <c r="I78">
        <v>103</v>
      </c>
      <c r="J78" t="s">
        <v>358</v>
      </c>
      <c r="Q78" s="15">
        <v>8050846003859</v>
      </c>
      <c r="R78">
        <v>103</v>
      </c>
    </row>
    <row r="79" spans="1:18">
      <c r="A79" t="s">
        <v>50</v>
      </c>
      <c r="B79">
        <v>347</v>
      </c>
      <c r="D79" t="s">
        <v>523</v>
      </c>
      <c r="E79" s="19">
        <v>8050846003330</v>
      </c>
      <c r="F79">
        <v>2</v>
      </c>
      <c r="H79">
        <v>1</v>
      </c>
      <c r="I79">
        <v>7</v>
      </c>
      <c r="J79" t="s">
        <v>358</v>
      </c>
      <c r="Q79" s="15">
        <v>8050846003330</v>
      </c>
      <c r="R79">
        <v>7</v>
      </c>
    </row>
    <row r="80" spans="1:18">
      <c r="A80" t="s">
        <v>2</v>
      </c>
      <c r="B80">
        <v>347</v>
      </c>
      <c r="D80" t="s">
        <v>452</v>
      </c>
      <c r="E80" s="19">
        <v>8050846006294</v>
      </c>
      <c r="F80">
        <v>2</v>
      </c>
      <c r="H80">
        <v>1</v>
      </c>
      <c r="I80">
        <v>17</v>
      </c>
      <c r="J80" t="s">
        <v>358</v>
      </c>
      <c r="Q80" s="15">
        <v>8050846006294</v>
      </c>
      <c r="R80">
        <v>17</v>
      </c>
    </row>
    <row r="81" spans="1:18">
      <c r="A81" t="s">
        <v>31</v>
      </c>
      <c r="B81">
        <v>347</v>
      </c>
      <c r="D81" t="s">
        <v>658</v>
      </c>
      <c r="E81" s="19">
        <v>8050846002241</v>
      </c>
      <c r="F81">
        <v>2</v>
      </c>
      <c r="H81">
        <v>1</v>
      </c>
      <c r="I81">
        <v>114</v>
      </c>
      <c r="J81" t="s">
        <v>358</v>
      </c>
      <c r="Q81" s="15">
        <v>8050846002241</v>
      </c>
      <c r="R81">
        <v>114</v>
      </c>
    </row>
    <row r="82" spans="1:18">
      <c r="A82" t="s">
        <v>83</v>
      </c>
      <c r="B82">
        <v>76</v>
      </c>
      <c r="D82" t="s">
        <v>749</v>
      </c>
      <c r="E82" s="19" t="s">
        <v>790</v>
      </c>
      <c r="F82">
        <v>3</v>
      </c>
      <c r="H82">
        <v>1</v>
      </c>
      <c r="I82">
        <v>167</v>
      </c>
      <c r="J82" t="s">
        <v>358</v>
      </c>
      <c r="Q82" s="15"/>
      <c r="R82">
        <v>167</v>
      </c>
    </row>
    <row r="83" spans="1:18">
      <c r="A83" t="s">
        <v>102</v>
      </c>
      <c r="B83">
        <v>487</v>
      </c>
      <c r="D83" t="s">
        <v>664</v>
      </c>
      <c r="E83" s="19">
        <v>8050846007857</v>
      </c>
      <c r="F83">
        <v>3</v>
      </c>
      <c r="H83">
        <v>1</v>
      </c>
      <c r="I83">
        <v>184</v>
      </c>
      <c r="J83" t="s">
        <v>358</v>
      </c>
      <c r="Q83" s="15">
        <v>8050846007857</v>
      </c>
      <c r="R83">
        <v>184</v>
      </c>
    </row>
    <row r="84" spans="1:18">
      <c r="A84" t="s">
        <v>56</v>
      </c>
      <c r="B84">
        <v>8</v>
      </c>
      <c r="D84" t="s">
        <v>532</v>
      </c>
      <c r="E84" s="19">
        <v>8050846007840</v>
      </c>
      <c r="F84">
        <v>3</v>
      </c>
      <c r="H84">
        <v>1</v>
      </c>
      <c r="I84">
        <v>183</v>
      </c>
      <c r="J84" t="s">
        <v>358</v>
      </c>
      <c r="Q84" s="15">
        <v>8050846007840</v>
      </c>
      <c r="R84">
        <v>183</v>
      </c>
    </row>
    <row r="85" spans="1:18">
      <c r="A85" t="s">
        <v>2</v>
      </c>
      <c r="B85">
        <v>26</v>
      </c>
      <c r="D85" t="s">
        <v>665</v>
      </c>
      <c r="E85" s="19">
        <v>8050846006324</v>
      </c>
      <c r="F85">
        <v>2</v>
      </c>
      <c r="H85">
        <v>1</v>
      </c>
      <c r="I85">
        <v>17</v>
      </c>
      <c r="J85" t="s">
        <v>358</v>
      </c>
      <c r="Q85" s="15">
        <v>8050846006324</v>
      </c>
      <c r="R85">
        <v>17</v>
      </c>
    </row>
    <row r="86" spans="1:18">
      <c r="A86" t="s">
        <v>10</v>
      </c>
      <c r="B86">
        <v>479</v>
      </c>
      <c r="D86" t="s">
        <v>458</v>
      </c>
      <c r="E86" s="19">
        <v>8050846005648</v>
      </c>
      <c r="F86">
        <v>2</v>
      </c>
      <c r="H86">
        <v>1</v>
      </c>
      <c r="I86">
        <v>54</v>
      </c>
      <c r="J86" t="s">
        <v>358</v>
      </c>
      <c r="Q86" s="15">
        <v>8050846005648</v>
      </c>
      <c r="R86">
        <v>54</v>
      </c>
    </row>
    <row r="87" spans="1:18">
      <c r="A87" t="s">
        <v>15</v>
      </c>
      <c r="B87">
        <v>26</v>
      </c>
      <c r="D87" t="s">
        <v>534</v>
      </c>
      <c r="E87" s="19">
        <v>8050846004009</v>
      </c>
      <c r="F87">
        <v>2</v>
      </c>
      <c r="H87">
        <v>1</v>
      </c>
      <c r="I87">
        <v>106</v>
      </c>
      <c r="J87" t="s">
        <v>358</v>
      </c>
      <c r="Q87" s="15">
        <v>8050846004009</v>
      </c>
      <c r="R87">
        <v>106</v>
      </c>
    </row>
    <row r="88" spans="1:18">
      <c r="A88" t="s">
        <v>45</v>
      </c>
      <c r="B88">
        <v>36</v>
      </c>
      <c r="D88" t="s">
        <v>580</v>
      </c>
      <c r="E88" s="19">
        <v>8050846004658</v>
      </c>
      <c r="F88">
        <v>2</v>
      </c>
      <c r="H88">
        <v>1</v>
      </c>
      <c r="I88">
        <v>158</v>
      </c>
      <c r="J88" t="s">
        <v>358</v>
      </c>
      <c r="Q88" s="15">
        <v>8050846004658</v>
      </c>
      <c r="R88">
        <v>158</v>
      </c>
    </row>
    <row r="89" spans="1:18">
      <c r="A89" t="s">
        <v>45</v>
      </c>
      <c r="B89">
        <v>76</v>
      </c>
      <c r="D89" t="s">
        <v>535</v>
      </c>
      <c r="E89" s="19">
        <v>8050846004641</v>
      </c>
      <c r="F89">
        <v>2</v>
      </c>
      <c r="H89">
        <v>1</v>
      </c>
      <c r="I89">
        <v>158</v>
      </c>
      <c r="J89" t="s">
        <v>358</v>
      </c>
      <c r="Q89" s="15">
        <v>8050846004641</v>
      </c>
      <c r="R89">
        <v>158</v>
      </c>
    </row>
    <row r="90" spans="1:18">
      <c r="A90" t="s">
        <v>59</v>
      </c>
      <c r="B90">
        <v>479</v>
      </c>
      <c r="D90" t="s">
        <v>703</v>
      </c>
      <c r="E90" s="19" t="s">
        <v>789</v>
      </c>
      <c r="F90">
        <v>2</v>
      </c>
      <c r="H90">
        <v>0</v>
      </c>
      <c r="Q90" s="15"/>
    </row>
    <row r="91" spans="1:18">
      <c r="A91" t="s">
        <v>60</v>
      </c>
      <c r="B91">
        <v>130</v>
      </c>
      <c r="D91" t="s">
        <v>704</v>
      </c>
      <c r="E91" s="19">
        <v>8050846005174</v>
      </c>
      <c r="F91">
        <v>2</v>
      </c>
      <c r="H91">
        <v>1</v>
      </c>
      <c r="I91">
        <v>136</v>
      </c>
      <c r="J91" t="s">
        <v>358</v>
      </c>
      <c r="Q91" s="15">
        <v>8050846005174</v>
      </c>
      <c r="R91">
        <v>136</v>
      </c>
    </row>
    <row r="92" spans="1:18">
      <c r="A92" t="s">
        <v>104</v>
      </c>
      <c r="B92">
        <v>61</v>
      </c>
      <c r="D92" t="s">
        <v>669</v>
      </c>
      <c r="E92" s="19">
        <v>8050846004832</v>
      </c>
      <c r="F92">
        <v>2</v>
      </c>
      <c r="H92">
        <v>1</v>
      </c>
      <c r="I92">
        <v>141</v>
      </c>
      <c r="J92" t="s">
        <v>358</v>
      </c>
      <c r="Q92" s="15">
        <v>8050846004832</v>
      </c>
      <c r="R92">
        <v>141</v>
      </c>
    </row>
    <row r="93" spans="1:18">
      <c r="A93" t="s">
        <v>73</v>
      </c>
      <c r="B93">
        <v>479</v>
      </c>
      <c r="D93" t="s">
        <v>583</v>
      </c>
      <c r="E93" s="19">
        <v>8050846005549</v>
      </c>
      <c r="F93">
        <v>2</v>
      </c>
      <c r="H93">
        <v>1</v>
      </c>
      <c r="I93">
        <v>49</v>
      </c>
      <c r="J93" t="s">
        <v>358</v>
      </c>
      <c r="Q93" s="15">
        <v>8050846005549</v>
      </c>
      <c r="R93">
        <v>49</v>
      </c>
    </row>
    <row r="94" spans="1:18">
      <c r="A94" t="s">
        <v>1</v>
      </c>
      <c r="B94">
        <v>72</v>
      </c>
      <c r="D94" t="s">
        <v>707</v>
      </c>
      <c r="E94" s="19">
        <v>8050846005402</v>
      </c>
      <c r="F94">
        <v>3</v>
      </c>
      <c r="H94">
        <v>1</v>
      </c>
      <c r="I94">
        <v>34</v>
      </c>
      <c r="J94" t="s">
        <v>358</v>
      </c>
      <c r="Q94" s="15">
        <v>8050846005402</v>
      </c>
      <c r="R94">
        <v>34</v>
      </c>
    </row>
    <row r="95" spans="1:18">
      <c r="A95" t="s">
        <v>1</v>
      </c>
      <c r="B95">
        <v>483</v>
      </c>
      <c r="D95" t="s">
        <v>754</v>
      </c>
      <c r="E95" s="19" t="s">
        <v>790</v>
      </c>
      <c r="F95">
        <v>3</v>
      </c>
      <c r="H95">
        <v>1</v>
      </c>
      <c r="I95">
        <v>34</v>
      </c>
      <c r="J95" t="s">
        <v>358</v>
      </c>
      <c r="Q95" s="15"/>
      <c r="R95">
        <v>34</v>
      </c>
    </row>
    <row r="96" spans="1:18">
      <c r="A96" t="s">
        <v>33</v>
      </c>
      <c r="B96">
        <v>483</v>
      </c>
      <c r="D96" t="s">
        <v>494</v>
      </c>
      <c r="E96" s="19">
        <v>8050846005303</v>
      </c>
      <c r="F96">
        <v>6</v>
      </c>
      <c r="H96">
        <v>1</v>
      </c>
      <c r="I96">
        <v>68</v>
      </c>
      <c r="J96" t="s">
        <v>358</v>
      </c>
      <c r="Q96" s="15">
        <v>8050846005303</v>
      </c>
      <c r="R96">
        <v>68</v>
      </c>
    </row>
    <row r="97" spans="1:18">
      <c r="A97" t="s">
        <v>21</v>
      </c>
      <c r="B97">
        <v>78</v>
      </c>
      <c r="D97" t="s">
        <v>756</v>
      </c>
      <c r="E97" s="19">
        <v>8051770308669</v>
      </c>
      <c r="F97">
        <v>1</v>
      </c>
      <c r="H97">
        <v>2</v>
      </c>
      <c r="I97">
        <v>4</v>
      </c>
      <c r="J97" t="s">
        <v>350</v>
      </c>
      <c r="K97" s="15">
        <v>8051770308669</v>
      </c>
      <c r="L97" t="s">
        <v>541</v>
      </c>
      <c r="O97" s="15"/>
      <c r="P97">
        <v>4</v>
      </c>
      <c r="Q97" s="15"/>
    </row>
    <row r="98" spans="1:18">
      <c r="A98" t="s">
        <v>21</v>
      </c>
      <c r="B98">
        <v>17</v>
      </c>
      <c r="D98" t="s">
        <v>542</v>
      </c>
      <c r="E98" s="19">
        <v>8050450217574</v>
      </c>
      <c r="F98">
        <v>1</v>
      </c>
      <c r="H98">
        <v>2</v>
      </c>
      <c r="I98">
        <v>4</v>
      </c>
      <c r="J98" t="s">
        <v>350</v>
      </c>
      <c r="K98" s="15">
        <v>8050450217574</v>
      </c>
      <c r="L98" t="s">
        <v>541</v>
      </c>
      <c r="O98" s="15">
        <v>8050450217574</v>
      </c>
      <c r="P98">
        <v>4</v>
      </c>
      <c r="Q98" s="15"/>
    </row>
    <row r="99" spans="1:18">
      <c r="A99" t="s">
        <v>25</v>
      </c>
      <c r="B99">
        <v>71</v>
      </c>
      <c r="D99" t="s">
        <v>543</v>
      </c>
      <c r="E99" s="19">
        <v>8056098539856</v>
      </c>
      <c r="F99">
        <v>2</v>
      </c>
      <c r="H99">
        <v>2</v>
      </c>
      <c r="I99">
        <v>6</v>
      </c>
      <c r="J99" t="s">
        <v>350</v>
      </c>
      <c r="K99" s="15">
        <v>8056098539856</v>
      </c>
      <c r="L99" t="s">
        <v>474</v>
      </c>
      <c r="O99" s="15">
        <v>8056098539856</v>
      </c>
      <c r="P99">
        <v>8</v>
      </c>
      <c r="Q99" s="15"/>
    </row>
    <row r="100" spans="1:18">
      <c r="A100" t="s">
        <v>112</v>
      </c>
      <c r="B100">
        <v>78</v>
      </c>
      <c r="D100" t="s">
        <v>715</v>
      </c>
      <c r="E100" s="19">
        <v>8056099171574</v>
      </c>
      <c r="F100">
        <v>2</v>
      </c>
      <c r="H100">
        <v>2</v>
      </c>
      <c r="I100">
        <v>35</v>
      </c>
      <c r="J100" t="s">
        <v>350</v>
      </c>
      <c r="K100" s="15">
        <v>8056099171574</v>
      </c>
      <c r="L100" t="s">
        <v>716</v>
      </c>
      <c r="M100" s="15">
        <v>8056099171574</v>
      </c>
      <c r="N100" t="s">
        <v>717</v>
      </c>
      <c r="Q100" s="15"/>
    </row>
    <row r="101" spans="1:18">
      <c r="A101" t="s">
        <v>23</v>
      </c>
      <c r="B101">
        <v>76</v>
      </c>
      <c r="D101" t="s">
        <v>549</v>
      </c>
      <c r="E101" s="19">
        <v>8056099178559</v>
      </c>
      <c r="F101">
        <v>2</v>
      </c>
      <c r="H101">
        <v>1</v>
      </c>
      <c r="I101">
        <v>10</v>
      </c>
      <c r="J101" t="s">
        <v>358</v>
      </c>
      <c r="Q101" s="15">
        <v>8056099178559</v>
      </c>
      <c r="R101">
        <v>10</v>
      </c>
    </row>
    <row r="102" spans="1:18">
      <c r="A102" t="s">
        <v>22</v>
      </c>
      <c r="B102">
        <v>75</v>
      </c>
      <c r="D102" t="s">
        <v>674</v>
      </c>
      <c r="E102" s="19">
        <v>8058983592427</v>
      </c>
      <c r="F102">
        <v>2</v>
      </c>
      <c r="H102">
        <v>1</v>
      </c>
      <c r="I102">
        <v>8</v>
      </c>
      <c r="J102" t="s">
        <v>358</v>
      </c>
      <c r="Q102" s="15">
        <v>8058983592427</v>
      </c>
      <c r="R102">
        <v>8</v>
      </c>
    </row>
    <row r="103" spans="1:18">
      <c r="A103" t="s">
        <v>24</v>
      </c>
      <c r="B103">
        <v>71</v>
      </c>
      <c r="D103" t="s">
        <v>760</v>
      </c>
      <c r="E103" s="19">
        <v>8051770309673</v>
      </c>
      <c r="F103">
        <v>1</v>
      </c>
      <c r="H103">
        <v>2</v>
      </c>
      <c r="I103">
        <v>9</v>
      </c>
      <c r="J103" t="s">
        <v>350</v>
      </c>
      <c r="K103" s="15">
        <v>8051770309673</v>
      </c>
      <c r="L103" t="s">
        <v>375</v>
      </c>
      <c r="O103" s="15"/>
      <c r="P103">
        <v>10</v>
      </c>
      <c r="Q103" s="15"/>
    </row>
    <row r="104" spans="1:18">
      <c r="A104" t="s">
        <v>23</v>
      </c>
      <c r="B104">
        <v>371</v>
      </c>
      <c r="D104" t="s">
        <v>553</v>
      </c>
      <c r="E104" s="19" t="s">
        <v>790</v>
      </c>
      <c r="F104">
        <v>1</v>
      </c>
      <c r="H104">
        <v>1</v>
      </c>
      <c r="I104">
        <v>7</v>
      </c>
      <c r="J104" t="s">
        <v>357</v>
      </c>
      <c r="O104" s="15"/>
      <c r="P104">
        <v>7</v>
      </c>
      <c r="Q104" s="15"/>
    </row>
    <row r="105" spans="1:18">
      <c r="A105" t="s">
        <v>22</v>
      </c>
      <c r="B105">
        <v>371</v>
      </c>
      <c r="D105" t="s">
        <v>761</v>
      </c>
      <c r="E105" s="19" t="s">
        <v>790</v>
      </c>
      <c r="F105">
        <v>1</v>
      </c>
      <c r="H105">
        <v>1</v>
      </c>
      <c r="I105">
        <v>6</v>
      </c>
      <c r="J105" t="s">
        <v>357</v>
      </c>
      <c r="O105" s="15"/>
      <c r="P105">
        <v>6</v>
      </c>
      <c r="Q105" s="15"/>
    </row>
    <row r="106" spans="1:18">
      <c r="A106" t="s">
        <v>25</v>
      </c>
      <c r="B106">
        <v>347</v>
      </c>
      <c r="D106" t="s">
        <v>598</v>
      </c>
      <c r="E106" s="19">
        <v>8050846006768</v>
      </c>
      <c r="F106">
        <v>2</v>
      </c>
      <c r="H106">
        <v>1</v>
      </c>
      <c r="I106">
        <v>11</v>
      </c>
      <c r="J106" t="s">
        <v>358</v>
      </c>
      <c r="Q106" s="15">
        <v>8050846006768</v>
      </c>
      <c r="R106">
        <v>11</v>
      </c>
    </row>
    <row r="107" spans="1:18">
      <c r="A107" t="s">
        <v>34</v>
      </c>
      <c r="B107">
        <v>26</v>
      </c>
      <c r="D107" t="s">
        <v>500</v>
      </c>
      <c r="E107" s="19">
        <v>8050846006850</v>
      </c>
      <c r="F107">
        <v>2</v>
      </c>
      <c r="H107">
        <v>1</v>
      </c>
      <c r="I107">
        <v>13</v>
      </c>
      <c r="J107" t="s">
        <v>358</v>
      </c>
      <c r="Q107" s="15">
        <v>8050846006850</v>
      </c>
      <c r="R107">
        <v>13</v>
      </c>
    </row>
    <row r="108" spans="1:18">
      <c r="A108" t="s">
        <v>21</v>
      </c>
      <c r="B108">
        <v>479</v>
      </c>
      <c r="D108" t="s">
        <v>480</v>
      </c>
      <c r="E108" s="19">
        <v>8050846011434</v>
      </c>
      <c r="F108">
        <v>2</v>
      </c>
      <c r="H108">
        <v>1</v>
      </c>
      <c r="I108">
        <v>4</v>
      </c>
      <c r="J108" t="s">
        <v>358</v>
      </c>
      <c r="Q108" s="15">
        <v>8050846011434</v>
      </c>
      <c r="R108">
        <v>4</v>
      </c>
    </row>
    <row r="109" spans="1:18">
      <c r="A109" t="s">
        <v>35</v>
      </c>
      <c r="B109">
        <v>8</v>
      </c>
      <c r="D109" t="s">
        <v>637</v>
      </c>
      <c r="E109" s="19" t="s">
        <v>789</v>
      </c>
      <c r="F109">
        <v>6</v>
      </c>
      <c r="H109">
        <v>0</v>
      </c>
      <c r="Q109" s="15"/>
    </row>
    <row r="110" spans="1:18">
      <c r="A110" t="s">
        <v>90</v>
      </c>
      <c r="B110">
        <v>36</v>
      </c>
      <c r="D110" t="s">
        <v>639</v>
      </c>
      <c r="E110" s="19">
        <v>8050846005112</v>
      </c>
      <c r="F110">
        <v>2</v>
      </c>
      <c r="H110">
        <v>1</v>
      </c>
      <c r="I110">
        <v>120</v>
      </c>
      <c r="J110" t="s">
        <v>358</v>
      </c>
      <c r="Q110" s="15">
        <v>8050846005112</v>
      </c>
      <c r="R110">
        <v>120</v>
      </c>
    </row>
    <row r="111" spans="1:18">
      <c r="A111" t="s">
        <v>120</v>
      </c>
      <c r="B111">
        <v>480</v>
      </c>
      <c r="D111" t="s">
        <v>763</v>
      </c>
      <c r="E111" s="19" t="s">
        <v>790</v>
      </c>
      <c r="F111">
        <v>2</v>
      </c>
      <c r="H111">
        <v>1</v>
      </c>
      <c r="I111">
        <v>77</v>
      </c>
      <c r="J111" t="s">
        <v>358</v>
      </c>
      <c r="Q111" s="15"/>
      <c r="R111">
        <v>77</v>
      </c>
    </row>
    <row r="112" spans="1:18">
      <c r="A112" t="s">
        <v>21</v>
      </c>
      <c r="B112">
        <v>484</v>
      </c>
      <c r="D112" t="s">
        <v>764</v>
      </c>
      <c r="E112" s="19">
        <v>8050846016552</v>
      </c>
      <c r="F112">
        <v>2</v>
      </c>
      <c r="H112">
        <v>1</v>
      </c>
      <c r="I112">
        <v>4</v>
      </c>
      <c r="J112" t="s">
        <v>358</v>
      </c>
      <c r="Q112" s="15">
        <v>8050846016552</v>
      </c>
      <c r="R112">
        <v>4</v>
      </c>
    </row>
    <row r="113" spans="1:18">
      <c r="A113" t="s">
        <v>91</v>
      </c>
      <c r="B113">
        <v>55</v>
      </c>
      <c r="D113" t="s">
        <v>640</v>
      </c>
      <c r="E113" s="19">
        <v>8050846002494</v>
      </c>
      <c r="F113">
        <v>2</v>
      </c>
      <c r="H113">
        <v>1</v>
      </c>
      <c r="I113">
        <v>132</v>
      </c>
      <c r="J113" t="s">
        <v>358</v>
      </c>
      <c r="Q113" s="15">
        <v>8050846002494</v>
      </c>
      <c r="R113">
        <v>132</v>
      </c>
    </row>
    <row r="114" spans="1:18">
      <c r="A114" t="s">
        <v>123</v>
      </c>
      <c r="B114">
        <v>254</v>
      </c>
      <c r="D114" t="s">
        <v>768</v>
      </c>
      <c r="E114" s="19">
        <v>8050846003804</v>
      </c>
      <c r="F114">
        <v>2</v>
      </c>
      <c r="H114">
        <v>1</v>
      </c>
      <c r="I114">
        <v>101</v>
      </c>
      <c r="J114" t="s">
        <v>358</v>
      </c>
      <c r="K114" s="15"/>
      <c r="Q114" s="15">
        <v>8050846003804</v>
      </c>
      <c r="R114">
        <v>101</v>
      </c>
    </row>
    <row r="115" spans="1:18">
      <c r="A115" t="s">
        <v>105</v>
      </c>
      <c r="B115">
        <v>125</v>
      </c>
      <c r="D115" t="s">
        <v>682</v>
      </c>
      <c r="E115" s="19">
        <v>8050846005044</v>
      </c>
      <c r="F115">
        <v>2</v>
      </c>
      <c r="H115">
        <v>1</v>
      </c>
      <c r="I115">
        <v>106</v>
      </c>
      <c r="J115" t="s">
        <v>358</v>
      </c>
      <c r="Q115" s="15">
        <v>8050846005044</v>
      </c>
      <c r="R115">
        <v>106</v>
      </c>
    </row>
    <row r="116" spans="1:18">
      <c r="A116" t="s">
        <v>29</v>
      </c>
      <c r="B116">
        <v>36</v>
      </c>
      <c r="D116" t="s">
        <v>560</v>
      </c>
      <c r="E116" s="19" t="s">
        <v>789</v>
      </c>
      <c r="F116">
        <v>2</v>
      </c>
      <c r="H116">
        <v>0</v>
      </c>
      <c r="Q116" s="15"/>
    </row>
    <row r="117" spans="1:18">
      <c r="A117" t="s">
        <v>32</v>
      </c>
      <c r="B117">
        <v>75</v>
      </c>
      <c r="D117" t="s">
        <v>562</v>
      </c>
      <c r="E117" s="19">
        <v>8050846005327</v>
      </c>
      <c r="F117">
        <v>2</v>
      </c>
      <c r="H117">
        <v>1</v>
      </c>
      <c r="I117">
        <v>35</v>
      </c>
      <c r="J117" t="s">
        <v>358</v>
      </c>
      <c r="Q117" s="15">
        <v>8050846005327</v>
      </c>
      <c r="R117">
        <v>35</v>
      </c>
    </row>
    <row r="118" spans="1:18">
      <c r="A118" t="s">
        <v>34</v>
      </c>
      <c r="B118">
        <v>17</v>
      </c>
      <c r="D118" t="s">
        <v>630</v>
      </c>
      <c r="E118" s="19">
        <v>8056099177958</v>
      </c>
      <c r="F118">
        <v>2</v>
      </c>
      <c r="H118">
        <v>2</v>
      </c>
      <c r="I118">
        <v>7</v>
      </c>
      <c r="J118" t="s">
        <v>350</v>
      </c>
      <c r="K118" s="15">
        <v>8056099177958</v>
      </c>
      <c r="L118" t="s">
        <v>587</v>
      </c>
      <c r="O118" s="15">
        <v>8056099177958</v>
      </c>
      <c r="P118">
        <v>9</v>
      </c>
      <c r="Q118" s="15"/>
    </row>
    <row r="119" spans="1:18">
      <c r="A119" t="s">
        <v>34</v>
      </c>
      <c r="B119">
        <v>71</v>
      </c>
      <c r="D119" t="s">
        <v>591</v>
      </c>
      <c r="E119" s="19">
        <v>8050538590056</v>
      </c>
      <c r="F119">
        <v>2</v>
      </c>
      <c r="H119">
        <v>2</v>
      </c>
      <c r="I119">
        <v>7</v>
      </c>
      <c r="J119" t="s">
        <v>350</v>
      </c>
      <c r="K119" s="15">
        <v>8050538590056</v>
      </c>
      <c r="L119" t="s">
        <v>587</v>
      </c>
      <c r="O119" s="15"/>
      <c r="P119">
        <v>9</v>
      </c>
      <c r="Q119" s="15"/>
    </row>
    <row r="120" spans="1:18">
      <c r="A120" t="s">
        <v>1</v>
      </c>
      <c r="B120">
        <v>55</v>
      </c>
      <c r="D120" t="s">
        <v>720</v>
      </c>
      <c r="E120" s="19">
        <v>8050538595198</v>
      </c>
      <c r="F120">
        <v>4</v>
      </c>
      <c r="H120">
        <v>2</v>
      </c>
      <c r="I120">
        <v>25</v>
      </c>
      <c r="J120" t="s">
        <v>349</v>
      </c>
      <c r="M120" s="15">
        <v>8050538595198</v>
      </c>
      <c r="N120" t="s">
        <v>552</v>
      </c>
      <c r="Q120" s="15">
        <v>8050538595198</v>
      </c>
      <c r="R120">
        <v>34</v>
      </c>
    </row>
    <row r="121" spans="1:18">
      <c r="A121" t="s">
        <v>23</v>
      </c>
      <c r="B121">
        <v>422</v>
      </c>
      <c r="D121" t="s">
        <v>475</v>
      </c>
      <c r="E121" s="19">
        <v>8058983596418</v>
      </c>
      <c r="F121">
        <v>2</v>
      </c>
      <c r="H121">
        <v>2</v>
      </c>
      <c r="I121">
        <v>10</v>
      </c>
      <c r="J121" t="s">
        <v>349</v>
      </c>
      <c r="M121" s="15">
        <v>8058983596418</v>
      </c>
      <c r="N121" t="s">
        <v>476</v>
      </c>
      <c r="Q121" s="15">
        <v>8050846006645</v>
      </c>
      <c r="R121">
        <v>10</v>
      </c>
    </row>
    <row r="122" spans="1:18">
      <c r="A122" t="s">
        <v>52</v>
      </c>
      <c r="B122">
        <v>55</v>
      </c>
      <c r="D122" t="s">
        <v>595</v>
      </c>
      <c r="E122" s="19">
        <v>8050846002319</v>
      </c>
      <c r="F122">
        <v>2</v>
      </c>
      <c r="H122">
        <v>3</v>
      </c>
      <c r="I122">
        <v>34</v>
      </c>
      <c r="J122" t="s">
        <v>350</v>
      </c>
      <c r="K122" s="15">
        <v>8050846002319</v>
      </c>
      <c r="L122" t="s">
        <v>527</v>
      </c>
      <c r="M122" s="15" t="s">
        <v>380</v>
      </c>
      <c r="N122" t="s">
        <v>545</v>
      </c>
      <c r="Q122" s="15">
        <v>8050846002319</v>
      </c>
      <c r="R122">
        <v>115</v>
      </c>
    </row>
    <row r="123" spans="1:18">
      <c r="A123" t="s">
        <v>112</v>
      </c>
      <c r="B123">
        <v>55</v>
      </c>
      <c r="D123" t="s">
        <v>721</v>
      </c>
      <c r="E123" s="19">
        <v>8050846008281</v>
      </c>
      <c r="F123">
        <v>2</v>
      </c>
      <c r="H123">
        <v>2</v>
      </c>
      <c r="I123">
        <v>35</v>
      </c>
      <c r="J123" t="s">
        <v>350</v>
      </c>
      <c r="K123" s="15">
        <v>8050846008281</v>
      </c>
      <c r="L123" t="s">
        <v>716</v>
      </c>
      <c r="M123" s="15" t="s">
        <v>380</v>
      </c>
      <c r="N123" t="s">
        <v>717</v>
      </c>
      <c r="Q123" s="15"/>
    </row>
    <row r="124" spans="1:18">
      <c r="A124" t="s">
        <v>22</v>
      </c>
      <c r="B124">
        <v>26</v>
      </c>
      <c r="D124" t="s">
        <v>597</v>
      </c>
      <c r="E124" s="19">
        <v>8050846006720</v>
      </c>
      <c r="F124">
        <v>2</v>
      </c>
      <c r="H124">
        <v>1</v>
      </c>
      <c r="I124">
        <v>8</v>
      </c>
      <c r="J124" t="s">
        <v>358</v>
      </c>
      <c r="Q124" s="15">
        <v>8050846006720</v>
      </c>
      <c r="R124">
        <v>8</v>
      </c>
    </row>
    <row r="125" spans="1:18">
      <c r="A125" t="s">
        <v>25</v>
      </c>
      <c r="B125">
        <v>75</v>
      </c>
      <c r="D125" t="s">
        <v>599</v>
      </c>
      <c r="E125" s="19">
        <v>8050846006805</v>
      </c>
      <c r="F125">
        <v>2</v>
      </c>
      <c r="H125">
        <v>1</v>
      </c>
      <c r="I125">
        <v>11</v>
      </c>
      <c r="J125" t="s">
        <v>358</v>
      </c>
      <c r="Q125" s="15">
        <v>8050846006805</v>
      </c>
      <c r="R125">
        <v>11</v>
      </c>
    </row>
    <row r="126" spans="1:18">
      <c r="A126" t="s">
        <v>21</v>
      </c>
      <c r="B126">
        <v>26</v>
      </c>
      <c r="D126" t="s">
        <v>676</v>
      </c>
      <c r="E126" s="19">
        <v>8050846006393</v>
      </c>
      <c r="F126">
        <v>2</v>
      </c>
      <c r="H126">
        <v>1</v>
      </c>
      <c r="I126">
        <v>4</v>
      </c>
      <c r="J126" t="s">
        <v>358</v>
      </c>
      <c r="Q126" s="15">
        <v>8050846006393</v>
      </c>
      <c r="R126">
        <v>4</v>
      </c>
    </row>
    <row r="127" spans="1:18">
      <c r="A127" t="s">
        <v>35</v>
      </c>
      <c r="B127">
        <v>60</v>
      </c>
      <c r="D127" t="s">
        <v>638</v>
      </c>
      <c r="E127" s="19" t="s">
        <v>789</v>
      </c>
      <c r="F127">
        <v>6</v>
      </c>
      <c r="H127">
        <v>0</v>
      </c>
      <c r="Q127" s="15"/>
    </row>
    <row r="128" spans="1:18">
      <c r="A128" t="s">
        <v>121</v>
      </c>
      <c r="B128">
        <v>17</v>
      </c>
      <c r="D128" t="s">
        <v>765</v>
      </c>
      <c r="E128" s="19">
        <v>8050846004733</v>
      </c>
      <c r="F128">
        <v>2</v>
      </c>
      <c r="H128">
        <v>1</v>
      </c>
      <c r="I128">
        <v>153</v>
      </c>
      <c r="J128" t="s">
        <v>358</v>
      </c>
      <c r="Q128" s="15">
        <v>8050846004733</v>
      </c>
      <c r="R128">
        <v>153</v>
      </c>
    </row>
    <row r="129" spans="1:18">
      <c r="A129" t="s">
        <v>15</v>
      </c>
      <c r="B129">
        <v>76</v>
      </c>
      <c r="D129" t="s">
        <v>643</v>
      </c>
      <c r="E129" s="19">
        <v>8050846002227</v>
      </c>
      <c r="F129">
        <v>2</v>
      </c>
      <c r="H129">
        <v>1</v>
      </c>
      <c r="I129">
        <v>106</v>
      </c>
      <c r="J129" t="s">
        <v>358</v>
      </c>
      <c r="Q129" s="15">
        <v>8050846002227</v>
      </c>
      <c r="R129">
        <v>106</v>
      </c>
    </row>
    <row r="130" spans="1:18">
      <c r="A130" t="s">
        <v>29</v>
      </c>
      <c r="B130">
        <v>89</v>
      </c>
      <c r="D130" t="s">
        <v>484</v>
      </c>
      <c r="E130" s="19">
        <v>8050846002791</v>
      </c>
      <c r="F130">
        <v>2</v>
      </c>
      <c r="H130">
        <v>1</v>
      </c>
      <c r="I130">
        <v>159</v>
      </c>
      <c r="J130" t="s">
        <v>358</v>
      </c>
      <c r="Q130" s="15">
        <v>8050846002791</v>
      </c>
      <c r="R130">
        <v>159</v>
      </c>
    </row>
    <row r="131" spans="1:18">
      <c r="A131" t="s">
        <v>51</v>
      </c>
      <c r="B131">
        <v>76</v>
      </c>
      <c r="D131" t="s">
        <v>605</v>
      </c>
      <c r="E131" s="19">
        <v>8050846002593</v>
      </c>
      <c r="F131">
        <v>6</v>
      </c>
      <c r="H131">
        <v>1</v>
      </c>
      <c r="I131">
        <v>36</v>
      </c>
      <c r="J131" t="s">
        <v>358</v>
      </c>
      <c r="Q131" s="15">
        <v>8050846002593</v>
      </c>
      <c r="R131">
        <v>36</v>
      </c>
    </row>
    <row r="132" spans="1:18">
      <c r="A132" t="s">
        <v>115</v>
      </c>
      <c r="B132">
        <v>55</v>
      </c>
      <c r="D132" t="s">
        <v>733</v>
      </c>
      <c r="E132" s="19">
        <v>8050846002630</v>
      </c>
      <c r="F132">
        <v>4</v>
      </c>
      <c r="H132">
        <v>1</v>
      </c>
      <c r="I132">
        <v>33</v>
      </c>
      <c r="J132" t="s">
        <v>358</v>
      </c>
      <c r="Q132" s="15">
        <v>8050846002630</v>
      </c>
      <c r="R132">
        <v>33</v>
      </c>
    </row>
    <row r="133" spans="1:18">
      <c r="A133" t="s">
        <v>43</v>
      </c>
      <c r="B133">
        <v>408</v>
      </c>
      <c r="D133" t="s">
        <v>509</v>
      </c>
      <c r="E133" s="19">
        <v>8050846004726</v>
      </c>
      <c r="F133">
        <v>2</v>
      </c>
      <c r="H133">
        <v>1</v>
      </c>
      <c r="I133">
        <v>152</v>
      </c>
      <c r="J133" t="s">
        <v>358</v>
      </c>
      <c r="Q133" s="15">
        <v>8050846004726</v>
      </c>
      <c r="R133">
        <v>152</v>
      </c>
    </row>
    <row r="134" spans="1:18">
      <c r="A134" t="s">
        <v>104</v>
      </c>
      <c r="B134">
        <v>72</v>
      </c>
      <c r="D134" t="s">
        <v>775</v>
      </c>
      <c r="E134" s="19">
        <v>8050846004849</v>
      </c>
      <c r="F134">
        <v>2</v>
      </c>
      <c r="H134">
        <v>1</v>
      </c>
      <c r="I134">
        <v>141</v>
      </c>
      <c r="J134" t="s">
        <v>358</v>
      </c>
      <c r="Q134" s="15">
        <v>8050846004849</v>
      </c>
      <c r="R134">
        <v>141</v>
      </c>
    </row>
    <row r="135" spans="1:18">
      <c r="A135" t="s">
        <v>49</v>
      </c>
      <c r="B135">
        <v>76</v>
      </c>
      <c r="D135" t="s">
        <v>684</v>
      </c>
      <c r="E135" s="19">
        <v>8050846002029</v>
      </c>
      <c r="F135">
        <v>2</v>
      </c>
      <c r="H135">
        <v>1</v>
      </c>
      <c r="I135">
        <v>99</v>
      </c>
      <c r="J135" t="s">
        <v>358</v>
      </c>
      <c r="Q135" s="15">
        <v>8050846002029</v>
      </c>
      <c r="R135">
        <v>99</v>
      </c>
    </row>
    <row r="136" spans="1:18">
      <c r="A136" t="s">
        <v>45</v>
      </c>
      <c r="B136">
        <v>9</v>
      </c>
      <c r="D136" t="s">
        <v>511</v>
      </c>
      <c r="E136" s="19">
        <v>8050846004634</v>
      </c>
      <c r="F136">
        <v>2</v>
      </c>
      <c r="H136">
        <v>1</v>
      </c>
      <c r="I136">
        <v>158</v>
      </c>
      <c r="J136" t="s">
        <v>358</v>
      </c>
      <c r="K136" s="15"/>
      <c r="O136" s="15"/>
      <c r="Q136" s="15">
        <v>8050846004634</v>
      </c>
      <c r="R136">
        <v>158</v>
      </c>
    </row>
    <row r="137" spans="1:18">
      <c r="A137" t="s">
        <v>47</v>
      </c>
      <c r="B137">
        <v>482</v>
      </c>
      <c r="D137" t="s">
        <v>513</v>
      </c>
      <c r="E137" s="19">
        <v>8050846005594</v>
      </c>
      <c r="F137">
        <v>3</v>
      </c>
      <c r="H137">
        <v>1</v>
      </c>
      <c r="I137">
        <v>52</v>
      </c>
      <c r="J137" t="s">
        <v>358</v>
      </c>
      <c r="K137" s="15"/>
      <c r="O137" s="15"/>
      <c r="Q137" s="15">
        <v>8050846005594</v>
      </c>
      <c r="R137">
        <v>52</v>
      </c>
    </row>
    <row r="138" spans="1:18">
      <c r="A138" t="s">
        <v>50</v>
      </c>
      <c r="B138">
        <v>55</v>
      </c>
      <c r="D138" t="s">
        <v>780</v>
      </c>
      <c r="E138" s="19">
        <v>8050846003316</v>
      </c>
      <c r="F138">
        <v>2</v>
      </c>
      <c r="H138">
        <v>1</v>
      </c>
      <c r="I138">
        <v>7</v>
      </c>
      <c r="J138" t="s">
        <v>358</v>
      </c>
      <c r="K138" s="15"/>
      <c r="O138" s="15"/>
      <c r="Q138" s="15">
        <v>8050846003316</v>
      </c>
      <c r="R138">
        <v>7</v>
      </c>
    </row>
    <row r="139" spans="1:18">
      <c r="A139" t="s">
        <v>2</v>
      </c>
      <c r="B139">
        <v>75</v>
      </c>
      <c r="D139" t="s">
        <v>607</v>
      </c>
      <c r="E139" s="19">
        <v>8050846006355</v>
      </c>
      <c r="F139">
        <v>2</v>
      </c>
      <c r="H139">
        <v>1</v>
      </c>
      <c r="I139">
        <v>17</v>
      </c>
      <c r="J139" t="s">
        <v>358</v>
      </c>
      <c r="K139" s="15"/>
      <c r="O139" s="15"/>
      <c r="Q139" s="15">
        <v>8050846006355</v>
      </c>
      <c r="R139">
        <v>17</v>
      </c>
    </row>
    <row r="140" spans="1:18">
      <c r="A140" t="s">
        <v>119</v>
      </c>
      <c r="B140">
        <v>36</v>
      </c>
      <c r="D140" t="s">
        <v>737</v>
      </c>
      <c r="E140" s="19" t="s">
        <v>790</v>
      </c>
      <c r="F140">
        <v>2</v>
      </c>
      <c r="H140">
        <v>1</v>
      </c>
      <c r="I140">
        <v>93</v>
      </c>
      <c r="J140" t="s">
        <v>358</v>
      </c>
      <c r="K140" s="15"/>
      <c r="M140" s="15"/>
      <c r="Q140" s="15"/>
      <c r="R140">
        <v>93</v>
      </c>
    </row>
    <row r="141" spans="1:18">
      <c r="A141" t="s">
        <v>49</v>
      </c>
      <c r="B141">
        <v>422</v>
      </c>
      <c r="D141" t="s">
        <v>568</v>
      </c>
      <c r="E141" s="19">
        <v>8050846002036</v>
      </c>
      <c r="F141">
        <v>2</v>
      </c>
      <c r="H141">
        <v>1</v>
      </c>
      <c r="I141">
        <v>99</v>
      </c>
      <c r="J141" t="s">
        <v>358</v>
      </c>
      <c r="O141" s="15"/>
      <c r="Q141" s="15">
        <v>8050846002036</v>
      </c>
      <c r="R141">
        <v>99</v>
      </c>
    </row>
    <row r="142" spans="1:18">
      <c r="A142" t="s">
        <v>46</v>
      </c>
      <c r="B142">
        <v>8</v>
      </c>
      <c r="D142" t="s">
        <v>518</v>
      </c>
      <c r="E142" s="19">
        <v>8050846004511</v>
      </c>
      <c r="F142">
        <v>2</v>
      </c>
      <c r="H142">
        <v>1</v>
      </c>
      <c r="I142">
        <v>20</v>
      </c>
      <c r="J142" t="s">
        <v>358</v>
      </c>
      <c r="Q142" s="15">
        <v>8050846004511</v>
      </c>
      <c r="R142">
        <v>20</v>
      </c>
    </row>
    <row r="143" spans="1:18">
      <c r="A143" t="s">
        <v>49</v>
      </c>
      <c r="B143">
        <v>75</v>
      </c>
      <c r="D143" t="s">
        <v>611</v>
      </c>
      <c r="E143" s="19">
        <v>8050846004948</v>
      </c>
      <c r="F143">
        <v>2</v>
      </c>
      <c r="H143">
        <v>1</v>
      </c>
      <c r="I143">
        <v>99</v>
      </c>
      <c r="J143" t="s">
        <v>358</v>
      </c>
      <c r="Q143" s="15">
        <v>8050846004948</v>
      </c>
      <c r="R143">
        <v>99</v>
      </c>
    </row>
    <row r="144" spans="1:18">
      <c r="A144" t="s">
        <v>80</v>
      </c>
      <c r="B144">
        <v>9</v>
      </c>
      <c r="D144" t="s">
        <v>613</v>
      </c>
      <c r="E144" s="19">
        <v>8050846004702</v>
      </c>
      <c r="F144">
        <v>2</v>
      </c>
      <c r="H144">
        <v>1</v>
      </c>
      <c r="I144">
        <v>152</v>
      </c>
      <c r="J144" t="s">
        <v>358</v>
      </c>
      <c r="Q144" s="15">
        <v>8050846004702</v>
      </c>
      <c r="R144">
        <v>152</v>
      </c>
    </row>
    <row r="145" spans="1:18">
      <c r="A145" t="s">
        <v>1</v>
      </c>
      <c r="B145">
        <v>76</v>
      </c>
      <c r="D145" t="s">
        <v>451</v>
      </c>
      <c r="E145" s="19">
        <v>8050846004580</v>
      </c>
      <c r="F145">
        <v>3</v>
      </c>
      <c r="H145">
        <v>1</v>
      </c>
      <c r="I145">
        <v>34</v>
      </c>
      <c r="J145" t="s">
        <v>358</v>
      </c>
      <c r="K145" s="15"/>
      <c r="O145" s="15"/>
      <c r="Q145" s="15">
        <v>8050846004580</v>
      </c>
      <c r="R145">
        <v>34</v>
      </c>
    </row>
    <row r="146" spans="1:18">
      <c r="A146" t="s">
        <v>8</v>
      </c>
      <c r="B146">
        <v>76</v>
      </c>
      <c r="D146" t="s">
        <v>741</v>
      </c>
      <c r="E146" s="19">
        <v>8050846002715</v>
      </c>
      <c r="F146">
        <v>2</v>
      </c>
      <c r="H146">
        <v>1</v>
      </c>
      <c r="I146">
        <v>158</v>
      </c>
      <c r="J146" t="s">
        <v>358</v>
      </c>
      <c r="K146" s="15"/>
      <c r="O146" s="15"/>
      <c r="Q146" s="15">
        <v>8050846002715</v>
      </c>
      <c r="R146">
        <v>158</v>
      </c>
    </row>
    <row r="147" spans="1:18">
      <c r="A147" t="s">
        <v>51</v>
      </c>
      <c r="B147">
        <v>371</v>
      </c>
      <c r="D147" t="s">
        <v>572</v>
      </c>
      <c r="E147" s="19">
        <v>8050846002623</v>
      </c>
      <c r="F147">
        <v>6</v>
      </c>
      <c r="H147">
        <v>1</v>
      </c>
      <c r="I147">
        <v>36</v>
      </c>
      <c r="J147" t="s">
        <v>358</v>
      </c>
      <c r="Q147" s="15">
        <v>8050846002623</v>
      </c>
      <c r="R147">
        <v>36</v>
      </c>
    </row>
    <row r="148" spans="1:18">
      <c r="A148" t="s">
        <v>31</v>
      </c>
      <c r="B148">
        <v>422</v>
      </c>
      <c r="D148" t="s">
        <v>743</v>
      </c>
      <c r="E148" s="19">
        <v>8050846002265</v>
      </c>
      <c r="F148">
        <v>2</v>
      </c>
      <c r="H148">
        <v>1</v>
      </c>
      <c r="I148">
        <v>114</v>
      </c>
      <c r="J148" t="s">
        <v>358</v>
      </c>
      <c r="M148" s="15"/>
      <c r="Q148" s="15">
        <v>8050846002265</v>
      </c>
      <c r="R148">
        <v>114</v>
      </c>
    </row>
    <row r="149" spans="1:18">
      <c r="A149" t="s">
        <v>52</v>
      </c>
      <c r="B149">
        <v>8</v>
      </c>
      <c r="D149" t="s">
        <v>526</v>
      </c>
      <c r="E149" s="19">
        <v>8050846002326</v>
      </c>
      <c r="F149">
        <v>2</v>
      </c>
      <c r="H149">
        <v>2</v>
      </c>
      <c r="I149">
        <v>34</v>
      </c>
      <c r="J149" t="s">
        <v>350</v>
      </c>
      <c r="K149" s="15">
        <v>8050846002326</v>
      </c>
      <c r="L149" t="s">
        <v>527</v>
      </c>
      <c r="O149" s="15"/>
      <c r="Q149" s="15">
        <v>8050846002326</v>
      </c>
      <c r="R149">
        <v>115</v>
      </c>
    </row>
    <row r="150" spans="1:18">
      <c r="A150" t="s">
        <v>6</v>
      </c>
      <c r="B150">
        <v>36</v>
      </c>
      <c r="D150" t="s">
        <v>744</v>
      </c>
      <c r="E150" s="19">
        <v>8050846002456</v>
      </c>
      <c r="F150">
        <v>2</v>
      </c>
      <c r="H150">
        <v>1</v>
      </c>
      <c r="I150">
        <v>131</v>
      </c>
      <c r="J150" t="s">
        <v>358</v>
      </c>
      <c r="K150" s="15"/>
      <c r="O150" s="15"/>
      <c r="Q150" s="15">
        <v>8050846002456</v>
      </c>
      <c r="R150">
        <v>131</v>
      </c>
    </row>
    <row r="151" spans="1:18">
      <c r="A151" t="s">
        <v>57</v>
      </c>
      <c r="B151">
        <v>497</v>
      </c>
      <c r="D151" t="s">
        <v>533</v>
      </c>
      <c r="E151" s="19" t="s">
        <v>790</v>
      </c>
      <c r="F151">
        <v>3</v>
      </c>
      <c r="H151">
        <v>1</v>
      </c>
      <c r="I151">
        <v>184</v>
      </c>
      <c r="J151" t="s">
        <v>358</v>
      </c>
      <c r="Q151" s="15"/>
      <c r="R151">
        <v>184</v>
      </c>
    </row>
    <row r="152" spans="1:18">
      <c r="A152" t="s">
        <v>2</v>
      </c>
      <c r="B152">
        <v>479</v>
      </c>
      <c r="D152" t="s">
        <v>578</v>
      </c>
      <c r="E152" s="19" t="s">
        <v>790</v>
      </c>
      <c r="F152">
        <v>2</v>
      </c>
      <c r="H152">
        <v>1</v>
      </c>
      <c r="I152">
        <v>17</v>
      </c>
      <c r="J152" t="s">
        <v>358</v>
      </c>
      <c r="Q152" s="15"/>
      <c r="R152">
        <v>17</v>
      </c>
    </row>
    <row r="153" spans="1:18">
      <c r="A153" t="s">
        <v>107</v>
      </c>
      <c r="B153">
        <v>481</v>
      </c>
      <c r="D153" t="s">
        <v>700</v>
      </c>
      <c r="E153" s="19">
        <v>8050846004078</v>
      </c>
      <c r="F153">
        <v>2</v>
      </c>
      <c r="H153">
        <v>1</v>
      </c>
      <c r="I153">
        <v>119</v>
      </c>
      <c r="J153" t="s">
        <v>358</v>
      </c>
      <c r="Q153" s="15">
        <v>8050846004078</v>
      </c>
      <c r="R153">
        <v>119</v>
      </c>
    </row>
    <row r="154" spans="1:18">
      <c r="A154" t="s">
        <v>87</v>
      </c>
      <c r="B154">
        <v>474</v>
      </c>
      <c r="D154" t="s">
        <v>623</v>
      </c>
      <c r="E154" s="19">
        <v>8050846003545</v>
      </c>
      <c r="F154">
        <v>2</v>
      </c>
      <c r="H154">
        <v>1</v>
      </c>
      <c r="I154">
        <v>140</v>
      </c>
      <c r="J154" t="s">
        <v>358</v>
      </c>
      <c r="Q154" s="15">
        <v>8050846003545</v>
      </c>
      <c r="R154">
        <v>140</v>
      </c>
    </row>
    <row r="155" spans="1:18">
      <c r="A155" t="s">
        <v>54</v>
      </c>
      <c r="B155">
        <v>479</v>
      </c>
      <c r="D155" t="s">
        <v>624</v>
      </c>
      <c r="E155" s="19">
        <v>8050846004313</v>
      </c>
      <c r="F155">
        <v>6</v>
      </c>
      <c r="H155">
        <v>1</v>
      </c>
      <c r="I155">
        <v>67</v>
      </c>
      <c r="J155" t="s">
        <v>358</v>
      </c>
      <c r="Q155" s="15">
        <v>8050846004313</v>
      </c>
      <c r="R155">
        <v>67</v>
      </c>
    </row>
    <row r="156" spans="1:18">
      <c r="A156" t="s">
        <v>88</v>
      </c>
      <c r="B156">
        <v>75</v>
      </c>
      <c r="D156" t="s">
        <v>753</v>
      </c>
      <c r="E156" s="19" t="s">
        <v>789</v>
      </c>
      <c r="F156">
        <v>2</v>
      </c>
      <c r="H156">
        <v>0</v>
      </c>
      <c r="Q156" s="15"/>
    </row>
    <row r="157" spans="1:18">
      <c r="A157" t="s">
        <v>15</v>
      </c>
      <c r="B157">
        <v>75</v>
      </c>
      <c r="D157" t="s">
        <v>490</v>
      </c>
      <c r="E157" s="19">
        <v>8050846005051</v>
      </c>
      <c r="F157">
        <v>2</v>
      </c>
      <c r="H157">
        <v>1</v>
      </c>
      <c r="I157">
        <v>106</v>
      </c>
      <c r="J157" t="s">
        <v>358</v>
      </c>
      <c r="Q157" s="15">
        <v>8050846005051</v>
      </c>
      <c r="R157">
        <v>106</v>
      </c>
    </row>
    <row r="158" spans="1:18">
      <c r="A158" t="s">
        <v>15</v>
      </c>
      <c r="B158">
        <v>422</v>
      </c>
      <c r="D158" t="s">
        <v>539</v>
      </c>
      <c r="E158" s="19">
        <v>8050846002234</v>
      </c>
      <c r="F158">
        <v>2</v>
      </c>
      <c r="H158">
        <v>1</v>
      </c>
      <c r="I158">
        <v>106</v>
      </c>
      <c r="J158" t="s">
        <v>358</v>
      </c>
      <c r="Q158" s="15">
        <v>8050846002234</v>
      </c>
      <c r="R158">
        <v>106</v>
      </c>
    </row>
    <row r="159" spans="1:18">
      <c r="A159" t="s">
        <v>5</v>
      </c>
      <c r="B159">
        <v>422</v>
      </c>
      <c r="D159" t="s">
        <v>713</v>
      </c>
      <c r="E159" s="19">
        <v>8050846002166</v>
      </c>
      <c r="F159">
        <v>2</v>
      </c>
      <c r="H159">
        <v>1</v>
      </c>
      <c r="I159">
        <v>108</v>
      </c>
      <c r="J159" t="s">
        <v>358</v>
      </c>
      <c r="Q159" s="15">
        <v>8050846002166</v>
      </c>
      <c r="R159">
        <v>108</v>
      </c>
    </row>
    <row r="160" spans="1:18">
      <c r="A160" t="s">
        <v>10</v>
      </c>
      <c r="B160">
        <v>55</v>
      </c>
      <c r="D160" t="s">
        <v>493</v>
      </c>
      <c r="E160" s="19">
        <v>8050846003248</v>
      </c>
      <c r="F160">
        <v>2</v>
      </c>
      <c r="H160">
        <v>1</v>
      </c>
      <c r="I160">
        <v>54</v>
      </c>
      <c r="J160" t="s">
        <v>358</v>
      </c>
      <c r="Q160" s="15">
        <v>8050846003248</v>
      </c>
      <c r="R160">
        <v>54</v>
      </c>
    </row>
    <row r="161" spans="1:18">
      <c r="A161" t="s">
        <v>20</v>
      </c>
      <c r="B161">
        <v>55</v>
      </c>
      <c r="D161" t="s">
        <v>465</v>
      </c>
      <c r="E161" s="19">
        <v>8056099170676</v>
      </c>
      <c r="F161">
        <v>10</v>
      </c>
      <c r="H161">
        <v>2</v>
      </c>
      <c r="I161">
        <v>33</v>
      </c>
      <c r="J161" t="s">
        <v>349</v>
      </c>
      <c r="M161" s="15">
        <v>8056099170676</v>
      </c>
      <c r="N161" t="s">
        <v>466</v>
      </c>
      <c r="Q161" s="15">
        <v>8056099170676</v>
      </c>
      <c r="R161">
        <v>66</v>
      </c>
    </row>
    <row r="162" spans="1:18">
      <c r="A162" t="s">
        <v>52</v>
      </c>
      <c r="B162">
        <v>78</v>
      </c>
      <c r="D162" t="s">
        <v>544</v>
      </c>
      <c r="E162" s="19">
        <v>8056099171529</v>
      </c>
      <c r="F162">
        <v>2</v>
      </c>
      <c r="H162">
        <v>2</v>
      </c>
      <c r="I162">
        <v>34</v>
      </c>
      <c r="J162" t="s">
        <v>350</v>
      </c>
      <c r="K162" s="15">
        <v>8056099171529</v>
      </c>
      <c r="L162" t="s">
        <v>527</v>
      </c>
      <c r="M162" s="15">
        <v>8056099171529</v>
      </c>
      <c r="N162" t="s">
        <v>545</v>
      </c>
      <c r="Q162" s="15"/>
    </row>
    <row r="163" spans="1:18">
      <c r="A163" t="s">
        <v>24</v>
      </c>
      <c r="B163">
        <v>133</v>
      </c>
      <c r="D163" t="s">
        <v>470</v>
      </c>
      <c r="E163" s="19" t="s">
        <v>790</v>
      </c>
      <c r="F163">
        <v>1</v>
      </c>
      <c r="H163">
        <v>1</v>
      </c>
      <c r="I163">
        <v>10</v>
      </c>
      <c r="J163" t="s">
        <v>357</v>
      </c>
      <c r="O163" s="15"/>
      <c r="P163">
        <v>10</v>
      </c>
      <c r="Q163" s="15"/>
    </row>
    <row r="164" spans="1:18">
      <c r="A164" t="s">
        <v>1</v>
      </c>
      <c r="B164">
        <v>221</v>
      </c>
      <c r="D164" t="s">
        <v>551</v>
      </c>
      <c r="E164" s="19">
        <v>8050538595563</v>
      </c>
      <c r="F164">
        <v>4</v>
      </c>
      <c r="H164">
        <v>2</v>
      </c>
      <c r="I164">
        <v>25</v>
      </c>
      <c r="J164" t="s">
        <v>349</v>
      </c>
      <c r="M164" s="15">
        <v>8050538595563</v>
      </c>
      <c r="N164" t="s">
        <v>552</v>
      </c>
      <c r="Q164" s="15">
        <v>8050538595563</v>
      </c>
      <c r="R164">
        <v>34</v>
      </c>
    </row>
    <row r="165" spans="1:18">
      <c r="A165" t="s">
        <v>3</v>
      </c>
      <c r="B165">
        <v>470</v>
      </c>
      <c r="D165" t="s">
        <v>453</v>
      </c>
      <c r="E165" s="19">
        <v>8050846003125</v>
      </c>
      <c r="F165">
        <v>2</v>
      </c>
      <c r="H165">
        <v>1</v>
      </c>
      <c r="I165">
        <v>51</v>
      </c>
      <c r="J165" t="s">
        <v>358</v>
      </c>
      <c r="Q165" s="15">
        <v>8050846003125</v>
      </c>
      <c r="R165">
        <v>51</v>
      </c>
    </row>
    <row r="166" spans="1:18">
      <c r="A166" t="s">
        <v>71</v>
      </c>
      <c r="B166">
        <v>227</v>
      </c>
      <c r="D166" t="s">
        <v>574</v>
      </c>
      <c r="E166" s="19">
        <v>8050846002401</v>
      </c>
      <c r="F166">
        <v>2</v>
      </c>
      <c r="H166">
        <v>1</v>
      </c>
      <c r="I166">
        <v>130</v>
      </c>
      <c r="J166" t="s">
        <v>358</v>
      </c>
      <c r="Q166" s="15">
        <v>8050846002401</v>
      </c>
      <c r="R166">
        <v>130</v>
      </c>
    </row>
    <row r="167" spans="1:18">
      <c r="A167" t="s">
        <v>53</v>
      </c>
      <c r="B167">
        <v>227</v>
      </c>
      <c r="D167" t="s">
        <v>529</v>
      </c>
      <c r="E167" s="19">
        <v>8050846001725</v>
      </c>
      <c r="F167">
        <v>2</v>
      </c>
      <c r="H167">
        <v>1</v>
      </c>
      <c r="I167">
        <v>138</v>
      </c>
      <c r="J167" t="s">
        <v>358</v>
      </c>
      <c r="Q167" s="15">
        <v>8050846001725</v>
      </c>
      <c r="R167">
        <v>138</v>
      </c>
    </row>
    <row r="168" spans="1:18">
      <c r="A168" t="s">
        <v>8</v>
      </c>
      <c r="B168">
        <v>422</v>
      </c>
      <c r="D168" t="s">
        <v>488</v>
      </c>
      <c r="E168" s="19">
        <v>8050846002739</v>
      </c>
      <c r="F168">
        <v>2</v>
      </c>
      <c r="H168">
        <v>1</v>
      </c>
      <c r="I168">
        <v>158</v>
      </c>
      <c r="J168" t="s">
        <v>358</v>
      </c>
      <c r="Q168" s="15">
        <v>8050846002739</v>
      </c>
      <c r="R168">
        <v>158</v>
      </c>
    </row>
    <row r="169" spans="1:18">
      <c r="A169" t="s">
        <v>82</v>
      </c>
      <c r="B169">
        <v>55</v>
      </c>
      <c r="D169" t="s">
        <v>748</v>
      </c>
      <c r="E169" s="19" t="s">
        <v>790</v>
      </c>
      <c r="F169">
        <v>3</v>
      </c>
      <c r="H169">
        <v>1</v>
      </c>
      <c r="I169">
        <v>167</v>
      </c>
      <c r="J169" t="s">
        <v>358</v>
      </c>
      <c r="Q169" s="15"/>
      <c r="R169">
        <v>167</v>
      </c>
    </row>
    <row r="170" spans="1:18">
      <c r="A170" t="s">
        <v>51</v>
      </c>
      <c r="B170">
        <v>26</v>
      </c>
      <c r="D170" t="s">
        <v>699</v>
      </c>
      <c r="E170" s="19">
        <v>8050846004443</v>
      </c>
      <c r="F170">
        <v>6</v>
      </c>
      <c r="H170">
        <v>1</v>
      </c>
      <c r="I170">
        <v>36</v>
      </c>
      <c r="J170" t="s">
        <v>358</v>
      </c>
      <c r="Q170" s="15">
        <v>8050846004443</v>
      </c>
      <c r="R170">
        <v>36</v>
      </c>
    </row>
    <row r="171" spans="1:18">
      <c r="A171" t="s">
        <v>5</v>
      </c>
      <c r="B171">
        <v>26</v>
      </c>
      <c r="D171" t="s">
        <v>460</v>
      </c>
      <c r="E171" s="19">
        <v>8050846003927</v>
      </c>
      <c r="F171">
        <v>2</v>
      </c>
      <c r="H171">
        <v>1</v>
      </c>
      <c r="I171">
        <v>108</v>
      </c>
      <c r="J171" t="s">
        <v>358</v>
      </c>
      <c r="Q171" s="15">
        <v>8050846003927</v>
      </c>
      <c r="R171">
        <v>108</v>
      </c>
    </row>
    <row r="172" spans="1:18">
      <c r="A172" t="s">
        <v>85</v>
      </c>
      <c r="B172">
        <v>474</v>
      </c>
      <c r="D172" t="s">
        <v>621</v>
      </c>
      <c r="E172" s="19">
        <v>8050846004122</v>
      </c>
      <c r="F172">
        <v>2</v>
      </c>
      <c r="H172">
        <v>1</v>
      </c>
      <c r="I172">
        <v>134</v>
      </c>
      <c r="J172" t="s">
        <v>358</v>
      </c>
      <c r="Q172" s="15">
        <v>8050846004122</v>
      </c>
      <c r="R172">
        <v>134</v>
      </c>
    </row>
    <row r="173" spans="1:18">
      <c r="A173" t="s">
        <v>18</v>
      </c>
      <c r="B173">
        <v>17</v>
      </c>
      <c r="D173" t="s">
        <v>752</v>
      </c>
      <c r="E173" s="19">
        <v>8050846004610</v>
      </c>
      <c r="F173">
        <v>2</v>
      </c>
      <c r="H173">
        <v>1</v>
      </c>
      <c r="I173">
        <v>142</v>
      </c>
      <c r="J173" t="s">
        <v>358</v>
      </c>
      <c r="Q173" s="15">
        <v>8050846004610</v>
      </c>
      <c r="R173">
        <v>142</v>
      </c>
    </row>
    <row r="174" spans="1:18">
      <c r="A174" t="s">
        <v>33</v>
      </c>
      <c r="B174">
        <v>75</v>
      </c>
      <c r="D174" t="s">
        <v>584</v>
      </c>
      <c r="E174" s="19">
        <v>8050846005297</v>
      </c>
      <c r="F174">
        <v>6</v>
      </c>
      <c r="H174">
        <v>1</v>
      </c>
      <c r="I174">
        <v>68</v>
      </c>
      <c r="J174" t="s">
        <v>358</v>
      </c>
      <c r="Q174" s="15">
        <v>8050846005297</v>
      </c>
      <c r="R174">
        <v>68</v>
      </c>
    </row>
    <row r="175" spans="1:18">
      <c r="A175" t="s">
        <v>22</v>
      </c>
      <c r="B175">
        <v>55</v>
      </c>
      <c r="D175" t="s">
        <v>786</v>
      </c>
      <c r="E175" s="19" t="s">
        <v>790</v>
      </c>
      <c r="F175">
        <v>1</v>
      </c>
      <c r="H175">
        <v>1</v>
      </c>
      <c r="I175">
        <v>6</v>
      </c>
      <c r="J175" t="s">
        <v>357</v>
      </c>
      <c r="O175" s="15"/>
      <c r="P175">
        <v>6</v>
      </c>
      <c r="Q175" s="15"/>
    </row>
    <row r="176" spans="1:18">
      <c r="A176" t="s">
        <v>23</v>
      </c>
      <c r="B176">
        <v>55</v>
      </c>
      <c r="D176" t="s">
        <v>672</v>
      </c>
      <c r="E176" s="19" t="s">
        <v>790</v>
      </c>
      <c r="F176">
        <v>1</v>
      </c>
      <c r="H176">
        <v>1</v>
      </c>
      <c r="I176">
        <v>7</v>
      </c>
      <c r="J176" t="s">
        <v>357</v>
      </c>
      <c r="O176" s="15"/>
      <c r="P176">
        <v>7</v>
      </c>
      <c r="Q176" s="15"/>
    </row>
    <row r="177" spans="1:18">
      <c r="A177" t="s">
        <v>20</v>
      </c>
      <c r="B177">
        <v>54</v>
      </c>
      <c r="D177" t="s">
        <v>585</v>
      </c>
      <c r="E177" s="19">
        <v>8056099170621</v>
      </c>
      <c r="F177">
        <v>8</v>
      </c>
      <c r="H177">
        <v>2</v>
      </c>
      <c r="I177">
        <v>33</v>
      </c>
      <c r="J177" t="s">
        <v>349</v>
      </c>
      <c r="M177" s="15">
        <v>8056099170621</v>
      </c>
      <c r="N177" t="s">
        <v>466</v>
      </c>
      <c r="Q177" s="15">
        <v>8056099170621</v>
      </c>
      <c r="R177">
        <v>66</v>
      </c>
    </row>
    <row r="178" spans="1:18">
      <c r="A178" t="s">
        <v>26</v>
      </c>
      <c r="B178">
        <v>371</v>
      </c>
      <c r="D178" t="s">
        <v>628</v>
      </c>
      <c r="E178" s="19">
        <v>8056099177125</v>
      </c>
      <c r="F178">
        <v>1</v>
      </c>
      <c r="H178">
        <v>2</v>
      </c>
      <c r="I178">
        <v>5</v>
      </c>
      <c r="J178" t="s">
        <v>350</v>
      </c>
      <c r="K178" s="15">
        <v>8056099177125</v>
      </c>
      <c r="L178" t="s">
        <v>370</v>
      </c>
      <c r="O178" s="15"/>
      <c r="P178">
        <v>5</v>
      </c>
      <c r="Q178" s="15"/>
    </row>
    <row r="179" spans="1:18">
      <c r="A179" t="s">
        <v>22</v>
      </c>
      <c r="B179">
        <v>158</v>
      </c>
      <c r="D179" t="s">
        <v>467</v>
      </c>
      <c r="E179" s="19" t="s">
        <v>790</v>
      </c>
      <c r="F179">
        <v>1</v>
      </c>
      <c r="H179">
        <v>1</v>
      </c>
      <c r="I179">
        <v>6</v>
      </c>
      <c r="J179" t="s">
        <v>357</v>
      </c>
      <c r="O179" s="15"/>
      <c r="P179">
        <v>6</v>
      </c>
      <c r="Q179" s="15"/>
    </row>
    <row r="180" spans="1:18">
      <c r="A180" t="s">
        <v>24</v>
      </c>
      <c r="B180">
        <v>55</v>
      </c>
      <c r="D180" t="s">
        <v>495</v>
      </c>
      <c r="E180" s="19">
        <v>8051770309703</v>
      </c>
      <c r="F180">
        <v>1</v>
      </c>
      <c r="H180">
        <v>2</v>
      </c>
      <c r="I180">
        <v>9</v>
      </c>
      <c r="J180" t="s">
        <v>350</v>
      </c>
      <c r="K180" s="15">
        <v>8051770309703</v>
      </c>
      <c r="L180" t="s">
        <v>375</v>
      </c>
      <c r="O180" s="15"/>
      <c r="P180">
        <v>10</v>
      </c>
      <c r="Q180" s="15"/>
    </row>
    <row r="181" spans="1:18">
      <c r="A181" t="s">
        <v>24</v>
      </c>
      <c r="B181">
        <v>78</v>
      </c>
      <c r="D181" t="s">
        <v>469</v>
      </c>
      <c r="E181" s="19">
        <v>8050450215655</v>
      </c>
      <c r="F181">
        <v>1</v>
      </c>
      <c r="H181">
        <v>2</v>
      </c>
      <c r="I181">
        <v>9</v>
      </c>
      <c r="J181" t="s">
        <v>350</v>
      </c>
      <c r="K181" s="15">
        <v>8050450215655</v>
      </c>
      <c r="L181" t="s">
        <v>375</v>
      </c>
      <c r="O181" s="15"/>
      <c r="P181">
        <v>10</v>
      </c>
      <c r="Q181" s="15"/>
    </row>
    <row r="182" spans="1:18">
      <c r="A182" t="s">
        <v>22</v>
      </c>
      <c r="B182">
        <v>133</v>
      </c>
      <c r="D182" t="s">
        <v>590</v>
      </c>
      <c r="E182" s="19" t="s">
        <v>790</v>
      </c>
      <c r="F182">
        <v>1</v>
      </c>
      <c r="H182">
        <v>1</v>
      </c>
      <c r="I182">
        <v>6</v>
      </c>
      <c r="J182" t="s">
        <v>357</v>
      </c>
      <c r="O182" s="15"/>
      <c r="P182">
        <v>6</v>
      </c>
      <c r="Q182" s="15"/>
    </row>
    <row r="183" spans="1:18">
      <c r="A183" t="s">
        <v>34</v>
      </c>
      <c r="B183">
        <v>158</v>
      </c>
      <c r="D183" t="s">
        <v>498</v>
      </c>
      <c r="E183" s="19">
        <v>8056099178757</v>
      </c>
      <c r="F183">
        <v>2</v>
      </c>
      <c r="H183">
        <v>1</v>
      </c>
      <c r="I183">
        <v>9</v>
      </c>
      <c r="J183" t="s">
        <v>357</v>
      </c>
      <c r="O183" s="15">
        <v>8056099178757</v>
      </c>
      <c r="P183">
        <v>9</v>
      </c>
      <c r="Q183" s="15"/>
    </row>
    <row r="184" spans="1:18">
      <c r="A184" t="s">
        <v>26</v>
      </c>
      <c r="B184">
        <v>75</v>
      </c>
      <c r="D184" t="s">
        <v>472</v>
      </c>
      <c r="E184" s="19">
        <v>8050450218342</v>
      </c>
      <c r="F184">
        <v>2</v>
      </c>
      <c r="H184">
        <v>1</v>
      </c>
      <c r="I184">
        <v>6</v>
      </c>
      <c r="J184" t="s">
        <v>358</v>
      </c>
      <c r="Q184" s="15">
        <v>8050450218342</v>
      </c>
      <c r="R184">
        <v>6</v>
      </c>
    </row>
    <row r="185" spans="1:18">
      <c r="A185" t="s">
        <v>74</v>
      </c>
      <c r="B185">
        <v>55</v>
      </c>
      <c r="D185" t="s">
        <v>593</v>
      </c>
      <c r="E185" s="19">
        <v>8050450213255</v>
      </c>
      <c r="F185">
        <v>6</v>
      </c>
      <c r="H185">
        <v>2</v>
      </c>
      <c r="I185">
        <v>27</v>
      </c>
      <c r="J185" t="s">
        <v>350</v>
      </c>
      <c r="K185" s="15">
        <v>8050450213255</v>
      </c>
      <c r="L185" t="s">
        <v>594</v>
      </c>
      <c r="O185" s="15"/>
      <c r="P185">
        <v>21</v>
      </c>
      <c r="Q185" s="15"/>
    </row>
    <row r="186" spans="1:18">
      <c r="A186" t="s">
        <v>26</v>
      </c>
      <c r="B186">
        <v>422</v>
      </c>
      <c r="D186" t="s">
        <v>473</v>
      </c>
      <c r="E186" s="19" t="s">
        <v>790</v>
      </c>
      <c r="F186">
        <v>2</v>
      </c>
      <c r="H186">
        <v>2</v>
      </c>
      <c r="I186">
        <v>6</v>
      </c>
      <c r="J186" t="s">
        <v>349</v>
      </c>
      <c r="M186" s="15" t="s">
        <v>380</v>
      </c>
      <c r="N186" t="s">
        <v>474</v>
      </c>
      <c r="Q186" s="15">
        <v>8050846006553</v>
      </c>
      <c r="R186">
        <v>6</v>
      </c>
    </row>
    <row r="187" spans="1:18">
      <c r="A187" t="s">
        <v>23</v>
      </c>
      <c r="B187">
        <v>347</v>
      </c>
      <c r="D187" t="s">
        <v>787</v>
      </c>
      <c r="E187" s="19">
        <v>8050846006638</v>
      </c>
      <c r="F187">
        <v>2</v>
      </c>
      <c r="H187">
        <v>1</v>
      </c>
      <c r="I187">
        <v>10</v>
      </c>
      <c r="J187" t="s">
        <v>358</v>
      </c>
      <c r="Q187" s="15">
        <v>8050846006638</v>
      </c>
      <c r="R187">
        <v>10</v>
      </c>
    </row>
    <row r="188" spans="1:18">
      <c r="A188" t="s">
        <v>26</v>
      </c>
      <c r="B188">
        <v>483</v>
      </c>
      <c r="D188" t="s">
        <v>478</v>
      </c>
      <c r="E188" s="19">
        <v>8050846006584</v>
      </c>
      <c r="F188">
        <v>2</v>
      </c>
      <c r="H188">
        <v>1</v>
      </c>
      <c r="I188">
        <v>6</v>
      </c>
      <c r="J188" t="s">
        <v>358</v>
      </c>
      <c r="Q188" s="15">
        <v>8050846006584</v>
      </c>
      <c r="R188">
        <v>6</v>
      </c>
    </row>
    <row r="189" spans="1:18">
      <c r="A189" t="s">
        <v>35</v>
      </c>
      <c r="B189">
        <v>76</v>
      </c>
      <c r="D189" t="s">
        <v>724</v>
      </c>
      <c r="E189" s="19" t="s">
        <v>789</v>
      </c>
      <c r="F189">
        <v>6</v>
      </c>
      <c r="H189">
        <v>0</v>
      </c>
      <c r="Q189" s="15"/>
    </row>
    <row r="190" spans="1:18">
      <c r="A190" t="s">
        <v>27</v>
      </c>
      <c r="B190">
        <v>422</v>
      </c>
      <c r="D190" t="s">
        <v>725</v>
      </c>
      <c r="E190" s="19">
        <v>8050846008182</v>
      </c>
      <c r="F190">
        <v>6</v>
      </c>
      <c r="H190">
        <v>1</v>
      </c>
      <c r="I190">
        <v>198</v>
      </c>
      <c r="J190" t="s">
        <v>358</v>
      </c>
      <c r="Q190" s="15">
        <v>8050846008182</v>
      </c>
      <c r="R190">
        <v>198</v>
      </c>
    </row>
    <row r="191" spans="1:18">
      <c r="A191" t="s">
        <v>24</v>
      </c>
      <c r="B191">
        <v>347</v>
      </c>
      <c r="D191" t="s">
        <v>726</v>
      </c>
      <c r="E191" s="19">
        <v>8050846006928</v>
      </c>
      <c r="F191">
        <v>2</v>
      </c>
      <c r="H191">
        <v>1</v>
      </c>
      <c r="I191">
        <v>16</v>
      </c>
      <c r="J191" t="s">
        <v>358</v>
      </c>
      <c r="Q191" s="15">
        <v>8050846006928</v>
      </c>
      <c r="R191">
        <v>16</v>
      </c>
    </row>
    <row r="192" spans="1:18">
      <c r="A192" t="s">
        <v>62</v>
      </c>
      <c r="B192">
        <v>8</v>
      </c>
      <c r="D192" t="s">
        <v>556</v>
      </c>
      <c r="E192" s="19">
        <v>8050846005099</v>
      </c>
      <c r="F192">
        <v>2</v>
      </c>
      <c r="H192">
        <v>1</v>
      </c>
      <c r="I192">
        <v>116</v>
      </c>
      <c r="J192" t="s">
        <v>358</v>
      </c>
      <c r="Q192" s="15">
        <v>8050846005099</v>
      </c>
      <c r="R192">
        <v>116</v>
      </c>
    </row>
    <row r="193" spans="1:18">
      <c r="A193" t="s">
        <v>92</v>
      </c>
      <c r="B193">
        <v>241</v>
      </c>
      <c r="D193" t="s">
        <v>642</v>
      </c>
      <c r="E193" s="19">
        <v>8050846004757</v>
      </c>
      <c r="F193">
        <v>3</v>
      </c>
      <c r="H193">
        <v>1</v>
      </c>
      <c r="I193">
        <v>52</v>
      </c>
      <c r="J193" t="s">
        <v>358</v>
      </c>
      <c r="Q193" s="15">
        <v>8050846004757</v>
      </c>
      <c r="R193">
        <v>52</v>
      </c>
    </row>
    <row r="194" spans="1:18">
      <c r="A194" t="s">
        <v>346</v>
      </c>
      <c r="B194">
        <v>8</v>
      </c>
      <c r="D194" t="s">
        <v>788</v>
      </c>
      <c r="E194" s="19">
        <v>8050846005020</v>
      </c>
      <c r="F194">
        <v>2</v>
      </c>
      <c r="H194">
        <v>1</v>
      </c>
      <c r="I194">
        <v>111</v>
      </c>
      <c r="J194" t="s">
        <v>358</v>
      </c>
      <c r="M194" s="15"/>
      <c r="Q194" s="15">
        <v>8050846005020</v>
      </c>
      <c r="R194">
        <v>111</v>
      </c>
    </row>
    <row r="195" spans="1:18">
      <c r="A195" t="s">
        <v>64</v>
      </c>
      <c r="B195">
        <v>483</v>
      </c>
      <c r="D195" t="s">
        <v>559</v>
      </c>
      <c r="E195" s="19">
        <v>8050846005600</v>
      </c>
      <c r="F195">
        <v>2</v>
      </c>
      <c r="H195">
        <v>1</v>
      </c>
      <c r="I195">
        <v>55</v>
      </c>
      <c r="J195" t="s">
        <v>358</v>
      </c>
      <c r="K195" s="15"/>
      <c r="O195" s="15"/>
      <c r="Q195" s="15">
        <v>8050846005600</v>
      </c>
      <c r="R195">
        <v>55</v>
      </c>
    </row>
    <row r="196" spans="1:18">
      <c r="A196" t="s">
        <v>86</v>
      </c>
      <c r="B196">
        <v>480</v>
      </c>
      <c r="D196" t="s">
        <v>731</v>
      </c>
      <c r="E196" s="19">
        <v>8050846004146</v>
      </c>
      <c r="F196">
        <v>2</v>
      </c>
      <c r="H196">
        <v>1</v>
      </c>
      <c r="I196">
        <v>135</v>
      </c>
      <c r="J196" t="s">
        <v>358</v>
      </c>
      <c r="O196" s="15"/>
      <c r="Q196" s="15">
        <v>8050846004146</v>
      </c>
      <c r="R196">
        <v>135</v>
      </c>
    </row>
    <row r="197" spans="1:18">
      <c r="A197" t="s">
        <v>94</v>
      </c>
      <c r="B197">
        <v>17</v>
      </c>
      <c r="D197" t="s">
        <v>645</v>
      </c>
      <c r="E197" s="19">
        <v>8050846004139</v>
      </c>
      <c r="F197">
        <v>2</v>
      </c>
      <c r="H197">
        <v>1</v>
      </c>
      <c r="I197">
        <v>134</v>
      </c>
      <c r="J197" t="s">
        <v>358</v>
      </c>
      <c r="O197" s="15"/>
      <c r="Q197" s="15">
        <v>8050846004139</v>
      </c>
      <c r="R197">
        <v>134</v>
      </c>
    </row>
    <row r="198" spans="1:18">
      <c r="A198" t="s">
        <v>76</v>
      </c>
      <c r="B198">
        <v>76</v>
      </c>
      <c r="D198" t="s">
        <v>602</v>
      </c>
      <c r="E198" s="19">
        <v>8050846002364</v>
      </c>
      <c r="F198">
        <v>2</v>
      </c>
      <c r="H198">
        <v>1</v>
      </c>
      <c r="I198">
        <v>118</v>
      </c>
      <c r="J198" t="s">
        <v>358</v>
      </c>
      <c r="O198" s="15"/>
      <c r="Q198" s="15">
        <v>8050846002364</v>
      </c>
      <c r="R198">
        <v>118</v>
      </c>
    </row>
    <row r="199" spans="1:18">
      <c r="A199" t="s">
        <v>30</v>
      </c>
      <c r="B199">
        <v>55</v>
      </c>
      <c r="D199" t="s">
        <v>483</v>
      </c>
      <c r="E199" s="19">
        <v>8050846003026</v>
      </c>
      <c r="F199">
        <v>3</v>
      </c>
      <c r="H199">
        <v>1</v>
      </c>
      <c r="I199">
        <v>151</v>
      </c>
      <c r="J199" t="s">
        <v>358</v>
      </c>
      <c r="O199" s="15"/>
      <c r="Q199" s="15">
        <v>8050846003026</v>
      </c>
      <c r="R199">
        <v>151</v>
      </c>
    </row>
    <row r="200" spans="1:18">
      <c r="A200" t="s">
        <v>114</v>
      </c>
      <c r="B200">
        <v>55</v>
      </c>
      <c r="D200" t="s">
        <v>732</v>
      </c>
      <c r="E200" s="19" t="s">
        <v>790</v>
      </c>
      <c r="F200">
        <v>2</v>
      </c>
      <c r="H200">
        <v>1</v>
      </c>
      <c r="I200">
        <v>94</v>
      </c>
      <c r="J200" t="s">
        <v>358</v>
      </c>
      <c r="K200" s="15"/>
      <c r="O200" s="15"/>
      <c r="Q200" s="15"/>
      <c r="R200">
        <v>94</v>
      </c>
    </row>
    <row r="201" spans="1:18">
      <c r="A201" t="s">
        <v>10</v>
      </c>
      <c r="B201">
        <v>75</v>
      </c>
      <c r="D201" t="s">
        <v>508</v>
      </c>
      <c r="E201" s="19">
        <v>8050846005655</v>
      </c>
      <c r="F201">
        <v>2</v>
      </c>
      <c r="H201">
        <v>1</v>
      </c>
      <c r="I201">
        <v>54</v>
      </c>
      <c r="J201" t="s">
        <v>358</v>
      </c>
      <c r="O201" s="15"/>
      <c r="Q201" s="15">
        <v>8050846005655</v>
      </c>
      <c r="R201">
        <v>54</v>
      </c>
    </row>
    <row r="202" spans="1:18">
      <c r="A202" t="s">
        <v>65</v>
      </c>
      <c r="B202">
        <v>227</v>
      </c>
      <c r="D202" t="s">
        <v>563</v>
      </c>
      <c r="E202" s="19" t="s">
        <v>790</v>
      </c>
      <c r="F202">
        <v>2</v>
      </c>
      <c r="H202">
        <v>1</v>
      </c>
      <c r="I202">
        <v>76</v>
      </c>
      <c r="J202" t="s">
        <v>358</v>
      </c>
      <c r="K202" s="15"/>
      <c r="O202" s="15"/>
      <c r="Q202" s="15"/>
      <c r="R202">
        <v>76</v>
      </c>
    </row>
    <row r="203" spans="1:18">
      <c r="A203" t="s">
        <v>31</v>
      </c>
      <c r="B203">
        <v>76</v>
      </c>
      <c r="D203" t="s">
        <v>512</v>
      </c>
      <c r="E203" s="19">
        <v>8050846002258</v>
      </c>
      <c r="F203">
        <v>2</v>
      </c>
      <c r="H203">
        <v>1</v>
      </c>
      <c r="I203">
        <v>114</v>
      </c>
      <c r="J203" t="s">
        <v>358</v>
      </c>
      <c r="K203" s="15"/>
      <c r="M203" s="15"/>
      <c r="Q203" s="15">
        <v>8050846002258</v>
      </c>
      <c r="R203">
        <v>114</v>
      </c>
    </row>
    <row r="204" spans="1:18">
      <c r="A204" t="s">
        <v>21</v>
      </c>
      <c r="B204">
        <v>483</v>
      </c>
      <c r="D204" t="s">
        <v>515</v>
      </c>
      <c r="E204" s="19">
        <v>8050846006416</v>
      </c>
      <c r="F204">
        <v>2</v>
      </c>
      <c r="H204">
        <v>1</v>
      </c>
      <c r="I204">
        <v>4</v>
      </c>
      <c r="J204" t="s">
        <v>358</v>
      </c>
      <c r="Q204" s="15">
        <v>8050846006416</v>
      </c>
      <c r="R204">
        <v>4</v>
      </c>
    </row>
    <row r="205" spans="1:18">
      <c r="A205" t="s">
        <v>96</v>
      </c>
      <c r="B205">
        <v>479</v>
      </c>
      <c r="D205" t="s">
        <v>648</v>
      </c>
      <c r="E205" s="19">
        <v>8050846005389</v>
      </c>
      <c r="F205">
        <v>2</v>
      </c>
      <c r="H205">
        <v>1</v>
      </c>
      <c r="I205">
        <v>35</v>
      </c>
      <c r="J205" t="s">
        <v>358</v>
      </c>
      <c r="Q205" s="15">
        <v>8050846005389</v>
      </c>
      <c r="R205">
        <v>35</v>
      </c>
    </row>
    <row r="206" spans="1:18">
      <c r="A206" t="s">
        <v>79</v>
      </c>
      <c r="B206">
        <v>36</v>
      </c>
      <c r="D206" t="s">
        <v>609</v>
      </c>
      <c r="E206" s="19">
        <v>8050846003033</v>
      </c>
      <c r="F206">
        <v>2</v>
      </c>
      <c r="H206">
        <v>1</v>
      </c>
      <c r="I206">
        <v>48</v>
      </c>
      <c r="J206" t="s">
        <v>358</v>
      </c>
      <c r="Q206" s="15">
        <v>8050846003033</v>
      </c>
      <c r="R206">
        <v>48</v>
      </c>
    </row>
    <row r="207" spans="1:18">
      <c r="A207" t="s">
        <v>109</v>
      </c>
      <c r="B207">
        <v>481</v>
      </c>
      <c r="D207" t="s">
        <v>691</v>
      </c>
      <c r="E207" s="19">
        <v>8050846003835</v>
      </c>
      <c r="F207">
        <v>2</v>
      </c>
      <c r="H207">
        <v>1</v>
      </c>
      <c r="I207">
        <v>102</v>
      </c>
      <c r="J207" t="s">
        <v>358</v>
      </c>
      <c r="Q207" s="15">
        <v>8050846003835</v>
      </c>
      <c r="R207">
        <v>102</v>
      </c>
    </row>
    <row r="208" spans="1:18">
      <c r="A208" t="s">
        <v>19</v>
      </c>
      <c r="B208">
        <v>76</v>
      </c>
      <c r="D208" t="s">
        <v>654</v>
      </c>
      <c r="E208" s="19" t="s">
        <v>790</v>
      </c>
      <c r="F208">
        <v>2</v>
      </c>
      <c r="H208">
        <v>1</v>
      </c>
      <c r="I208">
        <v>160</v>
      </c>
      <c r="J208" t="s">
        <v>358</v>
      </c>
      <c r="Q208" s="15"/>
      <c r="R208">
        <v>160</v>
      </c>
    </row>
    <row r="209" spans="1:18">
      <c r="A209" t="s">
        <v>26</v>
      </c>
      <c r="B209">
        <v>484</v>
      </c>
      <c r="D209" t="s">
        <v>694</v>
      </c>
      <c r="E209" s="19">
        <v>8050846016736</v>
      </c>
      <c r="F209">
        <v>2</v>
      </c>
      <c r="H209">
        <v>1</v>
      </c>
      <c r="I209">
        <v>6</v>
      </c>
      <c r="J209" t="s">
        <v>358</v>
      </c>
      <c r="Q209" s="15">
        <v>8050846016736</v>
      </c>
      <c r="R209">
        <v>6</v>
      </c>
    </row>
    <row r="210" spans="1:18">
      <c r="A210" t="s">
        <v>26</v>
      </c>
      <c r="B210">
        <v>486</v>
      </c>
      <c r="D210" t="s">
        <v>521</v>
      </c>
      <c r="E210" s="19">
        <v>8050846006591</v>
      </c>
      <c r="F210">
        <v>2</v>
      </c>
      <c r="H210">
        <v>1</v>
      </c>
      <c r="I210">
        <v>6</v>
      </c>
      <c r="J210" t="s">
        <v>358</v>
      </c>
      <c r="Q210" s="15">
        <v>8050846006591</v>
      </c>
      <c r="R210">
        <v>6</v>
      </c>
    </row>
    <row r="211" spans="1:18">
      <c r="A211" t="s">
        <v>63</v>
      </c>
      <c r="B211">
        <v>481</v>
      </c>
      <c r="D211" t="s">
        <v>612</v>
      </c>
      <c r="E211" s="19">
        <v>8050846004047</v>
      </c>
      <c r="F211">
        <v>2</v>
      </c>
      <c r="H211">
        <v>1</v>
      </c>
      <c r="I211">
        <v>115</v>
      </c>
      <c r="J211" t="s">
        <v>358</v>
      </c>
      <c r="Q211" s="15">
        <v>8050846004047</v>
      </c>
      <c r="R211">
        <v>115</v>
      </c>
    </row>
    <row r="212" spans="1:18">
      <c r="A212" t="s">
        <v>101</v>
      </c>
      <c r="B212">
        <v>55</v>
      </c>
      <c r="D212" t="s">
        <v>656</v>
      </c>
      <c r="E212" s="19">
        <v>8050846002104</v>
      </c>
      <c r="F212">
        <v>2</v>
      </c>
      <c r="H212">
        <v>1</v>
      </c>
      <c r="I212">
        <v>100</v>
      </c>
      <c r="J212" t="s">
        <v>358</v>
      </c>
      <c r="Q212" s="15">
        <v>8050846002104</v>
      </c>
      <c r="R212">
        <v>100</v>
      </c>
    </row>
    <row r="213" spans="1:18">
      <c r="A213" t="s">
        <v>75</v>
      </c>
      <c r="B213">
        <v>55</v>
      </c>
      <c r="D213" t="s">
        <v>697</v>
      </c>
      <c r="E213" s="19">
        <v>8050846002470</v>
      </c>
      <c r="F213">
        <v>2</v>
      </c>
      <c r="H213">
        <v>1</v>
      </c>
      <c r="I213">
        <v>131</v>
      </c>
      <c r="J213" t="s">
        <v>358</v>
      </c>
      <c r="Q213" s="15">
        <v>8050846002470</v>
      </c>
      <c r="R213">
        <v>131</v>
      </c>
    </row>
    <row r="214" spans="1:18">
      <c r="A214" t="s">
        <v>54</v>
      </c>
      <c r="B214">
        <v>36</v>
      </c>
      <c r="D214" t="s">
        <v>530</v>
      </c>
      <c r="E214" s="19">
        <v>8050846002548</v>
      </c>
      <c r="F214">
        <v>6</v>
      </c>
      <c r="H214">
        <v>1</v>
      </c>
      <c r="I214">
        <v>67</v>
      </c>
      <c r="J214" t="s">
        <v>358</v>
      </c>
      <c r="Q214" s="15">
        <v>8050846002548</v>
      </c>
      <c r="R214">
        <v>67</v>
      </c>
    </row>
    <row r="215" spans="1:18">
      <c r="A215" t="s">
        <v>55</v>
      </c>
      <c r="B215">
        <v>347</v>
      </c>
      <c r="D215" t="s">
        <v>663</v>
      </c>
      <c r="E215" s="19">
        <v>8050846007734</v>
      </c>
      <c r="F215">
        <v>3</v>
      </c>
      <c r="H215">
        <v>1</v>
      </c>
      <c r="I215">
        <v>166</v>
      </c>
      <c r="J215" t="s">
        <v>358</v>
      </c>
      <c r="Q215" s="15">
        <v>8050846007734</v>
      </c>
      <c r="R215">
        <v>166</v>
      </c>
    </row>
    <row r="216" spans="1:18">
      <c r="A216" t="s">
        <v>15</v>
      </c>
      <c r="B216">
        <v>130</v>
      </c>
      <c r="D216" t="s">
        <v>667</v>
      </c>
      <c r="E216" s="19">
        <v>8050846005037</v>
      </c>
      <c r="F216">
        <v>2</v>
      </c>
      <c r="H216">
        <v>1</v>
      </c>
      <c r="I216">
        <v>106</v>
      </c>
      <c r="J216" t="s">
        <v>358</v>
      </c>
      <c r="Q216" s="15">
        <v>8050846005037</v>
      </c>
      <c r="R216">
        <v>106</v>
      </c>
    </row>
    <row r="217" spans="1:18">
      <c r="A217" t="s">
        <v>31</v>
      </c>
      <c r="B217">
        <v>26</v>
      </c>
      <c r="D217" t="s">
        <v>619</v>
      </c>
      <c r="E217" s="19">
        <v>8050846004023</v>
      </c>
      <c r="F217">
        <v>2</v>
      </c>
      <c r="H217">
        <v>1</v>
      </c>
      <c r="I217">
        <v>114</v>
      </c>
      <c r="J217" t="s">
        <v>358</v>
      </c>
      <c r="Q217" s="15">
        <v>8050846004023</v>
      </c>
      <c r="R217">
        <v>114</v>
      </c>
    </row>
    <row r="218" spans="1:18">
      <c r="A218" t="s">
        <v>84</v>
      </c>
      <c r="B218">
        <v>441</v>
      </c>
      <c r="D218" t="s">
        <v>620</v>
      </c>
      <c r="E218" s="19">
        <v>8050846004115</v>
      </c>
      <c r="F218">
        <v>2</v>
      </c>
      <c r="H218">
        <v>1</v>
      </c>
      <c r="I218">
        <v>133</v>
      </c>
      <c r="J218" t="s">
        <v>358</v>
      </c>
      <c r="Q218" s="15">
        <v>8050846004115</v>
      </c>
      <c r="R218">
        <v>133</v>
      </c>
    </row>
    <row r="219" spans="1:18">
      <c r="A219" t="s">
        <v>12</v>
      </c>
      <c r="B219">
        <v>17</v>
      </c>
      <c r="D219" t="s">
        <v>461</v>
      </c>
      <c r="E219" s="19">
        <v>8050846007642</v>
      </c>
      <c r="F219">
        <v>3</v>
      </c>
      <c r="H219">
        <v>1</v>
      </c>
      <c r="I219">
        <v>164</v>
      </c>
      <c r="J219" t="s">
        <v>358</v>
      </c>
      <c r="Q219" s="15">
        <v>8050846007642</v>
      </c>
      <c r="R219">
        <v>164</v>
      </c>
    </row>
    <row r="220" spans="1:18">
      <c r="A220" t="s">
        <v>88</v>
      </c>
      <c r="B220">
        <v>479</v>
      </c>
      <c r="D220" t="s">
        <v>625</v>
      </c>
      <c r="E220" s="19" t="s">
        <v>789</v>
      </c>
      <c r="F220">
        <v>2</v>
      </c>
      <c r="H220">
        <v>0</v>
      </c>
      <c r="Q220" s="15"/>
    </row>
    <row r="221" spans="1:18">
      <c r="A221" t="s">
        <v>5</v>
      </c>
      <c r="B221">
        <v>75</v>
      </c>
      <c r="D221" t="s">
        <v>705</v>
      </c>
      <c r="E221" s="19">
        <v>8050846005457</v>
      </c>
      <c r="F221">
        <v>2</v>
      </c>
      <c r="H221">
        <v>1</v>
      </c>
      <c r="I221">
        <v>108</v>
      </c>
      <c r="J221" t="s">
        <v>358</v>
      </c>
      <c r="Q221" s="15">
        <v>8050846005457</v>
      </c>
      <c r="R221">
        <v>108</v>
      </c>
    </row>
    <row r="222" spans="1:18">
      <c r="A222" t="s">
        <v>90</v>
      </c>
      <c r="B222">
        <v>72</v>
      </c>
      <c r="D222" t="s">
        <v>706</v>
      </c>
      <c r="E222" s="19">
        <v>8050846005129</v>
      </c>
      <c r="F222">
        <v>2</v>
      </c>
      <c r="H222">
        <v>1</v>
      </c>
      <c r="I222">
        <v>120</v>
      </c>
      <c r="J222" t="s">
        <v>358</v>
      </c>
      <c r="Q222" s="15">
        <v>8050846005129</v>
      </c>
      <c r="R222">
        <v>120</v>
      </c>
    </row>
    <row r="223" spans="1:18">
      <c r="A223" t="s">
        <v>32</v>
      </c>
      <c r="B223">
        <v>479</v>
      </c>
      <c r="D223" t="s">
        <v>492</v>
      </c>
      <c r="E223" s="19">
        <v>8050846005310</v>
      </c>
      <c r="F223">
        <v>4</v>
      </c>
      <c r="H223">
        <v>1</v>
      </c>
      <c r="I223">
        <v>35</v>
      </c>
      <c r="J223" t="s">
        <v>358</v>
      </c>
      <c r="Q223" s="15">
        <v>8050846005310</v>
      </c>
      <c r="R223">
        <v>35</v>
      </c>
    </row>
    <row r="224" spans="1:18">
      <c r="A224" t="s">
        <v>17</v>
      </c>
      <c r="B224">
        <v>75</v>
      </c>
      <c r="D224" t="s">
        <v>462</v>
      </c>
      <c r="E224" s="19">
        <v>8050846007680</v>
      </c>
      <c r="F224">
        <v>3</v>
      </c>
      <c r="H224">
        <v>1</v>
      </c>
      <c r="I224">
        <v>166</v>
      </c>
      <c r="J224" t="s">
        <v>358</v>
      </c>
      <c r="Q224" s="15">
        <v>8050846007680</v>
      </c>
      <c r="R224">
        <v>166</v>
      </c>
    </row>
    <row r="225" spans="1:18">
      <c r="A225" t="s">
        <v>89</v>
      </c>
      <c r="B225">
        <v>483</v>
      </c>
      <c r="D225" t="s">
        <v>627</v>
      </c>
      <c r="E225" s="19">
        <v>8050846007727</v>
      </c>
      <c r="F225">
        <v>3</v>
      </c>
      <c r="H225">
        <v>1</v>
      </c>
      <c r="I225">
        <v>183</v>
      </c>
      <c r="J225" t="s">
        <v>358</v>
      </c>
      <c r="Q225" s="15">
        <v>8050846007727</v>
      </c>
      <c r="R225">
        <v>183</v>
      </c>
    </row>
    <row r="226" spans="1:18">
      <c r="A226" t="s">
        <v>21</v>
      </c>
      <c r="B226">
        <v>71</v>
      </c>
      <c r="D226" t="s">
        <v>540</v>
      </c>
      <c r="E226" s="19">
        <v>8051770308652</v>
      </c>
      <c r="F226">
        <v>1</v>
      </c>
      <c r="H226">
        <v>2</v>
      </c>
      <c r="I226">
        <v>4</v>
      </c>
      <c r="J226" t="s">
        <v>350</v>
      </c>
      <c r="K226" s="15">
        <v>8051770308652</v>
      </c>
      <c r="L226" t="s">
        <v>541</v>
      </c>
      <c r="O226" s="15"/>
      <c r="P226">
        <v>4</v>
      </c>
      <c r="Q226" s="15"/>
    </row>
    <row r="227" spans="1:18">
      <c r="A227" t="s">
        <v>26</v>
      </c>
      <c r="B227">
        <v>76</v>
      </c>
      <c r="D227" t="s">
        <v>547</v>
      </c>
      <c r="E227" s="19">
        <v>8050450215624</v>
      </c>
      <c r="F227">
        <v>2</v>
      </c>
      <c r="H227">
        <v>1</v>
      </c>
      <c r="I227">
        <v>6</v>
      </c>
      <c r="J227" t="s">
        <v>358</v>
      </c>
      <c r="Q227" s="15">
        <v>8050450215624</v>
      </c>
      <c r="R227">
        <v>6</v>
      </c>
    </row>
    <row r="228" spans="1:18">
      <c r="A228" t="s">
        <v>22</v>
      </c>
      <c r="B228">
        <v>17</v>
      </c>
      <c r="D228" t="s">
        <v>629</v>
      </c>
      <c r="E228" s="19">
        <v>8058983596210</v>
      </c>
      <c r="F228">
        <v>1</v>
      </c>
      <c r="H228">
        <v>1</v>
      </c>
      <c r="I228">
        <v>6</v>
      </c>
      <c r="J228" t="s">
        <v>357</v>
      </c>
      <c r="O228" s="15">
        <v>8058983596210</v>
      </c>
      <c r="P228">
        <v>6</v>
      </c>
      <c r="Q228" s="15"/>
    </row>
    <row r="229" spans="1:18">
      <c r="A229" t="s">
        <v>24</v>
      </c>
      <c r="B229">
        <v>479</v>
      </c>
      <c r="D229" t="s">
        <v>557</v>
      </c>
      <c r="E229" s="19">
        <v>8050846006959</v>
      </c>
      <c r="F229">
        <v>2</v>
      </c>
      <c r="H229">
        <v>1</v>
      </c>
      <c r="I229">
        <v>16</v>
      </c>
      <c r="J229" t="s">
        <v>358</v>
      </c>
      <c r="Q229" s="15">
        <v>8050846006959</v>
      </c>
      <c r="R229">
        <v>16</v>
      </c>
    </row>
    <row r="230" spans="1:18">
      <c r="A230" t="s">
        <v>124</v>
      </c>
      <c r="B230">
        <v>475</v>
      </c>
      <c r="D230" t="s">
        <v>771</v>
      </c>
      <c r="E230" s="19">
        <v>8050846004696</v>
      </c>
      <c r="F230">
        <v>2</v>
      </c>
      <c r="H230">
        <v>1</v>
      </c>
      <c r="I230">
        <v>151</v>
      </c>
      <c r="J230" t="s">
        <v>358</v>
      </c>
      <c r="Q230" s="15">
        <v>8050846004696</v>
      </c>
      <c r="R230">
        <v>151</v>
      </c>
    </row>
    <row r="231" spans="1:18">
      <c r="A231" t="s">
        <v>11</v>
      </c>
      <c r="B231">
        <v>480</v>
      </c>
      <c r="D231" t="s">
        <v>504</v>
      </c>
      <c r="E231" s="19">
        <v>8050846003965</v>
      </c>
      <c r="F231">
        <v>2</v>
      </c>
      <c r="H231">
        <v>1</v>
      </c>
      <c r="I231">
        <v>111</v>
      </c>
      <c r="J231" t="s">
        <v>358</v>
      </c>
      <c r="Q231" s="15">
        <v>8050846003965</v>
      </c>
      <c r="R231">
        <v>111</v>
      </c>
    </row>
    <row r="232" spans="1:18">
      <c r="A232" t="s">
        <v>29</v>
      </c>
      <c r="B232">
        <v>479</v>
      </c>
      <c r="D232" t="s">
        <v>601</v>
      </c>
      <c r="E232" s="19">
        <v>8050846005426</v>
      </c>
      <c r="F232">
        <v>2</v>
      </c>
      <c r="H232">
        <v>1</v>
      </c>
      <c r="I232">
        <v>159</v>
      </c>
      <c r="J232" t="s">
        <v>358</v>
      </c>
      <c r="Q232" s="15">
        <v>8050846005426</v>
      </c>
      <c r="R232">
        <v>159</v>
      </c>
    </row>
    <row r="233" spans="1:18">
      <c r="A233" t="s">
        <v>54</v>
      </c>
      <c r="B233">
        <v>17</v>
      </c>
      <c r="D233" t="s">
        <v>730</v>
      </c>
      <c r="E233" s="19">
        <v>8050846004306</v>
      </c>
      <c r="F233">
        <v>6</v>
      </c>
      <c r="H233">
        <v>1</v>
      </c>
      <c r="I233">
        <v>67</v>
      </c>
      <c r="J233" t="s">
        <v>358</v>
      </c>
      <c r="Q233" s="15">
        <v>8050846004306</v>
      </c>
      <c r="R233">
        <v>67</v>
      </c>
    </row>
    <row r="234" spans="1:18">
      <c r="A234" t="s">
        <v>126</v>
      </c>
      <c r="B234">
        <v>8</v>
      </c>
      <c r="D234" t="s">
        <v>773</v>
      </c>
      <c r="E234" s="19">
        <v>8050846005105</v>
      </c>
      <c r="F234">
        <v>2</v>
      </c>
      <c r="H234">
        <v>1</v>
      </c>
      <c r="I234">
        <v>119</v>
      </c>
      <c r="J234" t="s">
        <v>358</v>
      </c>
      <c r="Q234" s="15">
        <v>8050846005105</v>
      </c>
      <c r="R234">
        <v>119</v>
      </c>
    </row>
    <row r="235" spans="1:18">
      <c r="A235" t="s">
        <v>58</v>
      </c>
      <c r="B235">
        <v>130</v>
      </c>
      <c r="D235" t="s">
        <v>774</v>
      </c>
      <c r="E235" s="19" t="s">
        <v>790</v>
      </c>
      <c r="F235">
        <v>2</v>
      </c>
      <c r="H235">
        <v>1</v>
      </c>
      <c r="I235">
        <v>94</v>
      </c>
      <c r="J235" t="s">
        <v>358</v>
      </c>
      <c r="Q235" s="15"/>
      <c r="R235">
        <v>94</v>
      </c>
    </row>
    <row r="236" spans="1:18">
      <c r="A236" t="s">
        <v>29</v>
      </c>
      <c r="B236">
        <v>26</v>
      </c>
      <c r="D236" t="s">
        <v>776</v>
      </c>
      <c r="E236" s="19">
        <v>8050846004337</v>
      </c>
      <c r="F236">
        <v>2</v>
      </c>
      <c r="H236">
        <v>1</v>
      </c>
      <c r="I236">
        <v>159</v>
      </c>
      <c r="J236" t="s">
        <v>358</v>
      </c>
      <c r="Q236" s="15">
        <v>8050846004337</v>
      </c>
      <c r="R236">
        <v>159</v>
      </c>
    </row>
    <row r="237" spans="1:18">
      <c r="A237" t="s">
        <v>103</v>
      </c>
      <c r="B237">
        <v>72</v>
      </c>
      <c r="D237" t="s">
        <v>685</v>
      </c>
      <c r="E237" s="19">
        <v>8050846005501</v>
      </c>
      <c r="F237">
        <v>2</v>
      </c>
      <c r="H237">
        <v>1</v>
      </c>
      <c r="I237">
        <v>153</v>
      </c>
      <c r="J237" t="s">
        <v>358</v>
      </c>
      <c r="Q237" s="15">
        <v>8050846005501</v>
      </c>
      <c r="R237">
        <v>153</v>
      </c>
    </row>
    <row r="238" spans="1:18">
      <c r="A238" t="s">
        <v>66</v>
      </c>
      <c r="B238">
        <v>476</v>
      </c>
      <c r="D238" t="s">
        <v>565</v>
      </c>
      <c r="E238" s="19">
        <v>8050846004092</v>
      </c>
      <c r="F238">
        <v>2</v>
      </c>
      <c r="H238">
        <v>1</v>
      </c>
      <c r="I238">
        <v>132</v>
      </c>
      <c r="J238" t="s">
        <v>358</v>
      </c>
      <c r="Q238" s="15">
        <v>8050846004092</v>
      </c>
      <c r="R238">
        <v>132</v>
      </c>
    </row>
    <row r="239" spans="1:18">
      <c r="A239" t="s">
        <v>48</v>
      </c>
      <c r="B239">
        <v>75</v>
      </c>
      <c r="D239" t="s">
        <v>514</v>
      </c>
      <c r="E239" s="19">
        <v>8050846005570</v>
      </c>
      <c r="F239">
        <v>2</v>
      </c>
      <c r="H239">
        <v>1</v>
      </c>
      <c r="I239">
        <v>49</v>
      </c>
      <c r="J239" t="s">
        <v>358</v>
      </c>
      <c r="Q239" s="15">
        <v>8050846005570</v>
      </c>
      <c r="R239">
        <v>49</v>
      </c>
    </row>
    <row r="240" spans="1:18">
      <c r="A240" t="s">
        <v>59</v>
      </c>
      <c r="B240">
        <v>75</v>
      </c>
      <c r="D240" t="s">
        <v>690</v>
      </c>
      <c r="E240" s="19" t="s">
        <v>789</v>
      </c>
      <c r="F240">
        <v>2</v>
      </c>
      <c r="H240">
        <v>0</v>
      </c>
    </row>
    <row r="241" spans="1:18">
      <c r="A241" t="s">
        <v>98</v>
      </c>
      <c r="B241">
        <v>61</v>
      </c>
      <c r="D241" t="s">
        <v>650</v>
      </c>
      <c r="E241" s="19">
        <v>8050846004924</v>
      </c>
      <c r="F241">
        <v>2</v>
      </c>
      <c r="H241">
        <v>1</v>
      </c>
      <c r="I241">
        <v>83</v>
      </c>
      <c r="J241" t="s">
        <v>358</v>
      </c>
      <c r="Q241" s="15">
        <v>8050846004924</v>
      </c>
      <c r="R241">
        <v>83</v>
      </c>
    </row>
    <row r="242" spans="1:18">
      <c r="A242" t="s">
        <v>120</v>
      </c>
      <c r="B242">
        <v>481</v>
      </c>
      <c r="D242" t="s">
        <v>782</v>
      </c>
      <c r="E242" s="19" t="s">
        <v>790</v>
      </c>
      <c r="F242">
        <v>2</v>
      </c>
      <c r="H242">
        <v>1</v>
      </c>
      <c r="I242">
        <v>77</v>
      </c>
      <c r="J242" t="s">
        <v>358</v>
      </c>
      <c r="Q242" s="15"/>
      <c r="R242">
        <v>77</v>
      </c>
    </row>
    <row r="243" spans="1:18">
      <c r="A243" t="s">
        <v>23</v>
      </c>
      <c r="B243">
        <v>479</v>
      </c>
      <c r="D243" t="s">
        <v>692</v>
      </c>
      <c r="E243" s="19">
        <v>8050846011496</v>
      </c>
      <c r="F243">
        <v>2</v>
      </c>
      <c r="H243">
        <v>1</v>
      </c>
      <c r="I243">
        <v>10</v>
      </c>
      <c r="J243" t="s">
        <v>358</v>
      </c>
      <c r="K243" s="15"/>
      <c r="O243" s="15"/>
      <c r="Q243" s="15">
        <v>8050846011496</v>
      </c>
      <c r="R243">
        <v>10</v>
      </c>
    </row>
    <row r="244" spans="1:18">
      <c r="A244" t="s">
        <v>46</v>
      </c>
      <c r="B244">
        <v>17</v>
      </c>
      <c r="D244" t="s">
        <v>519</v>
      </c>
      <c r="E244" s="19">
        <v>8050846004504</v>
      </c>
      <c r="F244">
        <v>2</v>
      </c>
      <c r="H244">
        <v>1</v>
      </c>
      <c r="I244">
        <v>20</v>
      </c>
      <c r="J244" t="s">
        <v>358</v>
      </c>
      <c r="O244" s="15"/>
      <c r="Q244" s="15">
        <v>8050846004504</v>
      </c>
      <c r="R244">
        <v>20</v>
      </c>
    </row>
    <row r="245" spans="1:18">
      <c r="A245" t="s">
        <v>0</v>
      </c>
      <c r="B245">
        <v>26</v>
      </c>
      <c r="D245" t="s">
        <v>450</v>
      </c>
      <c r="E245" s="19">
        <v>8050846003620</v>
      </c>
      <c r="F245">
        <v>2</v>
      </c>
      <c r="H245">
        <v>1</v>
      </c>
      <c r="I245">
        <v>92</v>
      </c>
      <c r="J245" t="s">
        <v>358</v>
      </c>
      <c r="Q245" s="15">
        <v>8050846003620</v>
      </c>
      <c r="R245">
        <v>92</v>
      </c>
    </row>
    <row r="246" spans="1:18">
      <c r="A246" t="s">
        <v>0</v>
      </c>
      <c r="B246">
        <v>75</v>
      </c>
      <c r="D246" t="s">
        <v>485</v>
      </c>
      <c r="E246" s="19">
        <v>8050846004894</v>
      </c>
      <c r="F246">
        <v>2</v>
      </c>
      <c r="H246">
        <v>1</v>
      </c>
      <c r="I246">
        <v>92</v>
      </c>
      <c r="J246" t="s">
        <v>358</v>
      </c>
      <c r="K246" s="15"/>
      <c r="O246" s="15"/>
      <c r="Q246" s="15">
        <v>8050846004894</v>
      </c>
      <c r="R246">
        <v>92</v>
      </c>
    </row>
    <row r="247" spans="1:18">
      <c r="A247" t="s">
        <v>100</v>
      </c>
      <c r="B247">
        <v>55</v>
      </c>
      <c r="D247" t="s">
        <v>655</v>
      </c>
      <c r="E247" s="19">
        <v>8050846002814</v>
      </c>
      <c r="F247">
        <v>2</v>
      </c>
      <c r="H247">
        <v>1</v>
      </c>
      <c r="I247">
        <v>5</v>
      </c>
      <c r="J247" t="s">
        <v>358</v>
      </c>
      <c r="Q247" s="15">
        <v>8050846002814</v>
      </c>
      <c r="R247">
        <v>5</v>
      </c>
    </row>
    <row r="248" spans="1:18">
      <c r="A248" t="s">
        <v>2</v>
      </c>
      <c r="B248">
        <v>422</v>
      </c>
      <c r="D248" t="s">
        <v>524</v>
      </c>
      <c r="E248" s="19">
        <v>8050846006317</v>
      </c>
      <c r="F248">
        <v>2</v>
      </c>
      <c r="H248">
        <v>1</v>
      </c>
      <c r="I248">
        <v>17</v>
      </c>
      <c r="J248" t="s">
        <v>358</v>
      </c>
      <c r="K248" s="15"/>
      <c r="O248" s="15"/>
      <c r="Q248" s="15">
        <v>8050846006317</v>
      </c>
      <c r="R248">
        <v>17</v>
      </c>
    </row>
    <row r="249" spans="1:18">
      <c r="A249" t="s">
        <v>4</v>
      </c>
      <c r="B249">
        <v>76</v>
      </c>
      <c r="D249" t="s">
        <v>487</v>
      </c>
      <c r="E249" s="19">
        <v>8050846003071</v>
      </c>
      <c r="F249">
        <v>2</v>
      </c>
      <c r="H249">
        <v>1</v>
      </c>
      <c r="I249">
        <v>48</v>
      </c>
      <c r="J249" t="s">
        <v>358</v>
      </c>
      <c r="M249" s="15"/>
      <c r="Q249" s="15">
        <v>8050846003071</v>
      </c>
      <c r="R249">
        <v>48</v>
      </c>
    </row>
    <row r="250" spans="1:18">
      <c r="A250" t="s">
        <v>6</v>
      </c>
      <c r="B250">
        <v>8</v>
      </c>
      <c r="D250" t="s">
        <v>660</v>
      </c>
      <c r="E250" s="19">
        <v>8050846002463</v>
      </c>
      <c r="F250">
        <v>2</v>
      </c>
      <c r="H250">
        <v>1</v>
      </c>
      <c r="I250">
        <v>131</v>
      </c>
      <c r="J250" t="s">
        <v>358</v>
      </c>
      <c r="M250" s="15"/>
      <c r="Q250" s="15">
        <v>8050846002463</v>
      </c>
      <c r="R250">
        <v>131</v>
      </c>
    </row>
    <row r="251" spans="1:18">
      <c r="A251" t="s">
        <v>6</v>
      </c>
      <c r="B251">
        <v>55</v>
      </c>
      <c r="D251" t="s">
        <v>528</v>
      </c>
      <c r="E251" s="19">
        <v>8050846002425</v>
      </c>
      <c r="F251">
        <v>2</v>
      </c>
      <c r="H251">
        <v>1</v>
      </c>
      <c r="I251">
        <v>131</v>
      </c>
      <c r="J251" t="s">
        <v>358</v>
      </c>
      <c r="K251" s="15"/>
      <c r="Q251" s="15">
        <v>8050846002425</v>
      </c>
      <c r="R251">
        <v>131</v>
      </c>
    </row>
    <row r="252" spans="1:18">
      <c r="A252" t="s">
        <v>7</v>
      </c>
      <c r="B252">
        <v>36</v>
      </c>
      <c r="D252" t="s">
        <v>661</v>
      </c>
      <c r="E252" s="19">
        <v>8050846003187</v>
      </c>
      <c r="F252">
        <v>3</v>
      </c>
      <c r="H252">
        <v>1</v>
      </c>
      <c r="I252">
        <v>53</v>
      </c>
      <c r="J252" t="s">
        <v>358</v>
      </c>
      <c r="Q252" s="15">
        <v>8050846003187</v>
      </c>
      <c r="R252">
        <v>53</v>
      </c>
    </row>
    <row r="253" spans="1:18">
      <c r="A253" t="s">
        <v>7</v>
      </c>
      <c r="B253">
        <v>55</v>
      </c>
      <c r="D253" t="s">
        <v>615</v>
      </c>
      <c r="E253" s="19">
        <v>8050846003156</v>
      </c>
      <c r="F253">
        <v>4</v>
      </c>
      <c r="H253">
        <v>1</v>
      </c>
      <c r="I253">
        <v>53</v>
      </c>
      <c r="J253" t="s">
        <v>358</v>
      </c>
      <c r="K253" s="15"/>
      <c r="O253" s="15"/>
      <c r="Q253" s="15">
        <v>8050846003156</v>
      </c>
      <c r="R253">
        <v>53</v>
      </c>
    </row>
    <row r="254" spans="1:18">
      <c r="A254" t="s">
        <v>54</v>
      </c>
      <c r="B254">
        <v>371</v>
      </c>
      <c r="D254" t="s">
        <v>575</v>
      </c>
      <c r="E254" s="19">
        <v>8050846002579</v>
      </c>
      <c r="F254">
        <v>6</v>
      </c>
      <c r="H254">
        <v>1</v>
      </c>
      <c r="I254">
        <v>67</v>
      </c>
      <c r="J254" t="s">
        <v>358</v>
      </c>
      <c r="Q254" s="15">
        <v>8050846002579</v>
      </c>
      <c r="R254">
        <v>67</v>
      </c>
    </row>
    <row r="255" spans="1:18">
      <c r="A255" t="s">
        <v>82</v>
      </c>
      <c r="B255">
        <v>26</v>
      </c>
      <c r="D255" t="s">
        <v>616</v>
      </c>
      <c r="E255" s="19" t="s">
        <v>790</v>
      </c>
      <c r="F255">
        <v>3</v>
      </c>
      <c r="H255">
        <v>1</v>
      </c>
      <c r="I255">
        <v>167</v>
      </c>
      <c r="J255" t="s">
        <v>358</v>
      </c>
      <c r="K255" s="15"/>
      <c r="Q255" s="15"/>
      <c r="R255">
        <v>167</v>
      </c>
    </row>
    <row r="256" spans="1:18">
      <c r="A256" t="s">
        <v>83</v>
      </c>
      <c r="B256">
        <v>347</v>
      </c>
      <c r="D256" t="s">
        <v>618</v>
      </c>
      <c r="E256" s="19" t="s">
        <v>790</v>
      </c>
      <c r="F256">
        <v>3</v>
      </c>
      <c r="H256">
        <v>1</v>
      </c>
      <c r="I256">
        <v>167</v>
      </c>
      <c r="J256" t="s">
        <v>358</v>
      </c>
      <c r="Q256" s="15"/>
      <c r="R256">
        <v>167</v>
      </c>
    </row>
    <row r="257" spans="1:18">
      <c r="A257" t="s">
        <v>56</v>
      </c>
      <c r="B257">
        <v>55</v>
      </c>
      <c r="D257" t="s">
        <v>750</v>
      </c>
      <c r="E257" s="19">
        <v>8050846007833</v>
      </c>
      <c r="F257">
        <v>3</v>
      </c>
      <c r="H257">
        <v>1</v>
      </c>
      <c r="I257">
        <v>183</v>
      </c>
      <c r="J257" t="s">
        <v>358</v>
      </c>
      <c r="Q257" s="15">
        <v>8050846007833</v>
      </c>
      <c r="R257">
        <v>183</v>
      </c>
    </row>
    <row r="258" spans="1:18">
      <c r="A258" t="s">
        <v>57</v>
      </c>
      <c r="B258">
        <v>499</v>
      </c>
      <c r="D258" t="s">
        <v>577</v>
      </c>
      <c r="E258" s="19" t="s">
        <v>790</v>
      </c>
      <c r="F258">
        <v>3</v>
      </c>
      <c r="H258">
        <v>1</v>
      </c>
      <c r="I258">
        <v>184</v>
      </c>
      <c r="J258" t="s">
        <v>358</v>
      </c>
      <c r="Q258" s="15"/>
      <c r="R258">
        <v>184</v>
      </c>
    </row>
    <row r="259" spans="1:18">
      <c r="A259" t="s">
        <v>9</v>
      </c>
      <c r="B259">
        <v>17</v>
      </c>
      <c r="D259" t="s">
        <v>579</v>
      </c>
      <c r="E259" s="19" t="s">
        <v>790</v>
      </c>
      <c r="F259">
        <v>2</v>
      </c>
      <c r="H259">
        <v>1</v>
      </c>
      <c r="I259">
        <v>20</v>
      </c>
      <c r="J259" t="s">
        <v>358</v>
      </c>
      <c r="Q259" s="15"/>
      <c r="R259">
        <v>20</v>
      </c>
    </row>
    <row r="260" spans="1:18">
      <c r="A260" t="s">
        <v>9</v>
      </c>
      <c r="B260">
        <v>26</v>
      </c>
      <c r="D260" t="s">
        <v>457</v>
      </c>
      <c r="E260" s="19">
        <v>8050846004450</v>
      </c>
      <c r="F260">
        <v>2</v>
      </c>
      <c r="H260">
        <v>1</v>
      </c>
      <c r="I260">
        <v>20</v>
      </c>
      <c r="J260" t="s">
        <v>358</v>
      </c>
      <c r="Q260" s="15">
        <v>8050846004450</v>
      </c>
      <c r="R260">
        <v>20</v>
      </c>
    </row>
    <row r="261" spans="1:18">
      <c r="A261" t="s">
        <v>88</v>
      </c>
      <c r="B261">
        <v>371</v>
      </c>
      <c r="D261" t="s">
        <v>668</v>
      </c>
      <c r="E261" s="19" t="s">
        <v>789</v>
      </c>
      <c r="F261">
        <v>2</v>
      </c>
      <c r="H261">
        <v>0</v>
      </c>
      <c r="Q261" s="15"/>
    </row>
    <row r="262" spans="1:18">
      <c r="A262" t="s">
        <v>60</v>
      </c>
      <c r="B262">
        <v>215</v>
      </c>
      <c r="D262" t="s">
        <v>538</v>
      </c>
      <c r="E262" s="19">
        <v>8050846005181</v>
      </c>
      <c r="F262">
        <v>2</v>
      </c>
      <c r="H262">
        <v>1</v>
      </c>
      <c r="I262">
        <v>136</v>
      </c>
      <c r="J262" t="s">
        <v>358</v>
      </c>
      <c r="Q262" s="15">
        <v>8050846005181</v>
      </c>
      <c r="R262">
        <v>136</v>
      </c>
    </row>
    <row r="263" spans="1:18">
      <c r="A263" t="s">
        <v>51</v>
      </c>
      <c r="B263">
        <v>483</v>
      </c>
      <c r="D263" t="s">
        <v>708</v>
      </c>
      <c r="E263" s="19">
        <v>8050846005358</v>
      </c>
      <c r="F263">
        <v>6</v>
      </c>
      <c r="H263">
        <v>1</v>
      </c>
      <c r="I263">
        <v>36</v>
      </c>
      <c r="J263" t="s">
        <v>358</v>
      </c>
      <c r="Q263" s="15">
        <v>8050846005358</v>
      </c>
      <c r="R263">
        <v>36</v>
      </c>
    </row>
    <row r="264" spans="1:18">
      <c r="A264" t="s">
        <v>32</v>
      </c>
      <c r="B264">
        <v>479</v>
      </c>
      <c r="D264" t="s">
        <v>492</v>
      </c>
      <c r="E264" s="19">
        <v>8050846005310</v>
      </c>
      <c r="F264">
        <v>2</v>
      </c>
      <c r="H264">
        <v>1</v>
      </c>
      <c r="I264">
        <v>35</v>
      </c>
      <c r="J264" t="s">
        <v>358</v>
      </c>
      <c r="Q264" s="15">
        <v>8050846005310</v>
      </c>
      <c r="R264">
        <v>35</v>
      </c>
    </row>
    <row r="265" spans="1:18">
      <c r="A265" t="s">
        <v>15</v>
      </c>
      <c r="B265">
        <v>347</v>
      </c>
      <c r="D265" t="s">
        <v>712</v>
      </c>
      <c r="E265" s="19">
        <v>8050846002210</v>
      </c>
      <c r="F265">
        <v>2</v>
      </c>
      <c r="H265">
        <v>1</v>
      </c>
      <c r="I265">
        <v>106</v>
      </c>
      <c r="J265" t="s">
        <v>358</v>
      </c>
      <c r="Q265" s="15">
        <v>8050846002210</v>
      </c>
      <c r="R265">
        <v>106</v>
      </c>
    </row>
    <row r="266" spans="1:18">
      <c r="A266" t="s">
        <v>54</v>
      </c>
      <c r="B266">
        <v>26</v>
      </c>
      <c r="D266" t="s">
        <v>755</v>
      </c>
      <c r="E266" s="19">
        <v>8050846004320</v>
      </c>
      <c r="F266">
        <v>6</v>
      </c>
      <c r="H266">
        <v>1</v>
      </c>
      <c r="I266">
        <v>67</v>
      </c>
      <c r="J266" t="s">
        <v>358</v>
      </c>
      <c r="Q266" s="15">
        <v>8050846004320</v>
      </c>
      <c r="R266">
        <v>67</v>
      </c>
    </row>
    <row r="267" spans="1:18">
      <c r="A267" t="s">
        <v>18</v>
      </c>
      <c r="B267">
        <v>76</v>
      </c>
      <c r="D267" t="s">
        <v>463</v>
      </c>
      <c r="E267" s="19">
        <v>8050846004597</v>
      </c>
      <c r="F267">
        <v>2</v>
      </c>
      <c r="H267">
        <v>1</v>
      </c>
      <c r="I267">
        <v>142</v>
      </c>
      <c r="J267" t="s">
        <v>358</v>
      </c>
      <c r="Q267" s="15">
        <v>8050846004597</v>
      </c>
      <c r="R267">
        <v>142</v>
      </c>
    </row>
    <row r="268" spans="1:18">
      <c r="A268" t="s">
        <v>21</v>
      </c>
      <c r="B268">
        <v>55</v>
      </c>
      <c r="D268" t="s">
        <v>757</v>
      </c>
      <c r="E268" s="19">
        <v>8051770308638</v>
      </c>
      <c r="F268">
        <v>1</v>
      </c>
      <c r="H268">
        <v>2</v>
      </c>
      <c r="I268">
        <v>4</v>
      </c>
      <c r="J268" t="s">
        <v>350</v>
      </c>
      <c r="K268" s="15">
        <v>8051770308638</v>
      </c>
      <c r="L268" t="s">
        <v>541</v>
      </c>
      <c r="O268" s="15"/>
      <c r="P268">
        <v>4</v>
      </c>
      <c r="Q268" s="15"/>
    </row>
    <row r="269" spans="1:18">
      <c r="A269" t="s">
        <v>26</v>
      </c>
      <c r="B269">
        <v>158</v>
      </c>
      <c r="D269" t="s">
        <v>588</v>
      </c>
      <c r="E269" s="19">
        <v>8050450218243</v>
      </c>
      <c r="F269">
        <v>1</v>
      </c>
      <c r="H269">
        <v>1</v>
      </c>
      <c r="I269">
        <v>5</v>
      </c>
      <c r="J269" t="s">
        <v>357</v>
      </c>
      <c r="O269" s="15">
        <v>8050450218243</v>
      </c>
      <c r="P269">
        <v>5</v>
      </c>
      <c r="Q269" s="15"/>
    </row>
    <row r="270" spans="1:18">
      <c r="A270" t="s">
        <v>23</v>
      </c>
      <c r="B270">
        <v>158</v>
      </c>
      <c r="D270" t="s">
        <v>468</v>
      </c>
      <c r="E270" s="19" t="s">
        <v>790</v>
      </c>
      <c r="F270">
        <v>1</v>
      </c>
      <c r="H270">
        <v>1</v>
      </c>
      <c r="I270">
        <v>7</v>
      </c>
      <c r="J270" t="s">
        <v>357</v>
      </c>
      <c r="O270" s="15"/>
      <c r="P270">
        <v>7</v>
      </c>
      <c r="Q270" s="15"/>
    </row>
    <row r="271" spans="1:18">
      <c r="A271" t="s">
        <v>25</v>
      </c>
      <c r="B271">
        <v>158</v>
      </c>
      <c r="D271" t="s">
        <v>471</v>
      </c>
      <c r="E271" s="19">
        <v>8056099177927</v>
      </c>
      <c r="F271">
        <v>2</v>
      </c>
      <c r="H271">
        <v>1</v>
      </c>
      <c r="I271">
        <v>8</v>
      </c>
      <c r="J271" t="s">
        <v>357</v>
      </c>
      <c r="O271" s="15">
        <v>8056099177927</v>
      </c>
      <c r="P271">
        <v>8</v>
      </c>
      <c r="Q271" s="15"/>
    </row>
    <row r="272" spans="1:18">
      <c r="A272" t="s">
        <v>25</v>
      </c>
      <c r="B272">
        <v>78</v>
      </c>
      <c r="D272" t="s">
        <v>631</v>
      </c>
      <c r="E272" s="19">
        <v>8056099179785</v>
      </c>
      <c r="F272">
        <v>2</v>
      </c>
      <c r="H272">
        <v>2</v>
      </c>
      <c r="I272">
        <v>6</v>
      </c>
      <c r="J272" t="s">
        <v>350</v>
      </c>
      <c r="K272" s="15">
        <v>8056099179785</v>
      </c>
      <c r="L272" t="s">
        <v>474</v>
      </c>
      <c r="O272" s="15"/>
      <c r="P272">
        <v>8</v>
      </c>
      <c r="Q272" s="15"/>
    </row>
    <row r="273" spans="1:18">
      <c r="A273" t="s">
        <v>24</v>
      </c>
      <c r="B273">
        <v>75</v>
      </c>
      <c r="D273" t="s">
        <v>550</v>
      </c>
      <c r="E273" s="19">
        <v>8056300455745</v>
      </c>
      <c r="F273">
        <v>2</v>
      </c>
      <c r="H273">
        <v>1</v>
      </c>
      <c r="I273">
        <v>16</v>
      </c>
      <c r="J273" t="s">
        <v>358</v>
      </c>
      <c r="Q273" s="15">
        <v>8056300455745</v>
      </c>
      <c r="R273">
        <v>16</v>
      </c>
    </row>
    <row r="274" spans="1:18">
      <c r="A274" t="s">
        <v>21</v>
      </c>
      <c r="B274">
        <v>422</v>
      </c>
      <c r="D274" t="s">
        <v>632</v>
      </c>
      <c r="E274" s="19" t="s">
        <v>790</v>
      </c>
      <c r="F274">
        <v>2</v>
      </c>
      <c r="H274">
        <v>2</v>
      </c>
      <c r="I274">
        <v>4</v>
      </c>
      <c r="J274" t="s">
        <v>349</v>
      </c>
      <c r="M274" s="15" t="s">
        <v>380</v>
      </c>
      <c r="N274" t="s">
        <v>541</v>
      </c>
      <c r="Q274" s="15">
        <v>8050846006386</v>
      </c>
      <c r="R274">
        <v>4</v>
      </c>
    </row>
    <row r="275" spans="1:18">
      <c r="A275" t="s">
        <v>23</v>
      </c>
      <c r="B275">
        <v>26</v>
      </c>
      <c r="D275" t="s">
        <v>675</v>
      </c>
      <c r="E275" s="19">
        <v>8050846006652</v>
      </c>
      <c r="F275">
        <v>2</v>
      </c>
      <c r="H275">
        <v>1</v>
      </c>
      <c r="I275">
        <v>10</v>
      </c>
      <c r="J275" t="s">
        <v>358</v>
      </c>
      <c r="Q275" s="15">
        <v>8050846006652</v>
      </c>
      <c r="R275">
        <v>10</v>
      </c>
    </row>
    <row r="276" spans="1:18">
      <c r="A276" t="s">
        <v>26</v>
      </c>
      <c r="B276">
        <v>347</v>
      </c>
      <c r="D276" t="s">
        <v>723</v>
      </c>
      <c r="E276" s="19">
        <v>8050846006546</v>
      </c>
      <c r="F276">
        <v>2</v>
      </c>
      <c r="H276">
        <v>1</v>
      </c>
      <c r="I276">
        <v>6</v>
      </c>
      <c r="J276" t="s">
        <v>358</v>
      </c>
      <c r="Q276" s="15">
        <v>8050846006546</v>
      </c>
      <c r="R276">
        <v>6</v>
      </c>
    </row>
    <row r="277" spans="1:18">
      <c r="A277" t="s">
        <v>21</v>
      </c>
      <c r="B277">
        <v>486</v>
      </c>
      <c r="D277" t="s">
        <v>479</v>
      </c>
      <c r="E277" s="19">
        <v>8050846006423</v>
      </c>
      <c r="F277">
        <v>2</v>
      </c>
      <c r="H277">
        <v>1</v>
      </c>
      <c r="I277">
        <v>4</v>
      </c>
      <c r="J277" t="s">
        <v>358</v>
      </c>
      <c r="Q277" s="15">
        <v>8050846006423</v>
      </c>
      <c r="R277">
        <v>4</v>
      </c>
    </row>
    <row r="278" spans="1:18">
      <c r="A278" t="s">
        <v>21</v>
      </c>
      <c r="B278">
        <v>485</v>
      </c>
      <c r="D278" t="s">
        <v>634</v>
      </c>
      <c r="E278" s="19">
        <v>8050846006447</v>
      </c>
      <c r="F278">
        <v>2</v>
      </c>
      <c r="H278">
        <v>1</v>
      </c>
      <c r="I278">
        <v>4</v>
      </c>
      <c r="J278" t="s">
        <v>358</v>
      </c>
      <c r="Q278" s="15">
        <v>8050846006447</v>
      </c>
      <c r="R278">
        <v>4</v>
      </c>
    </row>
    <row r="279" spans="1:18">
      <c r="A279" t="s">
        <v>27</v>
      </c>
      <c r="B279">
        <v>60</v>
      </c>
      <c r="D279" t="s">
        <v>501</v>
      </c>
      <c r="E279" s="19">
        <v>8050846008151</v>
      </c>
      <c r="F279">
        <v>6</v>
      </c>
      <c r="H279">
        <v>1</v>
      </c>
      <c r="I279">
        <v>198</v>
      </c>
      <c r="J279" t="s">
        <v>358</v>
      </c>
      <c r="Q279" s="15">
        <v>8050846008151</v>
      </c>
      <c r="R279">
        <v>198</v>
      </c>
    </row>
    <row r="280" spans="1:18">
      <c r="A280" t="s">
        <v>109</v>
      </c>
      <c r="B280">
        <v>480</v>
      </c>
      <c r="D280" t="s">
        <v>766</v>
      </c>
      <c r="E280" s="19">
        <v>8050846003828</v>
      </c>
      <c r="F280">
        <v>2</v>
      </c>
      <c r="H280">
        <v>1</v>
      </c>
      <c r="I280">
        <v>102</v>
      </c>
      <c r="J280" t="s">
        <v>358</v>
      </c>
      <c r="Q280" s="15">
        <v>8050846003828</v>
      </c>
      <c r="R280">
        <v>102</v>
      </c>
    </row>
    <row r="281" spans="1:18">
      <c r="A281" t="s">
        <v>122</v>
      </c>
      <c r="B281">
        <v>227</v>
      </c>
      <c r="D281" t="s">
        <v>767</v>
      </c>
      <c r="E281" s="19">
        <v>8050846002173</v>
      </c>
      <c r="F281">
        <v>2</v>
      </c>
      <c r="H281">
        <v>1</v>
      </c>
      <c r="I281">
        <v>108</v>
      </c>
      <c r="J281" t="s">
        <v>358</v>
      </c>
      <c r="Q281" s="15">
        <v>8050846002173</v>
      </c>
      <c r="R281">
        <v>108</v>
      </c>
    </row>
    <row r="282" spans="1:18">
      <c r="A282" t="s">
        <v>28</v>
      </c>
      <c r="B282">
        <v>227</v>
      </c>
      <c r="D282" t="s">
        <v>482</v>
      </c>
      <c r="E282" s="19">
        <v>8050846003101</v>
      </c>
      <c r="F282">
        <v>2</v>
      </c>
      <c r="H282">
        <v>1</v>
      </c>
      <c r="I282">
        <v>50</v>
      </c>
      <c r="J282" t="s">
        <v>358</v>
      </c>
      <c r="Q282" s="15">
        <v>8050846003101</v>
      </c>
      <c r="R282">
        <v>50</v>
      </c>
    </row>
    <row r="283" spans="1:18">
      <c r="A283" t="s">
        <v>73</v>
      </c>
      <c r="B283">
        <v>75</v>
      </c>
      <c r="D283" t="s">
        <v>770</v>
      </c>
      <c r="E283" s="19">
        <v>8050846005532</v>
      </c>
      <c r="F283">
        <v>2</v>
      </c>
      <c r="H283">
        <v>1</v>
      </c>
      <c r="I283">
        <v>49</v>
      </c>
      <c r="J283" t="s">
        <v>358</v>
      </c>
      <c r="Q283" s="15">
        <v>8050846005532</v>
      </c>
      <c r="R283">
        <v>49</v>
      </c>
    </row>
    <row r="284" spans="1:18">
      <c r="A284" t="s">
        <v>93</v>
      </c>
      <c r="B284">
        <v>254</v>
      </c>
      <c r="D284" t="s">
        <v>644</v>
      </c>
      <c r="E284" s="19" t="s">
        <v>790</v>
      </c>
      <c r="F284">
        <v>2</v>
      </c>
      <c r="H284">
        <v>1</v>
      </c>
      <c r="I284">
        <v>78</v>
      </c>
      <c r="J284" t="s">
        <v>358</v>
      </c>
      <c r="Q284" s="15"/>
      <c r="R284">
        <v>78</v>
      </c>
    </row>
    <row r="285" spans="1:18">
      <c r="A285" t="s">
        <v>32</v>
      </c>
      <c r="B285">
        <v>75</v>
      </c>
      <c r="D285" t="s">
        <v>562</v>
      </c>
      <c r="E285" s="19">
        <v>8050846005327</v>
      </c>
      <c r="F285">
        <v>4</v>
      </c>
      <c r="H285">
        <v>1</v>
      </c>
      <c r="I285">
        <v>35</v>
      </c>
      <c r="J285" t="s">
        <v>358</v>
      </c>
      <c r="Q285" s="15">
        <v>8050846005327</v>
      </c>
      <c r="R285">
        <v>35</v>
      </c>
    </row>
    <row r="286" spans="1:18">
      <c r="A286" t="s">
        <v>75</v>
      </c>
      <c r="B286">
        <v>76</v>
      </c>
      <c r="D286" t="s">
        <v>596</v>
      </c>
      <c r="E286" s="19">
        <v>8050846002487</v>
      </c>
      <c r="F286">
        <v>2</v>
      </c>
      <c r="H286">
        <v>1</v>
      </c>
      <c r="I286">
        <v>131</v>
      </c>
      <c r="J286" t="s">
        <v>358</v>
      </c>
      <c r="Q286" s="15">
        <v>8050846002487</v>
      </c>
      <c r="R286">
        <v>131</v>
      </c>
    </row>
    <row r="287" spans="1:18">
      <c r="A287" t="s">
        <v>42</v>
      </c>
      <c r="B287">
        <v>476</v>
      </c>
      <c r="D287" t="s">
        <v>507</v>
      </c>
      <c r="E287" s="19">
        <v>8050846003958</v>
      </c>
      <c r="F287">
        <v>2</v>
      </c>
      <c r="H287">
        <v>1</v>
      </c>
      <c r="I287">
        <v>110</v>
      </c>
      <c r="J287" t="s">
        <v>358</v>
      </c>
      <c r="Q287" s="15">
        <v>8050846003958</v>
      </c>
      <c r="R287">
        <v>110</v>
      </c>
    </row>
    <row r="288" spans="1:18">
      <c r="A288" t="s">
        <v>77</v>
      </c>
      <c r="B288">
        <v>227</v>
      </c>
      <c r="D288" t="s">
        <v>604</v>
      </c>
      <c r="E288" s="19">
        <v>8050846003118</v>
      </c>
      <c r="F288">
        <v>2</v>
      </c>
      <c r="H288">
        <v>1</v>
      </c>
      <c r="I288">
        <v>51</v>
      </c>
      <c r="J288" t="s">
        <v>358</v>
      </c>
      <c r="Q288" s="15">
        <v>8050846003118</v>
      </c>
      <c r="R288">
        <v>51</v>
      </c>
    </row>
    <row r="289" spans="1:18">
      <c r="A289" t="s">
        <v>116</v>
      </c>
      <c r="B289">
        <v>55</v>
      </c>
      <c r="D289" t="s">
        <v>734</v>
      </c>
      <c r="E289" s="19">
        <v>8050846002203</v>
      </c>
      <c r="F289">
        <v>2</v>
      </c>
      <c r="H289">
        <v>1</v>
      </c>
      <c r="I289">
        <v>109</v>
      </c>
      <c r="J289" t="s">
        <v>358</v>
      </c>
      <c r="Q289" s="15">
        <v>8050846002203</v>
      </c>
      <c r="R289">
        <v>109</v>
      </c>
    </row>
    <row r="290" spans="1:18">
      <c r="A290" t="s">
        <v>78</v>
      </c>
      <c r="B290">
        <v>125</v>
      </c>
      <c r="D290" t="s">
        <v>606</v>
      </c>
      <c r="E290" s="19">
        <v>8050846004900</v>
      </c>
      <c r="F290">
        <v>2</v>
      </c>
      <c r="H290">
        <v>1</v>
      </c>
      <c r="I290">
        <v>103</v>
      </c>
      <c r="J290" t="s">
        <v>358</v>
      </c>
      <c r="Q290" s="15">
        <v>8050846004900</v>
      </c>
      <c r="R290">
        <v>103</v>
      </c>
    </row>
    <row r="291" spans="1:18">
      <c r="A291" t="s">
        <v>0</v>
      </c>
      <c r="B291">
        <v>422</v>
      </c>
      <c r="D291" t="s">
        <v>516</v>
      </c>
      <c r="E291" s="19">
        <v>8050846001817</v>
      </c>
      <c r="F291">
        <v>2</v>
      </c>
      <c r="H291">
        <v>1</v>
      </c>
      <c r="I291">
        <v>92</v>
      </c>
      <c r="J291" t="s">
        <v>358</v>
      </c>
      <c r="Q291" s="15">
        <v>8050846001817</v>
      </c>
      <c r="R291">
        <v>92</v>
      </c>
    </row>
    <row r="292" spans="1:18">
      <c r="A292" t="s">
        <v>51</v>
      </c>
      <c r="B292">
        <v>17</v>
      </c>
      <c r="D292" t="s">
        <v>657</v>
      </c>
      <c r="E292" s="19" t="s">
        <v>790</v>
      </c>
      <c r="F292">
        <v>6</v>
      </c>
      <c r="H292">
        <v>1</v>
      </c>
      <c r="I292">
        <v>36</v>
      </c>
      <c r="J292" t="s">
        <v>358</v>
      </c>
      <c r="Q292" s="15"/>
      <c r="R292">
        <v>36</v>
      </c>
    </row>
    <row r="293" spans="1:18">
      <c r="A293" t="s">
        <v>73</v>
      </c>
      <c r="B293">
        <v>215</v>
      </c>
      <c r="D293" t="s">
        <v>670</v>
      </c>
      <c r="E293" s="19">
        <v>8050846005556</v>
      </c>
      <c r="F293">
        <v>2</v>
      </c>
      <c r="H293">
        <v>1</v>
      </c>
      <c r="I293">
        <v>49</v>
      </c>
      <c r="J293" t="s">
        <v>358</v>
      </c>
      <c r="Q293" s="15">
        <v>8050846005556</v>
      </c>
      <c r="R293">
        <v>49</v>
      </c>
    </row>
    <row r="294" spans="1:18">
      <c r="A294" t="s">
        <v>111</v>
      </c>
      <c r="B294">
        <v>134</v>
      </c>
      <c r="D294" t="s">
        <v>709</v>
      </c>
      <c r="E294" s="19">
        <v>8050846007673</v>
      </c>
      <c r="F294">
        <v>3</v>
      </c>
      <c r="H294">
        <v>1</v>
      </c>
      <c r="I294">
        <v>165</v>
      </c>
      <c r="J294" t="s">
        <v>358</v>
      </c>
      <c r="Q294" s="15">
        <v>8050846007673</v>
      </c>
      <c r="R294">
        <v>165</v>
      </c>
    </row>
    <row r="295" spans="1:18">
      <c r="A295" t="s">
        <v>89</v>
      </c>
      <c r="B295">
        <v>75</v>
      </c>
      <c r="D295" t="s">
        <v>710</v>
      </c>
      <c r="E295" s="19">
        <v>8050846007710</v>
      </c>
      <c r="F295">
        <v>3</v>
      </c>
      <c r="H295">
        <v>1</v>
      </c>
      <c r="I295">
        <v>183</v>
      </c>
      <c r="J295" t="s">
        <v>358</v>
      </c>
      <c r="Q295" s="15">
        <v>8050846007710</v>
      </c>
      <c r="R295">
        <v>183</v>
      </c>
    </row>
    <row r="296" spans="1:18">
      <c r="A296" t="s">
        <v>89</v>
      </c>
      <c r="B296">
        <v>130</v>
      </c>
      <c r="D296" t="s">
        <v>711</v>
      </c>
      <c r="E296" s="19">
        <v>8050846007703</v>
      </c>
      <c r="F296">
        <v>3</v>
      </c>
      <c r="H296">
        <v>1</v>
      </c>
      <c r="I296">
        <v>183</v>
      </c>
      <c r="J296" t="s">
        <v>358</v>
      </c>
      <c r="Q296" s="15">
        <v>8050846007703</v>
      </c>
      <c r="R296">
        <v>183</v>
      </c>
    </row>
    <row r="297" spans="1:18">
      <c r="A297" t="s">
        <v>18</v>
      </c>
      <c r="B297">
        <v>479</v>
      </c>
      <c r="D297" t="s">
        <v>671</v>
      </c>
      <c r="E297" s="19">
        <v>8050846004603</v>
      </c>
      <c r="F297">
        <v>2</v>
      </c>
      <c r="H297">
        <v>1</v>
      </c>
      <c r="I297">
        <v>142</v>
      </c>
      <c r="J297" t="s">
        <v>358</v>
      </c>
      <c r="Q297" s="15">
        <v>8050846004603</v>
      </c>
      <c r="R297">
        <v>142</v>
      </c>
    </row>
    <row r="298" spans="1:18">
      <c r="A298" t="s">
        <v>23</v>
      </c>
      <c r="B298">
        <v>17</v>
      </c>
      <c r="D298" t="s">
        <v>758</v>
      </c>
      <c r="E298" s="19">
        <v>8058983596401</v>
      </c>
      <c r="F298">
        <v>1</v>
      </c>
      <c r="H298">
        <v>1</v>
      </c>
      <c r="I298">
        <v>7</v>
      </c>
      <c r="J298" t="s">
        <v>357</v>
      </c>
      <c r="O298" s="15">
        <v>8058983596401</v>
      </c>
      <c r="P298">
        <v>7</v>
      </c>
      <c r="Q298" s="15"/>
    </row>
    <row r="299" spans="1:18">
      <c r="A299" t="s">
        <v>21</v>
      </c>
      <c r="B299">
        <v>38</v>
      </c>
      <c r="D299" t="s">
        <v>673</v>
      </c>
      <c r="E299" s="19">
        <v>8050450212456</v>
      </c>
      <c r="F299">
        <v>2</v>
      </c>
      <c r="H299">
        <v>2</v>
      </c>
      <c r="I299">
        <v>5</v>
      </c>
      <c r="J299" t="s">
        <v>349</v>
      </c>
      <c r="M299" s="15">
        <v>8050450212456</v>
      </c>
      <c r="N299" t="s">
        <v>370</v>
      </c>
      <c r="Q299" s="15">
        <v>8050450212456</v>
      </c>
      <c r="R299">
        <v>4</v>
      </c>
    </row>
    <row r="300" spans="1:18">
      <c r="A300" t="s">
        <v>21</v>
      </c>
      <c r="B300">
        <v>158</v>
      </c>
      <c r="D300" t="s">
        <v>546</v>
      </c>
      <c r="E300" s="19">
        <v>8050450217451</v>
      </c>
      <c r="F300">
        <v>1</v>
      </c>
      <c r="H300">
        <v>1</v>
      </c>
      <c r="I300">
        <v>4</v>
      </c>
      <c r="J300" t="s">
        <v>357</v>
      </c>
      <c r="O300" s="15">
        <v>8050450217451</v>
      </c>
      <c r="P300">
        <v>4</v>
      </c>
      <c r="Q300" s="15"/>
    </row>
    <row r="301" spans="1:18">
      <c r="A301" t="s">
        <v>22</v>
      </c>
      <c r="B301">
        <v>76</v>
      </c>
      <c r="D301" t="s">
        <v>548</v>
      </c>
      <c r="E301" s="19">
        <v>8050538590964</v>
      </c>
      <c r="F301">
        <v>2</v>
      </c>
      <c r="H301">
        <v>1</v>
      </c>
      <c r="I301">
        <v>8</v>
      </c>
      <c r="J301" t="s">
        <v>358</v>
      </c>
      <c r="Q301" s="15">
        <v>8050538590964</v>
      </c>
      <c r="R301">
        <v>8</v>
      </c>
    </row>
    <row r="302" spans="1:18">
      <c r="A302" t="s">
        <v>24</v>
      </c>
      <c r="B302">
        <v>158</v>
      </c>
      <c r="D302" t="s">
        <v>589</v>
      </c>
      <c r="E302" s="19" t="s">
        <v>790</v>
      </c>
      <c r="F302">
        <v>1</v>
      </c>
      <c r="H302">
        <v>1</v>
      </c>
      <c r="I302">
        <v>10</v>
      </c>
      <c r="J302" t="s">
        <v>357</v>
      </c>
      <c r="O302" s="15"/>
      <c r="P302">
        <v>10</v>
      </c>
      <c r="Q302" s="15"/>
    </row>
    <row r="303" spans="1:18">
      <c r="A303" t="s">
        <v>23</v>
      </c>
      <c r="B303">
        <v>75</v>
      </c>
      <c r="D303" t="s">
        <v>497</v>
      </c>
      <c r="E303" s="19">
        <v>8056300452195</v>
      </c>
      <c r="F303">
        <v>2</v>
      </c>
      <c r="H303">
        <v>1</v>
      </c>
      <c r="I303">
        <v>10</v>
      </c>
      <c r="J303" t="s">
        <v>358</v>
      </c>
      <c r="Q303" s="15">
        <v>8056300452195</v>
      </c>
      <c r="R303">
        <v>10</v>
      </c>
    </row>
    <row r="304" spans="1:18">
      <c r="A304" t="s">
        <v>22</v>
      </c>
      <c r="B304">
        <v>347</v>
      </c>
      <c r="D304" t="s">
        <v>499</v>
      </c>
      <c r="E304" s="19">
        <v>8050846006706</v>
      </c>
      <c r="F304">
        <v>2</v>
      </c>
      <c r="H304">
        <v>1</v>
      </c>
      <c r="I304">
        <v>8</v>
      </c>
      <c r="J304" t="s">
        <v>358</v>
      </c>
      <c r="Q304" s="15">
        <v>8050846006706</v>
      </c>
      <c r="R304">
        <v>8</v>
      </c>
    </row>
    <row r="305" spans="1:18">
      <c r="A305" t="s">
        <v>25</v>
      </c>
      <c r="B305">
        <v>371</v>
      </c>
      <c r="D305" t="s">
        <v>554</v>
      </c>
      <c r="E305" s="19">
        <v>8050846011540</v>
      </c>
      <c r="F305">
        <v>2</v>
      </c>
      <c r="H305">
        <v>2</v>
      </c>
      <c r="I305">
        <v>6</v>
      </c>
      <c r="J305" t="s">
        <v>350</v>
      </c>
      <c r="K305" s="15">
        <v>8050846011540</v>
      </c>
      <c r="L305" t="s">
        <v>474</v>
      </c>
      <c r="O305" s="15"/>
      <c r="P305">
        <v>8</v>
      </c>
      <c r="Q305" s="15"/>
    </row>
    <row r="306" spans="1:18">
      <c r="A306" t="s">
        <v>26</v>
      </c>
      <c r="B306">
        <v>26</v>
      </c>
      <c r="D306" t="s">
        <v>762</v>
      </c>
      <c r="E306" s="19">
        <v>8050846006560</v>
      </c>
      <c r="F306">
        <v>2</v>
      </c>
      <c r="H306">
        <v>1</v>
      </c>
      <c r="I306">
        <v>6</v>
      </c>
      <c r="J306" t="s">
        <v>358</v>
      </c>
      <c r="Q306" s="15">
        <v>8050846006560</v>
      </c>
      <c r="R306">
        <v>6</v>
      </c>
    </row>
    <row r="307" spans="1:18">
      <c r="A307" t="s">
        <v>27</v>
      </c>
      <c r="B307">
        <v>59</v>
      </c>
      <c r="D307" t="s">
        <v>636</v>
      </c>
      <c r="E307" s="19">
        <v>8050846008175</v>
      </c>
      <c r="F307">
        <v>6</v>
      </c>
      <c r="H307">
        <v>1</v>
      </c>
      <c r="I307">
        <v>198</v>
      </c>
      <c r="J307" t="s">
        <v>358</v>
      </c>
      <c r="Q307" s="15">
        <v>8050846008175</v>
      </c>
      <c r="R307">
        <v>198</v>
      </c>
    </row>
    <row r="308" spans="1:18">
      <c r="A308" t="s">
        <v>35</v>
      </c>
      <c r="B308">
        <v>63</v>
      </c>
      <c r="D308" t="s">
        <v>679</v>
      </c>
      <c r="E308" s="19" t="s">
        <v>789</v>
      </c>
      <c r="F308">
        <v>6</v>
      </c>
      <c r="H308">
        <v>0</v>
      </c>
      <c r="O308" s="15"/>
    </row>
    <row r="309" spans="1:18">
      <c r="A309" t="s">
        <v>22</v>
      </c>
      <c r="B309">
        <v>479</v>
      </c>
      <c r="D309" t="s">
        <v>600</v>
      </c>
      <c r="E309" s="19">
        <v>8050846011526</v>
      </c>
      <c r="F309">
        <v>2</v>
      </c>
      <c r="H309">
        <v>1</v>
      </c>
      <c r="I309">
        <v>8</v>
      </c>
      <c r="J309" t="s">
        <v>358</v>
      </c>
      <c r="O309" s="15"/>
      <c r="Q309" s="15">
        <v>8050846011526</v>
      </c>
      <c r="R309">
        <v>8</v>
      </c>
    </row>
    <row r="310" spans="1:18">
      <c r="A310" t="s">
        <v>63</v>
      </c>
      <c r="B310">
        <v>480</v>
      </c>
      <c r="D310" t="s">
        <v>558</v>
      </c>
      <c r="E310" s="19">
        <v>8050846004030</v>
      </c>
      <c r="F310">
        <v>2</v>
      </c>
      <c r="H310">
        <v>1</v>
      </c>
      <c r="I310">
        <v>115</v>
      </c>
      <c r="J310" t="s">
        <v>358</v>
      </c>
      <c r="M310" s="15"/>
      <c r="Q310" s="15">
        <v>8050846004030</v>
      </c>
      <c r="R310">
        <v>115</v>
      </c>
    </row>
    <row r="311" spans="1:18">
      <c r="A311" t="s">
        <v>29</v>
      </c>
      <c r="B311">
        <v>133</v>
      </c>
      <c r="D311" t="s">
        <v>561</v>
      </c>
      <c r="E311" s="19">
        <v>8050846005433</v>
      </c>
      <c r="F311">
        <v>2</v>
      </c>
      <c r="H311">
        <v>1</v>
      </c>
      <c r="I311">
        <v>159</v>
      </c>
      <c r="J311" t="s">
        <v>358</v>
      </c>
      <c r="Q311" s="15">
        <v>8050846005433</v>
      </c>
      <c r="R311">
        <v>159</v>
      </c>
    </row>
    <row r="312" spans="1:18">
      <c r="A312" t="s">
        <v>51</v>
      </c>
      <c r="B312">
        <v>55</v>
      </c>
      <c r="D312" t="s">
        <v>392</v>
      </c>
      <c r="E312" s="19">
        <v>8050846002586</v>
      </c>
      <c r="F312">
        <v>8</v>
      </c>
      <c r="H312">
        <v>1</v>
      </c>
      <c r="I312">
        <v>36</v>
      </c>
      <c r="J312" t="s">
        <v>358</v>
      </c>
      <c r="Q312" s="15">
        <v>8050846002586</v>
      </c>
      <c r="R312">
        <v>36</v>
      </c>
    </row>
    <row r="313" spans="1:18">
      <c r="A313" t="s">
        <v>38</v>
      </c>
      <c r="B313">
        <v>480</v>
      </c>
      <c r="D313" t="s">
        <v>505</v>
      </c>
      <c r="E313" s="19" t="s">
        <v>790</v>
      </c>
      <c r="F313">
        <v>2</v>
      </c>
      <c r="H313">
        <v>1</v>
      </c>
      <c r="I313">
        <v>95</v>
      </c>
      <c r="J313" t="s">
        <v>358</v>
      </c>
      <c r="Q313" s="15"/>
      <c r="R313">
        <v>95</v>
      </c>
    </row>
    <row r="314" spans="1:18">
      <c r="A314" t="s">
        <v>95</v>
      </c>
      <c r="B314">
        <v>254</v>
      </c>
      <c r="D314" t="s">
        <v>646</v>
      </c>
      <c r="E314" s="19" t="s">
        <v>790</v>
      </c>
      <c r="F314">
        <v>2</v>
      </c>
      <c r="H314">
        <v>1</v>
      </c>
      <c r="I314">
        <v>95</v>
      </c>
      <c r="J314" t="s">
        <v>358</v>
      </c>
      <c r="K314" s="15"/>
      <c r="Q314" s="15"/>
      <c r="R314">
        <v>95</v>
      </c>
    </row>
    <row r="315" spans="1:18">
      <c r="A315" t="s">
        <v>129</v>
      </c>
      <c r="B315">
        <v>125</v>
      </c>
      <c r="D315" t="s">
        <v>778</v>
      </c>
      <c r="E315" s="19" t="s">
        <v>790</v>
      </c>
      <c r="F315">
        <v>2</v>
      </c>
      <c r="H315">
        <v>1</v>
      </c>
      <c r="I315">
        <v>96</v>
      </c>
      <c r="J315" t="s">
        <v>358</v>
      </c>
      <c r="Q315" s="15"/>
      <c r="R315">
        <v>96</v>
      </c>
    </row>
    <row r="316" spans="1:18">
      <c r="A316" t="s">
        <v>107</v>
      </c>
      <c r="B316">
        <v>480</v>
      </c>
      <c r="D316" t="s">
        <v>688</v>
      </c>
      <c r="E316" s="19">
        <v>8050846004061</v>
      </c>
      <c r="F316">
        <v>2</v>
      </c>
      <c r="H316">
        <v>1</v>
      </c>
      <c r="I316">
        <v>119</v>
      </c>
      <c r="J316" t="s">
        <v>358</v>
      </c>
      <c r="Q316" s="15">
        <v>8050846004061</v>
      </c>
      <c r="R316">
        <v>119</v>
      </c>
    </row>
    <row r="317" spans="1:18">
      <c r="A317" t="s">
        <v>108</v>
      </c>
      <c r="B317">
        <v>8</v>
      </c>
      <c r="D317" t="s">
        <v>689</v>
      </c>
      <c r="E317" s="19" t="s">
        <v>790</v>
      </c>
      <c r="F317">
        <v>2</v>
      </c>
      <c r="H317">
        <v>1</v>
      </c>
      <c r="I317">
        <v>79</v>
      </c>
      <c r="J317" t="s">
        <v>358</v>
      </c>
      <c r="Q317" s="15"/>
      <c r="R317">
        <v>79</v>
      </c>
    </row>
    <row r="318" spans="1:18">
      <c r="A318" t="s">
        <v>67</v>
      </c>
      <c r="B318">
        <v>500</v>
      </c>
      <c r="D318" t="s">
        <v>566</v>
      </c>
      <c r="E318" s="19" t="s">
        <v>789</v>
      </c>
      <c r="F318">
        <v>3</v>
      </c>
      <c r="H318">
        <v>0</v>
      </c>
      <c r="Q318" s="15"/>
    </row>
    <row r="319" spans="1:18">
      <c r="A319" t="s">
        <v>96</v>
      </c>
      <c r="B319">
        <v>215</v>
      </c>
      <c r="D319" t="s">
        <v>647</v>
      </c>
      <c r="E319" s="19">
        <v>8050846005372</v>
      </c>
      <c r="F319">
        <v>2</v>
      </c>
      <c r="H319">
        <v>1</v>
      </c>
      <c r="I319">
        <v>35</v>
      </c>
      <c r="J319" t="s">
        <v>358</v>
      </c>
      <c r="Q319" s="15">
        <v>8050846005372</v>
      </c>
      <c r="R319">
        <v>35</v>
      </c>
    </row>
    <row r="320" spans="1:18">
      <c r="A320" t="s">
        <v>68</v>
      </c>
      <c r="B320">
        <v>36</v>
      </c>
      <c r="D320" t="s">
        <v>567</v>
      </c>
      <c r="E320" s="19">
        <v>8050846002128</v>
      </c>
      <c r="F320">
        <v>2</v>
      </c>
      <c r="H320">
        <v>1</v>
      </c>
      <c r="I320">
        <v>100</v>
      </c>
      <c r="J320" t="s">
        <v>358</v>
      </c>
      <c r="Q320" s="15">
        <v>8050846002128</v>
      </c>
      <c r="R320">
        <v>100</v>
      </c>
    </row>
    <row r="321" spans="1:18">
      <c r="A321" t="s">
        <v>49</v>
      </c>
      <c r="B321">
        <v>130</v>
      </c>
      <c r="D321" t="s">
        <v>520</v>
      </c>
      <c r="E321" s="19">
        <v>8050846004931</v>
      </c>
      <c r="F321">
        <v>2</v>
      </c>
      <c r="H321">
        <v>1</v>
      </c>
      <c r="I321">
        <v>99</v>
      </c>
      <c r="J321" t="s">
        <v>358</v>
      </c>
      <c r="Q321" s="15">
        <v>8050846004931</v>
      </c>
      <c r="R321">
        <v>99</v>
      </c>
    </row>
    <row r="322" spans="1:18">
      <c r="A322" t="s">
        <v>69</v>
      </c>
      <c r="B322">
        <v>75</v>
      </c>
      <c r="D322" t="s">
        <v>569</v>
      </c>
      <c r="E322" s="19" t="s">
        <v>789</v>
      </c>
      <c r="F322">
        <v>2</v>
      </c>
      <c r="H322">
        <v>0</v>
      </c>
      <c r="Q322" s="15"/>
    </row>
    <row r="323" spans="1:18">
      <c r="A323" t="s">
        <v>48</v>
      </c>
      <c r="B323">
        <v>479</v>
      </c>
      <c r="D323" t="s">
        <v>738</v>
      </c>
      <c r="E323" s="19">
        <v>8050846005587</v>
      </c>
      <c r="F323">
        <v>2</v>
      </c>
      <c r="H323">
        <v>1</v>
      </c>
      <c r="I323">
        <v>49</v>
      </c>
      <c r="J323" t="s">
        <v>358</v>
      </c>
      <c r="Q323" s="15">
        <v>8050846005587</v>
      </c>
      <c r="R323">
        <v>49</v>
      </c>
    </row>
    <row r="324" spans="1:18">
      <c r="A324" t="s">
        <v>50</v>
      </c>
      <c r="B324">
        <v>76</v>
      </c>
      <c r="D324" t="s">
        <v>739</v>
      </c>
      <c r="E324" s="19">
        <v>8050846003323</v>
      </c>
      <c r="F324">
        <v>2</v>
      </c>
      <c r="H324">
        <v>1</v>
      </c>
      <c r="I324">
        <v>7</v>
      </c>
      <c r="J324" t="s">
        <v>358</v>
      </c>
      <c r="Q324" s="15">
        <v>8050846003323</v>
      </c>
      <c r="R324">
        <v>7</v>
      </c>
    </row>
    <row r="325" spans="1:18">
      <c r="A325" t="s">
        <v>2</v>
      </c>
      <c r="B325">
        <v>371</v>
      </c>
      <c r="D325" t="s">
        <v>522</v>
      </c>
      <c r="E325" s="19">
        <v>8050846011403</v>
      </c>
      <c r="F325">
        <v>2</v>
      </c>
      <c r="H325">
        <v>2</v>
      </c>
      <c r="I325">
        <v>10</v>
      </c>
      <c r="J325" t="s">
        <v>350</v>
      </c>
      <c r="K325" s="15">
        <v>8050846011403</v>
      </c>
      <c r="L325" t="s">
        <v>476</v>
      </c>
      <c r="Q325" s="15"/>
      <c r="R325">
        <v>17</v>
      </c>
    </row>
    <row r="326" spans="1:18">
      <c r="A326" t="s">
        <v>9</v>
      </c>
      <c r="B326">
        <v>76</v>
      </c>
      <c r="D326" t="s">
        <v>571</v>
      </c>
      <c r="E326" s="19">
        <v>8050846002654</v>
      </c>
      <c r="F326">
        <v>2</v>
      </c>
      <c r="H326">
        <v>1</v>
      </c>
      <c r="I326">
        <v>20</v>
      </c>
      <c r="J326" t="s">
        <v>358</v>
      </c>
      <c r="Q326" s="15">
        <v>8050846002654</v>
      </c>
      <c r="R326">
        <v>20</v>
      </c>
    </row>
    <row r="327" spans="1:18">
      <c r="A327" t="s">
        <v>50</v>
      </c>
      <c r="B327">
        <v>422</v>
      </c>
      <c r="D327" t="s">
        <v>742</v>
      </c>
      <c r="E327" s="19">
        <v>8050846003347</v>
      </c>
      <c r="F327">
        <v>2</v>
      </c>
      <c r="H327">
        <v>1</v>
      </c>
      <c r="I327">
        <v>7</v>
      </c>
      <c r="J327" t="s">
        <v>358</v>
      </c>
      <c r="Q327" s="15">
        <v>8050846003347</v>
      </c>
      <c r="R327">
        <v>7</v>
      </c>
    </row>
    <row r="328" spans="1:18">
      <c r="A328" t="s">
        <v>5</v>
      </c>
      <c r="B328">
        <v>347</v>
      </c>
      <c r="D328" t="s">
        <v>454</v>
      </c>
      <c r="E328" s="19">
        <v>8050846002142</v>
      </c>
      <c r="F328">
        <v>2</v>
      </c>
      <c r="H328">
        <v>1</v>
      </c>
      <c r="I328">
        <v>108</v>
      </c>
      <c r="J328" t="s">
        <v>358</v>
      </c>
      <c r="Q328" s="15">
        <v>8050846002142</v>
      </c>
      <c r="R328">
        <v>108</v>
      </c>
    </row>
    <row r="329" spans="1:18">
      <c r="A329" t="s">
        <v>70</v>
      </c>
      <c r="B329">
        <v>36</v>
      </c>
      <c r="D329" t="s">
        <v>573</v>
      </c>
      <c r="E329" s="19">
        <v>8050846002296</v>
      </c>
      <c r="F329">
        <v>2</v>
      </c>
      <c r="H329">
        <v>1</v>
      </c>
      <c r="I329">
        <v>114</v>
      </c>
      <c r="J329" t="s">
        <v>358</v>
      </c>
      <c r="Q329" s="15">
        <v>8050846002296</v>
      </c>
      <c r="R329">
        <v>114</v>
      </c>
    </row>
    <row r="330" spans="1:18">
      <c r="A330" t="s">
        <v>54</v>
      </c>
      <c r="B330">
        <v>76</v>
      </c>
      <c r="D330" t="s">
        <v>745</v>
      </c>
      <c r="E330" s="19">
        <v>8050846002531</v>
      </c>
      <c r="F330">
        <v>6</v>
      </c>
      <c r="H330">
        <v>1</v>
      </c>
      <c r="I330">
        <v>67</v>
      </c>
      <c r="J330" t="s">
        <v>358</v>
      </c>
      <c r="Q330" s="15">
        <v>8050846002531</v>
      </c>
      <c r="R330">
        <v>67</v>
      </c>
    </row>
    <row r="331" spans="1:18">
      <c r="A331" t="s">
        <v>8</v>
      </c>
      <c r="B331">
        <v>36</v>
      </c>
      <c r="D331" t="s">
        <v>456</v>
      </c>
      <c r="E331" s="19">
        <v>8050846002722</v>
      </c>
      <c r="F331">
        <v>2</v>
      </c>
      <c r="H331">
        <v>1</v>
      </c>
      <c r="I331">
        <v>158</v>
      </c>
      <c r="J331" t="s">
        <v>358</v>
      </c>
      <c r="Q331" s="15">
        <v>8050846002722</v>
      </c>
      <c r="R331">
        <v>158</v>
      </c>
    </row>
    <row r="332" spans="1:18">
      <c r="A332" t="s">
        <v>19</v>
      </c>
      <c r="B332">
        <v>36</v>
      </c>
      <c r="D332" t="s">
        <v>747</v>
      </c>
      <c r="E332" s="19" t="s">
        <v>790</v>
      </c>
      <c r="F332">
        <v>2</v>
      </c>
      <c r="H332">
        <v>1</v>
      </c>
      <c r="I332">
        <v>160</v>
      </c>
      <c r="J332" t="s">
        <v>358</v>
      </c>
      <c r="Q332" s="15"/>
      <c r="R332">
        <v>160</v>
      </c>
    </row>
    <row r="333" spans="1:18">
      <c r="A333" t="s">
        <v>55</v>
      </c>
      <c r="B333">
        <v>55</v>
      </c>
      <c r="D333" t="s">
        <v>531</v>
      </c>
      <c r="E333" s="19">
        <v>8050846007758</v>
      </c>
      <c r="F333">
        <v>3</v>
      </c>
      <c r="H333">
        <v>1</v>
      </c>
      <c r="I333">
        <v>166</v>
      </c>
      <c r="J333" t="s">
        <v>358</v>
      </c>
      <c r="Q333" s="15">
        <v>8050846007758</v>
      </c>
      <c r="R333">
        <v>166</v>
      </c>
    </row>
    <row r="334" spans="1:18">
      <c r="A334" t="s">
        <v>55</v>
      </c>
      <c r="B334">
        <v>76</v>
      </c>
      <c r="D334" t="s">
        <v>662</v>
      </c>
      <c r="E334" s="19">
        <v>8050846007741</v>
      </c>
      <c r="F334">
        <v>3</v>
      </c>
      <c r="H334">
        <v>1</v>
      </c>
      <c r="I334">
        <v>166</v>
      </c>
      <c r="J334" t="s">
        <v>358</v>
      </c>
      <c r="Q334" s="15">
        <v>8050846007741</v>
      </c>
      <c r="R334">
        <v>166</v>
      </c>
    </row>
    <row r="335" spans="1:18">
      <c r="A335" t="s">
        <v>82</v>
      </c>
      <c r="B335">
        <v>422</v>
      </c>
      <c r="D335" t="s">
        <v>617</v>
      </c>
      <c r="E335" s="19" t="s">
        <v>790</v>
      </c>
      <c r="F335">
        <v>3</v>
      </c>
      <c r="H335">
        <v>1</v>
      </c>
      <c r="I335">
        <v>167</v>
      </c>
      <c r="J335" t="s">
        <v>358</v>
      </c>
      <c r="Q335" s="15"/>
      <c r="R335">
        <v>167</v>
      </c>
    </row>
    <row r="336" spans="1:18">
      <c r="A336" t="s">
        <v>57</v>
      </c>
      <c r="B336">
        <v>498</v>
      </c>
      <c r="D336" t="s">
        <v>576</v>
      </c>
      <c r="E336" s="19" t="s">
        <v>790</v>
      </c>
      <c r="F336">
        <v>3</v>
      </c>
      <c r="H336">
        <v>1</v>
      </c>
      <c r="I336">
        <v>184</v>
      </c>
      <c r="J336" t="s">
        <v>358</v>
      </c>
      <c r="Q336" s="15"/>
      <c r="R336">
        <v>184</v>
      </c>
    </row>
    <row r="337" spans="1:18">
      <c r="A337" t="s">
        <v>110</v>
      </c>
      <c r="B337">
        <v>441</v>
      </c>
      <c r="D337" t="s">
        <v>701</v>
      </c>
      <c r="E337" s="19">
        <v>8050846003538</v>
      </c>
      <c r="F337">
        <v>2</v>
      </c>
      <c r="H337">
        <v>1</v>
      </c>
      <c r="I337">
        <v>139</v>
      </c>
      <c r="J337" t="s">
        <v>358</v>
      </c>
      <c r="Q337" s="15">
        <v>8050846003538</v>
      </c>
      <c r="R337">
        <v>139</v>
      </c>
    </row>
    <row r="338" spans="1:18">
      <c r="A338" t="s">
        <v>72</v>
      </c>
      <c r="B338">
        <v>347</v>
      </c>
      <c r="D338" t="s">
        <v>581</v>
      </c>
      <c r="E338" s="19">
        <v>8050846007611</v>
      </c>
      <c r="F338">
        <v>3</v>
      </c>
      <c r="H338">
        <v>1</v>
      </c>
      <c r="I338">
        <v>164</v>
      </c>
      <c r="J338" t="s">
        <v>358</v>
      </c>
      <c r="Q338" s="15">
        <v>8050846007611</v>
      </c>
      <c r="R338">
        <v>164</v>
      </c>
    </row>
    <row r="339" spans="1:18">
      <c r="A339" t="s">
        <v>72</v>
      </c>
      <c r="B339">
        <v>484</v>
      </c>
      <c r="D339" t="s">
        <v>582</v>
      </c>
      <c r="E339" s="19">
        <v>8050846007628</v>
      </c>
      <c r="F339">
        <v>3</v>
      </c>
      <c r="H339">
        <v>1</v>
      </c>
      <c r="I339">
        <v>164</v>
      </c>
      <c r="J339" t="s">
        <v>358</v>
      </c>
      <c r="Q339" s="15">
        <v>8050846007628</v>
      </c>
      <c r="R339">
        <v>164</v>
      </c>
    </row>
    <row r="340" spans="1:18">
      <c r="A340" t="s">
        <v>12</v>
      </c>
      <c r="B340">
        <v>26</v>
      </c>
      <c r="D340" t="s">
        <v>536</v>
      </c>
      <c r="E340" s="19">
        <v>8050846007635</v>
      </c>
      <c r="F340">
        <v>3</v>
      </c>
      <c r="H340">
        <v>1</v>
      </c>
      <c r="I340">
        <v>164</v>
      </c>
      <c r="J340" t="s">
        <v>358</v>
      </c>
      <c r="Q340" s="15">
        <v>8050846007635</v>
      </c>
      <c r="R340">
        <v>164</v>
      </c>
    </row>
    <row r="341" spans="1:18">
      <c r="A341" t="s">
        <v>59</v>
      </c>
      <c r="B341">
        <v>371</v>
      </c>
      <c r="D341" t="s">
        <v>702</v>
      </c>
      <c r="E341" s="19" t="s">
        <v>789</v>
      </c>
      <c r="F341">
        <v>2</v>
      </c>
      <c r="H341">
        <v>0</v>
      </c>
      <c r="Q341" s="15"/>
    </row>
    <row r="342" spans="1:18">
      <c r="A342" t="s">
        <v>31</v>
      </c>
      <c r="B342">
        <v>75</v>
      </c>
      <c r="D342" t="s">
        <v>491</v>
      </c>
      <c r="E342" s="19">
        <v>8050846005075</v>
      </c>
      <c r="F342">
        <v>2</v>
      </c>
      <c r="H342">
        <v>1</v>
      </c>
      <c r="I342">
        <v>114</v>
      </c>
      <c r="J342" t="s">
        <v>358</v>
      </c>
      <c r="Q342" s="15">
        <v>8050846005075</v>
      </c>
      <c r="R342">
        <v>114</v>
      </c>
    </row>
    <row r="343" spans="1:18">
      <c r="A343" t="s">
        <v>19</v>
      </c>
      <c r="B343">
        <v>371</v>
      </c>
      <c r="D343" t="s">
        <v>464</v>
      </c>
      <c r="E343" s="19" t="s">
        <v>790</v>
      </c>
      <c r="F343">
        <v>2</v>
      </c>
      <c r="H343">
        <v>1</v>
      </c>
      <c r="I343">
        <v>160</v>
      </c>
      <c r="J343" t="s">
        <v>358</v>
      </c>
      <c r="Q343" s="15"/>
      <c r="R343">
        <v>160</v>
      </c>
    </row>
    <row r="344" spans="1:18">
      <c r="A344" t="s">
        <v>22</v>
      </c>
      <c r="B344">
        <v>38</v>
      </c>
      <c r="D344" t="s">
        <v>714</v>
      </c>
      <c r="E344" s="19">
        <v>8058983596241</v>
      </c>
      <c r="F344">
        <v>2</v>
      </c>
      <c r="H344">
        <v>2</v>
      </c>
      <c r="I344">
        <v>9</v>
      </c>
      <c r="J344" t="s">
        <v>349</v>
      </c>
      <c r="M344" s="15">
        <v>8058983596241</v>
      </c>
      <c r="N344" t="s">
        <v>375</v>
      </c>
      <c r="Q344" s="15"/>
      <c r="R344">
        <v>8</v>
      </c>
    </row>
    <row r="345" spans="1:18">
      <c r="A345" t="s">
        <v>34</v>
      </c>
      <c r="B345">
        <v>55</v>
      </c>
      <c r="D345" t="s">
        <v>586</v>
      </c>
      <c r="E345" s="19">
        <v>8056098539931</v>
      </c>
      <c r="F345">
        <v>2</v>
      </c>
      <c r="H345">
        <v>2</v>
      </c>
      <c r="I345">
        <v>7</v>
      </c>
      <c r="J345" t="s">
        <v>350</v>
      </c>
      <c r="K345" s="15">
        <v>8056098539931</v>
      </c>
      <c r="L345" t="s">
        <v>587</v>
      </c>
      <c r="O345" s="15">
        <v>8056098539931</v>
      </c>
      <c r="P345">
        <v>9</v>
      </c>
      <c r="Q345" s="15"/>
    </row>
    <row r="346" spans="1:18">
      <c r="A346" t="s">
        <v>26</v>
      </c>
      <c r="B346">
        <v>38</v>
      </c>
      <c r="D346" t="s">
        <v>718</v>
      </c>
      <c r="E346" s="19">
        <v>8056300457374</v>
      </c>
      <c r="F346">
        <v>2</v>
      </c>
      <c r="H346">
        <v>2</v>
      </c>
      <c r="I346">
        <v>7</v>
      </c>
      <c r="J346" t="s">
        <v>349</v>
      </c>
      <c r="M346" s="15">
        <v>8056300457374</v>
      </c>
      <c r="N346" t="s">
        <v>587</v>
      </c>
      <c r="Q346" s="15">
        <v>8050450212647</v>
      </c>
      <c r="R346">
        <v>6</v>
      </c>
    </row>
    <row r="347" spans="1:18">
      <c r="A347" t="s">
        <v>24</v>
      </c>
      <c r="B347">
        <v>371</v>
      </c>
      <c r="D347" t="s">
        <v>496</v>
      </c>
      <c r="E347" s="19">
        <v>8056099179617</v>
      </c>
      <c r="F347">
        <v>1</v>
      </c>
      <c r="H347">
        <v>2</v>
      </c>
      <c r="I347">
        <v>9</v>
      </c>
      <c r="J347" t="s">
        <v>350</v>
      </c>
      <c r="K347" s="15">
        <v>8056099179617</v>
      </c>
      <c r="L347" t="s">
        <v>375</v>
      </c>
      <c r="O347" s="15"/>
      <c r="P347">
        <v>10</v>
      </c>
      <c r="Q347" s="15"/>
    </row>
    <row r="348" spans="1:18">
      <c r="A348" t="s">
        <v>21</v>
      </c>
      <c r="B348">
        <v>75</v>
      </c>
      <c r="D348" t="s">
        <v>759</v>
      </c>
      <c r="E348" s="19">
        <v>8050450217581</v>
      </c>
      <c r="F348">
        <v>2</v>
      </c>
      <c r="H348">
        <v>1</v>
      </c>
      <c r="I348">
        <v>4</v>
      </c>
      <c r="J348" t="s">
        <v>358</v>
      </c>
      <c r="Q348" s="15">
        <v>8050450217581</v>
      </c>
      <c r="R348">
        <v>4</v>
      </c>
    </row>
    <row r="349" spans="1:18">
      <c r="A349" t="s">
        <v>22</v>
      </c>
      <c r="B349">
        <v>78</v>
      </c>
      <c r="D349" t="s">
        <v>719</v>
      </c>
      <c r="E349" s="19" t="s">
        <v>790</v>
      </c>
      <c r="F349">
        <v>1</v>
      </c>
      <c r="H349">
        <v>1</v>
      </c>
      <c r="I349">
        <v>6</v>
      </c>
      <c r="J349" t="s">
        <v>357</v>
      </c>
      <c r="O349" s="15"/>
      <c r="P349">
        <v>6</v>
      </c>
      <c r="Q349" s="15"/>
    </row>
    <row r="350" spans="1:18">
      <c r="A350" t="s">
        <v>23</v>
      </c>
      <c r="B350">
        <v>71</v>
      </c>
      <c r="D350" t="s">
        <v>592</v>
      </c>
      <c r="E350" s="19" t="s">
        <v>790</v>
      </c>
      <c r="F350">
        <v>1</v>
      </c>
      <c r="H350">
        <v>1</v>
      </c>
      <c r="I350">
        <v>7</v>
      </c>
      <c r="J350" t="s">
        <v>357</v>
      </c>
      <c r="O350" s="15"/>
      <c r="P350">
        <v>7</v>
      </c>
      <c r="Q350" s="15"/>
    </row>
    <row r="351" spans="1:18">
      <c r="A351" t="s">
        <v>34</v>
      </c>
      <c r="B351">
        <v>371</v>
      </c>
      <c r="D351" t="s">
        <v>633</v>
      </c>
      <c r="E351" s="19">
        <v>8050846011571</v>
      </c>
      <c r="F351">
        <v>2</v>
      </c>
      <c r="H351">
        <v>2</v>
      </c>
      <c r="I351">
        <v>7</v>
      </c>
      <c r="J351" t="s">
        <v>350</v>
      </c>
      <c r="K351" s="15">
        <v>8050846011571</v>
      </c>
      <c r="L351" t="s">
        <v>587</v>
      </c>
      <c r="O351" s="15"/>
      <c r="P351">
        <v>9</v>
      </c>
    </row>
    <row r="352" spans="1:18">
      <c r="A352" t="s">
        <v>21</v>
      </c>
      <c r="B352">
        <v>347</v>
      </c>
      <c r="D352" t="s">
        <v>477</v>
      </c>
      <c r="E352" s="19">
        <v>8050846006379</v>
      </c>
      <c r="F352">
        <v>3</v>
      </c>
      <c r="H352">
        <v>1</v>
      </c>
      <c r="I352">
        <v>4</v>
      </c>
      <c r="J352" t="s">
        <v>358</v>
      </c>
      <c r="Q352" s="15">
        <v>8050846006379</v>
      </c>
      <c r="R352">
        <v>4</v>
      </c>
    </row>
    <row r="353" spans="1:18">
      <c r="A353" t="s">
        <v>26</v>
      </c>
      <c r="B353">
        <v>479</v>
      </c>
      <c r="D353" t="s">
        <v>677</v>
      </c>
      <c r="E353" s="19">
        <v>8050846011465</v>
      </c>
      <c r="F353">
        <v>2</v>
      </c>
      <c r="H353">
        <v>1</v>
      </c>
      <c r="I353">
        <v>6</v>
      </c>
      <c r="J353" t="s">
        <v>358</v>
      </c>
      <c r="Q353" s="15">
        <v>8050846011465</v>
      </c>
      <c r="R353">
        <v>6</v>
      </c>
    </row>
    <row r="354" spans="1:18">
      <c r="A354" t="s">
        <v>10</v>
      </c>
      <c r="B354">
        <v>17</v>
      </c>
      <c r="D354" t="s">
        <v>680</v>
      </c>
      <c r="E354" s="19">
        <v>8050846004771</v>
      </c>
      <c r="F354">
        <v>6</v>
      </c>
      <c r="H354">
        <v>1</v>
      </c>
      <c r="I354">
        <v>54</v>
      </c>
      <c r="J354" t="s">
        <v>358</v>
      </c>
      <c r="Q354" s="15">
        <v>8050846004771</v>
      </c>
      <c r="R354">
        <v>54</v>
      </c>
    </row>
    <row r="355" spans="1:18">
      <c r="A355" t="s">
        <v>36</v>
      </c>
      <c r="B355">
        <v>227</v>
      </c>
      <c r="D355" t="s">
        <v>503</v>
      </c>
      <c r="E355" s="19">
        <v>8050846002340</v>
      </c>
      <c r="F355">
        <v>2</v>
      </c>
      <c r="H355">
        <v>1</v>
      </c>
      <c r="I355">
        <v>118</v>
      </c>
      <c r="J355" t="s">
        <v>358</v>
      </c>
      <c r="Q355" s="15">
        <v>8050846002340</v>
      </c>
      <c r="R355">
        <v>118</v>
      </c>
    </row>
    <row r="356" spans="1:18">
      <c r="A356" t="s">
        <v>25</v>
      </c>
      <c r="B356">
        <v>479</v>
      </c>
      <c r="D356" t="s">
        <v>683</v>
      </c>
      <c r="E356" s="19">
        <v>8050846011557</v>
      </c>
      <c r="F356">
        <v>2</v>
      </c>
      <c r="H356">
        <v>1</v>
      </c>
      <c r="I356">
        <v>11</v>
      </c>
      <c r="J356" t="s">
        <v>358</v>
      </c>
      <c r="Q356" s="15">
        <v>8050846011557</v>
      </c>
      <c r="R356">
        <v>11</v>
      </c>
    </row>
    <row r="357" spans="1:18">
      <c r="A357" t="s">
        <v>39</v>
      </c>
      <c r="B357">
        <v>227</v>
      </c>
      <c r="D357" t="s">
        <v>506</v>
      </c>
      <c r="E357" s="19" t="s">
        <v>790</v>
      </c>
      <c r="F357">
        <v>2</v>
      </c>
      <c r="H357">
        <v>1</v>
      </c>
      <c r="I357">
        <v>76</v>
      </c>
      <c r="J357" t="s">
        <v>358</v>
      </c>
      <c r="Q357" s="15"/>
      <c r="R357">
        <v>76</v>
      </c>
    </row>
    <row r="358" spans="1:18">
      <c r="A358" t="s">
        <v>29</v>
      </c>
      <c r="B358">
        <v>422</v>
      </c>
      <c r="D358" t="s">
        <v>603</v>
      </c>
      <c r="E358" s="19">
        <v>8050846002777</v>
      </c>
      <c r="F358">
        <v>2</v>
      </c>
      <c r="H358">
        <v>1</v>
      </c>
      <c r="I358">
        <v>159</v>
      </c>
      <c r="J358" t="s">
        <v>358</v>
      </c>
      <c r="Q358" s="15">
        <v>8050846002777</v>
      </c>
      <c r="R358">
        <v>159</v>
      </c>
    </row>
    <row r="359" spans="1:18">
      <c r="A359" t="s">
        <v>3</v>
      </c>
      <c r="B359">
        <v>472</v>
      </c>
      <c r="D359" t="s">
        <v>564</v>
      </c>
      <c r="E359" s="19">
        <v>8050846904149</v>
      </c>
      <c r="F359">
        <v>2</v>
      </c>
      <c r="H359">
        <v>1</v>
      </c>
      <c r="I359">
        <v>51</v>
      </c>
      <c r="J359" t="s">
        <v>358</v>
      </c>
      <c r="Q359" s="15">
        <v>8050846904149</v>
      </c>
      <c r="R359">
        <v>51</v>
      </c>
    </row>
    <row r="360" spans="1:18">
      <c r="A360" t="s">
        <v>29</v>
      </c>
      <c r="B360">
        <v>76</v>
      </c>
      <c r="D360" t="s">
        <v>735</v>
      </c>
      <c r="E360" s="19">
        <v>8050846002784</v>
      </c>
      <c r="F360">
        <v>2</v>
      </c>
      <c r="H360">
        <v>1</v>
      </c>
      <c r="I360">
        <v>159</v>
      </c>
      <c r="J360" t="s">
        <v>358</v>
      </c>
      <c r="Q360" s="15">
        <v>8050846002784</v>
      </c>
      <c r="R360">
        <v>159</v>
      </c>
    </row>
    <row r="361" spans="1:18">
      <c r="A361" t="s">
        <v>106</v>
      </c>
      <c r="B361">
        <v>125</v>
      </c>
      <c r="D361" t="s">
        <v>687</v>
      </c>
      <c r="E361" s="19">
        <v>8050846005082</v>
      </c>
      <c r="F361">
        <v>2</v>
      </c>
      <c r="H361">
        <v>1</v>
      </c>
      <c r="I361">
        <v>116</v>
      </c>
      <c r="J361" t="s">
        <v>358</v>
      </c>
      <c r="Q361" s="15">
        <v>8050846005082</v>
      </c>
      <c r="R361">
        <v>116</v>
      </c>
    </row>
    <row r="362" spans="1:18">
      <c r="A362" t="s">
        <v>130</v>
      </c>
      <c r="B362">
        <v>55</v>
      </c>
      <c r="D362" t="s">
        <v>779</v>
      </c>
      <c r="E362" s="19">
        <v>8050846003200</v>
      </c>
      <c r="F362">
        <v>3</v>
      </c>
      <c r="H362">
        <v>1</v>
      </c>
      <c r="I362">
        <v>54</v>
      </c>
      <c r="J362" t="s">
        <v>358</v>
      </c>
      <c r="Q362" s="15">
        <v>8050846003200</v>
      </c>
      <c r="R362">
        <v>54</v>
      </c>
    </row>
    <row r="363" spans="1:18">
      <c r="A363" t="s">
        <v>38</v>
      </c>
      <c r="B363">
        <v>481</v>
      </c>
      <c r="D363" t="s">
        <v>652</v>
      </c>
      <c r="E363" s="19" t="s">
        <v>790</v>
      </c>
      <c r="F363">
        <v>2</v>
      </c>
      <c r="H363">
        <v>1</v>
      </c>
      <c r="I363">
        <v>95</v>
      </c>
      <c r="J363" t="s">
        <v>358</v>
      </c>
      <c r="Q363" s="15"/>
      <c r="R363">
        <v>95</v>
      </c>
    </row>
    <row r="364" spans="1:18">
      <c r="A364" t="s">
        <v>24</v>
      </c>
      <c r="B364">
        <v>26</v>
      </c>
      <c r="D364" t="s">
        <v>653</v>
      </c>
      <c r="E364" s="19">
        <v>8050846006942</v>
      </c>
      <c r="F364">
        <v>2</v>
      </c>
      <c r="H364">
        <v>1</v>
      </c>
      <c r="I364">
        <v>16</v>
      </c>
      <c r="J364" t="s">
        <v>358</v>
      </c>
      <c r="M364" s="15"/>
      <c r="Q364" s="15">
        <v>8050846006942</v>
      </c>
      <c r="R364">
        <v>16</v>
      </c>
    </row>
    <row r="365" spans="1:18">
      <c r="A365" t="s">
        <v>2</v>
      </c>
      <c r="B365">
        <v>76</v>
      </c>
      <c r="D365" t="s">
        <v>486</v>
      </c>
      <c r="E365" s="19" t="s">
        <v>790</v>
      </c>
      <c r="F365">
        <v>2</v>
      </c>
      <c r="H365">
        <v>1</v>
      </c>
      <c r="I365">
        <v>17</v>
      </c>
      <c r="J365" t="s">
        <v>358</v>
      </c>
      <c r="K365" s="15"/>
      <c r="M365" s="15"/>
      <c r="Q365" s="15"/>
      <c r="R365">
        <v>17</v>
      </c>
    </row>
    <row r="366" spans="1:18">
      <c r="A366" t="s">
        <v>4</v>
      </c>
      <c r="B366">
        <v>371</v>
      </c>
      <c r="D366" t="s">
        <v>570</v>
      </c>
      <c r="E366" s="19">
        <v>8050846003095</v>
      </c>
      <c r="F366">
        <v>2</v>
      </c>
      <c r="H366">
        <v>1</v>
      </c>
      <c r="I366">
        <v>48</v>
      </c>
      <c r="J366" t="s">
        <v>358</v>
      </c>
      <c r="K366" s="15"/>
      <c r="Q366" s="15">
        <v>8050846003095</v>
      </c>
      <c r="R366">
        <v>48</v>
      </c>
    </row>
    <row r="367" spans="1:18">
      <c r="A367" t="s">
        <v>76</v>
      </c>
      <c r="B367">
        <v>36</v>
      </c>
      <c r="D367" t="s">
        <v>696</v>
      </c>
      <c r="E367" s="19">
        <v>8050846002371</v>
      </c>
      <c r="F367">
        <v>2</v>
      </c>
      <c r="H367">
        <v>1</v>
      </c>
      <c r="I367">
        <v>118</v>
      </c>
      <c r="J367" t="s">
        <v>358</v>
      </c>
      <c r="M367" s="15"/>
      <c r="Q367" s="15">
        <v>8050846002371</v>
      </c>
      <c r="R367">
        <v>118</v>
      </c>
    </row>
    <row r="368" spans="1:18">
      <c r="A368" t="s">
        <v>19</v>
      </c>
      <c r="B368">
        <v>17</v>
      </c>
      <c r="D368" t="s">
        <v>746</v>
      </c>
      <c r="E368" s="19" t="s">
        <v>790</v>
      </c>
      <c r="F368">
        <v>2</v>
      </c>
      <c r="H368">
        <v>1</v>
      </c>
      <c r="I368">
        <v>160</v>
      </c>
      <c r="J368" t="s">
        <v>358</v>
      </c>
      <c r="K368" s="15"/>
      <c r="O368" s="15"/>
      <c r="Q368" s="15"/>
      <c r="R368">
        <v>160</v>
      </c>
    </row>
    <row r="369" spans="1:18">
      <c r="A369" t="s">
        <v>58</v>
      </c>
      <c r="B369">
        <v>17</v>
      </c>
      <c r="D369" t="s">
        <v>666</v>
      </c>
      <c r="E369" s="19" t="s">
        <v>790</v>
      </c>
      <c r="F369">
        <v>2</v>
      </c>
      <c r="H369">
        <v>1</v>
      </c>
      <c r="I369">
        <v>94</v>
      </c>
      <c r="J369" t="s">
        <v>358</v>
      </c>
      <c r="O369" s="15"/>
      <c r="Q369" s="15"/>
      <c r="R369">
        <v>94</v>
      </c>
    </row>
    <row r="370" spans="1:18">
      <c r="A370" t="s">
        <v>14</v>
      </c>
      <c r="B370">
        <v>17</v>
      </c>
      <c r="D370" t="s">
        <v>489</v>
      </c>
      <c r="E370" s="19">
        <v>8050846003934</v>
      </c>
      <c r="F370">
        <v>2</v>
      </c>
      <c r="H370">
        <v>1</v>
      </c>
      <c r="I370">
        <v>110</v>
      </c>
      <c r="J370" t="s">
        <v>358</v>
      </c>
      <c r="M370" s="15"/>
      <c r="Q370" s="15">
        <v>8050846003934</v>
      </c>
      <c r="R370">
        <v>110</v>
      </c>
    </row>
    <row r="371" spans="1:18">
      <c r="A371" t="s">
        <v>11</v>
      </c>
      <c r="B371">
        <v>481</v>
      </c>
      <c r="D371" t="s">
        <v>459</v>
      </c>
      <c r="E371" s="19">
        <v>8050846003972</v>
      </c>
      <c r="F371">
        <v>2</v>
      </c>
      <c r="H371">
        <v>1</v>
      </c>
      <c r="I371">
        <v>111</v>
      </c>
      <c r="J371" t="s">
        <v>358</v>
      </c>
      <c r="K371" s="15"/>
      <c r="M371" s="15"/>
      <c r="Q371" s="15">
        <v>8050846003972</v>
      </c>
      <c r="R371">
        <v>111</v>
      </c>
    </row>
    <row r="372" spans="1:18">
      <c r="A372" t="s">
        <v>86</v>
      </c>
      <c r="B372">
        <v>481</v>
      </c>
      <c r="D372" t="s">
        <v>622</v>
      </c>
      <c r="E372" s="19">
        <v>8050846004153</v>
      </c>
      <c r="F372">
        <v>2</v>
      </c>
      <c r="H372">
        <v>1</v>
      </c>
      <c r="I372">
        <v>135</v>
      </c>
      <c r="J372" t="s">
        <v>358</v>
      </c>
      <c r="K372" s="15"/>
      <c r="Q372" s="15">
        <v>8050846004153</v>
      </c>
      <c r="R372">
        <v>135</v>
      </c>
    </row>
    <row r="373" spans="1:18">
      <c r="Q373" s="15"/>
    </row>
    <row r="374" spans="1:18">
      <c r="Q374" s="15"/>
    </row>
    <row r="375" spans="1:18">
      <c r="Q375" s="15"/>
    </row>
    <row r="377" spans="1:18">
      <c r="Q377" s="15"/>
    </row>
    <row r="378" spans="1:18">
      <c r="Q378" s="15"/>
    </row>
    <row r="379" spans="1:18">
      <c r="Q379" s="15"/>
    </row>
    <row r="380" spans="1:18">
      <c r="Q380" s="15"/>
    </row>
    <row r="381" spans="1:18">
      <c r="Q381" s="15"/>
    </row>
    <row r="382" spans="1:18">
      <c r="K382" s="15"/>
      <c r="Q382" s="15"/>
    </row>
    <row r="383" spans="1:18">
      <c r="Q383" s="15"/>
    </row>
    <row r="384" spans="1:18">
      <c r="Q384" s="15"/>
    </row>
    <row r="385" spans="17:17">
      <c r="Q385" s="15"/>
    </row>
    <row r="386" spans="17:17">
      <c r="Q386" s="15"/>
    </row>
    <row r="387" spans="17:17">
      <c r="Q387" s="15"/>
    </row>
    <row r="388" spans="17:17">
      <c r="Q388" s="15"/>
    </row>
    <row r="389" spans="17:17">
      <c r="Q389" s="15"/>
    </row>
    <row r="390" spans="17:17">
      <c r="Q390" s="15"/>
    </row>
    <row r="391" spans="17:17">
      <c r="Q391" s="15"/>
    </row>
    <row r="392" spans="17:17">
      <c r="Q392" s="15"/>
    </row>
    <row r="393" spans="17:17">
      <c r="Q393" s="15"/>
    </row>
    <row r="394" spans="17:17">
      <c r="Q394" s="15"/>
    </row>
    <row r="395" spans="17:17">
      <c r="Q395" s="15"/>
    </row>
    <row r="396" spans="17:17">
      <c r="Q396" s="15"/>
    </row>
    <row r="398" spans="17:17">
      <c r="Q398" s="15"/>
    </row>
    <row r="399" spans="17:17">
      <c r="Q399" s="15"/>
    </row>
    <row r="400" spans="17:17">
      <c r="Q400" s="15"/>
    </row>
    <row r="401" spans="11:17">
      <c r="Q401" s="15"/>
    </row>
    <row r="402" spans="11:17">
      <c r="Q402" s="15"/>
    </row>
    <row r="403" spans="11:17">
      <c r="Q403" s="15"/>
    </row>
    <row r="404" spans="11:17">
      <c r="Q404" s="15"/>
    </row>
    <row r="405" spans="11:17">
      <c r="Q405" s="15"/>
    </row>
    <row r="406" spans="11:17">
      <c r="Q406" s="15"/>
    </row>
    <row r="407" spans="11:17">
      <c r="K407" s="15"/>
      <c r="Q407" s="15"/>
    </row>
    <row r="408" spans="11:17">
      <c r="Q408" s="15"/>
    </row>
    <row r="409" spans="11:17">
      <c r="Q409" s="15"/>
    </row>
    <row r="410" spans="11:17">
      <c r="Q410" s="15"/>
    </row>
    <row r="411" spans="11:17">
      <c r="Q411" s="15"/>
    </row>
    <row r="412" spans="11:17">
      <c r="Q412" s="15"/>
    </row>
    <row r="413" spans="11:17">
      <c r="Q413" s="15"/>
    </row>
    <row r="414" spans="11:17">
      <c r="Q414" s="15"/>
    </row>
    <row r="416" spans="11:17">
      <c r="Q416" s="15"/>
    </row>
    <row r="417" spans="11:17">
      <c r="Q417" s="15"/>
    </row>
    <row r="419" spans="11:17">
      <c r="Q419" s="15"/>
    </row>
    <row r="420" spans="11:17">
      <c r="Q420" s="15"/>
    </row>
    <row r="421" spans="11:17">
      <c r="Q421" s="15"/>
    </row>
    <row r="422" spans="11:17">
      <c r="Q422" s="15"/>
    </row>
    <row r="423" spans="11:17">
      <c r="K423" s="15"/>
      <c r="O423" s="15"/>
    </row>
    <row r="424" spans="11:17">
      <c r="K424" s="15"/>
      <c r="O424" s="15"/>
    </row>
    <row r="425" spans="11:17">
      <c r="O425" s="15"/>
    </row>
    <row r="426" spans="11:17">
      <c r="O426" s="15"/>
    </row>
    <row r="427" spans="11:17">
      <c r="O427" s="15"/>
    </row>
    <row r="428" spans="11:17">
      <c r="Q428" s="15"/>
    </row>
    <row r="429" spans="11:17">
      <c r="Q429" s="15"/>
    </row>
    <row r="430" spans="11:17">
      <c r="K430" s="15"/>
      <c r="O430" s="15"/>
    </row>
    <row r="431" spans="11:17">
      <c r="Q431" s="15"/>
    </row>
    <row r="432" spans="11:17">
      <c r="O432" s="15"/>
    </row>
    <row r="433" spans="17:17">
      <c r="Q433" s="15"/>
    </row>
    <row r="434" spans="17:17">
      <c r="Q434" s="15"/>
    </row>
    <row r="435" spans="17:17">
      <c r="Q435" s="15"/>
    </row>
    <row r="436" spans="17:17">
      <c r="Q436" s="15"/>
    </row>
    <row r="437" spans="17:17">
      <c r="Q437" s="15"/>
    </row>
    <row r="438" spans="17:17">
      <c r="Q438" s="15"/>
    </row>
    <row r="439" spans="17:17">
      <c r="Q439" s="15"/>
    </row>
    <row r="440" spans="17:17">
      <c r="Q440" s="15"/>
    </row>
    <row r="441" spans="17:17">
      <c r="Q441" s="15"/>
    </row>
    <row r="442" spans="17:17">
      <c r="Q442" s="15"/>
    </row>
    <row r="443" spans="17:17">
      <c r="Q443" s="15"/>
    </row>
    <row r="444" spans="17:17">
      <c r="Q444" s="15"/>
    </row>
    <row r="445" spans="17:17">
      <c r="Q445" s="15"/>
    </row>
    <row r="446" spans="17:17">
      <c r="Q446" s="15"/>
    </row>
    <row r="447" spans="17:17">
      <c r="Q447" s="15"/>
    </row>
    <row r="448" spans="17:17">
      <c r="Q448" s="15"/>
    </row>
    <row r="449" spans="11:17">
      <c r="Q449" s="15"/>
    </row>
    <row r="450" spans="11:17">
      <c r="Q450" s="15"/>
    </row>
    <row r="451" spans="11:17">
      <c r="Q451" s="15"/>
    </row>
    <row r="452" spans="11:17">
      <c r="Q452" s="15"/>
    </row>
    <row r="453" spans="11:17">
      <c r="Q453" s="15"/>
    </row>
    <row r="454" spans="11:17">
      <c r="Q454" s="15"/>
    </row>
    <row r="455" spans="11:17">
      <c r="Q455" s="15"/>
    </row>
    <row r="456" spans="11:17">
      <c r="Q456" s="15"/>
    </row>
    <row r="457" spans="11:17">
      <c r="K457" s="15"/>
      <c r="Q457" s="15"/>
    </row>
    <row r="458" spans="11:17">
      <c r="Q458" s="15"/>
    </row>
    <row r="459" spans="11:17">
      <c r="Q459" s="15"/>
    </row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rechercheTousProduits">
                <anchor moveWithCells="1" sizeWithCells="1">
                  <from>
                    <xdr:col>2</xdr:col>
                    <xdr:colOff>127000</xdr:colOff>
                    <xdr:row>0</xdr:row>
                    <xdr:rowOff>114300</xdr:rowOff>
                  </from>
                  <to>
                    <xdr:col>4</xdr:col>
                    <xdr:colOff>101600</xdr:colOff>
                    <xdr:row>2</xdr:row>
                    <xdr:rowOff>38100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43" r:id="rId4" name="Button 3">
              <controlPr defaultSize="0" print="0" autoFill="0" autoPict="0" macro="[0]!razContenuCodeBarre">
                <anchor moveWithCells="1" sizeWithCells="1">
                  <from>
                    <xdr:col>4</xdr:col>
                    <xdr:colOff>698500</xdr:colOff>
                    <xdr:row>0</xdr:row>
                    <xdr:rowOff>101600</xdr:rowOff>
                  </from>
                  <to>
                    <xdr:col>6</xdr:col>
                    <xdr:colOff>177800</xdr:colOff>
                    <xdr:row>1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 enableFormatConditionsCalculation="0">
    <pageSetUpPr fitToPage="1"/>
  </sheetPr>
  <dimension ref="A1:C579"/>
  <sheetViews>
    <sheetView topLeftCell="A26" workbookViewId="0">
      <selection activeCell="A31" sqref="A31"/>
    </sheetView>
  </sheetViews>
  <sheetFormatPr baseColWidth="10" defaultRowHeight="14" x14ac:dyDescent="0"/>
  <cols>
    <col min="1" max="1" width="25.33203125" customWidth="1"/>
    <col min="2" max="2" width="19.1640625" customWidth="1"/>
    <col min="3" max="3" width="18.6640625" style="14" bestFit="1" customWidth="1"/>
    <col min="4" max="6" width="2.1640625" bestFit="1" customWidth="1"/>
    <col min="7" max="7" width="5.5" bestFit="1" customWidth="1"/>
    <col min="8" max="8" width="5" bestFit="1" customWidth="1"/>
  </cols>
  <sheetData>
    <row r="1" spans="1:3">
      <c r="A1" s="4" t="s">
        <v>356</v>
      </c>
      <c r="B1" s="14" t="s">
        <v>785</v>
      </c>
    </row>
    <row r="2" spans="1:3" ht="18">
      <c r="A2" s="3" t="e">
        <f>Extraction!F2</f>
        <v>#REF!</v>
      </c>
    </row>
    <row r="3" spans="1:3">
      <c r="B3" s="4" t="s">
        <v>264</v>
      </c>
    </row>
    <row r="4" spans="1:3">
      <c r="A4" s="4" t="s">
        <v>263</v>
      </c>
      <c r="B4" t="s">
        <v>406</v>
      </c>
      <c r="C4" s="14" t="s">
        <v>407</v>
      </c>
    </row>
    <row r="5" spans="1:3">
      <c r="A5" s="5" t="s">
        <v>358</v>
      </c>
      <c r="B5" s="6">
        <v>40</v>
      </c>
      <c r="C5" s="14">
        <v>0</v>
      </c>
    </row>
    <row r="6" spans="1:3">
      <c r="A6" s="7">
        <v>11</v>
      </c>
      <c r="B6" s="6">
        <v>1</v>
      </c>
      <c r="C6" s="14">
        <v>0</v>
      </c>
    </row>
    <row r="7" spans="1:3">
      <c r="A7" s="8" t="s">
        <v>378</v>
      </c>
      <c r="B7" s="6">
        <v>1</v>
      </c>
      <c r="C7" s="14">
        <v>0</v>
      </c>
    </row>
    <row r="8" spans="1:3">
      <c r="A8" s="7">
        <v>20</v>
      </c>
      <c r="B8" s="6">
        <v>2</v>
      </c>
      <c r="C8" s="14">
        <v>0</v>
      </c>
    </row>
    <row r="9" spans="1:3">
      <c r="A9" s="8" t="s">
        <v>579</v>
      </c>
      <c r="B9" s="6">
        <v>1</v>
      </c>
      <c r="C9" s="14">
        <v>0</v>
      </c>
    </row>
    <row r="10" spans="1:3">
      <c r="A10" s="8" t="s">
        <v>783</v>
      </c>
      <c r="B10" s="6">
        <v>1</v>
      </c>
      <c r="C10" s="14">
        <v>0</v>
      </c>
    </row>
    <row r="11" spans="1:3">
      <c r="A11" s="7">
        <v>36</v>
      </c>
      <c r="B11" s="6">
        <v>2</v>
      </c>
      <c r="C11" s="14">
        <v>0</v>
      </c>
    </row>
    <row r="12" spans="1:3">
      <c r="A12" s="8" t="s">
        <v>657</v>
      </c>
      <c r="B12" s="6">
        <v>2</v>
      </c>
      <c r="C12" s="14">
        <v>0</v>
      </c>
    </row>
    <row r="13" spans="1:3">
      <c r="A13" s="7">
        <v>109</v>
      </c>
      <c r="B13" s="6">
        <v>1</v>
      </c>
      <c r="C13" s="14">
        <v>0</v>
      </c>
    </row>
    <row r="14" spans="1:3">
      <c r="A14" s="8" t="s">
        <v>387</v>
      </c>
      <c r="B14" s="6">
        <v>1</v>
      </c>
      <c r="C14" s="14">
        <v>0</v>
      </c>
    </row>
    <row r="15" spans="1:3">
      <c r="A15" s="7">
        <v>160</v>
      </c>
      <c r="B15" s="6">
        <v>5</v>
      </c>
      <c r="C15" s="14">
        <v>0</v>
      </c>
    </row>
    <row r="16" spans="1:3">
      <c r="A16" s="8" t="s">
        <v>390</v>
      </c>
      <c r="B16" s="6">
        <v>1</v>
      </c>
      <c r="C16" s="14">
        <v>0</v>
      </c>
    </row>
    <row r="17" spans="1:3">
      <c r="A17" s="8" t="s">
        <v>464</v>
      </c>
      <c r="B17" s="6">
        <v>1</v>
      </c>
      <c r="C17" s="14">
        <v>0</v>
      </c>
    </row>
    <row r="18" spans="1:3">
      <c r="A18" s="8" t="s">
        <v>654</v>
      </c>
      <c r="B18" s="6">
        <v>1</v>
      </c>
      <c r="C18" s="14">
        <v>0</v>
      </c>
    </row>
    <row r="19" spans="1:3">
      <c r="A19" s="8" t="s">
        <v>746</v>
      </c>
      <c r="B19" s="6">
        <v>1</v>
      </c>
      <c r="C19" s="14">
        <v>0</v>
      </c>
    </row>
    <row r="20" spans="1:3">
      <c r="A20" s="8" t="s">
        <v>747</v>
      </c>
      <c r="B20" s="6">
        <v>1</v>
      </c>
      <c r="C20" s="14">
        <v>0</v>
      </c>
    </row>
    <row r="21" spans="1:3">
      <c r="A21" s="7">
        <v>34</v>
      </c>
      <c r="B21" s="6">
        <v>1</v>
      </c>
      <c r="C21" s="14">
        <v>0</v>
      </c>
    </row>
    <row r="22" spans="1:3">
      <c r="A22" s="8" t="s">
        <v>754</v>
      </c>
      <c r="B22" s="6">
        <v>1</v>
      </c>
      <c r="C22" s="14">
        <v>0</v>
      </c>
    </row>
    <row r="23" spans="1:3">
      <c r="A23" s="7">
        <v>17</v>
      </c>
      <c r="B23" s="6">
        <v>2</v>
      </c>
      <c r="C23" s="14">
        <v>0</v>
      </c>
    </row>
    <row r="24" spans="1:3">
      <c r="A24" s="8" t="s">
        <v>486</v>
      </c>
      <c r="B24" s="6">
        <v>1</v>
      </c>
      <c r="C24" s="14">
        <v>0</v>
      </c>
    </row>
    <row r="25" spans="1:3">
      <c r="A25" s="8" t="s">
        <v>578</v>
      </c>
      <c r="B25" s="6">
        <v>1</v>
      </c>
      <c r="C25" s="14">
        <v>0</v>
      </c>
    </row>
    <row r="26" spans="1:3">
      <c r="A26" s="7">
        <v>95</v>
      </c>
      <c r="B26" s="6">
        <v>3</v>
      </c>
      <c r="C26" s="14">
        <v>0</v>
      </c>
    </row>
    <row r="27" spans="1:3">
      <c r="A27" s="8" t="s">
        <v>505</v>
      </c>
      <c r="B27" s="6">
        <v>1</v>
      </c>
      <c r="C27" s="14">
        <v>0</v>
      </c>
    </row>
    <row r="28" spans="1:3">
      <c r="A28" s="8" t="s">
        <v>646</v>
      </c>
      <c r="B28" s="6">
        <v>1</v>
      </c>
      <c r="C28" s="14">
        <v>0</v>
      </c>
    </row>
    <row r="29" spans="1:3">
      <c r="A29" s="8" t="s">
        <v>652</v>
      </c>
      <c r="B29" s="6">
        <v>1</v>
      </c>
      <c r="C29" s="14">
        <v>0</v>
      </c>
    </row>
    <row r="30" spans="1:3">
      <c r="A30" s="7">
        <v>76</v>
      </c>
      <c r="B30" s="6">
        <v>2</v>
      </c>
      <c r="C30" s="14">
        <v>0</v>
      </c>
    </row>
    <row r="31" spans="1:3">
      <c r="A31" s="8" t="s">
        <v>506</v>
      </c>
      <c r="B31" s="6">
        <v>1</v>
      </c>
      <c r="C31" s="14">
        <v>0</v>
      </c>
    </row>
    <row r="32" spans="1:3">
      <c r="A32" s="8" t="s">
        <v>563</v>
      </c>
      <c r="B32" s="6">
        <v>1</v>
      </c>
      <c r="C32" s="14">
        <v>0</v>
      </c>
    </row>
    <row r="33" spans="1:3">
      <c r="A33" s="7">
        <v>81</v>
      </c>
      <c r="B33" s="6">
        <v>2</v>
      </c>
      <c r="C33" s="14">
        <v>0</v>
      </c>
    </row>
    <row r="34" spans="1:3">
      <c r="A34" s="8" t="s">
        <v>510</v>
      </c>
      <c r="B34" s="6">
        <v>1</v>
      </c>
      <c r="C34" s="14">
        <v>0</v>
      </c>
    </row>
    <row r="35" spans="1:3">
      <c r="A35" s="8" t="s">
        <v>651</v>
      </c>
      <c r="B35" s="6">
        <v>1</v>
      </c>
      <c r="C35" s="14">
        <v>0</v>
      </c>
    </row>
    <row r="36" spans="1:3">
      <c r="A36" s="7">
        <v>184</v>
      </c>
      <c r="B36" s="6">
        <v>3</v>
      </c>
      <c r="C36" s="14">
        <v>0</v>
      </c>
    </row>
    <row r="37" spans="1:3">
      <c r="A37" s="8" t="s">
        <v>533</v>
      </c>
      <c r="B37" s="6">
        <v>1</v>
      </c>
      <c r="C37" s="14">
        <v>0</v>
      </c>
    </row>
    <row r="38" spans="1:3">
      <c r="A38" s="8" t="s">
        <v>576</v>
      </c>
      <c r="B38" s="6">
        <v>1</v>
      </c>
      <c r="C38" s="14">
        <v>0</v>
      </c>
    </row>
    <row r="39" spans="1:3">
      <c r="A39" s="8" t="s">
        <v>577</v>
      </c>
      <c r="B39" s="6">
        <v>1</v>
      </c>
      <c r="C39" s="14">
        <v>0</v>
      </c>
    </row>
    <row r="40" spans="1:3">
      <c r="A40" s="7">
        <v>94</v>
      </c>
      <c r="B40" s="6">
        <v>3</v>
      </c>
      <c r="C40" s="14">
        <v>0</v>
      </c>
    </row>
    <row r="41" spans="1:3">
      <c r="A41" s="8" t="s">
        <v>666</v>
      </c>
      <c r="B41" s="6">
        <v>1</v>
      </c>
      <c r="C41" s="14">
        <v>0</v>
      </c>
    </row>
    <row r="42" spans="1:3">
      <c r="A42" s="8" t="s">
        <v>732</v>
      </c>
      <c r="B42" s="6">
        <v>1</v>
      </c>
      <c r="C42" s="14">
        <v>0</v>
      </c>
    </row>
    <row r="43" spans="1:3">
      <c r="A43" s="8" t="s">
        <v>774</v>
      </c>
      <c r="B43" s="6">
        <v>1</v>
      </c>
      <c r="C43" s="14">
        <v>0</v>
      </c>
    </row>
    <row r="44" spans="1:3">
      <c r="A44" s="7">
        <v>77</v>
      </c>
      <c r="B44" s="6">
        <v>2</v>
      </c>
      <c r="C44" s="14">
        <v>0</v>
      </c>
    </row>
    <row r="45" spans="1:3">
      <c r="A45" s="8" t="s">
        <v>763</v>
      </c>
      <c r="B45" s="6">
        <v>1</v>
      </c>
      <c r="C45" s="14">
        <v>0</v>
      </c>
    </row>
    <row r="46" spans="1:3">
      <c r="A46" s="8" t="s">
        <v>782</v>
      </c>
      <c r="B46" s="6">
        <v>1</v>
      </c>
      <c r="C46" s="14">
        <v>0</v>
      </c>
    </row>
    <row r="47" spans="1:3">
      <c r="A47" s="7">
        <v>93</v>
      </c>
      <c r="B47" s="6">
        <v>1</v>
      </c>
      <c r="C47" s="14">
        <v>0</v>
      </c>
    </row>
    <row r="48" spans="1:3">
      <c r="A48" s="8" t="s">
        <v>737</v>
      </c>
      <c r="B48" s="6">
        <v>1</v>
      </c>
      <c r="C48" s="14">
        <v>0</v>
      </c>
    </row>
    <row r="49" spans="1:3">
      <c r="A49" s="7">
        <v>167</v>
      </c>
      <c r="B49" s="6">
        <v>5</v>
      </c>
      <c r="C49" s="14">
        <v>0</v>
      </c>
    </row>
    <row r="50" spans="1:3">
      <c r="A50" s="8" t="s">
        <v>616</v>
      </c>
      <c r="B50" s="6">
        <v>1</v>
      </c>
      <c r="C50" s="14">
        <v>0</v>
      </c>
    </row>
    <row r="51" spans="1:3">
      <c r="A51" s="8" t="s">
        <v>617</v>
      </c>
      <c r="B51" s="6">
        <v>1</v>
      </c>
      <c r="C51" s="14">
        <v>0</v>
      </c>
    </row>
    <row r="52" spans="1:3">
      <c r="A52" s="8" t="s">
        <v>618</v>
      </c>
      <c r="B52" s="6">
        <v>1</v>
      </c>
      <c r="C52" s="14">
        <v>0</v>
      </c>
    </row>
    <row r="53" spans="1:3">
      <c r="A53" s="8" t="s">
        <v>748</v>
      </c>
      <c r="B53" s="6">
        <v>1</v>
      </c>
      <c r="C53" s="14">
        <v>0</v>
      </c>
    </row>
    <row r="54" spans="1:3">
      <c r="A54" s="8" t="s">
        <v>749</v>
      </c>
      <c r="B54" s="6">
        <v>1</v>
      </c>
      <c r="C54" s="14">
        <v>0</v>
      </c>
    </row>
    <row r="55" spans="1:3">
      <c r="A55" s="7">
        <v>78</v>
      </c>
      <c r="B55" s="6">
        <v>2</v>
      </c>
      <c r="C55" s="14">
        <v>0</v>
      </c>
    </row>
    <row r="56" spans="1:3">
      <c r="A56" s="8" t="s">
        <v>644</v>
      </c>
      <c r="B56" s="6">
        <v>1</v>
      </c>
      <c r="C56" s="14">
        <v>0</v>
      </c>
    </row>
    <row r="57" spans="1:3">
      <c r="A57" s="8" t="s">
        <v>649</v>
      </c>
      <c r="B57" s="6">
        <v>1</v>
      </c>
      <c r="C57" s="14">
        <v>0</v>
      </c>
    </row>
    <row r="58" spans="1:3">
      <c r="A58" s="7">
        <v>79</v>
      </c>
      <c r="B58" s="6">
        <v>1</v>
      </c>
      <c r="C58" s="14">
        <v>0</v>
      </c>
    </row>
    <row r="59" spans="1:3">
      <c r="A59" s="8" t="s">
        <v>689</v>
      </c>
      <c r="B59" s="6">
        <v>1</v>
      </c>
      <c r="C59" s="14">
        <v>0</v>
      </c>
    </row>
    <row r="60" spans="1:3">
      <c r="A60" s="7">
        <v>96</v>
      </c>
      <c r="B60" s="6">
        <v>2</v>
      </c>
      <c r="C60" s="14">
        <v>0</v>
      </c>
    </row>
    <row r="61" spans="1:3">
      <c r="A61" s="8" t="s">
        <v>772</v>
      </c>
      <c r="B61" s="6">
        <v>1</v>
      </c>
      <c r="C61" s="14">
        <v>0</v>
      </c>
    </row>
    <row r="62" spans="1:3">
      <c r="A62" s="8" t="s">
        <v>778</v>
      </c>
      <c r="B62" s="6">
        <v>1</v>
      </c>
      <c r="C62" s="14">
        <v>0</v>
      </c>
    </row>
    <row r="63" spans="1:3">
      <c r="A63" s="5" t="s">
        <v>357</v>
      </c>
      <c r="B63" s="6">
        <v>14</v>
      </c>
      <c r="C63" s="14">
        <v>0</v>
      </c>
    </row>
    <row r="64" spans="1:3">
      <c r="A64" s="7">
        <v>5</v>
      </c>
      <c r="B64" s="6">
        <v>1</v>
      </c>
      <c r="C64" s="14">
        <v>0</v>
      </c>
    </row>
    <row r="65" spans="1:3">
      <c r="A65" s="8" t="s">
        <v>371</v>
      </c>
      <c r="B65" s="6">
        <v>1</v>
      </c>
      <c r="C65" s="14">
        <v>0</v>
      </c>
    </row>
    <row r="66" spans="1:3">
      <c r="A66" s="7">
        <v>6</v>
      </c>
      <c r="B66" s="6">
        <v>6</v>
      </c>
      <c r="C66" s="14">
        <v>0</v>
      </c>
    </row>
    <row r="67" spans="1:3">
      <c r="A67" s="8" t="s">
        <v>368</v>
      </c>
      <c r="B67" s="6">
        <v>1</v>
      </c>
      <c r="C67" s="14">
        <v>0</v>
      </c>
    </row>
    <row r="68" spans="1:3">
      <c r="A68" s="8" t="s">
        <v>467</v>
      </c>
      <c r="B68" s="6">
        <v>1</v>
      </c>
      <c r="C68" s="14">
        <v>0</v>
      </c>
    </row>
    <row r="69" spans="1:3">
      <c r="A69" s="8" t="s">
        <v>590</v>
      </c>
      <c r="B69" s="6">
        <v>1</v>
      </c>
      <c r="C69" s="14">
        <v>0</v>
      </c>
    </row>
    <row r="70" spans="1:3">
      <c r="A70" s="8" t="s">
        <v>719</v>
      </c>
      <c r="B70" s="6">
        <v>1</v>
      </c>
      <c r="C70" s="14">
        <v>0</v>
      </c>
    </row>
    <row r="71" spans="1:3">
      <c r="A71" s="8" t="s">
        <v>761</v>
      </c>
      <c r="B71" s="6">
        <v>1</v>
      </c>
      <c r="C71" s="14">
        <v>0</v>
      </c>
    </row>
    <row r="72" spans="1:3">
      <c r="A72" s="8" t="s">
        <v>786</v>
      </c>
      <c r="B72" s="6">
        <v>1</v>
      </c>
      <c r="C72" s="14">
        <v>0</v>
      </c>
    </row>
    <row r="73" spans="1:3">
      <c r="A73" s="7">
        <v>7</v>
      </c>
      <c r="B73" s="6">
        <v>5</v>
      </c>
      <c r="C73" s="14">
        <v>0</v>
      </c>
    </row>
    <row r="74" spans="1:3">
      <c r="A74" s="8" t="s">
        <v>373</v>
      </c>
      <c r="B74" s="6">
        <v>1</v>
      </c>
      <c r="C74" s="14">
        <v>0</v>
      </c>
    </row>
    <row r="75" spans="1:3">
      <c r="A75" s="8" t="s">
        <v>468</v>
      </c>
      <c r="B75" s="6">
        <v>1</v>
      </c>
      <c r="C75" s="14">
        <v>0</v>
      </c>
    </row>
    <row r="76" spans="1:3">
      <c r="A76" s="8" t="s">
        <v>553</v>
      </c>
      <c r="B76" s="6">
        <v>1</v>
      </c>
      <c r="C76" s="14">
        <v>0</v>
      </c>
    </row>
    <row r="77" spans="1:3">
      <c r="A77" s="8" t="s">
        <v>592</v>
      </c>
      <c r="B77" s="6">
        <v>1</v>
      </c>
      <c r="C77" s="14">
        <v>0</v>
      </c>
    </row>
    <row r="78" spans="1:3">
      <c r="A78" s="8" t="s">
        <v>672</v>
      </c>
      <c r="B78" s="6">
        <v>1</v>
      </c>
      <c r="C78" s="14">
        <v>0</v>
      </c>
    </row>
    <row r="79" spans="1:3">
      <c r="A79" s="7">
        <v>10</v>
      </c>
      <c r="B79" s="6">
        <v>2</v>
      </c>
      <c r="C79" s="14">
        <v>0</v>
      </c>
    </row>
    <row r="80" spans="1:3">
      <c r="A80" s="8" t="s">
        <v>470</v>
      </c>
      <c r="B80" s="6">
        <v>1</v>
      </c>
      <c r="C80" s="14">
        <v>0</v>
      </c>
    </row>
    <row r="81" spans="1:3">
      <c r="A81" s="8" t="s">
        <v>589</v>
      </c>
      <c r="B81" s="6">
        <v>1</v>
      </c>
      <c r="C81" s="14">
        <v>0</v>
      </c>
    </row>
    <row r="82" spans="1:3">
      <c r="A82" s="5" t="s">
        <v>349</v>
      </c>
      <c r="B82" s="6">
        <v>6</v>
      </c>
      <c r="C82" s="14">
        <v>0</v>
      </c>
    </row>
    <row r="83" spans="1:3">
      <c r="A83" s="7">
        <v>4</v>
      </c>
      <c r="B83" s="6">
        <v>2</v>
      </c>
      <c r="C83" s="14">
        <v>0</v>
      </c>
    </row>
    <row r="84" spans="1:3">
      <c r="A84" s="8" t="s">
        <v>632</v>
      </c>
      <c r="B84" s="6">
        <v>2</v>
      </c>
      <c r="C84" s="14">
        <v>0</v>
      </c>
    </row>
    <row r="85" spans="1:3">
      <c r="A85" s="7">
        <v>6</v>
      </c>
      <c r="B85" s="6">
        <v>2</v>
      </c>
      <c r="C85" s="14">
        <v>0</v>
      </c>
    </row>
    <row r="86" spans="1:3">
      <c r="A86" s="8" t="s">
        <v>473</v>
      </c>
      <c r="B86" s="6">
        <v>2</v>
      </c>
      <c r="C86" s="14">
        <v>0</v>
      </c>
    </row>
    <row r="87" spans="1:3">
      <c r="A87" s="7">
        <v>8</v>
      </c>
      <c r="B87" s="6">
        <v>2</v>
      </c>
      <c r="C87" s="14">
        <v>0</v>
      </c>
    </row>
    <row r="88" spans="1:3">
      <c r="A88" s="8" t="s">
        <v>379</v>
      </c>
      <c r="B88" s="6">
        <v>2</v>
      </c>
      <c r="C88" s="14">
        <v>0</v>
      </c>
    </row>
    <row r="89" spans="1:3">
      <c r="A89" s="5" t="s">
        <v>265</v>
      </c>
      <c r="B89" s="6">
        <v>0</v>
      </c>
      <c r="C89" s="14">
        <v>0</v>
      </c>
    </row>
    <row r="90" spans="1:3">
      <c r="A90" s="7" t="s">
        <v>265</v>
      </c>
      <c r="B90" s="6">
        <v>0</v>
      </c>
      <c r="C90" s="14">
        <v>0</v>
      </c>
    </row>
    <row r="91" spans="1:3">
      <c r="A91" s="8" t="s">
        <v>363</v>
      </c>
      <c r="B91" s="6">
        <v>0</v>
      </c>
      <c r="C91" s="14">
        <v>0</v>
      </c>
    </row>
    <row r="92" spans="1:3">
      <c r="A92" s="8" t="s">
        <v>384</v>
      </c>
      <c r="B92" s="6">
        <v>0</v>
      </c>
      <c r="C92" s="14">
        <v>0</v>
      </c>
    </row>
    <row r="93" spans="1:3">
      <c r="A93" s="8" t="s">
        <v>502</v>
      </c>
      <c r="B93" s="6">
        <v>0</v>
      </c>
      <c r="C93" s="14">
        <v>0</v>
      </c>
    </row>
    <row r="94" spans="1:3">
      <c r="A94" s="8" t="s">
        <v>537</v>
      </c>
      <c r="B94" s="6">
        <v>0</v>
      </c>
      <c r="C94" s="14">
        <v>0</v>
      </c>
    </row>
    <row r="95" spans="1:3">
      <c r="A95" s="8" t="s">
        <v>560</v>
      </c>
      <c r="B95" s="6">
        <v>0</v>
      </c>
      <c r="C95" s="14">
        <v>0</v>
      </c>
    </row>
    <row r="96" spans="1:3">
      <c r="A96" s="8" t="s">
        <v>566</v>
      </c>
      <c r="B96" s="6">
        <v>0</v>
      </c>
      <c r="C96" s="14">
        <v>0</v>
      </c>
    </row>
    <row r="97" spans="1:3">
      <c r="A97" s="8" t="s">
        <v>569</v>
      </c>
      <c r="B97" s="6">
        <v>0</v>
      </c>
      <c r="C97" s="14">
        <v>0</v>
      </c>
    </row>
    <row r="98" spans="1:3">
      <c r="A98" s="8" t="s">
        <v>625</v>
      </c>
      <c r="B98" s="6">
        <v>0</v>
      </c>
      <c r="C98" s="14">
        <v>0</v>
      </c>
    </row>
    <row r="99" spans="1:3">
      <c r="A99" s="8" t="s">
        <v>626</v>
      </c>
      <c r="B99" s="6">
        <v>0</v>
      </c>
      <c r="C99" s="14">
        <v>0</v>
      </c>
    </row>
    <row r="100" spans="1:3">
      <c r="A100" s="8" t="s">
        <v>637</v>
      </c>
      <c r="B100" s="6">
        <v>0</v>
      </c>
      <c r="C100" s="14">
        <v>0</v>
      </c>
    </row>
    <row r="101" spans="1:3">
      <c r="A101" s="8" t="s">
        <v>638</v>
      </c>
      <c r="B101" s="6">
        <v>0</v>
      </c>
      <c r="C101" s="14">
        <v>0</v>
      </c>
    </row>
    <row r="102" spans="1:3">
      <c r="A102" s="8" t="s">
        <v>668</v>
      </c>
      <c r="B102" s="6">
        <v>0</v>
      </c>
      <c r="C102" s="14">
        <v>0</v>
      </c>
    </row>
    <row r="103" spans="1:3">
      <c r="A103" s="8" t="s">
        <v>679</v>
      </c>
      <c r="B103" s="6">
        <v>0</v>
      </c>
      <c r="C103" s="14">
        <v>0</v>
      </c>
    </row>
    <row r="104" spans="1:3">
      <c r="A104" s="8" t="s">
        <v>690</v>
      </c>
      <c r="B104" s="6">
        <v>0</v>
      </c>
      <c r="C104" s="14">
        <v>0</v>
      </c>
    </row>
    <row r="105" spans="1:3">
      <c r="A105" s="8" t="s">
        <v>702</v>
      </c>
      <c r="B105" s="6">
        <v>0</v>
      </c>
      <c r="C105" s="14">
        <v>0</v>
      </c>
    </row>
    <row r="106" spans="1:3">
      <c r="A106" s="8" t="s">
        <v>703</v>
      </c>
      <c r="B106" s="6">
        <v>0</v>
      </c>
      <c r="C106" s="14">
        <v>0</v>
      </c>
    </row>
    <row r="107" spans="1:3">
      <c r="A107" s="8" t="s">
        <v>724</v>
      </c>
      <c r="B107" s="6">
        <v>0</v>
      </c>
      <c r="C107" s="14">
        <v>0</v>
      </c>
    </row>
    <row r="108" spans="1:3">
      <c r="A108" s="8" t="s">
        <v>753</v>
      </c>
      <c r="B108" s="6">
        <v>0</v>
      </c>
      <c r="C108" s="14">
        <v>0</v>
      </c>
    </row>
    <row r="109" spans="1:3">
      <c r="A109" s="5" t="s">
        <v>131</v>
      </c>
      <c r="B109" s="6">
        <v>60</v>
      </c>
      <c r="C109" s="14">
        <v>0</v>
      </c>
    </row>
    <row r="110" spans="1:3">
      <c r="C110"/>
    </row>
    <row r="111" spans="1:3">
      <c r="C111"/>
    </row>
    <row r="112" spans="1:3">
      <c r="C112"/>
    </row>
    <row r="113" spans="3:3">
      <c r="C113"/>
    </row>
    <row r="114" spans="3:3">
      <c r="C114"/>
    </row>
    <row r="115" spans="3:3">
      <c r="C115"/>
    </row>
    <row r="116" spans="3:3">
      <c r="C116"/>
    </row>
    <row r="117" spans="3:3">
      <c r="C117"/>
    </row>
    <row r="118" spans="3:3">
      <c r="C118"/>
    </row>
    <row r="119" spans="3:3">
      <c r="C119"/>
    </row>
    <row r="120" spans="3:3">
      <c r="C120"/>
    </row>
    <row r="121" spans="3:3">
      <c r="C121"/>
    </row>
    <row r="122" spans="3:3">
      <c r="C122"/>
    </row>
    <row r="123" spans="3:3">
      <c r="C123"/>
    </row>
    <row r="124" spans="3:3">
      <c r="C124"/>
    </row>
    <row r="125" spans="3:3">
      <c r="C125"/>
    </row>
    <row r="126" spans="3:3">
      <c r="C126"/>
    </row>
    <row r="127" spans="3:3">
      <c r="C127"/>
    </row>
    <row r="128" spans="3:3">
      <c r="C128"/>
    </row>
    <row r="129" spans="3:3">
      <c r="C129"/>
    </row>
    <row r="130" spans="3:3">
      <c r="C130"/>
    </row>
    <row r="131" spans="3:3">
      <c r="C131"/>
    </row>
    <row r="132" spans="3:3">
      <c r="C132"/>
    </row>
    <row r="133" spans="3:3">
      <c r="C133"/>
    </row>
    <row r="134" spans="3:3">
      <c r="C134"/>
    </row>
    <row r="135" spans="3:3">
      <c r="C135"/>
    </row>
    <row r="136" spans="3:3">
      <c r="C136"/>
    </row>
    <row r="137" spans="3:3">
      <c r="C137"/>
    </row>
    <row r="138" spans="3:3">
      <c r="C138"/>
    </row>
    <row r="139" spans="3:3">
      <c r="C139"/>
    </row>
    <row r="140" spans="3:3">
      <c r="C140"/>
    </row>
    <row r="141" spans="3:3">
      <c r="C141"/>
    </row>
    <row r="142" spans="3:3">
      <c r="C142"/>
    </row>
    <row r="143" spans="3:3">
      <c r="C143"/>
    </row>
    <row r="144" spans="3:3">
      <c r="C144"/>
    </row>
    <row r="145" spans="3:3">
      <c r="C145"/>
    </row>
    <row r="146" spans="3:3">
      <c r="C146"/>
    </row>
    <row r="147" spans="3:3">
      <c r="C147"/>
    </row>
    <row r="148" spans="3:3">
      <c r="C148"/>
    </row>
    <row r="149" spans="3:3">
      <c r="C149"/>
    </row>
    <row r="150" spans="3:3">
      <c r="C150"/>
    </row>
    <row r="151" spans="3:3">
      <c r="C151"/>
    </row>
    <row r="152" spans="3:3">
      <c r="C152"/>
    </row>
    <row r="153" spans="3:3">
      <c r="C153"/>
    </row>
    <row r="154" spans="3:3">
      <c r="C154"/>
    </row>
    <row r="155" spans="3:3">
      <c r="C155"/>
    </row>
    <row r="156" spans="3:3">
      <c r="C156"/>
    </row>
    <row r="157" spans="3:3">
      <c r="C157"/>
    </row>
    <row r="158" spans="3:3">
      <c r="C158"/>
    </row>
    <row r="159" spans="3:3">
      <c r="C159"/>
    </row>
    <row r="160" spans="3:3">
      <c r="C160"/>
    </row>
    <row r="161" spans="3:3">
      <c r="C161"/>
    </row>
    <row r="162" spans="3:3">
      <c r="C162"/>
    </row>
    <row r="163" spans="3:3">
      <c r="C163"/>
    </row>
    <row r="164" spans="3:3">
      <c r="C164"/>
    </row>
    <row r="165" spans="3:3">
      <c r="C165"/>
    </row>
    <row r="166" spans="3:3">
      <c r="C166"/>
    </row>
    <row r="167" spans="3:3">
      <c r="C167"/>
    </row>
    <row r="168" spans="3:3">
      <c r="C168"/>
    </row>
    <row r="169" spans="3:3">
      <c r="C169"/>
    </row>
    <row r="170" spans="3:3">
      <c r="C170"/>
    </row>
    <row r="171" spans="3:3">
      <c r="C171"/>
    </row>
    <row r="172" spans="3:3">
      <c r="C172"/>
    </row>
    <row r="173" spans="3:3">
      <c r="C173"/>
    </row>
    <row r="174" spans="3:3">
      <c r="C174"/>
    </row>
    <row r="175" spans="3:3">
      <c r="C175"/>
    </row>
    <row r="176" spans="3:3">
      <c r="C176"/>
    </row>
    <row r="177" spans="3:3">
      <c r="C177"/>
    </row>
    <row r="178" spans="3:3">
      <c r="C178"/>
    </row>
    <row r="179" spans="3:3">
      <c r="C179"/>
    </row>
    <row r="180" spans="3:3">
      <c r="C180"/>
    </row>
    <row r="181" spans="3:3">
      <c r="C181"/>
    </row>
    <row r="182" spans="3:3">
      <c r="C182"/>
    </row>
    <row r="183" spans="3:3">
      <c r="C183"/>
    </row>
    <row r="184" spans="3:3">
      <c r="C184"/>
    </row>
    <row r="185" spans="3:3">
      <c r="C185"/>
    </row>
    <row r="186" spans="3:3">
      <c r="C186"/>
    </row>
    <row r="187" spans="3:3">
      <c r="C187"/>
    </row>
    <row r="188" spans="3:3">
      <c r="C188"/>
    </row>
    <row r="189" spans="3:3">
      <c r="C189"/>
    </row>
    <row r="190" spans="3:3">
      <c r="C190"/>
    </row>
    <row r="191" spans="3:3">
      <c r="C191"/>
    </row>
    <row r="192" spans="3:3">
      <c r="C192"/>
    </row>
    <row r="193" spans="3:3">
      <c r="C193"/>
    </row>
    <row r="194" spans="3:3">
      <c r="C194"/>
    </row>
    <row r="195" spans="3:3">
      <c r="C195"/>
    </row>
    <row r="196" spans="3:3">
      <c r="C196"/>
    </row>
    <row r="197" spans="3:3">
      <c r="C197"/>
    </row>
    <row r="198" spans="3:3">
      <c r="C198"/>
    </row>
    <row r="199" spans="3:3">
      <c r="C199"/>
    </row>
    <row r="200" spans="3:3">
      <c r="C200"/>
    </row>
    <row r="201" spans="3:3">
      <c r="C201"/>
    </row>
    <row r="202" spans="3:3">
      <c r="C202"/>
    </row>
    <row r="203" spans="3:3">
      <c r="C203"/>
    </row>
    <row r="204" spans="3:3">
      <c r="C204"/>
    </row>
    <row r="205" spans="3:3">
      <c r="C205"/>
    </row>
    <row r="206" spans="3:3">
      <c r="C206"/>
    </row>
    <row r="207" spans="3:3">
      <c r="C207"/>
    </row>
    <row r="208" spans="3:3">
      <c r="C208"/>
    </row>
    <row r="209" spans="3:3">
      <c r="C209"/>
    </row>
    <row r="210" spans="3:3">
      <c r="C210"/>
    </row>
    <row r="211" spans="3:3">
      <c r="C211"/>
    </row>
    <row r="212" spans="3:3">
      <c r="C212"/>
    </row>
    <row r="213" spans="3:3">
      <c r="C213"/>
    </row>
    <row r="214" spans="3:3">
      <c r="C214"/>
    </row>
    <row r="215" spans="3:3">
      <c r="C215"/>
    </row>
    <row r="216" spans="3:3">
      <c r="C216"/>
    </row>
    <row r="217" spans="3:3">
      <c r="C217"/>
    </row>
    <row r="218" spans="3:3">
      <c r="C218"/>
    </row>
    <row r="219" spans="3:3">
      <c r="C219"/>
    </row>
    <row r="220" spans="3:3">
      <c r="C220"/>
    </row>
    <row r="221" spans="3:3">
      <c r="C221"/>
    </row>
    <row r="222" spans="3:3">
      <c r="C222"/>
    </row>
    <row r="223" spans="3:3">
      <c r="C223"/>
    </row>
    <row r="224" spans="3:3">
      <c r="C224"/>
    </row>
    <row r="225" spans="3:3">
      <c r="C225"/>
    </row>
    <row r="226" spans="3:3">
      <c r="C226"/>
    </row>
    <row r="227" spans="3:3">
      <c r="C227"/>
    </row>
    <row r="228" spans="3:3">
      <c r="C228"/>
    </row>
    <row r="229" spans="3:3">
      <c r="C229"/>
    </row>
    <row r="230" spans="3:3">
      <c r="C230"/>
    </row>
    <row r="231" spans="3:3">
      <c r="C231"/>
    </row>
    <row r="232" spans="3:3">
      <c r="C232"/>
    </row>
    <row r="233" spans="3:3">
      <c r="C233"/>
    </row>
    <row r="234" spans="3:3">
      <c r="C234"/>
    </row>
    <row r="235" spans="3:3">
      <c r="C235"/>
    </row>
    <row r="236" spans="3:3">
      <c r="C236"/>
    </row>
    <row r="237" spans="3:3">
      <c r="C237"/>
    </row>
    <row r="238" spans="3:3">
      <c r="C238"/>
    </row>
    <row r="239" spans="3:3">
      <c r="C239"/>
    </row>
    <row r="240" spans="3:3">
      <c r="C240"/>
    </row>
    <row r="241" spans="3:3">
      <c r="C241"/>
    </row>
    <row r="242" spans="3:3">
      <c r="C242"/>
    </row>
    <row r="243" spans="3:3">
      <c r="C243"/>
    </row>
    <row r="244" spans="3:3">
      <c r="C244"/>
    </row>
    <row r="245" spans="3:3">
      <c r="C245"/>
    </row>
    <row r="246" spans="3:3">
      <c r="C246"/>
    </row>
    <row r="247" spans="3:3">
      <c r="C247"/>
    </row>
    <row r="248" spans="3:3">
      <c r="C248"/>
    </row>
    <row r="249" spans="3:3">
      <c r="C249"/>
    </row>
    <row r="250" spans="3:3">
      <c r="C250"/>
    </row>
    <row r="251" spans="3:3">
      <c r="C251"/>
    </row>
    <row r="252" spans="3:3">
      <c r="C252"/>
    </row>
    <row r="253" spans="3:3">
      <c r="C253"/>
    </row>
    <row r="254" spans="3:3">
      <c r="C254"/>
    </row>
    <row r="255" spans="3:3">
      <c r="C255"/>
    </row>
    <row r="256" spans="3:3">
      <c r="C256"/>
    </row>
    <row r="257" spans="3:3">
      <c r="C257"/>
    </row>
    <row r="258" spans="3:3">
      <c r="C258"/>
    </row>
    <row r="259" spans="3:3">
      <c r="C259"/>
    </row>
    <row r="260" spans="3:3">
      <c r="C260"/>
    </row>
    <row r="261" spans="3:3">
      <c r="C261"/>
    </row>
    <row r="262" spans="3:3">
      <c r="C262"/>
    </row>
    <row r="263" spans="3:3">
      <c r="C263"/>
    </row>
    <row r="264" spans="3:3">
      <c r="C264"/>
    </row>
    <row r="265" spans="3:3">
      <c r="C265"/>
    </row>
    <row r="266" spans="3:3">
      <c r="C266"/>
    </row>
    <row r="267" spans="3:3">
      <c r="C267"/>
    </row>
    <row r="268" spans="3:3">
      <c r="C268"/>
    </row>
    <row r="269" spans="3:3">
      <c r="C269"/>
    </row>
    <row r="270" spans="3:3">
      <c r="C270"/>
    </row>
    <row r="271" spans="3:3">
      <c r="C271"/>
    </row>
    <row r="272" spans="3:3">
      <c r="C272"/>
    </row>
    <row r="273" spans="3:3">
      <c r="C273"/>
    </row>
    <row r="274" spans="3:3">
      <c r="C274"/>
    </row>
    <row r="275" spans="3:3">
      <c r="C275"/>
    </row>
    <row r="276" spans="3:3">
      <c r="C276"/>
    </row>
    <row r="277" spans="3:3">
      <c r="C277"/>
    </row>
    <row r="278" spans="3:3">
      <c r="C278"/>
    </row>
    <row r="279" spans="3:3">
      <c r="C279"/>
    </row>
    <row r="280" spans="3:3">
      <c r="C280"/>
    </row>
    <row r="281" spans="3:3">
      <c r="C281"/>
    </row>
    <row r="282" spans="3:3">
      <c r="C282"/>
    </row>
    <row r="283" spans="3:3">
      <c r="C283"/>
    </row>
    <row r="284" spans="3:3">
      <c r="C284"/>
    </row>
    <row r="285" spans="3:3">
      <c r="C285"/>
    </row>
    <row r="286" spans="3:3">
      <c r="C286"/>
    </row>
    <row r="287" spans="3:3">
      <c r="C287"/>
    </row>
    <row r="288" spans="3:3">
      <c r="C288"/>
    </row>
    <row r="289" spans="3:3">
      <c r="C289"/>
    </row>
    <row r="290" spans="3:3">
      <c r="C290"/>
    </row>
    <row r="291" spans="3:3">
      <c r="C291"/>
    </row>
    <row r="292" spans="3:3">
      <c r="C292"/>
    </row>
    <row r="293" spans="3:3">
      <c r="C293"/>
    </row>
    <row r="294" spans="3:3">
      <c r="C294"/>
    </row>
    <row r="295" spans="3:3">
      <c r="C295"/>
    </row>
    <row r="296" spans="3:3">
      <c r="C296"/>
    </row>
    <row r="297" spans="3:3">
      <c r="C297"/>
    </row>
    <row r="298" spans="3:3">
      <c r="C298"/>
    </row>
    <row r="299" spans="3:3">
      <c r="C299"/>
    </row>
    <row r="300" spans="3:3">
      <c r="C300"/>
    </row>
    <row r="301" spans="3:3">
      <c r="C301"/>
    </row>
    <row r="302" spans="3:3">
      <c r="C302"/>
    </row>
    <row r="303" spans="3:3">
      <c r="C303"/>
    </row>
    <row r="304" spans="3:3">
      <c r="C304"/>
    </row>
    <row r="305" spans="3:3">
      <c r="C305"/>
    </row>
    <row r="306" spans="3:3">
      <c r="C306"/>
    </row>
    <row r="307" spans="3:3">
      <c r="C307"/>
    </row>
    <row r="308" spans="3:3">
      <c r="C308"/>
    </row>
    <row r="309" spans="3:3">
      <c r="C309"/>
    </row>
    <row r="310" spans="3:3">
      <c r="C310"/>
    </row>
    <row r="311" spans="3:3">
      <c r="C311"/>
    </row>
    <row r="312" spans="3:3">
      <c r="C312"/>
    </row>
    <row r="313" spans="3:3">
      <c r="C313"/>
    </row>
    <row r="314" spans="3:3">
      <c r="C314"/>
    </row>
    <row r="315" spans="3:3">
      <c r="C315"/>
    </row>
    <row r="316" spans="3:3">
      <c r="C316"/>
    </row>
    <row r="317" spans="3:3">
      <c r="C317"/>
    </row>
    <row r="318" spans="3:3">
      <c r="C318"/>
    </row>
    <row r="319" spans="3:3">
      <c r="C319"/>
    </row>
    <row r="320" spans="3:3">
      <c r="C320"/>
    </row>
    <row r="321" spans="3:3">
      <c r="C321"/>
    </row>
    <row r="322" spans="3:3">
      <c r="C322"/>
    </row>
    <row r="323" spans="3:3">
      <c r="C323"/>
    </row>
    <row r="324" spans="3:3">
      <c r="C324"/>
    </row>
    <row r="325" spans="3:3">
      <c r="C325"/>
    </row>
    <row r="326" spans="3:3">
      <c r="C326"/>
    </row>
    <row r="327" spans="3:3">
      <c r="C327"/>
    </row>
    <row r="328" spans="3:3">
      <c r="C328"/>
    </row>
    <row r="329" spans="3:3">
      <c r="C329"/>
    </row>
    <row r="330" spans="3:3">
      <c r="C330"/>
    </row>
    <row r="331" spans="3:3">
      <c r="C331"/>
    </row>
    <row r="332" spans="3:3">
      <c r="C332"/>
    </row>
    <row r="333" spans="3:3">
      <c r="C333"/>
    </row>
    <row r="334" spans="3:3">
      <c r="C334"/>
    </row>
    <row r="335" spans="3:3">
      <c r="C335"/>
    </row>
    <row r="336" spans="3:3">
      <c r="C336"/>
    </row>
    <row r="337" spans="3:3">
      <c r="C337"/>
    </row>
    <row r="338" spans="3:3">
      <c r="C338"/>
    </row>
    <row r="339" spans="3:3">
      <c r="C339"/>
    </row>
    <row r="340" spans="3:3">
      <c r="C340"/>
    </row>
    <row r="341" spans="3:3">
      <c r="C341"/>
    </row>
    <row r="342" spans="3:3">
      <c r="C342"/>
    </row>
    <row r="343" spans="3:3">
      <c r="C343"/>
    </row>
    <row r="344" spans="3:3">
      <c r="C344"/>
    </row>
    <row r="345" spans="3:3">
      <c r="C345"/>
    </row>
    <row r="346" spans="3:3">
      <c r="C346"/>
    </row>
    <row r="347" spans="3:3">
      <c r="C347"/>
    </row>
    <row r="348" spans="3:3">
      <c r="C348"/>
    </row>
    <row r="349" spans="3:3">
      <c r="C349"/>
    </row>
    <row r="350" spans="3:3">
      <c r="C350"/>
    </row>
    <row r="351" spans="3:3">
      <c r="C351"/>
    </row>
    <row r="352" spans="3:3">
      <c r="C352"/>
    </row>
    <row r="353" spans="3:3">
      <c r="C353"/>
    </row>
    <row r="354" spans="3:3">
      <c r="C354"/>
    </row>
    <row r="355" spans="3:3">
      <c r="C355"/>
    </row>
    <row r="356" spans="3:3">
      <c r="C356"/>
    </row>
    <row r="357" spans="3:3">
      <c r="C357"/>
    </row>
    <row r="358" spans="3:3">
      <c r="C358"/>
    </row>
    <row r="359" spans="3:3">
      <c r="C359"/>
    </row>
    <row r="360" spans="3:3">
      <c r="C360"/>
    </row>
    <row r="361" spans="3:3">
      <c r="C361"/>
    </row>
    <row r="362" spans="3:3">
      <c r="C362"/>
    </row>
    <row r="363" spans="3:3">
      <c r="C363"/>
    </row>
    <row r="364" spans="3:3">
      <c r="C364"/>
    </row>
    <row r="365" spans="3:3">
      <c r="C365"/>
    </row>
    <row r="366" spans="3:3">
      <c r="C366"/>
    </row>
    <row r="367" spans="3:3">
      <c r="C367"/>
    </row>
    <row r="368" spans="3:3">
      <c r="C368"/>
    </row>
    <row r="369" spans="3:3">
      <c r="C369"/>
    </row>
    <row r="370" spans="3:3">
      <c r="C370"/>
    </row>
    <row r="371" spans="3:3">
      <c r="C371"/>
    </row>
    <row r="372" spans="3:3">
      <c r="C372"/>
    </row>
    <row r="373" spans="3:3">
      <c r="C373"/>
    </row>
    <row r="374" spans="3:3">
      <c r="C374"/>
    </row>
    <row r="375" spans="3:3">
      <c r="C375"/>
    </row>
    <row r="376" spans="3:3">
      <c r="C376"/>
    </row>
    <row r="377" spans="3:3">
      <c r="C377"/>
    </row>
    <row r="378" spans="3:3">
      <c r="C378"/>
    </row>
    <row r="379" spans="3:3">
      <c r="C379"/>
    </row>
    <row r="380" spans="3:3">
      <c r="C380"/>
    </row>
    <row r="381" spans="3:3">
      <c r="C381"/>
    </row>
    <row r="382" spans="3:3">
      <c r="C382"/>
    </row>
    <row r="383" spans="3:3">
      <c r="C383"/>
    </row>
    <row r="384" spans="3:3">
      <c r="C384"/>
    </row>
    <row r="385" spans="3:3">
      <c r="C385"/>
    </row>
    <row r="386" spans="3:3">
      <c r="C386"/>
    </row>
    <row r="387" spans="3:3">
      <c r="C387"/>
    </row>
    <row r="388" spans="3:3">
      <c r="C388"/>
    </row>
    <row r="389" spans="3:3">
      <c r="C389"/>
    </row>
    <row r="390" spans="3:3">
      <c r="C390"/>
    </row>
    <row r="391" spans="3:3">
      <c r="C391"/>
    </row>
    <row r="392" spans="3:3">
      <c r="C392"/>
    </row>
    <row r="393" spans="3:3">
      <c r="C393"/>
    </row>
    <row r="394" spans="3:3">
      <c r="C394"/>
    </row>
    <row r="395" spans="3:3">
      <c r="C395"/>
    </row>
    <row r="396" spans="3:3">
      <c r="C396"/>
    </row>
    <row r="397" spans="3:3">
      <c r="C397"/>
    </row>
    <row r="398" spans="3:3">
      <c r="C398"/>
    </row>
    <row r="399" spans="3:3">
      <c r="C399"/>
    </row>
    <row r="400" spans="3:3">
      <c r="C400"/>
    </row>
    <row r="401" spans="3:3">
      <c r="C401"/>
    </row>
    <row r="402" spans="3:3">
      <c r="C402"/>
    </row>
    <row r="403" spans="3:3">
      <c r="C403"/>
    </row>
    <row r="404" spans="3:3">
      <c r="C404"/>
    </row>
    <row r="405" spans="3:3">
      <c r="C405"/>
    </row>
    <row r="406" spans="3:3">
      <c r="C406"/>
    </row>
    <row r="407" spans="3:3">
      <c r="C407"/>
    </row>
    <row r="408" spans="3:3">
      <c r="C408"/>
    </row>
    <row r="409" spans="3:3">
      <c r="C409"/>
    </row>
    <row r="410" spans="3:3">
      <c r="C410"/>
    </row>
    <row r="411" spans="3:3">
      <c r="C411"/>
    </row>
    <row r="412" spans="3:3">
      <c r="C412"/>
    </row>
    <row r="413" spans="3:3">
      <c r="C413"/>
    </row>
    <row r="414" spans="3:3">
      <c r="C414"/>
    </row>
    <row r="415" spans="3:3">
      <c r="C415"/>
    </row>
    <row r="416" spans="3:3">
      <c r="C416"/>
    </row>
    <row r="417" spans="3:3">
      <c r="C417"/>
    </row>
    <row r="418" spans="3:3">
      <c r="C418"/>
    </row>
    <row r="419" spans="3:3">
      <c r="C419"/>
    </row>
    <row r="420" spans="3:3">
      <c r="C420"/>
    </row>
    <row r="421" spans="3:3">
      <c r="C421"/>
    </row>
    <row r="422" spans="3:3">
      <c r="C422"/>
    </row>
    <row r="423" spans="3:3">
      <c r="C423"/>
    </row>
    <row r="424" spans="3:3">
      <c r="C424"/>
    </row>
    <row r="425" spans="3:3">
      <c r="C425"/>
    </row>
    <row r="426" spans="3:3">
      <c r="C426"/>
    </row>
    <row r="427" spans="3:3">
      <c r="C427"/>
    </row>
    <row r="428" spans="3:3">
      <c r="C428"/>
    </row>
    <row r="429" spans="3:3">
      <c r="C429"/>
    </row>
    <row r="430" spans="3:3">
      <c r="C430"/>
    </row>
    <row r="431" spans="3:3">
      <c r="C431"/>
    </row>
    <row r="432" spans="3:3">
      <c r="C432"/>
    </row>
    <row r="433" spans="3:3">
      <c r="C433"/>
    </row>
    <row r="434" spans="3:3">
      <c r="C434"/>
    </row>
    <row r="435" spans="3:3">
      <c r="C435"/>
    </row>
    <row r="436" spans="3:3">
      <c r="C436"/>
    </row>
    <row r="437" spans="3:3">
      <c r="C437"/>
    </row>
    <row r="438" spans="3:3">
      <c r="C438"/>
    </row>
    <row r="439" spans="3:3">
      <c r="C439"/>
    </row>
    <row r="440" spans="3:3">
      <c r="C440"/>
    </row>
    <row r="441" spans="3:3">
      <c r="C441"/>
    </row>
    <row r="442" spans="3:3">
      <c r="C442"/>
    </row>
    <row r="443" spans="3:3">
      <c r="C443"/>
    </row>
    <row r="444" spans="3:3">
      <c r="C444"/>
    </row>
    <row r="445" spans="3:3">
      <c r="C445"/>
    </row>
    <row r="446" spans="3:3">
      <c r="C446"/>
    </row>
    <row r="447" spans="3:3">
      <c r="C447"/>
    </row>
    <row r="448" spans="3:3">
      <c r="C448"/>
    </row>
    <row r="449" spans="3:3">
      <c r="C449"/>
    </row>
    <row r="450" spans="3:3">
      <c r="C450"/>
    </row>
    <row r="451" spans="3:3">
      <c r="C451"/>
    </row>
    <row r="452" spans="3:3">
      <c r="C452"/>
    </row>
    <row r="453" spans="3:3">
      <c r="C453"/>
    </row>
    <row r="454" spans="3:3">
      <c r="C454"/>
    </row>
    <row r="455" spans="3:3">
      <c r="C455"/>
    </row>
    <row r="456" spans="3:3">
      <c r="C456"/>
    </row>
    <row r="457" spans="3:3">
      <c r="C457"/>
    </row>
    <row r="458" spans="3:3">
      <c r="C458"/>
    </row>
    <row r="459" spans="3:3">
      <c r="C459"/>
    </row>
    <row r="460" spans="3:3">
      <c r="C460"/>
    </row>
    <row r="461" spans="3:3">
      <c r="C461"/>
    </row>
    <row r="462" spans="3:3">
      <c r="C462"/>
    </row>
    <row r="463" spans="3:3">
      <c r="C463"/>
    </row>
    <row r="464" spans="3:3">
      <c r="C464"/>
    </row>
    <row r="465" spans="3:3">
      <c r="C465"/>
    </row>
    <row r="466" spans="3:3">
      <c r="C466"/>
    </row>
    <row r="467" spans="3:3">
      <c r="C467"/>
    </row>
    <row r="468" spans="3:3">
      <c r="C468"/>
    </row>
    <row r="469" spans="3:3">
      <c r="C469"/>
    </row>
    <row r="470" spans="3:3">
      <c r="C470"/>
    </row>
    <row r="471" spans="3:3">
      <c r="C471"/>
    </row>
    <row r="472" spans="3:3">
      <c r="C472"/>
    </row>
    <row r="473" spans="3:3">
      <c r="C473"/>
    </row>
    <row r="474" spans="3:3">
      <c r="C474"/>
    </row>
    <row r="475" spans="3:3">
      <c r="C475"/>
    </row>
    <row r="476" spans="3:3">
      <c r="C476"/>
    </row>
    <row r="477" spans="3:3">
      <c r="C477"/>
    </row>
    <row r="478" spans="3:3">
      <c r="C478"/>
    </row>
    <row r="479" spans="3:3">
      <c r="C479"/>
    </row>
    <row r="480" spans="3:3">
      <c r="C480"/>
    </row>
    <row r="481" spans="3:3">
      <c r="C481"/>
    </row>
    <row r="482" spans="3:3">
      <c r="C482"/>
    </row>
    <row r="483" spans="3:3">
      <c r="C483"/>
    </row>
    <row r="484" spans="3:3">
      <c r="C484"/>
    </row>
    <row r="485" spans="3:3">
      <c r="C485"/>
    </row>
    <row r="486" spans="3:3">
      <c r="C486"/>
    </row>
    <row r="487" spans="3:3">
      <c r="C487"/>
    </row>
    <row r="488" spans="3:3">
      <c r="C488"/>
    </row>
    <row r="489" spans="3:3">
      <c r="C489"/>
    </row>
    <row r="490" spans="3:3">
      <c r="C490"/>
    </row>
    <row r="491" spans="3:3">
      <c r="C491"/>
    </row>
    <row r="492" spans="3:3">
      <c r="C492"/>
    </row>
    <row r="493" spans="3:3">
      <c r="C493"/>
    </row>
    <row r="494" spans="3:3">
      <c r="C494"/>
    </row>
    <row r="495" spans="3:3">
      <c r="C495"/>
    </row>
    <row r="496" spans="3:3">
      <c r="C496"/>
    </row>
    <row r="497" spans="3:3">
      <c r="C497"/>
    </row>
    <row r="498" spans="3:3">
      <c r="C498"/>
    </row>
    <row r="499" spans="3:3">
      <c r="C499"/>
    </row>
    <row r="500" spans="3:3">
      <c r="C500"/>
    </row>
    <row r="501" spans="3:3">
      <c r="C501"/>
    </row>
    <row r="502" spans="3:3">
      <c r="C502"/>
    </row>
    <row r="503" spans="3:3">
      <c r="C503"/>
    </row>
    <row r="504" spans="3:3">
      <c r="C504"/>
    </row>
    <row r="505" spans="3:3">
      <c r="C505"/>
    </row>
    <row r="506" spans="3:3">
      <c r="C506"/>
    </row>
    <row r="507" spans="3:3">
      <c r="C507"/>
    </row>
    <row r="508" spans="3:3">
      <c r="C508"/>
    </row>
    <row r="509" spans="3:3">
      <c r="C509"/>
    </row>
    <row r="510" spans="3:3">
      <c r="C510"/>
    </row>
    <row r="511" spans="3:3">
      <c r="C511"/>
    </row>
    <row r="512" spans="3:3">
      <c r="C512"/>
    </row>
    <row r="513" spans="3:3">
      <c r="C513"/>
    </row>
    <row r="514" spans="3:3">
      <c r="C514"/>
    </row>
    <row r="515" spans="3:3">
      <c r="C515"/>
    </row>
    <row r="516" spans="3:3">
      <c r="C516"/>
    </row>
    <row r="517" spans="3:3">
      <c r="C517"/>
    </row>
    <row r="518" spans="3:3">
      <c r="C518"/>
    </row>
    <row r="519" spans="3:3">
      <c r="C519"/>
    </row>
    <row r="520" spans="3:3">
      <c r="C520"/>
    </row>
    <row r="521" spans="3:3">
      <c r="C521"/>
    </row>
    <row r="522" spans="3:3">
      <c r="C522"/>
    </row>
    <row r="523" spans="3:3">
      <c r="C523"/>
    </row>
    <row r="524" spans="3:3">
      <c r="C524"/>
    </row>
    <row r="525" spans="3:3">
      <c r="C525"/>
    </row>
    <row r="526" spans="3:3">
      <c r="C526"/>
    </row>
    <row r="527" spans="3:3">
      <c r="C527"/>
    </row>
    <row r="528" spans="3:3">
      <c r="C528"/>
    </row>
    <row r="529" spans="3:3">
      <c r="C529"/>
    </row>
    <row r="530" spans="3:3">
      <c r="C530"/>
    </row>
    <row r="531" spans="3:3">
      <c r="C531"/>
    </row>
    <row r="532" spans="3:3">
      <c r="C532"/>
    </row>
    <row r="533" spans="3:3">
      <c r="C533"/>
    </row>
    <row r="534" spans="3:3">
      <c r="C534"/>
    </row>
    <row r="535" spans="3:3">
      <c r="C535"/>
    </row>
    <row r="536" spans="3:3">
      <c r="C536"/>
    </row>
    <row r="537" spans="3:3">
      <c r="C537"/>
    </row>
    <row r="538" spans="3:3">
      <c r="C538"/>
    </row>
    <row r="539" spans="3:3">
      <c r="C539"/>
    </row>
    <row r="540" spans="3:3">
      <c r="C540"/>
    </row>
    <row r="541" spans="3:3">
      <c r="C541"/>
    </row>
    <row r="542" spans="3:3">
      <c r="C542"/>
    </row>
    <row r="543" spans="3:3">
      <c r="C543"/>
    </row>
    <row r="544" spans="3:3">
      <c r="C544"/>
    </row>
    <row r="545" spans="3:3">
      <c r="C545"/>
    </row>
    <row r="546" spans="3:3">
      <c r="C546"/>
    </row>
    <row r="547" spans="3:3">
      <c r="C547"/>
    </row>
    <row r="548" spans="3:3">
      <c r="C548"/>
    </row>
    <row r="549" spans="3:3">
      <c r="C549"/>
    </row>
    <row r="550" spans="3:3">
      <c r="C550"/>
    </row>
    <row r="551" spans="3:3">
      <c r="C551"/>
    </row>
    <row r="552" spans="3:3">
      <c r="C552"/>
    </row>
    <row r="553" spans="3:3">
      <c r="C553"/>
    </row>
    <row r="554" spans="3:3">
      <c r="C554"/>
    </row>
    <row r="555" spans="3:3">
      <c r="C555"/>
    </row>
    <row r="556" spans="3:3">
      <c r="C556"/>
    </row>
    <row r="557" spans="3:3">
      <c r="C557"/>
    </row>
    <row r="558" spans="3:3">
      <c r="C558"/>
    </row>
    <row r="559" spans="3:3">
      <c r="C559"/>
    </row>
    <row r="560" spans="3:3">
      <c r="C560"/>
    </row>
    <row r="561" spans="3:3">
      <c r="C561"/>
    </row>
    <row r="562" spans="3:3">
      <c r="C562"/>
    </row>
    <row r="563" spans="3:3">
      <c r="C563"/>
    </row>
    <row r="564" spans="3:3">
      <c r="C564"/>
    </row>
    <row r="565" spans="3:3">
      <c r="C565"/>
    </row>
    <row r="566" spans="3:3">
      <c r="C566"/>
    </row>
    <row r="567" spans="3:3">
      <c r="C567"/>
    </row>
    <row r="568" spans="3:3">
      <c r="C568"/>
    </row>
    <row r="569" spans="3:3">
      <c r="C569"/>
    </row>
    <row r="570" spans="3:3">
      <c r="C570"/>
    </row>
    <row r="571" spans="3:3">
      <c r="C571"/>
    </row>
    <row r="572" spans="3:3">
      <c r="C572"/>
    </row>
    <row r="573" spans="3:3">
      <c r="C573"/>
    </row>
    <row r="574" spans="3:3">
      <c r="C574"/>
    </row>
    <row r="575" spans="3:3">
      <c r="C575"/>
    </row>
    <row r="576" spans="3:3">
      <c r="C576"/>
    </row>
    <row r="577" spans="3:3">
      <c r="C577"/>
    </row>
    <row r="578" spans="3:3">
      <c r="C578"/>
    </row>
    <row r="579" spans="3:3">
      <c r="C579"/>
    </row>
  </sheetData>
  <phoneticPr fontId="8" type="noConversion"/>
  <pageMargins left="0.75000000000000011" right="0.75000000000000011" top="1" bottom="1" header="0.5" footer="0.5"/>
  <pageSetup paperSize="9" scale="79" fitToHeight="0" orientation="portrait" horizontalDpi="4294967292" verticalDpi="4294967292"/>
  <headerFooter>
    <oddFooter>&amp;L&amp;K000000&amp;F &amp;A&amp;R&amp;K000000&amp;P / &amp;N - &amp;D &amp;T</oddFooter>
  </headerFooter>
  <extLst>
    <ext xmlns:mx="http://schemas.microsoft.com/office/mac/excel/2008/main" uri="{64002731-A6B0-56B0-2670-7721B7C09600}">
      <mx:PLV Mode="0" OnePage="0" WScale="10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 enableFormatConditionsCalculation="0"/>
  <dimension ref="A1:I7670"/>
  <sheetViews>
    <sheetView workbookViewId="0">
      <selection activeCell="G1" sqref="G1"/>
    </sheetView>
  </sheetViews>
  <sheetFormatPr baseColWidth="10" defaultRowHeight="14" x14ac:dyDescent="0"/>
  <cols>
    <col min="1" max="4" width="10.83203125" style="17"/>
    <col min="5" max="5" width="14" style="18" bestFit="1" customWidth="1"/>
    <col min="6" max="16384" width="10.83203125" style="17"/>
  </cols>
  <sheetData>
    <row r="1" spans="1:9">
      <c r="A1" s="17" t="s">
        <v>791</v>
      </c>
    </row>
    <row r="2" spans="1:9">
      <c r="A2" s="17" t="s">
        <v>792</v>
      </c>
    </row>
    <row r="3" spans="1:9">
      <c r="A3" s="17" t="s">
        <v>793</v>
      </c>
      <c r="B3" s="17" t="s">
        <v>794</v>
      </c>
      <c r="C3" s="17" t="s">
        <v>795</v>
      </c>
      <c r="D3" s="17" t="s">
        <v>796</v>
      </c>
      <c r="E3" s="18" t="s">
        <v>797</v>
      </c>
    </row>
    <row r="4" spans="1:9">
      <c r="A4" s="17" t="s">
        <v>798</v>
      </c>
      <c r="B4" s="17" t="s">
        <v>799</v>
      </c>
      <c r="C4" s="17" t="s">
        <v>800</v>
      </c>
      <c r="D4" s="17" t="s">
        <v>801</v>
      </c>
      <c r="E4" s="18">
        <v>3000020000032</v>
      </c>
      <c r="G4" s="20" t="str">
        <f>A4</f>
        <v xml:space="preserve"> 0CS01           </v>
      </c>
      <c r="H4" s="20" t="str">
        <f>B4</f>
        <v xml:space="preserve">     </v>
      </c>
      <c r="I4" s="20" t="str">
        <f>C4</f>
        <v xml:space="preserve">L    </v>
      </c>
    </row>
    <row r="5" spans="1:9">
      <c r="A5" s="17" t="s">
        <v>798</v>
      </c>
      <c r="B5" s="17" t="s">
        <v>799</v>
      </c>
      <c r="C5" s="17" t="s">
        <v>802</v>
      </c>
      <c r="D5" s="17" t="s">
        <v>801</v>
      </c>
      <c r="E5" s="18">
        <v>3000020000025</v>
      </c>
      <c r="G5" s="20" t="str">
        <f t="shared" ref="G5:G68" si="0">A5</f>
        <v xml:space="preserve"> 0CS01           </v>
      </c>
      <c r="H5" s="20" t="str">
        <f t="shared" ref="H5:H68" si="1">B5</f>
        <v xml:space="preserve">     </v>
      </c>
      <c r="I5" s="20" t="str">
        <f t="shared" ref="I5:I68" si="2">C5</f>
        <v xml:space="preserve">M    </v>
      </c>
    </row>
    <row r="6" spans="1:9">
      <c r="A6" s="17" t="s">
        <v>798</v>
      </c>
      <c r="B6" s="17" t="s">
        <v>799</v>
      </c>
      <c r="C6" s="17" t="s">
        <v>803</v>
      </c>
      <c r="D6" s="17" t="s">
        <v>801</v>
      </c>
      <c r="E6" s="18">
        <v>3000020000018</v>
      </c>
      <c r="G6" s="20" t="str">
        <f t="shared" si="0"/>
        <v xml:space="preserve"> 0CS01           </v>
      </c>
      <c r="H6" s="20" t="str">
        <f t="shared" si="1"/>
        <v xml:space="preserve">     </v>
      </c>
      <c r="I6" s="20" t="str">
        <f t="shared" si="2"/>
        <v xml:space="preserve">S    </v>
      </c>
    </row>
    <row r="7" spans="1:9">
      <c r="A7" s="17" t="s">
        <v>798</v>
      </c>
      <c r="B7" s="17" t="s">
        <v>799</v>
      </c>
      <c r="C7" s="17" t="s">
        <v>804</v>
      </c>
      <c r="D7" s="17" t="s">
        <v>801</v>
      </c>
      <c r="E7" s="18">
        <v>3000020000049</v>
      </c>
      <c r="G7" s="20" t="str">
        <f t="shared" si="0"/>
        <v xml:space="preserve"> 0CS01           </v>
      </c>
      <c r="H7" s="20" t="str">
        <f t="shared" si="1"/>
        <v xml:space="preserve">     </v>
      </c>
      <c r="I7" s="20" t="str">
        <f t="shared" si="2"/>
        <v xml:space="preserve">XL   </v>
      </c>
    </row>
    <row r="8" spans="1:9">
      <c r="A8" s="17" t="s">
        <v>798</v>
      </c>
      <c r="B8" s="17" t="s">
        <v>799</v>
      </c>
      <c r="C8" s="17" t="s">
        <v>805</v>
      </c>
      <c r="D8" s="17" t="s">
        <v>801</v>
      </c>
      <c r="E8" s="18">
        <v>3000020000001</v>
      </c>
      <c r="G8" s="20" t="str">
        <f t="shared" si="0"/>
        <v xml:space="preserve"> 0CS01           </v>
      </c>
      <c r="H8" s="20" t="str">
        <f t="shared" si="1"/>
        <v xml:space="preserve">     </v>
      </c>
      <c r="I8" s="20" t="str">
        <f t="shared" si="2"/>
        <v xml:space="preserve">XS   </v>
      </c>
    </row>
    <row r="9" spans="1:9">
      <c r="A9" s="17" t="s">
        <v>806</v>
      </c>
      <c r="B9" s="17" t="s">
        <v>799</v>
      </c>
      <c r="C9" s="17" t="s">
        <v>800</v>
      </c>
      <c r="D9" s="17" t="s">
        <v>801</v>
      </c>
      <c r="E9" s="18">
        <v>3000210000033</v>
      </c>
      <c r="G9" s="20" t="str">
        <f t="shared" si="0"/>
        <v xml:space="preserve"> 0CS16           </v>
      </c>
      <c r="H9" s="20" t="str">
        <f t="shared" si="1"/>
        <v xml:space="preserve">     </v>
      </c>
      <c r="I9" s="20" t="str">
        <f t="shared" si="2"/>
        <v xml:space="preserve">L    </v>
      </c>
    </row>
    <row r="10" spans="1:9">
      <c r="A10" s="17" t="s">
        <v>806</v>
      </c>
      <c r="B10" s="17" t="s">
        <v>799</v>
      </c>
      <c r="C10" s="17" t="s">
        <v>802</v>
      </c>
      <c r="D10" s="17" t="s">
        <v>801</v>
      </c>
      <c r="E10" s="18">
        <v>3000210000026</v>
      </c>
      <c r="G10" s="20" t="str">
        <f t="shared" si="0"/>
        <v xml:space="preserve"> 0CS16           </v>
      </c>
      <c r="H10" s="20" t="str">
        <f t="shared" si="1"/>
        <v xml:space="preserve">     </v>
      </c>
      <c r="I10" s="20" t="str">
        <f t="shared" si="2"/>
        <v xml:space="preserve">M    </v>
      </c>
    </row>
    <row r="11" spans="1:9">
      <c r="A11" s="17" t="s">
        <v>806</v>
      </c>
      <c r="B11" s="17" t="s">
        <v>799</v>
      </c>
      <c r="C11" s="17" t="s">
        <v>803</v>
      </c>
      <c r="D11" s="17" t="s">
        <v>801</v>
      </c>
      <c r="E11" s="18">
        <v>3000210000019</v>
      </c>
      <c r="G11" s="20" t="str">
        <f t="shared" si="0"/>
        <v xml:space="preserve"> 0CS16           </v>
      </c>
      <c r="H11" s="20" t="str">
        <f t="shared" si="1"/>
        <v xml:space="preserve">     </v>
      </c>
      <c r="I11" s="20" t="str">
        <f t="shared" si="2"/>
        <v xml:space="preserve">S    </v>
      </c>
    </row>
    <row r="12" spans="1:9">
      <c r="A12" s="17" t="s">
        <v>806</v>
      </c>
      <c r="B12" s="17" t="s">
        <v>799</v>
      </c>
      <c r="C12" s="17" t="s">
        <v>804</v>
      </c>
      <c r="D12" s="17" t="s">
        <v>801</v>
      </c>
      <c r="E12" s="18">
        <v>3000210000040</v>
      </c>
      <c r="G12" s="20" t="str">
        <f t="shared" si="0"/>
        <v xml:space="preserve"> 0CS16           </v>
      </c>
      <c r="H12" s="20" t="str">
        <f t="shared" si="1"/>
        <v xml:space="preserve">     </v>
      </c>
      <c r="I12" s="20" t="str">
        <f t="shared" si="2"/>
        <v xml:space="preserve">XL   </v>
      </c>
    </row>
    <row r="13" spans="1:9">
      <c r="A13" s="17" t="s">
        <v>806</v>
      </c>
      <c r="B13" s="17" t="s">
        <v>799</v>
      </c>
      <c r="C13" s="17" t="s">
        <v>805</v>
      </c>
      <c r="D13" s="17" t="s">
        <v>801</v>
      </c>
      <c r="E13" s="18">
        <v>3000210000002</v>
      </c>
      <c r="G13" s="20" t="str">
        <f t="shared" si="0"/>
        <v xml:space="preserve"> 0CS16           </v>
      </c>
      <c r="H13" s="20" t="str">
        <f t="shared" si="1"/>
        <v xml:space="preserve">     </v>
      </c>
      <c r="I13" s="20" t="str">
        <f t="shared" si="2"/>
        <v xml:space="preserve">XS   </v>
      </c>
    </row>
    <row r="14" spans="1:9">
      <c r="A14" s="17" t="s">
        <v>807</v>
      </c>
      <c r="B14" s="17" t="s">
        <v>808</v>
      </c>
      <c r="C14" s="17">
        <v>0</v>
      </c>
      <c r="D14" s="17" t="s">
        <v>801</v>
      </c>
      <c r="E14" s="18">
        <v>8050538599196</v>
      </c>
      <c r="G14" s="20" t="str">
        <f t="shared" si="0"/>
        <v xml:space="preserve"> ABATJOUROJOY    </v>
      </c>
      <c r="H14" s="20" t="str">
        <f t="shared" si="1"/>
        <v>ANTHR</v>
      </c>
      <c r="I14" s="20">
        <f t="shared" si="2"/>
        <v>0</v>
      </c>
    </row>
    <row r="15" spans="1:9">
      <c r="A15" s="17" t="s">
        <v>807</v>
      </c>
      <c r="B15" s="17" t="s">
        <v>809</v>
      </c>
      <c r="C15" s="17">
        <v>0</v>
      </c>
      <c r="D15" s="17" t="s">
        <v>801</v>
      </c>
      <c r="E15" s="18">
        <v>8050538599189</v>
      </c>
      <c r="G15" s="20" t="str">
        <f t="shared" si="0"/>
        <v xml:space="preserve"> ABATJOUROJOY    </v>
      </c>
      <c r="H15" s="20" t="str">
        <f t="shared" si="1"/>
        <v>AUBER</v>
      </c>
      <c r="I15" s="20">
        <f t="shared" si="2"/>
        <v>0</v>
      </c>
    </row>
    <row r="16" spans="1:9">
      <c r="A16" s="17" t="s">
        <v>807</v>
      </c>
      <c r="B16" s="17" t="s">
        <v>810</v>
      </c>
      <c r="C16" s="17">
        <v>0</v>
      </c>
      <c r="D16" s="17" t="s">
        <v>801</v>
      </c>
      <c r="E16" s="18">
        <v>8050538599219</v>
      </c>
      <c r="G16" s="20" t="str">
        <f t="shared" si="0"/>
        <v xml:space="preserve"> ABATJOUROJOY    </v>
      </c>
      <c r="H16" s="20" t="str">
        <f t="shared" si="1"/>
        <v xml:space="preserve">BLUE </v>
      </c>
      <c r="I16" s="20">
        <f t="shared" si="2"/>
        <v>0</v>
      </c>
    </row>
    <row r="17" spans="1:9">
      <c r="A17" s="17" t="s">
        <v>807</v>
      </c>
      <c r="B17" s="17" t="s">
        <v>811</v>
      </c>
      <c r="C17" s="17">
        <v>0</v>
      </c>
      <c r="D17" s="17" t="s">
        <v>801</v>
      </c>
      <c r="E17" s="18">
        <v>3006100431000</v>
      </c>
      <c r="G17" s="20" t="str">
        <f t="shared" si="0"/>
        <v xml:space="preserve"> ABATJOUROJOY    </v>
      </c>
      <c r="H17" s="20" t="str">
        <f t="shared" si="1"/>
        <v xml:space="preserve">VERT </v>
      </c>
      <c r="I17" s="20">
        <f t="shared" si="2"/>
        <v>0</v>
      </c>
    </row>
    <row r="18" spans="1:9">
      <c r="A18" s="17" t="s">
        <v>807</v>
      </c>
      <c r="B18" s="17" t="s">
        <v>811</v>
      </c>
      <c r="C18" s="17">
        <v>0</v>
      </c>
      <c r="D18" s="17" t="s">
        <v>801</v>
      </c>
      <c r="E18" s="18">
        <v>8050538599233</v>
      </c>
      <c r="G18" s="20" t="str">
        <f t="shared" si="0"/>
        <v xml:space="preserve"> ABATJOUROJOY    </v>
      </c>
      <c r="H18" s="20" t="str">
        <f t="shared" si="1"/>
        <v xml:space="preserve">VERT </v>
      </c>
      <c r="I18" s="20">
        <f t="shared" si="2"/>
        <v>0</v>
      </c>
    </row>
    <row r="19" spans="1:9">
      <c r="A19" s="17" t="s">
        <v>807</v>
      </c>
      <c r="B19" s="17" t="s">
        <v>273</v>
      </c>
      <c r="C19" s="17">
        <v>0</v>
      </c>
      <c r="D19" s="17" t="s">
        <v>801</v>
      </c>
      <c r="E19" s="18">
        <v>8050538599202</v>
      </c>
      <c r="G19" s="20" t="str">
        <f t="shared" si="0"/>
        <v xml:space="preserve"> ABATJOUROJOY    </v>
      </c>
      <c r="H19" s="20" t="str">
        <f t="shared" si="1"/>
        <v>WHITE</v>
      </c>
      <c r="I19" s="20">
        <f t="shared" si="2"/>
        <v>0</v>
      </c>
    </row>
    <row r="20" spans="1:9">
      <c r="A20" s="17" t="s">
        <v>807</v>
      </c>
      <c r="B20" s="17" t="s">
        <v>812</v>
      </c>
      <c r="C20" s="17">
        <v>0</v>
      </c>
      <c r="D20" s="17" t="s">
        <v>801</v>
      </c>
      <c r="E20" s="18">
        <v>8050538599226</v>
      </c>
      <c r="G20" s="20" t="str">
        <f t="shared" si="0"/>
        <v xml:space="preserve"> ABATJOUROJOY    </v>
      </c>
      <c r="H20" s="20" t="str">
        <f t="shared" si="1"/>
        <v>YELLO</v>
      </c>
      <c r="I20" s="20">
        <f t="shared" si="2"/>
        <v>0</v>
      </c>
    </row>
    <row r="21" spans="1:9">
      <c r="A21" s="17" t="s">
        <v>813</v>
      </c>
      <c r="B21" s="17" t="s">
        <v>814</v>
      </c>
      <c r="C21" s="17">
        <v>0</v>
      </c>
      <c r="D21" s="17" t="s">
        <v>801</v>
      </c>
      <c r="E21" s="18">
        <v>3005871093004</v>
      </c>
      <c r="G21" s="20" t="str">
        <f t="shared" si="0"/>
        <v xml:space="preserve"> ANSEPLAGOUT/BAND</v>
      </c>
      <c r="H21" s="20" t="str">
        <f t="shared" si="1"/>
        <v>BLUAC</v>
      </c>
      <c r="I21" s="20">
        <f t="shared" si="2"/>
        <v>0</v>
      </c>
    </row>
    <row r="22" spans="1:9">
      <c r="A22" s="17" t="s">
        <v>813</v>
      </c>
      <c r="B22" s="17" t="s">
        <v>815</v>
      </c>
      <c r="C22" s="17">
        <v>0</v>
      </c>
      <c r="D22" s="17" t="s">
        <v>801</v>
      </c>
      <c r="E22" s="18">
        <v>8050538590742</v>
      </c>
      <c r="G22" s="20" t="str">
        <f t="shared" si="0"/>
        <v xml:space="preserve"> ANSEPLAGOUT/BAND</v>
      </c>
      <c r="H22" s="20" t="str">
        <f t="shared" si="1"/>
        <v>OPTWH</v>
      </c>
      <c r="I22" s="20">
        <f t="shared" si="2"/>
        <v>0</v>
      </c>
    </row>
    <row r="23" spans="1:9">
      <c r="A23" s="17" t="s">
        <v>813</v>
      </c>
      <c r="B23" s="17" t="s">
        <v>816</v>
      </c>
      <c r="C23" s="17">
        <v>0</v>
      </c>
      <c r="D23" s="17" t="s">
        <v>801</v>
      </c>
      <c r="E23" s="18">
        <v>3005870394003</v>
      </c>
      <c r="G23" s="20" t="str">
        <f t="shared" si="0"/>
        <v xml:space="preserve"> ANSEPLAGOUT/BAND</v>
      </c>
      <c r="H23" s="20" t="str">
        <f t="shared" si="1"/>
        <v xml:space="preserve">RED  </v>
      </c>
      <c r="I23" s="20">
        <f t="shared" si="2"/>
        <v>0</v>
      </c>
    </row>
    <row r="24" spans="1:9">
      <c r="A24" s="17" t="s">
        <v>817</v>
      </c>
      <c r="B24" s="17" t="s">
        <v>818</v>
      </c>
      <c r="C24" s="17">
        <v>0</v>
      </c>
      <c r="D24" s="17" t="s">
        <v>801</v>
      </c>
      <c r="E24" s="18">
        <v>8056300454793</v>
      </c>
      <c r="G24" s="20" t="str">
        <f t="shared" si="0"/>
        <v xml:space="preserve"> ANSES/ALLONGEABL</v>
      </c>
      <c r="H24" s="20" t="str">
        <f t="shared" si="1"/>
        <v xml:space="preserve">BDX  </v>
      </c>
      <c r="I24" s="20">
        <f t="shared" si="2"/>
        <v>0</v>
      </c>
    </row>
    <row r="25" spans="1:9">
      <c r="A25" s="17" t="s">
        <v>817</v>
      </c>
      <c r="B25" s="17" t="s">
        <v>818</v>
      </c>
      <c r="C25" s="17">
        <v>0</v>
      </c>
      <c r="D25" s="17" t="s">
        <v>801</v>
      </c>
      <c r="E25" s="18">
        <v>3005100273009</v>
      </c>
      <c r="G25" s="20" t="str">
        <f t="shared" si="0"/>
        <v xml:space="preserve"> ANSES/ALLONGEABL</v>
      </c>
      <c r="H25" s="20" t="str">
        <f t="shared" si="1"/>
        <v xml:space="preserve">BDX  </v>
      </c>
      <c r="I25" s="20">
        <f t="shared" si="2"/>
        <v>0</v>
      </c>
    </row>
    <row r="26" spans="1:9">
      <c r="A26" s="17" t="s">
        <v>817</v>
      </c>
      <c r="B26" s="17" t="s">
        <v>810</v>
      </c>
      <c r="C26" s="17">
        <v>0</v>
      </c>
      <c r="D26" s="17" t="s">
        <v>801</v>
      </c>
      <c r="E26" s="18">
        <v>8056300454786</v>
      </c>
      <c r="G26" s="20" t="str">
        <f t="shared" si="0"/>
        <v xml:space="preserve"> ANSES/ALLONGEABL</v>
      </c>
      <c r="H26" s="20" t="str">
        <f t="shared" si="1"/>
        <v xml:space="preserve">BLUE </v>
      </c>
      <c r="I26" s="20">
        <f t="shared" si="2"/>
        <v>0</v>
      </c>
    </row>
    <row r="27" spans="1:9">
      <c r="A27" s="17" t="s">
        <v>817</v>
      </c>
      <c r="B27" s="17" t="s">
        <v>810</v>
      </c>
      <c r="C27" s="17">
        <v>0</v>
      </c>
      <c r="D27" s="17" t="s">
        <v>801</v>
      </c>
      <c r="E27" s="18">
        <v>3005100284005</v>
      </c>
      <c r="G27" s="20" t="str">
        <f t="shared" si="0"/>
        <v xml:space="preserve"> ANSES/ALLONGEABL</v>
      </c>
      <c r="H27" s="20" t="str">
        <f t="shared" si="1"/>
        <v xml:space="preserve">BLUE </v>
      </c>
      <c r="I27" s="20">
        <f t="shared" si="2"/>
        <v>0</v>
      </c>
    </row>
    <row r="28" spans="1:9">
      <c r="A28" s="17" t="s">
        <v>817</v>
      </c>
      <c r="B28" s="17" t="s">
        <v>819</v>
      </c>
      <c r="C28" s="17">
        <v>0</v>
      </c>
      <c r="D28" s="17" t="s">
        <v>801</v>
      </c>
      <c r="E28" s="18">
        <v>8056300454809</v>
      </c>
      <c r="G28" s="20" t="str">
        <f t="shared" si="0"/>
        <v xml:space="preserve"> ANSES/ALLONGEABL</v>
      </c>
      <c r="H28" s="20" t="str">
        <f t="shared" si="1"/>
        <v xml:space="preserve">DOVE </v>
      </c>
      <c r="I28" s="20">
        <f t="shared" si="2"/>
        <v>0</v>
      </c>
    </row>
    <row r="29" spans="1:9">
      <c r="A29" s="17" t="s">
        <v>817</v>
      </c>
      <c r="B29" s="17" t="s">
        <v>819</v>
      </c>
      <c r="C29" s="17">
        <v>0</v>
      </c>
      <c r="D29" s="17" t="s">
        <v>801</v>
      </c>
      <c r="E29" s="18">
        <v>3005100314009</v>
      </c>
      <c r="G29" s="20" t="str">
        <f t="shared" si="0"/>
        <v xml:space="preserve"> ANSES/ALLONGEABL</v>
      </c>
      <c r="H29" s="20" t="str">
        <f t="shared" si="1"/>
        <v xml:space="preserve">DOVE </v>
      </c>
      <c r="I29" s="20">
        <f t="shared" si="2"/>
        <v>0</v>
      </c>
    </row>
    <row r="30" spans="1:9">
      <c r="A30" s="17" t="s">
        <v>817</v>
      </c>
      <c r="B30" s="17" t="s">
        <v>820</v>
      </c>
      <c r="C30" s="17">
        <v>0</v>
      </c>
      <c r="D30" s="17" t="s">
        <v>801</v>
      </c>
      <c r="E30" s="18">
        <v>3005100744004</v>
      </c>
      <c r="G30" s="20" t="str">
        <f t="shared" si="0"/>
        <v xml:space="preserve"> ANSES/ALLONGEABL</v>
      </c>
      <c r="H30" s="20" t="str">
        <f t="shared" si="1"/>
        <v>ECBLA</v>
      </c>
      <c r="I30" s="20">
        <f t="shared" si="2"/>
        <v>0</v>
      </c>
    </row>
    <row r="31" spans="1:9">
      <c r="A31" s="17" t="s">
        <v>817</v>
      </c>
      <c r="B31" s="17" t="s">
        <v>820</v>
      </c>
      <c r="C31" s="17">
        <v>0</v>
      </c>
      <c r="D31" s="17" t="s">
        <v>801</v>
      </c>
      <c r="E31" s="18">
        <v>8056300454731</v>
      </c>
      <c r="G31" s="20" t="str">
        <f t="shared" si="0"/>
        <v xml:space="preserve"> ANSES/ALLONGEABL</v>
      </c>
      <c r="H31" s="20" t="str">
        <f t="shared" si="1"/>
        <v>ECBLA</v>
      </c>
      <c r="I31" s="20">
        <f t="shared" si="2"/>
        <v>0</v>
      </c>
    </row>
    <row r="32" spans="1:9">
      <c r="A32" s="17" t="s">
        <v>817</v>
      </c>
      <c r="B32" s="17" t="s">
        <v>821</v>
      </c>
      <c r="C32" s="17">
        <v>0</v>
      </c>
      <c r="D32" s="17" t="s">
        <v>801</v>
      </c>
      <c r="E32" s="18">
        <v>3005100743007</v>
      </c>
      <c r="G32" s="20" t="str">
        <f t="shared" si="0"/>
        <v xml:space="preserve"> ANSES/ALLONGEABL</v>
      </c>
      <c r="H32" s="20" t="str">
        <f t="shared" si="1"/>
        <v>ECNAT</v>
      </c>
      <c r="I32" s="20">
        <f t="shared" si="2"/>
        <v>0</v>
      </c>
    </row>
    <row r="33" spans="1:9">
      <c r="A33" s="17" t="s">
        <v>817</v>
      </c>
      <c r="B33" s="17" t="s">
        <v>821</v>
      </c>
      <c r="C33" s="17">
        <v>0</v>
      </c>
      <c r="D33" s="17" t="s">
        <v>801</v>
      </c>
      <c r="E33" s="18">
        <v>8056300454755</v>
      </c>
      <c r="G33" s="20" t="str">
        <f t="shared" si="0"/>
        <v xml:space="preserve"> ANSES/ALLONGEABL</v>
      </c>
      <c r="H33" s="20" t="str">
        <f t="shared" si="1"/>
        <v>ECNAT</v>
      </c>
      <c r="I33" s="20">
        <f t="shared" si="2"/>
        <v>0</v>
      </c>
    </row>
    <row r="34" spans="1:9">
      <c r="A34" s="17" t="s">
        <v>817</v>
      </c>
      <c r="B34" s="17" t="s">
        <v>822</v>
      </c>
      <c r="C34" s="17">
        <v>0</v>
      </c>
      <c r="D34" s="17" t="s">
        <v>801</v>
      </c>
      <c r="E34" s="18">
        <v>3005100745001</v>
      </c>
      <c r="G34" s="20" t="str">
        <f t="shared" si="0"/>
        <v xml:space="preserve"> ANSES/ALLONGEABL</v>
      </c>
      <c r="H34" s="20" t="str">
        <f t="shared" si="1"/>
        <v>ECTES</v>
      </c>
      <c r="I34" s="20">
        <f t="shared" si="2"/>
        <v>0</v>
      </c>
    </row>
    <row r="35" spans="1:9">
      <c r="A35" s="17" t="s">
        <v>817</v>
      </c>
      <c r="B35" s="17" t="s">
        <v>822</v>
      </c>
      <c r="C35" s="17">
        <v>0</v>
      </c>
      <c r="D35" s="17" t="s">
        <v>801</v>
      </c>
      <c r="E35" s="18">
        <v>8056300454748</v>
      </c>
      <c r="G35" s="20" t="str">
        <f t="shared" si="0"/>
        <v xml:space="preserve"> ANSES/ALLONGEABL</v>
      </c>
      <c r="H35" s="20" t="str">
        <f t="shared" si="1"/>
        <v>ECTES</v>
      </c>
      <c r="I35" s="20">
        <f t="shared" si="2"/>
        <v>0</v>
      </c>
    </row>
    <row r="36" spans="1:9">
      <c r="A36" s="17" t="s">
        <v>817</v>
      </c>
      <c r="B36" s="17" t="s">
        <v>823</v>
      </c>
      <c r="C36" s="17">
        <v>0</v>
      </c>
      <c r="D36" s="17" t="s">
        <v>801</v>
      </c>
      <c r="E36" s="18">
        <v>3005100366008</v>
      </c>
      <c r="G36" s="20" t="str">
        <f t="shared" si="0"/>
        <v xml:space="preserve"> ANSES/ALLONGEABL</v>
      </c>
      <c r="H36" s="20" t="str">
        <f t="shared" si="1"/>
        <v xml:space="preserve">MOSS </v>
      </c>
      <c r="I36" s="20">
        <f t="shared" si="2"/>
        <v>0</v>
      </c>
    </row>
    <row r="37" spans="1:9">
      <c r="A37" s="17" t="s">
        <v>817</v>
      </c>
      <c r="B37" s="17" t="s">
        <v>823</v>
      </c>
      <c r="C37" s="17">
        <v>0</v>
      </c>
      <c r="D37" s="17" t="s">
        <v>801</v>
      </c>
      <c r="E37" s="18">
        <v>8056300454762</v>
      </c>
      <c r="G37" s="20" t="str">
        <f t="shared" si="0"/>
        <v xml:space="preserve"> ANSES/ALLONGEABL</v>
      </c>
      <c r="H37" s="20" t="str">
        <f t="shared" si="1"/>
        <v xml:space="preserve">MOSS </v>
      </c>
      <c r="I37" s="20">
        <f t="shared" si="2"/>
        <v>0</v>
      </c>
    </row>
    <row r="38" spans="1:9">
      <c r="A38" s="17" t="s">
        <v>817</v>
      </c>
      <c r="B38" s="17" t="s">
        <v>283</v>
      </c>
      <c r="C38" s="17">
        <v>0</v>
      </c>
      <c r="D38" s="17" t="s">
        <v>801</v>
      </c>
      <c r="E38" s="18">
        <v>8056300454779</v>
      </c>
      <c r="G38" s="20" t="str">
        <f t="shared" si="0"/>
        <v xml:space="preserve"> ANSES/ALLONGEABL</v>
      </c>
      <c r="H38" s="20" t="str">
        <f t="shared" si="1"/>
        <v>PHARD</v>
      </c>
      <c r="I38" s="20">
        <f t="shared" si="2"/>
        <v>0</v>
      </c>
    </row>
    <row r="39" spans="1:9">
      <c r="A39" s="17" t="s">
        <v>817</v>
      </c>
      <c r="B39" s="17" t="s">
        <v>283</v>
      </c>
      <c r="C39" s="17">
        <v>0</v>
      </c>
      <c r="D39" s="17" t="s">
        <v>801</v>
      </c>
      <c r="E39" s="18">
        <v>3005100871007</v>
      </c>
      <c r="G39" s="20" t="str">
        <f t="shared" si="0"/>
        <v xml:space="preserve"> ANSES/ALLONGEABL</v>
      </c>
      <c r="H39" s="20" t="str">
        <f t="shared" si="1"/>
        <v>PHARD</v>
      </c>
      <c r="I39" s="20">
        <f t="shared" si="2"/>
        <v>0</v>
      </c>
    </row>
    <row r="40" spans="1:9">
      <c r="A40" s="17" t="s">
        <v>824</v>
      </c>
      <c r="B40" s="17" t="s">
        <v>810</v>
      </c>
      <c r="C40" s="17" t="s">
        <v>803</v>
      </c>
      <c r="D40" s="17" t="s">
        <v>801</v>
      </c>
      <c r="E40" s="18">
        <v>8056099170041</v>
      </c>
      <c r="G40" s="20" t="str">
        <f t="shared" si="0"/>
        <v xml:space="preserve"> ANSES/ANGULAIREX</v>
      </c>
      <c r="H40" s="20" t="str">
        <f t="shared" si="1"/>
        <v xml:space="preserve">BLUE </v>
      </c>
      <c r="I40" s="20" t="str">
        <f t="shared" si="2"/>
        <v xml:space="preserve">S    </v>
      </c>
    </row>
    <row r="41" spans="1:9">
      <c r="A41" s="17" t="s">
        <v>824</v>
      </c>
      <c r="B41" s="17" t="s">
        <v>816</v>
      </c>
      <c r="C41" s="17" t="s">
        <v>803</v>
      </c>
      <c r="D41" s="17" t="s">
        <v>801</v>
      </c>
      <c r="E41" s="18">
        <v>8056099170027</v>
      </c>
      <c r="G41" s="20" t="str">
        <f t="shared" si="0"/>
        <v xml:space="preserve"> ANSES/ANGULAIREX</v>
      </c>
      <c r="H41" s="20" t="str">
        <f t="shared" si="1"/>
        <v xml:space="preserve">RED  </v>
      </c>
      <c r="I41" s="20" t="str">
        <f t="shared" si="2"/>
        <v xml:space="preserve">S    </v>
      </c>
    </row>
    <row r="42" spans="1:9">
      <c r="A42" s="17" t="s">
        <v>824</v>
      </c>
      <c r="B42" s="17" t="s">
        <v>825</v>
      </c>
      <c r="C42" s="17" t="s">
        <v>803</v>
      </c>
      <c r="D42" s="17" t="s">
        <v>801</v>
      </c>
      <c r="E42" s="18">
        <v>8056099170010</v>
      </c>
      <c r="G42" s="20" t="str">
        <f t="shared" si="0"/>
        <v xml:space="preserve"> ANSES/ANGULAIREX</v>
      </c>
      <c r="H42" s="20" t="str">
        <f t="shared" si="1"/>
        <v xml:space="preserve">YELL </v>
      </c>
      <c r="I42" s="20" t="str">
        <f t="shared" si="2"/>
        <v xml:space="preserve">S    </v>
      </c>
    </row>
    <row r="43" spans="1:9">
      <c r="A43" s="17" t="s">
        <v>826</v>
      </c>
      <c r="B43" s="17" t="s">
        <v>827</v>
      </c>
      <c r="C43" s="17" t="s">
        <v>800</v>
      </c>
      <c r="D43" s="17" t="s">
        <v>801</v>
      </c>
      <c r="E43" s="18">
        <v>3004321087037</v>
      </c>
      <c r="G43" s="20" t="str">
        <f t="shared" si="0"/>
        <v xml:space="preserve"> ANSES/ATTACHES  </v>
      </c>
      <c r="H43" s="20" t="str">
        <f t="shared" si="1"/>
        <v>BIBLU</v>
      </c>
      <c r="I43" s="20" t="str">
        <f t="shared" si="2"/>
        <v xml:space="preserve">L    </v>
      </c>
    </row>
    <row r="44" spans="1:9">
      <c r="A44" s="17" t="s">
        <v>826</v>
      </c>
      <c r="B44" s="17" t="s">
        <v>827</v>
      </c>
      <c r="C44" s="17" t="s">
        <v>802</v>
      </c>
      <c r="D44" s="17" t="s">
        <v>801</v>
      </c>
      <c r="E44" s="18">
        <v>3004321087020</v>
      </c>
      <c r="G44" s="20" t="str">
        <f t="shared" si="0"/>
        <v xml:space="preserve"> ANSES/ATTACHES  </v>
      </c>
      <c r="H44" s="20" t="str">
        <f t="shared" si="1"/>
        <v>BIBLU</v>
      </c>
      <c r="I44" s="20" t="str">
        <f t="shared" si="2"/>
        <v xml:space="preserve">M    </v>
      </c>
    </row>
    <row r="45" spans="1:9">
      <c r="A45" s="17" t="s">
        <v>826</v>
      </c>
      <c r="B45" s="17" t="s">
        <v>827</v>
      </c>
      <c r="C45" s="17" t="s">
        <v>803</v>
      </c>
      <c r="D45" s="17" t="s">
        <v>801</v>
      </c>
      <c r="E45" s="18">
        <v>3004321087013</v>
      </c>
      <c r="G45" s="20" t="str">
        <f t="shared" si="0"/>
        <v xml:space="preserve"> ANSES/ATTACHES  </v>
      </c>
      <c r="H45" s="20" t="str">
        <f t="shared" si="1"/>
        <v>BIBLU</v>
      </c>
      <c r="I45" s="20" t="str">
        <f t="shared" si="2"/>
        <v xml:space="preserve">S    </v>
      </c>
    </row>
    <row r="46" spans="1:9">
      <c r="A46" s="17" t="s">
        <v>826</v>
      </c>
      <c r="B46" s="17" t="s">
        <v>827</v>
      </c>
      <c r="C46" s="17" t="s">
        <v>804</v>
      </c>
      <c r="D46" s="17" t="s">
        <v>801</v>
      </c>
      <c r="E46" s="18">
        <v>3004321087044</v>
      </c>
      <c r="G46" s="20" t="str">
        <f t="shared" si="0"/>
        <v xml:space="preserve"> ANSES/ATTACHES  </v>
      </c>
      <c r="H46" s="20" t="str">
        <f t="shared" si="1"/>
        <v>BIBLU</v>
      </c>
      <c r="I46" s="20" t="str">
        <f t="shared" si="2"/>
        <v xml:space="preserve">XL   </v>
      </c>
    </row>
    <row r="47" spans="1:9">
      <c r="A47" s="17" t="s">
        <v>826</v>
      </c>
      <c r="B47" s="17" t="s">
        <v>827</v>
      </c>
      <c r="C47" s="17" t="s">
        <v>805</v>
      </c>
      <c r="D47" s="17" t="s">
        <v>801</v>
      </c>
      <c r="E47" s="18">
        <v>3004321087006</v>
      </c>
      <c r="G47" s="20" t="str">
        <f t="shared" si="0"/>
        <v xml:space="preserve"> ANSES/ATTACHES  </v>
      </c>
      <c r="H47" s="20" t="str">
        <f t="shared" si="1"/>
        <v>BIBLU</v>
      </c>
      <c r="I47" s="20" t="str">
        <f t="shared" si="2"/>
        <v xml:space="preserve">XS   </v>
      </c>
    </row>
    <row r="48" spans="1:9">
      <c r="A48" s="17" t="s">
        <v>826</v>
      </c>
      <c r="B48" s="17" t="s">
        <v>827</v>
      </c>
      <c r="C48" s="17" t="s">
        <v>828</v>
      </c>
      <c r="D48" s="17" t="s">
        <v>801</v>
      </c>
      <c r="E48" s="18">
        <v>3004321087051</v>
      </c>
      <c r="G48" s="20" t="str">
        <f t="shared" si="0"/>
        <v xml:space="preserve"> ANSES/ATTACHES  </v>
      </c>
      <c r="H48" s="20" t="str">
        <f t="shared" si="1"/>
        <v>BIBLU</v>
      </c>
      <c r="I48" s="20" t="str">
        <f t="shared" si="2"/>
        <v xml:space="preserve">XXL  </v>
      </c>
    </row>
    <row r="49" spans="1:9">
      <c r="A49" s="17" t="s">
        <v>826</v>
      </c>
      <c r="B49" s="17" t="s">
        <v>827</v>
      </c>
      <c r="C49" s="17" t="s">
        <v>829</v>
      </c>
      <c r="D49" s="17" t="s">
        <v>801</v>
      </c>
      <c r="E49" s="18">
        <v>3004321087068</v>
      </c>
      <c r="G49" s="20" t="str">
        <f t="shared" si="0"/>
        <v xml:space="preserve"> ANSES/ATTACHES  </v>
      </c>
      <c r="H49" s="20" t="str">
        <f t="shared" si="1"/>
        <v>BIBLU</v>
      </c>
      <c r="I49" s="20" t="str">
        <f t="shared" si="2"/>
        <v xml:space="preserve">XXS  </v>
      </c>
    </row>
    <row r="50" spans="1:9">
      <c r="A50" s="17" t="s">
        <v>826</v>
      </c>
      <c r="B50" s="17" t="s">
        <v>830</v>
      </c>
      <c r="C50" s="17" t="s">
        <v>800</v>
      </c>
      <c r="D50" s="17" t="s">
        <v>801</v>
      </c>
      <c r="E50" s="18">
        <v>3004321084036</v>
      </c>
      <c r="G50" s="20" t="str">
        <f t="shared" si="0"/>
        <v xml:space="preserve"> ANSES/ATTACHES  </v>
      </c>
      <c r="H50" s="20" t="str">
        <f t="shared" si="1"/>
        <v>BITER</v>
      </c>
      <c r="I50" s="20" t="str">
        <f t="shared" si="2"/>
        <v xml:space="preserve">L    </v>
      </c>
    </row>
    <row r="51" spans="1:9">
      <c r="A51" s="17" t="s">
        <v>826</v>
      </c>
      <c r="B51" s="17" t="s">
        <v>830</v>
      </c>
      <c r="C51" s="17" t="s">
        <v>802</v>
      </c>
      <c r="D51" s="17" t="s">
        <v>801</v>
      </c>
      <c r="E51" s="18">
        <v>3004321084029</v>
      </c>
      <c r="G51" s="20" t="str">
        <f t="shared" si="0"/>
        <v xml:space="preserve"> ANSES/ATTACHES  </v>
      </c>
      <c r="H51" s="20" t="str">
        <f t="shared" si="1"/>
        <v>BITER</v>
      </c>
      <c r="I51" s="20" t="str">
        <f t="shared" si="2"/>
        <v xml:space="preserve">M    </v>
      </c>
    </row>
    <row r="52" spans="1:9">
      <c r="A52" s="17" t="s">
        <v>826</v>
      </c>
      <c r="B52" s="17" t="s">
        <v>830</v>
      </c>
      <c r="C52" s="17" t="s">
        <v>803</v>
      </c>
      <c r="D52" s="17" t="s">
        <v>801</v>
      </c>
      <c r="E52" s="18">
        <v>3004321084012</v>
      </c>
      <c r="G52" s="20" t="str">
        <f t="shared" si="0"/>
        <v xml:space="preserve"> ANSES/ATTACHES  </v>
      </c>
      <c r="H52" s="20" t="str">
        <f t="shared" si="1"/>
        <v>BITER</v>
      </c>
      <c r="I52" s="20" t="str">
        <f t="shared" si="2"/>
        <v xml:space="preserve">S    </v>
      </c>
    </row>
    <row r="53" spans="1:9">
      <c r="A53" s="17" t="s">
        <v>826</v>
      </c>
      <c r="B53" s="17" t="s">
        <v>830</v>
      </c>
      <c r="C53" s="17" t="s">
        <v>804</v>
      </c>
      <c r="D53" s="17" t="s">
        <v>801</v>
      </c>
      <c r="E53" s="18">
        <v>3004321084043</v>
      </c>
      <c r="G53" s="20" t="str">
        <f t="shared" si="0"/>
        <v xml:space="preserve"> ANSES/ATTACHES  </v>
      </c>
      <c r="H53" s="20" t="str">
        <f t="shared" si="1"/>
        <v>BITER</v>
      </c>
      <c r="I53" s="20" t="str">
        <f t="shared" si="2"/>
        <v xml:space="preserve">XL   </v>
      </c>
    </row>
    <row r="54" spans="1:9">
      <c r="A54" s="17" t="s">
        <v>826</v>
      </c>
      <c r="B54" s="17" t="s">
        <v>830</v>
      </c>
      <c r="C54" s="17" t="s">
        <v>805</v>
      </c>
      <c r="D54" s="17" t="s">
        <v>801</v>
      </c>
      <c r="E54" s="18">
        <v>3004321084005</v>
      </c>
      <c r="G54" s="20" t="str">
        <f t="shared" si="0"/>
        <v xml:space="preserve"> ANSES/ATTACHES  </v>
      </c>
      <c r="H54" s="20" t="str">
        <f t="shared" si="1"/>
        <v>BITER</v>
      </c>
      <c r="I54" s="20" t="str">
        <f t="shared" si="2"/>
        <v xml:space="preserve">XS   </v>
      </c>
    </row>
    <row r="55" spans="1:9">
      <c r="A55" s="17" t="s">
        <v>826</v>
      </c>
      <c r="B55" s="17" t="s">
        <v>830</v>
      </c>
      <c r="C55" s="17" t="s">
        <v>828</v>
      </c>
      <c r="D55" s="17" t="s">
        <v>801</v>
      </c>
      <c r="E55" s="18">
        <v>3004321084050</v>
      </c>
      <c r="G55" s="20" t="str">
        <f t="shared" si="0"/>
        <v xml:space="preserve"> ANSES/ATTACHES  </v>
      </c>
      <c r="H55" s="20" t="str">
        <f t="shared" si="1"/>
        <v>BITER</v>
      </c>
      <c r="I55" s="20" t="str">
        <f t="shared" si="2"/>
        <v xml:space="preserve">XXL  </v>
      </c>
    </row>
    <row r="56" spans="1:9">
      <c r="A56" s="17" t="s">
        <v>826</v>
      </c>
      <c r="B56" s="17" t="s">
        <v>830</v>
      </c>
      <c r="C56" s="17" t="s">
        <v>829</v>
      </c>
      <c r="D56" s="17" t="s">
        <v>801</v>
      </c>
      <c r="E56" s="18">
        <v>3004321084067</v>
      </c>
      <c r="G56" s="20" t="str">
        <f t="shared" si="0"/>
        <v xml:space="preserve"> ANSES/ATTACHES  </v>
      </c>
      <c r="H56" s="20" t="str">
        <f t="shared" si="1"/>
        <v>BITER</v>
      </c>
      <c r="I56" s="20" t="str">
        <f t="shared" si="2"/>
        <v xml:space="preserve">XXS  </v>
      </c>
    </row>
    <row r="57" spans="1:9">
      <c r="A57" s="17" t="s">
        <v>826</v>
      </c>
      <c r="B57" s="17" t="s">
        <v>280</v>
      </c>
      <c r="C57" s="17">
        <v>0</v>
      </c>
      <c r="D57" s="17" t="s">
        <v>801</v>
      </c>
      <c r="E57" s="18">
        <v>3004320276005</v>
      </c>
      <c r="G57" s="20" t="str">
        <f t="shared" si="0"/>
        <v xml:space="preserve"> ANSES/ATTACHES  </v>
      </c>
      <c r="H57" s="20" t="str">
        <f t="shared" si="1"/>
        <v>BLACK</v>
      </c>
      <c r="I57" s="20">
        <f t="shared" si="2"/>
        <v>0</v>
      </c>
    </row>
    <row r="58" spans="1:9">
      <c r="A58" s="17" t="s">
        <v>826</v>
      </c>
      <c r="B58" s="17" t="s">
        <v>280</v>
      </c>
      <c r="C58" s="17" t="s">
        <v>800</v>
      </c>
      <c r="D58" s="17" t="s">
        <v>801</v>
      </c>
      <c r="E58" s="18">
        <v>3004320276036</v>
      </c>
      <c r="G58" s="20" t="str">
        <f t="shared" si="0"/>
        <v xml:space="preserve"> ANSES/ATTACHES  </v>
      </c>
      <c r="H58" s="20" t="str">
        <f t="shared" si="1"/>
        <v>BLACK</v>
      </c>
      <c r="I58" s="20" t="str">
        <f t="shared" si="2"/>
        <v xml:space="preserve">L    </v>
      </c>
    </row>
    <row r="59" spans="1:9">
      <c r="A59" s="17" t="s">
        <v>826</v>
      </c>
      <c r="B59" s="17" t="s">
        <v>280</v>
      </c>
      <c r="C59" s="17" t="s">
        <v>800</v>
      </c>
      <c r="D59" s="17" t="s">
        <v>801</v>
      </c>
      <c r="E59" s="18">
        <v>8050450211312</v>
      </c>
      <c r="G59" s="20" t="str">
        <f t="shared" si="0"/>
        <v xml:space="preserve"> ANSES/ATTACHES  </v>
      </c>
      <c r="H59" s="20" t="str">
        <f t="shared" si="1"/>
        <v>BLACK</v>
      </c>
      <c r="I59" s="20" t="str">
        <f t="shared" si="2"/>
        <v xml:space="preserve">L    </v>
      </c>
    </row>
    <row r="60" spans="1:9">
      <c r="A60" s="17" t="s">
        <v>826</v>
      </c>
      <c r="B60" s="17" t="s">
        <v>280</v>
      </c>
      <c r="C60" s="17" t="s">
        <v>802</v>
      </c>
      <c r="D60" s="17" t="s">
        <v>801</v>
      </c>
      <c r="E60" s="18">
        <v>3004320276029</v>
      </c>
      <c r="G60" s="20" t="str">
        <f t="shared" si="0"/>
        <v xml:space="preserve"> ANSES/ATTACHES  </v>
      </c>
      <c r="H60" s="20" t="str">
        <f t="shared" si="1"/>
        <v>BLACK</v>
      </c>
      <c r="I60" s="20" t="str">
        <f t="shared" si="2"/>
        <v xml:space="preserve">M    </v>
      </c>
    </row>
    <row r="61" spans="1:9">
      <c r="A61" s="17" t="s">
        <v>826</v>
      </c>
      <c r="B61" s="17" t="s">
        <v>280</v>
      </c>
      <c r="C61" s="17" t="s">
        <v>803</v>
      </c>
      <c r="D61" s="17" t="s">
        <v>801</v>
      </c>
      <c r="E61" s="18">
        <v>8058983595886</v>
      </c>
      <c r="G61" s="20" t="str">
        <f t="shared" si="0"/>
        <v xml:space="preserve"> ANSES/ATTACHES  </v>
      </c>
      <c r="H61" s="20" t="str">
        <f t="shared" si="1"/>
        <v>BLACK</v>
      </c>
      <c r="I61" s="20" t="str">
        <f t="shared" si="2"/>
        <v xml:space="preserve">S    </v>
      </c>
    </row>
    <row r="62" spans="1:9">
      <c r="A62" s="17" t="s">
        <v>826</v>
      </c>
      <c r="B62" s="17" t="s">
        <v>280</v>
      </c>
      <c r="C62" s="17" t="s">
        <v>803</v>
      </c>
      <c r="D62" s="17" t="s">
        <v>801</v>
      </c>
      <c r="E62" s="18">
        <v>3004320276012</v>
      </c>
      <c r="G62" s="20" t="str">
        <f t="shared" si="0"/>
        <v xml:space="preserve"> ANSES/ATTACHES  </v>
      </c>
      <c r="H62" s="20" t="str">
        <f t="shared" si="1"/>
        <v>BLACK</v>
      </c>
      <c r="I62" s="20" t="str">
        <f t="shared" si="2"/>
        <v xml:space="preserve">S    </v>
      </c>
    </row>
    <row r="63" spans="1:9">
      <c r="A63" s="17" t="s">
        <v>826</v>
      </c>
      <c r="B63" s="17" t="s">
        <v>280</v>
      </c>
      <c r="C63" s="17" t="s">
        <v>804</v>
      </c>
      <c r="D63" s="17" t="s">
        <v>801</v>
      </c>
      <c r="E63" s="18">
        <v>3004320276043</v>
      </c>
      <c r="G63" s="20" t="str">
        <f t="shared" si="0"/>
        <v xml:space="preserve"> ANSES/ATTACHES  </v>
      </c>
      <c r="H63" s="20" t="str">
        <f t="shared" si="1"/>
        <v>BLACK</v>
      </c>
      <c r="I63" s="20" t="str">
        <f t="shared" si="2"/>
        <v xml:space="preserve">XL   </v>
      </c>
    </row>
    <row r="64" spans="1:9">
      <c r="A64" s="17" t="s">
        <v>826</v>
      </c>
      <c r="B64" s="17" t="s">
        <v>280</v>
      </c>
      <c r="C64" s="17" t="s">
        <v>805</v>
      </c>
      <c r="D64" s="17" t="s">
        <v>801</v>
      </c>
      <c r="E64" s="18">
        <v>3004980276001</v>
      </c>
      <c r="G64" s="20" t="str">
        <f t="shared" si="0"/>
        <v xml:space="preserve"> ANSES/ATTACHES  </v>
      </c>
      <c r="H64" s="20" t="str">
        <f t="shared" si="1"/>
        <v>BLACK</v>
      </c>
      <c r="I64" s="20" t="str">
        <f t="shared" si="2"/>
        <v xml:space="preserve">XS   </v>
      </c>
    </row>
    <row r="65" spans="1:9">
      <c r="A65" s="17" t="s">
        <v>826</v>
      </c>
      <c r="B65" s="17" t="s">
        <v>280</v>
      </c>
      <c r="C65" s="17" t="s">
        <v>828</v>
      </c>
      <c r="D65" s="17" t="s">
        <v>801</v>
      </c>
      <c r="E65" s="18">
        <v>3004980276056</v>
      </c>
      <c r="G65" s="20" t="str">
        <f t="shared" si="0"/>
        <v xml:space="preserve"> ANSES/ATTACHES  </v>
      </c>
      <c r="H65" s="20" t="str">
        <f t="shared" si="1"/>
        <v>BLACK</v>
      </c>
      <c r="I65" s="20" t="str">
        <f t="shared" si="2"/>
        <v xml:space="preserve">XXL  </v>
      </c>
    </row>
    <row r="66" spans="1:9">
      <c r="A66" s="17" t="s">
        <v>826</v>
      </c>
      <c r="B66" s="17" t="s">
        <v>280</v>
      </c>
      <c r="C66" s="17" t="s">
        <v>829</v>
      </c>
      <c r="D66" s="17" t="s">
        <v>801</v>
      </c>
      <c r="E66" s="18">
        <v>3004980276063</v>
      </c>
      <c r="G66" s="20" t="str">
        <f t="shared" si="0"/>
        <v xml:space="preserve"> ANSES/ATTACHES  </v>
      </c>
      <c r="H66" s="20" t="str">
        <f t="shared" si="1"/>
        <v>BLACK</v>
      </c>
      <c r="I66" s="20" t="str">
        <f t="shared" si="2"/>
        <v xml:space="preserve">XXS  </v>
      </c>
    </row>
    <row r="67" spans="1:9">
      <c r="A67" s="17" t="s">
        <v>826</v>
      </c>
      <c r="B67" s="17" t="s">
        <v>810</v>
      </c>
      <c r="C67" s="17" t="s">
        <v>800</v>
      </c>
      <c r="D67" s="17" t="s">
        <v>801</v>
      </c>
      <c r="E67" s="18">
        <v>3004320284031</v>
      </c>
      <c r="G67" s="20" t="str">
        <f t="shared" si="0"/>
        <v xml:space="preserve"> ANSES/ATTACHES  </v>
      </c>
      <c r="H67" s="20" t="str">
        <f t="shared" si="1"/>
        <v xml:space="preserve">BLUE </v>
      </c>
      <c r="I67" s="20" t="str">
        <f t="shared" si="2"/>
        <v xml:space="preserve">L    </v>
      </c>
    </row>
    <row r="68" spans="1:9">
      <c r="A68" s="17" t="s">
        <v>826</v>
      </c>
      <c r="B68" s="17" t="s">
        <v>810</v>
      </c>
      <c r="C68" s="17" t="s">
        <v>802</v>
      </c>
      <c r="D68" s="17" t="s">
        <v>801</v>
      </c>
      <c r="E68" s="18">
        <v>3004320284024</v>
      </c>
      <c r="G68" s="20" t="str">
        <f t="shared" si="0"/>
        <v xml:space="preserve"> ANSES/ATTACHES  </v>
      </c>
      <c r="H68" s="20" t="str">
        <f t="shared" si="1"/>
        <v xml:space="preserve">BLUE </v>
      </c>
      <c r="I68" s="20" t="str">
        <f t="shared" si="2"/>
        <v xml:space="preserve">M    </v>
      </c>
    </row>
    <row r="69" spans="1:9">
      <c r="A69" s="17" t="s">
        <v>826</v>
      </c>
      <c r="B69" s="17" t="s">
        <v>810</v>
      </c>
      <c r="C69" s="17" t="s">
        <v>803</v>
      </c>
      <c r="D69" s="17" t="s">
        <v>801</v>
      </c>
      <c r="E69" s="18">
        <v>3004320284017</v>
      </c>
      <c r="G69" s="20" t="str">
        <f t="shared" ref="G69:G132" si="3">A69</f>
        <v xml:space="preserve"> ANSES/ATTACHES  </v>
      </c>
      <c r="H69" s="20" t="str">
        <f t="shared" ref="H69:H132" si="4">B69</f>
        <v xml:space="preserve">BLUE </v>
      </c>
      <c r="I69" s="20" t="str">
        <f t="shared" ref="I69:I132" si="5">C69</f>
        <v xml:space="preserve">S    </v>
      </c>
    </row>
    <row r="70" spans="1:9">
      <c r="A70" s="17" t="s">
        <v>826</v>
      </c>
      <c r="B70" s="17" t="s">
        <v>810</v>
      </c>
      <c r="C70" s="17" t="s">
        <v>804</v>
      </c>
      <c r="D70" s="17" t="s">
        <v>801</v>
      </c>
      <c r="E70" s="18">
        <v>3004320284048</v>
      </c>
      <c r="G70" s="20" t="str">
        <f t="shared" si="3"/>
        <v xml:space="preserve"> ANSES/ATTACHES  </v>
      </c>
      <c r="H70" s="20" t="str">
        <f t="shared" si="4"/>
        <v xml:space="preserve">BLUE </v>
      </c>
      <c r="I70" s="20" t="str">
        <f t="shared" si="5"/>
        <v xml:space="preserve">XL   </v>
      </c>
    </row>
    <row r="71" spans="1:9">
      <c r="A71" s="17" t="s">
        <v>826</v>
      </c>
      <c r="B71" s="17" t="s">
        <v>810</v>
      </c>
      <c r="C71" s="17" t="s">
        <v>805</v>
      </c>
      <c r="D71" s="17" t="s">
        <v>801</v>
      </c>
      <c r="E71" s="18">
        <v>3004320284000</v>
      </c>
      <c r="G71" s="20" t="str">
        <f t="shared" si="3"/>
        <v xml:space="preserve"> ANSES/ATTACHES  </v>
      </c>
      <c r="H71" s="20" t="str">
        <f t="shared" si="4"/>
        <v xml:space="preserve">BLUE </v>
      </c>
      <c r="I71" s="20" t="str">
        <f t="shared" si="5"/>
        <v xml:space="preserve">XS   </v>
      </c>
    </row>
    <row r="72" spans="1:9">
      <c r="A72" s="17" t="s">
        <v>826</v>
      </c>
      <c r="B72" s="17" t="s">
        <v>810</v>
      </c>
      <c r="C72" s="17" t="s">
        <v>828</v>
      </c>
      <c r="D72" s="17" t="s">
        <v>801</v>
      </c>
      <c r="E72" s="18">
        <v>3004320284055</v>
      </c>
      <c r="G72" s="20" t="str">
        <f t="shared" si="3"/>
        <v xml:space="preserve"> ANSES/ATTACHES  </v>
      </c>
      <c r="H72" s="20" t="str">
        <f t="shared" si="4"/>
        <v xml:space="preserve">BLUE </v>
      </c>
      <c r="I72" s="20" t="str">
        <f t="shared" si="5"/>
        <v xml:space="preserve">XXL  </v>
      </c>
    </row>
    <row r="73" spans="1:9">
      <c r="A73" s="17" t="s">
        <v>826</v>
      </c>
      <c r="B73" s="17" t="s">
        <v>810</v>
      </c>
      <c r="C73" s="17" t="s">
        <v>829</v>
      </c>
      <c r="D73" s="17" t="s">
        <v>801</v>
      </c>
      <c r="E73" s="18">
        <v>3004320284062</v>
      </c>
      <c r="G73" s="20" t="str">
        <f t="shared" si="3"/>
        <v xml:space="preserve"> ANSES/ATTACHES  </v>
      </c>
      <c r="H73" s="20" t="str">
        <f t="shared" si="4"/>
        <v xml:space="preserve">BLUE </v>
      </c>
      <c r="I73" s="20" t="str">
        <f t="shared" si="5"/>
        <v xml:space="preserve">XXS  </v>
      </c>
    </row>
    <row r="74" spans="1:9">
      <c r="A74" s="17" t="s">
        <v>826</v>
      </c>
      <c r="B74" s="17" t="s">
        <v>831</v>
      </c>
      <c r="C74" s="17" t="s">
        <v>800</v>
      </c>
      <c r="D74" s="17" t="s">
        <v>801</v>
      </c>
      <c r="E74" s="18">
        <v>3004320467038</v>
      </c>
      <c r="G74" s="20" t="str">
        <f t="shared" si="3"/>
        <v xml:space="preserve"> ANSES/ATTACHES  </v>
      </c>
      <c r="H74" s="20" t="str">
        <f t="shared" si="4"/>
        <v>CBNAT</v>
      </c>
      <c r="I74" s="20" t="str">
        <f t="shared" si="5"/>
        <v xml:space="preserve">L    </v>
      </c>
    </row>
    <row r="75" spans="1:9">
      <c r="A75" s="17" t="s">
        <v>826</v>
      </c>
      <c r="B75" s="17" t="s">
        <v>831</v>
      </c>
      <c r="C75" s="17" t="s">
        <v>802</v>
      </c>
      <c r="D75" s="17" t="s">
        <v>801</v>
      </c>
      <c r="E75" s="18">
        <v>3004320467021</v>
      </c>
      <c r="G75" s="20" t="str">
        <f t="shared" si="3"/>
        <v xml:space="preserve"> ANSES/ATTACHES  </v>
      </c>
      <c r="H75" s="20" t="str">
        <f t="shared" si="4"/>
        <v>CBNAT</v>
      </c>
      <c r="I75" s="20" t="str">
        <f t="shared" si="5"/>
        <v xml:space="preserve">M    </v>
      </c>
    </row>
    <row r="76" spans="1:9">
      <c r="A76" s="17" t="s">
        <v>826</v>
      </c>
      <c r="B76" s="17" t="s">
        <v>831</v>
      </c>
      <c r="C76" s="17" t="s">
        <v>803</v>
      </c>
      <c r="D76" s="17" t="s">
        <v>801</v>
      </c>
      <c r="E76" s="18">
        <v>3004320467014</v>
      </c>
      <c r="G76" s="20" t="str">
        <f t="shared" si="3"/>
        <v xml:space="preserve"> ANSES/ATTACHES  </v>
      </c>
      <c r="H76" s="20" t="str">
        <f t="shared" si="4"/>
        <v>CBNAT</v>
      </c>
      <c r="I76" s="20" t="str">
        <f t="shared" si="5"/>
        <v xml:space="preserve">S    </v>
      </c>
    </row>
    <row r="77" spans="1:9">
      <c r="A77" s="17" t="s">
        <v>826</v>
      </c>
      <c r="B77" s="17" t="s">
        <v>831</v>
      </c>
      <c r="C77" s="17" t="s">
        <v>804</v>
      </c>
      <c r="D77" s="17" t="s">
        <v>801</v>
      </c>
      <c r="E77" s="18">
        <v>3004320467045</v>
      </c>
      <c r="G77" s="20" t="str">
        <f t="shared" si="3"/>
        <v xml:space="preserve"> ANSES/ATTACHES  </v>
      </c>
      <c r="H77" s="20" t="str">
        <f t="shared" si="4"/>
        <v>CBNAT</v>
      </c>
      <c r="I77" s="20" t="str">
        <f t="shared" si="5"/>
        <v xml:space="preserve">XL   </v>
      </c>
    </row>
    <row r="78" spans="1:9">
      <c r="A78" s="17" t="s">
        <v>826</v>
      </c>
      <c r="B78" s="17" t="s">
        <v>831</v>
      </c>
      <c r="C78" s="17" t="s">
        <v>805</v>
      </c>
      <c r="D78" s="17" t="s">
        <v>801</v>
      </c>
      <c r="E78" s="18">
        <v>3004320467007</v>
      </c>
      <c r="G78" s="20" t="str">
        <f t="shared" si="3"/>
        <v xml:space="preserve"> ANSES/ATTACHES  </v>
      </c>
      <c r="H78" s="20" t="str">
        <f t="shared" si="4"/>
        <v>CBNAT</v>
      </c>
      <c r="I78" s="20" t="str">
        <f t="shared" si="5"/>
        <v xml:space="preserve">XS   </v>
      </c>
    </row>
    <row r="79" spans="1:9">
      <c r="A79" s="17" t="s">
        <v>826</v>
      </c>
      <c r="B79" s="17" t="s">
        <v>831</v>
      </c>
      <c r="C79" s="17" t="s">
        <v>828</v>
      </c>
      <c r="D79" s="17" t="s">
        <v>801</v>
      </c>
      <c r="E79" s="18">
        <v>3004320467052</v>
      </c>
      <c r="G79" s="20" t="str">
        <f t="shared" si="3"/>
        <v xml:space="preserve"> ANSES/ATTACHES  </v>
      </c>
      <c r="H79" s="20" t="str">
        <f t="shared" si="4"/>
        <v>CBNAT</v>
      </c>
      <c r="I79" s="20" t="str">
        <f t="shared" si="5"/>
        <v xml:space="preserve">XXL  </v>
      </c>
    </row>
    <row r="80" spans="1:9">
      <c r="A80" s="17" t="s">
        <v>826</v>
      </c>
      <c r="B80" s="17" t="s">
        <v>831</v>
      </c>
      <c r="C80" s="17" t="s">
        <v>829</v>
      </c>
      <c r="D80" s="17" t="s">
        <v>801</v>
      </c>
      <c r="E80" s="18">
        <v>3004320467069</v>
      </c>
      <c r="G80" s="20" t="str">
        <f t="shared" si="3"/>
        <v xml:space="preserve"> ANSES/ATTACHES  </v>
      </c>
      <c r="H80" s="20" t="str">
        <f t="shared" si="4"/>
        <v>CBNAT</v>
      </c>
      <c r="I80" s="20" t="str">
        <f t="shared" si="5"/>
        <v xml:space="preserve">XXS  </v>
      </c>
    </row>
    <row r="81" spans="1:9">
      <c r="A81" s="17" t="s">
        <v>826</v>
      </c>
      <c r="B81" s="17" t="s">
        <v>832</v>
      </c>
      <c r="C81" s="17" t="s">
        <v>800</v>
      </c>
      <c r="D81" s="17" t="s">
        <v>801</v>
      </c>
      <c r="E81" s="18">
        <v>3004320756033</v>
      </c>
      <c r="G81" s="20" t="str">
        <f t="shared" si="3"/>
        <v xml:space="preserve"> ANSES/ATTACHES  </v>
      </c>
      <c r="H81" s="20" t="str">
        <f t="shared" si="4"/>
        <v>CBNAV</v>
      </c>
      <c r="I81" s="20" t="str">
        <f t="shared" si="5"/>
        <v xml:space="preserve">L    </v>
      </c>
    </row>
    <row r="82" spans="1:9">
      <c r="A82" s="17" t="s">
        <v>826</v>
      </c>
      <c r="B82" s="17" t="s">
        <v>832</v>
      </c>
      <c r="C82" s="17" t="s">
        <v>802</v>
      </c>
      <c r="D82" s="17" t="s">
        <v>801</v>
      </c>
      <c r="E82" s="18">
        <v>3004320756026</v>
      </c>
      <c r="G82" s="20" t="str">
        <f t="shared" si="3"/>
        <v xml:space="preserve"> ANSES/ATTACHES  </v>
      </c>
      <c r="H82" s="20" t="str">
        <f t="shared" si="4"/>
        <v>CBNAV</v>
      </c>
      <c r="I82" s="20" t="str">
        <f t="shared" si="5"/>
        <v xml:space="preserve">M    </v>
      </c>
    </row>
    <row r="83" spans="1:9">
      <c r="A83" s="17" t="s">
        <v>826</v>
      </c>
      <c r="B83" s="17" t="s">
        <v>832</v>
      </c>
      <c r="C83" s="17" t="s">
        <v>803</v>
      </c>
      <c r="D83" s="17" t="s">
        <v>801</v>
      </c>
      <c r="E83" s="18">
        <v>3004320756019</v>
      </c>
      <c r="G83" s="20" t="str">
        <f t="shared" si="3"/>
        <v xml:space="preserve"> ANSES/ATTACHES  </v>
      </c>
      <c r="H83" s="20" t="str">
        <f t="shared" si="4"/>
        <v>CBNAV</v>
      </c>
      <c r="I83" s="20" t="str">
        <f t="shared" si="5"/>
        <v xml:space="preserve">S    </v>
      </c>
    </row>
    <row r="84" spans="1:9">
      <c r="A84" s="17" t="s">
        <v>826</v>
      </c>
      <c r="B84" s="17" t="s">
        <v>832</v>
      </c>
      <c r="C84" s="17" t="s">
        <v>804</v>
      </c>
      <c r="D84" s="17" t="s">
        <v>801</v>
      </c>
      <c r="E84" s="18">
        <v>3004320756040</v>
      </c>
      <c r="G84" s="20" t="str">
        <f t="shared" si="3"/>
        <v xml:space="preserve"> ANSES/ATTACHES  </v>
      </c>
      <c r="H84" s="20" t="str">
        <f t="shared" si="4"/>
        <v>CBNAV</v>
      </c>
      <c r="I84" s="20" t="str">
        <f t="shared" si="5"/>
        <v xml:space="preserve">XL   </v>
      </c>
    </row>
    <row r="85" spans="1:9">
      <c r="A85" s="17" t="s">
        <v>826</v>
      </c>
      <c r="B85" s="17" t="s">
        <v>832</v>
      </c>
      <c r="C85" s="17" t="s">
        <v>805</v>
      </c>
      <c r="D85" s="17" t="s">
        <v>801</v>
      </c>
      <c r="E85" s="18">
        <v>3004320756002</v>
      </c>
      <c r="G85" s="20" t="str">
        <f t="shared" si="3"/>
        <v xml:space="preserve"> ANSES/ATTACHES  </v>
      </c>
      <c r="H85" s="20" t="str">
        <f t="shared" si="4"/>
        <v>CBNAV</v>
      </c>
      <c r="I85" s="20" t="str">
        <f t="shared" si="5"/>
        <v xml:space="preserve">XS   </v>
      </c>
    </row>
    <row r="86" spans="1:9">
      <c r="A86" s="17" t="s">
        <v>826</v>
      </c>
      <c r="B86" s="17" t="s">
        <v>832</v>
      </c>
      <c r="C86" s="17" t="s">
        <v>828</v>
      </c>
      <c r="D86" s="17" t="s">
        <v>801</v>
      </c>
      <c r="E86" s="18">
        <v>3004320756057</v>
      </c>
      <c r="G86" s="20" t="str">
        <f t="shared" si="3"/>
        <v xml:space="preserve"> ANSES/ATTACHES  </v>
      </c>
      <c r="H86" s="20" t="str">
        <f t="shared" si="4"/>
        <v>CBNAV</v>
      </c>
      <c r="I86" s="20" t="str">
        <f t="shared" si="5"/>
        <v xml:space="preserve">XXL  </v>
      </c>
    </row>
    <row r="87" spans="1:9">
      <c r="A87" s="17" t="s">
        <v>826</v>
      </c>
      <c r="B87" s="17" t="s">
        <v>832</v>
      </c>
      <c r="C87" s="17" t="s">
        <v>829</v>
      </c>
      <c r="D87" s="17" t="s">
        <v>801</v>
      </c>
      <c r="E87" s="18">
        <v>3004320756064</v>
      </c>
      <c r="G87" s="20" t="str">
        <f t="shared" si="3"/>
        <v xml:space="preserve"> ANSES/ATTACHES  </v>
      </c>
      <c r="H87" s="20" t="str">
        <f t="shared" si="4"/>
        <v>CBNAV</v>
      </c>
      <c r="I87" s="20" t="str">
        <f t="shared" si="5"/>
        <v xml:space="preserve">XXS  </v>
      </c>
    </row>
    <row r="88" spans="1:9">
      <c r="A88" s="17" t="s">
        <v>826</v>
      </c>
      <c r="B88" s="17" t="s">
        <v>833</v>
      </c>
      <c r="C88" s="17" t="s">
        <v>800</v>
      </c>
      <c r="D88" s="17" t="s">
        <v>801</v>
      </c>
      <c r="E88" s="18">
        <v>3004980408037</v>
      </c>
      <c r="G88" s="20" t="str">
        <f t="shared" si="3"/>
        <v xml:space="preserve"> ANSES/ATTACHES  </v>
      </c>
      <c r="H88" s="20" t="str">
        <f t="shared" si="4"/>
        <v>FLACQ</v>
      </c>
      <c r="I88" s="20" t="str">
        <f t="shared" si="5"/>
        <v xml:space="preserve">L    </v>
      </c>
    </row>
    <row r="89" spans="1:9">
      <c r="A89" s="17" t="s">
        <v>826</v>
      </c>
      <c r="B89" s="17" t="s">
        <v>833</v>
      </c>
      <c r="C89" s="17" t="s">
        <v>802</v>
      </c>
      <c r="D89" s="17" t="s">
        <v>801</v>
      </c>
      <c r="E89" s="18">
        <v>3004980408020</v>
      </c>
      <c r="G89" s="20" t="str">
        <f t="shared" si="3"/>
        <v xml:space="preserve"> ANSES/ATTACHES  </v>
      </c>
      <c r="H89" s="20" t="str">
        <f t="shared" si="4"/>
        <v>FLACQ</v>
      </c>
      <c r="I89" s="20" t="str">
        <f t="shared" si="5"/>
        <v xml:space="preserve">M    </v>
      </c>
    </row>
    <row r="90" spans="1:9">
      <c r="A90" s="17" t="s">
        <v>826</v>
      </c>
      <c r="B90" s="17" t="s">
        <v>833</v>
      </c>
      <c r="C90" s="17" t="s">
        <v>803</v>
      </c>
      <c r="D90" s="17" t="s">
        <v>801</v>
      </c>
      <c r="E90" s="18">
        <v>3004980408013</v>
      </c>
      <c r="G90" s="20" t="str">
        <f t="shared" si="3"/>
        <v xml:space="preserve"> ANSES/ATTACHES  </v>
      </c>
      <c r="H90" s="20" t="str">
        <f t="shared" si="4"/>
        <v>FLACQ</v>
      </c>
      <c r="I90" s="20" t="str">
        <f t="shared" si="5"/>
        <v xml:space="preserve">S    </v>
      </c>
    </row>
    <row r="91" spans="1:9">
      <c r="A91" s="17" t="s">
        <v>826</v>
      </c>
      <c r="B91" s="17" t="s">
        <v>833</v>
      </c>
      <c r="C91" s="17" t="s">
        <v>804</v>
      </c>
      <c r="D91" s="17" t="s">
        <v>801</v>
      </c>
      <c r="E91" s="18">
        <v>3004980408044</v>
      </c>
      <c r="G91" s="20" t="str">
        <f t="shared" si="3"/>
        <v xml:space="preserve"> ANSES/ATTACHES  </v>
      </c>
      <c r="H91" s="20" t="str">
        <f t="shared" si="4"/>
        <v>FLACQ</v>
      </c>
      <c r="I91" s="20" t="str">
        <f t="shared" si="5"/>
        <v xml:space="preserve">XL   </v>
      </c>
    </row>
    <row r="92" spans="1:9">
      <c r="A92" s="17" t="s">
        <v>826</v>
      </c>
      <c r="B92" s="17" t="s">
        <v>833</v>
      </c>
      <c r="C92" s="17" t="s">
        <v>805</v>
      </c>
      <c r="D92" s="17" t="s">
        <v>801</v>
      </c>
      <c r="E92" s="18">
        <v>3004980408006</v>
      </c>
      <c r="G92" s="20" t="str">
        <f t="shared" si="3"/>
        <v xml:space="preserve"> ANSES/ATTACHES  </v>
      </c>
      <c r="H92" s="20" t="str">
        <f t="shared" si="4"/>
        <v>FLACQ</v>
      </c>
      <c r="I92" s="20" t="str">
        <f t="shared" si="5"/>
        <v xml:space="preserve">XS   </v>
      </c>
    </row>
    <row r="93" spans="1:9">
      <c r="A93" s="17" t="s">
        <v>826</v>
      </c>
      <c r="B93" s="17" t="s">
        <v>833</v>
      </c>
      <c r="C93" s="17" t="s">
        <v>828</v>
      </c>
      <c r="D93" s="17" t="s">
        <v>801</v>
      </c>
      <c r="E93" s="18">
        <v>3004980408051</v>
      </c>
      <c r="G93" s="20" t="str">
        <f t="shared" si="3"/>
        <v xml:space="preserve"> ANSES/ATTACHES  </v>
      </c>
      <c r="H93" s="20" t="str">
        <f t="shared" si="4"/>
        <v>FLACQ</v>
      </c>
      <c r="I93" s="20" t="str">
        <f t="shared" si="5"/>
        <v xml:space="preserve">XXL  </v>
      </c>
    </row>
    <row r="94" spans="1:9">
      <c r="A94" s="17" t="s">
        <v>826</v>
      </c>
      <c r="B94" s="17" t="s">
        <v>833</v>
      </c>
      <c r="C94" s="17" t="s">
        <v>829</v>
      </c>
      <c r="D94" s="17" t="s">
        <v>801</v>
      </c>
      <c r="E94" s="18">
        <v>3004980408068</v>
      </c>
      <c r="G94" s="20" t="str">
        <f t="shared" si="3"/>
        <v xml:space="preserve"> ANSES/ATTACHES  </v>
      </c>
      <c r="H94" s="20" t="str">
        <f t="shared" si="4"/>
        <v>FLACQ</v>
      </c>
      <c r="I94" s="20" t="str">
        <f t="shared" si="5"/>
        <v xml:space="preserve">XXS  </v>
      </c>
    </row>
    <row r="95" spans="1:9">
      <c r="A95" s="17" t="s">
        <v>826</v>
      </c>
      <c r="B95" s="17" t="s">
        <v>834</v>
      </c>
      <c r="C95" s="17" t="s">
        <v>800</v>
      </c>
      <c r="D95" s="17" t="s">
        <v>801</v>
      </c>
      <c r="E95" s="18">
        <v>3004320794035</v>
      </c>
      <c r="G95" s="20" t="str">
        <f t="shared" si="3"/>
        <v xml:space="preserve"> ANSES/ATTACHES  </v>
      </c>
      <c r="H95" s="20" t="str">
        <f t="shared" si="4"/>
        <v>GOACQ</v>
      </c>
      <c r="I95" s="20" t="str">
        <f t="shared" si="5"/>
        <v xml:space="preserve">L    </v>
      </c>
    </row>
    <row r="96" spans="1:9">
      <c r="A96" s="17" t="s">
        <v>826</v>
      </c>
      <c r="B96" s="17" t="s">
        <v>834</v>
      </c>
      <c r="C96" s="17" t="s">
        <v>802</v>
      </c>
      <c r="D96" s="17" t="s">
        <v>801</v>
      </c>
      <c r="E96" s="18">
        <v>3004320794028</v>
      </c>
      <c r="G96" s="20" t="str">
        <f t="shared" si="3"/>
        <v xml:space="preserve"> ANSES/ATTACHES  </v>
      </c>
      <c r="H96" s="20" t="str">
        <f t="shared" si="4"/>
        <v>GOACQ</v>
      </c>
      <c r="I96" s="20" t="str">
        <f t="shared" si="5"/>
        <v xml:space="preserve">M    </v>
      </c>
    </row>
    <row r="97" spans="1:9">
      <c r="A97" s="17" t="s">
        <v>826</v>
      </c>
      <c r="B97" s="17" t="s">
        <v>834</v>
      </c>
      <c r="C97" s="17" t="s">
        <v>803</v>
      </c>
      <c r="D97" s="17" t="s">
        <v>801</v>
      </c>
      <c r="E97" s="18">
        <v>3004320794011</v>
      </c>
      <c r="G97" s="20" t="str">
        <f t="shared" si="3"/>
        <v xml:space="preserve"> ANSES/ATTACHES  </v>
      </c>
      <c r="H97" s="20" t="str">
        <f t="shared" si="4"/>
        <v>GOACQ</v>
      </c>
      <c r="I97" s="20" t="str">
        <f t="shared" si="5"/>
        <v xml:space="preserve">S    </v>
      </c>
    </row>
    <row r="98" spans="1:9">
      <c r="A98" s="17" t="s">
        <v>826</v>
      </c>
      <c r="B98" s="17" t="s">
        <v>834</v>
      </c>
      <c r="C98" s="17" t="s">
        <v>804</v>
      </c>
      <c r="D98" s="17" t="s">
        <v>801</v>
      </c>
      <c r="E98" s="18">
        <v>3004320794042</v>
      </c>
      <c r="G98" s="20" t="str">
        <f t="shared" si="3"/>
        <v xml:space="preserve"> ANSES/ATTACHES  </v>
      </c>
      <c r="H98" s="20" t="str">
        <f t="shared" si="4"/>
        <v>GOACQ</v>
      </c>
      <c r="I98" s="20" t="str">
        <f t="shared" si="5"/>
        <v xml:space="preserve">XL   </v>
      </c>
    </row>
    <row r="99" spans="1:9">
      <c r="A99" s="17" t="s">
        <v>826</v>
      </c>
      <c r="B99" s="17" t="s">
        <v>834</v>
      </c>
      <c r="C99" s="17" t="s">
        <v>805</v>
      </c>
      <c r="D99" s="17" t="s">
        <v>801</v>
      </c>
      <c r="E99" s="18">
        <v>3004320794004</v>
      </c>
      <c r="G99" s="20" t="str">
        <f t="shared" si="3"/>
        <v xml:space="preserve"> ANSES/ATTACHES  </v>
      </c>
      <c r="H99" s="20" t="str">
        <f t="shared" si="4"/>
        <v>GOACQ</v>
      </c>
      <c r="I99" s="20" t="str">
        <f t="shared" si="5"/>
        <v xml:space="preserve">XS   </v>
      </c>
    </row>
    <row r="100" spans="1:9">
      <c r="A100" s="17" t="s">
        <v>826</v>
      </c>
      <c r="B100" s="17" t="s">
        <v>834</v>
      </c>
      <c r="C100" s="17" t="s">
        <v>828</v>
      </c>
      <c r="D100" s="17" t="s">
        <v>801</v>
      </c>
      <c r="E100" s="18">
        <v>3004320794059</v>
      </c>
      <c r="G100" s="20" t="str">
        <f t="shared" si="3"/>
        <v xml:space="preserve"> ANSES/ATTACHES  </v>
      </c>
      <c r="H100" s="20" t="str">
        <f t="shared" si="4"/>
        <v>GOACQ</v>
      </c>
      <c r="I100" s="20" t="str">
        <f t="shared" si="5"/>
        <v xml:space="preserve">XXL  </v>
      </c>
    </row>
    <row r="101" spans="1:9">
      <c r="A101" s="17" t="s">
        <v>826</v>
      </c>
      <c r="B101" s="17" t="s">
        <v>834</v>
      </c>
      <c r="C101" s="17" t="s">
        <v>829</v>
      </c>
      <c r="D101" s="17" t="s">
        <v>801</v>
      </c>
      <c r="E101" s="18">
        <v>3004320794066</v>
      </c>
      <c r="G101" s="20" t="str">
        <f t="shared" si="3"/>
        <v xml:space="preserve"> ANSES/ATTACHES  </v>
      </c>
      <c r="H101" s="20" t="str">
        <f t="shared" si="4"/>
        <v>GOACQ</v>
      </c>
      <c r="I101" s="20" t="str">
        <f t="shared" si="5"/>
        <v xml:space="preserve">XXS  </v>
      </c>
    </row>
    <row r="102" spans="1:9">
      <c r="A102" s="17" t="s">
        <v>826</v>
      </c>
      <c r="B102" s="17" t="s">
        <v>835</v>
      </c>
      <c r="C102" s="17" t="s">
        <v>800</v>
      </c>
      <c r="D102" s="17" t="s">
        <v>801</v>
      </c>
      <c r="E102" s="18">
        <v>3004320796039</v>
      </c>
      <c r="G102" s="20" t="str">
        <f t="shared" si="3"/>
        <v xml:space="preserve"> ANSES/ATTACHES  </v>
      </c>
      <c r="H102" s="20" t="str">
        <f t="shared" si="4"/>
        <v>GOICE</v>
      </c>
      <c r="I102" s="20" t="str">
        <f t="shared" si="5"/>
        <v xml:space="preserve">L    </v>
      </c>
    </row>
    <row r="103" spans="1:9">
      <c r="A103" s="17" t="s">
        <v>826</v>
      </c>
      <c r="B103" s="17" t="s">
        <v>835</v>
      </c>
      <c r="C103" s="17" t="s">
        <v>802</v>
      </c>
      <c r="D103" s="17" t="s">
        <v>801</v>
      </c>
      <c r="E103" s="18">
        <v>3004320796022</v>
      </c>
      <c r="G103" s="20" t="str">
        <f t="shared" si="3"/>
        <v xml:space="preserve"> ANSES/ATTACHES  </v>
      </c>
      <c r="H103" s="20" t="str">
        <f t="shared" si="4"/>
        <v>GOICE</v>
      </c>
      <c r="I103" s="20" t="str">
        <f t="shared" si="5"/>
        <v xml:space="preserve">M    </v>
      </c>
    </row>
    <row r="104" spans="1:9">
      <c r="A104" s="17" t="s">
        <v>826</v>
      </c>
      <c r="B104" s="17" t="s">
        <v>835</v>
      </c>
      <c r="C104" s="17" t="s">
        <v>803</v>
      </c>
      <c r="D104" s="17" t="s">
        <v>801</v>
      </c>
      <c r="E104" s="18">
        <v>3004320796015</v>
      </c>
      <c r="G104" s="20" t="str">
        <f t="shared" si="3"/>
        <v xml:space="preserve"> ANSES/ATTACHES  </v>
      </c>
      <c r="H104" s="20" t="str">
        <f t="shared" si="4"/>
        <v>GOICE</v>
      </c>
      <c r="I104" s="20" t="str">
        <f t="shared" si="5"/>
        <v xml:space="preserve">S    </v>
      </c>
    </row>
    <row r="105" spans="1:9">
      <c r="A105" s="17" t="s">
        <v>826</v>
      </c>
      <c r="B105" s="17" t="s">
        <v>835</v>
      </c>
      <c r="C105" s="17" t="s">
        <v>804</v>
      </c>
      <c r="D105" s="17" t="s">
        <v>801</v>
      </c>
      <c r="E105" s="18">
        <v>3004320796046</v>
      </c>
      <c r="G105" s="20" t="str">
        <f t="shared" si="3"/>
        <v xml:space="preserve"> ANSES/ATTACHES  </v>
      </c>
      <c r="H105" s="20" t="str">
        <f t="shared" si="4"/>
        <v>GOICE</v>
      </c>
      <c r="I105" s="20" t="str">
        <f t="shared" si="5"/>
        <v xml:space="preserve">XL   </v>
      </c>
    </row>
    <row r="106" spans="1:9">
      <c r="A106" s="17" t="s">
        <v>826</v>
      </c>
      <c r="B106" s="17" t="s">
        <v>835</v>
      </c>
      <c r="C106" s="17" t="s">
        <v>805</v>
      </c>
      <c r="D106" s="17" t="s">
        <v>801</v>
      </c>
      <c r="E106" s="18">
        <v>3004320796008</v>
      </c>
      <c r="G106" s="20" t="str">
        <f t="shared" si="3"/>
        <v xml:space="preserve"> ANSES/ATTACHES  </v>
      </c>
      <c r="H106" s="20" t="str">
        <f t="shared" si="4"/>
        <v>GOICE</v>
      </c>
      <c r="I106" s="20" t="str">
        <f t="shared" si="5"/>
        <v xml:space="preserve">XS   </v>
      </c>
    </row>
    <row r="107" spans="1:9">
      <c r="A107" s="17" t="s">
        <v>826</v>
      </c>
      <c r="B107" s="17" t="s">
        <v>835</v>
      </c>
      <c r="C107" s="17" t="s">
        <v>828</v>
      </c>
      <c r="D107" s="17" t="s">
        <v>801</v>
      </c>
      <c r="E107" s="18">
        <v>3004320796053</v>
      </c>
      <c r="G107" s="20" t="str">
        <f t="shared" si="3"/>
        <v xml:space="preserve"> ANSES/ATTACHES  </v>
      </c>
      <c r="H107" s="20" t="str">
        <f t="shared" si="4"/>
        <v>GOICE</v>
      </c>
      <c r="I107" s="20" t="str">
        <f t="shared" si="5"/>
        <v xml:space="preserve">XXL  </v>
      </c>
    </row>
    <row r="108" spans="1:9">
      <c r="A108" s="17" t="s">
        <v>826</v>
      </c>
      <c r="B108" s="17" t="s">
        <v>835</v>
      </c>
      <c r="C108" s="17" t="s">
        <v>829</v>
      </c>
      <c r="D108" s="17" t="s">
        <v>801</v>
      </c>
      <c r="E108" s="18">
        <v>3004320796060</v>
      </c>
      <c r="G108" s="20" t="str">
        <f t="shared" si="3"/>
        <v xml:space="preserve"> ANSES/ATTACHES  </v>
      </c>
      <c r="H108" s="20" t="str">
        <f t="shared" si="4"/>
        <v>GOICE</v>
      </c>
      <c r="I108" s="20" t="str">
        <f t="shared" si="5"/>
        <v xml:space="preserve">XXS  </v>
      </c>
    </row>
    <row r="109" spans="1:9">
      <c r="A109" s="17" t="s">
        <v>826</v>
      </c>
      <c r="B109" s="17" t="s">
        <v>836</v>
      </c>
      <c r="C109" s="17" t="s">
        <v>800</v>
      </c>
      <c r="D109" s="17" t="s">
        <v>801</v>
      </c>
      <c r="E109" s="18">
        <v>3004320795032</v>
      </c>
      <c r="G109" s="20" t="str">
        <f t="shared" si="3"/>
        <v xml:space="preserve"> ANSES/ATTACHES  </v>
      </c>
      <c r="H109" s="20" t="str">
        <f t="shared" si="4"/>
        <v>GOIRI</v>
      </c>
      <c r="I109" s="20" t="str">
        <f t="shared" si="5"/>
        <v xml:space="preserve">L    </v>
      </c>
    </row>
    <row r="110" spans="1:9">
      <c r="A110" s="17" t="s">
        <v>826</v>
      </c>
      <c r="B110" s="17" t="s">
        <v>836</v>
      </c>
      <c r="C110" s="17" t="s">
        <v>802</v>
      </c>
      <c r="D110" s="17" t="s">
        <v>801</v>
      </c>
      <c r="E110" s="18">
        <v>3004320795025</v>
      </c>
      <c r="G110" s="20" t="str">
        <f t="shared" si="3"/>
        <v xml:space="preserve"> ANSES/ATTACHES  </v>
      </c>
      <c r="H110" s="20" t="str">
        <f t="shared" si="4"/>
        <v>GOIRI</v>
      </c>
      <c r="I110" s="20" t="str">
        <f t="shared" si="5"/>
        <v xml:space="preserve">M    </v>
      </c>
    </row>
    <row r="111" spans="1:9">
      <c r="A111" s="17" t="s">
        <v>826</v>
      </c>
      <c r="B111" s="17" t="s">
        <v>836</v>
      </c>
      <c r="C111" s="17" t="s">
        <v>803</v>
      </c>
      <c r="D111" s="17" t="s">
        <v>801</v>
      </c>
      <c r="E111" s="18">
        <v>3004320795018</v>
      </c>
      <c r="G111" s="20" t="str">
        <f t="shared" si="3"/>
        <v xml:space="preserve"> ANSES/ATTACHES  </v>
      </c>
      <c r="H111" s="20" t="str">
        <f t="shared" si="4"/>
        <v>GOIRI</v>
      </c>
      <c r="I111" s="20" t="str">
        <f t="shared" si="5"/>
        <v xml:space="preserve">S    </v>
      </c>
    </row>
    <row r="112" spans="1:9">
      <c r="A112" s="17" t="s">
        <v>826</v>
      </c>
      <c r="B112" s="17" t="s">
        <v>836</v>
      </c>
      <c r="C112" s="17" t="s">
        <v>804</v>
      </c>
      <c r="D112" s="17" t="s">
        <v>801</v>
      </c>
      <c r="E112" s="18">
        <v>3004320795049</v>
      </c>
      <c r="G112" s="20" t="str">
        <f t="shared" si="3"/>
        <v xml:space="preserve"> ANSES/ATTACHES  </v>
      </c>
      <c r="H112" s="20" t="str">
        <f t="shared" si="4"/>
        <v>GOIRI</v>
      </c>
      <c r="I112" s="20" t="str">
        <f t="shared" si="5"/>
        <v xml:space="preserve">XL   </v>
      </c>
    </row>
    <row r="113" spans="1:9">
      <c r="A113" s="17" t="s">
        <v>826</v>
      </c>
      <c r="B113" s="17" t="s">
        <v>836</v>
      </c>
      <c r="C113" s="17" t="s">
        <v>805</v>
      </c>
      <c r="D113" s="17" t="s">
        <v>801</v>
      </c>
      <c r="E113" s="18">
        <v>3004320795001</v>
      </c>
      <c r="G113" s="20" t="str">
        <f t="shared" si="3"/>
        <v xml:space="preserve"> ANSES/ATTACHES  </v>
      </c>
      <c r="H113" s="20" t="str">
        <f t="shared" si="4"/>
        <v>GOIRI</v>
      </c>
      <c r="I113" s="20" t="str">
        <f t="shared" si="5"/>
        <v xml:space="preserve">XS   </v>
      </c>
    </row>
    <row r="114" spans="1:9">
      <c r="A114" s="17" t="s">
        <v>826</v>
      </c>
      <c r="B114" s="17" t="s">
        <v>836</v>
      </c>
      <c r="C114" s="17" t="s">
        <v>828</v>
      </c>
      <c r="D114" s="17" t="s">
        <v>801</v>
      </c>
      <c r="E114" s="18">
        <v>3004320795056</v>
      </c>
      <c r="G114" s="20" t="str">
        <f t="shared" si="3"/>
        <v xml:space="preserve"> ANSES/ATTACHES  </v>
      </c>
      <c r="H114" s="20" t="str">
        <f t="shared" si="4"/>
        <v>GOIRI</v>
      </c>
      <c r="I114" s="20" t="str">
        <f t="shared" si="5"/>
        <v xml:space="preserve">XXL  </v>
      </c>
    </row>
    <row r="115" spans="1:9">
      <c r="A115" s="17" t="s">
        <v>826</v>
      </c>
      <c r="B115" s="17" t="s">
        <v>836</v>
      </c>
      <c r="C115" s="17" t="s">
        <v>829</v>
      </c>
      <c r="D115" s="17" t="s">
        <v>801</v>
      </c>
      <c r="E115" s="18">
        <v>3004320795063</v>
      </c>
      <c r="G115" s="20" t="str">
        <f t="shared" si="3"/>
        <v xml:space="preserve"> ANSES/ATTACHES  </v>
      </c>
      <c r="H115" s="20" t="str">
        <f t="shared" si="4"/>
        <v>GOIRI</v>
      </c>
      <c r="I115" s="20" t="str">
        <f t="shared" si="5"/>
        <v xml:space="preserve">XXS  </v>
      </c>
    </row>
    <row r="116" spans="1:9">
      <c r="A116" s="17" t="s">
        <v>826</v>
      </c>
      <c r="B116" s="17" t="s">
        <v>837</v>
      </c>
      <c r="C116" s="17" t="s">
        <v>800</v>
      </c>
      <c r="D116" s="17" t="s">
        <v>801</v>
      </c>
      <c r="E116" s="18">
        <v>3004320800033</v>
      </c>
      <c r="G116" s="20" t="str">
        <f t="shared" si="3"/>
        <v xml:space="preserve"> ANSES/ATTACHES  </v>
      </c>
      <c r="H116" s="20" t="str">
        <f t="shared" si="4"/>
        <v>GOMAG</v>
      </c>
      <c r="I116" s="20" t="str">
        <f t="shared" si="5"/>
        <v xml:space="preserve">L    </v>
      </c>
    </row>
    <row r="117" spans="1:9">
      <c r="A117" s="17" t="s">
        <v>826</v>
      </c>
      <c r="B117" s="17" t="s">
        <v>837</v>
      </c>
      <c r="C117" s="17" t="s">
        <v>802</v>
      </c>
      <c r="D117" s="17" t="s">
        <v>801</v>
      </c>
      <c r="E117" s="18">
        <v>3004320800026</v>
      </c>
      <c r="G117" s="20" t="str">
        <f t="shared" si="3"/>
        <v xml:space="preserve"> ANSES/ATTACHES  </v>
      </c>
      <c r="H117" s="20" t="str">
        <f t="shared" si="4"/>
        <v>GOMAG</v>
      </c>
      <c r="I117" s="20" t="str">
        <f t="shared" si="5"/>
        <v xml:space="preserve">M    </v>
      </c>
    </row>
    <row r="118" spans="1:9">
      <c r="A118" s="17" t="s">
        <v>826</v>
      </c>
      <c r="B118" s="17" t="s">
        <v>837</v>
      </c>
      <c r="C118" s="17" t="s">
        <v>803</v>
      </c>
      <c r="D118" s="17" t="s">
        <v>801</v>
      </c>
      <c r="E118" s="18">
        <v>3004320800019</v>
      </c>
      <c r="G118" s="20" t="str">
        <f t="shared" si="3"/>
        <v xml:space="preserve"> ANSES/ATTACHES  </v>
      </c>
      <c r="H118" s="20" t="str">
        <f t="shared" si="4"/>
        <v>GOMAG</v>
      </c>
      <c r="I118" s="20" t="str">
        <f t="shared" si="5"/>
        <v xml:space="preserve">S    </v>
      </c>
    </row>
    <row r="119" spans="1:9">
      <c r="A119" s="17" t="s">
        <v>826</v>
      </c>
      <c r="B119" s="17" t="s">
        <v>837</v>
      </c>
      <c r="C119" s="17" t="s">
        <v>804</v>
      </c>
      <c r="D119" s="17" t="s">
        <v>801</v>
      </c>
      <c r="E119" s="18">
        <v>3004320800040</v>
      </c>
      <c r="G119" s="20" t="str">
        <f t="shared" si="3"/>
        <v xml:space="preserve"> ANSES/ATTACHES  </v>
      </c>
      <c r="H119" s="20" t="str">
        <f t="shared" si="4"/>
        <v>GOMAG</v>
      </c>
      <c r="I119" s="20" t="str">
        <f t="shared" si="5"/>
        <v xml:space="preserve">XL   </v>
      </c>
    </row>
    <row r="120" spans="1:9">
      <c r="A120" s="17" t="s">
        <v>826</v>
      </c>
      <c r="B120" s="17" t="s">
        <v>837</v>
      </c>
      <c r="C120" s="17" t="s">
        <v>805</v>
      </c>
      <c r="D120" s="17" t="s">
        <v>801</v>
      </c>
      <c r="E120" s="18">
        <v>3004320800002</v>
      </c>
      <c r="G120" s="20" t="str">
        <f t="shared" si="3"/>
        <v xml:space="preserve"> ANSES/ATTACHES  </v>
      </c>
      <c r="H120" s="20" t="str">
        <f t="shared" si="4"/>
        <v>GOMAG</v>
      </c>
      <c r="I120" s="20" t="str">
        <f t="shared" si="5"/>
        <v xml:space="preserve">XS   </v>
      </c>
    </row>
    <row r="121" spans="1:9">
      <c r="A121" s="17" t="s">
        <v>826</v>
      </c>
      <c r="B121" s="17" t="s">
        <v>837</v>
      </c>
      <c r="C121" s="17" t="s">
        <v>828</v>
      </c>
      <c r="D121" s="17" t="s">
        <v>801</v>
      </c>
      <c r="E121" s="18">
        <v>3004320800057</v>
      </c>
      <c r="G121" s="20" t="str">
        <f t="shared" si="3"/>
        <v xml:space="preserve"> ANSES/ATTACHES  </v>
      </c>
      <c r="H121" s="20" t="str">
        <f t="shared" si="4"/>
        <v>GOMAG</v>
      </c>
      <c r="I121" s="20" t="str">
        <f t="shared" si="5"/>
        <v xml:space="preserve">XXL  </v>
      </c>
    </row>
    <row r="122" spans="1:9">
      <c r="A122" s="17" t="s">
        <v>826</v>
      </c>
      <c r="B122" s="17" t="s">
        <v>837</v>
      </c>
      <c r="C122" s="17" t="s">
        <v>829</v>
      </c>
      <c r="D122" s="17" t="s">
        <v>801</v>
      </c>
      <c r="E122" s="18">
        <v>3004320800064</v>
      </c>
      <c r="G122" s="20" t="str">
        <f t="shared" si="3"/>
        <v xml:space="preserve"> ANSES/ATTACHES  </v>
      </c>
      <c r="H122" s="20" t="str">
        <f t="shared" si="4"/>
        <v>GOMAG</v>
      </c>
      <c r="I122" s="20" t="str">
        <f t="shared" si="5"/>
        <v xml:space="preserve">XXS  </v>
      </c>
    </row>
    <row r="123" spans="1:9">
      <c r="A123" s="17" t="s">
        <v>826</v>
      </c>
      <c r="B123" s="17" t="s">
        <v>838</v>
      </c>
      <c r="C123" s="17" t="s">
        <v>800</v>
      </c>
      <c r="D123" s="17" t="s">
        <v>801</v>
      </c>
      <c r="E123" s="18">
        <v>3004320497035</v>
      </c>
      <c r="G123" s="20" t="str">
        <f t="shared" si="3"/>
        <v xml:space="preserve"> ANSES/ATTACHES  </v>
      </c>
      <c r="H123" s="20" t="str">
        <f t="shared" si="4"/>
        <v>IVOIR</v>
      </c>
      <c r="I123" s="20" t="str">
        <f t="shared" si="5"/>
        <v xml:space="preserve">L    </v>
      </c>
    </row>
    <row r="124" spans="1:9">
      <c r="A124" s="17" t="s">
        <v>826</v>
      </c>
      <c r="B124" s="17" t="s">
        <v>838</v>
      </c>
      <c r="C124" s="17" t="s">
        <v>802</v>
      </c>
      <c r="D124" s="17" t="s">
        <v>801</v>
      </c>
      <c r="E124" s="18">
        <v>3004320497028</v>
      </c>
      <c r="G124" s="20" t="str">
        <f t="shared" si="3"/>
        <v xml:space="preserve"> ANSES/ATTACHES  </v>
      </c>
      <c r="H124" s="20" t="str">
        <f t="shared" si="4"/>
        <v>IVOIR</v>
      </c>
      <c r="I124" s="20" t="str">
        <f t="shared" si="5"/>
        <v xml:space="preserve">M    </v>
      </c>
    </row>
    <row r="125" spans="1:9">
      <c r="A125" s="17" t="s">
        <v>826</v>
      </c>
      <c r="B125" s="17" t="s">
        <v>838</v>
      </c>
      <c r="C125" s="17" t="s">
        <v>803</v>
      </c>
      <c r="D125" s="17" t="s">
        <v>801</v>
      </c>
      <c r="E125" s="18">
        <v>3004320497011</v>
      </c>
      <c r="G125" s="20" t="str">
        <f t="shared" si="3"/>
        <v xml:space="preserve"> ANSES/ATTACHES  </v>
      </c>
      <c r="H125" s="20" t="str">
        <f t="shared" si="4"/>
        <v>IVOIR</v>
      </c>
      <c r="I125" s="20" t="str">
        <f t="shared" si="5"/>
        <v xml:space="preserve">S    </v>
      </c>
    </row>
    <row r="126" spans="1:9">
      <c r="A126" s="17" t="s">
        <v>826</v>
      </c>
      <c r="B126" s="17" t="s">
        <v>838</v>
      </c>
      <c r="C126" s="17" t="s">
        <v>804</v>
      </c>
      <c r="D126" s="17" t="s">
        <v>801</v>
      </c>
      <c r="E126" s="18">
        <v>3004320497042</v>
      </c>
      <c r="G126" s="20" t="str">
        <f t="shared" si="3"/>
        <v xml:space="preserve"> ANSES/ATTACHES  </v>
      </c>
      <c r="H126" s="20" t="str">
        <f t="shared" si="4"/>
        <v>IVOIR</v>
      </c>
      <c r="I126" s="20" t="str">
        <f t="shared" si="5"/>
        <v xml:space="preserve">XL   </v>
      </c>
    </row>
    <row r="127" spans="1:9">
      <c r="A127" s="17" t="s">
        <v>826</v>
      </c>
      <c r="B127" s="17" t="s">
        <v>838</v>
      </c>
      <c r="C127" s="17" t="s">
        <v>805</v>
      </c>
      <c r="D127" s="17" t="s">
        <v>801</v>
      </c>
      <c r="E127" s="18">
        <v>3004320497004</v>
      </c>
      <c r="G127" s="20" t="str">
        <f t="shared" si="3"/>
        <v xml:space="preserve"> ANSES/ATTACHES  </v>
      </c>
      <c r="H127" s="20" t="str">
        <f t="shared" si="4"/>
        <v>IVOIR</v>
      </c>
      <c r="I127" s="20" t="str">
        <f t="shared" si="5"/>
        <v xml:space="preserve">XS   </v>
      </c>
    </row>
    <row r="128" spans="1:9">
      <c r="A128" s="17" t="s">
        <v>826</v>
      </c>
      <c r="B128" s="17" t="s">
        <v>838</v>
      </c>
      <c r="C128" s="17" t="s">
        <v>828</v>
      </c>
      <c r="D128" s="17" t="s">
        <v>801</v>
      </c>
      <c r="E128" s="18">
        <v>3004320497059</v>
      </c>
      <c r="G128" s="20" t="str">
        <f t="shared" si="3"/>
        <v xml:space="preserve"> ANSES/ATTACHES  </v>
      </c>
      <c r="H128" s="20" t="str">
        <f t="shared" si="4"/>
        <v>IVOIR</v>
      </c>
      <c r="I128" s="20" t="str">
        <f t="shared" si="5"/>
        <v xml:space="preserve">XXL  </v>
      </c>
    </row>
    <row r="129" spans="1:9">
      <c r="A129" s="17" t="s">
        <v>826</v>
      </c>
      <c r="B129" s="17" t="s">
        <v>838</v>
      </c>
      <c r="C129" s="17" t="s">
        <v>829</v>
      </c>
      <c r="D129" s="17" t="s">
        <v>801</v>
      </c>
      <c r="E129" s="18">
        <v>3004320497066</v>
      </c>
      <c r="G129" s="20" t="str">
        <f t="shared" si="3"/>
        <v xml:space="preserve"> ANSES/ATTACHES  </v>
      </c>
      <c r="H129" s="20" t="str">
        <f t="shared" si="4"/>
        <v>IVOIR</v>
      </c>
      <c r="I129" s="20" t="str">
        <f t="shared" si="5"/>
        <v xml:space="preserve">XXS  </v>
      </c>
    </row>
    <row r="130" spans="1:9">
      <c r="A130" s="17" t="s">
        <v>826</v>
      </c>
      <c r="B130" s="17" t="s">
        <v>839</v>
      </c>
      <c r="C130" s="17" t="s">
        <v>800</v>
      </c>
      <c r="D130" s="17" t="s">
        <v>801</v>
      </c>
      <c r="E130" s="18">
        <v>3004320397038</v>
      </c>
      <c r="G130" s="20" t="str">
        <f t="shared" si="3"/>
        <v xml:space="preserve"> ANSES/ATTACHES  </v>
      </c>
      <c r="H130" s="20" t="str">
        <f t="shared" si="4"/>
        <v xml:space="preserve">ROSA </v>
      </c>
      <c r="I130" s="20" t="str">
        <f t="shared" si="5"/>
        <v xml:space="preserve">L    </v>
      </c>
    </row>
    <row r="131" spans="1:9">
      <c r="A131" s="17" t="s">
        <v>826</v>
      </c>
      <c r="B131" s="17" t="s">
        <v>839</v>
      </c>
      <c r="C131" s="17" t="s">
        <v>802</v>
      </c>
      <c r="D131" s="17" t="s">
        <v>801</v>
      </c>
      <c r="E131" s="18">
        <v>3004320397021</v>
      </c>
      <c r="G131" s="20" t="str">
        <f t="shared" si="3"/>
        <v xml:space="preserve"> ANSES/ATTACHES  </v>
      </c>
      <c r="H131" s="20" t="str">
        <f t="shared" si="4"/>
        <v xml:space="preserve">ROSA </v>
      </c>
      <c r="I131" s="20" t="str">
        <f t="shared" si="5"/>
        <v xml:space="preserve">M    </v>
      </c>
    </row>
    <row r="132" spans="1:9">
      <c r="A132" s="17" t="s">
        <v>826</v>
      </c>
      <c r="B132" s="17" t="s">
        <v>839</v>
      </c>
      <c r="C132" s="17" t="s">
        <v>803</v>
      </c>
      <c r="D132" s="17" t="s">
        <v>801</v>
      </c>
      <c r="E132" s="18">
        <v>3004320397014</v>
      </c>
      <c r="G132" s="20" t="str">
        <f t="shared" si="3"/>
        <v xml:space="preserve"> ANSES/ATTACHES  </v>
      </c>
      <c r="H132" s="20" t="str">
        <f t="shared" si="4"/>
        <v xml:space="preserve">ROSA </v>
      </c>
      <c r="I132" s="20" t="str">
        <f t="shared" si="5"/>
        <v xml:space="preserve">S    </v>
      </c>
    </row>
    <row r="133" spans="1:9">
      <c r="A133" s="17" t="s">
        <v>826</v>
      </c>
      <c r="B133" s="17" t="s">
        <v>839</v>
      </c>
      <c r="C133" s="17" t="s">
        <v>804</v>
      </c>
      <c r="D133" s="17" t="s">
        <v>801</v>
      </c>
      <c r="E133" s="18">
        <v>3004320397045</v>
      </c>
      <c r="G133" s="20" t="str">
        <f t="shared" ref="G133:G196" si="6">A133</f>
        <v xml:space="preserve"> ANSES/ATTACHES  </v>
      </c>
      <c r="H133" s="20" t="str">
        <f t="shared" ref="H133:H196" si="7">B133</f>
        <v xml:space="preserve">ROSA </v>
      </c>
      <c r="I133" s="20" t="str">
        <f t="shared" ref="I133:I196" si="8">C133</f>
        <v xml:space="preserve">XL   </v>
      </c>
    </row>
    <row r="134" spans="1:9">
      <c r="A134" s="17" t="s">
        <v>826</v>
      </c>
      <c r="B134" s="17" t="s">
        <v>839</v>
      </c>
      <c r="C134" s="17" t="s">
        <v>805</v>
      </c>
      <c r="D134" s="17" t="s">
        <v>801</v>
      </c>
      <c r="E134" s="18">
        <v>3004320397007</v>
      </c>
      <c r="G134" s="20" t="str">
        <f t="shared" si="6"/>
        <v xml:space="preserve"> ANSES/ATTACHES  </v>
      </c>
      <c r="H134" s="20" t="str">
        <f t="shared" si="7"/>
        <v xml:space="preserve">ROSA </v>
      </c>
      <c r="I134" s="20" t="str">
        <f t="shared" si="8"/>
        <v xml:space="preserve">XS   </v>
      </c>
    </row>
    <row r="135" spans="1:9">
      <c r="A135" s="17" t="s">
        <v>826</v>
      </c>
      <c r="B135" s="17" t="s">
        <v>839</v>
      </c>
      <c r="C135" s="17" t="s">
        <v>828</v>
      </c>
      <c r="D135" s="17" t="s">
        <v>801</v>
      </c>
      <c r="E135" s="18">
        <v>3004320397052</v>
      </c>
      <c r="G135" s="20" t="str">
        <f t="shared" si="6"/>
        <v xml:space="preserve"> ANSES/ATTACHES  </v>
      </c>
      <c r="H135" s="20" t="str">
        <f t="shared" si="7"/>
        <v xml:space="preserve">ROSA </v>
      </c>
      <c r="I135" s="20" t="str">
        <f t="shared" si="8"/>
        <v xml:space="preserve">XXL  </v>
      </c>
    </row>
    <row r="136" spans="1:9">
      <c r="A136" s="17" t="s">
        <v>826</v>
      </c>
      <c r="B136" s="17" t="s">
        <v>839</v>
      </c>
      <c r="C136" s="17" t="s">
        <v>829</v>
      </c>
      <c r="D136" s="17" t="s">
        <v>801</v>
      </c>
      <c r="E136" s="18">
        <v>3004320397069</v>
      </c>
      <c r="G136" s="20" t="str">
        <f t="shared" si="6"/>
        <v xml:space="preserve"> ANSES/ATTACHES  </v>
      </c>
      <c r="H136" s="20" t="str">
        <f t="shared" si="7"/>
        <v xml:space="preserve">ROSA </v>
      </c>
      <c r="I136" s="20" t="str">
        <f t="shared" si="8"/>
        <v xml:space="preserve">XXS  </v>
      </c>
    </row>
    <row r="137" spans="1:9">
      <c r="A137" s="17" t="s">
        <v>826</v>
      </c>
      <c r="B137" s="17" t="s">
        <v>840</v>
      </c>
      <c r="C137" s="17" t="s">
        <v>800</v>
      </c>
      <c r="D137" s="17" t="s">
        <v>801</v>
      </c>
      <c r="E137" s="18">
        <v>3004320403036</v>
      </c>
      <c r="G137" s="20" t="str">
        <f t="shared" si="6"/>
        <v xml:space="preserve"> ANSES/ATTACHES  </v>
      </c>
      <c r="H137" s="20" t="str">
        <f t="shared" si="7"/>
        <v>SAUGE</v>
      </c>
      <c r="I137" s="20" t="str">
        <f t="shared" si="8"/>
        <v xml:space="preserve">L    </v>
      </c>
    </row>
    <row r="138" spans="1:9">
      <c r="A138" s="17" t="s">
        <v>826</v>
      </c>
      <c r="B138" s="17" t="s">
        <v>840</v>
      </c>
      <c r="C138" s="17" t="s">
        <v>802</v>
      </c>
      <c r="D138" s="17" t="s">
        <v>801</v>
      </c>
      <c r="E138" s="18">
        <v>3004320403029</v>
      </c>
      <c r="G138" s="20" t="str">
        <f t="shared" si="6"/>
        <v xml:space="preserve"> ANSES/ATTACHES  </v>
      </c>
      <c r="H138" s="20" t="str">
        <f t="shared" si="7"/>
        <v>SAUGE</v>
      </c>
      <c r="I138" s="20" t="str">
        <f t="shared" si="8"/>
        <v xml:space="preserve">M    </v>
      </c>
    </row>
    <row r="139" spans="1:9">
      <c r="A139" s="17" t="s">
        <v>826</v>
      </c>
      <c r="B139" s="17" t="s">
        <v>840</v>
      </c>
      <c r="C139" s="17" t="s">
        <v>803</v>
      </c>
      <c r="D139" s="17" t="s">
        <v>801</v>
      </c>
      <c r="E139" s="18">
        <v>3004320403012</v>
      </c>
      <c r="G139" s="20" t="str">
        <f t="shared" si="6"/>
        <v xml:space="preserve"> ANSES/ATTACHES  </v>
      </c>
      <c r="H139" s="20" t="str">
        <f t="shared" si="7"/>
        <v>SAUGE</v>
      </c>
      <c r="I139" s="20" t="str">
        <f t="shared" si="8"/>
        <v xml:space="preserve">S    </v>
      </c>
    </row>
    <row r="140" spans="1:9">
      <c r="A140" s="17" t="s">
        <v>826</v>
      </c>
      <c r="B140" s="17" t="s">
        <v>840</v>
      </c>
      <c r="C140" s="17" t="s">
        <v>804</v>
      </c>
      <c r="D140" s="17" t="s">
        <v>801</v>
      </c>
      <c r="E140" s="18">
        <v>3004320403043</v>
      </c>
      <c r="G140" s="20" t="str">
        <f t="shared" si="6"/>
        <v xml:space="preserve"> ANSES/ATTACHES  </v>
      </c>
      <c r="H140" s="20" t="str">
        <f t="shared" si="7"/>
        <v>SAUGE</v>
      </c>
      <c r="I140" s="20" t="str">
        <f t="shared" si="8"/>
        <v xml:space="preserve">XL   </v>
      </c>
    </row>
    <row r="141" spans="1:9">
      <c r="A141" s="17" t="s">
        <v>826</v>
      </c>
      <c r="B141" s="17" t="s">
        <v>840</v>
      </c>
      <c r="C141" s="17" t="s">
        <v>805</v>
      </c>
      <c r="D141" s="17" t="s">
        <v>801</v>
      </c>
      <c r="E141" s="18">
        <v>3004320403005</v>
      </c>
      <c r="G141" s="20" t="str">
        <f t="shared" si="6"/>
        <v xml:space="preserve"> ANSES/ATTACHES  </v>
      </c>
      <c r="H141" s="20" t="str">
        <f t="shared" si="7"/>
        <v>SAUGE</v>
      </c>
      <c r="I141" s="20" t="str">
        <f t="shared" si="8"/>
        <v xml:space="preserve">XS   </v>
      </c>
    </row>
    <row r="142" spans="1:9">
      <c r="A142" s="17" t="s">
        <v>826</v>
      </c>
      <c r="B142" s="17" t="s">
        <v>840</v>
      </c>
      <c r="C142" s="17" t="s">
        <v>828</v>
      </c>
      <c r="D142" s="17" t="s">
        <v>801</v>
      </c>
      <c r="E142" s="18">
        <v>3004320403050</v>
      </c>
      <c r="G142" s="20" t="str">
        <f t="shared" si="6"/>
        <v xml:space="preserve"> ANSES/ATTACHES  </v>
      </c>
      <c r="H142" s="20" t="str">
        <f t="shared" si="7"/>
        <v>SAUGE</v>
      </c>
      <c r="I142" s="20" t="str">
        <f t="shared" si="8"/>
        <v xml:space="preserve">XXL  </v>
      </c>
    </row>
    <row r="143" spans="1:9">
      <c r="A143" s="17" t="s">
        <v>826</v>
      </c>
      <c r="B143" s="17" t="s">
        <v>840</v>
      </c>
      <c r="C143" s="17" t="s">
        <v>829</v>
      </c>
      <c r="D143" s="17" t="s">
        <v>801</v>
      </c>
      <c r="E143" s="18">
        <v>3004320403067</v>
      </c>
      <c r="G143" s="20" t="str">
        <f t="shared" si="6"/>
        <v xml:space="preserve"> ANSES/ATTACHES  </v>
      </c>
      <c r="H143" s="20" t="str">
        <f t="shared" si="7"/>
        <v>SAUGE</v>
      </c>
      <c r="I143" s="20" t="str">
        <f t="shared" si="8"/>
        <v xml:space="preserve">XXS  </v>
      </c>
    </row>
    <row r="144" spans="1:9">
      <c r="A144" s="17" t="s">
        <v>826</v>
      </c>
      <c r="B144" s="17" t="s">
        <v>841</v>
      </c>
      <c r="C144" s="17">
        <v>0</v>
      </c>
      <c r="D144" s="17" t="s">
        <v>801</v>
      </c>
      <c r="E144" s="18">
        <v>3004320663003</v>
      </c>
      <c r="G144" s="20" t="str">
        <f t="shared" si="6"/>
        <v xml:space="preserve"> ANSES/ATTACHES  </v>
      </c>
      <c r="H144" s="20" t="str">
        <f t="shared" si="7"/>
        <v xml:space="preserve">TEST </v>
      </c>
      <c r="I144" s="20">
        <f t="shared" si="8"/>
        <v>0</v>
      </c>
    </row>
    <row r="145" spans="1:9">
      <c r="A145" s="17" t="s">
        <v>826</v>
      </c>
      <c r="B145" s="17" t="s">
        <v>841</v>
      </c>
      <c r="C145" s="17" t="s">
        <v>800</v>
      </c>
      <c r="D145" s="17" t="s">
        <v>801</v>
      </c>
      <c r="E145" s="18">
        <v>3004320663034</v>
      </c>
      <c r="G145" s="20" t="str">
        <f t="shared" si="6"/>
        <v xml:space="preserve"> ANSES/ATTACHES  </v>
      </c>
      <c r="H145" s="20" t="str">
        <f t="shared" si="7"/>
        <v xml:space="preserve">TEST </v>
      </c>
      <c r="I145" s="20" t="str">
        <f t="shared" si="8"/>
        <v xml:space="preserve">L    </v>
      </c>
    </row>
    <row r="146" spans="1:9">
      <c r="A146" s="17" t="s">
        <v>826</v>
      </c>
      <c r="B146" s="17" t="s">
        <v>841</v>
      </c>
      <c r="C146" s="17" t="s">
        <v>802</v>
      </c>
      <c r="D146" s="17" t="s">
        <v>801</v>
      </c>
      <c r="E146" s="18">
        <v>3004320663027</v>
      </c>
      <c r="G146" s="20" t="str">
        <f t="shared" si="6"/>
        <v xml:space="preserve"> ANSES/ATTACHES  </v>
      </c>
      <c r="H146" s="20" t="str">
        <f t="shared" si="7"/>
        <v xml:space="preserve">TEST </v>
      </c>
      <c r="I146" s="20" t="str">
        <f t="shared" si="8"/>
        <v xml:space="preserve">M    </v>
      </c>
    </row>
    <row r="147" spans="1:9">
      <c r="A147" s="17" t="s">
        <v>826</v>
      </c>
      <c r="B147" s="17" t="s">
        <v>841</v>
      </c>
      <c r="C147" s="17" t="s">
        <v>803</v>
      </c>
      <c r="D147" s="17" t="s">
        <v>801</v>
      </c>
      <c r="E147" s="18">
        <v>8058983595893</v>
      </c>
      <c r="G147" s="20" t="str">
        <f t="shared" si="6"/>
        <v xml:space="preserve"> ANSES/ATTACHES  </v>
      </c>
      <c r="H147" s="20" t="str">
        <f t="shared" si="7"/>
        <v xml:space="preserve">TEST </v>
      </c>
      <c r="I147" s="20" t="str">
        <f t="shared" si="8"/>
        <v xml:space="preserve">S    </v>
      </c>
    </row>
    <row r="148" spans="1:9">
      <c r="A148" s="17" t="s">
        <v>826</v>
      </c>
      <c r="B148" s="17" t="s">
        <v>841</v>
      </c>
      <c r="C148" s="17" t="s">
        <v>803</v>
      </c>
      <c r="D148" s="17" t="s">
        <v>801</v>
      </c>
      <c r="E148" s="18">
        <v>3004320663010</v>
      </c>
      <c r="G148" s="20" t="str">
        <f t="shared" si="6"/>
        <v xml:space="preserve"> ANSES/ATTACHES  </v>
      </c>
      <c r="H148" s="20" t="str">
        <f t="shared" si="7"/>
        <v xml:space="preserve">TEST </v>
      </c>
      <c r="I148" s="20" t="str">
        <f t="shared" si="8"/>
        <v xml:space="preserve">S    </v>
      </c>
    </row>
    <row r="149" spans="1:9">
      <c r="A149" s="17" t="s">
        <v>826</v>
      </c>
      <c r="B149" s="17" t="s">
        <v>841</v>
      </c>
      <c r="C149" s="17" t="s">
        <v>804</v>
      </c>
      <c r="D149" s="17" t="s">
        <v>801</v>
      </c>
      <c r="E149" s="18">
        <v>3004320663041</v>
      </c>
      <c r="G149" s="20" t="str">
        <f t="shared" si="6"/>
        <v xml:space="preserve"> ANSES/ATTACHES  </v>
      </c>
      <c r="H149" s="20" t="str">
        <f t="shared" si="7"/>
        <v xml:space="preserve">TEST </v>
      </c>
      <c r="I149" s="20" t="str">
        <f t="shared" si="8"/>
        <v xml:space="preserve">XL   </v>
      </c>
    </row>
    <row r="150" spans="1:9">
      <c r="A150" s="17" t="s">
        <v>826</v>
      </c>
      <c r="B150" s="17" t="s">
        <v>841</v>
      </c>
      <c r="C150" s="17" t="s">
        <v>805</v>
      </c>
      <c r="D150" s="17" t="s">
        <v>801</v>
      </c>
      <c r="E150" s="18">
        <v>3004980663009</v>
      </c>
      <c r="G150" s="20" t="str">
        <f t="shared" si="6"/>
        <v xml:space="preserve"> ANSES/ATTACHES  </v>
      </c>
      <c r="H150" s="20" t="str">
        <f t="shared" si="7"/>
        <v xml:space="preserve">TEST </v>
      </c>
      <c r="I150" s="20" t="str">
        <f t="shared" si="8"/>
        <v xml:space="preserve">XS   </v>
      </c>
    </row>
    <row r="151" spans="1:9">
      <c r="A151" s="17" t="s">
        <v>826</v>
      </c>
      <c r="B151" s="17" t="s">
        <v>841</v>
      </c>
      <c r="C151" s="17" t="s">
        <v>828</v>
      </c>
      <c r="D151" s="17" t="s">
        <v>801</v>
      </c>
      <c r="E151" s="18">
        <v>3004980663054</v>
      </c>
      <c r="G151" s="20" t="str">
        <f t="shared" si="6"/>
        <v xml:space="preserve"> ANSES/ATTACHES  </v>
      </c>
      <c r="H151" s="20" t="str">
        <f t="shared" si="7"/>
        <v xml:space="preserve">TEST </v>
      </c>
      <c r="I151" s="20" t="str">
        <f t="shared" si="8"/>
        <v xml:space="preserve">XXL  </v>
      </c>
    </row>
    <row r="152" spans="1:9">
      <c r="A152" s="17" t="s">
        <v>826</v>
      </c>
      <c r="B152" s="17" t="s">
        <v>841</v>
      </c>
      <c r="C152" s="17" t="s">
        <v>829</v>
      </c>
      <c r="D152" s="17" t="s">
        <v>801</v>
      </c>
      <c r="E152" s="18">
        <v>3004980663061</v>
      </c>
      <c r="G152" s="20" t="str">
        <f t="shared" si="6"/>
        <v xml:space="preserve"> ANSES/ATTACHES  </v>
      </c>
      <c r="H152" s="20" t="str">
        <f t="shared" si="7"/>
        <v xml:space="preserve">TEST </v>
      </c>
      <c r="I152" s="20" t="str">
        <f t="shared" si="8"/>
        <v xml:space="preserve">XXS  </v>
      </c>
    </row>
    <row r="153" spans="1:9">
      <c r="A153" s="17" t="s">
        <v>826</v>
      </c>
      <c r="B153" s="17" t="s">
        <v>842</v>
      </c>
      <c r="C153" s="17" t="s">
        <v>800</v>
      </c>
      <c r="D153" s="17" t="s">
        <v>801</v>
      </c>
      <c r="E153" s="18">
        <v>3004980472038</v>
      </c>
      <c r="G153" s="20" t="str">
        <f t="shared" si="6"/>
        <v xml:space="preserve"> ANSES/ATTACHES  </v>
      </c>
      <c r="H153" s="20" t="str">
        <f t="shared" si="7"/>
        <v>TREBR</v>
      </c>
      <c r="I153" s="20" t="str">
        <f t="shared" si="8"/>
        <v xml:space="preserve">L    </v>
      </c>
    </row>
    <row r="154" spans="1:9">
      <c r="A154" s="17" t="s">
        <v>826</v>
      </c>
      <c r="B154" s="17" t="s">
        <v>842</v>
      </c>
      <c r="C154" s="17" t="s">
        <v>802</v>
      </c>
      <c r="D154" s="17" t="s">
        <v>801</v>
      </c>
      <c r="E154" s="18">
        <v>3004980472021</v>
      </c>
      <c r="G154" s="20" t="str">
        <f t="shared" si="6"/>
        <v xml:space="preserve"> ANSES/ATTACHES  </v>
      </c>
      <c r="H154" s="20" t="str">
        <f t="shared" si="7"/>
        <v>TREBR</v>
      </c>
      <c r="I154" s="20" t="str">
        <f t="shared" si="8"/>
        <v xml:space="preserve">M    </v>
      </c>
    </row>
    <row r="155" spans="1:9">
      <c r="A155" s="17" t="s">
        <v>826</v>
      </c>
      <c r="B155" s="17" t="s">
        <v>842</v>
      </c>
      <c r="C155" s="17" t="s">
        <v>803</v>
      </c>
      <c r="D155" s="17" t="s">
        <v>801</v>
      </c>
      <c r="E155" s="18">
        <v>3004980472014</v>
      </c>
      <c r="G155" s="20" t="str">
        <f t="shared" si="6"/>
        <v xml:space="preserve"> ANSES/ATTACHES  </v>
      </c>
      <c r="H155" s="20" t="str">
        <f t="shared" si="7"/>
        <v>TREBR</v>
      </c>
      <c r="I155" s="20" t="str">
        <f t="shared" si="8"/>
        <v xml:space="preserve">S    </v>
      </c>
    </row>
    <row r="156" spans="1:9">
      <c r="A156" s="17" t="s">
        <v>826</v>
      </c>
      <c r="B156" s="17" t="s">
        <v>842</v>
      </c>
      <c r="C156" s="17" t="s">
        <v>804</v>
      </c>
      <c r="D156" s="17" t="s">
        <v>801</v>
      </c>
      <c r="E156" s="18">
        <v>3004980472045</v>
      </c>
      <c r="G156" s="20" t="str">
        <f t="shared" si="6"/>
        <v xml:space="preserve"> ANSES/ATTACHES  </v>
      </c>
      <c r="H156" s="20" t="str">
        <f t="shared" si="7"/>
        <v>TREBR</v>
      </c>
      <c r="I156" s="20" t="str">
        <f t="shared" si="8"/>
        <v xml:space="preserve">XL   </v>
      </c>
    </row>
    <row r="157" spans="1:9">
      <c r="A157" s="17" t="s">
        <v>826</v>
      </c>
      <c r="B157" s="17" t="s">
        <v>842</v>
      </c>
      <c r="C157" s="17" t="s">
        <v>805</v>
      </c>
      <c r="D157" s="17" t="s">
        <v>801</v>
      </c>
      <c r="E157" s="18">
        <v>3004980472007</v>
      </c>
      <c r="G157" s="20" t="str">
        <f t="shared" si="6"/>
        <v xml:space="preserve"> ANSES/ATTACHES  </v>
      </c>
      <c r="H157" s="20" t="str">
        <f t="shared" si="7"/>
        <v>TREBR</v>
      </c>
      <c r="I157" s="20" t="str">
        <f t="shared" si="8"/>
        <v xml:space="preserve">XS   </v>
      </c>
    </row>
    <row r="158" spans="1:9">
      <c r="A158" s="17" t="s">
        <v>826</v>
      </c>
      <c r="B158" s="17" t="s">
        <v>842</v>
      </c>
      <c r="C158" s="17" t="s">
        <v>828</v>
      </c>
      <c r="D158" s="17" t="s">
        <v>801</v>
      </c>
      <c r="E158" s="18">
        <v>3004980472052</v>
      </c>
      <c r="G158" s="20" t="str">
        <f t="shared" si="6"/>
        <v xml:space="preserve"> ANSES/ATTACHES  </v>
      </c>
      <c r="H158" s="20" t="str">
        <f t="shared" si="7"/>
        <v>TREBR</v>
      </c>
      <c r="I158" s="20" t="str">
        <f t="shared" si="8"/>
        <v xml:space="preserve">XXL  </v>
      </c>
    </row>
    <row r="159" spans="1:9">
      <c r="A159" s="17" t="s">
        <v>826</v>
      </c>
      <c r="B159" s="17" t="s">
        <v>842</v>
      </c>
      <c r="C159" s="17" t="s">
        <v>829</v>
      </c>
      <c r="D159" s="17" t="s">
        <v>801</v>
      </c>
      <c r="E159" s="18">
        <v>3004980472069</v>
      </c>
      <c r="G159" s="20" t="str">
        <f t="shared" si="6"/>
        <v xml:space="preserve"> ANSES/ATTACHES  </v>
      </c>
      <c r="H159" s="20" t="str">
        <f t="shared" si="7"/>
        <v>TREBR</v>
      </c>
      <c r="I159" s="20" t="str">
        <f t="shared" si="8"/>
        <v xml:space="preserve">XXS  </v>
      </c>
    </row>
    <row r="160" spans="1:9">
      <c r="A160" s="17" t="s">
        <v>826</v>
      </c>
      <c r="B160" s="17" t="s">
        <v>843</v>
      </c>
      <c r="C160" s="17" t="s">
        <v>800</v>
      </c>
      <c r="D160" s="17" t="s">
        <v>801</v>
      </c>
      <c r="E160" s="18">
        <v>3004980473035</v>
      </c>
      <c r="G160" s="20" t="str">
        <f t="shared" si="6"/>
        <v xml:space="preserve"> ANSES/ATTACHES  </v>
      </c>
      <c r="H160" s="20" t="str">
        <f t="shared" si="7"/>
        <v>TRENA</v>
      </c>
      <c r="I160" s="20" t="str">
        <f t="shared" si="8"/>
        <v xml:space="preserve">L    </v>
      </c>
    </row>
    <row r="161" spans="1:9">
      <c r="A161" s="17" t="s">
        <v>826</v>
      </c>
      <c r="B161" s="17" t="s">
        <v>843</v>
      </c>
      <c r="C161" s="17" t="s">
        <v>802</v>
      </c>
      <c r="D161" s="17" t="s">
        <v>801</v>
      </c>
      <c r="E161" s="18">
        <v>3004980473028</v>
      </c>
      <c r="G161" s="20" t="str">
        <f t="shared" si="6"/>
        <v xml:space="preserve"> ANSES/ATTACHES  </v>
      </c>
      <c r="H161" s="20" t="str">
        <f t="shared" si="7"/>
        <v>TRENA</v>
      </c>
      <c r="I161" s="20" t="str">
        <f t="shared" si="8"/>
        <v xml:space="preserve">M    </v>
      </c>
    </row>
    <row r="162" spans="1:9">
      <c r="A162" s="17" t="s">
        <v>826</v>
      </c>
      <c r="B162" s="17" t="s">
        <v>843</v>
      </c>
      <c r="C162" s="17" t="s">
        <v>803</v>
      </c>
      <c r="D162" s="17" t="s">
        <v>801</v>
      </c>
      <c r="E162" s="18">
        <v>3004980473011</v>
      </c>
      <c r="G162" s="20" t="str">
        <f t="shared" si="6"/>
        <v xml:space="preserve"> ANSES/ATTACHES  </v>
      </c>
      <c r="H162" s="20" t="str">
        <f t="shared" si="7"/>
        <v>TRENA</v>
      </c>
      <c r="I162" s="20" t="str">
        <f t="shared" si="8"/>
        <v xml:space="preserve">S    </v>
      </c>
    </row>
    <row r="163" spans="1:9">
      <c r="A163" s="17" t="s">
        <v>826</v>
      </c>
      <c r="B163" s="17" t="s">
        <v>843</v>
      </c>
      <c r="C163" s="17" t="s">
        <v>804</v>
      </c>
      <c r="D163" s="17" t="s">
        <v>801</v>
      </c>
      <c r="E163" s="18">
        <v>3004980473042</v>
      </c>
      <c r="G163" s="20" t="str">
        <f t="shared" si="6"/>
        <v xml:space="preserve"> ANSES/ATTACHES  </v>
      </c>
      <c r="H163" s="20" t="str">
        <f t="shared" si="7"/>
        <v>TRENA</v>
      </c>
      <c r="I163" s="20" t="str">
        <f t="shared" si="8"/>
        <v xml:space="preserve">XL   </v>
      </c>
    </row>
    <row r="164" spans="1:9">
      <c r="A164" s="17" t="s">
        <v>826</v>
      </c>
      <c r="B164" s="17" t="s">
        <v>843</v>
      </c>
      <c r="C164" s="17" t="s">
        <v>805</v>
      </c>
      <c r="D164" s="17" t="s">
        <v>801</v>
      </c>
      <c r="E164" s="18">
        <v>3004980473004</v>
      </c>
      <c r="G164" s="20" t="str">
        <f t="shared" si="6"/>
        <v xml:space="preserve"> ANSES/ATTACHES  </v>
      </c>
      <c r="H164" s="20" t="str">
        <f t="shared" si="7"/>
        <v>TRENA</v>
      </c>
      <c r="I164" s="20" t="str">
        <f t="shared" si="8"/>
        <v xml:space="preserve">XS   </v>
      </c>
    </row>
    <row r="165" spans="1:9">
      <c r="A165" s="17" t="s">
        <v>826</v>
      </c>
      <c r="B165" s="17" t="s">
        <v>843</v>
      </c>
      <c r="C165" s="17" t="s">
        <v>828</v>
      </c>
      <c r="D165" s="17" t="s">
        <v>801</v>
      </c>
      <c r="E165" s="18">
        <v>3004980473059</v>
      </c>
      <c r="G165" s="20" t="str">
        <f t="shared" si="6"/>
        <v xml:space="preserve"> ANSES/ATTACHES  </v>
      </c>
      <c r="H165" s="20" t="str">
        <f t="shared" si="7"/>
        <v>TRENA</v>
      </c>
      <c r="I165" s="20" t="str">
        <f t="shared" si="8"/>
        <v xml:space="preserve">XXL  </v>
      </c>
    </row>
    <row r="166" spans="1:9">
      <c r="A166" s="17" t="s">
        <v>826</v>
      </c>
      <c r="B166" s="17" t="s">
        <v>843</v>
      </c>
      <c r="C166" s="17" t="s">
        <v>829</v>
      </c>
      <c r="D166" s="17" t="s">
        <v>801</v>
      </c>
      <c r="E166" s="18">
        <v>3004980473066</v>
      </c>
      <c r="G166" s="20" t="str">
        <f t="shared" si="6"/>
        <v xml:space="preserve"> ANSES/ATTACHES  </v>
      </c>
      <c r="H166" s="20" t="str">
        <f t="shared" si="7"/>
        <v>TRENA</v>
      </c>
      <c r="I166" s="20" t="str">
        <f t="shared" si="8"/>
        <v xml:space="preserve">XXS  </v>
      </c>
    </row>
    <row r="167" spans="1:9">
      <c r="A167" s="17" t="s">
        <v>826</v>
      </c>
      <c r="B167" s="17" t="s">
        <v>844</v>
      </c>
      <c r="C167" s="17" t="s">
        <v>800</v>
      </c>
      <c r="D167" s="17" t="s">
        <v>801</v>
      </c>
      <c r="E167" s="18">
        <v>3004320715030</v>
      </c>
      <c r="G167" s="20" t="str">
        <f t="shared" si="6"/>
        <v xml:space="preserve"> ANSES/ATTACHES  </v>
      </c>
      <c r="H167" s="20" t="str">
        <f t="shared" si="7"/>
        <v>VERCI</v>
      </c>
      <c r="I167" s="20" t="str">
        <f t="shared" si="8"/>
        <v xml:space="preserve">L    </v>
      </c>
    </row>
    <row r="168" spans="1:9">
      <c r="A168" s="17" t="s">
        <v>826</v>
      </c>
      <c r="B168" s="17" t="s">
        <v>844</v>
      </c>
      <c r="C168" s="17" t="s">
        <v>802</v>
      </c>
      <c r="D168" s="17" t="s">
        <v>801</v>
      </c>
      <c r="E168" s="18">
        <v>3004320715023</v>
      </c>
      <c r="G168" s="20" t="str">
        <f t="shared" si="6"/>
        <v xml:space="preserve"> ANSES/ATTACHES  </v>
      </c>
      <c r="H168" s="20" t="str">
        <f t="shared" si="7"/>
        <v>VERCI</v>
      </c>
      <c r="I168" s="20" t="str">
        <f t="shared" si="8"/>
        <v xml:space="preserve">M    </v>
      </c>
    </row>
    <row r="169" spans="1:9">
      <c r="A169" s="17" t="s">
        <v>826</v>
      </c>
      <c r="B169" s="17" t="s">
        <v>844</v>
      </c>
      <c r="C169" s="17" t="s">
        <v>803</v>
      </c>
      <c r="D169" s="17" t="s">
        <v>801</v>
      </c>
      <c r="E169" s="18">
        <v>3004320715016</v>
      </c>
      <c r="G169" s="20" t="str">
        <f t="shared" si="6"/>
        <v xml:space="preserve"> ANSES/ATTACHES  </v>
      </c>
      <c r="H169" s="20" t="str">
        <f t="shared" si="7"/>
        <v>VERCI</v>
      </c>
      <c r="I169" s="20" t="str">
        <f t="shared" si="8"/>
        <v xml:space="preserve">S    </v>
      </c>
    </row>
    <row r="170" spans="1:9">
      <c r="A170" s="17" t="s">
        <v>826</v>
      </c>
      <c r="B170" s="17" t="s">
        <v>844</v>
      </c>
      <c r="C170" s="17" t="s">
        <v>804</v>
      </c>
      <c r="D170" s="17" t="s">
        <v>801</v>
      </c>
      <c r="E170" s="18">
        <v>3004320715047</v>
      </c>
      <c r="G170" s="20" t="str">
        <f t="shared" si="6"/>
        <v xml:space="preserve"> ANSES/ATTACHES  </v>
      </c>
      <c r="H170" s="20" t="str">
        <f t="shared" si="7"/>
        <v>VERCI</v>
      </c>
      <c r="I170" s="20" t="str">
        <f t="shared" si="8"/>
        <v xml:space="preserve">XL   </v>
      </c>
    </row>
    <row r="171" spans="1:9">
      <c r="A171" s="17" t="s">
        <v>826</v>
      </c>
      <c r="B171" s="17" t="s">
        <v>844</v>
      </c>
      <c r="C171" s="17" t="s">
        <v>805</v>
      </c>
      <c r="D171" s="17" t="s">
        <v>801</v>
      </c>
      <c r="E171" s="18">
        <v>3004320715009</v>
      </c>
      <c r="G171" s="20" t="str">
        <f t="shared" si="6"/>
        <v xml:space="preserve"> ANSES/ATTACHES  </v>
      </c>
      <c r="H171" s="20" t="str">
        <f t="shared" si="7"/>
        <v>VERCI</v>
      </c>
      <c r="I171" s="20" t="str">
        <f t="shared" si="8"/>
        <v xml:space="preserve">XS   </v>
      </c>
    </row>
    <row r="172" spans="1:9">
      <c r="A172" s="17" t="s">
        <v>826</v>
      </c>
      <c r="B172" s="17" t="s">
        <v>844</v>
      </c>
      <c r="C172" s="17" t="s">
        <v>828</v>
      </c>
      <c r="D172" s="17" t="s">
        <v>801</v>
      </c>
      <c r="E172" s="18">
        <v>3004320715054</v>
      </c>
      <c r="G172" s="20" t="str">
        <f t="shared" si="6"/>
        <v xml:space="preserve"> ANSES/ATTACHES  </v>
      </c>
      <c r="H172" s="20" t="str">
        <f t="shared" si="7"/>
        <v>VERCI</v>
      </c>
      <c r="I172" s="20" t="str">
        <f t="shared" si="8"/>
        <v xml:space="preserve">XXL  </v>
      </c>
    </row>
    <row r="173" spans="1:9">
      <c r="A173" s="17" t="s">
        <v>826</v>
      </c>
      <c r="B173" s="17" t="s">
        <v>844</v>
      </c>
      <c r="C173" s="17" t="s">
        <v>829</v>
      </c>
      <c r="D173" s="17" t="s">
        <v>801</v>
      </c>
      <c r="E173" s="18">
        <v>3004320715061</v>
      </c>
      <c r="G173" s="20" t="str">
        <f t="shared" si="6"/>
        <v xml:space="preserve"> ANSES/ATTACHES  </v>
      </c>
      <c r="H173" s="20" t="str">
        <f t="shared" si="7"/>
        <v>VERCI</v>
      </c>
      <c r="I173" s="20" t="str">
        <f t="shared" si="8"/>
        <v xml:space="preserve">XXS  </v>
      </c>
    </row>
    <row r="174" spans="1:9">
      <c r="A174" s="17" t="s">
        <v>826</v>
      </c>
      <c r="B174" s="17" t="s">
        <v>845</v>
      </c>
      <c r="C174" s="17" t="s">
        <v>800</v>
      </c>
      <c r="D174" s="17" t="s">
        <v>801</v>
      </c>
      <c r="E174" s="18">
        <v>3004320714033</v>
      </c>
      <c r="G174" s="20" t="str">
        <f t="shared" si="6"/>
        <v xml:space="preserve"> ANSES/ATTACHES  </v>
      </c>
      <c r="H174" s="20" t="str">
        <f t="shared" si="7"/>
        <v>VERRO</v>
      </c>
      <c r="I174" s="20" t="str">
        <f t="shared" si="8"/>
        <v xml:space="preserve">L    </v>
      </c>
    </row>
    <row r="175" spans="1:9">
      <c r="A175" s="17" t="s">
        <v>826</v>
      </c>
      <c r="B175" s="17" t="s">
        <v>845</v>
      </c>
      <c r="C175" s="17" t="s">
        <v>802</v>
      </c>
      <c r="D175" s="17" t="s">
        <v>801</v>
      </c>
      <c r="E175" s="18">
        <v>3004320714026</v>
      </c>
      <c r="G175" s="20" t="str">
        <f t="shared" si="6"/>
        <v xml:space="preserve"> ANSES/ATTACHES  </v>
      </c>
      <c r="H175" s="20" t="str">
        <f t="shared" si="7"/>
        <v>VERRO</v>
      </c>
      <c r="I175" s="20" t="str">
        <f t="shared" si="8"/>
        <v xml:space="preserve">M    </v>
      </c>
    </row>
    <row r="176" spans="1:9">
      <c r="A176" s="17" t="s">
        <v>826</v>
      </c>
      <c r="B176" s="17" t="s">
        <v>845</v>
      </c>
      <c r="C176" s="17" t="s">
        <v>803</v>
      </c>
      <c r="D176" s="17" t="s">
        <v>801</v>
      </c>
      <c r="E176" s="18">
        <v>3004320714019</v>
      </c>
      <c r="G176" s="20" t="str">
        <f t="shared" si="6"/>
        <v xml:space="preserve"> ANSES/ATTACHES  </v>
      </c>
      <c r="H176" s="20" t="str">
        <f t="shared" si="7"/>
        <v>VERRO</v>
      </c>
      <c r="I176" s="20" t="str">
        <f t="shared" si="8"/>
        <v xml:space="preserve">S    </v>
      </c>
    </row>
    <row r="177" spans="1:9">
      <c r="A177" s="17" t="s">
        <v>826</v>
      </c>
      <c r="B177" s="17" t="s">
        <v>845</v>
      </c>
      <c r="C177" s="17" t="s">
        <v>804</v>
      </c>
      <c r="D177" s="17" t="s">
        <v>801</v>
      </c>
      <c r="E177" s="18">
        <v>3004320714040</v>
      </c>
      <c r="G177" s="20" t="str">
        <f t="shared" si="6"/>
        <v xml:space="preserve"> ANSES/ATTACHES  </v>
      </c>
      <c r="H177" s="20" t="str">
        <f t="shared" si="7"/>
        <v>VERRO</v>
      </c>
      <c r="I177" s="20" t="str">
        <f t="shared" si="8"/>
        <v xml:space="preserve">XL   </v>
      </c>
    </row>
    <row r="178" spans="1:9">
      <c r="A178" s="17" t="s">
        <v>826</v>
      </c>
      <c r="B178" s="17" t="s">
        <v>845</v>
      </c>
      <c r="C178" s="17" t="s">
        <v>805</v>
      </c>
      <c r="D178" s="17" t="s">
        <v>801</v>
      </c>
      <c r="E178" s="18">
        <v>3004320714002</v>
      </c>
      <c r="G178" s="20" t="str">
        <f t="shared" si="6"/>
        <v xml:space="preserve"> ANSES/ATTACHES  </v>
      </c>
      <c r="H178" s="20" t="str">
        <f t="shared" si="7"/>
        <v>VERRO</v>
      </c>
      <c r="I178" s="20" t="str">
        <f t="shared" si="8"/>
        <v xml:space="preserve">XS   </v>
      </c>
    </row>
    <row r="179" spans="1:9">
      <c r="A179" s="17" t="s">
        <v>826</v>
      </c>
      <c r="B179" s="17" t="s">
        <v>845</v>
      </c>
      <c r="C179" s="17" t="s">
        <v>828</v>
      </c>
      <c r="D179" s="17" t="s">
        <v>801</v>
      </c>
      <c r="E179" s="18">
        <v>3004320714057</v>
      </c>
      <c r="G179" s="20" t="str">
        <f t="shared" si="6"/>
        <v xml:space="preserve"> ANSES/ATTACHES  </v>
      </c>
      <c r="H179" s="20" t="str">
        <f t="shared" si="7"/>
        <v>VERRO</v>
      </c>
      <c r="I179" s="20" t="str">
        <f t="shared" si="8"/>
        <v xml:space="preserve">XXL  </v>
      </c>
    </row>
    <row r="180" spans="1:9">
      <c r="A180" s="17" t="s">
        <v>826</v>
      </c>
      <c r="B180" s="17" t="s">
        <v>845</v>
      </c>
      <c r="C180" s="17" t="s">
        <v>829</v>
      </c>
      <c r="D180" s="17" t="s">
        <v>801</v>
      </c>
      <c r="E180" s="18">
        <v>3004320714064</v>
      </c>
      <c r="G180" s="20" t="str">
        <f t="shared" si="6"/>
        <v xml:space="preserve"> ANSES/ATTACHES  </v>
      </c>
      <c r="H180" s="20" t="str">
        <f t="shared" si="7"/>
        <v>VERRO</v>
      </c>
      <c r="I180" s="20" t="str">
        <f t="shared" si="8"/>
        <v xml:space="preserve">XXS  </v>
      </c>
    </row>
    <row r="181" spans="1:9">
      <c r="A181" s="17" t="s">
        <v>846</v>
      </c>
      <c r="B181" s="17" t="s">
        <v>847</v>
      </c>
      <c r="C181" s="17">
        <v>0</v>
      </c>
      <c r="D181" s="17" t="s">
        <v>801</v>
      </c>
      <c r="E181" s="18">
        <v>3004720814005</v>
      </c>
      <c r="G181" s="20" t="str">
        <f t="shared" si="6"/>
        <v xml:space="preserve"> ANSES/BEACH     </v>
      </c>
      <c r="H181" s="20" t="str">
        <f t="shared" si="7"/>
        <v>COARA</v>
      </c>
      <c r="I181" s="20">
        <f t="shared" si="8"/>
        <v>0</v>
      </c>
    </row>
    <row r="182" spans="1:9">
      <c r="A182" s="17" t="s">
        <v>846</v>
      </c>
      <c r="B182" s="17" t="s">
        <v>848</v>
      </c>
      <c r="C182" s="17">
        <v>0</v>
      </c>
      <c r="D182" s="17" t="s">
        <v>801</v>
      </c>
      <c r="E182" s="18">
        <v>3004720816009</v>
      </c>
      <c r="G182" s="20" t="str">
        <f t="shared" si="6"/>
        <v xml:space="preserve"> ANSES/BEACH     </v>
      </c>
      <c r="H182" s="20" t="str">
        <f t="shared" si="7"/>
        <v>COGIA</v>
      </c>
      <c r="I182" s="20">
        <f t="shared" si="8"/>
        <v>0</v>
      </c>
    </row>
    <row r="183" spans="1:9">
      <c r="A183" s="17" t="s">
        <v>846</v>
      </c>
      <c r="B183" s="17" t="s">
        <v>849</v>
      </c>
      <c r="C183" s="17">
        <v>0</v>
      </c>
      <c r="D183" s="17" t="s">
        <v>801</v>
      </c>
      <c r="E183" s="18">
        <v>3004720815002</v>
      </c>
      <c r="G183" s="20" t="str">
        <f t="shared" si="6"/>
        <v xml:space="preserve"> ANSES/BEACH     </v>
      </c>
      <c r="H183" s="20" t="str">
        <f t="shared" si="7"/>
        <v>COMAG</v>
      </c>
      <c r="I183" s="20">
        <f t="shared" si="8"/>
        <v>0</v>
      </c>
    </row>
    <row r="184" spans="1:9">
      <c r="A184" s="17" t="s">
        <v>846</v>
      </c>
      <c r="B184" s="17" t="s">
        <v>850</v>
      </c>
      <c r="C184" s="17">
        <v>0</v>
      </c>
      <c r="D184" s="17" t="s">
        <v>801</v>
      </c>
      <c r="E184" s="18">
        <v>3004720817006</v>
      </c>
      <c r="G184" s="20" t="str">
        <f t="shared" si="6"/>
        <v xml:space="preserve"> ANSES/BEACH     </v>
      </c>
      <c r="H184" s="20" t="str">
        <f t="shared" si="7"/>
        <v>FOUAR</v>
      </c>
      <c r="I184" s="20">
        <f t="shared" si="8"/>
        <v>0</v>
      </c>
    </row>
    <row r="185" spans="1:9">
      <c r="A185" s="17" t="s">
        <v>846</v>
      </c>
      <c r="B185" s="17" t="s">
        <v>851</v>
      </c>
      <c r="C185" s="17">
        <v>0</v>
      </c>
      <c r="D185" s="17" t="s">
        <v>801</v>
      </c>
      <c r="E185" s="18">
        <v>3004720000002</v>
      </c>
      <c r="G185" s="20" t="str">
        <f t="shared" si="6"/>
        <v xml:space="preserve"> ANSES/BEACH     </v>
      </c>
      <c r="H185" s="20" t="str">
        <f t="shared" si="7"/>
        <v xml:space="preserve">FOUM </v>
      </c>
      <c r="I185" s="20">
        <f t="shared" si="8"/>
        <v>0</v>
      </c>
    </row>
    <row r="186" spans="1:9">
      <c r="A186" s="17" t="s">
        <v>846</v>
      </c>
      <c r="B186" s="17" t="s">
        <v>851</v>
      </c>
      <c r="C186" s="17">
        <v>0</v>
      </c>
      <c r="D186" s="17" t="s">
        <v>801</v>
      </c>
      <c r="E186" s="18">
        <v>3004720818003</v>
      </c>
      <c r="G186" s="20" t="str">
        <f t="shared" si="6"/>
        <v xml:space="preserve"> ANSES/BEACH     </v>
      </c>
      <c r="H186" s="20" t="str">
        <f t="shared" si="7"/>
        <v xml:space="preserve">FOUM </v>
      </c>
      <c r="I186" s="20">
        <f t="shared" si="8"/>
        <v>0</v>
      </c>
    </row>
    <row r="187" spans="1:9">
      <c r="A187" s="17" t="s">
        <v>852</v>
      </c>
      <c r="B187" s="17" t="s">
        <v>853</v>
      </c>
      <c r="C187" s="17">
        <v>0</v>
      </c>
      <c r="D187" s="17" t="s">
        <v>801</v>
      </c>
      <c r="E187" s="18">
        <v>3003930499002</v>
      </c>
      <c r="G187" s="20" t="str">
        <f t="shared" si="6"/>
        <v xml:space="preserve"> ANSES/CHAINE    </v>
      </c>
      <c r="H187" s="20" t="str">
        <f t="shared" si="7"/>
        <v>BRONZ</v>
      </c>
      <c r="I187" s="20">
        <f t="shared" si="8"/>
        <v>0</v>
      </c>
    </row>
    <row r="188" spans="1:9">
      <c r="A188" s="17" t="s">
        <v>852</v>
      </c>
      <c r="B188" s="17" t="s">
        <v>854</v>
      </c>
      <c r="C188" s="17">
        <v>0</v>
      </c>
      <c r="D188" s="17" t="s">
        <v>801</v>
      </c>
      <c r="E188" s="18">
        <v>3003930561006</v>
      </c>
      <c r="G188" s="20" t="str">
        <f t="shared" si="6"/>
        <v xml:space="preserve"> ANSES/CHAINE    </v>
      </c>
      <c r="H188" s="20" t="str">
        <f t="shared" si="7"/>
        <v xml:space="preserve">OR   </v>
      </c>
      <c r="I188" s="20">
        <f t="shared" si="8"/>
        <v>0</v>
      </c>
    </row>
    <row r="189" spans="1:9">
      <c r="A189" s="17" t="s">
        <v>852</v>
      </c>
      <c r="B189" s="17" t="s">
        <v>855</v>
      </c>
      <c r="C189" s="17">
        <v>0</v>
      </c>
      <c r="D189" s="17" t="s">
        <v>801</v>
      </c>
      <c r="E189" s="18">
        <v>3004640617007</v>
      </c>
      <c r="G189" s="20" t="str">
        <f t="shared" si="6"/>
        <v xml:space="preserve"> ANSES/CHAINE    </v>
      </c>
      <c r="H189" s="20" t="str">
        <f t="shared" si="7"/>
        <v>SILVE</v>
      </c>
      <c r="I189" s="20">
        <f t="shared" si="8"/>
        <v>0</v>
      </c>
    </row>
    <row r="190" spans="1:9">
      <c r="A190" s="17" t="s">
        <v>856</v>
      </c>
      <c r="B190" s="17" t="s">
        <v>280</v>
      </c>
      <c r="C190" s="17" t="s">
        <v>800</v>
      </c>
      <c r="D190" s="17" t="s">
        <v>801</v>
      </c>
      <c r="E190" s="18">
        <v>3003240001032</v>
      </c>
      <c r="G190" s="20" t="str">
        <f t="shared" si="6"/>
        <v xml:space="preserve"> ANSES/CORDE     </v>
      </c>
      <c r="H190" s="20" t="str">
        <f t="shared" si="7"/>
        <v>BLACK</v>
      </c>
      <c r="I190" s="20" t="str">
        <f t="shared" si="8"/>
        <v xml:space="preserve">L    </v>
      </c>
    </row>
    <row r="191" spans="1:9">
      <c r="A191" s="17" t="s">
        <v>856</v>
      </c>
      <c r="B191" s="17" t="s">
        <v>280</v>
      </c>
      <c r="C191" s="17" t="s">
        <v>800</v>
      </c>
      <c r="D191" s="17" t="s">
        <v>801</v>
      </c>
      <c r="E191" s="18">
        <v>8051770309055</v>
      </c>
      <c r="G191" s="20" t="str">
        <f t="shared" si="6"/>
        <v xml:space="preserve"> ANSES/CORDE     </v>
      </c>
      <c r="H191" s="20" t="str">
        <f t="shared" si="7"/>
        <v>BLACK</v>
      </c>
      <c r="I191" s="20" t="str">
        <f t="shared" si="8"/>
        <v xml:space="preserve">L    </v>
      </c>
    </row>
    <row r="192" spans="1:9">
      <c r="A192" s="17" t="s">
        <v>856</v>
      </c>
      <c r="B192" s="17" t="s">
        <v>280</v>
      </c>
      <c r="C192" s="17" t="s">
        <v>802</v>
      </c>
      <c r="D192" s="17" t="s">
        <v>801</v>
      </c>
      <c r="E192" s="18">
        <v>3003240001025</v>
      </c>
      <c r="G192" s="20" t="str">
        <f t="shared" si="6"/>
        <v xml:space="preserve"> ANSES/CORDE     </v>
      </c>
      <c r="H192" s="20" t="str">
        <f t="shared" si="7"/>
        <v>BLACK</v>
      </c>
      <c r="I192" s="20" t="str">
        <f t="shared" si="8"/>
        <v xml:space="preserve">M    </v>
      </c>
    </row>
    <row r="193" spans="1:9">
      <c r="A193" s="17" t="s">
        <v>856</v>
      </c>
      <c r="B193" s="17" t="s">
        <v>280</v>
      </c>
      <c r="C193" s="17" t="s">
        <v>803</v>
      </c>
      <c r="D193" s="17" t="s">
        <v>801</v>
      </c>
      <c r="E193" s="18">
        <v>3003240001018</v>
      </c>
      <c r="G193" s="20" t="str">
        <f t="shared" si="6"/>
        <v xml:space="preserve"> ANSES/CORDE     </v>
      </c>
      <c r="H193" s="20" t="str">
        <f t="shared" si="7"/>
        <v>BLACK</v>
      </c>
      <c r="I193" s="20" t="str">
        <f t="shared" si="8"/>
        <v xml:space="preserve">S    </v>
      </c>
    </row>
    <row r="194" spans="1:9">
      <c r="A194" s="17" t="s">
        <v>856</v>
      </c>
      <c r="B194" s="17" t="s">
        <v>280</v>
      </c>
      <c r="C194" s="17" t="s">
        <v>803</v>
      </c>
      <c r="D194" s="17" t="s">
        <v>801</v>
      </c>
      <c r="E194" s="18">
        <v>8050450213675</v>
      </c>
      <c r="G194" s="20" t="str">
        <f t="shared" si="6"/>
        <v xml:space="preserve"> ANSES/CORDE     </v>
      </c>
      <c r="H194" s="20" t="str">
        <f t="shared" si="7"/>
        <v>BLACK</v>
      </c>
      <c r="I194" s="20" t="str">
        <f t="shared" si="8"/>
        <v xml:space="preserve">S    </v>
      </c>
    </row>
    <row r="195" spans="1:9">
      <c r="A195" s="17" t="s">
        <v>856</v>
      </c>
      <c r="B195" s="17" t="s">
        <v>280</v>
      </c>
      <c r="C195" s="17" t="s">
        <v>804</v>
      </c>
      <c r="D195" s="17" t="s">
        <v>801</v>
      </c>
      <c r="E195" s="18">
        <v>3003240001049</v>
      </c>
      <c r="G195" s="20" t="str">
        <f t="shared" si="6"/>
        <v xml:space="preserve"> ANSES/CORDE     </v>
      </c>
      <c r="H195" s="20" t="str">
        <f t="shared" si="7"/>
        <v>BLACK</v>
      </c>
      <c r="I195" s="20" t="str">
        <f t="shared" si="8"/>
        <v xml:space="preserve">XL   </v>
      </c>
    </row>
    <row r="196" spans="1:9">
      <c r="A196" s="17" t="s">
        <v>856</v>
      </c>
      <c r="B196" s="17" t="s">
        <v>280</v>
      </c>
      <c r="C196" s="17" t="s">
        <v>805</v>
      </c>
      <c r="D196" s="17" t="s">
        <v>801</v>
      </c>
      <c r="E196" s="18">
        <v>3003240001001</v>
      </c>
      <c r="G196" s="20" t="str">
        <f t="shared" si="6"/>
        <v xml:space="preserve"> ANSES/CORDE     </v>
      </c>
      <c r="H196" s="20" t="str">
        <f t="shared" si="7"/>
        <v>BLACK</v>
      </c>
      <c r="I196" s="20" t="str">
        <f t="shared" si="8"/>
        <v xml:space="preserve">XS   </v>
      </c>
    </row>
    <row r="197" spans="1:9">
      <c r="A197" s="17" t="s">
        <v>856</v>
      </c>
      <c r="B197" s="17" t="s">
        <v>810</v>
      </c>
      <c r="C197" s="17" t="s">
        <v>800</v>
      </c>
      <c r="D197" s="17" t="s">
        <v>801</v>
      </c>
      <c r="E197" s="18">
        <v>3020340319034</v>
      </c>
      <c r="G197" s="20" t="str">
        <f t="shared" ref="G197:G260" si="9">A197</f>
        <v xml:space="preserve"> ANSES/CORDE     </v>
      </c>
      <c r="H197" s="20" t="str">
        <f t="shared" ref="H197:H260" si="10">B197</f>
        <v xml:space="preserve">BLUE </v>
      </c>
      <c r="I197" s="20" t="str">
        <f t="shared" ref="I197:I260" si="11">C197</f>
        <v xml:space="preserve">L    </v>
      </c>
    </row>
    <row r="198" spans="1:9">
      <c r="A198" s="17" t="s">
        <v>856</v>
      </c>
      <c r="B198" s="17" t="s">
        <v>810</v>
      </c>
      <c r="C198" s="17" t="s">
        <v>800</v>
      </c>
      <c r="D198" s="17" t="s">
        <v>801</v>
      </c>
      <c r="E198" s="18">
        <v>8056098538118</v>
      </c>
      <c r="G198" s="20" t="str">
        <f t="shared" si="9"/>
        <v xml:space="preserve"> ANSES/CORDE     </v>
      </c>
      <c r="H198" s="20" t="str">
        <f t="shared" si="10"/>
        <v xml:space="preserve">BLUE </v>
      </c>
      <c r="I198" s="20" t="str">
        <f t="shared" si="11"/>
        <v xml:space="preserve">L    </v>
      </c>
    </row>
    <row r="199" spans="1:9">
      <c r="A199" s="17" t="s">
        <v>856</v>
      </c>
      <c r="B199" s="17" t="s">
        <v>810</v>
      </c>
      <c r="C199" s="17" t="s">
        <v>800</v>
      </c>
      <c r="D199" s="17" t="s">
        <v>801</v>
      </c>
      <c r="E199" s="18">
        <v>8050450212050</v>
      </c>
      <c r="G199" s="20" t="str">
        <f t="shared" si="9"/>
        <v xml:space="preserve"> ANSES/CORDE     </v>
      </c>
      <c r="H199" s="20" t="str">
        <f t="shared" si="10"/>
        <v xml:space="preserve">BLUE </v>
      </c>
      <c r="I199" s="20" t="str">
        <f t="shared" si="11"/>
        <v xml:space="preserve">L    </v>
      </c>
    </row>
    <row r="200" spans="1:9">
      <c r="A200" s="17" t="s">
        <v>856</v>
      </c>
      <c r="B200" s="17" t="s">
        <v>810</v>
      </c>
      <c r="C200" s="17" t="s">
        <v>802</v>
      </c>
      <c r="D200" s="17" t="s">
        <v>801</v>
      </c>
      <c r="E200" s="18">
        <v>3020340319027</v>
      </c>
      <c r="G200" s="20" t="str">
        <f t="shared" si="9"/>
        <v xml:space="preserve"> ANSES/CORDE     </v>
      </c>
      <c r="H200" s="20" t="str">
        <f t="shared" si="10"/>
        <v xml:space="preserve">BLUE </v>
      </c>
      <c r="I200" s="20" t="str">
        <f t="shared" si="11"/>
        <v xml:space="preserve">M    </v>
      </c>
    </row>
    <row r="201" spans="1:9">
      <c r="A201" s="17" t="s">
        <v>856</v>
      </c>
      <c r="B201" s="17" t="s">
        <v>810</v>
      </c>
      <c r="C201" s="17" t="s">
        <v>803</v>
      </c>
      <c r="D201" s="17" t="s">
        <v>801</v>
      </c>
      <c r="E201" s="18">
        <v>3020340319010</v>
      </c>
      <c r="G201" s="20" t="str">
        <f t="shared" si="9"/>
        <v xml:space="preserve"> ANSES/CORDE     </v>
      </c>
      <c r="H201" s="20" t="str">
        <f t="shared" si="10"/>
        <v xml:space="preserve">BLUE </v>
      </c>
      <c r="I201" s="20" t="str">
        <f t="shared" si="11"/>
        <v xml:space="preserve">S    </v>
      </c>
    </row>
    <row r="202" spans="1:9">
      <c r="A202" s="17" t="s">
        <v>856</v>
      </c>
      <c r="B202" s="17" t="s">
        <v>810</v>
      </c>
      <c r="C202" s="17" t="s">
        <v>803</v>
      </c>
      <c r="D202" s="17" t="s">
        <v>801</v>
      </c>
      <c r="E202" s="18">
        <v>8050450212210</v>
      </c>
      <c r="G202" s="20" t="str">
        <f t="shared" si="9"/>
        <v xml:space="preserve"> ANSES/CORDE     </v>
      </c>
      <c r="H202" s="20" t="str">
        <f t="shared" si="10"/>
        <v xml:space="preserve">BLUE </v>
      </c>
      <c r="I202" s="20" t="str">
        <f t="shared" si="11"/>
        <v xml:space="preserve">S    </v>
      </c>
    </row>
    <row r="203" spans="1:9">
      <c r="A203" s="17" t="s">
        <v>856</v>
      </c>
      <c r="B203" s="17" t="s">
        <v>810</v>
      </c>
      <c r="C203" s="17" t="s">
        <v>804</v>
      </c>
      <c r="D203" s="17" t="s">
        <v>801</v>
      </c>
      <c r="E203" s="18">
        <v>3020340319041</v>
      </c>
      <c r="G203" s="20" t="str">
        <f t="shared" si="9"/>
        <v xml:space="preserve"> ANSES/CORDE     </v>
      </c>
      <c r="H203" s="20" t="str">
        <f t="shared" si="10"/>
        <v xml:space="preserve">BLUE </v>
      </c>
      <c r="I203" s="20" t="str">
        <f t="shared" si="11"/>
        <v xml:space="preserve">XL   </v>
      </c>
    </row>
    <row r="204" spans="1:9">
      <c r="A204" s="17" t="s">
        <v>856</v>
      </c>
      <c r="B204" s="17" t="s">
        <v>810</v>
      </c>
      <c r="C204" s="17" t="s">
        <v>805</v>
      </c>
      <c r="D204" s="17" t="s">
        <v>801</v>
      </c>
      <c r="E204" s="18">
        <v>3020340319003</v>
      </c>
      <c r="G204" s="20" t="str">
        <f t="shared" si="9"/>
        <v xml:space="preserve"> ANSES/CORDE     </v>
      </c>
      <c r="H204" s="20" t="str">
        <f t="shared" si="10"/>
        <v xml:space="preserve">BLUE </v>
      </c>
      <c r="I204" s="20" t="str">
        <f t="shared" si="11"/>
        <v xml:space="preserve">XS   </v>
      </c>
    </row>
    <row r="205" spans="1:9">
      <c r="A205" s="17" t="s">
        <v>856</v>
      </c>
      <c r="B205" s="17" t="s">
        <v>857</v>
      </c>
      <c r="C205" s="17" t="s">
        <v>800</v>
      </c>
      <c r="D205" s="17" t="s">
        <v>801</v>
      </c>
      <c r="E205" s="18">
        <v>8056099170478</v>
      </c>
      <c r="G205" s="20" t="str">
        <f t="shared" si="9"/>
        <v xml:space="preserve"> ANSES/CORDE     </v>
      </c>
      <c r="H205" s="20" t="str">
        <f t="shared" si="10"/>
        <v>BLUET</v>
      </c>
      <c r="I205" s="20" t="str">
        <f t="shared" si="11"/>
        <v xml:space="preserve">L    </v>
      </c>
    </row>
    <row r="206" spans="1:9">
      <c r="A206" s="17" t="s">
        <v>856</v>
      </c>
      <c r="B206" s="17" t="s">
        <v>857</v>
      </c>
      <c r="C206" s="17" t="s">
        <v>800</v>
      </c>
      <c r="D206" s="17" t="s">
        <v>801</v>
      </c>
      <c r="E206" s="18">
        <v>3002291075030</v>
      </c>
      <c r="G206" s="20" t="str">
        <f t="shared" si="9"/>
        <v xml:space="preserve"> ANSES/CORDE     </v>
      </c>
      <c r="H206" s="20" t="str">
        <f t="shared" si="10"/>
        <v>BLUET</v>
      </c>
      <c r="I206" s="20" t="str">
        <f t="shared" si="11"/>
        <v xml:space="preserve">L    </v>
      </c>
    </row>
    <row r="207" spans="1:9">
      <c r="A207" s="17" t="s">
        <v>856</v>
      </c>
      <c r="B207" s="17" t="s">
        <v>857</v>
      </c>
      <c r="C207" s="17" t="s">
        <v>802</v>
      </c>
      <c r="D207" s="17" t="s">
        <v>801</v>
      </c>
      <c r="E207" s="18">
        <v>3002291075023</v>
      </c>
      <c r="G207" s="20" t="str">
        <f t="shared" si="9"/>
        <v xml:space="preserve"> ANSES/CORDE     </v>
      </c>
      <c r="H207" s="20" t="str">
        <f t="shared" si="10"/>
        <v>BLUET</v>
      </c>
      <c r="I207" s="20" t="str">
        <f t="shared" si="11"/>
        <v xml:space="preserve">M    </v>
      </c>
    </row>
    <row r="208" spans="1:9">
      <c r="A208" s="17" t="s">
        <v>856</v>
      </c>
      <c r="B208" s="17" t="s">
        <v>857</v>
      </c>
      <c r="C208" s="17" t="s">
        <v>803</v>
      </c>
      <c r="D208" s="17" t="s">
        <v>801</v>
      </c>
      <c r="E208" s="18">
        <v>8056099173363</v>
      </c>
      <c r="G208" s="20" t="str">
        <f t="shared" si="9"/>
        <v xml:space="preserve"> ANSES/CORDE     </v>
      </c>
      <c r="H208" s="20" t="str">
        <f t="shared" si="10"/>
        <v>BLUET</v>
      </c>
      <c r="I208" s="20" t="str">
        <f t="shared" si="11"/>
        <v xml:space="preserve">S    </v>
      </c>
    </row>
    <row r="209" spans="1:9">
      <c r="A209" s="17" t="s">
        <v>856</v>
      </c>
      <c r="B209" s="17" t="s">
        <v>857</v>
      </c>
      <c r="C209" s="17" t="s">
        <v>803</v>
      </c>
      <c r="D209" s="17" t="s">
        <v>801</v>
      </c>
      <c r="E209" s="18">
        <v>3002291075016</v>
      </c>
      <c r="G209" s="20" t="str">
        <f t="shared" si="9"/>
        <v xml:space="preserve"> ANSES/CORDE     </v>
      </c>
      <c r="H209" s="20" t="str">
        <f t="shared" si="10"/>
        <v>BLUET</v>
      </c>
      <c r="I209" s="20" t="str">
        <f t="shared" si="11"/>
        <v xml:space="preserve">S    </v>
      </c>
    </row>
    <row r="210" spans="1:9">
      <c r="A210" s="17" t="s">
        <v>856</v>
      </c>
      <c r="B210" s="17" t="s">
        <v>857</v>
      </c>
      <c r="C210" s="17" t="s">
        <v>804</v>
      </c>
      <c r="D210" s="17" t="s">
        <v>801</v>
      </c>
      <c r="E210" s="18">
        <v>3002291075047</v>
      </c>
      <c r="G210" s="20" t="str">
        <f t="shared" si="9"/>
        <v xml:space="preserve"> ANSES/CORDE     </v>
      </c>
      <c r="H210" s="20" t="str">
        <f t="shared" si="10"/>
        <v>BLUET</v>
      </c>
      <c r="I210" s="20" t="str">
        <f t="shared" si="11"/>
        <v xml:space="preserve">XL   </v>
      </c>
    </row>
    <row r="211" spans="1:9">
      <c r="A211" s="17" t="s">
        <v>856</v>
      </c>
      <c r="B211" s="17" t="s">
        <v>857</v>
      </c>
      <c r="C211" s="17" t="s">
        <v>805</v>
      </c>
      <c r="D211" s="17" t="s">
        <v>801</v>
      </c>
      <c r="E211" s="18">
        <v>3002291075009</v>
      </c>
      <c r="G211" s="20" t="str">
        <f t="shared" si="9"/>
        <v xml:space="preserve"> ANSES/CORDE     </v>
      </c>
      <c r="H211" s="20" t="str">
        <f t="shared" si="10"/>
        <v>BLUET</v>
      </c>
      <c r="I211" s="20" t="str">
        <f t="shared" si="11"/>
        <v xml:space="preserve">XS   </v>
      </c>
    </row>
    <row r="212" spans="1:9">
      <c r="A212" s="17" t="s">
        <v>856</v>
      </c>
      <c r="B212" s="17" t="s">
        <v>858</v>
      </c>
      <c r="C212" s="17" t="s">
        <v>800</v>
      </c>
      <c r="D212" s="17" t="s">
        <v>801</v>
      </c>
      <c r="E212" s="18">
        <v>8056099170485</v>
      </c>
      <c r="G212" s="20" t="str">
        <f t="shared" si="9"/>
        <v xml:space="preserve"> ANSES/CORDE     </v>
      </c>
      <c r="H212" s="20" t="str">
        <f t="shared" si="10"/>
        <v xml:space="preserve">GREY </v>
      </c>
      <c r="I212" s="20" t="str">
        <f t="shared" si="11"/>
        <v xml:space="preserve">L    </v>
      </c>
    </row>
    <row r="213" spans="1:9">
      <c r="A213" s="17" t="s">
        <v>856</v>
      </c>
      <c r="B213" s="17" t="s">
        <v>858</v>
      </c>
      <c r="C213" s="17" t="s">
        <v>800</v>
      </c>
      <c r="D213" s="17" t="s">
        <v>801</v>
      </c>
      <c r="E213" s="18">
        <v>3002290341037</v>
      </c>
      <c r="G213" s="20" t="str">
        <f t="shared" si="9"/>
        <v xml:space="preserve"> ANSES/CORDE     </v>
      </c>
      <c r="H213" s="20" t="str">
        <f t="shared" si="10"/>
        <v xml:space="preserve">GREY </v>
      </c>
      <c r="I213" s="20" t="str">
        <f t="shared" si="11"/>
        <v xml:space="preserve">L    </v>
      </c>
    </row>
    <row r="214" spans="1:9">
      <c r="A214" s="17" t="s">
        <v>856</v>
      </c>
      <c r="B214" s="17" t="s">
        <v>858</v>
      </c>
      <c r="C214" s="17" t="s">
        <v>802</v>
      </c>
      <c r="D214" s="17" t="s">
        <v>801</v>
      </c>
      <c r="E214" s="18">
        <v>3002290341020</v>
      </c>
      <c r="G214" s="20" t="str">
        <f t="shared" si="9"/>
        <v xml:space="preserve"> ANSES/CORDE     </v>
      </c>
      <c r="H214" s="20" t="str">
        <f t="shared" si="10"/>
        <v xml:space="preserve">GREY </v>
      </c>
      <c r="I214" s="20" t="str">
        <f t="shared" si="11"/>
        <v xml:space="preserve">M    </v>
      </c>
    </row>
    <row r="215" spans="1:9">
      <c r="A215" s="17" t="s">
        <v>856</v>
      </c>
      <c r="B215" s="17" t="s">
        <v>858</v>
      </c>
      <c r="C215" s="17" t="s">
        <v>803</v>
      </c>
      <c r="D215" s="17" t="s">
        <v>801</v>
      </c>
      <c r="E215" s="18">
        <v>8056099173370</v>
      </c>
      <c r="G215" s="20" t="str">
        <f t="shared" si="9"/>
        <v xml:space="preserve"> ANSES/CORDE     </v>
      </c>
      <c r="H215" s="20" t="str">
        <f t="shared" si="10"/>
        <v xml:space="preserve">GREY </v>
      </c>
      <c r="I215" s="20" t="str">
        <f t="shared" si="11"/>
        <v xml:space="preserve">S    </v>
      </c>
    </row>
    <row r="216" spans="1:9">
      <c r="A216" s="17" t="s">
        <v>856</v>
      </c>
      <c r="B216" s="17" t="s">
        <v>858</v>
      </c>
      <c r="C216" s="17" t="s">
        <v>803</v>
      </c>
      <c r="D216" s="17" t="s">
        <v>801</v>
      </c>
      <c r="E216" s="18">
        <v>3002290341013</v>
      </c>
      <c r="G216" s="20" t="str">
        <f t="shared" si="9"/>
        <v xml:space="preserve"> ANSES/CORDE     </v>
      </c>
      <c r="H216" s="20" t="str">
        <f t="shared" si="10"/>
        <v xml:space="preserve">GREY </v>
      </c>
      <c r="I216" s="20" t="str">
        <f t="shared" si="11"/>
        <v xml:space="preserve">S    </v>
      </c>
    </row>
    <row r="217" spans="1:9">
      <c r="A217" s="17" t="s">
        <v>856</v>
      </c>
      <c r="B217" s="17" t="s">
        <v>858</v>
      </c>
      <c r="C217" s="17" t="s">
        <v>804</v>
      </c>
      <c r="D217" s="17" t="s">
        <v>801</v>
      </c>
      <c r="E217" s="18">
        <v>3002290341044</v>
      </c>
      <c r="G217" s="20" t="str">
        <f t="shared" si="9"/>
        <v xml:space="preserve"> ANSES/CORDE     </v>
      </c>
      <c r="H217" s="20" t="str">
        <f t="shared" si="10"/>
        <v xml:space="preserve">GREY </v>
      </c>
      <c r="I217" s="20" t="str">
        <f t="shared" si="11"/>
        <v xml:space="preserve">XL   </v>
      </c>
    </row>
    <row r="218" spans="1:9">
      <c r="A218" s="17" t="s">
        <v>856</v>
      </c>
      <c r="B218" s="17" t="s">
        <v>858</v>
      </c>
      <c r="C218" s="17" t="s">
        <v>805</v>
      </c>
      <c r="D218" s="17" t="s">
        <v>801</v>
      </c>
      <c r="E218" s="18">
        <v>3002290341006</v>
      </c>
      <c r="G218" s="20" t="str">
        <f t="shared" si="9"/>
        <v xml:space="preserve"> ANSES/CORDE     </v>
      </c>
      <c r="H218" s="20" t="str">
        <f t="shared" si="10"/>
        <v xml:space="preserve">GREY </v>
      </c>
      <c r="I218" s="20" t="str">
        <f t="shared" si="11"/>
        <v xml:space="preserve">XS   </v>
      </c>
    </row>
    <row r="219" spans="1:9">
      <c r="A219" s="17" t="s">
        <v>856</v>
      </c>
      <c r="B219" s="17" t="s">
        <v>859</v>
      </c>
      <c r="C219" s="17" t="s">
        <v>800</v>
      </c>
      <c r="D219" s="17" t="s">
        <v>801</v>
      </c>
      <c r="E219" s="18">
        <v>3003240002039</v>
      </c>
      <c r="G219" s="20" t="str">
        <f t="shared" si="9"/>
        <v xml:space="preserve"> ANSES/CORDE     </v>
      </c>
      <c r="H219" s="20" t="str">
        <f t="shared" si="10"/>
        <v>NATUR</v>
      </c>
      <c r="I219" s="20" t="str">
        <f t="shared" si="11"/>
        <v xml:space="preserve">L    </v>
      </c>
    </row>
    <row r="220" spans="1:9">
      <c r="A220" s="17" t="s">
        <v>856</v>
      </c>
      <c r="B220" s="17" t="s">
        <v>859</v>
      </c>
      <c r="C220" s="17" t="s">
        <v>800</v>
      </c>
      <c r="D220" s="17" t="s">
        <v>801</v>
      </c>
      <c r="E220" s="18">
        <v>8050450213668</v>
      </c>
      <c r="G220" s="20" t="str">
        <f t="shared" si="9"/>
        <v xml:space="preserve"> ANSES/CORDE     </v>
      </c>
      <c r="H220" s="20" t="str">
        <f t="shared" si="10"/>
        <v>NATUR</v>
      </c>
      <c r="I220" s="20" t="str">
        <f t="shared" si="11"/>
        <v xml:space="preserve">L    </v>
      </c>
    </row>
    <row r="221" spans="1:9">
      <c r="A221" s="17" t="s">
        <v>856</v>
      </c>
      <c r="B221" s="17" t="s">
        <v>859</v>
      </c>
      <c r="C221" s="17" t="s">
        <v>802</v>
      </c>
      <c r="D221" s="17" t="s">
        <v>801</v>
      </c>
      <c r="E221" s="18">
        <v>3003240002022</v>
      </c>
      <c r="G221" s="20" t="str">
        <f t="shared" si="9"/>
        <v xml:space="preserve"> ANSES/CORDE     </v>
      </c>
      <c r="H221" s="20" t="str">
        <f t="shared" si="10"/>
        <v>NATUR</v>
      </c>
      <c r="I221" s="20" t="str">
        <f t="shared" si="11"/>
        <v xml:space="preserve">M    </v>
      </c>
    </row>
    <row r="222" spans="1:9">
      <c r="A222" s="17" t="s">
        <v>856</v>
      </c>
      <c r="B222" s="17" t="s">
        <v>859</v>
      </c>
      <c r="C222" s="17" t="s">
        <v>803</v>
      </c>
      <c r="D222" s="17" t="s">
        <v>801</v>
      </c>
      <c r="E222" s="18">
        <v>3003240002015</v>
      </c>
      <c r="G222" s="20" t="str">
        <f t="shared" si="9"/>
        <v xml:space="preserve"> ANSES/CORDE     </v>
      </c>
      <c r="H222" s="20" t="str">
        <f t="shared" si="10"/>
        <v>NATUR</v>
      </c>
      <c r="I222" s="20" t="str">
        <f t="shared" si="11"/>
        <v xml:space="preserve">S    </v>
      </c>
    </row>
    <row r="223" spans="1:9">
      <c r="A223" s="17" t="s">
        <v>856</v>
      </c>
      <c r="B223" s="17" t="s">
        <v>859</v>
      </c>
      <c r="C223" s="17" t="s">
        <v>803</v>
      </c>
      <c r="D223" s="17" t="s">
        <v>801</v>
      </c>
      <c r="E223" s="18">
        <v>8050450213682</v>
      </c>
      <c r="G223" s="20" t="str">
        <f t="shared" si="9"/>
        <v xml:space="preserve"> ANSES/CORDE     </v>
      </c>
      <c r="H223" s="20" t="str">
        <f t="shared" si="10"/>
        <v>NATUR</v>
      </c>
      <c r="I223" s="20" t="str">
        <f t="shared" si="11"/>
        <v xml:space="preserve">S    </v>
      </c>
    </row>
    <row r="224" spans="1:9">
      <c r="A224" s="17" t="s">
        <v>856</v>
      </c>
      <c r="B224" s="17" t="s">
        <v>859</v>
      </c>
      <c r="C224" s="17" t="s">
        <v>804</v>
      </c>
      <c r="D224" s="17" t="s">
        <v>801</v>
      </c>
      <c r="E224" s="18">
        <v>3003240002046</v>
      </c>
      <c r="G224" s="20" t="str">
        <f t="shared" si="9"/>
        <v xml:space="preserve"> ANSES/CORDE     </v>
      </c>
      <c r="H224" s="20" t="str">
        <f t="shared" si="10"/>
        <v>NATUR</v>
      </c>
      <c r="I224" s="20" t="str">
        <f t="shared" si="11"/>
        <v xml:space="preserve">XL   </v>
      </c>
    </row>
    <row r="225" spans="1:9">
      <c r="A225" s="17" t="s">
        <v>856</v>
      </c>
      <c r="B225" s="17" t="s">
        <v>859</v>
      </c>
      <c r="C225" s="17" t="s">
        <v>805</v>
      </c>
      <c r="D225" s="17" t="s">
        <v>801</v>
      </c>
      <c r="E225" s="18">
        <v>3003240002008</v>
      </c>
      <c r="G225" s="20" t="str">
        <f t="shared" si="9"/>
        <v xml:space="preserve"> ANSES/CORDE     </v>
      </c>
      <c r="H225" s="20" t="str">
        <f t="shared" si="10"/>
        <v>NATUR</v>
      </c>
      <c r="I225" s="20" t="str">
        <f t="shared" si="11"/>
        <v xml:space="preserve">XS   </v>
      </c>
    </row>
    <row r="226" spans="1:9">
      <c r="A226" s="17" t="s">
        <v>856</v>
      </c>
      <c r="B226" s="17" t="s">
        <v>816</v>
      </c>
      <c r="C226" s="17" t="s">
        <v>800</v>
      </c>
      <c r="D226" s="17" t="s">
        <v>801</v>
      </c>
      <c r="E226" s="18">
        <v>3002290395030</v>
      </c>
      <c r="G226" s="20" t="str">
        <f t="shared" si="9"/>
        <v xml:space="preserve"> ANSES/CORDE     </v>
      </c>
      <c r="H226" s="20" t="str">
        <f t="shared" si="10"/>
        <v xml:space="preserve">RED  </v>
      </c>
      <c r="I226" s="20" t="str">
        <f t="shared" si="11"/>
        <v xml:space="preserve">L    </v>
      </c>
    </row>
    <row r="227" spans="1:9">
      <c r="A227" s="17" t="s">
        <v>856</v>
      </c>
      <c r="B227" s="17" t="s">
        <v>816</v>
      </c>
      <c r="C227" s="17" t="s">
        <v>800</v>
      </c>
      <c r="D227" s="17" t="s">
        <v>801</v>
      </c>
      <c r="E227" s="18">
        <v>8056099170461</v>
      </c>
      <c r="G227" s="20" t="str">
        <f t="shared" si="9"/>
        <v xml:space="preserve"> ANSES/CORDE     </v>
      </c>
      <c r="H227" s="20" t="str">
        <f t="shared" si="10"/>
        <v xml:space="preserve">RED  </v>
      </c>
      <c r="I227" s="20" t="str">
        <f t="shared" si="11"/>
        <v xml:space="preserve">L    </v>
      </c>
    </row>
    <row r="228" spans="1:9">
      <c r="A228" s="17" t="s">
        <v>856</v>
      </c>
      <c r="B228" s="17" t="s">
        <v>816</v>
      </c>
      <c r="C228" s="17" t="s">
        <v>802</v>
      </c>
      <c r="D228" s="17" t="s">
        <v>801</v>
      </c>
      <c r="E228" s="18">
        <v>3002290395023</v>
      </c>
      <c r="G228" s="20" t="str">
        <f t="shared" si="9"/>
        <v xml:space="preserve"> ANSES/CORDE     </v>
      </c>
      <c r="H228" s="20" t="str">
        <f t="shared" si="10"/>
        <v xml:space="preserve">RED  </v>
      </c>
      <c r="I228" s="20" t="str">
        <f t="shared" si="11"/>
        <v xml:space="preserve">M    </v>
      </c>
    </row>
    <row r="229" spans="1:9">
      <c r="A229" s="17" t="s">
        <v>856</v>
      </c>
      <c r="B229" s="17" t="s">
        <v>816</v>
      </c>
      <c r="C229" s="17" t="s">
        <v>803</v>
      </c>
      <c r="D229" s="17" t="s">
        <v>801</v>
      </c>
      <c r="E229" s="18">
        <v>3002290395016</v>
      </c>
      <c r="G229" s="20" t="str">
        <f t="shared" si="9"/>
        <v xml:space="preserve"> ANSES/CORDE     </v>
      </c>
      <c r="H229" s="20" t="str">
        <f t="shared" si="10"/>
        <v xml:space="preserve">RED  </v>
      </c>
      <c r="I229" s="20" t="str">
        <f t="shared" si="11"/>
        <v xml:space="preserve">S    </v>
      </c>
    </row>
    <row r="230" spans="1:9">
      <c r="A230" s="17" t="s">
        <v>856</v>
      </c>
      <c r="B230" s="17" t="s">
        <v>816</v>
      </c>
      <c r="C230" s="17" t="s">
        <v>803</v>
      </c>
      <c r="D230" s="17" t="s">
        <v>801</v>
      </c>
      <c r="E230" s="18">
        <v>8056099173356</v>
      </c>
      <c r="G230" s="20" t="str">
        <f t="shared" si="9"/>
        <v xml:space="preserve"> ANSES/CORDE     </v>
      </c>
      <c r="H230" s="20" t="str">
        <f t="shared" si="10"/>
        <v xml:space="preserve">RED  </v>
      </c>
      <c r="I230" s="20" t="str">
        <f t="shared" si="11"/>
        <v xml:space="preserve">S    </v>
      </c>
    </row>
    <row r="231" spans="1:9">
      <c r="A231" s="17" t="s">
        <v>856</v>
      </c>
      <c r="B231" s="17" t="s">
        <v>816</v>
      </c>
      <c r="C231" s="17" t="s">
        <v>804</v>
      </c>
      <c r="D231" s="17" t="s">
        <v>801</v>
      </c>
      <c r="E231" s="18">
        <v>3002290395047</v>
      </c>
      <c r="G231" s="20" t="str">
        <f t="shared" si="9"/>
        <v xml:space="preserve"> ANSES/CORDE     </v>
      </c>
      <c r="H231" s="20" t="str">
        <f t="shared" si="10"/>
        <v xml:space="preserve">RED  </v>
      </c>
      <c r="I231" s="20" t="str">
        <f t="shared" si="11"/>
        <v xml:space="preserve">XL   </v>
      </c>
    </row>
    <row r="232" spans="1:9">
      <c r="A232" s="17" t="s">
        <v>856</v>
      </c>
      <c r="B232" s="17" t="s">
        <v>816</v>
      </c>
      <c r="C232" s="17" t="s">
        <v>805</v>
      </c>
      <c r="D232" s="17" t="s">
        <v>801</v>
      </c>
      <c r="E232" s="18">
        <v>3002290395009</v>
      </c>
      <c r="G232" s="20" t="str">
        <f t="shared" si="9"/>
        <v xml:space="preserve"> ANSES/CORDE     </v>
      </c>
      <c r="H232" s="20" t="str">
        <f t="shared" si="10"/>
        <v xml:space="preserve">RED  </v>
      </c>
      <c r="I232" s="20" t="str">
        <f t="shared" si="11"/>
        <v xml:space="preserve">XS   </v>
      </c>
    </row>
    <row r="233" spans="1:9">
      <c r="A233" s="17" t="s">
        <v>856</v>
      </c>
      <c r="B233" s="17" t="s">
        <v>273</v>
      </c>
      <c r="C233" s="17" t="s">
        <v>800</v>
      </c>
      <c r="D233" s="17" t="s">
        <v>801</v>
      </c>
      <c r="E233" s="18">
        <v>3020340005036</v>
      </c>
      <c r="G233" s="20" t="str">
        <f t="shared" si="9"/>
        <v xml:space="preserve"> ANSES/CORDE     </v>
      </c>
      <c r="H233" s="20" t="str">
        <f t="shared" si="10"/>
        <v>WHITE</v>
      </c>
      <c r="I233" s="20" t="str">
        <f t="shared" si="11"/>
        <v xml:space="preserve">L    </v>
      </c>
    </row>
    <row r="234" spans="1:9">
      <c r="A234" s="17" t="s">
        <v>856</v>
      </c>
      <c r="B234" s="17" t="s">
        <v>273</v>
      </c>
      <c r="C234" s="17" t="s">
        <v>800</v>
      </c>
      <c r="D234" s="17" t="s">
        <v>801</v>
      </c>
      <c r="E234" s="18">
        <v>8056098538095</v>
      </c>
      <c r="G234" s="20" t="str">
        <f t="shared" si="9"/>
        <v xml:space="preserve"> ANSES/CORDE     </v>
      </c>
      <c r="H234" s="20" t="str">
        <f t="shared" si="10"/>
        <v>WHITE</v>
      </c>
      <c r="I234" s="20" t="str">
        <f t="shared" si="11"/>
        <v xml:space="preserve">L    </v>
      </c>
    </row>
    <row r="235" spans="1:9">
      <c r="A235" s="17" t="s">
        <v>856</v>
      </c>
      <c r="B235" s="17" t="s">
        <v>273</v>
      </c>
      <c r="C235" s="17" t="s">
        <v>800</v>
      </c>
      <c r="D235" s="17" t="s">
        <v>801</v>
      </c>
      <c r="E235" s="18">
        <v>8050450212043</v>
      </c>
      <c r="G235" s="20" t="str">
        <f t="shared" si="9"/>
        <v xml:space="preserve"> ANSES/CORDE     </v>
      </c>
      <c r="H235" s="20" t="str">
        <f t="shared" si="10"/>
        <v>WHITE</v>
      </c>
      <c r="I235" s="20" t="str">
        <f t="shared" si="11"/>
        <v xml:space="preserve">L    </v>
      </c>
    </row>
    <row r="236" spans="1:9">
      <c r="A236" s="17" t="s">
        <v>856</v>
      </c>
      <c r="B236" s="17" t="s">
        <v>273</v>
      </c>
      <c r="C236" s="17" t="s">
        <v>802</v>
      </c>
      <c r="D236" s="17" t="s">
        <v>801</v>
      </c>
      <c r="E236" s="18">
        <v>3020340005029</v>
      </c>
      <c r="G236" s="20" t="str">
        <f t="shared" si="9"/>
        <v xml:space="preserve"> ANSES/CORDE     </v>
      </c>
      <c r="H236" s="20" t="str">
        <f t="shared" si="10"/>
        <v>WHITE</v>
      </c>
      <c r="I236" s="20" t="str">
        <f t="shared" si="11"/>
        <v xml:space="preserve">M    </v>
      </c>
    </row>
    <row r="237" spans="1:9">
      <c r="A237" s="17" t="s">
        <v>856</v>
      </c>
      <c r="B237" s="17" t="s">
        <v>273</v>
      </c>
      <c r="C237" s="17" t="s">
        <v>803</v>
      </c>
      <c r="D237" s="17" t="s">
        <v>801</v>
      </c>
      <c r="E237" s="18">
        <v>3020340005012</v>
      </c>
      <c r="G237" s="20" t="str">
        <f t="shared" si="9"/>
        <v xml:space="preserve"> ANSES/CORDE     </v>
      </c>
      <c r="H237" s="20" t="str">
        <f t="shared" si="10"/>
        <v>WHITE</v>
      </c>
      <c r="I237" s="20" t="str">
        <f t="shared" si="11"/>
        <v xml:space="preserve">S    </v>
      </c>
    </row>
    <row r="238" spans="1:9">
      <c r="A238" s="17" t="s">
        <v>856</v>
      </c>
      <c r="B238" s="17" t="s">
        <v>273</v>
      </c>
      <c r="C238" s="17" t="s">
        <v>803</v>
      </c>
      <c r="D238" s="17" t="s">
        <v>801</v>
      </c>
      <c r="E238" s="18">
        <v>8050450212203</v>
      </c>
      <c r="G238" s="20" t="str">
        <f t="shared" si="9"/>
        <v xml:space="preserve"> ANSES/CORDE     </v>
      </c>
      <c r="H238" s="20" t="str">
        <f t="shared" si="10"/>
        <v>WHITE</v>
      </c>
      <c r="I238" s="20" t="str">
        <f t="shared" si="11"/>
        <v xml:space="preserve">S    </v>
      </c>
    </row>
    <row r="239" spans="1:9">
      <c r="A239" s="17" t="s">
        <v>856</v>
      </c>
      <c r="B239" s="17" t="s">
        <v>273</v>
      </c>
      <c r="C239" s="17" t="s">
        <v>804</v>
      </c>
      <c r="D239" s="17" t="s">
        <v>801</v>
      </c>
      <c r="E239" s="18">
        <v>3020340005043</v>
      </c>
      <c r="G239" s="20" t="str">
        <f t="shared" si="9"/>
        <v xml:space="preserve"> ANSES/CORDE     </v>
      </c>
      <c r="H239" s="20" t="str">
        <f t="shared" si="10"/>
        <v>WHITE</v>
      </c>
      <c r="I239" s="20" t="str">
        <f t="shared" si="11"/>
        <v xml:space="preserve">XL   </v>
      </c>
    </row>
    <row r="240" spans="1:9">
      <c r="A240" s="17" t="s">
        <v>856</v>
      </c>
      <c r="B240" s="17" t="s">
        <v>273</v>
      </c>
      <c r="C240" s="17" t="s">
        <v>805</v>
      </c>
      <c r="D240" s="17" t="s">
        <v>801</v>
      </c>
      <c r="E240" s="18">
        <v>3020340005005</v>
      </c>
      <c r="G240" s="20" t="str">
        <f t="shared" si="9"/>
        <v xml:space="preserve"> ANSES/CORDE     </v>
      </c>
      <c r="H240" s="20" t="str">
        <f t="shared" si="10"/>
        <v>WHITE</v>
      </c>
      <c r="I240" s="20" t="str">
        <f t="shared" si="11"/>
        <v xml:space="preserve">XS   </v>
      </c>
    </row>
    <row r="241" spans="1:9">
      <c r="A241" s="17" t="s">
        <v>856</v>
      </c>
      <c r="B241" s="17" t="s">
        <v>812</v>
      </c>
      <c r="C241" s="17" t="s">
        <v>800</v>
      </c>
      <c r="D241" s="17" t="s">
        <v>801</v>
      </c>
      <c r="E241" s="18">
        <v>3002291350038</v>
      </c>
      <c r="G241" s="20" t="str">
        <f t="shared" si="9"/>
        <v xml:space="preserve"> ANSES/CORDE     </v>
      </c>
      <c r="H241" s="20" t="str">
        <f t="shared" si="10"/>
        <v>YELLO</v>
      </c>
      <c r="I241" s="20" t="str">
        <f t="shared" si="11"/>
        <v xml:space="preserve">L    </v>
      </c>
    </row>
    <row r="242" spans="1:9">
      <c r="A242" s="17" t="s">
        <v>856</v>
      </c>
      <c r="B242" s="17" t="s">
        <v>812</v>
      </c>
      <c r="C242" s="17" t="s">
        <v>800</v>
      </c>
      <c r="D242" s="17" t="s">
        <v>801</v>
      </c>
      <c r="E242" s="18">
        <v>8056099170454</v>
      </c>
      <c r="G242" s="20" t="str">
        <f t="shared" si="9"/>
        <v xml:space="preserve"> ANSES/CORDE     </v>
      </c>
      <c r="H242" s="20" t="str">
        <f t="shared" si="10"/>
        <v>YELLO</v>
      </c>
      <c r="I242" s="20" t="str">
        <f t="shared" si="11"/>
        <v xml:space="preserve">L    </v>
      </c>
    </row>
    <row r="243" spans="1:9">
      <c r="A243" s="17" t="s">
        <v>856</v>
      </c>
      <c r="B243" s="17" t="s">
        <v>812</v>
      </c>
      <c r="C243" s="17" t="s">
        <v>802</v>
      </c>
      <c r="D243" s="17" t="s">
        <v>801</v>
      </c>
      <c r="E243" s="18">
        <v>3002291350021</v>
      </c>
      <c r="G243" s="20" t="str">
        <f t="shared" si="9"/>
        <v xml:space="preserve"> ANSES/CORDE     </v>
      </c>
      <c r="H243" s="20" t="str">
        <f t="shared" si="10"/>
        <v>YELLO</v>
      </c>
      <c r="I243" s="20" t="str">
        <f t="shared" si="11"/>
        <v xml:space="preserve">M    </v>
      </c>
    </row>
    <row r="244" spans="1:9">
      <c r="A244" s="17" t="s">
        <v>856</v>
      </c>
      <c r="B244" s="17" t="s">
        <v>812</v>
      </c>
      <c r="C244" s="17" t="s">
        <v>803</v>
      </c>
      <c r="D244" s="17" t="s">
        <v>801</v>
      </c>
      <c r="E244" s="18">
        <v>3002291350014</v>
      </c>
      <c r="G244" s="20" t="str">
        <f t="shared" si="9"/>
        <v xml:space="preserve"> ANSES/CORDE     </v>
      </c>
      <c r="H244" s="20" t="str">
        <f t="shared" si="10"/>
        <v>YELLO</v>
      </c>
      <c r="I244" s="20" t="str">
        <f t="shared" si="11"/>
        <v xml:space="preserve">S    </v>
      </c>
    </row>
    <row r="245" spans="1:9">
      <c r="A245" s="17" t="s">
        <v>856</v>
      </c>
      <c r="B245" s="17" t="s">
        <v>812</v>
      </c>
      <c r="C245" s="17" t="s">
        <v>803</v>
      </c>
      <c r="D245" s="17" t="s">
        <v>801</v>
      </c>
      <c r="E245" s="18">
        <v>8056099173349</v>
      </c>
      <c r="G245" s="20" t="str">
        <f t="shared" si="9"/>
        <v xml:space="preserve"> ANSES/CORDE     </v>
      </c>
      <c r="H245" s="20" t="str">
        <f t="shared" si="10"/>
        <v>YELLO</v>
      </c>
      <c r="I245" s="20" t="str">
        <f t="shared" si="11"/>
        <v xml:space="preserve">S    </v>
      </c>
    </row>
    <row r="246" spans="1:9">
      <c r="A246" s="17" t="s">
        <v>856</v>
      </c>
      <c r="B246" s="17" t="s">
        <v>812</v>
      </c>
      <c r="C246" s="17" t="s">
        <v>804</v>
      </c>
      <c r="D246" s="17" t="s">
        <v>801</v>
      </c>
      <c r="E246" s="18">
        <v>3002291350045</v>
      </c>
      <c r="G246" s="20" t="str">
        <f t="shared" si="9"/>
        <v xml:space="preserve"> ANSES/CORDE     </v>
      </c>
      <c r="H246" s="20" t="str">
        <f t="shared" si="10"/>
        <v>YELLO</v>
      </c>
      <c r="I246" s="20" t="str">
        <f t="shared" si="11"/>
        <v xml:space="preserve">XL   </v>
      </c>
    </row>
    <row r="247" spans="1:9">
      <c r="A247" s="17" t="s">
        <v>856</v>
      </c>
      <c r="B247" s="17" t="s">
        <v>812</v>
      </c>
      <c r="C247" s="17" t="s">
        <v>805</v>
      </c>
      <c r="D247" s="17" t="s">
        <v>801</v>
      </c>
      <c r="E247" s="18">
        <v>3002291350007</v>
      </c>
      <c r="G247" s="20" t="str">
        <f t="shared" si="9"/>
        <v xml:space="preserve"> ANSES/CORDE     </v>
      </c>
      <c r="H247" s="20" t="str">
        <f t="shared" si="10"/>
        <v>YELLO</v>
      </c>
      <c r="I247" s="20" t="str">
        <f t="shared" si="11"/>
        <v xml:space="preserve">XS   </v>
      </c>
    </row>
    <row r="248" spans="1:9">
      <c r="A248" s="17" t="s">
        <v>860</v>
      </c>
      <c r="B248" s="17" t="s">
        <v>818</v>
      </c>
      <c r="C248" s="17" t="s">
        <v>800</v>
      </c>
      <c r="D248" s="17" t="s">
        <v>801</v>
      </c>
      <c r="E248" s="18">
        <v>3005110273020</v>
      </c>
      <c r="G248" s="20" t="str">
        <f t="shared" si="9"/>
        <v xml:space="preserve"> ANSES/CORDEGOUTT</v>
      </c>
      <c r="H248" s="20" t="str">
        <f t="shared" si="10"/>
        <v xml:space="preserve">BDX  </v>
      </c>
      <c r="I248" s="20" t="str">
        <f t="shared" si="11"/>
        <v xml:space="preserve">L    </v>
      </c>
    </row>
    <row r="249" spans="1:9">
      <c r="A249" s="17" t="s">
        <v>860</v>
      </c>
      <c r="B249" s="17" t="s">
        <v>818</v>
      </c>
      <c r="C249" s="17" t="s">
        <v>800</v>
      </c>
      <c r="D249" s="17" t="s">
        <v>801</v>
      </c>
      <c r="E249" s="18">
        <v>8056300454403</v>
      </c>
      <c r="G249" s="20" t="str">
        <f t="shared" si="9"/>
        <v xml:space="preserve"> ANSES/CORDEGOUTT</v>
      </c>
      <c r="H249" s="20" t="str">
        <f t="shared" si="10"/>
        <v xml:space="preserve">BDX  </v>
      </c>
      <c r="I249" s="20" t="str">
        <f t="shared" si="11"/>
        <v xml:space="preserve">L    </v>
      </c>
    </row>
    <row r="250" spans="1:9">
      <c r="A250" s="17" t="s">
        <v>860</v>
      </c>
      <c r="B250" s="17" t="s">
        <v>818</v>
      </c>
      <c r="C250" s="17" t="s">
        <v>802</v>
      </c>
      <c r="D250" s="17" t="s">
        <v>801</v>
      </c>
      <c r="E250" s="18">
        <v>3005110273013</v>
      </c>
      <c r="G250" s="20" t="str">
        <f t="shared" si="9"/>
        <v xml:space="preserve"> ANSES/CORDEGOUTT</v>
      </c>
      <c r="H250" s="20" t="str">
        <f t="shared" si="10"/>
        <v xml:space="preserve">BDX  </v>
      </c>
      <c r="I250" s="20" t="str">
        <f t="shared" si="11"/>
        <v xml:space="preserve">M    </v>
      </c>
    </row>
    <row r="251" spans="1:9">
      <c r="A251" s="17" t="s">
        <v>860</v>
      </c>
      <c r="B251" s="17" t="s">
        <v>818</v>
      </c>
      <c r="C251" s="17" t="s">
        <v>803</v>
      </c>
      <c r="D251" s="17" t="s">
        <v>801</v>
      </c>
      <c r="E251" s="18">
        <v>3005110273006</v>
      </c>
      <c r="G251" s="20" t="str">
        <f t="shared" si="9"/>
        <v xml:space="preserve"> ANSES/CORDEGOUTT</v>
      </c>
      <c r="H251" s="20" t="str">
        <f t="shared" si="10"/>
        <v xml:space="preserve">BDX  </v>
      </c>
      <c r="I251" s="20" t="str">
        <f t="shared" si="11"/>
        <v xml:space="preserve">S    </v>
      </c>
    </row>
    <row r="252" spans="1:9">
      <c r="A252" s="17" t="s">
        <v>860</v>
      </c>
      <c r="B252" s="17" t="s">
        <v>818</v>
      </c>
      <c r="C252" s="17" t="s">
        <v>803</v>
      </c>
      <c r="D252" s="17" t="s">
        <v>801</v>
      </c>
      <c r="E252" s="18">
        <v>8056300454441</v>
      </c>
      <c r="G252" s="20" t="str">
        <f t="shared" si="9"/>
        <v xml:space="preserve"> ANSES/CORDEGOUTT</v>
      </c>
      <c r="H252" s="20" t="str">
        <f t="shared" si="10"/>
        <v xml:space="preserve">BDX  </v>
      </c>
      <c r="I252" s="20" t="str">
        <f t="shared" si="11"/>
        <v xml:space="preserve">S    </v>
      </c>
    </row>
    <row r="253" spans="1:9">
      <c r="A253" s="17" t="s">
        <v>860</v>
      </c>
      <c r="B253" s="17" t="s">
        <v>818</v>
      </c>
      <c r="C253" s="17" t="s">
        <v>804</v>
      </c>
      <c r="D253" s="17" t="s">
        <v>801</v>
      </c>
      <c r="E253" s="18">
        <v>3005110273037</v>
      </c>
      <c r="G253" s="20" t="str">
        <f t="shared" si="9"/>
        <v xml:space="preserve"> ANSES/CORDEGOUTT</v>
      </c>
      <c r="H253" s="20" t="str">
        <f t="shared" si="10"/>
        <v xml:space="preserve">BDX  </v>
      </c>
      <c r="I253" s="20" t="str">
        <f t="shared" si="11"/>
        <v xml:space="preserve">XL   </v>
      </c>
    </row>
    <row r="254" spans="1:9">
      <c r="A254" s="17" t="s">
        <v>860</v>
      </c>
      <c r="B254" s="17" t="s">
        <v>810</v>
      </c>
      <c r="C254" s="17" t="s">
        <v>800</v>
      </c>
      <c r="D254" s="17" t="s">
        <v>801</v>
      </c>
      <c r="E254" s="18">
        <v>3005110284026</v>
      </c>
      <c r="G254" s="20" t="str">
        <f t="shared" si="9"/>
        <v xml:space="preserve"> ANSES/CORDEGOUTT</v>
      </c>
      <c r="H254" s="20" t="str">
        <f t="shared" si="10"/>
        <v xml:space="preserve">BLUE </v>
      </c>
      <c r="I254" s="20" t="str">
        <f t="shared" si="11"/>
        <v xml:space="preserve">L    </v>
      </c>
    </row>
    <row r="255" spans="1:9">
      <c r="A255" s="17" t="s">
        <v>860</v>
      </c>
      <c r="B255" s="17" t="s">
        <v>810</v>
      </c>
      <c r="C255" s="17" t="s">
        <v>800</v>
      </c>
      <c r="D255" s="17" t="s">
        <v>801</v>
      </c>
      <c r="E255" s="18">
        <v>8056300454410</v>
      </c>
      <c r="G255" s="20" t="str">
        <f t="shared" si="9"/>
        <v xml:space="preserve"> ANSES/CORDEGOUTT</v>
      </c>
      <c r="H255" s="20" t="str">
        <f t="shared" si="10"/>
        <v xml:space="preserve">BLUE </v>
      </c>
      <c r="I255" s="20" t="str">
        <f t="shared" si="11"/>
        <v xml:space="preserve">L    </v>
      </c>
    </row>
    <row r="256" spans="1:9">
      <c r="A256" s="17" t="s">
        <v>860</v>
      </c>
      <c r="B256" s="17" t="s">
        <v>810</v>
      </c>
      <c r="C256" s="17" t="s">
        <v>802</v>
      </c>
      <c r="D256" s="17" t="s">
        <v>801</v>
      </c>
      <c r="E256" s="18">
        <v>3005110284019</v>
      </c>
      <c r="G256" s="20" t="str">
        <f t="shared" si="9"/>
        <v xml:space="preserve"> ANSES/CORDEGOUTT</v>
      </c>
      <c r="H256" s="20" t="str">
        <f t="shared" si="10"/>
        <v xml:space="preserve">BLUE </v>
      </c>
      <c r="I256" s="20" t="str">
        <f t="shared" si="11"/>
        <v xml:space="preserve">M    </v>
      </c>
    </row>
    <row r="257" spans="1:9">
      <c r="A257" s="17" t="s">
        <v>860</v>
      </c>
      <c r="B257" s="17" t="s">
        <v>810</v>
      </c>
      <c r="C257" s="17" t="s">
        <v>803</v>
      </c>
      <c r="D257" s="17" t="s">
        <v>801</v>
      </c>
      <c r="E257" s="18">
        <v>3005110284002</v>
      </c>
      <c r="G257" s="20" t="str">
        <f t="shared" si="9"/>
        <v xml:space="preserve"> ANSES/CORDEGOUTT</v>
      </c>
      <c r="H257" s="20" t="str">
        <f t="shared" si="10"/>
        <v xml:space="preserve">BLUE </v>
      </c>
      <c r="I257" s="20" t="str">
        <f t="shared" si="11"/>
        <v xml:space="preserve">S    </v>
      </c>
    </row>
    <row r="258" spans="1:9">
      <c r="A258" s="17" t="s">
        <v>860</v>
      </c>
      <c r="B258" s="17" t="s">
        <v>810</v>
      </c>
      <c r="C258" s="17" t="s">
        <v>803</v>
      </c>
      <c r="D258" s="17" t="s">
        <v>801</v>
      </c>
      <c r="E258" s="18">
        <v>8056300454458</v>
      </c>
      <c r="G258" s="20" t="str">
        <f t="shared" si="9"/>
        <v xml:space="preserve"> ANSES/CORDEGOUTT</v>
      </c>
      <c r="H258" s="20" t="str">
        <f t="shared" si="10"/>
        <v xml:space="preserve">BLUE </v>
      </c>
      <c r="I258" s="20" t="str">
        <f t="shared" si="11"/>
        <v xml:space="preserve">S    </v>
      </c>
    </row>
    <row r="259" spans="1:9">
      <c r="A259" s="17" t="s">
        <v>860</v>
      </c>
      <c r="B259" s="17" t="s">
        <v>810</v>
      </c>
      <c r="C259" s="17" t="s">
        <v>804</v>
      </c>
      <c r="D259" s="17" t="s">
        <v>801</v>
      </c>
      <c r="E259" s="18">
        <v>3005110284033</v>
      </c>
      <c r="G259" s="20" t="str">
        <f t="shared" si="9"/>
        <v xml:space="preserve"> ANSES/CORDEGOUTT</v>
      </c>
      <c r="H259" s="20" t="str">
        <f t="shared" si="10"/>
        <v xml:space="preserve">BLUE </v>
      </c>
      <c r="I259" s="20" t="str">
        <f t="shared" si="11"/>
        <v xml:space="preserve">XL   </v>
      </c>
    </row>
    <row r="260" spans="1:9">
      <c r="A260" s="17" t="s">
        <v>860</v>
      </c>
      <c r="B260" s="17" t="s">
        <v>819</v>
      </c>
      <c r="C260" s="17" t="s">
        <v>800</v>
      </c>
      <c r="D260" s="17" t="s">
        <v>801</v>
      </c>
      <c r="E260" s="18">
        <v>3005110314020</v>
      </c>
      <c r="G260" s="20" t="str">
        <f t="shared" si="9"/>
        <v xml:space="preserve"> ANSES/CORDEGOUTT</v>
      </c>
      <c r="H260" s="20" t="str">
        <f t="shared" si="10"/>
        <v xml:space="preserve">DOVE </v>
      </c>
      <c r="I260" s="20" t="str">
        <f t="shared" si="11"/>
        <v xml:space="preserve">L    </v>
      </c>
    </row>
    <row r="261" spans="1:9">
      <c r="A261" s="17" t="s">
        <v>860</v>
      </c>
      <c r="B261" s="17" t="s">
        <v>819</v>
      </c>
      <c r="C261" s="17" t="s">
        <v>800</v>
      </c>
      <c r="D261" s="17" t="s">
        <v>801</v>
      </c>
      <c r="E261" s="18">
        <v>8056300454380</v>
      </c>
      <c r="G261" s="20" t="str">
        <f t="shared" ref="G261:G324" si="12">A261</f>
        <v xml:space="preserve"> ANSES/CORDEGOUTT</v>
      </c>
      <c r="H261" s="20" t="str">
        <f t="shared" ref="H261:H324" si="13">B261</f>
        <v xml:space="preserve">DOVE </v>
      </c>
      <c r="I261" s="20" t="str">
        <f t="shared" ref="I261:I324" si="14">C261</f>
        <v xml:space="preserve">L    </v>
      </c>
    </row>
    <row r="262" spans="1:9">
      <c r="A262" s="17" t="s">
        <v>860</v>
      </c>
      <c r="B262" s="17" t="s">
        <v>819</v>
      </c>
      <c r="C262" s="17" t="s">
        <v>802</v>
      </c>
      <c r="D262" s="17" t="s">
        <v>801</v>
      </c>
      <c r="E262" s="18">
        <v>3005110314013</v>
      </c>
      <c r="G262" s="20" t="str">
        <f t="shared" si="12"/>
        <v xml:space="preserve"> ANSES/CORDEGOUTT</v>
      </c>
      <c r="H262" s="20" t="str">
        <f t="shared" si="13"/>
        <v xml:space="preserve">DOVE </v>
      </c>
      <c r="I262" s="20" t="str">
        <f t="shared" si="14"/>
        <v xml:space="preserve">M    </v>
      </c>
    </row>
    <row r="263" spans="1:9">
      <c r="A263" s="17" t="s">
        <v>860</v>
      </c>
      <c r="B263" s="17" t="s">
        <v>819</v>
      </c>
      <c r="C263" s="17" t="s">
        <v>803</v>
      </c>
      <c r="D263" s="17" t="s">
        <v>801</v>
      </c>
      <c r="E263" s="18">
        <v>3005110314006</v>
      </c>
      <c r="G263" s="20" t="str">
        <f t="shared" si="12"/>
        <v xml:space="preserve"> ANSES/CORDEGOUTT</v>
      </c>
      <c r="H263" s="20" t="str">
        <f t="shared" si="13"/>
        <v xml:space="preserve">DOVE </v>
      </c>
      <c r="I263" s="20" t="str">
        <f t="shared" si="14"/>
        <v xml:space="preserve">S    </v>
      </c>
    </row>
    <row r="264" spans="1:9">
      <c r="A264" s="17" t="s">
        <v>860</v>
      </c>
      <c r="B264" s="17" t="s">
        <v>819</v>
      </c>
      <c r="C264" s="17" t="s">
        <v>804</v>
      </c>
      <c r="D264" s="17" t="s">
        <v>801</v>
      </c>
      <c r="E264" s="18">
        <v>3005110314037</v>
      </c>
      <c r="G264" s="20" t="str">
        <f t="shared" si="12"/>
        <v xml:space="preserve"> ANSES/CORDEGOUTT</v>
      </c>
      <c r="H264" s="20" t="str">
        <f t="shared" si="13"/>
        <v xml:space="preserve">DOVE </v>
      </c>
      <c r="I264" s="20" t="str">
        <f t="shared" si="14"/>
        <v xml:space="preserve">XL   </v>
      </c>
    </row>
    <row r="265" spans="1:9">
      <c r="A265" s="17" t="s">
        <v>860</v>
      </c>
      <c r="B265" s="17" t="s">
        <v>834</v>
      </c>
      <c r="C265" s="17" t="s">
        <v>800</v>
      </c>
      <c r="D265" s="17" t="s">
        <v>801</v>
      </c>
      <c r="E265" s="18">
        <v>8056098539498</v>
      </c>
      <c r="G265" s="20" t="str">
        <f t="shared" si="12"/>
        <v xml:space="preserve"> ANSES/CORDEGOUTT</v>
      </c>
      <c r="H265" s="20" t="str">
        <f t="shared" si="13"/>
        <v>GOACQ</v>
      </c>
      <c r="I265" s="20" t="str">
        <f t="shared" si="14"/>
        <v xml:space="preserve">L    </v>
      </c>
    </row>
    <row r="266" spans="1:9">
      <c r="A266" s="17" t="s">
        <v>860</v>
      </c>
      <c r="B266" s="17" t="s">
        <v>834</v>
      </c>
      <c r="C266" s="17" t="s">
        <v>800</v>
      </c>
      <c r="D266" s="17" t="s">
        <v>801</v>
      </c>
      <c r="E266" s="18">
        <v>3005110794020</v>
      </c>
      <c r="G266" s="20" t="str">
        <f t="shared" si="12"/>
        <v xml:space="preserve"> ANSES/CORDEGOUTT</v>
      </c>
      <c r="H266" s="20" t="str">
        <f t="shared" si="13"/>
        <v>GOACQ</v>
      </c>
      <c r="I266" s="20" t="str">
        <f t="shared" si="14"/>
        <v xml:space="preserve">L    </v>
      </c>
    </row>
    <row r="267" spans="1:9">
      <c r="A267" s="17" t="s">
        <v>860</v>
      </c>
      <c r="B267" s="17" t="s">
        <v>834</v>
      </c>
      <c r="C267" s="17" t="s">
        <v>802</v>
      </c>
      <c r="D267" s="17" t="s">
        <v>801</v>
      </c>
      <c r="E267" s="18">
        <v>3005110794013</v>
      </c>
      <c r="G267" s="20" t="str">
        <f t="shared" si="12"/>
        <v xml:space="preserve"> ANSES/CORDEGOUTT</v>
      </c>
      <c r="H267" s="20" t="str">
        <f t="shared" si="13"/>
        <v>GOACQ</v>
      </c>
      <c r="I267" s="20" t="str">
        <f t="shared" si="14"/>
        <v xml:space="preserve">M    </v>
      </c>
    </row>
    <row r="268" spans="1:9">
      <c r="A268" s="17" t="s">
        <v>860</v>
      </c>
      <c r="B268" s="17" t="s">
        <v>834</v>
      </c>
      <c r="C268" s="17" t="s">
        <v>803</v>
      </c>
      <c r="D268" s="17" t="s">
        <v>801</v>
      </c>
      <c r="E268" s="18">
        <v>3005110794006</v>
      </c>
      <c r="G268" s="20" t="str">
        <f t="shared" si="12"/>
        <v xml:space="preserve"> ANSES/CORDEGOUTT</v>
      </c>
      <c r="H268" s="20" t="str">
        <f t="shared" si="13"/>
        <v>GOACQ</v>
      </c>
      <c r="I268" s="20" t="str">
        <f t="shared" si="14"/>
        <v xml:space="preserve">S    </v>
      </c>
    </row>
    <row r="269" spans="1:9">
      <c r="A269" s="17" t="s">
        <v>860</v>
      </c>
      <c r="B269" s="17" t="s">
        <v>834</v>
      </c>
      <c r="C269" s="17" t="s">
        <v>804</v>
      </c>
      <c r="D269" s="17" t="s">
        <v>801</v>
      </c>
      <c r="E269" s="18">
        <v>3005110794037</v>
      </c>
      <c r="G269" s="20" t="str">
        <f t="shared" si="12"/>
        <v xml:space="preserve"> ANSES/CORDEGOUTT</v>
      </c>
      <c r="H269" s="20" t="str">
        <f t="shared" si="13"/>
        <v>GOACQ</v>
      </c>
      <c r="I269" s="20" t="str">
        <f t="shared" si="14"/>
        <v xml:space="preserve">XL   </v>
      </c>
    </row>
    <row r="270" spans="1:9">
      <c r="A270" s="17" t="s">
        <v>860</v>
      </c>
      <c r="B270" s="17" t="s">
        <v>861</v>
      </c>
      <c r="C270" s="17" t="s">
        <v>800</v>
      </c>
      <c r="D270" s="17" t="s">
        <v>801</v>
      </c>
      <c r="E270" s="18">
        <v>8056098539481</v>
      </c>
      <c r="G270" s="20" t="str">
        <f t="shared" si="12"/>
        <v xml:space="preserve"> ANSES/CORDEGOUTT</v>
      </c>
      <c r="H270" s="20" t="str">
        <f t="shared" si="13"/>
        <v>GOBLU</v>
      </c>
      <c r="I270" s="20" t="str">
        <f t="shared" si="14"/>
        <v xml:space="preserve">L    </v>
      </c>
    </row>
    <row r="271" spans="1:9">
      <c r="A271" s="17" t="s">
        <v>860</v>
      </c>
      <c r="B271" s="17" t="s">
        <v>861</v>
      </c>
      <c r="C271" s="17" t="s">
        <v>800</v>
      </c>
      <c r="D271" s="17" t="s">
        <v>801</v>
      </c>
      <c r="E271" s="18">
        <v>3005111344026</v>
      </c>
      <c r="G271" s="20" t="str">
        <f t="shared" si="12"/>
        <v xml:space="preserve"> ANSES/CORDEGOUTT</v>
      </c>
      <c r="H271" s="20" t="str">
        <f t="shared" si="13"/>
        <v>GOBLU</v>
      </c>
      <c r="I271" s="20" t="str">
        <f t="shared" si="14"/>
        <v xml:space="preserve">L    </v>
      </c>
    </row>
    <row r="272" spans="1:9">
      <c r="A272" s="17" t="s">
        <v>860</v>
      </c>
      <c r="B272" s="17" t="s">
        <v>861</v>
      </c>
      <c r="C272" s="17" t="s">
        <v>802</v>
      </c>
      <c r="D272" s="17" t="s">
        <v>801</v>
      </c>
      <c r="E272" s="18">
        <v>3005111344019</v>
      </c>
      <c r="G272" s="20" t="str">
        <f t="shared" si="12"/>
        <v xml:space="preserve"> ANSES/CORDEGOUTT</v>
      </c>
      <c r="H272" s="20" t="str">
        <f t="shared" si="13"/>
        <v>GOBLU</v>
      </c>
      <c r="I272" s="20" t="str">
        <f t="shared" si="14"/>
        <v xml:space="preserve">M    </v>
      </c>
    </row>
    <row r="273" spans="1:9">
      <c r="A273" s="17" t="s">
        <v>860</v>
      </c>
      <c r="B273" s="17" t="s">
        <v>861</v>
      </c>
      <c r="C273" s="17" t="s">
        <v>803</v>
      </c>
      <c r="D273" s="17" t="s">
        <v>801</v>
      </c>
      <c r="E273" s="18">
        <v>3005111344002</v>
      </c>
      <c r="G273" s="20" t="str">
        <f t="shared" si="12"/>
        <v xml:space="preserve"> ANSES/CORDEGOUTT</v>
      </c>
      <c r="H273" s="20" t="str">
        <f t="shared" si="13"/>
        <v>GOBLU</v>
      </c>
      <c r="I273" s="20" t="str">
        <f t="shared" si="14"/>
        <v xml:space="preserve">S    </v>
      </c>
    </row>
    <row r="274" spans="1:9">
      <c r="A274" s="17" t="s">
        <v>860</v>
      </c>
      <c r="B274" s="17" t="s">
        <v>861</v>
      </c>
      <c r="C274" s="17" t="s">
        <v>804</v>
      </c>
      <c r="D274" s="17" t="s">
        <v>801</v>
      </c>
      <c r="E274" s="18">
        <v>3005111344033</v>
      </c>
      <c r="G274" s="20" t="str">
        <f t="shared" si="12"/>
        <v xml:space="preserve"> ANSES/CORDEGOUTT</v>
      </c>
      <c r="H274" s="20" t="str">
        <f t="shared" si="13"/>
        <v>GOBLU</v>
      </c>
      <c r="I274" s="20" t="str">
        <f t="shared" si="14"/>
        <v xml:space="preserve">XL   </v>
      </c>
    </row>
    <row r="275" spans="1:9">
      <c r="A275" s="17" t="s">
        <v>860</v>
      </c>
      <c r="B275" s="17" t="s">
        <v>862</v>
      </c>
      <c r="C275" s="17" t="s">
        <v>800</v>
      </c>
      <c r="D275" s="17" t="s">
        <v>801</v>
      </c>
      <c r="E275" s="18">
        <v>8056098539467</v>
      </c>
      <c r="G275" s="20" t="str">
        <f t="shared" si="12"/>
        <v xml:space="preserve"> ANSES/CORDEGOUTT</v>
      </c>
      <c r="H275" s="20" t="str">
        <f t="shared" si="13"/>
        <v>GORED</v>
      </c>
      <c r="I275" s="20" t="str">
        <f t="shared" si="14"/>
        <v xml:space="preserve">L    </v>
      </c>
    </row>
    <row r="276" spans="1:9">
      <c r="A276" s="17" t="s">
        <v>860</v>
      </c>
      <c r="B276" s="17" t="s">
        <v>862</v>
      </c>
      <c r="C276" s="17" t="s">
        <v>800</v>
      </c>
      <c r="D276" s="17" t="s">
        <v>801</v>
      </c>
      <c r="E276" s="18">
        <v>3005111345023</v>
      </c>
      <c r="G276" s="20" t="str">
        <f t="shared" si="12"/>
        <v xml:space="preserve"> ANSES/CORDEGOUTT</v>
      </c>
      <c r="H276" s="20" t="str">
        <f t="shared" si="13"/>
        <v>GORED</v>
      </c>
      <c r="I276" s="20" t="str">
        <f t="shared" si="14"/>
        <v xml:space="preserve">L    </v>
      </c>
    </row>
    <row r="277" spans="1:9">
      <c r="A277" s="17" t="s">
        <v>860</v>
      </c>
      <c r="B277" s="17" t="s">
        <v>862</v>
      </c>
      <c r="C277" s="17" t="s">
        <v>802</v>
      </c>
      <c r="D277" s="17" t="s">
        <v>801</v>
      </c>
      <c r="E277" s="18">
        <v>3005111345016</v>
      </c>
      <c r="G277" s="20" t="str">
        <f t="shared" si="12"/>
        <v xml:space="preserve"> ANSES/CORDEGOUTT</v>
      </c>
      <c r="H277" s="20" t="str">
        <f t="shared" si="13"/>
        <v>GORED</v>
      </c>
      <c r="I277" s="20" t="str">
        <f t="shared" si="14"/>
        <v xml:space="preserve">M    </v>
      </c>
    </row>
    <row r="278" spans="1:9">
      <c r="A278" s="17" t="s">
        <v>860</v>
      </c>
      <c r="B278" s="17" t="s">
        <v>862</v>
      </c>
      <c r="C278" s="17" t="s">
        <v>803</v>
      </c>
      <c r="D278" s="17" t="s">
        <v>801</v>
      </c>
      <c r="E278" s="18">
        <v>3005111345009</v>
      </c>
      <c r="G278" s="20" t="str">
        <f t="shared" si="12"/>
        <v xml:space="preserve"> ANSES/CORDEGOUTT</v>
      </c>
      <c r="H278" s="20" t="str">
        <f t="shared" si="13"/>
        <v>GORED</v>
      </c>
      <c r="I278" s="20" t="str">
        <f t="shared" si="14"/>
        <v xml:space="preserve">S    </v>
      </c>
    </row>
    <row r="279" spans="1:9">
      <c r="A279" s="17" t="s">
        <v>860</v>
      </c>
      <c r="B279" s="17" t="s">
        <v>862</v>
      </c>
      <c r="C279" s="17" t="s">
        <v>804</v>
      </c>
      <c r="D279" s="17" t="s">
        <v>801</v>
      </c>
      <c r="E279" s="18">
        <v>3005111345030</v>
      </c>
      <c r="G279" s="20" t="str">
        <f t="shared" si="12"/>
        <v xml:space="preserve"> ANSES/CORDEGOUTT</v>
      </c>
      <c r="H279" s="20" t="str">
        <f t="shared" si="13"/>
        <v>GORED</v>
      </c>
      <c r="I279" s="20" t="str">
        <f t="shared" si="14"/>
        <v xml:space="preserve">XL   </v>
      </c>
    </row>
    <row r="280" spans="1:9">
      <c r="A280" s="17" t="s">
        <v>860</v>
      </c>
      <c r="B280" s="17" t="s">
        <v>863</v>
      </c>
      <c r="C280" s="17" t="s">
        <v>800</v>
      </c>
      <c r="D280" s="17" t="s">
        <v>801</v>
      </c>
      <c r="E280" s="18">
        <v>8056098539474</v>
      </c>
      <c r="G280" s="20" t="str">
        <f t="shared" si="12"/>
        <v xml:space="preserve"> ANSES/CORDEGOUTT</v>
      </c>
      <c r="H280" s="20" t="str">
        <f t="shared" si="13"/>
        <v>GOYEL</v>
      </c>
      <c r="I280" s="20" t="str">
        <f t="shared" si="14"/>
        <v xml:space="preserve">L    </v>
      </c>
    </row>
    <row r="281" spans="1:9">
      <c r="A281" s="17" t="s">
        <v>860</v>
      </c>
      <c r="B281" s="17" t="s">
        <v>863</v>
      </c>
      <c r="C281" s="17" t="s">
        <v>800</v>
      </c>
      <c r="D281" s="17" t="s">
        <v>801</v>
      </c>
      <c r="E281" s="18">
        <v>3005111346020</v>
      </c>
      <c r="G281" s="20" t="str">
        <f t="shared" si="12"/>
        <v xml:space="preserve"> ANSES/CORDEGOUTT</v>
      </c>
      <c r="H281" s="20" t="str">
        <f t="shared" si="13"/>
        <v>GOYEL</v>
      </c>
      <c r="I281" s="20" t="str">
        <f t="shared" si="14"/>
        <v xml:space="preserve">L    </v>
      </c>
    </row>
    <row r="282" spans="1:9">
      <c r="A282" s="17" t="s">
        <v>860</v>
      </c>
      <c r="B282" s="17" t="s">
        <v>863</v>
      </c>
      <c r="C282" s="17" t="s">
        <v>802</v>
      </c>
      <c r="D282" s="17" t="s">
        <v>801</v>
      </c>
      <c r="E282" s="18">
        <v>3005111346013</v>
      </c>
      <c r="G282" s="20" t="str">
        <f t="shared" si="12"/>
        <v xml:space="preserve"> ANSES/CORDEGOUTT</v>
      </c>
      <c r="H282" s="20" t="str">
        <f t="shared" si="13"/>
        <v>GOYEL</v>
      </c>
      <c r="I282" s="20" t="str">
        <f t="shared" si="14"/>
        <v xml:space="preserve">M    </v>
      </c>
    </row>
    <row r="283" spans="1:9">
      <c r="A283" s="17" t="s">
        <v>860</v>
      </c>
      <c r="B283" s="17" t="s">
        <v>863</v>
      </c>
      <c r="C283" s="17" t="s">
        <v>803</v>
      </c>
      <c r="D283" s="17" t="s">
        <v>801</v>
      </c>
      <c r="E283" s="18">
        <v>3005111346006</v>
      </c>
      <c r="G283" s="20" t="str">
        <f t="shared" si="12"/>
        <v xml:space="preserve"> ANSES/CORDEGOUTT</v>
      </c>
      <c r="H283" s="20" t="str">
        <f t="shared" si="13"/>
        <v>GOYEL</v>
      </c>
      <c r="I283" s="20" t="str">
        <f t="shared" si="14"/>
        <v xml:space="preserve">S    </v>
      </c>
    </row>
    <row r="284" spans="1:9">
      <c r="A284" s="17" t="s">
        <v>860</v>
      </c>
      <c r="B284" s="17" t="s">
        <v>863</v>
      </c>
      <c r="C284" s="17" t="s">
        <v>804</v>
      </c>
      <c r="D284" s="17" t="s">
        <v>801</v>
      </c>
      <c r="E284" s="18">
        <v>3005111346037</v>
      </c>
      <c r="G284" s="20" t="str">
        <f t="shared" si="12"/>
        <v xml:space="preserve"> ANSES/CORDEGOUTT</v>
      </c>
      <c r="H284" s="20" t="str">
        <f t="shared" si="13"/>
        <v>GOYEL</v>
      </c>
      <c r="I284" s="20" t="str">
        <f t="shared" si="14"/>
        <v xml:space="preserve">XL   </v>
      </c>
    </row>
    <row r="285" spans="1:9">
      <c r="A285" s="17" t="s">
        <v>860</v>
      </c>
      <c r="B285" s="17" t="s">
        <v>864</v>
      </c>
      <c r="C285" s="17" t="s">
        <v>800</v>
      </c>
      <c r="D285" s="17" t="s">
        <v>801</v>
      </c>
      <c r="E285" s="18">
        <v>8056099170362</v>
      </c>
      <c r="G285" s="20" t="str">
        <f t="shared" si="12"/>
        <v xml:space="preserve"> ANSES/CORDEGOUTT</v>
      </c>
      <c r="H285" s="20" t="str">
        <f t="shared" si="13"/>
        <v>JUAPP</v>
      </c>
      <c r="I285" s="20" t="str">
        <f t="shared" si="14"/>
        <v xml:space="preserve">L    </v>
      </c>
    </row>
    <row r="286" spans="1:9">
      <c r="A286" s="17" t="s">
        <v>860</v>
      </c>
      <c r="B286" s="17" t="s">
        <v>864</v>
      </c>
      <c r="C286" s="17" t="s">
        <v>800</v>
      </c>
      <c r="D286" s="17" t="s">
        <v>801</v>
      </c>
      <c r="E286" s="18">
        <v>3005111348024</v>
      </c>
      <c r="G286" s="20" t="str">
        <f t="shared" si="12"/>
        <v xml:space="preserve"> ANSES/CORDEGOUTT</v>
      </c>
      <c r="H286" s="20" t="str">
        <f t="shared" si="13"/>
        <v>JUAPP</v>
      </c>
      <c r="I286" s="20" t="str">
        <f t="shared" si="14"/>
        <v xml:space="preserve">L    </v>
      </c>
    </row>
    <row r="287" spans="1:9">
      <c r="A287" s="17" t="s">
        <v>860</v>
      </c>
      <c r="B287" s="17" t="s">
        <v>864</v>
      </c>
      <c r="C287" s="17" t="s">
        <v>802</v>
      </c>
      <c r="D287" s="17" t="s">
        <v>801</v>
      </c>
      <c r="E287" s="18">
        <v>3005111348017</v>
      </c>
      <c r="G287" s="20" t="str">
        <f t="shared" si="12"/>
        <v xml:space="preserve"> ANSES/CORDEGOUTT</v>
      </c>
      <c r="H287" s="20" t="str">
        <f t="shared" si="13"/>
        <v>JUAPP</v>
      </c>
      <c r="I287" s="20" t="str">
        <f t="shared" si="14"/>
        <v xml:space="preserve">M    </v>
      </c>
    </row>
    <row r="288" spans="1:9">
      <c r="A288" s="17" t="s">
        <v>860</v>
      </c>
      <c r="B288" s="17" t="s">
        <v>864</v>
      </c>
      <c r="C288" s="17" t="s">
        <v>803</v>
      </c>
      <c r="D288" s="17" t="s">
        <v>801</v>
      </c>
      <c r="E288" s="18">
        <v>3005111348000</v>
      </c>
      <c r="G288" s="20" t="str">
        <f t="shared" si="12"/>
        <v xml:space="preserve"> ANSES/CORDEGOUTT</v>
      </c>
      <c r="H288" s="20" t="str">
        <f t="shared" si="13"/>
        <v>JUAPP</v>
      </c>
      <c r="I288" s="20" t="str">
        <f t="shared" si="14"/>
        <v xml:space="preserve">S    </v>
      </c>
    </row>
    <row r="289" spans="1:9">
      <c r="A289" s="17" t="s">
        <v>860</v>
      </c>
      <c r="B289" s="17" t="s">
        <v>864</v>
      </c>
      <c r="C289" s="17" t="s">
        <v>804</v>
      </c>
      <c r="D289" s="17" t="s">
        <v>801</v>
      </c>
      <c r="E289" s="18">
        <v>3005111348031</v>
      </c>
      <c r="G289" s="20" t="str">
        <f t="shared" si="12"/>
        <v xml:space="preserve"> ANSES/CORDEGOUTT</v>
      </c>
      <c r="H289" s="20" t="str">
        <f t="shared" si="13"/>
        <v>JUAPP</v>
      </c>
      <c r="I289" s="20" t="str">
        <f t="shared" si="14"/>
        <v xml:space="preserve">XL   </v>
      </c>
    </row>
    <row r="290" spans="1:9">
      <c r="A290" s="17" t="s">
        <v>860</v>
      </c>
      <c r="B290" s="17" t="s">
        <v>865</v>
      </c>
      <c r="C290" s="17" t="s">
        <v>800</v>
      </c>
      <c r="D290" s="17" t="s">
        <v>801</v>
      </c>
      <c r="E290" s="18">
        <v>8056099170379</v>
      </c>
      <c r="G290" s="20" t="str">
        <f t="shared" si="12"/>
        <v xml:space="preserve"> ANSES/CORDEGOUTT</v>
      </c>
      <c r="H290" s="20" t="str">
        <f t="shared" si="13"/>
        <v>JUORA</v>
      </c>
      <c r="I290" s="20" t="str">
        <f t="shared" si="14"/>
        <v xml:space="preserve">L    </v>
      </c>
    </row>
    <row r="291" spans="1:9">
      <c r="A291" s="17" t="s">
        <v>860</v>
      </c>
      <c r="B291" s="17" t="s">
        <v>865</v>
      </c>
      <c r="C291" s="17" t="s">
        <v>800</v>
      </c>
      <c r="D291" s="17" t="s">
        <v>801</v>
      </c>
      <c r="E291" s="18">
        <v>3005111347027</v>
      </c>
      <c r="G291" s="20" t="str">
        <f t="shared" si="12"/>
        <v xml:space="preserve"> ANSES/CORDEGOUTT</v>
      </c>
      <c r="H291" s="20" t="str">
        <f t="shared" si="13"/>
        <v>JUORA</v>
      </c>
      <c r="I291" s="20" t="str">
        <f t="shared" si="14"/>
        <v xml:space="preserve">L    </v>
      </c>
    </row>
    <row r="292" spans="1:9">
      <c r="A292" s="17" t="s">
        <v>860</v>
      </c>
      <c r="B292" s="17" t="s">
        <v>865</v>
      </c>
      <c r="C292" s="17" t="s">
        <v>802</v>
      </c>
      <c r="D292" s="17" t="s">
        <v>801</v>
      </c>
      <c r="E292" s="18">
        <v>3005111347010</v>
      </c>
      <c r="G292" s="20" t="str">
        <f t="shared" si="12"/>
        <v xml:space="preserve"> ANSES/CORDEGOUTT</v>
      </c>
      <c r="H292" s="20" t="str">
        <f t="shared" si="13"/>
        <v>JUORA</v>
      </c>
      <c r="I292" s="20" t="str">
        <f t="shared" si="14"/>
        <v xml:space="preserve">M    </v>
      </c>
    </row>
    <row r="293" spans="1:9">
      <c r="A293" s="17" t="s">
        <v>860</v>
      </c>
      <c r="B293" s="17" t="s">
        <v>865</v>
      </c>
      <c r="C293" s="17" t="s">
        <v>803</v>
      </c>
      <c r="D293" s="17" t="s">
        <v>801</v>
      </c>
      <c r="E293" s="18">
        <v>3005111347003</v>
      </c>
      <c r="G293" s="20" t="str">
        <f t="shared" si="12"/>
        <v xml:space="preserve"> ANSES/CORDEGOUTT</v>
      </c>
      <c r="H293" s="20" t="str">
        <f t="shared" si="13"/>
        <v>JUORA</v>
      </c>
      <c r="I293" s="20" t="str">
        <f t="shared" si="14"/>
        <v xml:space="preserve">S    </v>
      </c>
    </row>
    <row r="294" spans="1:9">
      <c r="A294" s="17" t="s">
        <v>860</v>
      </c>
      <c r="B294" s="17" t="s">
        <v>865</v>
      </c>
      <c r="C294" s="17" t="s">
        <v>804</v>
      </c>
      <c r="D294" s="17" t="s">
        <v>801</v>
      </c>
      <c r="E294" s="18">
        <v>3005111347034</v>
      </c>
      <c r="G294" s="20" t="str">
        <f t="shared" si="12"/>
        <v xml:space="preserve"> ANSES/CORDEGOUTT</v>
      </c>
      <c r="H294" s="20" t="str">
        <f t="shared" si="13"/>
        <v>JUORA</v>
      </c>
      <c r="I294" s="20" t="str">
        <f t="shared" si="14"/>
        <v xml:space="preserve">XL   </v>
      </c>
    </row>
    <row r="295" spans="1:9">
      <c r="A295" s="17" t="s">
        <v>860</v>
      </c>
      <c r="B295" s="17" t="s">
        <v>866</v>
      </c>
      <c r="C295" s="17" t="s">
        <v>800</v>
      </c>
      <c r="D295" s="17" t="s">
        <v>801</v>
      </c>
      <c r="E295" s="18">
        <v>8056099170355</v>
      </c>
      <c r="G295" s="20" t="str">
        <f t="shared" si="12"/>
        <v xml:space="preserve"> ANSES/CORDEGOUTT</v>
      </c>
      <c r="H295" s="20" t="str">
        <f t="shared" si="13"/>
        <v>JUYEL</v>
      </c>
      <c r="I295" s="20" t="str">
        <f t="shared" si="14"/>
        <v xml:space="preserve">L    </v>
      </c>
    </row>
    <row r="296" spans="1:9">
      <c r="A296" s="17" t="s">
        <v>860</v>
      </c>
      <c r="B296" s="17" t="s">
        <v>866</v>
      </c>
      <c r="C296" s="17" t="s">
        <v>800</v>
      </c>
      <c r="D296" s="17" t="s">
        <v>801</v>
      </c>
      <c r="E296" s="18">
        <v>3005111349021</v>
      </c>
      <c r="G296" s="20" t="str">
        <f t="shared" si="12"/>
        <v xml:space="preserve"> ANSES/CORDEGOUTT</v>
      </c>
      <c r="H296" s="20" t="str">
        <f t="shared" si="13"/>
        <v>JUYEL</v>
      </c>
      <c r="I296" s="20" t="str">
        <f t="shared" si="14"/>
        <v xml:space="preserve">L    </v>
      </c>
    </row>
    <row r="297" spans="1:9">
      <c r="A297" s="17" t="s">
        <v>860</v>
      </c>
      <c r="B297" s="17" t="s">
        <v>866</v>
      </c>
      <c r="C297" s="17" t="s">
        <v>802</v>
      </c>
      <c r="D297" s="17" t="s">
        <v>801</v>
      </c>
      <c r="E297" s="18">
        <v>3005111349014</v>
      </c>
      <c r="G297" s="20" t="str">
        <f t="shared" si="12"/>
        <v xml:space="preserve"> ANSES/CORDEGOUTT</v>
      </c>
      <c r="H297" s="20" t="str">
        <f t="shared" si="13"/>
        <v>JUYEL</v>
      </c>
      <c r="I297" s="20" t="str">
        <f t="shared" si="14"/>
        <v xml:space="preserve">M    </v>
      </c>
    </row>
    <row r="298" spans="1:9">
      <c r="A298" s="17" t="s">
        <v>860</v>
      </c>
      <c r="B298" s="17" t="s">
        <v>866</v>
      </c>
      <c r="C298" s="17" t="s">
        <v>803</v>
      </c>
      <c r="D298" s="17" t="s">
        <v>801</v>
      </c>
      <c r="E298" s="18">
        <v>3005111349007</v>
      </c>
      <c r="G298" s="20" t="str">
        <f t="shared" si="12"/>
        <v xml:space="preserve"> ANSES/CORDEGOUTT</v>
      </c>
      <c r="H298" s="20" t="str">
        <f t="shared" si="13"/>
        <v>JUYEL</v>
      </c>
      <c r="I298" s="20" t="str">
        <f t="shared" si="14"/>
        <v xml:space="preserve">S    </v>
      </c>
    </row>
    <row r="299" spans="1:9">
      <c r="A299" s="17" t="s">
        <v>860</v>
      </c>
      <c r="B299" s="17" t="s">
        <v>866</v>
      </c>
      <c r="C299" s="17" t="s">
        <v>804</v>
      </c>
      <c r="D299" s="17" t="s">
        <v>801</v>
      </c>
      <c r="E299" s="18">
        <v>3005111349038</v>
      </c>
      <c r="G299" s="20" t="str">
        <f t="shared" si="12"/>
        <v xml:space="preserve"> ANSES/CORDEGOUTT</v>
      </c>
      <c r="H299" s="20" t="str">
        <f t="shared" si="13"/>
        <v>JUYEL</v>
      </c>
      <c r="I299" s="20" t="str">
        <f t="shared" si="14"/>
        <v xml:space="preserve">XL   </v>
      </c>
    </row>
    <row r="300" spans="1:9">
      <c r="A300" s="17" t="s">
        <v>860</v>
      </c>
      <c r="B300" s="17" t="s">
        <v>867</v>
      </c>
      <c r="C300" s="17" t="s">
        <v>800</v>
      </c>
      <c r="D300" s="17" t="s">
        <v>801</v>
      </c>
      <c r="E300" s="18">
        <v>3005111032022</v>
      </c>
      <c r="G300" s="20" t="str">
        <f t="shared" si="12"/>
        <v xml:space="preserve"> ANSES/CORDEGOUTT</v>
      </c>
      <c r="H300" s="20" t="str">
        <f t="shared" si="13"/>
        <v>VERTF</v>
      </c>
      <c r="I300" s="20" t="str">
        <f t="shared" si="14"/>
        <v xml:space="preserve">L    </v>
      </c>
    </row>
    <row r="301" spans="1:9">
      <c r="A301" s="17" t="s">
        <v>860</v>
      </c>
      <c r="B301" s="17" t="s">
        <v>867</v>
      </c>
      <c r="C301" s="17" t="s">
        <v>800</v>
      </c>
      <c r="D301" s="17" t="s">
        <v>801</v>
      </c>
      <c r="E301" s="18">
        <v>8056300454397</v>
      </c>
      <c r="G301" s="20" t="str">
        <f t="shared" si="12"/>
        <v xml:space="preserve"> ANSES/CORDEGOUTT</v>
      </c>
      <c r="H301" s="20" t="str">
        <f t="shared" si="13"/>
        <v>VERTF</v>
      </c>
      <c r="I301" s="20" t="str">
        <f t="shared" si="14"/>
        <v xml:space="preserve">L    </v>
      </c>
    </row>
    <row r="302" spans="1:9">
      <c r="A302" s="17" t="s">
        <v>860</v>
      </c>
      <c r="B302" s="17" t="s">
        <v>867</v>
      </c>
      <c r="C302" s="17" t="s">
        <v>802</v>
      </c>
      <c r="D302" s="17" t="s">
        <v>801</v>
      </c>
      <c r="E302" s="18">
        <v>3005111032015</v>
      </c>
      <c r="G302" s="20" t="str">
        <f t="shared" si="12"/>
        <v xml:space="preserve"> ANSES/CORDEGOUTT</v>
      </c>
      <c r="H302" s="20" t="str">
        <f t="shared" si="13"/>
        <v>VERTF</v>
      </c>
      <c r="I302" s="20" t="str">
        <f t="shared" si="14"/>
        <v xml:space="preserve">M    </v>
      </c>
    </row>
    <row r="303" spans="1:9">
      <c r="A303" s="17" t="s">
        <v>860</v>
      </c>
      <c r="B303" s="17" t="s">
        <v>867</v>
      </c>
      <c r="C303" s="17" t="s">
        <v>803</v>
      </c>
      <c r="D303" s="17" t="s">
        <v>801</v>
      </c>
      <c r="E303" s="18">
        <v>3005111032008</v>
      </c>
      <c r="G303" s="20" t="str">
        <f t="shared" si="12"/>
        <v xml:space="preserve"> ANSES/CORDEGOUTT</v>
      </c>
      <c r="H303" s="20" t="str">
        <f t="shared" si="13"/>
        <v>VERTF</v>
      </c>
      <c r="I303" s="20" t="str">
        <f t="shared" si="14"/>
        <v xml:space="preserve">S    </v>
      </c>
    </row>
    <row r="304" spans="1:9">
      <c r="A304" s="17" t="s">
        <v>860</v>
      </c>
      <c r="B304" s="17" t="s">
        <v>867</v>
      </c>
      <c r="C304" s="17" t="s">
        <v>803</v>
      </c>
      <c r="D304" s="17" t="s">
        <v>801</v>
      </c>
      <c r="E304" s="18">
        <v>8056300454434</v>
      </c>
      <c r="G304" s="20" t="str">
        <f t="shared" si="12"/>
        <v xml:space="preserve"> ANSES/CORDEGOUTT</v>
      </c>
      <c r="H304" s="20" t="str">
        <f t="shared" si="13"/>
        <v>VERTF</v>
      </c>
      <c r="I304" s="20" t="str">
        <f t="shared" si="14"/>
        <v xml:space="preserve">S    </v>
      </c>
    </row>
    <row r="305" spans="1:9">
      <c r="A305" s="17" t="s">
        <v>860</v>
      </c>
      <c r="B305" s="17" t="s">
        <v>867</v>
      </c>
      <c r="C305" s="17" t="s">
        <v>804</v>
      </c>
      <c r="D305" s="17" t="s">
        <v>801</v>
      </c>
      <c r="E305" s="18">
        <v>3005111032039</v>
      </c>
      <c r="G305" s="20" t="str">
        <f t="shared" si="12"/>
        <v xml:space="preserve"> ANSES/CORDEGOUTT</v>
      </c>
      <c r="H305" s="20" t="str">
        <f t="shared" si="13"/>
        <v>VERTF</v>
      </c>
      <c r="I305" s="20" t="str">
        <f t="shared" si="14"/>
        <v xml:space="preserve">XL   </v>
      </c>
    </row>
    <row r="306" spans="1:9">
      <c r="A306" s="17" t="s">
        <v>868</v>
      </c>
      <c r="B306" s="17" t="s">
        <v>280</v>
      </c>
      <c r="C306" s="17" t="s">
        <v>800</v>
      </c>
      <c r="D306" s="17" t="s">
        <v>801</v>
      </c>
      <c r="E306" s="18">
        <v>3003230001035</v>
      </c>
      <c r="G306" s="20" t="str">
        <f t="shared" si="12"/>
        <v xml:space="preserve"> ANSES/CUIR      </v>
      </c>
      <c r="H306" s="20" t="str">
        <f t="shared" si="13"/>
        <v>BLACK</v>
      </c>
      <c r="I306" s="20" t="str">
        <f t="shared" si="14"/>
        <v xml:space="preserve">L    </v>
      </c>
    </row>
    <row r="307" spans="1:9">
      <c r="A307" s="17" t="s">
        <v>868</v>
      </c>
      <c r="B307" s="17" t="s">
        <v>280</v>
      </c>
      <c r="C307" s="17" t="s">
        <v>800</v>
      </c>
      <c r="D307" s="17" t="s">
        <v>801</v>
      </c>
      <c r="E307" s="18">
        <v>8051770308683</v>
      </c>
      <c r="G307" s="20" t="str">
        <f t="shared" si="12"/>
        <v xml:space="preserve"> ANSES/CUIR      </v>
      </c>
      <c r="H307" s="20" t="str">
        <f t="shared" si="13"/>
        <v>BLACK</v>
      </c>
      <c r="I307" s="20" t="str">
        <f t="shared" si="14"/>
        <v xml:space="preserve">L    </v>
      </c>
    </row>
    <row r="308" spans="1:9">
      <c r="A308" s="17" t="s">
        <v>868</v>
      </c>
      <c r="B308" s="17" t="s">
        <v>280</v>
      </c>
      <c r="C308" s="17" t="s">
        <v>802</v>
      </c>
      <c r="D308" s="17" t="s">
        <v>801</v>
      </c>
      <c r="E308" s="18">
        <v>3003230001028</v>
      </c>
      <c r="G308" s="20" t="str">
        <f t="shared" si="12"/>
        <v xml:space="preserve"> ANSES/CUIR      </v>
      </c>
      <c r="H308" s="20" t="str">
        <f t="shared" si="13"/>
        <v>BLACK</v>
      </c>
      <c r="I308" s="20" t="str">
        <f t="shared" si="14"/>
        <v xml:space="preserve">M    </v>
      </c>
    </row>
    <row r="309" spans="1:9">
      <c r="A309" s="17" t="s">
        <v>868</v>
      </c>
      <c r="B309" s="17" t="s">
        <v>280</v>
      </c>
      <c r="C309" s="17" t="s">
        <v>803</v>
      </c>
      <c r="D309" s="17" t="s">
        <v>801</v>
      </c>
      <c r="E309" s="18">
        <v>3003230001011</v>
      </c>
      <c r="G309" s="20" t="str">
        <f t="shared" si="12"/>
        <v xml:space="preserve"> ANSES/CUIR      </v>
      </c>
      <c r="H309" s="20" t="str">
        <f t="shared" si="13"/>
        <v>BLACK</v>
      </c>
      <c r="I309" s="20" t="str">
        <f t="shared" si="14"/>
        <v xml:space="preserve">S    </v>
      </c>
    </row>
    <row r="310" spans="1:9">
      <c r="A310" s="17" t="s">
        <v>868</v>
      </c>
      <c r="B310" s="17" t="s">
        <v>280</v>
      </c>
      <c r="C310" s="17" t="s">
        <v>803</v>
      </c>
      <c r="D310" s="17" t="s">
        <v>801</v>
      </c>
      <c r="E310" s="18">
        <v>8050450215402</v>
      </c>
      <c r="G310" s="20" t="str">
        <f t="shared" si="12"/>
        <v xml:space="preserve"> ANSES/CUIR      </v>
      </c>
      <c r="H310" s="20" t="str">
        <f t="shared" si="13"/>
        <v>BLACK</v>
      </c>
      <c r="I310" s="20" t="str">
        <f t="shared" si="14"/>
        <v xml:space="preserve">S    </v>
      </c>
    </row>
    <row r="311" spans="1:9">
      <c r="A311" s="17" t="s">
        <v>868</v>
      </c>
      <c r="B311" s="17" t="s">
        <v>280</v>
      </c>
      <c r="C311" s="17" t="s">
        <v>804</v>
      </c>
      <c r="D311" s="17" t="s">
        <v>801</v>
      </c>
      <c r="E311" s="18">
        <v>3003230001042</v>
      </c>
      <c r="G311" s="20" t="str">
        <f t="shared" si="12"/>
        <v xml:space="preserve"> ANSES/CUIR      </v>
      </c>
      <c r="H311" s="20" t="str">
        <f t="shared" si="13"/>
        <v>BLACK</v>
      </c>
      <c r="I311" s="20" t="str">
        <f t="shared" si="14"/>
        <v xml:space="preserve">XL   </v>
      </c>
    </row>
    <row r="312" spans="1:9">
      <c r="A312" s="17" t="s">
        <v>868</v>
      </c>
      <c r="B312" s="17" t="s">
        <v>280</v>
      </c>
      <c r="C312" s="17" t="s">
        <v>805</v>
      </c>
      <c r="D312" s="17" t="s">
        <v>801</v>
      </c>
      <c r="E312" s="18">
        <v>3003230001004</v>
      </c>
      <c r="G312" s="20" t="str">
        <f t="shared" si="12"/>
        <v xml:space="preserve"> ANSES/CUIR      </v>
      </c>
      <c r="H312" s="20" t="str">
        <f t="shared" si="13"/>
        <v>BLACK</v>
      </c>
      <c r="I312" s="20" t="str">
        <f t="shared" si="14"/>
        <v xml:space="preserve">XS   </v>
      </c>
    </row>
    <row r="313" spans="1:9">
      <c r="A313" s="17" t="s">
        <v>868</v>
      </c>
      <c r="B313" s="17" t="s">
        <v>869</v>
      </c>
      <c r="C313" s="17" t="s">
        <v>800</v>
      </c>
      <c r="D313" s="17" t="s">
        <v>801</v>
      </c>
      <c r="E313" s="18">
        <v>3003230008034</v>
      </c>
      <c r="G313" s="20" t="str">
        <f t="shared" si="12"/>
        <v xml:space="preserve"> ANSES/CUIR      </v>
      </c>
      <c r="H313" s="20" t="str">
        <f t="shared" si="13"/>
        <v>BROWN</v>
      </c>
      <c r="I313" s="20" t="str">
        <f t="shared" si="14"/>
        <v xml:space="preserve">L    </v>
      </c>
    </row>
    <row r="314" spans="1:9">
      <c r="A314" s="17" t="s">
        <v>868</v>
      </c>
      <c r="B314" s="17" t="s">
        <v>869</v>
      </c>
      <c r="C314" s="17" t="s">
        <v>800</v>
      </c>
      <c r="D314" s="17" t="s">
        <v>801</v>
      </c>
      <c r="E314" s="18">
        <v>8051770308690</v>
      </c>
      <c r="G314" s="20" t="str">
        <f t="shared" si="12"/>
        <v xml:space="preserve"> ANSES/CUIR      </v>
      </c>
      <c r="H314" s="20" t="str">
        <f t="shared" si="13"/>
        <v>BROWN</v>
      </c>
      <c r="I314" s="20" t="str">
        <f t="shared" si="14"/>
        <v xml:space="preserve">L    </v>
      </c>
    </row>
    <row r="315" spans="1:9">
      <c r="A315" s="17" t="s">
        <v>868</v>
      </c>
      <c r="B315" s="17" t="s">
        <v>869</v>
      </c>
      <c r="C315" s="17" t="s">
        <v>802</v>
      </c>
      <c r="D315" s="17" t="s">
        <v>801</v>
      </c>
      <c r="E315" s="18">
        <v>3003230008027</v>
      </c>
      <c r="G315" s="20" t="str">
        <f t="shared" si="12"/>
        <v xml:space="preserve"> ANSES/CUIR      </v>
      </c>
      <c r="H315" s="20" t="str">
        <f t="shared" si="13"/>
        <v>BROWN</v>
      </c>
      <c r="I315" s="20" t="str">
        <f t="shared" si="14"/>
        <v xml:space="preserve">M    </v>
      </c>
    </row>
    <row r="316" spans="1:9">
      <c r="A316" s="17" t="s">
        <v>868</v>
      </c>
      <c r="B316" s="17" t="s">
        <v>869</v>
      </c>
      <c r="C316" s="17" t="s">
        <v>803</v>
      </c>
      <c r="D316" s="17" t="s">
        <v>801</v>
      </c>
      <c r="E316" s="18">
        <v>3003230008010</v>
      </c>
      <c r="G316" s="20" t="str">
        <f t="shared" si="12"/>
        <v xml:space="preserve"> ANSES/CUIR      </v>
      </c>
      <c r="H316" s="20" t="str">
        <f t="shared" si="13"/>
        <v>BROWN</v>
      </c>
      <c r="I316" s="20" t="str">
        <f t="shared" si="14"/>
        <v xml:space="preserve">S    </v>
      </c>
    </row>
    <row r="317" spans="1:9">
      <c r="A317" s="17" t="s">
        <v>868</v>
      </c>
      <c r="B317" s="17" t="s">
        <v>869</v>
      </c>
      <c r="C317" s="17" t="s">
        <v>803</v>
      </c>
      <c r="D317" s="17" t="s">
        <v>801</v>
      </c>
      <c r="E317" s="18">
        <v>8050450215396</v>
      </c>
      <c r="G317" s="20" t="str">
        <f t="shared" si="12"/>
        <v xml:space="preserve"> ANSES/CUIR      </v>
      </c>
      <c r="H317" s="20" t="str">
        <f t="shared" si="13"/>
        <v>BROWN</v>
      </c>
      <c r="I317" s="20" t="str">
        <f t="shared" si="14"/>
        <v xml:space="preserve">S    </v>
      </c>
    </row>
    <row r="318" spans="1:9">
      <c r="A318" s="17" t="s">
        <v>868</v>
      </c>
      <c r="B318" s="17" t="s">
        <v>869</v>
      </c>
      <c r="C318" s="17" t="s">
        <v>804</v>
      </c>
      <c r="D318" s="17" t="s">
        <v>801</v>
      </c>
      <c r="E318" s="18">
        <v>3003230008041</v>
      </c>
      <c r="G318" s="20" t="str">
        <f t="shared" si="12"/>
        <v xml:space="preserve"> ANSES/CUIR      </v>
      </c>
      <c r="H318" s="20" t="str">
        <f t="shared" si="13"/>
        <v>BROWN</v>
      </c>
      <c r="I318" s="20" t="str">
        <f t="shared" si="14"/>
        <v xml:space="preserve">XL   </v>
      </c>
    </row>
    <row r="319" spans="1:9">
      <c r="A319" s="17" t="s">
        <v>868</v>
      </c>
      <c r="B319" s="17" t="s">
        <v>869</v>
      </c>
      <c r="C319" s="17" t="s">
        <v>805</v>
      </c>
      <c r="D319" s="17" t="s">
        <v>801</v>
      </c>
      <c r="E319" s="18">
        <v>3003230008003</v>
      </c>
      <c r="G319" s="20" t="str">
        <f t="shared" si="12"/>
        <v xml:space="preserve"> ANSES/CUIR      </v>
      </c>
      <c r="H319" s="20" t="str">
        <f t="shared" si="13"/>
        <v>BROWN</v>
      </c>
      <c r="I319" s="20" t="str">
        <f t="shared" si="14"/>
        <v xml:space="preserve">XS   </v>
      </c>
    </row>
    <row r="320" spans="1:9">
      <c r="A320" s="17" t="s">
        <v>868</v>
      </c>
      <c r="B320" s="17" t="s">
        <v>859</v>
      </c>
      <c r="C320" s="17" t="s">
        <v>800</v>
      </c>
      <c r="D320" s="17" t="s">
        <v>801</v>
      </c>
      <c r="E320" s="18">
        <v>3003230002032</v>
      </c>
      <c r="G320" s="20" t="str">
        <f t="shared" si="12"/>
        <v xml:space="preserve"> ANSES/CUIR      </v>
      </c>
      <c r="H320" s="20" t="str">
        <f t="shared" si="13"/>
        <v>NATUR</v>
      </c>
      <c r="I320" s="20" t="str">
        <f t="shared" si="14"/>
        <v xml:space="preserve">L    </v>
      </c>
    </row>
    <row r="321" spans="1:9">
      <c r="A321" s="17" t="s">
        <v>868</v>
      </c>
      <c r="B321" s="17" t="s">
        <v>859</v>
      </c>
      <c r="C321" s="17" t="s">
        <v>800</v>
      </c>
      <c r="D321" s="17" t="s">
        <v>801</v>
      </c>
      <c r="E321" s="18">
        <v>8051770308706</v>
      </c>
      <c r="G321" s="20" t="str">
        <f t="shared" si="12"/>
        <v xml:space="preserve"> ANSES/CUIR      </v>
      </c>
      <c r="H321" s="20" t="str">
        <f t="shared" si="13"/>
        <v>NATUR</v>
      </c>
      <c r="I321" s="20" t="str">
        <f t="shared" si="14"/>
        <v xml:space="preserve">L    </v>
      </c>
    </row>
    <row r="322" spans="1:9">
      <c r="A322" s="17" t="s">
        <v>868</v>
      </c>
      <c r="B322" s="17" t="s">
        <v>859</v>
      </c>
      <c r="C322" s="17" t="s">
        <v>802</v>
      </c>
      <c r="D322" s="17" t="s">
        <v>801</v>
      </c>
      <c r="E322" s="18">
        <v>3003230002025</v>
      </c>
      <c r="G322" s="20" t="str">
        <f t="shared" si="12"/>
        <v xml:space="preserve"> ANSES/CUIR      </v>
      </c>
      <c r="H322" s="20" t="str">
        <f t="shared" si="13"/>
        <v>NATUR</v>
      </c>
      <c r="I322" s="20" t="str">
        <f t="shared" si="14"/>
        <v xml:space="preserve">M    </v>
      </c>
    </row>
    <row r="323" spans="1:9">
      <c r="A323" s="17" t="s">
        <v>868</v>
      </c>
      <c r="B323" s="17" t="s">
        <v>859</v>
      </c>
      <c r="C323" s="17" t="s">
        <v>803</v>
      </c>
      <c r="D323" s="17" t="s">
        <v>801</v>
      </c>
      <c r="E323" s="18">
        <v>3003230002018</v>
      </c>
      <c r="G323" s="20" t="str">
        <f t="shared" si="12"/>
        <v xml:space="preserve"> ANSES/CUIR      </v>
      </c>
      <c r="H323" s="20" t="str">
        <f t="shared" si="13"/>
        <v>NATUR</v>
      </c>
      <c r="I323" s="20" t="str">
        <f t="shared" si="14"/>
        <v xml:space="preserve">S    </v>
      </c>
    </row>
    <row r="324" spans="1:9">
      <c r="A324" s="17" t="s">
        <v>868</v>
      </c>
      <c r="B324" s="17" t="s">
        <v>859</v>
      </c>
      <c r="C324" s="17" t="s">
        <v>803</v>
      </c>
      <c r="D324" s="17" t="s">
        <v>801</v>
      </c>
      <c r="E324" s="18">
        <v>8050450213903</v>
      </c>
      <c r="G324" s="20" t="str">
        <f t="shared" si="12"/>
        <v xml:space="preserve"> ANSES/CUIR      </v>
      </c>
      <c r="H324" s="20" t="str">
        <f t="shared" si="13"/>
        <v>NATUR</v>
      </c>
      <c r="I324" s="20" t="str">
        <f t="shared" si="14"/>
        <v xml:space="preserve">S    </v>
      </c>
    </row>
    <row r="325" spans="1:9">
      <c r="A325" s="17" t="s">
        <v>868</v>
      </c>
      <c r="B325" s="17" t="s">
        <v>859</v>
      </c>
      <c r="C325" s="17" t="s">
        <v>804</v>
      </c>
      <c r="D325" s="17" t="s">
        <v>801</v>
      </c>
      <c r="E325" s="18">
        <v>3003230002049</v>
      </c>
      <c r="G325" s="20" t="str">
        <f t="shared" ref="G325:G388" si="15">A325</f>
        <v xml:space="preserve"> ANSES/CUIR      </v>
      </c>
      <c r="H325" s="20" t="str">
        <f t="shared" ref="H325:H388" si="16">B325</f>
        <v>NATUR</v>
      </c>
      <c r="I325" s="20" t="str">
        <f t="shared" ref="I325:I388" si="17">C325</f>
        <v xml:space="preserve">XL   </v>
      </c>
    </row>
    <row r="326" spans="1:9">
      <c r="A326" s="17" t="s">
        <v>868</v>
      </c>
      <c r="B326" s="17" t="s">
        <v>859</v>
      </c>
      <c r="C326" s="17" t="s">
        <v>805</v>
      </c>
      <c r="D326" s="17" t="s">
        <v>801</v>
      </c>
      <c r="E326" s="18">
        <v>3003230002001</v>
      </c>
      <c r="G326" s="20" t="str">
        <f t="shared" si="15"/>
        <v xml:space="preserve"> ANSES/CUIR      </v>
      </c>
      <c r="H326" s="20" t="str">
        <f t="shared" si="16"/>
        <v>NATUR</v>
      </c>
      <c r="I326" s="20" t="str">
        <f t="shared" si="17"/>
        <v xml:space="preserve">XS   </v>
      </c>
    </row>
    <row r="327" spans="1:9">
      <c r="A327" s="17" t="s">
        <v>868</v>
      </c>
      <c r="B327" s="17" t="s">
        <v>273</v>
      </c>
      <c r="C327" s="17" t="s">
        <v>800</v>
      </c>
      <c r="D327" s="17" t="s">
        <v>801</v>
      </c>
      <c r="E327" s="18">
        <v>3003230004036</v>
      </c>
      <c r="G327" s="20" t="str">
        <f t="shared" si="15"/>
        <v xml:space="preserve"> ANSES/CUIR      </v>
      </c>
      <c r="H327" s="20" t="str">
        <f t="shared" si="16"/>
        <v>WHITE</v>
      </c>
      <c r="I327" s="20" t="str">
        <f t="shared" si="17"/>
        <v xml:space="preserve">L    </v>
      </c>
    </row>
    <row r="328" spans="1:9">
      <c r="A328" s="17" t="s">
        <v>868</v>
      </c>
      <c r="B328" s="17" t="s">
        <v>273</v>
      </c>
      <c r="C328" s="17" t="s">
        <v>802</v>
      </c>
      <c r="D328" s="17" t="s">
        <v>801</v>
      </c>
      <c r="E328" s="18">
        <v>3003230004029</v>
      </c>
      <c r="G328" s="20" t="str">
        <f t="shared" si="15"/>
        <v xml:space="preserve"> ANSES/CUIR      </v>
      </c>
      <c r="H328" s="20" t="str">
        <f t="shared" si="16"/>
        <v>WHITE</v>
      </c>
      <c r="I328" s="20" t="str">
        <f t="shared" si="17"/>
        <v xml:space="preserve">M    </v>
      </c>
    </row>
    <row r="329" spans="1:9">
      <c r="A329" s="17" t="s">
        <v>868</v>
      </c>
      <c r="B329" s="17" t="s">
        <v>273</v>
      </c>
      <c r="C329" s="17" t="s">
        <v>803</v>
      </c>
      <c r="D329" s="17" t="s">
        <v>801</v>
      </c>
      <c r="E329" s="18">
        <v>3003230004012</v>
      </c>
      <c r="G329" s="20" t="str">
        <f t="shared" si="15"/>
        <v xml:space="preserve"> ANSES/CUIR      </v>
      </c>
      <c r="H329" s="20" t="str">
        <f t="shared" si="16"/>
        <v>WHITE</v>
      </c>
      <c r="I329" s="20" t="str">
        <f t="shared" si="17"/>
        <v xml:space="preserve">S    </v>
      </c>
    </row>
    <row r="330" spans="1:9">
      <c r="A330" s="17" t="s">
        <v>868</v>
      </c>
      <c r="B330" s="17" t="s">
        <v>273</v>
      </c>
      <c r="C330" s="17" t="s">
        <v>804</v>
      </c>
      <c r="D330" s="17" t="s">
        <v>801</v>
      </c>
      <c r="E330" s="18">
        <v>3003230004043</v>
      </c>
      <c r="G330" s="20" t="str">
        <f t="shared" si="15"/>
        <v xml:space="preserve"> ANSES/CUIR      </v>
      </c>
      <c r="H330" s="20" t="str">
        <f t="shared" si="16"/>
        <v>WHITE</v>
      </c>
      <c r="I330" s="20" t="str">
        <f t="shared" si="17"/>
        <v xml:space="preserve">XL   </v>
      </c>
    </row>
    <row r="331" spans="1:9">
      <c r="A331" s="17" t="s">
        <v>868</v>
      </c>
      <c r="B331" s="17" t="s">
        <v>273</v>
      </c>
      <c r="C331" s="17" t="s">
        <v>805</v>
      </c>
      <c r="D331" s="17" t="s">
        <v>801</v>
      </c>
      <c r="E331" s="18">
        <v>3003230004005</v>
      </c>
      <c r="G331" s="20" t="str">
        <f t="shared" si="15"/>
        <v xml:space="preserve"> ANSES/CUIR      </v>
      </c>
      <c r="H331" s="20" t="str">
        <f t="shared" si="16"/>
        <v>WHITE</v>
      </c>
      <c r="I331" s="20" t="str">
        <f t="shared" si="17"/>
        <v xml:space="preserve">XS   </v>
      </c>
    </row>
    <row r="332" spans="1:9">
      <c r="A332" s="17" t="s">
        <v>870</v>
      </c>
      <c r="B332" s="17" t="s">
        <v>280</v>
      </c>
      <c r="C332" s="17">
        <v>0</v>
      </c>
      <c r="D332" s="17" t="s">
        <v>801</v>
      </c>
      <c r="E332" s="18">
        <v>8050846018983</v>
      </c>
      <c r="G332" s="20" t="str">
        <f t="shared" si="15"/>
        <v xml:space="preserve"> ANSES/DOUBLE    </v>
      </c>
      <c r="H332" s="20" t="str">
        <f t="shared" si="16"/>
        <v>BLACK</v>
      </c>
      <c r="I332" s="20">
        <f t="shared" si="17"/>
        <v>0</v>
      </c>
    </row>
    <row r="333" spans="1:9">
      <c r="A333" s="17" t="s">
        <v>870</v>
      </c>
      <c r="B333" s="17" t="s">
        <v>816</v>
      </c>
      <c r="C333" s="17">
        <v>0</v>
      </c>
      <c r="D333" s="17" t="s">
        <v>801</v>
      </c>
      <c r="E333" s="18">
        <v>8050846018990</v>
      </c>
      <c r="G333" s="20" t="str">
        <f t="shared" si="15"/>
        <v xml:space="preserve"> ANSES/DOUBLE    </v>
      </c>
      <c r="H333" s="20" t="str">
        <f t="shared" si="16"/>
        <v xml:space="preserve">RED  </v>
      </c>
      <c r="I333" s="20">
        <f t="shared" si="17"/>
        <v>0</v>
      </c>
    </row>
    <row r="334" spans="1:9">
      <c r="A334" s="17" t="s">
        <v>871</v>
      </c>
      <c r="B334" s="17" t="s">
        <v>872</v>
      </c>
      <c r="C334" s="17" t="s">
        <v>800</v>
      </c>
      <c r="D334" s="17" t="s">
        <v>801</v>
      </c>
      <c r="E334" s="18">
        <v>3005290408038</v>
      </c>
      <c r="G334" s="20" t="str">
        <f t="shared" si="15"/>
        <v xml:space="preserve"> ANSES/DOUBLETRES</v>
      </c>
      <c r="H334" s="20" t="str">
        <f t="shared" si="16"/>
        <v xml:space="preserve">SKB  </v>
      </c>
      <c r="I334" s="20" t="str">
        <f t="shared" si="17"/>
        <v xml:space="preserve">L    </v>
      </c>
    </row>
    <row r="335" spans="1:9">
      <c r="A335" s="17" t="s">
        <v>871</v>
      </c>
      <c r="B335" s="17" t="s">
        <v>872</v>
      </c>
      <c r="C335" s="17" t="s">
        <v>802</v>
      </c>
      <c r="D335" s="17" t="s">
        <v>801</v>
      </c>
      <c r="E335" s="18">
        <v>3005290408021</v>
      </c>
      <c r="G335" s="20" t="str">
        <f t="shared" si="15"/>
        <v xml:space="preserve"> ANSES/DOUBLETRES</v>
      </c>
      <c r="H335" s="20" t="str">
        <f t="shared" si="16"/>
        <v xml:space="preserve">SKB  </v>
      </c>
      <c r="I335" s="20" t="str">
        <f t="shared" si="17"/>
        <v xml:space="preserve">M    </v>
      </c>
    </row>
    <row r="336" spans="1:9">
      <c r="A336" s="17" t="s">
        <v>871</v>
      </c>
      <c r="B336" s="17" t="s">
        <v>872</v>
      </c>
      <c r="C336" s="17" t="s">
        <v>803</v>
      </c>
      <c r="D336" s="17" t="s">
        <v>801</v>
      </c>
      <c r="E336" s="18">
        <v>3005290408014</v>
      </c>
      <c r="G336" s="20" t="str">
        <f t="shared" si="15"/>
        <v xml:space="preserve"> ANSES/DOUBLETRES</v>
      </c>
      <c r="H336" s="20" t="str">
        <f t="shared" si="16"/>
        <v xml:space="preserve">SKB  </v>
      </c>
      <c r="I336" s="20" t="str">
        <f t="shared" si="17"/>
        <v xml:space="preserve">S    </v>
      </c>
    </row>
    <row r="337" spans="1:9">
      <c r="A337" s="17" t="s">
        <v>871</v>
      </c>
      <c r="B337" s="17" t="s">
        <v>872</v>
      </c>
      <c r="C337" s="17" t="s">
        <v>803</v>
      </c>
      <c r="D337" s="17" t="s">
        <v>801</v>
      </c>
      <c r="E337" s="18">
        <v>8056095064283</v>
      </c>
      <c r="G337" s="20" t="str">
        <f t="shared" si="15"/>
        <v xml:space="preserve"> ANSES/DOUBLETRES</v>
      </c>
      <c r="H337" s="20" t="str">
        <f t="shared" si="16"/>
        <v xml:space="preserve">SKB  </v>
      </c>
      <c r="I337" s="20" t="str">
        <f t="shared" si="17"/>
        <v xml:space="preserve">S    </v>
      </c>
    </row>
    <row r="338" spans="1:9">
      <c r="A338" s="17" t="s">
        <v>871</v>
      </c>
      <c r="B338" s="17" t="s">
        <v>872</v>
      </c>
      <c r="C338" s="17" t="s">
        <v>804</v>
      </c>
      <c r="D338" s="17" t="s">
        <v>801</v>
      </c>
      <c r="E338" s="18">
        <v>3005290408045</v>
      </c>
      <c r="G338" s="20" t="str">
        <f t="shared" si="15"/>
        <v xml:space="preserve"> ANSES/DOUBLETRES</v>
      </c>
      <c r="H338" s="20" t="str">
        <f t="shared" si="16"/>
        <v xml:space="preserve">SKB  </v>
      </c>
      <c r="I338" s="20" t="str">
        <f t="shared" si="17"/>
        <v xml:space="preserve">XL   </v>
      </c>
    </row>
    <row r="339" spans="1:9">
      <c r="A339" s="17" t="s">
        <v>871</v>
      </c>
      <c r="B339" s="17" t="s">
        <v>872</v>
      </c>
      <c r="C339" s="17" t="s">
        <v>805</v>
      </c>
      <c r="D339" s="17" t="s">
        <v>801</v>
      </c>
      <c r="E339" s="18">
        <v>3005290408007</v>
      </c>
      <c r="G339" s="20" t="str">
        <f t="shared" si="15"/>
        <v xml:space="preserve"> ANSES/DOUBLETRES</v>
      </c>
      <c r="H339" s="20" t="str">
        <f t="shared" si="16"/>
        <v xml:space="preserve">SKB  </v>
      </c>
      <c r="I339" s="20" t="str">
        <f t="shared" si="17"/>
        <v xml:space="preserve">XS   </v>
      </c>
    </row>
    <row r="340" spans="1:9">
      <c r="A340" s="17" t="s">
        <v>871</v>
      </c>
      <c r="B340" s="17" t="s">
        <v>873</v>
      </c>
      <c r="C340" s="17" t="s">
        <v>800</v>
      </c>
      <c r="D340" s="17" t="s">
        <v>801</v>
      </c>
      <c r="E340" s="18">
        <v>3005291100030</v>
      </c>
      <c r="G340" s="20" t="str">
        <f t="shared" si="15"/>
        <v xml:space="preserve"> ANSES/DOUBLETRES</v>
      </c>
      <c r="H340" s="20" t="str">
        <f t="shared" si="16"/>
        <v>TORTO</v>
      </c>
      <c r="I340" s="20" t="str">
        <f t="shared" si="17"/>
        <v xml:space="preserve">L    </v>
      </c>
    </row>
    <row r="341" spans="1:9">
      <c r="A341" s="17" t="s">
        <v>871</v>
      </c>
      <c r="B341" s="17" t="s">
        <v>873</v>
      </c>
      <c r="C341" s="17" t="s">
        <v>802</v>
      </c>
      <c r="D341" s="17" t="s">
        <v>801</v>
      </c>
      <c r="E341" s="18">
        <v>3005291100023</v>
      </c>
      <c r="G341" s="20" t="str">
        <f t="shared" si="15"/>
        <v xml:space="preserve"> ANSES/DOUBLETRES</v>
      </c>
      <c r="H341" s="20" t="str">
        <f t="shared" si="16"/>
        <v>TORTO</v>
      </c>
      <c r="I341" s="20" t="str">
        <f t="shared" si="17"/>
        <v xml:space="preserve">M    </v>
      </c>
    </row>
    <row r="342" spans="1:9">
      <c r="A342" s="17" t="s">
        <v>871</v>
      </c>
      <c r="B342" s="17" t="s">
        <v>873</v>
      </c>
      <c r="C342" s="17" t="s">
        <v>803</v>
      </c>
      <c r="D342" s="17" t="s">
        <v>801</v>
      </c>
      <c r="E342" s="18">
        <v>3005291100016</v>
      </c>
      <c r="G342" s="20" t="str">
        <f t="shared" si="15"/>
        <v xml:space="preserve"> ANSES/DOUBLETRES</v>
      </c>
      <c r="H342" s="20" t="str">
        <f t="shared" si="16"/>
        <v>TORTO</v>
      </c>
      <c r="I342" s="20" t="str">
        <f t="shared" si="17"/>
        <v xml:space="preserve">S    </v>
      </c>
    </row>
    <row r="343" spans="1:9">
      <c r="A343" s="17" t="s">
        <v>871</v>
      </c>
      <c r="B343" s="17" t="s">
        <v>873</v>
      </c>
      <c r="C343" s="17" t="s">
        <v>803</v>
      </c>
      <c r="D343" s="17" t="s">
        <v>801</v>
      </c>
      <c r="E343" s="18">
        <v>8056095064290</v>
      </c>
      <c r="G343" s="20" t="str">
        <f t="shared" si="15"/>
        <v xml:space="preserve"> ANSES/DOUBLETRES</v>
      </c>
      <c r="H343" s="20" t="str">
        <f t="shared" si="16"/>
        <v>TORTO</v>
      </c>
      <c r="I343" s="20" t="str">
        <f t="shared" si="17"/>
        <v xml:space="preserve">S    </v>
      </c>
    </row>
    <row r="344" spans="1:9">
      <c r="A344" s="17" t="s">
        <v>871</v>
      </c>
      <c r="B344" s="17" t="s">
        <v>873</v>
      </c>
      <c r="C344" s="17" t="s">
        <v>804</v>
      </c>
      <c r="D344" s="17" t="s">
        <v>801</v>
      </c>
      <c r="E344" s="18">
        <v>3005291100047</v>
      </c>
      <c r="G344" s="20" t="str">
        <f t="shared" si="15"/>
        <v xml:space="preserve"> ANSES/DOUBLETRES</v>
      </c>
      <c r="H344" s="20" t="str">
        <f t="shared" si="16"/>
        <v>TORTO</v>
      </c>
      <c r="I344" s="20" t="str">
        <f t="shared" si="17"/>
        <v xml:space="preserve">XL   </v>
      </c>
    </row>
    <row r="345" spans="1:9">
      <c r="A345" s="17" t="s">
        <v>871</v>
      </c>
      <c r="B345" s="17" t="s">
        <v>873</v>
      </c>
      <c r="C345" s="17" t="s">
        <v>805</v>
      </c>
      <c r="D345" s="17" t="s">
        <v>801</v>
      </c>
      <c r="E345" s="18">
        <v>3005291100009</v>
      </c>
      <c r="G345" s="20" t="str">
        <f t="shared" si="15"/>
        <v xml:space="preserve"> ANSES/DOUBLETRES</v>
      </c>
      <c r="H345" s="20" t="str">
        <f t="shared" si="16"/>
        <v>TORTO</v>
      </c>
      <c r="I345" s="20" t="str">
        <f t="shared" si="17"/>
        <v xml:space="preserve">XS   </v>
      </c>
    </row>
    <row r="346" spans="1:9">
      <c r="A346" s="17" t="s">
        <v>874</v>
      </c>
      <c r="B346" s="17" t="s">
        <v>875</v>
      </c>
      <c r="C346" s="17" t="s">
        <v>800</v>
      </c>
      <c r="D346" s="17" t="s">
        <v>801</v>
      </c>
      <c r="E346" s="18">
        <v>3020360112035</v>
      </c>
      <c r="G346" s="20" t="str">
        <f t="shared" si="15"/>
        <v xml:space="preserve"> ANSES/F.CUIR    </v>
      </c>
      <c r="H346" s="20" t="str">
        <f t="shared" si="16"/>
        <v xml:space="preserve">ABRI </v>
      </c>
      <c r="I346" s="20" t="str">
        <f t="shared" si="17"/>
        <v xml:space="preserve">L    </v>
      </c>
    </row>
    <row r="347" spans="1:9">
      <c r="A347" s="17" t="s">
        <v>874</v>
      </c>
      <c r="B347" s="17" t="s">
        <v>875</v>
      </c>
      <c r="C347" s="17" t="s">
        <v>800</v>
      </c>
      <c r="D347" s="17" t="s">
        <v>801</v>
      </c>
      <c r="E347" s="18">
        <v>3002310255030</v>
      </c>
      <c r="G347" s="20" t="str">
        <f t="shared" si="15"/>
        <v xml:space="preserve"> ANSES/F.CUIR    </v>
      </c>
      <c r="H347" s="20" t="str">
        <f t="shared" si="16"/>
        <v xml:space="preserve">ABRI </v>
      </c>
      <c r="I347" s="20" t="str">
        <f t="shared" si="17"/>
        <v xml:space="preserve">L    </v>
      </c>
    </row>
    <row r="348" spans="1:9">
      <c r="A348" s="17" t="s">
        <v>874</v>
      </c>
      <c r="B348" s="17" t="s">
        <v>875</v>
      </c>
      <c r="C348" s="17" t="s">
        <v>802</v>
      </c>
      <c r="D348" s="17" t="s">
        <v>801</v>
      </c>
      <c r="E348" s="18">
        <v>3020360112028</v>
      </c>
      <c r="G348" s="20" t="str">
        <f t="shared" si="15"/>
        <v xml:space="preserve"> ANSES/F.CUIR    </v>
      </c>
      <c r="H348" s="20" t="str">
        <f t="shared" si="16"/>
        <v xml:space="preserve">ABRI </v>
      </c>
      <c r="I348" s="20" t="str">
        <f t="shared" si="17"/>
        <v xml:space="preserve">M    </v>
      </c>
    </row>
    <row r="349" spans="1:9">
      <c r="A349" s="17" t="s">
        <v>874</v>
      </c>
      <c r="B349" s="17" t="s">
        <v>875</v>
      </c>
      <c r="C349" s="17" t="s">
        <v>802</v>
      </c>
      <c r="D349" s="17" t="s">
        <v>801</v>
      </c>
      <c r="E349" s="18">
        <v>3002310255023</v>
      </c>
      <c r="G349" s="20" t="str">
        <f t="shared" si="15"/>
        <v xml:space="preserve"> ANSES/F.CUIR    </v>
      </c>
      <c r="H349" s="20" t="str">
        <f t="shared" si="16"/>
        <v xml:space="preserve">ABRI </v>
      </c>
      <c r="I349" s="20" t="str">
        <f t="shared" si="17"/>
        <v xml:space="preserve">M    </v>
      </c>
    </row>
    <row r="350" spans="1:9">
      <c r="A350" s="17" t="s">
        <v>874</v>
      </c>
      <c r="B350" s="17" t="s">
        <v>875</v>
      </c>
      <c r="C350" s="17" t="s">
        <v>803</v>
      </c>
      <c r="D350" s="17" t="s">
        <v>801</v>
      </c>
      <c r="E350" s="18">
        <v>3020360112011</v>
      </c>
      <c r="G350" s="20" t="str">
        <f t="shared" si="15"/>
        <v xml:space="preserve"> ANSES/F.CUIR    </v>
      </c>
      <c r="H350" s="20" t="str">
        <f t="shared" si="16"/>
        <v xml:space="preserve">ABRI </v>
      </c>
      <c r="I350" s="20" t="str">
        <f t="shared" si="17"/>
        <v xml:space="preserve">S    </v>
      </c>
    </row>
    <row r="351" spans="1:9">
      <c r="A351" s="17" t="s">
        <v>874</v>
      </c>
      <c r="B351" s="17" t="s">
        <v>875</v>
      </c>
      <c r="C351" s="17" t="s">
        <v>803</v>
      </c>
      <c r="D351" s="17" t="s">
        <v>801</v>
      </c>
      <c r="E351" s="18">
        <v>3002310255016</v>
      </c>
      <c r="G351" s="20" t="str">
        <f t="shared" si="15"/>
        <v xml:space="preserve"> ANSES/F.CUIR    </v>
      </c>
      <c r="H351" s="20" t="str">
        <f t="shared" si="16"/>
        <v xml:space="preserve">ABRI </v>
      </c>
      <c r="I351" s="20" t="str">
        <f t="shared" si="17"/>
        <v xml:space="preserve">S    </v>
      </c>
    </row>
    <row r="352" spans="1:9">
      <c r="A352" s="17" t="s">
        <v>874</v>
      </c>
      <c r="B352" s="17" t="s">
        <v>875</v>
      </c>
      <c r="C352" s="17" t="s">
        <v>804</v>
      </c>
      <c r="D352" s="17" t="s">
        <v>801</v>
      </c>
      <c r="E352" s="18">
        <v>3020360112042</v>
      </c>
      <c r="G352" s="20" t="str">
        <f t="shared" si="15"/>
        <v xml:space="preserve"> ANSES/F.CUIR    </v>
      </c>
      <c r="H352" s="20" t="str">
        <f t="shared" si="16"/>
        <v xml:space="preserve">ABRI </v>
      </c>
      <c r="I352" s="20" t="str">
        <f t="shared" si="17"/>
        <v xml:space="preserve">XL   </v>
      </c>
    </row>
    <row r="353" spans="1:9">
      <c r="A353" s="17" t="s">
        <v>874</v>
      </c>
      <c r="B353" s="17" t="s">
        <v>875</v>
      </c>
      <c r="C353" s="17" t="s">
        <v>804</v>
      </c>
      <c r="D353" s="17" t="s">
        <v>801</v>
      </c>
      <c r="E353" s="18">
        <v>3002310255047</v>
      </c>
      <c r="G353" s="20" t="str">
        <f t="shared" si="15"/>
        <v xml:space="preserve"> ANSES/F.CUIR    </v>
      </c>
      <c r="H353" s="20" t="str">
        <f t="shared" si="16"/>
        <v xml:space="preserve">ABRI </v>
      </c>
      <c r="I353" s="20" t="str">
        <f t="shared" si="17"/>
        <v xml:space="preserve">XL   </v>
      </c>
    </row>
    <row r="354" spans="1:9">
      <c r="A354" s="17" t="s">
        <v>874</v>
      </c>
      <c r="B354" s="17" t="s">
        <v>875</v>
      </c>
      <c r="C354" s="17" t="s">
        <v>805</v>
      </c>
      <c r="D354" s="17" t="s">
        <v>801</v>
      </c>
      <c r="E354" s="18">
        <v>3020360112004</v>
      </c>
      <c r="G354" s="20" t="str">
        <f t="shared" si="15"/>
        <v xml:space="preserve"> ANSES/F.CUIR    </v>
      </c>
      <c r="H354" s="20" t="str">
        <f t="shared" si="16"/>
        <v xml:space="preserve">ABRI </v>
      </c>
      <c r="I354" s="20" t="str">
        <f t="shared" si="17"/>
        <v xml:space="preserve">XS   </v>
      </c>
    </row>
    <row r="355" spans="1:9">
      <c r="A355" s="17" t="s">
        <v>874</v>
      </c>
      <c r="B355" s="17" t="s">
        <v>875</v>
      </c>
      <c r="C355" s="17" t="s">
        <v>805</v>
      </c>
      <c r="D355" s="17" t="s">
        <v>801</v>
      </c>
      <c r="E355" s="18">
        <v>3002310255009</v>
      </c>
      <c r="G355" s="20" t="str">
        <f t="shared" si="15"/>
        <v xml:space="preserve"> ANSES/F.CUIR    </v>
      </c>
      <c r="H355" s="20" t="str">
        <f t="shared" si="16"/>
        <v xml:space="preserve">ABRI </v>
      </c>
      <c r="I355" s="20" t="str">
        <f t="shared" si="17"/>
        <v xml:space="preserve">XS   </v>
      </c>
    </row>
    <row r="356" spans="1:9">
      <c r="A356" s="17" t="s">
        <v>874</v>
      </c>
      <c r="B356" s="17" t="s">
        <v>876</v>
      </c>
      <c r="C356" s="17" t="s">
        <v>800</v>
      </c>
      <c r="D356" s="17" t="s">
        <v>801</v>
      </c>
      <c r="E356" s="18">
        <v>3020360159030</v>
      </c>
      <c r="G356" s="20" t="str">
        <f t="shared" si="15"/>
        <v xml:space="preserve"> ANSES/F.CUIR    </v>
      </c>
      <c r="H356" s="20" t="str">
        <f t="shared" si="16"/>
        <v>ALBEI</v>
      </c>
      <c r="I356" s="20" t="str">
        <f t="shared" si="17"/>
        <v xml:space="preserve">L    </v>
      </c>
    </row>
    <row r="357" spans="1:9">
      <c r="A357" s="17" t="s">
        <v>874</v>
      </c>
      <c r="B357" s="17" t="s">
        <v>876</v>
      </c>
      <c r="C357" s="17" t="s">
        <v>802</v>
      </c>
      <c r="D357" s="17" t="s">
        <v>801</v>
      </c>
      <c r="E357" s="18">
        <v>3020360159023</v>
      </c>
      <c r="G357" s="20" t="str">
        <f t="shared" si="15"/>
        <v xml:space="preserve"> ANSES/F.CUIR    </v>
      </c>
      <c r="H357" s="20" t="str">
        <f t="shared" si="16"/>
        <v>ALBEI</v>
      </c>
      <c r="I357" s="20" t="str">
        <f t="shared" si="17"/>
        <v xml:space="preserve">M    </v>
      </c>
    </row>
    <row r="358" spans="1:9">
      <c r="A358" s="17" t="s">
        <v>874</v>
      </c>
      <c r="B358" s="17" t="s">
        <v>876</v>
      </c>
      <c r="C358" s="17" t="s">
        <v>803</v>
      </c>
      <c r="D358" s="17" t="s">
        <v>801</v>
      </c>
      <c r="E358" s="18">
        <v>3020360159016</v>
      </c>
      <c r="G358" s="20" t="str">
        <f t="shared" si="15"/>
        <v xml:space="preserve"> ANSES/F.CUIR    </v>
      </c>
      <c r="H358" s="20" t="str">
        <f t="shared" si="16"/>
        <v>ALBEI</v>
      </c>
      <c r="I358" s="20" t="str">
        <f t="shared" si="17"/>
        <v xml:space="preserve">S    </v>
      </c>
    </row>
    <row r="359" spans="1:9">
      <c r="A359" s="17" t="s">
        <v>874</v>
      </c>
      <c r="B359" s="17" t="s">
        <v>876</v>
      </c>
      <c r="C359" s="17" t="s">
        <v>804</v>
      </c>
      <c r="D359" s="17" t="s">
        <v>801</v>
      </c>
      <c r="E359" s="18">
        <v>3020360159047</v>
      </c>
      <c r="G359" s="20" t="str">
        <f t="shared" si="15"/>
        <v xml:space="preserve"> ANSES/F.CUIR    </v>
      </c>
      <c r="H359" s="20" t="str">
        <f t="shared" si="16"/>
        <v>ALBEI</v>
      </c>
      <c r="I359" s="20" t="str">
        <f t="shared" si="17"/>
        <v xml:space="preserve">XL   </v>
      </c>
    </row>
    <row r="360" spans="1:9">
      <c r="A360" s="17" t="s">
        <v>874</v>
      </c>
      <c r="B360" s="17" t="s">
        <v>876</v>
      </c>
      <c r="C360" s="17" t="s">
        <v>805</v>
      </c>
      <c r="D360" s="17" t="s">
        <v>801</v>
      </c>
      <c r="E360" s="18">
        <v>3020360159009</v>
      </c>
      <c r="G360" s="20" t="str">
        <f t="shared" si="15"/>
        <v xml:space="preserve"> ANSES/F.CUIR    </v>
      </c>
      <c r="H360" s="20" t="str">
        <f t="shared" si="16"/>
        <v>ALBEI</v>
      </c>
      <c r="I360" s="20" t="str">
        <f t="shared" si="17"/>
        <v xml:space="preserve">XS   </v>
      </c>
    </row>
    <row r="361" spans="1:9">
      <c r="A361" s="17" t="s">
        <v>874</v>
      </c>
      <c r="B361" s="17" t="s">
        <v>877</v>
      </c>
      <c r="C361" s="17" t="s">
        <v>800</v>
      </c>
      <c r="D361" s="17" t="s">
        <v>801</v>
      </c>
      <c r="E361" s="18">
        <v>3020360158033</v>
      </c>
      <c r="G361" s="20" t="str">
        <f t="shared" si="15"/>
        <v xml:space="preserve"> ANSES/F.CUIR    </v>
      </c>
      <c r="H361" s="20" t="str">
        <f t="shared" si="16"/>
        <v>ALNOI</v>
      </c>
      <c r="I361" s="20" t="str">
        <f t="shared" si="17"/>
        <v xml:space="preserve">L    </v>
      </c>
    </row>
    <row r="362" spans="1:9">
      <c r="A362" s="17" t="s">
        <v>874</v>
      </c>
      <c r="B362" s="17" t="s">
        <v>877</v>
      </c>
      <c r="C362" s="17" t="s">
        <v>802</v>
      </c>
      <c r="D362" s="17" t="s">
        <v>801</v>
      </c>
      <c r="E362" s="18">
        <v>3020360158026</v>
      </c>
      <c r="G362" s="20" t="str">
        <f t="shared" si="15"/>
        <v xml:space="preserve"> ANSES/F.CUIR    </v>
      </c>
      <c r="H362" s="20" t="str">
        <f t="shared" si="16"/>
        <v>ALNOI</v>
      </c>
      <c r="I362" s="20" t="str">
        <f t="shared" si="17"/>
        <v xml:space="preserve">M    </v>
      </c>
    </row>
    <row r="363" spans="1:9">
      <c r="A363" s="17" t="s">
        <v>874</v>
      </c>
      <c r="B363" s="17" t="s">
        <v>877</v>
      </c>
      <c r="C363" s="17" t="s">
        <v>803</v>
      </c>
      <c r="D363" s="17" t="s">
        <v>801</v>
      </c>
      <c r="E363" s="18">
        <v>3020360158019</v>
      </c>
      <c r="G363" s="20" t="str">
        <f t="shared" si="15"/>
        <v xml:space="preserve"> ANSES/F.CUIR    </v>
      </c>
      <c r="H363" s="20" t="str">
        <f t="shared" si="16"/>
        <v>ALNOI</v>
      </c>
      <c r="I363" s="20" t="str">
        <f t="shared" si="17"/>
        <v xml:space="preserve">S    </v>
      </c>
    </row>
    <row r="364" spans="1:9">
      <c r="A364" s="17" t="s">
        <v>874</v>
      </c>
      <c r="B364" s="17" t="s">
        <v>877</v>
      </c>
      <c r="C364" s="17" t="s">
        <v>804</v>
      </c>
      <c r="D364" s="17" t="s">
        <v>801</v>
      </c>
      <c r="E364" s="18">
        <v>3020360158040</v>
      </c>
      <c r="G364" s="20" t="str">
        <f t="shared" si="15"/>
        <v xml:space="preserve"> ANSES/F.CUIR    </v>
      </c>
      <c r="H364" s="20" t="str">
        <f t="shared" si="16"/>
        <v>ALNOI</v>
      </c>
      <c r="I364" s="20" t="str">
        <f t="shared" si="17"/>
        <v xml:space="preserve">XL   </v>
      </c>
    </row>
    <row r="365" spans="1:9">
      <c r="A365" s="17" t="s">
        <v>874</v>
      </c>
      <c r="B365" s="17" t="s">
        <v>877</v>
      </c>
      <c r="C365" s="17" t="s">
        <v>805</v>
      </c>
      <c r="D365" s="17" t="s">
        <v>801</v>
      </c>
      <c r="E365" s="18">
        <v>3020360158002</v>
      </c>
      <c r="G365" s="20" t="str">
        <f t="shared" si="15"/>
        <v xml:space="preserve"> ANSES/F.CUIR    </v>
      </c>
      <c r="H365" s="20" t="str">
        <f t="shared" si="16"/>
        <v>ALNOI</v>
      </c>
      <c r="I365" s="20" t="str">
        <f t="shared" si="17"/>
        <v xml:space="preserve">XS   </v>
      </c>
    </row>
    <row r="366" spans="1:9">
      <c r="A366" s="17" t="s">
        <v>874</v>
      </c>
      <c r="B366" s="17" t="s">
        <v>878</v>
      </c>
      <c r="C366" s="17" t="s">
        <v>800</v>
      </c>
      <c r="D366" s="17" t="s">
        <v>801</v>
      </c>
      <c r="E366" s="18">
        <v>3020360160036</v>
      </c>
      <c r="G366" s="20" t="str">
        <f t="shared" si="15"/>
        <v xml:space="preserve"> ANSES/F.CUIR    </v>
      </c>
      <c r="H366" s="20" t="str">
        <f t="shared" si="16"/>
        <v>ALVIN</v>
      </c>
      <c r="I366" s="20" t="str">
        <f t="shared" si="17"/>
        <v xml:space="preserve">L    </v>
      </c>
    </row>
    <row r="367" spans="1:9">
      <c r="A367" s="17" t="s">
        <v>874</v>
      </c>
      <c r="B367" s="17" t="s">
        <v>878</v>
      </c>
      <c r="C367" s="17" t="s">
        <v>802</v>
      </c>
      <c r="D367" s="17" t="s">
        <v>801</v>
      </c>
      <c r="E367" s="18">
        <v>3020360160029</v>
      </c>
      <c r="G367" s="20" t="str">
        <f t="shared" si="15"/>
        <v xml:space="preserve"> ANSES/F.CUIR    </v>
      </c>
      <c r="H367" s="20" t="str">
        <f t="shared" si="16"/>
        <v>ALVIN</v>
      </c>
      <c r="I367" s="20" t="str">
        <f t="shared" si="17"/>
        <v xml:space="preserve">M    </v>
      </c>
    </row>
    <row r="368" spans="1:9">
      <c r="A368" s="17" t="s">
        <v>874</v>
      </c>
      <c r="B368" s="17" t="s">
        <v>878</v>
      </c>
      <c r="C368" s="17" t="s">
        <v>803</v>
      </c>
      <c r="D368" s="17" t="s">
        <v>801</v>
      </c>
      <c r="E368" s="18">
        <v>3020360160012</v>
      </c>
      <c r="G368" s="20" t="str">
        <f t="shared" si="15"/>
        <v xml:space="preserve"> ANSES/F.CUIR    </v>
      </c>
      <c r="H368" s="20" t="str">
        <f t="shared" si="16"/>
        <v>ALVIN</v>
      </c>
      <c r="I368" s="20" t="str">
        <f t="shared" si="17"/>
        <v xml:space="preserve">S    </v>
      </c>
    </row>
    <row r="369" spans="1:9">
      <c r="A369" s="17" t="s">
        <v>874</v>
      </c>
      <c r="B369" s="17" t="s">
        <v>878</v>
      </c>
      <c r="C369" s="17" t="s">
        <v>804</v>
      </c>
      <c r="D369" s="17" t="s">
        <v>801</v>
      </c>
      <c r="E369" s="18">
        <v>3020360160043</v>
      </c>
      <c r="G369" s="20" t="str">
        <f t="shared" si="15"/>
        <v xml:space="preserve"> ANSES/F.CUIR    </v>
      </c>
      <c r="H369" s="20" t="str">
        <f t="shared" si="16"/>
        <v>ALVIN</v>
      </c>
      <c r="I369" s="20" t="str">
        <f t="shared" si="17"/>
        <v xml:space="preserve">XL   </v>
      </c>
    </row>
    <row r="370" spans="1:9">
      <c r="A370" s="17" t="s">
        <v>874</v>
      </c>
      <c r="B370" s="17" t="s">
        <v>878</v>
      </c>
      <c r="C370" s="17" t="s">
        <v>805</v>
      </c>
      <c r="D370" s="17" t="s">
        <v>801</v>
      </c>
      <c r="E370" s="18">
        <v>3020360160005</v>
      </c>
      <c r="G370" s="20" t="str">
        <f t="shared" si="15"/>
        <v xml:space="preserve"> ANSES/F.CUIR    </v>
      </c>
      <c r="H370" s="20" t="str">
        <f t="shared" si="16"/>
        <v>ALVIN</v>
      </c>
      <c r="I370" s="20" t="str">
        <f t="shared" si="17"/>
        <v xml:space="preserve">XS   </v>
      </c>
    </row>
    <row r="371" spans="1:9">
      <c r="A371" s="17" t="s">
        <v>874</v>
      </c>
      <c r="B371" s="17" t="s">
        <v>879</v>
      </c>
      <c r="C371" s="17" t="s">
        <v>800</v>
      </c>
      <c r="D371" s="17" t="s">
        <v>801</v>
      </c>
      <c r="E371" s="18">
        <v>3020360181031</v>
      </c>
      <c r="G371" s="20" t="str">
        <f t="shared" si="15"/>
        <v xml:space="preserve"> ANSES/F.CUIR    </v>
      </c>
      <c r="H371" s="20" t="str">
        <f t="shared" si="16"/>
        <v xml:space="preserve">AZUR </v>
      </c>
      <c r="I371" s="20" t="str">
        <f t="shared" si="17"/>
        <v xml:space="preserve">L    </v>
      </c>
    </row>
    <row r="372" spans="1:9">
      <c r="A372" s="17" t="s">
        <v>874</v>
      </c>
      <c r="B372" s="17" t="s">
        <v>879</v>
      </c>
      <c r="C372" s="17" t="s">
        <v>802</v>
      </c>
      <c r="D372" s="17" t="s">
        <v>801</v>
      </c>
      <c r="E372" s="18">
        <v>3020360181024</v>
      </c>
      <c r="G372" s="20" t="str">
        <f t="shared" si="15"/>
        <v xml:space="preserve"> ANSES/F.CUIR    </v>
      </c>
      <c r="H372" s="20" t="str">
        <f t="shared" si="16"/>
        <v xml:space="preserve">AZUR </v>
      </c>
      <c r="I372" s="20" t="str">
        <f t="shared" si="17"/>
        <v xml:space="preserve">M    </v>
      </c>
    </row>
    <row r="373" spans="1:9">
      <c r="A373" s="17" t="s">
        <v>874</v>
      </c>
      <c r="B373" s="17" t="s">
        <v>879</v>
      </c>
      <c r="C373" s="17" t="s">
        <v>803</v>
      </c>
      <c r="D373" s="17" t="s">
        <v>801</v>
      </c>
      <c r="E373" s="18">
        <v>3020360181017</v>
      </c>
      <c r="G373" s="20" t="str">
        <f t="shared" si="15"/>
        <v xml:space="preserve"> ANSES/F.CUIR    </v>
      </c>
      <c r="H373" s="20" t="str">
        <f t="shared" si="16"/>
        <v xml:space="preserve">AZUR </v>
      </c>
      <c r="I373" s="20" t="str">
        <f t="shared" si="17"/>
        <v xml:space="preserve">S    </v>
      </c>
    </row>
    <row r="374" spans="1:9">
      <c r="A374" s="17" t="s">
        <v>874</v>
      </c>
      <c r="B374" s="17" t="s">
        <v>879</v>
      </c>
      <c r="C374" s="17" t="s">
        <v>804</v>
      </c>
      <c r="D374" s="17" t="s">
        <v>801</v>
      </c>
      <c r="E374" s="18">
        <v>3020360181048</v>
      </c>
      <c r="G374" s="20" t="str">
        <f t="shared" si="15"/>
        <v xml:space="preserve"> ANSES/F.CUIR    </v>
      </c>
      <c r="H374" s="20" t="str">
        <f t="shared" si="16"/>
        <v xml:space="preserve">AZUR </v>
      </c>
      <c r="I374" s="20" t="str">
        <f t="shared" si="17"/>
        <v xml:space="preserve">XL   </v>
      </c>
    </row>
    <row r="375" spans="1:9">
      <c r="A375" s="17" t="s">
        <v>874</v>
      </c>
      <c r="B375" s="17" t="s">
        <v>879</v>
      </c>
      <c r="C375" s="17" t="s">
        <v>805</v>
      </c>
      <c r="D375" s="17" t="s">
        <v>801</v>
      </c>
      <c r="E375" s="18">
        <v>3020360181000</v>
      </c>
      <c r="G375" s="20" t="str">
        <f t="shared" si="15"/>
        <v xml:space="preserve"> ANSES/F.CUIR    </v>
      </c>
      <c r="H375" s="20" t="str">
        <f t="shared" si="16"/>
        <v xml:space="preserve">AZUR </v>
      </c>
      <c r="I375" s="20" t="str">
        <f t="shared" si="17"/>
        <v xml:space="preserve">XS   </v>
      </c>
    </row>
    <row r="376" spans="1:9">
      <c r="A376" s="17" t="s">
        <v>874</v>
      </c>
      <c r="B376" s="17" t="s">
        <v>280</v>
      </c>
      <c r="C376" s="17" t="s">
        <v>800</v>
      </c>
      <c r="D376" s="17" t="s">
        <v>801</v>
      </c>
      <c r="E376" s="18">
        <v>3003220001038</v>
      </c>
      <c r="G376" s="20" t="str">
        <f t="shared" si="15"/>
        <v xml:space="preserve"> ANSES/F.CUIR    </v>
      </c>
      <c r="H376" s="20" t="str">
        <f t="shared" si="16"/>
        <v>BLACK</v>
      </c>
      <c r="I376" s="20" t="str">
        <f t="shared" si="17"/>
        <v xml:space="preserve">L    </v>
      </c>
    </row>
    <row r="377" spans="1:9">
      <c r="A377" s="17" t="s">
        <v>874</v>
      </c>
      <c r="B377" s="17" t="s">
        <v>280</v>
      </c>
      <c r="C377" s="17" t="s">
        <v>800</v>
      </c>
      <c r="D377" s="17" t="s">
        <v>801</v>
      </c>
      <c r="E377" s="18">
        <v>8051770308744</v>
      </c>
      <c r="G377" s="20" t="str">
        <f t="shared" si="15"/>
        <v xml:space="preserve"> ANSES/F.CUIR    </v>
      </c>
      <c r="H377" s="20" t="str">
        <f t="shared" si="16"/>
        <v>BLACK</v>
      </c>
      <c r="I377" s="20" t="str">
        <f t="shared" si="17"/>
        <v xml:space="preserve">L    </v>
      </c>
    </row>
    <row r="378" spans="1:9">
      <c r="A378" s="17" t="s">
        <v>874</v>
      </c>
      <c r="B378" s="17" t="s">
        <v>280</v>
      </c>
      <c r="C378" s="17" t="s">
        <v>802</v>
      </c>
      <c r="D378" s="17" t="s">
        <v>801</v>
      </c>
      <c r="E378" s="18">
        <v>3003220001021</v>
      </c>
      <c r="G378" s="20" t="str">
        <f t="shared" si="15"/>
        <v xml:space="preserve"> ANSES/F.CUIR    </v>
      </c>
      <c r="H378" s="20" t="str">
        <f t="shared" si="16"/>
        <v>BLACK</v>
      </c>
      <c r="I378" s="20" t="str">
        <f t="shared" si="17"/>
        <v xml:space="preserve">M    </v>
      </c>
    </row>
    <row r="379" spans="1:9">
      <c r="A379" s="17" t="s">
        <v>874</v>
      </c>
      <c r="B379" s="17" t="s">
        <v>280</v>
      </c>
      <c r="C379" s="17" t="s">
        <v>803</v>
      </c>
      <c r="D379" s="17" t="s">
        <v>801</v>
      </c>
      <c r="E379" s="18">
        <v>3003220001014</v>
      </c>
      <c r="G379" s="20" t="str">
        <f t="shared" si="15"/>
        <v xml:space="preserve"> ANSES/F.CUIR    </v>
      </c>
      <c r="H379" s="20" t="str">
        <f t="shared" si="16"/>
        <v>BLACK</v>
      </c>
      <c r="I379" s="20" t="str">
        <f t="shared" si="17"/>
        <v xml:space="preserve">S    </v>
      </c>
    </row>
    <row r="380" spans="1:9">
      <c r="A380" s="17" t="s">
        <v>874</v>
      </c>
      <c r="B380" s="17" t="s">
        <v>280</v>
      </c>
      <c r="C380" s="17" t="s">
        <v>803</v>
      </c>
      <c r="D380" s="17" t="s">
        <v>801</v>
      </c>
      <c r="E380" s="18">
        <v>8050450214399</v>
      </c>
      <c r="G380" s="20" t="str">
        <f t="shared" si="15"/>
        <v xml:space="preserve"> ANSES/F.CUIR    </v>
      </c>
      <c r="H380" s="20" t="str">
        <f t="shared" si="16"/>
        <v>BLACK</v>
      </c>
      <c r="I380" s="20" t="str">
        <f t="shared" si="17"/>
        <v xml:space="preserve">S    </v>
      </c>
    </row>
    <row r="381" spans="1:9">
      <c r="A381" s="17" t="s">
        <v>874</v>
      </c>
      <c r="B381" s="17" t="s">
        <v>280</v>
      </c>
      <c r="C381" s="17" t="s">
        <v>804</v>
      </c>
      <c r="D381" s="17" t="s">
        <v>801</v>
      </c>
      <c r="E381" s="18">
        <v>3003220001045</v>
      </c>
      <c r="G381" s="20" t="str">
        <f t="shared" si="15"/>
        <v xml:space="preserve"> ANSES/F.CUIR    </v>
      </c>
      <c r="H381" s="20" t="str">
        <f t="shared" si="16"/>
        <v>BLACK</v>
      </c>
      <c r="I381" s="20" t="str">
        <f t="shared" si="17"/>
        <v xml:space="preserve">XL   </v>
      </c>
    </row>
    <row r="382" spans="1:9">
      <c r="A382" s="17" t="s">
        <v>874</v>
      </c>
      <c r="B382" s="17" t="s">
        <v>280</v>
      </c>
      <c r="C382" s="17" t="s">
        <v>805</v>
      </c>
      <c r="D382" s="17" t="s">
        <v>801</v>
      </c>
      <c r="E382" s="18">
        <v>3003220001007</v>
      </c>
      <c r="G382" s="20" t="str">
        <f t="shared" si="15"/>
        <v xml:space="preserve"> ANSES/F.CUIR    </v>
      </c>
      <c r="H382" s="20" t="str">
        <f t="shared" si="16"/>
        <v>BLACK</v>
      </c>
      <c r="I382" s="20" t="str">
        <f t="shared" si="17"/>
        <v xml:space="preserve">XS   </v>
      </c>
    </row>
    <row r="383" spans="1:9">
      <c r="A383" s="17" t="s">
        <v>874</v>
      </c>
      <c r="B383" s="17" t="s">
        <v>810</v>
      </c>
      <c r="C383" s="17" t="s">
        <v>800</v>
      </c>
      <c r="D383" s="17" t="s">
        <v>801</v>
      </c>
      <c r="E383" s="18">
        <v>3020360319038</v>
      </c>
      <c r="G383" s="20" t="str">
        <f t="shared" si="15"/>
        <v xml:space="preserve"> ANSES/F.CUIR    </v>
      </c>
      <c r="H383" s="20" t="str">
        <f t="shared" si="16"/>
        <v xml:space="preserve">BLUE </v>
      </c>
      <c r="I383" s="20" t="str">
        <f t="shared" si="17"/>
        <v xml:space="preserve">L    </v>
      </c>
    </row>
    <row r="384" spans="1:9">
      <c r="A384" s="17" t="s">
        <v>874</v>
      </c>
      <c r="B384" s="17" t="s">
        <v>810</v>
      </c>
      <c r="C384" s="17" t="s">
        <v>802</v>
      </c>
      <c r="D384" s="17" t="s">
        <v>801</v>
      </c>
      <c r="E384" s="18">
        <v>3020360319021</v>
      </c>
      <c r="G384" s="20" t="str">
        <f t="shared" si="15"/>
        <v xml:space="preserve"> ANSES/F.CUIR    </v>
      </c>
      <c r="H384" s="20" t="str">
        <f t="shared" si="16"/>
        <v xml:space="preserve">BLUE </v>
      </c>
      <c r="I384" s="20" t="str">
        <f t="shared" si="17"/>
        <v xml:space="preserve">M    </v>
      </c>
    </row>
    <row r="385" spans="1:9">
      <c r="A385" s="17" t="s">
        <v>874</v>
      </c>
      <c r="B385" s="17" t="s">
        <v>810</v>
      </c>
      <c r="C385" s="17" t="s">
        <v>803</v>
      </c>
      <c r="D385" s="17" t="s">
        <v>801</v>
      </c>
      <c r="E385" s="18">
        <v>3020360319014</v>
      </c>
      <c r="G385" s="20" t="str">
        <f t="shared" si="15"/>
        <v xml:space="preserve"> ANSES/F.CUIR    </v>
      </c>
      <c r="H385" s="20" t="str">
        <f t="shared" si="16"/>
        <v xml:space="preserve">BLUE </v>
      </c>
      <c r="I385" s="20" t="str">
        <f t="shared" si="17"/>
        <v xml:space="preserve">S    </v>
      </c>
    </row>
    <row r="386" spans="1:9">
      <c r="A386" s="17" t="s">
        <v>874</v>
      </c>
      <c r="B386" s="17" t="s">
        <v>810</v>
      </c>
      <c r="C386" s="17" t="s">
        <v>804</v>
      </c>
      <c r="D386" s="17" t="s">
        <v>801</v>
      </c>
      <c r="E386" s="18">
        <v>3020360319045</v>
      </c>
      <c r="G386" s="20" t="str">
        <f t="shared" si="15"/>
        <v xml:space="preserve"> ANSES/F.CUIR    </v>
      </c>
      <c r="H386" s="20" t="str">
        <f t="shared" si="16"/>
        <v xml:space="preserve">BLUE </v>
      </c>
      <c r="I386" s="20" t="str">
        <f t="shared" si="17"/>
        <v xml:space="preserve">XL   </v>
      </c>
    </row>
    <row r="387" spans="1:9">
      <c r="A387" s="17" t="s">
        <v>874</v>
      </c>
      <c r="B387" s="17" t="s">
        <v>810</v>
      </c>
      <c r="C387" s="17" t="s">
        <v>805</v>
      </c>
      <c r="D387" s="17" t="s">
        <v>801</v>
      </c>
      <c r="E387" s="18">
        <v>3020360319007</v>
      </c>
      <c r="G387" s="20" t="str">
        <f t="shared" si="15"/>
        <v xml:space="preserve"> ANSES/F.CUIR    </v>
      </c>
      <c r="H387" s="20" t="str">
        <f t="shared" si="16"/>
        <v xml:space="preserve">BLUE </v>
      </c>
      <c r="I387" s="20" t="str">
        <f t="shared" si="17"/>
        <v xml:space="preserve">XS   </v>
      </c>
    </row>
    <row r="388" spans="1:9">
      <c r="A388" s="17" t="s">
        <v>874</v>
      </c>
      <c r="B388" s="17" t="s">
        <v>853</v>
      </c>
      <c r="C388" s="17" t="s">
        <v>800</v>
      </c>
      <c r="D388" s="17" t="s">
        <v>801</v>
      </c>
      <c r="E388" s="18">
        <v>3020360257033</v>
      </c>
      <c r="G388" s="20" t="str">
        <f t="shared" si="15"/>
        <v xml:space="preserve"> ANSES/F.CUIR    </v>
      </c>
      <c r="H388" s="20" t="str">
        <f t="shared" si="16"/>
        <v>BRONZ</v>
      </c>
      <c r="I388" s="20" t="str">
        <f t="shared" si="17"/>
        <v xml:space="preserve">L    </v>
      </c>
    </row>
    <row r="389" spans="1:9">
      <c r="A389" s="17" t="s">
        <v>874</v>
      </c>
      <c r="B389" s="17" t="s">
        <v>853</v>
      </c>
      <c r="C389" s="17" t="s">
        <v>802</v>
      </c>
      <c r="D389" s="17" t="s">
        <v>801</v>
      </c>
      <c r="E389" s="18">
        <v>3020360257026</v>
      </c>
      <c r="G389" s="20" t="str">
        <f t="shared" ref="G389:G452" si="18">A389</f>
        <v xml:space="preserve"> ANSES/F.CUIR    </v>
      </c>
      <c r="H389" s="20" t="str">
        <f t="shared" ref="H389:H452" si="19">B389</f>
        <v>BRONZ</v>
      </c>
      <c r="I389" s="20" t="str">
        <f t="shared" ref="I389:I452" si="20">C389</f>
        <v xml:space="preserve">M    </v>
      </c>
    </row>
    <row r="390" spans="1:9">
      <c r="A390" s="17" t="s">
        <v>874</v>
      </c>
      <c r="B390" s="17" t="s">
        <v>853</v>
      </c>
      <c r="C390" s="17" t="s">
        <v>803</v>
      </c>
      <c r="D390" s="17" t="s">
        <v>801</v>
      </c>
      <c r="E390" s="18">
        <v>3020360257019</v>
      </c>
      <c r="G390" s="20" t="str">
        <f t="shared" si="18"/>
        <v xml:space="preserve"> ANSES/F.CUIR    </v>
      </c>
      <c r="H390" s="20" t="str">
        <f t="shared" si="19"/>
        <v>BRONZ</v>
      </c>
      <c r="I390" s="20" t="str">
        <f t="shared" si="20"/>
        <v xml:space="preserve">S    </v>
      </c>
    </row>
    <row r="391" spans="1:9">
      <c r="A391" s="17" t="s">
        <v>874</v>
      </c>
      <c r="B391" s="17" t="s">
        <v>853</v>
      </c>
      <c r="C391" s="17" t="s">
        <v>804</v>
      </c>
      <c r="D391" s="17" t="s">
        <v>801</v>
      </c>
      <c r="E391" s="18">
        <v>3020360257040</v>
      </c>
      <c r="G391" s="20" t="str">
        <f t="shared" si="18"/>
        <v xml:space="preserve"> ANSES/F.CUIR    </v>
      </c>
      <c r="H391" s="20" t="str">
        <f t="shared" si="19"/>
        <v>BRONZ</v>
      </c>
      <c r="I391" s="20" t="str">
        <f t="shared" si="20"/>
        <v xml:space="preserve">XL   </v>
      </c>
    </row>
    <row r="392" spans="1:9">
      <c r="A392" s="17" t="s">
        <v>874</v>
      </c>
      <c r="B392" s="17" t="s">
        <v>853</v>
      </c>
      <c r="C392" s="17" t="s">
        <v>805</v>
      </c>
      <c r="D392" s="17" t="s">
        <v>801</v>
      </c>
      <c r="E392" s="18">
        <v>3020360257002</v>
      </c>
      <c r="G392" s="20" t="str">
        <f t="shared" si="18"/>
        <v xml:space="preserve"> ANSES/F.CUIR    </v>
      </c>
      <c r="H392" s="20" t="str">
        <f t="shared" si="19"/>
        <v>BRONZ</v>
      </c>
      <c r="I392" s="20" t="str">
        <f t="shared" si="20"/>
        <v xml:space="preserve">XS   </v>
      </c>
    </row>
    <row r="393" spans="1:9">
      <c r="A393" s="17" t="s">
        <v>874</v>
      </c>
      <c r="B393" s="17" t="s">
        <v>869</v>
      </c>
      <c r="C393" s="17" t="s">
        <v>800</v>
      </c>
      <c r="D393" s="17" t="s">
        <v>801</v>
      </c>
      <c r="E393" s="18">
        <v>3003220005036</v>
      </c>
      <c r="G393" s="20" t="str">
        <f t="shared" si="18"/>
        <v xml:space="preserve"> ANSES/F.CUIR    </v>
      </c>
      <c r="H393" s="20" t="str">
        <f t="shared" si="19"/>
        <v>BROWN</v>
      </c>
      <c r="I393" s="20" t="str">
        <f t="shared" si="20"/>
        <v xml:space="preserve">L    </v>
      </c>
    </row>
    <row r="394" spans="1:9">
      <c r="A394" s="17" t="s">
        <v>874</v>
      </c>
      <c r="B394" s="17" t="s">
        <v>869</v>
      </c>
      <c r="C394" s="17" t="s">
        <v>800</v>
      </c>
      <c r="D394" s="17" t="s">
        <v>801</v>
      </c>
      <c r="E394" s="18">
        <v>8051770308751</v>
      </c>
      <c r="G394" s="20" t="str">
        <f t="shared" si="18"/>
        <v xml:space="preserve"> ANSES/F.CUIR    </v>
      </c>
      <c r="H394" s="20" t="str">
        <f t="shared" si="19"/>
        <v>BROWN</v>
      </c>
      <c r="I394" s="20" t="str">
        <f t="shared" si="20"/>
        <v xml:space="preserve">L    </v>
      </c>
    </row>
    <row r="395" spans="1:9">
      <c r="A395" s="17" t="s">
        <v>874</v>
      </c>
      <c r="B395" s="17" t="s">
        <v>869</v>
      </c>
      <c r="C395" s="17" t="s">
        <v>802</v>
      </c>
      <c r="D395" s="17" t="s">
        <v>801</v>
      </c>
      <c r="E395" s="18">
        <v>3003220005029</v>
      </c>
      <c r="G395" s="20" t="str">
        <f t="shared" si="18"/>
        <v xml:space="preserve"> ANSES/F.CUIR    </v>
      </c>
      <c r="H395" s="20" t="str">
        <f t="shared" si="19"/>
        <v>BROWN</v>
      </c>
      <c r="I395" s="20" t="str">
        <f t="shared" si="20"/>
        <v xml:space="preserve">M    </v>
      </c>
    </row>
    <row r="396" spans="1:9">
      <c r="A396" s="17" t="s">
        <v>874</v>
      </c>
      <c r="B396" s="17" t="s">
        <v>869</v>
      </c>
      <c r="C396" s="17" t="s">
        <v>803</v>
      </c>
      <c r="D396" s="17" t="s">
        <v>801</v>
      </c>
      <c r="E396" s="18">
        <v>3003220005012</v>
      </c>
      <c r="G396" s="20" t="str">
        <f t="shared" si="18"/>
        <v xml:space="preserve"> ANSES/F.CUIR    </v>
      </c>
      <c r="H396" s="20" t="str">
        <f t="shared" si="19"/>
        <v>BROWN</v>
      </c>
      <c r="I396" s="20" t="str">
        <f t="shared" si="20"/>
        <v xml:space="preserve">S    </v>
      </c>
    </row>
    <row r="397" spans="1:9">
      <c r="A397" s="17" t="s">
        <v>874</v>
      </c>
      <c r="B397" s="17" t="s">
        <v>869</v>
      </c>
      <c r="C397" s="17" t="s">
        <v>803</v>
      </c>
      <c r="D397" s="17" t="s">
        <v>801</v>
      </c>
      <c r="E397" s="18">
        <v>8050450214405</v>
      </c>
      <c r="G397" s="20" t="str">
        <f t="shared" si="18"/>
        <v xml:space="preserve"> ANSES/F.CUIR    </v>
      </c>
      <c r="H397" s="20" t="str">
        <f t="shared" si="19"/>
        <v>BROWN</v>
      </c>
      <c r="I397" s="20" t="str">
        <f t="shared" si="20"/>
        <v xml:space="preserve">S    </v>
      </c>
    </row>
    <row r="398" spans="1:9">
      <c r="A398" s="17" t="s">
        <v>874</v>
      </c>
      <c r="B398" s="17" t="s">
        <v>869</v>
      </c>
      <c r="C398" s="17" t="s">
        <v>804</v>
      </c>
      <c r="D398" s="17" t="s">
        <v>801</v>
      </c>
      <c r="E398" s="18">
        <v>3003220005043</v>
      </c>
      <c r="G398" s="20" t="str">
        <f t="shared" si="18"/>
        <v xml:space="preserve"> ANSES/F.CUIR    </v>
      </c>
      <c r="H398" s="20" t="str">
        <f t="shared" si="19"/>
        <v>BROWN</v>
      </c>
      <c r="I398" s="20" t="str">
        <f t="shared" si="20"/>
        <v xml:space="preserve">XL   </v>
      </c>
    </row>
    <row r="399" spans="1:9">
      <c r="A399" s="17" t="s">
        <v>874</v>
      </c>
      <c r="B399" s="17" t="s">
        <v>869</v>
      </c>
      <c r="C399" s="17" t="s">
        <v>805</v>
      </c>
      <c r="D399" s="17" t="s">
        <v>801</v>
      </c>
      <c r="E399" s="18">
        <v>3003220005005</v>
      </c>
      <c r="G399" s="20" t="str">
        <f t="shared" si="18"/>
        <v xml:space="preserve"> ANSES/F.CUIR    </v>
      </c>
      <c r="H399" s="20" t="str">
        <f t="shared" si="19"/>
        <v>BROWN</v>
      </c>
      <c r="I399" s="20" t="str">
        <f t="shared" si="20"/>
        <v xml:space="preserve">XS   </v>
      </c>
    </row>
    <row r="400" spans="1:9">
      <c r="A400" s="17" t="s">
        <v>874</v>
      </c>
      <c r="B400" s="17" t="s">
        <v>880</v>
      </c>
      <c r="C400" s="17" t="s">
        <v>800</v>
      </c>
      <c r="D400" s="17" t="s">
        <v>801</v>
      </c>
      <c r="E400" s="18">
        <v>3002310466030</v>
      </c>
      <c r="G400" s="20" t="str">
        <f t="shared" si="18"/>
        <v xml:space="preserve"> ANSES/F.CUIR    </v>
      </c>
      <c r="H400" s="20" t="str">
        <f t="shared" si="19"/>
        <v xml:space="preserve">CBBL </v>
      </c>
      <c r="I400" s="20" t="str">
        <f t="shared" si="20"/>
        <v xml:space="preserve">L    </v>
      </c>
    </row>
    <row r="401" spans="1:9">
      <c r="A401" s="17" t="s">
        <v>874</v>
      </c>
      <c r="B401" s="17" t="s">
        <v>880</v>
      </c>
      <c r="C401" s="17" t="s">
        <v>800</v>
      </c>
      <c r="D401" s="17" t="s">
        <v>801</v>
      </c>
      <c r="E401" s="18">
        <v>3020360209032</v>
      </c>
      <c r="G401" s="20" t="str">
        <f t="shared" si="18"/>
        <v xml:space="preserve"> ANSES/F.CUIR    </v>
      </c>
      <c r="H401" s="20" t="str">
        <f t="shared" si="19"/>
        <v xml:space="preserve">CBBL </v>
      </c>
      <c r="I401" s="20" t="str">
        <f t="shared" si="20"/>
        <v xml:space="preserve">L    </v>
      </c>
    </row>
    <row r="402" spans="1:9">
      <c r="A402" s="17" t="s">
        <v>874</v>
      </c>
      <c r="B402" s="17" t="s">
        <v>880</v>
      </c>
      <c r="C402" s="17" t="s">
        <v>802</v>
      </c>
      <c r="D402" s="17" t="s">
        <v>801</v>
      </c>
      <c r="E402" s="18">
        <v>3002310466023</v>
      </c>
      <c r="G402" s="20" t="str">
        <f t="shared" si="18"/>
        <v xml:space="preserve"> ANSES/F.CUIR    </v>
      </c>
      <c r="H402" s="20" t="str">
        <f t="shared" si="19"/>
        <v xml:space="preserve">CBBL </v>
      </c>
      <c r="I402" s="20" t="str">
        <f t="shared" si="20"/>
        <v xml:space="preserve">M    </v>
      </c>
    </row>
    <row r="403" spans="1:9">
      <c r="A403" s="17" t="s">
        <v>874</v>
      </c>
      <c r="B403" s="17" t="s">
        <v>880</v>
      </c>
      <c r="C403" s="17" t="s">
        <v>802</v>
      </c>
      <c r="D403" s="17" t="s">
        <v>801</v>
      </c>
      <c r="E403" s="18">
        <v>3020360209025</v>
      </c>
      <c r="G403" s="20" t="str">
        <f t="shared" si="18"/>
        <v xml:space="preserve"> ANSES/F.CUIR    </v>
      </c>
      <c r="H403" s="20" t="str">
        <f t="shared" si="19"/>
        <v xml:space="preserve">CBBL </v>
      </c>
      <c r="I403" s="20" t="str">
        <f t="shared" si="20"/>
        <v xml:space="preserve">M    </v>
      </c>
    </row>
    <row r="404" spans="1:9">
      <c r="A404" s="17" t="s">
        <v>874</v>
      </c>
      <c r="B404" s="17" t="s">
        <v>880</v>
      </c>
      <c r="C404" s="17" t="s">
        <v>803</v>
      </c>
      <c r="D404" s="17" t="s">
        <v>801</v>
      </c>
      <c r="E404" s="18">
        <v>3002310466016</v>
      </c>
      <c r="G404" s="20" t="str">
        <f t="shared" si="18"/>
        <v xml:space="preserve"> ANSES/F.CUIR    </v>
      </c>
      <c r="H404" s="20" t="str">
        <f t="shared" si="19"/>
        <v xml:space="preserve">CBBL </v>
      </c>
      <c r="I404" s="20" t="str">
        <f t="shared" si="20"/>
        <v xml:space="preserve">S    </v>
      </c>
    </row>
    <row r="405" spans="1:9">
      <c r="A405" s="17" t="s">
        <v>874</v>
      </c>
      <c r="B405" s="17" t="s">
        <v>880</v>
      </c>
      <c r="C405" s="17" t="s">
        <v>803</v>
      </c>
      <c r="D405" s="17" t="s">
        <v>801</v>
      </c>
      <c r="E405" s="18">
        <v>3020360209018</v>
      </c>
      <c r="G405" s="20" t="str">
        <f t="shared" si="18"/>
        <v xml:space="preserve"> ANSES/F.CUIR    </v>
      </c>
      <c r="H405" s="20" t="str">
        <f t="shared" si="19"/>
        <v xml:space="preserve">CBBL </v>
      </c>
      <c r="I405" s="20" t="str">
        <f t="shared" si="20"/>
        <v xml:space="preserve">S    </v>
      </c>
    </row>
    <row r="406" spans="1:9">
      <c r="A406" s="17" t="s">
        <v>874</v>
      </c>
      <c r="B406" s="17" t="s">
        <v>880</v>
      </c>
      <c r="C406" s="17" t="s">
        <v>804</v>
      </c>
      <c r="D406" s="17" t="s">
        <v>801</v>
      </c>
      <c r="E406" s="18">
        <v>3002310466047</v>
      </c>
      <c r="G406" s="20" t="str">
        <f t="shared" si="18"/>
        <v xml:space="preserve"> ANSES/F.CUIR    </v>
      </c>
      <c r="H406" s="20" t="str">
        <f t="shared" si="19"/>
        <v xml:space="preserve">CBBL </v>
      </c>
      <c r="I406" s="20" t="str">
        <f t="shared" si="20"/>
        <v xml:space="preserve">XL   </v>
      </c>
    </row>
    <row r="407" spans="1:9">
      <c r="A407" s="17" t="s">
        <v>874</v>
      </c>
      <c r="B407" s="17" t="s">
        <v>880</v>
      </c>
      <c r="C407" s="17" t="s">
        <v>804</v>
      </c>
      <c r="D407" s="17" t="s">
        <v>801</v>
      </c>
      <c r="E407" s="18">
        <v>3020360209049</v>
      </c>
      <c r="G407" s="20" t="str">
        <f t="shared" si="18"/>
        <v xml:space="preserve"> ANSES/F.CUIR    </v>
      </c>
      <c r="H407" s="20" t="str">
        <f t="shared" si="19"/>
        <v xml:space="preserve">CBBL </v>
      </c>
      <c r="I407" s="20" t="str">
        <f t="shared" si="20"/>
        <v xml:space="preserve">XL   </v>
      </c>
    </row>
    <row r="408" spans="1:9">
      <c r="A408" s="17" t="s">
        <v>874</v>
      </c>
      <c r="B408" s="17" t="s">
        <v>880</v>
      </c>
      <c r="C408" s="17" t="s">
        <v>805</v>
      </c>
      <c r="D408" s="17" t="s">
        <v>801</v>
      </c>
      <c r="E408" s="18">
        <v>3002310466009</v>
      </c>
      <c r="G408" s="20" t="str">
        <f t="shared" si="18"/>
        <v xml:space="preserve"> ANSES/F.CUIR    </v>
      </c>
      <c r="H408" s="20" t="str">
        <f t="shared" si="19"/>
        <v xml:space="preserve">CBBL </v>
      </c>
      <c r="I408" s="20" t="str">
        <f t="shared" si="20"/>
        <v xml:space="preserve">XS   </v>
      </c>
    </row>
    <row r="409" spans="1:9">
      <c r="A409" s="17" t="s">
        <v>874</v>
      </c>
      <c r="B409" s="17" t="s">
        <v>880</v>
      </c>
      <c r="C409" s="17" t="s">
        <v>805</v>
      </c>
      <c r="D409" s="17" t="s">
        <v>801</v>
      </c>
      <c r="E409" s="18">
        <v>3020360209001</v>
      </c>
      <c r="G409" s="20" t="str">
        <f t="shared" si="18"/>
        <v xml:space="preserve"> ANSES/F.CUIR    </v>
      </c>
      <c r="H409" s="20" t="str">
        <f t="shared" si="19"/>
        <v xml:space="preserve">CBBL </v>
      </c>
      <c r="I409" s="20" t="str">
        <f t="shared" si="20"/>
        <v xml:space="preserve">XS   </v>
      </c>
    </row>
    <row r="410" spans="1:9">
      <c r="A410" s="17" t="s">
        <v>874</v>
      </c>
      <c r="B410" s="17" t="s">
        <v>881</v>
      </c>
      <c r="C410" s="17" t="s">
        <v>800</v>
      </c>
      <c r="D410" s="17" t="s">
        <v>801</v>
      </c>
      <c r="E410" s="18">
        <v>3020360210038</v>
      </c>
      <c r="G410" s="20" t="str">
        <f t="shared" si="18"/>
        <v xml:space="preserve"> ANSES/F.CUIR    </v>
      </c>
      <c r="H410" s="20" t="str">
        <f t="shared" si="19"/>
        <v xml:space="preserve">CBBR </v>
      </c>
      <c r="I410" s="20" t="str">
        <f t="shared" si="20"/>
        <v xml:space="preserve">L    </v>
      </c>
    </row>
    <row r="411" spans="1:9">
      <c r="A411" s="17" t="s">
        <v>874</v>
      </c>
      <c r="B411" s="17" t="s">
        <v>881</v>
      </c>
      <c r="C411" s="17" t="s">
        <v>802</v>
      </c>
      <c r="D411" s="17" t="s">
        <v>801</v>
      </c>
      <c r="E411" s="18">
        <v>3020360210021</v>
      </c>
      <c r="G411" s="20" t="str">
        <f t="shared" si="18"/>
        <v xml:space="preserve"> ANSES/F.CUIR    </v>
      </c>
      <c r="H411" s="20" t="str">
        <f t="shared" si="19"/>
        <v xml:space="preserve">CBBR </v>
      </c>
      <c r="I411" s="20" t="str">
        <f t="shared" si="20"/>
        <v xml:space="preserve">M    </v>
      </c>
    </row>
    <row r="412" spans="1:9">
      <c r="A412" s="17" t="s">
        <v>874</v>
      </c>
      <c r="B412" s="17" t="s">
        <v>881</v>
      </c>
      <c r="C412" s="17" t="s">
        <v>803</v>
      </c>
      <c r="D412" s="17" t="s">
        <v>801</v>
      </c>
      <c r="E412" s="18">
        <v>3020360210014</v>
      </c>
      <c r="G412" s="20" t="str">
        <f t="shared" si="18"/>
        <v xml:space="preserve"> ANSES/F.CUIR    </v>
      </c>
      <c r="H412" s="20" t="str">
        <f t="shared" si="19"/>
        <v xml:space="preserve">CBBR </v>
      </c>
      <c r="I412" s="20" t="str">
        <f t="shared" si="20"/>
        <v xml:space="preserve">S    </v>
      </c>
    </row>
    <row r="413" spans="1:9">
      <c r="A413" s="17" t="s">
        <v>874</v>
      </c>
      <c r="B413" s="17" t="s">
        <v>881</v>
      </c>
      <c r="C413" s="17" t="s">
        <v>804</v>
      </c>
      <c r="D413" s="17" t="s">
        <v>801</v>
      </c>
      <c r="E413" s="18">
        <v>3020360210045</v>
      </c>
      <c r="G413" s="20" t="str">
        <f t="shared" si="18"/>
        <v xml:space="preserve"> ANSES/F.CUIR    </v>
      </c>
      <c r="H413" s="20" t="str">
        <f t="shared" si="19"/>
        <v xml:space="preserve">CBBR </v>
      </c>
      <c r="I413" s="20" t="str">
        <f t="shared" si="20"/>
        <v xml:space="preserve">XL   </v>
      </c>
    </row>
    <row r="414" spans="1:9">
      <c r="A414" s="17" t="s">
        <v>874</v>
      </c>
      <c r="B414" s="17" t="s">
        <v>881</v>
      </c>
      <c r="C414" s="17" t="s">
        <v>805</v>
      </c>
      <c r="D414" s="17" t="s">
        <v>801</v>
      </c>
      <c r="E414" s="18">
        <v>3020360210007</v>
      </c>
      <c r="G414" s="20" t="str">
        <f t="shared" si="18"/>
        <v xml:space="preserve"> ANSES/F.CUIR    </v>
      </c>
      <c r="H414" s="20" t="str">
        <f t="shared" si="19"/>
        <v xml:space="preserve">CBBR </v>
      </c>
      <c r="I414" s="20" t="str">
        <f t="shared" si="20"/>
        <v xml:space="preserve">XS   </v>
      </c>
    </row>
    <row r="415" spans="1:9">
      <c r="A415" s="17" t="s">
        <v>874</v>
      </c>
      <c r="B415" s="17" t="s">
        <v>882</v>
      </c>
      <c r="C415" s="17" t="s">
        <v>800</v>
      </c>
      <c r="D415" s="17" t="s">
        <v>801</v>
      </c>
      <c r="E415" s="18">
        <v>3002310465033</v>
      </c>
      <c r="G415" s="20" t="str">
        <f t="shared" si="18"/>
        <v xml:space="preserve"> ANSES/F.CUIR    </v>
      </c>
      <c r="H415" s="20" t="str">
        <f t="shared" si="19"/>
        <v xml:space="preserve">CBMA </v>
      </c>
      <c r="I415" s="20" t="str">
        <f t="shared" si="20"/>
        <v xml:space="preserve">L    </v>
      </c>
    </row>
    <row r="416" spans="1:9">
      <c r="A416" s="17" t="s">
        <v>874</v>
      </c>
      <c r="B416" s="17" t="s">
        <v>882</v>
      </c>
      <c r="C416" s="17" t="s">
        <v>802</v>
      </c>
      <c r="D416" s="17" t="s">
        <v>801</v>
      </c>
      <c r="E416" s="18">
        <v>3002310465026</v>
      </c>
      <c r="G416" s="20" t="str">
        <f t="shared" si="18"/>
        <v xml:space="preserve"> ANSES/F.CUIR    </v>
      </c>
      <c r="H416" s="20" t="str">
        <f t="shared" si="19"/>
        <v xml:space="preserve">CBMA </v>
      </c>
      <c r="I416" s="20" t="str">
        <f t="shared" si="20"/>
        <v xml:space="preserve">M    </v>
      </c>
    </row>
    <row r="417" spans="1:9">
      <c r="A417" s="17" t="s">
        <v>874</v>
      </c>
      <c r="B417" s="17" t="s">
        <v>882</v>
      </c>
      <c r="C417" s="17" t="s">
        <v>803</v>
      </c>
      <c r="D417" s="17" t="s">
        <v>801</v>
      </c>
      <c r="E417" s="18">
        <v>3002310465019</v>
      </c>
      <c r="G417" s="20" t="str">
        <f t="shared" si="18"/>
        <v xml:space="preserve"> ANSES/F.CUIR    </v>
      </c>
      <c r="H417" s="20" t="str">
        <f t="shared" si="19"/>
        <v xml:space="preserve">CBMA </v>
      </c>
      <c r="I417" s="20" t="str">
        <f t="shared" si="20"/>
        <v xml:space="preserve">S    </v>
      </c>
    </row>
    <row r="418" spans="1:9">
      <c r="A418" s="17" t="s">
        <v>874</v>
      </c>
      <c r="B418" s="17" t="s">
        <v>882</v>
      </c>
      <c r="C418" s="17" t="s">
        <v>804</v>
      </c>
      <c r="D418" s="17" t="s">
        <v>801</v>
      </c>
      <c r="E418" s="18">
        <v>3002310465040</v>
      </c>
      <c r="G418" s="20" t="str">
        <f t="shared" si="18"/>
        <v xml:space="preserve"> ANSES/F.CUIR    </v>
      </c>
      <c r="H418" s="20" t="str">
        <f t="shared" si="19"/>
        <v xml:space="preserve">CBMA </v>
      </c>
      <c r="I418" s="20" t="str">
        <f t="shared" si="20"/>
        <v xml:space="preserve">XL   </v>
      </c>
    </row>
    <row r="419" spans="1:9">
      <c r="A419" s="17" t="s">
        <v>874</v>
      </c>
      <c r="B419" s="17" t="s">
        <v>882</v>
      </c>
      <c r="C419" s="17" t="s">
        <v>805</v>
      </c>
      <c r="D419" s="17" t="s">
        <v>801</v>
      </c>
      <c r="E419" s="18">
        <v>3002310465002</v>
      </c>
      <c r="G419" s="20" t="str">
        <f t="shared" si="18"/>
        <v xml:space="preserve"> ANSES/F.CUIR    </v>
      </c>
      <c r="H419" s="20" t="str">
        <f t="shared" si="19"/>
        <v xml:space="preserve">CBMA </v>
      </c>
      <c r="I419" s="20" t="str">
        <f t="shared" si="20"/>
        <v xml:space="preserve">XS   </v>
      </c>
    </row>
    <row r="420" spans="1:9">
      <c r="A420" s="17" t="s">
        <v>874</v>
      </c>
      <c r="B420" s="17" t="s">
        <v>831</v>
      </c>
      <c r="C420" s="17" t="s">
        <v>800</v>
      </c>
      <c r="D420" s="17" t="s">
        <v>801</v>
      </c>
      <c r="E420" s="18">
        <v>3002310467037</v>
      </c>
      <c r="G420" s="20" t="str">
        <f t="shared" si="18"/>
        <v xml:space="preserve"> ANSES/F.CUIR    </v>
      </c>
      <c r="H420" s="20" t="str">
        <f t="shared" si="19"/>
        <v>CBNAT</v>
      </c>
      <c r="I420" s="20" t="str">
        <f t="shared" si="20"/>
        <v xml:space="preserve">L    </v>
      </c>
    </row>
    <row r="421" spans="1:9">
      <c r="A421" s="17" t="s">
        <v>874</v>
      </c>
      <c r="B421" s="17" t="s">
        <v>831</v>
      </c>
      <c r="C421" s="17" t="s">
        <v>800</v>
      </c>
      <c r="D421" s="17" t="s">
        <v>801</v>
      </c>
      <c r="E421" s="18">
        <v>3020360211035</v>
      </c>
      <c r="G421" s="20" t="str">
        <f t="shared" si="18"/>
        <v xml:space="preserve"> ANSES/F.CUIR    </v>
      </c>
      <c r="H421" s="20" t="str">
        <f t="shared" si="19"/>
        <v>CBNAT</v>
      </c>
      <c r="I421" s="20" t="str">
        <f t="shared" si="20"/>
        <v xml:space="preserve">L    </v>
      </c>
    </row>
    <row r="422" spans="1:9">
      <c r="A422" s="17" t="s">
        <v>874</v>
      </c>
      <c r="B422" s="17" t="s">
        <v>831</v>
      </c>
      <c r="C422" s="17" t="s">
        <v>802</v>
      </c>
      <c r="D422" s="17" t="s">
        <v>801</v>
      </c>
      <c r="E422" s="18">
        <v>3002310467020</v>
      </c>
      <c r="G422" s="20" t="str">
        <f t="shared" si="18"/>
        <v xml:space="preserve"> ANSES/F.CUIR    </v>
      </c>
      <c r="H422" s="20" t="str">
        <f t="shared" si="19"/>
        <v>CBNAT</v>
      </c>
      <c r="I422" s="20" t="str">
        <f t="shared" si="20"/>
        <v xml:space="preserve">M    </v>
      </c>
    </row>
    <row r="423" spans="1:9">
      <c r="A423" s="17" t="s">
        <v>874</v>
      </c>
      <c r="B423" s="17" t="s">
        <v>831</v>
      </c>
      <c r="C423" s="17" t="s">
        <v>802</v>
      </c>
      <c r="D423" s="17" t="s">
        <v>801</v>
      </c>
      <c r="E423" s="18">
        <v>3020360211028</v>
      </c>
      <c r="G423" s="20" t="str">
        <f t="shared" si="18"/>
        <v xml:space="preserve"> ANSES/F.CUIR    </v>
      </c>
      <c r="H423" s="20" t="str">
        <f t="shared" si="19"/>
        <v>CBNAT</v>
      </c>
      <c r="I423" s="20" t="str">
        <f t="shared" si="20"/>
        <v xml:space="preserve">M    </v>
      </c>
    </row>
    <row r="424" spans="1:9">
      <c r="A424" s="17" t="s">
        <v>874</v>
      </c>
      <c r="B424" s="17" t="s">
        <v>831</v>
      </c>
      <c r="C424" s="17" t="s">
        <v>803</v>
      </c>
      <c r="D424" s="17" t="s">
        <v>801</v>
      </c>
      <c r="E424" s="18">
        <v>3002310467013</v>
      </c>
      <c r="G424" s="20" t="str">
        <f t="shared" si="18"/>
        <v xml:space="preserve"> ANSES/F.CUIR    </v>
      </c>
      <c r="H424" s="20" t="str">
        <f t="shared" si="19"/>
        <v>CBNAT</v>
      </c>
      <c r="I424" s="20" t="str">
        <f t="shared" si="20"/>
        <v xml:space="preserve">S    </v>
      </c>
    </row>
    <row r="425" spans="1:9">
      <c r="A425" s="17" t="s">
        <v>874</v>
      </c>
      <c r="B425" s="17" t="s">
        <v>831</v>
      </c>
      <c r="C425" s="17" t="s">
        <v>803</v>
      </c>
      <c r="D425" s="17" t="s">
        <v>801</v>
      </c>
      <c r="E425" s="18">
        <v>3020360211011</v>
      </c>
      <c r="G425" s="20" t="str">
        <f t="shared" si="18"/>
        <v xml:space="preserve"> ANSES/F.CUIR    </v>
      </c>
      <c r="H425" s="20" t="str">
        <f t="shared" si="19"/>
        <v>CBNAT</v>
      </c>
      <c r="I425" s="20" t="str">
        <f t="shared" si="20"/>
        <v xml:space="preserve">S    </v>
      </c>
    </row>
    <row r="426" spans="1:9">
      <c r="A426" s="17" t="s">
        <v>874</v>
      </c>
      <c r="B426" s="17" t="s">
        <v>831</v>
      </c>
      <c r="C426" s="17" t="s">
        <v>804</v>
      </c>
      <c r="D426" s="17" t="s">
        <v>801</v>
      </c>
      <c r="E426" s="18">
        <v>3002310467044</v>
      </c>
      <c r="G426" s="20" t="str">
        <f t="shared" si="18"/>
        <v xml:space="preserve"> ANSES/F.CUIR    </v>
      </c>
      <c r="H426" s="20" t="str">
        <f t="shared" si="19"/>
        <v>CBNAT</v>
      </c>
      <c r="I426" s="20" t="str">
        <f t="shared" si="20"/>
        <v xml:space="preserve">XL   </v>
      </c>
    </row>
    <row r="427" spans="1:9">
      <c r="A427" s="17" t="s">
        <v>874</v>
      </c>
      <c r="B427" s="17" t="s">
        <v>831</v>
      </c>
      <c r="C427" s="17" t="s">
        <v>804</v>
      </c>
      <c r="D427" s="17" t="s">
        <v>801</v>
      </c>
      <c r="E427" s="18">
        <v>3020360211042</v>
      </c>
      <c r="G427" s="20" t="str">
        <f t="shared" si="18"/>
        <v xml:space="preserve"> ANSES/F.CUIR    </v>
      </c>
      <c r="H427" s="20" t="str">
        <f t="shared" si="19"/>
        <v>CBNAT</v>
      </c>
      <c r="I427" s="20" t="str">
        <f t="shared" si="20"/>
        <v xml:space="preserve">XL   </v>
      </c>
    </row>
    <row r="428" spans="1:9">
      <c r="A428" s="17" t="s">
        <v>874</v>
      </c>
      <c r="B428" s="17" t="s">
        <v>831</v>
      </c>
      <c r="C428" s="17" t="s">
        <v>805</v>
      </c>
      <c r="D428" s="17" t="s">
        <v>801</v>
      </c>
      <c r="E428" s="18">
        <v>3002310467006</v>
      </c>
      <c r="G428" s="20" t="str">
        <f t="shared" si="18"/>
        <v xml:space="preserve"> ANSES/F.CUIR    </v>
      </c>
      <c r="H428" s="20" t="str">
        <f t="shared" si="19"/>
        <v>CBNAT</v>
      </c>
      <c r="I428" s="20" t="str">
        <f t="shared" si="20"/>
        <v xml:space="preserve">XS   </v>
      </c>
    </row>
    <row r="429" spans="1:9">
      <c r="A429" s="17" t="s">
        <v>874</v>
      </c>
      <c r="B429" s="17" t="s">
        <v>831</v>
      </c>
      <c r="C429" s="17" t="s">
        <v>805</v>
      </c>
      <c r="D429" s="17" t="s">
        <v>801</v>
      </c>
      <c r="E429" s="18">
        <v>3020360211004</v>
      </c>
      <c r="G429" s="20" t="str">
        <f t="shared" si="18"/>
        <v xml:space="preserve"> ANSES/F.CUIR    </v>
      </c>
      <c r="H429" s="20" t="str">
        <f t="shared" si="19"/>
        <v>CBNAT</v>
      </c>
      <c r="I429" s="20" t="str">
        <f t="shared" si="20"/>
        <v xml:space="preserve">XS   </v>
      </c>
    </row>
    <row r="430" spans="1:9">
      <c r="A430" s="17" t="s">
        <v>874</v>
      </c>
      <c r="B430" s="17" t="s">
        <v>883</v>
      </c>
      <c r="C430" s="17" t="s">
        <v>800</v>
      </c>
      <c r="D430" s="17" t="s">
        <v>801</v>
      </c>
      <c r="E430" s="18">
        <v>3020360303037</v>
      </c>
      <c r="G430" s="20" t="str">
        <f t="shared" si="18"/>
        <v xml:space="preserve"> ANSES/F.CUIR    </v>
      </c>
      <c r="H430" s="20" t="str">
        <f t="shared" si="19"/>
        <v>CHABL</v>
      </c>
      <c r="I430" s="20" t="str">
        <f t="shared" si="20"/>
        <v xml:space="preserve">L    </v>
      </c>
    </row>
    <row r="431" spans="1:9">
      <c r="A431" s="17" t="s">
        <v>874</v>
      </c>
      <c r="B431" s="17" t="s">
        <v>883</v>
      </c>
      <c r="C431" s="17" t="s">
        <v>800</v>
      </c>
      <c r="D431" s="17" t="s">
        <v>801</v>
      </c>
      <c r="E431" s="18">
        <v>3020360255039</v>
      </c>
      <c r="G431" s="20" t="str">
        <f t="shared" si="18"/>
        <v xml:space="preserve"> ANSES/F.CUIR    </v>
      </c>
      <c r="H431" s="20" t="str">
        <f t="shared" si="19"/>
        <v>CHABL</v>
      </c>
      <c r="I431" s="20" t="str">
        <f t="shared" si="20"/>
        <v xml:space="preserve">L    </v>
      </c>
    </row>
    <row r="432" spans="1:9">
      <c r="A432" s="17" t="s">
        <v>874</v>
      </c>
      <c r="B432" s="17" t="s">
        <v>883</v>
      </c>
      <c r="C432" s="17" t="s">
        <v>802</v>
      </c>
      <c r="D432" s="17" t="s">
        <v>801</v>
      </c>
      <c r="E432" s="18">
        <v>3020360303020</v>
      </c>
      <c r="G432" s="20" t="str">
        <f t="shared" si="18"/>
        <v xml:space="preserve"> ANSES/F.CUIR    </v>
      </c>
      <c r="H432" s="20" t="str">
        <f t="shared" si="19"/>
        <v>CHABL</v>
      </c>
      <c r="I432" s="20" t="str">
        <f t="shared" si="20"/>
        <v xml:space="preserve">M    </v>
      </c>
    </row>
    <row r="433" spans="1:9">
      <c r="A433" s="17" t="s">
        <v>874</v>
      </c>
      <c r="B433" s="17" t="s">
        <v>883</v>
      </c>
      <c r="C433" s="17" t="s">
        <v>802</v>
      </c>
      <c r="D433" s="17" t="s">
        <v>801</v>
      </c>
      <c r="E433" s="18">
        <v>3020360255022</v>
      </c>
      <c r="G433" s="20" t="str">
        <f t="shared" si="18"/>
        <v xml:space="preserve"> ANSES/F.CUIR    </v>
      </c>
      <c r="H433" s="20" t="str">
        <f t="shared" si="19"/>
        <v>CHABL</v>
      </c>
      <c r="I433" s="20" t="str">
        <f t="shared" si="20"/>
        <v xml:space="preserve">M    </v>
      </c>
    </row>
    <row r="434" spans="1:9">
      <c r="A434" s="17" t="s">
        <v>874</v>
      </c>
      <c r="B434" s="17" t="s">
        <v>883</v>
      </c>
      <c r="C434" s="17" t="s">
        <v>803</v>
      </c>
      <c r="D434" s="17" t="s">
        <v>801</v>
      </c>
      <c r="E434" s="18">
        <v>3020360303013</v>
      </c>
      <c r="G434" s="20" t="str">
        <f t="shared" si="18"/>
        <v xml:space="preserve"> ANSES/F.CUIR    </v>
      </c>
      <c r="H434" s="20" t="str">
        <f t="shared" si="19"/>
        <v>CHABL</v>
      </c>
      <c r="I434" s="20" t="str">
        <f t="shared" si="20"/>
        <v xml:space="preserve">S    </v>
      </c>
    </row>
    <row r="435" spans="1:9">
      <c r="A435" s="17" t="s">
        <v>874</v>
      </c>
      <c r="B435" s="17" t="s">
        <v>883</v>
      </c>
      <c r="C435" s="17" t="s">
        <v>803</v>
      </c>
      <c r="D435" s="17" t="s">
        <v>801</v>
      </c>
      <c r="E435" s="18">
        <v>3020360255015</v>
      </c>
      <c r="G435" s="20" t="str">
        <f t="shared" si="18"/>
        <v xml:space="preserve"> ANSES/F.CUIR    </v>
      </c>
      <c r="H435" s="20" t="str">
        <f t="shared" si="19"/>
        <v>CHABL</v>
      </c>
      <c r="I435" s="20" t="str">
        <f t="shared" si="20"/>
        <v xml:space="preserve">S    </v>
      </c>
    </row>
    <row r="436" spans="1:9">
      <c r="A436" s="17" t="s">
        <v>874</v>
      </c>
      <c r="B436" s="17" t="s">
        <v>883</v>
      </c>
      <c r="C436" s="17" t="s">
        <v>804</v>
      </c>
      <c r="D436" s="17" t="s">
        <v>801</v>
      </c>
      <c r="E436" s="18">
        <v>3020360303044</v>
      </c>
      <c r="G436" s="20" t="str">
        <f t="shared" si="18"/>
        <v xml:space="preserve"> ANSES/F.CUIR    </v>
      </c>
      <c r="H436" s="20" t="str">
        <f t="shared" si="19"/>
        <v>CHABL</v>
      </c>
      <c r="I436" s="20" t="str">
        <f t="shared" si="20"/>
        <v xml:space="preserve">XL   </v>
      </c>
    </row>
    <row r="437" spans="1:9">
      <c r="A437" s="17" t="s">
        <v>874</v>
      </c>
      <c r="B437" s="17" t="s">
        <v>883</v>
      </c>
      <c r="C437" s="17" t="s">
        <v>804</v>
      </c>
      <c r="D437" s="17" t="s">
        <v>801</v>
      </c>
      <c r="E437" s="18">
        <v>3020360255046</v>
      </c>
      <c r="G437" s="20" t="str">
        <f t="shared" si="18"/>
        <v xml:space="preserve"> ANSES/F.CUIR    </v>
      </c>
      <c r="H437" s="20" t="str">
        <f t="shared" si="19"/>
        <v>CHABL</v>
      </c>
      <c r="I437" s="20" t="str">
        <f t="shared" si="20"/>
        <v xml:space="preserve">XL   </v>
      </c>
    </row>
    <row r="438" spans="1:9">
      <c r="A438" s="17" t="s">
        <v>874</v>
      </c>
      <c r="B438" s="17" t="s">
        <v>883</v>
      </c>
      <c r="C438" s="17" t="s">
        <v>805</v>
      </c>
      <c r="D438" s="17" t="s">
        <v>801</v>
      </c>
      <c r="E438" s="18">
        <v>3020360303006</v>
      </c>
      <c r="G438" s="20" t="str">
        <f t="shared" si="18"/>
        <v xml:space="preserve"> ANSES/F.CUIR    </v>
      </c>
      <c r="H438" s="20" t="str">
        <f t="shared" si="19"/>
        <v>CHABL</v>
      </c>
      <c r="I438" s="20" t="str">
        <f t="shared" si="20"/>
        <v xml:space="preserve">XS   </v>
      </c>
    </row>
    <row r="439" spans="1:9">
      <c r="A439" s="17" t="s">
        <v>874</v>
      </c>
      <c r="B439" s="17" t="s">
        <v>883</v>
      </c>
      <c r="C439" s="17" t="s">
        <v>805</v>
      </c>
      <c r="D439" s="17" t="s">
        <v>801</v>
      </c>
      <c r="E439" s="18">
        <v>3020360255008</v>
      </c>
      <c r="G439" s="20" t="str">
        <f t="shared" si="18"/>
        <v xml:space="preserve"> ANSES/F.CUIR    </v>
      </c>
      <c r="H439" s="20" t="str">
        <f t="shared" si="19"/>
        <v>CHABL</v>
      </c>
      <c r="I439" s="20" t="str">
        <f t="shared" si="20"/>
        <v xml:space="preserve">XS   </v>
      </c>
    </row>
    <row r="440" spans="1:9">
      <c r="A440" s="17" t="s">
        <v>874</v>
      </c>
      <c r="B440" s="17" t="s">
        <v>884</v>
      </c>
      <c r="C440" s="17" t="s">
        <v>800</v>
      </c>
      <c r="D440" s="17" t="s">
        <v>801</v>
      </c>
      <c r="E440" s="18">
        <v>3020360254032</v>
      </c>
      <c r="G440" s="20" t="str">
        <f t="shared" si="18"/>
        <v xml:space="preserve"> ANSES/F.CUIR    </v>
      </c>
      <c r="H440" s="20" t="str">
        <f t="shared" si="19"/>
        <v>CHAMA</v>
      </c>
      <c r="I440" s="20" t="str">
        <f t="shared" si="20"/>
        <v xml:space="preserve">L    </v>
      </c>
    </row>
    <row r="441" spans="1:9">
      <c r="A441" s="17" t="s">
        <v>874</v>
      </c>
      <c r="B441" s="17" t="s">
        <v>884</v>
      </c>
      <c r="C441" s="17" t="s">
        <v>802</v>
      </c>
      <c r="D441" s="17" t="s">
        <v>801</v>
      </c>
      <c r="E441" s="18">
        <v>3020360254025</v>
      </c>
      <c r="G441" s="20" t="str">
        <f t="shared" si="18"/>
        <v xml:space="preserve"> ANSES/F.CUIR    </v>
      </c>
      <c r="H441" s="20" t="str">
        <f t="shared" si="19"/>
        <v>CHAMA</v>
      </c>
      <c r="I441" s="20" t="str">
        <f t="shared" si="20"/>
        <v xml:space="preserve">M    </v>
      </c>
    </row>
    <row r="442" spans="1:9">
      <c r="A442" s="17" t="s">
        <v>874</v>
      </c>
      <c r="B442" s="17" t="s">
        <v>884</v>
      </c>
      <c r="C442" s="17" t="s">
        <v>803</v>
      </c>
      <c r="D442" s="17" t="s">
        <v>801</v>
      </c>
      <c r="E442" s="18">
        <v>3020360254018</v>
      </c>
      <c r="G442" s="20" t="str">
        <f t="shared" si="18"/>
        <v xml:space="preserve"> ANSES/F.CUIR    </v>
      </c>
      <c r="H442" s="20" t="str">
        <f t="shared" si="19"/>
        <v>CHAMA</v>
      </c>
      <c r="I442" s="20" t="str">
        <f t="shared" si="20"/>
        <v xml:space="preserve">S    </v>
      </c>
    </row>
    <row r="443" spans="1:9">
      <c r="A443" s="17" t="s">
        <v>874</v>
      </c>
      <c r="B443" s="17" t="s">
        <v>884</v>
      </c>
      <c r="C443" s="17" t="s">
        <v>804</v>
      </c>
      <c r="D443" s="17" t="s">
        <v>801</v>
      </c>
      <c r="E443" s="18">
        <v>3020360254049</v>
      </c>
      <c r="G443" s="20" t="str">
        <f t="shared" si="18"/>
        <v xml:space="preserve"> ANSES/F.CUIR    </v>
      </c>
      <c r="H443" s="20" t="str">
        <f t="shared" si="19"/>
        <v>CHAMA</v>
      </c>
      <c r="I443" s="20" t="str">
        <f t="shared" si="20"/>
        <v xml:space="preserve">XL   </v>
      </c>
    </row>
    <row r="444" spans="1:9">
      <c r="A444" s="17" t="s">
        <v>874</v>
      </c>
      <c r="B444" s="17" t="s">
        <v>884</v>
      </c>
      <c r="C444" s="17" t="s">
        <v>805</v>
      </c>
      <c r="D444" s="17" t="s">
        <v>801</v>
      </c>
      <c r="E444" s="18">
        <v>3020360254001</v>
      </c>
      <c r="G444" s="20" t="str">
        <f t="shared" si="18"/>
        <v xml:space="preserve"> ANSES/F.CUIR    </v>
      </c>
      <c r="H444" s="20" t="str">
        <f t="shared" si="19"/>
        <v>CHAMA</v>
      </c>
      <c r="I444" s="20" t="str">
        <f t="shared" si="20"/>
        <v xml:space="preserve">XS   </v>
      </c>
    </row>
    <row r="445" spans="1:9">
      <c r="A445" s="17" t="s">
        <v>874</v>
      </c>
      <c r="B445" s="17" t="s">
        <v>885</v>
      </c>
      <c r="C445" s="17" t="s">
        <v>800</v>
      </c>
      <c r="D445" s="17" t="s">
        <v>801</v>
      </c>
      <c r="E445" s="18">
        <v>3020360256036</v>
      </c>
      <c r="G445" s="20" t="str">
        <f t="shared" si="18"/>
        <v xml:space="preserve"> ANSES/F.CUIR    </v>
      </c>
      <c r="H445" s="20" t="str">
        <f t="shared" si="19"/>
        <v>CHAMG</v>
      </c>
      <c r="I445" s="20" t="str">
        <f t="shared" si="20"/>
        <v xml:space="preserve">L    </v>
      </c>
    </row>
    <row r="446" spans="1:9">
      <c r="A446" s="17" t="s">
        <v>874</v>
      </c>
      <c r="B446" s="17" t="s">
        <v>885</v>
      </c>
      <c r="C446" s="17" t="s">
        <v>802</v>
      </c>
      <c r="D446" s="17" t="s">
        <v>801</v>
      </c>
      <c r="E446" s="18">
        <v>3020360256029</v>
      </c>
      <c r="G446" s="20" t="str">
        <f t="shared" si="18"/>
        <v xml:space="preserve"> ANSES/F.CUIR    </v>
      </c>
      <c r="H446" s="20" t="str">
        <f t="shared" si="19"/>
        <v>CHAMG</v>
      </c>
      <c r="I446" s="20" t="str">
        <f t="shared" si="20"/>
        <v xml:space="preserve">M    </v>
      </c>
    </row>
    <row r="447" spans="1:9">
      <c r="A447" s="17" t="s">
        <v>874</v>
      </c>
      <c r="B447" s="17" t="s">
        <v>885</v>
      </c>
      <c r="C447" s="17" t="s">
        <v>803</v>
      </c>
      <c r="D447" s="17" t="s">
        <v>801</v>
      </c>
      <c r="E447" s="18">
        <v>3020360256012</v>
      </c>
      <c r="G447" s="20" t="str">
        <f t="shared" si="18"/>
        <v xml:space="preserve"> ANSES/F.CUIR    </v>
      </c>
      <c r="H447" s="20" t="str">
        <f t="shared" si="19"/>
        <v>CHAMG</v>
      </c>
      <c r="I447" s="20" t="str">
        <f t="shared" si="20"/>
        <v xml:space="preserve">S    </v>
      </c>
    </row>
    <row r="448" spans="1:9">
      <c r="A448" s="17" t="s">
        <v>874</v>
      </c>
      <c r="B448" s="17" t="s">
        <v>885</v>
      </c>
      <c r="C448" s="17" t="s">
        <v>804</v>
      </c>
      <c r="D448" s="17" t="s">
        <v>801</v>
      </c>
      <c r="E448" s="18">
        <v>3020360256043</v>
      </c>
      <c r="G448" s="20" t="str">
        <f t="shared" si="18"/>
        <v xml:space="preserve"> ANSES/F.CUIR    </v>
      </c>
      <c r="H448" s="20" t="str">
        <f t="shared" si="19"/>
        <v>CHAMG</v>
      </c>
      <c r="I448" s="20" t="str">
        <f t="shared" si="20"/>
        <v xml:space="preserve">XL   </v>
      </c>
    </row>
    <row r="449" spans="1:9">
      <c r="A449" s="17" t="s">
        <v>874</v>
      </c>
      <c r="B449" s="17" t="s">
        <v>885</v>
      </c>
      <c r="C449" s="17" t="s">
        <v>805</v>
      </c>
      <c r="D449" s="17" t="s">
        <v>801</v>
      </c>
      <c r="E449" s="18">
        <v>3020360256005</v>
      </c>
      <c r="G449" s="20" t="str">
        <f t="shared" si="18"/>
        <v xml:space="preserve"> ANSES/F.CUIR    </v>
      </c>
      <c r="H449" s="20" t="str">
        <f t="shared" si="19"/>
        <v>CHAMG</v>
      </c>
      <c r="I449" s="20" t="str">
        <f t="shared" si="20"/>
        <v xml:space="preserve">XS   </v>
      </c>
    </row>
    <row r="450" spans="1:9">
      <c r="A450" s="17" t="s">
        <v>874</v>
      </c>
      <c r="B450" s="17" t="s">
        <v>886</v>
      </c>
      <c r="C450" s="17" t="s">
        <v>800</v>
      </c>
      <c r="D450" s="17" t="s">
        <v>801</v>
      </c>
      <c r="E450" s="18">
        <v>3020360253035</v>
      </c>
      <c r="G450" s="20" t="str">
        <f t="shared" si="18"/>
        <v xml:space="preserve"> ANSES/F.CUIR    </v>
      </c>
      <c r="H450" s="20" t="str">
        <f t="shared" si="19"/>
        <v>CHAMN</v>
      </c>
      <c r="I450" s="20" t="str">
        <f t="shared" si="20"/>
        <v xml:space="preserve">L    </v>
      </c>
    </row>
    <row r="451" spans="1:9">
      <c r="A451" s="17" t="s">
        <v>874</v>
      </c>
      <c r="B451" s="17" t="s">
        <v>886</v>
      </c>
      <c r="C451" s="17" t="s">
        <v>802</v>
      </c>
      <c r="D451" s="17" t="s">
        <v>801</v>
      </c>
      <c r="E451" s="18">
        <v>3020360253028</v>
      </c>
      <c r="G451" s="20" t="str">
        <f t="shared" si="18"/>
        <v xml:space="preserve"> ANSES/F.CUIR    </v>
      </c>
      <c r="H451" s="20" t="str">
        <f t="shared" si="19"/>
        <v>CHAMN</v>
      </c>
      <c r="I451" s="20" t="str">
        <f t="shared" si="20"/>
        <v xml:space="preserve">M    </v>
      </c>
    </row>
    <row r="452" spans="1:9">
      <c r="A452" s="17" t="s">
        <v>874</v>
      </c>
      <c r="B452" s="17" t="s">
        <v>886</v>
      </c>
      <c r="C452" s="17" t="s">
        <v>803</v>
      </c>
      <c r="D452" s="17" t="s">
        <v>801</v>
      </c>
      <c r="E452" s="18">
        <v>3020360253011</v>
      </c>
      <c r="G452" s="20" t="str">
        <f t="shared" si="18"/>
        <v xml:space="preserve"> ANSES/F.CUIR    </v>
      </c>
      <c r="H452" s="20" t="str">
        <f t="shared" si="19"/>
        <v>CHAMN</v>
      </c>
      <c r="I452" s="20" t="str">
        <f t="shared" si="20"/>
        <v xml:space="preserve">S    </v>
      </c>
    </row>
    <row r="453" spans="1:9">
      <c r="A453" s="17" t="s">
        <v>874</v>
      </c>
      <c r="B453" s="17" t="s">
        <v>886</v>
      </c>
      <c r="C453" s="17" t="s">
        <v>804</v>
      </c>
      <c r="D453" s="17" t="s">
        <v>801</v>
      </c>
      <c r="E453" s="18">
        <v>3020360253042</v>
      </c>
      <c r="G453" s="20" t="str">
        <f t="shared" ref="G453:G516" si="21">A453</f>
        <v xml:space="preserve"> ANSES/F.CUIR    </v>
      </c>
      <c r="H453" s="20" t="str">
        <f t="shared" ref="H453:H516" si="22">B453</f>
        <v>CHAMN</v>
      </c>
      <c r="I453" s="20" t="str">
        <f t="shared" ref="I453:I516" si="23">C453</f>
        <v xml:space="preserve">XL   </v>
      </c>
    </row>
    <row r="454" spans="1:9">
      <c r="A454" s="17" t="s">
        <v>874</v>
      </c>
      <c r="B454" s="17" t="s">
        <v>886</v>
      </c>
      <c r="C454" s="17" t="s">
        <v>805</v>
      </c>
      <c r="D454" s="17" t="s">
        <v>801</v>
      </c>
      <c r="E454" s="18">
        <v>3020360253004</v>
      </c>
      <c r="G454" s="20" t="str">
        <f t="shared" si="21"/>
        <v xml:space="preserve"> ANSES/F.CUIR    </v>
      </c>
      <c r="H454" s="20" t="str">
        <f t="shared" si="22"/>
        <v>CHAMN</v>
      </c>
      <c r="I454" s="20" t="str">
        <f t="shared" si="23"/>
        <v xml:space="preserve">XS   </v>
      </c>
    </row>
    <row r="455" spans="1:9">
      <c r="A455" s="17" t="s">
        <v>874</v>
      </c>
      <c r="B455" s="17" t="s">
        <v>887</v>
      </c>
      <c r="C455" s="17" t="s">
        <v>800</v>
      </c>
      <c r="D455" s="17" t="s">
        <v>801</v>
      </c>
      <c r="E455" s="18">
        <v>3020360335038</v>
      </c>
      <c r="G455" s="20" t="str">
        <f t="shared" si="21"/>
        <v xml:space="preserve"> ANSES/F.CUIR    </v>
      </c>
      <c r="H455" s="20" t="str">
        <f t="shared" si="22"/>
        <v>COBAL</v>
      </c>
      <c r="I455" s="20" t="str">
        <f t="shared" si="23"/>
        <v xml:space="preserve">L    </v>
      </c>
    </row>
    <row r="456" spans="1:9">
      <c r="A456" s="17" t="s">
        <v>874</v>
      </c>
      <c r="B456" s="17" t="s">
        <v>887</v>
      </c>
      <c r="C456" s="17" t="s">
        <v>802</v>
      </c>
      <c r="D456" s="17" t="s">
        <v>801</v>
      </c>
      <c r="E456" s="18">
        <v>3020360335021</v>
      </c>
      <c r="G456" s="20" t="str">
        <f t="shared" si="21"/>
        <v xml:space="preserve"> ANSES/F.CUIR    </v>
      </c>
      <c r="H456" s="20" t="str">
        <f t="shared" si="22"/>
        <v>COBAL</v>
      </c>
      <c r="I456" s="20" t="str">
        <f t="shared" si="23"/>
        <v xml:space="preserve">M    </v>
      </c>
    </row>
    <row r="457" spans="1:9">
      <c r="A457" s="17" t="s">
        <v>874</v>
      </c>
      <c r="B457" s="17" t="s">
        <v>887</v>
      </c>
      <c r="C457" s="17" t="s">
        <v>803</v>
      </c>
      <c r="D457" s="17" t="s">
        <v>801</v>
      </c>
      <c r="E457" s="18">
        <v>3020360335014</v>
      </c>
      <c r="G457" s="20" t="str">
        <f t="shared" si="21"/>
        <v xml:space="preserve"> ANSES/F.CUIR    </v>
      </c>
      <c r="H457" s="20" t="str">
        <f t="shared" si="22"/>
        <v>COBAL</v>
      </c>
      <c r="I457" s="20" t="str">
        <f t="shared" si="23"/>
        <v xml:space="preserve">S    </v>
      </c>
    </row>
    <row r="458" spans="1:9">
      <c r="A458" s="17" t="s">
        <v>874</v>
      </c>
      <c r="B458" s="17" t="s">
        <v>887</v>
      </c>
      <c r="C458" s="17" t="s">
        <v>804</v>
      </c>
      <c r="D458" s="17" t="s">
        <v>801</v>
      </c>
      <c r="E458" s="18">
        <v>3020360335045</v>
      </c>
      <c r="G458" s="20" t="str">
        <f t="shared" si="21"/>
        <v xml:space="preserve"> ANSES/F.CUIR    </v>
      </c>
      <c r="H458" s="20" t="str">
        <f t="shared" si="22"/>
        <v>COBAL</v>
      </c>
      <c r="I458" s="20" t="str">
        <f t="shared" si="23"/>
        <v xml:space="preserve">XL   </v>
      </c>
    </row>
    <row r="459" spans="1:9">
      <c r="A459" s="17" t="s">
        <v>874</v>
      </c>
      <c r="B459" s="17" t="s">
        <v>887</v>
      </c>
      <c r="C459" s="17" t="s">
        <v>805</v>
      </c>
      <c r="D459" s="17" t="s">
        <v>801</v>
      </c>
      <c r="E459" s="18">
        <v>3020360335007</v>
      </c>
      <c r="G459" s="20" t="str">
        <f t="shared" si="21"/>
        <v xml:space="preserve"> ANSES/F.CUIR    </v>
      </c>
      <c r="H459" s="20" t="str">
        <f t="shared" si="22"/>
        <v>COBAL</v>
      </c>
      <c r="I459" s="20" t="str">
        <f t="shared" si="23"/>
        <v xml:space="preserve">XS   </v>
      </c>
    </row>
    <row r="460" spans="1:9">
      <c r="A460" s="17" t="s">
        <v>874</v>
      </c>
      <c r="B460" s="17" t="s">
        <v>819</v>
      </c>
      <c r="C460" s="17" t="s">
        <v>800</v>
      </c>
      <c r="D460" s="17" t="s">
        <v>801</v>
      </c>
      <c r="E460" s="18">
        <v>3003220006033</v>
      </c>
      <c r="G460" s="20" t="str">
        <f t="shared" si="21"/>
        <v xml:space="preserve"> ANSES/F.CUIR    </v>
      </c>
      <c r="H460" s="20" t="str">
        <f t="shared" si="22"/>
        <v xml:space="preserve">DOVE </v>
      </c>
      <c r="I460" s="20" t="str">
        <f t="shared" si="23"/>
        <v xml:space="preserve">L    </v>
      </c>
    </row>
    <row r="461" spans="1:9">
      <c r="A461" s="17" t="s">
        <v>874</v>
      </c>
      <c r="B461" s="17" t="s">
        <v>819</v>
      </c>
      <c r="C461" s="17" t="s">
        <v>800</v>
      </c>
      <c r="D461" s="17" t="s">
        <v>801</v>
      </c>
      <c r="E461" s="18">
        <v>8051770308775</v>
      </c>
      <c r="G461" s="20" t="str">
        <f t="shared" si="21"/>
        <v xml:space="preserve"> ANSES/F.CUIR    </v>
      </c>
      <c r="H461" s="20" t="str">
        <f t="shared" si="22"/>
        <v xml:space="preserve">DOVE </v>
      </c>
      <c r="I461" s="20" t="str">
        <f t="shared" si="23"/>
        <v xml:space="preserve">L    </v>
      </c>
    </row>
    <row r="462" spans="1:9">
      <c r="A462" s="17" t="s">
        <v>874</v>
      </c>
      <c r="B462" s="17" t="s">
        <v>819</v>
      </c>
      <c r="C462" s="17" t="s">
        <v>802</v>
      </c>
      <c r="D462" s="17" t="s">
        <v>801</v>
      </c>
      <c r="E462" s="18">
        <v>3003220006026</v>
      </c>
      <c r="G462" s="20" t="str">
        <f t="shared" si="21"/>
        <v xml:space="preserve"> ANSES/F.CUIR    </v>
      </c>
      <c r="H462" s="20" t="str">
        <f t="shared" si="22"/>
        <v xml:space="preserve">DOVE </v>
      </c>
      <c r="I462" s="20" t="str">
        <f t="shared" si="23"/>
        <v xml:space="preserve">M    </v>
      </c>
    </row>
    <row r="463" spans="1:9">
      <c r="A463" s="17" t="s">
        <v>874</v>
      </c>
      <c r="B463" s="17" t="s">
        <v>819</v>
      </c>
      <c r="C463" s="17" t="s">
        <v>803</v>
      </c>
      <c r="D463" s="17" t="s">
        <v>801</v>
      </c>
      <c r="E463" s="18">
        <v>3003220006019</v>
      </c>
      <c r="G463" s="20" t="str">
        <f t="shared" si="21"/>
        <v xml:space="preserve"> ANSES/F.CUIR    </v>
      </c>
      <c r="H463" s="20" t="str">
        <f t="shared" si="22"/>
        <v xml:space="preserve">DOVE </v>
      </c>
      <c r="I463" s="20" t="str">
        <f t="shared" si="23"/>
        <v xml:space="preserve">S    </v>
      </c>
    </row>
    <row r="464" spans="1:9">
      <c r="A464" s="17" t="s">
        <v>874</v>
      </c>
      <c r="B464" s="17" t="s">
        <v>819</v>
      </c>
      <c r="C464" s="17" t="s">
        <v>803</v>
      </c>
      <c r="D464" s="17" t="s">
        <v>801</v>
      </c>
      <c r="E464" s="18">
        <v>8058983597149</v>
      </c>
      <c r="G464" s="20" t="str">
        <f t="shared" si="21"/>
        <v xml:space="preserve"> ANSES/F.CUIR    </v>
      </c>
      <c r="H464" s="20" t="str">
        <f t="shared" si="22"/>
        <v xml:space="preserve">DOVE </v>
      </c>
      <c r="I464" s="20" t="str">
        <f t="shared" si="23"/>
        <v xml:space="preserve">S    </v>
      </c>
    </row>
    <row r="465" spans="1:9">
      <c r="A465" s="17" t="s">
        <v>874</v>
      </c>
      <c r="B465" s="17" t="s">
        <v>819</v>
      </c>
      <c r="C465" s="17" t="s">
        <v>804</v>
      </c>
      <c r="D465" s="17" t="s">
        <v>801</v>
      </c>
      <c r="E465" s="18">
        <v>3003220006040</v>
      </c>
      <c r="G465" s="20" t="str">
        <f t="shared" si="21"/>
        <v xml:space="preserve"> ANSES/F.CUIR    </v>
      </c>
      <c r="H465" s="20" t="str">
        <f t="shared" si="22"/>
        <v xml:space="preserve">DOVE </v>
      </c>
      <c r="I465" s="20" t="str">
        <f t="shared" si="23"/>
        <v xml:space="preserve">XL   </v>
      </c>
    </row>
    <row r="466" spans="1:9">
      <c r="A466" s="17" t="s">
        <v>874</v>
      </c>
      <c r="B466" s="17" t="s">
        <v>819</v>
      </c>
      <c r="C466" s="17" t="s">
        <v>805</v>
      </c>
      <c r="D466" s="17" t="s">
        <v>801</v>
      </c>
      <c r="E466" s="18">
        <v>3003220006002</v>
      </c>
      <c r="G466" s="20" t="str">
        <f t="shared" si="21"/>
        <v xml:space="preserve"> ANSES/F.CUIR    </v>
      </c>
      <c r="H466" s="20" t="str">
        <f t="shared" si="22"/>
        <v xml:space="preserve">DOVE </v>
      </c>
      <c r="I466" s="20" t="str">
        <f t="shared" si="23"/>
        <v xml:space="preserve">XS   </v>
      </c>
    </row>
    <row r="467" spans="1:9">
      <c r="A467" s="17" t="s">
        <v>874</v>
      </c>
      <c r="B467" s="17" t="s">
        <v>888</v>
      </c>
      <c r="C467" s="17" t="s">
        <v>800</v>
      </c>
      <c r="D467" s="17" t="s">
        <v>801</v>
      </c>
      <c r="E467" s="18">
        <v>3020360571030</v>
      </c>
      <c r="G467" s="20" t="str">
        <f t="shared" si="21"/>
        <v xml:space="preserve"> ANSES/F.CUIR    </v>
      </c>
      <c r="H467" s="20" t="str">
        <f t="shared" si="22"/>
        <v>DRKOR</v>
      </c>
      <c r="I467" s="20" t="str">
        <f t="shared" si="23"/>
        <v xml:space="preserve">L    </v>
      </c>
    </row>
    <row r="468" spans="1:9">
      <c r="A468" s="17" t="s">
        <v>874</v>
      </c>
      <c r="B468" s="17" t="s">
        <v>888</v>
      </c>
      <c r="C468" s="17" t="s">
        <v>802</v>
      </c>
      <c r="D468" s="17" t="s">
        <v>801</v>
      </c>
      <c r="E468" s="18">
        <v>3020360571023</v>
      </c>
      <c r="G468" s="20" t="str">
        <f t="shared" si="21"/>
        <v xml:space="preserve"> ANSES/F.CUIR    </v>
      </c>
      <c r="H468" s="20" t="str">
        <f t="shared" si="22"/>
        <v>DRKOR</v>
      </c>
      <c r="I468" s="20" t="str">
        <f t="shared" si="23"/>
        <v xml:space="preserve">M    </v>
      </c>
    </row>
    <row r="469" spans="1:9">
      <c r="A469" s="17" t="s">
        <v>874</v>
      </c>
      <c r="B469" s="17" t="s">
        <v>888</v>
      </c>
      <c r="C469" s="17" t="s">
        <v>803</v>
      </c>
      <c r="D469" s="17" t="s">
        <v>801</v>
      </c>
      <c r="E469" s="18">
        <v>3020360571016</v>
      </c>
      <c r="G469" s="20" t="str">
        <f t="shared" si="21"/>
        <v xml:space="preserve"> ANSES/F.CUIR    </v>
      </c>
      <c r="H469" s="20" t="str">
        <f t="shared" si="22"/>
        <v>DRKOR</v>
      </c>
      <c r="I469" s="20" t="str">
        <f t="shared" si="23"/>
        <v xml:space="preserve">S    </v>
      </c>
    </row>
    <row r="470" spans="1:9">
      <c r="A470" s="17" t="s">
        <v>874</v>
      </c>
      <c r="B470" s="17" t="s">
        <v>888</v>
      </c>
      <c r="C470" s="17" t="s">
        <v>804</v>
      </c>
      <c r="D470" s="17" t="s">
        <v>801</v>
      </c>
      <c r="E470" s="18">
        <v>3020360571047</v>
      </c>
      <c r="G470" s="20" t="str">
        <f t="shared" si="21"/>
        <v xml:space="preserve"> ANSES/F.CUIR    </v>
      </c>
      <c r="H470" s="20" t="str">
        <f t="shared" si="22"/>
        <v>DRKOR</v>
      </c>
      <c r="I470" s="20" t="str">
        <f t="shared" si="23"/>
        <v xml:space="preserve">XL   </v>
      </c>
    </row>
    <row r="471" spans="1:9">
      <c r="A471" s="17" t="s">
        <v>874</v>
      </c>
      <c r="B471" s="17" t="s">
        <v>888</v>
      </c>
      <c r="C471" s="17" t="s">
        <v>805</v>
      </c>
      <c r="D471" s="17" t="s">
        <v>801</v>
      </c>
      <c r="E471" s="18">
        <v>3020360571009</v>
      </c>
      <c r="G471" s="20" t="str">
        <f t="shared" si="21"/>
        <v xml:space="preserve"> ANSES/F.CUIR    </v>
      </c>
      <c r="H471" s="20" t="str">
        <f t="shared" si="22"/>
        <v>DRKOR</v>
      </c>
      <c r="I471" s="20" t="str">
        <f t="shared" si="23"/>
        <v xml:space="preserve">XS   </v>
      </c>
    </row>
    <row r="472" spans="1:9">
      <c r="A472" s="17" t="s">
        <v>874</v>
      </c>
      <c r="B472" s="17" t="s">
        <v>889</v>
      </c>
      <c r="C472" s="17" t="s">
        <v>800</v>
      </c>
      <c r="D472" s="17" t="s">
        <v>801</v>
      </c>
      <c r="E472" s="18">
        <v>3020360219031</v>
      </c>
      <c r="G472" s="20" t="str">
        <f t="shared" si="21"/>
        <v xml:space="preserve"> ANSES/F.CUIR    </v>
      </c>
      <c r="H472" s="20" t="str">
        <f t="shared" si="22"/>
        <v>GENET</v>
      </c>
      <c r="I472" s="20" t="str">
        <f t="shared" si="23"/>
        <v xml:space="preserve">L    </v>
      </c>
    </row>
    <row r="473" spans="1:9">
      <c r="A473" s="17" t="s">
        <v>874</v>
      </c>
      <c r="B473" s="17" t="s">
        <v>889</v>
      </c>
      <c r="C473" s="17" t="s">
        <v>802</v>
      </c>
      <c r="D473" s="17" t="s">
        <v>801</v>
      </c>
      <c r="E473" s="18">
        <v>3020360219024</v>
      </c>
      <c r="G473" s="20" t="str">
        <f t="shared" si="21"/>
        <v xml:space="preserve"> ANSES/F.CUIR    </v>
      </c>
      <c r="H473" s="20" t="str">
        <f t="shared" si="22"/>
        <v>GENET</v>
      </c>
      <c r="I473" s="20" t="str">
        <f t="shared" si="23"/>
        <v xml:space="preserve">M    </v>
      </c>
    </row>
    <row r="474" spans="1:9">
      <c r="A474" s="17" t="s">
        <v>874</v>
      </c>
      <c r="B474" s="17" t="s">
        <v>889</v>
      </c>
      <c r="C474" s="17" t="s">
        <v>803</v>
      </c>
      <c r="D474" s="17" t="s">
        <v>801</v>
      </c>
      <c r="E474" s="18">
        <v>3020360219017</v>
      </c>
      <c r="G474" s="20" t="str">
        <f t="shared" si="21"/>
        <v xml:space="preserve"> ANSES/F.CUIR    </v>
      </c>
      <c r="H474" s="20" t="str">
        <f t="shared" si="22"/>
        <v>GENET</v>
      </c>
      <c r="I474" s="20" t="str">
        <f t="shared" si="23"/>
        <v xml:space="preserve">S    </v>
      </c>
    </row>
    <row r="475" spans="1:9">
      <c r="A475" s="17" t="s">
        <v>874</v>
      </c>
      <c r="B475" s="17" t="s">
        <v>889</v>
      </c>
      <c r="C475" s="17" t="s">
        <v>804</v>
      </c>
      <c r="D475" s="17" t="s">
        <v>801</v>
      </c>
      <c r="E475" s="18">
        <v>3020360219048</v>
      </c>
      <c r="G475" s="20" t="str">
        <f t="shared" si="21"/>
        <v xml:space="preserve"> ANSES/F.CUIR    </v>
      </c>
      <c r="H475" s="20" t="str">
        <f t="shared" si="22"/>
        <v>GENET</v>
      </c>
      <c r="I475" s="20" t="str">
        <f t="shared" si="23"/>
        <v xml:space="preserve">XL   </v>
      </c>
    </row>
    <row r="476" spans="1:9">
      <c r="A476" s="17" t="s">
        <v>874</v>
      </c>
      <c r="B476" s="17" t="s">
        <v>889</v>
      </c>
      <c r="C476" s="17" t="s">
        <v>805</v>
      </c>
      <c r="D476" s="17" t="s">
        <v>801</v>
      </c>
      <c r="E476" s="18">
        <v>3020360219000</v>
      </c>
      <c r="G476" s="20" t="str">
        <f t="shared" si="21"/>
        <v xml:space="preserve"> ANSES/F.CUIR    </v>
      </c>
      <c r="H476" s="20" t="str">
        <f t="shared" si="22"/>
        <v>GENET</v>
      </c>
      <c r="I476" s="20" t="str">
        <f t="shared" si="23"/>
        <v xml:space="preserve">XS   </v>
      </c>
    </row>
    <row r="477" spans="1:9">
      <c r="A477" s="17" t="s">
        <v>874</v>
      </c>
      <c r="B477" s="17" t="s">
        <v>890</v>
      </c>
      <c r="C477" s="17" t="s">
        <v>800</v>
      </c>
      <c r="D477" s="17" t="s">
        <v>801</v>
      </c>
      <c r="E477" s="18">
        <v>3020360522032</v>
      </c>
      <c r="G477" s="20" t="str">
        <f t="shared" si="21"/>
        <v xml:space="preserve"> ANSES/F.CUIR    </v>
      </c>
      <c r="H477" s="20" t="str">
        <f t="shared" si="22"/>
        <v xml:space="preserve">GOLD </v>
      </c>
      <c r="I477" s="20" t="str">
        <f t="shared" si="23"/>
        <v xml:space="preserve">L    </v>
      </c>
    </row>
    <row r="478" spans="1:9">
      <c r="A478" s="17" t="s">
        <v>874</v>
      </c>
      <c r="B478" s="17" t="s">
        <v>890</v>
      </c>
      <c r="C478" s="17" t="s">
        <v>802</v>
      </c>
      <c r="D478" s="17" t="s">
        <v>801</v>
      </c>
      <c r="E478" s="18">
        <v>3020360522025</v>
      </c>
      <c r="G478" s="20" t="str">
        <f t="shared" si="21"/>
        <v xml:space="preserve"> ANSES/F.CUIR    </v>
      </c>
      <c r="H478" s="20" t="str">
        <f t="shared" si="22"/>
        <v xml:space="preserve">GOLD </v>
      </c>
      <c r="I478" s="20" t="str">
        <f t="shared" si="23"/>
        <v xml:space="preserve">M    </v>
      </c>
    </row>
    <row r="479" spans="1:9">
      <c r="A479" s="17" t="s">
        <v>874</v>
      </c>
      <c r="B479" s="17" t="s">
        <v>890</v>
      </c>
      <c r="C479" s="17" t="s">
        <v>803</v>
      </c>
      <c r="D479" s="17" t="s">
        <v>801</v>
      </c>
      <c r="E479" s="18">
        <v>3020360522018</v>
      </c>
      <c r="G479" s="20" t="str">
        <f t="shared" si="21"/>
        <v xml:space="preserve"> ANSES/F.CUIR    </v>
      </c>
      <c r="H479" s="20" t="str">
        <f t="shared" si="22"/>
        <v xml:space="preserve">GOLD </v>
      </c>
      <c r="I479" s="20" t="str">
        <f t="shared" si="23"/>
        <v xml:space="preserve">S    </v>
      </c>
    </row>
    <row r="480" spans="1:9">
      <c r="A480" s="17" t="s">
        <v>874</v>
      </c>
      <c r="B480" s="17" t="s">
        <v>890</v>
      </c>
      <c r="C480" s="17" t="s">
        <v>804</v>
      </c>
      <c r="D480" s="17" t="s">
        <v>801</v>
      </c>
      <c r="E480" s="18">
        <v>3020360522049</v>
      </c>
      <c r="G480" s="20" t="str">
        <f t="shared" si="21"/>
        <v xml:space="preserve"> ANSES/F.CUIR    </v>
      </c>
      <c r="H480" s="20" t="str">
        <f t="shared" si="22"/>
        <v xml:space="preserve">GOLD </v>
      </c>
      <c r="I480" s="20" t="str">
        <f t="shared" si="23"/>
        <v xml:space="preserve">XL   </v>
      </c>
    </row>
    <row r="481" spans="1:9">
      <c r="A481" s="17" t="s">
        <v>874</v>
      </c>
      <c r="B481" s="17" t="s">
        <v>890</v>
      </c>
      <c r="C481" s="17" t="s">
        <v>805</v>
      </c>
      <c r="D481" s="17" t="s">
        <v>801</v>
      </c>
      <c r="E481" s="18">
        <v>3020360522001</v>
      </c>
      <c r="G481" s="20" t="str">
        <f t="shared" si="21"/>
        <v xml:space="preserve"> ANSES/F.CUIR    </v>
      </c>
      <c r="H481" s="20" t="str">
        <f t="shared" si="22"/>
        <v xml:space="preserve">GOLD </v>
      </c>
      <c r="I481" s="20" t="str">
        <f t="shared" si="23"/>
        <v xml:space="preserve">XS   </v>
      </c>
    </row>
    <row r="482" spans="1:9">
      <c r="A482" s="17" t="s">
        <v>874</v>
      </c>
      <c r="B482" s="17" t="s">
        <v>891</v>
      </c>
      <c r="C482" s="17" t="s">
        <v>800</v>
      </c>
      <c r="D482" s="17" t="s">
        <v>801</v>
      </c>
      <c r="E482" s="18">
        <v>3020360581039</v>
      </c>
      <c r="G482" s="20" t="str">
        <f t="shared" si="21"/>
        <v xml:space="preserve"> ANSES/F.CUIR    </v>
      </c>
      <c r="H482" s="20" t="str">
        <f t="shared" si="22"/>
        <v>GREEN</v>
      </c>
      <c r="I482" s="20" t="str">
        <f t="shared" si="23"/>
        <v xml:space="preserve">L    </v>
      </c>
    </row>
    <row r="483" spans="1:9">
      <c r="A483" s="17" t="s">
        <v>874</v>
      </c>
      <c r="B483" s="17" t="s">
        <v>891</v>
      </c>
      <c r="C483" s="17" t="s">
        <v>802</v>
      </c>
      <c r="D483" s="17" t="s">
        <v>801</v>
      </c>
      <c r="E483" s="18">
        <v>3020360581022</v>
      </c>
      <c r="G483" s="20" t="str">
        <f t="shared" si="21"/>
        <v xml:space="preserve"> ANSES/F.CUIR    </v>
      </c>
      <c r="H483" s="20" t="str">
        <f t="shared" si="22"/>
        <v>GREEN</v>
      </c>
      <c r="I483" s="20" t="str">
        <f t="shared" si="23"/>
        <v xml:space="preserve">M    </v>
      </c>
    </row>
    <row r="484" spans="1:9">
      <c r="A484" s="17" t="s">
        <v>874</v>
      </c>
      <c r="B484" s="17" t="s">
        <v>891</v>
      </c>
      <c r="C484" s="17" t="s">
        <v>803</v>
      </c>
      <c r="D484" s="17" t="s">
        <v>801</v>
      </c>
      <c r="E484" s="18">
        <v>3020360581015</v>
      </c>
      <c r="G484" s="20" t="str">
        <f t="shared" si="21"/>
        <v xml:space="preserve"> ANSES/F.CUIR    </v>
      </c>
      <c r="H484" s="20" t="str">
        <f t="shared" si="22"/>
        <v>GREEN</v>
      </c>
      <c r="I484" s="20" t="str">
        <f t="shared" si="23"/>
        <v xml:space="preserve">S    </v>
      </c>
    </row>
    <row r="485" spans="1:9">
      <c r="A485" s="17" t="s">
        <v>874</v>
      </c>
      <c r="B485" s="17" t="s">
        <v>891</v>
      </c>
      <c r="C485" s="17" t="s">
        <v>804</v>
      </c>
      <c r="D485" s="17" t="s">
        <v>801</v>
      </c>
      <c r="E485" s="18">
        <v>3020360581046</v>
      </c>
      <c r="G485" s="20" t="str">
        <f t="shared" si="21"/>
        <v xml:space="preserve"> ANSES/F.CUIR    </v>
      </c>
      <c r="H485" s="20" t="str">
        <f t="shared" si="22"/>
        <v>GREEN</v>
      </c>
      <c r="I485" s="20" t="str">
        <f t="shared" si="23"/>
        <v xml:space="preserve">XL   </v>
      </c>
    </row>
    <row r="486" spans="1:9">
      <c r="A486" s="17" t="s">
        <v>874</v>
      </c>
      <c r="B486" s="17" t="s">
        <v>891</v>
      </c>
      <c r="C486" s="17" t="s">
        <v>805</v>
      </c>
      <c r="D486" s="17" t="s">
        <v>801</v>
      </c>
      <c r="E486" s="18">
        <v>3020360581008</v>
      </c>
      <c r="G486" s="20" t="str">
        <f t="shared" si="21"/>
        <v xml:space="preserve"> ANSES/F.CUIR    </v>
      </c>
      <c r="H486" s="20" t="str">
        <f t="shared" si="22"/>
        <v>GREEN</v>
      </c>
      <c r="I486" s="20" t="str">
        <f t="shared" si="23"/>
        <v xml:space="preserve">XS   </v>
      </c>
    </row>
    <row r="487" spans="1:9">
      <c r="A487" s="17" t="s">
        <v>874</v>
      </c>
      <c r="B487" s="17" t="s">
        <v>838</v>
      </c>
      <c r="C487" s="17" t="s">
        <v>800</v>
      </c>
      <c r="D487" s="17" t="s">
        <v>801</v>
      </c>
      <c r="E487" s="18">
        <v>3020361023033</v>
      </c>
      <c r="G487" s="20" t="str">
        <f t="shared" si="21"/>
        <v xml:space="preserve"> ANSES/F.CUIR    </v>
      </c>
      <c r="H487" s="20" t="str">
        <f t="shared" si="22"/>
        <v>IVOIR</v>
      </c>
      <c r="I487" s="20" t="str">
        <f t="shared" si="23"/>
        <v xml:space="preserve">L    </v>
      </c>
    </row>
    <row r="488" spans="1:9">
      <c r="A488" s="17" t="s">
        <v>874</v>
      </c>
      <c r="B488" s="17" t="s">
        <v>838</v>
      </c>
      <c r="C488" s="17" t="s">
        <v>802</v>
      </c>
      <c r="D488" s="17" t="s">
        <v>801</v>
      </c>
      <c r="E488" s="18">
        <v>3020361023026</v>
      </c>
      <c r="G488" s="20" t="str">
        <f t="shared" si="21"/>
        <v xml:space="preserve"> ANSES/F.CUIR    </v>
      </c>
      <c r="H488" s="20" t="str">
        <f t="shared" si="22"/>
        <v>IVOIR</v>
      </c>
      <c r="I488" s="20" t="str">
        <f t="shared" si="23"/>
        <v xml:space="preserve">M    </v>
      </c>
    </row>
    <row r="489" spans="1:9">
      <c r="A489" s="17" t="s">
        <v>874</v>
      </c>
      <c r="B489" s="17" t="s">
        <v>838</v>
      </c>
      <c r="C489" s="17" t="s">
        <v>803</v>
      </c>
      <c r="D489" s="17" t="s">
        <v>801</v>
      </c>
      <c r="E489" s="18">
        <v>3020361023019</v>
      </c>
      <c r="G489" s="20" t="str">
        <f t="shared" si="21"/>
        <v xml:space="preserve"> ANSES/F.CUIR    </v>
      </c>
      <c r="H489" s="20" t="str">
        <f t="shared" si="22"/>
        <v>IVOIR</v>
      </c>
      <c r="I489" s="20" t="str">
        <f t="shared" si="23"/>
        <v xml:space="preserve">S    </v>
      </c>
    </row>
    <row r="490" spans="1:9">
      <c r="A490" s="17" t="s">
        <v>874</v>
      </c>
      <c r="B490" s="17" t="s">
        <v>838</v>
      </c>
      <c r="C490" s="17" t="s">
        <v>804</v>
      </c>
      <c r="D490" s="17" t="s">
        <v>801</v>
      </c>
      <c r="E490" s="18">
        <v>3020361023040</v>
      </c>
      <c r="G490" s="20" t="str">
        <f t="shared" si="21"/>
        <v xml:space="preserve"> ANSES/F.CUIR    </v>
      </c>
      <c r="H490" s="20" t="str">
        <f t="shared" si="22"/>
        <v>IVOIR</v>
      </c>
      <c r="I490" s="20" t="str">
        <f t="shared" si="23"/>
        <v xml:space="preserve">XL   </v>
      </c>
    </row>
    <row r="491" spans="1:9">
      <c r="A491" s="17" t="s">
        <v>874</v>
      </c>
      <c r="B491" s="17" t="s">
        <v>838</v>
      </c>
      <c r="C491" s="17" t="s">
        <v>805</v>
      </c>
      <c r="D491" s="17" t="s">
        <v>801</v>
      </c>
      <c r="E491" s="18">
        <v>3020361023002</v>
      </c>
      <c r="G491" s="20" t="str">
        <f t="shared" si="21"/>
        <v xml:space="preserve"> ANSES/F.CUIR    </v>
      </c>
      <c r="H491" s="20" t="str">
        <f t="shared" si="22"/>
        <v>IVOIR</v>
      </c>
      <c r="I491" s="20" t="str">
        <f t="shared" si="23"/>
        <v xml:space="preserve">XS   </v>
      </c>
    </row>
    <row r="492" spans="1:9">
      <c r="A492" s="17" t="s">
        <v>874</v>
      </c>
      <c r="B492" s="17" t="s">
        <v>892</v>
      </c>
      <c r="C492" s="17" t="s">
        <v>800</v>
      </c>
      <c r="D492" s="17" t="s">
        <v>801</v>
      </c>
      <c r="E492" s="18">
        <v>3020360214036</v>
      </c>
      <c r="G492" s="20" t="str">
        <f t="shared" si="21"/>
        <v xml:space="preserve"> ANSES/F.CUIR    </v>
      </c>
      <c r="H492" s="20" t="str">
        <f t="shared" si="22"/>
        <v xml:space="preserve">LIME </v>
      </c>
      <c r="I492" s="20" t="str">
        <f t="shared" si="23"/>
        <v xml:space="preserve">L    </v>
      </c>
    </row>
    <row r="493" spans="1:9">
      <c r="A493" s="17" t="s">
        <v>874</v>
      </c>
      <c r="B493" s="17" t="s">
        <v>892</v>
      </c>
      <c r="C493" s="17" t="s">
        <v>800</v>
      </c>
      <c r="D493" s="17" t="s">
        <v>801</v>
      </c>
      <c r="E493" s="18">
        <v>3002310473038</v>
      </c>
      <c r="G493" s="20" t="str">
        <f t="shared" si="21"/>
        <v xml:space="preserve"> ANSES/F.CUIR    </v>
      </c>
      <c r="H493" s="20" t="str">
        <f t="shared" si="22"/>
        <v xml:space="preserve">LIME </v>
      </c>
      <c r="I493" s="20" t="str">
        <f t="shared" si="23"/>
        <v xml:space="preserve">L    </v>
      </c>
    </row>
    <row r="494" spans="1:9">
      <c r="A494" s="17" t="s">
        <v>874</v>
      </c>
      <c r="B494" s="17" t="s">
        <v>892</v>
      </c>
      <c r="C494" s="17" t="s">
        <v>802</v>
      </c>
      <c r="D494" s="17" t="s">
        <v>801</v>
      </c>
      <c r="E494" s="18">
        <v>3020360214029</v>
      </c>
      <c r="G494" s="20" t="str">
        <f t="shared" si="21"/>
        <v xml:space="preserve"> ANSES/F.CUIR    </v>
      </c>
      <c r="H494" s="20" t="str">
        <f t="shared" si="22"/>
        <v xml:space="preserve">LIME </v>
      </c>
      <c r="I494" s="20" t="str">
        <f t="shared" si="23"/>
        <v xml:space="preserve">M    </v>
      </c>
    </row>
    <row r="495" spans="1:9">
      <c r="A495" s="17" t="s">
        <v>874</v>
      </c>
      <c r="B495" s="17" t="s">
        <v>892</v>
      </c>
      <c r="C495" s="17" t="s">
        <v>802</v>
      </c>
      <c r="D495" s="17" t="s">
        <v>801</v>
      </c>
      <c r="E495" s="18">
        <v>3002310473021</v>
      </c>
      <c r="G495" s="20" t="str">
        <f t="shared" si="21"/>
        <v xml:space="preserve"> ANSES/F.CUIR    </v>
      </c>
      <c r="H495" s="20" t="str">
        <f t="shared" si="22"/>
        <v xml:space="preserve">LIME </v>
      </c>
      <c r="I495" s="20" t="str">
        <f t="shared" si="23"/>
        <v xml:space="preserve">M    </v>
      </c>
    </row>
    <row r="496" spans="1:9">
      <c r="A496" s="17" t="s">
        <v>874</v>
      </c>
      <c r="B496" s="17" t="s">
        <v>892</v>
      </c>
      <c r="C496" s="17" t="s">
        <v>803</v>
      </c>
      <c r="D496" s="17" t="s">
        <v>801</v>
      </c>
      <c r="E496" s="18">
        <v>3020360214012</v>
      </c>
      <c r="G496" s="20" t="str">
        <f t="shared" si="21"/>
        <v xml:space="preserve"> ANSES/F.CUIR    </v>
      </c>
      <c r="H496" s="20" t="str">
        <f t="shared" si="22"/>
        <v xml:space="preserve">LIME </v>
      </c>
      <c r="I496" s="20" t="str">
        <f t="shared" si="23"/>
        <v xml:space="preserve">S    </v>
      </c>
    </row>
    <row r="497" spans="1:9">
      <c r="A497" s="17" t="s">
        <v>874</v>
      </c>
      <c r="B497" s="17" t="s">
        <v>892</v>
      </c>
      <c r="C497" s="17" t="s">
        <v>803</v>
      </c>
      <c r="D497" s="17" t="s">
        <v>801</v>
      </c>
      <c r="E497" s="18">
        <v>3002310473014</v>
      </c>
      <c r="G497" s="20" t="str">
        <f t="shared" si="21"/>
        <v xml:space="preserve"> ANSES/F.CUIR    </v>
      </c>
      <c r="H497" s="20" t="str">
        <f t="shared" si="22"/>
        <v xml:space="preserve">LIME </v>
      </c>
      <c r="I497" s="20" t="str">
        <f t="shared" si="23"/>
        <v xml:space="preserve">S    </v>
      </c>
    </row>
    <row r="498" spans="1:9">
      <c r="A498" s="17" t="s">
        <v>874</v>
      </c>
      <c r="B498" s="17" t="s">
        <v>892</v>
      </c>
      <c r="C498" s="17" t="s">
        <v>804</v>
      </c>
      <c r="D498" s="17" t="s">
        <v>801</v>
      </c>
      <c r="E498" s="18">
        <v>3020360214043</v>
      </c>
      <c r="G498" s="20" t="str">
        <f t="shared" si="21"/>
        <v xml:space="preserve"> ANSES/F.CUIR    </v>
      </c>
      <c r="H498" s="20" t="str">
        <f t="shared" si="22"/>
        <v xml:space="preserve">LIME </v>
      </c>
      <c r="I498" s="20" t="str">
        <f t="shared" si="23"/>
        <v xml:space="preserve">XL   </v>
      </c>
    </row>
    <row r="499" spans="1:9">
      <c r="A499" s="17" t="s">
        <v>874</v>
      </c>
      <c r="B499" s="17" t="s">
        <v>892</v>
      </c>
      <c r="C499" s="17" t="s">
        <v>804</v>
      </c>
      <c r="D499" s="17" t="s">
        <v>801</v>
      </c>
      <c r="E499" s="18">
        <v>3002310473045</v>
      </c>
      <c r="G499" s="20" t="str">
        <f t="shared" si="21"/>
        <v xml:space="preserve"> ANSES/F.CUIR    </v>
      </c>
      <c r="H499" s="20" t="str">
        <f t="shared" si="22"/>
        <v xml:space="preserve">LIME </v>
      </c>
      <c r="I499" s="20" t="str">
        <f t="shared" si="23"/>
        <v xml:space="preserve">XL   </v>
      </c>
    </row>
    <row r="500" spans="1:9">
      <c r="A500" s="17" t="s">
        <v>874</v>
      </c>
      <c r="B500" s="17" t="s">
        <v>892</v>
      </c>
      <c r="C500" s="17" t="s">
        <v>805</v>
      </c>
      <c r="D500" s="17" t="s">
        <v>801</v>
      </c>
      <c r="E500" s="18">
        <v>3020360214005</v>
      </c>
      <c r="G500" s="20" t="str">
        <f t="shared" si="21"/>
        <v xml:space="preserve"> ANSES/F.CUIR    </v>
      </c>
      <c r="H500" s="20" t="str">
        <f t="shared" si="22"/>
        <v xml:space="preserve">LIME </v>
      </c>
      <c r="I500" s="20" t="str">
        <f t="shared" si="23"/>
        <v xml:space="preserve">XS   </v>
      </c>
    </row>
    <row r="501" spans="1:9">
      <c r="A501" s="17" t="s">
        <v>874</v>
      </c>
      <c r="B501" s="17" t="s">
        <v>892</v>
      </c>
      <c r="C501" s="17" t="s">
        <v>805</v>
      </c>
      <c r="D501" s="17" t="s">
        <v>801</v>
      </c>
      <c r="E501" s="18">
        <v>3002310473007</v>
      </c>
      <c r="G501" s="20" t="str">
        <f t="shared" si="21"/>
        <v xml:space="preserve"> ANSES/F.CUIR    </v>
      </c>
      <c r="H501" s="20" t="str">
        <f t="shared" si="22"/>
        <v xml:space="preserve">LIME </v>
      </c>
      <c r="I501" s="20" t="str">
        <f t="shared" si="23"/>
        <v xml:space="preserve">XS   </v>
      </c>
    </row>
    <row r="502" spans="1:9">
      <c r="A502" s="17" t="s">
        <v>874</v>
      </c>
      <c r="B502" s="17" t="s">
        <v>893</v>
      </c>
      <c r="C502" s="17" t="s">
        <v>800</v>
      </c>
      <c r="D502" s="17" t="s">
        <v>801</v>
      </c>
      <c r="E502" s="18">
        <v>3020360589035</v>
      </c>
      <c r="G502" s="20" t="str">
        <f t="shared" si="21"/>
        <v xml:space="preserve"> ANSES/F.CUIR    </v>
      </c>
      <c r="H502" s="20" t="str">
        <f t="shared" si="22"/>
        <v xml:space="preserve">MAG  </v>
      </c>
      <c r="I502" s="20" t="str">
        <f t="shared" si="23"/>
        <v xml:space="preserve">L    </v>
      </c>
    </row>
    <row r="503" spans="1:9">
      <c r="A503" s="17" t="s">
        <v>874</v>
      </c>
      <c r="B503" s="17" t="s">
        <v>893</v>
      </c>
      <c r="C503" s="17" t="s">
        <v>800</v>
      </c>
      <c r="D503" s="17" t="s">
        <v>801</v>
      </c>
      <c r="E503" s="18">
        <v>3002310356034</v>
      </c>
      <c r="G503" s="20" t="str">
        <f t="shared" si="21"/>
        <v xml:space="preserve"> ANSES/F.CUIR    </v>
      </c>
      <c r="H503" s="20" t="str">
        <f t="shared" si="22"/>
        <v xml:space="preserve">MAG  </v>
      </c>
      <c r="I503" s="20" t="str">
        <f t="shared" si="23"/>
        <v xml:space="preserve">L    </v>
      </c>
    </row>
    <row r="504" spans="1:9">
      <c r="A504" s="17" t="s">
        <v>874</v>
      </c>
      <c r="B504" s="17" t="s">
        <v>893</v>
      </c>
      <c r="C504" s="17" t="s">
        <v>802</v>
      </c>
      <c r="D504" s="17" t="s">
        <v>801</v>
      </c>
      <c r="E504" s="18">
        <v>3020360589028</v>
      </c>
      <c r="G504" s="20" t="str">
        <f t="shared" si="21"/>
        <v xml:space="preserve"> ANSES/F.CUIR    </v>
      </c>
      <c r="H504" s="20" t="str">
        <f t="shared" si="22"/>
        <v xml:space="preserve">MAG  </v>
      </c>
      <c r="I504" s="20" t="str">
        <f t="shared" si="23"/>
        <v xml:space="preserve">M    </v>
      </c>
    </row>
    <row r="505" spans="1:9">
      <c r="A505" s="17" t="s">
        <v>874</v>
      </c>
      <c r="B505" s="17" t="s">
        <v>893</v>
      </c>
      <c r="C505" s="17" t="s">
        <v>802</v>
      </c>
      <c r="D505" s="17" t="s">
        <v>801</v>
      </c>
      <c r="E505" s="18">
        <v>3002310356027</v>
      </c>
      <c r="G505" s="20" t="str">
        <f t="shared" si="21"/>
        <v xml:space="preserve"> ANSES/F.CUIR    </v>
      </c>
      <c r="H505" s="20" t="str">
        <f t="shared" si="22"/>
        <v xml:space="preserve">MAG  </v>
      </c>
      <c r="I505" s="20" t="str">
        <f t="shared" si="23"/>
        <v xml:space="preserve">M    </v>
      </c>
    </row>
    <row r="506" spans="1:9">
      <c r="A506" s="17" t="s">
        <v>874</v>
      </c>
      <c r="B506" s="17" t="s">
        <v>893</v>
      </c>
      <c r="C506" s="17" t="s">
        <v>803</v>
      </c>
      <c r="D506" s="17" t="s">
        <v>801</v>
      </c>
      <c r="E506" s="18">
        <v>3020360589011</v>
      </c>
      <c r="G506" s="20" t="str">
        <f t="shared" si="21"/>
        <v xml:space="preserve"> ANSES/F.CUIR    </v>
      </c>
      <c r="H506" s="20" t="str">
        <f t="shared" si="22"/>
        <v xml:space="preserve">MAG  </v>
      </c>
      <c r="I506" s="20" t="str">
        <f t="shared" si="23"/>
        <v xml:space="preserve">S    </v>
      </c>
    </row>
    <row r="507" spans="1:9">
      <c r="A507" s="17" t="s">
        <v>874</v>
      </c>
      <c r="B507" s="17" t="s">
        <v>893</v>
      </c>
      <c r="C507" s="17" t="s">
        <v>803</v>
      </c>
      <c r="D507" s="17" t="s">
        <v>801</v>
      </c>
      <c r="E507" s="18">
        <v>3002310356010</v>
      </c>
      <c r="G507" s="20" t="str">
        <f t="shared" si="21"/>
        <v xml:space="preserve"> ANSES/F.CUIR    </v>
      </c>
      <c r="H507" s="20" t="str">
        <f t="shared" si="22"/>
        <v xml:space="preserve">MAG  </v>
      </c>
      <c r="I507" s="20" t="str">
        <f t="shared" si="23"/>
        <v xml:space="preserve">S    </v>
      </c>
    </row>
    <row r="508" spans="1:9">
      <c r="A508" s="17" t="s">
        <v>874</v>
      </c>
      <c r="B508" s="17" t="s">
        <v>893</v>
      </c>
      <c r="C508" s="17" t="s">
        <v>804</v>
      </c>
      <c r="D508" s="17" t="s">
        <v>801</v>
      </c>
      <c r="E508" s="18">
        <v>3020360589042</v>
      </c>
      <c r="G508" s="20" t="str">
        <f t="shared" si="21"/>
        <v xml:space="preserve"> ANSES/F.CUIR    </v>
      </c>
      <c r="H508" s="20" t="str">
        <f t="shared" si="22"/>
        <v xml:space="preserve">MAG  </v>
      </c>
      <c r="I508" s="20" t="str">
        <f t="shared" si="23"/>
        <v xml:space="preserve">XL   </v>
      </c>
    </row>
    <row r="509" spans="1:9">
      <c r="A509" s="17" t="s">
        <v>874</v>
      </c>
      <c r="B509" s="17" t="s">
        <v>893</v>
      </c>
      <c r="C509" s="17" t="s">
        <v>804</v>
      </c>
      <c r="D509" s="17" t="s">
        <v>801</v>
      </c>
      <c r="E509" s="18">
        <v>3002310356041</v>
      </c>
      <c r="G509" s="20" t="str">
        <f t="shared" si="21"/>
        <v xml:space="preserve"> ANSES/F.CUIR    </v>
      </c>
      <c r="H509" s="20" t="str">
        <f t="shared" si="22"/>
        <v xml:space="preserve">MAG  </v>
      </c>
      <c r="I509" s="20" t="str">
        <f t="shared" si="23"/>
        <v xml:space="preserve">XL   </v>
      </c>
    </row>
    <row r="510" spans="1:9">
      <c r="A510" s="17" t="s">
        <v>874</v>
      </c>
      <c r="B510" s="17" t="s">
        <v>893</v>
      </c>
      <c r="C510" s="17" t="s">
        <v>805</v>
      </c>
      <c r="D510" s="17" t="s">
        <v>801</v>
      </c>
      <c r="E510" s="18">
        <v>3020360589004</v>
      </c>
      <c r="G510" s="20" t="str">
        <f t="shared" si="21"/>
        <v xml:space="preserve"> ANSES/F.CUIR    </v>
      </c>
      <c r="H510" s="20" t="str">
        <f t="shared" si="22"/>
        <v xml:space="preserve">MAG  </v>
      </c>
      <c r="I510" s="20" t="str">
        <f t="shared" si="23"/>
        <v xml:space="preserve">XS   </v>
      </c>
    </row>
    <row r="511" spans="1:9">
      <c r="A511" s="17" t="s">
        <v>874</v>
      </c>
      <c r="B511" s="17" t="s">
        <v>893</v>
      </c>
      <c r="C511" s="17" t="s">
        <v>805</v>
      </c>
      <c r="D511" s="17" t="s">
        <v>801</v>
      </c>
      <c r="E511" s="18">
        <v>3002310356003</v>
      </c>
      <c r="G511" s="20" t="str">
        <f t="shared" si="21"/>
        <v xml:space="preserve"> ANSES/F.CUIR    </v>
      </c>
      <c r="H511" s="20" t="str">
        <f t="shared" si="22"/>
        <v xml:space="preserve">MAG  </v>
      </c>
      <c r="I511" s="20" t="str">
        <f t="shared" si="23"/>
        <v xml:space="preserve">XS   </v>
      </c>
    </row>
    <row r="512" spans="1:9">
      <c r="A512" s="17" t="s">
        <v>874</v>
      </c>
      <c r="B512" s="17" t="s">
        <v>894</v>
      </c>
      <c r="C512" s="17" t="s">
        <v>800</v>
      </c>
      <c r="D512" s="17" t="s">
        <v>801</v>
      </c>
      <c r="E512" s="18">
        <v>3002310774036</v>
      </c>
      <c r="G512" s="20" t="str">
        <f t="shared" si="21"/>
        <v xml:space="preserve"> ANSES/F.CUIR    </v>
      </c>
      <c r="H512" s="20" t="str">
        <f t="shared" si="22"/>
        <v>NAPAB</v>
      </c>
      <c r="I512" s="20" t="str">
        <f t="shared" si="23"/>
        <v xml:space="preserve">L    </v>
      </c>
    </row>
    <row r="513" spans="1:9">
      <c r="A513" s="17" t="s">
        <v>874</v>
      </c>
      <c r="B513" s="17" t="s">
        <v>894</v>
      </c>
      <c r="C513" s="17" t="s">
        <v>802</v>
      </c>
      <c r="D513" s="17" t="s">
        <v>801</v>
      </c>
      <c r="E513" s="18">
        <v>3002310774029</v>
      </c>
      <c r="G513" s="20" t="str">
        <f t="shared" si="21"/>
        <v xml:space="preserve"> ANSES/F.CUIR    </v>
      </c>
      <c r="H513" s="20" t="str">
        <f t="shared" si="22"/>
        <v>NAPAB</v>
      </c>
      <c r="I513" s="20" t="str">
        <f t="shared" si="23"/>
        <v xml:space="preserve">M    </v>
      </c>
    </row>
    <row r="514" spans="1:9">
      <c r="A514" s="17" t="s">
        <v>874</v>
      </c>
      <c r="B514" s="17" t="s">
        <v>894</v>
      </c>
      <c r="C514" s="17" t="s">
        <v>803</v>
      </c>
      <c r="D514" s="17" t="s">
        <v>801</v>
      </c>
      <c r="E514" s="18">
        <v>3002310774012</v>
      </c>
      <c r="G514" s="20" t="str">
        <f t="shared" si="21"/>
        <v xml:space="preserve"> ANSES/F.CUIR    </v>
      </c>
      <c r="H514" s="20" t="str">
        <f t="shared" si="22"/>
        <v>NAPAB</v>
      </c>
      <c r="I514" s="20" t="str">
        <f t="shared" si="23"/>
        <v xml:space="preserve">S    </v>
      </c>
    </row>
    <row r="515" spans="1:9">
      <c r="A515" s="17" t="s">
        <v>874</v>
      </c>
      <c r="B515" s="17" t="s">
        <v>894</v>
      </c>
      <c r="C515" s="17" t="s">
        <v>804</v>
      </c>
      <c r="D515" s="17" t="s">
        <v>801</v>
      </c>
      <c r="E515" s="18">
        <v>3002310774043</v>
      </c>
      <c r="G515" s="20" t="str">
        <f t="shared" si="21"/>
        <v xml:space="preserve"> ANSES/F.CUIR    </v>
      </c>
      <c r="H515" s="20" t="str">
        <f t="shared" si="22"/>
        <v>NAPAB</v>
      </c>
      <c r="I515" s="20" t="str">
        <f t="shared" si="23"/>
        <v xml:space="preserve">XL   </v>
      </c>
    </row>
    <row r="516" spans="1:9">
      <c r="A516" s="17" t="s">
        <v>874</v>
      </c>
      <c r="B516" s="17" t="s">
        <v>894</v>
      </c>
      <c r="C516" s="17" t="s">
        <v>805</v>
      </c>
      <c r="D516" s="17" t="s">
        <v>801</v>
      </c>
      <c r="E516" s="18">
        <v>3002310774005</v>
      </c>
      <c r="G516" s="20" t="str">
        <f t="shared" si="21"/>
        <v xml:space="preserve"> ANSES/F.CUIR    </v>
      </c>
      <c r="H516" s="20" t="str">
        <f t="shared" si="22"/>
        <v>NAPAB</v>
      </c>
      <c r="I516" s="20" t="str">
        <f t="shared" si="23"/>
        <v xml:space="preserve">XS   </v>
      </c>
    </row>
    <row r="517" spans="1:9">
      <c r="A517" s="17" t="s">
        <v>874</v>
      </c>
      <c r="B517" s="17" t="s">
        <v>895</v>
      </c>
      <c r="C517" s="17" t="s">
        <v>800</v>
      </c>
      <c r="D517" s="17" t="s">
        <v>801</v>
      </c>
      <c r="E517" s="18">
        <v>3002310778034</v>
      </c>
      <c r="G517" s="20" t="str">
        <f t="shared" ref="G517:G580" si="24">A517</f>
        <v xml:space="preserve"> ANSES/F.CUIR    </v>
      </c>
      <c r="H517" s="20" t="str">
        <f t="shared" ref="H517:H580" si="25">B517</f>
        <v>NAPAC</v>
      </c>
      <c r="I517" s="20" t="str">
        <f t="shared" ref="I517:I580" si="26">C517</f>
        <v xml:space="preserve">L    </v>
      </c>
    </row>
    <row r="518" spans="1:9">
      <c r="A518" s="17" t="s">
        <v>874</v>
      </c>
      <c r="B518" s="17" t="s">
        <v>895</v>
      </c>
      <c r="C518" s="17" t="s">
        <v>802</v>
      </c>
      <c r="D518" s="17" t="s">
        <v>801</v>
      </c>
      <c r="E518" s="18">
        <v>3002310778027</v>
      </c>
      <c r="G518" s="20" t="str">
        <f t="shared" si="24"/>
        <v xml:space="preserve"> ANSES/F.CUIR    </v>
      </c>
      <c r="H518" s="20" t="str">
        <f t="shared" si="25"/>
        <v>NAPAC</v>
      </c>
      <c r="I518" s="20" t="str">
        <f t="shared" si="26"/>
        <v xml:space="preserve">M    </v>
      </c>
    </row>
    <row r="519" spans="1:9">
      <c r="A519" s="17" t="s">
        <v>874</v>
      </c>
      <c r="B519" s="17" t="s">
        <v>895</v>
      </c>
      <c r="C519" s="17" t="s">
        <v>803</v>
      </c>
      <c r="D519" s="17" t="s">
        <v>801</v>
      </c>
      <c r="E519" s="18">
        <v>3002310778010</v>
      </c>
      <c r="G519" s="20" t="str">
        <f t="shared" si="24"/>
        <v xml:space="preserve"> ANSES/F.CUIR    </v>
      </c>
      <c r="H519" s="20" t="str">
        <f t="shared" si="25"/>
        <v>NAPAC</v>
      </c>
      <c r="I519" s="20" t="str">
        <f t="shared" si="26"/>
        <v xml:space="preserve">S    </v>
      </c>
    </row>
    <row r="520" spans="1:9">
      <c r="A520" s="17" t="s">
        <v>874</v>
      </c>
      <c r="B520" s="17" t="s">
        <v>895</v>
      </c>
      <c r="C520" s="17" t="s">
        <v>804</v>
      </c>
      <c r="D520" s="17" t="s">
        <v>801</v>
      </c>
      <c r="E520" s="18">
        <v>3002310778041</v>
      </c>
      <c r="G520" s="20" t="str">
        <f t="shared" si="24"/>
        <v xml:space="preserve"> ANSES/F.CUIR    </v>
      </c>
      <c r="H520" s="20" t="str">
        <f t="shared" si="25"/>
        <v>NAPAC</v>
      </c>
      <c r="I520" s="20" t="str">
        <f t="shared" si="26"/>
        <v xml:space="preserve">XL   </v>
      </c>
    </row>
    <row r="521" spans="1:9">
      <c r="A521" s="17" t="s">
        <v>874</v>
      </c>
      <c r="B521" s="17" t="s">
        <v>895</v>
      </c>
      <c r="C521" s="17" t="s">
        <v>805</v>
      </c>
      <c r="D521" s="17" t="s">
        <v>801</v>
      </c>
      <c r="E521" s="18">
        <v>3002310778003</v>
      </c>
      <c r="G521" s="20" t="str">
        <f t="shared" si="24"/>
        <v xml:space="preserve"> ANSES/F.CUIR    </v>
      </c>
      <c r="H521" s="20" t="str">
        <f t="shared" si="25"/>
        <v>NAPAC</v>
      </c>
      <c r="I521" s="20" t="str">
        <f t="shared" si="26"/>
        <v xml:space="preserve">XS   </v>
      </c>
    </row>
    <row r="522" spans="1:9">
      <c r="A522" s="17" t="s">
        <v>874</v>
      </c>
      <c r="B522" s="17" t="s">
        <v>896</v>
      </c>
      <c r="C522" s="17" t="s">
        <v>800</v>
      </c>
      <c r="D522" s="17" t="s">
        <v>801</v>
      </c>
      <c r="E522" s="18">
        <v>8058983596524</v>
      </c>
      <c r="G522" s="20" t="str">
        <f t="shared" si="24"/>
        <v xml:space="preserve"> ANSES/F.CUIR    </v>
      </c>
      <c r="H522" s="20" t="str">
        <f t="shared" si="25"/>
        <v>NAPAN</v>
      </c>
      <c r="I522" s="20" t="str">
        <f t="shared" si="26"/>
        <v xml:space="preserve">L    </v>
      </c>
    </row>
    <row r="523" spans="1:9">
      <c r="A523" s="17" t="s">
        <v>874</v>
      </c>
      <c r="B523" s="17" t="s">
        <v>896</v>
      </c>
      <c r="C523" s="17" t="s">
        <v>800</v>
      </c>
      <c r="D523" s="17" t="s">
        <v>801</v>
      </c>
      <c r="E523" s="18">
        <v>3002310773039</v>
      </c>
      <c r="G523" s="20" t="str">
        <f t="shared" si="24"/>
        <v xml:space="preserve"> ANSES/F.CUIR    </v>
      </c>
      <c r="H523" s="20" t="str">
        <f t="shared" si="25"/>
        <v>NAPAN</v>
      </c>
      <c r="I523" s="20" t="str">
        <f t="shared" si="26"/>
        <v xml:space="preserve">L    </v>
      </c>
    </row>
    <row r="524" spans="1:9">
      <c r="A524" s="17" t="s">
        <v>874</v>
      </c>
      <c r="B524" s="17" t="s">
        <v>896</v>
      </c>
      <c r="C524" s="17" t="s">
        <v>802</v>
      </c>
      <c r="D524" s="17" t="s">
        <v>801</v>
      </c>
      <c r="E524" s="18">
        <v>3002310773022</v>
      </c>
      <c r="G524" s="20" t="str">
        <f t="shared" si="24"/>
        <v xml:space="preserve"> ANSES/F.CUIR    </v>
      </c>
      <c r="H524" s="20" t="str">
        <f t="shared" si="25"/>
        <v>NAPAN</v>
      </c>
      <c r="I524" s="20" t="str">
        <f t="shared" si="26"/>
        <v xml:space="preserve">M    </v>
      </c>
    </row>
    <row r="525" spans="1:9">
      <c r="A525" s="17" t="s">
        <v>874</v>
      </c>
      <c r="B525" s="17" t="s">
        <v>896</v>
      </c>
      <c r="C525" s="17" t="s">
        <v>803</v>
      </c>
      <c r="D525" s="17" t="s">
        <v>801</v>
      </c>
      <c r="E525" s="18">
        <v>3002310773015</v>
      </c>
      <c r="G525" s="20" t="str">
        <f t="shared" si="24"/>
        <v xml:space="preserve"> ANSES/F.CUIR    </v>
      </c>
      <c r="H525" s="20" t="str">
        <f t="shared" si="25"/>
        <v>NAPAN</v>
      </c>
      <c r="I525" s="20" t="str">
        <f t="shared" si="26"/>
        <v xml:space="preserve">S    </v>
      </c>
    </row>
    <row r="526" spans="1:9">
      <c r="A526" s="17" t="s">
        <v>874</v>
      </c>
      <c r="B526" s="17" t="s">
        <v>896</v>
      </c>
      <c r="C526" s="17" t="s">
        <v>803</v>
      </c>
      <c r="D526" s="17" t="s">
        <v>801</v>
      </c>
      <c r="E526" s="18">
        <v>8058983596722</v>
      </c>
      <c r="G526" s="20" t="str">
        <f t="shared" si="24"/>
        <v xml:space="preserve"> ANSES/F.CUIR    </v>
      </c>
      <c r="H526" s="20" t="str">
        <f t="shared" si="25"/>
        <v>NAPAN</v>
      </c>
      <c r="I526" s="20" t="str">
        <f t="shared" si="26"/>
        <v xml:space="preserve">S    </v>
      </c>
    </row>
    <row r="527" spans="1:9">
      <c r="A527" s="17" t="s">
        <v>874</v>
      </c>
      <c r="B527" s="17" t="s">
        <v>896</v>
      </c>
      <c r="C527" s="17" t="s">
        <v>804</v>
      </c>
      <c r="D527" s="17" t="s">
        <v>801</v>
      </c>
      <c r="E527" s="18">
        <v>3002310773046</v>
      </c>
      <c r="G527" s="20" t="str">
        <f t="shared" si="24"/>
        <v xml:space="preserve"> ANSES/F.CUIR    </v>
      </c>
      <c r="H527" s="20" t="str">
        <f t="shared" si="25"/>
        <v>NAPAN</v>
      </c>
      <c r="I527" s="20" t="str">
        <f t="shared" si="26"/>
        <v xml:space="preserve">XL   </v>
      </c>
    </row>
    <row r="528" spans="1:9">
      <c r="A528" s="17" t="s">
        <v>874</v>
      </c>
      <c r="B528" s="17" t="s">
        <v>896</v>
      </c>
      <c r="C528" s="17" t="s">
        <v>805</v>
      </c>
      <c r="D528" s="17" t="s">
        <v>801</v>
      </c>
      <c r="E528" s="18">
        <v>3002310773008</v>
      </c>
      <c r="G528" s="20" t="str">
        <f t="shared" si="24"/>
        <v xml:space="preserve"> ANSES/F.CUIR    </v>
      </c>
      <c r="H528" s="20" t="str">
        <f t="shared" si="25"/>
        <v>NAPAN</v>
      </c>
      <c r="I528" s="20" t="str">
        <f t="shared" si="26"/>
        <v xml:space="preserve">XS   </v>
      </c>
    </row>
    <row r="529" spans="1:9">
      <c r="A529" s="17" t="s">
        <v>874</v>
      </c>
      <c r="B529" s="17" t="s">
        <v>897</v>
      </c>
      <c r="C529" s="17" t="s">
        <v>800</v>
      </c>
      <c r="D529" s="17" t="s">
        <v>801</v>
      </c>
      <c r="E529" s="18">
        <v>8058983596500</v>
      </c>
      <c r="G529" s="20" t="str">
        <f t="shared" si="24"/>
        <v xml:space="preserve"> ANSES/F.CUIR    </v>
      </c>
      <c r="H529" s="20" t="str">
        <f t="shared" si="25"/>
        <v>NAPBL</v>
      </c>
      <c r="I529" s="20" t="str">
        <f t="shared" si="26"/>
        <v xml:space="preserve">L    </v>
      </c>
    </row>
    <row r="530" spans="1:9">
      <c r="A530" s="17" t="s">
        <v>874</v>
      </c>
      <c r="B530" s="17" t="s">
        <v>897</v>
      </c>
      <c r="C530" s="17" t="s">
        <v>800</v>
      </c>
      <c r="D530" s="17" t="s">
        <v>801</v>
      </c>
      <c r="E530" s="18">
        <v>3002310741038</v>
      </c>
      <c r="G530" s="20" t="str">
        <f t="shared" si="24"/>
        <v xml:space="preserve"> ANSES/F.CUIR    </v>
      </c>
      <c r="H530" s="20" t="str">
        <f t="shared" si="25"/>
        <v>NAPBL</v>
      </c>
      <c r="I530" s="20" t="str">
        <f t="shared" si="26"/>
        <v xml:space="preserve">L    </v>
      </c>
    </row>
    <row r="531" spans="1:9">
      <c r="A531" s="17" t="s">
        <v>874</v>
      </c>
      <c r="B531" s="17" t="s">
        <v>897</v>
      </c>
      <c r="C531" s="17" t="s">
        <v>802</v>
      </c>
      <c r="D531" s="17" t="s">
        <v>801</v>
      </c>
      <c r="E531" s="18">
        <v>3002310741021</v>
      </c>
      <c r="G531" s="20" t="str">
        <f t="shared" si="24"/>
        <v xml:space="preserve"> ANSES/F.CUIR    </v>
      </c>
      <c r="H531" s="20" t="str">
        <f t="shared" si="25"/>
        <v>NAPBL</v>
      </c>
      <c r="I531" s="20" t="str">
        <f t="shared" si="26"/>
        <v xml:space="preserve">M    </v>
      </c>
    </row>
    <row r="532" spans="1:9">
      <c r="A532" s="17" t="s">
        <v>874</v>
      </c>
      <c r="B532" s="17" t="s">
        <v>897</v>
      </c>
      <c r="C532" s="17" t="s">
        <v>803</v>
      </c>
      <c r="D532" s="17" t="s">
        <v>801</v>
      </c>
      <c r="E532" s="18">
        <v>8058983596739</v>
      </c>
      <c r="G532" s="20" t="str">
        <f t="shared" si="24"/>
        <v xml:space="preserve"> ANSES/F.CUIR    </v>
      </c>
      <c r="H532" s="20" t="str">
        <f t="shared" si="25"/>
        <v>NAPBL</v>
      </c>
      <c r="I532" s="20" t="str">
        <f t="shared" si="26"/>
        <v xml:space="preserve">S    </v>
      </c>
    </row>
    <row r="533" spans="1:9">
      <c r="A533" s="17" t="s">
        <v>874</v>
      </c>
      <c r="B533" s="17" t="s">
        <v>897</v>
      </c>
      <c r="C533" s="17" t="s">
        <v>803</v>
      </c>
      <c r="D533" s="17" t="s">
        <v>801</v>
      </c>
      <c r="E533" s="18">
        <v>3002310741014</v>
      </c>
      <c r="G533" s="20" t="str">
        <f t="shared" si="24"/>
        <v xml:space="preserve"> ANSES/F.CUIR    </v>
      </c>
      <c r="H533" s="20" t="str">
        <f t="shared" si="25"/>
        <v>NAPBL</v>
      </c>
      <c r="I533" s="20" t="str">
        <f t="shared" si="26"/>
        <v xml:space="preserve">S    </v>
      </c>
    </row>
    <row r="534" spans="1:9">
      <c r="A534" s="17" t="s">
        <v>874</v>
      </c>
      <c r="B534" s="17" t="s">
        <v>897</v>
      </c>
      <c r="C534" s="17" t="s">
        <v>804</v>
      </c>
      <c r="D534" s="17" t="s">
        <v>801</v>
      </c>
      <c r="E534" s="18">
        <v>3002310741045</v>
      </c>
      <c r="G534" s="20" t="str">
        <f t="shared" si="24"/>
        <v xml:space="preserve"> ANSES/F.CUIR    </v>
      </c>
      <c r="H534" s="20" t="str">
        <f t="shared" si="25"/>
        <v>NAPBL</v>
      </c>
      <c r="I534" s="20" t="str">
        <f t="shared" si="26"/>
        <v xml:space="preserve">XL   </v>
      </c>
    </row>
    <row r="535" spans="1:9">
      <c r="A535" s="17" t="s">
        <v>874</v>
      </c>
      <c r="B535" s="17" t="s">
        <v>897</v>
      </c>
      <c r="C535" s="17" t="s">
        <v>805</v>
      </c>
      <c r="D535" s="17" t="s">
        <v>801</v>
      </c>
      <c r="E535" s="18">
        <v>3002310741007</v>
      </c>
      <c r="G535" s="20" t="str">
        <f t="shared" si="24"/>
        <v xml:space="preserve"> ANSES/F.CUIR    </v>
      </c>
      <c r="H535" s="20" t="str">
        <f t="shared" si="25"/>
        <v>NAPBL</v>
      </c>
      <c r="I535" s="20" t="str">
        <f t="shared" si="26"/>
        <v xml:space="preserve">XS   </v>
      </c>
    </row>
    <row r="536" spans="1:9">
      <c r="A536" s="17" t="s">
        <v>874</v>
      </c>
      <c r="B536" s="17" t="s">
        <v>898</v>
      </c>
      <c r="C536" s="17" t="s">
        <v>800</v>
      </c>
      <c r="D536" s="17" t="s">
        <v>801</v>
      </c>
      <c r="E536" s="18">
        <v>8058983591833</v>
      </c>
      <c r="G536" s="20" t="str">
        <f t="shared" si="24"/>
        <v xml:space="preserve"> ANSES/F.CUIR    </v>
      </c>
      <c r="H536" s="20" t="str">
        <f t="shared" si="25"/>
        <v>NAPBO</v>
      </c>
      <c r="I536" s="20" t="str">
        <f t="shared" si="26"/>
        <v xml:space="preserve">L    </v>
      </c>
    </row>
    <row r="537" spans="1:9">
      <c r="A537" s="17" t="s">
        <v>874</v>
      </c>
      <c r="B537" s="17" t="s">
        <v>898</v>
      </c>
      <c r="C537" s="17" t="s">
        <v>800</v>
      </c>
      <c r="D537" s="17" t="s">
        <v>801</v>
      </c>
      <c r="E537" s="18">
        <v>3002310676033</v>
      </c>
      <c r="G537" s="20" t="str">
        <f t="shared" si="24"/>
        <v xml:space="preserve"> ANSES/F.CUIR    </v>
      </c>
      <c r="H537" s="20" t="str">
        <f t="shared" si="25"/>
        <v>NAPBO</v>
      </c>
      <c r="I537" s="20" t="str">
        <f t="shared" si="26"/>
        <v xml:space="preserve">L    </v>
      </c>
    </row>
    <row r="538" spans="1:9">
      <c r="A538" s="17" t="s">
        <v>874</v>
      </c>
      <c r="B538" s="17" t="s">
        <v>898</v>
      </c>
      <c r="C538" s="17" t="s">
        <v>802</v>
      </c>
      <c r="D538" s="17" t="s">
        <v>801</v>
      </c>
      <c r="E538" s="18">
        <v>3002310676026</v>
      </c>
      <c r="G538" s="20" t="str">
        <f t="shared" si="24"/>
        <v xml:space="preserve"> ANSES/F.CUIR    </v>
      </c>
      <c r="H538" s="20" t="str">
        <f t="shared" si="25"/>
        <v>NAPBO</v>
      </c>
      <c r="I538" s="20" t="str">
        <f t="shared" si="26"/>
        <v xml:space="preserve">M    </v>
      </c>
    </row>
    <row r="539" spans="1:9">
      <c r="A539" s="17" t="s">
        <v>874</v>
      </c>
      <c r="B539" s="17" t="s">
        <v>898</v>
      </c>
      <c r="C539" s="17" t="s">
        <v>803</v>
      </c>
      <c r="D539" s="17" t="s">
        <v>801</v>
      </c>
      <c r="E539" s="18">
        <v>8058983591840</v>
      </c>
      <c r="G539" s="20" t="str">
        <f t="shared" si="24"/>
        <v xml:space="preserve"> ANSES/F.CUIR    </v>
      </c>
      <c r="H539" s="20" t="str">
        <f t="shared" si="25"/>
        <v>NAPBO</v>
      </c>
      <c r="I539" s="20" t="str">
        <f t="shared" si="26"/>
        <v xml:space="preserve">S    </v>
      </c>
    </row>
    <row r="540" spans="1:9">
      <c r="A540" s="17" t="s">
        <v>874</v>
      </c>
      <c r="B540" s="17" t="s">
        <v>898</v>
      </c>
      <c r="C540" s="17" t="s">
        <v>803</v>
      </c>
      <c r="D540" s="17" t="s">
        <v>801</v>
      </c>
      <c r="E540" s="18">
        <v>3002310676019</v>
      </c>
      <c r="G540" s="20" t="str">
        <f t="shared" si="24"/>
        <v xml:space="preserve"> ANSES/F.CUIR    </v>
      </c>
      <c r="H540" s="20" t="str">
        <f t="shared" si="25"/>
        <v>NAPBO</v>
      </c>
      <c r="I540" s="20" t="str">
        <f t="shared" si="26"/>
        <v xml:space="preserve">S    </v>
      </c>
    </row>
    <row r="541" spans="1:9">
      <c r="A541" s="17" t="s">
        <v>874</v>
      </c>
      <c r="B541" s="17" t="s">
        <v>898</v>
      </c>
      <c r="C541" s="17" t="s">
        <v>804</v>
      </c>
      <c r="D541" s="17" t="s">
        <v>801</v>
      </c>
      <c r="E541" s="18">
        <v>3002310676040</v>
      </c>
      <c r="G541" s="20" t="str">
        <f t="shared" si="24"/>
        <v xml:space="preserve"> ANSES/F.CUIR    </v>
      </c>
      <c r="H541" s="20" t="str">
        <f t="shared" si="25"/>
        <v>NAPBO</v>
      </c>
      <c r="I541" s="20" t="str">
        <f t="shared" si="26"/>
        <v xml:space="preserve">XL   </v>
      </c>
    </row>
    <row r="542" spans="1:9">
      <c r="A542" s="17" t="s">
        <v>874</v>
      </c>
      <c r="B542" s="17" t="s">
        <v>898</v>
      </c>
      <c r="C542" s="17" t="s">
        <v>805</v>
      </c>
      <c r="D542" s="17" t="s">
        <v>801</v>
      </c>
      <c r="E542" s="18">
        <v>3002310676002</v>
      </c>
      <c r="G542" s="20" t="str">
        <f t="shared" si="24"/>
        <v xml:space="preserve"> ANSES/F.CUIR    </v>
      </c>
      <c r="H542" s="20" t="str">
        <f t="shared" si="25"/>
        <v>NAPBO</v>
      </c>
      <c r="I542" s="20" t="str">
        <f t="shared" si="26"/>
        <v xml:space="preserve">XS   </v>
      </c>
    </row>
    <row r="543" spans="1:9">
      <c r="A543" s="17" t="s">
        <v>874</v>
      </c>
      <c r="B543" s="17" t="s">
        <v>899</v>
      </c>
      <c r="C543" s="17" t="s">
        <v>800</v>
      </c>
      <c r="D543" s="17" t="s">
        <v>801</v>
      </c>
      <c r="E543" s="18">
        <v>3002310775033</v>
      </c>
      <c r="G543" s="20" t="str">
        <f t="shared" si="24"/>
        <v xml:space="preserve"> ANSES/F.CUIR    </v>
      </c>
      <c r="H543" s="20" t="str">
        <f t="shared" si="25"/>
        <v>NAPCO</v>
      </c>
      <c r="I543" s="20" t="str">
        <f t="shared" si="26"/>
        <v xml:space="preserve">L    </v>
      </c>
    </row>
    <row r="544" spans="1:9">
      <c r="A544" s="17" t="s">
        <v>874</v>
      </c>
      <c r="B544" s="17" t="s">
        <v>899</v>
      </c>
      <c r="C544" s="17" t="s">
        <v>802</v>
      </c>
      <c r="D544" s="17" t="s">
        <v>801</v>
      </c>
      <c r="E544" s="18">
        <v>3002310775026</v>
      </c>
      <c r="G544" s="20" t="str">
        <f t="shared" si="24"/>
        <v xml:space="preserve"> ANSES/F.CUIR    </v>
      </c>
      <c r="H544" s="20" t="str">
        <f t="shared" si="25"/>
        <v>NAPCO</v>
      </c>
      <c r="I544" s="20" t="str">
        <f t="shared" si="26"/>
        <v xml:space="preserve">M    </v>
      </c>
    </row>
    <row r="545" spans="1:9">
      <c r="A545" s="17" t="s">
        <v>874</v>
      </c>
      <c r="B545" s="17" t="s">
        <v>899</v>
      </c>
      <c r="C545" s="17" t="s">
        <v>803</v>
      </c>
      <c r="D545" s="17" t="s">
        <v>801</v>
      </c>
      <c r="E545" s="18">
        <v>3002310775019</v>
      </c>
      <c r="G545" s="20" t="str">
        <f t="shared" si="24"/>
        <v xml:space="preserve"> ANSES/F.CUIR    </v>
      </c>
      <c r="H545" s="20" t="str">
        <f t="shared" si="25"/>
        <v>NAPCO</v>
      </c>
      <c r="I545" s="20" t="str">
        <f t="shared" si="26"/>
        <v xml:space="preserve">S    </v>
      </c>
    </row>
    <row r="546" spans="1:9">
      <c r="A546" s="17" t="s">
        <v>874</v>
      </c>
      <c r="B546" s="17" t="s">
        <v>899</v>
      </c>
      <c r="C546" s="17" t="s">
        <v>804</v>
      </c>
      <c r="D546" s="17" t="s">
        <v>801</v>
      </c>
      <c r="E546" s="18">
        <v>3002310775040</v>
      </c>
      <c r="G546" s="20" t="str">
        <f t="shared" si="24"/>
        <v xml:space="preserve"> ANSES/F.CUIR    </v>
      </c>
      <c r="H546" s="20" t="str">
        <f t="shared" si="25"/>
        <v>NAPCO</v>
      </c>
      <c r="I546" s="20" t="str">
        <f t="shared" si="26"/>
        <v xml:space="preserve">XL   </v>
      </c>
    </row>
    <row r="547" spans="1:9">
      <c r="A547" s="17" t="s">
        <v>874</v>
      </c>
      <c r="B547" s="17" t="s">
        <v>899</v>
      </c>
      <c r="C547" s="17" t="s">
        <v>805</v>
      </c>
      <c r="D547" s="17" t="s">
        <v>801</v>
      </c>
      <c r="E547" s="18">
        <v>3002310775002</v>
      </c>
      <c r="G547" s="20" t="str">
        <f t="shared" si="24"/>
        <v xml:space="preserve"> ANSES/F.CUIR    </v>
      </c>
      <c r="H547" s="20" t="str">
        <f t="shared" si="25"/>
        <v>NAPCO</v>
      </c>
      <c r="I547" s="20" t="str">
        <f t="shared" si="26"/>
        <v xml:space="preserve">XS   </v>
      </c>
    </row>
    <row r="548" spans="1:9">
      <c r="A548" s="17" t="s">
        <v>874</v>
      </c>
      <c r="B548" s="17" t="s">
        <v>900</v>
      </c>
      <c r="C548" s="17" t="s">
        <v>800</v>
      </c>
      <c r="D548" s="17" t="s">
        <v>801</v>
      </c>
      <c r="E548" s="18">
        <v>8058983593462</v>
      </c>
      <c r="G548" s="20" t="str">
        <f t="shared" si="24"/>
        <v xml:space="preserve"> ANSES/F.CUIR    </v>
      </c>
      <c r="H548" s="20" t="str">
        <f t="shared" si="25"/>
        <v>NAPET</v>
      </c>
      <c r="I548" s="20" t="str">
        <f t="shared" si="26"/>
        <v xml:space="preserve">L    </v>
      </c>
    </row>
    <row r="549" spans="1:9">
      <c r="A549" s="17" t="s">
        <v>874</v>
      </c>
      <c r="B549" s="17" t="s">
        <v>900</v>
      </c>
      <c r="C549" s="17" t="s">
        <v>800</v>
      </c>
      <c r="D549" s="17" t="s">
        <v>801</v>
      </c>
      <c r="E549" s="18">
        <v>3002310568031</v>
      </c>
      <c r="G549" s="20" t="str">
        <f t="shared" si="24"/>
        <v xml:space="preserve"> ANSES/F.CUIR    </v>
      </c>
      <c r="H549" s="20" t="str">
        <f t="shared" si="25"/>
        <v>NAPET</v>
      </c>
      <c r="I549" s="20" t="str">
        <f t="shared" si="26"/>
        <v xml:space="preserve">L    </v>
      </c>
    </row>
    <row r="550" spans="1:9">
      <c r="A550" s="17" t="s">
        <v>874</v>
      </c>
      <c r="B550" s="17" t="s">
        <v>900</v>
      </c>
      <c r="C550" s="17" t="s">
        <v>802</v>
      </c>
      <c r="D550" s="17" t="s">
        <v>801</v>
      </c>
      <c r="E550" s="18">
        <v>3002310568024</v>
      </c>
      <c r="G550" s="20" t="str">
        <f t="shared" si="24"/>
        <v xml:space="preserve"> ANSES/F.CUIR    </v>
      </c>
      <c r="H550" s="20" t="str">
        <f t="shared" si="25"/>
        <v>NAPET</v>
      </c>
      <c r="I550" s="20" t="str">
        <f t="shared" si="26"/>
        <v xml:space="preserve">M    </v>
      </c>
    </row>
    <row r="551" spans="1:9">
      <c r="A551" s="17" t="s">
        <v>874</v>
      </c>
      <c r="B551" s="17" t="s">
        <v>900</v>
      </c>
      <c r="C551" s="17" t="s">
        <v>803</v>
      </c>
      <c r="D551" s="17" t="s">
        <v>801</v>
      </c>
      <c r="E551" s="18">
        <v>8058983593479</v>
      </c>
      <c r="G551" s="20" t="str">
        <f t="shared" si="24"/>
        <v xml:space="preserve"> ANSES/F.CUIR    </v>
      </c>
      <c r="H551" s="20" t="str">
        <f t="shared" si="25"/>
        <v>NAPET</v>
      </c>
      <c r="I551" s="20" t="str">
        <f t="shared" si="26"/>
        <v xml:space="preserve">S    </v>
      </c>
    </row>
    <row r="552" spans="1:9">
      <c r="A552" s="17" t="s">
        <v>874</v>
      </c>
      <c r="B552" s="17" t="s">
        <v>900</v>
      </c>
      <c r="C552" s="17" t="s">
        <v>803</v>
      </c>
      <c r="D552" s="17" t="s">
        <v>801</v>
      </c>
      <c r="E552" s="18">
        <v>3002310568017</v>
      </c>
      <c r="G552" s="20" t="str">
        <f t="shared" si="24"/>
        <v xml:space="preserve"> ANSES/F.CUIR    </v>
      </c>
      <c r="H552" s="20" t="str">
        <f t="shared" si="25"/>
        <v>NAPET</v>
      </c>
      <c r="I552" s="20" t="str">
        <f t="shared" si="26"/>
        <v xml:space="preserve">S    </v>
      </c>
    </row>
    <row r="553" spans="1:9">
      <c r="A553" s="17" t="s">
        <v>874</v>
      </c>
      <c r="B553" s="17" t="s">
        <v>900</v>
      </c>
      <c r="C553" s="17" t="s">
        <v>804</v>
      </c>
      <c r="D553" s="17" t="s">
        <v>801</v>
      </c>
      <c r="E553" s="18">
        <v>3002310568048</v>
      </c>
      <c r="G553" s="20" t="str">
        <f t="shared" si="24"/>
        <v xml:space="preserve"> ANSES/F.CUIR    </v>
      </c>
      <c r="H553" s="20" t="str">
        <f t="shared" si="25"/>
        <v>NAPET</v>
      </c>
      <c r="I553" s="20" t="str">
        <f t="shared" si="26"/>
        <v xml:space="preserve">XL   </v>
      </c>
    </row>
    <row r="554" spans="1:9">
      <c r="A554" s="17" t="s">
        <v>874</v>
      </c>
      <c r="B554" s="17" t="s">
        <v>900</v>
      </c>
      <c r="C554" s="17" t="s">
        <v>805</v>
      </c>
      <c r="D554" s="17" t="s">
        <v>801</v>
      </c>
      <c r="E554" s="18">
        <v>3002310568000</v>
      </c>
      <c r="G554" s="20" t="str">
        <f t="shared" si="24"/>
        <v xml:space="preserve"> ANSES/F.CUIR    </v>
      </c>
      <c r="H554" s="20" t="str">
        <f t="shared" si="25"/>
        <v>NAPET</v>
      </c>
      <c r="I554" s="20" t="str">
        <f t="shared" si="26"/>
        <v xml:space="preserve">XS   </v>
      </c>
    </row>
    <row r="555" spans="1:9">
      <c r="A555" s="17" t="s">
        <v>874</v>
      </c>
      <c r="B555" s="17" t="s">
        <v>901</v>
      </c>
      <c r="C555" s="17" t="s">
        <v>800</v>
      </c>
      <c r="D555" s="17" t="s">
        <v>801</v>
      </c>
      <c r="E555" s="18">
        <v>3002310792030</v>
      </c>
      <c r="G555" s="20" t="str">
        <f t="shared" si="24"/>
        <v xml:space="preserve"> ANSES/F.CUIR    </v>
      </c>
      <c r="H555" s="20" t="str">
        <f t="shared" si="25"/>
        <v>NAPJA</v>
      </c>
      <c r="I555" s="20" t="str">
        <f t="shared" si="26"/>
        <v xml:space="preserve">L    </v>
      </c>
    </row>
    <row r="556" spans="1:9">
      <c r="A556" s="17" t="s">
        <v>874</v>
      </c>
      <c r="B556" s="17" t="s">
        <v>901</v>
      </c>
      <c r="C556" s="17" t="s">
        <v>802</v>
      </c>
      <c r="D556" s="17" t="s">
        <v>801</v>
      </c>
      <c r="E556" s="18">
        <v>3002310792023</v>
      </c>
      <c r="G556" s="20" t="str">
        <f t="shared" si="24"/>
        <v xml:space="preserve"> ANSES/F.CUIR    </v>
      </c>
      <c r="H556" s="20" t="str">
        <f t="shared" si="25"/>
        <v>NAPJA</v>
      </c>
      <c r="I556" s="20" t="str">
        <f t="shared" si="26"/>
        <v xml:space="preserve">M    </v>
      </c>
    </row>
    <row r="557" spans="1:9">
      <c r="A557" s="17" t="s">
        <v>874</v>
      </c>
      <c r="B557" s="17" t="s">
        <v>901</v>
      </c>
      <c r="C557" s="17" t="s">
        <v>803</v>
      </c>
      <c r="D557" s="17" t="s">
        <v>801</v>
      </c>
      <c r="E557" s="18">
        <v>3002310792016</v>
      </c>
      <c r="G557" s="20" t="str">
        <f t="shared" si="24"/>
        <v xml:space="preserve"> ANSES/F.CUIR    </v>
      </c>
      <c r="H557" s="20" t="str">
        <f t="shared" si="25"/>
        <v>NAPJA</v>
      </c>
      <c r="I557" s="20" t="str">
        <f t="shared" si="26"/>
        <v xml:space="preserve">S    </v>
      </c>
    </row>
    <row r="558" spans="1:9">
      <c r="A558" s="17" t="s">
        <v>874</v>
      </c>
      <c r="B558" s="17" t="s">
        <v>901</v>
      </c>
      <c r="C558" s="17" t="s">
        <v>804</v>
      </c>
      <c r="D558" s="17" t="s">
        <v>801</v>
      </c>
      <c r="E558" s="18">
        <v>3002310792047</v>
      </c>
      <c r="G558" s="20" t="str">
        <f t="shared" si="24"/>
        <v xml:space="preserve"> ANSES/F.CUIR    </v>
      </c>
      <c r="H558" s="20" t="str">
        <f t="shared" si="25"/>
        <v>NAPJA</v>
      </c>
      <c r="I558" s="20" t="str">
        <f t="shared" si="26"/>
        <v xml:space="preserve">XL   </v>
      </c>
    </row>
    <row r="559" spans="1:9">
      <c r="A559" s="17" t="s">
        <v>874</v>
      </c>
      <c r="B559" s="17" t="s">
        <v>901</v>
      </c>
      <c r="C559" s="17" t="s">
        <v>805</v>
      </c>
      <c r="D559" s="17" t="s">
        <v>801</v>
      </c>
      <c r="E559" s="18">
        <v>3002310792009</v>
      </c>
      <c r="G559" s="20" t="str">
        <f t="shared" si="24"/>
        <v xml:space="preserve"> ANSES/F.CUIR    </v>
      </c>
      <c r="H559" s="20" t="str">
        <f t="shared" si="25"/>
        <v>NAPJA</v>
      </c>
      <c r="I559" s="20" t="str">
        <f t="shared" si="26"/>
        <v xml:space="preserve">XS   </v>
      </c>
    </row>
    <row r="560" spans="1:9">
      <c r="A560" s="17" t="s">
        <v>874</v>
      </c>
      <c r="B560" s="17" t="s">
        <v>902</v>
      </c>
      <c r="C560" s="17" t="s">
        <v>800</v>
      </c>
      <c r="D560" s="17" t="s">
        <v>801</v>
      </c>
      <c r="E560" s="18">
        <v>3020360582036</v>
      </c>
      <c r="G560" s="20" t="str">
        <f t="shared" si="24"/>
        <v xml:space="preserve"> ANSES/F.CUIR    </v>
      </c>
      <c r="H560" s="20" t="str">
        <f t="shared" si="25"/>
        <v>NAPLE</v>
      </c>
      <c r="I560" s="20" t="str">
        <f t="shared" si="26"/>
        <v xml:space="preserve">L    </v>
      </c>
    </row>
    <row r="561" spans="1:9">
      <c r="A561" s="17" t="s">
        <v>874</v>
      </c>
      <c r="B561" s="17" t="s">
        <v>902</v>
      </c>
      <c r="C561" s="17" t="s">
        <v>800</v>
      </c>
      <c r="D561" s="17" t="s">
        <v>801</v>
      </c>
      <c r="E561" s="18">
        <v>8058983596517</v>
      </c>
      <c r="G561" s="20" t="str">
        <f t="shared" si="24"/>
        <v xml:space="preserve"> ANSES/F.CUIR    </v>
      </c>
      <c r="H561" s="20" t="str">
        <f t="shared" si="25"/>
        <v>NAPLE</v>
      </c>
      <c r="I561" s="20" t="str">
        <f t="shared" si="26"/>
        <v xml:space="preserve">L    </v>
      </c>
    </row>
    <row r="562" spans="1:9">
      <c r="A562" s="17" t="s">
        <v>874</v>
      </c>
      <c r="B562" s="17" t="s">
        <v>902</v>
      </c>
      <c r="C562" s="17" t="s">
        <v>802</v>
      </c>
      <c r="D562" s="17" t="s">
        <v>801</v>
      </c>
      <c r="E562" s="18">
        <v>3020360582029</v>
      </c>
      <c r="G562" s="20" t="str">
        <f t="shared" si="24"/>
        <v xml:space="preserve"> ANSES/F.CUIR    </v>
      </c>
      <c r="H562" s="20" t="str">
        <f t="shared" si="25"/>
        <v>NAPLE</v>
      </c>
      <c r="I562" s="20" t="str">
        <f t="shared" si="26"/>
        <v xml:space="preserve">M    </v>
      </c>
    </row>
    <row r="563" spans="1:9">
      <c r="A563" s="17" t="s">
        <v>874</v>
      </c>
      <c r="B563" s="17" t="s">
        <v>902</v>
      </c>
      <c r="C563" s="17" t="s">
        <v>803</v>
      </c>
      <c r="D563" s="17" t="s">
        <v>801</v>
      </c>
      <c r="E563" s="18">
        <v>3020360582012</v>
      </c>
      <c r="G563" s="20" t="str">
        <f t="shared" si="24"/>
        <v xml:space="preserve"> ANSES/F.CUIR    </v>
      </c>
      <c r="H563" s="20" t="str">
        <f t="shared" si="25"/>
        <v>NAPLE</v>
      </c>
      <c r="I563" s="20" t="str">
        <f t="shared" si="26"/>
        <v xml:space="preserve">S    </v>
      </c>
    </row>
    <row r="564" spans="1:9">
      <c r="A564" s="17" t="s">
        <v>874</v>
      </c>
      <c r="B564" s="17" t="s">
        <v>902</v>
      </c>
      <c r="C564" s="17" t="s">
        <v>803</v>
      </c>
      <c r="D564" s="17" t="s">
        <v>801</v>
      </c>
      <c r="E564" s="18">
        <v>8058983596715</v>
      </c>
      <c r="G564" s="20" t="str">
        <f t="shared" si="24"/>
        <v xml:space="preserve"> ANSES/F.CUIR    </v>
      </c>
      <c r="H564" s="20" t="str">
        <f t="shared" si="25"/>
        <v>NAPLE</v>
      </c>
      <c r="I564" s="20" t="str">
        <f t="shared" si="26"/>
        <v xml:space="preserve">S    </v>
      </c>
    </row>
    <row r="565" spans="1:9">
      <c r="A565" s="17" t="s">
        <v>874</v>
      </c>
      <c r="B565" s="17" t="s">
        <v>902</v>
      </c>
      <c r="C565" s="17" t="s">
        <v>804</v>
      </c>
      <c r="D565" s="17" t="s">
        <v>801</v>
      </c>
      <c r="E565" s="18">
        <v>3020360582043</v>
      </c>
      <c r="G565" s="20" t="str">
        <f t="shared" si="24"/>
        <v xml:space="preserve"> ANSES/F.CUIR    </v>
      </c>
      <c r="H565" s="20" t="str">
        <f t="shared" si="25"/>
        <v>NAPLE</v>
      </c>
      <c r="I565" s="20" t="str">
        <f t="shared" si="26"/>
        <v xml:space="preserve">XL   </v>
      </c>
    </row>
    <row r="566" spans="1:9">
      <c r="A566" s="17" t="s">
        <v>874</v>
      </c>
      <c r="B566" s="17" t="s">
        <v>902</v>
      </c>
      <c r="C566" s="17" t="s">
        <v>805</v>
      </c>
      <c r="D566" s="17" t="s">
        <v>801</v>
      </c>
      <c r="E566" s="18">
        <v>3020360582005</v>
      </c>
      <c r="G566" s="20" t="str">
        <f t="shared" si="24"/>
        <v xml:space="preserve"> ANSES/F.CUIR    </v>
      </c>
      <c r="H566" s="20" t="str">
        <f t="shared" si="25"/>
        <v>NAPLE</v>
      </c>
      <c r="I566" s="20" t="str">
        <f t="shared" si="26"/>
        <v xml:space="preserve">XS   </v>
      </c>
    </row>
    <row r="567" spans="1:9">
      <c r="A567" s="17" t="s">
        <v>874</v>
      </c>
      <c r="B567" s="17" t="s">
        <v>903</v>
      </c>
      <c r="C567" s="17" t="s">
        <v>800</v>
      </c>
      <c r="D567" s="17" t="s">
        <v>801</v>
      </c>
      <c r="E567" s="18">
        <v>3002310776030</v>
      </c>
      <c r="G567" s="20" t="str">
        <f t="shared" si="24"/>
        <v xml:space="preserve"> ANSES/F.CUIR    </v>
      </c>
      <c r="H567" s="20" t="str">
        <f t="shared" si="25"/>
        <v>NAPMO</v>
      </c>
      <c r="I567" s="20" t="str">
        <f t="shared" si="26"/>
        <v xml:space="preserve">L    </v>
      </c>
    </row>
    <row r="568" spans="1:9">
      <c r="A568" s="17" t="s">
        <v>874</v>
      </c>
      <c r="B568" s="17" t="s">
        <v>903</v>
      </c>
      <c r="C568" s="17" t="s">
        <v>802</v>
      </c>
      <c r="D568" s="17" t="s">
        <v>801</v>
      </c>
      <c r="E568" s="18">
        <v>3002310776023</v>
      </c>
      <c r="G568" s="20" t="str">
        <f t="shared" si="24"/>
        <v xml:space="preserve"> ANSES/F.CUIR    </v>
      </c>
      <c r="H568" s="20" t="str">
        <f t="shared" si="25"/>
        <v>NAPMO</v>
      </c>
      <c r="I568" s="20" t="str">
        <f t="shared" si="26"/>
        <v xml:space="preserve">M    </v>
      </c>
    </row>
    <row r="569" spans="1:9">
      <c r="A569" s="17" t="s">
        <v>874</v>
      </c>
      <c r="B569" s="17" t="s">
        <v>903</v>
      </c>
      <c r="C569" s="17" t="s">
        <v>803</v>
      </c>
      <c r="D569" s="17" t="s">
        <v>801</v>
      </c>
      <c r="E569" s="18">
        <v>3002310776016</v>
      </c>
      <c r="G569" s="20" t="str">
        <f t="shared" si="24"/>
        <v xml:space="preserve"> ANSES/F.CUIR    </v>
      </c>
      <c r="H569" s="20" t="str">
        <f t="shared" si="25"/>
        <v>NAPMO</v>
      </c>
      <c r="I569" s="20" t="str">
        <f t="shared" si="26"/>
        <v xml:space="preserve">S    </v>
      </c>
    </row>
    <row r="570" spans="1:9">
      <c r="A570" s="17" t="s">
        <v>874</v>
      </c>
      <c r="B570" s="17" t="s">
        <v>903</v>
      </c>
      <c r="C570" s="17" t="s">
        <v>804</v>
      </c>
      <c r="D570" s="17" t="s">
        <v>801</v>
      </c>
      <c r="E570" s="18">
        <v>3002310776047</v>
      </c>
      <c r="G570" s="20" t="str">
        <f t="shared" si="24"/>
        <v xml:space="preserve"> ANSES/F.CUIR    </v>
      </c>
      <c r="H570" s="20" t="str">
        <f t="shared" si="25"/>
        <v>NAPMO</v>
      </c>
      <c r="I570" s="20" t="str">
        <f t="shared" si="26"/>
        <v xml:space="preserve">XL   </v>
      </c>
    </row>
    <row r="571" spans="1:9">
      <c r="A571" s="17" t="s">
        <v>874</v>
      </c>
      <c r="B571" s="17" t="s">
        <v>903</v>
      </c>
      <c r="C571" s="17" t="s">
        <v>805</v>
      </c>
      <c r="D571" s="17" t="s">
        <v>801</v>
      </c>
      <c r="E571" s="18">
        <v>3002310776009</v>
      </c>
      <c r="G571" s="20" t="str">
        <f t="shared" si="24"/>
        <v xml:space="preserve"> ANSES/F.CUIR    </v>
      </c>
      <c r="H571" s="20" t="str">
        <f t="shared" si="25"/>
        <v>NAPMO</v>
      </c>
      <c r="I571" s="20" t="str">
        <f t="shared" si="26"/>
        <v xml:space="preserve">XS   </v>
      </c>
    </row>
    <row r="572" spans="1:9">
      <c r="A572" s="17" t="s">
        <v>874</v>
      </c>
      <c r="B572" s="17" t="s">
        <v>904</v>
      </c>
      <c r="C572" s="17" t="s">
        <v>800</v>
      </c>
      <c r="D572" s="17" t="s">
        <v>801</v>
      </c>
      <c r="E572" s="18">
        <v>3020360652036</v>
      </c>
      <c r="G572" s="20" t="str">
        <f t="shared" si="24"/>
        <v xml:space="preserve"> ANSES/F.CUIR    </v>
      </c>
      <c r="H572" s="20" t="str">
        <f t="shared" si="25"/>
        <v>NAPNO</v>
      </c>
      <c r="I572" s="20" t="str">
        <f t="shared" si="26"/>
        <v xml:space="preserve">L    </v>
      </c>
    </row>
    <row r="573" spans="1:9">
      <c r="A573" s="17" t="s">
        <v>874</v>
      </c>
      <c r="B573" s="17" t="s">
        <v>904</v>
      </c>
      <c r="C573" s="17" t="s">
        <v>802</v>
      </c>
      <c r="D573" s="17" t="s">
        <v>801</v>
      </c>
      <c r="E573" s="18">
        <v>3020360652029</v>
      </c>
      <c r="G573" s="20" t="str">
        <f t="shared" si="24"/>
        <v xml:space="preserve"> ANSES/F.CUIR    </v>
      </c>
      <c r="H573" s="20" t="str">
        <f t="shared" si="25"/>
        <v>NAPNO</v>
      </c>
      <c r="I573" s="20" t="str">
        <f t="shared" si="26"/>
        <v xml:space="preserve">M    </v>
      </c>
    </row>
    <row r="574" spans="1:9">
      <c r="A574" s="17" t="s">
        <v>874</v>
      </c>
      <c r="B574" s="17" t="s">
        <v>904</v>
      </c>
      <c r="C574" s="17" t="s">
        <v>803</v>
      </c>
      <c r="D574" s="17" t="s">
        <v>801</v>
      </c>
      <c r="E574" s="18">
        <v>3020360652012</v>
      </c>
      <c r="G574" s="20" t="str">
        <f t="shared" si="24"/>
        <v xml:space="preserve"> ANSES/F.CUIR    </v>
      </c>
      <c r="H574" s="20" t="str">
        <f t="shared" si="25"/>
        <v>NAPNO</v>
      </c>
      <c r="I574" s="20" t="str">
        <f t="shared" si="26"/>
        <v xml:space="preserve">S    </v>
      </c>
    </row>
    <row r="575" spans="1:9">
      <c r="A575" s="17" t="s">
        <v>874</v>
      </c>
      <c r="B575" s="17" t="s">
        <v>904</v>
      </c>
      <c r="C575" s="17" t="s">
        <v>804</v>
      </c>
      <c r="D575" s="17" t="s">
        <v>801</v>
      </c>
      <c r="E575" s="18">
        <v>3020360652043</v>
      </c>
      <c r="G575" s="20" t="str">
        <f t="shared" si="24"/>
        <v xml:space="preserve"> ANSES/F.CUIR    </v>
      </c>
      <c r="H575" s="20" t="str">
        <f t="shared" si="25"/>
        <v>NAPNO</v>
      </c>
      <c r="I575" s="20" t="str">
        <f t="shared" si="26"/>
        <v xml:space="preserve">XL   </v>
      </c>
    </row>
    <row r="576" spans="1:9">
      <c r="A576" s="17" t="s">
        <v>874</v>
      </c>
      <c r="B576" s="17" t="s">
        <v>904</v>
      </c>
      <c r="C576" s="17" t="s">
        <v>805</v>
      </c>
      <c r="D576" s="17" t="s">
        <v>801</v>
      </c>
      <c r="E576" s="18">
        <v>3020360652005</v>
      </c>
      <c r="G576" s="20" t="str">
        <f t="shared" si="24"/>
        <v xml:space="preserve"> ANSES/F.CUIR    </v>
      </c>
      <c r="H576" s="20" t="str">
        <f t="shared" si="25"/>
        <v>NAPNO</v>
      </c>
      <c r="I576" s="20" t="str">
        <f t="shared" si="26"/>
        <v xml:space="preserve">XS   </v>
      </c>
    </row>
    <row r="577" spans="1:9">
      <c r="A577" s="17" t="s">
        <v>874</v>
      </c>
      <c r="B577" s="17" t="s">
        <v>905</v>
      </c>
      <c r="C577" s="17" t="s">
        <v>800</v>
      </c>
      <c r="D577" s="17" t="s">
        <v>801</v>
      </c>
      <c r="E577" s="18">
        <v>3002310777037</v>
      </c>
      <c r="G577" s="20" t="str">
        <f t="shared" si="24"/>
        <v xml:space="preserve"> ANSES/F.CUIR    </v>
      </c>
      <c r="H577" s="20" t="str">
        <f t="shared" si="25"/>
        <v>NAPPO</v>
      </c>
      <c r="I577" s="20" t="str">
        <f t="shared" si="26"/>
        <v xml:space="preserve">L    </v>
      </c>
    </row>
    <row r="578" spans="1:9">
      <c r="A578" s="17" t="s">
        <v>874</v>
      </c>
      <c r="B578" s="17" t="s">
        <v>905</v>
      </c>
      <c r="C578" s="17" t="s">
        <v>802</v>
      </c>
      <c r="D578" s="17" t="s">
        <v>801</v>
      </c>
      <c r="E578" s="18">
        <v>3002310777020</v>
      </c>
      <c r="G578" s="20" t="str">
        <f t="shared" si="24"/>
        <v xml:space="preserve"> ANSES/F.CUIR    </v>
      </c>
      <c r="H578" s="20" t="str">
        <f t="shared" si="25"/>
        <v>NAPPO</v>
      </c>
      <c r="I578" s="20" t="str">
        <f t="shared" si="26"/>
        <v xml:space="preserve">M    </v>
      </c>
    </row>
    <row r="579" spans="1:9">
      <c r="A579" s="17" t="s">
        <v>874</v>
      </c>
      <c r="B579" s="17" t="s">
        <v>905</v>
      </c>
      <c r="C579" s="17" t="s">
        <v>803</v>
      </c>
      <c r="D579" s="17" t="s">
        <v>801</v>
      </c>
      <c r="E579" s="18">
        <v>3002310777013</v>
      </c>
      <c r="G579" s="20" t="str">
        <f t="shared" si="24"/>
        <v xml:space="preserve"> ANSES/F.CUIR    </v>
      </c>
      <c r="H579" s="20" t="str">
        <f t="shared" si="25"/>
        <v>NAPPO</v>
      </c>
      <c r="I579" s="20" t="str">
        <f t="shared" si="26"/>
        <v xml:space="preserve">S    </v>
      </c>
    </row>
    <row r="580" spans="1:9">
      <c r="A580" s="17" t="s">
        <v>874</v>
      </c>
      <c r="B580" s="17" t="s">
        <v>905</v>
      </c>
      <c r="C580" s="17" t="s">
        <v>804</v>
      </c>
      <c r="D580" s="17" t="s">
        <v>801</v>
      </c>
      <c r="E580" s="18">
        <v>3002310777044</v>
      </c>
      <c r="G580" s="20" t="str">
        <f t="shared" si="24"/>
        <v xml:space="preserve"> ANSES/F.CUIR    </v>
      </c>
      <c r="H580" s="20" t="str">
        <f t="shared" si="25"/>
        <v>NAPPO</v>
      </c>
      <c r="I580" s="20" t="str">
        <f t="shared" si="26"/>
        <v xml:space="preserve">XL   </v>
      </c>
    </row>
    <row r="581" spans="1:9">
      <c r="A581" s="17" t="s">
        <v>874</v>
      </c>
      <c r="B581" s="17" t="s">
        <v>905</v>
      </c>
      <c r="C581" s="17" t="s">
        <v>805</v>
      </c>
      <c r="D581" s="17" t="s">
        <v>801</v>
      </c>
      <c r="E581" s="18">
        <v>3002310777006</v>
      </c>
      <c r="G581" s="20" t="str">
        <f t="shared" ref="G581:G644" si="27">A581</f>
        <v xml:space="preserve"> ANSES/F.CUIR    </v>
      </c>
      <c r="H581" s="20" t="str">
        <f t="shared" ref="H581:H644" si="28">B581</f>
        <v>NAPPO</v>
      </c>
      <c r="I581" s="20" t="str">
        <f t="shared" ref="I581:I644" si="29">C581</f>
        <v xml:space="preserve">XS   </v>
      </c>
    </row>
    <row r="582" spans="1:9">
      <c r="A582" s="17" t="s">
        <v>874</v>
      </c>
      <c r="B582" s="17" t="s">
        <v>906</v>
      </c>
      <c r="C582" s="17" t="s">
        <v>800</v>
      </c>
      <c r="D582" s="17" t="s">
        <v>801</v>
      </c>
      <c r="E582" s="18">
        <v>3002310771035</v>
      </c>
      <c r="G582" s="20" t="str">
        <f t="shared" si="27"/>
        <v xml:space="preserve"> ANSES/F.CUIR    </v>
      </c>
      <c r="H582" s="20" t="str">
        <f t="shared" si="28"/>
        <v>NAPSA</v>
      </c>
      <c r="I582" s="20" t="str">
        <f t="shared" si="29"/>
        <v xml:space="preserve">L    </v>
      </c>
    </row>
    <row r="583" spans="1:9">
      <c r="A583" s="17" t="s">
        <v>874</v>
      </c>
      <c r="B583" s="17" t="s">
        <v>906</v>
      </c>
      <c r="C583" s="17" t="s">
        <v>802</v>
      </c>
      <c r="D583" s="17" t="s">
        <v>801</v>
      </c>
      <c r="E583" s="18">
        <v>3002310771028</v>
      </c>
      <c r="G583" s="20" t="str">
        <f t="shared" si="27"/>
        <v xml:space="preserve"> ANSES/F.CUIR    </v>
      </c>
      <c r="H583" s="20" t="str">
        <f t="shared" si="28"/>
        <v>NAPSA</v>
      </c>
      <c r="I583" s="20" t="str">
        <f t="shared" si="29"/>
        <v xml:space="preserve">M    </v>
      </c>
    </row>
    <row r="584" spans="1:9">
      <c r="A584" s="17" t="s">
        <v>874</v>
      </c>
      <c r="B584" s="17" t="s">
        <v>906</v>
      </c>
      <c r="C584" s="17" t="s">
        <v>803</v>
      </c>
      <c r="D584" s="17" t="s">
        <v>801</v>
      </c>
      <c r="E584" s="18">
        <v>3002310771011</v>
      </c>
      <c r="G584" s="20" t="str">
        <f t="shared" si="27"/>
        <v xml:space="preserve"> ANSES/F.CUIR    </v>
      </c>
      <c r="H584" s="20" t="str">
        <f t="shared" si="28"/>
        <v>NAPSA</v>
      </c>
      <c r="I584" s="20" t="str">
        <f t="shared" si="29"/>
        <v xml:space="preserve">S    </v>
      </c>
    </row>
    <row r="585" spans="1:9">
      <c r="A585" s="17" t="s">
        <v>874</v>
      </c>
      <c r="B585" s="17" t="s">
        <v>906</v>
      </c>
      <c r="C585" s="17" t="s">
        <v>804</v>
      </c>
      <c r="D585" s="17" t="s">
        <v>801</v>
      </c>
      <c r="E585" s="18">
        <v>3002310771042</v>
      </c>
      <c r="G585" s="20" t="str">
        <f t="shared" si="27"/>
        <v xml:space="preserve"> ANSES/F.CUIR    </v>
      </c>
      <c r="H585" s="20" t="str">
        <f t="shared" si="28"/>
        <v>NAPSA</v>
      </c>
      <c r="I585" s="20" t="str">
        <f t="shared" si="29"/>
        <v xml:space="preserve">XL   </v>
      </c>
    </row>
    <row r="586" spans="1:9">
      <c r="A586" s="17" t="s">
        <v>874</v>
      </c>
      <c r="B586" s="17" t="s">
        <v>906</v>
      </c>
      <c r="C586" s="17" t="s">
        <v>805</v>
      </c>
      <c r="D586" s="17" t="s">
        <v>801</v>
      </c>
      <c r="E586" s="18">
        <v>3002310771004</v>
      </c>
      <c r="G586" s="20" t="str">
        <f t="shared" si="27"/>
        <v xml:space="preserve"> ANSES/F.CUIR    </v>
      </c>
      <c r="H586" s="20" t="str">
        <f t="shared" si="28"/>
        <v>NAPSA</v>
      </c>
      <c r="I586" s="20" t="str">
        <f t="shared" si="29"/>
        <v xml:space="preserve">XS   </v>
      </c>
    </row>
    <row r="587" spans="1:9">
      <c r="A587" s="17" t="s">
        <v>874</v>
      </c>
      <c r="B587" s="17" t="s">
        <v>907</v>
      </c>
      <c r="C587" s="17" t="s">
        <v>800</v>
      </c>
      <c r="D587" s="17" t="s">
        <v>801</v>
      </c>
      <c r="E587" s="18">
        <v>3002310675036</v>
      </c>
      <c r="G587" s="20" t="str">
        <f t="shared" si="27"/>
        <v xml:space="preserve"> ANSES/F.CUIR    </v>
      </c>
      <c r="H587" s="20" t="str">
        <f t="shared" si="28"/>
        <v>NAPTA</v>
      </c>
      <c r="I587" s="20" t="str">
        <f t="shared" si="29"/>
        <v xml:space="preserve">L    </v>
      </c>
    </row>
    <row r="588" spans="1:9">
      <c r="A588" s="17" t="s">
        <v>874</v>
      </c>
      <c r="B588" s="17" t="s">
        <v>907</v>
      </c>
      <c r="C588" s="17" t="s">
        <v>802</v>
      </c>
      <c r="D588" s="17" t="s">
        <v>801</v>
      </c>
      <c r="E588" s="18">
        <v>3002310675029</v>
      </c>
      <c r="G588" s="20" t="str">
        <f t="shared" si="27"/>
        <v xml:space="preserve"> ANSES/F.CUIR    </v>
      </c>
      <c r="H588" s="20" t="str">
        <f t="shared" si="28"/>
        <v>NAPTA</v>
      </c>
      <c r="I588" s="20" t="str">
        <f t="shared" si="29"/>
        <v xml:space="preserve">M    </v>
      </c>
    </row>
    <row r="589" spans="1:9">
      <c r="A589" s="17" t="s">
        <v>874</v>
      </c>
      <c r="B589" s="17" t="s">
        <v>907</v>
      </c>
      <c r="C589" s="17" t="s">
        <v>803</v>
      </c>
      <c r="D589" s="17" t="s">
        <v>801</v>
      </c>
      <c r="E589" s="18">
        <v>3002310675012</v>
      </c>
      <c r="G589" s="20" t="str">
        <f t="shared" si="27"/>
        <v xml:space="preserve"> ANSES/F.CUIR    </v>
      </c>
      <c r="H589" s="20" t="str">
        <f t="shared" si="28"/>
        <v>NAPTA</v>
      </c>
      <c r="I589" s="20" t="str">
        <f t="shared" si="29"/>
        <v xml:space="preserve">S    </v>
      </c>
    </row>
    <row r="590" spans="1:9">
      <c r="A590" s="17" t="s">
        <v>874</v>
      </c>
      <c r="B590" s="17" t="s">
        <v>907</v>
      </c>
      <c r="C590" s="17" t="s">
        <v>804</v>
      </c>
      <c r="D590" s="17" t="s">
        <v>801</v>
      </c>
      <c r="E590" s="18">
        <v>3002310675043</v>
      </c>
      <c r="G590" s="20" t="str">
        <f t="shared" si="27"/>
        <v xml:space="preserve"> ANSES/F.CUIR    </v>
      </c>
      <c r="H590" s="20" t="str">
        <f t="shared" si="28"/>
        <v>NAPTA</v>
      </c>
      <c r="I590" s="20" t="str">
        <f t="shared" si="29"/>
        <v xml:space="preserve">XL   </v>
      </c>
    </row>
    <row r="591" spans="1:9">
      <c r="A591" s="17" t="s">
        <v>874</v>
      </c>
      <c r="B591" s="17" t="s">
        <v>907</v>
      </c>
      <c r="C591" s="17" t="s">
        <v>805</v>
      </c>
      <c r="D591" s="17" t="s">
        <v>801</v>
      </c>
      <c r="E591" s="18">
        <v>3002310675005</v>
      </c>
      <c r="G591" s="20" t="str">
        <f t="shared" si="27"/>
        <v xml:space="preserve"> ANSES/F.CUIR    </v>
      </c>
      <c r="H591" s="20" t="str">
        <f t="shared" si="28"/>
        <v>NAPTA</v>
      </c>
      <c r="I591" s="20" t="str">
        <f t="shared" si="29"/>
        <v xml:space="preserve">XS   </v>
      </c>
    </row>
    <row r="592" spans="1:9">
      <c r="A592" s="17" t="s">
        <v>874</v>
      </c>
      <c r="B592" s="17" t="s">
        <v>908</v>
      </c>
      <c r="C592" s="17" t="s">
        <v>800</v>
      </c>
      <c r="D592" s="17" t="s">
        <v>801</v>
      </c>
      <c r="E592" s="18">
        <v>3002310772032</v>
      </c>
      <c r="G592" s="20" t="str">
        <f t="shared" si="27"/>
        <v xml:space="preserve"> ANSES/F.CUIR    </v>
      </c>
      <c r="H592" s="20" t="str">
        <f t="shared" si="28"/>
        <v>NAPVI</v>
      </c>
      <c r="I592" s="20" t="str">
        <f t="shared" si="29"/>
        <v xml:space="preserve">L    </v>
      </c>
    </row>
    <row r="593" spans="1:9">
      <c r="A593" s="17" t="s">
        <v>874</v>
      </c>
      <c r="B593" s="17" t="s">
        <v>908</v>
      </c>
      <c r="C593" s="17" t="s">
        <v>802</v>
      </c>
      <c r="D593" s="17" t="s">
        <v>801</v>
      </c>
      <c r="E593" s="18">
        <v>3002310772025</v>
      </c>
      <c r="G593" s="20" t="str">
        <f t="shared" si="27"/>
        <v xml:space="preserve"> ANSES/F.CUIR    </v>
      </c>
      <c r="H593" s="20" t="str">
        <f t="shared" si="28"/>
        <v>NAPVI</v>
      </c>
      <c r="I593" s="20" t="str">
        <f t="shared" si="29"/>
        <v xml:space="preserve">M    </v>
      </c>
    </row>
    <row r="594" spans="1:9">
      <c r="A594" s="17" t="s">
        <v>874</v>
      </c>
      <c r="B594" s="17" t="s">
        <v>908</v>
      </c>
      <c r="C594" s="17" t="s">
        <v>803</v>
      </c>
      <c r="D594" s="17" t="s">
        <v>801</v>
      </c>
      <c r="E594" s="18">
        <v>3002310772018</v>
      </c>
      <c r="G594" s="20" t="str">
        <f t="shared" si="27"/>
        <v xml:space="preserve"> ANSES/F.CUIR    </v>
      </c>
      <c r="H594" s="20" t="str">
        <f t="shared" si="28"/>
        <v>NAPVI</v>
      </c>
      <c r="I594" s="20" t="str">
        <f t="shared" si="29"/>
        <v xml:space="preserve">S    </v>
      </c>
    </row>
    <row r="595" spans="1:9">
      <c r="A595" s="17" t="s">
        <v>874</v>
      </c>
      <c r="B595" s="17" t="s">
        <v>908</v>
      </c>
      <c r="C595" s="17" t="s">
        <v>804</v>
      </c>
      <c r="D595" s="17" t="s">
        <v>801</v>
      </c>
      <c r="E595" s="18">
        <v>3002310772049</v>
      </c>
      <c r="G595" s="20" t="str">
        <f t="shared" si="27"/>
        <v xml:space="preserve"> ANSES/F.CUIR    </v>
      </c>
      <c r="H595" s="20" t="str">
        <f t="shared" si="28"/>
        <v>NAPVI</v>
      </c>
      <c r="I595" s="20" t="str">
        <f t="shared" si="29"/>
        <v xml:space="preserve">XL   </v>
      </c>
    </row>
    <row r="596" spans="1:9">
      <c r="A596" s="17" t="s">
        <v>874</v>
      </c>
      <c r="B596" s="17" t="s">
        <v>908</v>
      </c>
      <c r="C596" s="17" t="s">
        <v>805</v>
      </c>
      <c r="D596" s="17" t="s">
        <v>801</v>
      </c>
      <c r="E596" s="18">
        <v>3002310772001</v>
      </c>
      <c r="G596" s="20" t="str">
        <f t="shared" si="27"/>
        <v xml:space="preserve"> ANSES/F.CUIR    </v>
      </c>
      <c r="H596" s="20" t="str">
        <f t="shared" si="28"/>
        <v>NAPVI</v>
      </c>
      <c r="I596" s="20" t="str">
        <f t="shared" si="29"/>
        <v xml:space="preserve">XS   </v>
      </c>
    </row>
    <row r="597" spans="1:9">
      <c r="A597" s="17" t="s">
        <v>874</v>
      </c>
      <c r="B597" s="17" t="s">
        <v>859</v>
      </c>
      <c r="C597" s="17" t="s">
        <v>800</v>
      </c>
      <c r="D597" s="17" t="s">
        <v>801</v>
      </c>
      <c r="E597" s="18">
        <v>3003220002035</v>
      </c>
      <c r="G597" s="20" t="str">
        <f t="shared" si="27"/>
        <v xml:space="preserve"> ANSES/F.CUIR    </v>
      </c>
      <c r="H597" s="20" t="str">
        <f t="shared" si="28"/>
        <v>NATUR</v>
      </c>
      <c r="I597" s="20" t="str">
        <f t="shared" si="29"/>
        <v xml:space="preserve">L    </v>
      </c>
    </row>
    <row r="598" spans="1:9">
      <c r="A598" s="17" t="s">
        <v>874</v>
      </c>
      <c r="B598" s="17" t="s">
        <v>859</v>
      </c>
      <c r="C598" s="17" t="s">
        <v>800</v>
      </c>
      <c r="D598" s="17" t="s">
        <v>801</v>
      </c>
      <c r="E598" s="18">
        <v>8051770308768</v>
      </c>
      <c r="G598" s="20" t="str">
        <f t="shared" si="27"/>
        <v xml:space="preserve"> ANSES/F.CUIR    </v>
      </c>
      <c r="H598" s="20" t="str">
        <f t="shared" si="28"/>
        <v>NATUR</v>
      </c>
      <c r="I598" s="20" t="str">
        <f t="shared" si="29"/>
        <v xml:space="preserve">L    </v>
      </c>
    </row>
    <row r="599" spans="1:9">
      <c r="A599" s="17" t="s">
        <v>874</v>
      </c>
      <c r="B599" s="17" t="s">
        <v>859</v>
      </c>
      <c r="C599" s="17" t="s">
        <v>802</v>
      </c>
      <c r="D599" s="17" t="s">
        <v>801</v>
      </c>
      <c r="E599" s="18">
        <v>3003220002028</v>
      </c>
      <c r="G599" s="20" t="str">
        <f t="shared" si="27"/>
        <v xml:space="preserve"> ANSES/F.CUIR    </v>
      </c>
      <c r="H599" s="20" t="str">
        <f t="shared" si="28"/>
        <v>NATUR</v>
      </c>
      <c r="I599" s="20" t="str">
        <f t="shared" si="29"/>
        <v xml:space="preserve">M    </v>
      </c>
    </row>
    <row r="600" spans="1:9">
      <c r="A600" s="17" t="s">
        <v>874</v>
      </c>
      <c r="B600" s="17" t="s">
        <v>859</v>
      </c>
      <c r="C600" s="17" t="s">
        <v>803</v>
      </c>
      <c r="D600" s="17" t="s">
        <v>801</v>
      </c>
      <c r="E600" s="18">
        <v>3003220002011</v>
      </c>
      <c r="G600" s="20" t="str">
        <f t="shared" si="27"/>
        <v xml:space="preserve"> ANSES/F.CUIR    </v>
      </c>
      <c r="H600" s="20" t="str">
        <f t="shared" si="28"/>
        <v>NATUR</v>
      </c>
      <c r="I600" s="20" t="str">
        <f t="shared" si="29"/>
        <v xml:space="preserve">S    </v>
      </c>
    </row>
    <row r="601" spans="1:9">
      <c r="A601" s="17" t="s">
        <v>874</v>
      </c>
      <c r="B601" s="17" t="s">
        <v>859</v>
      </c>
      <c r="C601" s="17" t="s">
        <v>803</v>
      </c>
      <c r="D601" s="17" t="s">
        <v>801</v>
      </c>
      <c r="E601" s="18">
        <v>8058983597132</v>
      </c>
      <c r="G601" s="20" t="str">
        <f t="shared" si="27"/>
        <v xml:space="preserve"> ANSES/F.CUIR    </v>
      </c>
      <c r="H601" s="20" t="str">
        <f t="shared" si="28"/>
        <v>NATUR</v>
      </c>
      <c r="I601" s="20" t="str">
        <f t="shared" si="29"/>
        <v xml:space="preserve">S    </v>
      </c>
    </row>
    <row r="602" spans="1:9">
      <c r="A602" s="17" t="s">
        <v>874</v>
      </c>
      <c r="B602" s="17" t="s">
        <v>859</v>
      </c>
      <c r="C602" s="17" t="s">
        <v>804</v>
      </c>
      <c r="D602" s="17" t="s">
        <v>801</v>
      </c>
      <c r="E602" s="18">
        <v>3003220002042</v>
      </c>
      <c r="G602" s="20" t="str">
        <f t="shared" si="27"/>
        <v xml:space="preserve"> ANSES/F.CUIR    </v>
      </c>
      <c r="H602" s="20" t="str">
        <f t="shared" si="28"/>
        <v>NATUR</v>
      </c>
      <c r="I602" s="20" t="str">
        <f t="shared" si="29"/>
        <v xml:space="preserve">XL   </v>
      </c>
    </row>
    <row r="603" spans="1:9">
      <c r="A603" s="17" t="s">
        <v>874</v>
      </c>
      <c r="B603" s="17" t="s">
        <v>859</v>
      </c>
      <c r="C603" s="17" t="s">
        <v>805</v>
      </c>
      <c r="D603" s="17" t="s">
        <v>801</v>
      </c>
      <c r="E603" s="18">
        <v>3003220002004</v>
      </c>
      <c r="G603" s="20" t="str">
        <f t="shared" si="27"/>
        <v xml:space="preserve"> ANSES/F.CUIR    </v>
      </c>
      <c r="H603" s="20" t="str">
        <f t="shared" si="28"/>
        <v>NATUR</v>
      </c>
      <c r="I603" s="20" t="str">
        <f t="shared" si="29"/>
        <v xml:space="preserve">XS   </v>
      </c>
    </row>
    <row r="604" spans="1:9">
      <c r="A604" s="17" t="s">
        <v>874</v>
      </c>
      <c r="B604" s="17" t="s">
        <v>909</v>
      </c>
      <c r="C604" s="17" t="s">
        <v>800</v>
      </c>
      <c r="D604" s="17" t="s">
        <v>801</v>
      </c>
      <c r="E604" s="18">
        <v>3002310570034</v>
      </c>
      <c r="G604" s="20" t="str">
        <f t="shared" si="27"/>
        <v xml:space="preserve"> ANSES/F.CUIR    </v>
      </c>
      <c r="H604" s="20" t="str">
        <f t="shared" si="28"/>
        <v>OBLOM</v>
      </c>
      <c r="I604" s="20" t="str">
        <f t="shared" si="29"/>
        <v xml:space="preserve">L    </v>
      </c>
    </row>
    <row r="605" spans="1:9">
      <c r="A605" s="17" t="s">
        <v>874</v>
      </c>
      <c r="B605" s="17" t="s">
        <v>909</v>
      </c>
      <c r="C605" s="17" t="s">
        <v>802</v>
      </c>
      <c r="D605" s="17" t="s">
        <v>801</v>
      </c>
      <c r="E605" s="18">
        <v>3002310570027</v>
      </c>
      <c r="G605" s="20" t="str">
        <f t="shared" si="27"/>
        <v xml:space="preserve"> ANSES/F.CUIR    </v>
      </c>
      <c r="H605" s="20" t="str">
        <f t="shared" si="28"/>
        <v>OBLOM</v>
      </c>
      <c r="I605" s="20" t="str">
        <f t="shared" si="29"/>
        <v xml:space="preserve">M    </v>
      </c>
    </row>
    <row r="606" spans="1:9">
      <c r="A606" s="17" t="s">
        <v>874</v>
      </c>
      <c r="B606" s="17" t="s">
        <v>909</v>
      </c>
      <c r="C606" s="17" t="s">
        <v>803</v>
      </c>
      <c r="D606" s="17" t="s">
        <v>801</v>
      </c>
      <c r="E606" s="18">
        <v>3002310570010</v>
      </c>
      <c r="G606" s="20" t="str">
        <f t="shared" si="27"/>
        <v xml:space="preserve"> ANSES/F.CUIR    </v>
      </c>
      <c r="H606" s="20" t="str">
        <f t="shared" si="28"/>
        <v>OBLOM</v>
      </c>
      <c r="I606" s="20" t="str">
        <f t="shared" si="29"/>
        <v xml:space="preserve">S    </v>
      </c>
    </row>
    <row r="607" spans="1:9">
      <c r="A607" s="17" t="s">
        <v>874</v>
      </c>
      <c r="B607" s="17" t="s">
        <v>909</v>
      </c>
      <c r="C607" s="17" t="s">
        <v>804</v>
      </c>
      <c r="D607" s="17" t="s">
        <v>801</v>
      </c>
      <c r="E607" s="18">
        <v>3002310570041</v>
      </c>
      <c r="G607" s="20" t="str">
        <f t="shared" si="27"/>
        <v xml:space="preserve"> ANSES/F.CUIR    </v>
      </c>
      <c r="H607" s="20" t="str">
        <f t="shared" si="28"/>
        <v>OBLOM</v>
      </c>
      <c r="I607" s="20" t="str">
        <f t="shared" si="29"/>
        <v xml:space="preserve">XL   </v>
      </c>
    </row>
    <row r="608" spans="1:9">
      <c r="A608" s="17" t="s">
        <v>874</v>
      </c>
      <c r="B608" s="17" t="s">
        <v>909</v>
      </c>
      <c r="C608" s="17" t="s">
        <v>805</v>
      </c>
      <c r="D608" s="17" t="s">
        <v>801</v>
      </c>
      <c r="E608" s="18">
        <v>3002310570003</v>
      </c>
      <c r="G608" s="20" t="str">
        <f t="shared" si="27"/>
        <v xml:space="preserve"> ANSES/F.CUIR    </v>
      </c>
      <c r="H608" s="20" t="str">
        <f t="shared" si="28"/>
        <v>OBLOM</v>
      </c>
      <c r="I608" s="20" t="str">
        <f t="shared" si="29"/>
        <v xml:space="preserve">XS   </v>
      </c>
    </row>
    <row r="609" spans="1:9">
      <c r="A609" s="17" t="s">
        <v>874</v>
      </c>
      <c r="B609" s="17" t="s">
        <v>910</v>
      </c>
      <c r="C609" s="17" t="s">
        <v>800</v>
      </c>
      <c r="D609" s="17" t="s">
        <v>801</v>
      </c>
      <c r="E609" s="18">
        <v>3002310569038</v>
      </c>
      <c r="G609" s="20" t="str">
        <f t="shared" si="27"/>
        <v xml:space="preserve"> ANSES/F.CUIR    </v>
      </c>
      <c r="H609" s="20" t="str">
        <f t="shared" si="28"/>
        <v>OBLON</v>
      </c>
      <c r="I609" s="20" t="str">
        <f t="shared" si="29"/>
        <v xml:space="preserve">L    </v>
      </c>
    </row>
    <row r="610" spans="1:9">
      <c r="A610" s="17" t="s">
        <v>874</v>
      </c>
      <c r="B610" s="17" t="s">
        <v>910</v>
      </c>
      <c r="C610" s="17" t="s">
        <v>802</v>
      </c>
      <c r="D610" s="17" t="s">
        <v>801</v>
      </c>
      <c r="E610" s="18">
        <v>3002310569021</v>
      </c>
      <c r="G610" s="20" t="str">
        <f t="shared" si="27"/>
        <v xml:space="preserve"> ANSES/F.CUIR    </v>
      </c>
      <c r="H610" s="20" t="str">
        <f t="shared" si="28"/>
        <v>OBLON</v>
      </c>
      <c r="I610" s="20" t="str">
        <f t="shared" si="29"/>
        <v xml:space="preserve">M    </v>
      </c>
    </row>
    <row r="611" spans="1:9">
      <c r="A611" s="17" t="s">
        <v>874</v>
      </c>
      <c r="B611" s="17" t="s">
        <v>910</v>
      </c>
      <c r="C611" s="17" t="s">
        <v>803</v>
      </c>
      <c r="D611" s="17" t="s">
        <v>801</v>
      </c>
      <c r="E611" s="18">
        <v>3002310569014</v>
      </c>
      <c r="G611" s="20" t="str">
        <f t="shared" si="27"/>
        <v xml:space="preserve"> ANSES/F.CUIR    </v>
      </c>
      <c r="H611" s="20" t="str">
        <f t="shared" si="28"/>
        <v>OBLON</v>
      </c>
      <c r="I611" s="20" t="str">
        <f t="shared" si="29"/>
        <v xml:space="preserve">S    </v>
      </c>
    </row>
    <row r="612" spans="1:9">
      <c r="A612" s="17" t="s">
        <v>874</v>
      </c>
      <c r="B612" s="17" t="s">
        <v>910</v>
      </c>
      <c r="C612" s="17" t="s">
        <v>804</v>
      </c>
      <c r="D612" s="17" t="s">
        <v>801</v>
      </c>
      <c r="E612" s="18">
        <v>3002310569045</v>
      </c>
      <c r="G612" s="20" t="str">
        <f t="shared" si="27"/>
        <v xml:space="preserve"> ANSES/F.CUIR    </v>
      </c>
      <c r="H612" s="20" t="str">
        <f t="shared" si="28"/>
        <v>OBLON</v>
      </c>
      <c r="I612" s="20" t="str">
        <f t="shared" si="29"/>
        <v xml:space="preserve">XL   </v>
      </c>
    </row>
    <row r="613" spans="1:9">
      <c r="A613" s="17" t="s">
        <v>874</v>
      </c>
      <c r="B613" s="17" t="s">
        <v>910</v>
      </c>
      <c r="C613" s="17" t="s">
        <v>805</v>
      </c>
      <c r="D613" s="17" t="s">
        <v>801</v>
      </c>
      <c r="E613" s="18">
        <v>3002310569007</v>
      </c>
      <c r="G613" s="20" t="str">
        <f t="shared" si="27"/>
        <v xml:space="preserve"> ANSES/F.CUIR    </v>
      </c>
      <c r="H613" s="20" t="str">
        <f t="shared" si="28"/>
        <v>OBLON</v>
      </c>
      <c r="I613" s="20" t="str">
        <f t="shared" si="29"/>
        <v xml:space="preserve">XS   </v>
      </c>
    </row>
    <row r="614" spans="1:9">
      <c r="A614" s="17" t="s">
        <v>874</v>
      </c>
      <c r="B614" s="17" t="s">
        <v>911</v>
      </c>
      <c r="C614" s="17" t="s">
        <v>800</v>
      </c>
      <c r="D614" s="17" t="s">
        <v>801</v>
      </c>
      <c r="E614" s="18">
        <v>3002310599035</v>
      </c>
      <c r="G614" s="20" t="str">
        <f t="shared" si="27"/>
        <v xml:space="preserve"> ANSES/F.CUIR    </v>
      </c>
      <c r="H614" s="20" t="str">
        <f t="shared" si="28"/>
        <v>OBNAT</v>
      </c>
      <c r="I614" s="20" t="str">
        <f t="shared" si="29"/>
        <v xml:space="preserve">L    </v>
      </c>
    </row>
    <row r="615" spans="1:9">
      <c r="A615" s="17" t="s">
        <v>874</v>
      </c>
      <c r="B615" s="17" t="s">
        <v>911</v>
      </c>
      <c r="C615" s="17" t="s">
        <v>802</v>
      </c>
      <c r="D615" s="17" t="s">
        <v>801</v>
      </c>
      <c r="E615" s="18">
        <v>3002310599028</v>
      </c>
      <c r="G615" s="20" t="str">
        <f t="shared" si="27"/>
        <v xml:space="preserve"> ANSES/F.CUIR    </v>
      </c>
      <c r="H615" s="20" t="str">
        <f t="shared" si="28"/>
        <v>OBNAT</v>
      </c>
      <c r="I615" s="20" t="str">
        <f t="shared" si="29"/>
        <v xml:space="preserve">M    </v>
      </c>
    </row>
    <row r="616" spans="1:9">
      <c r="A616" s="17" t="s">
        <v>874</v>
      </c>
      <c r="B616" s="17" t="s">
        <v>911</v>
      </c>
      <c r="C616" s="17" t="s">
        <v>803</v>
      </c>
      <c r="D616" s="17" t="s">
        <v>801</v>
      </c>
      <c r="E616" s="18">
        <v>3002310599011</v>
      </c>
      <c r="G616" s="20" t="str">
        <f t="shared" si="27"/>
        <v xml:space="preserve"> ANSES/F.CUIR    </v>
      </c>
      <c r="H616" s="20" t="str">
        <f t="shared" si="28"/>
        <v>OBNAT</v>
      </c>
      <c r="I616" s="20" t="str">
        <f t="shared" si="29"/>
        <v xml:space="preserve">S    </v>
      </c>
    </row>
    <row r="617" spans="1:9">
      <c r="A617" s="17" t="s">
        <v>874</v>
      </c>
      <c r="B617" s="17" t="s">
        <v>911</v>
      </c>
      <c r="C617" s="17" t="s">
        <v>804</v>
      </c>
      <c r="D617" s="17" t="s">
        <v>801</v>
      </c>
      <c r="E617" s="18">
        <v>3002310599042</v>
      </c>
      <c r="G617" s="20" t="str">
        <f t="shared" si="27"/>
        <v xml:space="preserve"> ANSES/F.CUIR    </v>
      </c>
      <c r="H617" s="20" t="str">
        <f t="shared" si="28"/>
        <v>OBNAT</v>
      </c>
      <c r="I617" s="20" t="str">
        <f t="shared" si="29"/>
        <v xml:space="preserve">XL   </v>
      </c>
    </row>
    <row r="618" spans="1:9">
      <c r="A618" s="17" t="s">
        <v>874</v>
      </c>
      <c r="B618" s="17" t="s">
        <v>911</v>
      </c>
      <c r="C618" s="17" t="s">
        <v>805</v>
      </c>
      <c r="D618" s="17" t="s">
        <v>801</v>
      </c>
      <c r="E618" s="18">
        <v>3002310599004</v>
      </c>
      <c r="G618" s="20" t="str">
        <f t="shared" si="27"/>
        <v xml:space="preserve"> ANSES/F.CUIR    </v>
      </c>
      <c r="H618" s="20" t="str">
        <f t="shared" si="28"/>
        <v>OBNAT</v>
      </c>
      <c r="I618" s="20" t="str">
        <f t="shared" si="29"/>
        <v xml:space="preserve">XS   </v>
      </c>
    </row>
    <row r="619" spans="1:9">
      <c r="A619" s="17" t="s">
        <v>874</v>
      </c>
      <c r="B619" s="17" t="s">
        <v>912</v>
      </c>
      <c r="C619" s="17" t="s">
        <v>800</v>
      </c>
      <c r="D619" s="17" t="s">
        <v>801</v>
      </c>
      <c r="E619" s="18">
        <v>3020361008030</v>
      </c>
      <c r="G619" s="20" t="str">
        <f t="shared" si="27"/>
        <v xml:space="preserve"> ANSES/F.CUIR    </v>
      </c>
      <c r="H619" s="20" t="str">
        <f t="shared" si="28"/>
        <v>PETRO</v>
      </c>
      <c r="I619" s="20" t="str">
        <f t="shared" si="29"/>
        <v xml:space="preserve">L    </v>
      </c>
    </row>
    <row r="620" spans="1:9">
      <c r="A620" s="17" t="s">
        <v>874</v>
      </c>
      <c r="B620" s="17" t="s">
        <v>912</v>
      </c>
      <c r="C620" s="17" t="s">
        <v>802</v>
      </c>
      <c r="D620" s="17" t="s">
        <v>801</v>
      </c>
      <c r="E620" s="18">
        <v>3020361008023</v>
      </c>
      <c r="G620" s="20" t="str">
        <f t="shared" si="27"/>
        <v xml:space="preserve"> ANSES/F.CUIR    </v>
      </c>
      <c r="H620" s="20" t="str">
        <f t="shared" si="28"/>
        <v>PETRO</v>
      </c>
      <c r="I620" s="20" t="str">
        <f t="shared" si="29"/>
        <v xml:space="preserve">M    </v>
      </c>
    </row>
    <row r="621" spans="1:9">
      <c r="A621" s="17" t="s">
        <v>874</v>
      </c>
      <c r="B621" s="17" t="s">
        <v>912</v>
      </c>
      <c r="C621" s="17" t="s">
        <v>803</v>
      </c>
      <c r="D621" s="17" t="s">
        <v>801</v>
      </c>
      <c r="E621" s="18">
        <v>3020361008016</v>
      </c>
      <c r="G621" s="20" t="str">
        <f t="shared" si="27"/>
        <v xml:space="preserve"> ANSES/F.CUIR    </v>
      </c>
      <c r="H621" s="20" t="str">
        <f t="shared" si="28"/>
        <v>PETRO</v>
      </c>
      <c r="I621" s="20" t="str">
        <f t="shared" si="29"/>
        <v xml:space="preserve">S    </v>
      </c>
    </row>
    <row r="622" spans="1:9">
      <c r="A622" s="17" t="s">
        <v>874</v>
      </c>
      <c r="B622" s="17" t="s">
        <v>912</v>
      </c>
      <c r="C622" s="17" t="s">
        <v>804</v>
      </c>
      <c r="D622" s="17" t="s">
        <v>801</v>
      </c>
      <c r="E622" s="18">
        <v>3020361008047</v>
      </c>
      <c r="G622" s="20" t="str">
        <f t="shared" si="27"/>
        <v xml:space="preserve"> ANSES/F.CUIR    </v>
      </c>
      <c r="H622" s="20" t="str">
        <f t="shared" si="28"/>
        <v>PETRO</v>
      </c>
      <c r="I622" s="20" t="str">
        <f t="shared" si="29"/>
        <v xml:space="preserve">XL   </v>
      </c>
    </row>
    <row r="623" spans="1:9">
      <c r="A623" s="17" t="s">
        <v>874</v>
      </c>
      <c r="B623" s="17" t="s">
        <v>912</v>
      </c>
      <c r="C623" s="17" t="s">
        <v>805</v>
      </c>
      <c r="D623" s="17" t="s">
        <v>801</v>
      </c>
      <c r="E623" s="18">
        <v>3020361008009</v>
      </c>
      <c r="G623" s="20" t="str">
        <f t="shared" si="27"/>
        <v xml:space="preserve"> ANSES/F.CUIR    </v>
      </c>
      <c r="H623" s="20" t="str">
        <f t="shared" si="28"/>
        <v>PETRO</v>
      </c>
      <c r="I623" s="20" t="str">
        <f t="shared" si="29"/>
        <v xml:space="preserve">XS   </v>
      </c>
    </row>
    <row r="624" spans="1:9">
      <c r="A624" s="17" t="s">
        <v>874</v>
      </c>
      <c r="B624" s="17" t="s">
        <v>913</v>
      </c>
      <c r="C624" s="17" t="s">
        <v>800</v>
      </c>
      <c r="D624" s="17" t="s">
        <v>801</v>
      </c>
      <c r="E624" s="18">
        <v>3002310385034</v>
      </c>
      <c r="G624" s="20" t="str">
        <f t="shared" si="27"/>
        <v xml:space="preserve"> ANSES/F.CUIR    </v>
      </c>
      <c r="H624" s="20" t="str">
        <f t="shared" si="28"/>
        <v xml:space="preserve">PLUM </v>
      </c>
      <c r="I624" s="20" t="str">
        <f t="shared" si="29"/>
        <v xml:space="preserve">L    </v>
      </c>
    </row>
    <row r="625" spans="1:9">
      <c r="A625" s="17" t="s">
        <v>874</v>
      </c>
      <c r="B625" s="17" t="s">
        <v>913</v>
      </c>
      <c r="C625" s="17" t="s">
        <v>802</v>
      </c>
      <c r="D625" s="17" t="s">
        <v>801</v>
      </c>
      <c r="E625" s="18">
        <v>3002310385027</v>
      </c>
      <c r="G625" s="20" t="str">
        <f t="shared" si="27"/>
        <v xml:space="preserve"> ANSES/F.CUIR    </v>
      </c>
      <c r="H625" s="20" t="str">
        <f t="shared" si="28"/>
        <v xml:space="preserve">PLUM </v>
      </c>
      <c r="I625" s="20" t="str">
        <f t="shared" si="29"/>
        <v xml:space="preserve">M    </v>
      </c>
    </row>
    <row r="626" spans="1:9">
      <c r="A626" s="17" t="s">
        <v>874</v>
      </c>
      <c r="B626" s="17" t="s">
        <v>913</v>
      </c>
      <c r="C626" s="17" t="s">
        <v>803</v>
      </c>
      <c r="D626" s="17" t="s">
        <v>801</v>
      </c>
      <c r="E626" s="18">
        <v>3002310385010</v>
      </c>
      <c r="G626" s="20" t="str">
        <f t="shared" si="27"/>
        <v xml:space="preserve"> ANSES/F.CUIR    </v>
      </c>
      <c r="H626" s="20" t="str">
        <f t="shared" si="28"/>
        <v xml:space="preserve">PLUM </v>
      </c>
      <c r="I626" s="20" t="str">
        <f t="shared" si="29"/>
        <v xml:space="preserve">S    </v>
      </c>
    </row>
    <row r="627" spans="1:9">
      <c r="A627" s="17" t="s">
        <v>874</v>
      </c>
      <c r="B627" s="17" t="s">
        <v>913</v>
      </c>
      <c r="C627" s="17" t="s">
        <v>804</v>
      </c>
      <c r="D627" s="17" t="s">
        <v>801</v>
      </c>
      <c r="E627" s="18">
        <v>3002310385041</v>
      </c>
      <c r="G627" s="20" t="str">
        <f t="shared" si="27"/>
        <v xml:space="preserve"> ANSES/F.CUIR    </v>
      </c>
      <c r="H627" s="20" t="str">
        <f t="shared" si="28"/>
        <v xml:space="preserve">PLUM </v>
      </c>
      <c r="I627" s="20" t="str">
        <f t="shared" si="29"/>
        <v xml:space="preserve">XL   </v>
      </c>
    </row>
    <row r="628" spans="1:9">
      <c r="A628" s="17" t="s">
        <v>874</v>
      </c>
      <c r="B628" s="17" t="s">
        <v>913</v>
      </c>
      <c r="C628" s="17" t="s">
        <v>805</v>
      </c>
      <c r="D628" s="17" t="s">
        <v>801</v>
      </c>
      <c r="E628" s="18">
        <v>3002310385003</v>
      </c>
      <c r="G628" s="20" t="str">
        <f t="shared" si="27"/>
        <v xml:space="preserve"> ANSES/F.CUIR    </v>
      </c>
      <c r="H628" s="20" t="str">
        <f t="shared" si="28"/>
        <v xml:space="preserve">PLUM </v>
      </c>
      <c r="I628" s="20" t="str">
        <f t="shared" si="29"/>
        <v xml:space="preserve">XS   </v>
      </c>
    </row>
    <row r="629" spans="1:9">
      <c r="A629" s="17" t="s">
        <v>874</v>
      </c>
      <c r="B629" s="17" t="s">
        <v>914</v>
      </c>
      <c r="C629" s="17" t="s">
        <v>800</v>
      </c>
      <c r="D629" s="17" t="s">
        <v>801</v>
      </c>
      <c r="E629" s="18">
        <v>3020360610036</v>
      </c>
      <c r="G629" s="20" t="str">
        <f t="shared" si="27"/>
        <v xml:space="preserve"> ANSES/F.CUIR    </v>
      </c>
      <c r="H629" s="20" t="str">
        <f t="shared" si="28"/>
        <v xml:space="preserve">PURP </v>
      </c>
      <c r="I629" s="20" t="str">
        <f t="shared" si="29"/>
        <v xml:space="preserve">L    </v>
      </c>
    </row>
    <row r="630" spans="1:9">
      <c r="A630" s="17" t="s">
        <v>874</v>
      </c>
      <c r="B630" s="17" t="s">
        <v>914</v>
      </c>
      <c r="C630" s="17" t="s">
        <v>802</v>
      </c>
      <c r="D630" s="17" t="s">
        <v>801</v>
      </c>
      <c r="E630" s="18">
        <v>3020360610029</v>
      </c>
      <c r="G630" s="20" t="str">
        <f t="shared" si="27"/>
        <v xml:space="preserve"> ANSES/F.CUIR    </v>
      </c>
      <c r="H630" s="20" t="str">
        <f t="shared" si="28"/>
        <v xml:space="preserve">PURP </v>
      </c>
      <c r="I630" s="20" t="str">
        <f t="shared" si="29"/>
        <v xml:space="preserve">M    </v>
      </c>
    </row>
    <row r="631" spans="1:9">
      <c r="A631" s="17" t="s">
        <v>874</v>
      </c>
      <c r="B631" s="17" t="s">
        <v>914</v>
      </c>
      <c r="C631" s="17" t="s">
        <v>803</v>
      </c>
      <c r="D631" s="17" t="s">
        <v>801</v>
      </c>
      <c r="E631" s="18">
        <v>3020360610012</v>
      </c>
      <c r="G631" s="20" t="str">
        <f t="shared" si="27"/>
        <v xml:space="preserve"> ANSES/F.CUIR    </v>
      </c>
      <c r="H631" s="20" t="str">
        <f t="shared" si="28"/>
        <v xml:space="preserve">PURP </v>
      </c>
      <c r="I631" s="20" t="str">
        <f t="shared" si="29"/>
        <v xml:space="preserve">S    </v>
      </c>
    </row>
    <row r="632" spans="1:9">
      <c r="A632" s="17" t="s">
        <v>874</v>
      </c>
      <c r="B632" s="17" t="s">
        <v>914</v>
      </c>
      <c r="C632" s="17" t="s">
        <v>804</v>
      </c>
      <c r="D632" s="17" t="s">
        <v>801</v>
      </c>
      <c r="E632" s="18">
        <v>3020360610043</v>
      </c>
      <c r="G632" s="20" t="str">
        <f t="shared" si="27"/>
        <v xml:space="preserve"> ANSES/F.CUIR    </v>
      </c>
      <c r="H632" s="20" t="str">
        <f t="shared" si="28"/>
        <v xml:space="preserve">PURP </v>
      </c>
      <c r="I632" s="20" t="str">
        <f t="shared" si="29"/>
        <v xml:space="preserve">XL   </v>
      </c>
    </row>
    <row r="633" spans="1:9">
      <c r="A633" s="17" t="s">
        <v>874</v>
      </c>
      <c r="B633" s="17" t="s">
        <v>914</v>
      </c>
      <c r="C633" s="17" t="s">
        <v>805</v>
      </c>
      <c r="D633" s="17" t="s">
        <v>801</v>
      </c>
      <c r="E633" s="18">
        <v>3020360610005</v>
      </c>
      <c r="G633" s="20" t="str">
        <f t="shared" si="27"/>
        <v xml:space="preserve"> ANSES/F.CUIR    </v>
      </c>
      <c r="H633" s="20" t="str">
        <f t="shared" si="28"/>
        <v xml:space="preserve">PURP </v>
      </c>
      <c r="I633" s="20" t="str">
        <f t="shared" si="29"/>
        <v xml:space="preserve">XS   </v>
      </c>
    </row>
    <row r="634" spans="1:9">
      <c r="A634" s="17" t="s">
        <v>874</v>
      </c>
      <c r="B634" s="17" t="s">
        <v>816</v>
      </c>
      <c r="C634" s="17" t="s">
        <v>800</v>
      </c>
      <c r="D634" s="17" t="s">
        <v>801</v>
      </c>
      <c r="E634" s="18">
        <v>3020360394035</v>
      </c>
      <c r="G634" s="20" t="str">
        <f t="shared" si="27"/>
        <v xml:space="preserve"> ANSES/F.CUIR    </v>
      </c>
      <c r="H634" s="20" t="str">
        <f t="shared" si="28"/>
        <v xml:space="preserve">RED  </v>
      </c>
      <c r="I634" s="20" t="str">
        <f t="shared" si="29"/>
        <v xml:space="preserve">L    </v>
      </c>
    </row>
    <row r="635" spans="1:9">
      <c r="A635" s="17" t="s">
        <v>874</v>
      </c>
      <c r="B635" s="17" t="s">
        <v>816</v>
      </c>
      <c r="C635" s="17" t="s">
        <v>802</v>
      </c>
      <c r="D635" s="17" t="s">
        <v>801</v>
      </c>
      <c r="E635" s="18">
        <v>3020360394028</v>
      </c>
      <c r="G635" s="20" t="str">
        <f t="shared" si="27"/>
        <v xml:space="preserve"> ANSES/F.CUIR    </v>
      </c>
      <c r="H635" s="20" t="str">
        <f t="shared" si="28"/>
        <v xml:space="preserve">RED  </v>
      </c>
      <c r="I635" s="20" t="str">
        <f t="shared" si="29"/>
        <v xml:space="preserve">M    </v>
      </c>
    </row>
    <row r="636" spans="1:9">
      <c r="A636" s="17" t="s">
        <v>874</v>
      </c>
      <c r="B636" s="17" t="s">
        <v>816</v>
      </c>
      <c r="C636" s="17" t="s">
        <v>803</v>
      </c>
      <c r="D636" s="17" t="s">
        <v>801</v>
      </c>
      <c r="E636" s="18">
        <v>3020360394011</v>
      </c>
      <c r="G636" s="20" t="str">
        <f t="shared" si="27"/>
        <v xml:space="preserve"> ANSES/F.CUIR    </v>
      </c>
      <c r="H636" s="20" t="str">
        <f t="shared" si="28"/>
        <v xml:space="preserve">RED  </v>
      </c>
      <c r="I636" s="20" t="str">
        <f t="shared" si="29"/>
        <v xml:space="preserve">S    </v>
      </c>
    </row>
    <row r="637" spans="1:9">
      <c r="A637" s="17" t="s">
        <v>874</v>
      </c>
      <c r="B637" s="17" t="s">
        <v>816</v>
      </c>
      <c r="C637" s="17" t="s">
        <v>804</v>
      </c>
      <c r="D637" s="17" t="s">
        <v>801</v>
      </c>
      <c r="E637" s="18">
        <v>3020360394042</v>
      </c>
      <c r="G637" s="20" t="str">
        <f t="shared" si="27"/>
        <v xml:space="preserve"> ANSES/F.CUIR    </v>
      </c>
      <c r="H637" s="20" t="str">
        <f t="shared" si="28"/>
        <v xml:space="preserve">RED  </v>
      </c>
      <c r="I637" s="20" t="str">
        <f t="shared" si="29"/>
        <v xml:space="preserve">XL   </v>
      </c>
    </row>
    <row r="638" spans="1:9">
      <c r="A638" s="17" t="s">
        <v>874</v>
      </c>
      <c r="B638" s="17" t="s">
        <v>816</v>
      </c>
      <c r="C638" s="17" t="s">
        <v>805</v>
      </c>
      <c r="D638" s="17" t="s">
        <v>801</v>
      </c>
      <c r="E638" s="18">
        <v>3020360394004</v>
      </c>
      <c r="G638" s="20" t="str">
        <f t="shared" si="27"/>
        <v xml:space="preserve"> ANSES/F.CUIR    </v>
      </c>
      <c r="H638" s="20" t="str">
        <f t="shared" si="28"/>
        <v xml:space="preserve">RED  </v>
      </c>
      <c r="I638" s="20" t="str">
        <f t="shared" si="29"/>
        <v xml:space="preserve">XS   </v>
      </c>
    </row>
    <row r="639" spans="1:9">
      <c r="A639" s="17" t="s">
        <v>874</v>
      </c>
      <c r="B639" s="17" t="s">
        <v>915</v>
      </c>
      <c r="C639" s="17" t="s">
        <v>800</v>
      </c>
      <c r="D639" s="17" t="s">
        <v>801</v>
      </c>
      <c r="E639" s="18">
        <v>3002310634033</v>
      </c>
      <c r="G639" s="20" t="str">
        <f t="shared" si="27"/>
        <v xml:space="preserve"> ANSES/F.CUIR    </v>
      </c>
      <c r="H639" s="20" t="str">
        <f t="shared" si="28"/>
        <v>SERJA</v>
      </c>
      <c r="I639" s="20" t="str">
        <f t="shared" si="29"/>
        <v xml:space="preserve">L    </v>
      </c>
    </row>
    <row r="640" spans="1:9">
      <c r="A640" s="17" t="s">
        <v>874</v>
      </c>
      <c r="B640" s="17" t="s">
        <v>915</v>
      </c>
      <c r="C640" s="17" t="s">
        <v>802</v>
      </c>
      <c r="D640" s="17" t="s">
        <v>801</v>
      </c>
      <c r="E640" s="18">
        <v>3002310634026</v>
      </c>
      <c r="G640" s="20" t="str">
        <f t="shared" si="27"/>
        <v xml:space="preserve"> ANSES/F.CUIR    </v>
      </c>
      <c r="H640" s="20" t="str">
        <f t="shared" si="28"/>
        <v>SERJA</v>
      </c>
      <c r="I640" s="20" t="str">
        <f t="shared" si="29"/>
        <v xml:space="preserve">M    </v>
      </c>
    </row>
    <row r="641" spans="1:9">
      <c r="A641" s="17" t="s">
        <v>874</v>
      </c>
      <c r="B641" s="17" t="s">
        <v>915</v>
      </c>
      <c r="C641" s="17" t="s">
        <v>803</v>
      </c>
      <c r="D641" s="17" t="s">
        <v>801</v>
      </c>
      <c r="E641" s="18">
        <v>3002310634019</v>
      </c>
      <c r="G641" s="20" t="str">
        <f t="shared" si="27"/>
        <v xml:space="preserve"> ANSES/F.CUIR    </v>
      </c>
      <c r="H641" s="20" t="str">
        <f t="shared" si="28"/>
        <v>SERJA</v>
      </c>
      <c r="I641" s="20" t="str">
        <f t="shared" si="29"/>
        <v xml:space="preserve">S    </v>
      </c>
    </row>
    <row r="642" spans="1:9">
      <c r="A642" s="17" t="s">
        <v>874</v>
      </c>
      <c r="B642" s="17" t="s">
        <v>915</v>
      </c>
      <c r="C642" s="17" t="s">
        <v>803</v>
      </c>
      <c r="D642" s="17" t="s">
        <v>801</v>
      </c>
      <c r="E642" s="18">
        <v>8050450212166</v>
      </c>
      <c r="G642" s="20" t="str">
        <f t="shared" si="27"/>
        <v xml:space="preserve"> ANSES/F.CUIR    </v>
      </c>
      <c r="H642" s="20" t="str">
        <f t="shared" si="28"/>
        <v>SERJA</v>
      </c>
      <c r="I642" s="20" t="str">
        <f t="shared" si="29"/>
        <v xml:space="preserve">S    </v>
      </c>
    </row>
    <row r="643" spans="1:9">
      <c r="A643" s="17" t="s">
        <v>874</v>
      </c>
      <c r="B643" s="17" t="s">
        <v>915</v>
      </c>
      <c r="C643" s="17" t="s">
        <v>804</v>
      </c>
      <c r="D643" s="17" t="s">
        <v>801</v>
      </c>
      <c r="E643" s="18">
        <v>3002310634040</v>
      </c>
      <c r="G643" s="20" t="str">
        <f t="shared" si="27"/>
        <v xml:space="preserve"> ANSES/F.CUIR    </v>
      </c>
      <c r="H643" s="20" t="str">
        <f t="shared" si="28"/>
        <v>SERJA</v>
      </c>
      <c r="I643" s="20" t="str">
        <f t="shared" si="29"/>
        <v xml:space="preserve">XL   </v>
      </c>
    </row>
    <row r="644" spans="1:9">
      <c r="A644" s="17" t="s">
        <v>874</v>
      </c>
      <c r="B644" s="17" t="s">
        <v>915</v>
      </c>
      <c r="C644" s="17" t="s">
        <v>805</v>
      </c>
      <c r="D644" s="17" t="s">
        <v>801</v>
      </c>
      <c r="E644" s="18">
        <v>3002310634002</v>
      </c>
      <c r="G644" s="20" t="str">
        <f t="shared" si="27"/>
        <v xml:space="preserve"> ANSES/F.CUIR    </v>
      </c>
      <c r="H644" s="20" t="str">
        <f t="shared" si="28"/>
        <v>SERJA</v>
      </c>
      <c r="I644" s="20" t="str">
        <f t="shared" si="29"/>
        <v xml:space="preserve">XS   </v>
      </c>
    </row>
    <row r="645" spans="1:9">
      <c r="A645" s="17" t="s">
        <v>874</v>
      </c>
      <c r="B645" s="17" t="s">
        <v>916</v>
      </c>
      <c r="C645" s="17" t="s">
        <v>800</v>
      </c>
      <c r="D645" s="17" t="s">
        <v>801</v>
      </c>
      <c r="E645" s="18">
        <v>3002310635030</v>
      </c>
      <c r="G645" s="20" t="str">
        <f t="shared" ref="G645:G708" si="30">A645</f>
        <v xml:space="preserve"> ANSES/F.CUIR    </v>
      </c>
      <c r="H645" s="20" t="str">
        <f t="shared" ref="H645:H708" si="31">B645</f>
        <v>SERNA</v>
      </c>
      <c r="I645" s="20" t="str">
        <f t="shared" ref="I645:I708" si="32">C645</f>
        <v xml:space="preserve">L    </v>
      </c>
    </row>
    <row r="646" spans="1:9">
      <c r="A646" s="17" t="s">
        <v>874</v>
      </c>
      <c r="B646" s="17" t="s">
        <v>916</v>
      </c>
      <c r="C646" s="17" t="s">
        <v>800</v>
      </c>
      <c r="D646" s="17" t="s">
        <v>801</v>
      </c>
      <c r="E646" s="18">
        <v>8050450212173</v>
      </c>
      <c r="G646" s="20" t="str">
        <f t="shared" si="30"/>
        <v xml:space="preserve"> ANSES/F.CUIR    </v>
      </c>
      <c r="H646" s="20" t="str">
        <f t="shared" si="31"/>
        <v>SERNA</v>
      </c>
      <c r="I646" s="20" t="str">
        <f t="shared" si="32"/>
        <v xml:space="preserve">L    </v>
      </c>
    </row>
    <row r="647" spans="1:9">
      <c r="A647" s="17" t="s">
        <v>874</v>
      </c>
      <c r="B647" s="17" t="s">
        <v>916</v>
      </c>
      <c r="C647" s="17" t="s">
        <v>802</v>
      </c>
      <c r="D647" s="17" t="s">
        <v>801</v>
      </c>
      <c r="E647" s="18">
        <v>3002310635023</v>
      </c>
      <c r="G647" s="20" t="str">
        <f t="shared" si="30"/>
        <v xml:space="preserve"> ANSES/F.CUIR    </v>
      </c>
      <c r="H647" s="20" t="str">
        <f t="shared" si="31"/>
        <v>SERNA</v>
      </c>
      <c r="I647" s="20" t="str">
        <f t="shared" si="32"/>
        <v xml:space="preserve">M    </v>
      </c>
    </row>
    <row r="648" spans="1:9">
      <c r="A648" s="17" t="s">
        <v>874</v>
      </c>
      <c r="B648" s="17" t="s">
        <v>916</v>
      </c>
      <c r="C648" s="17" t="s">
        <v>803</v>
      </c>
      <c r="D648" s="17" t="s">
        <v>801</v>
      </c>
      <c r="E648" s="18">
        <v>3002310635016</v>
      </c>
      <c r="G648" s="20" t="str">
        <f t="shared" si="30"/>
        <v xml:space="preserve"> ANSES/F.CUIR    </v>
      </c>
      <c r="H648" s="20" t="str">
        <f t="shared" si="31"/>
        <v>SERNA</v>
      </c>
      <c r="I648" s="20" t="str">
        <f t="shared" si="32"/>
        <v xml:space="preserve">S    </v>
      </c>
    </row>
    <row r="649" spans="1:9">
      <c r="A649" s="17" t="s">
        <v>874</v>
      </c>
      <c r="B649" s="17" t="s">
        <v>916</v>
      </c>
      <c r="C649" s="17" t="s">
        <v>803</v>
      </c>
      <c r="D649" s="17" t="s">
        <v>801</v>
      </c>
      <c r="E649" s="18">
        <v>8050450212326</v>
      </c>
      <c r="G649" s="20" t="str">
        <f t="shared" si="30"/>
        <v xml:space="preserve"> ANSES/F.CUIR    </v>
      </c>
      <c r="H649" s="20" t="str">
        <f t="shared" si="31"/>
        <v>SERNA</v>
      </c>
      <c r="I649" s="20" t="str">
        <f t="shared" si="32"/>
        <v xml:space="preserve">S    </v>
      </c>
    </row>
    <row r="650" spans="1:9">
      <c r="A650" s="17" t="s">
        <v>874</v>
      </c>
      <c r="B650" s="17" t="s">
        <v>916</v>
      </c>
      <c r="C650" s="17" t="s">
        <v>804</v>
      </c>
      <c r="D650" s="17" t="s">
        <v>801</v>
      </c>
      <c r="E650" s="18">
        <v>3002310635047</v>
      </c>
      <c r="G650" s="20" t="str">
        <f t="shared" si="30"/>
        <v xml:space="preserve"> ANSES/F.CUIR    </v>
      </c>
      <c r="H650" s="20" t="str">
        <f t="shared" si="31"/>
        <v>SERNA</v>
      </c>
      <c r="I650" s="20" t="str">
        <f t="shared" si="32"/>
        <v xml:space="preserve">XL   </v>
      </c>
    </row>
    <row r="651" spans="1:9">
      <c r="A651" s="17" t="s">
        <v>874</v>
      </c>
      <c r="B651" s="17" t="s">
        <v>916</v>
      </c>
      <c r="C651" s="17" t="s">
        <v>805</v>
      </c>
      <c r="D651" s="17" t="s">
        <v>801</v>
      </c>
      <c r="E651" s="18">
        <v>3002310635009</v>
      </c>
      <c r="G651" s="20" t="str">
        <f t="shared" si="30"/>
        <v xml:space="preserve"> ANSES/F.CUIR    </v>
      </c>
      <c r="H651" s="20" t="str">
        <f t="shared" si="31"/>
        <v>SERNA</v>
      </c>
      <c r="I651" s="20" t="str">
        <f t="shared" si="32"/>
        <v xml:space="preserve">XS   </v>
      </c>
    </row>
    <row r="652" spans="1:9">
      <c r="A652" s="17" t="s">
        <v>874</v>
      </c>
      <c r="B652" s="17" t="s">
        <v>917</v>
      </c>
      <c r="C652" s="17" t="s">
        <v>800</v>
      </c>
      <c r="D652" s="17" t="s">
        <v>801</v>
      </c>
      <c r="E652" s="18">
        <v>3002310636037</v>
      </c>
      <c r="G652" s="20" t="str">
        <f t="shared" si="30"/>
        <v xml:space="preserve"> ANSES/F.CUIR    </v>
      </c>
      <c r="H652" s="20" t="str">
        <f t="shared" si="31"/>
        <v>SERVE</v>
      </c>
      <c r="I652" s="20" t="str">
        <f t="shared" si="32"/>
        <v xml:space="preserve">L    </v>
      </c>
    </row>
    <row r="653" spans="1:9">
      <c r="A653" s="17" t="s">
        <v>874</v>
      </c>
      <c r="B653" s="17" t="s">
        <v>917</v>
      </c>
      <c r="C653" s="17" t="s">
        <v>800</v>
      </c>
      <c r="D653" s="17" t="s">
        <v>801</v>
      </c>
      <c r="E653" s="18">
        <v>8050450212180</v>
      </c>
      <c r="G653" s="20" t="str">
        <f t="shared" si="30"/>
        <v xml:space="preserve"> ANSES/F.CUIR    </v>
      </c>
      <c r="H653" s="20" t="str">
        <f t="shared" si="31"/>
        <v>SERVE</v>
      </c>
      <c r="I653" s="20" t="str">
        <f t="shared" si="32"/>
        <v xml:space="preserve">L    </v>
      </c>
    </row>
    <row r="654" spans="1:9">
      <c r="A654" s="17" t="s">
        <v>874</v>
      </c>
      <c r="B654" s="17" t="s">
        <v>917</v>
      </c>
      <c r="C654" s="17" t="s">
        <v>802</v>
      </c>
      <c r="D654" s="17" t="s">
        <v>801</v>
      </c>
      <c r="E654" s="18">
        <v>3002310636020</v>
      </c>
      <c r="G654" s="20" t="str">
        <f t="shared" si="30"/>
        <v xml:space="preserve"> ANSES/F.CUIR    </v>
      </c>
      <c r="H654" s="20" t="str">
        <f t="shared" si="31"/>
        <v>SERVE</v>
      </c>
      <c r="I654" s="20" t="str">
        <f t="shared" si="32"/>
        <v xml:space="preserve">M    </v>
      </c>
    </row>
    <row r="655" spans="1:9">
      <c r="A655" s="17" t="s">
        <v>874</v>
      </c>
      <c r="B655" s="17" t="s">
        <v>917</v>
      </c>
      <c r="C655" s="17" t="s">
        <v>803</v>
      </c>
      <c r="D655" s="17" t="s">
        <v>801</v>
      </c>
      <c r="E655" s="18">
        <v>3002310636013</v>
      </c>
      <c r="G655" s="20" t="str">
        <f t="shared" si="30"/>
        <v xml:space="preserve"> ANSES/F.CUIR    </v>
      </c>
      <c r="H655" s="20" t="str">
        <f t="shared" si="31"/>
        <v>SERVE</v>
      </c>
      <c r="I655" s="20" t="str">
        <f t="shared" si="32"/>
        <v xml:space="preserve">S    </v>
      </c>
    </row>
    <row r="656" spans="1:9">
      <c r="A656" s="17" t="s">
        <v>874</v>
      </c>
      <c r="B656" s="17" t="s">
        <v>917</v>
      </c>
      <c r="C656" s="17" t="s">
        <v>803</v>
      </c>
      <c r="D656" s="17" t="s">
        <v>801</v>
      </c>
      <c r="E656" s="18">
        <v>8050450212333</v>
      </c>
      <c r="G656" s="20" t="str">
        <f t="shared" si="30"/>
        <v xml:space="preserve"> ANSES/F.CUIR    </v>
      </c>
      <c r="H656" s="20" t="str">
        <f t="shared" si="31"/>
        <v>SERVE</v>
      </c>
      <c r="I656" s="20" t="str">
        <f t="shared" si="32"/>
        <v xml:space="preserve">S    </v>
      </c>
    </row>
    <row r="657" spans="1:9">
      <c r="A657" s="17" t="s">
        <v>874</v>
      </c>
      <c r="B657" s="17" t="s">
        <v>917</v>
      </c>
      <c r="C657" s="17" t="s">
        <v>804</v>
      </c>
      <c r="D657" s="17" t="s">
        <v>801</v>
      </c>
      <c r="E657" s="18">
        <v>3002310636044</v>
      </c>
      <c r="G657" s="20" t="str">
        <f t="shared" si="30"/>
        <v xml:space="preserve"> ANSES/F.CUIR    </v>
      </c>
      <c r="H657" s="20" t="str">
        <f t="shared" si="31"/>
        <v>SERVE</v>
      </c>
      <c r="I657" s="20" t="str">
        <f t="shared" si="32"/>
        <v xml:space="preserve">XL   </v>
      </c>
    </row>
    <row r="658" spans="1:9">
      <c r="A658" s="17" t="s">
        <v>874</v>
      </c>
      <c r="B658" s="17" t="s">
        <v>917</v>
      </c>
      <c r="C658" s="17" t="s">
        <v>805</v>
      </c>
      <c r="D658" s="17" t="s">
        <v>801</v>
      </c>
      <c r="E658" s="18">
        <v>3002310636006</v>
      </c>
      <c r="G658" s="20" t="str">
        <f t="shared" si="30"/>
        <v xml:space="preserve"> ANSES/F.CUIR    </v>
      </c>
      <c r="H658" s="20" t="str">
        <f t="shared" si="31"/>
        <v>SERVE</v>
      </c>
      <c r="I658" s="20" t="str">
        <f t="shared" si="32"/>
        <v xml:space="preserve">XS   </v>
      </c>
    </row>
    <row r="659" spans="1:9">
      <c r="A659" s="17" t="s">
        <v>874</v>
      </c>
      <c r="B659" s="17" t="s">
        <v>918</v>
      </c>
      <c r="C659" s="17" t="s">
        <v>800</v>
      </c>
      <c r="D659" s="17" t="s">
        <v>801</v>
      </c>
      <c r="E659" s="18">
        <v>3002310637034</v>
      </c>
      <c r="G659" s="20" t="str">
        <f t="shared" si="30"/>
        <v xml:space="preserve"> ANSES/F.CUIR    </v>
      </c>
      <c r="H659" s="20" t="str">
        <f t="shared" si="31"/>
        <v>SERVI</v>
      </c>
      <c r="I659" s="20" t="str">
        <f t="shared" si="32"/>
        <v xml:space="preserve">L    </v>
      </c>
    </row>
    <row r="660" spans="1:9">
      <c r="A660" s="17" t="s">
        <v>874</v>
      </c>
      <c r="B660" s="17" t="s">
        <v>918</v>
      </c>
      <c r="C660" s="17" t="s">
        <v>800</v>
      </c>
      <c r="D660" s="17" t="s">
        <v>801</v>
      </c>
      <c r="E660" s="18">
        <v>8050450212197</v>
      </c>
      <c r="G660" s="20" t="str">
        <f t="shared" si="30"/>
        <v xml:space="preserve"> ANSES/F.CUIR    </v>
      </c>
      <c r="H660" s="20" t="str">
        <f t="shared" si="31"/>
        <v>SERVI</v>
      </c>
      <c r="I660" s="20" t="str">
        <f t="shared" si="32"/>
        <v xml:space="preserve">L    </v>
      </c>
    </row>
    <row r="661" spans="1:9">
      <c r="A661" s="17" t="s">
        <v>874</v>
      </c>
      <c r="B661" s="17" t="s">
        <v>918</v>
      </c>
      <c r="C661" s="17" t="s">
        <v>802</v>
      </c>
      <c r="D661" s="17" t="s">
        <v>801</v>
      </c>
      <c r="E661" s="18">
        <v>3002310637027</v>
      </c>
      <c r="G661" s="20" t="str">
        <f t="shared" si="30"/>
        <v xml:space="preserve"> ANSES/F.CUIR    </v>
      </c>
      <c r="H661" s="20" t="str">
        <f t="shared" si="31"/>
        <v>SERVI</v>
      </c>
      <c r="I661" s="20" t="str">
        <f t="shared" si="32"/>
        <v xml:space="preserve">M    </v>
      </c>
    </row>
    <row r="662" spans="1:9">
      <c r="A662" s="17" t="s">
        <v>874</v>
      </c>
      <c r="B662" s="17" t="s">
        <v>918</v>
      </c>
      <c r="C662" s="17" t="s">
        <v>803</v>
      </c>
      <c r="D662" s="17" t="s">
        <v>801</v>
      </c>
      <c r="E662" s="18">
        <v>3002310637010</v>
      </c>
      <c r="G662" s="20" t="str">
        <f t="shared" si="30"/>
        <v xml:space="preserve"> ANSES/F.CUIR    </v>
      </c>
      <c r="H662" s="20" t="str">
        <f t="shared" si="31"/>
        <v>SERVI</v>
      </c>
      <c r="I662" s="20" t="str">
        <f t="shared" si="32"/>
        <v xml:space="preserve">S    </v>
      </c>
    </row>
    <row r="663" spans="1:9">
      <c r="A663" s="17" t="s">
        <v>874</v>
      </c>
      <c r="B663" s="17" t="s">
        <v>918</v>
      </c>
      <c r="C663" s="17" t="s">
        <v>803</v>
      </c>
      <c r="D663" s="17" t="s">
        <v>801</v>
      </c>
      <c r="E663" s="18">
        <v>8050450212340</v>
      </c>
      <c r="G663" s="20" t="str">
        <f t="shared" si="30"/>
        <v xml:space="preserve"> ANSES/F.CUIR    </v>
      </c>
      <c r="H663" s="20" t="str">
        <f t="shared" si="31"/>
        <v>SERVI</v>
      </c>
      <c r="I663" s="20" t="str">
        <f t="shared" si="32"/>
        <v xml:space="preserve">S    </v>
      </c>
    </row>
    <row r="664" spans="1:9">
      <c r="A664" s="17" t="s">
        <v>874</v>
      </c>
      <c r="B664" s="17" t="s">
        <v>918</v>
      </c>
      <c r="C664" s="17" t="s">
        <v>804</v>
      </c>
      <c r="D664" s="17" t="s">
        <v>801</v>
      </c>
      <c r="E664" s="18">
        <v>3002310637041</v>
      </c>
      <c r="G664" s="20" t="str">
        <f t="shared" si="30"/>
        <v xml:space="preserve"> ANSES/F.CUIR    </v>
      </c>
      <c r="H664" s="20" t="str">
        <f t="shared" si="31"/>
        <v>SERVI</v>
      </c>
      <c r="I664" s="20" t="str">
        <f t="shared" si="32"/>
        <v xml:space="preserve">XL   </v>
      </c>
    </row>
    <row r="665" spans="1:9">
      <c r="A665" s="17" t="s">
        <v>874</v>
      </c>
      <c r="B665" s="17" t="s">
        <v>918</v>
      </c>
      <c r="C665" s="17" t="s">
        <v>805</v>
      </c>
      <c r="D665" s="17" t="s">
        <v>801</v>
      </c>
      <c r="E665" s="18">
        <v>3002310637003</v>
      </c>
      <c r="G665" s="20" t="str">
        <f t="shared" si="30"/>
        <v xml:space="preserve"> ANSES/F.CUIR    </v>
      </c>
      <c r="H665" s="20" t="str">
        <f t="shared" si="31"/>
        <v>SERVI</v>
      </c>
      <c r="I665" s="20" t="str">
        <f t="shared" si="32"/>
        <v xml:space="preserve">XS   </v>
      </c>
    </row>
    <row r="666" spans="1:9">
      <c r="A666" s="17" t="s">
        <v>874</v>
      </c>
      <c r="B666" s="17" t="s">
        <v>855</v>
      </c>
      <c r="C666" s="17" t="s">
        <v>800</v>
      </c>
      <c r="D666" s="17" t="s">
        <v>801</v>
      </c>
      <c r="E666" s="18">
        <v>3020361029035</v>
      </c>
      <c r="G666" s="20" t="str">
        <f t="shared" si="30"/>
        <v xml:space="preserve"> ANSES/F.CUIR    </v>
      </c>
      <c r="H666" s="20" t="str">
        <f t="shared" si="31"/>
        <v>SILVE</v>
      </c>
      <c r="I666" s="20" t="str">
        <f t="shared" si="32"/>
        <v xml:space="preserve">L    </v>
      </c>
    </row>
    <row r="667" spans="1:9">
      <c r="A667" s="17" t="s">
        <v>874</v>
      </c>
      <c r="B667" s="17" t="s">
        <v>855</v>
      </c>
      <c r="C667" s="17" t="s">
        <v>802</v>
      </c>
      <c r="D667" s="17" t="s">
        <v>801</v>
      </c>
      <c r="E667" s="18">
        <v>3020361029028</v>
      </c>
      <c r="G667" s="20" t="str">
        <f t="shared" si="30"/>
        <v xml:space="preserve"> ANSES/F.CUIR    </v>
      </c>
      <c r="H667" s="20" t="str">
        <f t="shared" si="31"/>
        <v>SILVE</v>
      </c>
      <c r="I667" s="20" t="str">
        <f t="shared" si="32"/>
        <v xml:space="preserve">M    </v>
      </c>
    </row>
    <row r="668" spans="1:9">
      <c r="A668" s="17" t="s">
        <v>874</v>
      </c>
      <c r="B668" s="17" t="s">
        <v>855</v>
      </c>
      <c r="C668" s="17" t="s">
        <v>803</v>
      </c>
      <c r="D668" s="17" t="s">
        <v>801</v>
      </c>
      <c r="E668" s="18">
        <v>3020361029011</v>
      </c>
      <c r="G668" s="20" t="str">
        <f t="shared" si="30"/>
        <v xml:space="preserve"> ANSES/F.CUIR    </v>
      </c>
      <c r="H668" s="20" t="str">
        <f t="shared" si="31"/>
        <v>SILVE</v>
      </c>
      <c r="I668" s="20" t="str">
        <f t="shared" si="32"/>
        <v xml:space="preserve">S    </v>
      </c>
    </row>
    <row r="669" spans="1:9">
      <c r="A669" s="17" t="s">
        <v>874</v>
      </c>
      <c r="B669" s="17" t="s">
        <v>855</v>
      </c>
      <c r="C669" s="17" t="s">
        <v>804</v>
      </c>
      <c r="D669" s="17" t="s">
        <v>801</v>
      </c>
      <c r="E669" s="18">
        <v>3020361029042</v>
      </c>
      <c r="G669" s="20" t="str">
        <f t="shared" si="30"/>
        <v xml:space="preserve"> ANSES/F.CUIR    </v>
      </c>
      <c r="H669" s="20" t="str">
        <f t="shared" si="31"/>
        <v>SILVE</v>
      </c>
      <c r="I669" s="20" t="str">
        <f t="shared" si="32"/>
        <v xml:space="preserve">XL   </v>
      </c>
    </row>
    <row r="670" spans="1:9">
      <c r="A670" s="17" t="s">
        <v>874</v>
      </c>
      <c r="B670" s="17" t="s">
        <v>855</v>
      </c>
      <c r="C670" s="17" t="s">
        <v>805</v>
      </c>
      <c r="D670" s="17" t="s">
        <v>801</v>
      </c>
      <c r="E670" s="18">
        <v>3020361029004</v>
      </c>
      <c r="G670" s="20" t="str">
        <f t="shared" si="30"/>
        <v xml:space="preserve"> ANSES/F.CUIR    </v>
      </c>
      <c r="H670" s="20" t="str">
        <f t="shared" si="31"/>
        <v>SILVE</v>
      </c>
      <c r="I670" s="20" t="str">
        <f t="shared" si="32"/>
        <v xml:space="preserve">XS   </v>
      </c>
    </row>
    <row r="671" spans="1:9">
      <c r="A671" s="17" t="s">
        <v>874</v>
      </c>
      <c r="B671" s="17" t="s">
        <v>919</v>
      </c>
      <c r="C671" s="17" t="s">
        <v>800</v>
      </c>
      <c r="D671" s="17" t="s">
        <v>801</v>
      </c>
      <c r="E671" s="18">
        <v>3002310690039</v>
      </c>
      <c r="G671" s="20" t="str">
        <f t="shared" si="30"/>
        <v xml:space="preserve"> ANSES/F.CUIR    </v>
      </c>
      <c r="H671" s="20" t="str">
        <f t="shared" si="31"/>
        <v>TESTA</v>
      </c>
      <c r="I671" s="20" t="str">
        <f t="shared" si="32"/>
        <v xml:space="preserve">L    </v>
      </c>
    </row>
    <row r="672" spans="1:9">
      <c r="A672" s="17" t="s">
        <v>874</v>
      </c>
      <c r="B672" s="17" t="s">
        <v>919</v>
      </c>
      <c r="C672" s="17" t="s">
        <v>802</v>
      </c>
      <c r="D672" s="17" t="s">
        <v>801</v>
      </c>
      <c r="E672" s="18">
        <v>3002310690022</v>
      </c>
      <c r="G672" s="20" t="str">
        <f t="shared" si="30"/>
        <v xml:space="preserve"> ANSES/F.CUIR    </v>
      </c>
      <c r="H672" s="20" t="str">
        <f t="shared" si="31"/>
        <v>TESTA</v>
      </c>
      <c r="I672" s="20" t="str">
        <f t="shared" si="32"/>
        <v xml:space="preserve">M    </v>
      </c>
    </row>
    <row r="673" spans="1:9">
      <c r="A673" s="17" t="s">
        <v>874</v>
      </c>
      <c r="B673" s="17" t="s">
        <v>919</v>
      </c>
      <c r="C673" s="17" t="s">
        <v>803</v>
      </c>
      <c r="D673" s="17" t="s">
        <v>801</v>
      </c>
      <c r="E673" s="18">
        <v>3002310690015</v>
      </c>
      <c r="G673" s="20" t="str">
        <f t="shared" si="30"/>
        <v xml:space="preserve"> ANSES/F.CUIR    </v>
      </c>
      <c r="H673" s="20" t="str">
        <f t="shared" si="31"/>
        <v>TESTA</v>
      </c>
      <c r="I673" s="20" t="str">
        <f t="shared" si="32"/>
        <v xml:space="preserve">S    </v>
      </c>
    </row>
    <row r="674" spans="1:9">
      <c r="A674" s="17" t="s">
        <v>874</v>
      </c>
      <c r="B674" s="17" t="s">
        <v>919</v>
      </c>
      <c r="C674" s="17" t="s">
        <v>804</v>
      </c>
      <c r="D674" s="17" t="s">
        <v>801</v>
      </c>
      <c r="E674" s="18">
        <v>3002310690046</v>
      </c>
      <c r="G674" s="20" t="str">
        <f t="shared" si="30"/>
        <v xml:space="preserve"> ANSES/F.CUIR    </v>
      </c>
      <c r="H674" s="20" t="str">
        <f t="shared" si="31"/>
        <v>TESTA</v>
      </c>
      <c r="I674" s="20" t="str">
        <f t="shared" si="32"/>
        <v xml:space="preserve">XL   </v>
      </c>
    </row>
    <row r="675" spans="1:9">
      <c r="A675" s="17" t="s">
        <v>874</v>
      </c>
      <c r="B675" s="17" t="s">
        <v>919</v>
      </c>
      <c r="C675" s="17" t="s">
        <v>805</v>
      </c>
      <c r="D675" s="17" t="s">
        <v>801</v>
      </c>
      <c r="E675" s="18">
        <v>3002310690008</v>
      </c>
      <c r="G675" s="20" t="str">
        <f t="shared" si="30"/>
        <v xml:space="preserve"> ANSES/F.CUIR    </v>
      </c>
      <c r="H675" s="20" t="str">
        <f t="shared" si="31"/>
        <v>TESTA</v>
      </c>
      <c r="I675" s="20" t="str">
        <f t="shared" si="32"/>
        <v xml:space="preserve">XS   </v>
      </c>
    </row>
    <row r="676" spans="1:9">
      <c r="A676" s="17" t="s">
        <v>874</v>
      </c>
      <c r="B676" s="17" t="s">
        <v>920</v>
      </c>
      <c r="C676" s="17" t="s">
        <v>800</v>
      </c>
      <c r="D676" s="17" t="s">
        <v>801</v>
      </c>
      <c r="E676" s="18">
        <v>3020360220037</v>
      </c>
      <c r="G676" s="20" t="str">
        <f t="shared" si="30"/>
        <v xml:space="preserve"> ANSES/F.CUIR    </v>
      </c>
      <c r="H676" s="20" t="str">
        <f t="shared" si="31"/>
        <v>VERBL</v>
      </c>
      <c r="I676" s="20" t="str">
        <f t="shared" si="32"/>
        <v xml:space="preserve">L    </v>
      </c>
    </row>
    <row r="677" spans="1:9">
      <c r="A677" s="17" t="s">
        <v>874</v>
      </c>
      <c r="B677" s="17" t="s">
        <v>920</v>
      </c>
      <c r="C677" s="17" t="s">
        <v>802</v>
      </c>
      <c r="D677" s="17" t="s">
        <v>801</v>
      </c>
      <c r="E677" s="18">
        <v>3020360220020</v>
      </c>
      <c r="G677" s="20" t="str">
        <f t="shared" si="30"/>
        <v xml:space="preserve"> ANSES/F.CUIR    </v>
      </c>
      <c r="H677" s="20" t="str">
        <f t="shared" si="31"/>
        <v>VERBL</v>
      </c>
      <c r="I677" s="20" t="str">
        <f t="shared" si="32"/>
        <v xml:space="preserve">M    </v>
      </c>
    </row>
    <row r="678" spans="1:9">
      <c r="A678" s="17" t="s">
        <v>874</v>
      </c>
      <c r="B678" s="17" t="s">
        <v>920</v>
      </c>
      <c r="C678" s="17" t="s">
        <v>803</v>
      </c>
      <c r="D678" s="17" t="s">
        <v>801</v>
      </c>
      <c r="E678" s="18">
        <v>3020360220013</v>
      </c>
      <c r="G678" s="20" t="str">
        <f t="shared" si="30"/>
        <v xml:space="preserve"> ANSES/F.CUIR    </v>
      </c>
      <c r="H678" s="20" t="str">
        <f t="shared" si="31"/>
        <v>VERBL</v>
      </c>
      <c r="I678" s="20" t="str">
        <f t="shared" si="32"/>
        <v xml:space="preserve">S    </v>
      </c>
    </row>
    <row r="679" spans="1:9">
      <c r="A679" s="17" t="s">
        <v>874</v>
      </c>
      <c r="B679" s="17" t="s">
        <v>920</v>
      </c>
      <c r="C679" s="17" t="s">
        <v>804</v>
      </c>
      <c r="D679" s="17" t="s">
        <v>801</v>
      </c>
      <c r="E679" s="18">
        <v>3020360220044</v>
      </c>
      <c r="G679" s="20" t="str">
        <f t="shared" si="30"/>
        <v xml:space="preserve"> ANSES/F.CUIR    </v>
      </c>
      <c r="H679" s="20" t="str">
        <f t="shared" si="31"/>
        <v>VERBL</v>
      </c>
      <c r="I679" s="20" t="str">
        <f t="shared" si="32"/>
        <v xml:space="preserve">XL   </v>
      </c>
    </row>
    <row r="680" spans="1:9">
      <c r="A680" s="17" t="s">
        <v>874</v>
      </c>
      <c r="B680" s="17" t="s">
        <v>920</v>
      </c>
      <c r="C680" s="17" t="s">
        <v>805</v>
      </c>
      <c r="D680" s="17" t="s">
        <v>801</v>
      </c>
      <c r="E680" s="18">
        <v>3020360220006</v>
      </c>
      <c r="G680" s="20" t="str">
        <f t="shared" si="30"/>
        <v xml:space="preserve"> ANSES/F.CUIR    </v>
      </c>
      <c r="H680" s="20" t="str">
        <f t="shared" si="31"/>
        <v>VERBL</v>
      </c>
      <c r="I680" s="20" t="str">
        <f t="shared" si="32"/>
        <v xml:space="preserve">XS   </v>
      </c>
    </row>
    <row r="681" spans="1:9">
      <c r="A681" s="17" t="s">
        <v>874</v>
      </c>
      <c r="B681" s="17" t="s">
        <v>921</v>
      </c>
      <c r="C681" s="17" t="s">
        <v>800</v>
      </c>
      <c r="D681" s="17" t="s">
        <v>801</v>
      </c>
      <c r="E681" s="18">
        <v>3002310902033</v>
      </c>
      <c r="G681" s="20" t="str">
        <f t="shared" si="30"/>
        <v xml:space="preserve"> ANSES/F.CUIR    </v>
      </c>
      <c r="H681" s="20" t="str">
        <f t="shared" si="31"/>
        <v>VERNA</v>
      </c>
      <c r="I681" s="20" t="str">
        <f t="shared" si="32"/>
        <v xml:space="preserve">L    </v>
      </c>
    </row>
    <row r="682" spans="1:9">
      <c r="A682" s="17" t="s">
        <v>874</v>
      </c>
      <c r="B682" s="17" t="s">
        <v>921</v>
      </c>
      <c r="C682" s="17" t="s">
        <v>802</v>
      </c>
      <c r="D682" s="17" t="s">
        <v>801</v>
      </c>
      <c r="E682" s="18">
        <v>3002310902026</v>
      </c>
      <c r="G682" s="20" t="str">
        <f t="shared" si="30"/>
        <v xml:space="preserve"> ANSES/F.CUIR    </v>
      </c>
      <c r="H682" s="20" t="str">
        <f t="shared" si="31"/>
        <v>VERNA</v>
      </c>
      <c r="I682" s="20" t="str">
        <f t="shared" si="32"/>
        <v xml:space="preserve">M    </v>
      </c>
    </row>
    <row r="683" spans="1:9">
      <c r="A683" s="17" t="s">
        <v>874</v>
      </c>
      <c r="B683" s="17" t="s">
        <v>921</v>
      </c>
      <c r="C683" s="17" t="s">
        <v>803</v>
      </c>
      <c r="D683" s="17" t="s">
        <v>801</v>
      </c>
      <c r="E683" s="18">
        <v>3002310902019</v>
      </c>
      <c r="G683" s="20" t="str">
        <f t="shared" si="30"/>
        <v xml:space="preserve"> ANSES/F.CUIR    </v>
      </c>
      <c r="H683" s="20" t="str">
        <f t="shared" si="31"/>
        <v>VERNA</v>
      </c>
      <c r="I683" s="20" t="str">
        <f t="shared" si="32"/>
        <v xml:space="preserve">S    </v>
      </c>
    </row>
    <row r="684" spans="1:9">
      <c r="A684" s="17" t="s">
        <v>874</v>
      </c>
      <c r="B684" s="17" t="s">
        <v>921</v>
      </c>
      <c r="C684" s="17" t="s">
        <v>804</v>
      </c>
      <c r="D684" s="17" t="s">
        <v>801</v>
      </c>
      <c r="E684" s="18">
        <v>3002310902040</v>
      </c>
      <c r="G684" s="20" t="str">
        <f t="shared" si="30"/>
        <v xml:space="preserve"> ANSES/F.CUIR    </v>
      </c>
      <c r="H684" s="20" t="str">
        <f t="shared" si="31"/>
        <v>VERNA</v>
      </c>
      <c r="I684" s="20" t="str">
        <f t="shared" si="32"/>
        <v xml:space="preserve">XL   </v>
      </c>
    </row>
    <row r="685" spans="1:9">
      <c r="A685" s="17" t="s">
        <v>874</v>
      </c>
      <c r="B685" s="17" t="s">
        <v>921</v>
      </c>
      <c r="C685" s="17" t="s">
        <v>805</v>
      </c>
      <c r="D685" s="17" t="s">
        <v>801</v>
      </c>
      <c r="E685" s="18">
        <v>3002310902002</v>
      </c>
      <c r="G685" s="20" t="str">
        <f t="shared" si="30"/>
        <v xml:space="preserve"> ANSES/F.CUIR    </v>
      </c>
      <c r="H685" s="20" t="str">
        <f t="shared" si="31"/>
        <v>VERNA</v>
      </c>
      <c r="I685" s="20" t="str">
        <f t="shared" si="32"/>
        <v xml:space="preserve">XS   </v>
      </c>
    </row>
    <row r="686" spans="1:9">
      <c r="A686" s="17" t="s">
        <v>874</v>
      </c>
      <c r="B686" s="17" t="s">
        <v>922</v>
      </c>
      <c r="C686" s="17" t="s">
        <v>800</v>
      </c>
      <c r="D686" s="17" t="s">
        <v>801</v>
      </c>
      <c r="E686" s="18">
        <v>3003220007030</v>
      </c>
      <c r="G686" s="20" t="str">
        <f t="shared" si="30"/>
        <v xml:space="preserve"> ANSES/F.CUIR    </v>
      </c>
      <c r="H686" s="20" t="str">
        <f t="shared" si="31"/>
        <v>VERNO</v>
      </c>
      <c r="I686" s="20" t="str">
        <f t="shared" si="32"/>
        <v xml:space="preserve">L    </v>
      </c>
    </row>
    <row r="687" spans="1:9">
      <c r="A687" s="17" t="s">
        <v>874</v>
      </c>
      <c r="B687" s="17" t="s">
        <v>922</v>
      </c>
      <c r="C687" s="17" t="s">
        <v>802</v>
      </c>
      <c r="D687" s="17" t="s">
        <v>801</v>
      </c>
      <c r="E687" s="18">
        <v>3003220007023</v>
      </c>
      <c r="G687" s="20" t="str">
        <f t="shared" si="30"/>
        <v xml:space="preserve"> ANSES/F.CUIR    </v>
      </c>
      <c r="H687" s="20" t="str">
        <f t="shared" si="31"/>
        <v>VERNO</v>
      </c>
      <c r="I687" s="20" t="str">
        <f t="shared" si="32"/>
        <v xml:space="preserve">M    </v>
      </c>
    </row>
    <row r="688" spans="1:9">
      <c r="A688" s="17" t="s">
        <v>874</v>
      </c>
      <c r="B688" s="17" t="s">
        <v>922</v>
      </c>
      <c r="C688" s="17" t="s">
        <v>803</v>
      </c>
      <c r="D688" s="17" t="s">
        <v>801</v>
      </c>
      <c r="E688" s="18">
        <v>3003220007016</v>
      </c>
      <c r="G688" s="20" t="str">
        <f t="shared" si="30"/>
        <v xml:space="preserve"> ANSES/F.CUIR    </v>
      </c>
      <c r="H688" s="20" t="str">
        <f t="shared" si="31"/>
        <v>VERNO</v>
      </c>
      <c r="I688" s="20" t="str">
        <f t="shared" si="32"/>
        <v xml:space="preserve">S    </v>
      </c>
    </row>
    <row r="689" spans="1:9">
      <c r="A689" s="17" t="s">
        <v>874</v>
      </c>
      <c r="B689" s="17" t="s">
        <v>922</v>
      </c>
      <c r="C689" s="17" t="s">
        <v>804</v>
      </c>
      <c r="D689" s="17" t="s">
        <v>801</v>
      </c>
      <c r="E689" s="18">
        <v>3003220007047</v>
      </c>
      <c r="G689" s="20" t="str">
        <f t="shared" si="30"/>
        <v xml:space="preserve"> ANSES/F.CUIR    </v>
      </c>
      <c r="H689" s="20" t="str">
        <f t="shared" si="31"/>
        <v>VERNO</v>
      </c>
      <c r="I689" s="20" t="str">
        <f t="shared" si="32"/>
        <v xml:space="preserve">XL   </v>
      </c>
    </row>
    <row r="690" spans="1:9">
      <c r="A690" s="17" t="s">
        <v>874</v>
      </c>
      <c r="B690" s="17" t="s">
        <v>922</v>
      </c>
      <c r="C690" s="17" t="s">
        <v>805</v>
      </c>
      <c r="D690" s="17" t="s">
        <v>801</v>
      </c>
      <c r="E690" s="18">
        <v>3003220007009</v>
      </c>
      <c r="G690" s="20" t="str">
        <f t="shared" si="30"/>
        <v xml:space="preserve"> ANSES/F.CUIR    </v>
      </c>
      <c r="H690" s="20" t="str">
        <f t="shared" si="31"/>
        <v>VERNO</v>
      </c>
      <c r="I690" s="20" t="str">
        <f t="shared" si="32"/>
        <v xml:space="preserve">XS   </v>
      </c>
    </row>
    <row r="691" spans="1:9">
      <c r="A691" s="17" t="s">
        <v>874</v>
      </c>
      <c r="B691" s="17" t="s">
        <v>923</v>
      </c>
      <c r="C691" s="17" t="s">
        <v>800</v>
      </c>
      <c r="D691" s="17" t="s">
        <v>801</v>
      </c>
      <c r="E691" s="18">
        <v>3020360293031</v>
      </c>
      <c r="G691" s="20" t="str">
        <f t="shared" si="30"/>
        <v xml:space="preserve"> ANSES/F.CUIR    </v>
      </c>
      <c r="H691" s="20" t="str">
        <f t="shared" si="31"/>
        <v>VERPE</v>
      </c>
      <c r="I691" s="20" t="str">
        <f t="shared" si="32"/>
        <v xml:space="preserve">L    </v>
      </c>
    </row>
    <row r="692" spans="1:9">
      <c r="A692" s="17" t="s">
        <v>874</v>
      </c>
      <c r="B692" s="17" t="s">
        <v>923</v>
      </c>
      <c r="C692" s="17" t="s">
        <v>802</v>
      </c>
      <c r="D692" s="17" t="s">
        <v>801</v>
      </c>
      <c r="E692" s="18">
        <v>3020360293024</v>
      </c>
      <c r="G692" s="20" t="str">
        <f t="shared" si="30"/>
        <v xml:space="preserve"> ANSES/F.CUIR    </v>
      </c>
      <c r="H692" s="20" t="str">
        <f t="shared" si="31"/>
        <v>VERPE</v>
      </c>
      <c r="I692" s="20" t="str">
        <f t="shared" si="32"/>
        <v xml:space="preserve">M    </v>
      </c>
    </row>
    <row r="693" spans="1:9">
      <c r="A693" s="17" t="s">
        <v>874</v>
      </c>
      <c r="B693" s="17" t="s">
        <v>923</v>
      </c>
      <c r="C693" s="17" t="s">
        <v>803</v>
      </c>
      <c r="D693" s="17" t="s">
        <v>801</v>
      </c>
      <c r="E693" s="18">
        <v>3020360293017</v>
      </c>
      <c r="G693" s="20" t="str">
        <f t="shared" si="30"/>
        <v xml:space="preserve"> ANSES/F.CUIR    </v>
      </c>
      <c r="H693" s="20" t="str">
        <f t="shared" si="31"/>
        <v>VERPE</v>
      </c>
      <c r="I693" s="20" t="str">
        <f t="shared" si="32"/>
        <v xml:space="preserve">S    </v>
      </c>
    </row>
    <row r="694" spans="1:9">
      <c r="A694" s="17" t="s">
        <v>874</v>
      </c>
      <c r="B694" s="17" t="s">
        <v>923</v>
      </c>
      <c r="C694" s="17" t="s">
        <v>804</v>
      </c>
      <c r="D694" s="17" t="s">
        <v>801</v>
      </c>
      <c r="E694" s="18">
        <v>3020360293048</v>
      </c>
      <c r="G694" s="20" t="str">
        <f t="shared" si="30"/>
        <v xml:space="preserve"> ANSES/F.CUIR    </v>
      </c>
      <c r="H694" s="20" t="str">
        <f t="shared" si="31"/>
        <v>VERPE</v>
      </c>
      <c r="I694" s="20" t="str">
        <f t="shared" si="32"/>
        <v xml:space="preserve">XL   </v>
      </c>
    </row>
    <row r="695" spans="1:9">
      <c r="A695" s="17" t="s">
        <v>874</v>
      </c>
      <c r="B695" s="17" t="s">
        <v>923</v>
      </c>
      <c r="C695" s="17" t="s">
        <v>805</v>
      </c>
      <c r="D695" s="17" t="s">
        <v>801</v>
      </c>
      <c r="E695" s="18">
        <v>3020360293000</v>
      </c>
      <c r="G695" s="20" t="str">
        <f t="shared" si="30"/>
        <v xml:space="preserve"> ANSES/F.CUIR    </v>
      </c>
      <c r="H695" s="20" t="str">
        <f t="shared" si="31"/>
        <v>VERPE</v>
      </c>
      <c r="I695" s="20" t="str">
        <f t="shared" si="32"/>
        <v xml:space="preserve">XS   </v>
      </c>
    </row>
    <row r="696" spans="1:9">
      <c r="A696" s="17" t="s">
        <v>874</v>
      </c>
      <c r="B696" s="17" t="s">
        <v>924</v>
      </c>
      <c r="C696" s="17" t="s">
        <v>800</v>
      </c>
      <c r="D696" s="17" t="s">
        <v>801</v>
      </c>
      <c r="E696" s="18">
        <v>3002310601035</v>
      </c>
      <c r="G696" s="20" t="str">
        <f t="shared" si="30"/>
        <v xml:space="preserve"> ANSES/F.CUIR    </v>
      </c>
      <c r="H696" s="20" t="str">
        <f t="shared" si="31"/>
        <v>VERTA</v>
      </c>
      <c r="I696" s="20" t="str">
        <f t="shared" si="32"/>
        <v xml:space="preserve">L    </v>
      </c>
    </row>
    <row r="697" spans="1:9">
      <c r="A697" s="17" t="s">
        <v>874</v>
      </c>
      <c r="B697" s="17" t="s">
        <v>924</v>
      </c>
      <c r="C697" s="17" t="s">
        <v>802</v>
      </c>
      <c r="D697" s="17" t="s">
        <v>801</v>
      </c>
      <c r="E697" s="18">
        <v>3002310601028</v>
      </c>
      <c r="G697" s="20" t="str">
        <f t="shared" si="30"/>
        <v xml:space="preserve"> ANSES/F.CUIR    </v>
      </c>
      <c r="H697" s="20" t="str">
        <f t="shared" si="31"/>
        <v>VERTA</v>
      </c>
      <c r="I697" s="20" t="str">
        <f t="shared" si="32"/>
        <v xml:space="preserve">M    </v>
      </c>
    </row>
    <row r="698" spans="1:9">
      <c r="A698" s="17" t="s">
        <v>874</v>
      </c>
      <c r="B698" s="17" t="s">
        <v>924</v>
      </c>
      <c r="C698" s="17" t="s">
        <v>803</v>
      </c>
      <c r="D698" s="17" t="s">
        <v>801</v>
      </c>
      <c r="E698" s="18">
        <v>3002310601011</v>
      </c>
      <c r="G698" s="20" t="str">
        <f t="shared" si="30"/>
        <v xml:space="preserve"> ANSES/F.CUIR    </v>
      </c>
      <c r="H698" s="20" t="str">
        <f t="shared" si="31"/>
        <v>VERTA</v>
      </c>
      <c r="I698" s="20" t="str">
        <f t="shared" si="32"/>
        <v xml:space="preserve">S    </v>
      </c>
    </row>
    <row r="699" spans="1:9">
      <c r="A699" s="17" t="s">
        <v>874</v>
      </c>
      <c r="B699" s="17" t="s">
        <v>924</v>
      </c>
      <c r="C699" s="17" t="s">
        <v>804</v>
      </c>
      <c r="D699" s="17" t="s">
        <v>801</v>
      </c>
      <c r="E699" s="18">
        <v>3002310601042</v>
      </c>
      <c r="G699" s="20" t="str">
        <f t="shared" si="30"/>
        <v xml:space="preserve"> ANSES/F.CUIR    </v>
      </c>
      <c r="H699" s="20" t="str">
        <f t="shared" si="31"/>
        <v>VERTA</v>
      </c>
      <c r="I699" s="20" t="str">
        <f t="shared" si="32"/>
        <v xml:space="preserve">XL   </v>
      </c>
    </row>
    <row r="700" spans="1:9">
      <c r="A700" s="17" t="s">
        <v>874</v>
      </c>
      <c r="B700" s="17" t="s">
        <v>924</v>
      </c>
      <c r="C700" s="17" t="s">
        <v>805</v>
      </c>
      <c r="D700" s="17" t="s">
        <v>801</v>
      </c>
      <c r="E700" s="18">
        <v>3002310601004</v>
      </c>
      <c r="G700" s="20" t="str">
        <f t="shared" si="30"/>
        <v xml:space="preserve"> ANSES/F.CUIR    </v>
      </c>
      <c r="H700" s="20" t="str">
        <f t="shared" si="31"/>
        <v>VERTA</v>
      </c>
      <c r="I700" s="20" t="str">
        <f t="shared" si="32"/>
        <v xml:space="preserve">XS   </v>
      </c>
    </row>
    <row r="701" spans="1:9">
      <c r="A701" s="17" t="s">
        <v>874</v>
      </c>
      <c r="B701" s="17" t="s">
        <v>925</v>
      </c>
      <c r="C701" s="17" t="s">
        <v>800</v>
      </c>
      <c r="D701" s="17" t="s">
        <v>801</v>
      </c>
      <c r="E701" s="18">
        <v>3002310602032</v>
      </c>
      <c r="G701" s="20" t="str">
        <f t="shared" si="30"/>
        <v xml:space="preserve"> ANSES/F.CUIR    </v>
      </c>
      <c r="H701" s="20" t="str">
        <f t="shared" si="31"/>
        <v>VERVI</v>
      </c>
      <c r="I701" s="20" t="str">
        <f t="shared" si="32"/>
        <v xml:space="preserve">L    </v>
      </c>
    </row>
    <row r="702" spans="1:9">
      <c r="A702" s="17" t="s">
        <v>874</v>
      </c>
      <c r="B702" s="17" t="s">
        <v>925</v>
      </c>
      <c r="C702" s="17" t="s">
        <v>802</v>
      </c>
      <c r="D702" s="17" t="s">
        <v>801</v>
      </c>
      <c r="E702" s="18">
        <v>3002310602025</v>
      </c>
      <c r="G702" s="20" t="str">
        <f t="shared" si="30"/>
        <v xml:space="preserve"> ANSES/F.CUIR    </v>
      </c>
      <c r="H702" s="20" t="str">
        <f t="shared" si="31"/>
        <v>VERVI</v>
      </c>
      <c r="I702" s="20" t="str">
        <f t="shared" si="32"/>
        <v xml:space="preserve">M    </v>
      </c>
    </row>
    <row r="703" spans="1:9">
      <c r="A703" s="17" t="s">
        <v>874</v>
      </c>
      <c r="B703" s="17" t="s">
        <v>925</v>
      </c>
      <c r="C703" s="17" t="s">
        <v>803</v>
      </c>
      <c r="D703" s="17" t="s">
        <v>801</v>
      </c>
      <c r="E703" s="18">
        <v>3002310602018</v>
      </c>
      <c r="G703" s="20" t="str">
        <f t="shared" si="30"/>
        <v xml:space="preserve"> ANSES/F.CUIR    </v>
      </c>
      <c r="H703" s="20" t="str">
        <f t="shared" si="31"/>
        <v>VERVI</v>
      </c>
      <c r="I703" s="20" t="str">
        <f t="shared" si="32"/>
        <v xml:space="preserve">S    </v>
      </c>
    </row>
    <row r="704" spans="1:9">
      <c r="A704" s="17" t="s">
        <v>874</v>
      </c>
      <c r="B704" s="17" t="s">
        <v>925</v>
      </c>
      <c r="C704" s="17" t="s">
        <v>804</v>
      </c>
      <c r="D704" s="17" t="s">
        <v>801</v>
      </c>
      <c r="E704" s="18">
        <v>3002310602049</v>
      </c>
      <c r="G704" s="20" t="str">
        <f t="shared" si="30"/>
        <v xml:space="preserve"> ANSES/F.CUIR    </v>
      </c>
      <c r="H704" s="20" t="str">
        <f t="shared" si="31"/>
        <v>VERVI</v>
      </c>
      <c r="I704" s="20" t="str">
        <f t="shared" si="32"/>
        <v xml:space="preserve">XL   </v>
      </c>
    </row>
    <row r="705" spans="1:9">
      <c r="A705" s="17" t="s">
        <v>874</v>
      </c>
      <c r="B705" s="17" t="s">
        <v>925</v>
      </c>
      <c r="C705" s="17" t="s">
        <v>805</v>
      </c>
      <c r="D705" s="17" t="s">
        <v>801</v>
      </c>
      <c r="E705" s="18">
        <v>3002310602001</v>
      </c>
      <c r="G705" s="20" t="str">
        <f t="shared" si="30"/>
        <v xml:space="preserve"> ANSES/F.CUIR    </v>
      </c>
      <c r="H705" s="20" t="str">
        <f t="shared" si="31"/>
        <v>VERVI</v>
      </c>
      <c r="I705" s="20" t="str">
        <f t="shared" si="32"/>
        <v xml:space="preserve">XS   </v>
      </c>
    </row>
    <row r="706" spans="1:9">
      <c r="A706" s="17" t="s">
        <v>874</v>
      </c>
      <c r="B706" s="17" t="s">
        <v>926</v>
      </c>
      <c r="C706" s="17" t="s">
        <v>800</v>
      </c>
      <c r="D706" s="17" t="s">
        <v>801</v>
      </c>
      <c r="E706" s="18">
        <v>3020360221034</v>
      </c>
      <c r="G706" s="20" t="str">
        <f t="shared" si="30"/>
        <v xml:space="preserve"> ANSES/F.CUIR    </v>
      </c>
      <c r="H706" s="20" t="str">
        <f t="shared" si="31"/>
        <v xml:space="preserve">VERW </v>
      </c>
      <c r="I706" s="20" t="str">
        <f t="shared" si="32"/>
        <v xml:space="preserve">L    </v>
      </c>
    </row>
    <row r="707" spans="1:9">
      <c r="A707" s="17" t="s">
        <v>874</v>
      </c>
      <c r="B707" s="17" t="s">
        <v>926</v>
      </c>
      <c r="C707" s="17" t="s">
        <v>802</v>
      </c>
      <c r="D707" s="17" t="s">
        <v>801</v>
      </c>
      <c r="E707" s="18">
        <v>3020360221027</v>
      </c>
      <c r="G707" s="20" t="str">
        <f t="shared" si="30"/>
        <v xml:space="preserve"> ANSES/F.CUIR    </v>
      </c>
      <c r="H707" s="20" t="str">
        <f t="shared" si="31"/>
        <v xml:space="preserve">VERW </v>
      </c>
      <c r="I707" s="20" t="str">
        <f t="shared" si="32"/>
        <v xml:space="preserve">M    </v>
      </c>
    </row>
    <row r="708" spans="1:9">
      <c r="A708" s="17" t="s">
        <v>874</v>
      </c>
      <c r="B708" s="17" t="s">
        <v>926</v>
      </c>
      <c r="C708" s="17" t="s">
        <v>803</v>
      </c>
      <c r="D708" s="17" t="s">
        <v>801</v>
      </c>
      <c r="E708" s="18">
        <v>3020360221010</v>
      </c>
      <c r="G708" s="20" t="str">
        <f t="shared" si="30"/>
        <v xml:space="preserve"> ANSES/F.CUIR    </v>
      </c>
      <c r="H708" s="20" t="str">
        <f t="shared" si="31"/>
        <v xml:space="preserve">VERW </v>
      </c>
      <c r="I708" s="20" t="str">
        <f t="shared" si="32"/>
        <v xml:space="preserve">S    </v>
      </c>
    </row>
    <row r="709" spans="1:9">
      <c r="A709" s="17" t="s">
        <v>874</v>
      </c>
      <c r="B709" s="17" t="s">
        <v>926</v>
      </c>
      <c r="C709" s="17" t="s">
        <v>804</v>
      </c>
      <c r="D709" s="17" t="s">
        <v>801</v>
      </c>
      <c r="E709" s="18">
        <v>3020360221041</v>
      </c>
      <c r="G709" s="20" t="str">
        <f t="shared" ref="G709:G772" si="33">A709</f>
        <v xml:space="preserve"> ANSES/F.CUIR    </v>
      </c>
      <c r="H709" s="20" t="str">
        <f t="shared" ref="H709:H772" si="34">B709</f>
        <v xml:space="preserve">VERW </v>
      </c>
      <c r="I709" s="20" t="str">
        <f t="shared" ref="I709:I772" si="35">C709</f>
        <v xml:space="preserve">XL   </v>
      </c>
    </row>
    <row r="710" spans="1:9">
      <c r="A710" s="17" t="s">
        <v>874</v>
      </c>
      <c r="B710" s="17" t="s">
        <v>926</v>
      </c>
      <c r="C710" s="17" t="s">
        <v>805</v>
      </c>
      <c r="D710" s="17" t="s">
        <v>801</v>
      </c>
      <c r="E710" s="18">
        <v>3020360221003</v>
      </c>
      <c r="G710" s="20" t="str">
        <f t="shared" si="33"/>
        <v xml:space="preserve"> ANSES/F.CUIR    </v>
      </c>
      <c r="H710" s="20" t="str">
        <f t="shared" si="34"/>
        <v xml:space="preserve">VERW </v>
      </c>
      <c r="I710" s="20" t="str">
        <f t="shared" si="35"/>
        <v xml:space="preserve">XS   </v>
      </c>
    </row>
    <row r="711" spans="1:9">
      <c r="A711" s="17" t="s">
        <v>874</v>
      </c>
      <c r="B711" s="17" t="s">
        <v>927</v>
      </c>
      <c r="C711" s="17" t="s">
        <v>800</v>
      </c>
      <c r="D711" s="17" t="s">
        <v>801</v>
      </c>
      <c r="E711" s="18">
        <v>3020360952037</v>
      </c>
      <c r="G711" s="20" t="str">
        <f t="shared" si="33"/>
        <v xml:space="preserve"> ANSES/F.CUIR    </v>
      </c>
      <c r="H711" s="20" t="str">
        <f t="shared" si="34"/>
        <v xml:space="preserve">VOLC </v>
      </c>
      <c r="I711" s="20" t="str">
        <f t="shared" si="35"/>
        <v xml:space="preserve">L    </v>
      </c>
    </row>
    <row r="712" spans="1:9">
      <c r="A712" s="17" t="s">
        <v>874</v>
      </c>
      <c r="B712" s="17" t="s">
        <v>927</v>
      </c>
      <c r="C712" s="17" t="s">
        <v>802</v>
      </c>
      <c r="D712" s="17" t="s">
        <v>801</v>
      </c>
      <c r="E712" s="18">
        <v>3020360952020</v>
      </c>
      <c r="G712" s="20" t="str">
        <f t="shared" si="33"/>
        <v xml:space="preserve"> ANSES/F.CUIR    </v>
      </c>
      <c r="H712" s="20" t="str">
        <f t="shared" si="34"/>
        <v xml:space="preserve">VOLC </v>
      </c>
      <c r="I712" s="20" t="str">
        <f t="shared" si="35"/>
        <v xml:space="preserve">M    </v>
      </c>
    </row>
    <row r="713" spans="1:9">
      <c r="A713" s="17" t="s">
        <v>874</v>
      </c>
      <c r="B713" s="17" t="s">
        <v>927</v>
      </c>
      <c r="C713" s="17" t="s">
        <v>803</v>
      </c>
      <c r="D713" s="17" t="s">
        <v>801</v>
      </c>
      <c r="E713" s="18">
        <v>3020360952013</v>
      </c>
      <c r="G713" s="20" t="str">
        <f t="shared" si="33"/>
        <v xml:space="preserve"> ANSES/F.CUIR    </v>
      </c>
      <c r="H713" s="20" t="str">
        <f t="shared" si="34"/>
        <v xml:space="preserve">VOLC </v>
      </c>
      <c r="I713" s="20" t="str">
        <f t="shared" si="35"/>
        <v xml:space="preserve">S    </v>
      </c>
    </row>
    <row r="714" spans="1:9">
      <c r="A714" s="17" t="s">
        <v>874</v>
      </c>
      <c r="B714" s="17" t="s">
        <v>927</v>
      </c>
      <c r="C714" s="17" t="s">
        <v>804</v>
      </c>
      <c r="D714" s="17" t="s">
        <v>801</v>
      </c>
      <c r="E714" s="18">
        <v>3020360952044</v>
      </c>
      <c r="G714" s="20" t="str">
        <f t="shared" si="33"/>
        <v xml:space="preserve"> ANSES/F.CUIR    </v>
      </c>
      <c r="H714" s="20" t="str">
        <f t="shared" si="34"/>
        <v xml:space="preserve">VOLC </v>
      </c>
      <c r="I714" s="20" t="str">
        <f t="shared" si="35"/>
        <v xml:space="preserve">XL   </v>
      </c>
    </row>
    <row r="715" spans="1:9">
      <c r="A715" s="17" t="s">
        <v>874</v>
      </c>
      <c r="B715" s="17" t="s">
        <v>927</v>
      </c>
      <c r="C715" s="17" t="s">
        <v>805</v>
      </c>
      <c r="D715" s="17" t="s">
        <v>801</v>
      </c>
      <c r="E715" s="18">
        <v>3020360952006</v>
      </c>
      <c r="G715" s="20" t="str">
        <f t="shared" si="33"/>
        <v xml:space="preserve"> ANSES/F.CUIR    </v>
      </c>
      <c r="H715" s="20" t="str">
        <f t="shared" si="34"/>
        <v xml:space="preserve">VOLC </v>
      </c>
      <c r="I715" s="20" t="str">
        <f t="shared" si="35"/>
        <v xml:space="preserve">XS   </v>
      </c>
    </row>
    <row r="716" spans="1:9">
      <c r="A716" s="17" t="s">
        <v>874</v>
      </c>
      <c r="B716" s="17" t="s">
        <v>928</v>
      </c>
      <c r="C716" s="17" t="s">
        <v>800</v>
      </c>
      <c r="D716" s="17" t="s">
        <v>801</v>
      </c>
      <c r="E716" s="18">
        <v>3020360629038</v>
      </c>
      <c r="G716" s="20" t="str">
        <f t="shared" si="33"/>
        <v xml:space="preserve"> ANSES/F.CUIR    </v>
      </c>
      <c r="H716" s="20" t="str">
        <f t="shared" si="34"/>
        <v>WBLUE</v>
      </c>
      <c r="I716" s="20" t="str">
        <f t="shared" si="35"/>
        <v xml:space="preserve">L    </v>
      </c>
    </row>
    <row r="717" spans="1:9">
      <c r="A717" s="17" t="s">
        <v>874</v>
      </c>
      <c r="B717" s="17" t="s">
        <v>928</v>
      </c>
      <c r="C717" s="17" t="s">
        <v>800</v>
      </c>
      <c r="D717" s="17" t="s">
        <v>801</v>
      </c>
      <c r="E717" s="18">
        <v>3002310438037</v>
      </c>
      <c r="G717" s="20" t="str">
        <f t="shared" si="33"/>
        <v xml:space="preserve"> ANSES/F.CUIR    </v>
      </c>
      <c r="H717" s="20" t="str">
        <f t="shared" si="34"/>
        <v>WBLUE</v>
      </c>
      <c r="I717" s="20" t="str">
        <f t="shared" si="35"/>
        <v xml:space="preserve">L    </v>
      </c>
    </row>
    <row r="718" spans="1:9">
      <c r="A718" s="17" t="s">
        <v>874</v>
      </c>
      <c r="B718" s="17" t="s">
        <v>928</v>
      </c>
      <c r="C718" s="17" t="s">
        <v>802</v>
      </c>
      <c r="D718" s="17" t="s">
        <v>801</v>
      </c>
      <c r="E718" s="18">
        <v>3020360629021</v>
      </c>
      <c r="G718" s="20" t="str">
        <f t="shared" si="33"/>
        <v xml:space="preserve"> ANSES/F.CUIR    </v>
      </c>
      <c r="H718" s="20" t="str">
        <f t="shared" si="34"/>
        <v>WBLUE</v>
      </c>
      <c r="I718" s="20" t="str">
        <f t="shared" si="35"/>
        <v xml:space="preserve">M    </v>
      </c>
    </row>
    <row r="719" spans="1:9">
      <c r="A719" s="17" t="s">
        <v>874</v>
      </c>
      <c r="B719" s="17" t="s">
        <v>928</v>
      </c>
      <c r="C719" s="17" t="s">
        <v>802</v>
      </c>
      <c r="D719" s="17" t="s">
        <v>801</v>
      </c>
      <c r="E719" s="18">
        <v>3002310438020</v>
      </c>
      <c r="G719" s="20" t="str">
        <f t="shared" si="33"/>
        <v xml:space="preserve"> ANSES/F.CUIR    </v>
      </c>
      <c r="H719" s="20" t="str">
        <f t="shared" si="34"/>
        <v>WBLUE</v>
      </c>
      <c r="I719" s="20" t="str">
        <f t="shared" si="35"/>
        <v xml:space="preserve">M    </v>
      </c>
    </row>
    <row r="720" spans="1:9">
      <c r="A720" s="17" t="s">
        <v>874</v>
      </c>
      <c r="B720" s="17" t="s">
        <v>928</v>
      </c>
      <c r="C720" s="17" t="s">
        <v>803</v>
      </c>
      <c r="D720" s="17" t="s">
        <v>801</v>
      </c>
      <c r="E720" s="18">
        <v>3020360629014</v>
      </c>
      <c r="G720" s="20" t="str">
        <f t="shared" si="33"/>
        <v xml:space="preserve"> ANSES/F.CUIR    </v>
      </c>
      <c r="H720" s="20" t="str">
        <f t="shared" si="34"/>
        <v>WBLUE</v>
      </c>
      <c r="I720" s="20" t="str">
        <f t="shared" si="35"/>
        <v xml:space="preserve">S    </v>
      </c>
    </row>
    <row r="721" spans="1:9">
      <c r="A721" s="17" t="s">
        <v>874</v>
      </c>
      <c r="B721" s="17" t="s">
        <v>928</v>
      </c>
      <c r="C721" s="17" t="s">
        <v>803</v>
      </c>
      <c r="D721" s="17" t="s">
        <v>801</v>
      </c>
      <c r="E721" s="18">
        <v>3002310438013</v>
      </c>
      <c r="G721" s="20" t="str">
        <f t="shared" si="33"/>
        <v xml:space="preserve"> ANSES/F.CUIR    </v>
      </c>
      <c r="H721" s="20" t="str">
        <f t="shared" si="34"/>
        <v>WBLUE</v>
      </c>
      <c r="I721" s="20" t="str">
        <f t="shared" si="35"/>
        <v xml:space="preserve">S    </v>
      </c>
    </row>
    <row r="722" spans="1:9">
      <c r="A722" s="17" t="s">
        <v>874</v>
      </c>
      <c r="B722" s="17" t="s">
        <v>928</v>
      </c>
      <c r="C722" s="17" t="s">
        <v>804</v>
      </c>
      <c r="D722" s="17" t="s">
        <v>801</v>
      </c>
      <c r="E722" s="18">
        <v>3020360629045</v>
      </c>
      <c r="G722" s="20" t="str">
        <f t="shared" si="33"/>
        <v xml:space="preserve"> ANSES/F.CUIR    </v>
      </c>
      <c r="H722" s="20" t="str">
        <f t="shared" si="34"/>
        <v>WBLUE</v>
      </c>
      <c r="I722" s="20" t="str">
        <f t="shared" si="35"/>
        <v xml:space="preserve">XL   </v>
      </c>
    </row>
    <row r="723" spans="1:9">
      <c r="A723" s="17" t="s">
        <v>874</v>
      </c>
      <c r="B723" s="17" t="s">
        <v>928</v>
      </c>
      <c r="C723" s="17" t="s">
        <v>804</v>
      </c>
      <c r="D723" s="17" t="s">
        <v>801</v>
      </c>
      <c r="E723" s="18">
        <v>3002310438044</v>
      </c>
      <c r="G723" s="20" t="str">
        <f t="shared" si="33"/>
        <v xml:space="preserve"> ANSES/F.CUIR    </v>
      </c>
      <c r="H723" s="20" t="str">
        <f t="shared" si="34"/>
        <v>WBLUE</v>
      </c>
      <c r="I723" s="20" t="str">
        <f t="shared" si="35"/>
        <v xml:space="preserve">XL   </v>
      </c>
    </row>
    <row r="724" spans="1:9">
      <c r="A724" s="17" t="s">
        <v>874</v>
      </c>
      <c r="B724" s="17" t="s">
        <v>928</v>
      </c>
      <c r="C724" s="17" t="s">
        <v>805</v>
      </c>
      <c r="D724" s="17" t="s">
        <v>801</v>
      </c>
      <c r="E724" s="18">
        <v>3020360629007</v>
      </c>
      <c r="G724" s="20" t="str">
        <f t="shared" si="33"/>
        <v xml:space="preserve"> ANSES/F.CUIR    </v>
      </c>
      <c r="H724" s="20" t="str">
        <f t="shared" si="34"/>
        <v>WBLUE</v>
      </c>
      <c r="I724" s="20" t="str">
        <f t="shared" si="35"/>
        <v xml:space="preserve">XS   </v>
      </c>
    </row>
    <row r="725" spans="1:9">
      <c r="A725" s="17" t="s">
        <v>874</v>
      </c>
      <c r="B725" s="17" t="s">
        <v>928</v>
      </c>
      <c r="C725" s="17" t="s">
        <v>805</v>
      </c>
      <c r="D725" s="17" t="s">
        <v>801</v>
      </c>
      <c r="E725" s="18">
        <v>3002310438006</v>
      </c>
      <c r="G725" s="20" t="str">
        <f t="shared" si="33"/>
        <v xml:space="preserve"> ANSES/F.CUIR    </v>
      </c>
      <c r="H725" s="20" t="str">
        <f t="shared" si="34"/>
        <v>WBLUE</v>
      </c>
      <c r="I725" s="20" t="str">
        <f t="shared" si="35"/>
        <v xml:space="preserve">XS   </v>
      </c>
    </row>
    <row r="726" spans="1:9">
      <c r="A726" s="17" t="s">
        <v>874</v>
      </c>
      <c r="B726" s="17" t="s">
        <v>273</v>
      </c>
      <c r="C726" s="17" t="s">
        <v>800</v>
      </c>
      <c r="D726" s="17" t="s">
        <v>801</v>
      </c>
      <c r="E726" s="18">
        <v>3003220004039</v>
      </c>
      <c r="G726" s="20" t="str">
        <f t="shared" si="33"/>
        <v xml:space="preserve"> ANSES/F.CUIR    </v>
      </c>
      <c r="H726" s="20" t="str">
        <f t="shared" si="34"/>
        <v>WHITE</v>
      </c>
      <c r="I726" s="20" t="str">
        <f t="shared" si="35"/>
        <v xml:space="preserve">L    </v>
      </c>
    </row>
    <row r="727" spans="1:9">
      <c r="A727" s="17" t="s">
        <v>874</v>
      </c>
      <c r="B727" s="17" t="s">
        <v>273</v>
      </c>
      <c r="C727" s="17" t="s">
        <v>800</v>
      </c>
      <c r="D727" s="17" t="s">
        <v>801</v>
      </c>
      <c r="E727" s="18">
        <v>8051770308782</v>
      </c>
      <c r="G727" s="20" t="str">
        <f t="shared" si="33"/>
        <v xml:space="preserve"> ANSES/F.CUIR    </v>
      </c>
      <c r="H727" s="20" t="str">
        <f t="shared" si="34"/>
        <v>WHITE</v>
      </c>
      <c r="I727" s="20" t="str">
        <f t="shared" si="35"/>
        <v xml:space="preserve">L    </v>
      </c>
    </row>
    <row r="728" spans="1:9">
      <c r="A728" s="17" t="s">
        <v>874</v>
      </c>
      <c r="B728" s="17" t="s">
        <v>273</v>
      </c>
      <c r="C728" s="17" t="s">
        <v>802</v>
      </c>
      <c r="D728" s="17" t="s">
        <v>801</v>
      </c>
      <c r="E728" s="18">
        <v>3003220004022</v>
      </c>
      <c r="G728" s="20" t="str">
        <f t="shared" si="33"/>
        <v xml:space="preserve"> ANSES/F.CUIR    </v>
      </c>
      <c r="H728" s="20" t="str">
        <f t="shared" si="34"/>
        <v>WHITE</v>
      </c>
      <c r="I728" s="20" t="str">
        <f t="shared" si="35"/>
        <v xml:space="preserve">M    </v>
      </c>
    </row>
    <row r="729" spans="1:9">
      <c r="A729" s="17" t="s">
        <v>874</v>
      </c>
      <c r="B729" s="17" t="s">
        <v>273</v>
      </c>
      <c r="C729" s="17" t="s">
        <v>803</v>
      </c>
      <c r="D729" s="17" t="s">
        <v>801</v>
      </c>
      <c r="E729" s="18">
        <v>3003220004015</v>
      </c>
      <c r="G729" s="20" t="str">
        <f t="shared" si="33"/>
        <v xml:space="preserve"> ANSES/F.CUIR    </v>
      </c>
      <c r="H729" s="20" t="str">
        <f t="shared" si="34"/>
        <v>WHITE</v>
      </c>
      <c r="I729" s="20" t="str">
        <f t="shared" si="35"/>
        <v xml:space="preserve">S    </v>
      </c>
    </row>
    <row r="730" spans="1:9">
      <c r="A730" s="17" t="s">
        <v>874</v>
      </c>
      <c r="B730" s="17" t="s">
        <v>273</v>
      </c>
      <c r="C730" s="17" t="s">
        <v>803</v>
      </c>
      <c r="D730" s="17" t="s">
        <v>801</v>
      </c>
      <c r="E730" s="18">
        <v>8050450214412</v>
      </c>
      <c r="G730" s="20" t="str">
        <f t="shared" si="33"/>
        <v xml:space="preserve"> ANSES/F.CUIR    </v>
      </c>
      <c r="H730" s="20" t="str">
        <f t="shared" si="34"/>
        <v>WHITE</v>
      </c>
      <c r="I730" s="20" t="str">
        <f t="shared" si="35"/>
        <v xml:space="preserve">S    </v>
      </c>
    </row>
    <row r="731" spans="1:9">
      <c r="A731" s="17" t="s">
        <v>874</v>
      </c>
      <c r="B731" s="17" t="s">
        <v>273</v>
      </c>
      <c r="C731" s="17" t="s">
        <v>804</v>
      </c>
      <c r="D731" s="17" t="s">
        <v>801</v>
      </c>
      <c r="E731" s="18">
        <v>3003220004046</v>
      </c>
      <c r="G731" s="20" t="str">
        <f t="shared" si="33"/>
        <v xml:space="preserve"> ANSES/F.CUIR    </v>
      </c>
      <c r="H731" s="20" t="str">
        <f t="shared" si="34"/>
        <v>WHITE</v>
      </c>
      <c r="I731" s="20" t="str">
        <f t="shared" si="35"/>
        <v xml:space="preserve">XL   </v>
      </c>
    </row>
    <row r="732" spans="1:9">
      <c r="A732" s="17" t="s">
        <v>874</v>
      </c>
      <c r="B732" s="17" t="s">
        <v>273</v>
      </c>
      <c r="C732" s="17" t="s">
        <v>805</v>
      </c>
      <c r="D732" s="17" t="s">
        <v>801</v>
      </c>
      <c r="E732" s="18">
        <v>3003220004008</v>
      </c>
      <c r="G732" s="20" t="str">
        <f t="shared" si="33"/>
        <v xml:space="preserve"> ANSES/F.CUIR    </v>
      </c>
      <c r="H732" s="20" t="str">
        <f t="shared" si="34"/>
        <v>WHITE</v>
      </c>
      <c r="I732" s="20" t="str">
        <f t="shared" si="35"/>
        <v xml:space="preserve">XS   </v>
      </c>
    </row>
    <row r="733" spans="1:9">
      <c r="A733" s="17" t="s">
        <v>874</v>
      </c>
      <c r="B733" s="17" t="s">
        <v>825</v>
      </c>
      <c r="C733" s="17" t="s">
        <v>800</v>
      </c>
      <c r="D733" s="17" t="s">
        <v>801</v>
      </c>
      <c r="E733" s="18">
        <v>3020360632038</v>
      </c>
      <c r="G733" s="20" t="str">
        <f t="shared" si="33"/>
        <v xml:space="preserve"> ANSES/F.CUIR    </v>
      </c>
      <c r="H733" s="20" t="str">
        <f t="shared" si="34"/>
        <v xml:space="preserve">YELL </v>
      </c>
      <c r="I733" s="20" t="str">
        <f t="shared" si="35"/>
        <v xml:space="preserve">L    </v>
      </c>
    </row>
    <row r="734" spans="1:9">
      <c r="A734" s="17" t="s">
        <v>874</v>
      </c>
      <c r="B734" s="17" t="s">
        <v>825</v>
      </c>
      <c r="C734" s="17" t="s">
        <v>802</v>
      </c>
      <c r="D734" s="17" t="s">
        <v>801</v>
      </c>
      <c r="E734" s="18">
        <v>3020360632021</v>
      </c>
      <c r="G734" s="20" t="str">
        <f t="shared" si="33"/>
        <v xml:space="preserve"> ANSES/F.CUIR    </v>
      </c>
      <c r="H734" s="20" t="str">
        <f t="shared" si="34"/>
        <v xml:space="preserve">YELL </v>
      </c>
      <c r="I734" s="20" t="str">
        <f t="shared" si="35"/>
        <v xml:space="preserve">M    </v>
      </c>
    </row>
    <row r="735" spans="1:9">
      <c r="A735" s="17" t="s">
        <v>874</v>
      </c>
      <c r="B735" s="17" t="s">
        <v>825</v>
      </c>
      <c r="C735" s="17" t="s">
        <v>803</v>
      </c>
      <c r="D735" s="17" t="s">
        <v>801</v>
      </c>
      <c r="E735" s="18">
        <v>3020360632014</v>
      </c>
      <c r="G735" s="20" t="str">
        <f t="shared" si="33"/>
        <v xml:space="preserve"> ANSES/F.CUIR    </v>
      </c>
      <c r="H735" s="20" t="str">
        <f t="shared" si="34"/>
        <v xml:space="preserve">YELL </v>
      </c>
      <c r="I735" s="20" t="str">
        <f t="shared" si="35"/>
        <v xml:space="preserve">S    </v>
      </c>
    </row>
    <row r="736" spans="1:9">
      <c r="A736" s="17" t="s">
        <v>874</v>
      </c>
      <c r="B736" s="17" t="s">
        <v>825</v>
      </c>
      <c r="C736" s="17" t="s">
        <v>804</v>
      </c>
      <c r="D736" s="17" t="s">
        <v>801</v>
      </c>
      <c r="E736" s="18">
        <v>3020360632045</v>
      </c>
      <c r="G736" s="20" t="str">
        <f t="shared" si="33"/>
        <v xml:space="preserve"> ANSES/F.CUIR    </v>
      </c>
      <c r="H736" s="20" t="str">
        <f t="shared" si="34"/>
        <v xml:space="preserve">YELL </v>
      </c>
      <c r="I736" s="20" t="str">
        <f t="shared" si="35"/>
        <v xml:space="preserve">XL   </v>
      </c>
    </row>
    <row r="737" spans="1:9">
      <c r="A737" s="17" t="s">
        <v>874</v>
      </c>
      <c r="B737" s="17" t="s">
        <v>825</v>
      </c>
      <c r="C737" s="17" t="s">
        <v>805</v>
      </c>
      <c r="D737" s="17" t="s">
        <v>801</v>
      </c>
      <c r="E737" s="18">
        <v>3020360632007</v>
      </c>
      <c r="G737" s="20" t="str">
        <f t="shared" si="33"/>
        <v xml:space="preserve"> ANSES/F.CUIR    </v>
      </c>
      <c r="H737" s="20" t="str">
        <f t="shared" si="34"/>
        <v xml:space="preserve">YELL </v>
      </c>
      <c r="I737" s="20" t="str">
        <f t="shared" si="35"/>
        <v xml:space="preserve">XS   </v>
      </c>
    </row>
    <row r="738" spans="1:9">
      <c r="A738" s="17" t="s">
        <v>929</v>
      </c>
      <c r="B738" s="17" t="s">
        <v>280</v>
      </c>
      <c r="C738" s="17">
        <v>0</v>
      </c>
      <c r="D738" s="17" t="s">
        <v>801</v>
      </c>
      <c r="E738" s="18">
        <v>3004900558002</v>
      </c>
      <c r="G738" s="20" t="str">
        <f t="shared" si="33"/>
        <v xml:space="preserve"> ANSES/FIFTY     </v>
      </c>
      <c r="H738" s="20" t="str">
        <f t="shared" si="34"/>
        <v>BLACK</v>
      </c>
      <c r="I738" s="20">
        <f t="shared" si="35"/>
        <v>0</v>
      </c>
    </row>
    <row r="739" spans="1:9">
      <c r="A739" s="17" t="s">
        <v>929</v>
      </c>
      <c r="B739" s="17" t="s">
        <v>280</v>
      </c>
      <c r="C739" s="17">
        <v>0</v>
      </c>
      <c r="D739" s="17" t="s">
        <v>801</v>
      </c>
      <c r="E739" s="18">
        <v>8058333589138</v>
      </c>
      <c r="G739" s="20" t="str">
        <f t="shared" si="33"/>
        <v xml:space="preserve"> ANSES/FIFTY     </v>
      </c>
      <c r="H739" s="20" t="str">
        <f t="shared" si="34"/>
        <v>BLACK</v>
      </c>
      <c r="I739" s="20">
        <f t="shared" si="35"/>
        <v>0</v>
      </c>
    </row>
    <row r="740" spans="1:9">
      <c r="A740" s="17" t="s">
        <v>929</v>
      </c>
      <c r="B740" s="17" t="s">
        <v>930</v>
      </c>
      <c r="C740" s="17">
        <v>0</v>
      </c>
      <c r="D740" s="17" t="s">
        <v>801</v>
      </c>
      <c r="E740" s="18">
        <v>3004230557003</v>
      </c>
      <c r="G740" s="20" t="str">
        <f t="shared" si="33"/>
        <v xml:space="preserve"> ANSES/FIFTY     </v>
      </c>
      <c r="H740" s="20" t="str">
        <f t="shared" si="34"/>
        <v xml:space="preserve">BLK  </v>
      </c>
      <c r="I740" s="20">
        <f t="shared" si="35"/>
        <v>0</v>
      </c>
    </row>
    <row r="741" spans="1:9">
      <c r="A741" s="17" t="s">
        <v>929</v>
      </c>
      <c r="B741" s="17" t="s">
        <v>931</v>
      </c>
      <c r="C741" s="17">
        <v>0</v>
      </c>
      <c r="D741" s="17" t="s">
        <v>801</v>
      </c>
      <c r="E741" s="18">
        <v>3004230802004</v>
      </c>
      <c r="G741" s="20" t="str">
        <f t="shared" si="33"/>
        <v xml:space="preserve"> ANSES/FIFTY     </v>
      </c>
      <c r="H741" s="20" t="str">
        <f t="shared" si="34"/>
        <v>NAPCE</v>
      </c>
      <c r="I741" s="20">
        <f t="shared" si="35"/>
        <v>0</v>
      </c>
    </row>
    <row r="742" spans="1:9">
      <c r="A742" s="17" t="s">
        <v>929</v>
      </c>
      <c r="B742" s="17" t="s">
        <v>899</v>
      </c>
      <c r="C742" s="17">
        <v>0</v>
      </c>
      <c r="D742" s="17" t="s">
        <v>801</v>
      </c>
      <c r="E742" s="18">
        <v>3004230775001</v>
      </c>
      <c r="G742" s="20" t="str">
        <f t="shared" si="33"/>
        <v xml:space="preserve"> ANSES/FIFTY     </v>
      </c>
      <c r="H742" s="20" t="str">
        <f t="shared" si="34"/>
        <v>NAPCO</v>
      </c>
      <c r="I742" s="20">
        <f t="shared" si="35"/>
        <v>0</v>
      </c>
    </row>
    <row r="743" spans="1:9">
      <c r="A743" s="17" t="s">
        <v>929</v>
      </c>
      <c r="B743" s="17" t="s">
        <v>932</v>
      </c>
      <c r="C743" s="17">
        <v>0</v>
      </c>
      <c r="D743" s="17" t="s">
        <v>801</v>
      </c>
      <c r="E743" s="18">
        <v>3004230806002</v>
      </c>
      <c r="G743" s="20" t="str">
        <f t="shared" si="33"/>
        <v xml:space="preserve"> ANSES/FIFTY     </v>
      </c>
      <c r="H743" s="20" t="str">
        <f t="shared" si="34"/>
        <v>NAPCR</v>
      </c>
      <c r="I743" s="20">
        <f t="shared" si="35"/>
        <v>0</v>
      </c>
    </row>
    <row r="744" spans="1:9">
      <c r="A744" s="17" t="s">
        <v>929</v>
      </c>
      <c r="B744" s="17" t="s">
        <v>933</v>
      </c>
      <c r="C744" s="17">
        <v>0</v>
      </c>
      <c r="D744" s="17" t="s">
        <v>801</v>
      </c>
      <c r="E744" s="18">
        <v>3004230803001</v>
      </c>
      <c r="G744" s="20" t="str">
        <f t="shared" si="33"/>
        <v xml:space="preserve"> ANSES/FIFTY     </v>
      </c>
      <c r="H744" s="20" t="str">
        <f t="shared" si="34"/>
        <v>NAPTU</v>
      </c>
      <c r="I744" s="20">
        <f t="shared" si="35"/>
        <v>0</v>
      </c>
    </row>
    <row r="745" spans="1:9">
      <c r="A745" s="17" t="s">
        <v>929</v>
      </c>
      <c r="B745" s="17" t="s">
        <v>934</v>
      </c>
      <c r="C745" s="17">
        <v>0</v>
      </c>
      <c r="D745" s="17" t="s">
        <v>801</v>
      </c>
      <c r="E745" s="18">
        <v>3004230801007</v>
      </c>
      <c r="G745" s="20" t="str">
        <f t="shared" si="33"/>
        <v xml:space="preserve"> ANSES/FIFTY     </v>
      </c>
      <c r="H745" s="20" t="str">
        <f t="shared" si="34"/>
        <v>NAPWH</v>
      </c>
      <c r="I745" s="20">
        <f t="shared" si="35"/>
        <v>0</v>
      </c>
    </row>
    <row r="746" spans="1:9">
      <c r="A746" s="17" t="s">
        <v>929</v>
      </c>
      <c r="B746" s="17" t="s">
        <v>859</v>
      </c>
      <c r="C746" s="17">
        <v>0</v>
      </c>
      <c r="D746" s="17" t="s">
        <v>801</v>
      </c>
      <c r="E746" s="18">
        <v>8058333589121</v>
      </c>
      <c r="G746" s="20" t="str">
        <f t="shared" si="33"/>
        <v xml:space="preserve"> ANSES/FIFTY     </v>
      </c>
      <c r="H746" s="20" t="str">
        <f t="shared" si="34"/>
        <v>NATUR</v>
      </c>
      <c r="I746" s="20">
        <f t="shared" si="35"/>
        <v>0</v>
      </c>
    </row>
    <row r="747" spans="1:9">
      <c r="A747" s="17" t="s">
        <v>929</v>
      </c>
      <c r="B747" s="17" t="s">
        <v>859</v>
      </c>
      <c r="C747" s="17">
        <v>0</v>
      </c>
      <c r="D747" s="17" t="s">
        <v>801</v>
      </c>
      <c r="E747" s="18">
        <v>3004230371005</v>
      </c>
      <c r="G747" s="20" t="str">
        <f t="shared" si="33"/>
        <v xml:space="preserve"> ANSES/FIFTY     </v>
      </c>
      <c r="H747" s="20" t="str">
        <f t="shared" si="34"/>
        <v>NATUR</v>
      </c>
      <c r="I747" s="20">
        <f t="shared" si="35"/>
        <v>0</v>
      </c>
    </row>
    <row r="748" spans="1:9">
      <c r="A748" s="17" t="s">
        <v>929</v>
      </c>
      <c r="B748" s="17" t="s">
        <v>841</v>
      </c>
      <c r="C748" s="17">
        <v>0</v>
      </c>
      <c r="D748" s="17" t="s">
        <v>801</v>
      </c>
      <c r="E748" s="18">
        <v>3004900309000</v>
      </c>
      <c r="G748" s="20" t="str">
        <f t="shared" si="33"/>
        <v xml:space="preserve"> ANSES/FIFTY     </v>
      </c>
      <c r="H748" s="20" t="str">
        <f t="shared" si="34"/>
        <v xml:space="preserve">TEST </v>
      </c>
      <c r="I748" s="20">
        <f t="shared" si="35"/>
        <v>0</v>
      </c>
    </row>
    <row r="749" spans="1:9">
      <c r="A749" s="17" t="s">
        <v>929</v>
      </c>
      <c r="B749" s="17" t="s">
        <v>841</v>
      </c>
      <c r="C749" s="17">
        <v>0</v>
      </c>
      <c r="D749" s="17" t="s">
        <v>801</v>
      </c>
      <c r="E749" s="18">
        <v>8058333589145</v>
      </c>
      <c r="G749" s="20" t="str">
        <f t="shared" si="33"/>
        <v xml:space="preserve"> ANSES/FIFTY     </v>
      </c>
      <c r="H749" s="20" t="str">
        <f t="shared" si="34"/>
        <v xml:space="preserve">TEST </v>
      </c>
      <c r="I749" s="20">
        <f t="shared" si="35"/>
        <v>0</v>
      </c>
    </row>
    <row r="750" spans="1:9">
      <c r="A750" s="17" t="s">
        <v>935</v>
      </c>
      <c r="B750" s="17" t="s">
        <v>799</v>
      </c>
      <c r="C750" s="17">
        <v>0</v>
      </c>
      <c r="D750" s="17" t="s">
        <v>801</v>
      </c>
      <c r="E750" s="18">
        <v>8056300453147</v>
      </c>
      <c r="G750" s="20" t="str">
        <f t="shared" si="33"/>
        <v xml:space="preserve"> ANSES/MICRO     </v>
      </c>
      <c r="H750" s="20" t="str">
        <f t="shared" si="34"/>
        <v xml:space="preserve">     </v>
      </c>
      <c r="I750" s="20">
        <f t="shared" si="35"/>
        <v>0</v>
      </c>
    </row>
    <row r="751" spans="1:9">
      <c r="A751" s="17" t="s">
        <v>935</v>
      </c>
      <c r="B751" s="17" t="s">
        <v>280</v>
      </c>
      <c r="C751" s="17">
        <v>0</v>
      </c>
      <c r="D751" s="17" t="s">
        <v>801</v>
      </c>
      <c r="E751" s="18">
        <v>3004560004000</v>
      </c>
      <c r="G751" s="20" t="str">
        <f t="shared" si="33"/>
        <v xml:space="preserve"> ANSES/MICRO     </v>
      </c>
      <c r="H751" s="20" t="str">
        <f t="shared" si="34"/>
        <v>BLACK</v>
      </c>
      <c r="I751" s="20">
        <f t="shared" si="35"/>
        <v>0</v>
      </c>
    </row>
    <row r="752" spans="1:9">
      <c r="A752" s="17" t="s">
        <v>935</v>
      </c>
      <c r="B752" s="17" t="s">
        <v>936</v>
      </c>
      <c r="C752" s="17">
        <v>0</v>
      </c>
      <c r="D752" s="17" t="s">
        <v>801</v>
      </c>
      <c r="E752" s="18">
        <v>3004560259004</v>
      </c>
      <c r="G752" s="20" t="str">
        <f t="shared" si="33"/>
        <v xml:space="preserve"> ANSES/MICRO     </v>
      </c>
      <c r="H752" s="20" t="str">
        <f t="shared" si="34"/>
        <v xml:space="preserve">BLBO </v>
      </c>
      <c r="I752" s="20">
        <f t="shared" si="35"/>
        <v>0</v>
      </c>
    </row>
    <row r="753" spans="1:9">
      <c r="A753" s="17" t="s">
        <v>935</v>
      </c>
      <c r="B753" s="17" t="s">
        <v>810</v>
      </c>
      <c r="C753" s="17">
        <v>0</v>
      </c>
      <c r="D753" s="17" t="s">
        <v>801</v>
      </c>
      <c r="E753" s="18">
        <v>3004560319005</v>
      </c>
      <c r="G753" s="20" t="str">
        <f t="shared" si="33"/>
        <v xml:space="preserve"> ANSES/MICRO     </v>
      </c>
      <c r="H753" s="20" t="str">
        <f t="shared" si="34"/>
        <v xml:space="preserve">BLUE </v>
      </c>
      <c r="I753" s="20">
        <f t="shared" si="35"/>
        <v>0</v>
      </c>
    </row>
    <row r="754" spans="1:9">
      <c r="A754" s="17" t="s">
        <v>935</v>
      </c>
      <c r="B754" s="17" t="s">
        <v>937</v>
      </c>
      <c r="C754" s="17">
        <v>0</v>
      </c>
      <c r="D754" s="17" t="s">
        <v>801</v>
      </c>
      <c r="E754" s="18">
        <v>3004560580009</v>
      </c>
      <c r="G754" s="20" t="str">
        <f t="shared" si="33"/>
        <v xml:space="preserve"> ANSES/MICRO     </v>
      </c>
      <c r="H754" s="20" t="str">
        <f t="shared" si="34"/>
        <v>BOPOR</v>
      </c>
      <c r="I754" s="20">
        <f t="shared" si="35"/>
        <v>0</v>
      </c>
    </row>
    <row r="755" spans="1:9">
      <c r="A755" s="17" t="s">
        <v>935</v>
      </c>
      <c r="B755" s="17" t="s">
        <v>937</v>
      </c>
      <c r="C755" s="17">
        <v>0</v>
      </c>
      <c r="D755" s="17" t="s">
        <v>801</v>
      </c>
      <c r="E755" s="18">
        <v>8056300453130</v>
      </c>
      <c r="G755" s="20" t="str">
        <f t="shared" si="33"/>
        <v xml:space="preserve"> ANSES/MICRO     </v>
      </c>
      <c r="H755" s="20" t="str">
        <f t="shared" si="34"/>
        <v>BOPOR</v>
      </c>
      <c r="I755" s="20">
        <f t="shared" si="35"/>
        <v>0</v>
      </c>
    </row>
    <row r="756" spans="1:9">
      <c r="A756" s="17" t="s">
        <v>935</v>
      </c>
      <c r="B756" s="17" t="s">
        <v>869</v>
      </c>
      <c r="C756" s="17">
        <v>0</v>
      </c>
      <c r="D756" s="17" t="s">
        <v>801</v>
      </c>
      <c r="E756" s="18">
        <v>3004560554000</v>
      </c>
      <c r="G756" s="20" t="str">
        <f t="shared" si="33"/>
        <v xml:space="preserve"> ANSES/MICRO     </v>
      </c>
      <c r="H756" s="20" t="str">
        <f t="shared" si="34"/>
        <v>BROWN</v>
      </c>
      <c r="I756" s="20">
        <f t="shared" si="35"/>
        <v>0</v>
      </c>
    </row>
    <row r="757" spans="1:9">
      <c r="A757" s="17" t="s">
        <v>935</v>
      </c>
      <c r="B757" s="17" t="s">
        <v>938</v>
      </c>
      <c r="C757" s="17">
        <v>0</v>
      </c>
      <c r="D757" s="17" t="s">
        <v>801</v>
      </c>
      <c r="E757" s="18">
        <v>3003871002002</v>
      </c>
      <c r="G757" s="20" t="str">
        <f t="shared" si="33"/>
        <v xml:space="preserve"> ANSES/MICRO     </v>
      </c>
      <c r="H757" s="20" t="str">
        <f t="shared" si="34"/>
        <v>CHADM</v>
      </c>
      <c r="I757" s="20">
        <f t="shared" si="35"/>
        <v>0</v>
      </c>
    </row>
    <row r="758" spans="1:9">
      <c r="A758" s="17" t="s">
        <v>935</v>
      </c>
      <c r="B758" s="17" t="s">
        <v>938</v>
      </c>
      <c r="C758" s="17">
        <v>0</v>
      </c>
      <c r="D758" s="17" t="s">
        <v>801</v>
      </c>
      <c r="E758" s="18">
        <v>8056300454465</v>
      </c>
      <c r="G758" s="20" t="str">
        <f t="shared" si="33"/>
        <v xml:space="preserve"> ANSES/MICRO     </v>
      </c>
      <c r="H758" s="20" t="str">
        <f t="shared" si="34"/>
        <v>CHADM</v>
      </c>
      <c r="I758" s="20">
        <f t="shared" si="35"/>
        <v>0</v>
      </c>
    </row>
    <row r="759" spans="1:9">
      <c r="A759" s="17" t="s">
        <v>935</v>
      </c>
      <c r="B759" s="17" t="s">
        <v>884</v>
      </c>
      <c r="C759" s="17">
        <v>0</v>
      </c>
      <c r="D759" s="17" t="s">
        <v>801</v>
      </c>
      <c r="E759" s="18">
        <v>3003870524000</v>
      </c>
      <c r="G759" s="20" t="str">
        <f t="shared" si="33"/>
        <v xml:space="preserve"> ANSES/MICRO     </v>
      </c>
      <c r="H759" s="20" t="str">
        <f t="shared" si="34"/>
        <v>CHAMA</v>
      </c>
      <c r="I759" s="20">
        <f t="shared" si="35"/>
        <v>0</v>
      </c>
    </row>
    <row r="760" spans="1:9">
      <c r="A760" s="17" t="s">
        <v>935</v>
      </c>
      <c r="B760" s="17" t="s">
        <v>939</v>
      </c>
      <c r="C760" s="17">
        <v>0</v>
      </c>
      <c r="D760" s="17" t="s">
        <v>801</v>
      </c>
      <c r="E760" s="18">
        <v>3003870669008</v>
      </c>
      <c r="G760" s="20" t="str">
        <f t="shared" si="33"/>
        <v xml:space="preserve"> ANSES/MICRO     </v>
      </c>
      <c r="H760" s="20" t="str">
        <f t="shared" si="34"/>
        <v>CHAMU</v>
      </c>
      <c r="I760" s="20">
        <f t="shared" si="35"/>
        <v>0</v>
      </c>
    </row>
    <row r="761" spans="1:9">
      <c r="A761" s="17" t="s">
        <v>935</v>
      </c>
      <c r="B761" s="17" t="s">
        <v>940</v>
      </c>
      <c r="C761" s="17">
        <v>0</v>
      </c>
      <c r="D761" s="17" t="s">
        <v>801</v>
      </c>
      <c r="E761" s="18">
        <v>3003871352008</v>
      </c>
      <c r="G761" s="20" t="str">
        <f t="shared" si="33"/>
        <v xml:space="preserve"> ANSES/MICRO     </v>
      </c>
      <c r="H761" s="20" t="str">
        <f t="shared" si="34"/>
        <v>CHBLU</v>
      </c>
      <c r="I761" s="20">
        <f t="shared" si="35"/>
        <v>0</v>
      </c>
    </row>
    <row r="762" spans="1:9">
      <c r="A762" s="17" t="s">
        <v>935</v>
      </c>
      <c r="B762" s="17" t="s">
        <v>940</v>
      </c>
      <c r="C762" s="17">
        <v>0</v>
      </c>
      <c r="D762" s="17" t="s">
        <v>801</v>
      </c>
      <c r="E762" s="18">
        <v>8056099170126</v>
      </c>
      <c r="G762" s="20" t="str">
        <f t="shared" si="33"/>
        <v xml:space="preserve"> ANSES/MICRO     </v>
      </c>
      <c r="H762" s="20" t="str">
        <f t="shared" si="34"/>
        <v>CHBLU</v>
      </c>
      <c r="I762" s="20">
        <f t="shared" si="35"/>
        <v>0</v>
      </c>
    </row>
    <row r="763" spans="1:9">
      <c r="A763" s="17" t="s">
        <v>935</v>
      </c>
      <c r="B763" s="17" t="s">
        <v>941</v>
      </c>
      <c r="C763" s="17">
        <v>0</v>
      </c>
      <c r="D763" s="17" t="s">
        <v>801</v>
      </c>
      <c r="E763" s="18">
        <v>3003871354002</v>
      </c>
      <c r="G763" s="20" t="str">
        <f t="shared" si="33"/>
        <v xml:space="preserve"> ANSES/MICRO     </v>
      </c>
      <c r="H763" s="20" t="str">
        <f t="shared" si="34"/>
        <v>CHCOR</v>
      </c>
      <c r="I763" s="20">
        <f t="shared" si="35"/>
        <v>0</v>
      </c>
    </row>
    <row r="764" spans="1:9">
      <c r="A764" s="17" t="s">
        <v>935</v>
      </c>
      <c r="B764" s="17" t="s">
        <v>941</v>
      </c>
      <c r="C764" s="17">
        <v>0</v>
      </c>
      <c r="D764" s="17" t="s">
        <v>801</v>
      </c>
      <c r="E764" s="18">
        <v>8056099170119</v>
      </c>
      <c r="G764" s="20" t="str">
        <f t="shared" si="33"/>
        <v xml:space="preserve"> ANSES/MICRO     </v>
      </c>
      <c r="H764" s="20" t="str">
        <f t="shared" si="34"/>
        <v>CHCOR</v>
      </c>
      <c r="I764" s="20">
        <f t="shared" si="35"/>
        <v>0</v>
      </c>
    </row>
    <row r="765" spans="1:9">
      <c r="A765" s="17" t="s">
        <v>935</v>
      </c>
      <c r="B765" s="17" t="s">
        <v>942</v>
      </c>
      <c r="C765" s="17">
        <v>0</v>
      </c>
      <c r="D765" s="17" t="s">
        <v>801</v>
      </c>
      <c r="E765" s="18">
        <v>3003871353005</v>
      </c>
      <c r="G765" s="20" t="str">
        <f t="shared" si="33"/>
        <v xml:space="preserve"> ANSES/MICRO     </v>
      </c>
      <c r="H765" s="20" t="str">
        <f t="shared" si="34"/>
        <v>CHGRI</v>
      </c>
      <c r="I765" s="20">
        <f t="shared" si="35"/>
        <v>0</v>
      </c>
    </row>
    <row r="766" spans="1:9">
      <c r="A766" s="17" t="s">
        <v>935</v>
      </c>
      <c r="B766" s="17" t="s">
        <v>942</v>
      </c>
      <c r="C766" s="17">
        <v>0</v>
      </c>
      <c r="D766" s="17" t="s">
        <v>801</v>
      </c>
      <c r="E766" s="18">
        <v>8056099170133</v>
      </c>
      <c r="G766" s="20" t="str">
        <f t="shared" si="33"/>
        <v xml:space="preserve"> ANSES/MICRO     </v>
      </c>
      <c r="H766" s="20" t="str">
        <f t="shared" si="34"/>
        <v>CHGRI</v>
      </c>
      <c r="I766" s="20">
        <f t="shared" si="35"/>
        <v>0</v>
      </c>
    </row>
    <row r="767" spans="1:9">
      <c r="A767" s="17" t="s">
        <v>935</v>
      </c>
      <c r="B767" s="17" t="s">
        <v>943</v>
      </c>
      <c r="C767" s="17">
        <v>0</v>
      </c>
      <c r="D767" s="17" t="s">
        <v>801</v>
      </c>
      <c r="E767" s="18">
        <v>3003871351001</v>
      </c>
      <c r="G767" s="20" t="str">
        <f t="shared" si="33"/>
        <v xml:space="preserve"> ANSES/MICRO     </v>
      </c>
      <c r="H767" s="20" t="str">
        <f t="shared" si="34"/>
        <v>CHORA</v>
      </c>
      <c r="I767" s="20">
        <f t="shared" si="35"/>
        <v>0</v>
      </c>
    </row>
    <row r="768" spans="1:9">
      <c r="A768" s="17" t="s">
        <v>935</v>
      </c>
      <c r="B768" s="17" t="s">
        <v>943</v>
      </c>
      <c r="C768" s="17">
        <v>0</v>
      </c>
      <c r="D768" s="17" t="s">
        <v>801</v>
      </c>
      <c r="E768" s="18">
        <v>8056099170102</v>
      </c>
      <c r="G768" s="20" t="str">
        <f t="shared" si="33"/>
        <v xml:space="preserve"> ANSES/MICRO     </v>
      </c>
      <c r="H768" s="20" t="str">
        <f t="shared" si="34"/>
        <v>CHORA</v>
      </c>
      <c r="I768" s="20">
        <f t="shared" si="35"/>
        <v>0</v>
      </c>
    </row>
    <row r="769" spans="1:9">
      <c r="A769" s="17" t="s">
        <v>935</v>
      </c>
      <c r="B769" s="17" t="s">
        <v>944</v>
      </c>
      <c r="C769" s="17">
        <v>0</v>
      </c>
      <c r="D769" s="17" t="s">
        <v>801</v>
      </c>
      <c r="E769" s="18">
        <v>8056095063606</v>
      </c>
      <c r="G769" s="20" t="str">
        <f t="shared" si="33"/>
        <v xml:space="preserve"> ANSES/MICRO     </v>
      </c>
      <c r="H769" s="20" t="str">
        <f t="shared" si="34"/>
        <v>DENIM</v>
      </c>
      <c r="I769" s="20">
        <f t="shared" si="35"/>
        <v>0</v>
      </c>
    </row>
    <row r="770" spans="1:9">
      <c r="A770" s="17" t="s">
        <v>935</v>
      </c>
      <c r="B770" s="17" t="s">
        <v>945</v>
      </c>
      <c r="C770" s="17">
        <v>0</v>
      </c>
      <c r="D770" s="17" t="s">
        <v>801</v>
      </c>
      <c r="E770" s="18">
        <v>3003871056005</v>
      </c>
      <c r="G770" s="20" t="str">
        <f t="shared" si="33"/>
        <v xml:space="preserve"> ANSES/MICRO     </v>
      </c>
      <c r="H770" s="20" t="str">
        <f t="shared" si="34"/>
        <v>FOLKB</v>
      </c>
      <c r="I770" s="20">
        <f t="shared" si="35"/>
        <v>0</v>
      </c>
    </row>
    <row r="771" spans="1:9">
      <c r="A771" s="17" t="s">
        <v>935</v>
      </c>
      <c r="B771" s="17" t="s">
        <v>946</v>
      </c>
      <c r="C771" s="17">
        <v>0</v>
      </c>
      <c r="D771" s="17" t="s">
        <v>801</v>
      </c>
      <c r="E771" s="18">
        <v>3004560304001</v>
      </c>
      <c r="G771" s="20" t="str">
        <f t="shared" si="33"/>
        <v xml:space="preserve"> ANSES/MICRO     </v>
      </c>
      <c r="H771" s="20" t="str">
        <f t="shared" si="34"/>
        <v xml:space="preserve">MACE </v>
      </c>
      <c r="I771" s="20">
        <f t="shared" si="35"/>
        <v>0</v>
      </c>
    </row>
    <row r="772" spans="1:9">
      <c r="A772" s="17" t="s">
        <v>935</v>
      </c>
      <c r="B772" s="17" t="s">
        <v>947</v>
      </c>
      <c r="C772" s="17">
        <v>0</v>
      </c>
      <c r="D772" s="17" t="s">
        <v>801</v>
      </c>
      <c r="E772" s="18">
        <v>3004560260000</v>
      </c>
      <c r="G772" s="20" t="str">
        <f t="shared" si="33"/>
        <v xml:space="preserve"> ANSES/MICRO     </v>
      </c>
      <c r="H772" s="20" t="str">
        <f t="shared" si="34"/>
        <v xml:space="preserve">MAMO </v>
      </c>
      <c r="I772" s="20">
        <f t="shared" si="35"/>
        <v>0</v>
      </c>
    </row>
    <row r="773" spans="1:9">
      <c r="A773" s="17" t="s">
        <v>935</v>
      </c>
      <c r="B773" s="17" t="s">
        <v>948</v>
      </c>
      <c r="C773" s="17">
        <v>0</v>
      </c>
      <c r="D773" s="17" t="s">
        <v>801</v>
      </c>
      <c r="E773" s="18">
        <v>3004560258007</v>
      </c>
      <c r="G773" s="20" t="str">
        <f t="shared" ref="G773:G836" si="36">A773</f>
        <v xml:space="preserve"> ANSES/MICRO     </v>
      </c>
      <c r="H773" s="20" t="str">
        <f t="shared" ref="H773:H836" si="37">B773</f>
        <v xml:space="preserve">MAPE </v>
      </c>
      <c r="I773" s="20">
        <f t="shared" ref="I773:I836" si="38">C773</f>
        <v>0</v>
      </c>
    </row>
    <row r="774" spans="1:9">
      <c r="A774" s="17" t="s">
        <v>935</v>
      </c>
      <c r="B774" s="17" t="s">
        <v>949</v>
      </c>
      <c r="C774" s="17">
        <v>0</v>
      </c>
      <c r="D774" s="17" t="s">
        <v>801</v>
      </c>
      <c r="E774" s="18">
        <v>3004560257000</v>
      </c>
      <c r="G774" s="20" t="str">
        <f t="shared" si="36"/>
        <v xml:space="preserve"> ANSES/MICRO     </v>
      </c>
      <c r="H774" s="20" t="str">
        <f t="shared" si="37"/>
        <v xml:space="preserve">NABL </v>
      </c>
      <c r="I774" s="20">
        <f t="shared" si="38"/>
        <v>0</v>
      </c>
    </row>
    <row r="775" spans="1:9">
      <c r="A775" s="17" t="s">
        <v>935</v>
      </c>
      <c r="B775" s="17" t="s">
        <v>949</v>
      </c>
      <c r="C775" s="17">
        <v>0</v>
      </c>
      <c r="D775" s="17" t="s">
        <v>801</v>
      </c>
      <c r="E775" s="18">
        <v>8058333583990</v>
      </c>
      <c r="G775" s="20" t="str">
        <f t="shared" si="36"/>
        <v xml:space="preserve"> ANSES/MICRO     </v>
      </c>
      <c r="H775" s="20" t="str">
        <f t="shared" si="37"/>
        <v xml:space="preserve">NABL </v>
      </c>
      <c r="I775" s="20">
        <f t="shared" si="38"/>
        <v>0</v>
      </c>
    </row>
    <row r="776" spans="1:9">
      <c r="A776" s="17" t="s">
        <v>935</v>
      </c>
      <c r="B776" s="17" t="s">
        <v>950</v>
      </c>
      <c r="C776" s="17">
        <v>0</v>
      </c>
      <c r="D776" s="17" t="s">
        <v>801</v>
      </c>
      <c r="E776" s="18">
        <v>3004560313003</v>
      </c>
      <c r="G776" s="20" t="str">
        <f t="shared" si="36"/>
        <v xml:space="preserve"> ANSES/MICRO     </v>
      </c>
      <c r="H776" s="20" t="str">
        <f t="shared" si="37"/>
        <v xml:space="preserve">NAGR </v>
      </c>
      <c r="I776" s="20">
        <f t="shared" si="38"/>
        <v>0</v>
      </c>
    </row>
    <row r="777" spans="1:9">
      <c r="A777" s="17" t="s">
        <v>935</v>
      </c>
      <c r="B777" s="17" t="s">
        <v>950</v>
      </c>
      <c r="C777" s="17">
        <v>0</v>
      </c>
      <c r="D777" s="17" t="s">
        <v>801</v>
      </c>
      <c r="E777" s="18">
        <v>8058333584003</v>
      </c>
      <c r="G777" s="20" t="str">
        <f t="shared" si="36"/>
        <v xml:space="preserve"> ANSES/MICRO     </v>
      </c>
      <c r="H777" s="20" t="str">
        <f t="shared" si="37"/>
        <v xml:space="preserve">NAGR </v>
      </c>
      <c r="I777" s="20">
        <f t="shared" si="38"/>
        <v>0</v>
      </c>
    </row>
    <row r="778" spans="1:9">
      <c r="A778" s="17" t="s">
        <v>935</v>
      </c>
      <c r="B778" s="17" t="s">
        <v>951</v>
      </c>
      <c r="C778" s="17">
        <v>0</v>
      </c>
      <c r="D778" s="17" t="s">
        <v>801</v>
      </c>
      <c r="E778" s="18">
        <v>3004560314000</v>
      </c>
      <c r="G778" s="20" t="str">
        <f t="shared" si="36"/>
        <v xml:space="preserve"> ANSES/MICRO     </v>
      </c>
      <c r="H778" s="20" t="str">
        <f t="shared" si="37"/>
        <v xml:space="preserve">NOMO </v>
      </c>
      <c r="I778" s="20">
        <f t="shared" si="38"/>
        <v>0</v>
      </c>
    </row>
    <row r="779" spans="1:9">
      <c r="A779" s="17" t="s">
        <v>935</v>
      </c>
      <c r="B779" s="17" t="s">
        <v>952</v>
      </c>
      <c r="C779" s="17">
        <v>0</v>
      </c>
      <c r="D779" s="17" t="s">
        <v>801</v>
      </c>
      <c r="E779" s="18">
        <v>3003870868005</v>
      </c>
      <c r="G779" s="20" t="str">
        <f t="shared" si="36"/>
        <v xml:space="preserve"> ANSES/MICRO     </v>
      </c>
      <c r="H779" s="20" t="str">
        <f t="shared" si="37"/>
        <v>ODPBL</v>
      </c>
      <c r="I779" s="20">
        <f t="shared" si="38"/>
        <v>0</v>
      </c>
    </row>
    <row r="780" spans="1:9">
      <c r="A780" s="17" t="s">
        <v>935</v>
      </c>
      <c r="B780" s="17" t="s">
        <v>953</v>
      </c>
      <c r="C780" s="17">
        <v>0</v>
      </c>
      <c r="D780" s="17" t="s">
        <v>801</v>
      </c>
      <c r="E780" s="18">
        <v>3003870870008</v>
      </c>
      <c r="G780" s="20" t="str">
        <f t="shared" si="36"/>
        <v xml:space="preserve"> ANSES/MICRO     </v>
      </c>
      <c r="H780" s="20" t="str">
        <f t="shared" si="37"/>
        <v>ODPTO</v>
      </c>
      <c r="I780" s="20">
        <f t="shared" si="38"/>
        <v>0</v>
      </c>
    </row>
    <row r="781" spans="1:9">
      <c r="A781" s="17" t="s">
        <v>935</v>
      </c>
      <c r="B781" s="17" t="s">
        <v>954</v>
      </c>
      <c r="C781" s="17">
        <v>0</v>
      </c>
      <c r="D781" s="17" t="s">
        <v>801</v>
      </c>
      <c r="E781" s="18">
        <v>3003870871005</v>
      </c>
      <c r="G781" s="20" t="str">
        <f t="shared" si="36"/>
        <v xml:space="preserve"> ANSES/MICRO     </v>
      </c>
      <c r="H781" s="20" t="str">
        <f t="shared" si="37"/>
        <v>ODPVE</v>
      </c>
      <c r="I781" s="20">
        <f t="shared" si="38"/>
        <v>0</v>
      </c>
    </row>
    <row r="782" spans="1:9">
      <c r="A782" s="17" t="s">
        <v>935</v>
      </c>
      <c r="B782" s="17" t="s">
        <v>815</v>
      </c>
      <c r="C782" s="17">
        <v>0</v>
      </c>
      <c r="D782" s="17" t="s">
        <v>801</v>
      </c>
      <c r="E782" s="18">
        <v>8050538590735</v>
      </c>
      <c r="G782" s="20" t="str">
        <f t="shared" si="36"/>
        <v xml:space="preserve"> ANSES/MICRO     </v>
      </c>
      <c r="H782" s="20" t="str">
        <f t="shared" si="37"/>
        <v>OPTWH</v>
      </c>
      <c r="I782" s="20">
        <f t="shared" si="38"/>
        <v>0</v>
      </c>
    </row>
    <row r="783" spans="1:9">
      <c r="A783" s="17" t="s">
        <v>935</v>
      </c>
      <c r="B783" s="17" t="s">
        <v>955</v>
      </c>
      <c r="C783" s="17">
        <v>0</v>
      </c>
      <c r="D783" s="17" t="s">
        <v>801</v>
      </c>
      <c r="E783" s="18">
        <v>3003870820003</v>
      </c>
      <c r="G783" s="20" t="str">
        <f t="shared" si="36"/>
        <v xml:space="preserve"> ANSES/MICRO     </v>
      </c>
      <c r="H783" s="20" t="str">
        <f t="shared" si="37"/>
        <v>ROSTE</v>
      </c>
      <c r="I783" s="20">
        <f t="shared" si="38"/>
        <v>0</v>
      </c>
    </row>
    <row r="784" spans="1:9">
      <c r="A784" s="17" t="s">
        <v>935</v>
      </c>
      <c r="B784" s="17" t="s">
        <v>956</v>
      </c>
      <c r="C784" s="17">
        <v>0</v>
      </c>
      <c r="D784" s="17" t="s">
        <v>801</v>
      </c>
      <c r="E784" s="18">
        <v>8058983595145</v>
      </c>
      <c r="G784" s="20" t="str">
        <f t="shared" si="36"/>
        <v xml:space="preserve"> ANSES/MICRO     </v>
      </c>
      <c r="H784" s="20" t="str">
        <f t="shared" si="37"/>
        <v>ROTES</v>
      </c>
      <c r="I784" s="20">
        <f t="shared" si="38"/>
        <v>0</v>
      </c>
    </row>
    <row r="785" spans="1:9">
      <c r="A785" s="17" t="s">
        <v>935</v>
      </c>
      <c r="B785" s="17" t="s">
        <v>957</v>
      </c>
      <c r="C785" s="17">
        <v>0</v>
      </c>
      <c r="D785" s="17" t="s">
        <v>801</v>
      </c>
      <c r="E785" s="18">
        <v>3003870650006</v>
      </c>
      <c r="G785" s="20" t="str">
        <f t="shared" si="36"/>
        <v xml:space="preserve"> ANSES/MICRO     </v>
      </c>
      <c r="H785" s="20" t="str">
        <f t="shared" si="37"/>
        <v>SUEDO</v>
      </c>
      <c r="I785" s="20">
        <f t="shared" si="38"/>
        <v>0</v>
      </c>
    </row>
    <row r="786" spans="1:9">
      <c r="A786" s="17" t="s">
        <v>935</v>
      </c>
      <c r="B786" s="17" t="s">
        <v>958</v>
      </c>
      <c r="C786" s="17">
        <v>0</v>
      </c>
      <c r="D786" s="17" t="s">
        <v>801</v>
      </c>
      <c r="E786" s="18">
        <v>3003870649000</v>
      </c>
      <c r="G786" s="20" t="str">
        <f t="shared" si="36"/>
        <v xml:space="preserve"> ANSES/MICRO     </v>
      </c>
      <c r="H786" s="20" t="str">
        <f t="shared" si="37"/>
        <v>SUEPE</v>
      </c>
      <c r="I786" s="20">
        <f t="shared" si="38"/>
        <v>0</v>
      </c>
    </row>
    <row r="787" spans="1:9">
      <c r="A787" s="17" t="s">
        <v>935</v>
      </c>
      <c r="B787" s="17" t="s">
        <v>959</v>
      </c>
      <c r="C787" s="17">
        <v>0</v>
      </c>
      <c r="D787" s="17" t="s">
        <v>801</v>
      </c>
      <c r="E787" s="18">
        <v>3003870648003</v>
      </c>
      <c r="G787" s="20" t="str">
        <f t="shared" si="36"/>
        <v xml:space="preserve"> ANSES/MICRO     </v>
      </c>
      <c r="H787" s="20" t="str">
        <f t="shared" si="37"/>
        <v>SUEVI</v>
      </c>
      <c r="I787" s="20">
        <f t="shared" si="38"/>
        <v>0</v>
      </c>
    </row>
    <row r="788" spans="1:9">
      <c r="A788" s="17" t="s">
        <v>935</v>
      </c>
      <c r="B788" s="17" t="s">
        <v>842</v>
      </c>
      <c r="C788" s="17">
        <v>0</v>
      </c>
      <c r="D788" s="17" t="s">
        <v>801</v>
      </c>
      <c r="E788" s="18">
        <v>3004560472007</v>
      </c>
      <c r="G788" s="20" t="str">
        <f t="shared" si="36"/>
        <v xml:space="preserve"> ANSES/MICRO     </v>
      </c>
      <c r="H788" s="20" t="str">
        <f t="shared" si="37"/>
        <v>TREBR</v>
      </c>
      <c r="I788" s="20">
        <f t="shared" si="38"/>
        <v>0</v>
      </c>
    </row>
    <row r="789" spans="1:9">
      <c r="A789" s="17" t="s">
        <v>935</v>
      </c>
      <c r="B789" s="17" t="s">
        <v>843</v>
      </c>
      <c r="C789" s="17">
        <v>0</v>
      </c>
      <c r="D789" s="17" t="s">
        <v>801</v>
      </c>
      <c r="E789" s="18">
        <v>3004560473004</v>
      </c>
      <c r="G789" s="20" t="str">
        <f t="shared" si="36"/>
        <v xml:space="preserve"> ANSES/MICRO     </v>
      </c>
      <c r="H789" s="20" t="str">
        <f t="shared" si="37"/>
        <v>TRENA</v>
      </c>
      <c r="I789" s="20">
        <f t="shared" si="38"/>
        <v>0</v>
      </c>
    </row>
    <row r="790" spans="1:9">
      <c r="A790" s="17" t="s">
        <v>935</v>
      </c>
      <c r="B790" s="17" t="s">
        <v>960</v>
      </c>
      <c r="C790" s="17">
        <v>0</v>
      </c>
      <c r="D790" s="17" t="s">
        <v>801</v>
      </c>
      <c r="E790" s="18">
        <v>3003870578003</v>
      </c>
      <c r="G790" s="20" t="str">
        <f t="shared" si="36"/>
        <v xml:space="preserve"> ANSES/MICRO     </v>
      </c>
      <c r="H790" s="20" t="str">
        <f t="shared" si="37"/>
        <v>VERJA</v>
      </c>
      <c r="I790" s="20">
        <f t="shared" si="38"/>
        <v>0</v>
      </c>
    </row>
    <row r="791" spans="1:9">
      <c r="A791" s="17" t="s">
        <v>935</v>
      </c>
      <c r="B791" s="17" t="s">
        <v>961</v>
      </c>
      <c r="C791" s="17">
        <v>0</v>
      </c>
      <c r="D791" s="17" t="s">
        <v>801</v>
      </c>
      <c r="E791" s="18">
        <v>3003870822007</v>
      </c>
      <c r="G791" s="20" t="str">
        <f t="shared" si="36"/>
        <v xml:space="preserve"> ANSES/MICRO     </v>
      </c>
      <c r="H791" s="20" t="str">
        <f t="shared" si="37"/>
        <v>VIOCU</v>
      </c>
      <c r="I791" s="20">
        <f t="shared" si="38"/>
        <v>0</v>
      </c>
    </row>
    <row r="792" spans="1:9">
      <c r="A792" s="17" t="s">
        <v>962</v>
      </c>
      <c r="B792" s="17" t="s">
        <v>963</v>
      </c>
      <c r="C792" s="17" t="s">
        <v>800</v>
      </c>
      <c r="D792" s="17" t="s">
        <v>801</v>
      </c>
      <c r="E792" s="18">
        <v>3005880395021</v>
      </c>
      <c r="G792" s="20" t="str">
        <f t="shared" si="36"/>
        <v xml:space="preserve"> ANSES/MICROCHAIN</v>
      </c>
      <c r="H792" s="20" t="str">
        <f t="shared" si="37"/>
        <v>AMARA</v>
      </c>
      <c r="I792" s="20" t="str">
        <f t="shared" si="38"/>
        <v xml:space="preserve">L    </v>
      </c>
    </row>
    <row r="793" spans="1:9">
      <c r="A793" s="17" t="s">
        <v>962</v>
      </c>
      <c r="B793" s="17" t="s">
        <v>963</v>
      </c>
      <c r="C793" s="17" t="s">
        <v>802</v>
      </c>
      <c r="D793" s="17" t="s">
        <v>801</v>
      </c>
      <c r="E793" s="18">
        <v>3005880395014</v>
      </c>
      <c r="G793" s="20" t="str">
        <f t="shared" si="36"/>
        <v xml:space="preserve"> ANSES/MICROCHAIN</v>
      </c>
      <c r="H793" s="20" t="str">
        <f t="shared" si="37"/>
        <v>AMARA</v>
      </c>
      <c r="I793" s="20" t="str">
        <f t="shared" si="38"/>
        <v xml:space="preserve">M    </v>
      </c>
    </row>
    <row r="794" spans="1:9">
      <c r="A794" s="17" t="s">
        <v>962</v>
      </c>
      <c r="B794" s="17" t="s">
        <v>963</v>
      </c>
      <c r="C794" s="17" t="s">
        <v>803</v>
      </c>
      <c r="D794" s="17" t="s">
        <v>801</v>
      </c>
      <c r="E794" s="18">
        <v>3005880395007</v>
      </c>
      <c r="G794" s="20" t="str">
        <f t="shared" si="36"/>
        <v xml:space="preserve"> ANSES/MICROCHAIN</v>
      </c>
      <c r="H794" s="20" t="str">
        <f t="shared" si="37"/>
        <v>AMARA</v>
      </c>
      <c r="I794" s="20" t="str">
        <f t="shared" si="38"/>
        <v xml:space="preserve">S    </v>
      </c>
    </row>
    <row r="795" spans="1:9">
      <c r="A795" s="17" t="s">
        <v>962</v>
      </c>
      <c r="B795" s="17" t="s">
        <v>814</v>
      </c>
      <c r="C795" s="17" t="s">
        <v>800</v>
      </c>
      <c r="D795" s="17" t="s">
        <v>801</v>
      </c>
      <c r="E795" s="18">
        <v>3005881093025</v>
      </c>
      <c r="G795" s="20" t="str">
        <f t="shared" si="36"/>
        <v xml:space="preserve"> ANSES/MICROCHAIN</v>
      </c>
      <c r="H795" s="20" t="str">
        <f t="shared" si="37"/>
        <v>BLUAC</v>
      </c>
      <c r="I795" s="20" t="str">
        <f t="shared" si="38"/>
        <v xml:space="preserve">L    </v>
      </c>
    </row>
    <row r="796" spans="1:9">
      <c r="A796" s="17" t="s">
        <v>962</v>
      </c>
      <c r="B796" s="17" t="s">
        <v>814</v>
      </c>
      <c r="C796" s="17" t="s">
        <v>802</v>
      </c>
      <c r="D796" s="17" t="s">
        <v>801</v>
      </c>
      <c r="E796" s="18">
        <v>3005881093018</v>
      </c>
      <c r="G796" s="20" t="str">
        <f t="shared" si="36"/>
        <v xml:space="preserve"> ANSES/MICROCHAIN</v>
      </c>
      <c r="H796" s="20" t="str">
        <f t="shared" si="37"/>
        <v>BLUAC</v>
      </c>
      <c r="I796" s="20" t="str">
        <f t="shared" si="38"/>
        <v xml:space="preserve">M    </v>
      </c>
    </row>
    <row r="797" spans="1:9">
      <c r="A797" s="17" t="s">
        <v>962</v>
      </c>
      <c r="B797" s="17" t="s">
        <v>814</v>
      </c>
      <c r="C797" s="17" t="s">
        <v>803</v>
      </c>
      <c r="D797" s="17" t="s">
        <v>801</v>
      </c>
      <c r="E797" s="18">
        <v>8056099176760</v>
      </c>
      <c r="G797" s="20" t="str">
        <f t="shared" si="36"/>
        <v xml:space="preserve"> ANSES/MICROCHAIN</v>
      </c>
      <c r="H797" s="20" t="str">
        <f t="shared" si="37"/>
        <v>BLUAC</v>
      </c>
      <c r="I797" s="20" t="str">
        <f t="shared" si="38"/>
        <v xml:space="preserve">S    </v>
      </c>
    </row>
    <row r="798" spans="1:9">
      <c r="A798" s="17" t="s">
        <v>962</v>
      </c>
      <c r="B798" s="17" t="s">
        <v>857</v>
      </c>
      <c r="C798" s="17" t="s">
        <v>800</v>
      </c>
      <c r="D798" s="17" t="s">
        <v>801</v>
      </c>
      <c r="E798" s="18">
        <v>3005880683029</v>
      </c>
      <c r="G798" s="20" t="str">
        <f t="shared" si="36"/>
        <v xml:space="preserve"> ANSES/MICROCHAIN</v>
      </c>
      <c r="H798" s="20" t="str">
        <f t="shared" si="37"/>
        <v>BLUET</v>
      </c>
      <c r="I798" s="20" t="str">
        <f t="shared" si="38"/>
        <v xml:space="preserve">L    </v>
      </c>
    </row>
    <row r="799" spans="1:9">
      <c r="A799" s="17" t="s">
        <v>962</v>
      </c>
      <c r="B799" s="17" t="s">
        <v>857</v>
      </c>
      <c r="C799" s="17" t="s">
        <v>802</v>
      </c>
      <c r="D799" s="17" t="s">
        <v>801</v>
      </c>
      <c r="E799" s="18">
        <v>3005880683012</v>
      </c>
      <c r="G799" s="20" t="str">
        <f t="shared" si="36"/>
        <v xml:space="preserve"> ANSES/MICROCHAIN</v>
      </c>
      <c r="H799" s="20" t="str">
        <f t="shared" si="37"/>
        <v>BLUET</v>
      </c>
      <c r="I799" s="20" t="str">
        <f t="shared" si="38"/>
        <v xml:space="preserve">M    </v>
      </c>
    </row>
    <row r="800" spans="1:9">
      <c r="A800" s="17" t="s">
        <v>962</v>
      </c>
      <c r="B800" s="17" t="s">
        <v>857</v>
      </c>
      <c r="C800" s="17" t="s">
        <v>803</v>
      </c>
      <c r="D800" s="17" t="s">
        <v>801</v>
      </c>
      <c r="E800" s="18">
        <v>3005880683005</v>
      </c>
      <c r="G800" s="20" t="str">
        <f t="shared" si="36"/>
        <v xml:space="preserve"> ANSES/MICROCHAIN</v>
      </c>
      <c r="H800" s="20" t="str">
        <f t="shared" si="37"/>
        <v>BLUET</v>
      </c>
      <c r="I800" s="20" t="str">
        <f t="shared" si="38"/>
        <v xml:space="preserve">S    </v>
      </c>
    </row>
    <row r="801" spans="1:9">
      <c r="A801" s="17" t="s">
        <v>962</v>
      </c>
      <c r="B801" s="17" t="s">
        <v>858</v>
      </c>
      <c r="C801" s="17" t="s">
        <v>800</v>
      </c>
      <c r="D801" s="17" t="s">
        <v>801</v>
      </c>
      <c r="E801" s="18">
        <v>3005880002028</v>
      </c>
      <c r="G801" s="20" t="str">
        <f t="shared" si="36"/>
        <v xml:space="preserve"> ANSES/MICROCHAIN</v>
      </c>
      <c r="H801" s="20" t="str">
        <f t="shared" si="37"/>
        <v xml:space="preserve">GREY </v>
      </c>
      <c r="I801" s="20" t="str">
        <f t="shared" si="38"/>
        <v xml:space="preserve">L    </v>
      </c>
    </row>
    <row r="802" spans="1:9">
      <c r="A802" s="17" t="s">
        <v>962</v>
      </c>
      <c r="B802" s="17" t="s">
        <v>858</v>
      </c>
      <c r="C802" s="17" t="s">
        <v>802</v>
      </c>
      <c r="D802" s="17" t="s">
        <v>801</v>
      </c>
      <c r="E802" s="18">
        <v>3005880002011</v>
      </c>
      <c r="G802" s="20" t="str">
        <f t="shared" si="36"/>
        <v xml:space="preserve"> ANSES/MICROCHAIN</v>
      </c>
      <c r="H802" s="20" t="str">
        <f t="shared" si="37"/>
        <v xml:space="preserve">GREY </v>
      </c>
      <c r="I802" s="20" t="str">
        <f t="shared" si="38"/>
        <v xml:space="preserve">M    </v>
      </c>
    </row>
    <row r="803" spans="1:9">
      <c r="A803" s="17" t="s">
        <v>962</v>
      </c>
      <c r="B803" s="17" t="s">
        <v>858</v>
      </c>
      <c r="C803" s="17" t="s">
        <v>803</v>
      </c>
      <c r="D803" s="17" t="s">
        <v>801</v>
      </c>
      <c r="E803" s="18">
        <v>3005880002004</v>
      </c>
      <c r="G803" s="20" t="str">
        <f t="shared" si="36"/>
        <v xml:space="preserve"> ANSES/MICROCHAIN</v>
      </c>
      <c r="H803" s="20" t="str">
        <f t="shared" si="37"/>
        <v xml:space="preserve">GREY </v>
      </c>
      <c r="I803" s="20" t="str">
        <f t="shared" si="38"/>
        <v xml:space="preserve">S    </v>
      </c>
    </row>
    <row r="804" spans="1:9">
      <c r="A804" s="17" t="s">
        <v>962</v>
      </c>
      <c r="B804" s="17" t="s">
        <v>964</v>
      </c>
      <c r="C804" s="17" t="s">
        <v>800</v>
      </c>
      <c r="D804" s="17" t="s">
        <v>801</v>
      </c>
      <c r="E804" s="18">
        <v>3005880604024</v>
      </c>
      <c r="G804" s="20" t="str">
        <f t="shared" si="36"/>
        <v xml:space="preserve"> ANSES/MICROCHAIN</v>
      </c>
      <c r="H804" s="20" t="str">
        <f t="shared" si="37"/>
        <v>ORANG</v>
      </c>
      <c r="I804" s="20" t="str">
        <f t="shared" si="38"/>
        <v xml:space="preserve">L    </v>
      </c>
    </row>
    <row r="805" spans="1:9">
      <c r="A805" s="17" t="s">
        <v>962</v>
      </c>
      <c r="B805" s="17" t="s">
        <v>964</v>
      </c>
      <c r="C805" s="17" t="s">
        <v>802</v>
      </c>
      <c r="D805" s="17" t="s">
        <v>801</v>
      </c>
      <c r="E805" s="18">
        <v>3005880604017</v>
      </c>
      <c r="G805" s="20" t="str">
        <f t="shared" si="36"/>
        <v xml:space="preserve"> ANSES/MICROCHAIN</v>
      </c>
      <c r="H805" s="20" t="str">
        <f t="shared" si="37"/>
        <v>ORANG</v>
      </c>
      <c r="I805" s="20" t="str">
        <f t="shared" si="38"/>
        <v xml:space="preserve">M    </v>
      </c>
    </row>
    <row r="806" spans="1:9">
      <c r="A806" s="17" t="s">
        <v>962</v>
      </c>
      <c r="B806" s="17" t="s">
        <v>964</v>
      </c>
      <c r="C806" s="17" t="s">
        <v>803</v>
      </c>
      <c r="D806" s="17" t="s">
        <v>801</v>
      </c>
      <c r="E806" s="18">
        <v>3005880604000</v>
      </c>
      <c r="G806" s="20" t="str">
        <f t="shared" si="36"/>
        <v xml:space="preserve"> ANSES/MICROCHAIN</v>
      </c>
      <c r="H806" s="20" t="str">
        <f t="shared" si="37"/>
        <v>ORANG</v>
      </c>
      <c r="I806" s="20" t="str">
        <f t="shared" si="38"/>
        <v xml:space="preserve">S    </v>
      </c>
    </row>
    <row r="807" spans="1:9">
      <c r="A807" s="17" t="s">
        <v>962</v>
      </c>
      <c r="B807" s="17" t="s">
        <v>283</v>
      </c>
      <c r="C807" s="17" t="s">
        <v>800</v>
      </c>
      <c r="D807" s="17" t="s">
        <v>801</v>
      </c>
      <c r="E807" s="18">
        <v>3005880573023</v>
      </c>
      <c r="G807" s="20" t="str">
        <f t="shared" si="36"/>
        <v xml:space="preserve"> ANSES/MICROCHAIN</v>
      </c>
      <c r="H807" s="20" t="str">
        <f t="shared" si="37"/>
        <v>PHARD</v>
      </c>
      <c r="I807" s="20" t="str">
        <f t="shared" si="38"/>
        <v xml:space="preserve">L    </v>
      </c>
    </row>
    <row r="808" spans="1:9">
      <c r="A808" s="17" t="s">
        <v>962</v>
      </c>
      <c r="B808" s="17" t="s">
        <v>283</v>
      </c>
      <c r="C808" s="17" t="s">
        <v>802</v>
      </c>
      <c r="D808" s="17" t="s">
        <v>801</v>
      </c>
      <c r="E808" s="18">
        <v>3005880573016</v>
      </c>
      <c r="G808" s="20" t="str">
        <f t="shared" si="36"/>
        <v xml:space="preserve"> ANSES/MICROCHAIN</v>
      </c>
      <c r="H808" s="20" t="str">
        <f t="shared" si="37"/>
        <v>PHARD</v>
      </c>
      <c r="I808" s="20" t="str">
        <f t="shared" si="38"/>
        <v xml:space="preserve">M    </v>
      </c>
    </row>
    <row r="809" spans="1:9">
      <c r="A809" s="17" t="s">
        <v>962</v>
      </c>
      <c r="B809" s="17" t="s">
        <v>283</v>
      </c>
      <c r="C809" s="17" t="s">
        <v>803</v>
      </c>
      <c r="D809" s="17" t="s">
        <v>801</v>
      </c>
      <c r="E809" s="18">
        <v>8056099178276</v>
      </c>
      <c r="G809" s="20" t="str">
        <f t="shared" si="36"/>
        <v xml:space="preserve"> ANSES/MICROCHAIN</v>
      </c>
      <c r="H809" s="20" t="str">
        <f t="shared" si="37"/>
        <v>PHARD</v>
      </c>
      <c r="I809" s="20" t="str">
        <f t="shared" si="38"/>
        <v xml:space="preserve">S    </v>
      </c>
    </row>
    <row r="810" spans="1:9">
      <c r="A810" s="17" t="s">
        <v>962</v>
      </c>
      <c r="B810" s="17" t="s">
        <v>927</v>
      </c>
      <c r="C810" s="17" t="s">
        <v>800</v>
      </c>
      <c r="D810" s="17" t="s">
        <v>801</v>
      </c>
      <c r="E810" s="18">
        <v>3005880952026</v>
      </c>
      <c r="G810" s="20" t="str">
        <f t="shared" si="36"/>
        <v xml:space="preserve"> ANSES/MICROCHAIN</v>
      </c>
      <c r="H810" s="20" t="str">
        <f t="shared" si="37"/>
        <v xml:space="preserve">VOLC </v>
      </c>
      <c r="I810" s="20" t="str">
        <f t="shared" si="38"/>
        <v xml:space="preserve">L    </v>
      </c>
    </row>
    <row r="811" spans="1:9">
      <c r="A811" s="17" t="s">
        <v>962</v>
      </c>
      <c r="B811" s="17" t="s">
        <v>927</v>
      </c>
      <c r="C811" s="17" t="s">
        <v>802</v>
      </c>
      <c r="D811" s="17" t="s">
        <v>801</v>
      </c>
      <c r="E811" s="18">
        <v>3005880952019</v>
      </c>
      <c r="G811" s="20" t="str">
        <f t="shared" si="36"/>
        <v xml:space="preserve"> ANSES/MICROCHAIN</v>
      </c>
      <c r="H811" s="20" t="str">
        <f t="shared" si="37"/>
        <v xml:space="preserve">VOLC </v>
      </c>
      <c r="I811" s="20" t="str">
        <f t="shared" si="38"/>
        <v xml:space="preserve">M    </v>
      </c>
    </row>
    <row r="812" spans="1:9">
      <c r="A812" s="17" t="s">
        <v>962</v>
      </c>
      <c r="B812" s="17" t="s">
        <v>927</v>
      </c>
      <c r="C812" s="17" t="s">
        <v>803</v>
      </c>
      <c r="D812" s="17" t="s">
        <v>801</v>
      </c>
      <c r="E812" s="18">
        <v>8056099177590</v>
      </c>
      <c r="G812" s="20" t="str">
        <f t="shared" si="36"/>
        <v xml:space="preserve"> ANSES/MICROCHAIN</v>
      </c>
      <c r="H812" s="20" t="str">
        <f t="shared" si="37"/>
        <v xml:space="preserve">VOLC </v>
      </c>
      <c r="I812" s="20" t="str">
        <f t="shared" si="38"/>
        <v xml:space="preserve">S    </v>
      </c>
    </row>
    <row r="813" spans="1:9">
      <c r="A813" s="17" t="s">
        <v>965</v>
      </c>
      <c r="B813" s="17" t="s">
        <v>945</v>
      </c>
      <c r="C813" s="17">
        <v>0</v>
      </c>
      <c r="D813" s="17" t="s">
        <v>801</v>
      </c>
      <c r="E813" s="18">
        <v>8050538590247</v>
      </c>
      <c r="G813" s="20" t="str">
        <f t="shared" si="36"/>
        <v xml:space="preserve"> ANSES/MICROLON  </v>
      </c>
      <c r="H813" s="20" t="str">
        <f t="shared" si="37"/>
        <v>FOLKB</v>
      </c>
      <c r="I813" s="20">
        <f t="shared" si="38"/>
        <v>0</v>
      </c>
    </row>
    <row r="814" spans="1:9">
      <c r="A814" s="17" t="s">
        <v>965</v>
      </c>
      <c r="B814" s="17" t="s">
        <v>815</v>
      </c>
      <c r="C814" s="17">
        <v>0</v>
      </c>
      <c r="D814" s="17" t="s">
        <v>801</v>
      </c>
      <c r="E814" s="18">
        <v>8056099179365</v>
      </c>
      <c r="G814" s="20" t="str">
        <f t="shared" si="36"/>
        <v xml:space="preserve"> ANSES/MICROLON  </v>
      </c>
      <c r="H814" s="20" t="str">
        <f t="shared" si="37"/>
        <v>OPTWH</v>
      </c>
      <c r="I814" s="20">
        <f t="shared" si="38"/>
        <v>0</v>
      </c>
    </row>
    <row r="815" spans="1:9">
      <c r="A815" s="17" t="s">
        <v>966</v>
      </c>
      <c r="B815" s="17" t="s">
        <v>967</v>
      </c>
      <c r="C815" s="17">
        <v>0</v>
      </c>
      <c r="D815" s="17" t="s">
        <v>801</v>
      </c>
      <c r="E815" s="18">
        <v>8056099176951</v>
      </c>
      <c r="G815" s="20" t="str">
        <f t="shared" si="36"/>
        <v xml:space="preserve"> ANSES/MICROLONG </v>
      </c>
      <c r="H815" s="20" t="str">
        <f t="shared" si="37"/>
        <v>FOLKO</v>
      </c>
      <c r="I815" s="20">
        <f t="shared" si="38"/>
        <v>0</v>
      </c>
    </row>
    <row r="816" spans="1:9">
      <c r="A816" s="17" t="s">
        <v>968</v>
      </c>
      <c r="B816" s="17" t="s">
        <v>969</v>
      </c>
      <c r="C816" s="17">
        <v>0</v>
      </c>
      <c r="D816" s="17" t="s">
        <v>801</v>
      </c>
      <c r="E816" s="18">
        <v>8050538595204</v>
      </c>
      <c r="G816" s="20" t="str">
        <f t="shared" si="36"/>
        <v xml:space="preserve"> ANSES/MICROTUB  </v>
      </c>
      <c r="H816" s="20" t="str">
        <f t="shared" si="37"/>
        <v>3DLAT</v>
      </c>
      <c r="I816" s="20">
        <f t="shared" si="38"/>
        <v>0</v>
      </c>
    </row>
    <row r="817" spans="1:9">
      <c r="A817" s="17" t="s">
        <v>968</v>
      </c>
      <c r="B817" s="17" t="s">
        <v>809</v>
      </c>
      <c r="C817" s="17">
        <v>0</v>
      </c>
      <c r="D817" s="17" t="s">
        <v>801</v>
      </c>
      <c r="E817" s="18">
        <v>8050538595587</v>
      </c>
      <c r="G817" s="20" t="str">
        <f t="shared" si="36"/>
        <v xml:space="preserve"> ANSES/MICROTUB  </v>
      </c>
      <c r="H817" s="20" t="str">
        <f t="shared" si="37"/>
        <v>AUBER</v>
      </c>
      <c r="I817" s="20">
        <f t="shared" si="38"/>
        <v>0</v>
      </c>
    </row>
    <row r="818" spans="1:9">
      <c r="A818" s="17" t="s">
        <v>968</v>
      </c>
      <c r="B818" s="17" t="s">
        <v>280</v>
      </c>
      <c r="C818" s="17">
        <v>0</v>
      </c>
      <c r="D818" s="17" t="s">
        <v>801</v>
      </c>
      <c r="E818" s="18">
        <v>8050538595198</v>
      </c>
      <c r="G818" s="20" t="str">
        <f t="shared" si="36"/>
        <v xml:space="preserve"> ANSES/MICROTUB  </v>
      </c>
      <c r="H818" s="20" t="str">
        <f t="shared" si="37"/>
        <v>BLACK</v>
      </c>
      <c r="I818" s="20">
        <f t="shared" si="38"/>
        <v>0</v>
      </c>
    </row>
    <row r="819" spans="1:9">
      <c r="A819" s="17" t="s">
        <v>968</v>
      </c>
      <c r="B819" s="17" t="s">
        <v>810</v>
      </c>
      <c r="C819" s="17">
        <v>0</v>
      </c>
      <c r="D819" s="17" t="s">
        <v>801</v>
      </c>
      <c r="E819" s="18">
        <v>8050538595570</v>
      </c>
      <c r="G819" s="20" t="str">
        <f t="shared" si="36"/>
        <v xml:space="preserve"> ANSES/MICROTUB  </v>
      </c>
      <c r="H819" s="20" t="str">
        <f t="shared" si="37"/>
        <v xml:space="preserve">BLUE </v>
      </c>
      <c r="I819" s="20">
        <f t="shared" si="38"/>
        <v>0</v>
      </c>
    </row>
    <row r="820" spans="1:9">
      <c r="A820" s="17" t="s">
        <v>968</v>
      </c>
      <c r="B820" s="17" t="s">
        <v>970</v>
      </c>
      <c r="C820" s="17">
        <v>0</v>
      </c>
      <c r="D820" s="17" t="s">
        <v>801</v>
      </c>
      <c r="E820" s="18">
        <v>8050538595563</v>
      </c>
      <c r="G820" s="20" t="str">
        <f t="shared" si="36"/>
        <v xml:space="preserve"> ANSES/MICROTUB  </v>
      </c>
      <c r="H820" s="20" t="str">
        <f t="shared" si="37"/>
        <v>COGNA</v>
      </c>
      <c r="I820" s="20">
        <f t="shared" si="38"/>
        <v>0</v>
      </c>
    </row>
    <row r="821" spans="1:9">
      <c r="A821" s="17" t="s">
        <v>968</v>
      </c>
      <c r="B821" s="17" t="s">
        <v>970</v>
      </c>
      <c r="C821" s="17">
        <v>0</v>
      </c>
      <c r="D821" s="17" t="s">
        <v>801</v>
      </c>
      <c r="E821" s="18">
        <v>8050846019935</v>
      </c>
      <c r="G821" s="20" t="str">
        <f t="shared" si="36"/>
        <v xml:space="preserve"> ANSES/MICROTUB  </v>
      </c>
      <c r="H821" s="20" t="str">
        <f t="shared" si="37"/>
        <v>COGNA</v>
      </c>
      <c r="I821" s="20">
        <f t="shared" si="38"/>
        <v>0</v>
      </c>
    </row>
    <row r="822" spans="1:9">
      <c r="A822" s="17" t="s">
        <v>968</v>
      </c>
      <c r="B822" s="17" t="s">
        <v>971</v>
      </c>
      <c r="C822" s="17">
        <v>0</v>
      </c>
      <c r="D822" s="17" t="s">
        <v>801</v>
      </c>
      <c r="E822" s="18">
        <v>8050538595594</v>
      </c>
      <c r="G822" s="20" t="str">
        <f t="shared" si="36"/>
        <v xml:space="preserve"> ANSES/MICROTUB  </v>
      </c>
      <c r="H822" s="20" t="str">
        <f t="shared" si="37"/>
        <v>OTTAN</v>
      </c>
      <c r="I822" s="20">
        <f t="shared" si="38"/>
        <v>0</v>
      </c>
    </row>
    <row r="823" spans="1:9">
      <c r="A823" s="17" t="s">
        <v>972</v>
      </c>
      <c r="B823" s="17" t="s">
        <v>936</v>
      </c>
      <c r="C823" s="17">
        <v>0</v>
      </c>
      <c r="D823" s="17" t="s">
        <v>801</v>
      </c>
      <c r="E823" s="18">
        <v>3005500259009</v>
      </c>
      <c r="G823" s="20" t="str">
        <f t="shared" si="36"/>
        <v xml:space="preserve"> ANSES/MICROVERNI</v>
      </c>
      <c r="H823" s="20" t="str">
        <f t="shared" si="37"/>
        <v xml:space="preserve">BLBO </v>
      </c>
      <c r="I823" s="20">
        <f t="shared" si="38"/>
        <v>0</v>
      </c>
    </row>
    <row r="824" spans="1:9">
      <c r="A824" s="17" t="s">
        <v>972</v>
      </c>
      <c r="B824" s="17" t="s">
        <v>936</v>
      </c>
      <c r="C824" s="17">
        <v>0</v>
      </c>
      <c r="D824" s="17" t="s">
        <v>801</v>
      </c>
      <c r="E824" s="18">
        <v>8058983596777</v>
      </c>
      <c r="G824" s="20" t="str">
        <f t="shared" si="36"/>
        <v xml:space="preserve"> ANSES/MICROVERNI</v>
      </c>
      <c r="H824" s="20" t="str">
        <f t="shared" si="37"/>
        <v xml:space="preserve">BLBO </v>
      </c>
      <c r="I824" s="20">
        <f t="shared" si="38"/>
        <v>0</v>
      </c>
    </row>
    <row r="825" spans="1:9">
      <c r="A825" s="17" t="s">
        <v>972</v>
      </c>
      <c r="B825" s="17" t="s">
        <v>973</v>
      </c>
      <c r="C825" s="17">
        <v>0</v>
      </c>
      <c r="D825" s="17" t="s">
        <v>801</v>
      </c>
      <c r="E825" s="18">
        <v>3005500702000</v>
      </c>
      <c r="G825" s="20" t="str">
        <f t="shared" si="36"/>
        <v xml:space="preserve"> ANSES/MICROVERNI</v>
      </c>
      <c r="H825" s="20" t="str">
        <f t="shared" si="37"/>
        <v xml:space="preserve">BLGR </v>
      </c>
      <c r="I825" s="20">
        <f t="shared" si="38"/>
        <v>0</v>
      </c>
    </row>
    <row r="826" spans="1:9">
      <c r="A826" s="17" t="s">
        <v>972</v>
      </c>
      <c r="B826" s="17" t="s">
        <v>973</v>
      </c>
      <c r="C826" s="17">
        <v>0</v>
      </c>
      <c r="D826" s="17" t="s">
        <v>801</v>
      </c>
      <c r="E826" s="18">
        <v>8058983596807</v>
      </c>
      <c r="G826" s="20" t="str">
        <f t="shared" si="36"/>
        <v xml:space="preserve"> ANSES/MICROVERNI</v>
      </c>
      <c r="H826" s="20" t="str">
        <f t="shared" si="37"/>
        <v xml:space="preserve">BLGR </v>
      </c>
      <c r="I826" s="20">
        <f t="shared" si="38"/>
        <v>0</v>
      </c>
    </row>
    <row r="827" spans="1:9">
      <c r="A827" s="17" t="s">
        <v>972</v>
      </c>
      <c r="B827" s="17" t="s">
        <v>974</v>
      </c>
      <c r="C827" s="17">
        <v>0</v>
      </c>
      <c r="D827" s="17" t="s">
        <v>801</v>
      </c>
      <c r="E827" s="18">
        <v>3005500579008</v>
      </c>
      <c r="G827" s="20" t="str">
        <f t="shared" si="36"/>
        <v xml:space="preserve"> ANSES/MICROVERNI</v>
      </c>
      <c r="H827" s="20" t="str">
        <f t="shared" si="37"/>
        <v>MATBE</v>
      </c>
      <c r="I827" s="20">
        <f t="shared" si="38"/>
        <v>0</v>
      </c>
    </row>
    <row r="828" spans="1:9">
      <c r="A828" s="17" t="s">
        <v>972</v>
      </c>
      <c r="B828" s="17" t="s">
        <v>974</v>
      </c>
      <c r="C828" s="17">
        <v>0</v>
      </c>
      <c r="D828" s="17" t="s">
        <v>801</v>
      </c>
      <c r="E828" s="18">
        <v>8058983596791</v>
      </c>
      <c r="G828" s="20" t="str">
        <f t="shared" si="36"/>
        <v xml:space="preserve"> ANSES/MICROVERNI</v>
      </c>
      <c r="H828" s="20" t="str">
        <f t="shared" si="37"/>
        <v>MATBE</v>
      </c>
      <c r="I828" s="20">
        <f t="shared" si="38"/>
        <v>0</v>
      </c>
    </row>
    <row r="829" spans="1:9">
      <c r="A829" s="17" t="s">
        <v>972</v>
      </c>
      <c r="B829" s="17" t="s">
        <v>960</v>
      </c>
      <c r="C829" s="17">
        <v>0</v>
      </c>
      <c r="D829" s="17" t="s">
        <v>801</v>
      </c>
      <c r="E829" s="18">
        <v>3005500578001</v>
      </c>
      <c r="G829" s="20" t="str">
        <f t="shared" si="36"/>
        <v xml:space="preserve"> ANSES/MICROVERNI</v>
      </c>
      <c r="H829" s="20" t="str">
        <f t="shared" si="37"/>
        <v>VERJA</v>
      </c>
      <c r="I829" s="20">
        <f t="shared" si="38"/>
        <v>0</v>
      </c>
    </row>
    <row r="830" spans="1:9">
      <c r="A830" s="17" t="s">
        <v>972</v>
      </c>
      <c r="B830" s="17" t="s">
        <v>960</v>
      </c>
      <c r="C830" s="17">
        <v>0</v>
      </c>
      <c r="D830" s="17" t="s">
        <v>801</v>
      </c>
      <c r="E830" s="18">
        <v>8058983596784</v>
      </c>
      <c r="G830" s="20" t="str">
        <f t="shared" si="36"/>
        <v xml:space="preserve"> ANSES/MICROVERNI</v>
      </c>
      <c r="H830" s="20" t="str">
        <f t="shared" si="37"/>
        <v>VERJA</v>
      </c>
      <c r="I830" s="20">
        <f t="shared" si="38"/>
        <v>0</v>
      </c>
    </row>
    <row r="831" spans="1:9">
      <c r="A831" s="17" t="s">
        <v>975</v>
      </c>
      <c r="B831" s="17" t="s">
        <v>810</v>
      </c>
      <c r="C831" s="17">
        <v>0</v>
      </c>
      <c r="D831" s="17" t="s">
        <v>801</v>
      </c>
      <c r="E831" s="18">
        <v>3005280284000</v>
      </c>
      <c r="G831" s="20" t="str">
        <f t="shared" si="36"/>
        <v xml:space="preserve"> ANSES/OBLO      </v>
      </c>
      <c r="H831" s="20" t="str">
        <f t="shared" si="37"/>
        <v xml:space="preserve">BLUE </v>
      </c>
      <c r="I831" s="20">
        <f t="shared" si="38"/>
        <v>0</v>
      </c>
    </row>
    <row r="832" spans="1:9">
      <c r="A832" s="17" t="s">
        <v>975</v>
      </c>
      <c r="B832" s="17" t="s">
        <v>810</v>
      </c>
      <c r="C832" s="17">
        <v>0</v>
      </c>
      <c r="D832" s="17" t="s">
        <v>801</v>
      </c>
      <c r="E832" s="18">
        <v>8056095063453</v>
      </c>
      <c r="G832" s="20" t="str">
        <f t="shared" si="36"/>
        <v xml:space="preserve"> ANSES/OBLO      </v>
      </c>
      <c r="H832" s="20" t="str">
        <f t="shared" si="37"/>
        <v xml:space="preserve">BLUE </v>
      </c>
      <c r="I832" s="20">
        <f t="shared" si="38"/>
        <v>0</v>
      </c>
    </row>
    <row r="833" spans="1:9">
      <c r="A833" s="17" t="s">
        <v>975</v>
      </c>
      <c r="B833" s="17" t="s">
        <v>976</v>
      </c>
      <c r="C833" s="17">
        <v>0</v>
      </c>
      <c r="D833" s="17" t="s">
        <v>801</v>
      </c>
      <c r="E833" s="18">
        <v>3005281098002</v>
      </c>
      <c r="G833" s="20" t="str">
        <f t="shared" si="36"/>
        <v xml:space="preserve"> ANSES/OBLO      </v>
      </c>
      <c r="H833" s="20" t="str">
        <f t="shared" si="37"/>
        <v>BNGRI</v>
      </c>
      <c r="I833" s="20">
        <f t="shared" si="38"/>
        <v>0</v>
      </c>
    </row>
    <row r="834" spans="1:9">
      <c r="A834" s="17" t="s">
        <v>975</v>
      </c>
      <c r="B834" s="17" t="s">
        <v>976</v>
      </c>
      <c r="C834" s="17">
        <v>0</v>
      </c>
      <c r="D834" s="17" t="s">
        <v>801</v>
      </c>
      <c r="E834" s="18">
        <v>8056095065112</v>
      </c>
      <c r="G834" s="20" t="str">
        <f t="shared" si="36"/>
        <v xml:space="preserve"> ANSES/OBLO      </v>
      </c>
      <c r="H834" s="20" t="str">
        <f t="shared" si="37"/>
        <v>BNGRI</v>
      </c>
      <c r="I834" s="20">
        <f t="shared" si="38"/>
        <v>0</v>
      </c>
    </row>
    <row r="835" spans="1:9">
      <c r="A835" s="17" t="s">
        <v>975</v>
      </c>
      <c r="B835" s="17" t="s">
        <v>977</v>
      </c>
      <c r="C835" s="17">
        <v>0</v>
      </c>
      <c r="D835" s="17" t="s">
        <v>801</v>
      </c>
      <c r="E835" s="18">
        <v>3005281097005</v>
      </c>
      <c r="G835" s="20" t="str">
        <f t="shared" si="36"/>
        <v xml:space="preserve"> ANSES/OBLO      </v>
      </c>
      <c r="H835" s="20" t="str">
        <f t="shared" si="37"/>
        <v xml:space="preserve">BNTA </v>
      </c>
      <c r="I835" s="20">
        <f t="shared" si="38"/>
        <v>0</v>
      </c>
    </row>
    <row r="836" spans="1:9">
      <c r="A836" s="17" t="s">
        <v>975</v>
      </c>
      <c r="B836" s="17" t="s">
        <v>977</v>
      </c>
      <c r="C836" s="17">
        <v>0</v>
      </c>
      <c r="D836" s="17" t="s">
        <v>801</v>
      </c>
      <c r="E836" s="18">
        <v>8056095065105</v>
      </c>
      <c r="G836" s="20" t="str">
        <f t="shared" si="36"/>
        <v xml:space="preserve"> ANSES/OBLO      </v>
      </c>
      <c r="H836" s="20" t="str">
        <f t="shared" si="37"/>
        <v xml:space="preserve">BNTA </v>
      </c>
      <c r="I836" s="20">
        <f t="shared" si="38"/>
        <v>0</v>
      </c>
    </row>
    <row r="837" spans="1:9">
      <c r="A837" s="17" t="s">
        <v>975</v>
      </c>
      <c r="B837" s="17" t="s">
        <v>978</v>
      </c>
      <c r="C837" s="17">
        <v>0</v>
      </c>
      <c r="D837" s="17" t="s">
        <v>801</v>
      </c>
      <c r="E837" s="18">
        <v>3005281000005</v>
      </c>
      <c r="G837" s="20" t="str">
        <f t="shared" ref="G837:G900" si="39">A837</f>
        <v xml:space="preserve"> ANSES/OBLO      </v>
      </c>
      <c r="H837" s="20" t="str">
        <f t="shared" ref="H837:H900" si="40">B837</f>
        <v>GRIGI</v>
      </c>
      <c r="I837" s="20">
        <f t="shared" ref="I837:I900" si="41">C837</f>
        <v>0</v>
      </c>
    </row>
    <row r="838" spans="1:9">
      <c r="A838" s="17" t="s">
        <v>975</v>
      </c>
      <c r="B838" s="17" t="s">
        <v>978</v>
      </c>
      <c r="C838" s="17">
        <v>0</v>
      </c>
      <c r="D838" s="17" t="s">
        <v>801</v>
      </c>
      <c r="E838" s="18">
        <v>8056095063460</v>
      </c>
      <c r="G838" s="20" t="str">
        <f t="shared" si="39"/>
        <v xml:space="preserve"> ANSES/OBLO      </v>
      </c>
      <c r="H838" s="20" t="str">
        <f t="shared" si="40"/>
        <v>GRIGI</v>
      </c>
      <c r="I838" s="20">
        <f t="shared" si="41"/>
        <v>0</v>
      </c>
    </row>
    <row r="839" spans="1:9">
      <c r="A839" s="17" t="s">
        <v>975</v>
      </c>
      <c r="B839" s="17" t="s">
        <v>979</v>
      </c>
      <c r="C839" s="17">
        <v>0</v>
      </c>
      <c r="D839" s="17" t="s">
        <v>801</v>
      </c>
      <c r="E839" s="18">
        <v>3005281082001</v>
      </c>
      <c r="G839" s="20" t="str">
        <f t="shared" si="39"/>
        <v xml:space="preserve"> ANSES/OBLO      </v>
      </c>
      <c r="H839" s="20" t="str">
        <f t="shared" si="40"/>
        <v>PRAIR</v>
      </c>
      <c r="I839" s="20">
        <f t="shared" si="41"/>
        <v>0</v>
      </c>
    </row>
    <row r="840" spans="1:9">
      <c r="A840" s="17" t="s">
        <v>975</v>
      </c>
      <c r="B840" s="17" t="s">
        <v>979</v>
      </c>
      <c r="C840" s="17">
        <v>0</v>
      </c>
      <c r="D840" s="17" t="s">
        <v>801</v>
      </c>
      <c r="E840" s="18">
        <v>8056095063477</v>
      </c>
      <c r="G840" s="20" t="str">
        <f t="shared" si="39"/>
        <v xml:space="preserve"> ANSES/OBLO      </v>
      </c>
      <c r="H840" s="20" t="str">
        <f t="shared" si="40"/>
        <v>PRAIR</v>
      </c>
      <c r="I840" s="20">
        <f t="shared" si="41"/>
        <v>0</v>
      </c>
    </row>
    <row r="841" spans="1:9">
      <c r="A841" s="17" t="s">
        <v>980</v>
      </c>
      <c r="B841" s="17" t="s">
        <v>919</v>
      </c>
      <c r="C841" s="17">
        <v>0</v>
      </c>
      <c r="D841" s="17" t="s">
        <v>801</v>
      </c>
      <c r="E841" s="18">
        <v>3005401178003</v>
      </c>
      <c r="G841" s="20" t="str">
        <f t="shared" si="39"/>
        <v xml:space="preserve"> ANSES/PLA.CHAINE</v>
      </c>
      <c r="H841" s="20" t="str">
        <f t="shared" si="40"/>
        <v>TESTA</v>
      </c>
      <c r="I841" s="20">
        <f t="shared" si="41"/>
        <v>0</v>
      </c>
    </row>
    <row r="842" spans="1:9">
      <c r="A842" s="17" t="s">
        <v>981</v>
      </c>
      <c r="B842" s="17" t="s">
        <v>280</v>
      </c>
      <c r="C842" s="17" t="s">
        <v>800</v>
      </c>
      <c r="D842" s="17" t="s">
        <v>801</v>
      </c>
      <c r="E842" s="18">
        <v>3005250004027</v>
      </c>
      <c r="G842" s="20" t="str">
        <f t="shared" si="39"/>
        <v xml:space="preserve"> ANSES/PLA.GOUTTE</v>
      </c>
      <c r="H842" s="20" t="str">
        <f t="shared" si="40"/>
        <v>BLACK</v>
      </c>
      <c r="I842" s="20" t="str">
        <f t="shared" si="41"/>
        <v xml:space="preserve">L    </v>
      </c>
    </row>
    <row r="843" spans="1:9">
      <c r="A843" s="17" t="s">
        <v>981</v>
      </c>
      <c r="B843" s="17" t="s">
        <v>280</v>
      </c>
      <c r="C843" s="17" t="s">
        <v>802</v>
      </c>
      <c r="D843" s="17" t="s">
        <v>801</v>
      </c>
      <c r="E843" s="18">
        <v>3005250004010</v>
      </c>
      <c r="G843" s="20" t="str">
        <f t="shared" si="39"/>
        <v xml:space="preserve"> ANSES/PLA.GOUTTE</v>
      </c>
      <c r="H843" s="20" t="str">
        <f t="shared" si="40"/>
        <v>BLACK</v>
      </c>
      <c r="I843" s="20" t="str">
        <f t="shared" si="41"/>
        <v xml:space="preserve">M    </v>
      </c>
    </row>
    <row r="844" spans="1:9">
      <c r="A844" s="17" t="s">
        <v>981</v>
      </c>
      <c r="B844" s="17" t="s">
        <v>280</v>
      </c>
      <c r="C844" s="17" t="s">
        <v>804</v>
      </c>
      <c r="D844" s="17" t="s">
        <v>801</v>
      </c>
      <c r="E844" s="18">
        <v>3005250004034</v>
      </c>
      <c r="G844" s="20" t="str">
        <f t="shared" si="39"/>
        <v xml:space="preserve"> ANSES/PLA.GOUTTE</v>
      </c>
      <c r="H844" s="20" t="str">
        <f t="shared" si="40"/>
        <v>BLACK</v>
      </c>
      <c r="I844" s="20" t="str">
        <f t="shared" si="41"/>
        <v xml:space="preserve">XL   </v>
      </c>
    </row>
    <row r="845" spans="1:9">
      <c r="A845" s="17" t="s">
        <v>981</v>
      </c>
      <c r="B845" s="17" t="s">
        <v>982</v>
      </c>
      <c r="C845" s="17" t="s">
        <v>800</v>
      </c>
      <c r="D845" s="17" t="s">
        <v>801</v>
      </c>
      <c r="E845" s="18">
        <v>3005250511020</v>
      </c>
      <c r="G845" s="20" t="str">
        <f t="shared" si="39"/>
        <v xml:space="preserve"> ANSES/PLA.GOUTTE</v>
      </c>
      <c r="H845" s="20" t="str">
        <f t="shared" si="40"/>
        <v>CARNE</v>
      </c>
      <c r="I845" s="20" t="str">
        <f t="shared" si="41"/>
        <v xml:space="preserve">L    </v>
      </c>
    </row>
    <row r="846" spans="1:9">
      <c r="A846" s="17" t="s">
        <v>981</v>
      </c>
      <c r="B846" s="17" t="s">
        <v>982</v>
      </c>
      <c r="C846" s="17" t="s">
        <v>802</v>
      </c>
      <c r="D846" s="17" t="s">
        <v>801</v>
      </c>
      <c r="E846" s="18">
        <v>3005250511013</v>
      </c>
      <c r="G846" s="20" t="str">
        <f t="shared" si="39"/>
        <v xml:space="preserve"> ANSES/PLA.GOUTTE</v>
      </c>
      <c r="H846" s="20" t="str">
        <f t="shared" si="40"/>
        <v>CARNE</v>
      </c>
      <c r="I846" s="20" t="str">
        <f t="shared" si="41"/>
        <v xml:space="preserve">M    </v>
      </c>
    </row>
    <row r="847" spans="1:9">
      <c r="A847" s="17" t="s">
        <v>981</v>
      </c>
      <c r="B847" s="17" t="s">
        <v>982</v>
      </c>
      <c r="C847" s="17" t="s">
        <v>803</v>
      </c>
      <c r="D847" s="17" t="s">
        <v>801</v>
      </c>
      <c r="E847" s="18">
        <v>3005250511006</v>
      </c>
      <c r="G847" s="20" t="str">
        <f t="shared" si="39"/>
        <v xml:space="preserve"> ANSES/PLA.GOUTTE</v>
      </c>
      <c r="H847" s="20" t="str">
        <f t="shared" si="40"/>
        <v>CARNE</v>
      </c>
      <c r="I847" s="20" t="str">
        <f t="shared" si="41"/>
        <v xml:space="preserve">S    </v>
      </c>
    </row>
    <row r="848" spans="1:9">
      <c r="A848" s="17" t="s">
        <v>981</v>
      </c>
      <c r="B848" s="17" t="s">
        <v>982</v>
      </c>
      <c r="C848" s="17" t="s">
        <v>804</v>
      </c>
      <c r="D848" s="17" t="s">
        <v>801</v>
      </c>
      <c r="E848" s="18">
        <v>3005250511037</v>
      </c>
      <c r="G848" s="20" t="str">
        <f t="shared" si="39"/>
        <v xml:space="preserve"> ANSES/PLA.GOUTTE</v>
      </c>
      <c r="H848" s="20" t="str">
        <f t="shared" si="40"/>
        <v>CARNE</v>
      </c>
      <c r="I848" s="20" t="str">
        <f t="shared" si="41"/>
        <v xml:space="preserve">XL   </v>
      </c>
    </row>
    <row r="849" spans="1:9">
      <c r="A849" s="17" t="s">
        <v>981</v>
      </c>
      <c r="B849" s="17" t="s">
        <v>880</v>
      </c>
      <c r="C849" s="17" t="s">
        <v>800</v>
      </c>
      <c r="D849" s="17" t="s">
        <v>801</v>
      </c>
      <c r="E849" s="18">
        <v>3005250209026</v>
      </c>
      <c r="G849" s="20" t="str">
        <f t="shared" si="39"/>
        <v xml:space="preserve"> ANSES/PLA.GOUTTE</v>
      </c>
      <c r="H849" s="20" t="str">
        <f t="shared" si="40"/>
        <v xml:space="preserve">CBBL </v>
      </c>
      <c r="I849" s="20" t="str">
        <f t="shared" si="41"/>
        <v xml:space="preserve">L    </v>
      </c>
    </row>
    <row r="850" spans="1:9">
      <c r="A850" s="17" t="s">
        <v>981</v>
      </c>
      <c r="B850" s="17" t="s">
        <v>880</v>
      </c>
      <c r="C850" s="17" t="s">
        <v>802</v>
      </c>
      <c r="D850" s="17" t="s">
        <v>801</v>
      </c>
      <c r="E850" s="18">
        <v>3005250209019</v>
      </c>
      <c r="G850" s="20" t="str">
        <f t="shared" si="39"/>
        <v xml:space="preserve"> ANSES/PLA.GOUTTE</v>
      </c>
      <c r="H850" s="20" t="str">
        <f t="shared" si="40"/>
        <v xml:space="preserve">CBBL </v>
      </c>
      <c r="I850" s="20" t="str">
        <f t="shared" si="41"/>
        <v xml:space="preserve">M    </v>
      </c>
    </row>
    <row r="851" spans="1:9">
      <c r="A851" s="17" t="s">
        <v>981</v>
      </c>
      <c r="B851" s="17" t="s">
        <v>880</v>
      </c>
      <c r="C851" s="17" t="s">
        <v>803</v>
      </c>
      <c r="D851" s="17" t="s">
        <v>801</v>
      </c>
      <c r="E851" s="18">
        <v>3005250209002</v>
      </c>
      <c r="G851" s="20" t="str">
        <f t="shared" si="39"/>
        <v xml:space="preserve"> ANSES/PLA.GOUTTE</v>
      </c>
      <c r="H851" s="20" t="str">
        <f t="shared" si="40"/>
        <v xml:space="preserve">CBBL </v>
      </c>
      <c r="I851" s="20" t="str">
        <f t="shared" si="41"/>
        <v xml:space="preserve">S    </v>
      </c>
    </row>
    <row r="852" spans="1:9">
      <c r="A852" s="17" t="s">
        <v>981</v>
      </c>
      <c r="B852" s="17" t="s">
        <v>880</v>
      </c>
      <c r="C852" s="17" t="s">
        <v>804</v>
      </c>
      <c r="D852" s="17" t="s">
        <v>801</v>
      </c>
      <c r="E852" s="18">
        <v>3005250209033</v>
      </c>
      <c r="G852" s="20" t="str">
        <f t="shared" si="39"/>
        <v xml:space="preserve"> ANSES/PLA.GOUTTE</v>
      </c>
      <c r="H852" s="20" t="str">
        <f t="shared" si="40"/>
        <v xml:space="preserve">CBBL </v>
      </c>
      <c r="I852" s="20" t="str">
        <f t="shared" si="41"/>
        <v xml:space="preserve">XL   </v>
      </c>
    </row>
    <row r="853" spans="1:9">
      <c r="A853" s="17" t="s">
        <v>981</v>
      </c>
      <c r="B853" s="17" t="s">
        <v>831</v>
      </c>
      <c r="C853" s="17" t="s">
        <v>800</v>
      </c>
      <c r="D853" s="17" t="s">
        <v>801</v>
      </c>
      <c r="E853" s="18">
        <v>3005250211029</v>
      </c>
      <c r="G853" s="20" t="str">
        <f t="shared" si="39"/>
        <v xml:space="preserve"> ANSES/PLA.GOUTTE</v>
      </c>
      <c r="H853" s="20" t="str">
        <f t="shared" si="40"/>
        <v>CBNAT</v>
      </c>
      <c r="I853" s="20" t="str">
        <f t="shared" si="41"/>
        <v xml:space="preserve">L    </v>
      </c>
    </row>
    <row r="854" spans="1:9">
      <c r="A854" s="17" t="s">
        <v>981</v>
      </c>
      <c r="B854" s="17" t="s">
        <v>831</v>
      </c>
      <c r="C854" s="17" t="s">
        <v>802</v>
      </c>
      <c r="D854" s="17" t="s">
        <v>801</v>
      </c>
      <c r="E854" s="18">
        <v>3005250211012</v>
      </c>
      <c r="G854" s="20" t="str">
        <f t="shared" si="39"/>
        <v xml:space="preserve"> ANSES/PLA.GOUTTE</v>
      </c>
      <c r="H854" s="20" t="str">
        <f t="shared" si="40"/>
        <v>CBNAT</v>
      </c>
      <c r="I854" s="20" t="str">
        <f t="shared" si="41"/>
        <v xml:space="preserve">M    </v>
      </c>
    </row>
    <row r="855" spans="1:9">
      <c r="A855" s="17" t="s">
        <v>981</v>
      </c>
      <c r="B855" s="17" t="s">
        <v>831</v>
      </c>
      <c r="C855" s="17" t="s">
        <v>803</v>
      </c>
      <c r="D855" s="17" t="s">
        <v>801</v>
      </c>
      <c r="E855" s="18">
        <v>3005250211005</v>
      </c>
      <c r="G855" s="20" t="str">
        <f t="shared" si="39"/>
        <v xml:space="preserve"> ANSES/PLA.GOUTTE</v>
      </c>
      <c r="H855" s="20" t="str">
        <f t="shared" si="40"/>
        <v>CBNAT</v>
      </c>
      <c r="I855" s="20" t="str">
        <f t="shared" si="41"/>
        <v xml:space="preserve">S    </v>
      </c>
    </row>
    <row r="856" spans="1:9">
      <c r="A856" s="17" t="s">
        <v>981</v>
      </c>
      <c r="B856" s="17" t="s">
        <v>831</v>
      </c>
      <c r="C856" s="17" t="s">
        <v>804</v>
      </c>
      <c r="D856" s="17" t="s">
        <v>801</v>
      </c>
      <c r="E856" s="18">
        <v>3005250211036</v>
      </c>
      <c r="G856" s="20" t="str">
        <f t="shared" si="39"/>
        <v xml:space="preserve"> ANSES/PLA.GOUTTE</v>
      </c>
      <c r="H856" s="20" t="str">
        <f t="shared" si="40"/>
        <v>CBNAT</v>
      </c>
      <c r="I856" s="20" t="str">
        <f t="shared" si="41"/>
        <v xml:space="preserve">XL   </v>
      </c>
    </row>
    <row r="857" spans="1:9">
      <c r="A857" s="17" t="s">
        <v>981</v>
      </c>
      <c r="B857" s="17" t="s">
        <v>832</v>
      </c>
      <c r="C857" s="17" t="s">
        <v>800</v>
      </c>
      <c r="D857" s="17" t="s">
        <v>801</v>
      </c>
      <c r="E857" s="18">
        <v>3005250461028</v>
      </c>
      <c r="G857" s="20" t="str">
        <f t="shared" si="39"/>
        <v xml:space="preserve"> ANSES/PLA.GOUTTE</v>
      </c>
      <c r="H857" s="20" t="str">
        <f t="shared" si="40"/>
        <v>CBNAV</v>
      </c>
      <c r="I857" s="20" t="str">
        <f t="shared" si="41"/>
        <v xml:space="preserve">L    </v>
      </c>
    </row>
    <row r="858" spans="1:9">
      <c r="A858" s="17" t="s">
        <v>981</v>
      </c>
      <c r="B858" s="17" t="s">
        <v>832</v>
      </c>
      <c r="C858" s="17" t="s">
        <v>802</v>
      </c>
      <c r="D858" s="17" t="s">
        <v>801</v>
      </c>
      <c r="E858" s="18">
        <v>3005250461011</v>
      </c>
      <c r="G858" s="20" t="str">
        <f t="shared" si="39"/>
        <v xml:space="preserve"> ANSES/PLA.GOUTTE</v>
      </c>
      <c r="H858" s="20" t="str">
        <f t="shared" si="40"/>
        <v>CBNAV</v>
      </c>
      <c r="I858" s="20" t="str">
        <f t="shared" si="41"/>
        <v xml:space="preserve">M    </v>
      </c>
    </row>
    <row r="859" spans="1:9">
      <c r="A859" s="17" t="s">
        <v>981</v>
      </c>
      <c r="B859" s="17" t="s">
        <v>832</v>
      </c>
      <c r="C859" s="17" t="s">
        <v>803</v>
      </c>
      <c r="D859" s="17" t="s">
        <v>801</v>
      </c>
      <c r="E859" s="18">
        <v>3005250461004</v>
      </c>
      <c r="G859" s="20" t="str">
        <f t="shared" si="39"/>
        <v xml:space="preserve"> ANSES/PLA.GOUTTE</v>
      </c>
      <c r="H859" s="20" t="str">
        <f t="shared" si="40"/>
        <v>CBNAV</v>
      </c>
      <c r="I859" s="20" t="str">
        <f t="shared" si="41"/>
        <v xml:space="preserve">S    </v>
      </c>
    </row>
    <row r="860" spans="1:9">
      <c r="A860" s="17" t="s">
        <v>981</v>
      </c>
      <c r="B860" s="17" t="s">
        <v>832</v>
      </c>
      <c r="C860" s="17" t="s">
        <v>804</v>
      </c>
      <c r="D860" s="17" t="s">
        <v>801</v>
      </c>
      <c r="E860" s="18">
        <v>3005250461035</v>
      </c>
      <c r="G860" s="20" t="str">
        <f t="shared" si="39"/>
        <v xml:space="preserve"> ANSES/PLA.GOUTTE</v>
      </c>
      <c r="H860" s="20" t="str">
        <f t="shared" si="40"/>
        <v>CBNAV</v>
      </c>
      <c r="I860" s="20" t="str">
        <f t="shared" si="41"/>
        <v xml:space="preserve">XL   </v>
      </c>
    </row>
    <row r="861" spans="1:9">
      <c r="A861" s="17" t="s">
        <v>981</v>
      </c>
      <c r="B861" s="17" t="s">
        <v>983</v>
      </c>
      <c r="C861" s="17" t="s">
        <v>800</v>
      </c>
      <c r="D861" s="17" t="s">
        <v>801</v>
      </c>
      <c r="E861" s="18">
        <v>3005250462025</v>
      </c>
      <c r="G861" s="20" t="str">
        <f t="shared" si="39"/>
        <v xml:space="preserve"> ANSES/PLA.GOUTTE</v>
      </c>
      <c r="H861" s="20" t="str">
        <f t="shared" si="40"/>
        <v>CBWHI</v>
      </c>
      <c r="I861" s="20" t="str">
        <f t="shared" si="41"/>
        <v xml:space="preserve">L    </v>
      </c>
    </row>
    <row r="862" spans="1:9">
      <c r="A862" s="17" t="s">
        <v>981</v>
      </c>
      <c r="B862" s="17" t="s">
        <v>983</v>
      </c>
      <c r="C862" s="17" t="s">
        <v>802</v>
      </c>
      <c r="D862" s="17" t="s">
        <v>801</v>
      </c>
      <c r="E862" s="18">
        <v>3005250462018</v>
      </c>
      <c r="G862" s="20" t="str">
        <f t="shared" si="39"/>
        <v xml:space="preserve"> ANSES/PLA.GOUTTE</v>
      </c>
      <c r="H862" s="20" t="str">
        <f t="shared" si="40"/>
        <v>CBWHI</v>
      </c>
      <c r="I862" s="20" t="str">
        <f t="shared" si="41"/>
        <v xml:space="preserve">M    </v>
      </c>
    </row>
    <row r="863" spans="1:9">
      <c r="A863" s="17" t="s">
        <v>981</v>
      </c>
      <c r="B863" s="17" t="s">
        <v>983</v>
      </c>
      <c r="C863" s="17" t="s">
        <v>803</v>
      </c>
      <c r="D863" s="17" t="s">
        <v>801</v>
      </c>
      <c r="E863" s="18">
        <v>3005250462001</v>
      </c>
      <c r="G863" s="20" t="str">
        <f t="shared" si="39"/>
        <v xml:space="preserve"> ANSES/PLA.GOUTTE</v>
      </c>
      <c r="H863" s="20" t="str">
        <f t="shared" si="40"/>
        <v>CBWHI</v>
      </c>
      <c r="I863" s="20" t="str">
        <f t="shared" si="41"/>
        <v xml:space="preserve">S    </v>
      </c>
    </row>
    <row r="864" spans="1:9">
      <c r="A864" s="17" t="s">
        <v>981</v>
      </c>
      <c r="B864" s="17" t="s">
        <v>983</v>
      </c>
      <c r="C864" s="17" t="s">
        <v>804</v>
      </c>
      <c r="D864" s="17" t="s">
        <v>801</v>
      </c>
      <c r="E864" s="18">
        <v>3005250462032</v>
      </c>
      <c r="G864" s="20" t="str">
        <f t="shared" si="39"/>
        <v xml:space="preserve"> ANSES/PLA.GOUTTE</v>
      </c>
      <c r="H864" s="20" t="str">
        <f t="shared" si="40"/>
        <v>CBWHI</v>
      </c>
      <c r="I864" s="20" t="str">
        <f t="shared" si="41"/>
        <v xml:space="preserve">XL   </v>
      </c>
    </row>
    <row r="865" spans="1:9">
      <c r="A865" s="17" t="s">
        <v>981</v>
      </c>
      <c r="B865" s="17" t="s">
        <v>984</v>
      </c>
      <c r="C865" s="17" t="s">
        <v>800</v>
      </c>
      <c r="D865" s="17" t="s">
        <v>801</v>
      </c>
      <c r="E865" s="18">
        <v>8056099170263</v>
      </c>
      <c r="G865" s="20" t="str">
        <f t="shared" si="39"/>
        <v xml:space="preserve"> ANSES/PLA.GOUTTE</v>
      </c>
      <c r="H865" s="20" t="str">
        <f t="shared" si="40"/>
        <v>COBLU</v>
      </c>
      <c r="I865" s="20" t="str">
        <f t="shared" si="41"/>
        <v xml:space="preserve">L    </v>
      </c>
    </row>
    <row r="866" spans="1:9">
      <c r="A866" s="17" t="s">
        <v>981</v>
      </c>
      <c r="B866" s="17" t="s">
        <v>984</v>
      </c>
      <c r="C866" s="17" t="s">
        <v>802</v>
      </c>
      <c r="D866" s="17" t="s">
        <v>801</v>
      </c>
      <c r="E866" s="18">
        <v>3004590720017</v>
      </c>
      <c r="G866" s="20" t="str">
        <f t="shared" si="39"/>
        <v xml:space="preserve"> ANSES/PLA.GOUTTE</v>
      </c>
      <c r="H866" s="20" t="str">
        <f t="shared" si="40"/>
        <v>COBLU</v>
      </c>
      <c r="I866" s="20" t="str">
        <f t="shared" si="41"/>
        <v xml:space="preserve">M    </v>
      </c>
    </row>
    <row r="867" spans="1:9">
      <c r="A867" s="17" t="s">
        <v>981</v>
      </c>
      <c r="B867" s="17" t="s">
        <v>984</v>
      </c>
      <c r="C867" s="17" t="s">
        <v>803</v>
      </c>
      <c r="D867" s="17" t="s">
        <v>801</v>
      </c>
      <c r="E867" s="18">
        <v>3004590720000</v>
      </c>
      <c r="G867" s="20" t="str">
        <f t="shared" si="39"/>
        <v xml:space="preserve"> ANSES/PLA.GOUTTE</v>
      </c>
      <c r="H867" s="20" t="str">
        <f t="shared" si="40"/>
        <v>COBLU</v>
      </c>
      <c r="I867" s="20" t="str">
        <f t="shared" si="41"/>
        <v xml:space="preserve">S    </v>
      </c>
    </row>
    <row r="868" spans="1:9">
      <c r="A868" s="17" t="s">
        <v>981</v>
      </c>
      <c r="B868" s="17" t="s">
        <v>984</v>
      </c>
      <c r="C868" s="17" t="s">
        <v>804</v>
      </c>
      <c r="D868" s="17" t="s">
        <v>801</v>
      </c>
      <c r="E868" s="18">
        <v>3004590720031</v>
      </c>
      <c r="G868" s="20" t="str">
        <f t="shared" si="39"/>
        <v xml:space="preserve"> ANSES/PLA.GOUTTE</v>
      </c>
      <c r="H868" s="20" t="str">
        <f t="shared" si="40"/>
        <v>COBLU</v>
      </c>
      <c r="I868" s="20" t="str">
        <f t="shared" si="41"/>
        <v xml:space="preserve">XL   </v>
      </c>
    </row>
    <row r="869" spans="1:9">
      <c r="A869" s="17" t="s">
        <v>981</v>
      </c>
      <c r="B869" s="17" t="s">
        <v>970</v>
      </c>
      <c r="C869" s="17" t="s">
        <v>800</v>
      </c>
      <c r="D869" s="17" t="s">
        <v>801</v>
      </c>
      <c r="E869" s="18">
        <v>8056099170348</v>
      </c>
      <c r="G869" s="20" t="str">
        <f t="shared" si="39"/>
        <v xml:space="preserve"> ANSES/PLA.GOUTTE</v>
      </c>
      <c r="H869" s="20" t="str">
        <f t="shared" si="40"/>
        <v>COGNA</v>
      </c>
      <c r="I869" s="20" t="str">
        <f t="shared" si="41"/>
        <v xml:space="preserve">L    </v>
      </c>
    </row>
    <row r="870" spans="1:9">
      <c r="A870" s="17" t="s">
        <v>981</v>
      </c>
      <c r="B870" s="17" t="s">
        <v>970</v>
      </c>
      <c r="C870" s="17" t="s">
        <v>802</v>
      </c>
      <c r="D870" s="17" t="s">
        <v>801</v>
      </c>
      <c r="E870" s="18">
        <v>3004590164019</v>
      </c>
      <c r="G870" s="20" t="str">
        <f t="shared" si="39"/>
        <v xml:space="preserve"> ANSES/PLA.GOUTTE</v>
      </c>
      <c r="H870" s="20" t="str">
        <f t="shared" si="40"/>
        <v>COGNA</v>
      </c>
      <c r="I870" s="20" t="str">
        <f t="shared" si="41"/>
        <v xml:space="preserve">M    </v>
      </c>
    </row>
    <row r="871" spans="1:9">
      <c r="A871" s="17" t="s">
        <v>981</v>
      </c>
      <c r="B871" s="17" t="s">
        <v>970</v>
      </c>
      <c r="C871" s="17" t="s">
        <v>803</v>
      </c>
      <c r="D871" s="17" t="s">
        <v>801</v>
      </c>
      <c r="E871" s="18">
        <v>3004590164002</v>
      </c>
      <c r="G871" s="20" t="str">
        <f t="shared" si="39"/>
        <v xml:space="preserve"> ANSES/PLA.GOUTTE</v>
      </c>
      <c r="H871" s="20" t="str">
        <f t="shared" si="40"/>
        <v>COGNA</v>
      </c>
      <c r="I871" s="20" t="str">
        <f t="shared" si="41"/>
        <v xml:space="preserve">S    </v>
      </c>
    </row>
    <row r="872" spans="1:9">
      <c r="A872" s="17" t="s">
        <v>981</v>
      </c>
      <c r="B872" s="17" t="s">
        <v>970</v>
      </c>
      <c r="C872" s="17" t="s">
        <v>804</v>
      </c>
      <c r="D872" s="17" t="s">
        <v>801</v>
      </c>
      <c r="E872" s="18">
        <v>3004590164033</v>
      </c>
      <c r="G872" s="20" t="str">
        <f t="shared" si="39"/>
        <v xml:space="preserve"> ANSES/PLA.GOUTTE</v>
      </c>
      <c r="H872" s="20" t="str">
        <f t="shared" si="40"/>
        <v>COGNA</v>
      </c>
      <c r="I872" s="20" t="str">
        <f t="shared" si="41"/>
        <v xml:space="preserve">XL   </v>
      </c>
    </row>
    <row r="873" spans="1:9">
      <c r="A873" s="17" t="s">
        <v>981</v>
      </c>
      <c r="B873" s="17" t="s">
        <v>985</v>
      </c>
      <c r="C873" s="17" t="s">
        <v>800</v>
      </c>
      <c r="D873" s="17" t="s">
        <v>801</v>
      </c>
      <c r="E873" s="18">
        <v>3005250692026</v>
      </c>
      <c r="G873" s="20" t="str">
        <f t="shared" si="39"/>
        <v xml:space="preserve"> ANSES/PLA.GOUTTE</v>
      </c>
      <c r="H873" s="20" t="str">
        <f t="shared" si="40"/>
        <v>CORBL</v>
      </c>
      <c r="I873" s="20" t="str">
        <f t="shared" si="41"/>
        <v xml:space="preserve">L    </v>
      </c>
    </row>
    <row r="874" spans="1:9">
      <c r="A874" s="17" t="s">
        <v>981</v>
      </c>
      <c r="B874" s="17" t="s">
        <v>985</v>
      </c>
      <c r="C874" s="17" t="s">
        <v>802</v>
      </c>
      <c r="D874" s="17" t="s">
        <v>801</v>
      </c>
      <c r="E874" s="18">
        <v>3005250692019</v>
      </c>
      <c r="G874" s="20" t="str">
        <f t="shared" si="39"/>
        <v xml:space="preserve"> ANSES/PLA.GOUTTE</v>
      </c>
      <c r="H874" s="20" t="str">
        <f t="shared" si="40"/>
        <v>CORBL</v>
      </c>
      <c r="I874" s="20" t="str">
        <f t="shared" si="41"/>
        <v xml:space="preserve">M    </v>
      </c>
    </row>
    <row r="875" spans="1:9">
      <c r="A875" s="17" t="s">
        <v>981</v>
      </c>
      <c r="B875" s="17" t="s">
        <v>985</v>
      </c>
      <c r="C875" s="17" t="s">
        <v>803</v>
      </c>
      <c r="D875" s="17" t="s">
        <v>801</v>
      </c>
      <c r="E875" s="18">
        <v>3005250692002</v>
      </c>
      <c r="G875" s="20" t="str">
        <f t="shared" si="39"/>
        <v xml:space="preserve"> ANSES/PLA.GOUTTE</v>
      </c>
      <c r="H875" s="20" t="str">
        <f t="shared" si="40"/>
        <v>CORBL</v>
      </c>
      <c r="I875" s="20" t="str">
        <f t="shared" si="41"/>
        <v xml:space="preserve">S    </v>
      </c>
    </row>
    <row r="876" spans="1:9">
      <c r="A876" s="17" t="s">
        <v>981</v>
      </c>
      <c r="B876" s="17" t="s">
        <v>985</v>
      </c>
      <c r="C876" s="17" t="s">
        <v>804</v>
      </c>
      <c r="D876" s="17" t="s">
        <v>801</v>
      </c>
      <c r="E876" s="18">
        <v>3005250692033</v>
      </c>
      <c r="G876" s="20" t="str">
        <f t="shared" si="39"/>
        <v xml:space="preserve"> ANSES/PLA.GOUTTE</v>
      </c>
      <c r="H876" s="20" t="str">
        <f t="shared" si="40"/>
        <v>CORBL</v>
      </c>
      <c r="I876" s="20" t="str">
        <f t="shared" si="41"/>
        <v xml:space="preserve">XL   </v>
      </c>
    </row>
    <row r="877" spans="1:9">
      <c r="A877" s="17" t="s">
        <v>981</v>
      </c>
      <c r="B877" s="17" t="s">
        <v>986</v>
      </c>
      <c r="C877" s="17" t="s">
        <v>800</v>
      </c>
      <c r="D877" s="17" t="s">
        <v>801</v>
      </c>
      <c r="E877" s="18">
        <v>3005250691029</v>
      </c>
      <c r="G877" s="20" t="str">
        <f t="shared" si="39"/>
        <v xml:space="preserve"> ANSES/PLA.GOUTTE</v>
      </c>
      <c r="H877" s="20" t="str">
        <f t="shared" si="40"/>
        <v>CORBO</v>
      </c>
      <c r="I877" s="20" t="str">
        <f t="shared" si="41"/>
        <v xml:space="preserve">L    </v>
      </c>
    </row>
    <row r="878" spans="1:9">
      <c r="A878" s="17" t="s">
        <v>981</v>
      </c>
      <c r="B878" s="17" t="s">
        <v>986</v>
      </c>
      <c r="C878" s="17" t="s">
        <v>802</v>
      </c>
      <c r="D878" s="17" t="s">
        <v>801</v>
      </c>
      <c r="E878" s="18">
        <v>3005250691012</v>
      </c>
      <c r="G878" s="20" t="str">
        <f t="shared" si="39"/>
        <v xml:space="preserve"> ANSES/PLA.GOUTTE</v>
      </c>
      <c r="H878" s="20" t="str">
        <f t="shared" si="40"/>
        <v>CORBO</v>
      </c>
      <c r="I878" s="20" t="str">
        <f t="shared" si="41"/>
        <v xml:space="preserve">M    </v>
      </c>
    </row>
    <row r="879" spans="1:9">
      <c r="A879" s="17" t="s">
        <v>981</v>
      </c>
      <c r="B879" s="17" t="s">
        <v>986</v>
      </c>
      <c r="C879" s="17" t="s">
        <v>803</v>
      </c>
      <c r="D879" s="17" t="s">
        <v>801</v>
      </c>
      <c r="E879" s="18">
        <v>3005250691005</v>
      </c>
      <c r="G879" s="20" t="str">
        <f t="shared" si="39"/>
        <v xml:space="preserve"> ANSES/PLA.GOUTTE</v>
      </c>
      <c r="H879" s="20" t="str">
        <f t="shared" si="40"/>
        <v>CORBO</v>
      </c>
      <c r="I879" s="20" t="str">
        <f t="shared" si="41"/>
        <v xml:space="preserve">S    </v>
      </c>
    </row>
    <row r="880" spans="1:9">
      <c r="A880" s="17" t="s">
        <v>981</v>
      </c>
      <c r="B880" s="17" t="s">
        <v>986</v>
      </c>
      <c r="C880" s="17" t="s">
        <v>804</v>
      </c>
      <c r="D880" s="17" t="s">
        <v>801</v>
      </c>
      <c r="E880" s="18">
        <v>3005250691036</v>
      </c>
      <c r="G880" s="20" t="str">
        <f t="shared" si="39"/>
        <v xml:space="preserve"> ANSES/PLA.GOUTTE</v>
      </c>
      <c r="H880" s="20" t="str">
        <f t="shared" si="40"/>
        <v>CORBO</v>
      </c>
      <c r="I880" s="20" t="str">
        <f t="shared" si="41"/>
        <v xml:space="preserve">XL   </v>
      </c>
    </row>
    <row r="881" spans="1:9">
      <c r="A881" s="17" t="s">
        <v>981</v>
      </c>
      <c r="B881" s="17" t="s">
        <v>987</v>
      </c>
      <c r="C881" s="17" t="s">
        <v>800</v>
      </c>
      <c r="D881" s="17" t="s">
        <v>801</v>
      </c>
      <c r="E881" s="18">
        <v>3005250352029</v>
      </c>
      <c r="G881" s="20" t="str">
        <f t="shared" si="39"/>
        <v xml:space="preserve"> ANSES/PLA.GOUTTE</v>
      </c>
      <c r="H881" s="20" t="str">
        <f t="shared" si="40"/>
        <v>CORDO</v>
      </c>
      <c r="I881" s="20" t="str">
        <f t="shared" si="41"/>
        <v xml:space="preserve">L    </v>
      </c>
    </row>
    <row r="882" spans="1:9">
      <c r="A882" s="17" t="s">
        <v>981</v>
      </c>
      <c r="B882" s="17" t="s">
        <v>987</v>
      </c>
      <c r="C882" s="17" t="s">
        <v>802</v>
      </c>
      <c r="D882" s="17" t="s">
        <v>801</v>
      </c>
      <c r="E882" s="18">
        <v>3005250352012</v>
      </c>
      <c r="G882" s="20" t="str">
        <f t="shared" si="39"/>
        <v xml:space="preserve"> ANSES/PLA.GOUTTE</v>
      </c>
      <c r="H882" s="20" t="str">
        <f t="shared" si="40"/>
        <v>CORDO</v>
      </c>
      <c r="I882" s="20" t="str">
        <f t="shared" si="41"/>
        <v xml:space="preserve">M    </v>
      </c>
    </row>
    <row r="883" spans="1:9">
      <c r="A883" s="17" t="s">
        <v>981</v>
      </c>
      <c r="B883" s="17" t="s">
        <v>987</v>
      </c>
      <c r="C883" s="17" t="s">
        <v>803</v>
      </c>
      <c r="D883" s="17" t="s">
        <v>801</v>
      </c>
      <c r="E883" s="18">
        <v>3005250352005</v>
      </c>
      <c r="G883" s="20" t="str">
        <f t="shared" si="39"/>
        <v xml:space="preserve"> ANSES/PLA.GOUTTE</v>
      </c>
      <c r="H883" s="20" t="str">
        <f t="shared" si="40"/>
        <v>CORDO</v>
      </c>
      <c r="I883" s="20" t="str">
        <f t="shared" si="41"/>
        <v xml:space="preserve">S    </v>
      </c>
    </row>
    <row r="884" spans="1:9">
      <c r="A884" s="17" t="s">
        <v>981</v>
      </c>
      <c r="B884" s="17" t="s">
        <v>987</v>
      </c>
      <c r="C884" s="17" t="s">
        <v>804</v>
      </c>
      <c r="D884" s="17" t="s">
        <v>801</v>
      </c>
      <c r="E884" s="18">
        <v>3005250352036</v>
      </c>
      <c r="G884" s="20" t="str">
        <f t="shared" si="39"/>
        <v xml:space="preserve"> ANSES/PLA.GOUTTE</v>
      </c>
      <c r="H884" s="20" t="str">
        <f t="shared" si="40"/>
        <v>CORDO</v>
      </c>
      <c r="I884" s="20" t="str">
        <f t="shared" si="41"/>
        <v xml:space="preserve">XL   </v>
      </c>
    </row>
    <row r="885" spans="1:9">
      <c r="A885" s="17" t="s">
        <v>981</v>
      </c>
      <c r="B885" s="17" t="s">
        <v>988</v>
      </c>
      <c r="C885" s="17" t="s">
        <v>800</v>
      </c>
      <c r="D885" s="17" t="s">
        <v>801</v>
      </c>
      <c r="E885" s="18">
        <v>8056099170232</v>
      </c>
      <c r="G885" s="20" t="str">
        <f t="shared" si="39"/>
        <v xml:space="preserve"> ANSES/PLA.GOUTTE</v>
      </c>
      <c r="H885" s="20" t="str">
        <f t="shared" si="40"/>
        <v>CORJA</v>
      </c>
      <c r="I885" s="20" t="str">
        <f t="shared" si="41"/>
        <v xml:space="preserve">L    </v>
      </c>
    </row>
    <row r="886" spans="1:9">
      <c r="A886" s="17" t="s">
        <v>981</v>
      </c>
      <c r="B886" s="17" t="s">
        <v>988</v>
      </c>
      <c r="C886" s="17" t="s">
        <v>802</v>
      </c>
      <c r="D886" s="17" t="s">
        <v>801</v>
      </c>
      <c r="E886" s="18">
        <v>3004590914010</v>
      </c>
      <c r="G886" s="20" t="str">
        <f t="shared" si="39"/>
        <v xml:space="preserve"> ANSES/PLA.GOUTTE</v>
      </c>
      <c r="H886" s="20" t="str">
        <f t="shared" si="40"/>
        <v>CORJA</v>
      </c>
      <c r="I886" s="20" t="str">
        <f t="shared" si="41"/>
        <v xml:space="preserve">M    </v>
      </c>
    </row>
    <row r="887" spans="1:9">
      <c r="A887" s="17" t="s">
        <v>981</v>
      </c>
      <c r="B887" s="17" t="s">
        <v>988</v>
      </c>
      <c r="C887" s="17" t="s">
        <v>803</v>
      </c>
      <c r="D887" s="17" t="s">
        <v>801</v>
      </c>
      <c r="E887" s="18">
        <v>3004590914003</v>
      </c>
      <c r="G887" s="20" t="str">
        <f t="shared" si="39"/>
        <v xml:space="preserve"> ANSES/PLA.GOUTTE</v>
      </c>
      <c r="H887" s="20" t="str">
        <f t="shared" si="40"/>
        <v>CORJA</v>
      </c>
      <c r="I887" s="20" t="str">
        <f t="shared" si="41"/>
        <v xml:space="preserve">S    </v>
      </c>
    </row>
    <row r="888" spans="1:9">
      <c r="A888" s="17" t="s">
        <v>981</v>
      </c>
      <c r="B888" s="17" t="s">
        <v>988</v>
      </c>
      <c r="C888" s="17" t="s">
        <v>804</v>
      </c>
      <c r="D888" s="17" t="s">
        <v>801</v>
      </c>
      <c r="E888" s="18">
        <v>3004590914034</v>
      </c>
      <c r="G888" s="20" t="str">
        <f t="shared" si="39"/>
        <v xml:space="preserve"> ANSES/PLA.GOUTTE</v>
      </c>
      <c r="H888" s="20" t="str">
        <f t="shared" si="40"/>
        <v>CORJA</v>
      </c>
      <c r="I888" s="20" t="str">
        <f t="shared" si="41"/>
        <v xml:space="preserve">XL   </v>
      </c>
    </row>
    <row r="889" spans="1:9">
      <c r="A889" s="17" t="s">
        <v>981</v>
      </c>
      <c r="B889" s="17" t="s">
        <v>989</v>
      </c>
      <c r="C889" s="17" t="s">
        <v>800</v>
      </c>
      <c r="D889" s="17" t="s">
        <v>801</v>
      </c>
      <c r="E889" s="18">
        <v>8056099170249</v>
      </c>
      <c r="G889" s="20" t="str">
        <f t="shared" si="39"/>
        <v xml:space="preserve"> ANSES/PLA.GOUTTE</v>
      </c>
      <c r="H889" s="20" t="str">
        <f t="shared" si="40"/>
        <v>CORRO</v>
      </c>
      <c r="I889" s="20" t="str">
        <f t="shared" si="41"/>
        <v xml:space="preserve">L    </v>
      </c>
    </row>
    <row r="890" spans="1:9">
      <c r="A890" s="17" t="s">
        <v>981</v>
      </c>
      <c r="B890" s="17" t="s">
        <v>989</v>
      </c>
      <c r="C890" s="17" t="s">
        <v>802</v>
      </c>
      <c r="D890" s="17" t="s">
        <v>801</v>
      </c>
      <c r="E890" s="18">
        <v>3004590915017</v>
      </c>
      <c r="G890" s="20" t="str">
        <f t="shared" si="39"/>
        <v xml:space="preserve"> ANSES/PLA.GOUTTE</v>
      </c>
      <c r="H890" s="20" t="str">
        <f t="shared" si="40"/>
        <v>CORRO</v>
      </c>
      <c r="I890" s="20" t="str">
        <f t="shared" si="41"/>
        <v xml:space="preserve">M    </v>
      </c>
    </row>
    <row r="891" spans="1:9">
      <c r="A891" s="17" t="s">
        <v>981</v>
      </c>
      <c r="B891" s="17" t="s">
        <v>989</v>
      </c>
      <c r="C891" s="17" t="s">
        <v>803</v>
      </c>
      <c r="D891" s="17" t="s">
        <v>801</v>
      </c>
      <c r="E891" s="18">
        <v>3004590915000</v>
      </c>
      <c r="G891" s="20" t="str">
        <f t="shared" si="39"/>
        <v xml:space="preserve"> ANSES/PLA.GOUTTE</v>
      </c>
      <c r="H891" s="20" t="str">
        <f t="shared" si="40"/>
        <v>CORRO</v>
      </c>
      <c r="I891" s="20" t="str">
        <f t="shared" si="41"/>
        <v xml:space="preserve">S    </v>
      </c>
    </row>
    <row r="892" spans="1:9">
      <c r="A892" s="17" t="s">
        <v>981</v>
      </c>
      <c r="B892" s="17" t="s">
        <v>989</v>
      </c>
      <c r="C892" s="17" t="s">
        <v>804</v>
      </c>
      <c r="D892" s="17" t="s">
        <v>801</v>
      </c>
      <c r="E892" s="18">
        <v>3004590915031</v>
      </c>
      <c r="G892" s="20" t="str">
        <f t="shared" si="39"/>
        <v xml:space="preserve"> ANSES/PLA.GOUTTE</v>
      </c>
      <c r="H892" s="20" t="str">
        <f t="shared" si="40"/>
        <v>CORRO</v>
      </c>
      <c r="I892" s="20" t="str">
        <f t="shared" si="41"/>
        <v xml:space="preserve">XL   </v>
      </c>
    </row>
    <row r="893" spans="1:9">
      <c r="A893" s="17" t="s">
        <v>981</v>
      </c>
      <c r="B893" s="17" t="s">
        <v>990</v>
      </c>
      <c r="C893" s="17" t="s">
        <v>800</v>
      </c>
      <c r="D893" s="17" t="s">
        <v>801</v>
      </c>
      <c r="E893" s="18">
        <v>3005250690022</v>
      </c>
      <c r="G893" s="20" t="str">
        <f t="shared" si="39"/>
        <v xml:space="preserve"> ANSES/PLA.GOUTTE</v>
      </c>
      <c r="H893" s="20" t="str">
        <f t="shared" si="40"/>
        <v>CORVE</v>
      </c>
      <c r="I893" s="20" t="str">
        <f t="shared" si="41"/>
        <v xml:space="preserve">L    </v>
      </c>
    </row>
    <row r="894" spans="1:9">
      <c r="A894" s="17" t="s">
        <v>981</v>
      </c>
      <c r="B894" s="17" t="s">
        <v>990</v>
      </c>
      <c r="C894" s="17" t="s">
        <v>802</v>
      </c>
      <c r="D894" s="17" t="s">
        <v>801</v>
      </c>
      <c r="E894" s="18">
        <v>3005250690015</v>
      </c>
      <c r="G894" s="20" t="str">
        <f t="shared" si="39"/>
        <v xml:space="preserve"> ANSES/PLA.GOUTTE</v>
      </c>
      <c r="H894" s="20" t="str">
        <f t="shared" si="40"/>
        <v>CORVE</v>
      </c>
      <c r="I894" s="20" t="str">
        <f t="shared" si="41"/>
        <v xml:space="preserve">M    </v>
      </c>
    </row>
    <row r="895" spans="1:9">
      <c r="A895" s="17" t="s">
        <v>981</v>
      </c>
      <c r="B895" s="17" t="s">
        <v>990</v>
      </c>
      <c r="C895" s="17" t="s">
        <v>803</v>
      </c>
      <c r="D895" s="17" t="s">
        <v>801</v>
      </c>
      <c r="E895" s="18">
        <v>3005250690008</v>
      </c>
      <c r="G895" s="20" t="str">
        <f t="shared" si="39"/>
        <v xml:space="preserve"> ANSES/PLA.GOUTTE</v>
      </c>
      <c r="H895" s="20" t="str">
        <f t="shared" si="40"/>
        <v>CORVE</v>
      </c>
      <c r="I895" s="20" t="str">
        <f t="shared" si="41"/>
        <v xml:space="preserve">S    </v>
      </c>
    </row>
    <row r="896" spans="1:9">
      <c r="A896" s="17" t="s">
        <v>981</v>
      </c>
      <c r="B896" s="17" t="s">
        <v>990</v>
      </c>
      <c r="C896" s="17" t="s">
        <v>804</v>
      </c>
      <c r="D896" s="17" t="s">
        <v>801</v>
      </c>
      <c r="E896" s="18">
        <v>3005250690039</v>
      </c>
      <c r="G896" s="20" t="str">
        <f t="shared" si="39"/>
        <v xml:space="preserve"> ANSES/PLA.GOUTTE</v>
      </c>
      <c r="H896" s="20" t="str">
        <f t="shared" si="40"/>
        <v>CORVE</v>
      </c>
      <c r="I896" s="20" t="str">
        <f t="shared" si="41"/>
        <v xml:space="preserve">XL   </v>
      </c>
    </row>
    <row r="897" spans="1:9">
      <c r="A897" s="17" t="s">
        <v>981</v>
      </c>
      <c r="B897" s="17" t="s">
        <v>991</v>
      </c>
      <c r="C897" s="17" t="s">
        <v>800</v>
      </c>
      <c r="D897" s="17" t="s">
        <v>801</v>
      </c>
      <c r="E897" s="18">
        <v>3005250571024</v>
      </c>
      <c r="G897" s="20" t="str">
        <f t="shared" si="39"/>
        <v xml:space="preserve"> ANSES/PLA.GOUTTE</v>
      </c>
      <c r="H897" s="20" t="str">
        <f t="shared" si="40"/>
        <v>CROBL</v>
      </c>
      <c r="I897" s="20" t="str">
        <f t="shared" si="41"/>
        <v xml:space="preserve">L    </v>
      </c>
    </row>
    <row r="898" spans="1:9">
      <c r="A898" s="17" t="s">
        <v>981</v>
      </c>
      <c r="B898" s="17" t="s">
        <v>991</v>
      </c>
      <c r="C898" s="17" t="s">
        <v>800</v>
      </c>
      <c r="D898" s="17" t="s">
        <v>801</v>
      </c>
      <c r="E898" s="18">
        <v>8058983596562</v>
      </c>
      <c r="G898" s="20" t="str">
        <f t="shared" si="39"/>
        <v xml:space="preserve"> ANSES/PLA.GOUTTE</v>
      </c>
      <c r="H898" s="20" t="str">
        <f t="shared" si="40"/>
        <v>CROBL</v>
      </c>
      <c r="I898" s="20" t="str">
        <f t="shared" si="41"/>
        <v xml:space="preserve">L    </v>
      </c>
    </row>
    <row r="899" spans="1:9">
      <c r="A899" s="17" t="s">
        <v>981</v>
      </c>
      <c r="B899" s="17" t="s">
        <v>991</v>
      </c>
      <c r="C899" s="17" t="s">
        <v>802</v>
      </c>
      <c r="D899" s="17" t="s">
        <v>801</v>
      </c>
      <c r="E899" s="18">
        <v>3005250571017</v>
      </c>
      <c r="G899" s="20" t="str">
        <f t="shared" si="39"/>
        <v xml:space="preserve"> ANSES/PLA.GOUTTE</v>
      </c>
      <c r="H899" s="20" t="str">
        <f t="shared" si="40"/>
        <v>CROBL</v>
      </c>
      <c r="I899" s="20" t="str">
        <f t="shared" si="41"/>
        <v xml:space="preserve">M    </v>
      </c>
    </row>
    <row r="900" spans="1:9">
      <c r="A900" s="17" t="s">
        <v>981</v>
      </c>
      <c r="B900" s="17" t="s">
        <v>991</v>
      </c>
      <c r="C900" s="17" t="s">
        <v>803</v>
      </c>
      <c r="D900" s="17" t="s">
        <v>801</v>
      </c>
      <c r="E900" s="18">
        <v>3005250571000</v>
      </c>
      <c r="G900" s="20" t="str">
        <f t="shared" si="39"/>
        <v xml:space="preserve"> ANSES/PLA.GOUTTE</v>
      </c>
      <c r="H900" s="20" t="str">
        <f t="shared" si="40"/>
        <v>CROBL</v>
      </c>
      <c r="I900" s="20" t="str">
        <f t="shared" si="41"/>
        <v xml:space="preserve">S    </v>
      </c>
    </row>
    <row r="901" spans="1:9">
      <c r="A901" s="17" t="s">
        <v>981</v>
      </c>
      <c r="B901" s="17" t="s">
        <v>991</v>
      </c>
      <c r="C901" s="17" t="s">
        <v>803</v>
      </c>
      <c r="D901" s="17" t="s">
        <v>801</v>
      </c>
      <c r="E901" s="18">
        <v>8058983596760</v>
      </c>
      <c r="G901" s="20" t="str">
        <f t="shared" ref="G901:G964" si="42">A901</f>
        <v xml:space="preserve"> ANSES/PLA.GOUTTE</v>
      </c>
      <c r="H901" s="20" t="str">
        <f t="shared" ref="H901:H964" si="43">B901</f>
        <v>CROBL</v>
      </c>
      <c r="I901" s="20" t="str">
        <f t="shared" ref="I901:I964" si="44">C901</f>
        <v xml:space="preserve">S    </v>
      </c>
    </row>
    <row r="902" spans="1:9">
      <c r="A902" s="17" t="s">
        <v>981</v>
      </c>
      <c r="B902" s="17" t="s">
        <v>991</v>
      </c>
      <c r="C902" s="17" t="s">
        <v>804</v>
      </c>
      <c r="D902" s="17" t="s">
        <v>801</v>
      </c>
      <c r="E902" s="18">
        <v>3005250571031</v>
      </c>
      <c r="G902" s="20" t="str">
        <f t="shared" si="42"/>
        <v xml:space="preserve"> ANSES/PLA.GOUTTE</v>
      </c>
      <c r="H902" s="20" t="str">
        <f t="shared" si="43"/>
        <v>CROBL</v>
      </c>
      <c r="I902" s="20" t="str">
        <f t="shared" si="44"/>
        <v xml:space="preserve">XL   </v>
      </c>
    </row>
    <row r="903" spans="1:9">
      <c r="A903" s="17" t="s">
        <v>981</v>
      </c>
      <c r="B903" s="17" t="s">
        <v>992</v>
      </c>
      <c r="C903" s="17" t="s">
        <v>800</v>
      </c>
      <c r="D903" s="17" t="s">
        <v>801</v>
      </c>
      <c r="E903" s="18">
        <v>3005250573028</v>
      </c>
      <c r="G903" s="20" t="str">
        <f t="shared" si="42"/>
        <v xml:space="preserve"> ANSES/PLA.GOUTTE</v>
      </c>
      <c r="H903" s="20" t="str">
        <f t="shared" si="43"/>
        <v>CROBR</v>
      </c>
      <c r="I903" s="20" t="str">
        <f t="shared" si="44"/>
        <v xml:space="preserve">L    </v>
      </c>
    </row>
    <row r="904" spans="1:9">
      <c r="A904" s="17" t="s">
        <v>981</v>
      </c>
      <c r="B904" s="17" t="s">
        <v>992</v>
      </c>
      <c r="C904" s="17" t="s">
        <v>800</v>
      </c>
      <c r="D904" s="17" t="s">
        <v>801</v>
      </c>
      <c r="E904" s="18">
        <v>8058983596579</v>
      </c>
      <c r="G904" s="20" t="str">
        <f t="shared" si="42"/>
        <v xml:space="preserve"> ANSES/PLA.GOUTTE</v>
      </c>
      <c r="H904" s="20" t="str">
        <f t="shared" si="43"/>
        <v>CROBR</v>
      </c>
      <c r="I904" s="20" t="str">
        <f t="shared" si="44"/>
        <v xml:space="preserve">L    </v>
      </c>
    </row>
    <row r="905" spans="1:9">
      <c r="A905" s="17" t="s">
        <v>981</v>
      </c>
      <c r="B905" s="17" t="s">
        <v>992</v>
      </c>
      <c r="C905" s="17" t="s">
        <v>802</v>
      </c>
      <c r="D905" s="17" t="s">
        <v>801</v>
      </c>
      <c r="E905" s="18">
        <v>3005250573011</v>
      </c>
      <c r="G905" s="20" t="str">
        <f t="shared" si="42"/>
        <v xml:space="preserve"> ANSES/PLA.GOUTTE</v>
      </c>
      <c r="H905" s="20" t="str">
        <f t="shared" si="43"/>
        <v>CROBR</v>
      </c>
      <c r="I905" s="20" t="str">
        <f t="shared" si="44"/>
        <v xml:space="preserve">M    </v>
      </c>
    </row>
    <row r="906" spans="1:9">
      <c r="A906" s="17" t="s">
        <v>981</v>
      </c>
      <c r="B906" s="17" t="s">
        <v>992</v>
      </c>
      <c r="C906" s="17" t="s">
        <v>803</v>
      </c>
      <c r="D906" s="17" t="s">
        <v>801</v>
      </c>
      <c r="E906" s="18">
        <v>3005250573004</v>
      </c>
      <c r="G906" s="20" t="str">
        <f t="shared" si="42"/>
        <v xml:space="preserve"> ANSES/PLA.GOUTTE</v>
      </c>
      <c r="H906" s="20" t="str">
        <f t="shared" si="43"/>
        <v>CROBR</v>
      </c>
      <c r="I906" s="20" t="str">
        <f t="shared" si="44"/>
        <v xml:space="preserve">S    </v>
      </c>
    </row>
    <row r="907" spans="1:9">
      <c r="A907" s="17" t="s">
        <v>981</v>
      </c>
      <c r="B907" s="17" t="s">
        <v>992</v>
      </c>
      <c r="C907" s="17" t="s">
        <v>803</v>
      </c>
      <c r="D907" s="17" t="s">
        <v>801</v>
      </c>
      <c r="E907" s="18">
        <v>8058983596753</v>
      </c>
      <c r="G907" s="20" t="str">
        <f t="shared" si="42"/>
        <v xml:space="preserve"> ANSES/PLA.GOUTTE</v>
      </c>
      <c r="H907" s="20" t="str">
        <f t="shared" si="43"/>
        <v>CROBR</v>
      </c>
      <c r="I907" s="20" t="str">
        <f t="shared" si="44"/>
        <v xml:space="preserve">S    </v>
      </c>
    </row>
    <row r="908" spans="1:9">
      <c r="A908" s="17" t="s">
        <v>981</v>
      </c>
      <c r="B908" s="17" t="s">
        <v>992</v>
      </c>
      <c r="C908" s="17" t="s">
        <v>804</v>
      </c>
      <c r="D908" s="17" t="s">
        <v>801</v>
      </c>
      <c r="E908" s="18">
        <v>3005250573035</v>
      </c>
      <c r="G908" s="20" t="str">
        <f t="shared" si="42"/>
        <v xml:space="preserve"> ANSES/PLA.GOUTTE</v>
      </c>
      <c r="H908" s="20" t="str">
        <f t="shared" si="43"/>
        <v>CROBR</v>
      </c>
      <c r="I908" s="20" t="str">
        <f t="shared" si="44"/>
        <v xml:space="preserve">XL   </v>
      </c>
    </row>
    <row r="909" spans="1:9">
      <c r="A909" s="17" t="s">
        <v>981</v>
      </c>
      <c r="B909" s="17" t="s">
        <v>993</v>
      </c>
      <c r="C909" s="17" t="s">
        <v>800</v>
      </c>
      <c r="D909" s="17" t="s">
        <v>801</v>
      </c>
      <c r="E909" s="18">
        <v>3005250651023</v>
      </c>
      <c r="G909" s="20" t="str">
        <f t="shared" si="42"/>
        <v xml:space="preserve"> ANSES/PLA.GOUTTE</v>
      </c>
      <c r="H909" s="20" t="str">
        <f t="shared" si="43"/>
        <v>CROIC</v>
      </c>
      <c r="I909" s="20" t="str">
        <f t="shared" si="44"/>
        <v xml:space="preserve">L    </v>
      </c>
    </row>
    <row r="910" spans="1:9">
      <c r="A910" s="17" t="s">
        <v>981</v>
      </c>
      <c r="B910" s="17" t="s">
        <v>993</v>
      </c>
      <c r="C910" s="17" t="s">
        <v>800</v>
      </c>
      <c r="D910" s="17" t="s">
        <v>801</v>
      </c>
      <c r="E910" s="18">
        <v>8058983596555</v>
      </c>
      <c r="G910" s="20" t="str">
        <f t="shared" si="42"/>
        <v xml:space="preserve"> ANSES/PLA.GOUTTE</v>
      </c>
      <c r="H910" s="20" t="str">
        <f t="shared" si="43"/>
        <v>CROIC</v>
      </c>
      <c r="I910" s="20" t="str">
        <f t="shared" si="44"/>
        <v xml:space="preserve">L    </v>
      </c>
    </row>
    <row r="911" spans="1:9">
      <c r="A911" s="17" t="s">
        <v>981</v>
      </c>
      <c r="B911" s="17" t="s">
        <v>993</v>
      </c>
      <c r="C911" s="17" t="s">
        <v>802</v>
      </c>
      <c r="D911" s="17" t="s">
        <v>801</v>
      </c>
      <c r="E911" s="18">
        <v>3005250651016</v>
      </c>
      <c r="G911" s="20" t="str">
        <f t="shared" si="42"/>
        <v xml:space="preserve"> ANSES/PLA.GOUTTE</v>
      </c>
      <c r="H911" s="20" t="str">
        <f t="shared" si="43"/>
        <v>CROIC</v>
      </c>
      <c r="I911" s="20" t="str">
        <f t="shared" si="44"/>
        <v xml:space="preserve">M    </v>
      </c>
    </row>
    <row r="912" spans="1:9">
      <c r="A912" s="17" t="s">
        <v>981</v>
      </c>
      <c r="B912" s="17" t="s">
        <v>993</v>
      </c>
      <c r="C912" s="17" t="s">
        <v>803</v>
      </c>
      <c r="D912" s="17" t="s">
        <v>801</v>
      </c>
      <c r="E912" s="18">
        <v>3005250651009</v>
      </c>
      <c r="G912" s="20" t="str">
        <f t="shared" si="42"/>
        <v xml:space="preserve"> ANSES/PLA.GOUTTE</v>
      </c>
      <c r="H912" s="20" t="str">
        <f t="shared" si="43"/>
        <v>CROIC</v>
      </c>
      <c r="I912" s="20" t="str">
        <f t="shared" si="44"/>
        <v xml:space="preserve">S    </v>
      </c>
    </row>
    <row r="913" spans="1:9">
      <c r="A913" s="17" t="s">
        <v>981</v>
      </c>
      <c r="B913" s="17" t="s">
        <v>993</v>
      </c>
      <c r="C913" s="17" t="s">
        <v>803</v>
      </c>
      <c r="D913" s="17" t="s">
        <v>801</v>
      </c>
      <c r="E913" s="18">
        <v>8058983596746</v>
      </c>
      <c r="G913" s="20" t="str">
        <f t="shared" si="42"/>
        <v xml:space="preserve"> ANSES/PLA.GOUTTE</v>
      </c>
      <c r="H913" s="20" t="str">
        <f t="shared" si="43"/>
        <v>CROIC</v>
      </c>
      <c r="I913" s="20" t="str">
        <f t="shared" si="44"/>
        <v xml:space="preserve">S    </v>
      </c>
    </row>
    <row r="914" spans="1:9">
      <c r="A914" s="17" t="s">
        <v>981</v>
      </c>
      <c r="B914" s="17" t="s">
        <v>993</v>
      </c>
      <c r="C914" s="17" t="s">
        <v>804</v>
      </c>
      <c r="D914" s="17" t="s">
        <v>801</v>
      </c>
      <c r="E914" s="18">
        <v>3005250651030</v>
      </c>
      <c r="G914" s="20" t="str">
        <f t="shared" si="42"/>
        <v xml:space="preserve"> ANSES/PLA.GOUTTE</v>
      </c>
      <c r="H914" s="20" t="str">
        <f t="shared" si="43"/>
        <v>CROIC</v>
      </c>
      <c r="I914" s="20" t="str">
        <f t="shared" si="44"/>
        <v xml:space="preserve">XL   </v>
      </c>
    </row>
    <row r="915" spans="1:9">
      <c r="A915" s="17" t="s">
        <v>981</v>
      </c>
      <c r="B915" s="17" t="s">
        <v>994</v>
      </c>
      <c r="C915" s="17" t="s">
        <v>800</v>
      </c>
      <c r="D915" s="17" t="s">
        <v>801</v>
      </c>
      <c r="E915" s="18">
        <v>3005250165025</v>
      </c>
      <c r="G915" s="20" t="str">
        <f t="shared" si="42"/>
        <v xml:space="preserve"> ANSES/PLA.GOUTTE</v>
      </c>
      <c r="H915" s="20" t="str">
        <f t="shared" si="43"/>
        <v xml:space="preserve">ECRU </v>
      </c>
      <c r="I915" s="20" t="str">
        <f t="shared" si="44"/>
        <v xml:space="preserve">L    </v>
      </c>
    </row>
    <row r="916" spans="1:9">
      <c r="A916" s="17" t="s">
        <v>981</v>
      </c>
      <c r="B916" s="17" t="s">
        <v>994</v>
      </c>
      <c r="C916" s="17" t="s">
        <v>802</v>
      </c>
      <c r="D916" s="17" t="s">
        <v>801</v>
      </c>
      <c r="E916" s="18">
        <v>3005250165018</v>
      </c>
      <c r="G916" s="20" t="str">
        <f t="shared" si="42"/>
        <v xml:space="preserve"> ANSES/PLA.GOUTTE</v>
      </c>
      <c r="H916" s="20" t="str">
        <f t="shared" si="43"/>
        <v xml:space="preserve">ECRU </v>
      </c>
      <c r="I916" s="20" t="str">
        <f t="shared" si="44"/>
        <v xml:space="preserve">M    </v>
      </c>
    </row>
    <row r="917" spans="1:9">
      <c r="A917" s="17" t="s">
        <v>981</v>
      </c>
      <c r="B917" s="17" t="s">
        <v>994</v>
      </c>
      <c r="C917" s="17" t="s">
        <v>803</v>
      </c>
      <c r="D917" s="17" t="s">
        <v>801</v>
      </c>
      <c r="E917" s="18">
        <v>3005250165001</v>
      </c>
      <c r="G917" s="20" t="str">
        <f t="shared" si="42"/>
        <v xml:space="preserve"> ANSES/PLA.GOUTTE</v>
      </c>
      <c r="H917" s="20" t="str">
        <f t="shared" si="43"/>
        <v xml:space="preserve">ECRU </v>
      </c>
      <c r="I917" s="20" t="str">
        <f t="shared" si="44"/>
        <v xml:space="preserve">S    </v>
      </c>
    </row>
    <row r="918" spans="1:9">
      <c r="A918" s="17" t="s">
        <v>981</v>
      </c>
      <c r="B918" s="17" t="s">
        <v>994</v>
      </c>
      <c r="C918" s="17" t="s">
        <v>804</v>
      </c>
      <c r="D918" s="17" t="s">
        <v>801</v>
      </c>
      <c r="E918" s="18">
        <v>3005250165032</v>
      </c>
      <c r="G918" s="20" t="str">
        <f t="shared" si="42"/>
        <v xml:space="preserve"> ANSES/PLA.GOUTTE</v>
      </c>
      <c r="H918" s="20" t="str">
        <f t="shared" si="43"/>
        <v xml:space="preserve">ECRU </v>
      </c>
      <c r="I918" s="20" t="str">
        <f t="shared" si="44"/>
        <v xml:space="preserve">XL   </v>
      </c>
    </row>
    <row r="919" spans="1:9">
      <c r="A919" s="17" t="s">
        <v>981</v>
      </c>
      <c r="B919" s="17" t="s">
        <v>995</v>
      </c>
      <c r="C919" s="17" t="s">
        <v>800</v>
      </c>
      <c r="D919" s="17" t="s">
        <v>801</v>
      </c>
      <c r="E919" s="18">
        <v>3005250572021</v>
      </c>
      <c r="G919" s="20" t="str">
        <f t="shared" si="42"/>
        <v xml:space="preserve"> ANSES/PLA.GOUTTE</v>
      </c>
      <c r="H919" s="20" t="str">
        <f t="shared" si="43"/>
        <v xml:space="preserve">EMER </v>
      </c>
      <c r="I919" s="20" t="str">
        <f t="shared" si="44"/>
        <v xml:space="preserve">L    </v>
      </c>
    </row>
    <row r="920" spans="1:9">
      <c r="A920" s="17" t="s">
        <v>981</v>
      </c>
      <c r="B920" s="17" t="s">
        <v>995</v>
      </c>
      <c r="C920" s="17" t="s">
        <v>802</v>
      </c>
      <c r="D920" s="17" t="s">
        <v>801</v>
      </c>
      <c r="E920" s="18">
        <v>3005250572014</v>
      </c>
      <c r="G920" s="20" t="str">
        <f t="shared" si="42"/>
        <v xml:space="preserve"> ANSES/PLA.GOUTTE</v>
      </c>
      <c r="H920" s="20" t="str">
        <f t="shared" si="43"/>
        <v xml:space="preserve">EMER </v>
      </c>
      <c r="I920" s="20" t="str">
        <f t="shared" si="44"/>
        <v xml:space="preserve">M    </v>
      </c>
    </row>
    <row r="921" spans="1:9">
      <c r="A921" s="17" t="s">
        <v>981</v>
      </c>
      <c r="B921" s="17" t="s">
        <v>995</v>
      </c>
      <c r="C921" s="17" t="s">
        <v>803</v>
      </c>
      <c r="D921" s="17" t="s">
        <v>801</v>
      </c>
      <c r="E921" s="18">
        <v>3005250572007</v>
      </c>
      <c r="G921" s="20" t="str">
        <f t="shared" si="42"/>
        <v xml:space="preserve"> ANSES/PLA.GOUTTE</v>
      </c>
      <c r="H921" s="20" t="str">
        <f t="shared" si="43"/>
        <v xml:space="preserve">EMER </v>
      </c>
      <c r="I921" s="20" t="str">
        <f t="shared" si="44"/>
        <v xml:space="preserve">S    </v>
      </c>
    </row>
    <row r="922" spans="1:9">
      <c r="A922" s="17" t="s">
        <v>981</v>
      </c>
      <c r="B922" s="17" t="s">
        <v>995</v>
      </c>
      <c r="C922" s="17" t="s">
        <v>804</v>
      </c>
      <c r="D922" s="17" t="s">
        <v>801</v>
      </c>
      <c r="E922" s="18">
        <v>3005250572038</v>
      </c>
      <c r="G922" s="20" t="str">
        <f t="shared" si="42"/>
        <v xml:space="preserve"> ANSES/PLA.GOUTTE</v>
      </c>
      <c r="H922" s="20" t="str">
        <f t="shared" si="43"/>
        <v xml:space="preserve">EMER </v>
      </c>
      <c r="I922" s="20" t="str">
        <f t="shared" si="44"/>
        <v xml:space="preserve">XL   </v>
      </c>
    </row>
    <row r="923" spans="1:9">
      <c r="A923" s="17" t="s">
        <v>981</v>
      </c>
      <c r="B923" s="17" t="s">
        <v>996</v>
      </c>
      <c r="C923" s="17" t="s">
        <v>800</v>
      </c>
      <c r="D923" s="17" t="s">
        <v>801</v>
      </c>
      <c r="E923" s="18">
        <v>3005250514021</v>
      </c>
      <c r="G923" s="20" t="str">
        <f t="shared" si="42"/>
        <v xml:space="preserve"> ANSES/PLA.GOUTTE</v>
      </c>
      <c r="H923" s="20" t="str">
        <f t="shared" si="43"/>
        <v xml:space="preserve">FLAM </v>
      </c>
      <c r="I923" s="20" t="str">
        <f t="shared" si="44"/>
        <v xml:space="preserve">L    </v>
      </c>
    </row>
    <row r="924" spans="1:9">
      <c r="A924" s="17" t="s">
        <v>981</v>
      </c>
      <c r="B924" s="17" t="s">
        <v>996</v>
      </c>
      <c r="C924" s="17" t="s">
        <v>802</v>
      </c>
      <c r="D924" s="17" t="s">
        <v>801</v>
      </c>
      <c r="E924" s="18">
        <v>3005250514014</v>
      </c>
      <c r="G924" s="20" t="str">
        <f t="shared" si="42"/>
        <v xml:space="preserve"> ANSES/PLA.GOUTTE</v>
      </c>
      <c r="H924" s="20" t="str">
        <f t="shared" si="43"/>
        <v xml:space="preserve">FLAM </v>
      </c>
      <c r="I924" s="20" t="str">
        <f t="shared" si="44"/>
        <v xml:space="preserve">M    </v>
      </c>
    </row>
    <row r="925" spans="1:9">
      <c r="A925" s="17" t="s">
        <v>981</v>
      </c>
      <c r="B925" s="17" t="s">
        <v>996</v>
      </c>
      <c r="C925" s="17" t="s">
        <v>803</v>
      </c>
      <c r="D925" s="17" t="s">
        <v>801</v>
      </c>
      <c r="E925" s="18">
        <v>3005250514007</v>
      </c>
      <c r="G925" s="20" t="str">
        <f t="shared" si="42"/>
        <v xml:space="preserve"> ANSES/PLA.GOUTTE</v>
      </c>
      <c r="H925" s="20" t="str">
        <f t="shared" si="43"/>
        <v xml:space="preserve">FLAM </v>
      </c>
      <c r="I925" s="20" t="str">
        <f t="shared" si="44"/>
        <v xml:space="preserve">S    </v>
      </c>
    </row>
    <row r="926" spans="1:9">
      <c r="A926" s="17" t="s">
        <v>981</v>
      </c>
      <c r="B926" s="17" t="s">
        <v>996</v>
      </c>
      <c r="C926" s="17" t="s">
        <v>804</v>
      </c>
      <c r="D926" s="17" t="s">
        <v>801</v>
      </c>
      <c r="E926" s="18">
        <v>3005250514038</v>
      </c>
      <c r="G926" s="20" t="str">
        <f t="shared" si="42"/>
        <v xml:space="preserve"> ANSES/PLA.GOUTTE</v>
      </c>
      <c r="H926" s="20" t="str">
        <f t="shared" si="43"/>
        <v xml:space="preserve">FLAM </v>
      </c>
      <c r="I926" s="20" t="str">
        <f t="shared" si="44"/>
        <v xml:space="preserve">XL   </v>
      </c>
    </row>
    <row r="927" spans="1:9">
      <c r="A927" s="17" t="s">
        <v>981</v>
      </c>
      <c r="B927" s="17" t="s">
        <v>997</v>
      </c>
      <c r="C927" s="17" t="s">
        <v>800</v>
      </c>
      <c r="D927" s="17" t="s">
        <v>801</v>
      </c>
      <c r="E927" s="18">
        <v>8056099170430</v>
      </c>
      <c r="G927" s="20" t="str">
        <f t="shared" si="42"/>
        <v xml:space="preserve"> ANSES/PLA.GOUTTE</v>
      </c>
      <c r="H927" s="20" t="str">
        <f t="shared" si="43"/>
        <v>FOUAC</v>
      </c>
      <c r="I927" s="20" t="str">
        <f t="shared" si="44"/>
        <v xml:space="preserve">L    </v>
      </c>
    </row>
    <row r="928" spans="1:9">
      <c r="A928" s="17" t="s">
        <v>981</v>
      </c>
      <c r="B928" s="17" t="s">
        <v>997</v>
      </c>
      <c r="C928" s="17" t="s">
        <v>802</v>
      </c>
      <c r="D928" s="17" t="s">
        <v>801</v>
      </c>
      <c r="E928" s="18">
        <v>3004590921018</v>
      </c>
      <c r="G928" s="20" t="str">
        <f t="shared" si="42"/>
        <v xml:space="preserve"> ANSES/PLA.GOUTTE</v>
      </c>
      <c r="H928" s="20" t="str">
        <f t="shared" si="43"/>
        <v>FOUAC</v>
      </c>
      <c r="I928" s="20" t="str">
        <f t="shared" si="44"/>
        <v xml:space="preserve">M    </v>
      </c>
    </row>
    <row r="929" spans="1:9">
      <c r="A929" s="17" t="s">
        <v>981</v>
      </c>
      <c r="B929" s="17" t="s">
        <v>997</v>
      </c>
      <c r="C929" s="17" t="s">
        <v>803</v>
      </c>
      <c r="D929" s="17" t="s">
        <v>801</v>
      </c>
      <c r="E929" s="18">
        <v>3004590921001</v>
      </c>
      <c r="G929" s="20" t="str">
        <f t="shared" si="42"/>
        <v xml:space="preserve"> ANSES/PLA.GOUTTE</v>
      </c>
      <c r="H929" s="20" t="str">
        <f t="shared" si="43"/>
        <v>FOUAC</v>
      </c>
      <c r="I929" s="20" t="str">
        <f t="shared" si="44"/>
        <v xml:space="preserve">S    </v>
      </c>
    </row>
    <row r="930" spans="1:9">
      <c r="A930" s="17" t="s">
        <v>981</v>
      </c>
      <c r="B930" s="17" t="s">
        <v>997</v>
      </c>
      <c r="C930" s="17" t="s">
        <v>804</v>
      </c>
      <c r="D930" s="17" t="s">
        <v>801</v>
      </c>
      <c r="E930" s="18">
        <v>3004590921032</v>
      </c>
      <c r="G930" s="20" t="str">
        <f t="shared" si="42"/>
        <v xml:space="preserve"> ANSES/PLA.GOUTTE</v>
      </c>
      <c r="H930" s="20" t="str">
        <f t="shared" si="43"/>
        <v>FOUAC</v>
      </c>
      <c r="I930" s="20" t="str">
        <f t="shared" si="44"/>
        <v xml:space="preserve">XL   </v>
      </c>
    </row>
    <row r="931" spans="1:9">
      <c r="A931" s="17" t="s">
        <v>981</v>
      </c>
      <c r="B931" s="17" t="s">
        <v>998</v>
      </c>
      <c r="C931" s="17" t="s">
        <v>800</v>
      </c>
      <c r="D931" s="17" t="s">
        <v>801</v>
      </c>
      <c r="E931" s="18">
        <v>8056099170447</v>
      </c>
      <c r="G931" s="20" t="str">
        <f t="shared" si="42"/>
        <v xml:space="preserve"> ANSES/PLA.GOUTTE</v>
      </c>
      <c r="H931" s="20" t="str">
        <f t="shared" si="43"/>
        <v>FOUBL</v>
      </c>
      <c r="I931" s="20" t="str">
        <f t="shared" si="44"/>
        <v xml:space="preserve">L    </v>
      </c>
    </row>
    <row r="932" spans="1:9">
      <c r="A932" s="17" t="s">
        <v>981</v>
      </c>
      <c r="B932" s="17" t="s">
        <v>998</v>
      </c>
      <c r="C932" s="17" t="s">
        <v>802</v>
      </c>
      <c r="D932" s="17" t="s">
        <v>801</v>
      </c>
      <c r="E932" s="18">
        <v>3004590922015</v>
      </c>
      <c r="G932" s="20" t="str">
        <f t="shared" si="42"/>
        <v xml:space="preserve"> ANSES/PLA.GOUTTE</v>
      </c>
      <c r="H932" s="20" t="str">
        <f t="shared" si="43"/>
        <v>FOUBL</v>
      </c>
      <c r="I932" s="20" t="str">
        <f t="shared" si="44"/>
        <v xml:space="preserve">M    </v>
      </c>
    </row>
    <row r="933" spans="1:9">
      <c r="A933" s="17" t="s">
        <v>981</v>
      </c>
      <c r="B933" s="17" t="s">
        <v>998</v>
      </c>
      <c r="C933" s="17" t="s">
        <v>803</v>
      </c>
      <c r="D933" s="17" t="s">
        <v>801</v>
      </c>
      <c r="E933" s="18">
        <v>3004590922008</v>
      </c>
      <c r="G933" s="20" t="str">
        <f t="shared" si="42"/>
        <v xml:space="preserve"> ANSES/PLA.GOUTTE</v>
      </c>
      <c r="H933" s="20" t="str">
        <f t="shared" si="43"/>
        <v>FOUBL</v>
      </c>
      <c r="I933" s="20" t="str">
        <f t="shared" si="44"/>
        <v xml:space="preserve">S    </v>
      </c>
    </row>
    <row r="934" spans="1:9">
      <c r="A934" s="17" t="s">
        <v>981</v>
      </c>
      <c r="B934" s="17" t="s">
        <v>998</v>
      </c>
      <c r="C934" s="17" t="s">
        <v>804</v>
      </c>
      <c r="D934" s="17" t="s">
        <v>801</v>
      </c>
      <c r="E934" s="18">
        <v>3004590922039</v>
      </c>
      <c r="G934" s="20" t="str">
        <f t="shared" si="42"/>
        <v xml:space="preserve"> ANSES/PLA.GOUTTE</v>
      </c>
      <c r="H934" s="20" t="str">
        <f t="shared" si="43"/>
        <v>FOUBL</v>
      </c>
      <c r="I934" s="20" t="str">
        <f t="shared" si="44"/>
        <v xml:space="preserve">XL   </v>
      </c>
    </row>
    <row r="935" spans="1:9">
      <c r="A935" s="17" t="s">
        <v>981</v>
      </c>
      <c r="B935" s="17" t="s">
        <v>999</v>
      </c>
      <c r="C935" s="17" t="s">
        <v>800</v>
      </c>
      <c r="D935" s="17" t="s">
        <v>801</v>
      </c>
      <c r="E935" s="18">
        <v>8056099170423</v>
      </c>
      <c r="G935" s="20" t="str">
        <f t="shared" si="42"/>
        <v xml:space="preserve"> ANSES/PLA.GOUTTE</v>
      </c>
      <c r="H935" s="20" t="str">
        <f t="shared" si="43"/>
        <v>FOUVE</v>
      </c>
      <c r="I935" s="20" t="str">
        <f t="shared" si="44"/>
        <v xml:space="preserve">L    </v>
      </c>
    </row>
    <row r="936" spans="1:9">
      <c r="A936" s="17" t="s">
        <v>981</v>
      </c>
      <c r="B936" s="17" t="s">
        <v>999</v>
      </c>
      <c r="C936" s="17" t="s">
        <v>800</v>
      </c>
      <c r="D936" s="17" t="s">
        <v>801</v>
      </c>
      <c r="E936" s="18">
        <v>8056099170416</v>
      </c>
      <c r="G936" s="20" t="str">
        <f t="shared" si="42"/>
        <v xml:space="preserve"> ANSES/PLA.GOUTTE</v>
      </c>
      <c r="H936" s="20" t="str">
        <f t="shared" si="43"/>
        <v>FOUVE</v>
      </c>
      <c r="I936" s="20" t="str">
        <f t="shared" si="44"/>
        <v xml:space="preserve">L    </v>
      </c>
    </row>
    <row r="937" spans="1:9">
      <c r="A937" s="17" t="s">
        <v>981</v>
      </c>
      <c r="B937" s="17" t="s">
        <v>999</v>
      </c>
      <c r="C937" s="17" t="s">
        <v>802</v>
      </c>
      <c r="D937" s="17" t="s">
        <v>801</v>
      </c>
      <c r="E937" s="18">
        <v>3004590920011</v>
      </c>
      <c r="G937" s="20" t="str">
        <f t="shared" si="42"/>
        <v xml:space="preserve"> ANSES/PLA.GOUTTE</v>
      </c>
      <c r="H937" s="20" t="str">
        <f t="shared" si="43"/>
        <v>FOUVE</v>
      </c>
      <c r="I937" s="20" t="str">
        <f t="shared" si="44"/>
        <v xml:space="preserve">M    </v>
      </c>
    </row>
    <row r="938" spans="1:9">
      <c r="A938" s="17" t="s">
        <v>981</v>
      </c>
      <c r="B938" s="17" t="s">
        <v>999</v>
      </c>
      <c r="C938" s="17" t="s">
        <v>803</v>
      </c>
      <c r="D938" s="17" t="s">
        <v>801</v>
      </c>
      <c r="E938" s="18">
        <v>3004590920004</v>
      </c>
      <c r="G938" s="20" t="str">
        <f t="shared" si="42"/>
        <v xml:space="preserve"> ANSES/PLA.GOUTTE</v>
      </c>
      <c r="H938" s="20" t="str">
        <f t="shared" si="43"/>
        <v>FOUVE</v>
      </c>
      <c r="I938" s="20" t="str">
        <f t="shared" si="44"/>
        <v xml:space="preserve">S    </v>
      </c>
    </row>
    <row r="939" spans="1:9">
      <c r="A939" s="17" t="s">
        <v>981</v>
      </c>
      <c r="B939" s="17" t="s">
        <v>999</v>
      </c>
      <c r="C939" s="17" t="s">
        <v>804</v>
      </c>
      <c r="D939" s="17" t="s">
        <v>801</v>
      </c>
      <c r="E939" s="18">
        <v>3004590920035</v>
      </c>
      <c r="G939" s="20" t="str">
        <f t="shared" si="42"/>
        <v xml:space="preserve"> ANSES/PLA.GOUTTE</v>
      </c>
      <c r="H939" s="20" t="str">
        <f t="shared" si="43"/>
        <v>FOUVE</v>
      </c>
      <c r="I939" s="20" t="str">
        <f t="shared" si="44"/>
        <v xml:space="preserve">XL   </v>
      </c>
    </row>
    <row r="940" spans="1:9">
      <c r="A940" s="17" t="s">
        <v>981</v>
      </c>
      <c r="B940" s="17" t="s">
        <v>834</v>
      </c>
      <c r="C940" s="17" t="s">
        <v>800</v>
      </c>
      <c r="D940" s="17" t="s">
        <v>801</v>
      </c>
      <c r="E940" s="18">
        <v>3005250498024</v>
      </c>
      <c r="G940" s="20" t="str">
        <f t="shared" si="42"/>
        <v xml:space="preserve"> ANSES/PLA.GOUTTE</v>
      </c>
      <c r="H940" s="20" t="str">
        <f t="shared" si="43"/>
        <v>GOACQ</v>
      </c>
      <c r="I940" s="20" t="str">
        <f t="shared" si="44"/>
        <v xml:space="preserve">L    </v>
      </c>
    </row>
    <row r="941" spans="1:9">
      <c r="A941" s="17" t="s">
        <v>981</v>
      </c>
      <c r="B941" s="17" t="s">
        <v>834</v>
      </c>
      <c r="C941" s="17" t="s">
        <v>802</v>
      </c>
      <c r="D941" s="17" t="s">
        <v>801</v>
      </c>
      <c r="E941" s="18">
        <v>3005250498017</v>
      </c>
      <c r="G941" s="20" t="str">
        <f t="shared" si="42"/>
        <v xml:space="preserve"> ANSES/PLA.GOUTTE</v>
      </c>
      <c r="H941" s="20" t="str">
        <f t="shared" si="43"/>
        <v>GOACQ</v>
      </c>
      <c r="I941" s="20" t="str">
        <f t="shared" si="44"/>
        <v xml:space="preserve">M    </v>
      </c>
    </row>
    <row r="942" spans="1:9">
      <c r="A942" s="17" t="s">
        <v>981</v>
      </c>
      <c r="B942" s="17" t="s">
        <v>834</v>
      </c>
      <c r="C942" s="17" t="s">
        <v>803</v>
      </c>
      <c r="D942" s="17" t="s">
        <v>801</v>
      </c>
      <c r="E942" s="18">
        <v>3005250498000</v>
      </c>
      <c r="G942" s="20" t="str">
        <f t="shared" si="42"/>
        <v xml:space="preserve"> ANSES/PLA.GOUTTE</v>
      </c>
      <c r="H942" s="20" t="str">
        <f t="shared" si="43"/>
        <v>GOACQ</v>
      </c>
      <c r="I942" s="20" t="str">
        <f t="shared" si="44"/>
        <v xml:space="preserve">S    </v>
      </c>
    </row>
    <row r="943" spans="1:9">
      <c r="A943" s="17" t="s">
        <v>981</v>
      </c>
      <c r="B943" s="17" t="s">
        <v>834</v>
      </c>
      <c r="C943" s="17" t="s">
        <v>804</v>
      </c>
      <c r="D943" s="17" t="s">
        <v>801</v>
      </c>
      <c r="E943" s="18">
        <v>3005250498031</v>
      </c>
      <c r="G943" s="20" t="str">
        <f t="shared" si="42"/>
        <v xml:space="preserve"> ANSES/PLA.GOUTTE</v>
      </c>
      <c r="H943" s="20" t="str">
        <f t="shared" si="43"/>
        <v>GOACQ</v>
      </c>
      <c r="I943" s="20" t="str">
        <f t="shared" si="44"/>
        <v xml:space="preserve">XL   </v>
      </c>
    </row>
    <row r="944" spans="1:9">
      <c r="A944" s="17" t="s">
        <v>981</v>
      </c>
      <c r="B944" s="17" t="s">
        <v>835</v>
      </c>
      <c r="C944" s="17" t="s">
        <v>800</v>
      </c>
      <c r="D944" s="17" t="s">
        <v>801</v>
      </c>
      <c r="E944" s="18">
        <v>3005250501021</v>
      </c>
      <c r="G944" s="20" t="str">
        <f t="shared" si="42"/>
        <v xml:space="preserve"> ANSES/PLA.GOUTTE</v>
      </c>
      <c r="H944" s="20" t="str">
        <f t="shared" si="43"/>
        <v>GOICE</v>
      </c>
      <c r="I944" s="20" t="str">
        <f t="shared" si="44"/>
        <v xml:space="preserve">L    </v>
      </c>
    </row>
    <row r="945" spans="1:9">
      <c r="A945" s="17" t="s">
        <v>981</v>
      </c>
      <c r="B945" s="17" t="s">
        <v>835</v>
      </c>
      <c r="C945" s="17" t="s">
        <v>802</v>
      </c>
      <c r="D945" s="17" t="s">
        <v>801</v>
      </c>
      <c r="E945" s="18">
        <v>3005250501014</v>
      </c>
      <c r="G945" s="20" t="str">
        <f t="shared" si="42"/>
        <v xml:space="preserve"> ANSES/PLA.GOUTTE</v>
      </c>
      <c r="H945" s="20" t="str">
        <f t="shared" si="43"/>
        <v>GOICE</v>
      </c>
      <c r="I945" s="20" t="str">
        <f t="shared" si="44"/>
        <v xml:space="preserve">M    </v>
      </c>
    </row>
    <row r="946" spans="1:9">
      <c r="A946" s="17" t="s">
        <v>981</v>
      </c>
      <c r="B946" s="17" t="s">
        <v>835</v>
      </c>
      <c r="C946" s="17" t="s">
        <v>803</v>
      </c>
      <c r="D946" s="17" t="s">
        <v>801</v>
      </c>
      <c r="E946" s="18">
        <v>3005250501007</v>
      </c>
      <c r="G946" s="20" t="str">
        <f t="shared" si="42"/>
        <v xml:space="preserve"> ANSES/PLA.GOUTTE</v>
      </c>
      <c r="H946" s="20" t="str">
        <f t="shared" si="43"/>
        <v>GOICE</v>
      </c>
      <c r="I946" s="20" t="str">
        <f t="shared" si="44"/>
        <v xml:space="preserve">S    </v>
      </c>
    </row>
    <row r="947" spans="1:9">
      <c r="A947" s="17" t="s">
        <v>981</v>
      </c>
      <c r="B947" s="17" t="s">
        <v>835</v>
      </c>
      <c r="C947" s="17" t="s">
        <v>804</v>
      </c>
      <c r="D947" s="17" t="s">
        <v>801</v>
      </c>
      <c r="E947" s="18">
        <v>3005250501038</v>
      </c>
      <c r="G947" s="20" t="str">
        <f t="shared" si="42"/>
        <v xml:space="preserve"> ANSES/PLA.GOUTTE</v>
      </c>
      <c r="H947" s="20" t="str">
        <f t="shared" si="43"/>
        <v>GOICE</v>
      </c>
      <c r="I947" s="20" t="str">
        <f t="shared" si="44"/>
        <v xml:space="preserve">XL   </v>
      </c>
    </row>
    <row r="948" spans="1:9">
      <c r="A948" s="17" t="s">
        <v>981</v>
      </c>
      <c r="B948" s="17" t="s">
        <v>836</v>
      </c>
      <c r="C948" s="17" t="s">
        <v>800</v>
      </c>
      <c r="D948" s="17" t="s">
        <v>801</v>
      </c>
      <c r="E948" s="18">
        <v>3005250502028</v>
      </c>
      <c r="G948" s="20" t="str">
        <f t="shared" si="42"/>
        <v xml:space="preserve"> ANSES/PLA.GOUTTE</v>
      </c>
      <c r="H948" s="20" t="str">
        <f t="shared" si="43"/>
        <v>GOIRI</v>
      </c>
      <c r="I948" s="20" t="str">
        <f t="shared" si="44"/>
        <v xml:space="preserve">L    </v>
      </c>
    </row>
    <row r="949" spans="1:9">
      <c r="A949" s="17" t="s">
        <v>981</v>
      </c>
      <c r="B949" s="17" t="s">
        <v>836</v>
      </c>
      <c r="C949" s="17" t="s">
        <v>802</v>
      </c>
      <c r="D949" s="17" t="s">
        <v>801</v>
      </c>
      <c r="E949" s="18">
        <v>3005250502011</v>
      </c>
      <c r="G949" s="20" t="str">
        <f t="shared" si="42"/>
        <v xml:space="preserve"> ANSES/PLA.GOUTTE</v>
      </c>
      <c r="H949" s="20" t="str">
        <f t="shared" si="43"/>
        <v>GOIRI</v>
      </c>
      <c r="I949" s="20" t="str">
        <f t="shared" si="44"/>
        <v xml:space="preserve">M    </v>
      </c>
    </row>
    <row r="950" spans="1:9">
      <c r="A950" s="17" t="s">
        <v>981</v>
      </c>
      <c r="B950" s="17" t="s">
        <v>836</v>
      </c>
      <c r="C950" s="17" t="s">
        <v>803</v>
      </c>
      <c r="D950" s="17" t="s">
        <v>801</v>
      </c>
      <c r="E950" s="18">
        <v>3005250502004</v>
      </c>
      <c r="G950" s="20" t="str">
        <f t="shared" si="42"/>
        <v xml:space="preserve"> ANSES/PLA.GOUTTE</v>
      </c>
      <c r="H950" s="20" t="str">
        <f t="shared" si="43"/>
        <v>GOIRI</v>
      </c>
      <c r="I950" s="20" t="str">
        <f t="shared" si="44"/>
        <v xml:space="preserve">S    </v>
      </c>
    </row>
    <row r="951" spans="1:9">
      <c r="A951" s="17" t="s">
        <v>981</v>
      </c>
      <c r="B951" s="17" t="s">
        <v>836</v>
      </c>
      <c r="C951" s="17" t="s">
        <v>804</v>
      </c>
      <c r="D951" s="17" t="s">
        <v>801</v>
      </c>
      <c r="E951" s="18">
        <v>3005250502035</v>
      </c>
      <c r="G951" s="20" t="str">
        <f t="shared" si="42"/>
        <v xml:space="preserve"> ANSES/PLA.GOUTTE</v>
      </c>
      <c r="H951" s="20" t="str">
        <f t="shared" si="43"/>
        <v>GOIRI</v>
      </c>
      <c r="I951" s="20" t="str">
        <f t="shared" si="44"/>
        <v xml:space="preserve">XL   </v>
      </c>
    </row>
    <row r="952" spans="1:9">
      <c r="A952" s="17" t="s">
        <v>981</v>
      </c>
      <c r="B952" s="17" t="s">
        <v>1000</v>
      </c>
      <c r="C952" s="17" t="s">
        <v>800</v>
      </c>
      <c r="D952" s="17" t="s">
        <v>801</v>
      </c>
      <c r="E952" s="18">
        <v>3005250508020</v>
      </c>
      <c r="G952" s="20" t="str">
        <f t="shared" si="42"/>
        <v xml:space="preserve"> ANSES/PLA.GOUTTE</v>
      </c>
      <c r="H952" s="20" t="str">
        <f t="shared" si="43"/>
        <v>GOLIM</v>
      </c>
      <c r="I952" s="20" t="str">
        <f t="shared" si="44"/>
        <v xml:space="preserve">L    </v>
      </c>
    </row>
    <row r="953" spans="1:9">
      <c r="A953" s="17" t="s">
        <v>981</v>
      </c>
      <c r="B953" s="17" t="s">
        <v>1000</v>
      </c>
      <c r="C953" s="17" t="s">
        <v>802</v>
      </c>
      <c r="D953" s="17" t="s">
        <v>801</v>
      </c>
      <c r="E953" s="18">
        <v>3005250508013</v>
      </c>
      <c r="G953" s="20" t="str">
        <f t="shared" si="42"/>
        <v xml:space="preserve"> ANSES/PLA.GOUTTE</v>
      </c>
      <c r="H953" s="20" t="str">
        <f t="shared" si="43"/>
        <v>GOLIM</v>
      </c>
      <c r="I953" s="20" t="str">
        <f t="shared" si="44"/>
        <v xml:space="preserve">M    </v>
      </c>
    </row>
    <row r="954" spans="1:9">
      <c r="A954" s="17" t="s">
        <v>981</v>
      </c>
      <c r="B954" s="17" t="s">
        <v>1000</v>
      </c>
      <c r="C954" s="17" t="s">
        <v>803</v>
      </c>
      <c r="D954" s="17" t="s">
        <v>801</v>
      </c>
      <c r="E954" s="18">
        <v>3005250508006</v>
      </c>
      <c r="G954" s="20" t="str">
        <f t="shared" si="42"/>
        <v xml:space="preserve"> ANSES/PLA.GOUTTE</v>
      </c>
      <c r="H954" s="20" t="str">
        <f t="shared" si="43"/>
        <v>GOLIM</v>
      </c>
      <c r="I954" s="20" t="str">
        <f t="shared" si="44"/>
        <v xml:space="preserve">S    </v>
      </c>
    </row>
    <row r="955" spans="1:9">
      <c r="A955" s="17" t="s">
        <v>981</v>
      </c>
      <c r="B955" s="17" t="s">
        <v>1000</v>
      </c>
      <c r="C955" s="17" t="s">
        <v>804</v>
      </c>
      <c r="D955" s="17" t="s">
        <v>801</v>
      </c>
      <c r="E955" s="18">
        <v>3005250508037</v>
      </c>
      <c r="G955" s="20" t="str">
        <f t="shared" si="42"/>
        <v xml:space="preserve"> ANSES/PLA.GOUTTE</v>
      </c>
      <c r="H955" s="20" t="str">
        <f t="shared" si="43"/>
        <v>GOLIM</v>
      </c>
      <c r="I955" s="20" t="str">
        <f t="shared" si="44"/>
        <v xml:space="preserve">XL   </v>
      </c>
    </row>
    <row r="956" spans="1:9">
      <c r="A956" s="17" t="s">
        <v>981</v>
      </c>
      <c r="B956" s="17" t="s">
        <v>837</v>
      </c>
      <c r="C956" s="17" t="s">
        <v>800</v>
      </c>
      <c r="D956" s="17" t="s">
        <v>801</v>
      </c>
      <c r="E956" s="18">
        <v>3005250504022</v>
      </c>
      <c r="G956" s="20" t="str">
        <f t="shared" si="42"/>
        <v xml:space="preserve"> ANSES/PLA.GOUTTE</v>
      </c>
      <c r="H956" s="20" t="str">
        <f t="shared" si="43"/>
        <v>GOMAG</v>
      </c>
      <c r="I956" s="20" t="str">
        <f t="shared" si="44"/>
        <v xml:space="preserve">L    </v>
      </c>
    </row>
    <row r="957" spans="1:9">
      <c r="A957" s="17" t="s">
        <v>981</v>
      </c>
      <c r="B957" s="17" t="s">
        <v>837</v>
      </c>
      <c r="C957" s="17" t="s">
        <v>802</v>
      </c>
      <c r="D957" s="17" t="s">
        <v>801</v>
      </c>
      <c r="E957" s="18">
        <v>3005250504015</v>
      </c>
      <c r="G957" s="20" t="str">
        <f t="shared" si="42"/>
        <v xml:space="preserve"> ANSES/PLA.GOUTTE</v>
      </c>
      <c r="H957" s="20" t="str">
        <f t="shared" si="43"/>
        <v>GOMAG</v>
      </c>
      <c r="I957" s="20" t="str">
        <f t="shared" si="44"/>
        <v xml:space="preserve">M    </v>
      </c>
    </row>
    <row r="958" spans="1:9">
      <c r="A958" s="17" t="s">
        <v>981</v>
      </c>
      <c r="B958" s="17" t="s">
        <v>837</v>
      </c>
      <c r="C958" s="17" t="s">
        <v>803</v>
      </c>
      <c r="D958" s="17" t="s">
        <v>801</v>
      </c>
      <c r="E958" s="18">
        <v>3005250504008</v>
      </c>
      <c r="G958" s="20" t="str">
        <f t="shared" si="42"/>
        <v xml:space="preserve"> ANSES/PLA.GOUTTE</v>
      </c>
      <c r="H958" s="20" t="str">
        <f t="shared" si="43"/>
        <v>GOMAG</v>
      </c>
      <c r="I958" s="20" t="str">
        <f t="shared" si="44"/>
        <v xml:space="preserve">S    </v>
      </c>
    </row>
    <row r="959" spans="1:9">
      <c r="A959" s="17" t="s">
        <v>981</v>
      </c>
      <c r="B959" s="17" t="s">
        <v>837</v>
      </c>
      <c r="C959" s="17" t="s">
        <v>804</v>
      </c>
      <c r="D959" s="17" t="s">
        <v>801</v>
      </c>
      <c r="E959" s="18">
        <v>3005250504039</v>
      </c>
      <c r="G959" s="20" t="str">
        <f t="shared" si="42"/>
        <v xml:space="preserve"> ANSES/PLA.GOUTTE</v>
      </c>
      <c r="H959" s="20" t="str">
        <f t="shared" si="43"/>
        <v>GOMAG</v>
      </c>
      <c r="I959" s="20" t="str">
        <f t="shared" si="44"/>
        <v xml:space="preserve">XL   </v>
      </c>
    </row>
    <row r="960" spans="1:9">
      <c r="A960" s="17" t="s">
        <v>981</v>
      </c>
      <c r="B960" s="17" t="s">
        <v>1001</v>
      </c>
      <c r="C960" s="17" t="s">
        <v>800</v>
      </c>
      <c r="D960" s="17" t="s">
        <v>801</v>
      </c>
      <c r="E960" s="18">
        <v>3005250509027</v>
      </c>
      <c r="G960" s="20" t="str">
        <f t="shared" si="42"/>
        <v xml:space="preserve"> ANSES/PLA.GOUTTE</v>
      </c>
      <c r="H960" s="20" t="str">
        <f t="shared" si="43"/>
        <v>GOPAP</v>
      </c>
      <c r="I960" s="20" t="str">
        <f t="shared" si="44"/>
        <v xml:space="preserve">L    </v>
      </c>
    </row>
    <row r="961" spans="1:9">
      <c r="A961" s="17" t="s">
        <v>981</v>
      </c>
      <c r="B961" s="17" t="s">
        <v>1001</v>
      </c>
      <c r="C961" s="17" t="s">
        <v>802</v>
      </c>
      <c r="D961" s="17" t="s">
        <v>801</v>
      </c>
      <c r="E961" s="18">
        <v>3005250509010</v>
      </c>
      <c r="G961" s="20" t="str">
        <f t="shared" si="42"/>
        <v xml:space="preserve"> ANSES/PLA.GOUTTE</v>
      </c>
      <c r="H961" s="20" t="str">
        <f t="shared" si="43"/>
        <v>GOPAP</v>
      </c>
      <c r="I961" s="20" t="str">
        <f t="shared" si="44"/>
        <v xml:space="preserve">M    </v>
      </c>
    </row>
    <row r="962" spans="1:9">
      <c r="A962" s="17" t="s">
        <v>981</v>
      </c>
      <c r="B962" s="17" t="s">
        <v>1001</v>
      </c>
      <c r="C962" s="17" t="s">
        <v>803</v>
      </c>
      <c r="D962" s="17" t="s">
        <v>801</v>
      </c>
      <c r="E962" s="18">
        <v>3005250509003</v>
      </c>
      <c r="G962" s="20" t="str">
        <f t="shared" si="42"/>
        <v xml:space="preserve"> ANSES/PLA.GOUTTE</v>
      </c>
      <c r="H962" s="20" t="str">
        <f t="shared" si="43"/>
        <v>GOPAP</v>
      </c>
      <c r="I962" s="20" t="str">
        <f t="shared" si="44"/>
        <v xml:space="preserve">S    </v>
      </c>
    </row>
    <row r="963" spans="1:9">
      <c r="A963" s="17" t="s">
        <v>981</v>
      </c>
      <c r="B963" s="17" t="s">
        <v>1001</v>
      </c>
      <c r="C963" s="17" t="s">
        <v>804</v>
      </c>
      <c r="D963" s="17" t="s">
        <v>801</v>
      </c>
      <c r="E963" s="18">
        <v>3005250509034</v>
      </c>
      <c r="G963" s="20" t="str">
        <f t="shared" si="42"/>
        <v xml:space="preserve"> ANSES/PLA.GOUTTE</v>
      </c>
      <c r="H963" s="20" t="str">
        <f t="shared" si="43"/>
        <v>GOPAP</v>
      </c>
      <c r="I963" s="20" t="str">
        <f t="shared" si="44"/>
        <v xml:space="preserve">XL   </v>
      </c>
    </row>
    <row r="964" spans="1:9">
      <c r="A964" s="17" t="s">
        <v>981</v>
      </c>
      <c r="B964" s="17" t="s">
        <v>858</v>
      </c>
      <c r="C964" s="17" t="s">
        <v>800</v>
      </c>
      <c r="D964" s="17" t="s">
        <v>801</v>
      </c>
      <c r="E964" s="18">
        <v>3005250002023</v>
      </c>
      <c r="G964" s="20" t="str">
        <f t="shared" si="42"/>
        <v xml:space="preserve"> ANSES/PLA.GOUTTE</v>
      </c>
      <c r="H964" s="20" t="str">
        <f t="shared" si="43"/>
        <v xml:space="preserve">GREY </v>
      </c>
      <c r="I964" s="20" t="str">
        <f t="shared" si="44"/>
        <v xml:space="preserve">L    </v>
      </c>
    </row>
    <row r="965" spans="1:9">
      <c r="A965" s="17" t="s">
        <v>981</v>
      </c>
      <c r="B965" s="17" t="s">
        <v>858</v>
      </c>
      <c r="C965" s="17" t="s">
        <v>802</v>
      </c>
      <c r="D965" s="17" t="s">
        <v>801</v>
      </c>
      <c r="E965" s="18">
        <v>3005250002016</v>
      </c>
      <c r="G965" s="20" t="str">
        <f t="shared" ref="G965:G1028" si="45">A965</f>
        <v xml:space="preserve"> ANSES/PLA.GOUTTE</v>
      </c>
      <c r="H965" s="20" t="str">
        <f t="shared" ref="H965:H1028" si="46">B965</f>
        <v xml:space="preserve">GREY </v>
      </c>
      <c r="I965" s="20" t="str">
        <f t="shared" ref="I965:I1028" si="47">C965</f>
        <v xml:space="preserve">M    </v>
      </c>
    </row>
    <row r="966" spans="1:9">
      <c r="A966" s="17" t="s">
        <v>981</v>
      </c>
      <c r="B966" s="17" t="s">
        <v>858</v>
      </c>
      <c r="C966" s="17" t="s">
        <v>803</v>
      </c>
      <c r="D966" s="17" t="s">
        <v>801</v>
      </c>
      <c r="E966" s="18">
        <v>3005250002009</v>
      </c>
      <c r="G966" s="20" t="str">
        <f t="shared" si="45"/>
        <v xml:space="preserve"> ANSES/PLA.GOUTTE</v>
      </c>
      <c r="H966" s="20" t="str">
        <f t="shared" si="46"/>
        <v xml:space="preserve">GREY </v>
      </c>
      <c r="I966" s="20" t="str">
        <f t="shared" si="47"/>
        <v xml:space="preserve">S    </v>
      </c>
    </row>
    <row r="967" spans="1:9">
      <c r="A967" s="17" t="s">
        <v>981</v>
      </c>
      <c r="B967" s="17" t="s">
        <v>858</v>
      </c>
      <c r="C967" s="17" t="s">
        <v>804</v>
      </c>
      <c r="D967" s="17" t="s">
        <v>801</v>
      </c>
      <c r="E967" s="18">
        <v>3005250002030</v>
      </c>
      <c r="G967" s="20" t="str">
        <f t="shared" si="45"/>
        <v xml:space="preserve"> ANSES/PLA.GOUTTE</v>
      </c>
      <c r="H967" s="20" t="str">
        <f t="shared" si="46"/>
        <v xml:space="preserve">GREY </v>
      </c>
      <c r="I967" s="20" t="str">
        <f t="shared" si="47"/>
        <v xml:space="preserve">XL   </v>
      </c>
    </row>
    <row r="968" spans="1:9">
      <c r="A968" s="17" t="s">
        <v>981</v>
      </c>
      <c r="B968" s="17" t="s">
        <v>838</v>
      </c>
      <c r="C968" s="17" t="s">
        <v>800</v>
      </c>
      <c r="D968" s="17" t="s">
        <v>801</v>
      </c>
      <c r="E968" s="18">
        <v>3005251023027</v>
      </c>
      <c r="G968" s="20" t="str">
        <f t="shared" si="45"/>
        <v xml:space="preserve"> ANSES/PLA.GOUTTE</v>
      </c>
      <c r="H968" s="20" t="str">
        <f t="shared" si="46"/>
        <v>IVOIR</v>
      </c>
      <c r="I968" s="20" t="str">
        <f t="shared" si="47"/>
        <v xml:space="preserve">L    </v>
      </c>
    </row>
    <row r="969" spans="1:9">
      <c r="A969" s="17" t="s">
        <v>981</v>
      </c>
      <c r="B969" s="17" t="s">
        <v>838</v>
      </c>
      <c r="C969" s="17" t="s">
        <v>802</v>
      </c>
      <c r="D969" s="17" t="s">
        <v>801</v>
      </c>
      <c r="E969" s="18">
        <v>3005251023010</v>
      </c>
      <c r="G969" s="20" t="str">
        <f t="shared" si="45"/>
        <v xml:space="preserve"> ANSES/PLA.GOUTTE</v>
      </c>
      <c r="H969" s="20" t="str">
        <f t="shared" si="46"/>
        <v>IVOIR</v>
      </c>
      <c r="I969" s="20" t="str">
        <f t="shared" si="47"/>
        <v xml:space="preserve">M    </v>
      </c>
    </row>
    <row r="970" spans="1:9">
      <c r="A970" s="17" t="s">
        <v>981</v>
      </c>
      <c r="B970" s="17" t="s">
        <v>838</v>
      </c>
      <c r="C970" s="17" t="s">
        <v>803</v>
      </c>
      <c r="D970" s="17" t="s">
        <v>801</v>
      </c>
      <c r="E970" s="18">
        <v>3005251023003</v>
      </c>
      <c r="G970" s="20" t="str">
        <f t="shared" si="45"/>
        <v xml:space="preserve"> ANSES/PLA.GOUTTE</v>
      </c>
      <c r="H970" s="20" t="str">
        <f t="shared" si="46"/>
        <v>IVOIR</v>
      </c>
      <c r="I970" s="20" t="str">
        <f t="shared" si="47"/>
        <v xml:space="preserve">S    </v>
      </c>
    </row>
    <row r="971" spans="1:9">
      <c r="A971" s="17" t="s">
        <v>981</v>
      </c>
      <c r="B971" s="17" t="s">
        <v>838</v>
      </c>
      <c r="C971" s="17" t="s">
        <v>804</v>
      </c>
      <c r="D971" s="17" t="s">
        <v>801</v>
      </c>
      <c r="E971" s="18">
        <v>3005251023034</v>
      </c>
      <c r="G971" s="20" t="str">
        <f t="shared" si="45"/>
        <v xml:space="preserve"> ANSES/PLA.GOUTTE</v>
      </c>
      <c r="H971" s="20" t="str">
        <f t="shared" si="46"/>
        <v>IVOIR</v>
      </c>
      <c r="I971" s="20" t="str">
        <f t="shared" si="47"/>
        <v xml:space="preserve">XL   </v>
      </c>
    </row>
    <row r="972" spans="1:9">
      <c r="A972" s="17" t="s">
        <v>981</v>
      </c>
      <c r="B972" s="17" t="s">
        <v>1002</v>
      </c>
      <c r="C972" s="17" t="s">
        <v>800</v>
      </c>
      <c r="D972" s="17" t="s">
        <v>801</v>
      </c>
      <c r="E972" s="18">
        <v>3005250513024</v>
      </c>
      <c r="G972" s="20" t="str">
        <f t="shared" si="45"/>
        <v xml:space="preserve"> ANSES/PLA.GOUTTE</v>
      </c>
      <c r="H972" s="20" t="str">
        <f t="shared" si="46"/>
        <v xml:space="preserve">MELA </v>
      </c>
      <c r="I972" s="20" t="str">
        <f t="shared" si="47"/>
        <v xml:space="preserve">L    </v>
      </c>
    </row>
    <row r="973" spans="1:9">
      <c r="A973" s="17" t="s">
        <v>981</v>
      </c>
      <c r="B973" s="17" t="s">
        <v>1002</v>
      </c>
      <c r="C973" s="17" t="s">
        <v>802</v>
      </c>
      <c r="D973" s="17" t="s">
        <v>801</v>
      </c>
      <c r="E973" s="18">
        <v>3005250513017</v>
      </c>
      <c r="G973" s="20" t="str">
        <f t="shared" si="45"/>
        <v xml:space="preserve"> ANSES/PLA.GOUTTE</v>
      </c>
      <c r="H973" s="20" t="str">
        <f t="shared" si="46"/>
        <v xml:space="preserve">MELA </v>
      </c>
      <c r="I973" s="20" t="str">
        <f t="shared" si="47"/>
        <v xml:space="preserve">M    </v>
      </c>
    </row>
    <row r="974" spans="1:9">
      <c r="A974" s="17" t="s">
        <v>981</v>
      </c>
      <c r="B974" s="17" t="s">
        <v>1002</v>
      </c>
      <c r="C974" s="17" t="s">
        <v>803</v>
      </c>
      <c r="D974" s="17" t="s">
        <v>801</v>
      </c>
      <c r="E974" s="18">
        <v>3005250513000</v>
      </c>
      <c r="G974" s="20" t="str">
        <f t="shared" si="45"/>
        <v xml:space="preserve"> ANSES/PLA.GOUTTE</v>
      </c>
      <c r="H974" s="20" t="str">
        <f t="shared" si="46"/>
        <v xml:space="preserve">MELA </v>
      </c>
      <c r="I974" s="20" t="str">
        <f t="shared" si="47"/>
        <v xml:space="preserve">S    </v>
      </c>
    </row>
    <row r="975" spans="1:9">
      <c r="A975" s="17" t="s">
        <v>981</v>
      </c>
      <c r="B975" s="17" t="s">
        <v>1002</v>
      </c>
      <c r="C975" s="17" t="s">
        <v>804</v>
      </c>
      <c r="D975" s="17" t="s">
        <v>801</v>
      </c>
      <c r="E975" s="18">
        <v>3005250513031</v>
      </c>
      <c r="G975" s="20" t="str">
        <f t="shared" si="45"/>
        <v xml:space="preserve"> ANSES/PLA.GOUTTE</v>
      </c>
      <c r="H975" s="20" t="str">
        <f t="shared" si="46"/>
        <v xml:space="preserve">MELA </v>
      </c>
      <c r="I975" s="20" t="str">
        <f t="shared" si="47"/>
        <v xml:space="preserve">XL   </v>
      </c>
    </row>
    <row r="976" spans="1:9">
      <c r="A976" s="17" t="s">
        <v>981</v>
      </c>
      <c r="B976" s="17" t="s">
        <v>1003</v>
      </c>
      <c r="C976" s="17" t="s">
        <v>800</v>
      </c>
      <c r="D976" s="17" t="s">
        <v>801</v>
      </c>
      <c r="E976" s="18">
        <v>3004590919022</v>
      </c>
      <c r="G976" s="20" t="str">
        <f t="shared" si="45"/>
        <v xml:space="preserve"> ANSES/PLA.GOUTTE</v>
      </c>
      <c r="H976" s="20" t="str">
        <f t="shared" si="46"/>
        <v>MOMOB</v>
      </c>
      <c r="I976" s="20" t="str">
        <f t="shared" si="47"/>
        <v xml:space="preserve">L    </v>
      </c>
    </row>
    <row r="977" spans="1:9">
      <c r="A977" s="17" t="s">
        <v>981</v>
      </c>
      <c r="B977" s="17" t="s">
        <v>1003</v>
      </c>
      <c r="C977" s="17" t="s">
        <v>802</v>
      </c>
      <c r="D977" s="17" t="s">
        <v>801</v>
      </c>
      <c r="E977" s="18">
        <v>3004590919015</v>
      </c>
      <c r="G977" s="20" t="str">
        <f t="shared" si="45"/>
        <v xml:space="preserve"> ANSES/PLA.GOUTTE</v>
      </c>
      <c r="H977" s="20" t="str">
        <f t="shared" si="46"/>
        <v>MOMOB</v>
      </c>
      <c r="I977" s="20" t="str">
        <f t="shared" si="47"/>
        <v xml:space="preserve">M    </v>
      </c>
    </row>
    <row r="978" spans="1:9">
      <c r="A978" s="17" t="s">
        <v>981</v>
      </c>
      <c r="B978" s="17" t="s">
        <v>1003</v>
      </c>
      <c r="C978" s="17" t="s">
        <v>803</v>
      </c>
      <c r="D978" s="17" t="s">
        <v>801</v>
      </c>
      <c r="E978" s="18">
        <v>3004590919008</v>
      </c>
      <c r="G978" s="20" t="str">
        <f t="shared" si="45"/>
        <v xml:space="preserve"> ANSES/PLA.GOUTTE</v>
      </c>
      <c r="H978" s="20" t="str">
        <f t="shared" si="46"/>
        <v>MOMOB</v>
      </c>
      <c r="I978" s="20" t="str">
        <f t="shared" si="47"/>
        <v xml:space="preserve">S    </v>
      </c>
    </row>
    <row r="979" spans="1:9">
      <c r="A979" s="17" t="s">
        <v>981</v>
      </c>
      <c r="B979" s="17" t="s">
        <v>1003</v>
      </c>
      <c r="C979" s="17" t="s">
        <v>804</v>
      </c>
      <c r="D979" s="17" t="s">
        <v>801</v>
      </c>
      <c r="E979" s="18">
        <v>3004590919039</v>
      </c>
      <c r="G979" s="20" t="str">
        <f t="shared" si="45"/>
        <v xml:space="preserve"> ANSES/PLA.GOUTTE</v>
      </c>
      <c r="H979" s="20" t="str">
        <f t="shared" si="46"/>
        <v>MOMOB</v>
      </c>
      <c r="I979" s="20" t="str">
        <f t="shared" si="47"/>
        <v xml:space="preserve">XL   </v>
      </c>
    </row>
    <row r="980" spans="1:9">
      <c r="A980" s="17" t="s">
        <v>981</v>
      </c>
      <c r="B980" s="17" t="s">
        <v>1004</v>
      </c>
      <c r="C980" s="17" t="s">
        <v>800</v>
      </c>
      <c r="D980" s="17" t="s">
        <v>801</v>
      </c>
      <c r="E980" s="18">
        <v>8056099170393</v>
      </c>
      <c r="G980" s="20" t="str">
        <f t="shared" si="45"/>
        <v xml:space="preserve"> ANSES/PLA.GOUTTE</v>
      </c>
      <c r="H980" s="20" t="str">
        <f t="shared" si="46"/>
        <v>MOMOP</v>
      </c>
      <c r="I980" s="20" t="str">
        <f t="shared" si="47"/>
        <v xml:space="preserve">L    </v>
      </c>
    </row>
    <row r="981" spans="1:9">
      <c r="A981" s="17" t="s">
        <v>981</v>
      </c>
      <c r="B981" s="17" t="s">
        <v>1004</v>
      </c>
      <c r="C981" s="17" t="s">
        <v>802</v>
      </c>
      <c r="D981" s="17" t="s">
        <v>801</v>
      </c>
      <c r="E981" s="18">
        <v>3004590917011</v>
      </c>
      <c r="G981" s="20" t="str">
        <f t="shared" si="45"/>
        <v xml:space="preserve"> ANSES/PLA.GOUTTE</v>
      </c>
      <c r="H981" s="20" t="str">
        <f t="shared" si="46"/>
        <v>MOMOP</v>
      </c>
      <c r="I981" s="20" t="str">
        <f t="shared" si="47"/>
        <v xml:space="preserve">M    </v>
      </c>
    </row>
    <row r="982" spans="1:9">
      <c r="A982" s="17" t="s">
        <v>981</v>
      </c>
      <c r="B982" s="17" t="s">
        <v>1004</v>
      </c>
      <c r="C982" s="17" t="s">
        <v>803</v>
      </c>
      <c r="D982" s="17" t="s">
        <v>801</v>
      </c>
      <c r="E982" s="18">
        <v>3004590917004</v>
      </c>
      <c r="G982" s="20" t="str">
        <f t="shared" si="45"/>
        <v xml:space="preserve"> ANSES/PLA.GOUTTE</v>
      </c>
      <c r="H982" s="20" t="str">
        <f t="shared" si="46"/>
        <v>MOMOP</v>
      </c>
      <c r="I982" s="20" t="str">
        <f t="shared" si="47"/>
        <v xml:space="preserve">S    </v>
      </c>
    </row>
    <row r="983" spans="1:9">
      <c r="A983" s="17" t="s">
        <v>981</v>
      </c>
      <c r="B983" s="17" t="s">
        <v>1004</v>
      </c>
      <c r="C983" s="17" t="s">
        <v>804</v>
      </c>
      <c r="D983" s="17" t="s">
        <v>801</v>
      </c>
      <c r="E983" s="18">
        <v>3004590917035</v>
      </c>
      <c r="G983" s="20" t="str">
        <f t="shared" si="45"/>
        <v xml:space="preserve"> ANSES/PLA.GOUTTE</v>
      </c>
      <c r="H983" s="20" t="str">
        <f t="shared" si="46"/>
        <v>MOMOP</v>
      </c>
      <c r="I983" s="20" t="str">
        <f t="shared" si="47"/>
        <v xml:space="preserve">XL   </v>
      </c>
    </row>
    <row r="984" spans="1:9">
      <c r="A984" s="17" t="s">
        <v>981</v>
      </c>
      <c r="B984" s="17" t="s">
        <v>1005</v>
      </c>
      <c r="C984" s="17" t="s">
        <v>800</v>
      </c>
      <c r="D984" s="17" t="s">
        <v>801</v>
      </c>
      <c r="E984" s="18">
        <v>8056099170386</v>
      </c>
      <c r="G984" s="20" t="str">
        <f t="shared" si="45"/>
        <v xml:space="preserve"> ANSES/PLA.GOUTTE</v>
      </c>
      <c r="H984" s="20" t="str">
        <f t="shared" si="46"/>
        <v>MOMOR</v>
      </c>
      <c r="I984" s="20" t="str">
        <f t="shared" si="47"/>
        <v xml:space="preserve">L    </v>
      </c>
    </row>
    <row r="985" spans="1:9">
      <c r="A985" s="17" t="s">
        <v>981</v>
      </c>
      <c r="B985" s="17" t="s">
        <v>1005</v>
      </c>
      <c r="C985" s="17" t="s">
        <v>802</v>
      </c>
      <c r="D985" s="17" t="s">
        <v>801</v>
      </c>
      <c r="E985" s="18">
        <v>3004590916014</v>
      </c>
      <c r="G985" s="20" t="str">
        <f t="shared" si="45"/>
        <v xml:space="preserve"> ANSES/PLA.GOUTTE</v>
      </c>
      <c r="H985" s="20" t="str">
        <f t="shared" si="46"/>
        <v>MOMOR</v>
      </c>
      <c r="I985" s="20" t="str">
        <f t="shared" si="47"/>
        <v xml:space="preserve">M    </v>
      </c>
    </row>
    <row r="986" spans="1:9">
      <c r="A986" s="17" t="s">
        <v>981</v>
      </c>
      <c r="B986" s="17" t="s">
        <v>1005</v>
      </c>
      <c r="C986" s="17" t="s">
        <v>803</v>
      </c>
      <c r="D986" s="17" t="s">
        <v>801</v>
      </c>
      <c r="E986" s="18">
        <v>3004590916007</v>
      </c>
      <c r="G986" s="20" t="str">
        <f t="shared" si="45"/>
        <v xml:space="preserve"> ANSES/PLA.GOUTTE</v>
      </c>
      <c r="H986" s="20" t="str">
        <f t="shared" si="46"/>
        <v>MOMOR</v>
      </c>
      <c r="I986" s="20" t="str">
        <f t="shared" si="47"/>
        <v xml:space="preserve">S    </v>
      </c>
    </row>
    <row r="987" spans="1:9">
      <c r="A987" s="17" t="s">
        <v>981</v>
      </c>
      <c r="B987" s="17" t="s">
        <v>1005</v>
      </c>
      <c r="C987" s="17" t="s">
        <v>804</v>
      </c>
      <c r="D987" s="17" t="s">
        <v>801</v>
      </c>
      <c r="E987" s="18">
        <v>3004590916038</v>
      </c>
      <c r="G987" s="20" t="str">
        <f t="shared" si="45"/>
        <v xml:space="preserve"> ANSES/PLA.GOUTTE</v>
      </c>
      <c r="H987" s="20" t="str">
        <f t="shared" si="46"/>
        <v>MOMOR</v>
      </c>
      <c r="I987" s="20" t="str">
        <f t="shared" si="47"/>
        <v xml:space="preserve">XL   </v>
      </c>
    </row>
    <row r="988" spans="1:9">
      <c r="A988" s="17" t="s">
        <v>981</v>
      </c>
      <c r="B988" s="17" t="s">
        <v>1006</v>
      </c>
      <c r="C988" s="17" t="s">
        <v>800</v>
      </c>
      <c r="D988" s="17" t="s">
        <v>801</v>
      </c>
      <c r="E988" s="18">
        <v>8056099170409</v>
      </c>
      <c r="G988" s="20" t="str">
        <f t="shared" si="45"/>
        <v xml:space="preserve"> ANSES/PLA.GOUTTE</v>
      </c>
      <c r="H988" s="20" t="str">
        <f t="shared" si="46"/>
        <v>MOMOV</v>
      </c>
      <c r="I988" s="20" t="str">
        <f t="shared" si="47"/>
        <v xml:space="preserve">L    </v>
      </c>
    </row>
    <row r="989" spans="1:9">
      <c r="A989" s="17" t="s">
        <v>981</v>
      </c>
      <c r="B989" s="17" t="s">
        <v>1006</v>
      </c>
      <c r="C989" s="17" t="s">
        <v>802</v>
      </c>
      <c r="D989" s="17" t="s">
        <v>801</v>
      </c>
      <c r="E989" s="18">
        <v>3004590918018</v>
      </c>
      <c r="G989" s="20" t="str">
        <f t="shared" si="45"/>
        <v xml:space="preserve"> ANSES/PLA.GOUTTE</v>
      </c>
      <c r="H989" s="20" t="str">
        <f t="shared" si="46"/>
        <v>MOMOV</v>
      </c>
      <c r="I989" s="20" t="str">
        <f t="shared" si="47"/>
        <v xml:space="preserve">M    </v>
      </c>
    </row>
    <row r="990" spans="1:9">
      <c r="A990" s="17" t="s">
        <v>981</v>
      </c>
      <c r="B990" s="17" t="s">
        <v>1006</v>
      </c>
      <c r="C990" s="17" t="s">
        <v>803</v>
      </c>
      <c r="D990" s="17" t="s">
        <v>801</v>
      </c>
      <c r="E990" s="18">
        <v>3004590918001</v>
      </c>
      <c r="G990" s="20" t="str">
        <f t="shared" si="45"/>
        <v xml:space="preserve"> ANSES/PLA.GOUTTE</v>
      </c>
      <c r="H990" s="20" t="str">
        <f t="shared" si="46"/>
        <v>MOMOV</v>
      </c>
      <c r="I990" s="20" t="str">
        <f t="shared" si="47"/>
        <v xml:space="preserve">S    </v>
      </c>
    </row>
    <row r="991" spans="1:9">
      <c r="A991" s="17" t="s">
        <v>981</v>
      </c>
      <c r="B991" s="17" t="s">
        <v>1006</v>
      </c>
      <c r="C991" s="17" t="s">
        <v>804</v>
      </c>
      <c r="D991" s="17" t="s">
        <v>801</v>
      </c>
      <c r="E991" s="18">
        <v>3004590918032</v>
      </c>
      <c r="G991" s="20" t="str">
        <f t="shared" si="45"/>
        <v xml:space="preserve"> ANSES/PLA.GOUTTE</v>
      </c>
      <c r="H991" s="20" t="str">
        <f t="shared" si="46"/>
        <v>MOMOV</v>
      </c>
      <c r="I991" s="20" t="str">
        <f t="shared" si="47"/>
        <v xml:space="preserve">XL   </v>
      </c>
    </row>
    <row r="992" spans="1:9">
      <c r="A992" s="17" t="s">
        <v>981</v>
      </c>
      <c r="B992" s="17" t="s">
        <v>859</v>
      </c>
      <c r="C992" s="17" t="s">
        <v>800</v>
      </c>
      <c r="D992" s="17" t="s">
        <v>801</v>
      </c>
      <c r="E992" s="18">
        <v>3005250598021</v>
      </c>
      <c r="G992" s="20" t="str">
        <f t="shared" si="45"/>
        <v xml:space="preserve"> ANSES/PLA.GOUTTE</v>
      </c>
      <c r="H992" s="20" t="str">
        <f t="shared" si="46"/>
        <v>NATUR</v>
      </c>
      <c r="I992" s="20" t="str">
        <f t="shared" si="47"/>
        <v xml:space="preserve">L    </v>
      </c>
    </row>
    <row r="993" spans="1:9">
      <c r="A993" s="17" t="s">
        <v>981</v>
      </c>
      <c r="B993" s="17" t="s">
        <v>859</v>
      </c>
      <c r="C993" s="17" t="s">
        <v>802</v>
      </c>
      <c r="D993" s="17" t="s">
        <v>801</v>
      </c>
      <c r="E993" s="18">
        <v>3005250598014</v>
      </c>
      <c r="G993" s="20" t="str">
        <f t="shared" si="45"/>
        <v xml:space="preserve"> ANSES/PLA.GOUTTE</v>
      </c>
      <c r="H993" s="20" t="str">
        <f t="shared" si="46"/>
        <v>NATUR</v>
      </c>
      <c r="I993" s="20" t="str">
        <f t="shared" si="47"/>
        <v xml:space="preserve">M    </v>
      </c>
    </row>
    <row r="994" spans="1:9">
      <c r="A994" s="17" t="s">
        <v>981</v>
      </c>
      <c r="B994" s="17" t="s">
        <v>859</v>
      </c>
      <c r="C994" s="17" t="s">
        <v>803</v>
      </c>
      <c r="D994" s="17" t="s">
        <v>801</v>
      </c>
      <c r="E994" s="18">
        <v>3005250598007</v>
      </c>
      <c r="G994" s="20" t="str">
        <f t="shared" si="45"/>
        <v xml:space="preserve"> ANSES/PLA.GOUTTE</v>
      </c>
      <c r="H994" s="20" t="str">
        <f t="shared" si="46"/>
        <v>NATUR</v>
      </c>
      <c r="I994" s="20" t="str">
        <f t="shared" si="47"/>
        <v xml:space="preserve">S    </v>
      </c>
    </row>
    <row r="995" spans="1:9">
      <c r="A995" s="17" t="s">
        <v>981</v>
      </c>
      <c r="B995" s="17" t="s">
        <v>859</v>
      </c>
      <c r="C995" s="17" t="s">
        <v>804</v>
      </c>
      <c r="D995" s="17" t="s">
        <v>801</v>
      </c>
      <c r="E995" s="18">
        <v>3005250598038</v>
      </c>
      <c r="G995" s="20" t="str">
        <f t="shared" si="45"/>
        <v xml:space="preserve"> ANSES/PLA.GOUTTE</v>
      </c>
      <c r="H995" s="20" t="str">
        <f t="shared" si="46"/>
        <v>NATUR</v>
      </c>
      <c r="I995" s="20" t="str">
        <f t="shared" si="47"/>
        <v xml:space="preserve">XL   </v>
      </c>
    </row>
    <row r="996" spans="1:9">
      <c r="A996" s="17" t="s">
        <v>981</v>
      </c>
      <c r="B996" s="17" t="s">
        <v>839</v>
      </c>
      <c r="C996" s="17" t="s">
        <v>800</v>
      </c>
      <c r="D996" s="17" t="s">
        <v>801</v>
      </c>
      <c r="E996" s="18">
        <v>3005250613021</v>
      </c>
      <c r="G996" s="20" t="str">
        <f t="shared" si="45"/>
        <v xml:space="preserve"> ANSES/PLA.GOUTTE</v>
      </c>
      <c r="H996" s="20" t="str">
        <f t="shared" si="46"/>
        <v xml:space="preserve">ROSA </v>
      </c>
      <c r="I996" s="20" t="str">
        <f t="shared" si="47"/>
        <v xml:space="preserve">L    </v>
      </c>
    </row>
    <row r="997" spans="1:9">
      <c r="A997" s="17" t="s">
        <v>981</v>
      </c>
      <c r="B997" s="17" t="s">
        <v>839</v>
      </c>
      <c r="C997" s="17" t="s">
        <v>802</v>
      </c>
      <c r="D997" s="17" t="s">
        <v>801</v>
      </c>
      <c r="E997" s="18">
        <v>3005250613014</v>
      </c>
      <c r="G997" s="20" t="str">
        <f t="shared" si="45"/>
        <v xml:space="preserve"> ANSES/PLA.GOUTTE</v>
      </c>
      <c r="H997" s="20" t="str">
        <f t="shared" si="46"/>
        <v xml:space="preserve">ROSA </v>
      </c>
      <c r="I997" s="20" t="str">
        <f t="shared" si="47"/>
        <v xml:space="preserve">M    </v>
      </c>
    </row>
    <row r="998" spans="1:9">
      <c r="A998" s="17" t="s">
        <v>981</v>
      </c>
      <c r="B998" s="17" t="s">
        <v>839</v>
      </c>
      <c r="C998" s="17" t="s">
        <v>803</v>
      </c>
      <c r="D998" s="17" t="s">
        <v>801</v>
      </c>
      <c r="E998" s="18">
        <v>3005250613007</v>
      </c>
      <c r="G998" s="20" t="str">
        <f t="shared" si="45"/>
        <v xml:space="preserve"> ANSES/PLA.GOUTTE</v>
      </c>
      <c r="H998" s="20" t="str">
        <f t="shared" si="46"/>
        <v xml:space="preserve">ROSA </v>
      </c>
      <c r="I998" s="20" t="str">
        <f t="shared" si="47"/>
        <v xml:space="preserve">S    </v>
      </c>
    </row>
    <row r="999" spans="1:9">
      <c r="A999" s="17" t="s">
        <v>981</v>
      </c>
      <c r="B999" s="17" t="s">
        <v>839</v>
      </c>
      <c r="C999" s="17" t="s">
        <v>804</v>
      </c>
      <c r="D999" s="17" t="s">
        <v>801</v>
      </c>
      <c r="E999" s="18">
        <v>3005250613038</v>
      </c>
      <c r="G999" s="20" t="str">
        <f t="shared" si="45"/>
        <v xml:space="preserve"> ANSES/PLA.GOUTTE</v>
      </c>
      <c r="H999" s="20" t="str">
        <f t="shared" si="46"/>
        <v xml:space="preserve">ROSA </v>
      </c>
      <c r="I999" s="20" t="str">
        <f t="shared" si="47"/>
        <v xml:space="preserve">XL   </v>
      </c>
    </row>
    <row r="1000" spans="1:9">
      <c r="A1000" s="17" t="s">
        <v>981</v>
      </c>
      <c r="B1000" s="17" t="s">
        <v>1007</v>
      </c>
      <c r="C1000" s="17" t="s">
        <v>800</v>
      </c>
      <c r="D1000" s="17" t="s">
        <v>801</v>
      </c>
      <c r="E1000" s="18">
        <v>3004590925023</v>
      </c>
      <c r="G1000" s="20" t="str">
        <f t="shared" si="45"/>
        <v xml:space="preserve"> ANSES/PLA.GOUTTE</v>
      </c>
      <c r="H1000" s="20" t="str">
        <f t="shared" si="46"/>
        <v>SACGR</v>
      </c>
      <c r="I1000" s="20" t="str">
        <f t="shared" si="47"/>
        <v xml:space="preserve">L    </v>
      </c>
    </row>
    <row r="1001" spans="1:9">
      <c r="A1001" s="17" t="s">
        <v>981</v>
      </c>
      <c r="B1001" s="17" t="s">
        <v>1007</v>
      </c>
      <c r="C1001" s="17" t="s">
        <v>802</v>
      </c>
      <c r="D1001" s="17" t="s">
        <v>801</v>
      </c>
      <c r="E1001" s="18">
        <v>3004590925016</v>
      </c>
      <c r="G1001" s="20" t="str">
        <f t="shared" si="45"/>
        <v xml:space="preserve"> ANSES/PLA.GOUTTE</v>
      </c>
      <c r="H1001" s="20" t="str">
        <f t="shared" si="46"/>
        <v>SACGR</v>
      </c>
      <c r="I1001" s="20" t="str">
        <f t="shared" si="47"/>
        <v xml:space="preserve">M    </v>
      </c>
    </row>
    <row r="1002" spans="1:9">
      <c r="A1002" s="17" t="s">
        <v>981</v>
      </c>
      <c r="B1002" s="17" t="s">
        <v>1007</v>
      </c>
      <c r="C1002" s="17" t="s">
        <v>803</v>
      </c>
      <c r="D1002" s="17" t="s">
        <v>801</v>
      </c>
      <c r="E1002" s="18">
        <v>8056099170096</v>
      </c>
      <c r="G1002" s="20" t="str">
        <f t="shared" si="45"/>
        <v xml:space="preserve"> ANSES/PLA.GOUTTE</v>
      </c>
      <c r="H1002" s="20" t="str">
        <f t="shared" si="46"/>
        <v>SACGR</v>
      </c>
      <c r="I1002" s="20" t="str">
        <f t="shared" si="47"/>
        <v xml:space="preserve">S    </v>
      </c>
    </row>
    <row r="1003" spans="1:9">
      <c r="A1003" s="17" t="s">
        <v>981</v>
      </c>
      <c r="B1003" s="17" t="s">
        <v>1007</v>
      </c>
      <c r="C1003" s="17" t="s">
        <v>804</v>
      </c>
      <c r="D1003" s="17" t="s">
        <v>801</v>
      </c>
      <c r="E1003" s="18">
        <v>3004590925030</v>
      </c>
      <c r="G1003" s="20" t="str">
        <f t="shared" si="45"/>
        <v xml:space="preserve"> ANSES/PLA.GOUTTE</v>
      </c>
      <c r="H1003" s="20" t="str">
        <f t="shared" si="46"/>
        <v>SACGR</v>
      </c>
      <c r="I1003" s="20" t="str">
        <f t="shared" si="47"/>
        <v xml:space="preserve">XL   </v>
      </c>
    </row>
    <row r="1004" spans="1:9">
      <c r="A1004" s="17" t="s">
        <v>981</v>
      </c>
      <c r="B1004" s="17" t="s">
        <v>1008</v>
      </c>
      <c r="C1004" s="17" t="s">
        <v>800</v>
      </c>
      <c r="D1004" s="17" t="s">
        <v>801</v>
      </c>
      <c r="E1004" s="18">
        <v>3004590924026</v>
      </c>
      <c r="G1004" s="20" t="str">
        <f t="shared" si="45"/>
        <v xml:space="preserve"> ANSES/PLA.GOUTTE</v>
      </c>
      <c r="H1004" s="20" t="str">
        <f t="shared" si="46"/>
        <v>SACTE</v>
      </c>
      <c r="I1004" s="20" t="str">
        <f t="shared" si="47"/>
        <v xml:space="preserve">L    </v>
      </c>
    </row>
    <row r="1005" spans="1:9">
      <c r="A1005" s="17" t="s">
        <v>981</v>
      </c>
      <c r="B1005" s="17" t="s">
        <v>1008</v>
      </c>
      <c r="C1005" s="17" t="s">
        <v>802</v>
      </c>
      <c r="D1005" s="17" t="s">
        <v>801</v>
      </c>
      <c r="E1005" s="18">
        <v>3004590924019</v>
      </c>
      <c r="G1005" s="20" t="str">
        <f t="shared" si="45"/>
        <v xml:space="preserve"> ANSES/PLA.GOUTTE</v>
      </c>
      <c r="H1005" s="20" t="str">
        <f t="shared" si="46"/>
        <v>SACTE</v>
      </c>
      <c r="I1005" s="20" t="str">
        <f t="shared" si="47"/>
        <v xml:space="preserve">M    </v>
      </c>
    </row>
    <row r="1006" spans="1:9">
      <c r="A1006" s="17" t="s">
        <v>981</v>
      </c>
      <c r="B1006" s="17" t="s">
        <v>1008</v>
      </c>
      <c r="C1006" s="17" t="s">
        <v>803</v>
      </c>
      <c r="D1006" s="17" t="s">
        <v>801</v>
      </c>
      <c r="E1006" s="18">
        <v>8056099170089</v>
      </c>
      <c r="G1006" s="20" t="str">
        <f t="shared" si="45"/>
        <v xml:space="preserve"> ANSES/PLA.GOUTTE</v>
      </c>
      <c r="H1006" s="20" t="str">
        <f t="shared" si="46"/>
        <v>SACTE</v>
      </c>
      <c r="I1006" s="20" t="str">
        <f t="shared" si="47"/>
        <v xml:space="preserve">S    </v>
      </c>
    </row>
    <row r="1007" spans="1:9">
      <c r="A1007" s="17" t="s">
        <v>981</v>
      </c>
      <c r="B1007" s="17" t="s">
        <v>1008</v>
      </c>
      <c r="C1007" s="17" t="s">
        <v>804</v>
      </c>
      <c r="D1007" s="17" t="s">
        <v>801</v>
      </c>
      <c r="E1007" s="18">
        <v>3004590924033</v>
      </c>
      <c r="G1007" s="20" t="str">
        <f t="shared" si="45"/>
        <v xml:space="preserve"> ANSES/PLA.GOUTTE</v>
      </c>
      <c r="H1007" s="20" t="str">
        <f t="shared" si="46"/>
        <v>SACTE</v>
      </c>
      <c r="I1007" s="20" t="str">
        <f t="shared" si="47"/>
        <v xml:space="preserve">XL   </v>
      </c>
    </row>
    <row r="1008" spans="1:9">
      <c r="A1008" s="17" t="s">
        <v>981</v>
      </c>
      <c r="B1008" s="17" t="s">
        <v>1009</v>
      </c>
      <c r="C1008" s="17" t="s">
        <v>800</v>
      </c>
      <c r="D1008" s="17" t="s">
        <v>801</v>
      </c>
      <c r="E1008" s="18">
        <v>3005250403028</v>
      </c>
      <c r="G1008" s="20" t="str">
        <f t="shared" si="45"/>
        <v xml:space="preserve"> ANSES/PLA.GOUTTE</v>
      </c>
      <c r="H1008" s="20" t="str">
        <f t="shared" si="46"/>
        <v>SALMO</v>
      </c>
      <c r="I1008" s="20" t="str">
        <f t="shared" si="47"/>
        <v xml:space="preserve">L    </v>
      </c>
    </row>
    <row r="1009" spans="1:9">
      <c r="A1009" s="17" t="s">
        <v>981</v>
      </c>
      <c r="B1009" s="17" t="s">
        <v>1009</v>
      </c>
      <c r="C1009" s="17" t="s">
        <v>802</v>
      </c>
      <c r="D1009" s="17" t="s">
        <v>801</v>
      </c>
      <c r="E1009" s="18">
        <v>3005250403011</v>
      </c>
      <c r="G1009" s="20" t="str">
        <f t="shared" si="45"/>
        <v xml:space="preserve"> ANSES/PLA.GOUTTE</v>
      </c>
      <c r="H1009" s="20" t="str">
        <f t="shared" si="46"/>
        <v>SALMO</v>
      </c>
      <c r="I1009" s="20" t="str">
        <f t="shared" si="47"/>
        <v xml:space="preserve">M    </v>
      </c>
    </row>
    <row r="1010" spans="1:9">
      <c r="A1010" s="17" t="s">
        <v>981</v>
      </c>
      <c r="B1010" s="17" t="s">
        <v>1009</v>
      </c>
      <c r="C1010" s="17" t="s">
        <v>803</v>
      </c>
      <c r="D1010" s="17" t="s">
        <v>801</v>
      </c>
      <c r="E1010" s="18">
        <v>3005250403004</v>
      </c>
      <c r="G1010" s="20" t="str">
        <f t="shared" si="45"/>
        <v xml:space="preserve"> ANSES/PLA.GOUTTE</v>
      </c>
      <c r="H1010" s="20" t="str">
        <f t="shared" si="46"/>
        <v>SALMO</v>
      </c>
      <c r="I1010" s="20" t="str">
        <f t="shared" si="47"/>
        <v xml:space="preserve">S    </v>
      </c>
    </row>
    <row r="1011" spans="1:9">
      <c r="A1011" s="17" t="s">
        <v>981</v>
      </c>
      <c r="B1011" s="17" t="s">
        <v>1009</v>
      </c>
      <c r="C1011" s="17" t="s">
        <v>804</v>
      </c>
      <c r="D1011" s="17" t="s">
        <v>801</v>
      </c>
      <c r="E1011" s="18">
        <v>3005250403035</v>
      </c>
      <c r="G1011" s="20" t="str">
        <f t="shared" si="45"/>
        <v xml:space="preserve"> ANSES/PLA.GOUTTE</v>
      </c>
      <c r="H1011" s="20" t="str">
        <f t="shared" si="46"/>
        <v>SALMO</v>
      </c>
      <c r="I1011" s="20" t="str">
        <f t="shared" si="47"/>
        <v xml:space="preserve">XL   </v>
      </c>
    </row>
    <row r="1012" spans="1:9">
      <c r="A1012" s="17" t="s">
        <v>981</v>
      </c>
      <c r="B1012" s="17" t="s">
        <v>840</v>
      </c>
      <c r="C1012" s="17" t="s">
        <v>800</v>
      </c>
      <c r="D1012" s="17" t="s">
        <v>801</v>
      </c>
      <c r="E1012" s="18">
        <v>3005250134021</v>
      </c>
      <c r="G1012" s="20" t="str">
        <f t="shared" si="45"/>
        <v xml:space="preserve"> ANSES/PLA.GOUTTE</v>
      </c>
      <c r="H1012" s="20" t="str">
        <f t="shared" si="46"/>
        <v>SAUGE</v>
      </c>
      <c r="I1012" s="20" t="str">
        <f t="shared" si="47"/>
        <v xml:space="preserve">L    </v>
      </c>
    </row>
    <row r="1013" spans="1:9">
      <c r="A1013" s="17" t="s">
        <v>981</v>
      </c>
      <c r="B1013" s="17" t="s">
        <v>840</v>
      </c>
      <c r="C1013" s="17" t="s">
        <v>802</v>
      </c>
      <c r="D1013" s="17" t="s">
        <v>801</v>
      </c>
      <c r="E1013" s="18">
        <v>3005250134014</v>
      </c>
      <c r="G1013" s="20" t="str">
        <f t="shared" si="45"/>
        <v xml:space="preserve"> ANSES/PLA.GOUTTE</v>
      </c>
      <c r="H1013" s="20" t="str">
        <f t="shared" si="46"/>
        <v>SAUGE</v>
      </c>
      <c r="I1013" s="20" t="str">
        <f t="shared" si="47"/>
        <v xml:space="preserve">M    </v>
      </c>
    </row>
    <row r="1014" spans="1:9">
      <c r="A1014" s="17" t="s">
        <v>981</v>
      </c>
      <c r="B1014" s="17" t="s">
        <v>840</v>
      </c>
      <c r="C1014" s="17" t="s">
        <v>803</v>
      </c>
      <c r="D1014" s="17" t="s">
        <v>801</v>
      </c>
      <c r="E1014" s="18">
        <v>3005250134007</v>
      </c>
      <c r="G1014" s="20" t="str">
        <f t="shared" si="45"/>
        <v xml:space="preserve"> ANSES/PLA.GOUTTE</v>
      </c>
      <c r="H1014" s="20" t="str">
        <f t="shared" si="46"/>
        <v>SAUGE</v>
      </c>
      <c r="I1014" s="20" t="str">
        <f t="shared" si="47"/>
        <v xml:space="preserve">S    </v>
      </c>
    </row>
    <row r="1015" spans="1:9">
      <c r="A1015" s="17" t="s">
        <v>981</v>
      </c>
      <c r="B1015" s="17" t="s">
        <v>840</v>
      </c>
      <c r="C1015" s="17" t="s">
        <v>804</v>
      </c>
      <c r="D1015" s="17" t="s">
        <v>801</v>
      </c>
      <c r="E1015" s="18">
        <v>3005250134038</v>
      </c>
      <c r="G1015" s="20" t="str">
        <f t="shared" si="45"/>
        <v xml:space="preserve"> ANSES/PLA.GOUTTE</v>
      </c>
      <c r="H1015" s="20" t="str">
        <f t="shared" si="46"/>
        <v>SAUGE</v>
      </c>
      <c r="I1015" s="20" t="str">
        <f t="shared" si="47"/>
        <v xml:space="preserve">XL   </v>
      </c>
    </row>
    <row r="1016" spans="1:9">
      <c r="A1016" s="17" t="s">
        <v>981</v>
      </c>
      <c r="B1016" s="17" t="s">
        <v>1010</v>
      </c>
      <c r="C1016" s="17" t="s">
        <v>800</v>
      </c>
      <c r="D1016" s="17" t="s">
        <v>801</v>
      </c>
      <c r="E1016" s="18">
        <v>3005250495023</v>
      </c>
      <c r="G1016" s="20" t="str">
        <f t="shared" si="45"/>
        <v xml:space="preserve"> ANSES/PLA.GOUTTE</v>
      </c>
      <c r="H1016" s="20" t="str">
        <f t="shared" si="46"/>
        <v>SERBE</v>
      </c>
      <c r="I1016" s="20" t="str">
        <f t="shared" si="47"/>
        <v xml:space="preserve">L    </v>
      </c>
    </row>
    <row r="1017" spans="1:9">
      <c r="A1017" s="17" t="s">
        <v>981</v>
      </c>
      <c r="B1017" s="17" t="s">
        <v>1010</v>
      </c>
      <c r="C1017" s="17" t="s">
        <v>802</v>
      </c>
      <c r="D1017" s="17" t="s">
        <v>801</v>
      </c>
      <c r="E1017" s="18">
        <v>3005250495016</v>
      </c>
      <c r="G1017" s="20" t="str">
        <f t="shared" si="45"/>
        <v xml:space="preserve"> ANSES/PLA.GOUTTE</v>
      </c>
      <c r="H1017" s="20" t="str">
        <f t="shared" si="46"/>
        <v>SERBE</v>
      </c>
      <c r="I1017" s="20" t="str">
        <f t="shared" si="47"/>
        <v xml:space="preserve">M    </v>
      </c>
    </row>
    <row r="1018" spans="1:9">
      <c r="A1018" s="17" t="s">
        <v>981</v>
      </c>
      <c r="B1018" s="17" t="s">
        <v>1010</v>
      </c>
      <c r="C1018" s="17" t="s">
        <v>803</v>
      </c>
      <c r="D1018" s="17" t="s">
        <v>801</v>
      </c>
      <c r="E1018" s="18">
        <v>3005250495009</v>
      </c>
      <c r="G1018" s="20" t="str">
        <f t="shared" si="45"/>
        <v xml:space="preserve"> ANSES/PLA.GOUTTE</v>
      </c>
      <c r="H1018" s="20" t="str">
        <f t="shared" si="46"/>
        <v>SERBE</v>
      </c>
      <c r="I1018" s="20" t="str">
        <f t="shared" si="47"/>
        <v xml:space="preserve">S    </v>
      </c>
    </row>
    <row r="1019" spans="1:9">
      <c r="A1019" s="17" t="s">
        <v>981</v>
      </c>
      <c r="B1019" s="17" t="s">
        <v>1010</v>
      </c>
      <c r="C1019" s="17" t="s">
        <v>804</v>
      </c>
      <c r="D1019" s="17" t="s">
        <v>801</v>
      </c>
      <c r="E1019" s="18">
        <v>3005250495030</v>
      </c>
      <c r="G1019" s="20" t="str">
        <f t="shared" si="45"/>
        <v xml:space="preserve"> ANSES/PLA.GOUTTE</v>
      </c>
      <c r="H1019" s="20" t="str">
        <f t="shared" si="46"/>
        <v>SERBE</v>
      </c>
      <c r="I1019" s="20" t="str">
        <f t="shared" si="47"/>
        <v xml:space="preserve">XL   </v>
      </c>
    </row>
    <row r="1020" spans="1:9">
      <c r="A1020" s="17" t="s">
        <v>981</v>
      </c>
      <c r="B1020" s="17" t="s">
        <v>1011</v>
      </c>
      <c r="C1020" s="17" t="s">
        <v>800</v>
      </c>
      <c r="D1020" s="17" t="s">
        <v>801</v>
      </c>
      <c r="E1020" s="18">
        <v>3005250496020</v>
      </c>
      <c r="G1020" s="20" t="str">
        <f t="shared" si="45"/>
        <v xml:space="preserve"> ANSES/PLA.GOUTTE</v>
      </c>
      <c r="H1020" s="20" t="str">
        <f t="shared" si="46"/>
        <v>SERGR</v>
      </c>
      <c r="I1020" s="20" t="str">
        <f t="shared" si="47"/>
        <v xml:space="preserve">L    </v>
      </c>
    </row>
    <row r="1021" spans="1:9">
      <c r="A1021" s="17" t="s">
        <v>981</v>
      </c>
      <c r="B1021" s="17" t="s">
        <v>1011</v>
      </c>
      <c r="C1021" s="17" t="s">
        <v>802</v>
      </c>
      <c r="D1021" s="17" t="s">
        <v>801</v>
      </c>
      <c r="E1021" s="18">
        <v>3005250496013</v>
      </c>
      <c r="G1021" s="20" t="str">
        <f t="shared" si="45"/>
        <v xml:space="preserve"> ANSES/PLA.GOUTTE</v>
      </c>
      <c r="H1021" s="20" t="str">
        <f t="shared" si="46"/>
        <v>SERGR</v>
      </c>
      <c r="I1021" s="20" t="str">
        <f t="shared" si="47"/>
        <v xml:space="preserve">M    </v>
      </c>
    </row>
    <row r="1022" spans="1:9">
      <c r="A1022" s="17" t="s">
        <v>981</v>
      </c>
      <c r="B1022" s="17" t="s">
        <v>1011</v>
      </c>
      <c r="C1022" s="17" t="s">
        <v>803</v>
      </c>
      <c r="D1022" s="17" t="s">
        <v>801</v>
      </c>
      <c r="E1022" s="18">
        <v>3005250496006</v>
      </c>
      <c r="G1022" s="20" t="str">
        <f t="shared" si="45"/>
        <v xml:space="preserve"> ANSES/PLA.GOUTTE</v>
      </c>
      <c r="H1022" s="20" t="str">
        <f t="shared" si="46"/>
        <v>SERGR</v>
      </c>
      <c r="I1022" s="20" t="str">
        <f t="shared" si="47"/>
        <v xml:space="preserve">S    </v>
      </c>
    </row>
    <row r="1023" spans="1:9">
      <c r="A1023" s="17" t="s">
        <v>981</v>
      </c>
      <c r="B1023" s="17" t="s">
        <v>1011</v>
      </c>
      <c r="C1023" s="17" t="s">
        <v>804</v>
      </c>
      <c r="D1023" s="17" t="s">
        <v>801</v>
      </c>
      <c r="E1023" s="18">
        <v>3005250496037</v>
      </c>
      <c r="G1023" s="20" t="str">
        <f t="shared" si="45"/>
        <v xml:space="preserve"> ANSES/PLA.GOUTTE</v>
      </c>
      <c r="H1023" s="20" t="str">
        <f t="shared" si="46"/>
        <v>SERGR</v>
      </c>
      <c r="I1023" s="20" t="str">
        <f t="shared" si="47"/>
        <v xml:space="preserve">XL   </v>
      </c>
    </row>
    <row r="1024" spans="1:9">
      <c r="A1024" s="17" t="s">
        <v>981</v>
      </c>
      <c r="B1024" s="17" t="s">
        <v>1012</v>
      </c>
      <c r="C1024" s="17" t="s">
        <v>800</v>
      </c>
      <c r="D1024" s="17" t="s">
        <v>801</v>
      </c>
      <c r="E1024" s="18">
        <v>3005250497027</v>
      </c>
      <c r="G1024" s="20" t="str">
        <f t="shared" si="45"/>
        <v xml:space="preserve"> ANSES/PLA.GOUTTE</v>
      </c>
      <c r="H1024" s="20" t="str">
        <f t="shared" si="46"/>
        <v>SEROR</v>
      </c>
      <c r="I1024" s="20" t="str">
        <f t="shared" si="47"/>
        <v xml:space="preserve">L    </v>
      </c>
    </row>
    <row r="1025" spans="1:9">
      <c r="A1025" s="17" t="s">
        <v>981</v>
      </c>
      <c r="B1025" s="17" t="s">
        <v>1012</v>
      </c>
      <c r="C1025" s="17" t="s">
        <v>802</v>
      </c>
      <c r="D1025" s="17" t="s">
        <v>801</v>
      </c>
      <c r="E1025" s="18">
        <v>3005250497010</v>
      </c>
      <c r="G1025" s="20" t="str">
        <f t="shared" si="45"/>
        <v xml:space="preserve"> ANSES/PLA.GOUTTE</v>
      </c>
      <c r="H1025" s="20" t="str">
        <f t="shared" si="46"/>
        <v>SEROR</v>
      </c>
      <c r="I1025" s="20" t="str">
        <f t="shared" si="47"/>
        <v xml:space="preserve">M    </v>
      </c>
    </row>
    <row r="1026" spans="1:9">
      <c r="A1026" s="17" t="s">
        <v>981</v>
      </c>
      <c r="B1026" s="17" t="s">
        <v>1012</v>
      </c>
      <c r="C1026" s="17" t="s">
        <v>803</v>
      </c>
      <c r="D1026" s="17" t="s">
        <v>801</v>
      </c>
      <c r="E1026" s="18">
        <v>3005250497003</v>
      </c>
      <c r="G1026" s="20" t="str">
        <f t="shared" si="45"/>
        <v xml:space="preserve"> ANSES/PLA.GOUTTE</v>
      </c>
      <c r="H1026" s="20" t="str">
        <f t="shared" si="46"/>
        <v>SEROR</v>
      </c>
      <c r="I1026" s="20" t="str">
        <f t="shared" si="47"/>
        <v xml:space="preserve">S    </v>
      </c>
    </row>
    <row r="1027" spans="1:9">
      <c r="A1027" s="17" t="s">
        <v>981</v>
      </c>
      <c r="B1027" s="17" t="s">
        <v>1012</v>
      </c>
      <c r="C1027" s="17" t="s">
        <v>804</v>
      </c>
      <c r="D1027" s="17" t="s">
        <v>801</v>
      </c>
      <c r="E1027" s="18">
        <v>3005250497034</v>
      </c>
      <c r="G1027" s="20" t="str">
        <f t="shared" si="45"/>
        <v xml:space="preserve"> ANSES/PLA.GOUTTE</v>
      </c>
      <c r="H1027" s="20" t="str">
        <f t="shared" si="46"/>
        <v>SEROR</v>
      </c>
      <c r="I1027" s="20" t="str">
        <f t="shared" si="47"/>
        <v xml:space="preserve">XL   </v>
      </c>
    </row>
    <row r="1028" spans="1:9">
      <c r="A1028" s="17" t="s">
        <v>981</v>
      </c>
      <c r="B1028" s="17" t="s">
        <v>919</v>
      </c>
      <c r="C1028" s="17" t="s">
        <v>800</v>
      </c>
      <c r="D1028" s="17" t="s">
        <v>801</v>
      </c>
      <c r="E1028" s="18">
        <v>3005251178024</v>
      </c>
      <c r="G1028" s="20" t="str">
        <f t="shared" si="45"/>
        <v xml:space="preserve"> ANSES/PLA.GOUTTE</v>
      </c>
      <c r="H1028" s="20" t="str">
        <f t="shared" si="46"/>
        <v>TESTA</v>
      </c>
      <c r="I1028" s="20" t="str">
        <f t="shared" si="47"/>
        <v xml:space="preserve">L    </v>
      </c>
    </row>
    <row r="1029" spans="1:9">
      <c r="A1029" s="17" t="s">
        <v>981</v>
      </c>
      <c r="B1029" s="17" t="s">
        <v>919</v>
      </c>
      <c r="C1029" s="17" t="s">
        <v>802</v>
      </c>
      <c r="D1029" s="17" t="s">
        <v>801</v>
      </c>
      <c r="E1029" s="18">
        <v>3005251178017</v>
      </c>
      <c r="G1029" s="20" t="str">
        <f t="shared" ref="G1029:G1092" si="48">A1029</f>
        <v xml:space="preserve"> ANSES/PLA.GOUTTE</v>
      </c>
      <c r="H1029" s="20" t="str">
        <f t="shared" ref="H1029:H1092" si="49">B1029</f>
        <v>TESTA</v>
      </c>
      <c r="I1029" s="20" t="str">
        <f t="shared" ref="I1029:I1092" si="50">C1029</f>
        <v xml:space="preserve">M    </v>
      </c>
    </row>
    <row r="1030" spans="1:9">
      <c r="A1030" s="17" t="s">
        <v>981</v>
      </c>
      <c r="B1030" s="17" t="s">
        <v>919</v>
      </c>
      <c r="C1030" s="17" t="s">
        <v>803</v>
      </c>
      <c r="D1030" s="17" t="s">
        <v>801</v>
      </c>
      <c r="E1030" s="18">
        <v>3005251178000</v>
      </c>
      <c r="G1030" s="20" t="str">
        <f t="shared" si="48"/>
        <v xml:space="preserve"> ANSES/PLA.GOUTTE</v>
      </c>
      <c r="H1030" s="20" t="str">
        <f t="shared" si="49"/>
        <v>TESTA</v>
      </c>
      <c r="I1030" s="20" t="str">
        <f t="shared" si="50"/>
        <v xml:space="preserve">S    </v>
      </c>
    </row>
    <row r="1031" spans="1:9">
      <c r="A1031" s="17" t="s">
        <v>981</v>
      </c>
      <c r="B1031" s="17" t="s">
        <v>919</v>
      </c>
      <c r="C1031" s="17" t="s">
        <v>804</v>
      </c>
      <c r="D1031" s="17" t="s">
        <v>801</v>
      </c>
      <c r="E1031" s="18">
        <v>3005251178031</v>
      </c>
      <c r="G1031" s="20" t="str">
        <f t="shared" si="48"/>
        <v xml:space="preserve"> ANSES/PLA.GOUTTE</v>
      </c>
      <c r="H1031" s="20" t="str">
        <f t="shared" si="49"/>
        <v>TESTA</v>
      </c>
      <c r="I1031" s="20" t="str">
        <f t="shared" si="50"/>
        <v xml:space="preserve">XL   </v>
      </c>
    </row>
    <row r="1032" spans="1:9">
      <c r="A1032" s="17" t="s">
        <v>981</v>
      </c>
      <c r="B1032" s="17" t="s">
        <v>1013</v>
      </c>
      <c r="C1032" s="17" t="s">
        <v>800</v>
      </c>
      <c r="D1032" s="17" t="s">
        <v>801</v>
      </c>
      <c r="E1032" s="18">
        <v>3005250625024</v>
      </c>
      <c r="G1032" s="20" t="str">
        <f t="shared" si="48"/>
        <v xml:space="preserve"> ANSES/PLA.GOUTTE</v>
      </c>
      <c r="H1032" s="20" t="str">
        <f t="shared" si="49"/>
        <v xml:space="preserve">TURQ </v>
      </c>
      <c r="I1032" s="20" t="str">
        <f t="shared" si="50"/>
        <v xml:space="preserve">L    </v>
      </c>
    </row>
    <row r="1033" spans="1:9">
      <c r="A1033" s="17" t="s">
        <v>981</v>
      </c>
      <c r="B1033" s="17" t="s">
        <v>1013</v>
      </c>
      <c r="C1033" s="17" t="s">
        <v>802</v>
      </c>
      <c r="D1033" s="17" t="s">
        <v>801</v>
      </c>
      <c r="E1033" s="18">
        <v>3005250625017</v>
      </c>
      <c r="G1033" s="20" t="str">
        <f t="shared" si="48"/>
        <v xml:space="preserve"> ANSES/PLA.GOUTTE</v>
      </c>
      <c r="H1033" s="20" t="str">
        <f t="shared" si="49"/>
        <v xml:space="preserve">TURQ </v>
      </c>
      <c r="I1033" s="20" t="str">
        <f t="shared" si="50"/>
        <v xml:space="preserve">M    </v>
      </c>
    </row>
    <row r="1034" spans="1:9">
      <c r="A1034" s="17" t="s">
        <v>981</v>
      </c>
      <c r="B1034" s="17" t="s">
        <v>1013</v>
      </c>
      <c r="C1034" s="17" t="s">
        <v>803</v>
      </c>
      <c r="D1034" s="17" t="s">
        <v>801</v>
      </c>
      <c r="E1034" s="18">
        <v>3005250625000</v>
      </c>
      <c r="G1034" s="20" t="str">
        <f t="shared" si="48"/>
        <v xml:space="preserve"> ANSES/PLA.GOUTTE</v>
      </c>
      <c r="H1034" s="20" t="str">
        <f t="shared" si="49"/>
        <v xml:space="preserve">TURQ </v>
      </c>
      <c r="I1034" s="20" t="str">
        <f t="shared" si="50"/>
        <v xml:space="preserve">S    </v>
      </c>
    </row>
    <row r="1035" spans="1:9">
      <c r="A1035" s="17" t="s">
        <v>981</v>
      </c>
      <c r="B1035" s="17" t="s">
        <v>1013</v>
      </c>
      <c r="C1035" s="17" t="s">
        <v>804</v>
      </c>
      <c r="D1035" s="17" t="s">
        <v>801</v>
      </c>
      <c r="E1035" s="18">
        <v>3005250625031</v>
      </c>
      <c r="G1035" s="20" t="str">
        <f t="shared" si="48"/>
        <v xml:space="preserve"> ANSES/PLA.GOUTTE</v>
      </c>
      <c r="H1035" s="20" t="str">
        <f t="shared" si="49"/>
        <v xml:space="preserve">TURQ </v>
      </c>
      <c r="I1035" s="20" t="str">
        <f t="shared" si="50"/>
        <v xml:space="preserve">XL   </v>
      </c>
    </row>
    <row r="1036" spans="1:9">
      <c r="A1036" s="17" t="s">
        <v>981</v>
      </c>
      <c r="B1036" s="17" t="s">
        <v>920</v>
      </c>
      <c r="C1036" s="17" t="s">
        <v>800</v>
      </c>
      <c r="D1036" s="17" t="s">
        <v>801</v>
      </c>
      <c r="E1036" s="18">
        <v>3005250220021</v>
      </c>
      <c r="G1036" s="20" t="str">
        <f t="shared" si="48"/>
        <v xml:space="preserve"> ANSES/PLA.GOUTTE</v>
      </c>
      <c r="H1036" s="20" t="str">
        <f t="shared" si="49"/>
        <v>VERBL</v>
      </c>
      <c r="I1036" s="20" t="str">
        <f t="shared" si="50"/>
        <v xml:space="preserve">L    </v>
      </c>
    </row>
    <row r="1037" spans="1:9">
      <c r="A1037" s="17" t="s">
        <v>981</v>
      </c>
      <c r="B1037" s="17" t="s">
        <v>920</v>
      </c>
      <c r="C1037" s="17" t="s">
        <v>802</v>
      </c>
      <c r="D1037" s="17" t="s">
        <v>801</v>
      </c>
      <c r="E1037" s="18">
        <v>3005250220014</v>
      </c>
      <c r="G1037" s="20" t="str">
        <f t="shared" si="48"/>
        <v xml:space="preserve"> ANSES/PLA.GOUTTE</v>
      </c>
      <c r="H1037" s="20" t="str">
        <f t="shared" si="49"/>
        <v>VERBL</v>
      </c>
      <c r="I1037" s="20" t="str">
        <f t="shared" si="50"/>
        <v xml:space="preserve">M    </v>
      </c>
    </row>
    <row r="1038" spans="1:9">
      <c r="A1038" s="17" t="s">
        <v>981</v>
      </c>
      <c r="B1038" s="17" t="s">
        <v>920</v>
      </c>
      <c r="C1038" s="17" t="s">
        <v>803</v>
      </c>
      <c r="D1038" s="17" t="s">
        <v>801</v>
      </c>
      <c r="E1038" s="18">
        <v>3005250220007</v>
      </c>
      <c r="G1038" s="20" t="str">
        <f t="shared" si="48"/>
        <v xml:space="preserve"> ANSES/PLA.GOUTTE</v>
      </c>
      <c r="H1038" s="20" t="str">
        <f t="shared" si="49"/>
        <v>VERBL</v>
      </c>
      <c r="I1038" s="20" t="str">
        <f t="shared" si="50"/>
        <v xml:space="preserve">S    </v>
      </c>
    </row>
    <row r="1039" spans="1:9">
      <c r="A1039" s="17" t="s">
        <v>981</v>
      </c>
      <c r="B1039" s="17" t="s">
        <v>920</v>
      </c>
      <c r="C1039" s="17" t="s">
        <v>804</v>
      </c>
      <c r="D1039" s="17" t="s">
        <v>801</v>
      </c>
      <c r="E1039" s="18">
        <v>3005250220038</v>
      </c>
      <c r="G1039" s="20" t="str">
        <f t="shared" si="48"/>
        <v xml:space="preserve"> ANSES/PLA.GOUTTE</v>
      </c>
      <c r="H1039" s="20" t="str">
        <f t="shared" si="49"/>
        <v>VERBL</v>
      </c>
      <c r="I1039" s="20" t="str">
        <f t="shared" si="50"/>
        <v xml:space="preserve">XL   </v>
      </c>
    </row>
    <row r="1040" spans="1:9">
      <c r="A1040" s="17" t="s">
        <v>981</v>
      </c>
      <c r="B1040" s="17" t="s">
        <v>1014</v>
      </c>
      <c r="C1040" s="17" t="s">
        <v>800</v>
      </c>
      <c r="D1040" s="17" t="s">
        <v>801</v>
      </c>
      <c r="E1040" s="18">
        <v>3005250369027</v>
      </c>
      <c r="G1040" s="20" t="str">
        <f t="shared" si="48"/>
        <v xml:space="preserve"> ANSES/PLA.GOUTTE</v>
      </c>
      <c r="H1040" s="20" t="str">
        <f t="shared" si="49"/>
        <v>VERBO</v>
      </c>
      <c r="I1040" s="20" t="str">
        <f t="shared" si="50"/>
        <v xml:space="preserve">L    </v>
      </c>
    </row>
    <row r="1041" spans="1:9">
      <c r="A1041" s="17" t="s">
        <v>981</v>
      </c>
      <c r="B1041" s="17" t="s">
        <v>1014</v>
      </c>
      <c r="C1041" s="17" t="s">
        <v>802</v>
      </c>
      <c r="D1041" s="17" t="s">
        <v>801</v>
      </c>
      <c r="E1041" s="18">
        <v>3005250369010</v>
      </c>
      <c r="G1041" s="20" t="str">
        <f t="shared" si="48"/>
        <v xml:space="preserve"> ANSES/PLA.GOUTTE</v>
      </c>
      <c r="H1041" s="20" t="str">
        <f t="shared" si="49"/>
        <v>VERBO</v>
      </c>
      <c r="I1041" s="20" t="str">
        <f t="shared" si="50"/>
        <v xml:space="preserve">M    </v>
      </c>
    </row>
    <row r="1042" spans="1:9">
      <c r="A1042" s="17" t="s">
        <v>981</v>
      </c>
      <c r="B1042" s="17" t="s">
        <v>1014</v>
      </c>
      <c r="C1042" s="17" t="s">
        <v>803</v>
      </c>
      <c r="D1042" s="17" t="s">
        <v>801</v>
      </c>
      <c r="E1042" s="18">
        <v>3005250369003</v>
      </c>
      <c r="G1042" s="20" t="str">
        <f t="shared" si="48"/>
        <v xml:space="preserve"> ANSES/PLA.GOUTTE</v>
      </c>
      <c r="H1042" s="20" t="str">
        <f t="shared" si="49"/>
        <v>VERBO</v>
      </c>
      <c r="I1042" s="20" t="str">
        <f t="shared" si="50"/>
        <v xml:space="preserve">S    </v>
      </c>
    </row>
    <row r="1043" spans="1:9">
      <c r="A1043" s="17" t="s">
        <v>981</v>
      </c>
      <c r="B1043" s="17" t="s">
        <v>1014</v>
      </c>
      <c r="C1043" s="17" t="s">
        <v>804</v>
      </c>
      <c r="D1043" s="17" t="s">
        <v>801</v>
      </c>
      <c r="E1043" s="18">
        <v>3005250369034</v>
      </c>
      <c r="G1043" s="20" t="str">
        <f t="shared" si="48"/>
        <v xml:space="preserve"> ANSES/PLA.GOUTTE</v>
      </c>
      <c r="H1043" s="20" t="str">
        <f t="shared" si="49"/>
        <v>VERBO</v>
      </c>
      <c r="I1043" s="20" t="str">
        <f t="shared" si="50"/>
        <v xml:space="preserve">XL   </v>
      </c>
    </row>
    <row r="1044" spans="1:9">
      <c r="A1044" s="17" t="s">
        <v>981</v>
      </c>
      <c r="B1044" s="17" t="s">
        <v>1015</v>
      </c>
      <c r="C1044" s="17" t="s">
        <v>800</v>
      </c>
      <c r="D1044" s="17" t="s">
        <v>801</v>
      </c>
      <c r="E1044" s="18">
        <v>3005250515028</v>
      </c>
      <c r="G1044" s="20" t="str">
        <f t="shared" si="48"/>
        <v xml:space="preserve"> ANSES/PLA.GOUTTE</v>
      </c>
      <c r="H1044" s="20" t="str">
        <f t="shared" si="49"/>
        <v>VERCO</v>
      </c>
      <c r="I1044" s="20" t="str">
        <f t="shared" si="50"/>
        <v xml:space="preserve">L    </v>
      </c>
    </row>
    <row r="1045" spans="1:9">
      <c r="A1045" s="17" t="s">
        <v>981</v>
      </c>
      <c r="B1045" s="17" t="s">
        <v>1015</v>
      </c>
      <c r="C1045" s="17" t="s">
        <v>802</v>
      </c>
      <c r="D1045" s="17" t="s">
        <v>801</v>
      </c>
      <c r="E1045" s="18">
        <v>3005250515011</v>
      </c>
      <c r="G1045" s="20" t="str">
        <f t="shared" si="48"/>
        <v xml:space="preserve"> ANSES/PLA.GOUTTE</v>
      </c>
      <c r="H1045" s="20" t="str">
        <f t="shared" si="49"/>
        <v>VERCO</v>
      </c>
      <c r="I1045" s="20" t="str">
        <f t="shared" si="50"/>
        <v xml:space="preserve">M    </v>
      </c>
    </row>
    <row r="1046" spans="1:9">
      <c r="A1046" s="17" t="s">
        <v>981</v>
      </c>
      <c r="B1046" s="17" t="s">
        <v>1015</v>
      </c>
      <c r="C1046" s="17" t="s">
        <v>803</v>
      </c>
      <c r="D1046" s="17" t="s">
        <v>801</v>
      </c>
      <c r="E1046" s="18">
        <v>3005250515004</v>
      </c>
      <c r="G1046" s="20" t="str">
        <f t="shared" si="48"/>
        <v xml:space="preserve"> ANSES/PLA.GOUTTE</v>
      </c>
      <c r="H1046" s="20" t="str">
        <f t="shared" si="49"/>
        <v>VERCO</v>
      </c>
      <c r="I1046" s="20" t="str">
        <f t="shared" si="50"/>
        <v xml:space="preserve">S    </v>
      </c>
    </row>
    <row r="1047" spans="1:9">
      <c r="A1047" s="17" t="s">
        <v>981</v>
      </c>
      <c r="B1047" s="17" t="s">
        <v>1015</v>
      </c>
      <c r="C1047" s="17" t="s">
        <v>804</v>
      </c>
      <c r="D1047" s="17" t="s">
        <v>801</v>
      </c>
      <c r="E1047" s="18">
        <v>3005250515035</v>
      </c>
      <c r="G1047" s="20" t="str">
        <f t="shared" si="48"/>
        <v xml:space="preserve"> ANSES/PLA.GOUTTE</v>
      </c>
      <c r="H1047" s="20" t="str">
        <f t="shared" si="49"/>
        <v>VERCO</v>
      </c>
      <c r="I1047" s="20" t="str">
        <f t="shared" si="50"/>
        <v xml:space="preserve">XL   </v>
      </c>
    </row>
    <row r="1048" spans="1:9">
      <c r="A1048" s="17" t="s">
        <v>981</v>
      </c>
      <c r="B1048" s="17" t="s">
        <v>1016</v>
      </c>
      <c r="C1048" s="17" t="s">
        <v>800</v>
      </c>
      <c r="D1048" s="17" t="s">
        <v>801</v>
      </c>
      <c r="E1048" s="18">
        <v>3005250370023</v>
      </c>
      <c r="G1048" s="20" t="str">
        <f t="shared" si="48"/>
        <v xml:space="preserve"> ANSES/PLA.GOUTTE</v>
      </c>
      <c r="H1048" s="20" t="str">
        <f t="shared" si="49"/>
        <v>VERMA</v>
      </c>
      <c r="I1048" s="20" t="str">
        <f t="shared" si="50"/>
        <v xml:space="preserve">L    </v>
      </c>
    </row>
    <row r="1049" spans="1:9">
      <c r="A1049" s="17" t="s">
        <v>981</v>
      </c>
      <c r="B1049" s="17" t="s">
        <v>1016</v>
      </c>
      <c r="C1049" s="17" t="s">
        <v>802</v>
      </c>
      <c r="D1049" s="17" t="s">
        <v>801</v>
      </c>
      <c r="E1049" s="18">
        <v>3005250370016</v>
      </c>
      <c r="G1049" s="20" t="str">
        <f t="shared" si="48"/>
        <v xml:space="preserve"> ANSES/PLA.GOUTTE</v>
      </c>
      <c r="H1049" s="20" t="str">
        <f t="shared" si="49"/>
        <v>VERMA</v>
      </c>
      <c r="I1049" s="20" t="str">
        <f t="shared" si="50"/>
        <v xml:space="preserve">M    </v>
      </c>
    </row>
    <row r="1050" spans="1:9">
      <c r="A1050" s="17" t="s">
        <v>981</v>
      </c>
      <c r="B1050" s="17" t="s">
        <v>1016</v>
      </c>
      <c r="C1050" s="17" t="s">
        <v>803</v>
      </c>
      <c r="D1050" s="17" t="s">
        <v>801</v>
      </c>
      <c r="E1050" s="18">
        <v>3005250370009</v>
      </c>
      <c r="G1050" s="20" t="str">
        <f t="shared" si="48"/>
        <v xml:space="preserve"> ANSES/PLA.GOUTTE</v>
      </c>
      <c r="H1050" s="20" t="str">
        <f t="shared" si="49"/>
        <v>VERMA</v>
      </c>
      <c r="I1050" s="20" t="str">
        <f t="shared" si="50"/>
        <v xml:space="preserve">S    </v>
      </c>
    </row>
    <row r="1051" spans="1:9">
      <c r="A1051" s="17" t="s">
        <v>981</v>
      </c>
      <c r="B1051" s="17" t="s">
        <v>1016</v>
      </c>
      <c r="C1051" s="17" t="s">
        <v>804</v>
      </c>
      <c r="D1051" s="17" t="s">
        <v>801</v>
      </c>
      <c r="E1051" s="18">
        <v>3005250370030</v>
      </c>
      <c r="G1051" s="20" t="str">
        <f t="shared" si="48"/>
        <v xml:space="preserve"> ANSES/PLA.GOUTTE</v>
      </c>
      <c r="H1051" s="20" t="str">
        <f t="shared" si="49"/>
        <v>VERMA</v>
      </c>
      <c r="I1051" s="20" t="str">
        <f t="shared" si="50"/>
        <v xml:space="preserve">XL   </v>
      </c>
    </row>
    <row r="1052" spans="1:9">
      <c r="A1052" s="17" t="s">
        <v>981</v>
      </c>
      <c r="B1052" s="17" t="s">
        <v>922</v>
      </c>
      <c r="C1052" s="17" t="s">
        <v>800</v>
      </c>
      <c r="D1052" s="17" t="s">
        <v>801</v>
      </c>
      <c r="E1052" s="18">
        <v>3005250367023</v>
      </c>
      <c r="G1052" s="20" t="str">
        <f t="shared" si="48"/>
        <v xml:space="preserve"> ANSES/PLA.GOUTTE</v>
      </c>
      <c r="H1052" s="20" t="str">
        <f t="shared" si="49"/>
        <v>VERNO</v>
      </c>
      <c r="I1052" s="20" t="str">
        <f t="shared" si="50"/>
        <v xml:space="preserve">L    </v>
      </c>
    </row>
    <row r="1053" spans="1:9">
      <c r="A1053" s="17" t="s">
        <v>981</v>
      </c>
      <c r="B1053" s="17" t="s">
        <v>922</v>
      </c>
      <c r="C1053" s="17" t="s">
        <v>802</v>
      </c>
      <c r="D1053" s="17" t="s">
        <v>801</v>
      </c>
      <c r="E1053" s="18">
        <v>3005250367016</v>
      </c>
      <c r="G1053" s="20" t="str">
        <f t="shared" si="48"/>
        <v xml:space="preserve"> ANSES/PLA.GOUTTE</v>
      </c>
      <c r="H1053" s="20" t="str">
        <f t="shared" si="49"/>
        <v>VERNO</v>
      </c>
      <c r="I1053" s="20" t="str">
        <f t="shared" si="50"/>
        <v xml:space="preserve">M    </v>
      </c>
    </row>
    <row r="1054" spans="1:9">
      <c r="A1054" s="17" t="s">
        <v>981</v>
      </c>
      <c r="B1054" s="17" t="s">
        <v>922</v>
      </c>
      <c r="C1054" s="17" t="s">
        <v>803</v>
      </c>
      <c r="D1054" s="17" t="s">
        <v>801</v>
      </c>
      <c r="E1054" s="18">
        <v>3005250367009</v>
      </c>
      <c r="G1054" s="20" t="str">
        <f t="shared" si="48"/>
        <v xml:space="preserve"> ANSES/PLA.GOUTTE</v>
      </c>
      <c r="H1054" s="20" t="str">
        <f t="shared" si="49"/>
        <v>VERNO</v>
      </c>
      <c r="I1054" s="20" t="str">
        <f t="shared" si="50"/>
        <v xml:space="preserve">S    </v>
      </c>
    </row>
    <row r="1055" spans="1:9">
      <c r="A1055" s="17" t="s">
        <v>981</v>
      </c>
      <c r="B1055" s="17" t="s">
        <v>922</v>
      </c>
      <c r="C1055" s="17" t="s">
        <v>804</v>
      </c>
      <c r="D1055" s="17" t="s">
        <v>801</v>
      </c>
      <c r="E1055" s="18">
        <v>3005250367030</v>
      </c>
      <c r="G1055" s="20" t="str">
        <f t="shared" si="48"/>
        <v xml:space="preserve"> ANSES/PLA.GOUTTE</v>
      </c>
      <c r="H1055" s="20" t="str">
        <f t="shared" si="49"/>
        <v>VERNO</v>
      </c>
      <c r="I1055" s="20" t="str">
        <f t="shared" si="50"/>
        <v xml:space="preserve">XL   </v>
      </c>
    </row>
    <row r="1056" spans="1:9">
      <c r="A1056" s="17" t="s">
        <v>981</v>
      </c>
      <c r="B1056" s="17" t="s">
        <v>845</v>
      </c>
      <c r="C1056" s="17" t="s">
        <v>800</v>
      </c>
      <c r="D1056" s="17" t="s">
        <v>801</v>
      </c>
      <c r="E1056" s="18">
        <v>3005250425020</v>
      </c>
      <c r="G1056" s="20" t="str">
        <f t="shared" si="48"/>
        <v xml:space="preserve"> ANSES/PLA.GOUTTE</v>
      </c>
      <c r="H1056" s="20" t="str">
        <f t="shared" si="49"/>
        <v>VERRO</v>
      </c>
      <c r="I1056" s="20" t="str">
        <f t="shared" si="50"/>
        <v xml:space="preserve">L    </v>
      </c>
    </row>
    <row r="1057" spans="1:9">
      <c r="A1057" s="17" t="s">
        <v>981</v>
      </c>
      <c r="B1057" s="17" t="s">
        <v>845</v>
      </c>
      <c r="C1057" s="17" t="s">
        <v>802</v>
      </c>
      <c r="D1057" s="17" t="s">
        <v>801</v>
      </c>
      <c r="E1057" s="18">
        <v>3005250425013</v>
      </c>
      <c r="G1057" s="20" t="str">
        <f t="shared" si="48"/>
        <v xml:space="preserve"> ANSES/PLA.GOUTTE</v>
      </c>
      <c r="H1057" s="20" t="str">
        <f t="shared" si="49"/>
        <v>VERRO</v>
      </c>
      <c r="I1057" s="20" t="str">
        <f t="shared" si="50"/>
        <v xml:space="preserve">M    </v>
      </c>
    </row>
    <row r="1058" spans="1:9">
      <c r="A1058" s="17" t="s">
        <v>981</v>
      </c>
      <c r="B1058" s="17" t="s">
        <v>845</v>
      </c>
      <c r="C1058" s="17" t="s">
        <v>803</v>
      </c>
      <c r="D1058" s="17" t="s">
        <v>801</v>
      </c>
      <c r="E1058" s="18">
        <v>3005250425006</v>
      </c>
      <c r="G1058" s="20" t="str">
        <f t="shared" si="48"/>
        <v xml:space="preserve"> ANSES/PLA.GOUTTE</v>
      </c>
      <c r="H1058" s="20" t="str">
        <f t="shared" si="49"/>
        <v>VERRO</v>
      </c>
      <c r="I1058" s="20" t="str">
        <f t="shared" si="50"/>
        <v xml:space="preserve">S    </v>
      </c>
    </row>
    <row r="1059" spans="1:9">
      <c r="A1059" s="17" t="s">
        <v>981</v>
      </c>
      <c r="B1059" s="17" t="s">
        <v>845</v>
      </c>
      <c r="C1059" s="17" t="s">
        <v>804</v>
      </c>
      <c r="D1059" s="17" t="s">
        <v>801</v>
      </c>
      <c r="E1059" s="18">
        <v>3005250425037</v>
      </c>
      <c r="G1059" s="20" t="str">
        <f t="shared" si="48"/>
        <v xml:space="preserve"> ANSES/PLA.GOUTTE</v>
      </c>
      <c r="H1059" s="20" t="str">
        <f t="shared" si="49"/>
        <v>VERRO</v>
      </c>
      <c r="I1059" s="20" t="str">
        <f t="shared" si="50"/>
        <v xml:space="preserve">XL   </v>
      </c>
    </row>
    <row r="1060" spans="1:9">
      <c r="A1060" s="17" t="s">
        <v>981</v>
      </c>
      <c r="B1060" s="17" t="s">
        <v>1017</v>
      </c>
      <c r="C1060" s="17" t="s">
        <v>800</v>
      </c>
      <c r="D1060" s="17" t="s">
        <v>801</v>
      </c>
      <c r="E1060" s="18">
        <v>3005250516025</v>
      </c>
      <c r="G1060" s="20" t="str">
        <f t="shared" si="48"/>
        <v xml:space="preserve"> ANSES/PLA.GOUTTE</v>
      </c>
      <c r="H1060" s="20" t="str">
        <f t="shared" si="49"/>
        <v>VERSA</v>
      </c>
      <c r="I1060" s="20" t="str">
        <f t="shared" si="50"/>
        <v xml:space="preserve">L    </v>
      </c>
    </row>
    <row r="1061" spans="1:9">
      <c r="A1061" s="17" t="s">
        <v>981</v>
      </c>
      <c r="B1061" s="17" t="s">
        <v>1017</v>
      </c>
      <c r="C1061" s="17" t="s">
        <v>802</v>
      </c>
      <c r="D1061" s="17" t="s">
        <v>801</v>
      </c>
      <c r="E1061" s="18">
        <v>3005250516018</v>
      </c>
      <c r="G1061" s="20" t="str">
        <f t="shared" si="48"/>
        <v xml:space="preserve"> ANSES/PLA.GOUTTE</v>
      </c>
      <c r="H1061" s="20" t="str">
        <f t="shared" si="49"/>
        <v>VERSA</v>
      </c>
      <c r="I1061" s="20" t="str">
        <f t="shared" si="50"/>
        <v xml:space="preserve">M    </v>
      </c>
    </row>
    <row r="1062" spans="1:9">
      <c r="A1062" s="17" t="s">
        <v>981</v>
      </c>
      <c r="B1062" s="17" t="s">
        <v>1017</v>
      </c>
      <c r="C1062" s="17" t="s">
        <v>803</v>
      </c>
      <c r="D1062" s="17" t="s">
        <v>801</v>
      </c>
      <c r="E1062" s="18">
        <v>3005250516001</v>
      </c>
      <c r="G1062" s="20" t="str">
        <f t="shared" si="48"/>
        <v xml:space="preserve"> ANSES/PLA.GOUTTE</v>
      </c>
      <c r="H1062" s="20" t="str">
        <f t="shared" si="49"/>
        <v>VERSA</v>
      </c>
      <c r="I1062" s="20" t="str">
        <f t="shared" si="50"/>
        <v xml:space="preserve">S    </v>
      </c>
    </row>
    <row r="1063" spans="1:9">
      <c r="A1063" s="17" t="s">
        <v>981</v>
      </c>
      <c r="B1063" s="17" t="s">
        <v>1017</v>
      </c>
      <c r="C1063" s="17" t="s">
        <v>804</v>
      </c>
      <c r="D1063" s="17" t="s">
        <v>801</v>
      </c>
      <c r="E1063" s="18">
        <v>3005250516032</v>
      </c>
      <c r="G1063" s="20" t="str">
        <f t="shared" si="48"/>
        <v xml:space="preserve"> ANSES/PLA.GOUTTE</v>
      </c>
      <c r="H1063" s="20" t="str">
        <f t="shared" si="49"/>
        <v>VERSA</v>
      </c>
      <c r="I1063" s="20" t="str">
        <f t="shared" si="50"/>
        <v xml:space="preserve">XL   </v>
      </c>
    </row>
    <row r="1064" spans="1:9">
      <c r="A1064" s="17" t="s">
        <v>981</v>
      </c>
      <c r="B1064" s="17" t="s">
        <v>1018</v>
      </c>
      <c r="C1064" s="17" t="s">
        <v>800</v>
      </c>
      <c r="D1064" s="17" t="s">
        <v>801</v>
      </c>
      <c r="E1064" s="18">
        <v>3005250582020</v>
      </c>
      <c r="G1064" s="20" t="str">
        <f t="shared" si="48"/>
        <v xml:space="preserve"> ANSES/PLA.GOUTTE</v>
      </c>
      <c r="H1064" s="20" t="str">
        <f t="shared" si="49"/>
        <v>VERTE</v>
      </c>
      <c r="I1064" s="20" t="str">
        <f t="shared" si="50"/>
        <v xml:space="preserve">L    </v>
      </c>
    </row>
    <row r="1065" spans="1:9">
      <c r="A1065" s="17" t="s">
        <v>981</v>
      </c>
      <c r="B1065" s="17" t="s">
        <v>1018</v>
      </c>
      <c r="C1065" s="17" t="s">
        <v>802</v>
      </c>
      <c r="D1065" s="17" t="s">
        <v>801</v>
      </c>
      <c r="E1065" s="18">
        <v>3005250582013</v>
      </c>
      <c r="G1065" s="20" t="str">
        <f t="shared" si="48"/>
        <v xml:space="preserve"> ANSES/PLA.GOUTTE</v>
      </c>
      <c r="H1065" s="20" t="str">
        <f t="shared" si="49"/>
        <v>VERTE</v>
      </c>
      <c r="I1065" s="20" t="str">
        <f t="shared" si="50"/>
        <v xml:space="preserve">M    </v>
      </c>
    </row>
    <row r="1066" spans="1:9">
      <c r="A1066" s="17" t="s">
        <v>981</v>
      </c>
      <c r="B1066" s="17" t="s">
        <v>1018</v>
      </c>
      <c r="C1066" s="17" t="s">
        <v>803</v>
      </c>
      <c r="D1066" s="17" t="s">
        <v>801</v>
      </c>
      <c r="E1066" s="18">
        <v>3005250582006</v>
      </c>
      <c r="G1066" s="20" t="str">
        <f t="shared" si="48"/>
        <v xml:space="preserve"> ANSES/PLA.GOUTTE</v>
      </c>
      <c r="H1066" s="20" t="str">
        <f t="shared" si="49"/>
        <v>VERTE</v>
      </c>
      <c r="I1066" s="20" t="str">
        <f t="shared" si="50"/>
        <v xml:space="preserve">S    </v>
      </c>
    </row>
    <row r="1067" spans="1:9">
      <c r="A1067" s="17" t="s">
        <v>981</v>
      </c>
      <c r="B1067" s="17" t="s">
        <v>1018</v>
      </c>
      <c r="C1067" s="17" t="s">
        <v>804</v>
      </c>
      <c r="D1067" s="17" t="s">
        <v>801</v>
      </c>
      <c r="E1067" s="18">
        <v>3005250582037</v>
      </c>
      <c r="G1067" s="20" t="str">
        <f t="shared" si="48"/>
        <v xml:space="preserve"> ANSES/PLA.GOUTTE</v>
      </c>
      <c r="H1067" s="20" t="str">
        <f t="shared" si="49"/>
        <v>VERTE</v>
      </c>
      <c r="I1067" s="20" t="str">
        <f t="shared" si="50"/>
        <v xml:space="preserve">XL   </v>
      </c>
    </row>
    <row r="1068" spans="1:9">
      <c r="A1068" s="17" t="s">
        <v>981</v>
      </c>
      <c r="B1068" s="17" t="s">
        <v>1019</v>
      </c>
      <c r="C1068" s="17" t="s">
        <v>800</v>
      </c>
      <c r="D1068" s="17" t="s">
        <v>801</v>
      </c>
      <c r="E1068" s="18">
        <v>3005250448029</v>
      </c>
      <c r="G1068" s="20" t="str">
        <f t="shared" si="48"/>
        <v xml:space="preserve"> ANSES/PLA.GOUTTE</v>
      </c>
      <c r="H1068" s="20" t="str">
        <f t="shared" si="49"/>
        <v>VERVE</v>
      </c>
      <c r="I1068" s="20" t="str">
        <f t="shared" si="50"/>
        <v xml:space="preserve">L    </v>
      </c>
    </row>
    <row r="1069" spans="1:9">
      <c r="A1069" s="17" t="s">
        <v>981</v>
      </c>
      <c r="B1069" s="17" t="s">
        <v>1019</v>
      </c>
      <c r="C1069" s="17" t="s">
        <v>802</v>
      </c>
      <c r="D1069" s="17" t="s">
        <v>801</v>
      </c>
      <c r="E1069" s="18">
        <v>3005250448012</v>
      </c>
      <c r="G1069" s="20" t="str">
        <f t="shared" si="48"/>
        <v xml:space="preserve"> ANSES/PLA.GOUTTE</v>
      </c>
      <c r="H1069" s="20" t="str">
        <f t="shared" si="49"/>
        <v>VERVE</v>
      </c>
      <c r="I1069" s="20" t="str">
        <f t="shared" si="50"/>
        <v xml:space="preserve">M    </v>
      </c>
    </row>
    <row r="1070" spans="1:9">
      <c r="A1070" s="17" t="s">
        <v>981</v>
      </c>
      <c r="B1070" s="17" t="s">
        <v>1019</v>
      </c>
      <c r="C1070" s="17" t="s">
        <v>803</v>
      </c>
      <c r="D1070" s="17" t="s">
        <v>801</v>
      </c>
      <c r="E1070" s="18">
        <v>3005250448005</v>
      </c>
      <c r="G1070" s="20" t="str">
        <f t="shared" si="48"/>
        <v xml:space="preserve"> ANSES/PLA.GOUTTE</v>
      </c>
      <c r="H1070" s="20" t="str">
        <f t="shared" si="49"/>
        <v>VERVE</v>
      </c>
      <c r="I1070" s="20" t="str">
        <f t="shared" si="50"/>
        <v xml:space="preserve">S    </v>
      </c>
    </row>
    <row r="1071" spans="1:9">
      <c r="A1071" s="17" t="s">
        <v>981</v>
      </c>
      <c r="B1071" s="17" t="s">
        <v>1019</v>
      </c>
      <c r="C1071" s="17" t="s">
        <v>804</v>
      </c>
      <c r="D1071" s="17" t="s">
        <v>801</v>
      </c>
      <c r="E1071" s="18">
        <v>3005250448036</v>
      </c>
      <c r="G1071" s="20" t="str">
        <f t="shared" si="48"/>
        <v xml:space="preserve"> ANSES/PLA.GOUTTE</v>
      </c>
      <c r="H1071" s="20" t="str">
        <f t="shared" si="49"/>
        <v>VERVE</v>
      </c>
      <c r="I1071" s="20" t="str">
        <f t="shared" si="50"/>
        <v xml:space="preserve">XL   </v>
      </c>
    </row>
    <row r="1072" spans="1:9">
      <c r="A1072" s="17" t="s">
        <v>981</v>
      </c>
      <c r="B1072" s="17" t="s">
        <v>925</v>
      </c>
      <c r="C1072" s="17" t="s">
        <v>800</v>
      </c>
      <c r="D1072" s="17" t="s">
        <v>801</v>
      </c>
      <c r="E1072" s="18">
        <v>3005250342020</v>
      </c>
      <c r="G1072" s="20" t="str">
        <f t="shared" si="48"/>
        <v xml:space="preserve"> ANSES/PLA.GOUTTE</v>
      </c>
      <c r="H1072" s="20" t="str">
        <f t="shared" si="49"/>
        <v>VERVI</v>
      </c>
      <c r="I1072" s="20" t="str">
        <f t="shared" si="50"/>
        <v xml:space="preserve">L    </v>
      </c>
    </row>
    <row r="1073" spans="1:9">
      <c r="A1073" s="17" t="s">
        <v>981</v>
      </c>
      <c r="B1073" s="17" t="s">
        <v>925</v>
      </c>
      <c r="C1073" s="17" t="s">
        <v>802</v>
      </c>
      <c r="D1073" s="17" t="s">
        <v>801</v>
      </c>
      <c r="E1073" s="18">
        <v>3005250342013</v>
      </c>
      <c r="G1073" s="20" t="str">
        <f t="shared" si="48"/>
        <v xml:space="preserve"> ANSES/PLA.GOUTTE</v>
      </c>
      <c r="H1073" s="20" t="str">
        <f t="shared" si="49"/>
        <v>VERVI</v>
      </c>
      <c r="I1073" s="20" t="str">
        <f t="shared" si="50"/>
        <v xml:space="preserve">M    </v>
      </c>
    </row>
    <row r="1074" spans="1:9">
      <c r="A1074" s="17" t="s">
        <v>981</v>
      </c>
      <c r="B1074" s="17" t="s">
        <v>925</v>
      </c>
      <c r="C1074" s="17" t="s">
        <v>803</v>
      </c>
      <c r="D1074" s="17" t="s">
        <v>801</v>
      </c>
      <c r="E1074" s="18">
        <v>3005250342006</v>
      </c>
      <c r="G1074" s="20" t="str">
        <f t="shared" si="48"/>
        <v xml:space="preserve"> ANSES/PLA.GOUTTE</v>
      </c>
      <c r="H1074" s="20" t="str">
        <f t="shared" si="49"/>
        <v>VERVI</v>
      </c>
      <c r="I1074" s="20" t="str">
        <f t="shared" si="50"/>
        <v xml:space="preserve">S    </v>
      </c>
    </row>
    <row r="1075" spans="1:9">
      <c r="A1075" s="17" t="s">
        <v>981</v>
      </c>
      <c r="B1075" s="17" t="s">
        <v>925</v>
      </c>
      <c r="C1075" s="17" t="s">
        <v>804</v>
      </c>
      <c r="D1075" s="17" t="s">
        <v>801</v>
      </c>
      <c r="E1075" s="18">
        <v>3005250342037</v>
      </c>
      <c r="G1075" s="20" t="str">
        <f t="shared" si="48"/>
        <v xml:space="preserve"> ANSES/PLA.GOUTTE</v>
      </c>
      <c r="H1075" s="20" t="str">
        <f t="shared" si="49"/>
        <v>VERVI</v>
      </c>
      <c r="I1075" s="20" t="str">
        <f t="shared" si="50"/>
        <v xml:space="preserve">XL   </v>
      </c>
    </row>
    <row r="1076" spans="1:9">
      <c r="A1076" s="17" t="s">
        <v>981</v>
      </c>
      <c r="B1076" s="17" t="s">
        <v>1020</v>
      </c>
      <c r="C1076" s="17" t="s">
        <v>800</v>
      </c>
      <c r="D1076" s="17" t="s">
        <v>801</v>
      </c>
      <c r="E1076" s="18">
        <v>3005250575022</v>
      </c>
      <c r="G1076" s="20" t="str">
        <f t="shared" si="48"/>
        <v xml:space="preserve"> ANSES/PLA.GOUTTE</v>
      </c>
      <c r="H1076" s="20" t="str">
        <f t="shared" si="49"/>
        <v>VINGR</v>
      </c>
      <c r="I1076" s="20" t="str">
        <f t="shared" si="50"/>
        <v xml:space="preserve">L    </v>
      </c>
    </row>
    <row r="1077" spans="1:9">
      <c r="A1077" s="17" t="s">
        <v>981</v>
      </c>
      <c r="B1077" s="17" t="s">
        <v>1020</v>
      </c>
      <c r="C1077" s="17" t="s">
        <v>800</v>
      </c>
      <c r="D1077" s="17" t="s">
        <v>801</v>
      </c>
      <c r="E1077" s="18">
        <v>8058983596616</v>
      </c>
      <c r="G1077" s="20" t="str">
        <f t="shared" si="48"/>
        <v xml:space="preserve"> ANSES/PLA.GOUTTE</v>
      </c>
      <c r="H1077" s="20" t="str">
        <f t="shared" si="49"/>
        <v>VINGR</v>
      </c>
      <c r="I1077" s="20" t="str">
        <f t="shared" si="50"/>
        <v xml:space="preserve">L    </v>
      </c>
    </row>
    <row r="1078" spans="1:9">
      <c r="A1078" s="17" t="s">
        <v>981</v>
      </c>
      <c r="B1078" s="17" t="s">
        <v>1020</v>
      </c>
      <c r="C1078" s="17" t="s">
        <v>802</v>
      </c>
      <c r="D1078" s="17" t="s">
        <v>801</v>
      </c>
      <c r="E1078" s="18">
        <v>3005250575015</v>
      </c>
      <c r="G1078" s="20" t="str">
        <f t="shared" si="48"/>
        <v xml:space="preserve"> ANSES/PLA.GOUTTE</v>
      </c>
      <c r="H1078" s="20" t="str">
        <f t="shared" si="49"/>
        <v>VINGR</v>
      </c>
      <c r="I1078" s="20" t="str">
        <f t="shared" si="50"/>
        <v xml:space="preserve">M    </v>
      </c>
    </row>
    <row r="1079" spans="1:9">
      <c r="A1079" s="17" t="s">
        <v>981</v>
      </c>
      <c r="B1079" s="17" t="s">
        <v>1020</v>
      </c>
      <c r="C1079" s="17" t="s">
        <v>803</v>
      </c>
      <c r="D1079" s="17" t="s">
        <v>801</v>
      </c>
      <c r="E1079" s="18">
        <v>3005250575008</v>
      </c>
      <c r="G1079" s="20" t="str">
        <f t="shared" si="48"/>
        <v xml:space="preserve"> ANSES/PLA.GOUTTE</v>
      </c>
      <c r="H1079" s="20" t="str">
        <f t="shared" si="49"/>
        <v>VINGR</v>
      </c>
      <c r="I1079" s="20" t="str">
        <f t="shared" si="50"/>
        <v xml:space="preserve">S    </v>
      </c>
    </row>
    <row r="1080" spans="1:9">
      <c r="A1080" s="17" t="s">
        <v>981</v>
      </c>
      <c r="B1080" s="17" t="s">
        <v>1020</v>
      </c>
      <c r="C1080" s="17" t="s">
        <v>803</v>
      </c>
      <c r="D1080" s="17" t="s">
        <v>801</v>
      </c>
      <c r="E1080" s="18">
        <v>8058983596845</v>
      </c>
      <c r="G1080" s="20" t="str">
        <f t="shared" si="48"/>
        <v xml:space="preserve"> ANSES/PLA.GOUTTE</v>
      </c>
      <c r="H1080" s="20" t="str">
        <f t="shared" si="49"/>
        <v>VINGR</v>
      </c>
      <c r="I1080" s="20" t="str">
        <f t="shared" si="50"/>
        <v xml:space="preserve">S    </v>
      </c>
    </row>
    <row r="1081" spans="1:9">
      <c r="A1081" s="17" t="s">
        <v>981</v>
      </c>
      <c r="B1081" s="17" t="s">
        <v>1020</v>
      </c>
      <c r="C1081" s="17" t="s">
        <v>804</v>
      </c>
      <c r="D1081" s="17" t="s">
        <v>801</v>
      </c>
      <c r="E1081" s="18">
        <v>3005250575039</v>
      </c>
      <c r="G1081" s="20" t="str">
        <f t="shared" si="48"/>
        <v xml:space="preserve"> ANSES/PLA.GOUTTE</v>
      </c>
      <c r="H1081" s="20" t="str">
        <f t="shared" si="49"/>
        <v>VINGR</v>
      </c>
      <c r="I1081" s="20" t="str">
        <f t="shared" si="50"/>
        <v xml:space="preserve">XL   </v>
      </c>
    </row>
    <row r="1082" spans="1:9">
      <c r="A1082" s="17" t="s">
        <v>981</v>
      </c>
      <c r="B1082" s="17" t="s">
        <v>1021</v>
      </c>
      <c r="C1082" s="17" t="s">
        <v>800</v>
      </c>
      <c r="D1082" s="17" t="s">
        <v>801</v>
      </c>
      <c r="E1082" s="18">
        <v>3005250574025</v>
      </c>
      <c r="G1082" s="20" t="str">
        <f t="shared" si="48"/>
        <v xml:space="preserve"> ANSES/PLA.GOUTTE</v>
      </c>
      <c r="H1082" s="20" t="str">
        <f t="shared" si="49"/>
        <v>VINIC</v>
      </c>
      <c r="I1082" s="20" t="str">
        <f t="shared" si="50"/>
        <v xml:space="preserve">L    </v>
      </c>
    </row>
    <row r="1083" spans="1:9">
      <c r="A1083" s="17" t="s">
        <v>981</v>
      </c>
      <c r="B1083" s="17" t="s">
        <v>1021</v>
      </c>
      <c r="C1083" s="17" t="s">
        <v>802</v>
      </c>
      <c r="D1083" s="17" t="s">
        <v>801</v>
      </c>
      <c r="E1083" s="18">
        <v>3005250574018</v>
      </c>
      <c r="G1083" s="20" t="str">
        <f t="shared" si="48"/>
        <v xml:space="preserve"> ANSES/PLA.GOUTTE</v>
      </c>
      <c r="H1083" s="20" t="str">
        <f t="shared" si="49"/>
        <v>VINIC</v>
      </c>
      <c r="I1083" s="20" t="str">
        <f t="shared" si="50"/>
        <v xml:space="preserve">M    </v>
      </c>
    </row>
    <row r="1084" spans="1:9">
      <c r="A1084" s="17" t="s">
        <v>981</v>
      </c>
      <c r="B1084" s="17" t="s">
        <v>1021</v>
      </c>
      <c r="C1084" s="17" t="s">
        <v>803</v>
      </c>
      <c r="D1084" s="17" t="s">
        <v>801</v>
      </c>
      <c r="E1084" s="18">
        <v>3005250574001</v>
      </c>
      <c r="G1084" s="20" t="str">
        <f t="shared" si="48"/>
        <v xml:space="preserve"> ANSES/PLA.GOUTTE</v>
      </c>
      <c r="H1084" s="20" t="str">
        <f t="shared" si="49"/>
        <v>VINIC</v>
      </c>
      <c r="I1084" s="20" t="str">
        <f t="shared" si="50"/>
        <v xml:space="preserve">S    </v>
      </c>
    </row>
    <row r="1085" spans="1:9">
      <c r="A1085" s="17" t="s">
        <v>981</v>
      </c>
      <c r="B1085" s="17" t="s">
        <v>1021</v>
      </c>
      <c r="C1085" s="17" t="s">
        <v>803</v>
      </c>
      <c r="D1085" s="17" t="s">
        <v>801</v>
      </c>
      <c r="E1085" s="18">
        <v>8058983596838</v>
      </c>
      <c r="G1085" s="20" t="str">
        <f t="shared" si="48"/>
        <v xml:space="preserve"> ANSES/PLA.GOUTTE</v>
      </c>
      <c r="H1085" s="20" t="str">
        <f t="shared" si="49"/>
        <v>VINIC</v>
      </c>
      <c r="I1085" s="20" t="str">
        <f t="shared" si="50"/>
        <v xml:space="preserve">S    </v>
      </c>
    </row>
    <row r="1086" spans="1:9">
      <c r="A1086" s="17" t="s">
        <v>981</v>
      </c>
      <c r="B1086" s="17" t="s">
        <v>1021</v>
      </c>
      <c r="C1086" s="17" t="s">
        <v>804</v>
      </c>
      <c r="D1086" s="17" t="s">
        <v>801</v>
      </c>
      <c r="E1086" s="18">
        <v>3005250574032</v>
      </c>
      <c r="G1086" s="20" t="str">
        <f t="shared" si="48"/>
        <v xml:space="preserve"> ANSES/PLA.GOUTTE</v>
      </c>
      <c r="H1086" s="20" t="str">
        <f t="shared" si="49"/>
        <v>VINIC</v>
      </c>
      <c r="I1086" s="20" t="str">
        <f t="shared" si="50"/>
        <v xml:space="preserve">XL   </v>
      </c>
    </row>
    <row r="1087" spans="1:9">
      <c r="A1087" s="17" t="s">
        <v>981</v>
      </c>
      <c r="B1087" s="17" t="s">
        <v>1022</v>
      </c>
      <c r="C1087" s="17" t="s">
        <v>800</v>
      </c>
      <c r="D1087" s="17" t="s">
        <v>801</v>
      </c>
      <c r="E1087" s="18">
        <v>3005250576029</v>
      </c>
      <c r="G1087" s="20" t="str">
        <f t="shared" si="48"/>
        <v xml:space="preserve"> ANSES/PLA.GOUTTE</v>
      </c>
      <c r="H1087" s="20" t="str">
        <f t="shared" si="49"/>
        <v>VINMA</v>
      </c>
      <c r="I1087" s="20" t="str">
        <f t="shared" si="50"/>
        <v xml:space="preserve">L    </v>
      </c>
    </row>
    <row r="1088" spans="1:9">
      <c r="A1088" s="17" t="s">
        <v>981</v>
      </c>
      <c r="B1088" s="17" t="s">
        <v>1022</v>
      </c>
      <c r="C1088" s="17" t="s">
        <v>800</v>
      </c>
      <c r="D1088" s="17" t="s">
        <v>801</v>
      </c>
      <c r="E1088" s="18">
        <v>8058983596623</v>
      </c>
      <c r="G1088" s="20" t="str">
        <f t="shared" si="48"/>
        <v xml:space="preserve"> ANSES/PLA.GOUTTE</v>
      </c>
      <c r="H1088" s="20" t="str">
        <f t="shared" si="49"/>
        <v>VINMA</v>
      </c>
      <c r="I1088" s="20" t="str">
        <f t="shared" si="50"/>
        <v xml:space="preserve">L    </v>
      </c>
    </row>
    <row r="1089" spans="1:9">
      <c r="A1089" s="17" t="s">
        <v>981</v>
      </c>
      <c r="B1089" s="17" t="s">
        <v>1022</v>
      </c>
      <c r="C1089" s="17" t="s">
        <v>802</v>
      </c>
      <c r="D1089" s="17" t="s">
        <v>801</v>
      </c>
      <c r="E1089" s="18">
        <v>3005250576012</v>
      </c>
      <c r="G1089" s="20" t="str">
        <f t="shared" si="48"/>
        <v xml:space="preserve"> ANSES/PLA.GOUTTE</v>
      </c>
      <c r="H1089" s="20" t="str">
        <f t="shared" si="49"/>
        <v>VINMA</v>
      </c>
      <c r="I1089" s="20" t="str">
        <f t="shared" si="50"/>
        <v xml:space="preserve">M    </v>
      </c>
    </row>
    <row r="1090" spans="1:9">
      <c r="A1090" s="17" t="s">
        <v>981</v>
      </c>
      <c r="B1090" s="17" t="s">
        <v>1022</v>
      </c>
      <c r="C1090" s="17" t="s">
        <v>803</v>
      </c>
      <c r="D1090" s="17" t="s">
        <v>801</v>
      </c>
      <c r="E1090" s="18">
        <v>3005250576005</v>
      </c>
      <c r="G1090" s="20" t="str">
        <f t="shared" si="48"/>
        <v xml:space="preserve"> ANSES/PLA.GOUTTE</v>
      </c>
      <c r="H1090" s="20" t="str">
        <f t="shared" si="49"/>
        <v>VINMA</v>
      </c>
      <c r="I1090" s="20" t="str">
        <f t="shared" si="50"/>
        <v xml:space="preserve">S    </v>
      </c>
    </row>
    <row r="1091" spans="1:9">
      <c r="A1091" s="17" t="s">
        <v>981</v>
      </c>
      <c r="B1091" s="17" t="s">
        <v>1022</v>
      </c>
      <c r="C1091" s="17" t="s">
        <v>803</v>
      </c>
      <c r="D1091" s="17" t="s">
        <v>801</v>
      </c>
      <c r="E1091" s="18">
        <v>8058983596852</v>
      </c>
      <c r="G1091" s="20" t="str">
        <f t="shared" si="48"/>
        <v xml:space="preserve"> ANSES/PLA.GOUTTE</v>
      </c>
      <c r="H1091" s="20" t="str">
        <f t="shared" si="49"/>
        <v>VINMA</v>
      </c>
      <c r="I1091" s="20" t="str">
        <f t="shared" si="50"/>
        <v xml:space="preserve">S    </v>
      </c>
    </row>
    <row r="1092" spans="1:9">
      <c r="A1092" s="17" t="s">
        <v>981</v>
      </c>
      <c r="B1092" s="17" t="s">
        <v>1022</v>
      </c>
      <c r="C1092" s="17" t="s">
        <v>804</v>
      </c>
      <c r="D1092" s="17" t="s">
        <v>801</v>
      </c>
      <c r="E1092" s="18">
        <v>3005250576036</v>
      </c>
      <c r="G1092" s="20" t="str">
        <f t="shared" si="48"/>
        <v xml:space="preserve"> ANSES/PLA.GOUTTE</v>
      </c>
      <c r="H1092" s="20" t="str">
        <f t="shared" si="49"/>
        <v>VINMA</v>
      </c>
      <c r="I1092" s="20" t="str">
        <f t="shared" si="50"/>
        <v xml:space="preserve">XL   </v>
      </c>
    </row>
    <row r="1093" spans="1:9">
      <c r="A1093" s="17" t="s">
        <v>981</v>
      </c>
      <c r="B1093" s="17" t="s">
        <v>1023</v>
      </c>
      <c r="C1093" s="17" t="s">
        <v>800</v>
      </c>
      <c r="D1093" s="17" t="s">
        <v>801</v>
      </c>
      <c r="E1093" s="18">
        <v>3005250577026</v>
      </c>
      <c r="G1093" s="20" t="str">
        <f t="shared" ref="G1093:G1156" si="51">A1093</f>
        <v xml:space="preserve"> ANSES/PLA.GOUTTE</v>
      </c>
      <c r="H1093" s="20" t="str">
        <f t="shared" ref="H1093:H1156" si="52">B1093</f>
        <v>VINVE</v>
      </c>
      <c r="I1093" s="20" t="str">
        <f t="shared" ref="I1093:I1156" si="53">C1093</f>
        <v xml:space="preserve">L    </v>
      </c>
    </row>
    <row r="1094" spans="1:9">
      <c r="A1094" s="17" t="s">
        <v>981</v>
      </c>
      <c r="B1094" s="17" t="s">
        <v>1023</v>
      </c>
      <c r="C1094" s="17" t="s">
        <v>800</v>
      </c>
      <c r="D1094" s="17" t="s">
        <v>801</v>
      </c>
      <c r="E1094" s="18">
        <v>8058983596630</v>
      </c>
      <c r="G1094" s="20" t="str">
        <f t="shared" si="51"/>
        <v xml:space="preserve"> ANSES/PLA.GOUTTE</v>
      </c>
      <c r="H1094" s="20" t="str">
        <f t="shared" si="52"/>
        <v>VINVE</v>
      </c>
      <c r="I1094" s="20" t="str">
        <f t="shared" si="53"/>
        <v xml:space="preserve">L    </v>
      </c>
    </row>
    <row r="1095" spans="1:9">
      <c r="A1095" s="17" t="s">
        <v>981</v>
      </c>
      <c r="B1095" s="17" t="s">
        <v>1023</v>
      </c>
      <c r="C1095" s="17" t="s">
        <v>802</v>
      </c>
      <c r="D1095" s="17" t="s">
        <v>801</v>
      </c>
      <c r="E1095" s="18">
        <v>3005250577019</v>
      </c>
      <c r="G1095" s="20" t="str">
        <f t="shared" si="51"/>
        <v xml:space="preserve"> ANSES/PLA.GOUTTE</v>
      </c>
      <c r="H1095" s="20" t="str">
        <f t="shared" si="52"/>
        <v>VINVE</v>
      </c>
      <c r="I1095" s="20" t="str">
        <f t="shared" si="53"/>
        <v xml:space="preserve">M    </v>
      </c>
    </row>
    <row r="1096" spans="1:9">
      <c r="A1096" s="17" t="s">
        <v>981</v>
      </c>
      <c r="B1096" s="17" t="s">
        <v>1023</v>
      </c>
      <c r="C1096" s="17" t="s">
        <v>803</v>
      </c>
      <c r="D1096" s="17" t="s">
        <v>801</v>
      </c>
      <c r="E1096" s="18">
        <v>3005250577002</v>
      </c>
      <c r="G1096" s="20" t="str">
        <f t="shared" si="51"/>
        <v xml:space="preserve"> ANSES/PLA.GOUTTE</v>
      </c>
      <c r="H1096" s="20" t="str">
        <f t="shared" si="52"/>
        <v>VINVE</v>
      </c>
      <c r="I1096" s="20" t="str">
        <f t="shared" si="53"/>
        <v xml:space="preserve">S    </v>
      </c>
    </row>
    <row r="1097" spans="1:9">
      <c r="A1097" s="17" t="s">
        <v>981</v>
      </c>
      <c r="B1097" s="17" t="s">
        <v>1023</v>
      </c>
      <c r="C1097" s="17" t="s">
        <v>803</v>
      </c>
      <c r="D1097" s="17" t="s">
        <v>801</v>
      </c>
      <c r="E1097" s="18">
        <v>8058983596869</v>
      </c>
      <c r="G1097" s="20" t="str">
        <f t="shared" si="51"/>
        <v xml:space="preserve"> ANSES/PLA.GOUTTE</v>
      </c>
      <c r="H1097" s="20" t="str">
        <f t="shared" si="52"/>
        <v>VINVE</v>
      </c>
      <c r="I1097" s="20" t="str">
        <f t="shared" si="53"/>
        <v xml:space="preserve">S    </v>
      </c>
    </row>
    <row r="1098" spans="1:9">
      <c r="A1098" s="17" t="s">
        <v>981</v>
      </c>
      <c r="B1098" s="17" t="s">
        <v>1023</v>
      </c>
      <c r="C1098" s="17" t="s">
        <v>804</v>
      </c>
      <c r="D1098" s="17" t="s">
        <v>801</v>
      </c>
      <c r="E1098" s="18">
        <v>3005250577033</v>
      </c>
      <c r="G1098" s="20" t="str">
        <f t="shared" si="51"/>
        <v xml:space="preserve"> ANSES/PLA.GOUTTE</v>
      </c>
      <c r="H1098" s="20" t="str">
        <f t="shared" si="52"/>
        <v>VINVE</v>
      </c>
      <c r="I1098" s="20" t="str">
        <f t="shared" si="53"/>
        <v xml:space="preserve">XL   </v>
      </c>
    </row>
    <row r="1099" spans="1:9">
      <c r="A1099" s="17" t="s">
        <v>981</v>
      </c>
      <c r="B1099" s="17" t="s">
        <v>1024</v>
      </c>
      <c r="C1099" s="17" t="s">
        <v>800</v>
      </c>
      <c r="D1099" s="17" t="s">
        <v>801</v>
      </c>
      <c r="E1099" s="18">
        <v>3005250628025</v>
      </c>
      <c r="G1099" s="20" t="str">
        <f t="shared" si="51"/>
        <v xml:space="preserve"> ANSES/PLA.GOUTTE</v>
      </c>
      <c r="H1099" s="20" t="str">
        <f t="shared" si="52"/>
        <v xml:space="preserve">VIOL </v>
      </c>
      <c r="I1099" s="20" t="str">
        <f t="shared" si="53"/>
        <v xml:space="preserve">L    </v>
      </c>
    </row>
    <row r="1100" spans="1:9">
      <c r="A1100" s="17" t="s">
        <v>981</v>
      </c>
      <c r="B1100" s="17" t="s">
        <v>1024</v>
      </c>
      <c r="C1100" s="17" t="s">
        <v>802</v>
      </c>
      <c r="D1100" s="17" t="s">
        <v>801</v>
      </c>
      <c r="E1100" s="18">
        <v>3005250628018</v>
      </c>
      <c r="G1100" s="20" t="str">
        <f t="shared" si="51"/>
        <v xml:space="preserve"> ANSES/PLA.GOUTTE</v>
      </c>
      <c r="H1100" s="20" t="str">
        <f t="shared" si="52"/>
        <v xml:space="preserve">VIOL </v>
      </c>
      <c r="I1100" s="20" t="str">
        <f t="shared" si="53"/>
        <v xml:space="preserve">M    </v>
      </c>
    </row>
    <row r="1101" spans="1:9">
      <c r="A1101" s="17" t="s">
        <v>981</v>
      </c>
      <c r="B1101" s="17" t="s">
        <v>1024</v>
      </c>
      <c r="C1101" s="17" t="s">
        <v>803</v>
      </c>
      <c r="D1101" s="17" t="s">
        <v>801</v>
      </c>
      <c r="E1101" s="18">
        <v>3005250628001</v>
      </c>
      <c r="G1101" s="20" t="str">
        <f t="shared" si="51"/>
        <v xml:space="preserve"> ANSES/PLA.GOUTTE</v>
      </c>
      <c r="H1101" s="20" t="str">
        <f t="shared" si="52"/>
        <v xml:space="preserve">VIOL </v>
      </c>
      <c r="I1101" s="20" t="str">
        <f t="shared" si="53"/>
        <v xml:space="preserve">S    </v>
      </c>
    </row>
    <row r="1102" spans="1:9">
      <c r="A1102" s="17" t="s">
        <v>981</v>
      </c>
      <c r="B1102" s="17" t="s">
        <v>1024</v>
      </c>
      <c r="C1102" s="17" t="s">
        <v>804</v>
      </c>
      <c r="D1102" s="17" t="s">
        <v>801</v>
      </c>
      <c r="E1102" s="18">
        <v>3005250628032</v>
      </c>
      <c r="G1102" s="20" t="str">
        <f t="shared" si="51"/>
        <v xml:space="preserve"> ANSES/PLA.GOUTTE</v>
      </c>
      <c r="H1102" s="20" t="str">
        <f t="shared" si="52"/>
        <v xml:space="preserve">VIOL </v>
      </c>
      <c r="I1102" s="20" t="str">
        <f t="shared" si="53"/>
        <v xml:space="preserve">XL   </v>
      </c>
    </row>
    <row r="1103" spans="1:9">
      <c r="A1103" s="17" t="s">
        <v>1025</v>
      </c>
      <c r="B1103" s="17" t="s">
        <v>809</v>
      </c>
      <c r="C1103" s="17" t="s">
        <v>800</v>
      </c>
      <c r="D1103" s="17" t="s">
        <v>801</v>
      </c>
      <c r="E1103" s="18">
        <v>8056099177361</v>
      </c>
      <c r="G1103" s="20" t="str">
        <f t="shared" si="51"/>
        <v xml:space="preserve"> ANSES/PLA.GOUTXS</v>
      </c>
      <c r="H1103" s="20" t="str">
        <f t="shared" si="52"/>
        <v>AUBER</v>
      </c>
      <c r="I1103" s="20" t="str">
        <f t="shared" si="53"/>
        <v xml:space="preserve">L    </v>
      </c>
    </row>
    <row r="1104" spans="1:9">
      <c r="A1104" s="17" t="s">
        <v>1025</v>
      </c>
      <c r="B1104" s="17" t="s">
        <v>809</v>
      </c>
      <c r="C1104" s="17" t="s">
        <v>802</v>
      </c>
      <c r="D1104" s="17" t="s">
        <v>801</v>
      </c>
      <c r="E1104" s="18">
        <v>3004831179017</v>
      </c>
      <c r="G1104" s="20" t="str">
        <f t="shared" si="51"/>
        <v xml:space="preserve"> ANSES/PLA.GOUTXS</v>
      </c>
      <c r="H1104" s="20" t="str">
        <f t="shared" si="52"/>
        <v>AUBER</v>
      </c>
      <c r="I1104" s="20" t="str">
        <f t="shared" si="53"/>
        <v xml:space="preserve">M    </v>
      </c>
    </row>
    <row r="1105" spans="1:9">
      <c r="A1105" s="17" t="s">
        <v>1025</v>
      </c>
      <c r="B1105" s="17" t="s">
        <v>809</v>
      </c>
      <c r="C1105" s="17" t="s">
        <v>803</v>
      </c>
      <c r="D1105" s="17" t="s">
        <v>801</v>
      </c>
      <c r="E1105" s="18">
        <v>3004831179000</v>
      </c>
      <c r="G1105" s="20" t="str">
        <f t="shared" si="51"/>
        <v xml:space="preserve"> ANSES/PLA.GOUTXS</v>
      </c>
      <c r="H1105" s="20" t="str">
        <f t="shared" si="52"/>
        <v>AUBER</v>
      </c>
      <c r="I1105" s="20" t="str">
        <f t="shared" si="53"/>
        <v xml:space="preserve">S    </v>
      </c>
    </row>
    <row r="1106" spans="1:9">
      <c r="A1106" s="17" t="s">
        <v>1025</v>
      </c>
      <c r="B1106" s="17" t="s">
        <v>809</v>
      </c>
      <c r="C1106" s="17" t="s">
        <v>804</v>
      </c>
      <c r="D1106" s="17" t="s">
        <v>801</v>
      </c>
      <c r="E1106" s="18">
        <v>3004831179031</v>
      </c>
      <c r="G1106" s="20" t="str">
        <f t="shared" si="51"/>
        <v xml:space="preserve"> ANSES/PLA.GOUTXS</v>
      </c>
      <c r="H1106" s="20" t="str">
        <f t="shared" si="52"/>
        <v>AUBER</v>
      </c>
      <c r="I1106" s="20" t="str">
        <f t="shared" si="53"/>
        <v xml:space="preserve">XL   </v>
      </c>
    </row>
    <row r="1107" spans="1:9">
      <c r="A1107" s="17" t="s">
        <v>1025</v>
      </c>
      <c r="B1107" s="17" t="s">
        <v>280</v>
      </c>
      <c r="C1107" s="17" t="s">
        <v>800</v>
      </c>
      <c r="D1107" s="17" t="s">
        <v>801</v>
      </c>
      <c r="E1107" s="18">
        <v>8058983596692</v>
      </c>
      <c r="G1107" s="20" t="str">
        <f t="shared" si="51"/>
        <v xml:space="preserve"> ANSES/PLA.GOUTXS</v>
      </c>
      <c r="H1107" s="20" t="str">
        <f t="shared" si="52"/>
        <v>BLACK</v>
      </c>
      <c r="I1107" s="20" t="str">
        <f t="shared" si="53"/>
        <v xml:space="preserve">L    </v>
      </c>
    </row>
    <row r="1108" spans="1:9">
      <c r="A1108" s="17" t="s">
        <v>1025</v>
      </c>
      <c r="B1108" s="17" t="s">
        <v>280</v>
      </c>
      <c r="C1108" s="17" t="s">
        <v>800</v>
      </c>
      <c r="D1108" s="17" t="s">
        <v>801</v>
      </c>
      <c r="E1108" s="18">
        <v>3005490004023</v>
      </c>
      <c r="G1108" s="20" t="str">
        <f t="shared" si="51"/>
        <v xml:space="preserve"> ANSES/PLA.GOUTXS</v>
      </c>
      <c r="H1108" s="20" t="str">
        <f t="shared" si="52"/>
        <v>BLACK</v>
      </c>
      <c r="I1108" s="20" t="str">
        <f t="shared" si="53"/>
        <v xml:space="preserve">L    </v>
      </c>
    </row>
    <row r="1109" spans="1:9">
      <c r="A1109" s="17" t="s">
        <v>1025</v>
      </c>
      <c r="B1109" s="17" t="s">
        <v>280</v>
      </c>
      <c r="C1109" s="17" t="s">
        <v>802</v>
      </c>
      <c r="D1109" s="17" t="s">
        <v>801</v>
      </c>
      <c r="E1109" s="18">
        <v>3005490004016</v>
      </c>
      <c r="G1109" s="20" t="str">
        <f t="shared" si="51"/>
        <v xml:space="preserve"> ANSES/PLA.GOUTXS</v>
      </c>
      <c r="H1109" s="20" t="str">
        <f t="shared" si="52"/>
        <v>BLACK</v>
      </c>
      <c r="I1109" s="20" t="str">
        <f t="shared" si="53"/>
        <v xml:space="preserve">M    </v>
      </c>
    </row>
    <row r="1110" spans="1:9">
      <c r="A1110" s="17" t="s">
        <v>1025</v>
      </c>
      <c r="B1110" s="17" t="s">
        <v>280</v>
      </c>
      <c r="C1110" s="17" t="s">
        <v>803</v>
      </c>
      <c r="D1110" s="17" t="s">
        <v>801</v>
      </c>
      <c r="E1110" s="18">
        <v>8058983596920</v>
      </c>
      <c r="G1110" s="20" t="str">
        <f t="shared" si="51"/>
        <v xml:space="preserve"> ANSES/PLA.GOUTXS</v>
      </c>
      <c r="H1110" s="20" t="str">
        <f t="shared" si="52"/>
        <v>BLACK</v>
      </c>
      <c r="I1110" s="20" t="str">
        <f t="shared" si="53"/>
        <v xml:space="preserve">S    </v>
      </c>
    </row>
    <row r="1111" spans="1:9">
      <c r="A1111" s="17" t="s">
        <v>1025</v>
      </c>
      <c r="B1111" s="17" t="s">
        <v>280</v>
      </c>
      <c r="C1111" s="17" t="s">
        <v>803</v>
      </c>
      <c r="D1111" s="17" t="s">
        <v>801</v>
      </c>
      <c r="E1111" s="18">
        <v>3005490004009</v>
      </c>
      <c r="G1111" s="20" t="str">
        <f t="shared" si="51"/>
        <v xml:space="preserve"> ANSES/PLA.GOUTXS</v>
      </c>
      <c r="H1111" s="20" t="str">
        <f t="shared" si="52"/>
        <v>BLACK</v>
      </c>
      <c r="I1111" s="20" t="str">
        <f t="shared" si="53"/>
        <v xml:space="preserve">S    </v>
      </c>
    </row>
    <row r="1112" spans="1:9">
      <c r="A1112" s="17" t="s">
        <v>1025</v>
      </c>
      <c r="B1112" s="17" t="s">
        <v>280</v>
      </c>
      <c r="C1112" s="17" t="s">
        <v>804</v>
      </c>
      <c r="D1112" s="17" t="s">
        <v>801</v>
      </c>
      <c r="E1112" s="18">
        <v>3005490004030</v>
      </c>
      <c r="G1112" s="20" t="str">
        <f t="shared" si="51"/>
        <v xml:space="preserve"> ANSES/PLA.GOUTXS</v>
      </c>
      <c r="H1112" s="20" t="str">
        <f t="shared" si="52"/>
        <v>BLACK</v>
      </c>
      <c r="I1112" s="20" t="str">
        <f t="shared" si="53"/>
        <v xml:space="preserve">XL   </v>
      </c>
    </row>
    <row r="1113" spans="1:9">
      <c r="A1113" s="17" t="s">
        <v>1025</v>
      </c>
      <c r="B1113" s="17" t="s">
        <v>814</v>
      </c>
      <c r="C1113" s="17" t="s">
        <v>800</v>
      </c>
      <c r="D1113" s="17" t="s">
        <v>801</v>
      </c>
      <c r="E1113" s="18">
        <v>8050538590612</v>
      </c>
      <c r="G1113" s="20" t="str">
        <f t="shared" si="51"/>
        <v xml:space="preserve"> ANSES/PLA.GOUTXS</v>
      </c>
      <c r="H1113" s="20" t="str">
        <f t="shared" si="52"/>
        <v>BLUAC</v>
      </c>
      <c r="I1113" s="20" t="str">
        <f t="shared" si="53"/>
        <v xml:space="preserve">L    </v>
      </c>
    </row>
    <row r="1114" spans="1:9">
      <c r="A1114" s="17" t="s">
        <v>1025</v>
      </c>
      <c r="B1114" s="17" t="s">
        <v>814</v>
      </c>
      <c r="C1114" s="17" t="s">
        <v>802</v>
      </c>
      <c r="D1114" s="17" t="s">
        <v>801</v>
      </c>
      <c r="E1114" s="18">
        <v>3004831093016</v>
      </c>
      <c r="G1114" s="20" t="str">
        <f t="shared" si="51"/>
        <v xml:space="preserve"> ANSES/PLA.GOUTXS</v>
      </c>
      <c r="H1114" s="20" t="str">
        <f t="shared" si="52"/>
        <v>BLUAC</v>
      </c>
      <c r="I1114" s="20" t="str">
        <f t="shared" si="53"/>
        <v xml:space="preserve">M    </v>
      </c>
    </row>
    <row r="1115" spans="1:9">
      <c r="A1115" s="17" t="s">
        <v>1025</v>
      </c>
      <c r="B1115" s="17" t="s">
        <v>814</v>
      </c>
      <c r="C1115" s="17" t="s">
        <v>803</v>
      </c>
      <c r="D1115" s="17" t="s">
        <v>801</v>
      </c>
      <c r="E1115" s="18">
        <v>8050538591879</v>
      </c>
      <c r="G1115" s="20" t="str">
        <f t="shared" si="51"/>
        <v xml:space="preserve"> ANSES/PLA.GOUTXS</v>
      </c>
      <c r="H1115" s="20" t="str">
        <f t="shared" si="52"/>
        <v>BLUAC</v>
      </c>
      <c r="I1115" s="20" t="str">
        <f t="shared" si="53"/>
        <v xml:space="preserve">S    </v>
      </c>
    </row>
    <row r="1116" spans="1:9">
      <c r="A1116" s="17" t="s">
        <v>1025</v>
      </c>
      <c r="B1116" s="17" t="s">
        <v>814</v>
      </c>
      <c r="C1116" s="17" t="s">
        <v>804</v>
      </c>
      <c r="D1116" s="17" t="s">
        <v>801</v>
      </c>
      <c r="E1116" s="18">
        <v>3004831093030</v>
      </c>
      <c r="G1116" s="20" t="str">
        <f t="shared" si="51"/>
        <v xml:space="preserve"> ANSES/PLA.GOUTXS</v>
      </c>
      <c r="H1116" s="20" t="str">
        <f t="shared" si="52"/>
        <v>BLUAC</v>
      </c>
      <c r="I1116" s="20" t="str">
        <f t="shared" si="53"/>
        <v xml:space="preserve">XL   </v>
      </c>
    </row>
    <row r="1117" spans="1:9">
      <c r="A1117" s="17" t="s">
        <v>1025</v>
      </c>
      <c r="B1117" s="17" t="s">
        <v>1026</v>
      </c>
      <c r="C1117" s="17" t="s">
        <v>800</v>
      </c>
      <c r="D1117" s="17" t="s">
        <v>801</v>
      </c>
      <c r="E1117" s="18">
        <v>8058983596647</v>
      </c>
      <c r="G1117" s="20" t="str">
        <f t="shared" si="51"/>
        <v xml:space="preserve"> ANSES/PLA.GOUTXS</v>
      </c>
      <c r="H1117" s="20" t="str">
        <f t="shared" si="52"/>
        <v>BLUAV</v>
      </c>
      <c r="I1117" s="20" t="str">
        <f t="shared" si="53"/>
        <v xml:space="preserve">L    </v>
      </c>
    </row>
    <row r="1118" spans="1:9">
      <c r="A1118" s="17" t="s">
        <v>1025</v>
      </c>
      <c r="B1118" s="17" t="s">
        <v>1026</v>
      </c>
      <c r="C1118" s="17" t="s">
        <v>800</v>
      </c>
      <c r="D1118" s="17" t="s">
        <v>801</v>
      </c>
      <c r="E1118" s="18">
        <v>3005490546028</v>
      </c>
      <c r="G1118" s="20" t="str">
        <f t="shared" si="51"/>
        <v xml:space="preserve"> ANSES/PLA.GOUTXS</v>
      </c>
      <c r="H1118" s="20" t="str">
        <f t="shared" si="52"/>
        <v>BLUAV</v>
      </c>
      <c r="I1118" s="20" t="str">
        <f t="shared" si="53"/>
        <v xml:space="preserve">L    </v>
      </c>
    </row>
    <row r="1119" spans="1:9">
      <c r="A1119" s="17" t="s">
        <v>1025</v>
      </c>
      <c r="B1119" s="17" t="s">
        <v>1026</v>
      </c>
      <c r="C1119" s="17" t="s">
        <v>802</v>
      </c>
      <c r="D1119" s="17" t="s">
        <v>801</v>
      </c>
      <c r="E1119" s="18">
        <v>3005490546011</v>
      </c>
      <c r="G1119" s="20" t="str">
        <f t="shared" si="51"/>
        <v xml:space="preserve"> ANSES/PLA.GOUTXS</v>
      </c>
      <c r="H1119" s="20" t="str">
        <f t="shared" si="52"/>
        <v>BLUAV</v>
      </c>
      <c r="I1119" s="20" t="str">
        <f t="shared" si="53"/>
        <v xml:space="preserve">M    </v>
      </c>
    </row>
    <row r="1120" spans="1:9">
      <c r="A1120" s="17" t="s">
        <v>1025</v>
      </c>
      <c r="B1120" s="17" t="s">
        <v>1026</v>
      </c>
      <c r="C1120" s="17" t="s">
        <v>803</v>
      </c>
      <c r="D1120" s="17" t="s">
        <v>801</v>
      </c>
      <c r="E1120" s="18">
        <v>8058983596876</v>
      </c>
      <c r="G1120" s="20" t="str">
        <f t="shared" si="51"/>
        <v xml:space="preserve"> ANSES/PLA.GOUTXS</v>
      </c>
      <c r="H1120" s="20" t="str">
        <f t="shared" si="52"/>
        <v>BLUAV</v>
      </c>
      <c r="I1120" s="20" t="str">
        <f t="shared" si="53"/>
        <v xml:space="preserve">S    </v>
      </c>
    </row>
    <row r="1121" spans="1:9">
      <c r="A1121" s="17" t="s">
        <v>1025</v>
      </c>
      <c r="B1121" s="17" t="s">
        <v>1026</v>
      </c>
      <c r="C1121" s="17" t="s">
        <v>803</v>
      </c>
      <c r="D1121" s="17" t="s">
        <v>801</v>
      </c>
      <c r="E1121" s="18">
        <v>3005490546004</v>
      </c>
      <c r="G1121" s="20" t="str">
        <f t="shared" si="51"/>
        <v xml:space="preserve"> ANSES/PLA.GOUTXS</v>
      </c>
      <c r="H1121" s="20" t="str">
        <f t="shared" si="52"/>
        <v>BLUAV</v>
      </c>
      <c r="I1121" s="20" t="str">
        <f t="shared" si="53"/>
        <v xml:space="preserve">S    </v>
      </c>
    </row>
    <row r="1122" spans="1:9">
      <c r="A1122" s="17" t="s">
        <v>1025</v>
      </c>
      <c r="B1122" s="17" t="s">
        <v>1026</v>
      </c>
      <c r="C1122" s="17" t="s">
        <v>804</v>
      </c>
      <c r="D1122" s="17" t="s">
        <v>801</v>
      </c>
      <c r="E1122" s="18">
        <v>3005490546035</v>
      </c>
      <c r="G1122" s="20" t="str">
        <f t="shared" si="51"/>
        <v xml:space="preserve"> ANSES/PLA.GOUTXS</v>
      </c>
      <c r="H1122" s="20" t="str">
        <f t="shared" si="52"/>
        <v>BLUAV</v>
      </c>
      <c r="I1122" s="20" t="str">
        <f t="shared" si="53"/>
        <v xml:space="preserve">XL   </v>
      </c>
    </row>
    <row r="1123" spans="1:9">
      <c r="A1123" s="17" t="s">
        <v>1025</v>
      </c>
      <c r="B1123" s="17" t="s">
        <v>810</v>
      </c>
      <c r="C1123" s="17" t="s">
        <v>800</v>
      </c>
      <c r="D1123" s="17" t="s">
        <v>801</v>
      </c>
      <c r="E1123" s="18">
        <v>8056099177712</v>
      </c>
      <c r="G1123" s="20" t="str">
        <f t="shared" si="51"/>
        <v xml:space="preserve"> ANSES/PLA.GOUTXS</v>
      </c>
      <c r="H1123" s="20" t="str">
        <f t="shared" si="52"/>
        <v xml:space="preserve">BLUE </v>
      </c>
      <c r="I1123" s="20" t="str">
        <f t="shared" si="53"/>
        <v xml:space="preserve">L    </v>
      </c>
    </row>
    <row r="1124" spans="1:9">
      <c r="A1124" s="17" t="s">
        <v>1025</v>
      </c>
      <c r="B1124" s="17" t="s">
        <v>810</v>
      </c>
      <c r="C1124" s="17" t="s">
        <v>802</v>
      </c>
      <c r="D1124" s="17" t="s">
        <v>801</v>
      </c>
      <c r="E1124" s="18">
        <v>3004830319018</v>
      </c>
      <c r="G1124" s="20" t="str">
        <f t="shared" si="51"/>
        <v xml:space="preserve"> ANSES/PLA.GOUTXS</v>
      </c>
      <c r="H1124" s="20" t="str">
        <f t="shared" si="52"/>
        <v xml:space="preserve">BLUE </v>
      </c>
      <c r="I1124" s="20" t="str">
        <f t="shared" si="53"/>
        <v xml:space="preserve">M    </v>
      </c>
    </row>
    <row r="1125" spans="1:9">
      <c r="A1125" s="17" t="s">
        <v>1025</v>
      </c>
      <c r="B1125" s="17" t="s">
        <v>810</v>
      </c>
      <c r="C1125" s="17" t="s">
        <v>803</v>
      </c>
      <c r="D1125" s="17" t="s">
        <v>801</v>
      </c>
      <c r="E1125" s="18">
        <v>3004830319001</v>
      </c>
      <c r="G1125" s="20" t="str">
        <f t="shared" si="51"/>
        <v xml:space="preserve"> ANSES/PLA.GOUTXS</v>
      </c>
      <c r="H1125" s="20" t="str">
        <f t="shared" si="52"/>
        <v xml:space="preserve">BLUE </v>
      </c>
      <c r="I1125" s="20" t="str">
        <f t="shared" si="53"/>
        <v xml:space="preserve">S    </v>
      </c>
    </row>
    <row r="1126" spans="1:9">
      <c r="A1126" s="17" t="s">
        <v>1025</v>
      </c>
      <c r="B1126" s="17" t="s">
        <v>810</v>
      </c>
      <c r="C1126" s="17" t="s">
        <v>803</v>
      </c>
      <c r="D1126" s="17" t="s">
        <v>801</v>
      </c>
      <c r="E1126" s="18">
        <v>8050846001558</v>
      </c>
      <c r="G1126" s="20" t="str">
        <f t="shared" si="51"/>
        <v xml:space="preserve"> ANSES/PLA.GOUTXS</v>
      </c>
      <c r="H1126" s="20" t="str">
        <f t="shared" si="52"/>
        <v xml:space="preserve">BLUE </v>
      </c>
      <c r="I1126" s="20" t="str">
        <f t="shared" si="53"/>
        <v xml:space="preserve">S    </v>
      </c>
    </row>
    <row r="1127" spans="1:9">
      <c r="A1127" s="17" t="s">
        <v>1025</v>
      </c>
      <c r="B1127" s="17" t="s">
        <v>810</v>
      </c>
      <c r="C1127" s="17" t="s">
        <v>804</v>
      </c>
      <c r="D1127" s="17" t="s">
        <v>801</v>
      </c>
      <c r="E1127" s="18">
        <v>3004830319032</v>
      </c>
      <c r="G1127" s="20" t="str">
        <f t="shared" si="51"/>
        <v xml:space="preserve"> ANSES/PLA.GOUTXS</v>
      </c>
      <c r="H1127" s="20" t="str">
        <f t="shared" si="52"/>
        <v xml:space="preserve">BLUE </v>
      </c>
      <c r="I1127" s="20" t="str">
        <f t="shared" si="53"/>
        <v xml:space="preserve">XL   </v>
      </c>
    </row>
    <row r="1128" spans="1:9">
      <c r="A1128" s="17" t="s">
        <v>1025</v>
      </c>
      <c r="B1128" s="17" t="s">
        <v>1027</v>
      </c>
      <c r="C1128" s="17" t="s">
        <v>800</v>
      </c>
      <c r="D1128" s="17" t="s">
        <v>801</v>
      </c>
      <c r="E1128" s="18">
        <v>3004831151020</v>
      </c>
      <c r="G1128" s="20" t="str">
        <f t="shared" si="51"/>
        <v xml:space="preserve"> ANSES/PLA.GOUTXS</v>
      </c>
      <c r="H1128" s="20" t="str">
        <f t="shared" si="52"/>
        <v>BNIVO</v>
      </c>
      <c r="I1128" s="20" t="str">
        <f t="shared" si="53"/>
        <v xml:space="preserve">L    </v>
      </c>
    </row>
    <row r="1129" spans="1:9">
      <c r="A1129" s="17" t="s">
        <v>1025</v>
      </c>
      <c r="B1129" s="17" t="s">
        <v>1027</v>
      </c>
      <c r="C1129" s="17" t="s">
        <v>800</v>
      </c>
      <c r="D1129" s="17" t="s">
        <v>801</v>
      </c>
      <c r="E1129" s="18">
        <v>8056095064986</v>
      </c>
      <c r="G1129" s="20" t="str">
        <f t="shared" si="51"/>
        <v xml:space="preserve"> ANSES/PLA.GOUTXS</v>
      </c>
      <c r="H1129" s="20" t="str">
        <f t="shared" si="52"/>
        <v>BNIVO</v>
      </c>
      <c r="I1129" s="20" t="str">
        <f t="shared" si="53"/>
        <v xml:space="preserve">L    </v>
      </c>
    </row>
    <row r="1130" spans="1:9">
      <c r="A1130" s="17" t="s">
        <v>1025</v>
      </c>
      <c r="B1130" s="17" t="s">
        <v>1027</v>
      </c>
      <c r="C1130" s="17" t="s">
        <v>802</v>
      </c>
      <c r="D1130" s="17" t="s">
        <v>801</v>
      </c>
      <c r="E1130" s="18">
        <v>3004831151013</v>
      </c>
      <c r="G1130" s="20" t="str">
        <f t="shared" si="51"/>
        <v xml:space="preserve"> ANSES/PLA.GOUTXS</v>
      </c>
      <c r="H1130" s="20" t="str">
        <f t="shared" si="52"/>
        <v>BNIVO</v>
      </c>
      <c r="I1130" s="20" t="str">
        <f t="shared" si="53"/>
        <v xml:space="preserve">M    </v>
      </c>
    </row>
    <row r="1131" spans="1:9">
      <c r="A1131" s="17" t="s">
        <v>1025</v>
      </c>
      <c r="B1131" s="17" t="s">
        <v>1027</v>
      </c>
      <c r="C1131" s="17" t="s">
        <v>803</v>
      </c>
      <c r="D1131" s="17" t="s">
        <v>801</v>
      </c>
      <c r="E1131" s="18">
        <v>3004831151006</v>
      </c>
      <c r="G1131" s="20" t="str">
        <f t="shared" si="51"/>
        <v xml:space="preserve"> ANSES/PLA.GOUTXS</v>
      </c>
      <c r="H1131" s="20" t="str">
        <f t="shared" si="52"/>
        <v>BNIVO</v>
      </c>
      <c r="I1131" s="20" t="str">
        <f t="shared" si="53"/>
        <v xml:space="preserve">S    </v>
      </c>
    </row>
    <row r="1132" spans="1:9">
      <c r="A1132" s="17" t="s">
        <v>1025</v>
      </c>
      <c r="B1132" s="17" t="s">
        <v>1027</v>
      </c>
      <c r="C1132" s="17" t="s">
        <v>804</v>
      </c>
      <c r="D1132" s="17" t="s">
        <v>801</v>
      </c>
      <c r="E1132" s="18">
        <v>3004831151037</v>
      </c>
      <c r="G1132" s="20" t="str">
        <f t="shared" si="51"/>
        <v xml:space="preserve"> ANSES/PLA.GOUTXS</v>
      </c>
      <c r="H1132" s="20" t="str">
        <f t="shared" si="52"/>
        <v>BNIVO</v>
      </c>
      <c r="I1132" s="20" t="str">
        <f t="shared" si="53"/>
        <v xml:space="preserve">XL   </v>
      </c>
    </row>
    <row r="1133" spans="1:9">
      <c r="A1133" s="17" t="s">
        <v>1025</v>
      </c>
      <c r="B1133" s="17" t="s">
        <v>970</v>
      </c>
      <c r="C1133" s="17" t="s">
        <v>800</v>
      </c>
      <c r="D1133" s="17" t="s">
        <v>801</v>
      </c>
      <c r="E1133" s="18">
        <v>3004830164021</v>
      </c>
      <c r="G1133" s="20" t="str">
        <f t="shared" si="51"/>
        <v xml:space="preserve"> ANSES/PLA.GOUTXS</v>
      </c>
      <c r="H1133" s="20" t="str">
        <f t="shared" si="52"/>
        <v>COGNA</v>
      </c>
      <c r="I1133" s="20" t="str">
        <f t="shared" si="53"/>
        <v xml:space="preserve">L    </v>
      </c>
    </row>
    <row r="1134" spans="1:9">
      <c r="A1134" s="17" t="s">
        <v>1025</v>
      </c>
      <c r="B1134" s="17" t="s">
        <v>970</v>
      </c>
      <c r="C1134" s="17" t="s">
        <v>802</v>
      </c>
      <c r="D1134" s="17" t="s">
        <v>801</v>
      </c>
      <c r="E1134" s="18">
        <v>3004830164014</v>
      </c>
      <c r="G1134" s="20" t="str">
        <f t="shared" si="51"/>
        <v xml:space="preserve"> ANSES/PLA.GOUTXS</v>
      </c>
      <c r="H1134" s="20" t="str">
        <f t="shared" si="52"/>
        <v>COGNA</v>
      </c>
      <c r="I1134" s="20" t="str">
        <f t="shared" si="53"/>
        <v xml:space="preserve">M    </v>
      </c>
    </row>
    <row r="1135" spans="1:9">
      <c r="A1135" s="17" t="s">
        <v>1025</v>
      </c>
      <c r="B1135" s="17" t="s">
        <v>970</v>
      </c>
      <c r="C1135" s="17" t="s">
        <v>803</v>
      </c>
      <c r="D1135" s="17" t="s">
        <v>801</v>
      </c>
      <c r="E1135" s="18">
        <v>3004830164007</v>
      </c>
      <c r="G1135" s="20" t="str">
        <f t="shared" si="51"/>
        <v xml:space="preserve"> ANSES/PLA.GOUTXS</v>
      </c>
      <c r="H1135" s="20" t="str">
        <f t="shared" si="52"/>
        <v>COGNA</v>
      </c>
      <c r="I1135" s="20" t="str">
        <f t="shared" si="53"/>
        <v xml:space="preserve">S    </v>
      </c>
    </row>
    <row r="1136" spans="1:9">
      <c r="A1136" s="17" t="s">
        <v>1025</v>
      </c>
      <c r="B1136" s="17" t="s">
        <v>970</v>
      </c>
      <c r="C1136" s="17" t="s">
        <v>804</v>
      </c>
      <c r="D1136" s="17" t="s">
        <v>801</v>
      </c>
      <c r="E1136" s="18">
        <v>3004830164038</v>
      </c>
      <c r="G1136" s="20" t="str">
        <f t="shared" si="51"/>
        <v xml:space="preserve"> ANSES/PLA.GOUTXS</v>
      </c>
      <c r="H1136" s="20" t="str">
        <f t="shared" si="52"/>
        <v>COGNA</v>
      </c>
      <c r="I1136" s="20" t="str">
        <f t="shared" si="53"/>
        <v xml:space="preserve">XL   </v>
      </c>
    </row>
    <row r="1137" spans="1:9">
      <c r="A1137" s="17" t="s">
        <v>1025</v>
      </c>
      <c r="B1137" s="17" t="s">
        <v>819</v>
      </c>
      <c r="C1137" s="17" t="s">
        <v>800</v>
      </c>
      <c r="D1137" s="17" t="s">
        <v>801</v>
      </c>
      <c r="E1137" s="18">
        <v>8058983596654</v>
      </c>
      <c r="G1137" s="20" t="str">
        <f t="shared" si="51"/>
        <v xml:space="preserve"> ANSES/PLA.GOUTXS</v>
      </c>
      <c r="H1137" s="20" t="str">
        <f t="shared" si="52"/>
        <v xml:space="preserve">DOVE </v>
      </c>
      <c r="I1137" s="20" t="str">
        <f t="shared" si="53"/>
        <v xml:space="preserve">L    </v>
      </c>
    </row>
    <row r="1138" spans="1:9">
      <c r="A1138" s="17" t="s">
        <v>1025</v>
      </c>
      <c r="B1138" s="17" t="s">
        <v>819</v>
      </c>
      <c r="C1138" s="17" t="s">
        <v>800</v>
      </c>
      <c r="D1138" s="17" t="s">
        <v>801</v>
      </c>
      <c r="E1138" s="18">
        <v>3005490570023</v>
      </c>
      <c r="G1138" s="20" t="str">
        <f t="shared" si="51"/>
        <v xml:space="preserve"> ANSES/PLA.GOUTXS</v>
      </c>
      <c r="H1138" s="20" t="str">
        <f t="shared" si="52"/>
        <v xml:space="preserve">DOVE </v>
      </c>
      <c r="I1138" s="20" t="str">
        <f t="shared" si="53"/>
        <v xml:space="preserve">L    </v>
      </c>
    </row>
    <row r="1139" spans="1:9">
      <c r="A1139" s="17" t="s">
        <v>1025</v>
      </c>
      <c r="B1139" s="17" t="s">
        <v>819</v>
      </c>
      <c r="C1139" s="17" t="s">
        <v>802</v>
      </c>
      <c r="D1139" s="17" t="s">
        <v>801</v>
      </c>
      <c r="E1139" s="18">
        <v>3005490570016</v>
      </c>
      <c r="G1139" s="20" t="str">
        <f t="shared" si="51"/>
        <v xml:space="preserve"> ANSES/PLA.GOUTXS</v>
      </c>
      <c r="H1139" s="20" t="str">
        <f t="shared" si="52"/>
        <v xml:space="preserve">DOVE </v>
      </c>
      <c r="I1139" s="20" t="str">
        <f t="shared" si="53"/>
        <v xml:space="preserve">M    </v>
      </c>
    </row>
    <row r="1140" spans="1:9">
      <c r="A1140" s="17" t="s">
        <v>1025</v>
      </c>
      <c r="B1140" s="17" t="s">
        <v>819</v>
      </c>
      <c r="C1140" s="17" t="s">
        <v>803</v>
      </c>
      <c r="D1140" s="17" t="s">
        <v>801</v>
      </c>
      <c r="E1140" s="18">
        <v>3005490570009</v>
      </c>
      <c r="G1140" s="20" t="str">
        <f t="shared" si="51"/>
        <v xml:space="preserve"> ANSES/PLA.GOUTXS</v>
      </c>
      <c r="H1140" s="20" t="str">
        <f t="shared" si="52"/>
        <v xml:space="preserve">DOVE </v>
      </c>
      <c r="I1140" s="20" t="str">
        <f t="shared" si="53"/>
        <v xml:space="preserve">S    </v>
      </c>
    </row>
    <row r="1141" spans="1:9">
      <c r="A1141" s="17" t="s">
        <v>1025</v>
      </c>
      <c r="B1141" s="17" t="s">
        <v>819</v>
      </c>
      <c r="C1141" s="17" t="s">
        <v>803</v>
      </c>
      <c r="D1141" s="17" t="s">
        <v>801</v>
      </c>
      <c r="E1141" s="18">
        <v>8058983596883</v>
      </c>
      <c r="G1141" s="20" t="str">
        <f t="shared" si="51"/>
        <v xml:space="preserve"> ANSES/PLA.GOUTXS</v>
      </c>
      <c r="H1141" s="20" t="str">
        <f t="shared" si="52"/>
        <v xml:space="preserve">DOVE </v>
      </c>
      <c r="I1141" s="20" t="str">
        <f t="shared" si="53"/>
        <v xml:space="preserve">S    </v>
      </c>
    </row>
    <row r="1142" spans="1:9">
      <c r="A1142" s="17" t="s">
        <v>1025</v>
      </c>
      <c r="B1142" s="17" t="s">
        <v>819</v>
      </c>
      <c r="C1142" s="17" t="s">
        <v>804</v>
      </c>
      <c r="D1142" s="17" t="s">
        <v>801</v>
      </c>
      <c r="E1142" s="18">
        <v>3005490570030</v>
      </c>
      <c r="G1142" s="20" t="str">
        <f t="shared" si="51"/>
        <v xml:space="preserve"> ANSES/PLA.GOUTXS</v>
      </c>
      <c r="H1142" s="20" t="str">
        <f t="shared" si="52"/>
        <v xml:space="preserve">DOVE </v>
      </c>
      <c r="I1142" s="20" t="str">
        <f t="shared" si="53"/>
        <v xml:space="preserve">XL   </v>
      </c>
    </row>
    <row r="1143" spans="1:9">
      <c r="A1143" s="17" t="s">
        <v>1025</v>
      </c>
      <c r="B1143" s="17" t="s">
        <v>1028</v>
      </c>
      <c r="C1143" s="17" t="s">
        <v>800</v>
      </c>
      <c r="D1143" s="17" t="s">
        <v>801</v>
      </c>
      <c r="E1143" s="18">
        <v>3004831006023</v>
      </c>
      <c r="G1143" s="20" t="str">
        <f t="shared" si="51"/>
        <v xml:space="preserve"> ANSES/PLA.GOUTXS</v>
      </c>
      <c r="H1143" s="20" t="str">
        <f t="shared" si="52"/>
        <v>GEBLU</v>
      </c>
      <c r="I1143" s="20" t="str">
        <f t="shared" si="53"/>
        <v xml:space="preserve">L    </v>
      </c>
    </row>
    <row r="1144" spans="1:9">
      <c r="A1144" s="17" t="s">
        <v>1025</v>
      </c>
      <c r="B1144" s="17" t="s">
        <v>1028</v>
      </c>
      <c r="C1144" s="17" t="s">
        <v>800</v>
      </c>
      <c r="D1144" s="17" t="s">
        <v>801</v>
      </c>
      <c r="E1144" s="18">
        <v>8056300454618</v>
      </c>
      <c r="G1144" s="20" t="str">
        <f t="shared" si="51"/>
        <v xml:space="preserve"> ANSES/PLA.GOUTXS</v>
      </c>
      <c r="H1144" s="20" t="str">
        <f t="shared" si="52"/>
        <v>GEBLU</v>
      </c>
      <c r="I1144" s="20" t="str">
        <f t="shared" si="53"/>
        <v xml:space="preserve">L    </v>
      </c>
    </row>
    <row r="1145" spans="1:9">
      <c r="A1145" s="17" t="s">
        <v>1025</v>
      </c>
      <c r="B1145" s="17" t="s">
        <v>1028</v>
      </c>
      <c r="C1145" s="17" t="s">
        <v>802</v>
      </c>
      <c r="D1145" s="17" t="s">
        <v>801</v>
      </c>
      <c r="E1145" s="18">
        <v>3004831006016</v>
      </c>
      <c r="G1145" s="20" t="str">
        <f t="shared" si="51"/>
        <v xml:space="preserve"> ANSES/PLA.GOUTXS</v>
      </c>
      <c r="H1145" s="20" t="str">
        <f t="shared" si="52"/>
        <v>GEBLU</v>
      </c>
      <c r="I1145" s="20" t="str">
        <f t="shared" si="53"/>
        <v xml:space="preserve">M    </v>
      </c>
    </row>
    <row r="1146" spans="1:9">
      <c r="A1146" s="17" t="s">
        <v>1025</v>
      </c>
      <c r="B1146" s="17" t="s">
        <v>1028</v>
      </c>
      <c r="C1146" s="17" t="s">
        <v>802</v>
      </c>
      <c r="D1146" s="17" t="s">
        <v>801</v>
      </c>
      <c r="E1146" s="18">
        <v>3005491006019</v>
      </c>
      <c r="G1146" s="20" t="str">
        <f t="shared" si="51"/>
        <v xml:space="preserve"> ANSES/PLA.GOUTXS</v>
      </c>
      <c r="H1146" s="20" t="str">
        <f t="shared" si="52"/>
        <v>GEBLU</v>
      </c>
      <c r="I1146" s="20" t="str">
        <f t="shared" si="53"/>
        <v xml:space="preserve">M    </v>
      </c>
    </row>
    <row r="1147" spans="1:9">
      <c r="A1147" s="17" t="s">
        <v>1025</v>
      </c>
      <c r="B1147" s="17" t="s">
        <v>1028</v>
      </c>
      <c r="C1147" s="17" t="s">
        <v>803</v>
      </c>
      <c r="D1147" s="17" t="s">
        <v>801</v>
      </c>
      <c r="E1147" s="18">
        <v>8056300454557</v>
      </c>
      <c r="G1147" s="20" t="str">
        <f t="shared" si="51"/>
        <v xml:space="preserve"> ANSES/PLA.GOUTXS</v>
      </c>
      <c r="H1147" s="20" t="str">
        <f t="shared" si="52"/>
        <v>GEBLU</v>
      </c>
      <c r="I1147" s="20" t="str">
        <f t="shared" si="53"/>
        <v xml:space="preserve">S    </v>
      </c>
    </row>
    <row r="1148" spans="1:9">
      <c r="A1148" s="17" t="s">
        <v>1025</v>
      </c>
      <c r="B1148" s="17" t="s">
        <v>1028</v>
      </c>
      <c r="C1148" s="17" t="s">
        <v>803</v>
      </c>
      <c r="D1148" s="17" t="s">
        <v>801</v>
      </c>
      <c r="E1148" s="18">
        <v>3004831006009</v>
      </c>
      <c r="G1148" s="20" t="str">
        <f t="shared" si="51"/>
        <v xml:space="preserve"> ANSES/PLA.GOUTXS</v>
      </c>
      <c r="H1148" s="20" t="str">
        <f t="shared" si="52"/>
        <v>GEBLU</v>
      </c>
      <c r="I1148" s="20" t="str">
        <f t="shared" si="53"/>
        <v xml:space="preserve">S    </v>
      </c>
    </row>
    <row r="1149" spans="1:9">
      <c r="A1149" s="17" t="s">
        <v>1025</v>
      </c>
      <c r="B1149" s="17" t="s">
        <v>1028</v>
      </c>
      <c r="C1149" s="17" t="s">
        <v>803</v>
      </c>
      <c r="D1149" s="17" t="s">
        <v>801</v>
      </c>
      <c r="E1149" s="18">
        <v>3005491006002</v>
      </c>
      <c r="G1149" s="20" t="str">
        <f t="shared" si="51"/>
        <v xml:space="preserve"> ANSES/PLA.GOUTXS</v>
      </c>
      <c r="H1149" s="20" t="str">
        <f t="shared" si="52"/>
        <v>GEBLU</v>
      </c>
      <c r="I1149" s="20" t="str">
        <f t="shared" si="53"/>
        <v xml:space="preserve">S    </v>
      </c>
    </row>
    <row r="1150" spans="1:9">
      <c r="A1150" s="17" t="s">
        <v>1025</v>
      </c>
      <c r="B1150" s="17" t="s">
        <v>1028</v>
      </c>
      <c r="C1150" s="17" t="s">
        <v>804</v>
      </c>
      <c r="D1150" s="17" t="s">
        <v>801</v>
      </c>
      <c r="E1150" s="18">
        <v>3004831006030</v>
      </c>
      <c r="G1150" s="20" t="str">
        <f t="shared" si="51"/>
        <v xml:space="preserve"> ANSES/PLA.GOUTXS</v>
      </c>
      <c r="H1150" s="20" t="str">
        <f t="shared" si="52"/>
        <v>GEBLU</v>
      </c>
      <c r="I1150" s="20" t="str">
        <f t="shared" si="53"/>
        <v xml:space="preserve">XL   </v>
      </c>
    </row>
    <row r="1151" spans="1:9">
      <c r="A1151" s="17" t="s">
        <v>1025</v>
      </c>
      <c r="B1151" s="17" t="s">
        <v>1028</v>
      </c>
      <c r="C1151" s="17" t="s">
        <v>804</v>
      </c>
      <c r="D1151" s="17" t="s">
        <v>801</v>
      </c>
      <c r="E1151" s="18">
        <v>3005491006033</v>
      </c>
      <c r="G1151" s="20" t="str">
        <f t="shared" si="51"/>
        <v xml:space="preserve"> ANSES/PLA.GOUTXS</v>
      </c>
      <c r="H1151" s="20" t="str">
        <f t="shared" si="52"/>
        <v>GEBLU</v>
      </c>
      <c r="I1151" s="20" t="str">
        <f t="shared" si="53"/>
        <v xml:space="preserve">XL   </v>
      </c>
    </row>
    <row r="1152" spans="1:9">
      <c r="A1152" s="17" t="s">
        <v>1025</v>
      </c>
      <c r="B1152" s="17" t="s">
        <v>1029</v>
      </c>
      <c r="C1152" s="17" t="s">
        <v>800</v>
      </c>
      <c r="D1152" s="17" t="s">
        <v>801</v>
      </c>
      <c r="E1152" s="18">
        <v>3004831004029</v>
      </c>
      <c r="G1152" s="20" t="str">
        <f t="shared" si="51"/>
        <v xml:space="preserve"> ANSES/PLA.GOUTXS</v>
      </c>
      <c r="H1152" s="20" t="str">
        <f t="shared" si="52"/>
        <v>GEOBL</v>
      </c>
      <c r="I1152" s="20" t="str">
        <f t="shared" si="53"/>
        <v xml:space="preserve">L    </v>
      </c>
    </row>
    <row r="1153" spans="1:9">
      <c r="A1153" s="17" t="s">
        <v>1025</v>
      </c>
      <c r="B1153" s="17" t="s">
        <v>1029</v>
      </c>
      <c r="C1153" s="17" t="s">
        <v>800</v>
      </c>
      <c r="D1153" s="17" t="s">
        <v>801</v>
      </c>
      <c r="E1153" s="18">
        <v>8056300454625</v>
      </c>
      <c r="G1153" s="20" t="str">
        <f t="shared" si="51"/>
        <v xml:space="preserve"> ANSES/PLA.GOUTXS</v>
      </c>
      <c r="H1153" s="20" t="str">
        <f t="shared" si="52"/>
        <v>GEOBL</v>
      </c>
      <c r="I1153" s="20" t="str">
        <f t="shared" si="53"/>
        <v xml:space="preserve">L    </v>
      </c>
    </row>
    <row r="1154" spans="1:9">
      <c r="A1154" s="17" t="s">
        <v>1025</v>
      </c>
      <c r="B1154" s="17" t="s">
        <v>1029</v>
      </c>
      <c r="C1154" s="17" t="s">
        <v>802</v>
      </c>
      <c r="D1154" s="17" t="s">
        <v>801</v>
      </c>
      <c r="E1154" s="18">
        <v>3004831004012</v>
      </c>
      <c r="G1154" s="20" t="str">
        <f t="shared" si="51"/>
        <v xml:space="preserve"> ANSES/PLA.GOUTXS</v>
      </c>
      <c r="H1154" s="20" t="str">
        <f t="shared" si="52"/>
        <v>GEOBL</v>
      </c>
      <c r="I1154" s="20" t="str">
        <f t="shared" si="53"/>
        <v xml:space="preserve">M    </v>
      </c>
    </row>
    <row r="1155" spans="1:9">
      <c r="A1155" s="17" t="s">
        <v>1025</v>
      </c>
      <c r="B1155" s="17" t="s">
        <v>1029</v>
      </c>
      <c r="C1155" s="17" t="s">
        <v>802</v>
      </c>
      <c r="D1155" s="17" t="s">
        <v>801</v>
      </c>
      <c r="E1155" s="18">
        <v>3005491004015</v>
      </c>
      <c r="G1155" s="20" t="str">
        <f t="shared" si="51"/>
        <v xml:space="preserve"> ANSES/PLA.GOUTXS</v>
      </c>
      <c r="H1155" s="20" t="str">
        <f t="shared" si="52"/>
        <v>GEOBL</v>
      </c>
      <c r="I1155" s="20" t="str">
        <f t="shared" si="53"/>
        <v xml:space="preserve">M    </v>
      </c>
    </row>
    <row r="1156" spans="1:9">
      <c r="A1156" s="17" t="s">
        <v>1025</v>
      </c>
      <c r="B1156" s="17" t="s">
        <v>1029</v>
      </c>
      <c r="C1156" s="17" t="s">
        <v>803</v>
      </c>
      <c r="D1156" s="17" t="s">
        <v>801</v>
      </c>
      <c r="E1156" s="18">
        <v>3004831004005</v>
      </c>
      <c r="G1156" s="20" t="str">
        <f t="shared" si="51"/>
        <v xml:space="preserve"> ANSES/PLA.GOUTXS</v>
      </c>
      <c r="H1156" s="20" t="str">
        <f t="shared" si="52"/>
        <v>GEOBL</v>
      </c>
      <c r="I1156" s="20" t="str">
        <f t="shared" si="53"/>
        <v xml:space="preserve">S    </v>
      </c>
    </row>
    <row r="1157" spans="1:9">
      <c r="A1157" s="17" t="s">
        <v>1025</v>
      </c>
      <c r="B1157" s="17" t="s">
        <v>1029</v>
      </c>
      <c r="C1157" s="17" t="s">
        <v>803</v>
      </c>
      <c r="D1157" s="17" t="s">
        <v>801</v>
      </c>
      <c r="E1157" s="18">
        <v>8056300454564</v>
      </c>
      <c r="G1157" s="20" t="str">
        <f t="shared" ref="G1157:G1220" si="54">A1157</f>
        <v xml:space="preserve"> ANSES/PLA.GOUTXS</v>
      </c>
      <c r="H1157" s="20" t="str">
        <f t="shared" ref="H1157:H1220" si="55">B1157</f>
        <v>GEOBL</v>
      </c>
      <c r="I1157" s="20" t="str">
        <f t="shared" ref="I1157:I1220" si="56">C1157</f>
        <v xml:space="preserve">S    </v>
      </c>
    </row>
    <row r="1158" spans="1:9">
      <c r="A1158" s="17" t="s">
        <v>1025</v>
      </c>
      <c r="B1158" s="17" t="s">
        <v>1029</v>
      </c>
      <c r="C1158" s="17" t="s">
        <v>804</v>
      </c>
      <c r="D1158" s="17" t="s">
        <v>801</v>
      </c>
      <c r="E1158" s="18">
        <v>3004831004036</v>
      </c>
      <c r="G1158" s="20" t="str">
        <f t="shared" si="54"/>
        <v xml:space="preserve"> ANSES/PLA.GOUTXS</v>
      </c>
      <c r="H1158" s="20" t="str">
        <f t="shared" si="55"/>
        <v>GEOBL</v>
      </c>
      <c r="I1158" s="20" t="str">
        <f t="shared" si="56"/>
        <v xml:space="preserve">XL   </v>
      </c>
    </row>
    <row r="1159" spans="1:9">
      <c r="A1159" s="17" t="s">
        <v>1025</v>
      </c>
      <c r="B1159" s="17" t="s">
        <v>1029</v>
      </c>
      <c r="C1159" s="17" t="s">
        <v>804</v>
      </c>
      <c r="D1159" s="17" t="s">
        <v>801</v>
      </c>
      <c r="E1159" s="18">
        <v>3005491004039</v>
      </c>
      <c r="G1159" s="20" t="str">
        <f t="shared" si="54"/>
        <v xml:space="preserve"> ANSES/PLA.GOUTXS</v>
      </c>
      <c r="H1159" s="20" t="str">
        <f t="shared" si="55"/>
        <v>GEOBL</v>
      </c>
      <c r="I1159" s="20" t="str">
        <f t="shared" si="56"/>
        <v xml:space="preserve">XL   </v>
      </c>
    </row>
    <row r="1160" spans="1:9">
      <c r="A1160" s="17" t="s">
        <v>1025</v>
      </c>
      <c r="B1160" s="17" t="s">
        <v>1030</v>
      </c>
      <c r="C1160" s="17" t="s">
        <v>800</v>
      </c>
      <c r="D1160" s="17" t="s">
        <v>801</v>
      </c>
      <c r="E1160" s="18">
        <v>3004831031025</v>
      </c>
      <c r="G1160" s="20" t="str">
        <f t="shared" si="54"/>
        <v xml:space="preserve"> ANSES/PLA.GOUTXS</v>
      </c>
      <c r="H1160" s="20" t="str">
        <f t="shared" si="55"/>
        <v>GEOBO</v>
      </c>
      <c r="I1160" s="20" t="str">
        <f t="shared" si="56"/>
        <v xml:space="preserve">L    </v>
      </c>
    </row>
    <row r="1161" spans="1:9">
      <c r="A1161" s="17" t="s">
        <v>1025</v>
      </c>
      <c r="B1161" s="17" t="s">
        <v>1030</v>
      </c>
      <c r="C1161" s="17" t="s">
        <v>800</v>
      </c>
      <c r="D1161" s="17" t="s">
        <v>801</v>
      </c>
      <c r="E1161" s="18">
        <v>8056300454601</v>
      </c>
      <c r="G1161" s="20" t="str">
        <f t="shared" si="54"/>
        <v xml:space="preserve"> ANSES/PLA.GOUTXS</v>
      </c>
      <c r="H1161" s="20" t="str">
        <f t="shared" si="55"/>
        <v>GEOBO</v>
      </c>
      <c r="I1161" s="20" t="str">
        <f t="shared" si="56"/>
        <v xml:space="preserve">L    </v>
      </c>
    </row>
    <row r="1162" spans="1:9">
      <c r="A1162" s="17" t="s">
        <v>1025</v>
      </c>
      <c r="B1162" s="17" t="s">
        <v>1030</v>
      </c>
      <c r="C1162" s="17" t="s">
        <v>802</v>
      </c>
      <c r="D1162" s="17" t="s">
        <v>801</v>
      </c>
      <c r="E1162" s="18">
        <v>3004831031018</v>
      </c>
      <c r="G1162" s="20" t="str">
        <f t="shared" si="54"/>
        <v xml:space="preserve"> ANSES/PLA.GOUTXS</v>
      </c>
      <c r="H1162" s="20" t="str">
        <f t="shared" si="55"/>
        <v>GEOBO</v>
      </c>
      <c r="I1162" s="20" t="str">
        <f t="shared" si="56"/>
        <v xml:space="preserve">M    </v>
      </c>
    </row>
    <row r="1163" spans="1:9">
      <c r="A1163" s="17" t="s">
        <v>1025</v>
      </c>
      <c r="B1163" s="17" t="s">
        <v>1030</v>
      </c>
      <c r="C1163" s="17" t="s">
        <v>802</v>
      </c>
      <c r="D1163" s="17" t="s">
        <v>801</v>
      </c>
      <c r="E1163" s="18">
        <v>3005491031011</v>
      </c>
      <c r="G1163" s="20" t="str">
        <f t="shared" si="54"/>
        <v xml:space="preserve"> ANSES/PLA.GOUTXS</v>
      </c>
      <c r="H1163" s="20" t="str">
        <f t="shared" si="55"/>
        <v>GEOBO</v>
      </c>
      <c r="I1163" s="20" t="str">
        <f t="shared" si="56"/>
        <v xml:space="preserve">M    </v>
      </c>
    </row>
    <row r="1164" spans="1:9">
      <c r="A1164" s="17" t="s">
        <v>1025</v>
      </c>
      <c r="B1164" s="17" t="s">
        <v>1030</v>
      </c>
      <c r="C1164" s="17" t="s">
        <v>803</v>
      </c>
      <c r="D1164" s="17" t="s">
        <v>801</v>
      </c>
      <c r="E1164" s="18">
        <v>3004831031001</v>
      </c>
      <c r="G1164" s="20" t="str">
        <f t="shared" si="54"/>
        <v xml:space="preserve"> ANSES/PLA.GOUTXS</v>
      </c>
      <c r="H1164" s="20" t="str">
        <f t="shared" si="55"/>
        <v>GEOBO</v>
      </c>
      <c r="I1164" s="20" t="str">
        <f t="shared" si="56"/>
        <v xml:space="preserve">S    </v>
      </c>
    </row>
    <row r="1165" spans="1:9">
      <c r="A1165" s="17" t="s">
        <v>1025</v>
      </c>
      <c r="B1165" s="17" t="s">
        <v>1030</v>
      </c>
      <c r="C1165" s="17" t="s">
        <v>803</v>
      </c>
      <c r="D1165" s="17" t="s">
        <v>801</v>
      </c>
      <c r="E1165" s="18">
        <v>8056300454540</v>
      </c>
      <c r="G1165" s="20" t="str">
        <f t="shared" si="54"/>
        <v xml:space="preserve"> ANSES/PLA.GOUTXS</v>
      </c>
      <c r="H1165" s="20" t="str">
        <f t="shared" si="55"/>
        <v>GEOBO</v>
      </c>
      <c r="I1165" s="20" t="str">
        <f t="shared" si="56"/>
        <v xml:space="preserve">S    </v>
      </c>
    </row>
    <row r="1166" spans="1:9">
      <c r="A1166" s="17" t="s">
        <v>1025</v>
      </c>
      <c r="B1166" s="17" t="s">
        <v>1030</v>
      </c>
      <c r="C1166" s="17" t="s">
        <v>804</v>
      </c>
      <c r="D1166" s="17" t="s">
        <v>801</v>
      </c>
      <c r="E1166" s="18">
        <v>3004831031032</v>
      </c>
      <c r="G1166" s="20" t="str">
        <f t="shared" si="54"/>
        <v xml:space="preserve"> ANSES/PLA.GOUTXS</v>
      </c>
      <c r="H1166" s="20" t="str">
        <f t="shared" si="55"/>
        <v>GEOBO</v>
      </c>
      <c r="I1166" s="20" t="str">
        <f t="shared" si="56"/>
        <v xml:space="preserve">XL   </v>
      </c>
    </row>
    <row r="1167" spans="1:9">
      <c r="A1167" s="17" t="s">
        <v>1025</v>
      </c>
      <c r="B1167" s="17" t="s">
        <v>1030</v>
      </c>
      <c r="C1167" s="17" t="s">
        <v>804</v>
      </c>
      <c r="D1167" s="17" t="s">
        <v>801</v>
      </c>
      <c r="E1167" s="18">
        <v>3005491031035</v>
      </c>
      <c r="G1167" s="20" t="str">
        <f t="shared" si="54"/>
        <v xml:space="preserve"> ANSES/PLA.GOUTXS</v>
      </c>
      <c r="H1167" s="20" t="str">
        <f t="shared" si="55"/>
        <v>GEOBO</v>
      </c>
      <c r="I1167" s="20" t="str">
        <f t="shared" si="56"/>
        <v xml:space="preserve">XL   </v>
      </c>
    </row>
    <row r="1168" spans="1:9">
      <c r="A1168" s="17" t="s">
        <v>1025</v>
      </c>
      <c r="B1168" s="17" t="s">
        <v>858</v>
      </c>
      <c r="C1168" s="17" t="s">
        <v>800</v>
      </c>
      <c r="D1168" s="17" t="s">
        <v>801</v>
      </c>
      <c r="E1168" s="18">
        <v>3005490002029</v>
      </c>
      <c r="G1168" s="20" t="str">
        <f t="shared" si="54"/>
        <v xml:space="preserve"> ANSES/PLA.GOUTXS</v>
      </c>
      <c r="H1168" s="20" t="str">
        <f t="shared" si="55"/>
        <v xml:space="preserve">GREY </v>
      </c>
      <c r="I1168" s="20" t="str">
        <f t="shared" si="56"/>
        <v xml:space="preserve">L    </v>
      </c>
    </row>
    <row r="1169" spans="1:9">
      <c r="A1169" s="17" t="s">
        <v>1025</v>
      </c>
      <c r="B1169" s="17" t="s">
        <v>858</v>
      </c>
      <c r="C1169" s="17" t="s">
        <v>800</v>
      </c>
      <c r="D1169" s="17" t="s">
        <v>801</v>
      </c>
      <c r="E1169" s="18">
        <v>8058983596661</v>
      </c>
      <c r="G1169" s="20" t="str">
        <f t="shared" si="54"/>
        <v xml:space="preserve"> ANSES/PLA.GOUTXS</v>
      </c>
      <c r="H1169" s="20" t="str">
        <f t="shared" si="55"/>
        <v xml:space="preserve">GREY </v>
      </c>
      <c r="I1169" s="20" t="str">
        <f t="shared" si="56"/>
        <v xml:space="preserve">L    </v>
      </c>
    </row>
    <row r="1170" spans="1:9">
      <c r="A1170" s="17" t="s">
        <v>1025</v>
      </c>
      <c r="B1170" s="17" t="s">
        <v>858</v>
      </c>
      <c r="C1170" s="17" t="s">
        <v>802</v>
      </c>
      <c r="D1170" s="17" t="s">
        <v>801</v>
      </c>
      <c r="E1170" s="18">
        <v>3005490002012</v>
      </c>
      <c r="G1170" s="20" t="str">
        <f t="shared" si="54"/>
        <v xml:space="preserve"> ANSES/PLA.GOUTXS</v>
      </c>
      <c r="H1170" s="20" t="str">
        <f t="shared" si="55"/>
        <v xml:space="preserve">GREY </v>
      </c>
      <c r="I1170" s="20" t="str">
        <f t="shared" si="56"/>
        <v xml:space="preserve">M    </v>
      </c>
    </row>
    <row r="1171" spans="1:9">
      <c r="A1171" s="17" t="s">
        <v>1025</v>
      </c>
      <c r="B1171" s="17" t="s">
        <v>858</v>
      </c>
      <c r="C1171" s="17" t="s">
        <v>803</v>
      </c>
      <c r="D1171" s="17" t="s">
        <v>801</v>
      </c>
      <c r="E1171" s="18">
        <v>3005490002005</v>
      </c>
      <c r="G1171" s="20" t="str">
        <f t="shared" si="54"/>
        <v xml:space="preserve"> ANSES/PLA.GOUTXS</v>
      </c>
      <c r="H1171" s="20" t="str">
        <f t="shared" si="55"/>
        <v xml:space="preserve">GREY </v>
      </c>
      <c r="I1171" s="20" t="str">
        <f t="shared" si="56"/>
        <v xml:space="preserve">S    </v>
      </c>
    </row>
    <row r="1172" spans="1:9">
      <c r="A1172" s="17" t="s">
        <v>1025</v>
      </c>
      <c r="B1172" s="17" t="s">
        <v>858</v>
      </c>
      <c r="C1172" s="17" t="s">
        <v>803</v>
      </c>
      <c r="D1172" s="17" t="s">
        <v>801</v>
      </c>
      <c r="E1172" s="18">
        <v>8058983596890</v>
      </c>
      <c r="G1172" s="20" t="str">
        <f t="shared" si="54"/>
        <v xml:space="preserve"> ANSES/PLA.GOUTXS</v>
      </c>
      <c r="H1172" s="20" t="str">
        <f t="shared" si="55"/>
        <v xml:space="preserve">GREY </v>
      </c>
      <c r="I1172" s="20" t="str">
        <f t="shared" si="56"/>
        <v xml:space="preserve">S    </v>
      </c>
    </row>
    <row r="1173" spans="1:9">
      <c r="A1173" s="17" t="s">
        <v>1025</v>
      </c>
      <c r="B1173" s="17" t="s">
        <v>858</v>
      </c>
      <c r="C1173" s="17" t="s">
        <v>804</v>
      </c>
      <c r="D1173" s="17" t="s">
        <v>801</v>
      </c>
      <c r="E1173" s="18">
        <v>3005490002036</v>
      </c>
      <c r="G1173" s="20" t="str">
        <f t="shared" si="54"/>
        <v xml:space="preserve"> ANSES/PLA.GOUTXS</v>
      </c>
      <c r="H1173" s="20" t="str">
        <f t="shared" si="55"/>
        <v xml:space="preserve">GREY </v>
      </c>
      <c r="I1173" s="20" t="str">
        <f t="shared" si="56"/>
        <v xml:space="preserve">XL   </v>
      </c>
    </row>
    <row r="1174" spans="1:9">
      <c r="A1174" s="17" t="s">
        <v>1025</v>
      </c>
      <c r="B1174" s="17" t="s">
        <v>978</v>
      </c>
      <c r="C1174" s="17" t="s">
        <v>800</v>
      </c>
      <c r="D1174" s="17" t="s">
        <v>801</v>
      </c>
      <c r="E1174" s="18">
        <v>3004831000021</v>
      </c>
      <c r="G1174" s="20" t="str">
        <f t="shared" si="54"/>
        <v xml:space="preserve"> ANSES/PLA.GOUTXS</v>
      </c>
      <c r="H1174" s="20" t="str">
        <f t="shared" si="55"/>
        <v>GRIGI</v>
      </c>
      <c r="I1174" s="20" t="str">
        <f t="shared" si="56"/>
        <v xml:space="preserve">L    </v>
      </c>
    </row>
    <row r="1175" spans="1:9">
      <c r="A1175" s="17" t="s">
        <v>1025</v>
      </c>
      <c r="B1175" s="17" t="s">
        <v>978</v>
      </c>
      <c r="C1175" s="17" t="s">
        <v>800</v>
      </c>
      <c r="D1175" s="17" t="s">
        <v>801</v>
      </c>
      <c r="E1175" s="18">
        <v>3005491000024</v>
      </c>
      <c r="G1175" s="20" t="str">
        <f t="shared" si="54"/>
        <v xml:space="preserve"> ANSES/PLA.GOUTXS</v>
      </c>
      <c r="H1175" s="20" t="str">
        <f t="shared" si="55"/>
        <v>GRIGI</v>
      </c>
      <c r="I1175" s="20" t="str">
        <f t="shared" si="56"/>
        <v xml:space="preserve">L    </v>
      </c>
    </row>
    <row r="1176" spans="1:9">
      <c r="A1176" s="17" t="s">
        <v>1025</v>
      </c>
      <c r="B1176" s="17" t="s">
        <v>978</v>
      </c>
      <c r="C1176" s="17" t="s">
        <v>802</v>
      </c>
      <c r="D1176" s="17" t="s">
        <v>801</v>
      </c>
      <c r="E1176" s="18">
        <v>3004831000014</v>
      </c>
      <c r="G1176" s="20" t="str">
        <f t="shared" si="54"/>
        <v xml:space="preserve"> ANSES/PLA.GOUTXS</v>
      </c>
      <c r="H1176" s="20" t="str">
        <f t="shared" si="55"/>
        <v>GRIGI</v>
      </c>
      <c r="I1176" s="20" t="str">
        <f t="shared" si="56"/>
        <v xml:space="preserve">M    </v>
      </c>
    </row>
    <row r="1177" spans="1:9">
      <c r="A1177" s="17" t="s">
        <v>1025</v>
      </c>
      <c r="B1177" s="17" t="s">
        <v>978</v>
      </c>
      <c r="C1177" s="17" t="s">
        <v>802</v>
      </c>
      <c r="D1177" s="17" t="s">
        <v>801</v>
      </c>
      <c r="E1177" s="18">
        <v>3005491000017</v>
      </c>
      <c r="G1177" s="20" t="str">
        <f t="shared" si="54"/>
        <v xml:space="preserve"> ANSES/PLA.GOUTXS</v>
      </c>
      <c r="H1177" s="20" t="str">
        <f t="shared" si="55"/>
        <v>GRIGI</v>
      </c>
      <c r="I1177" s="20" t="str">
        <f t="shared" si="56"/>
        <v xml:space="preserve">M    </v>
      </c>
    </row>
    <row r="1178" spans="1:9">
      <c r="A1178" s="17" t="s">
        <v>1025</v>
      </c>
      <c r="B1178" s="17" t="s">
        <v>978</v>
      </c>
      <c r="C1178" s="17" t="s">
        <v>803</v>
      </c>
      <c r="D1178" s="17" t="s">
        <v>801</v>
      </c>
      <c r="E1178" s="18">
        <v>3004831000007</v>
      </c>
      <c r="G1178" s="20" t="str">
        <f t="shared" si="54"/>
        <v xml:space="preserve"> ANSES/PLA.GOUTXS</v>
      </c>
      <c r="H1178" s="20" t="str">
        <f t="shared" si="55"/>
        <v>GRIGI</v>
      </c>
      <c r="I1178" s="20" t="str">
        <f t="shared" si="56"/>
        <v xml:space="preserve">S    </v>
      </c>
    </row>
    <row r="1179" spans="1:9">
      <c r="A1179" s="17" t="s">
        <v>1025</v>
      </c>
      <c r="B1179" s="17" t="s">
        <v>978</v>
      </c>
      <c r="C1179" s="17" t="s">
        <v>803</v>
      </c>
      <c r="D1179" s="17" t="s">
        <v>801</v>
      </c>
      <c r="E1179" s="18">
        <v>8056095065044</v>
      </c>
      <c r="G1179" s="20" t="str">
        <f t="shared" si="54"/>
        <v xml:space="preserve"> ANSES/PLA.GOUTXS</v>
      </c>
      <c r="H1179" s="20" t="str">
        <f t="shared" si="55"/>
        <v>GRIGI</v>
      </c>
      <c r="I1179" s="20" t="str">
        <f t="shared" si="56"/>
        <v xml:space="preserve">S    </v>
      </c>
    </row>
    <row r="1180" spans="1:9">
      <c r="A1180" s="17" t="s">
        <v>1025</v>
      </c>
      <c r="B1180" s="17" t="s">
        <v>978</v>
      </c>
      <c r="C1180" s="17" t="s">
        <v>804</v>
      </c>
      <c r="D1180" s="17" t="s">
        <v>801</v>
      </c>
      <c r="E1180" s="18">
        <v>3004831000038</v>
      </c>
      <c r="G1180" s="20" t="str">
        <f t="shared" si="54"/>
        <v xml:space="preserve"> ANSES/PLA.GOUTXS</v>
      </c>
      <c r="H1180" s="20" t="str">
        <f t="shared" si="55"/>
        <v>GRIGI</v>
      </c>
      <c r="I1180" s="20" t="str">
        <f t="shared" si="56"/>
        <v xml:space="preserve">XL   </v>
      </c>
    </row>
    <row r="1181" spans="1:9">
      <c r="A1181" s="17" t="s">
        <v>1025</v>
      </c>
      <c r="B1181" s="17" t="s">
        <v>978</v>
      </c>
      <c r="C1181" s="17" t="s">
        <v>804</v>
      </c>
      <c r="D1181" s="17" t="s">
        <v>801</v>
      </c>
      <c r="E1181" s="18">
        <v>3005491000031</v>
      </c>
      <c r="G1181" s="20" t="str">
        <f t="shared" si="54"/>
        <v xml:space="preserve"> ANSES/PLA.GOUTXS</v>
      </c>
      <c r="H1181" s="20" t="str">
        <f t="shared" si="55"/>
        <v>GRIGI</v>
      </c>
      <c r="I1181" s="20" t="str">
        <f t="shared" si="56"/>
        <v xml:space="preserve">XL   </v>
      </c>
    </row>
    <row r="1182" spans="1:9">
      <c r="A1182" s="17" t="s">
        <v>1025</v>
      </c>
      <c r="B1182" s="17" t="s">
        <v>838</v>
      </c>
      <c r="C1182" s="17" t="s">
        <v>800</v>
      </c>
      <c r="D1182" s="17" t="s">
        <v>801</v>
      </c>
      <c r="E1182" s="18">
        <v>3004830497020</v>
      </c>
      <c r="G1182" s="20" t="str">
        <f t="shared" si="54"/>
        <v xml:space="preserve"> ANSES/PLA.GOUTXS</v>
      </c>
      <c r="H1182" s="20" t="str">
        <f t="shared" si="55"/>
        <v>IVOIR</v>
      </c>
      <c r="I1182" s="20" t="str">
        <f t="shared" si="56"/>
        <v xml:space="preserve">L    </v>
      </c>
    </row>
    <row r="1183" spans="1:9">
      <c r="A1183" s="17" t="s">
        <v>1025</v>
      </c>
      <c r="B1183" s="17" t="s">
        <v>838</v>
      </c>
      <c r="C1183" s="17" t="s">
        <v>800</v>
      </c>
      <c r="D1183" s="17" t="s">
        <v>801</v>
      </c>
      <c r="E1183" s="18">
        <v>3005490497023</v>
      </c>
      <c r="G1183" s="20" t="str">
        <f t="shared" si="54"/>
        <v xml:space="preserve"> ANSES/PLA.GOUTXS</v>
      </c>
      <c r="H1183" s="20" t="str">
        <f t="shared" si="55"/>
        <v>IVOIR</v>
      </c>
      <c r="I1183" s="20" t="str">
        <f t="shared" si="56"/>
        <v xml:space="preserve">L    </v>
      </c>
    </row>
    <row r="1184" spans="1:9">
      <c r="A1184" s="17" t="s">
        <v>1025</v>
      </c>
      <c r="B1184" s="17" t="s">
        <v>838</v>
      </c>
      <c r="C1184" s="17" t="s">
        <v>802</v>
      </c>
      <c r="D1184" s="17" t="s">
        <v>801</v>
      </c>
      <c r="E1184" s="18">
        <v>3004830497013</v>
      </c>
      <c r="G1184" s="20" t="str">
        <f t="shared" si="54"/>
        <v xml:space="preserve"> ANSES/PLA.GOUTXS</v>
      </c>
      <c r="H1184" s="20" t="str">
        <f t="shared" si="55"/>
        <v>IVOIR</v>
      </c>
      <c r="I1184" s="20" t="str">
        <f t="shared" si="56"/>
        <v xml:space="preserve">M    </v>
      </c>
    </row>
    <row r="1185" spans="1:9">
      <c r="A1185" s="17" t="s">
        <v>1025</v>
      </c>
      <c r="B1185" s="17" t="s">
        <v>838</v>
      </c>
      <c r="C1185" s="17" t="s">
        <v>802</v>
      </c>
      <c r="D1185" s="17" t="s">
        <v>801</v>
      </c>
      <c r="E1185" s="18">
        <v>3005490497016</v>
      </c>
      <c r="G1185" s="20" t="str">
        <f t="shared" si="54"/>
        <v xml:space="preserve"> ANSES/PLA.GOUTXS</v>
      </c>
      <c r="H1185" s="20" t="str">
        <f t="shared" si="55"/>
        <v>IVOIR</v>
      </c>
      <c r="I1185" s="20" t="str">
        <f t="shared" si="56"/>
        <v xml:space="preserve">M    </v>
      </c>
    </row>
    <row r="1186" spans="1:9">
      <c r="A1186" s="17" t="s">
        <v>1025</v>
      </c>
      <c r="B1186" s="17" t="s">
        <v>838</v>
      </c>
      <c r="C1186" s="17" t="s">
        <v>803</v>
      </c>
      <c r="D1186" s="17" t="s">
        <v>801</v>
      </c>
      <c r="E1186" s="18">
        <v>3004830497006</v>
      </c>
      <c r="G1186" s="20" t="str">
        <f t="shared" si="54"/>
        <v xml:space="preserve"> ANSES/PLA.GOUTXS</v>
      </c>
      <c r="H1186" s="20" t="str">
        <f t="shared" si="55"/>
        <v>IVOIR</v>
      </c>
      <c r="I1186" s="20" t="str">
        <f t="shared" si="56"/>
        <v xml:space="preserve">S    </v>
      </c>
    </row>
    <row r="1187" spans="1:9">
      <c r="A1187" s="17" t="s">
        <v>1025</v>
      </c>
      <c r="B1187" s="17" t="s">
        <v>838</v>
      </c>
      <c r="C1187" s="17" t="s">
        <v>804</v>
      </c>
      <c r="D1187" s="17" t="s">
        <v>801</v>
      </c>
      <c r="E1187" s="18">
        <v>3004830497037</v>
      </c>
      <c r="G1187" s="20" t="str">
        <f t="shared" si="54"/>
        <v xml:space="preserve"> ANSES/PLA.GOUTXS</v>
      </c>
      <c r="H1187" s="20" t="str">
        <f t="shared" si="55"/>
        <v>IVOIR</v>
      </c>
      <c r="I1187" s="20" t="str">
        <f t="shared" si="56"/>
        <v xml:space="preserve">XL   </v>
      </c>
    </row>
    <row r="1188" spans="1:9">
      <c r="A1188" s="17" t="s">
        <v>1025</v>
      </c>
      <c r="B1188" s="17" t="s">
        <v>838</v>
      </c>
      <c r="C1188" s="17" t="s">
        <v>804</v>
      </c>
      <c r="D1188" s="17" t="s">
        <v>801</v>
      </c>
      <c r="E1188" s="18">
        <v>3005490497030</v>
      </c>
      <c r="G1188" s="20" t="str">
        <f t="shared" si="54"/>
        <v xml:space="preserve"> ANSES/PLA.GOUTXS</v>
      </c>
      <c r="H1188" s="20" t="str">
        <f t="shared" si="55"/>
        <v>IVOIR</v>
      </c>
      <c r="I1188" s="20" t="str">
        <f t="shared" si="56"/>
        <v xml:space="preserve">XL   </v>
      </c>
    </row>
    <row r="1189" spans="1:9">
      <c r="A1189" s="17" t="s">
        <v>1025</v>
      </c>
      <c r="B1189" s="17" t="s">
        <v>1031</v>
      </c>
      <c r="C1189" s="17" t="s">
        <v>800</v>
      </c>
      <c r="D1189" s="17" t="s">
        <v>801</v>
      </c>
      <c r="E1189" s="18">
        <v>3005490904026</v>
      </c>
      <c r="G1189" s="20" t="str">
        <f t="shared" si="54"/>
        <v xml:space="preserve"> ANSES/PLA.GOUTXS</v>
      </c>
      <c r="H1189" s="20" t="str">
        <f t="shared" si="55"/>
        <v>METRO</v>
      </c>
      <c r="I1189" s="20" t="str">
        <f t="shared" si="56"/>
        <v xml:space="preserve">L    </v>
      </c>
    </row>
    <row r="1190" spans="1:9">
      <c r="A1190" s="17" t="s">
        <v>1025</v>
      </c>
      <c r="B1190" s="17" t="s">
        <v>1031</v>
      </c>
      <c r="C1190" s="17" t="s">
        <v>802</v>
      </c>
      <c r="D1190" s="17" t="s">
        <v>801</v>
      </c>
      <c r="E1190" s="18">
        <v>3005490904019</v>
      </c>
      <c r="G1190" s="20" t="str">
        <f t="shared" si="54"/>
        <v xml:space="preserve"> ANSES/PLA.GOUTXS</v>
      </c>
      <c r="H1190" s="20" t="str">
        <f t="shared" si="55"/>
        <v>METRO</v>
      </c>
      <c r="I1190" s="20" t="str">
        <f t="shared" si="56"/>
        <v xml:space="preserve">M    </v>
      </c>
    </row>
    <row r="1191" spans="1:9">
      <c r="A1191" s="17" t="s">
        <v>1025</v>
      </c>
      <c r="B1191" s="17" t="s">
        <v>1031</v>
      </c>
      <c r="C1191" s="17" t="s">
        <v>803</v>
      </c>
      <c r="D1191" s="17" t="s">
        <v>801</v>
      </c>
      <c r="E1191" s="18">
        <v>3005490904002</v>
      </c>
      <c r="G1191" s="20" t="str">
        <f t="shared" si="54"/>
        <v xml:space="preserve"> ANSES/PLA.GOUTXS</v>
      </c>
      <c r="H1191" s="20" t="str">
        <f t="shared" si="55"/>
        <v>METRO</v>
      </c>
      <c r="I1191" s="20" t="str">
        <f t="shared" si="56"/>
        <v xml:space="preserve">S    </v>
      </c>
    </row>
    <row r="1192" spans="1:9">
      <c r="A1192" s="17" t="s">
        <v>1025</v>
      </c>
      <c r="B1192" s="17" t="s">
        <v>1031</v>
      </c>
      <c r="C1192" s="17" t="s">
        <v>804</v>
      </c>
      <c r="D1192" s="17" t="s">
        <v>801</v>
      </c>
      <c r="E1192" s="18">
        <v>3005490904033</v>
      </c>
      <c r="G1192" s="20" t="str">
        <f t="shared" si="54"/>
        <v xml:space="preserve"> ANSES/PLA.GOUTXS</v>
      </c>
      <c r="H1192" s="20" t="str">
        <f t="shared" si="55"/>
        <v>METRO</v>
      </c>
      <c r="I1192" s="20" t="str">
        <f t="shared" si="56"/>
        <v xml:space="preserve">XL   </v>
      </c>
    </row>
    <row r="1193" spans="1:9">
      <c r="A1193" s="17" t="s">
        <v>1025</v>
      </c>
      <c r="B1193" s="17" t="s">
        <v>823</v>
      </c>
      <c r="C1193" s="17" t="s">
        <v>800</v>
      </c>
      <c r="D1193" s="17" t="s">
        <v>801</v>
      </c>
      <c r="E1193" s="18">
        <v>3005490595026</v>
      </c>
      <c r="G1193" s="20" t="str">
        <f t="shared" si="54"/>
        <v xml:space="preserve"> ANSES/PLA.GOUTXS</v>
      </c>
      <c r="H1193" s="20" t="str">
        <f t="shared" si="55"/>
        <v xml:space="preserve">MOSS </v>
      </c>
      <c r="I1193" s="20" t="str">
        <f t="shared" si="56"/>
        <v xml:space="preserve">L    </v>
      </c>
    </row>
    <row r="1194" spans="1:9">
      <c r="A1194" s="17" t="s">
        <v>1025</v>
      </c>
      <c r="B1194" s="17" t="s">
        <v>823</v>
      </c>
      <c r="C1194" s="17" t="s">
        <v>800</v>
      </c>
      <c r="D1194" s="17" t="s">
        <v>801</v>
      </c>
      <c r="E1194" s="18">
        <v>8058983596685</v>
      </c>
      <c r="G1194" s="20" t="str">
        <f t="shared" si="54"/>
        <v xml:space="preserve"> ANSES/PLA.GOUTXS</v>
      </c>
      <c r="H1194" s="20" t="str">
        <f t="shared" si="55"/>
        <v xml:space="preserve">MOSS </v>
      </c>
      <c r="I1194" s="20" t="str">
        <f t="shared" si="56"/>
        <v xml:space="preserve">L    </v>
      </c>
    </row>
    <row r="1195" spans="1:9">
      <c r="A1195" s="17" t="s">
        <v>1025</v>
      </c>
      <c r="B1195" s="17" t="s">
        <v>823</v>
      </c>
      <c r="C1195" s="17" t="s">
        <v>802</v>
      </c>
      <c r="D1195" s="17" t="s">
        <v>801</v>
      </c>
      <c r="E1195" s="18">
        <v>3005490595019</v>
      </c>
      <c r="G1195" s="20" t="str">
        <f t="shared" si="54"/>
        <v xml:space="preserve"> ANSES/PLA.GOUTXS</v>
      </c>
      <c r="H1195" s="20" t="str">
        <f t="shared" si="55"/>
        <v xml:space="preserve">MOSS </v>
      </c>
      <c r="I1195" s="20" t="str">
        <f t="shared" si="56"/>
        <v xml:space="preserve">M    </v>
      </c>
    </row>
    <row r="1196" spans="1:9">
      <c r="A1196" s="17" t="s">
        <v>1025</v>
      </c>
      <c r="B1196" s="17" t="s">
        <v>823</v>
      </c>
      <c r="C1196" s="17" t="s">
        <v>803</v>
      </c>
      <c r="D1196" s="17" t="s">
        <v>801</v>
      </c>
      <c r="E1196" s="18">
        <v>3005490595002</v>
      </c>
      <c r="G1196" s="20" t="str">
        <f t="shared" si="54"/>
        <v xml:space="preserve"> ANSES/PLA.GOUTXS</v>
      </c>
      <c r="H1196" s="20" t="str">
        <f t="shared" si="55"/>
        <v xml:space="preserve">MOSS </v>
      </c>
      <c r="I1196" s="20" t="str">
        <f t="shared" si="56"/>
        <v xml:space="preserve">S    </v>
      </c>
    </row>
    <row r="1197" spans="1:9">
      <c r="A1197" s="17" t="s">
        <v>1025</v>
      </c>
      <c r="B1197" s="17" t="s">
        <v>823</v>
      </c>
      <c r="C1197" s="17" t="s">
        <v>803</v>
      </c>
      <c r="D1197" s="17" t="s">
        <v>801</v>
      </c>
      <c r="E1197" s="18">
        <v>8058983596913</v>
      </c>
      <c r="G1197" s="20" t="str">
        <f t="shared" si="54"/>
        <v xml:space="preserve"> ANSES/PLA.GOUTXS</v>
      </c>
      <c r="H1197" s="20" t="str">
        <f t="shared" si="55"/>
        <v xml:space="preserve">MOSS </v>
      </c>
      <c r="I1197" s="20" t="str">
        <f t="shared" si="56"/>
        <v xml:space="preserve">S    </v>
      </c>
    </row>
    <row r="1198" spans="1:9">
      <c r="A1198" s="17" t="s">
        <v>1025</v>
      </c>
      <c r="B1198" s="17" t="s">
        <v>823</v>
      </c>
      <c r="C1198" s="17" t="s">
        <v>804</v>
      </c>
      <c r="D1198" s="17" t="s">
        <v>801</v>
      </c>
      <c r="E1198" s="18">
        <v>3005490595033</v>
      </c>
      <c r="G1198" s="20" t="str">
        <f t="shared" si="54"/>
        <v xml:space="preserve"> ANSES/PLA.GOUTXS</v>
      </c>
      <c r="H1198" s="20" t="str">
        <f t="shared" si="55"/>
        <v xml:space="preserve">MOSS </v>
      </c>
      <c r="I1198" s="20" t="str">
        <f t="shared" si="56"/>
        <v xml:space="preserve">XL   </v>
      </c>
    </row>
    <row r="1199" spans="1:9">
      <c r="A1199" s="17" t="s">
        <v>1025</v>
      </c>
      <c r="B1199" s="17" t="s">
        <v>859</v>
      </c>
      <c r="C1199" s="17" t="s">
        <v>800</v>
      </c>
      <c r="D1199" s="17" t="s">
        <v>801</v>
      </c>
      <c r="E1199" s="18">
        <v>3004830371023</v>
      </c>
      <c r="G1199" s="20" t="str">
        <f t="shared" si="54"/>
        <v xml:space="preserve"> ANSES/PLA.GOUTXS</v>
      </c>
      <c r="H1199" s="20" t="str">
        <f t="shared" si="55"/>
        <v>NATUR</v>
      </c>
      <c r="I1199" s="20" t="str">
        <f t="shared" si="56"/>
        <v xml:space="preserve">L    </v>
      </c>
    </row>
    <row r="1200" spans="1:9">
      <c r="A1200" s="17" t="s">
        <v>1025</v>
      </c>
      <c r="B1200" s="17" t="s">
        <v>859</v>
      </c>
      <c r="C1200" s="17" t="s">
        <v>800</v>
      </c>
      <c r="D1200" s="17" t="s">
        <v>801</v>
      </c>
      <c r="E1200" s="18">
        <v>8056099170324</v>
      </c>
      <c r="G1200" s="20" t="str">
        <f t="shared" si="54"/>
        <v xml:space="preserve"> ANSES/PLA.GOUTXS</v>
      </c>
      <c r="H1200" s="20" t="str">
        <f t="shared" si="55"/>
        <v>NATUR</v>
      </c>
      <c r="I1200" s="20" t="str">
        <f t="shared" si="56"/>
        <v xml:space="preserve">L    </v>
      </c>
    </row>
    <row r="1201" spans="1:9">
      <c r="A1201" s="17" t="s">
        <v>1025</v>
      </c>
      <c r="B1201" s="17" t="s">
        <v>859</v>
      </c>
      <c r="C1201" s="17" t="s">
        <v>800</v>
      </c>
      <c r="D1201" s="17" t="s">
        <v>801</v>
      </c>
      <c r="E1201" s="18">
        <v>3005490371026</v>
      </c>
      <c r="G1201" s="20" t="str">
        <f t="shared" si="54"/>
        <v xml:space="preserve"> ANSES/PLA.GOUTXS</v>
      </c>
      <c r="H1201" s="20" t="str">
        <f t="shared" si="55"/>
        <v>NATUR</v>
      </c>
      <c r="I1201" s="20" t="str">
        <f t="shared" si="56"/>
        <v xml:space="preserve">L    </v>
      </c>
    </row>
    <row r="1202" spans="1:9">
      <c r="A1202" s="17" t="s">
        <v>1025</v>
      </c>
      <c r="B1202" s="17" t="s">
        <v>859</v>
      </c>
      <c r="C1202" s="17" t="s">
        <v>802</v>
      </c>
      <c r="D1202" s="17" t="s">
        <v>801</v>
      </c>
      <c r="E1202" s="18">
        <v>3004830371016</v>
      </c>
      <c r="G1202" s="20" t="str">
        <f t="shared" si="54"/>
        <v xml:space="preserve"> ANSES/PLA.GOUTXS</v>
      </c>
      <c r="H1202" s="20" t="str">
        <f t="shared" si="55"/>
        <v>NATUR</v>
      </c>
      <c r="I1202" s="20" t="str">
        <f t="shared" si="56"/>
        <v xml:space="preserve">M    </v>
      </c>
    </row>
    <row r="1203" spans="1:9">
      <c r="A1203" s="17" t="s">
        <v>1025</v>
      </c>
      <c r="B1203" s="17" t="s">
        <v>859</v>
      </c>
      <c r="C1203" s="17" t="s">
        <v>802</v>
      </c>
      <c r="D1203" s="17" t="s">
        <v>801</v>
      </c>
      <c r="E1203" s="18">
        <v>3005490371019</v>
      </c>
      <c r="G1203" s="20" t="str">
        <f t="shared" si="54"/>
        <v xml:space="preserve"> ANSES/PLA.GOUTXS</v>
      </c>
      <c r="H1203" s="20" t="str">
        <f t="shared" si="55"/>
        <v>NATUR</v>
      </c>
      <c r="I1203" s="20" t="str">
        <f t="shared" si="56"/>
        <v xml:space="preserve">M    </v>
      </c>
    </row>
    <row r="1204" spans="1:9">
      <c r="A1204" s="17" t="s">
        <v>1025</v>
      </c>
      <c r="B1204" s="17" t="s">
        <v>859</v>
      </c>
      <c r="C1204" s="17" t="s">
        <v>803</v>
      </c>
      <c r="D1204" s="17" t="s">
        <v>801</v>
      </c>
      <c r="E1204" s="18">
        <v>3004830371009</v>
      </c>
      <c r="G1204" s="20" t="str">
        <f t="shared" si="54"/>
        <v xml:space="preserve"> ANSES/PLA.GOUTXS</v>
      </c>
      <c r="H1204" s="20" t="str">
        <f t="shared" si="55"/>
        <v>NATUR</v>
      </c>
      <c r="I1204" s="20" t="str">
        <f t="shared" si="56"/>
        <v xml:space="preserve">S    </v>
      </c>
    </row>
    <row r="1205" spans="1:9">
      <c r="A1205" s="17" t="s">
        <v>1025</v>
      </c>
      <c r="B1205" s="17" t="s">
        <v>859</v>
      </c>
      <c r="C1205" s="17" t="s">
        <v>803</v>
      </c>
      <c r="D1205" s="17" t="s">
        <v>801</v>
      </c>
      <c r="E1205" s="18">
        <v>8056099170065</v>
      </c>
      <c r="G1205" s="20" t="str">
        <f t="shared" si="54"/>
        <v xml:space="preserve"> ANSES/PLA.GOUTXS</v>
      </c>
      <c r="H1205" s="20" t="str">
        <f t="shared" si="55"/>
        <v>NATUR</v>
      </c>
      <c r="I1205" s="20" t="str">
        <f t="shared" si="56"/>
        <v xml:space="preserve">S    </v>
      </c>
    </row>
    <row r="1206" spans="1:9">
      <c r="A1206" s="17" t="s">
        <v>1025</v>
      </c>
      <c r="B1206" s="17" t="s">
        <v>859</v>
      </c>
      <c r="C1206" s="17" t="s">
        <v>804</v>
      </c>
      <c r="D1206" s="17" t="s">
        <v>801</v>
      </c>
      <c r="E1206" s="18">
        <v>3004830371030</v>
      </c>
      <c r="G1206" s="20" t="str">
        <f t="shared" si="54"/>
        <v xml:space="preserve"> ANSES/PLA.GOUTXS</v>
      </c>
      <c r="H1206" s="20" t="str">
        <f t="shared" si="55"/>
        <v>NATUR</v>
      </c>
      <c r="I1206" s="20" t="str">
        <f t="shared" si="56"/>
        <v xml:space="preserve">XL   </v>
      </c>
    </row>
    <row r="1207" spans="1:9">
      <c r="A1207" s="17" t="s">
        <v>1025</v>
      </c>
      <c r="B1207" s="17" t="s">
        <v>859</v>
      </c>
      <c r="C1207" s="17" t="s">
        <v>804</v>
      </c>
      <c r="D1207" s="17" t="s">
        <v>801</v>
      </c>
      <c r="E1207" s="18">
        <v>3005490371033</v>
      </c>
      <c r="G1207" s="20" t="str">
        <f t="shared" si="54"/>
        <v xml:space="preserve"> ANSES/PLA.GOUTXS</v>
      </c>
      <c r="H1207" s="20" t="str">
        <f t="shared" si="55"/>
        <v>NATUR</v>
      </c>
      <c r="I1207" s="20" t="str">
        <f t="shared" si="56"/>
        <v xml:space="preserve">XL   </v>
      </c>
    </row>
    <row r="1208" spans="1:9">
      <c r="A1208" s="17" t="s">
        <v>1025</v>
      </c>
      <c r="B1208" s="17" t="s">
        <v>1032</v>
      </c>
      <c r="C1208" s="17" t="s">
        <v>800</v>
      </c>
      <c r="D1208" s="17" t="s">
        <v>801</v>
      </c>
      <c r="E1208" s="18">
        <v>3004831099025</v>
      </c>
      <c r="G1208" s="20" t="str">
        <f t="shared" si="54"/>
        <v xml:space="preserve"> ANSES/PLA.GOUTXS</v>
      </c>
      <c r="H1208" s="20" t="str">
        <f t="shared" si="55"/>
        <v xml:space="preserve">OCRE </v>
      </c>
      <c r="I1208" s="20" t="str">
        <f t="shared" si="56"/>
        <v xml:space="preserve">L    </v>
      </c>
    </row>
    <row r="1209" spans="1:9">
      <c r="A1209" s="17" t="s">
        <v>1025</v>
      </c>
      <c r="B1209" s="17" t="s">
        <v>1032</v>
      </c>
      <c r="C1209" s="17" t="s">
        <v>800</v>
      </c>
      <c r="D1209" s="17" t="s">
        <v>801</v>
      </c>
      <c r="E1209" s="18">
        <v>8056099170331</v>
      </c>
      <c r="G1209" s="20" t="str">
        <f t="shared" si="54"/>
        <v xml:space="preserve"> ANSES/PLA.GOUTXS</v>
      </c>
      <c r="H1209" s="20" t="str">
        <f t="shared" si="55"/>
        <v xml:space="preserve">OCRE </v>
      </c>
      <c r="I1209" s="20" t="str">
        <f t="shared" si="56"/>
        <v xml:space="preserve">L    </v>
      </c>
    </row>
    <row r="1210" spans="1:9">
      <c r="A1210" s="17" t="s">
        <v>1025</v>
      </c>
      <c r="B1210" s="17" t="s">
        <v>1032</v>
      </c>
      <c r="C1210" s="17" t="s">
        <v>802</v>
      </c>
      <c r="D1210" s="17" t="s">
        <v>801</v>
      </c>
      <c r="E1210" s="18">
        <v>3004831099018</v>
      </c>
      <c r="G1210" s="20" t="str">
        <f t="shared" si="54"/>
        <v xml:space="preserve"> ANSES/PLA.GOUTXS</v>
      </c>
      <c r="H1210" s="20" t="str">
        <f t="shared" si="55"/>
        <v xml:space="preserve">OCRE </v>
      </c>
      <c r="I1210" s="20" t="str">
        <f t="shared" si="56"/>
        <v xml:space="preserve">M    </v>
      </c>
    </row>
    <row r="1211" spans="1:9">
      <c r="A1211" s="17" t="s">
        <v>1025</v>
      </c>
      <c r="B1211" s="17" t="s">
        <v>1032</v>
      </c>
      <c r="C1211" s="17" t="s">
        <v>803</v>
      </c>
      <c r="D1211" s="17" t="s">
        <v>801</v>
      </c>
      <c r="E1211" s="18">
        <v>3004831099001</v>
      </c>
      <c r="G1211" s="20" t="str">
        <f t="shared" si="54"/>
        <v xml:space="preserve"> ANSES/PLA.GOUTXS</v>
      </c>
      <c r="H1211" s="20" t="str">
        <f t="shared" si="55"/>
        <v xml:space="preserve">OCRE </v>
      </c>
      <c r="I1211" s="20" t="str">
        <f t="shared" si="56"/>
        <v xml:space="preserve">S    </v>
      </c>
    </row>
    <row r="1212" spans="1:9">
      <c r="A1212" s="17" t="s">
        <v>1025</v>
      </c>
      <c r="B1212" s="17" t="s">
        <v>1032</v>
      </c>
      <c r="C1212" s="17" t="s">
        <v>804</v>
      </c>
      <c r="D1212" s="17" t="s">
        <v>801</v>
      </c>
      <c r="E1212" s="18">
        <v>3004831099032</v>
      </c>
      <c r="G1212" s="20" t="str">
        <f t="shared" si="54"/>
        <v xml:space="preserve"> ANSES/PLA.GOUTXS</v>
      </c>
      <c r="H1212" s="20" t="str">
        <f t="shared" si="55"/>
        <v xml:space="preserve">OCRE </v>
      </c>
      <c r="I1212" s="20" t="str">
        <f t="shared" si="56"/>
        <v xml:space="preserve">XL   </v>
      </c>
    </row>
    <row r="1213" spans="1:9">
      <c r="A1213" s="17" t="s">
        <v>1025</v>
      </c>
      <c r="B1213" s="17" t="s">
        <v>283</v>
      </c>
      <c r="C1213" s="17" t="s">
        <v>800</v>
      </c>
      <c r="D1213" s="17" t="s">
        <v>801</v>
      </c>
      <c r="E1213" s="18">
        <v>3005490573024</v>
      </c>
      <c r="G1213" s="20" t="str">
        <f t="shared" si="54"/>
        <v xml:space="preserve"> ANSES/PLA.GOUTXS</v>
      </c>
      <c r="H1213" s="20" t="str">
        <f t="shared" si="55"/>
        <v>PHARD</v>
      </c>
      <c r="I1213" s="20" t="str">
        <f t="shared" si="56"/>
        <v xml:space="preserve">L    </v>
      </c>
    </row>
    <row r="1214" spans="1:9">
      <c r="A1214" s="17" t="s">
        <v>1025</v>
      </c>
      <c r="B1214" s="17" t="s">
        <v>283</v>
      </c>
      <c r="C1214" s="17" t="s">
        <v>800</v>
      </c>
      <c r="D1214" s="17" t="s">
        <v>801</v>
      </c>
      <c r="E1214" s="18">
        <v>8058983596708</v>
      </c>
      <c r="G1214" s="20" t="str">
        <f t="shared" si="54"/>
        <v xml:space="preserve"> ANSES/PLA.GOUTXS</v>
      </c>
      <c r="H1214" s="20" t="str">
        <f t="shared" si="55"/>
        <v>PHARD</v>
      </c>
      <c r="I1214" s="20" t="str">
        <f t="shared" si="56"/>
        <v xml:space="preserve">L    </v>
      </c>
    </row>
    <row r="1215" spans="1:9">
      <c r="A1215" s="17" t="s">
        <v>1025</v>
      </c>
      <c r="B1215" s="17" t="s">
        <v>283</v>
      </c>
      <c r="C1215" s="17" t="s">
        <v>800</v>
      </c>
      <c r="D1215" s="17" t="s">
        <v>801</v>
      </c>
      <c r="E1215" s="18">
        <v>8056099179327</v>
      </c>
      <c r="G1215" s="20" t="str">
        <f t="shared" si="54"/>
        <v xml:space="preserve"> ANSES/PLA.GOUTXS</v>
      </c>
      <c r="H1215" s="20" t="str">
        <f t="shared" si="55"/>
        <v>PHARD</v>
      </c>
      <c r="I1215" s="20" t="str">
        <f t="shared" si="56"/>
        <v xml:space="preserve">L    </v>
      </c>
    </row>
    <row r="1216" spans="1:9">
      <c r="A1216" s="17" t="s">
        <v>1025</v>
      </c>
      <c r="B1216" s="17" t="s">
        <v>283</v>
      </c>
      <c r="C1216" s="17" t="s">
        <v>802</v>
      </c>
      <c r="D1216" s="17" t="s">
        <v>801</v>
      </c>
      <c r="E1216" s="18">
        <v>3005490573017</v>
      </c>
      <c r="G1216" s="20" t="str">
        <f t="shared" si="54"/>
        <v xml:space="preserve"> ANSES/PLA.GOUTXS</v>
      </c>
      <c r="H1216" s="20" t="str">
        <f t="shared" si="55"/>
        <v>PHARD</v>
      </c>
      <c r="I1216" s="20" t="str">
        <f t="shared" si="56"/>
        <v xml:space="preserve">M    </v>
      </c>
    </row>
    <row r="1217" spans="1:9">
      <c r="A1217" s="17" t="s">
        <v>1025</v>
      </c>
      <c r="B1217" s="17" t="s">
        <v>283</v>
      </c>
      <c r="C1217" s="17" t="s">
        <v>803</v>
      </c>
      <c r="D1217" s="17" t="s">
        <v>801</v>
      </c>
      <c r="E1217" s="18">
        <v>3005490573000</v>
      </c>
      <c r="G1217" s="20" t="str">
        <f t="shared" si="54"/>
        <v xml:space="preserve"> ANSES/PLA.GOUTXS</v>
      </c>
      <c r="H1217" s="20" t="str">
        <f t="shared" si="55"/>
        <v>PHARD</v>
      </c>
      <c r="I1217" s="20" t="str">
        <f t="shared" si="56"/>
        <v xml:space="preserve">S    </v>
      </c>
    </row>
    <row r="1218" spans="1:9">
      <c r="A1218" s="17" t="s">
        <v>1025</v>
      </c>
      <c r="B1218" s="17" t="s">
        <v>283</v>
      </c>
      <c r="C1218" s="17" t="s">
        <v>803</v>
      </c>
      <c r="D1218" s="17" t="s">
        <v>801</v>
      </c>
      <c r="E1218" s="18">
        <v>8050538591893</v>
      </c>
      <c r="G1218" s="20" t="str">
        <f t="shared" si="54"/>
        <v xml:space="preserve"> ANSES/PLA.GOUTXS</v>
      </c>
      <c r="H1218" s="20" t="str">
        <f t="shared" si="55"/>
        <v>PHARD</v>
      </c>
      <c r="I1218" s="20" t="str">
        <f t="shared" si="56"/>
        <v xml:space="preserve">S    </v>
      </c>
    </row>
    <row r="1219" spans="1:9">
      <c r="A1219" s="17" t="s">
        <v>1025</v>
      </c>
      <c r="B1219" s="17" t="s">
        <v>283</v>
      </c>
      <c r="C1219" s="17" t="s">
        <v>803</v>
      </c>
      <c r="D1219" s="17" t="s">
        <v>801</v>
      </c>
      <c r="E1219" s="18">
        <v>8058983596937</v>
      </c>
      <c r="G1219" s="20" t="str">
        <f t="shared" si="54"/>
        <v xml:space="preserve"> ANSES/PLA.GOUTXS</v>
      </c>
      <c r="H1219" s="20" t="str">
        <f t="shared" si="55"/>
        <v>PHARD</v>
      </c>
      <c r="I1219" s="20" t="str">
        <f t="shared" si="56"/>
        <v xml:space="preserve">S    </v>
      </c>
    </row>
    <row r="1220" spans="1:9">
      <c r="A1220" s="17" t="s">
        <v>1025</v>
      </c>
      <c r="B1220" s="17" t="s">
        <v>283</v>
      </c>
      <c r="C1220" s="17" t="s">
        <v>804</v>
      </c>
      <c r="D1220" s="17" t="s">
        <v>801</v>
      </c>
      <c r="E1220" s="18">
        <v>3005490573031</v>
      </c>
      <c r="G1220" s="20" t="str">
        <f t="shared" si="54"/>
        <v xml:space="preserve"> ANSES/PLA.GOUTXS</v>
      </c>
      <c r="H1220" s="20" t="str">
        <f t="shared" si="55"/>
        <v>PHARD</v>
      </c>
      <c r="I1220" s="20" t="str">
        <f t="shared" si="56"/>
        <v xml:space="preserve">XL   </v>
      </c>
    </row>
    <row r="1221" spans="1:9">
      <c r="A1221" s="17" t="s">
        <v>1025</v>
      </c>
      <c r="B1221" s="17" t="s">
        <v>1033</v>
      </c>
      <c r="C1221" s="17" t="s">
        <v>800</v>
      </c>
      <c r="D1221" s="17" t="s">
        <v>801</v>
      </c>
      <c r="E1221" s="18">
        <v>3004830923024</v>
      </c>
      <c r="G1221" s="20" t="str">
        <f t="shared" ref="G1221:G1284" si="57">A1221</f>
        <v xml:space="preserve"> ANSES/PLA.GOUTXS</v>
      </c>
      <c r="H1221" s="20" t="str">
        <f t="shared" ref="H1221:H1284" si="58">B1221</f>
        <v>SAKOC</v>
      </c>
      <c r="I1221" s="20" t="str">
        <f t="shared" ref="I1221:I1284" si="59">C1221</f>
        <v xml:space="preserve">L    </v>
      </c>
    </row>
    <row r="1222" spans="1:9">
      <c r="A1222" s="17" t="s">
        <v>1025</v>
      </c>
      <c r="B1222" s="17" t="s">
        <v>1033</v>
      </c>
      <c r="C1222" s="17" t="s">
        <v>802</v>
      </c>
      <c r="D1222" s="17" t="s">
        <v>801</v>
      </c>
      <c r="E1222" s="18">
        <v>3004830923017</v>
      </c>
      <c r="G1222" s="20" t="str">
        <f t="shared" si="57"/>
        <v xml:space="preserve"> ANSES/PLA.GOUTXS</v>
      </c>
      <c r="H1222" s="20" t="str">
        <f t="shared" si="58"/>
        <v>SAKOC</v>
      </c>
      <c r="I1222" s="20" t="str">
        <f t="shared" si="59"/>
        <v xml:space="preserve">M    </v>
      </c>
    </row>
    <row r="1223" spans="1:9">
      <c r="A1223" s="17" t="s">
        <v>1025</v>
      </c>
      <c r="B1223" s="17" t="s">
        <v>1033</v>
      </c>
      <c r="C1223" s="17" t="s">
        <v>803</v>
      </c>
      <c r="D1223" s="17" t="s">
        <v>801</v>
      </c>
      <c r="E1223" s="18">
        <v>8056099170072</v>
      </c>
      <c r="G1223" s="20" t="str">
        <f t="shared" si="57"/>
        <v xml:space="preserve"> ANSES/PLA.GOUTXS</v>
      </c>
      <c r="H1223" s="20" t="str">
        <f t="shared" si="58"/>
        <v>SAKOC</v>
      </c>
      <c r="I1223" s="20" t="str">
        <f t="shared" si="59"/>
        <v xml:space="preserve">S    </v>
      </c>
    </row>
    <row r="1224" spans="1:9">
      <c r="A1224" s="17" t="s">
        <v>1025</v>
      </c>
      <c r="B1224" s="17" t="s">
        <v>1033</v>
      </c>
      <c r="C1224" s="17" t="s">
        <v>804</v>
      </c>
      <c r="D1224" s="17" t="s">
        <v>801</v>
      </c>
      <c r="E1224" s="18">
        <v>3004830923031</v>
      </c>
      <c r="G1224" s="20" t="str">
        <f t="shared" si="57"/>
        <v xml:space="preserve"> ANSES/PLA.GOUTXS</v>
      </c>
      <c r="H1224" s="20" t="str">
        <f t="shared" si="58"/>
        <v>SAKOC</v>
      </c>
      <c r="I1224" s="20" t="str">
        <f t="shared" si="59"/>
        <v xml:space="preserve">XL   </v>
      </c>
    </row>
    <row r="1225" spans="1:9">
      <c r="A1225" s="17" t="s">
        <v>1025</v>
      </c>
      <c r="B1225" s="17" t="s">
        <v>1034</v>
      </c>
      <c r="C1225" s="17" t="s">
        <v>800</v>
      </c>
      <c r="D1225" s="17" t="s">
        <v>801</v>
      </c>
      <c r="E1225" s="18">
        <v>3004830828022</v>
      </c>
      <c r="G1225" s="20" t="str">
        <f t="shared" si="57"/>
        <v xml:space="preserve"> ANSES/PLA.GOUTXS</v>
      </c>
      <c r="H1225" s="20" t="str">
        <f t="shared" si="58"/>
        <v>TAUPE</v>
      </c>
      <c r="I1225" s="20" t="str">
        <f t="shared" si="59"/>
        <v xml:space="preserve">L    </v>
      </c>
    </row>
    <row r="1226" spans="1:9">
      <c r="A1226" s="17" t="s">
        <v>1025</v>
      </c>
      <c r="B1226" s="17" t="s">
        <v>1034</v>
      </c>
      <c r="C1226" s="17" t="s">
        <v>800</v>
      </c>
      <c r="D1226" s="17" t="s">
        <v>801</v>
      </c>
      <c r="E1226" s="18">
        <v>3005490828025</v>
      </c>
      <c r="G1226" s="20" t="str">
        <f t="shared" si="57"/>
        <v xml:space="preserve"> ANSES/PLA.GOUTXS</v>
      </c>
      <c r="H1226" s="20" t="str">
        <f t="shared" si="58"/>
        <v>TAUPE</v>
      </c>
      <c r="I1226" s="20" t="str">
        <f t="shared" si="59"/>
        <v xml:space="preserve">L    </v>
      </c>
    </row>
    <row r="1227" spans="1:9">
      <c r="A1227" s="17" t="s">
        <v>1025</v>
      </c>
      <c r="B1227" s="17" t="s">
        <v>1034</v>
      </c>
      <c r="C1227" s="17" t="s">
        <v>802</v>
      </c>
      <c r="D1227" s="17" t="s">
        <v>801</v>
      </c>
      <c r="E1227" s="18">
        <v>3004830828015</v>
      </c>
      <c r="G1227" s="20" t="str">
        <f t="shared" si="57"/>
        <v xml:space="preserve"> ANSES/PLA.GOUTXS</v>
      </c>
      <c r="H1227" s="20" t="str">
        <f t="shared" si="58"/>
        <v>TAUPE</v>
      </c>
      <c r="I1227" s="20" t="str">
        <f t="shared" si="59"/>
        <v xml:space="preserve">M    </v>
      </c>
    </row>
    <row r="1228" spans="1:9">
      <c r="A1228" s="17" t="s">
        <v>1025</v>
      </c>
      <c r="B1228" s="17" t="s">
        <v>1034</v>
      </c>
      <c r="C1228" s="17" t="s">
        <v>802</v>
      </c>
      <c r="D1228" s="17" t="s">
        <v>801</v>
      </c>
      <c r="E1228" s="18">
        <v>3005490828018</v>
      </c>
      <c r="G1228" s="20" t="str">
        <f t="shared" si="57"/>
        <v xml:space="preserve"> ANSES/PLA.GOUTXS</v>
      </c>
      <c r="H1228" s="20" t="str">
        <f t="shared" si="58"/>
        <v>TAUPE</v>
      </c>
      <c r="I1228" s="20" t="str">
        <f t="shared" si="59"/>
        <v xml:space="preserve">M    </v>
      </c>
    </row>
    <row r="1229" spans="1:9">
      <c r="A1229" s="17" t="s">
        <v>1025</v>
      </c>
      <c r="B1229" s="17" t="s">
        <v>1034</v>
      </c>
      <c r="C1229" s="17" t="s">
        <v>803</v>
      </c>
      <c r="D1229" s="17" t="s">
        <v>801</v>
      </c>
      <c r="E1229" s="18">
        <v>3004830828008</v>
      </c>
      <c r="G1229" s="20" t="str">
        <f t="shared" si="57"/>
        <v xml:space="preserve"> ANSES/PLA.GOUTXS</v>
      </c>
      <c r="H1229" s="20" t="str">
        <f t="shared" si="58"/>
        <v>TAUPE</v>
      </c>
      <c r="I1229" s="20" t="str">
        <f t="shared" si="59"/>
        <v xml:space="preserve">S    </v>
      </c>
    </row>
    <row r="1230" spans="1:9">
      <c r="A1230" s="17" t="s">
        <v>1025</v>
      </c>
      <c r="B1230" s="17" t="s">
        <v>1034</v>
      </c>
      <c r="C1230" s="17" t="s">
        <v>803</v>
      </c>
      <c r="D1230" s="17" t="s">
        <v>801</v>
      </c>
      <c r="E1230" s="18">
        <v>8056095065037</v>
      </c>
      <c r="G1230" s="20" t="str">
        <f t="shared" si="57"/>
        <v xml:space="preserve"> ANSES/PLA.GOUTXS</v>
      </c>
      <c r="H1230" s="20" t="str">
        <f t="shared" si="58"/>
        <v>TAUPE</v>
      </c>
      <c r="I1230" s="20" t="str">
        <f t="shared" si="59"/>
        <v xml:space="preserve">S    </v>
      </c>
    </row>
    <row r="1231" spans="1:9">
      <c r="A1231" s="17" t="s">
        <v>1025</v>
      </c>
      <c r="B1231" s="17" t="s">
        <v>1034</v>
      </c>
      <c r="C1231" s="17" t="s">
        <v>804</v>
      </c>
      <c r="D1231" s="17" t="s">
        <v>801</v>
      </c>
      <c r="E1231" s="18">
        <v>3004830828039</v>
      </c>
      <c r="G1231" s="20" t="str">
        <f t="shared" si="57"/>
        <v xml:space="preserve"> ANSES/PLA.GOUTXS</v>
      </c>
      <c r="H1231" s="20" t="str">
        <f t="shared" si="58"/>
        <v>TAUPE</v>
      </c>
      <c r="I1231" s="20" t="str">
        <f t="shared" si="59"/>
        <v xml:space="preserve">XL   </v>
      </c>
    </row>
    <row r="1232" spans="1:9">
      <c r="A1232" s="17" t="s">
        <v>1025</v>
      </c>
      <c r="B1232" s="17" t="s">
        <v>1034</v>
      </c>
      <c r="C1232" s="17" t="s">
        <v>804</v>
      </c>
      <c r="D1232" s="17" t="s">
        <v>801</v>
      </c>
      <c r="E1232" s="18">
        <v>3005490828032</v>
      </c>
      <c r="G1232" s="20" t="str">
        <f t="shared" si="57"/>
        <v xml:space="preserve"> ANSES/PLA.GOUTXS</v>
      </c>
      <c r="H1232" s="20" t="str">
        <f t="shared" si="58"/>
        <v>TAUPE</v>
      </c>
      <c r="I1232" s="20" t="str">
        <f t="shared" si="59"/>
        <v xml:space="preserve">XL   </v>
      </c>
    </row>
    <row r="1233" spans="1:9">
      <c r="A1233" s="17" t="s">
        <v>1025</v>
      </c>
      <c r="B1233" s="17" t="s">
        <v>919</v>
      </c>
      <c r="C1233" s="17" t="s">
        <v>800</v>
      </c>
      <c r="D1233" s="17" t="s">
        <v>801</v>
      </c>
      <c r="E1233" s="18">
        <v>3005491178020</v>
      </c>
      <c r="G1233" s="20" t="str">
        <f t="shared" si="57"/>
        <v xml:space="preserve"> ANSES/PLA.GOUTXS</v>
      </c>
      <c r="H1233" s="20" t="str">
        <f t="shared" si="58"/>
        <v>TESTA</v>
      </c>
      <c r="I1233" s="20" t="str">
        <f t="shared" si="59"/>
        <v xml:space="preserve">L    </v>
      </c>
    </row>
    <row r="1234" spans="1:9">
      <c r="A1234" s="17" t="s">
        <v>1025</v>
      </c>
      <c r="B1234" s="17" t="s">
        <v>919</v>
      </c>
      <c r="C1234" s="17" t="s">
        <v>800</v>
      </c>
      <c r="D1234" s="17" t="s">
        <v>801</v>
      </c>
      <c r="E1234" s="18">
        <v>8058983596678</v>
      </c>
      <c r="G1234" s="20" t="str">
        <f t="shared" si="57"/>
        <v xml:space="preserve"> ANSES/PLA.GOUTXS</v>
      </c>
      <c r="H1234" s="20" t="str">
        <f t="shared" si="58"/>
        <v>TESTA</v>
      </c>
      <c r="I1234" s="20" t="str">
        <f t="shared" si="59"/>
        <v xml:space="preserve">L    </v>
      </c>
    </row>
    <row r="1235" spans="1:9">
      <c r="A1235" s="17" t="s">
        <v>1025</v>
      </c>
      <c r="B1235" s="17" t="s">
        <v>919</v>
      </c>
      <c r="C1235" s="17" t="s">
        <v>802</v>
      </c>
      <c r="D1235" s="17" t="s">
        <v>801</v>
      </c>
      <c r="E1235" s="18">
        <v>3005491178013</v>
      </c>
      <c r="G1235" s="20" t="str">
        <f t="shared" si="57"/>
        <v xml:space="preserve"> ANSES/PLA.GOUTXS</v>
      </c>
      <c r="H1235" s="20" t="str">
        <f t="shared" si="58"/>
        <v>TESTA</v>
      </c>
      <c r="I1235" s="20" t="str">
        <f t="shared" si="59"/>
        <v xml:space="preserve">M    </v>
      </c>
    </row>
    <row r="1236" spans="1:9">
      <c r="A1236" s="17" t="s">
        <v>1025</v>
      </c>
      <c r="B1236" s="17" t="s">
        <v>919</v>
      </c>
      <c r="C1236" s="17" t="s">
        <v>803</v>
      </c>
      <c r="D1236" s="17" t="s">
        <v>801</v>
      </c>
      <c r="E1236" s="18">
        <v>3005491178006</v>
      </c>
      <c r="G1236" s="20" t="str">
        <f t="shared" si="57"/>
        <v xml:space="preserve"> ANSES/PLA.GOUTXS</v>
      </c>
      <c r="H1236" s="20" t="str">
        <f t="shared" si="58"/>
        <v>TESTA</v>
      </c>
      <c r="I1236" s="20" t="str">
        <f t="shared" si="59"/>
        <v xml:space="preserve">S    </v>
      </c>
    </row>
    <row r="1237" spans="1:9">
      <c r="A1237" s="17" t="s">
        <v>1025</v>
      </c>
      <c r="B1237" s="17" t="s">
        <v>919</v>
      </c>
      <c r="C1237" s="17" t="s">
        <v>803</v>
      </c>
      <c r="D1237" s="17" t="s">
        <v>801</v>
      </c>
      <c r="E1237" s="18">
        <v>8058983596906</v>
      </c>
      <c r="G1237" s="20" t="str">
        <f t="shared" si="57"/>
        <v xml:space="preserve"> ANSES/PLA.GOUTXS</v>
      </c>
      <c r="H1237" s="20" t="str">
        <f t="shared" si="58"/>
        <v>TESTA</v>
      </c>
      <c r="I1237" s="20" t="str">
        <f t="shared" si="59"/>
        <v xml:space="preserve">S    </v>
      </c>
    </row>
    <row r="1238" spans="1:9">
      <c r="A1238" s="17" t="s">
        <v>1025</v>
      </c>
      <c r="B1238" s="17" t="s">
        <v>919</v>
      </c>
      <c r="C1238" s="17" t="s">
        <v>804</v>
      </c>
      <c r="D1238" s="17" t="s">
        <v>801</v>
      </c>
      <c r="E1238" s="18">
        <v>3005491178037</v>
      </c>
      <c r="G1238" s="20" t="str">
        <f t="shared" si="57"/>
        <v xml:space="preserve"> ANSES/PLA.GOUTXS</v>
      </c>
      <c r="H1238" s="20" t="str">
        <f t="shared" si="58"/>
        <v>TESTA</v>
      </c>
      <c r="I1238" s="20" t="str">
        <f t="shared" si="59"/>
        <v xml:space="preserve">XL   </v>
      </c>
    </row>
    <row r="1239" spans="1:9">
      <c r="A1239" s="17" t="s">
        <v>1025</v>
      </c>
      <c r="B1239" s="17" t="s">
        <v>920</v>
      </c>
      <c r="C1239" s="17" t="s">
        <v>800</v>
      </c>
      <c r="D1239" s="17" t="s">
        <v>801</v>
      </c>
      <c r="E1239" s="18">
        <v>3004830483023</v>
      </c>
      <c r="G1239" s="20" t="str">
        <f t="shared" si="57"/>
        <v xml:space="preserve"> ANSES/PLA.GOUTXS</v>
      </c>
      <c r="H1239" s="20" t="str">
        <f t="shared" si="58"/>
        <v>VERBL</v>
      </c>
      <c r="I1239" s="20" t="str">
        <f t="shared" si="59"/>
        <v xml:space="preserve">L    </v>
      </c>
    </row>
    <row r="1240" spans="1:9">
      <c r="A1240" s="17" t="s">
        <v>1025</v>
      </c>
      <c r="B1240" s="17" t="s">
        <v>920</v>
      </c>
      <c r="C1240" s="17" t="s">
        <v>800</v>
      </c>
      <c r="D1240" s="17" t="s">
        <v>801</v>
      </c>
      <c r="E1240" s="18">
        <v>3005490220027</v>
      </c>
      <c r="G1240" s="20" t="str">
        <f t="shared" si="57"/>
        <v xml:space="preserve"> ANSES/PLA.GOUTXS</v>
      </c>
      <c r="H1240" s="20" t="str">
        <f t="shared" si="58"/>
        <v>VERBL</v>
      </c>
      <c r="I1240" s="20" t="str">
        <f t="shared" si="59"/>
        <v xml:space="preserve">L    </v>
      </c>
    </row>
    <row r="1241" spans="1:9">
      <c r="A1241" s="17" t="s">
        <v>1025</v>
      </c>
      <c r="B1241" s="17" t="s">
        <v>920</v>
      </c>
      <c r="C1241" s="17" t="s">
        <v>800</v>
      </c>
      <c r="D1241" s="17" t="s">
        <v>801</v>
      </c>
      <c r="E1241" s="18">
        <v>8056300454588</v>
      </c>
      <c r="G1241" s="20" t="str">
        <f t="shared" si="57"/>
        <v xml:space="preserve"> ANSES/PLA.GOUTXS</v>
      </c>
      <c r="H1241" s="20" t="str">
        <f t="shared" si="58"/>
        <v>VERBL</v>
      </c>
      <c r="I1241" s="20" t="str">
        <f t="shared" si="59"/>
        <v xml:space="preserve">L    </v>
      </c>
    </row>
    <row r="1242" spans="1:9">
      <c r="A1242" s="17" t="s">
        <v>1025</v>
      </c>
      <c r="B1242" s="17" t="s">
        <v>920</v>
      </c>
      <c r="C1242" s="17" t="s">
        <v>802</v>
      </c>
      <c r="D1242" s="17" t="s">
        <v>801</v>
      </c>
      <c r="E1242" s="18">
        <v>3004830483016</v>
      </c>
      <c r="G1242" s="20" t="str">
        <f t="shared" si="57"/>
        <v xml:space="preserve"> ANSES/PLA.GOUTXS</v>
      </c>
      <c r="H1242" s="20" t="str">
        <f t="shared" si="58"/>
        <v>VERBL</v>
      </c>
      <c r="I1242" s="20" t="str">
        <f t="shared" si="59"/>
        <v xml:space="preserve">M    </v>
      </c>
    </row>
    <row r="1243" spans="1:9">
      <c r="A1243" s="17" t="s">
        <v>1025</v>
      </c>
      <c r="B1243" s="17" t="s">
        <v>920</v>
      </c>
      <c r="C1243" s="17" t="s">
        <v>802</v>
      </c>
      <c r="D1243" s="17" t="s">
        <v>801</v>
      </c>
      <c r="E1243" s="18">
        <v>3005490220010</v>
      </c>
      <c r="G1243" s="20" t="str">
        <f t="shared" si="57"/>
        <v xml:space="preserve"> ANSES/PLA.GOUTXS</v>
      </c>
      <c r="H1243" s="20" t="str">
        <f t="shared" si="58"/>
        <v>VERBL</v>
      </c>
      <c r="I1243" s="20" t="str">
        <f t="shared" si="59"/>
        <v xml:space="preserve">M    </v>
      </c>
    </row>
    <row r="1244" spans="1:9">
      <c r="A1244" s="17" t="s">
        <v>1025</v>
      </c>
      <c r="B1244" s="17" t="s">
        <v>920</v>
      </c>
      <c r="C1244" s="17" t="s">
        <v>803</v>
      </c>
      <c r="D1244" s="17" t="s">
        <v>801</v>
      </c>
      <c r="E1244" s="18">
        <v>3004830483009</v>
      </c>
      <c r="G1244" s="20" t="str">
        <f t="shared" si="57"/>
        <v xml:space="preserve"> ANSES/PLA.GOUTXS</v>
      </c>
      <c r="H1244" s="20" t="str">
        <f t="shared" si="58"/>
        <v>VERBL</v>
      </c>
      <c r="I1244" s="20" t="str">
        <f t="shared" si="59"/>
        <v xml:space="preserve">S    </v>
      </c>
    </row>
    <row r="1245" spans="1:9">
      <c r="A1245" s="17" t="s">
        <v>1025</v>
      </c>
      <c r="B1245" s="17" t="s">
        <v>920</v>
      </c>
      <c r="C1245" s="17" t="s">
        <v>803</v>
      </c>
      <c r="D1245" s="17" t="s">
        <v>801</v>
      </c>
      <c r="E1245" s="18">
        <v>3005490220003</v>
      </c>
      <c r="G1245" s="20" t="str">
        <f t="shared" si="57"/>
        <v xml:space="preserve"> ANSES/PLA.GOUTXS</v>
      </c>
      <c r="H1245" s="20" t="str">
        <f t="shared" si="58"/>
        <v>VERBL</v>
      </c>
      <c r="I1245" s="20" t="str">
        <f t="shared" si="59"/>
        <v xml:space="preserve">S    </v>
      </c>
    </row>
    <row r="1246" spans="1:9">
      <c r="A1246" s="17" t="s">
        <v>1025</v>
      </c>
      <c r="B1246" s="17" t="s">
        <v>920</v>
      </c>
      <c r="C1246" s="17" t="s">
        <v>803</v>
      </c>
      <c r="D1246" s="17" t="s">
        <v>801</v>
      </c>
      <c r="E1246" s="18">
        <v>8056300454526</v>
      </c>
      <c r="G1246" s="20" t="str">
        <f t="shared" si="57"/>
        <v xml:space="preserve"> ANSES/PLA.GOUTXS</v>
      </c>
      <c r="H1246" s="20" t="str">
        <f t="shared" si="58"/>
        <v>VERBL</v>
      </c>
      <c r="I1246" s="20" t="str">
        <f t="shared" si="59"/>
        <v xml:space="preserve">S    </v>
      </c>
    </row>
    <row r="1247" spans="1:9">
      <c r="A1247" s="17" t="s">
        <v>1025</v>
      </c>
      <c r="B1247" s="17" t="s">
        <v>920</v>
      </c>
      <c r="C1247" s="17" t="s">
        <v>804</v>
      </c>
      <c r="D1247" s="17" t="s">
        <v>801</v>
      </c>
      <c r="E1247" s="18">
        <v>3004830483030</v>
      </c>
      <c r="G1247" s="20" t="str">
        <f t="shared" si="57"/>
        <v xml:space="preserve"> ANSES/PLA.GOUTXS</v>
      </c>
      <c r="H1247" s="20" t="str">
        <f t="shared" si="58"/>
        <v>VERBL</v>
      </c>
      <c r="I1247" s="20" t="str">
        <f t="shared" si="59"/>
        <v xml:space="preserve">XL   </v>
      </c>
    </row>
    <row r="1248" spans="1:9">
      <c r="A1248" s="17" t="s">
        <v>1025</v>
      </c>
      <c r="B1248" s="17" t="s">
        <v>920</v>
      </c>
      <c r="C1248" s="17" t="s">
        <v>804</v>
      </c>
      <c r="D1248" s="17" t="s">
        <v>801</v>
      </c>
      <c r="E1248" s="18">
        <v>3005490220034</v>
      </c>
      <c r="G1248" s="20" t="str">
        <f t="shared" si="57"/>
        <v xml:space="preserve"> ANSES/PLA.GOUTXS</v>
      </c>
      <c r="H1248" s="20" t="str">
        <f t="shared" si="58"/>
        <v>VERBL</v>
      </c>
      <c r="I1248" s="20" t="str">
        <f t="shared" si="59"/>
        <v xml:space="preserve">XL   </v>
      </c>
    </row>
    <row r="1249" spans="1:9">
      <c r="A1249" s="17" t="s">
        <v>1025</v>
      </c>
      <c r="B1249" s="17" t="s">
        <v>1014</v>
      </c>
      <c r="C1249" s="17" t="s">
        <v>800</v>
      </c>
      <c r="D1249" s="17" t="s">
        <v>801</v>
      </c>
      <c r="E1249" s="18">
        <v>3004830665023</v>
      </c>
      <c r="G1249" s="20" t="str">
        <f t="shared" si="57"/>
        <v xml:space="preserve"> ANSES/PLA.GOUTXS</v>
      </c>
      <c r="H1249" s="20" t="str">
        <f t="shared" si="58"/>
        <v>VERBO</v>
      </c>
      <c r="I1249" s="20" t="str">
        <f t="shared" si="59"/>
        <v xml:space="preserve">L    </v>
      </c>
    </row>
    <row r="1250" spans="1:9">
      <c r="A1250" s="17" t="s">
        <v>1025</v>
      </c>
      <c r="B1250" s="17" t="s">
        <v>1014</v>
      </c>
      <c r="C1250" s="17" t="s">
        <v>800</v>
      </c>
      <c r="D1250" s="17" t="s">
        <v>801</v>
      </c>
      <c r="E1250" s="18">
        <v>8056300454571</v>
      </c>
      <c r="G1250" s="20" t="str">
        <f t="shared" si="57"/>
        <v xml:space="preserve"> ANSES/PLA.GOUTXS</v>
      </c>
      <c r="H1250" s="20" t="str">
        <f t="shared" si="58"/>
        <v>VERBO</v>
      </c>
      <c r="I1250" s="20" t="str">
        <f t="shared" si="59"/>
        <v xml:space="preserve">L    </v>
      </c>
    </row>
    <row r="1251" spans="1:9">
      <c r="A1251" s="17" t="s">
        <v>1025</v>
      </c>
      <c r="B1251" s="17" t="s">
        <v>1014</v>
      </c>
      <c r="C1251" s="17" t="s">
        <v>802</v>
      </c>
      <c r="D1251" s="17" t="s">
        <v>801</v>
      </c>
      <c r="E1251" s="18">
        <v>3004830665016</v>
      </c>
      <c r="G1251" s="20" t="str">
        <f t="shared" si="57"/>
        <v xml:space="preserve"> ANSES/PLA.GOUTXS</v>
      </c>
      <c r="H1251" s="20" t="str">
        <f t="shared" si="58"/>
        <v>VERBO</v>
      </c>
      <c r="I1251" s="20" t="str">
        <f t="shared" si="59"/>
        <v xml:space="preserve">M    </v>
      </c>
    </row>
    <row r="1252" spans="1:9">
      <c r="A1252" s="17" t="s">
        <v>1025</v>
      </c>
      <c r="B1252" s="17" t="s">
        <v>1014</v>
      </c>
      <c r="C1252" s="17" t="s">
        <v>802</v>
      </c>
      <c r="D1252" s="17" t="s">
        <v>801</v>
      </c>
      <c r="E1252" s="18">
        <v>3005490665019</v>
      </c>
      <c r="G1252" s="20" t="str">
        <f t="shared" si="57"/>
        <v xml:space="preserve"> ANSES/PLA.GOUTXS</v>
      </c>
      <c r="H1252" s="20" t="str">
        <f t="shared" si="58"/>
        <v>VERBO</v>
      </c>
      <c r="I1252" s="20" t="str">
        <f t="shared" si="59"/>
        <v xml:space="preserve">M    </v>
      </c>
    </row>
    <row r="1253" spans="1:9">
      <c r="A1253" s="17" t="s">
        <v>1025</v>
      </c>
      <c r="B1253" s="17" t="s">
        <v>1014</v>
      </c>
      <c r="C1253" s="17" t="s">
        <v>803</v>
      </c>
      <c r="D1253" s="17" t="s">
        <v>801</v>
      </c>
      <c r="E1253" s="18">
        <v>3004830665009</v>
      </c>
      <c r="G1253" s="20" t="str">
        <f t="shared" si="57"/>
        <v xml:space="preserve"> ANSES/PLA.GOUTXS</v>
      </c>
      <c r="H1253" s="20" t="str">
        <f t="shared" si="58"/>
        <v>VERBO</v>
      </c>
      <c r="I1253" s="20" t="str">
        <f t="shared" si="59"/>
        <v xml:space="preserve">S    </v>
      </c>
    </row>
    <row r="1254" spans="1:9">
      <c r="A1254" s="17" t="s">
        <v>1025</v>
      </c>
      <c r="B1254" s="17" t="s">
        <v>1014</v>
      </c>
      <c r="C1254" s="17" t="s">
        <v>803</v>
      </c>
      <c r="D1254" s="17" t="s">
        <v>801</v>
      </c>
      <c r="E1254" s="18">
        <v>8056300454519</v>
      </c>
      <c r="G1254" s="20" t="str">
        <f t="shared" si="57"/>
        <v xml:space="preserve"> ANSES/PLA.GOUTXS</v>
      </c>
      <c r="H1254" s="20" t="str">
        <f t="shared" si="58"/>
        <v>VERBO</v>
      </c>
      <c r="I1254" s="20" t="str">
        <f t="shared" si="59"/>
        <v xml:space="preserve">S    </v>
      </c>
    </row>
    <row r="1255" spans="1:9">
      <c r="A1255" s="17" t="s">
        <v>1025</v>
      </c>
      <c r="B1255" s="17" t="s">
        <v>1014</v>
      </c>
      <c r="C1255" s="17" t="s">
        <v>804</v>
      </c>
      <c r="D1255" s="17" t="s">
        <v>801</v>
      </c>
      <c r="E1255" s="18">
        <v>3004830665030</v>
      </c>
      <c r="G1255" s="20" t="str">
        <f t="shared" si="57"/>
        <v xml:space="preserve"> ANSES/PLA.GOUTXS</v>
      </c>
      <c r="H1255" s="20" t="str">
        <f t="shared" si="58"/>
        <v>VERBO</v>
      </c>
      <c r="I1255" s="20" t="str">
        <f t="shared" si="59"/>
        <v xml:space="preserve">XL   </v>
      </c>
    </row>
    <row r="1256" spans="1:9">
      <c r="A1256" s="17" t="s">
        <v>1025</v>
      </c>
      <c r="B1256" s="17" t="s">
        <v>1014</v>
      </c>
      <c r="C1256" s="17" t="s">
        <v>804</v>
      </c>
      <c r="D1256" s="17" t="s">
        <v>801</v>
      </c>
      <c r="E1256" s="18">
        <v>3005490665033</v>
      </c>
      <c r="G1256" s="20" t="str">
        <f t="shared" si="57"/>
        <v xml:space="preserve"> ANSES/PLA.GOUTXS</v>
      </c>
      <c r="H1256" s="20" t="str">
        <f t="shared" si="58"/>
        <v>VERBO</v>
      </c>
      <c r="I1256" s="20" t="str">
        <f t="shared" si="59"/>
        <v xml:space="preserve">XL   </v>
      </c>
    </row>
    <row r="1257" spans="1:9">
      <c r="A1257" s="17" t="s">
        <v>1025</v>
      </c>
      <c r="B1257" s="17" t="s">
        <v>1035</v>
      </c>
      <c r="C1257" s="17" t="s">
        <v>800</v>
      </c>
      <c r="D1257" s="17" t="s">
        <v>801</v>
      </c>
      <c r="E1257" s="18">
        <v>3005490689022</v>
      </c>
      <c r="G1257" s="20" t="str">
        <f t="shared" si="57"/>
        <v xml:space="preserve"> ANSES/PLA.GOUTXS</v>
      </c>
      <c r="H1257" s="20" t="str">
        <f t="shared" si="58"/>
        <v>VERGR</v>
      </c>
      <c r="I1257" s="20" t="str">
        <f t="shared" si="59"/>
        <v xml:space="preserve">L    </v>
      </c>
    </row>
    <row r="1258" spans="1:9">
      <c r="A1258" s="17" t="s">
        <v>1025</v>
      </c>
      <c r="B1258" s="17" t="s">
        <v>1035</v>
      </c>
      <c r="C1258" s="17" t="s">
        <v>802</v>
      </c>
      <c r="D1258" s="17" t="s">
        <v>801</v>
      </c>
      <c r="E1258" s="18">
        <v>3005490689015</v>
      </c>
      <c r="G1258" s="20" t="str">
        <f t="shared" si="57"/>
        <v xml:space="preserve"> ANSES/PLA.GOUTXS</v>
      </c>
      <c r="H1258" s="20" t="str">
        <f t="shared" si="58"/>
        <v>VERGR</v>
      </c>
      <c r="I1258" s="20" t="str">
        <f t="shared" si="59"/>
        <v xml:space="preserve">M    </v>
      </c>
    </row>
    <row r="1259" spans="1:9">
      <c r="A1259" s="17" t="s">
        <v>1025</v>
      </c>
      <c r="B1259" s="17" t="s">
        <v>1035</v>
      </c>
      <c r="C1259" s="17" t="s">
        <v>803</v>
      </c>
      <c r="D1259" s="17" t="s">
        <v>801</v>
      </c>
      <c r="E1259" s="18">
        <v>3005490689008</v>
      </c>
      <c r="G1259" s="20" t="str">
        <f t="shared" si="57"/>
        <v xml:space="preserve"> ANSES/PLA.GOUTXS</v>
      </c>
      <c r="H1259" s="20" t="str">
        <f t="shared" si="58"/>
        <v>VERGR</v>
      </c>
      <c r="I1259" s="20" t="str">
        <f t="shared" si="59"/>
        <v xml:space="preserve">S    </v>
      </c>
    </row>
    <row r="1260" spans="1:9">
      <c r="A1260" s="17" t="s">
        <v>1025</v>
      </c>
      <c r="B1260" s="17" t="s">
        <v>1035</v>
      </c>
      <c r="C1260" s="17" t="s">
        <v>804</v>
      </c>
      <c r="D1260" s="17" t="s">
        <v>801</v>
      </c>
      <c r="E1260" s="18">
        <v>3005490689039</v>
      </c>
      <c r="G1260" s="20" t="str">
        <f t="shared" si="57"/>
        <v xml:space="preserve"> ANSES/PLA.GOUTXS</v>
      </c>
      <c r="H1260" s="20" t="str">
        <f t="shared" si="58"/>
        <v>VERGR</v>
      </c>
      <c r="I1260" s="20" t="str">
        <f t="shared" si="59"/>
        <v xml:space="preserve">XL   </v>
      </c>
    </row>
    <row r="1261" spans="1:9">
      <c r="A1261" s="17" t="s">
        <v>1025</v>
      </c>
      <c r="B1261" s="17" t="s">
        <v>922</v>
      </c>
      <c r="C1261" s="17" t="s">
        <v>800</v>
      </c>
      <c r="D1261" s="17" t="s">
        <v>801</v>
      </c>
      <c r="E1261" s="18">
        <v>3004830661025</v>
      </c>
      <c r="G1261" s="20" t="str">
        <f t="shared" si="57"/>
        <v xml:space="preserve"> ANSES/PLA.GOUTXS</v>
      </c>
      <c r="H1261" s="20" t="str">
        <f t="shared" si="58"/>
        <v>VERNO</v>
      </c>
      <c r="I1261" s="20" t="str">
        <f t="shared" si="59"/>
        <v xml:space="preserve">L    </v>
      </c>
    </row>
    <row r="1262" spans="1:9">
      <c r="A1262" s="17" t="s">
        <v>1025</v>
      </c>
      <c r="B1262" s="17" t="s">
        <v>922</v>
      </c>
      <c r="C1262" s="17" t="s">
        <v>800</v>
      </c>
      <c r="D1262" s="17" t="s">
        <v>801</v>
      </c>
      <c r="E1262" s="18">
        <v>3005490367029</v>
      </c>
      <c r="G1262" s="20" t="str">
        <f t="shared" si="57"/>
        <v xml:space="preserve"> ANSES/PLA.GOUTXS</v>
      </c>
      <c r="H1262" s="20" t="str">
        <f t="shared" si="58"/>
        <v>VERNO</v>
      </c>
      <c r="I1262" s="20" t="str">
        <f t="shared" si="59"/>
        <v xml:space="preserve">L    </v>
      </c>
    </row>
    <row r="1263" spans="1:9">
      <c r="A1263" s="17" t="s">
        <v>1025</v>
      </c>
      <c r="B1263" s="17" t="s">
        <v>922</v>
      </c>
      <c r="C1263" s="17" t="s">
        <v>800</v>
      </c>
      <c r="D1263" s="17" t="s">
        <v>801</v>
      </c>
      <c r="E1263" s="18">
        <v>8056300454595</v>
      </c>
      <c r="G1263" s="20" t="str">
        <f t="shared" si="57"/>
        <v xml:space="preserve"> ANSES/PLA.GOUTXS</v>
      </c>
      <c r="H1263" s="20" t="str">
        <f t="shared" si="58"/>
        <v>VERNO</v>
      </c>
      <c r="I1263" s="20" t="str">
        <f t="shared" si="59"/>
        <v xml:space="preserve">L    </v>
      </c>
    </row>
    <row r="1264" spans="1:9">
      <c r="A1264" s="17" t="s">
        <v>1025</v>
      </c>
      <c r="B1264" s="17" t="s">
        <v>922</v>
      </c>
      <c r="C1264" s="17" t="s">
        <v>802</v>
      </c>
      <c r="D1264" s="17" t="s">
        <v>801</v>
      </c>
      <c r="E1264" s="18">
        <v>3004830661018</v>
      </c>
      <c r="G1264" s="20" t="str">
        <f t="shared" si="57"/>
        <v xml:space="preserve"> ANSES/PLA.GOUTXS</v>
      </c>
      <c r="H1264" s="20" t="str">
        <f t="shared" si="58"/>
        <v>VERNO</v>
      </c>
      <c r="I1264" s="20" t="str">
        <f t="shared" si="59"/>
        <v xml:space="preserve">M    </v>
      </c>
    </row>
    <row r="1265" spans="1:9">
      <c r="A1265" s="17" t="s">
        <v>1025</v>
      </c>
      <c r="B1265" s="17" t="s">
        <v>922</v>
      </c>
      <c r="C1265" s="17" t="s">
        <v>802</v>
      </c>
      <c r="D1265" s="17" t="s">
        <v>801</v>
      </c>
      <c r="E1265" s="18">
        <v>3005490367012</v>
      </c>
      <c r="G1265" s="20" t="str">
        <f t="shared" si="57"/>
        <v xml:space="preserve"> ANSES/PLA.GOUTXS</v>
      </c>
      <c r="H1265" s="20" t="str">
        <f t="shared" si="58"/>
        <v>VERNO</v>
      </c>
      <c r="I1265" s="20" t="str">
        <f t="shared" si="59"/>
        <v xml:space="preserve">M    </v>
      </c>
    </row>
    <row r="1266" spans="1:9">
      <c r="A1266" s="17" t="s">
        <v>1025</v>
      </c>
      <c r="B1266" s="17" t="s">
        <v>922</v>
      </c>
      <c r="C1266" s="17" t="s">
        <v>803</v>
      </c>
      <c r="D1266" s="17" t="s">
        <v>801</v>
      </c>
      <c r="E1266" s="18">
        <v>3004830661001</v>
      </c>
      <c r="G1266" s="20" t="str">
        <f t="shared" si="57"/>
        <v xml:space="preserve"> ANSES/PLA.GOUTXS</v>
      </c>
      <c r="H1266" s="20" t="str">
        <f t="shared" si="58"/>
        <v>VERNO</v>
      </c>
      <c r="I1266" s="20" t="str">
        <f t="shared" si="59"/>
        <v xml:space="preserve">S    </v>
      </c>
    </row>
    <row r="1267" spans="1:9">
      <c r="A1267" s="17" t="s">
        <v>1025</v>
      </c>
      <c r="B1267" s="17" t="s">
        <v>922</v>
      </c>
      <c r="C1267" s="17" t="s">
        <v>803</v>
      </c>
      <c r="D1267" s="17" t="s">
        <v>801</v>
      </c>
      <c r="E1267" s="18">
        <v>3005490367005</v>
      </c>
      <c r="G1267" s="20" t="str">
        <f t="shared" si="57"/>
        <v xml:space="preserve"> ANSES/PLA.GOUTXS</v>
      </c>
      <c r="H1267" s="20" t="str">
        <f t="shared" si="58"/>
        <v>VERNO</v>
      </c>
      <c r="I1267" s="20" t="str">
        <f t="shared" si="59"/>
        <v xml:space="preserve">S    </v>
      </c>
    </row>
    <row r="1268" spans="1:9">
      <c r="A1268" s="17" t="s">
        <v>1025</v>
      </c>
      <c r="B1268" s="17" t="s">
        <v>922</v>
      </c>
      <c r="C1268" s="17" t="s">
        <v>803</v>
      </c>
      <c r="D1268" s="17" t="s">
        <v>801</v>
      </c>
      <c r="E1268" s="18">
        <v>8056300454533</v>
      </c>
      <c r="G1268" s="20" t="str">
        <f t="shared" si="57"/>
        <v xml:space="preserve"> ANSES/PLA.GOUTXS</v>
      </c>
      <c r="H1268" s="20" t="str">
        <f t="shared" si="58"/>
        <v>VERNO</v>
      </c>
      <c r="I1268" s="20" t="str">
        <f t="shared" si="59"/>
        <v xml:space="preserve">S    </v>
      </c>
    </row>
    <row r="1269" spans="1:9">
      <c r="A1269" s="17" t="s">
        <v>1025</v>
      </c>
      <c r="B1269" s="17" t="s">
        <v>922</v>
      </c>
      <c r="C1269" s="17" t="s">
        <v>804</v>
      </c>
      <c r="D1269" s="17" t="s">
        <v>801</v>
      </c>
      <c r="E1269" s="18">
        <v>3004830661032</v>
      </c>
      <c r="G1269" s="20" t="str">
        <f t="shared" si="57"/>
        <v xml:space="preserve"> ANSES/PLA.GOUTXS</v>
      </c>
      <c r="H1269" s="20" t="str">
        <f t="shared" si="58"/>
        <v>VERNO</v>
      </c>
      <c r="I1269" s="20" t="str">
        <f t="shared" si="59"/>
        <v xml:space="preserve">XL   </v>
      </c>
    </row>
    <row r="1270" spans="1:9">
      <c r="A1270" s="17" t="s">
        <v>1025</v>
      </c>
      <c r="B1270" s="17" t="s">
        <v>922</v>
      </c>
      <c r="C1270" s="17" t="s">
        <v>804</v>
      </c>
      <c r="D1270" s="17" t="s">
        <v>801</v>
      </c>
      <c r="E1270" s="18">
        <v>3005490367036</v>
      </c>
      <c r="G1270" s="20" t="str">
        <f t="shared" si="57"/>
        <v xml:space="preserve"> ANSES/PLA.GOUTXS</v>
      </c>
      <c r="H1270" s="20" t="str">
        <f t="shared" si="58"/>
        <v>VERNO</v>
      </c>
      <c r="I1270" s="20" t="str">
        <f t="shared" si="59"/>
        <v xml:space="preserve">XL   </v>
      </c>
    </row>
    <row r="1271" spans="1:9">
      <c r="A1271" s="17" t="s">
        <v>1025</v>
      </c>
      <c r="B1271" s="17" t="s">
        <v>1036</v>
      </c>
      <c r="C1271" s="17" t="s">
        <v>800</v>
      </c>
      <c r="D1271" s="17" t="s">
        <v>801</v>
      </c>
      <c r="E1271" s="18">
        <v>8050538590957</v>
      </c>
      <c r="G1271" s="20" t="str">
        <f t="shared" si="57"/>
        <v xml:space="preserve"> ANSES/PLA.GOUTXS</v>
      </c>
      <c r="H1271" s="20" t="str">
        <f t="shared" si="58"/>
        <v>VOLCA</v>
      </c>
      <c r="I1271" s="20" t="str">
        <f t="shared" si="59"/>
        <v xml:space="preserve">L    </v>
      </c>
    </row>
    <row r="1272" spans="1:9">
      <c r="A1272" s="17" t="s">
        <v>1025</v>
      </c>
      <c r="B1272" s="17" t="s">
        <v>1036</v>
      </c>
      <c r="C1272" s="17" t="s">
        <v>802</v>
      </c>
      <c r="D1272" s="17" t="s">
        <v>801</v>
      </c>
      <c r="E1272" s="18">
        <v>3004831098011</v>
      </c>
      <c r="G1272" s="20" t="str">
        <f t="shared" si="57"/>
        <v xml:space="preserve"> ANSES/PLA.GOUTXS</v>
      </c>
      <c r="H1272" s="20" t="str">
        <f t="shared" si="58"/>
        <v>VOLCA</v>
      </c>
      <c r="I1272" s="20" t="str">
        <f t="shared" si="59"/>
        <v xml:space="preserve">M    </v>
      </c>
    </row>
    <row r="1273" spans="1:9">
      <c r="A1273" s="17" t="s">
        <v>1025</v>
      </c>
      <c r="B1273" s="17" t="s">
        <v>1036</v>
      </c>
      <c r="C1273" s="17" t="s">
        <v>803</v>
      </c>
      <c r="D1273" s="17" t="s">
        <v>801</v>
      </c>
      <c r="E1273" s="18">
        <v>3004831098004</v>
      </c>
      <c r="G1273" s="20" t="str">
        <f t="shared" si="57"/>
        <v xml:space="preserve"> ANSES/PLA.GOUTXS</v>
      </c>
      <c r="H1273" s="20" t="str">
        <f t="shared" si="58"/>
        <v>VOLCA</v>
      </c>
      <c r="I1273" s="20" t="str">
        <f t="shared" si="59"/>
        <v xml:space="preserve">S    </v>
      </c>
    </row>
    <row r="1274" spans="1:9">
      <c r="A1274" s="17" t="s">
        <v>1025</v>
      </c>
      <c r="B1274" s="17" t="s">
        <v>1036</v>
      </c>
      <c r="C1274" s="17" t="s">
        <v>804</v>
      </c>
      <c r="D1274" s="17" t="s">
        <v>801</v>
      </c>
      <c r="E1274" s="18">
        <v>3004831098035</v>
      </c>
      <c r="G1274" s="20" t="str">
        <f t="shared" si="57"/>
        <v xml:space="preserve"> ANSES/PLA.GOUTXS</v>
      </c>
      <c r="H1274" s="20" t="str">
        <f t="shared" si="58"/>
        <v>VOLCA</v>
      </c>
      <c r="I1274" s="20" t="str">
        <f t="shared" si="59"/>
        <v xml:space="preserve">XL   </v>
      </c>
    </row>
    <row r="1275" spans="1:9">
      <c r="A1275" s="17" t="s">
        <v>1025</v>
      </c>
      <c r="B1275" s="17" t="s">
        <v>273</v>
      </c>
      <c r="C1275" s="17" t="s">
        <v>800</v>
      </c>
      <c r="D1275" s="17" t="s">
        <v>801</v>
      </c>
      <c r="E1275" s="18">
        <v>8056099170317</v>
      </c>
      <c r="G1275" s="20" t="str">
        <f t="shared" si="57"/>
        <v xml:space="preserve"> ANSES/PLA.GOUTXS</v>
      </c>
      <c r="H1275" s="20" t="str">
        <f t="shared" si="58"/>
        <v>WHITE</v>
      </c>
      <c r="I1275" s="20" t="str">
        <f t="shared" si="59"/>
        <v xml:space="preserve">L    </v>
      </c>
    </row>
    <row r="1276" spans="1:9">
      <c r="A1276" s="17" t="s">
        <v>1025</v>
      </c>
      <c r="B1276" s="17" t="s">
        <v>273</v>
      </c>
      <c r="C1276" s="17" t="s">
        <v>800</v>
      </c>
      <c r="D1276" s="17" t="s">
        <v>801</v>
      </c>
      <c r="E1276" s="18">
        <v>3004830440026</v>
      </c>
      <c r="G1276" s="20" t="str">
        <f t="shared" si="57"/>
        <v xml:space="preserve"> ANSES/PLA.GOUTXS</v>
      </c>
      <c r="H1276" s="20" t="str">
        <f t="shared" si="58"/>
        <v>WHITE</v>
      </c>
      <c r="I1276" s="20" t="str">
        <f t="shared" si="59"/>
        <v xml:space="preserve">L    </v>
      </c>
    </row>
    <row r="1277" spans="1:9">
      <c r="A1277" s="17" t="s">
        <v>1025</v>
      </c>
      <c r="B1277" s="17" t="s">
        <v>273</v>
      </c>
      <c r="C1277" s="17" t="s">
        <v>800</v>
      </c>
      <c r="D1277" s="17" t="s">
        <v>801</v>
      </c>
      <c r="E1277" s="18">
        <v>3005490440029</v>
      </c>
      <c r="G1277" s="20" t="str">
        <f t="shared" si="57"/>
        <v xml:space="preserve"> ANSES/PLA.GOUTXS</v>
      </c>
      <c r="H1277" s="20" t="str">
        <f t="shared" si="58"/>
        <v>WHITE</v>
      </c>
      <c r="I1277" s="20" t="str">
        <f t="shared" si="59"/>
        <v xml:space="preserve">L    </v>
      </c>
    </row>
    <row r="1278" spans="1:9">
      <c r="A1278" s="17" t="s">
        <v>1025</v>
      </c>
      <c r="B1278" s="17" t="s">
        <v>273</v>
      </c>
      <c r="C1278" s="17" t="s">
        <v>802</v>
      </c>
      <c r="D1278" s="17" t="s">
        <v>801</v>
      </c>
      <c r="E1278" s="18">
        <v>3004830440019</v>
      </c>
      <c r="G1278" s="20" t="str">
        <f t="shared" si="57"/>
        <v xml:space="preserve"> ANSES/PLA.GOUTXS</v>
      </c>
      <c r="H1278" s="20" t="str">
        <f t="shared" si="58"/>
        <v>WHITE</v>
      </c>
      <c r="I1278" s="20" t="str">
        <f t="shared" si="59"/>
        <v xml:space="preserve">M    </v>
      </c>
    </row>
    <row r="1279" spans="1:9">
      <c r="A1279" s="17" t="s">
        <v>1025</v>
      </c>
      <c r="B1279" s="17" t="s">
        <v>273</v>
      </c>
      <c r="C1279" s="17" t="s">
        <v>802</v>
      </c>
      <c r="D1279" s="17" t="s">
        <v>801</v>
      </c>
      <c r="E1279" s="18">
        <v>3005490440012</v>
      </c>
      <c r="G1279" s="20" t="str">
        <f t="shared" si="57"/>
        <v xml:space="preserve"> ANSES/PLA.GOUTXS</v>
      </c>
      <c r="H1279" s="20" t="str">
        <f t="shared" si="58"/>
        <v>WHITE</v>
      </c>
      <c r="I1279" s="20" t="str">
        <f t="shared" si="59"/>
        <v xml:space="preserve">M    </v>
      </c>
    </row>
    <row r="1280" spans="1:9">
      <c r="A1280" s="17" t="s">
        <v>1025</v>
      </c>
      <c r="B1280" s="17" t="s">
        <v>273</v>
      </c>
      <c r="C1280" s="17" t="s">
        <v>803</v>
      </c>
      <c r="D1280" s="17" t="s">
        <v>801</v>
      </c>
      <c r="E1280" s="18">
        <v>3004830440002</v>
      </c>
      <c r="G1280" s="20" t="str">
        <f t="shared" si="57"/>
        <v xml:space="preserve"> ANSES/PLA.GOUTXS</v>
      </c>
      <c r="H1280" s="20" t="str">
        <f t="shared" si="58"/>
        <v>WHITE</v>
      </c>
      <c r="I1280" s="20" t="str">
        <f t="shared" si="59"/>
        <v xml:space="preserve">S    </v>
      </c>
    </row>
    <row r="1281" spans="1:9">
      <c r="A1281" s="17" t="s">
        <v>1025</v>
      </c>
      <c r="B1281" s="17" t="s">
        <v>273</v>
      </c>
      <c r="C1281" s="17" t="s">
        <v>803</v>
      </c>
      <c r="D1281" s="17" t="s">
        <v>801</v>
      </c>
      <c r="E1281" s="18">
        <v>8056099170058</v>
      </c>
      <c r="G1281" s="20" t="str">
        <f t="shared" si="57"/>
        <v xml:space="preserve"> ANSES/PLA.GOUTXS</v>
      </c>
      <c r="H1281" s="20" t="str">
        <f t="shared" si="58"/>
        <v>WHITE</v>
      </c>
      <c r="I1281" s="20" t="str">
        <f t="shared" si="59"/>
        <v xml:space="preserve">S    </v>
      </c>
    </row>
    <row r="1282" spans="1:9">
      <c r="A1282" s="17" t="s">
        <v>1025</v>
      </c>
      <c r="B1282" s="17" t="s">
        <v>273</v>
      </c>
      <c r="C1282" s="17" t="s">
        <v>804</v>
      </c>
      <c r="D1282" s="17" t="s">
        <v>801</v>
      </c>
      <c r="E1282" s="18">
        <v>3004830440033</v>
      </c>
      <c r="G1282" s="20" t="str">
        <f t="shared" si="57"/>
        <v xml:space="preserve"> ANSES/PLA.GOUTXS</v>
      </c>
      <c r="H1282" s="20" t="str">
        <f t="shared" si="58"/>
        <v>WHITE</v>
      </c>
      <c r="I1282" s="20" t="str">
        <f t="shared" si="59"/>
        <v xml:space="preserve">XL   </v>
      </c>
    </row>
    <row r="1283" spans="1:9">
      <c r="A1283" s="17" t="s">
        <v>1025</v>
      </c>
      <c r="B1283" s="17" t="s">
        <v>273</v>
      </c>
      <c r="C1283" s="17" t="s">
        <v>804</v>
      </c>
      <c r="D1283" s="17" t="s">
        <v>801</v>
      </c>
      <c r="E1283" s="18">
        <v>3005490440036</v>
      </c>
      <c r="G1283" s="20" t="str">
        <f t="shared" si="57"/>
        <v xml:space="preserve"> ANSES/PLA.GOUTXS</v>
      </c>
      <c r="H1283" s="20" t="str">
        <f t="shared" si="58"/>
        <v>WHITE</v>
      </c>
      <c r="I1283" s="20" t="str">
        <f t="shared" si="59"/>
        <v xml:space="preserve">XL   </v>
      </c>
    </row>
    <row r="1284" spans="1:9">
      <c r="A1284" s="17" t="s">
        <v>1037</v>
      </c>
      <c r="B1284" s="17" t="s">
        <v>969</v>
      </c>
      <c r="C1284" s="17">
        <v>0</v>
      </c>
      <c r="D1284" s="17" t="s">
        <v>801</v>
      </c>
      <c r="E1284" s="18">
        <v>8050538595174</v>
      </c>
      <c r="G1284" s="20" t="str">
        <f t="shared" si="57"/>
        <v xml:space="preserve"> ANSES/PLAGOUBAND</v>
      </c>
      <c r="H1284" s="20" t="str">
        <f t="shared" si="58"/>
        <v>3DLAT</v>
      </c>
      <c r="I1284" s="20">
        <f t="shared" si="59"/>
        <v>0</v>
      </c>
    </row>
    <row r="1285" spans="1:9">
      <c r="A1285" s="17" t="s">
        <v>1037</v>
      </c>
      <c r="B1285" s="17" t="s">
        <v>1038</v>
      </c>
      <c r="C1285" s="17">
        <v>0</v>
      </c>
      <c r="D1285" s="17" t="s">
        <v>801</v>
      </c>
      <c r="E1285" s="18">
        <v>3005901498007</v>
      </c>
      <c r="G1285" s="20" t="str">
        <f t="shared" ref="G1285:G1348" si="60">A1285</f>
        <v xml:space="preserve"> ANSES/PLAGOUBAND</v>
      </c>
      <c r="H1285" s="20" t="str">
        <f t="shared" ref="H1285:H1348" si="61">B1285</f>
        <v>DIABL</v>
      </c>
      <c r="I1285" s="20">
        <f t="shared" ref="I1285:I1348" si="62">C1285</f>
        <v>0</v>
      </c>
    </row>
    <row r="1286" spans="1:9">
      <c r="A1286" s="17" t="s">
        <v>1037</v>
      </c>
      <c r="B1286" s="17" t="s">
        <v>1038</v>
      </c>
      <c r="C1286" s="17">
        <v>0</v>
      </c>
      <c r="D1286" s="17" t="s">
        <v>801</v>
      </c>
      <c r="E1286" s="18">
        <v>8050538595181</v>
      </c>
      <c r="G1286" s="20" t="str">
        <f t="shared" si="60"/>
        <v xml:space="preserve"> ANSES/PLAGOUBAND</v>
      </c>
      <c r="H1286" s="20" t="str">
        <f t="shared" si="61"/>
        <v>DIABL</v>
      </c>
      <c r="I1286" s="20">
        <f t="shared" si="62"/>
        <v>0</v>
      </c>
    </row>
    <row r="1287" spans="1:9">
      <c r="A1287" s="17" t="s">
        <v>1037</v>
      </c>
      <c r="B1287" s="17" t="s">
        <v>1038</v>
      </c>
      <c r="C1287" s="17">
        <v>0</v>
      </c>
      <c r="D1287" s="17" t="s">
        <v>801</v>
      </c>
      <c r="E1287" s="18">
        <v>8050846019348</v>
      </c>
      <c r="G1287" s="20" t="str">
        <f t="shared" si="60"/>
        <v xml:space="preserve"> ANSES/PLAGOUBAND</v>
      </c>
      <c r="H1287" s="20" t="str">
        <f t="shared" si="61"/>
        <v>DIABL</v>
      </c>
      <c r="I1287" s="20">
        <f t="shared" si="62"/>
        <v>0</v>
      </c>
    </row>
    <row r="1288" spans="1:9">
      <c r="A1288" s="17" t="s">
        <v>1037</v>
      </c>
      <c r="B1288" s="17" t="s">
        <v>1039</v>
      </c>
      <c r="C1288" s="17">
        <v>0</v>
      </c>
      <c r="D1288" s="17" t="s">
        <v>801</v>
      </c>
      <c r="E1288" s="18">
        <v>8056099177910</v>
      </c>
      <c r="G1288" s="20" t="str">
        <f t="shared" si="60"/>
        <v xml:space="preserve"> ANSES/PLAGOUBAND</v>
      </c>
      <c r="H1288" s="20" t="str">
        <f t="shared" si="61"/>
        <v>JACBL</v>
      </c>
      <c r="I1288" s="20">
        <f t="shared" si="62"/>
        <v>0</v>
      </c>
    </row>
    <row r="1289" spans="1:9">
      <c r="A1289" s="17" t="s">
        <v>1037</v>
      </c>
      <c r="B1289" s="17" t="s">
        <v>1040</v>
      </c>
      <c r="C1289" s="17">
        <v>0</v>
      </c>
      <c r="D1289" s="17" t="s">
        <v>801</v>
      </c>
      <c r="E1289" s="18">
        <v>8056099179129</v>
      </c>
      <c r="G1289" s="20" t="str">
        <f t="shared" si="60"/>
        <v xml:space="preserve"> ANSES/PLAGOUBAND</v>
      </c>
      <c r="H1289" s="20" t="str">
        <f t="shared" si="61"/>
        <v>JACRO</v>
      </c>
      <c r="I1289" s="20">
        <f t="shared" si="62"/>
        <v>0</v>
      </c>
    </row>
    <row r="1290" spans="1:9">
      <c r="A1290" s="17" t="s">
        <v>1037</v>
      </c>
      <c r="B1290" s="17" t="s">
        <v>1041</v>
      </c>
      <c r="C1290" s="17">
        <v>0</v>
      </c>
      <c r="D1290" s="17" t="s">
        <v>801</v>
      </c>
      <c r="E1290" s="18">
        <v>8050538595532</v>
      </c>
      <c r="G1290" s="20" t="str">
        <f t="shared" si="60"/>
        <v xml:space="preserve"> ANSES/PLAGOUBAND</v>
      </c>
      <c r="H1290" s="20" t="str">
        <f t="shared" si="61"/>
        <v>LIGBL</v>
      </c>
      <c r="I1290" s="20">
        <f t="shared" si="62"/>
        <v>0</v>
      </c>
    </row>
    <row r="1291" spans="1:9">
      <c r="A1291" s="17" t="s">
        <v>1037</v>
      </c>
      <c r="B1291" s="17" t="s">
        <v>1042</v>
      </c>
      <c r="C1291" s="17">
        <v>0</v>
      </c>
      <c r="D1291" s="17" t="s">
        <v>801</v>
      </c>
      <c r="E1291" s="18">
        <v>8050538595525</v>
      </c>
      <c r="G1291" s="20" t="str">
        <f t="shared" si="60"/>
        <v xml:space="preserve"> ANSES/PLAGOUBAND</v>
      </c>
      <c r="H1291" s="20" t="str">
        <f t="shared" si="61"/>
        <v>LIGRO</v>
      </c>
      <c r="I1291" s="20">
        <f t="shared" si="62"/>
        <v>0</v>
      </c>
    </row>
    <row r="1292" spans="1:9">
      <c r="A1292" s="17" t="s">
        <v>1037</v>
      </c>
      <c r="B1292" s="17" t="s">
        <v>1043</v>
      </c>
      <c r="C1292" s="17">
        <v>0</v>
      </c>
      <c r="D1292" s="17" t="s">
        <v>801</v>
      </c>
      <c r="E1292" s="18">
        <v>8056099179990</v>
      </c>
      <c r="G1292" s="20" t="str">
        <f t="shared" si="60"/>
        <v xml:space="preserve"> ANSES/PLAGOUBAND</v>
      </c>
      <c r="H1292" s="20" t="str">
        <f t="shared" si="61"/>
        <v>VELBL</v>
      </c>
      <c r="I1292" s="20">
        <f t="shared" si="62"/>
        <v>0</v>
      </c>
    </row>
    <row r="1293" spans="1:9">
      <c r="A1293" s="17" t="s">
        <v>1044</v>
      </c>
      <c r="B1293" s="17" t="s">
        <v>280</v>
      </c>
      <c r="C1293" s="17">
        <v>0</v>
      </c>
      <c r="D1293" s="17" t="s">
        <v>801</v>
      </c>
      <c r="E1293" s="18">
        <v>3004290004004</v>
      </c>
      <c r="G1293" s="20" t="str">
        <f t="shared" si="60"/>
        <v xml:space="preserve"> ANSES/PLATES    </v>
      </c>
      <c r="H1293" s="20" t="str">
        <f t="shared" si="61"/>
        <v>BLACK</v>
      </c>
      <c r="I1293" s="20">
        <f t="shared" si="62"/>
        <v>0</v>
      </c>
    </row>
    <row r="1294" spans="1:9">
      <c r="A1294" s="17" t="s">
        <v>1044</v>
      </c>
      <c r="B1294" s="17" t="s">
        <v>982</v>
      </c>
      <c r="C1294" s="17">
        <v>0</v>
      </c>
      <c r="D1294" s="17" t="s">
        <v>801</v>
      </c>
      <c r="E1294" s="18">
        <v>3004290511007</v>
      </c>
      <c r="G1294" s="20" t="str">
        <f t="shared" si="60"/>
        <v xml:space="preserve"> ANSES/PLATES    </v>
      </c>
      <c r="H1294" s="20" t="str">
        <f t="shared" si="61"/>
        <v>CARNE</v>
      </c>
      <c r="I1294" s="20">
        <f t="shared" si="62"/>
        <v>0</v>
      </c>
    </row>
    <row r="1295" spans="1:9">
      <c r="A1295" s="17" t="s">
        <v>1044</v>
      </c>
      <c r="B1295" s="17" t="s">
        <v>880</v>
      </c>
      <c r="C1295" s="17">
        <v>0</v>
      </c>
      <c r="D1295" s="17" t="s">
        <v>801</v>
      </c>
      <c r="E1295" s="18">
        <v>3002320470003</v>
      </c>
      <c r="G1295" s="20" t="str">
        <f t="shared" si="60"/>
        <v xml:space="preserve"> ANSES/PLATES    </v>
      </c>
      <c r="H1295" s="20" t="str">
        <f t="shared" si="61"/>
        <v xml:space="preserve">CBBL </v>
      </c>
      <c r="I1295" s="20">
        <f t="shared" si="62"/>
        <v>0</v>
      </c>
    </row>
    <row r="1296" spans="1:9">
      <c r="A1296" s="17" t="s">
        <v>1044</v>
      </c>
      <c r="B1296" s="17" t="s">
        <v>880</v>
      </c>
      <c r="C1296" s="17">
        <v>0</v>
      </c>
      <c r="D1296" s="17" t="s">
        <v>801</v>
      </c>
      <c r="E1296" s="18">
        <v>3004290207009</v>
      </c>
      <c r="G1296" s="20" t="str">
        <f t="shared" si="60"/>
        <v xml:space="preserve"> ANSES/PLATES    </v>
      </c>
      <c r="H1296" s="20" t="str">
        <f t="shared" si="61"/>
        <v xml:space="preserve">CBBL </v>
      </c>
      <c r="I1296" s="20">
        <f t="shared" si="62"/>
        <v>0</v>
      </c>
    </row>
    <row r="1297" spans="1:9">
      <c r="A1297" s="17" t="s">
        <v>1044</v>
      </c>
      <c r="B1297" s="17" t="s">
        <v>832</v>
      </c>
      <c r="C1297" s="17">
        <v>0</v>
      </c>
      <c r="D1297" s="17" t="s">
        <v>801</v>
      </c>
      <c r="E1297" s="18">
        <v>3004290461005</v>
      </c>
      <c r="G1297" s="20" t="str">
        <f t="shared" si="60"/>
        <v xml:space="preserve"> ANSES/PLATES    </v>
      </c>
      <c r="H1297" s="20" t="str">
        <f t="shared" si="61"/>
        <v>CBNAV</v>
      </c>
      <c r="I1297" s="20">
        <f t="shared" si="62"/>
        <v>0</v>
      </c>
    </row>
    <row r="1298" spans="1:9">
      <c r="A1298" s="17" t="s">
        <v>1044</v>
      </c>
      <c r="B1298" s="17" t="s">
        <v>1045</v>
      </c>
      <c r="C1298" s="17">
        <v>0</v>
      </c>
      <c r="D1298" s="17" t="s">
        <v>801</v>
      </c>
      <c r="E1298" s="18">
        <v>3004290512004</v>
      </c>
      <c r="G1298" s="20" t="str">
        <f t="shared" si="60"/>
        <v xml:space="preserve"> ANSES/PLATES    </v>
      </c>
      <c r="H1298" s="20" t="str">
        <f t="shared" si="61"/>
        <v xml:space="preserve">CBWH </v>
      </c>
      <c r="I1298" s="20">
        <f t="shared" si="62"/>
        <v>0</v>
      </c>
    </row>
    <row r="1299" spans="1:9">
      <c r="A1299" s="17" t="s">
        <v>1044</v>
      </c>
      <c r="B1299" s="17" t="s">
        <v>983</v>
      </c>
      <c r="C1299" s="17">
        <v>0</v>
      </c>
      <c r="D1299" s="17" t="s">
        <v>801</v>
      </c>
      <c r="E1299" s="18">
        <v>3004290462002</v>
      </c>
      <c r="G1299" s="20" t="str">
        <f t="shared" si="60"/>
        <v xml:space="preserve"> ANSES/PLATES    </v>
      </c>
      <c r="H1299" s="20" t="str">
        <f t="shared" si="61"/>
        <v>CBWHI</v>
      </c>
      <c r="I1299" s="20">
        <f t="shared" si="62"/>
        <v>0</v>
      </c>
    </row>
    <row r="1300" spans="1:9">
      <c r="A1300" s="17" t="s">
        <v>1044</v>
      </c>
      <c r="B1300" s="17" t="s">
        <v>1046</v>
      </c>
      <c r="C1300" s="17">
        <v>0</v>
      </c>
      <c r="D1300" s="17" t="s">
        <v>801</v>
      </c>
      <c r="E1300" s="18">
        <v>3004290234005</v>
      </c>
      <c r="G1300" s="20" t="str">
        <f t="shared" si="60"/>
        <v xml:space="preserve"> ANSES/PLATES    </v>
      </c>
      <c r="H1300" s="20" t="str">
        <f t="shared" si="61"/>
        <v>CUIBL</v>
      </c>
      <c r="I1300" s="20">
        <f t="shared" si="62"/>
        <v>0</v>
      </c>
    </row>
    <row r="1301" spans="1:9">
      <c r="A1301" s="17" t="s">
        <v>1044</v>
      </c>
      <c r="B1301" s="17" t="s">
        <v>1046</v>
      </c>
      <c r="C1301" s="17">
        <v>0</v>
      </c>
      <c r="D1301" s="17" t="s">
        <v>801</v>
      </c>
      <c r="E1301" s="18">
        <v>8050450217444</v>
      </c>
      <c r="G1301" s="20" t="str">
        <f t="shared" si="60"/>
        <v xml:space="preserve"> ANSES/PLATES    </v>
      </c>
      <c r="H1301" s="20" t="str">
        <f t="shared" si="61"/>
        <v>CUIBL</v>
      </c>
      <c r="I1301" s="20">
        <f t="shared" si="62"/>
        <v>0</v>
      </c>
    </row>
    <row r="1302" spans="1:9">
      <c r="A1302" s="17" t="s">
        <v>1044</v>
      </c>
      <c r="B1302" s="17" t="s">
        <v>1047</v>
      </c>
      <c r="C1302" s="17">
        <v>0</v>
      </c>
      <c r="D1302" s="17" t="s">
        <v>801</v>
      </c>
      <c r="E1302" s="18">
        <v>3004290236009</v>
      </c>
      <c r="G1302" s="20" t="str">
        <f t="shared" si="60"/>
        <v xml:space="preserve"> ANSES/PLATES    </v>
      </c>
      <c r="H1302" s="20" t="str">
        <f t="shared" si="61"/>
        <v>CUIMA</v>
      </c>
      <c r="I1302" s="20">
        <f t="shared" si="62"/>
        <v>0</v>
      </c>
    </row>
    <row r="1303" spans="1:9">
      <c r="A1303" s="17" t="s">
        <v>1044</v>
      </c>
      <c r="B1303" s="17" t="s">
        <v>1047</v>
      </c>
      <c r="C1303" s="17">
        <v>0</v>
      </c>
      <c r="D1303" s="17" t="s">
        <v>801</v>
      </c>
      <c r="E1303" s="18">
        <v>8050450217437</v>
      </c>
      <c r="G1303" s="20" t="str">
        <f t="shared" si="60"/>
        <v xml:space="preserve"> ANSES/PLATES    </v>
      </c>
      <c r="H1303" s="20" t="str">
        <f t="shared" si="61"/>
        <v>CUIMA</v>
      </c>
      <c r="I1303" s="20">
        <f t="shared" si="62"/>
        <v>0</v>
      </c>
    </row>
    <row r="1304" spans="1:9">
      <c r="A1304" s="17" t="s">
        <v>1044</v>
      </c>
      <c r="B1304" s="17" t="s">
        <v>1048</v>
      </c>
      <c r="C1304" s="17">
        <v>0</v>
      </c>
      <c r="D1304" s="17" t="s">
        <v>801</v>
      </c>
      <c r="E1304" s="18">
        <v>3004290235002</v>
      </c>
      <c r="G1304" s="20" t="str">
        <f t="shared" si="60"/>
        <v xml:space="preserve"> ANSES/PLATES    </v>
      </c>
      <c r="H1304" s="20" t="str">
        <f t="shared" si="61"/>
        <v>CUINO</v>
      </c>
      <c r="I1304" s="20">
        <f t="shared" si="62"/>
        <v>0</v>
      </c>
    </row>
    <row r="1305" spans="1:9">
      <c r="A1305" s="17" t="s">
        <v>1044</v>
      </c>
      <c r="B1305" s="17" t="s">
        <v>1048</v>
      </c>
      <c r="C1305" s="17">
        <v>0</v>
      </c>
      <c r="D1305" s="17" t="s">
        <v>801</v>
      </c>
      <c r="E1305" s="18">
        <v>8050450217420</v>
      </c>
      <c r="G1305" s="20" t="str">
        <f t="shared" si="60"/>
        <v xml:space="preserve"> ANSES/PLATES    </v>
      </c>
      <c r="H1305" s="20" t="str">
        <f t="shared" si="61"/>
        <v>CUINO</v>
      </c>
      <c r="I1305" s="20">
        <f t="shared" si="62"/>
        <v>0</v>
      </c>
    </row>
    <row r="1306" spans="1:9">
      <c r="A1306" s="17" t="s">
        <v>1044</v>
      </c>
      <c r="B1306" s="17" t="s">
        <v>1049</v>
      </c>
      <c r="C1306" s="17">
        <v>0</v>
      </c>
      <c r="D1306" s="17" t="s">
        <v>801</v>
      </c>
      <c r="E1306" s="18">
        <v>3002320603005</v>
      </c>
      <c r="G1306" s="20" t="str">
        <f t="shared" si="60"/>
        <v xml:space="preserve"> ANSES/PLATES    </v>
      </c>
      <c r="H1306" s="20" t="str">
        <f t="shared" si="61"/>
        <v>CUIVI</v>
      </c>
      <c r="I1306" s="20">
        <f t="shared" si="62"/>
        <v>0</v>
      </c>
    </row>
    <row r="1307" spans="1:9">
      <c r="A1307" s="17" t="s">
        <v>1044</v>
      </c>
      <c r="B1307" s="17" t="s">
        <v>1050</v>
      </c>
      <c r="C1307" s="17">
        <v>0</v>
      </c>
      <c r="D1307" s="17" t="s">
        <v>801</v>
      </c>
      <c r="E1307" s="18">
        <v>3002320974006</v>
      </c>
      <c r="G1307" s="20" t="str">
        <f t="shared" si="60"/>
        <v xml:space="preserve"> ANSES/PLATES    </v>
      </c>
      <c r="H1307" s="20" t="str">
        <f t="shared" si="61"/>
        <v>CUIWI</v>
      </c>
      <c r="I1307" s="20">
        <f t="shared" si="62"/>
        <v>0</v>
      </c>
    </row>
    <row r="1308" spans="1:9">
      <c r="A1308" s="17" t="s">
        <v>1044</v>
      </c>
      <c r="B1308" s="17" t="s">
        <v>1050</v>
      </c>
      <c r="C1308" s="17">
        <v>0</v>
      </c>
      <c r="D1308" s="17" t="s">
        <v>801</v>
      </c>
      <c r="E1308" s="18">
        <v>8058983596531</v>
      </c>
      <c r="G1308" s="20" t="str">
        <f t="shared" si="60"/>
        <v xml:space="preserve"> ANSES/PLATES    </v>
      </c>
      <c r="H1308" s="20" t="str">
        <f t="shared" si="61"/>
        <v>CUIWI</v>
      </c>
      <c r="I1308" s="20">
        <f t="shared" si="62"/>
        <v>0</v>
      </c>
    </row>
    <row r="1309" spans="1:9">
      <c r="A1309" s="17" t="s">
        <v>1044</v>
      </c>
      <c r="B1309" s="17" t="s">
        <v>1051</v>
      </c>
      <c r="C1309" s="17">
        <v>0</v>
      </c>
      <c r="D1309" s="17" t="s">
        <v>801</v>
      </c>
      <c r="E1309" s="18">
        <v>3004290208006</v>
      </c>
      <c r="G1309" s="20" t="str">
        <f t="shared" si="60"/>
        <v xml:space="preserve"> ANSES/PLATES    </v>
      </c>
      <c r="H1309" s="20" t="str">
        <f t="shared" si="61"/>
        <v>ECBBR</v>
      </c>
      <c r="I1309" s="20">
        <f t="shared" si="62"/>
        <v>0</v>
      </c>
    </row>
    <row r="1310" spans="1:9">
      <c r="A1310" s="17" t="s">
        <v>1044</v>
      </c>
      <c r="B1310" s="17" t="s">
        <v>1052</v>
      </c>
      <c r="C1310" s="17">
        <v>0</v>
      </c>
      <c r="D1310" s="17" t="s">
        <v>801</v>
      </c>
      <c r="E1310" s="18">
        <v>3002320471000</v>
      </c>
      <c r="G1310" s="20" t="str">
        <f t="shared" si="60"/>
        <v xml:space="preserve"> ANSES/PLATES    </v>
      </c>
      <c r="H1310" s="20" t="str">
        <f t="shared" si="61"/>
        <v>ECBNA</v>
      </c>
      <c r="I1310" s="20">
        <f t="shared" si="62"/>
        <v>0</v>
      </c>
    </row>
    <row r="1311" spans="1:9">
      <c r="A1311" s="17" t="s">
        <v>1044</v>
      </c>
      <c r="B1311" s="17" t="s">
        <v>1052</v>
      </c>
      <c r="C1311" s="17">
        <v>0</v>
      </c>
      <c r="D1311" s="17" t="s">
        <v>801</v>
      </c>
      <c r="E1311" s="18">
        <v>3004290206002</v>
      </c>
      <c r="G1311" s="20" t="str">
        <f t="shared" si="60"/>
        <v xml:space="preserve"> ANSES/PLATES    </v>
      </c>
      <c r="H1311" s="20" t="str">
        <f t="shared" si="61"/>
        <v>ECBNA</v>
      </c>
      <c r="I1311" s="20">
        <f t="shared" si="62"/>
        <v>0</v>
      </c>
    </row>
    <row r="1312" spans="1:9">
      <c r="A1312" s="17" t="s">
        <v>1044</v>
      </c>
      <c r="B1312" s="17" t="s">
        <v>1053</v>
      </c>
      <c r="C1312" s="17">
        <v>0</v>
      </c>
      <c r="D1312" s="17" t="s">
        <v>801</v>
      </c>
      <c r="E1312" s="18">
        <v>3004290171003</v>
      </c>
      <c r="G1312" s="20" t="str">
        <f t="shared" si="60"/>
        <v xml:space="preserve"> ANSES/PLATES    </v>
      </c>
      <c r="H1312" s="20" t="str">
        <f t="shared" si="61"/>
        <v xml:space="preserve">ECOB </v>
      </c>
      <c r="I1312" s="20">
        <f t="shared" si="62"/>
        <v>0</v>
      </c>
    </row>
    <row r="1313" spans="1:9">
      <c r="A1313" s="17" t="s">
        <v>1044</v>
      </c>
      <c r="B1313" s="17" t="s">
        <v>1054</v>
      </c>
      <c r="C1313" s="17">
        <v>0</v>
      </c>
      <c r="D1313" s="17" t="s">
        <v>801</v>
      </c>
      <c r="E1313" s="18">
        <v>3004290172000</v>
      </c>
      <c r="G1313" s="20" t="str">
        <f t="shared" si="60"/>
        <v xml:space="preserve"> ANSES/PLATES    </v>
      </c>
      <c r="H1313" s="20" t="str">
        <f t="shared" si="61"/>
        <v>ECOBR</v>
      </c>
      <c r="I1313" s="20">
        <f t="shared" si="62"/>
        <v>0</v>
      </c>
    </row>
    <row r="1314" spans="1:9">
      <c r="A1314" s="17" t="s">
        <v>1044</v>
      </c>
      <c r="B1314" s="17" t="s">
        <v>1055</v>
      </c>
      <c r="C1314" s="17">
        <v>0</v>
      </c>
      <c r="D1314" s="17" t="s">
        <v>801</v>
      </c>
      <c r="E1314" s="18">
        <v>3002320469007</v>
      </c>
      <c r="G1314" s="20" t="str">
        <f t="shared" si="60"/>
        <v xml:space="preserve"> ANSES/PLATES    </v>
      </c>
      <c r="H1314" s="20" t="str">
        <f t="shared" si="61"/>
        <v>ECONA</v>
      </c>
      <c r="I1314" s="20">
        <f t="shared" si="62"/>
        <v>0</v>
      </c>
    </row>
    <row r="1315" spans="1:9">
      <c r="A1315" s="17" t="s">
        <v>1044</v>
      </c>
      <c r="B1315" s="17" t="s">
        <v>1055</v>
      </c>
      <c r="C1315" s="17">
        <v>0</v>
      </c>
      <c r="D1315" s="17" t="s">
        <v>801</v>
      </c>
      <c r="E1315" s="18">
        <v>3004290205005</v>
      </c>
      <c r="G1315" s="20" t="str">
        <f t="shared" si="60"/>
        <v xml:space="preserve"> ANSES/PLATES    </v>
      </c>
      <c r="H1315" s="20" t="str">
        <f t="shared" si="61"/>
        <v>ECONA</v>
      </c>
      <c r="I1315" s="20">
        <f t="shared" si="62"/>
        <v>0</v>
      </c>
    </row>
    <row r="1316" spans="1:9">
      <c r="A1316" s="17" t="s">
        <v>1044</v>
      </c>
      <c r="B1316" s="17" t="s">
        <v>1056</v>
      </c>
      <c r="C1316" s="17">
        <v>0</v>
      </c>
      <c r="D1316" s="17" t="s">
        <v>801</v>
      </c>
      <c r="E1316" s="18">
        <v>3002320468000</v>
      </c>
      <c r="G1316" s="20" t="str">
        <f t="shared" si="60"/>
        <v xml:space="preserve"> ANSES/PLATES    </v>
      </c>
      <c r="H1316" s="20" t="str">
        <f t="shared" si="61"/>
        <v>ECONO</v>
      </c>
      <c r="I1316" s="20">
        <f t="shared" si="62"/>
        <v>0</v>
      </c>
    </row>
    <row r="1317" spans="1:9">
      <c r="A1317" s="17" t="s">
        <v>1044</v>
      </c>
      <c r="B1317" s="17" t="s">
        <v>995</v>
      </c>
      <c r="C1317" s="17">
        <v>0</v>
      </c>
      <c r="D1317" s="17" t="s">
        <v>801</v>
      </c>
      <c r="E1317" s="18">
        <v>3004290572008</v>
      </c>
      <c r="G1317" s="20" t="str">
        <f t="shared" si="60"/>
        <v xml:space="preserve"> ANSES/PLATES    </v>
      </c>
      <c r="H1317" s="20" t="str">
        <f t="shared" si="61"/>
        <v xml:space="preserve">EMER </v>
      </c>
      <c r="I1317" s="20">
        <f t="shared" si="62"/>
        <v>0</v>
      </c>
    </row>
    <row r="1318" spans="1:9">
      <c r="A1318" s="17" t="s">
        <v>1044</v>
      </c>
      <c r="B1318" s="17" t="s">
        <v>996</v>
      </c>
      <c r="C1318" s="17">
        <v>0</v>
      </c>
      <c r="D1318" s="17" t="s">
        <v>801</v>
      </c>
      <c r="E1318" s="18">
        <v>3004290514008</v>
      </c>
      <c r="G1318" s="20" t="str">
        <f t="shared" si="60"/>
        <v xml:space="preserve"> ANSES/PLATES    </v>
      </c>
      <c r="H1318" s="20" t="str">
        <f t="shared" si="61"/>
        <v xml:space="preserve">FLAM </v>
      </c>
      <c r="I1318" s="20">
        <f t="shared" si="62"/>
        <v>0</v>
      </c>
    </row>
    <row r="1319" spans="1:9">
      <c r="A1319" s="17" t="s">
        <v>1044</v>
      </c>
      <c r="B1319" s="17" t="s">
        <v>1057</v>
      </c>
      <c r="C1319" s="17">
        <v>0</v>
      </c>
      <c r="D1319" s="17" t="s">
        <v>801</v>
      </c>
      <c r="E1319" s="18">
        <v>3004291007004</v>
      </c>
      <c r="G1319" s="20" t="str">
        <f t="shared" si="60"/>
        <v xml:space="preserve"> ANSES/PLATES    </v>
      </c>
      <c r="H1319" s="20" t="str">
        <f t="shared" si="61"/>
        <v xml:space="preserve">MAR  </v>
      </c>
      <c r="I1319" s="20">
        <f t="shared" si="62"/>
        <v>0</v>
      </c>
    </row>
    <row r="1320" spans="1:9">
      <c r="A1320" s="17" t="s">
        <v>1044</v>
      </c>
      <c r="B1320" s="17" t="s">
        <v>1002</v>
      </c>
      <c r="C1320" s="17">
        <v>0</v>
      </c>
      <c r="D1320" s="17" t="s">
        <v>801</v>
      </c>
      <c r="E1320" s="18">
        <v>3004290513001</v>
      </c>
      <c r="G1320" s="20" t="str">
        <f t="shared" si="60"/>
        <v xml:space="preserve"> ANSES/PLATES    </v>
      </c>
      <c r="H1320" s="20" t="str">
        <f t="shared" si="61"/>
        <v xml:space="preserve">MELA </v>
      </c>
      <c r="I1320" s="20">
        <f t="shared" si="62"/>
        <v>0</v>
      </c>
    </row>
    <row r="1321" spans="1:9">
      <c r="A1321" s="17" t="s">
        <v>1044</v>
      </c>
      <c r="B1321" s="17" t="s">
        <v>859</v>
      </c>
      <c r="C1321" s="17">
        <v>0</v>
      </c>
      <c r="D1321" s="17" t="s">
        <v>801</v>
      </c>
      <c r="E1321" s="18">
        <v>8058983596548</v>
      </c>
      <c r="G1321" s="20" t="str">
        <f t="shared" si="60"/>
        <v xml:space="preserve"> ANSES/PLATES    </v>
      </c>
      <c r="H1321" s="20" t="str">
        <f t="shared" si="61"/>
        <v>NATUR</v>
      </c>
      <c r="I1321" s="20">
        <f t="shared" si="62"/>
        <v>0</v>
      </c>
    </row>
    <row r="1322" spans="1:9">
      <c r="A1322" s="17" t="s">
        <v>1044</v>
      </c>
      <c r="B1322" s="17" t="s">
        <v>859</v>
      </c>
      <c r="C1322" s="17">
        <v>0</v>
      </c>
      <c r="D1322" s="17" t="s">
        <v>801</v>
      </c>
      <c r="E1322" s="18">
        <v>3004290597001</v>
      </c>
      <c r="G1322" s="20" t="str">
        <f t="shared" si="60"/>
        <v xml:space="preserve"> ANSES/PLATES    </v>
      </c>
      <c r="H1322" s="20" t="str">
        <f t="shared" si="61"/>
        <v>NATUR</v>
      </c>
      <c r="I1322" s="20">
        <f t="shared" si="62"/>
        <v>0</v>
      </c>
    </row>
    <row r="1323" spans="1:9">
      <c r="A1323" s="17" t="s">
        <v>1058</v>
      </c>
      <c r="B1323" s="17" t="s">
        <v>827</v>
      </c>
      <c r="C1323" s="17" t="s">
        <v>800</v>
      </c>
      <c r="D1323" s="17" t="s">
        <v>801</v>
      </c>
      <c r="E1323" s="18">
        <v>3004161087037</v>
      </c>
      <c r="G1323" s="20" t="str">
        <f t="shared" si="60"/>
        <v xml:space="preserve"> ANSES/RONDES    </v>
      </c>
      <c r="H1323" s="20" t="str">
        <f t="shared" si="61"/>
        <v>BIBLU</v>
      </c>
      <c r="I1323" s="20" t="str">
        <f t="shared" si="62"/>
        <v xml:space="preserve">L    </v>
      </c>
    </row>
    <row r="1324" spans="1:9">
      <c r="A1324" s="17" t="s">
        <v>1058</v>
      </c>
      <c r="B1324" s="17" t="s">
        <v>827</v>
      </c>
      <c r="C1324" s="17" t="s">
        <v>800</v>
      </c>
      <c r="D1324" s="17" t="s">
        <v>801</v>
      </c>
      <c r="E1324" s="18">
        <v>8056095063736</v>
      </c>
      <c r="G1324" s="20" t="str">
        <f t="shared" si="60"/>
        <v xml:space="preserve"> ANSES/RONDES    </v>
      </c>
      <c r="H1324" s="20" t="str">
        <f t="shared" si="61"/>
        <v>BIBLU</v>
      </c>
      <c r="I1324" s="20" t="str">
        <f t="shared" si="62"/>
        <v xml:space="preserve">L    </v>
      </c>
    </row>
    <row r="1325" spans="1:9">
      <c r="A1325" s="17" t="s">
        <v>1058</v>
      </c>
      <c r="B1325" s="17" t="s">
        <v>827</v>
      </c>
      <c r="C1325" s="17" t="s">
        <v>802</v>
      </c>
      <c r="D1325" s="17" t="s">
        <v>801</v>
      </c>
      <c r="E1325" s="18">
        <v>3004161087020</v>
      </c>
      <c r="G1325" s="20" t="str">
        <f t="shared" si="60"/>
        <v xml:space="preserve"> ANSES/RONDES    </v>
      </c>
      <c r="H1325" s="20" t="str">
        <f t="shared" si="61"/>
        <v>BIBLU</v>
      </c>
      <c r="I1325" s="20" t="str">
        <f t="shared" si="62"/>
        <v xml:space="preserve">M    </v>
      </c>
    </row>
    <row r="1326" spans="1:9">
      <c r="A1326" s="17" t="s">
        <v>1058</v>
      </c>
      <c r="B1326" s="17" t="s">
        <v>827</v>
      </c>
      <c r="C1326" s="17" t="s">
        <v>803</v>
      </c>
      <c r="D1326" s="17" t="s">
        <v>801</v>
      </c>
      <c r="E1326" s="18">
        <v>3004161087013</v>
      </c>
      <c r="G1326" s="20" t="str">
        <f t="shared" si="60"/>
        <v xml:space="preserve"> ANSES/RONDES    </v>
      </c>
      <c r="H1326" s="20" t="str">
        <f t="shared" si="61"/>
        <v>BIBLU</v>
      </c>
      <c r="I1326" s="20" t="str">
        <f t="shared" si="62"/>
        <v xml:space="preserve">S    </v>
      </c>
    </row>
    <row r="1327" spans="1:9">
      <c r="A1327" s="17" t="s">
        <v>1058</v>
      </c>
      <c r="B1327" s="17" t="s">
        <v>827</v>
      </c>
      <c r="C1327" s="17" t="s">
        <v>803</v>
      </c>
      <c r="D1327" s="17" t="s">
        <v>801</v>
      </c>
      <c r="E1327" s="18">
        <v>8056095063774</v>
      </c>
      <c r="G1327" s="20" t="str">
        <f t="shared" si="60"/>
        <v xml:space="preserve"> ANSES/RONDES    </v>
      </c>
      <c r="H1327" s="20" t="str">
        <f t="shared" si="61"/>
        <v>BIBLU</v>
      </c>
      <c r="I1327" s="20" t="str">
        <f t="shared" si="62"/>
        <v xml:space="preserve">S    </v>
      </c>
    </row>
    <row r="1328" spans="1:9">
      <c r="A1328" s="17" t="s">
        <v>1058</v>
      </c>
      <c r="B1328" s="17" t="s">
        <v>827</v>
      </c>
      <c r="C1328" s="17" t="s">
        <v>804</v>
      </c>
      <c r="D1328" s="17" t="s">
        <v>801</v>
      </c>
      <c r="E1328" s="18">
        <v>3004161087044</v>
      </c>
      <c r="G1328" s="20" t="str">
        <f t="shared" si="60"/>
        <v xml:space="preserve"> ANSES/RONDES    </v>
      </c>
      <c r="H1328" s="20" t="str">
        <f t="shared" si="61"/>
        <v>BIBLU</v>
      </c>
      <c r="I1328" s="20" t="str">
        <f t="shared" si="62"/>
        <v xml:space="preserve">XL   </v>
      </c>
    </row>
    <row r="1329" spans="1:9">
      <c r="A1329" s="17" t="s">
        <v>1058</v>
      </c>
      <c r="B1329" s="17" t="s">
        <v>827</v>
      </c>
      <c r="C1329" s="17" t="s">
        <v>805</v>
      </c>
      <c r="D1329" s="17" t="s">
        <v>801</v>
      </c>
      <c r="E1329" s="18">
        <v>3004161087006</v>
      </c>
      <c r="G1329" s="20" t="str">
        <f t="shared" si="60"/>
        <v xml:space="preserve"> ANSES/RONDES    </v>
      </c>
      <c r="H1329" s="20" t="str">
        <f t="shared" si="61"/>
        <v>BIBLU</v>
      </c>
      <c r="I1329" s="20" t="str">
        <f t="shared" si="62"/>
        <v xml:space="preserve">XS   </v>
      </c>
    </row>
    <row r="1330" spans="1:9">
      <c r="A1330" s="17" t="s">
        <v>1058</v>
      </c>
      <c r="B1330" s="17" t="s">
        <v>1059</v>
      </c>
      <c r="C1330" s="17" t="s">
        <v>800</v>
      </c>
      <c r="D1330" s="17" t="s">
        <v>801</v>
      </c>
      <c r="E1330" s="18">
        <v>3004161085033</v>
      </c>
      <c r="G1330" s="20" t="str">
        <f t="shared" si="60"/>
        <v xml:space="preserve"> ANSES/RONDES    </v>
      </c>
      <c r="H1330" s="20" t="str">
        <f t="shared" si="61"/>
        <v>BIGRI</v>
      </c>
      <c r="I1330" s="20" t="str">
        <f t="shared" si="62"/>
        <v xml:space="preserve">L    </v>
      </c>
    </row>
    <row r="1331" spans="1:9">
      <c r="A1331" s="17" t="s">
        <v>1058</v>
      </c>
      <c r="B1331" s="17" t="s">
        <v>1059</v>
      </c>
      <c r="C1331" s="17" t="s">
        <v>800</v>
      </c>
      <c r="D1331" s="17" t="s">
        <v>801</v>
      </c>
      <c r="E1331" s="18">
        <v>8056095063712</v>
      </c>
      <c r="G1331" s="20" t="str">
        <f t="shared" si="60"/>
        <v xml:space="preserve"> ANSES/RONDES    </v>
      </c>
      <c r="H1331" s="20" t="str">
        <f t="shared" si="61"/>
        <v>BIGRI</v>
      </c>
      <c r="I1331" s="20" t="str">
        <f t="shared" si="62"/>
        <v xml:space="preserve">L    </v>
      </c>
    </row>
    <row r="1332" spans="1:9">
      <c r="A1332" s="17" t="s">
        <v>1058</v>
      </c>
      <c r="B1332" s="17" t="s">
        <v>1059</v>
      </c>
      <c r="C1332" s="17" t="s">
        <v>802</v>
      </c>
      <c r="D1332" s="17" t="s">
        <v>801</v>
      </c>
      <c r="E1332" s="18">
        <v>3004161085026</v>
      </c>
      <c r="G1332" s="20" t="str">
        <f t="shared" si="60"/>
        <v xml:space="preserve"> ANSES/RONDES    </v>
      </c>
      <c r="H1332" s="20" t="str">
        <f t="shared" si="61"/>
        <v>BIGRI</v>
      </c>
      <c r="I1332" s="20" t="str">
        <f t="shared" si="62"/>
        <v xml:space="preserve">M    </v>
      </c>
    </row>
    <row r="1333" spans="1:9">
      <c r="A1333" s="17" t="s">
        <v>1058</v>
      </c>
      <c r="B1333" s="17" t="s">
        <v>1059</v>
      </c>
      <c r="C1333" s="17" t="s">
        <v>803</v>
      </c>
      <c r="D1333" s="17" t="s">
        <v>801</v>
      </c>
      <c r="E1333" s="18">
        <v>3004161085019</v>
      </c>
      <c r="G1333" s="20" t="str">
        <f t="shared" si="60"/>
        <v xml:space="preserve"> ANSES/RONDES    </v>
      </c>
      <c r="H1333" s="20" t="str">
        <f t="shared" si="61"/>
        <v>BIGRI</v>
      </c>
      <c r="I1333" s="20" t="str">
        <f t="shared" si="62"/>
        <v xml:space="preserve">S    </v>
      </c>
    </row>
    <row r="1334" spans="1:9">
      <c r="A1334" s="17" t="s">
        <v>1058</v>
      </c>
      <c r="B1334" s="17" t="s">
        <v>1059</v>
      </c>
      <c r="C1334" s="17" t="s">
        <v>803</v>
      </c>
      <c r="D1334" s="17" t="s">
        <v>801</v>
      </c>
      <c r="E1334" s="18">
        <v>8056095063750</v>
      </c>
      <c r="G1334" s="20" t="str">
        <f t="shared" si="60"/>
        <v xml:space="preserve"> ANSES/RONDES    </v>
      </c>
      <c r="H1334" s="20" t="str">
        <f t="shared" si="61"/>
        <v>BIGRI</v>
      </c>
      <c r="I1334" s="20" t="str">
        <f t="shared" si="62"/>
        <v xml:space="preserve">S    </v>
      </c>
    </row>
    <row r="1335" spans="1:9">
      <c r="A1335" s="17" t="s">
        <v>1058</v>
      </c>
      <c r="B1335" s="17" t="s">
        <v>1059</v>
      </c>
      <c r="C1335" s="17" t="s">
        <v>804</v>
      </c>
      <c r="D1335" s="17" t="s">
        <v>801</v>
      </c>
      <c r="E1335" s="18">
        <v>3004161085040</v>
      </c>
      <c r="G1335" s="20" t="str">
        <f t="shared" si="60"/>
        <v xml:space="preserve"> ANSES/RONDES    </v>
      </c>
      <c r="H1335" s="20" t="str">
        <f t="shared" si="61"/>
        <v>BIGRI</v>
      </c>
      <c r="I1335" s="20" t="str">
        <f t="shared" si="62"/>
        <v xml:space="preserve">XL   </v>
      </c>
    </row>
    <row r="1336" spans="1:9">
      <c r="A1336" s="17" t="s">
        <v>1058</v>
      </c>
      <c r="B1336" s="17" t="s">
        <v>1059</v>
      </c>
      <c r="C1336" s="17" t="s">
        <v>805</v>
      </c>
      <c r="D1336" s="17" t="s">
        <v>801</v>
      </c>
      <c r="E1336" s="18">
        <v>3004161085002</v>
      </c>
      <c r="G1336" s="20" t="str">
        <f t="shared" si="60"/>
        <v xml:space="preserve"> ANSES/RONDES    </v>
      </c>
      <c r="H1336" s="20" t="str">
        <f t="shared" si="61"/>
        <v>BIGRI</v>
      </c>
      <c r="I1336" s="20" t="str">
        <f t="shared" si="62"/>
        <v xml:space="preserve">XS   </v>
      </c>
    </row>
    <row r="1337" spans="1:9">
      <c r="A1337" s="17" t="s">
        <v>1058</v>
      </c>
      <c r="B1337" s="17" t="s">
        <v>1060</v>
      </c>
      <c r="C1337" s="17" t="s">
        <v>800</v>
      </c>
      <c r="D1337" s="17" t="s">
        <v>801</v>
      </c>
      <c r="E1337" s="18">
        <v>3004161086030</v>
      </c>
      <c r="G1337" s="20" t="str">
        <f t="shared" si="60"/>
        <v xml:space="preserve"> ANSES/RONDES    </v>
      </c>
      <c r="H1337" s="20" t="str">
        <f t="shared" si="61"/>
        <v>BIPRA</v>
      </c>
      <c r="I1337" s="20" t="str">
        <f t="shared" si="62"/>
        <v xml:space="preserve">L    </v>
      </c>
    </row>
    <row r="1338" spans="1:9">
      <c r="A1338" s="17" t="s">
        <v>1058</v>
      </c>
      <c r="B1338" s="17" t="s">
        <v>1060</v>
      </c>
      <c r="C1338" s="17" t="s">
        <v>800</v>
      </c>
      <c r="D1338" s="17" t="s">
        <v>801</v>
      </c>
      <c r="E1338" s="18">
        <v>8056095063729</v>
      </c>
      <c r="G1338" s="20" t="str">
        <f t="shared" si="60"/>
        <v xml:space="preserve"> ANSES/RONDES    </v>
      </c>
      <c r="H1338" s="20" t="str">
        <f t="shared" si="61"/>
        <v>BIPRA</v>
      </c>
      <c r="I1338" s="20" t="str">
        <f t="shared" si="62"/>
        <v xml:space="preserve">L    </v>
      </c>
    </row>
    <row r="1339" spans="1:9">
      <c r="A1339" s="17" t="s">
        <v>1058</v>
      </c>
      <c r="B1339" s="17" t="s">
        <v>1060</v>
      </c>
      <c r="C1339" s="17" t="s">
        <v>802</v>
      </c>
      <c r="D1339" s="17" t="s">
        <v>801</v>
      </c>
      <c r="E1339" s="18">
        <v>3004161086023</v>
      </c>
      <c r="G1339" s="20" t="str">
        <f t="shared" si="60"/>
        <v xml:space="preserve"> ANSES/RONDES    </v>
      </c>
      <c r="H1339" s="20" t="str">
        <f t="shared" si="61"/>
        <v>BIPRA</v>
      </c>
      <c r="I1339" s="20" t="str">
        <f t="shared" si="62"/>
        <v xml:space="preserve">M    </v>
      </c>
    </row>
    <row r="1340" spans="1:9">
      <c r="A1340" s="17" t="s">
        <v>1058</v>
      </c>
      <c r="B1340" s="17" t="s">
        <v>1060</v>
      </c>
      <c r="C1340" s="17" t="s">
        <v>803</v>
      </c>
      <c r="D1340" s="17" t="s">
        <v>801</v>
      </c>
      <c r="E1340" s="18">
        <v>3004161086016</v>
      </c>
      <c r="G1340" s="20" t="str">
        <f t="shared" si="60"/>
        <v xml:space="preserve"> ANSES/RONDES    </v>
      </c>
      <c r="H1340" s="20" t="str">
        <f t="shared" si="61"/>
        <v>BIPRA</v>
      </c>
      <c r="I1340" s="20" t="str">
        <f t="shared" si="62"/>
        <v xml:space="preserve">S    </v>
      </c>
    </row>
    <row r="1341" spans="1:9">
      <c r="A1341" s="17" t="s">
        <v>1058</v>
      </c>
      <c r="B1341" s="17" t="s">
        <v>1060</v>
      </c>
      <c r="C1341" s="17" t="s">
        <v>803</v>
      </c>
      <c r="D1341" s="17" t="s">
        <v>801</v>
      </c>
      <c r="E1341" s="18">
        <v>8056095063767</v>
      </c>
      <c r="G1341" s="20" t="str">
        <f t="shared" si="60"/>
        <v xml:space="preserve"> ANSES/RONDES    </v>
      </c>
      <c r="H1341" s="20" t="str">
        <f t="shared" si="61"/>
        <v>BIPRA</v>
      </c>
      <c r="I1341" s="20" t="str">
        <f t="shared" si="62"/>
        <v xml:space="preserve">S    </v>
      </c>
    </row>
    <row r="1342" spans="1:9">
      <c r="A1342" s="17" t="s">
        <v>1058</v>
      </c>
      <c r="B1342" s="17" t="s">
        <v>1060</v>
      </c>
      <c r="C1342" s="17" t="s">
        <v>804</v>
      </c>
      <c r="D1342" s="17" t="s">
        <v>801</v>
      </c>
      <c r="E1342" s="18">
        <v>3004161086047</v>
      </c>
      <c r="G1342" s="20" t="str">
        <f t="shared" si="60"/>
        <v xml:space="preserve"> ANSES/RONDES    </v>
      </c>
      <c r="H1342" s="20" t="str">
        <f t="shared" si="61"/>
        <v>BIPRA</v>
      </c>
      <c r="I1342" s="20" t="str">
        <f t="shared" si="62"/>
        <v xml:space="preserve">XL   </v>
      </c>
    </row>
    <row r="1343" spans="1:9">
      <c r="A1343" s="17" t="s">
        <v>1058</v>
      </c>
      <c r="B1343" s="17" t="s">
        <v>1060</v>
      </c>
      <c r="C1343" s="17" t="s">
        <v>805</v>
      </c>
      <c r="D1343" s="17" t="s">
        <v>801</v>
      </c>
      <c r="E1343" s="18">
        <v>3004161086009</v>
      </c>
      <c r="G1343" s="20" t="str">
        <f t="shared" si="60"/>
        <v xml:space="preserve"> ANSES/RONDES    </v>
      </c>
      <c r="H1343" s="20" t="str">
        <f t="shared" si="61"/>
        <v>BIPRA</v>
      </c>
      <c r="I1343" s="20" t="str">
        <f t="shared" si="62"/>
        <v xml:space="preserve">XS   </v>
      </c>
    </row>
    <row r="1344" spans="1:9">
      <c r="A1344" s="17" t="s">
        <v>1058</v>
      </c>
      <c r="B1344" s="17" t="s">
        <v>830</v>
      </c>
      <c r="C1344" s="17" t="s">
        <v>800</v>
      </c>
      <c r="D1344" s="17" t="s">
        <v>801</v>
      </c>
      <c r="E1344" s="18">
        <v>3004161084036</v>
      </c>
      <c r="G1344" s="20" t="str">
        <f t="shared" si="60"/>
        <v xml:space="preserve"> ANSES/RONDES    </v>
      </c>
      <c r="H1344" s="20" t="str">
        <f t="shared" si="61"/>
        <v>BITER</v>
      </c>
      <c r="I1344" s="20" t="str">
        <f t="shared" si="62"/>
        <v xml:space="preserve">L    </v>
      </c>
    </row>
    <row r="1345" spans="1:9">
      <c r="A1345" s="17" t="s">
        <v>1058</v>
      </c>
      <c r="B1345" s="17" t="s">
        <v>830</v>
      </c>
      <c r="C1345" s="17" t="s">
        <v>800</v>
      </c>
      <c r="D1345" s="17" t="s">
        <v>801</v>
      </c>
      <c r="E1345" s="18">
        <v>8056095063705</v>
      </c>
      <c r="G1345" s="20" t="str">
        <f t="shared" si="60"/>
        <v xml:space="preserve"> ANSES/RONDES    </v>
      </c>
      <c r="H1345" s="20" t="str">
        <f t="shared" si="61"/>
        <v>BITER</v>
      </c>
      <c r="I1345" s="20" t="str">
        <f t="shared" si="62"/>
        <v xml:space="preserve">L    </v>
      </c>
    </row>
    <row r="1346" spans="1:9">
      <c r="A1346" s="17" t="s">
        <v>1058</v>
      </c>
      <c r="B1346" s="17" t="s">
        <v>830</v>
      </c>
      <c r="C1346" s="17" t="s">
        <v>802</v>
      </c>
      <c r="D1346" s="17" t="s">
        <v>801</v>
      </c>
      <c r="E1346" s="18">
        <v>3004161084029</v>
      </c>
      <c r="G1346" s="20" t="str">
        <f t="shared" si="60"/>
        <v xml:space="preserve"> ANSES/RONDES    </v>
      </c>
      <c r="H1346" s="20" t="str">
        <f t="shared" si="61"/>
        <v>BITER</v>
      </c>
      <c r="I1346" s="20" t="str">
        <f t="shared" si="62"/>
        <v xml:space="preserve">M    </v>
      </c>
    </row>
    <row r="1347" spans="1:9">
      <c r="A1347" s="17" t="s">
        <v>1058</v>
      </c>
      <c r="B1347" s="17" t="s">
        <v>830</v>
      </c>
      <c r="C1347" s="17" t="s">
        <v>803</v>
      </c>
      <c r="D1347" s="17" t="s">
        <v>801</v>
      </c>
      <c r="E1347" s="18">
        <v>3004161084012</v>
      </c>
      <c r="G1347" s="20" t="str">
        <f t="shared" si="60"/>
        <v xml:space="preserve"> ANSES/RONDES    </v>
      </c>
      <c r="H1347" s="20" t="str">
        <f t="shared" si="61"/>
        <v>BITER</v>
      </c>
      <c r="I1347" s="20" t="str">
        <f t="shared" si="62"/>
        <v xml:space="preserve">S    </v>
      </c>
    </row>
    <row r="1348" spans="1:9">
      <c r="A1348" s="17" t="s">
        <v>1058</v>
      </c>
      <c r="B1348" s="17" t="s">
        <v>830</v>
      </c>
      <c r="C1348" s="17" t="s">
        <v>803</v>
      </c>
      <c r="D1348" s="17" t="s">
        <v>801</v>
      </c>
      <c r="E1348" s="18">
        <v>8056095063743</v>
      </c>
      <c r="G1348" s="20" t="str">
        <f t="shared" si="60"/>
        <v xml:space="preserve"> ANSES/RONDES    </v>
      </c>
      <c r="H1348" s="20" t="str">
        <f t="shared" si="61"/>
        <v>BITER</v>
      </c>
      <c r="I1348" s="20" t="str">
        <f t="shared" si="62"/>
        <v xml:space="preserve">S    </v>
      </c>
    </row>
    <row r="1349" spans="1:9">
      <c r="A1349" s="17" t="s">
        <v>1058</v>
      </c>
      <c r="B1349" s="17" t="s">
        <v>830</v>
      </c>
      <c r="C1349" s="17" t="s">
        <v>804</v>
      </c>
      <c r="D1349" s="17" t="s">
        <v>801</v>
      </c>
      <c r="E1349" s="18">
        <v>3004161084043</v>
      </c>
      <c r="G1349" s="20" t="str">
        <f t="shared" ref="G1349:G1412" si="63">A1349</f>
        <v xml:space="preserve"> ANSES/RONDES    </v>
      </c>
      <c r="H1349" s="20" t="str">
        <f t="shared" ref="H1349:H1412" si="64">B1349</f>
        <v>BITER</v>
      </c>
      <c r="I1349" s="20" t="str">
        <f t="shared" ref="I1349:I1412" si="65">C1349</f>
        <v xml:space="preserve">XL   </v>
      </c>
    </row>
    <row r="1350" spans="1:9">
      <c r="A1350" s="17" t="s">
        <v>1058</v>
      </c>
      <c r="B1350" s="17" t="s">
        <v>830</v>
      </c>
      <c r="C1350" s="17" t="s">
        <v>805</v>
      </c>
      <c r="D1350" s="17" t="s">
        <v>801</v>
      </c>
      <c r="E1350" s="18">
        <v>3004161084005</v>
      </c>
      <c r="G1350" s="20" t="str">
        <f t="shared" si="63"/>
        <v xml:space="preserve"> ANSES/RONDES    </v>
      </c>
      <c r="H1350" s="20" t="str">
        <f t="shared" si="64"/>
        <v>BITER</v>
      </c>
      <c r="I1350" s="20" t="str">
        <f t="shared" si="65"/>
        <v xml:space="preserve">XS   </v>
      </c>
    </row>
    <row r="1351" spans="1:9">
      <c r="A1351" s="17" t="s">
        <v>1058</v>
      </c>
      <c r="B1351" s="17" t="s">
        <v>280</v>
      </c>
      <c r="C1351" s="17">
        <v>0</v>
      </c>
      <c r="D1351" s="17" t="s">
        <v>801</v>
      </c>
      <c r="E1351" s="18">
        <v>3004840004003</v>
      </c>
      <c r="G1351" s="20" t="str">
        <f t="shared" si="63"/>
        <v xml:space="preserve"> ANSES/RONDES    </v>
      </c>
      <c r="H1351" s="20" t="str">
        <f t="shared" si="64"/>
        <v>BLACK</v>
      </c>
      <c r="I1351" s="20">
        <f t="shared" si="65"/>
        <v>0</v>
      </c>
    </row>
    <row r="1352" spans="1:9">
      <c r="A1352" s="17" t="s">
        <v>1058</v>
      </c>
      <c r="B1352" s="17" t="s">
        <v>280</v>
      </c>
      <c r="C1352" s="17" t="s">
        <v>800</v>
      </c>
      <c r="D1352" s="17" t="s">
        <v>801</v>
      </c>
      <c r="E1352" s="18">
        <v>3004160004035</v>
      </c>
      <c r="G1352" s="20" t="str">
        <f t="shared" si="63"/>
        <v xml:space="preserve"> ANSES/RONDES    </v>
      </c>
      <c r="H1352" s="20" t="str">
        <f t="shared" si="64"/>
        <v>BLACK</v>
      </c>
      <c r="I1352" s="20" t="str">
        <f t="shared" si="65"/>
        <v xml:space="preserve">L    </v>
      </c>
    </row>
    <row r="1353" spans="1:9">
      <c r="A1353" s="17" t="s">
        <v>1058</v>
      </c>
      <c r="B1353" s="17" t="s">
        <v>280</v>
      </c>
      <c r="C1353" s="17" t="s">
        <v>802</v>
      </c>
      <c r="D1353" s="17" t="s">
        <v>801</v>
      </c>
      <c r="E1353" s="18">
        <v>3004160004028</v>
      </c>
      <c r="G1353" s="20" t="str">
        <f t="shared" si="63"/>
        <v xml:space="preserve"> ANSES/RONDES    </v>
      </c>
      <c r="H1353" s="20" t="str">
        <f t="shared" si="64"/>
        <v>BLACK</v>
      </c>
      <c r="I1353" s="20" t="str">
        <f t="shared" si="65"/>
        <v xml:space="preserve">M    </v>
      </c>
    </row>
    <row r="1354" spans="1:9">
      <c r="A1354" s="17" t="s">
        <v>1058</v>
      </c>
      <c r="B1354" s="17" t="s">
        <v>280</v>
      </c>
      <c r="C1354" s="17" t="s">
        <v>803</v>
      </c>
      <c r="D1354" s="17" t="s">
        <v>801</v>
      </c>
      <c r="E1354" s="18">
        <v>3004160004011</v>
      </c>
      <c r="G1354" s="20" t="str">
        <f t="shared" si="63"/>
        <v xml:space="preserve"> ANSES/RONDES    </v>
      </c>
      <c r="H1354" s="20" t="str">
        <f t="shared" si="64"/>
        <v>BLACK</v>
      </c>
      <c r="I1354" s="20" t="str">
        <f t="shared" si="65"/>
        <v xml:space="preserve">S    </v>
      </c>
    </row>
    <row r="1355" spans="1:9">
      <c r="A1355" s="17" t="s">
        <v>1058</v>
      </c>
      <c r="B1355" s="17" t="s">
        <v>280</v>
      </c>
      <c r="C1355" s="17" t="s">
        <v>804</v>
      </c>
      <c r="D1355" s="17" t="s">
        <v>801</v>
      </c>
      <c r="E1355" s="18">
        <v>3004160004042</v>
      </c>
      <c r="G1355" s="20" t="str">
        <f t="shared" si="63"/>
        <v xml:space="preserve"> ANSES/RONDES    </v>
      </c>
      <c r="H1355" s="20" t="str">
        <f t="shared" si="64"/>
        <v>BLACK</v>
      </c>
      <c r="I1355" s="20" t="str">
        <f t="shared" si="65"/>
        <v xml:space="preserve">XL   </v>
      </c>
    </row>
    <row r="1356" spans="1:9">
      <c r="A1356" s="17" t="s">
        <v>1058</v>
      </c>
      <c r="B1356" s="17" t="s">
        <v>280</v>
      </c>
      <c r="C1356" s="17" t="s">
        <v>805</v>
      </c>
      <c r="D1356" s="17" t="s">
        <v>801</v>
      </c>
      <c r="E1356" s="18">
        <v>3004160004004</v>
      </c>
      <c r="G1356" s="20" t="str">
        <f t="shared" si="63"/>
        <v xml:space="preserve"> ANSES/RONDES    </v>
      </c>
      <c r="H1356" s="20" t="str">
        <f t="shared" si="64"/>
        <v>BLACK</v>
      </c>
      <c r="I1356" s="20" t="str">
        <f t="shared" si="65"/>
        <v xml:space="preserve">XS   </v>
      </c>
    </row>
    <row r="1357" spans="1:9">
      <c r="A1357" s="17" t="s">
        <v>1058</v>
      </c>
      <c r="B1357" s="17" t="s">
        <v>810</v>
      </c>
      <c r="C1357" s="17" t="s">
        <v>800</v>
      </c>
      <c r="D1357" s="17" t="s">
        <v>801</v>
      </c>
      <c r="E1357" s="18">
        <v>3004160319030</v>
      </c>
      <c r="G1357" s="20" t="str">
        <f t="shared" si="63"/>
        <v xml:space="preserve"> ANSES/RONDES    </v>
      </c>
      <c r="H1357" s="20" t="str">
        <f t="shared" si="64"/>
        <v xml:space="preserve">BLUE </v>
      </c>
      <c r="I1357" s="20" t="str">
        <f t="shared" si="65"/>
        <v xml:space="preserve">L    </v>
      </c>
    </row>
    <row r="1358" spans="1:9">
      <c r="A1358" s="17" t="s">
        <v>1058</v>
      </c>
      <c r="B1358" s="17" t="s">
        <v>810</v>
      </c>
      <c r="C1358" s="17" t="s">
        <v>802</v>
      </c>
      <c r="D1358" s="17" t="s">
        <v>801</v>
      </c>
      <c r="E1358" s="18">
        <v>3004160319023</v>
      </c>
      <c r="G1358" s="20" t="str">
        <f t="shared" si="63"/>
        <v xml:space="preserve"> ANSES/RONDES    </v>
      </c>
      <c r="H1358" s="20" t="str">
        <f t="shared" si="64"/>
        <v xml:space="preserve">BLUE </v>
      </c>
      <c r="I1358" s="20" t="str">
        <f t="shared" si="65"/>
        <v xml:space="preserve">M    </v>
      </c>
    </row>
    <row r="1359" spans="1:9">
      <c r="A1359" s="17" t="s">
        <v>1058</v>
      </c>
      <c r="B1359" s="17" t="s">
        <v>810</v>
      </c>
      <c r="C1359" s="17" t="s">
        <v>803</v>
      </c>
      <c r="D1359" s="17" t="s">
        <v>801</v>
      </c>
      <c r="E1359" s="18">
        <v>3004160319016</v>
      </c>
      <c r="G1359" s="20" t="str">
        <f t="shared" si="63"/>
        <v xml:space="preserve"> ANSES/RONDES    </v>
      </c>
      <c r="H1359" s="20" t="str">
        <f t="shared" si="64"/>
        <v xml:space="preserve">BLUE </v>
      </c>
      <c r="I1359" s="20" t="str">
        <f t="shared" si="65"/>
        <v xml:space="preserve">S    </v>
      </c>
    </row>
    <row r="1360" spans="1:9">
      <c r="A1360" s="17" t="s">
        <v>1058</v>
      </c>
      <c r="B1360" s="17" t="s">
        <v>810</v>
      </c>
      <c r="C1360" s="17" t="s">
        <v>804</v>
      </c>
      <c r="D1360" s="17" t="s">
        <v>801</v>
      </c>
      <c r="E1360" s="18">
        <v>3004160319047</v>
      </c>
      <c r="G1360" s="20" t="str">
        <f t="shared" si="63"/>
        <v xml:space="preserve"> ANSES/RONDES    </v>
      </c>
      <c r="H1360" s="20" t="str">
        <f t="shared" si="64"/>
        <v xml:space="preserve">BLUE </v>
      </c>
      <c r="I1360" s="20" t="str">
        <f t="shared" si="65"/>
        <v xml:space="preserve">XL   </v>
      </c>
    </row>
    <row r="1361" spans="1:9">
      <c r="A1361" s="17" t="s">
        <v>1058</v>
      </c>
      <c r="B1361" s="17" t="s">
        <v>810</v>
      </c>
      <c r="C1361" s="17" t="s">
        <v>805</v>
      </c>
      <c r="D1361" s="17" t="s">
        <v>801</v>
      </c>
      <c r="E1361" s="18">
        <v>3004160319009</v>
      </c>
      <c r="G1361" s="20" t="str">
        <f t="shared" si="63"/>
        <v xml:space="preserve"> ANSES/RONDES    </v>
      </c>
      <c r="H1361" s="20" t="str">
        <f t="shared" si="64"/>
        <v xml:space="preserve">BLUE </v>
      </c>
      <c r="I1361" s="20" t="str">
        <f t="shared" si="65"/>
        <v xml:space="preserve">XS   </v>
      </c>
    </row>
    <row r="1362" spans="1:9">
      <c r="A1362" s="17" t="s">
        <v>1058</v>
      </c>
      <c r="B1362" s="17" t="s">
        <v>869</v>
      </c>
      <c r="C1362" s="17">
        <v>0</v>
      </c>
      <c r="D1362" s="17" t="s">
        <v>801</v>
      </c>
      <c r="E1362" s="18">
        <v>3004840554003</v>
      </c>
      <c r="G1362" s="20" t="str">
        <f t="shared" si="63"/>
        <v xml:space="preserve"> ANSES/RONDES    </v>
      </c>
      <c r="H1362" s="20" t="str">
        <f t="shared" si="64"/>
        <v>BROWN</v>
      </c>
      <c r="I1362" s="20">
        <f t="shared" si="65"/>
        <v>0</v>
      </c>
    </row>
    <row r="1363" spans="1:9">
      <c r="A1363" s="17" t="s">
        <v>1058</v>
      </c>
      <c r="B1363" s="17" t="s">
        <v>869</v>
      </c>
      <c r="C1363" s="17" t="s">
        <v>800</v>
      </c>
      <c r="D1363" s="17" t="s">
        <v>801</v>
      </c>
      <c r="E1363" s="18">
        <v>3004160554035</v>
      </c>
      <c r="G1363" s="20" t="str">
        <f t="shared" si="63"/>
        <v xml:space="preserve"> ANSES/RONDES    </v>
      </c>
      <c r="H1363" s="20" t="str">
        <f t="shared" si="64"/>
        <v>BROWN</v>
      </c>
      <c r="I1363" s="20" t="str">
        <f t="shared" si="65"/>
        <v xml:space="preserve">L    </v>
      </c>
    </row>
    <row r="1364" spans="1:9">
      <c r="A1364" s="17" t="s">
        <v>1058</v>
      </c>
      <c r="B1364" s="17" t="s">
        <v>869</v>
      </c>
      <c r="C1364" s="17" t="s">
        <v>802</v>
      </c>
      <c r="D1364" s="17" t="s">
        <v>801</v>
      </c>
      <c r="E1364" s="18">
        <v>3004160554028</v>
      </c>
      <c r="G1364" s="20" t="str">
        <f t="shared" si="63"/>
        <v xml:space="preserve"> ANSES/RONDES    </v>
      </c>
      <c r="H1364" s="20" t="str">
        <f t="shared" si="64"/>
        <v>BROWN</v>
      </c>
      <c r="I1364" s="20" t="str">
        <f t="shared" si="65"/>
        <v xml:space="preserve">M    </v>
      </c>
    </row>
    <row r="1365" spans="1:9">
      <c r="A1365" s="17" t="s">
        <v>1058</v>
      </c>
      <c r="B1365" s="17" t="s">
        <v>869</v>
      </c>
      <c r="C1365" s="17" t="s">
        <v>803</v>
      </c>
      <c r="D1365" s="17" t="s">
        <v>801</v>
      </c>
      <c r="E1365" s="18">
        <v>3004160554011</v>
      </c>
      <c r="G1365" s="20" t="str">
        <f t="shared" si="63"/>
        <v xml:space="preserve"> ANSES/RONDES    </v>
      </c>
      <c r="H1365" s="20" t="str">
        <f t="shared" si="64"/>
        <v>BROWN</v>
      </c>
      <c r="I1365" s="20" t="str">
        <f t="shared" si="65"/>
        <v xml:space="preserve">S    </v>
      </c>
    </row>
    <row r="1366" spans="1:9">
      <c r="A1366" s="17" t="s">
        <v>1058</v>
      </c>
      <c r="B1366" s="17" t="s">
        <v>869</v>
      </c>
      <c r="C1366" s="17" t="s">
        <v>804</v>
      </c>
      <c r="D1366" s="17" t="s">
        <v>801</v>
      </c>
      <c r="E1366" s="18">
        <v>3004160554042</v>
      </c>
      <c r="G1366" s="20" t="str">
        <f t="shared" si="63"/>
        <v xml:space="preserve"> ANSES/RONDES    </v>
      </c>
      <c r="H1366" s="20" t="str">
        <f t="shared" si="64"/>
        <v>BROWN</v>
      </c>
      <c r="I1366" s="20" t="str">
        <f t="shared" si="65"/>
        <v xml:space="preserve">XL   </v>
      </c>
    </row>
    <row r="1367" spans="1:9">
      <c r="A1367" s="17" t="s">
        <v>1058</v>
      </c>
      <c r="B1367" s="17" t="s">
        <v>869</v>
      </c>
      <c r="C1367" s="17" t="s">
        <v>805</v>
      </c>
      <c r="D1367" s="17" t="s">
        <v>801</v>
      </c>
      <c r="E1367" s="18">
        <v>3004160554004</v>
      </c>
      <c r="G1367" s="20" t="str">
        <f t="shared" si="63"/>
        <v xml:space="preserve"> ANSES/RONDES    </v>
      </c>
      <c r="H1367" s="20" t="str">
        <f t="shared" si="64"/>
        <v>BROWN</v>
      </c>
      <c r="I1367" s="20" t="str">
        <f t="shared" si="65"/>
        <v xml:space="preserve">XS   </v>
      </c>
    </row>
    <row r="1368" spans="1:9">
      <c r="A1368" s="17" t="s">
        <v>1058</v>
      </c>
      <c r="B1368" s="17" t="s">
        <v>982</v>
      </c>
      <c r="C1368" s="17" t="s">
        <v>800</v>
      </c>
      <c r="D1368" s="17" t="s">
        <v>801</v>
      </c>
      <c r="E1368" s="18">
        <v>3004160807032</v>
      </c>
      <c r="G1368" s="20" t="str">
        <f t="shared" si="63"/>
        <v xml:space="preserve"> ANSES/RONDES    </v>
      </c>
      <c r="H1368" s="20" t="str">
        <f t="shared" si="64"/>
        <v>CARNE</v>
      </c>
      <c r="I1368" s="20" t="str">
        <f t="shared" si="65"/>
        <v xml:space="preserve">L    </v>
      </c>
    </row>
    <row r="1369" spans="1:9">
      <c r="A1369" s="17" t="s">
        <v>1058</v>
      </c>
      <c r="B1369" s="17" t="s">
        <v>982</v>
      </c>
      <c r="C1369" s="17" t="s">
        <v>802</v>
      </c>
      <c r="D1369" s="17" t="s">
        <v>801</v>
      </c>
      <c r="E1369" s="18">
        <v>3004160807025</v>
      </c>
      <c r="G1369" s="20" t="str">
        <f t="shared" si="63"/>
        <v xml:space="preserve"> ANSES/RONDES    </v>
      </c>
      <c r="H1369" s="20" t="str">
        <f t="shared" si="64"/>
        <v>CARNE</v>
      </c>
      <c r="I1369" s="20" t="str">
        <f t="shared" si="65"/>
        <v xml:space="preserve">M    </v>
      </c>
    </row>
    <row r="1370" spans="1:9">
      <c r="A1370" s="17" t="s">
        <v>1058</v>
      </c>
      <c r="B1370" s="17" t="s">
        <v>982</v>
      </c>
      <c r="C1370" s="17" t="s">
        <v>803</v>
      </c>
      <c r="D1370" s="17" t="s">
        <v>801</v>
      </c>
      <c r="E1370" s="18">
        <v>3004160807018</v>
      </c>
      <c r="G1370" s="20" t="str">
        <f t="shared" si="63"/>
        <v xml:space="preserve"> ANSES/RONDES    </v>
      </c>
      <c r="H1370" s="20" t="str">
        <f t="shared" si="64"/>
        <v>CARNE</v>
      </c>
      <c r="I1370" s="20" t="str">
        <f t="shared" si="65"/>
        <v xml:space="preserve">S    </v>
      </c>
    </row>
    <row r="1371" spans="1:9">
      <c r="A1371" s="17" t="s">
        <v>1058</v>
      </c>
      <c r="B1371" s="17" t="s">
        <v>982</v>
      </c>
      <c r="C1371" s="17" t="s">
        <v>804</v>
      </c>
      <c r="D1371" s="17" t="s">
        <v>801</v>
      </c>
      <c r="E1371" s="18">
        <v>3004160807049</v>
      </c>
      <c r="G1371" s="20" t="str">
        <f t="shared" si="63"/>
        <v xml:space="preserve"> ANSES/RONDES    </v>
      </c>
      <c r="H1371" s="20" t="str">
        <f t="shared" si="64"/>
        <v>CARNE</v>
      </c>
      <c r="I1371" s="20" t="str">
        <f t="shared" si="65"/>
        <v xml:space="preserve">XL   </v>
      </c>
    </row>
    <row r="1372" spans="1:9">
      <c r="A1372" s="17" t="s">
        <v>1058</v>
      </c>
      <c r="B1372" s="17" t="s">
        <v>982</v>
      </c>
      <c r="C1372" s="17" t="s">
        <v>805</v>
      </c>
      <c r="D1372" s="17" t="s">
        <v>801</v>
      </c>
      <c r="E1372" s="18">
        <v>3004160807001</v>
      </c>
      <c r="G1372" s="20" t="str">
        <f t="shared" si="63"/>
        <v xml:space="preserve"> ANSES/RONDES    </v>
      </c>
      <c r="H1372" s="20" t="str">
        <f t="shared" si="64"/>
        <v>CARNE</v>
      </c>
      <c r="I1372" s="20" t="str">
        <f t="shared" si="65"/>
        <v xml:space="preserve">XS   </v>
      </c>
    </row>
    <row r="1373" spans="1:9">
      <c r="A1373" s="17" t="s">
        <v>1058</v>
      </c>
      <c r="B1373" s="17" t="s">
        <v>880</v>
      </c>
      <c r="C1373" s="17" t="s">
        <v>800</v>
      </c>
      <c r="D1373" s="17" t="s">
        <v>801</v>
      </c>
      <c r="E1373" s="18">
        <v>3004160475033</v>
      </c>
      <c r="G1373" s="20" t="str">
        <f t="shared" si="63"/>
        <v xml:space="preserve"> ANSES/RONDES    </v>
      </c>
      <c r="H1373" s="20" t="str">
        <f t="shared" si="64"/>
        <v xml:space="preserve">CBBL </v>
      </c>
      <c r="I1373" s="20" t="str">
        <f t="shared" si="65"/>
        <v xml:space="preserve">L    </v>
      </c>
    </row>
    <row r="1374" spans="1:9">
      <c r="A1374" s="17" t="s">
        <v>1058</v>
      </c>
      <c r="B1374" s="17" t="s">
        <v>880</v>
      </c>
      <c r="C1374" s="17" t="s">
        <v>802</v>
      </c>
      <c r="D1374" s="17" t="s">
        <v>801</v>
      </c>
      <c r="E1374" s="18">
        <v>3004160475026</v>
      </c>
      <c r="G1374" s="20" t="str">
        <f t="shared" si="63"/>
        <v xml:space="preserve"> ANSES/RONDES    </v>
      </c>
      <c r="H1374" s="20" t="str">
        <f t="shared" si="64"/>
        <v xml:space="preserve">CBBL </v>
      </c>
      <c r="I1374" s="20" t="str">
        <f t="shared" si="65"/>
        <v xml:space="preserve">M    </v>
      </c>
    </row>
    <row r="1375" spans="1:9">
      <c r="A1375" s="17" t="s">
        <v>1058</v>
      </c>
      <c r="B1375" s="17" t="s">
        <v>880</v>
      </c>
      <c r="C1375" s="17" t="s">
        <v>803</v>
      </c>
      <c r="D1375" s="17" t="s">
        <v>801</v>
      </c>
      <c r="E1375" s="18">
        <v>3004160475019</v>
      </c>
      <c r="G1375" s="20" t="str">
        <f t="shared" si="63"/>
        <v xml:space="preserve"> ANSES/RONDES    </v>
      </c>
      <c r="H1375" s="20" t="str">
        <f t="shared" si="64"/>
        <v xml:space="preserve">CBBL </v>
      </c>
      <c r="I1375" s="20" t="str">
        <f t="shared" si="65"/>
        <v xml:space="preserve">S    </v>
      </c>
    </row>
    <row r="1376" spans="1:9">
      <c r="A1376" s="17" t="s">
        <v>1058</v>
      </c>
      <c r="B1376" s="17" t="s">
        <v>880</v>
      </c>
      <c r="C1376" s="17" t="s">
        <v>804</v>
      </c>
      <c r="D1376" s="17" t="s">
        <v>801</v>
      </c>
      <c r="E1376" s="18">
        <v>3004160475040</v>
      </c>
      <c r="G1376" s="20" t="str">
        <f t="shared" si="63"/>
        <v xml:space="preserve"> ANSES/RONDES    </v>
      </c>
      <c r="H1376" s="20" t="str">
        <f t="shared" si="64"/>
        <v xml:space="preserve">CBBL </v>
      </c>
      <c r="I1376" s="20" t="str">
        <f t="shared" si="65"/>
        <v xml:space="preserve">XL   </v>
      </c>
    </row>
    <row r="1377" spans="1:9">
      <c r="A1377" s="17" t="s">
        <v>1058</v>
      </c>
      <c r="B1377" s="17" t="s">
        <v>880</v>
      </c>
      <c r="C1377" s="17" t="s">
        <v>805</v>
      </c>
      <c r="D1377" s="17" t="s">
        <v>801</v>
      </c>
      <c r="E1377" s="18">
        <v>3004160475002</v>
      </c>
      <c r="G1377" s="20" t="str">
        <f t="shared" si="63"/>
        <v xml:space="preserve"> ANSES/RONDES    </v>
      </c>
      <c r="H1377" s="20" t="str">
        <f t="shared" si="64"/>
        <v xml:space="preserve">CBBL </v>
      </c>
      <c r="I1377" s="20" t="str">
        <f t="shared" si="65"/>
        <v xml:space="preserve">XS   </v>
      </c>
    </row>
    <row r="1378" spans="1:9">
      <c r="A1378" s="17" t="s">
        <v>1058</v>
      </c>
      <c r="B1378" s="17" t="s">
        <v>831</v>
      </c>
      <c r="C1378" s="17" t="s">
        <v>800</v>
      </c>
      <c r="D1378" s="17" t="s">
        <v>801</v>
      </c>
      <c r="E1378" s="18">
        <v>3004160467038</v>
      </c>
      <c r="G1378" s="20" t="str">
        <f t="shared" si="63"/>
        <v xml:space="preserve"> ANSES/RONDES    </v>
      </c>
      <c r="H1378" s="20" t="str">
        <f t="shared" si="64"/>
        <v>CBNAT</v>
      </c>
      <c r="I1378" s="20" t="str">
        <f t="shared" si="65"/>
        <v xml:space="preserve">L    </v>
      </c>
    </row>
    <row r="1379" spans="1:9">
      <c r="A1379" s="17" t="s">
        <v>1058</v>
      </c>
      <c r="B1379" s="17" t="s">
        <v>831</v>
      </c>
      <c r="C1379" s="17" t="s">
        <v>802</v>
      </c>
      <c r="D1379" s="17" t="s">
        <v>801</v>
      </c>
      <c r="E1379" s="18">
        <v>3004160467021</v>
      </c>
      <c r="G1379" s="20" t="str">
        <f t="shared" si="63"/>
        <v xml:space="preserve"> ANSES/RONDES    </v>
      </c>
      <c r="H1379" s="20" t="str">
        <f t="shared" si="64"/>
        <v>CBNAT</v>
      </c>
      <c r="I1379" s="20" t="str">
        <f t="shared" si="65"/>
        <v xml:space="preserve">M    </v>
      </c>
    </row>
    <row r="1380" spans="1:9">
      <c r="A1380" s="17" t="s">
        <v>1058</v>
      </c>
      <c r="B1380" s="17" t="s">
        <v>831</v>
      </c>
      <c r="C1380" s="17" t="s">
        <v>803</v>
      </c>
      <c r="D1380" s="17" t="s">
        <v>801</v>
      </c>
      <c r="E1380" s="18">
        <v>3004160467014</v>
      </c>
      <c r="G1380" s="20" t="str">
        <f t="shared" si="63"/>
        <v xml:space="preserve"> ANSES/RONDES    </v>
      </c>
      <c r="H1380" s="20" t="str">
        <f t="shared" si="64"/>
        <v>CBNAT</v>
      </c>
      <c r="I1380" s="20" t="str">
        <f t="shared" si="65"/>
        <v xml:space="preserve">S    </v>
      </c>
    </row>
    <row r="1381" spans="1:9">
      <c r="A1381" s="17" t="s">
        <v>1058</v>
      </c>
      <c r="B1381" s="17" t="s">
        <v>831</v>
      </c>
      <c r="C1381" s="17" t="s">
        <v>804</v>
      </c>
      <c r="D1381" s="17" t="s">
        <v>801</v>
      </c>
      <c r="E1381" s="18">
        <v>3004160467045</v>
      </c>
      <c r="G1381" s="20" t="str">
        <f t="shared" si="63"/>
        <v xml:space="preserve"> ANSES/RONDES    </v>
      </c>
      <c r="H1381" s="20" t="str">
        <f t="shared" si="64"/>
        <v>CBNAT</v>
      </c>
      <c r="I1381" s="20" t="str">
        <f t="shared" si="65"/>
        <v xml:space="preserve">XL   </v>
      </c>
    </row>
    <row r="1382" spans="1:9">
      <c r="A1382" s="17" t="s">
        <v>1058</v>
      </c>
      <c r="B1382" s="17" t="s">
        <v>831</v>
      </c>
      <c r="C1382" s="17" t="s">
        <v>805</v>
      </c>
      <c r="D1382" s="17" t="s">
        <v>801</v>
      </c>
      <c r="E1382" s="18">
        <v>3004160467007</v>
      </c>
      <c r="G1382" s="20" t="str">
        <f t="shared" si="63"/>
        <v xml:space="preserve"> ANSES/RONDES    </v>
      </c>
      <c r="H1382" s="20" t="str">
        <f t="shared" si="64"/>
        <v>CBNAT</v>
      </c>
      <c r="I1382" s="20" t="str">
        <f t="shared" si="65"/>
        <v xml:space="preserve">XS   </v>
      </c>
    </row>
    <row r="1383" spans="1:9">
      <c r="A1383" s="17" t="s">
        <v>1058</v>
      </c>
      <c r="B1383" s="17" t="s">
        <v>832</v>
      </c>
      <c r="C1383" s="17" t="s">
        <v>800</v>
      </c>
      <c r="D1383" s="17" t="s">
        <v>801</v>
      </c>
      <c r="E1383" s="18">
        <v>3004160756033</v>
      </c>
      <c r="G1383" s="20" t="str">
        <f t="shared" si="63"/>
        <v xml:space="preserve"> ANSES/RONDES    </v>
      </c>
      <c r="H1383" s="20" t="str">
        <f t="shared" si="64"/>
        <v>CBNAV</v>
      </c>
      <c r="I1383" s="20" t="str">
        <f t="shared" si="65"/>
        <v xml:space="preserve">L    </v>
      </c>
    </row>
    <row r="1384" spans="1:9">
      <c r="A1384" s="17" t="s">
        <v>1058</v>
      </c>
      <c r="B1384" s="17" t="s">
        <v>832</v>
      </c>
      <c r="C1384" s="17" t="s">
        <v>802</v>
      </c>
      <c r="D1384" s="17" t="s">
        <v>801</v>
      </c>
      <c r="E1384" s="18">
        <v>3004160756026</v>
      </c>
      <c r="G1384" s="20" t="str">
        <f t="shared" si="63"/>
        <v xml:space="preserve"> ANSES/RONDES    </v>
      </c>
      <c r="H1384" s="20" t="str">
        <f t="shared" si="64"/>
        <v>CBNAV</v>
      </c>
      <c r="I1384" s="20" t="str">
        <f t="shared" si="65"/>
        <v xml:space="preserve">M    </v>
      </c>
    </row>
    <row r="1385" spans="1:9">
      <c r="A1385" s="17" t="s">
        <v>1058</v>
      </c>
      <c r="B1385" s="17" t="s">
        <v>832</v>
      </c>
      <c r="C1385" s="17" t="s">
        <v>803</v>
      </c>
      <c r="D1385" s="17" t="s">
        <v>801</v>
      </c>
      <c r="E1385" s="18">
        <v>3004160756019</v>
      </c>
      <c r="G1385" s="20" t="str">
        <f t="shared" si="63"/>
        <v xml:space="preserve"> ANSES/RONDES    </v>
      </c>
      <c r="H1385" s="20" t="str">
        <f t="shared" si="64"/>
        <v>CBNAV</v>
      </c>
      <c r="I1385" s="20" t="str">
        <f t="shared" si="65"/>
        <v xml:space="preserve">S    </v>
      </c>
    </row>
    <row r="1386" spans="1:9">
      <c r="A1386" s="17" t="s">
        <v>1058</v>
      </c>
      <c r="B1386" s="17" t="s">
        <v>832</v>
      </c>
      <c r="C1386" s="17" t="s">
        <v>804</v>
      </c>
      <c r="D1386" s="17" t="s">
        <v>801</v>
      </c>
      <c r="E1386" s="18">
        <v>3004160756040</v>
      </c>
      <c r="G1386" s="20" t="str">
        <f t="shared" si="63"/>
        <v xml:space="preserve"> ANSES/RONDES    </v>
      </c>
      <c r="H1386" s="20" t="str">
        <f t="shared" si="64"/>
        <v>CBNAV</v>
      </c>
      <c r="I1386" s="20" t="str">
        <f t="shared" si="65"/>
        <v xml:space="preserve">XL   </v>
      </c>
    </row>
    <row r="1387" spans="1:9">
      <c r="A1387" s="17" t="s">
        <v>1058</v>
      </c>
      <c r="B1387" s="17" t="s">
        <v>832</v>
      </c>
      <c r="C1387" s="17" t="s">
        <v>805</v>
      </c>
      <c r="D1387" s="17" t="s">
        <v>801</v>
      </c>
      <c r="E1387" s="18">
        <v>3004160756002</v>
      </c>
      <c r="G1387" s="20" t="str">
        <f t="shared" si="63"/>
        <v xml:space="preserve"> ANSES/RONDES    </v>
      </c>
      <c r="H1387" s="20" t="str">
        <f t="shared" si="64"/>
        <v>CBNAV</v>
      </c>
      <c r="I1387" s="20" t="str">
        <f t="shared" si="65"/>
        <v xml:space="preserve">XS   </v>
      </c>
    </row>
    <row r="1388" spans="1:9">
      <c r="A1388" s="17" t="s">
        <v>1058</v>
      </c>
      <c r="B1388" s="17" t="s">
        <v>983</v>
      </c>
      <c r="C1388" s="17" t="s">
        <v>800</v>
      </c>
      <c r="D1388" s="17" t="s">
        <v>801</v>
      </c>
      <c r="E1388" s="18">
        <v>3004160755036</v>
      </c>
      <c r="G1388" s="20" t="str">
        <f t="shared" si="63"/>
        <v xml:space="preserve"> ANSES/RONDES    </v>
      </c>
      <c r="H1388" s="20" t="str">
        <f t="shared" si="64"/>
        <v>CBWHI</v>
      </c>
      <c r="I1388" s="20" t="str">
        <f t="shared" si="65"/>
        <v xml:space="preserve">L    </v>
      </c>
    </row>
    <row r="1389" spans="1:9">
      <c r="A1389" s="17" t="s">
        <v>1058</v>
      </c>
      <c r="B1389" s="17" t="s">
        <v>983</v>
      </c>
      <c r="C1389" s="17" t="s">
        <v>802</v>
      </c>
      <c r="D1389" s="17" t="s">
        <v>801</v>
      </c>
      <c r="E1389" s="18">
        <v>3004160755029</v>
      </c>
      <c r="G1389" s="20" t="str">
        <f t="shared" si="63"/>
        <v xml:space="preserve"> ANSES/RONDES    </v>
      </c>
      <c r="H1389" s="20" t="str">
        <f t="shared" si="64"/>
        <v>CBWHI</v>
      </c>
      <c r="I1389" s="20" t="str">
        <f t="shared" si="65"/>
        <v xml:space="preserve">M    </v>
      </c>
    </row>
    <row r="1390" spans="1:9">
      <c r="A1390" s="17" t="s">
        <v>1058</v>
      </c>
      <c r="B1390" s="17" t="s">
        <v>983</v>
      </c>
      <c r="C1390" s="17" t="s">
        <v>803</v>
      </c>
      <c r="D1390" s="17" t="s">
        <v>801</v>
      </c>
      <c r="E1390" s="18">
        <v>3004160755012</v>
      </c>
      <c r="G1390" s="20" t="str">
        <f t="shared" si="63"/>
        <v xml:space="preserve"> ANSES/RONDES    </v>
      </c>
      <c r="H1390" s="20" t="str">
        <f t="shared" si="64"/>
        <v>CBWHI</v>
      </c>
      <c r="I1390" s="20" t="str">
        <f t="shared" si="65"/>
        <v xml:space="preserve">S    </v>
      </c>
    </row>
    <row r="1391" spans="1:9">
      <c r="A1391" s="17" t="s">
        <v>1058</v>
      </c>
      <c r="B1391" s="17" t="s">
        <v>983</v>
      </c>
      <c r="C1391" s="17" t="s">
        <v>804</v>
      </c>
      <c r="D1391" s="17" t="s">
        <v>801</v>
      </c>
      <c r="E1391" s="18">
        <v>3004160755043</v>
      </c>
      <c r="G1391" s="20" t="str">
        <f t="shared" si="63"/>
        <v xml:space="preserve"> ANSES/RONDES    </v>
      </c>
      <c r="H1391" s="20" t="str">
        <f t="shared" si="64"/>
        <v>CBWHI</v>
      </c>
      <c r="I1391" s="20" t="str">
        <f t="shared" si="65"/>
        <v xml:space="preserve">XL   </v>
      </c>
    </row>
    <row r="1392" spans="1:9">
      <c r="A1392" s="17" t="s">
        <v>1058</v>
      </c>
      <c r="B1392" s="17" t="s">
        <v>983</v>
      </c>
      <c r="C1392" s="17" t="s">
        <v>805</v>
      </c>
      <c r="D1392" s="17" t="s">
        <v>801</v>
      </c>
      <c r="E1392" s="18">
        <v>3004160755005</v>
      </c>
      <c r="G1392" s="20" t="str">
        <f t="shared" si="63"/>
        <v xml:space="preserve"> ANSES/RONDES    </v>
      </c>
      <c r="H1392" s="20" t="str">
        <f t="shared" si="64"/>
        <v>CBWHI</v>
      </c>
      <c r="I1392" s="20" t="str">
        <f t="shared" si="65"/>
        <v xml:space="preserve">XS   </v>
      </c>
    </row>
    <row r="1393" spans="1:9">
      <c r="A1393" s="17" t="s">
        <v>1058</v>
      </c>
      <c r="B1393" s="17" t="s">
        <v>1061</v>
      </c>
      <c r="C1393" s="17" t="s">
        <v>800</v>
      </c>
      <c r="D1393" s="17" t="s">
        <v>801</v>
      </c>
      <c r="E1393" s="18">
        <v>3004160460039</v>
      </c>
      <c r="G1393" s="20" t="str">
        <f t="shared" si="63"/>
        <v xml:space="preserve"> ANSES/RONDES    </v>
      </c>
      <c r="H1393" s="20" t="str">
        <f t="shared" si="64"/>
        <v xml:space="preserve">E    </v>
      </c>
      <c r="I1393" s="20" t="str">
        <f t="shared" si="65"/>
        <v xml:space="preserve">L    </v>
      </c>
    </row>
    <row r="1394" spans="1:9">
      <c r="A1394" s="17" t="s">
        <v>1058</v>
      </c>
      <c r="B1394" s="17" t="s">
        <v>1061</v>
      </c>
      <c r="C1394" s="17" t="s">
        <v>802</v>
      </c>
      <c r="D1394" s="17" t="s">
        <v>801</v>
      </c>
      <c r="E1394" s="18">
        <v>3004160460022</v>
      </c>
      <c r="G1394" s="20" t="str">
        <f t="shared" si="63"/>
        <v xml:space="preserve"> ANSES/RONDES    </v>
      </c>
      <c r="H1394" s="20" t="str">
        <f t="shared" si="64"/>
        <v xml:space="preserve">E    </v>
      </c>
      <c r="I1394" s="20" t="str">
        <f t="shared" si="65"/>
        <v xml:space="preserve">M    </v>
      </c>
    </row>
    <row r="1395" spans="1:9">
      <c r="A1395" s="17" t="s">
        <v>1058</v>
      </c>
      <c r="B1395" s="17" t="s">
        <v>1061</v>
      </c>
      <c r="C1395" s="17" t="s">
        <v>803</v>
      </c>
      <c r="D1395" s="17" t="s">
        <v>801</v>
      </c>
      <c r="E1395" s="18">
        <v>3004160460015</v>
      </c>
      <c r="G1395" s="20" t="str">
        <f t="shared" si="63"/>
        <v xml:space="preserve"> ANSES/RONDES    </v>
      </c>
      <c r="H1395" s="20" t="str">
        <f t="shared" si="64"/>
        <v xml:space="preserve">E    </v>
      </c>
      <c r="I1395" s="20" t="str">
        <f t="shared" si="65"/>
        <v xml:space="preserve">S    </v>
      </c>
    </row>
    <row r="1396" spans="1:9">
      <c r="A1396" s="17" t="s">
        <v>1058</v>
      </c>
      <c r="B1396" s="17" t="s">
        <v>1061</v>
      </c>
      <c r="C1396" s="17" t="s">
        <v>804</v>
      </c>
      <c r="D1396" s="17" t="s">
        <v>801</v>
      </c>
      <c r="E1396" s="18">
        <v>3004160460046</v>
      </c>
      <c r="G1396" s="20" t="str">
        <f t="shared" si="63"/>
        <v xml:space="preserve"> ANSES/RONDES    </v>
      </c>
      <c r="H1396" s="20" t="str">
        <f t="shared" si="64"/>
        <v xml:space="preserve">E    </v>
      </c>
      <c r="I1396" s="20" t="str">
        <f t="shared" si="65"/>
        <v xml:space="preserve">XL   </v>
      </c>
    </row>
    <row r="1397" spans="1:9">
      <c r="A1397" s="17" t="s">
        <v>1058</v>
      </c>
      <c r="B1397" s="17" t="s">
        <v>1061</v>
      </c>
      <c r="C1397" s="17" t="s">
        <v>805</v>
      </c>
      <c r="D1397" s="17" t="s">
        <v>801</v>
      </c>
      <c r="E1397" s="18">
        <v>3004160460008</v>
      </c>
      <c r="G1397" s="20" t="str">
        <f t="shared" si="63"/>
        <v xml:space="preserve"> ANSES/RONDES    </v>
      </c>
      <c r="H1397" s="20" t="str">
        <f t="shared" si="64"/>
        <v xml:space="preserve">E    </v>
      </c>
      <c r="I1397" s="20" t="str">
        <f t="shared" si="65"/>
        <v xml:space="preserve">XS   </v>
      </c>
    </row>
    <row r="1398" spans="1:9">
      <c r="A1398" s="17" t="s">
        <v>1058</v>
      </c>
      <c r="B1398" s="17" t="s">
        <v>834</v>
      </c>
      <c r="C1398" s="17" t="s">
        <v>800</v>
      </c>
      <c r="D1398" s="17" t="s">
        <v>801</v>
      </c>
      <c r="E1398" s="18">
        <v>3004160794035</v>
      </c>
      <c r="G1398" s="20" t="str">
        <f t="shared" si="63"/>
        <v xml:space="preserve"> ANSES/RONDES    </v>
      </c>
      <c r="H1398" s="20" t="str">
        <f t="shared" si="64"/>
        <v>GOACQ</v>
      </c>
      <c r="I1398" s="20" t="str">
        <f t="shared" si="65"/>
        <v xml:space="preserve">L    </v>
      </c>
    </row>
    <row r="1399" spans="1:9">
      <c r="A1399" s="17" t="s">
        <v>1058</v>
      </c>
      <c r="B1399" s="17" t="s">
        <v>834</v>
      </c>
      <c r="C1399" s="17" t="s">
        <v>802</v>
      </c>
      <c r="D1399" s="17" t="s">
        <v>801</v>
      </c>
      <c r="E1399" s="18">
        <v>3004160794028</v>
      </c>
      <c r="G1399" s="20" t="str">
        <f t="shared" si="63"/>
        <v xml:space="preserve"> ANSES/RONDES    </v>
      </c>
      <c r="H1399" s="20" t="str">
        <f t="shared" si="64"/>
        <v>GOACQ</v>
      </c>
      <c r="I1399" s="20" t="str">
        <f t="shared" si="65"/>
        <v xml:space="preserve">M    </v>
      </c>
    </row>
    <row r="1400" spans="1:9">
      <c r="A1400" s="17" t="s">
        <v>1058</v>
      </c>
      <c r="B1400" s="17" t="s">
        <v>834</v>
      </c>
      <c r="C1400" s="17" t="s">
        <v>803</v>
      </c>
      <c r="D1400" s="17" t="s">
        <v>801</v>
      </c>
      <c r="E1400" s="18">
        <v>3004160794011</v>
      </c>
      <c r="G1400" s="20" t="str">
        <f t="shared" si="63"/>
        <v xml:space="preserve"> ANSES/RONDES    </v>
      </c>
      <c r="H1400" s="20" t="str">
        <f t="shared" si="64"/>
        <v>GOACQ</v>
      </c>
      <c r="I1400" s="20" t="str">
        <f t="shared" si="65"/>
        <v xml:space="preserve">S    </v>
      </c>
    </row>
    <row r="1401" spans="1:9">
      <c r="A1401" s="17" t="s">
        <v>1058</v>
      </c>
      <c r="B1401" s="17" t="s">
        <v>834</v>
      </c>
      <c r="C1401" s="17" t="s">
        <v>804</v>
      </c>
      <c r="D1401" s="17" t="s">
        <v>801</v>
      </c>
      <c r="E1401" s="18">
        <v>3004160794042</v>
      </c>
      <c r="G1401" s="20" t="str">
        <f t="shared" si="63"/>
        <v xml:space="preserve"> ANSES/RONDES    </v>
      </c>
      <c r="H1401" s="20" t="str">
        <f t="shared" si="64"/>
        <v>GOACQ</v>
      </c>
      <c r="I1401" s="20" t="str">
        <f t="shared" si="65"/>
        <v xml:space="preserve">XL   </v>
      </c>
    </row>
    <row r="1402" spans="1:9">
      <c r="A1402" s="17" t="s">
        <v>1058</v>
      </c>
      <c r="B1402" s="17" t="s">
        <v>834</v>
      </c>
      <c r="C1402" s="17" t="s">
        <v>805</v>
      </c>
      <c r="D1402" s="17" t="s">
        <v>801</v>
      </c>
      <c r="E1402" s="18">
        <v>3004160794004</v>
      </c>
      <c r="G1402" s="20" t="str">
        <f t="shared" si="63"/>
        <v xml:space="preserve"> ANSES/RONDES    </v>
      </c>
      <c r="H1402" s="20" t="str">
        <f t="shared" si="64"/>
        <v>GOACQ</v>
      </c>
      <c r="I1402" s="20" t="str">
        <f t="shared" si="65"/>
        <v xml:space="preserve">XS   </v>
      </c>
    </row>
    <row r="1403" spans="1:9">
      <c r="A1403" s="17" t="s">
        <v>1058</v>
      </c>
      <c r="B1403" s="17" t="s">
        <v>1062</v>
      </c>
      <c r="C1403" s="17" t="s">
        <v>800</v>
      </c>
      <c r="D1403" s="17" t="s">
        <v>801</v>
      </c>
      <c r="E1403" s="18">
        <v>3004160798033</v>
      </c>
      <c r="G1403" s="20" t="str">
        <f t="shared" si="63"/>
        <v xml:space="preserve"> ANSES/RONDES    </v>
      </c>
      <c r="H1403" s="20" t="str">
        <f t="shared" si="64"/>
        <v>GOBLA</v>
      </c>
      <c r="I1403" s="20" t="str">
        <f t="shared" si="65"/>
        <v xml:space="preserve">L    </v>
      </c>
    </row>
    <row r="1404" spans="1:9">
      <c r="A1404" s="17" t="s">
        <v>1058</v>
      </c>
      <c r="B1404" s="17" t="s">
        <v>1062</v>
      </c>
      <c r="C1404" s="17" t="s">
        <v>802</v>
      </c>
      <c r="D1404" s="17" t="s">
        <v>801</v>
      </c>
      <c r="E1404" s="18">
        <v>3004160798026</v>
      </c>
      <c r="G1404" s="20" t="str">
        <f t="shared" si="63"/>
        <v xml:space="preserve"> ANSES/RONDES    </v>
      </c>
      <c r="H1404" s="20" t="str">
        <f t="shared" si="64"/>
        <v>GOBLA</v>
      </c>
      <c r="I1404" s="20" t="str">
        <f t="shared" si="65"/>
        <v xml:space="preserve">M    </v>
      </c>
    </row>
    <row r="1405" spans="1:9">
      <c r="A1405" s="17" t="s">
        <v>1058</v>
      </c>
      <c r="B1405" s="17" t="s">
        <v>1062</v>
      </c>
      <c r="C1405" s="17" t="s">
        <v>803</v>
      </c>
      <c r="D1405" s="17" t="s">
        <v>801</v>
      </c>
      <c r="E1405" s="18">
        <v>3004160798019</v>
      </c>
      <c r="G1405" s="20" t="str">
        <f t="shared" si="63"/>
        <v xml:space="preserve"> ANSES/RONDES    </v>
      </c>
      <c r="H1405" s="20" t="str">
        <f t="shared" si="64"/>
        <v>GOBLA</v>
      </c>
      <c r="I1405" s="20" t="str">
        <f t="shared" si="65"/>
        <v xml:space="preserve">S    </v>
      </c>
    </row>
    <row r="1406" spans="1:9">
      <c r="A1406" s="17" t="s">
        <v>1058</v>
      </c>
      <c r="B1406" s="17" t="s">
        <v>1062</v>
      </c>
      <c r="C1406" s="17" t="s">
        <v>804</v>
      </c>
      <c r="D1406" s="17" t="s">
        <v>801</v>
      </c>
      <c r="E1406" s="18">
        <v>3004160798040</v>
      </c>
      <c r="G1406" s="20" t="str">
        <f t="shared" si="63"/>
        <v xml:space="preserve"> ANSES/RONDES    </v>
      </c>
      <c r="H1406" s="20" t="str">
        <f t="shared" si="64"/>
        <v>GOBLA</v>
      </c>
      <c r="I1406" s="20" t="str">
        <f t="shared" si="65"/>
        <v xml:space="preserve">XL   </v>
      </c>
    </row>
    <row r="1407" spans="1:9">
      <c r="A1407" s="17" t="s">
        <v>1058</v>
      </c>
      <c r="B1407" s="17" t="s">
        <v>1062</v>
      </c>
      <c r="C1407" s="17" t="s">
        <v>805</v>
      </c>
      <c r="D1407" s="17" t="s">
        <v>801</v>
      </c>
      <c r="E1407" s="18">
        <v>3004160798002</v>
      </c>
      <c r="G1407" s="20" t="str">
        <f t="shared" si="63"/>
        <v xml:space="preserve"> ANSES/RONDES    </v>
      </c>
      <c r="H1407" s="20" t="str">
        <f t="shared" si="64"/>
        <v>GOBLA</v>
      </c>
      <c r="I1407" s="20" t="str">
        <f t="shared" si="65"/>
        <v xml:space="preserve">XS   </v>
      </c>
    </row>
    <row r="1408" spans="1:9">
      <c r="A1408" s="17" t="s">
        <v>1058</v>
      </c>
      <c r="B1408" s="17" t="s">
        <v>1063</v>
      </c>
      <c r="C1408" s="17" t="s">
        <v>800</v>
      </c>
      <c r="D1408" s="17" t="s">
        <v>801</v>
      </c>
      <c r="E1408" s="18">
        <v>3004160787037</v>
      </c>
      <c r="G1408" s="20" t="str">
        <f t="shared" si="63"/>
        <v xml:space="preserve"> ANSES/RONDES    </v>
      </c>
      <c r="H1408" s="20" t="str">
        <f t="shared" si="64"/>
        <v>GOCOL</v>
      </c>
      <c r="I1408" s="20" t="str">
        <f t="shared" si="65"/>
        <v xml:space="preserve">L    </v>
      </c>
    </row>
    <row r="1409" spans="1:9">
      <c r="A1409" s="17" t="s">
        <v>1058</v>
      </c>
      <c r="B1409" s="17" t="s">
        <v>1063</v>
      </c>
      <c r="C1409" s="17" t="s">
        <v>802</v>
      </c>
      <c r="D1409" s="17" t="s">
        <v>801</v>
      </c>
      <c r="E1409" s="18">
        <v>3004160787020</v>
      </c>
      <c r="G1409" s="20" t="str">
        <f t="shared" si="63"/>
        <v xml:space="preserve"> ANSES/RONDES    </v>
      </c>
      <c r="H1409" s="20" t="str">
        <f t="shared" si="64"/>
        <v>GOCOL</v>
      </c>
      <c r="I1409" s="20" t="str">
        <f t="shared" si="65"/>
        <v xml:space="preserve">M    </v>
      </c>
    </row>
    <row r="1410" spans="1:9">
      <c r="A1410" s="17" t="s">
        <v>1058</v>
      </c>
      <c r="B1410" s="17" t="s">
        <v>1063</v>
      </c>
      <c r="C1410" s="17" t="s">
        <v>803</v>
      </c>
      <c r="D1410" s="17" t="s">
        <v>801</v>
      </c>
      <c r="E1410" s="18">
        <v>3004160787013</v>
      </c>
      <c r="G1410" s="20" t="str">
        <f t="shared" si="63"/>
        <v xml:space="preserve"> ANSES/RONDES    </v>
      </c>
      <c r="H1410" s="20" t="str">
        <f t="shared" si="64"/>
        <v>GOCOL</v>
      </c>
      <c r="I1410" s="20" t="str">
        <f t="shared" si="65"/>
        <v xml:space="preserve">S    </v>
      </c>
    </row>
    <row r="1411" spans="1:9">
      <c r="A1411" s="17" t="s">
        <v>1058</v>
      </c>
      <c r="B1411" s="17" t="s">
        <v>1063</v>
      </c>
      <c r="C1411" s="17" t="s">
        <v>804</v>
      </c>
      <c r="D1411" s="17" t="s">
        <v>801</v>
      </c>
      <c r="E1411" s="18">
        <v>3004160787044</v>
      </c>
      <c r="G1411" s="20" t="str">
        <f t="shared" si="63"/>
        <v xml:space="preserve"> ANSES/RONDES    </v>
      </c>
      <c r="H1411" s="20" t="str">
        <f t="shared" si="64"/>
        <v>GOCOL</v>
      </c>
      <c r="I1411" s="20" t="str">
        <f t="shared" si="65"/>
        <v xml:space="preserve">XL   </v>
      </c>
    </row>
    <row r="1412" spans="1:9">
      <c r="A1412" s="17" t="s">
        <v>1058</v>
      </c>
      <c r="B1412" s="17" t="s">
        <v>1063</v>
      </c>
      <c r="C1412" s="17" t="s">
        <v>805</v>
      </c>
      <c r="D1412" s="17" t="s">
        <v>801</v>
      </c>
      <c r="E1412" s="18">
        <v>3004160787006</v>
      </c>
      <c r="G1412" s="20" t="str">
        <f t="shared" si="63"/>
        <v xml:space="preserve"> ANSES/RONDES    </v>
      </c>
      <c r="H1412" s="20" t="str">
        <f t="shared" si="64"/>
        <v>GOCOL</v>
      </c>
      <c r="I1412" s="20" t="str">
        <f t="shared" si="65"/>
        <v xml:space="preserve">XS   </v>
      </c>
    </row>
    <row r="1413" spans="1:9">
      <c r="A1413" s="17" t="s">
        <v>1058</v>
      </c>
      <c r="B1413" s="17" t="s">
        <v>1064</v>
      </c>
      <c r="C1413" s="17" t="s">
        <v>800</v>
      </c>
      <c r="D1413" s="17" t="s">
        <v>801</v>
      </c>
      <c r="E1413" s="18">
        <v>3004160797036</v>
      </c>
      <c r="G1413" s="20" t="str">
        <f t="shared" ref="G1413:G1476" si="66">A1413</f>
        <v xml:space="preserve"> ANSES/RONDES    </v>
      </c>
      <c r="H1413" s="20" t="str">
        <f t="shared" ref="H1413:H1476" si="67">B1413</f>
        <v>GOGRE</v>
      </c>
      <c r="I1413" s="20" t="str">
        <f t="shared" ref="I1413:I1476" si="68">C1413</f>
        <v xml:space="preserve">L    </v>
      </c>
    </row>
    <row r="1414" spans="1:9">
      <c r="A1414" s="17" t="s">
        <v>1058</v>
      </c>
      <c r="B1414" s="17" t="s">
        <v>1064</v>
      </c>
      <c r="C1414" s="17" t="s">
        <v>802</v>
      </c>
      <c r="D1414" s="17" t="s">
        <v>801</v>
      </c>
      <c r="E1414" s="18">
        <v>3004160797029</v>
      </c>
      <c r="G1414" s="20" t="str">
        <f t="shared" si="66"/>
        <v xml:space="preserve"> ANSES/RONDES    </v>
      </c>
      <c r="H1414" s="20" t="str">
        <f t="shared" si="67"/>
        <v>GOGRE</v>
      </c>
      <c r="I1414" s="20" t="str">
        <f t="shared" si="68"/>
        <v xml:space="preserve">M    </v>
      </c>
    </row>
    <row r="1415" spans="1:9">
      <c r="A1415" s="17" t="s">
        <v>1058</v>
      </c>
      <c r="B1415" s="17" t="s">
        <v>1064</v>
      </c>
      <c r="C1415" s="17" t="s">
        <v>803</v>
      </c>
      <c r="D1415" s="17" t="s">
        <v>801</v>
      </c>
      <c r="E1415" s="18">
        <v>3004160797012</v>
      </c>
      <c r="G1415" s="20" t="str">
        <f t="shared" si="66"/>
        <v xml:space="preserve"> ANSES/RONDES    </v>
      </c>
      <c r="H1415" s="20" t="str">
        <f t="shared" si="67"/>
        <v>GOGRE</v>
      </c>
      <c r="I1415" s="20" t="str">
        <f t="shared" si="68"/>
        <v xml:space="preserve">S    </v>
      </c>
    </row>
    <row r="1416" spans="1:9">
      <c r="A1416" s="17" t="s">
        <v>1058</v>
      </c>
      <c r="B1416" s="17" t="s">
        <v>1064</v>
      </c>
      <c r="C1416" s="17" t="s">
        <v>804</v>
      </c>
      <c r="D1416" s="17" t="s">
        <v>801</v>
      </c>
      <c r="E1416" s="18">
        <v>3004160797043</v>
      </c>
      <c r="G1416" s="20" t="str">
        <f t="shared" si="66"/>
        <v xml:space="preserve"> ANSES/RONDES    </v>
      </c>
      <c r="H1416" s="20" t="str">
        <f t="shared" si="67"/>
        <v>GOGRE</v>
      </c>
      <c r="I1416" s="20" t="str">
        <f t="shared" si="68"/>
        <v xml:space="preserve">XL   </v>
      </c>
    </row>
    <row r="1417" spans="1:9">
      <c r="A1417" s="17" t="s">
        <v>1058</v>
      </c>
      <c r="B1417" s="17" t="s">
        <v>1064</v>
      </c>
      <c r="C1417" s="17" t="s">
        <v>805</v>
      </c>
      <c r="D1417" s="17" t="s">
        <v>801</v>
      </c>
      <c r="E1417" s="18">
        <v>3004160797005</v>
      </c>
      <c r="G1417" s="20" t="str">
        <f t="shared" si="66"/>
        <v xml:space="preserve"> ANSES/RONDES    </v>
      </c>
      <c r="H1417" s="20" t="str">
        <f t="shared" si="67"/>
        <v>GOGRE</v>
      </c>
      <c r="I1417" s="20" t="str">
        <f t="shared" si="68"/>
        <v xml:space="preserve">XS   </v>
      </c>
    </row>
    <row r="1418" spans="1:9">
      <c r="A1418" s="17" t="s">
        <v>1058</v>
      </c>
      <c r="B1418" s="17" t="s">
        <v>835</v>
      </c>
      <c r="C1418" s="17" t="s">
        <v>800</v>
      </c>
      <c r="D1418" s="17" t="s">
        <v>801</v>
      </c>
      <c r="E1418" s="18">
        <v>3004160796039</v>
      </c>
      <c r="G1418" s="20" t="str">
        <f t="shared" si="66"/>
        <v xml:space="preserve"> ANSES/RONDES    </v>
      </c>
      <c r="H1418" s="20" t="str">
        <f t="shared" si="67"/>
        <v>GOICE</v>
      </c>
      <c r="I1418" s="20" t="str">
        <f t="shared" si="68"/>
        <v xml:space="preserve">L    </v>
      </c>
    </row>
    <row r="1419" spans="1:9">
      <c r="A1419" s="17" t="s">
        <v>1058</v>
      </c>
      <c r="B1419" s="17" t="s">
        <v>835</v>
      </c>
      <c r="C1419" s="17" t="s">
        <v>802</v>
      </c>
      <c r="D1419" s="17" t="s">
        <v>801</v>
      </c>
      <c r="E1419" s="18">
        <v>3004160796022</v>
      </c>
      <c r="G1419" s="20" t="str">
        <f t="shared" si="66"/>
        <v xml:space="preserve"> ANSES/RONDES    </v>
      </c>
      <c r="H1419" s="20" t="str">
        <f t="shared" si="67"/>
        <v>GOICE</v>
      </c>
      <c r="I1419" s="20" t="str">
        <f t="shared" si="68"/>
        <v xml:space="preserve">M    </v>
      </c>
    </row>
    <row r="1420" spans="1:9">
      <c r="A1420" s="17" t="s">
        <v>1058</v>
      </c>
      <c r="B1420" s="17" t="s">
        <v>835</v>
      </c>
      <c r="C1420" s="17" t="s">
        <v>803</v>
      </c>
      <c r="D1420" s="17" t="s">
        <v>801</v>
      </c>
      <c r="E1420" s="18">
        <v>3004160796015</v>
      </c>
      <c r="G1420" s="20" t="str">
        <f t="shared" si="66"/>
        <v xml:space="preserve"> ANSES/RONDES    </v>
      </c>
      <c r="H1420" s="20" t="str">
        <f t="shared" si="67"/>
        <v>GOICE</v>
      </c>
      <c r="I1420" s="20" t="str">
        <f t="shared" si="68"/>
        <v xml:space="preserve">S    </v>
      </c>
    </row>
    <row r="1421" spans="1:9">
      <c r="A1421" s="17" t="s">
        <v>1058</v>
      </c>
      <c r="B1421" s="17" t="s">
        <v>835</v>
      </c>
      <c r="C1421" s="17" t="s">
        <v>804</v>
      </c>
      <c r="D1421" s="17" t="s">
        <v>801</v>
      </c>
      <c r="E1421" s="18">
        <v>3004160796046</v>
      </c>
      <c r="G1421" s="20" t="str">
        <f t="shared" si="66"/>
        <v xml:space="preserve"> ANSES/RONDES    </v>
      </c>
      <c r="H1421" s="20" t="str">
        <f t="shared" si="67"/>
        <v>GOICE</v>
      </c>
      <c r="I1421" s="20" t="str">
        <f t="shared" si="68"/>
        <v xml:space="preserve">XL   </v>
      </c>
    </row>
    <row r="1422" spans="1:9">
      <c r="A1422" s="17" t="s">
        <v>1058</v>
      </c>
      <c r="B1422" s="17" t="s">
        <v>835</v>
      </c>
      <c r="C1422" s="17" t="s">
        <v>805</v>
      </c>
      <c r="D1422" s="17" t="s">
        <v>801</v>
      </c>
      <c r="E1422" s="18">
        <v>3004160796008</v>
      </c>
      <c r="G1422" s="20" t="str">
        <f t="shared" si="66"/>
        <v xml:space="preserve"> ANSES/RONDES    </v>
      </c>
      <c r="H1422" s="20" t="str">
        <f t="shared" si="67"/>
        <v>GOICE</v>
      </c>
      <c r="I1422" s="20" t="str">
        <f t="shared" si="68"/>
        <v xml:space="preserve">XS   </v>
      </c>
    </row>
    <row r="1423" spans="1:9">
      <c r="A1423" s="17" t="s">
        <v>1058</v>
      </c>
      <c r="B1423" s="17" t="s">
        <v>836</v>
      </c>
      <c r="C1423" s="17" t="s">
        <v>800</v>
      </c>
      <c r="D1423" s="17" t="s">
        <v>801</v>
      </c>
      <c r="E1423" s="18">
        <v>3004160795032</v>
      </c>
      <c r="G1423" s="20" t="str">
        <f t="shared" si="66"/>
        <v xml:space="preserve"> ANSES/RONDES    </v>
      </c>
      <c r="H1423" s="20" t="str">
        <f t="shared" si="67"/>
        <v>GOIRI</v>
      </c>
      <c r="I1423" s="20" t="str">
        <f t="shared" si="68"/>
        <v xml:space="preserve">L    </v>
      </c>
    </row>
    <row r="1424" spans="1:9">
      <c r="A1424" s="17" t="s">
        <v>1058</v>
      </c>
      <c r="B1424" s="17" t="s">
        <v>836</v>
      </c>
      <c r="C1424" s="17" t="s">
        <v>802</v>
      </c>
      <c r="D1424" s="17" t="s">
        <v>801</v>
      </c>
      <c r="E1424" s="18">
        <v>3004160795025</v>
      </c>
      <c r="G1424" s="20" t="str">
        <f t="shared" si="66"/>
        <v xml:space="preserve"> ANSES/RONDES    </v>
      </c>
      <c r="H1424" s="20" t="str">
        <f t="shared" si="67"/>
        <v>GOIRI</v>
      </c>
      <c r="I1424" s="20" t="str">
        <f t="shared" si="68"/>
        <v xml:space="preserve">M    </v>
      </c>
    </row>
    <row r="1425" spans="1:9">
      <c r="A1425" s="17" t="s">
        <v>1058</v>
      </c>
      <c r="B1425" s="17" t="s">
        <v>836</v>
      </c>
      <c r="C1425" s="17" t="s">
        <v>803</v>
      </c>
      <c r="D1425" s="17" t="s">
        <v>801</v>
      </c>
      <c r="E1425" s="18">
        <v>3004160795018</v>
      </c>
      <c r="G1425" s="20" t="str">
        <f t="shared" si="66"/>
        <v xml:space="preserve"> ANSES/RONDES    </v>
      </c>
      <c r="H1425" s="20" t="str">
        <f t="shared" si="67"/>
        <v>GOIRI</v>
      </c>
      <c r="I1425" s="20" t="str">
        <f t="shared" si="68"/>
        <v xml:space="preserve">S    </v>
      </c>
    </row>
    <row r="1426" spans="1:9">
      <c r="A1426" s="17" t="s">
        <v>1058</v>
      </c>
      <c r="B1426" s="17" t="s">
        <v>836</v>
      </c>
      <c r="C1426" s="17" t="s">
        <v>804</v>
      </c>
      <c r="D1426" s="17" t="s">
        <v>801</v>
      </c>
      <c r="E1426" s="18">
        <v>3004160795049</v>
      </c>
      <c r="G1426" s="20" t="str">
        <f t="shared" si="66"/>
        <v xml:space="preserve"> ANSES/RONDES    </v>
      </c>
      <c r="H1426" s="20" t="str">
        <f t="shared" si="67"/>
        <v>GOIRI</v>
      </c>
      <c r="I1426" s="20" t="str">
        <f t="shared" si="68"/>
        <v xml:space="preserve">XL   </v>
      </c>
    </row>
    <row r="1427" spans="1:9">
      <c r="A1427" s="17" t="s">
        <v>1058</v>
      </c>
      <c r="B1427" s="17" t="s">
        <v>836</v>
      </c>
      <c r="C1427" s="17" t="s">
        <v>805</v>
      </c>
      <c r="D1427" s="17" t="s">
        <v>801</v>
      </c>
      <c r="E1427" s="18">
        <v>3004160795001</v>
      </c>
      <c r="G1427" s="20" t="str">
        <f t="shared" si="66"/>
        <v xml:space="preserve"> ANSES/RONDES    </v>
      </c>
      <c r="H1427" s="20" t="str">
        <f t="shared" si="67"/>
        <v>GOIRI</v>
      </c>
      <c r="I1427" s="20" t="str">
        <f t="shared" si="68"/>
        <v xml:space="preserve">XS   </v>
      </c>
    </row>
    <row r="1428" spans="1:9">
      <c r="A1428" s="17" t="s">
        <v>1058</v>
      </c>
      <c r="B1428" s="17" t="s">
        <v>1000</v>
      </c>
      <c r="C1428" s="17" t="s">
        <v>800</v>
      </c>
      <c r="D1428" s="17" t="s">
        <v>801</v>
      </c>
      <c r="E1428" s="18">
        <v>3004160805038</v>
      </c>
      <c r="G1428" s="20" t="str">
        <f t="shared" si="66"/>
        <v xml:space="preserve"> ANSES/RONDES    </v>
      </c>
      <c r="H1428" s="20" t="str">
        <f t="shared" si="67"/>
        <v>GOLIM</v>
      </c>
      <c r="I1428" s="20" t="str">
        <f t="shared" si="68"/>
        <v xml:space="preserve">L    </v>
      </c>
    </row>
    <row r="1429" spans="1:9">
      <c r="A1429" s="17" t="s">
        <v>1058</v>
      </c>
      <c r="B1429" s="17" t="s">
        <v>1000</v>
      </c>
      <c r="C1429" s="17" t="s">
        <v>802</v>
      </c>
      <c r="D1429" s="17" t="s">
        <v>801</v>
      </c>
      <c r="E1429" s="18">
        <v>3004160805021</v>
      </c>
      <c r="G1429" s="20" t="str">
        <f t="shared" si="66"/>
        <v xml:space="preserve"> ANSES/RONDES    </v>
      </c>
      <c r="H1429" s="20" t="str">
        <f t="shared" si="67"/>
        <v>GOLIM</v>
      </c>
      <c r="I1429" s="20" t="str">
        <f t="shared" si="68"/>
        <v xml:space="preserve">M    </v>
      </c>
    </row>
    <row r="1430" spans="1:9">
      <c r="A1430" s="17" t="s">
        <v>1058</v>
      </c>
      <c r="B1430" s="17" t="s">
        <v>1000</v>
      </c>
      <c r="C1430" s="17" t="s">
        <v>803</v>
      </c>
      <c r="D1430" s="17" t="s">
        <v>801</v>
      </c>
      <c r="E1430" s="18">
        <v>3004160805014</v>
      </c>
      <c r="G1430" s="20" t="str">
        <f t="shared" si="66"/>
        <v xml:space="preserve"> ANSES/RONDES    </v>
      </c>
      <c r="H1430" s="20" t="str">
        <f t="shared" si="67"/>
        <v>GOLIM</v>
      </c>
      <c r="I1430" s="20" t="str">
        <f t="shared" si="68"/>
        <v xml:space="preserve">S    </v>
      </c>
    </row>
    <row r="1431" spans="1:9">
      <c r="A1431" s="17" t="s">
        <v>1058</v>
      </c>
      <c r="B1431" s="17" t="s">
        <v>1000</v>
      </c>
      <c r="C1431" s="17" t="s">
        <v>804</v>
      </c>
      <c r="D1431" s="17" t="s">
        <v>801</v>
      </c>
      <c r="E1431" s="18">
        <v>3004160805045</v>
      </c>
      <c r="G1431" s="20" t="str">
        <f t="shared" si="66"/>
        <v xml:space="preserve"> ANSES/RONDES    </v>
      </c>
      <c r="H1431" s="20" t="str">
        <f t="shared" si="67"/>
        <v>GOLIM</v>
      </c>
      <c r="I1431" s="20" t="str">
        <f t="shared" si="68"/>
        <v xml:space="preserve">XL   </v>
      </c>
    </row>
    <row r="1432" spans="1:9">
      <c r="A1432" s="17" t="s">
        <v>1058</v>
      </c>
      <c r="B1432" s="17" t="s">
        <v>1000</v>
      </c>
      <c r="C1432" s="17" t="s">
        <v>805</v>
      </c>
      <c r="D1432" s="17" t="s">
        <v>801</v>
      </c>
      <c r="E1432" s="18">
        <v>3004160805007</v>
      </c>
      <c r="G1432" s="20" t="str">
        <f t="shared" si="66"/>
        <v xml:space="preserve"> ANSES/RONDES    </v>
      </c>
      <c r="H1432" s="20" t="str">
        <f t="shared" si="67"/>
        <v>GOLIM</v>
      </c>
      <c r="I1432" s="20" t="str">
        <f t="shared" si="68"/>
        <v xml:space="preserve">XS   </v>
      </c>
    </row>
    <row r="1433" spans="1:9">
      <c r="A1433" s="17" t="s">
        <v>1058</v>
      </c>
      <c r="B1433" s="17" t="s">
        <v>837</v>
      </c>
      <c r="C1433" s="17" t="s">
        <v>800</v>
      </c>
      <c r="D1433" s="17" t="s">
        <v>801</v>
      </c>
      <c r="E1433" s="18">
        <v>3004160800033</v>
      </c>
      <c r="G1433" s="20" t="str">
        <f t="shared" si="66"/>
        <v xml:space="preserve"> ANSES/RONDES    </v>
      </c>
      <c r="H1433" s="20" t="str">
        <f t="shared" si="67"/>
        <v>GOMAG</v>
      </c>
      <c r="I1433" s="20" t="str">
        <f t="shared" si="68"/>
        <v xml:space="preserve">L    </v>
      </c>
    </row>
    <row r="1434" spans="1:9">
      <c r="A1434" s="17" t="s">
        <v>1058</v>
      </c>
      <c r="B1434" s="17" t="s">
        <v>837</v>
      </c>
      <c r="C1434" s="17" t="s">
        <v>802</v>
      </c>
      <c r="D1434" s="17" t="s">
        <v>801</v>
      </c>
      <c r="E1434" s="18">
        <v>3004160800026</v>
      </c>
      <c r="G1434" s="20" t="str">
        <f t="shared" si="66"/>
        <v xml:space="preserve"> ANSES/RONDES    </v>
      </c>
      <c r="H1434" s="20" t="str">
        <f t="shared" si="67"/>
        <v>GOMAG</v>
      </c>
      <c r="I1434" s="20" t="str">
        <f t="shared" si="68"/>
        <v xml:space="preserve">M    </v>
      </c>
    </row>
    <row r="1435" spans="1:9">
      <c r="A1435" s="17" t="s">
        <v>1058</v>
      </c>
      <c r="B1435" s="17" t="s">
        <v>837</v>
      </c>
      <c r="C1435" s="17" t="s">
        <v>803</v>
      </c>
      <c r="D1435" s="17" t="s">
        <v>801</v>
      </c>
      <c r="E1435" s="18">
        <v>3004160800019</v>
      </c>
      <c r="G1435" s="20" t="str">
        <f t="shared" si="66"/>
        <v xml:space="preserve"> ANSES/RONDES    </v>
      </c>
      <c r="H1435" s="20" t="str">
        <f t="shared" si="67"/>
        <v>GOMAG</v>
      </c>
      <c r="I1435" s="20" t="str">
        <f t="shared" si="68"/>
        <v xml:space="preserve">S    </v>
      </c>
    </row>
    <row r="1436" spans="1:9">
      <c r="A1436" s="17" t="s">
        <v>1058</v>
      </c>
      <c r="B1436" s="17" t="s">
        <v>837</v>
      </c>
      <c r="C1436" s="17" t="s">
        <v>804</v>
      </c>
      <c r="D1436" s="17" t="s">
        <v>801</v>
      </c>
      <c r="E1436" s="18">
        <v>3004160800040</v>
      </c>
      <c r="G1436" s="20" t="str">
        <f t="shared" si="66"/>
        <v xml:space="preserve"> ANSES/RONDES    </v>
      </c>
      <c r="H1436" s="20" t="str">
        <f t="shared" si="67"/>
        <v>GOMAG</v>
      </c>
      <c r="I1436" s="20" t="str">
        <f t="shared" si="68"/>
        <v xml:space="preserve">XL   </v>
      </c>
    </row>
    <row r="1437" spans="1:9">
      <c r="A1437" s="17" t="s">
        <v>1058</v>
      </c>
      <c r="B1437" s="17" t="s">
        <v>837</v>
      </c>
      <c r="C1437" s="17" t="s">
        <v>805</v>
      </c>
      <c r="D1437" s="17" t="s">
        <v>801</v>
      </c>
      <c r="E1437" s="18">
        <v>3004160800002</v>
      </c>
      <c r="G1437" s="20" t="str">
        <f t="shared" si="66"/>
        <v xml:space="preserve"> ANSES/RONDES    </v>
      </c>
      <c r="H1437" s="20" t="str">
        <f t="shared" si="67"/>
        <v>GOMAG</v>
      </c>
      <c r="I1437" s="20" t="str">
        <f t="shared" si="68"/>
        <v xml:space="preserve">XS   </v>
      </c>
    </row>
    <row r="1438" spans="1:9">
      <c r="A1438" s="17" t="s">
        <v>1058</v>
      </c>
      <c r="B1438" s="17" t="s">
        <v>1001</v>
      </c>
      <c r="C1438" s="17" t="s">
        <v>800</v>
      </c>
      <c r="D1438" s="17" t="s">
        <v>801</v>
      </c>
      <c r="E1438" s="18">
        <v>3004160804031</v>
      </c>
      <c r="G1438" s="20" t="str">
        <f t="shared" si="66"/>
        <v xml:space="preserve"> ANSES/RONDES    </v>
      </c>
      <c r="H1438" s="20" t="str">
        <f t="shared" si="67"/>
        <v>GOPAP</v>
      </c>
      <c r="I1438" s="20" t="str">
        <f t="shared" si="68"/>
        <v xml:space="preserve">L    </v>
      </c>
    </row>
    <row r="1439" spans="1:9">
      <c r="A1439" s="17" t="s">
        <v>1058</v>
      </c>
      <c r="B1439" s="17" t="s">
        <v>1001</v>
      </c>
      <c r="C1439" s="17" t="s">
        <v>802</v>
      </c>
      <c r="D1439" s="17" t="s">
        <v>801</v>
      </c>
      <c r="E1439" s="18">
        <v>3004160804024</v>
      </c>
      <c r="G1439" s="20" t="str">
        <f t="shared" si="66"/>
        <v xml:space="preserve"> ANSES/RONDES    </v>
      </c>
      <c r="H1439" s="20" t="str">
        <f t="shared" si="67"/>
        <v>GOPAP</v>
      </c>
      <c r="I1439" s="20" t="str">
        <f t="shared" si="68"/>
        <v xml:space="preserve">M    </v>
      </c>
    </row>
    <row r="1440" spans="1:9">
      <c r="A1440" s="17" t="s">
        <v>1058</v>
      </c>
      <c r="B1440" s="17" t="s">
        <v>1001</v>
      </c>
      <c r="C1440" s="17" t="s">
        <v>803</v>
      </c>
      <c r="D1440" s="17" t="s">
        <v>801</v>
      </c>
      <c r="E1440" s="18">
        <v>3004160804017</v>
      </c>
      <c r="G1440" s="20" t="str">
        <f t="shared" si="66"/>
        <v xml:space="preserve"> ANSES/RONDES    </v>
      </c>
      <c r="H1440" s="20" t="str">
        <f t="shared" si="67"/>
        <v>GOPAP</v>
      </c>
      <c r="I1440" s="20" t="str">
        <f t="shared" si="68"/>
        <v xml:space="preserve">S    </v>
      </c>
    </row>
    <row r="1441" spans="1:9">
      <c r="A1441" s="17" t="s">
        <v>1058</v>
      </c>
      <c r="B1441" s="17" t="s">
        <v>1001</v>
      </c>
      <c r="C1441" s="17" t="s">
        <v>804</v>
      </c>
      <c r="D1441" s="17" t="s">
        <v>801</v>
      </c>
      <c r="E1441" s="18">
        <v>3004160804048</v>
      </c>
      <c r="G1441" s="20" t="str">
        <f t="shared" si="66"/>
        <v xml:space="preserve"> ANSES/RONDES    </v>
      </c>
      <c r="H1441" s="20" t="str">
        <f t="shared" si="67"/>
        <v>GOPAP</v>
      </c>
      <c r="I1441" s="20" t="str">
        <f t="shared" si="68"/>
        <v xml:space="preserve">XL   </v>
      </c>
    </row>
    <row r="1442" spans="1:9">
      <c r="A1442" s="17" t="s">
        <v>1058</v>
      </c>
      <c r="B1442" s="17" t="s">
        <v>1001</v>
      </c>
      <c r="C1442" s="17" t="s">
        <v>805</v>
      </c>
      <c r="D1442" s="17" t="s">
        <v>801</v>
      </c>
      <c r="E1442" s="18">
        <v>3004160804000</v>
      </c>
      <c r="G1442" s="20" t="str">
        <f t="shared" si="66"/>
        <v xml:space="preserve"> ANSES/RONDES    </v>
      </c>
      <c r="H1442" s="20" t="str">
        <f t="shared" si="67"/>
        <v>GOPAP</v>
      </c>
      <c r="I1442" s="20" t="str">
        <f t="shared" si="68"/>
        <v xml:space="preserve">XS   </v>
      </c>
    </row>
    <row r="1443" spans="1:9">
      <c r="A1443" s="17" t="s">
        <v>1058</v>
      </c>
      <c r="B1443" s="17" t="s">
        <v>1065</v>
      </c>
      <c r="C1443" s="17" t="s">
        <v>800</v>
      </c>
      <c r="D1443" s="17" t="s">
        <v>801</v>
      </c>
      <c r="E1443" s="18">
        <v>3004160799030</v>
      </c>
      <c r="G1443" s="20" t="str">
        <f t="shared" si="66"/>
        <v xml:space="preserve"> ANSES/RONDES    </v>
      </c>
      <c r="H1443" s="20" t="str">
        <f t="shared" si="67"/>
        <v>GOTES</v>
      </c>
      <c r="I1443" s="20" t="str">
        <f t="shared" si="68"/>
        <v xml:space="preserve">L    </v>
      </c>
    </row>
    <row r="1444" spans="1:9">
      <c r="A1444" s="17" t="s">
        <v>1058</v>
      </c>
      <c r="B1444" s="17" t="s">
        <v>1065</v>
      </c>
      <c r="C1444" s="17" t="s">
        <v>802</v>
      </c>
      <c r="D1444" s="17" t="s">
        <v>801</v>
      </c>
      <c r="E1444" s="18">
        <v>3004160799023</v>
      </c>
      <c r="G1444" s="20" t="str">
        <f t="shared" si="66"/>
        <v xml:space="preserve"> ANSES/RONDES    </v>
      </c>
      <c r="H1444" s="20" t="str">
        <f t="shared" si="67"/>
        <v>GOTES</v>
      </c>
      <c r="I1444" s="20" t="str">
        <f t="shared" si="68"/>
        <v xml:space="preserve">M    </v>
      </c>
    </row>
    <row r="1445" spans="1:9">
      <c r="A1445" s="17" t="s">
        <v>1058</v>
      </c>
      <c r="B1445" s="17" t="s">
        <v>1065</v>
      </c>
      <c r="C1445" s="17" t="s">
        <v>803</v>
      </c>
      <c r="D1445" s="17" t="s">
        <v>801</v>
      </c>
      <c r="E1445" s="18">
        <v>3004160799016</v>
      </c>
      <c r="G1445" s="20" t="str">
        <f t="shared" si="66"/>
        <v xml:space="preserve"> ANSES/RONDES    </v>
      </c>
      <c r="H1445" s="20" t="str">
        <f t="shared" si="67"/>
        <v>GOTES</v>
      </c>
      <c r="I1445" s="20" t="str">
        <f t="shared" si="68"/>
        <v xml:space="preserve">S    </v>
      </c>
    </row>
    <row r="1446" spans="1:9">
      <c r="A1446" s="17" t="s">
        <v>1058</v>
      </c>
      <c r="B1446" s="17" t="s">
        <v>1065</v>
      </c>
      <c r="C1446" s="17" t="s">
        <v>804</v>
      </c>
      <c r="D1446" s="17" t="s">
        <v>801</v>
      </c>
      <c r="E1446" s="18">
        <v>3004160799047</v>
      </c>
      <c r="G1446" s="20" t="str">
        <f t="shared" si="66"/>
        <v xml:space="preserve"> ANSES/RONDES    </v>
      </c>
      <c r="H1446" s="20" t="str">
        <f t="shared" si="67"/>
        <v>GOTES</v>
      </c>
      <c r="I1446" s="20" t="str">
        <f t="shared" si="68"/>
        <v xml:space="preserve">XL   </v>
      </c>
    </row>
    <row r="1447" spans="1:9">
      <c r="A1447" s="17" t="s">
        <v>1058</v>
      </c>
      <c r="B1447" s="17" t="s">
        <v>1065</v>
      </c>
      <c r="C1447" s="17" t="s">
        <v>805</v>
      </c>
      <c r="D1447" s="17" t="s">
        <v>801</v>
      </c>
      <c r="E1447" s="18">
        <v>3004160799009</v>
      </c>
      <c r="G1447" s="20" t="str">
        <f t="shared" si="66"/>
        <v xml:space="preserve"> ANSES/RONDES    </v>
      </c>
      <c r="H1447" s="20" t="str">
        <f t="shared" si="67"/>
        <v>GOTES</v>
      </c>
      <c r="I1447" s="20" t="str">
        <f t="shared" si="68"/>
        <v xml:space="preserve">XS   </v>
      </c>
    </row>
    <row r="1448" spans="1:9">
      <c r="A1448" s="17" t="s">
        <v>1058</v>
      </c>
      <c r="B1448" s="17" t="s">
        <v>838</v>
      </c>
      <c r="C1448" s="17" t="s">
        <v>800</v>
      </c>
      <c r="D1448" s="17" t="s">
        <v>801</v>
      </c>
      <c r="E1448" s="18">
        <v>3004160497035</v>
      </c>
      <c r="G1448" s="20" t="str">
        <f t="shared" si="66"/>
        <v xml:space="preserve"> ANSES/RONDES    </v>
      </c>
      <c r="H1448" s="20" t="str">
        <f t="shared" si="67"/>
        <v>IVOIR</v>
      </c>
      <c r="I1448" s="20" t="str">
        <f t="shared" si="68"/>
        <v xml:space="preserve">L    </v>
      </c>
    </row>
    <row r="1449" spans="1:9">
      <c r="A1449" s="17" t="s">
        <v>1058</v>
      </c>
      <c r="B1449" s="17" t="s">
        <v>838</v>
      </c>
      <c r="C1449" s="17" t="s">
        <v>802</v>
      </c>
      <c r="D1449" s="17" t="s">
        <v>801</v>
      </c>
      <c r="E1449" s="18">
        <v>3004160497028</v>
      </c>
      <c r="G1449" s="20" t="str">
        <f t="shared" si="66"/>
        <v xml:space="preserve"> ANSES/RONDES    </v>
      </c>
      <c r="H1449" s="20" t="str">
        <f t="shared" si="67"/>
        <v>IVOIR</v>
      </c>
      <c r="I1449" s="20" t="str">
        <f t="shared" si="68"/>
        <v xml:space="preserve">M    </v>
      </c>
    </row>
    <row r="1450" spans="1:9">
      <c r="A1450" s="17" t="s">
        <v>1058</v>
      </c>
      <c r="B1450" s="17" t="s">
        <v>838</v>
      </c>
      <c r="C1450" s="17" t="s">
        <v>803</v>
      </c>
      <c r="D1450" s="17" t="s">
        <v>801</v>
      </c>
      <c r="E1450" s="18">
        <v>3004160497011</v>
      </c>
      <c r="G1450" s="20" t="str">
        <f t="shared" si="66"/>
        <v xml:space="preserve"> ANSES/RONDES    </v>
      </c>
      <c r="H1450" s="20" t="str">
        <f t="shared" si="67"/>
        <v>IVOIR</v>
      </c>
      <c r="I1450" s="20" t="str">
        <f t="shared" si="68"/>
        <v xml:space="preserve">S    </v>
      </c>
    </row>
    <row r="1451" spans="1:9">
      <c r="A1451" s="17" t="s">
        <v>1058</v>
      </c>
      <c r="B1451" s="17" t="s">
        <v>838</v>
      </c>
      <c r="C1451" s="17" t="s">
        <v>804</v>
      </c>
      <c r="D1451" s="17" t="s">
        <v>801</v>
      </c>
      <c r="E1451" s="18">
        <v>3004160497042</v>
      </c>
      <c r="G1451" s="20" t="str">
        <f t="shared" si="66"/>
        <v xml:space="preserve"> ANSES/RONDES    </v>
      </c>
      <c r="H1451" s="20" t="str">
        <f t="shared" si="67"/>
        <v>IVOIR</v>
      </c>
      <c r="I1451" s="20" t="str">
        <f t="shared" si="68"/>
        <v xml:space="preserve">XL   </v>
      </c>
    </row>
    <row r="1452" spans="1:9">
      <c r="A1452" s="17" t="s">
        <v>1058</v>
      </c>
      <c r="B1452" s="17" t="s">
        <v>838</v>
      </c>
      <c r="C1452" s="17" t="s">
        <v>805</v>
      </c>
      <c r="D1452" s="17" t="s">
        <v>801</v>
      </c>
      <c r="E1452" s="18">
        <v>3004160497004</v>
      </c>
      <c r="G1452" s="20" t="str">
        <f t="shared" si="66"/>
        <v xml:space="preserve"> ANSES/RONDES    </v>
      </c>
      <c r="H1452" s="20" t="str">
        <f t="shared" si="67"/>
        <v>IVOIR</v>
      </c>
      <c r="I1452" s="20" t="str">
        <f t="shared" si="68"/>
        <v xml:space="preserve">XS   </v>
      </c>
    </row>
    <row r="1453" spans="1:9">
      <c r="A1453" s="17" t="s">
        <v>1058</v>
      </c>
      <c r="B1453" s="17" t="s">
        <v>1066</v>
      </c>
      <c r="C1453" s="17" t="s">
        <v>800</v>
      </c>
      <c r="D1453" s="17" t="s">
        <v>801</v>
      </c>
      <c r="E1453" s="18">
        <v>3004161088034</v>
      </c>
      <c r="G1453" s="20" t="str">
        <f t="shared" si="66"/>
        <v xml:space="preserve"> ANSES/RONDES    </v>
      </c>
      <c r="H1453" s="20" t="str">
        <f t="shared" si="67"/>
        <v>MIBLU</v>
      </c>
      <c r="I1453" s="20" t="str">
        <f t="shared" si="68"/>
        <v xml:space="preserve">L    </v>
      </c>
    </row>
    <row r="1454" spans="1:9">
      <c r="A1454" s="17" t="s">
        <v>1058</v>
      </c>
      <c r="B1454" s="17" t="s">
        <v>1066</v>
      </c>
      <c r="C1454" s="17" t="s">
        <v>800</v>
      </c>
      <c r="D1454" s="17" t="s">
        <v>801</v>
      </c>
      <c r="E1454" s="18">
        <v>8056095063781</v>
      </c>
      <c r="G1454" s="20" t="str">
        <f t="shared" si="66"/>
        <v xml:space="preserve"> ANSES/RONDES    </v>
      </c>
      <c r="H1454" s="20" t="str">
        <f t="shared" si="67"/>
        <v>MIBLU</v>
      </c>
      <c r="I1454" s="20" t="str">
        <f t="shared" si="68"/>
        <v xml:space="preserve">L    </v>
      </c>
    </row>
    <row r="1455" spans="1:9">
      <c r="A1455" s="17" t="s">
        <v>1058</v>
      </c>
      <c r="B1455" s="17" t="s">
        <v>1066</v>
      </c>
      <c r="C1455" s="17" t="s">
        <v>802</v>
      </c>
      <c r="D1455" s="17" t="s">
        <v>801</v>
      </c>
      <c r="E1455" s="18">
        <v>3004161088027</v>
      </c>
      <c r="G1455" s="20" t="str">
        <f t="shared" si="66"/>
        <v xml:space="preserve"> ANSES/RONDES    </v>
      </c>
      <c r="H1455" s="20" t="str">
        <f t="shared" si="67"/>
        <v>MIBLU</v>
      </c>
      <c r="I1455" s="20" t="str">
        <f t="shared" si="68"/>
        <v xml:space="preserve">M    </v>
      </c>
    </row>
    <row r="1456" spans="1:9">
      <c r="A1456" s="17" t="s">
        <v>1058</v>
      </c>
      <c r="B1456" s="17" t="s">
        <v>1066</v>
      </c>
      <c r="C1456" s="17" t="s">
        <v>803</v>
      </c>
      <c r="D1456" s="17" t="s">
        <v>801</v>
      </c>
      <c r="E1456" s="18">
        <v>3004161088010</v>
      </c>
      <c r="G1456" s="20" t="str">
        <f t="shared" si="66"/>
        <v xml:space="preserve"> ANSES/RONDES    </v>
      </c>
      <c r="H1456" s="20" t="str">
        <f t="shared" si="67"/>
        <v>MIBLU</v>
      </c>
      <c r="I1456" s="20" t="str">
        <f t="shared" si="68"/>
        <v xml:space="preserve">S    </v>
      </c>
    </row>
    <row r="1457" spans="1:9">
      <c r="A1457" s="17" t="s">
        <v>1058</v>
      </c>
      <c r="B1457" s="17" t="s">
        <v>1066</v>
      </c>
      <c r="C1457" s="17" t="s">
        <v>804</v>
      </c>
      <c r="D1457" s="17" t="s">
        <v>801</v>
      </c>
      <c r="E1457" s="18">
        <v>3004161088041</v>
      </c>
      <c r="G1457" s="20" t="str">
        <f t="shared" si="66"/>
        <v xml:space="preserve"> ANSES/RONDES    </v>
      </c>
      <c r="H1457" s="20" t="str">
        <f t="shared" si="67"/>
        <v>MIBLU</v>
      </c>
      <c r="I1457" s="20" t="str">
        <f t="shared" si="68"/>
        <v xml:space="preserve">XL   </v>
      </c>
    </row>
    <row r="1458" spans="1:9">
      <c r="A1458" s="17" t="s">
        <v>1058</v>
      </c>
      <c r="B1458" s="17" t="s">
        <v>1066</v>
      </c>
      <c r="C1458" s="17" t="s">
        <v>805</v>
      </c>
      <c r="D1458" s="17" t="s">
        <v>801</v>
      </c>
      <c r="E1458" s="18">
        <v>3004161088003</v>
      </c>
      <c r="G1458" s="20" t="str">
        <f t="shared" si="66"/>
        <v xml:space="preserve"> ANSES/RONDES    </v>
      </c>
      <c r="H1458" s="20" t="str">
        <f t="shared" si="67"/>
        <v>MIBLU</v>
      </c>
      <c r="I1458" s="20" t="str">
        <f t="shared" si="68"/>
        <v xml:space="preserve">XS   </v>
      </c>
    </row>
    <row r="1459" spans="1:9">
      <c r="A1459" s="17" t="s">
        <v>1058</v>
      </c>
      <c r="B1459" s="17" t="s">
        <v>1067</v>
      </c>
      <c r="C1459" s="17" t="s">
        <v>800</v>
      </c>
      <c r="D1459" s="17" t="s">
        <v>801</v>
      </c>
      <c r="E1459" s="18">
        <v>3004161089031</v>
      </c>
      <c r="G1459" s="20" t="str">
        <f t="shared" si="66"/>
        <v xml:space="preserve"> ANSES/RONDES    </v>
      </c>
      <c r="H1459" s="20" t="str">
        <f t="shared" si="67"/>
        <v>MISAL</v>
      </c>
      <c r="I1459" s="20" t="str">
        <f t="shared" si="68"/>
        <v xml:space="preserve">L    </v>
      </c>
    </row>
    <row r="1460" spans="1:9">
      <c r="A1460" s="17" t="s">
        <v>1058</v>
      </c>
      <c r="B1460" s="17" t="s">
        <v>1067</v>
      </c>
      <c r="C1460" s="17" t="s">
        <v>800</v>
      </c>
      <c r="D1460" s="17" t="s">
        <v>801</v>
      </c>
      <c r="E1460" s="18">
        <v>8056095063798</v>
      </c>
      <c r="G1460" s="20" t="str">
        <f t="shared" si="66"/>
        <v xml:space="preserve"> ANSES/RONDES    </v>
      </c>
      <c r="H1460" s="20" t="str">
        <f t="shared" si="67"/>
        <v>MISAL</v>
      </c>
      <c r="I1460" s="20" t="str">
        <f t="shared" si="68"/>
        <v xml:space="preserve">L    </v>
      </c>
    </row>
    <row r="1461" spans="1:9">
      <c r="A1461" s="17" t="s">
        <v>1058</v>
      </c>
      <c r="B1461" s="17" t="s">
        <v>1067</v>
      </c>
      <c r="C1461" s="17" t="s">
        <v>802</v>
      </c>
      <c r="D1461" s="17" t="s">
        <v>801</v>
      </c>
      <c r="E1461" s="18">
        <v>3004161089024</v>
      </c>
      <c r="G1461" s="20" t="str">
        <f t="shared" si="66"/>
        <v xml:space="preserve"> ANSES/RONDES    </v>
      </c>
      <c r="H1461" s="20" t="str">
        <f t="shared" si="67"/>
        <v>MISAL</v>
      </c>
      <c r="I1461" s="20" t="str">
        <f t="shared" si="68"/>
        <v xml:space="preserve">M    </v>
      </c>
    </row>
    <row r="1462" spans="1:9">
      <c r="A1462" s="17" t="s">
        <v>1058</v>
      </c>
      <c r="B1462" s="17" t="s">
        <v>1067</v>
      </c>
      <c r="C1462" s="17" t="s">
        <v>803</v>
      </c>
      <c r="D1462" s="17" t="s">
        <v>801</v>
      </c>
      <c r="E1462" s="18">
        <v>3004161089017</v>
      </c>
      <c r="G1462" s="20" t="str">
        <f t="shared" si="66"/>
        <v xml:space="preserve"> ANSES/RONDES    </v>
      </c>
      <c r="H1462" s="20" t="str">
        <f t="shared" si="67"/>
        <v>MISAL</v>
      </c>
      <c r="I1462" s="20" t="str">
        <f t="shared" si="68"/>
        <v xml:space="preserve">S    </v>
      </c>
    </row>
    <row r="1463" spans="1:9">
      <c r="A1463" s="17" t="s">
        <v>1058</v>
      </c>
      <c r="B1463" s="17" t="s">
        <v>1067</v>
      </c>
      <c r="C1463" s="17" t="s">
        <v>804</v>
      </c>
      <c r="D1463" s="17" t="s">
        <v>801</v>
      </c>
      <c r="E1463" s="18">
        <v>3004161089048</v>
      </c>
      <c r="G1463" s="20" t="str">
        <f t="shared" si="66"/>
        <v xml:space="preserve"> ANSES/RONDES    </v>
      </c>
      <c r="H1463" s="20" t="str">
        <f t="shared" si="67"/>
        <v>MISAL</v>
      </c>
      <c r="I1463" s="20" t="str">
        <f t="shared" si="68"/>
        <v xml:space="preserve">XL   </v>
      </c>
    </row>
    <row r="1464" spans="1:9">
      <c r="A1464" s="17" t="s">
        <v>1058</v>
      </c>
      <c r="B1464" s="17" t="s">
        <v>1067</v>
      </c>
      <c r="C1464" s="17" t="s">
        <v>805</v>
      </c>
      <c r="D1464" s="17" t="s">
        <v>801</v>
      </c>
      <c r="E1464" s="18">
        <v>3004161089000</v>
      </c>
      <c r="G1464" s="20" t="str">
        <f t="shared" si="66"/>
        <v xml:space="preserve"> ANSES/RONDES    </v>
      </c>
      <c r="H1464" s="20" t="str">
        <f t="shared" si="67"/>
        <v>MISAL</v>
      </c>
      <c r="I1464" s="20" t="str">
        <f t="shared" si="68"/>
        <v xml:space="preserve">XS   </v>
      </c>
    </row>
    <row r="1465" spans="1:9">
      <c r="A1465" s="17" t="s">
        <v>1058</v>
      </c>
      <c r="B1465" s="17" t="s">
        <v>1068</v>
      </c>
      <c r="C1465" s="17" t="s">
        <v>800</v>
      </c>
      <c r="D1465" s="17" t="s">
        <v>801</v>
      </c>
      <c r="E1465" s="18">
        <v>3004161091034</v>
      </c>
      <c r="G1465" s="20" t="str">
        <f t="shared" si="66"/>
        <v xml:space="preserve"> ANSES/RONDES    </v>
      </c>
      <c r="H1465" s="20" t="str">
        <f t="shared" si="67"/>
        <v>MITOR</v>
      </c>
      <c r="I1465" s="20" t="str">
        <f t="shared" si="68"/>
        <v xml:space="preserve">L    </v>
      </c>
    </row>
    <row r="1466" spans="1:9">
      <c r="A1466" s="17" t="s">
        <v>1058</v>
      </c>
      <c r="B1466" s="17" t="s">
        <v>1068</v>
      </c>
      <c r="C1466" s="17" t="s">
        <v>800</v>
      </c>
      <c r="D1466" s="17" t="s">
        <v>801</v>
      </c>
      <c r="E1466" s="18">
        <v>8056095063811</v>
      </c>
      <c r="G1466" s="20" t="str">
        <f t="shared" si="66"/>
        <v xml:space="preserve"> ANSES/RONDES    </v>
      </c>
      <c r="H1466" s="20" t="str">
        <f t="shared" si="67"/>
        <v>MITOR</v>
      </c>
      <c r="I1466" s="20" t="str">
        <f t="shared" si="68"/>
        <v xml:space="preserve">L    </v>
      </c>
    </row>
    <row r="1467" spans="1:9">
      <c r="A1467" s="17" t="s">
        <v>1058</v>
      </c>
      <c r="B1467" s="17" t="s">
        <v>1068</v>
      </c>
      <c r="C1467" s="17" t="s">
        <v>802</v>
      </c>
      <c r="D1467" s="17" t="s">
        <v>801</v>
      </c>
      <c r="E1467" s="18">
        <v>3004161091027</v>
      </c>
      <c r="G1467" s="20" t="str">
        <f t="shared" si="66"/>
        <v xml:space="preserve"> ANSES/RONDES    </v>
      </c>
      <c r="H1467" s="20" t="str">
        <f t="shared" si="67"/>
        <v>MITOR</v>
      </c>
      <c r="I1467" s="20" t="str">
        <f t="shared" si="68"/>
        <v xml:space="preserve">M    </v>
      </c>
    </row>
    <row r="1468" spans="1:9">
      <c r="A1468" s="17" t="s">
        <v>1058</v>
      </c>
      <c r="B1468" s="17" t="s">
        <v>1068</v>
      </c>
      <c r="C1468" s="17" t="s">
        <v>803</v>
      </c>
      <c r="D1468" s="17" t="s">
        <v>801</v>
      </c>
      <c r="E1468" s="18">
        <v>3004161091010</v>
      </c>
      <c r="G1468" s="20" t="str">
        <f t="shared" si="66"/>
        <v xml:space="preserve"> ANSES/RONDES    </v>
      </c>
      <c r="H1468" s="20" t="str">
        <f t="shared" si="67"/>
        <v>MITOR</v>
      </c>
      <c r="I1468" s="20" t="str">
        <f t="shared" si="68"/>
        <v xml:space="preserve">S    </v>
      </c>
    </row>
    <row r="1469" spans="1:9">
      <c r="A1469" s="17" t="s">
        <v>1058</v>
      </c>
      <c r="B1469" s="17" t="s">
        <v>1068</v>
      </c>
      <c r="C1469" s="17" t="s">
        <v>804</v>
      </c>
      <c r="D1469" s="17" t="s">
        <v>801</v>
      </c>
      <c r="E1469" s="18">
        <v>3004161091041</v>
      </c>
      <c r="G1469" s="20" t="str">
        <f t="shared" si="66"/>
        <v xml:space="preserve"> ANSES/RONDES    </v>
      </c>
      <c r="H1469" s="20" t="str">
        <f t="shared" si="67"/>
        <v>MITOR</v>
      </c>
      <c r="I1469" s="20" t="str">
        <f t="shared" si="68"/>
        <v xml:space="preserve">XL   </v>
      </c>
    </row>
    <row r="1470" spans="1:9">
      <c r="A1470" s="17" t="s">
        <v>1058</v>
      </c>
      <c r="B1470" s="17" t="s">
        <v>1068</v>
      </c>
      <c r="C1470" s="17" t="s">
        <v>805</v>
      </c>
      <c r="D1470" s="17" t="s">
        <v>801</v>
      </c>
      <c r="E1470" s="18">
        <v>3004161091003</v>
      </c>
      <c r="G1470" s="20" t="str">
        <f t="shared" si="66"/>
        <v xml:space="preserve"> ANSES/RONDES    </v>
      </c>
      <c r="H1470" s="20" t="str">
        <f t="shared" si="67"/>
        <v>MITOR</v>
      </c>
      <c r="I1470" s="20" t="str">
        <f t="shared" si="68"/>
        <v xml:space="preserve">XS   </v>
      </c>
    </row>
    <row r="1471" spans="1:9">
      <c r="A1471" s="17" t="s">
        <v>1058</v>
      </c>
      <c r="B1471" s="17" t="s">
        <v>1069</v>
      </c>
      <c r="C1471" s="17" t="s">
        <v>800</v>
      </c>
      <c r="D1471" s="17" t="s">
        <v>801</v>
      </c>
      <c r="E1471" s="18">
        <v>3004161090037</v>
      </c>
      <c r="G1471" s="20" t="str">
        <f t="shared" si="66"/>
        <v xml:space="preserve"> ANSES/RONDES    </v>
      </c>
      <c r="H1471" s="20" t="str">
        <f t="shared" si="67"/>
        <v>MIVER</v>
      </c>
      <c r="I1471" s="20" t="str">
        <f t="shared" si="68"/>
        <v xml:space="preserve">L    </v>
      </c>
    </row>
    <row r="1472" spans="1:9">
      <c r="A1472" s="17" t="s">
        <v>1058</v>
      </c>
      <c r="B1472" s="17" t="s">
        <v>1069</v>
      </c>
      <c r="C1472" s="17" t="s">
        <v>800</v>
      </c>
      <c r="D1472" s="17" t="s">
        <v>801</v>
      </c>
      <c r="E1472" s="18">
        <v>8056095063804</v>
      </c>
      <c r="G1472" s="20" t="str">
        <f t="shared" si="66"/>
        <v xml:space="preserve"> ANSES/RONDES    </v>
      </c>
      <c r="H1472" s="20" t="str">
        <f t="shared" si="67"/>
        <v>MIVER</v>
      </c>
      <c r="I1472" s="20" t="str">
        <f t="shared" si="68"/>
        <v xml:space="preserve">L    </v>
      </c>
    </row>
    <row r="1473" spans="1:9">
      <c r="A1473" s="17" t="s">
        <v>1058</v>
      </c>
      <c r="B1473" s="17" t="s">
        <v>1069</v>
      </c>
      <c r="C1473" s="17" t="s">
        <v>802</v>
      </c>
      <c r="D1473" s="17" t="s">
        <v>801</v>
      </c>
      <c r="E1473" s="18">
        <v>3004161090020</v>
      </c>
      <c r="G1473" s="20" t="str">
        <f t="shared" si="66"/>
        <v xml:space="preserve"> ANSES/RONDES    </v>
      </c>
      <c r="H1473" s="20" t="str">
        <f t="shared" si="67"/>
        <v>MIVER</v>
      </c>
      <c r="I1473" s="20" t="str">
        <f t="shared" si="68"/>
        <v xml:space="preserve">M    </v>
      </c>
    </row>
    <row r="1474" spans="1:9">
      <c r="A1474" s="17" t="s">
        <v>1058</v>
      </c>
      <c r="B1474" s="17" t="s">
        <v>1069</v>
      </c>
      <c r="C1474" s="17" t="s">
        <v>803</v>
      </c>
      <c r="D1474" s="17" t="s">
        <v>801</v>
      </c>
      <c r="E1474" s="18">
        <v>3004161090013</v>
      </c>
      <c r="G1474" s="20" t="str">
        <f t="shared" si="66"/>
        <v xml:space="preserve"> ANSES/RONDES    </v>
      </c>
      <c r="H1474" s="20" t="str">
        <f t="shared" si="67"/>
        <v>MIVER</v>
      </c>
      <c r="I1474" s="20" t="str">
        <f t="shared" si="68"/>
        <v xml:space="preserve">S    </v>
      </c>
    </row>
    <row r="1475" spans="1:9">
      <c r="A1475" s="17" t="s">
        <v>1058</v>
      </c>
      <c r="B1475" s="17" t="s">
        <v>1069</v>
      </c>
      <c r="C1475" s="17" t="s">
        <v>804</v>
      </c>
      <c r="D1475" s="17" t="s">
        <v>801</v>
      </c>
      <c r="E1475" s="18">
        <v>3004161090044</v>
      </c>
      <c r="G1475" s="20" t="str">
        <f t="shared" si="66"/>
        <v xml:space="preserve"> ANSES/RONDES    </v>
      </c>
      <c r="H1475" s="20" t="str">
        <f t="shared" si="67"/>
        <v>MIVER</v>
      </c>
      <c r="I1475" s="20" t="str">
        <f t="shared" si="68"/>
        <v xml:space="preserve">XL   </v>
      </c>
    </row>
    <row r="1476" spans="1:9">
      <c r="A1476" s="17" t="s">
        <v>1058</v>
      </c>
      <c r="B1476" s="17" t="s">
        <v>1069</v>
      </c>
      <c r="C1476" s="17" t="s">
        <v>805</v>
      </c>
      <c r="D1476" s="17" t="s">
        <v>801</v>
      </c>
      <c r="E1476" s="18">
        <v>3004161090006</v>
      </c>
      <c r="G1476" s="20" t="str">
        <f t="shared" si="66"/>
        <v xml:space="preserve"> ANSES/RONDES    </v>
      </c>
      <c r="H1476" s="20" t="str">
        <f t="shared" si="67"/>
        <v>MIVER</v>
      </c>
      <c r="I1476" s="20" t="str">
        <f t="shared" si="68"/>
        <v xml:space="preserve">XS   </v>
      </c>
    </row>
    <row r="1477" spans="1:9">
      <c r="A1477" s="17" t="s">
        <v>1058</v>
      </c>
      <c r="B1477" s="17" t="s">
        <v>932</v>
      </c>
      <c r="C1477" s="17" t="s">
        <v>800</v>
      </c>
      <c r="D1477" s="17" t="s">
        <v>801</v>
      </c>
      <c r="E1477" s="18">
        <v>3004160806035</v>
      </c>
      <c r="G1477" s="20" t="str">
        <f t="shared" ref="G1477:G1540" si="69">A1477</f>
        <v xml:space="preserve"> ANSES/RONDES    </v>
      </c>
      <c r="H1477" s="20" t="str">
        <f t="shared" ref="H1477:H1540" si="70">B1477</f>
        <v>NAPCR</v>
      </c>
      <c r="I1477" s="20" t="str">
        <f t="shared" ref="I1477:I1540" si="71">C1477</f>
        <v xml:space="preserve">L    </v>
      </c>
    </row>
    <row r="1478" spans="1:9">
      <c r="A1478" s="17" t="s">
        <v>1058</v>
      </c>
      <c r="B1478" s="17" t="s">
        <v>932</v>
      </c>
      <c r="C1478" s="17" t="s">
        <v>802</v>
      </c>
      <c r="D1478" s="17" t="s">
        <v>801</v>
      </c>
      <c r="E1478" s="18">
        <v>3004160806028</v>
      </c>
      <c r="G1478" s="20" t="str">
        <f t="shared" si="69"/>
        <v xml:space="preserve"> ANSES/RONDES    </v>
      </c>
      <c r="H1478" s="20" t="str">
        <f t="shared" si="70"/>
        <v>NAPCR</v>
      </c>
      <c r="I1478" s="20" t="str">
        <f t="shared" si="71"/>
        <v xml:space="preserve">M    </v>
      </c>
    </row>
    <row r="1479" spans="1:9">
      <c r="A1479" s="17" t="s">
        <v>1058</v>
      </c>
      <c r="B1479" s="17" t="s">
        <v>932</v>
      </c>
      <c r="C1479" s="17" t="s">
        <v>803</v>
      </c>
      <c r="D1479" s="17" t="s">
        <v>801</v>
      </c>
      <c r="E1479" s="18">
        <v>3004160806011</v>
      </c>
      <c r="G1479" s="20" t="str">
        <f t="shared" si="69"/>
        <v xml:space="preserve"> ANSES/RONDES    </v>
      </c>
      <c r="H1479" s="20" t="str">
        <f t="shared" si="70"/>
        <v>NAPCR</v>
      </c>
      <c r="I1479" s="20" t="str">
        <f t="shared" si="71"/>
        <v xml:space="preserve">S    </v>
      </c>
    </row>
    <row r="1480" spans="1:9">
      <c r="A1480" s="17" t="s">
        <v>1058</v>
      </c>
      <c r="B1480" s="17" t="s">
        <v>932</v>
      </c>
      <c r="C1480" s="17" t="s">
        <v>804</v>
      </c>
      <c r="D1480" s="17" t="s">
        <v>801</v>
      </c>
      <c r="E1480" s="18">
        <v>3004160806042</v>
      </c>
      <c r="G1480" s="20" t="str">
        <f t="shared" si="69"/>
        <v xml:space="preserve"> ANSES/RONDES    </v>
      </c>
      <c r="H1480" s="20" t="str">
        <f t="shared" si="70"/>
        <v>NAPCR</v>
      </c>
      <c r="I1480" s="20" t="str">
        <f t="shared" si="71"/>
        <v xml:space="preserve">XL   </v>
      </c>
    </row>
    <row r="1481" spans="1:9">
      <c r="A1481" s="17" t="s">
        <v>1058</v>
      </c>
      <c r="B1481" s="17" t="s">
        <v>932</v>
      </c>
      <c r="C1481" s="17" t="s">
        <v>805</v>
      </c>
      <c r="D1481" s="17" t="s">
        <v>801</v>
      </c>
      <c r="E1481" s="18">
        <v>3004160806004</v>
      </c>
      <c r="G1481" s="20" t="str">
        <f t="shared" si="69"/>
        <v xml:space="preserve"> ANSES/RONDES    </v>
      </c>
      <c r="H1481" s="20" t="str">
        <f t="shared" si="70"/>
        <v>NAPCR</v>
      </c>
      <c r="I1481" s="20" t="str">
        <f t="shared" si="71"/>
        <v xml:space="preserve">XS   </v>
      </c>
    </row>
    <row r="1482" spans="1:9">
      <c r="A1482" s="17" t="s">
        <v>1058</v>
      </c>
      <c r="B1482" s="17" t="s">
        <v>933</v>
      </c>
      <c r="C1482" s="17" t="s">
        <v>800</v>
      </c>
      <c r="D1482" s="17" t="s">
        <v>801</v>
      </c>
      <c r="E1482" s="18">
        <v>3004160803034</v>
      </c>
      <c r="G1482" s="20" t="str">
        <f t="shared" si="69"/>
        <v xml:space="preserve"> ANSES/RONDES    </v>
      </c>
      <c r="H1482" s="20" t="str">
        <f t="shared" si="70"/>
        <v>NAPTU</v>
      </c>
      <c r="I1482" s="20" t="str">
        <f t="shared" si="71"/>
        <v xml:space="preserve">L    </v>
      </c>
    </row>
    <row r="1483" spans="1:9">
      <c r="A1483" s="17" t="s">
        <v>1058</v>
      </c>
      <c r="B1483" s="17" t="s">
        <v>933</v>
      </c>
      <c r="C1483" s="17" t="s">
        <v>802</v>
      </c>
      <c r="D1483" s="17" t="s">
        <v>801</v>
      </c>
      <c r="E1483" s="18">
        <v>3004160803027</v>
      </c>
      <c r="G1483" s="20" t="str">
        <f t="shared" si="69"/>
        <v xml:space="preserve"> ANSES/RONDES    </v>
      </c>
      <c r="H1483" s="20" t="str">
        <f t="shared" si="70"/>
        <v>NAPTU</v>
      </c>
      <c r="I1483" s="20" t="str">
        <f t="shared" si="71"/>
        <v xml:space="preserve">M    </v>
      </c>
    </row>
    <row r="1484" spans="1:9">
      <c r="A1484" s="17" t="s">
        <v>1058</v>
      </c>
      <c r="B1484" s="17" t="s">
        <v>933</v>
      </c>
      <c r="C1484" s="17" t="s">
        <v>803</v>
      </c>
      <c r="D1484" s="17" t="s">
        <v>801</v>
      </c>
      <c r="E1484" s="18">
        <v>3004160803010</v>
      </c>
      <c r="G1484" s="20" t="str">
        <f t="shared" si="69"/>
        <v xml:space="preserve"> ANSES/RONDES    </v>
      </c>
      <c r="H1484" s="20" t="str">
        <f t="shared" si="70"/>
        <v>NAPTU</v>
      </c>
      <c r="I1484" s="20" t="str">
        <f t="shared" si="71"/>
        <v xml:space="preserve">S    </v>
      </c>
    </row>
    <row r="1485" spans="1:9">
      <c r="A1485" s="17" t="s">
        <v>1058</v>
      </c>
      <c r="B1485" s="17" t="s">
        <v>933</v>
      </c>
      <c r="C1485" s="17" t="s">
        <v>804</v>
      </c>
      <c r="D1485" s="17" t="s">
        <v>801</v>
      </c>
      <c r="E1485" s="18">
        <v>3004160803041</v>
      </c>
      <c r="G1485" s="20" t="str">
        <f t="shared" si="69"/>
        <v xml:space="preserve"> ANSES/RONDES    </v>
      </c>
      <c r="H1485" s="20" t="str">
        <f t="shared" si="70"/>
        <v>NAPTU</v>
      </c>
      <c r="I1485" s="20" t="str">
        <f t="shared" si="71"/>
        <v xml:space="preserve">XL   </v>
      </c>
    </row>
    <row r="1486" spans="1:9">
      <c r="A1486" s="17" t="s">
        <v>1058</v>
      </c>
      <c r="B1486" s="17" t="s">
        <v>933</v>
      </c>
      <c r="C1486" s="17" t="s">
        <v>805</v>
      </c>
      <c r="D1486" s="17" t="s">
        <v>801</v>
      </c>
      <c r="E1486" s="18">
        <v>3004160803003</v>
      </c>
      <c r="G1486" s="20" t="str">
        <f t="shared" si="69"/>
        <v xml:space="preserve"> ANSES/RONDES    </v>
      </c>
      <c r="H1486" s="20" t="str">
        <f t="shared" si="70"/>
        <v>NAPTU</v>
      </c>
      <c r="I1486" s="20" t="str">
        <f t="shared" si="71"/>
        <v xml:space="preserve">XS   </v>
      </c>
    </row>
    <row r="1487" spans="1:9">
      <c r="A1487" s="17" t="s">
        <v>1058</v>
      </c>
      <c r="B1487" s="17" t="s">
        <v>859</v>
      </c>
      <c r="C1487" s="17" t="s">
        <v>800</v>
      </c>
      <c r="D1487" s="17" t="s">
        <v>801</v>
      </c>
      <c r="E1487" s="18">
        <v>3004160371038</v>
      </c>
      <c r="G1487" s="20" t="str">
        <f t="shared" si="69"/>
        <v xml:space="preserve"> ANSES/RONDES    </v>
      </c>
      <c r="H1487" s="20" t="str">
        <f t="shared" si="70"/>
        <v>NATUR</v>
      </c>
      <c r="I1487" s="20" t="str">
        <f t="shared" si="71"/>
        <v xml:space="preserve">L    </v>
      </c>
    </row>
    <row r="1488" spans="1:9">
      <c r="A1488" s="17" t="s">
        <v>1058</v>
      </c>
      <c r="B1488" s="17" t="s">
        <v>859</v>
      </c>
      <c r="C1488" s="17" t="s">
        <v>802</v>
      </c>
      <c r="D1488" s="17" t="s">
        <v>801</v>
      </c>
      <c r="E1488" s="18">
        <v>3004160371021</v>
      </c>
      <c r="G1488" s="20" t="str">
        <f t="shared" si="69"/>
        <v xml:space="preserve"> ANSES/RONDES    </v>
      </c>
      <c r="H1488" s="20" t="str">
        <f t="shared" si="70"/>
        <v>NATUR</v>
      </c>
      <c r="I1488" s="20" t="str">
        <f t="shared" si="71"/>
        <v xml:space="preserve">M    </v>
      </c>
    </row>
    <row r="1489" spans="1:9">
      <c r="A1489" s="17" t="s">
        <v>1058</v>
      </c>
      <c r="B1489" s="17" t="s">
        <v>859</v>
      </c>
      <c r="C1489" s="17" t="s">
        <v>803</v>
      </c>
      <c r="D1489" s="17" t="s">
        <v>801</v>
      </c>
      <c r="E1489" s="18">
        <v>3004160371014</v>
      </c>
      <c r="G1489" s="20" t="str">
        <f t="shared" si="69"/>
        <v xml:space="preserve"> ANSES/RONDES    </v>
      </c>
      <c r="H1489" s="20" t="str">
        <f t="shared" si="70"/>
        <v>NATUR</v>
      </c>
      <c r="I1489" s="20" t="str">
        <f t="shared" si="71"/>
        <v xml:space="preserve">S    </v>
      </c>
    </row>
    <row r="1490" spans="1:9">
      <c r="A1490" s="17" t="s">
        <v>1058</v>
      </c>
      <c r="B1490" s="17" t="s">
        <v>859</v>
      </c>
      <c r="C1490" s="17" t="s">
        <v>804</v>
      </c>
      <c r="D1490" s="17" t="s">
        <v>801</v>
      </c>
      <c r="E1490" s="18">
        <v>3004160371045</v>
      </c>
      <c r="G1490" s="20" t="str">
        <f t="shared" si="69"/>
        <v xml:space="preserve"> ANSES/RONDES    </v>
      </c>
      <c r="H1490" s="20" t="str">
        <f t="shared" si="70"/>
        <v>NATUR</v>
      </c>
      <c r="I1490" s="20" t="str">
        <f t="shared" si="71"/>
        <v xml:space="preserve">XL   </v>
      </c>
    </row>
    <row r="1491" spans="1:9">
      <c r="A1491" s="17" t="s">
        <v>1058</v>
      </c>
      <c r="B1491" s="17" t="s">
        <v>859</v>
      </c>
      <c r="C1491" s="17" t="s">
        <v>805</v>
      </c>
      <c r="D1491" s="17" t="s">
        <v>801</v>
      </c>
      <c r="E1491" s="18">
        <v>3004160371007</v>
      </c>
      <c r="G1491" s="20" t="str">
        <f t="shared" si="69"/>
        <v xml:space="preserve"> ANSES/RONDES    </v>
      </c>
      <c r="H1491" s="20" t="str">
        <f t="shared" si="70"/>
        <v>NATUR</v>
      </c>
      <c r="I1491" s="20" t="str">
        <f t="shared" si="71"/>
        <v xml:space="preserve">XS   </v>
      </c>
    </row>
    <row r="1492" spans="1:9">
      <c r="A1492" s="17" t="s">
        <v>1058</v>
      </c>
      <c r="B1492" s="17" t="s">
        <v>964</v>
      </c>
      <c r="C1492" s="17" t="s">
        <v>800</v>
      </c>
      <c r="D1492" s="17" t="s">
        <v>801</v>
      </c>
      <c r="E1492" s="18">
        <v>3004160377030</v>
      </c>
      <c r="G1492" s="20" t="str">
        <f t="shared" si="69"/>
        <v xml:space="preserve"> ANSES/RONDES    </v>
      </c>
      <c r="H1492" s="20" t="str">
        <f t="shared" si="70"/>
        <v>ORANG</v>
      </c>
      <c r="I1492" s="20" t="str">
        <f t="shared" si="71"/>
        <v xml:space="preserve">L    </v>
      </c>
    </row>
    <row r="1493" spans="1:9">
      <c r="A1493" s="17" t="s">
        <v>1058</v>
      </c>
      <c r="B1493" s="17" t="s">
        <v>964</v>
      </c>
      <c r="C1493" s="17" t="s">
        <v>802</v>
      </c>
      <c r="D1493" s="17" t="s">
        <v>801</v>
      </c>
      <c r="E1493" s="18">
        <v>3004160377023</v>
      </c>
      <c r="G1493" s="20" t="str">
        <f t="shared" si="69"/>
        <v xml:space="preserve"> ANSES/RONDES    </v>
      </c>
      <c r="H1493" s="20" t="str">
        <f t="shared" si="70"/>
        <v>ORANG</v>
      </c>
      <c r="I1493" s="20" t="str">
        <f t="shared" si="71"/>
        <v xml:space="preserve">M    </v>
      </c>
    </row>
    <row r="1494" spans="1:9">
      <c r="A1494" s="17" t="s">
        <v>1058</v>
      </c>
      <c r="B1494" s="17" t="s">
        <v>964</v>
      </c>
      <c r="C1494" s="17" t="s">
        <v>803</v>
      </c>
      <c r="D1494" s="17" t="s">
        <v>801</v>
      </c>
      <c r="E1494" s="18">
        <v>3004160377016</v>
      </c>
      <c r="G1494" s="20" t="str">
        <f t="shared" si="69"/>
        <v xml:space="preserve"> ANSES/RONDES    </v>
      </c>
      <c r="H1494" s="20" t="str">
        <f t="shared" si="70"/>
        <v>ORANG</v>
      </c>
      <c r="I1494" s="20" t="str">
        <f t="shared" si="71"/>
        <v xml:space="preserve">S    </v>
      </c>
    </row>
    <row r="1495" spans="1:9">
      <c r="A1495" s="17" t="s">
        <v>1058</v>
      </c>
      <c r="B1495" s="17" t="s">
        <v>964</v>
      </c>
      <c r="C1495" s="17" t="s">
        <v>804</v>
      </c>
      <c r="D1495" s="17" t="s">
        <v>801</v>
      </c>
      <c r="E1495" s="18">
        <v>3004160377047</v>
      </c>
      <c r="G1495" s="20" t="str">
        <f t="shared" si="69"/>
        <v xml:space="preserve"> ANSES/RONDES    </v>
      </c>
      <c r="H1495" s="20" t="str">
        <f t="shared" si="70"/>
        <v>ORANG</v>
      </c>
      <c r="I1495" s="20" t="str">
        <f t="shared" si="71"/>
        <v xml:space="preserve">XL   </v>
      </c>
    </row>
    <row r="1496" spans="1:9">
      <c r="A1496" s="17" t="s">
        <v>1058</v>
      </c>
      <c r="B1496" s="17" t="s">
        <v>964</v>
      </c>
      <c r="C1496" s="17" t="s">
        <v>805</v>
      </c>
      <c r="D1496" s="17" t="s">
        <v>801</v>
      </c>
      <c r="E1496" s="18">
        <v>3004160377009</v>
      </c>
      <c r="G1496" s="20" t="str">
        <f t="shared" si="69"/>
        <v xml:space="preserve"> ANSES/RONDES    </v>
      </c>
      <c r="H1496" s="20" t="str">
        <f t="shared" si="70"/>
        <v>ORANG</v>
      </c>
      <c r="I1496" s="20" t="str">
        <f t="shared" si="71"/>
        <v xml:space="preserve">XS   </v>
      </c>
    </row>
    <row r="1497" spans="1:9">
      <c r="A1497" s="17" t="s">
        <v>1058</v>
      </c>
      <c r="B1497" s="17" t="s">
        <v>839</v>
      </c>
      <c r="C1497" s="17" t="s">
        <v>800</v>
      </c>
      <c r="D1497" s="17" t="s">
        <v>801</v>
      </c>
      <c r="E1497" s="18">
        <v>3004160397038</v>
      </c>
      <c r="G1497" s="20" t="str">
        <f t="shared" si="69"/>
        <v xml:space="preserve"> ANSES/RONDES    </v>
      </c>
      <c r="H1497" s="20" t="str">
        <f t="shared" si="70"/>
        <v xml:space="preserve">ROSA </v>
      </c>
      <c r="I1497" s="20" t="str">
        <f t="shared" si="71"/>
        <v xml:space="preserve">L    </v>
      </c>
    </row>
    <row r="1498" spans="1:9">
      <c r="A1498" s="17" t="s">
        <v>1058</v>
      </c>
      <c r="B1498" s="17" t="s">
        <v>839</v>
      </c>
      <c r="C1498" s="17" t="s">
        <v>802</v>
      </c>
      <c r="D1498" s="17" t="s">
        <v>801</v>
      </c>
      <c r="E1498" s="18">
        <v>3004160397021</v>
      </c>
      <c r="G1498" s="20" t="str">
        <f t="shared" si="69"/>
        <v xml:space="preserve"> ANSES/RONDES    </v>
      </c>
      <c r="H1498" s="20" t="str">
        <f t="shared" si="70"/>
        <v xml:space="preserve">ROSA </v>
      </c>
      <c r="I1498" s="20" t="str">
        <f t="shared" si="71"/>
        <v xml:space="preserve">M    </v>
      </c>
    </row>
    <row r="1499" spans="1:9">
      <c r="A1499" s="17" t="s">
        <v>1058</v>
      </c>
      <c r="B1499" s="17" t="s">
        <v>839</v>
      </c>
      <c r="C1499" s="17" t="s">
        <v>803</v>
      </c>
      <c r="D1499" s="17" t="s">
        <v>801</v>
      </c>
      <c r="E1499" s="18">
        <v>3004160397014</v>
      </c>
      <c r="G1499" s="20" t="str">
        <f t="shared" si="69"/>
        <v xml:space="preserve"> ANSES/RONDES    </v>
      </c>
      <c r="H1499" s="20" t="str">
        <f t="shared" si="70"/>
        <v xml:space="preserve">ROSA </v>
      </c>
      <c r="I1499" s="20" t="str">
        <f t="shared" si="71"/>
        <v xml:space="preserve">S    </v>
      </c>
    </row>
    <row r="1500" spans="1:9">
      <c r="A1500" s="17" t="s">
        <v>1058</v>
      </c>
      <c r="B1500" s="17" t="s">
        <v>839</v>
      </c>
      <c r="C1500" s="17" t="s">
        <v>804</v>
      </c>
      <c r="D1500" s="17" t="s">
        <v>801</v>
      </c>
      <c r="E1500" s="18">
        <v>3004160397045</v>
      </c>
      <c r="G1500" s="20" t="str">
        <f t="shared" si="69"/>
        <v xml:space="preserve"> ANSES/RONDES    </v>
      </c>
      <c r="H1500" s="20" t="str">
        <f t="shared" si="70"/>
        <v xml:space="preserve">ROSA </v>
      </c>
      <c r="I1500" s="20" t="str">
        <f t="shared" si="71"/>
        <v xml:space="preserve">XL   </v>
      </c>
    </row>
    <row r="1501" spans="1:9">
      <c r="A1501" s="17" t="s">
        <v>1058</v>
      </c>
      <c r="B1501" s="17" t="s">
        <v>839</v>
      </c>
      <c r="C1501" s="17" t="s">
        <v>805</v>
      </c>
      <c r="D1501" s="17" t="s">
        <v>801</v>
      </c>
      <c r="E1501" s="18">
        <v>3004160397007</v>
      </c>
      <c r="G1501" s="20" t="str">
        <f t="shared" si="69"/>
        <v xml:space="preserve"> ANSES/RONDES    </v>
      </c>
      <c r="H1501" s="20" t="str">
        <f t="shared" si="70"/>
        <v xml:space="preserve">ROSA </v>
      </c>
      <c r="I1501" s="20" t="str">
        <f t="shared" si="71"/>
        <v xml:space="preserve">XS   </v>
      </c>
    </row>
    <row r="1502" spans="1:9">
      <c r="A1502" s="17" t="s">
        <v>1058</v>
      </c>
      <c r="B1502" s="17" t="s">
        <v>1070</v>
      </c>
      <c r="C1502" s="17" t="s">
        <v>800</v>
      </c>
      <c r="D1502" s="17" t="s">
        <v>801</v>
      </c>
      <c r="E1502" s="18">
        <v>3004160808039</v>
      </c>
      <c r="G1502" s="20" t="str">
        <f t="shared" si="69"/>
        <v xml:space="preserve"> ANSES/RONDES    </v>
      </c>
      <c r="H1502" s="20" t="str">
        <f t="shared" si="70"/>
        <v>ROUGE</v>
      </c>
      <c r="I1502" s="20" t="str">
        <f t="shared" si="71"/>
        <v xml:space="preserve">L    </v>
      </c>
    </row>
    <row r="1503" spans="1:9">
      <c r="A1503" s="17" t="s">
        <v>1058</v>
      </c>
      <c r="B1503" s="17" t="s">
        <v>1070</v>
      </c>
      <c r="C1503" s="17" t="s">
        <v>802</v>
      </c>
      <c r="D1503" s="17" t="s">
        <v>801</v>
      </c>
      <c r="E1503" s="18">
        <v>3004160808022</v>
      </c>
      <c r="G1503" s="20" t="str">
        <f t="shared" si="69"/>
        <v xml:space="preserve"> ANSES/RONDES    </v>
      </c>
      <c r="H1503" s="20" t="str">
        <f t="shared" si="70"/>
        <v>ROUGE</v>
      </c>
      <c r="I1503" s="20" t="str">
        <f t="shared" si="71"/>
        <v xml:space="preserve">M    </v>
      </c>
    </row>
    <row r="1504" spans="1:9">
      <c r="A1504" s="17" t="s">
        <v>1058</v>
      </c>
      <c r="B1504" s="17" t="s">
        <v>1070</v>
      </c>
      <c r="C1504" s="17" t="s">
        <v>803</v>
      </c>
      <c r="D1504" s="17" t="s">
        <v>801</v>
      </c>
      <c r="E1504" s="18">
        <v>3004160808015</v>
      </c>
      <c r="G1504" s="20" t="str">
        <f t="shared" si="69"/>
        <v xml:space="preserve"> ANSES/RONDES    </v>
      </c>
      <c r="H1504" s="20" t="str">
        <f t="shared" si="70"/>
        <v>ROUGE</v>
      </c>
      <c r="I1504" s="20" t="str">
        <f t="shared" si="71"/>
        <v xml:space="preserve">S    </v>
      </c>
    </row>
    <row r="1505" spans="1:9">
      <c r="A1505" s="17" t="s">
        <v>1058</v>
      </c>
      <c r="B1505" s="17" t="s">
        <v>1070</v>
      </c>
      <c r="C1505" s="17" t="s">
        <v>804</v>
      </c>
      <c r="D1505" s="17" t="s">
        <v>801</v>
      </c>
      <c r="E1505" s="18">
        <v>3004160808046</v>
      </c>
      <c r="G1505" s="20" t="str">
        <f t="shared" si="69"/>
        <v xml:space="preserve"> ANSES/RONDES    </v>
      </c>
      <c r="H1505" s="20" t="str">
        <f t="shared" si="70"/>
        <v>ROUGE</v>
      </c>
      <c r="I1505" s="20" t="str">
        <f t="shared" si="71"/>
        <v xml:space="preserve">XL   </v>
      </c>
    </row>
    <row r="1506" spans="1:9">
      <c r="A1506" s="17" t="s">
        <v>1058</v>
      </c>
      <c r="B1506" s="17" t="s">
        <v>1070</v>
      </c>
      <c r="C1506" s="17" t="s">
        <v>805</v>
      </c>
      <c r="D1506" s="17" t="s">
        <v>801</v>
      </c>
      <c r="E1506" s="18">
        <v>3004160808008</v>
      </c>
      <c r="G1506" s="20" t="str">
        <f t="shared" si="69"/>
        <v xml:space="preserve"> ANSES/RONDES    </v>
      </c>
      <c r="H1506" s="20" t="str">
        <f t="shared" si="70"/>
        <v>ROUGE</v>
      </c>
      <c r="I1506" s="20" t="str">
        <f t="shared" si="71"/>
        <v xml:space="preserve">XS   </v>
      </c>
    </row>
    <row r="1507" spans="1:9">
      <c r="A1507" s="17" t="s">
        <v>1058</v>
      </c>
      <c r="B1507" s="17" t="s">
        <v>1009</v>
      </c>
      <c r="C1507" s="17" t="s">
        <v>800</v>
      </c>
      <c r="D1507" s="17" t="s">
        <v>801</v>
      </c>
      <c r="E1507" s="18">
        <v>3004160695035</v>
      </c>
      <c r="G1507" s="20" t="str">
        <f t="shared" si="69"/>
        <v xml:space="preserve"> ANSES/RONDES    </v>
      </c>
      <c r="H1507" s="20" t="str">
        <f t="shared" si="70"/>
        <v>SALMO</v>
      </c>
      <c r="I1507" s="20" t="str">
        <f t="shared" si="71"/>
        <v xml:space="preserve">L    </v>
      </c>
    </row>
    <row r="1508" spans="1:9">
      <c r="A1508" s="17" t="s">
        <v>1058</v>
      </c>
      <c r="B1508" s="17" t="s">
        <v>1009</v>
      </c>
      <c r="C1508" s="17" t="s">
        <v>802</v>
      </c>
      <c r="D1508" s="17" t="s">
        <v>801</v>
      </c>
      <c r="E1508" s="18">
        <v>3004160695028</v>
      </c>
      <c r="G1508" s="20" t="str">
        <f t="shared" si="69"/>
        <v xml:space="preserve"> ANSES/RONDES    </v>
      </c>
      <c r="H1508" s="20" t="str">
        <f t="shared" si="70"/>
        <v>SALMO</v>
      </c>
      <c r="I1508" s="20" t="str">
        <f t="shared" si="71"/>
        <v xml:space="preserve">M    </v>
      </c>
    </row>
    <row r="1509" spans="1:9">
      <c r="A1509" s="17" t="s">
        <v>1058</v>
      </c>
      <c r="B1509" s="17" t="s">
        <v>1009</v>
      </c>
      <c r="C1509" s="17" t="s">
        <v>803</v>
      </c>
      <c r="D1509" s="17" t="s">
        <v>801</v>
      </c>
      <c r="E1509" s="18">
        <v>3004160695011</v>
      </c>
      <c r="G1509" s="20" t="str">
        <f t="shared" si="69"/>
        <v xml:space="preserve"> ANSES/RONDES    </v>
      </c>
      <c r="H1509" s="20" t="str">
        <f t="shared" si="70"/>
        <v>SALMO</v>
      </c>
      <c r="I1509" s="20" t="str">
        <f t="shared" si="71"/>
        <v xml:space="preserve">S    </v>
      </c>
    </row>
    <row r="1510" spans="1:9">
      <c r="A1510" s="17" t="s">
        <v>1058</v>
      </c>
      <c r="B1510" s="17" t="s">
        <v>1009</v>
      </c>
      <c r="C1510" s="17" t="s">
        <v>804</v>
      </c>
      <c r="D1510" s="17" t="s">
        <v>801</v>
      </c>
      <c r="E1510" s="18">
        <v>3004160695042</v>
      </c>
      <c r="G1510" s="20" t="str">
        <f t="shared" si="69"/>
        <v xml:space="preserve"> ANSES/RONDES    </v>
      </c>
      <c r="H1510" s="20" t="str">
        <f t="shared" si="70"/>
        <v>SALMO</v>
      </c>
      <c r="I1510" s="20" t="str">
        <f t="shared" si="71"/>
        <v xml:space="preserve">XL   </v>
      </c>
    </row>
    <row r="1511" spans="1:9">
      <c r="A1511" s="17" t="s">
        <v>1058</v>
      </c>
      <c r="B1511" s="17" t="s">
        <v>1009</v>
      </c>
      <c r="C1511" s="17" t="s">
        <v>805</v>
      </c>
      <c r="D1511" s="17" t="s">
        <v>801</v>
      </c>
      <c r="E1511" s="18">
        <v>3004160695004</v>
      </c>
      <c r="G1511" s="20" t="str">
        <f t="shared" si="69"/>
        <v xml:space="preserve"> ANSES/RONDES    </v>
      </c>
      <c r="H1511" s="20" t="str">
        <f t="shared" si="70"/>
        <v>SALMO</v>
      </c>
      <c r="I1511" s="20" t="str">
        <f t="shared" si="71"/>
        <v xml:space="preserve">XS   </v>
      </c>
    </row>
    <row r="1512" spans="1:9">
      <c r="A1512" s="17" t="s">
        <v>1058</v>
      </c>
      <c r="B1512" s="17" t="s">
        <v>840</v>
      </c>
      <c r="C1512" s="17" t="s">
        <v>800</v>
      </c>
      <c r="D1512" s="17" t="s">
        <v>801</v>
      </c>
      <c r="E1512" s="18">
        <v>3004160403036</v>
      </c>
      <c r="G1512" s="20" t="str">
        <f t="shared" si="69"/>
        <v xml:space="preserve"> ANSES/RONDES    </v>
      </c>
      <c r="H1512" s="20" t="str">
        <f t="shared" si="70"/>
        <v>SAUGE</v>
      </c>
      <c r="I1512" s="20" t="str">
        <f t="shared" si="71"/>
        <v xml:space="preserve">L    </v>
      </c>
    </row>
    <row r="1513" spans="1:9">
      <c r="A1513" s="17" t="s">
        <v>1058</v>
      </c>
      <c r="B1513" s="17" t="s">
        <v>840</v>
      </c>
      <c r="C1513" s="17" t="s">
        <v>802</v>
      </c>
      <c r="D1513" s="17" t="s">
        <v>801</v>
      </c>
      <c r="E1513" s="18">
        <v>3004160403029</v>
      </c>
      <c r="G1513" s="20" t="str">
        <f t="shared" si="69"/>
        <v xml:space="preserve"> ANSES/RONDES    </v>
      </c>
      <c r="H1513" s="20" t="str">
        <f t="shared" si="70"/>
        <v>SAUGE</v>
      </c>
      <c r="I1513" s="20" t="str">
        <f t="shared" si="71"/>
        <v xml:space="preserve">M    </v>
      </c>
    </row>
    <row r="1514" spans="1:9">
      <c r="A1514" s="17" t="s">
        <v>1058</v>
      </c>
      <c r="B1514" s="17" t="s">
        <v>840</v>
      </c>
      <c r="C1514" s="17" t="s">
        <v>803</v>
      </c>
      <c r="D1514" s="17" t="s">
        <v>801</v>
      </c>
      <c r="E1514" s="18">
        <v>3004160403012</v>
      </c>
      <c r="G1514" s="20" t="str">
        <f t="shared" si="69"/>
        <v xml:space="preserve"> ANSES/RONDES    </v>
      </c>
      <c r="H1514" s="20" t="str">
        <f t="shared" si="70"/>
        <v>SAUGE</v>
      </c>
      <c r="I1514" s="20" t="str">
        <f t="shared" si="71"/>
        <v xml:space="preserve">S    </v>
      </c>
    </row>
    <row r="1515" spans="1:9">
      <c r="A1515" s="17" t="s">
        <v>1058</v>
      </c>
      <c r="B1515" s="17" t="s">
        <v>840</v>
      </c>
      <c r="C1515" s="17" t="s">
        <v>804</v>
      </c>
      <c r="D1515" s="17" t="s">
        <v>801</v>
      </c>
      <c r="E1515" s="18">
        <v>3004160403043</v>
      </c>
      <c r="G1515" s="20" t="str">
        <f t="shared" si="69"/>
        <v xml:space="preserve"> ANSES/RONDES    </v>
      </c>
      <c r="H1515" s="20" t="str">
        <f t="shared" si="70"/>
        <v>SAUGE</v>
      </c>
      <c r="I1515" s="20" t="str">
        <f t="shared" si="71"/>
        <v xml:space="preserve">XL   </v>
      </c>
    </row>
    <row r="1516" spans="1:9">
      <c r="A1516" s="17" t="s">
        <v>1058</v>
      </c>
      <c r="B1516" s="17" t="s">
        <v>840</v>
      </c>
      <c r="C1516" s="17" t="s">
        <v>805</v>
      </c>
      <c r="D1516" s="17" t="s">
        <v>801</v>
      </c>
      <c r="E1516" s="18">
        <v>3004160403005</v>
      </c>
      <c r="G1516" s="20" t="str">
        <f t="shared" si="69"/>
        <v xml:space="preserve"> ANSES/RONDES    </v>
      </c>
      <c r="H1516" s="20" t="str">
        <f t="shared" si="70"/>
        <v>SAUGE</v>
      </c>
      <c r="I1516" s="20" t="str">
        <f t="shared" si="71"/>
        <v xml:space="preserve">XS   </v>
      </c>
    </row>
    <row r="1517" spans="1:9">
      <c r="A1517" s="17" t="s">
        <v>1058</v>
      </c>
      <c r="B1517" s="17" t="s">
        <v>1010</v>
      </c>
      <c r="C1517" s="17" t="s">
        <v>800</v>
      </c>
      <c r="D1517" s="17" t="s">
        <v>801</v>
      </c>
      <c r="E1517" s="18">
        <v>3004160793038</v>
      </c>
      <c r="G1517" s="20" t="str">
        <f t="shared" si="69"/>
        <v xml:space="preserve"> ANSES/RONDES    </v>
      </c>
      <c r="H1517" s="20" t="str">
        <f t="shared" si="70"/>
        <v>SERBE</v>
      </c>
      <c r="I1517" s="20" t="str">
        <f t="shared" si="71"/>
        <v xml:space="preserve">L    </v>
      </c>
    </row>
    <row r="1518" spans="1:9">
      <c r="A1518" s="17" t="s">
        <v>1058</v>
      </c>
      <c r="B1518" s="17" t="s">
        <v>1010</v>
      </c>
      <c r="C1518" s="17" t="s">
        <v>802</v>
      </c>
      <c r="D1518" s="17" t="s">
        <v>801</v>
      </c>
      <c r="E1518" s="18">
        <v>3004160793021</v>
      </c>
      <c r="G1518" s="20" t="str">
        <f t="shared" si="69"/>
        <v xml:space="preserve"> ANSES/RONDES    </v>
      </c>
      <c r="H1518" s="20" t="str">
        <f t="shared" si="70"/>
        <v>SERBE</v>
      </c>
      <c r="I1518" s="20" t="str">
        <f t="shared" si="71"/>
        <v xml:space="preserve">M    </v>
      </c>
    </row>
    <row r="1519" spans="1:9">
      <c r="A1519" s="17" t="s">
        <v>1058</v>
      </c>
      <c r="B1519" s="17" t="s">
        <v>1010</v>
      </c>
      <c r="C1519" s="17" t="s">
        <v>803</v>
      </c>
      <c r="D1519" s="17" t="s">
        <v>801</v>
      </c>
      <c r="E1519" s="18">
        <v>3004160793014</v>
      </c>
      <c r="G1519" s="20" t="str">
        <f t="shared" si="69"/>
        <v xml:space="preserve"> ANSES/RONDES    </v>
      </c>
      <c r="H1519" s="20" t="str">
        <f t="shared" si="70"/>
        <v>SERBE</v>
      </c>
      <c r="I1519" s="20" t="str">
        <f t="shared" si="71"/>
        <v xml:space="preserve">S    </v>
      </c>
    </row>
    <row r="1520" spans="1:9">
      <c r="A1520" s="17" t="s">
        <v>1058</v>
      </c>
      <c r="B1520" s="17" t="s">
        <v>1010</v>
      </c>
      <c r="C1520" s="17" t="s">
        <v>804</v>
      </c>
      <c r="D1520" s="17" t="s">
        <v>801</v>
      </c>
      <c r="E1520" s="18">
        <v>3004160793045</v>
      </c>
      <c r="G1520" s="20" t="str">
        <f t="shared" si="69"/>
        <v xml:space="preserve"> ANSES/RONDES    </v>
      </c>
      <c r="H1520" s="20" t="str">
        <f t="shared" si="70"/>
        <v>SERBE</v>
      </c>
      <c r="I1520" s="20" t="str">
        <f t="shared" si="71"/>
        <v xml:space="preserve">XL   </v>
      </c>
    </row>
    <row r="1521" spans="1:9">
      <c r="A1521" s="17" t="s">
        <v>1058</v>
      </c>
      <c r="B1521" s="17" t="s">
        <v>1010</v>
      </c>
      <c r="C1521" s="17" t="s">
        <v>805</v>
      </c>
      <c r="D1521" s="17" t="s">
        <v>801</v>
      </c>
      <c r="E1521" s="18">
        <v>3004160793007</v>
      </c>
      <c r="G1521" s="20" t="str">
        <f t="shared" si="69"/>
        <v xml:space="preserve"> ANSES/RONDES    </v>
      </c>
      <c r="H1521" s="20" t="str">
        <f t="shared" si="70"/>
        <v>SERBE</v>
      </c>
      <c r="I1521" s="20" t="str">
        <f t="shared" si="71"/>
        <v xml:space="preserve">XS   </v>
      </c>
    </row>
    <row r="1522" spans="1:9">
      <c r="A1522" s="17" t="s">
        <v>1058</v>
      </c>
      <c r="B1522" s="17" t="s">
        <v>1011</v>
      </c>
      <c r="C1522" s="17" t="s">
        <v>800</v>
      </c>
      <c r="D1522" s="17" t="s">
        <v>801</v>
      </c>
      <c r="E1522" s="18">
        <v>3004160792031</v>
      </c>
      <c r="G1522" s="20" t="str">
        <f t="shared" si="69"/>
        <v xml:space="preserve"> ANSES/RONDES    </v>
      </c>
      <c r="H1522" s="20" t="str">
        <f t="shared" si="70"/>
        <v>SERGR</v>
      </c>
      <c r="I1522" s="20" t="str">
        <f t="shared" si="71"/>
        <v xml:space="preserve">L    </v>
      </c>
    </row>
    <row r="1523" spans="1:9">
      <c r="A1523" s="17" t="s">
        <v>1058</v>
      </c>
      <c r="B1523" s="17" t="s">
        <v>1011</v>
      </c>
      <c r="C1523" s="17" t="s">
        <v>802</v>
      </c>
      <c r="D1523" s="17" t="s">
        <v>801</v>
      </c>
      <c r="E1523" s="18">
        <v>3004160792024</v>
      </c>
      <c r="G1523" s="20" t="str">
        <f t="shared" si="69"/>
        <v xml:space="preserve"> ANSES/RONDES    </v>
      </c>
      <c r="H1523" s="20" t="str">
        <f t="shared" si="70"/>
        <v>SERGR</v>
      </c>
      <c r="I1523" s="20" t="str">
        <f t="shared" si="71"/>
        <v xml:space="preserve">M    </v>
      </c>
    </row>
    <row r="1524" spans="1:9">
      <c r="A1524" s="17" t="s">
        <v>1058</v>
      </c>
      <c r="B1524" s="17" t="s">
        <v>1011</v>
      </c>
      <c r="C1524" s="17" t="s">
        <v>803</v>
      </c>
      <c r="D1524" s="17" t="s">
        <v>801</v>
      </c>
      <c r="E1524" s="18">
        <v>3004160792017</v>
      </c>
      <c r="G1524" s="20" t="str">
        <f t="shared" si="69"/>
        <v xml:space="preserve"> ANSES/RONDES    </v>
      </c>
      <c r="H1524" s="20" t="str">
        <f t="shared" si="70"/>
        <v>SERGR</v>
      </c>
      <c r="I1524" s="20" t="str">
        <f t="shared" si="71"/>
        <v xml:space="preserve">S    </v>
      </c>
    </row>
    <row r="1525" spans="1:9">
      <c r="A1525" s="17" t="s">
        <v>1058</v>
      </c>
      <c r="B1525" s="17" t="s">
        <v>1011</v>
      </c>
      <c r="C1525" s="17" t="s">
        <v>804</v>
      </c>
      <c r="D1525" s="17" t="s">
        <v>801</v>
      </c>
      <c r="E1525" s="18">
        <v>3004160792048</v>
      </c>
      <c r="G1525" s="20" t="str">
        <f t="shared" si="69"/>
        <v xml:space="preserve"> ANSES/RONDES    </v>
      </c>
      <c r="H1525" s="20" t="str">
        <f t="shared" si="70"/>
        <v>SERGR</v>
      </c>
      <c r="I1525" s="20" t="str">
        <f t="shared" si="71"/>
        <v xml:space="preserve">XL   </v>
      </c>
    </row>
    <row r="1526" spans="1:9">
      <c r="A1526" s="17" t="s">
        <v>1058</v>
      </c>
      <c r="B1526" s="17" t="s">
        <v>1011</v>
      </c>
      <c r="C1526" s="17" t="s">
        <v>805</v>
      </c>
      <c r="D1526" s="17" t="s">
        <v>801</v>
      </c>
      <c r="E1526" s="18">
        <v>3004160792000</v>
      </c>
      <c r="G1526" s="20" t="str">
        <f t="shared" si="69"/>
        <v xml:space="preserve"> ANSES/RONDES    </v>
      </c>
      <c r="H1526" s="20" t="str">
        <f t="shared" si="70"/>
        <v>SERGR</v>
      </c>
      <c r="I1526" s="20" t="str">
        <f t="shared" si="71"/>
        <v xml:space="preserve">XS   </v>
      </c>
    </row>
    <row r="1527" spans="1:9">
      <c r="A1527" s="17" t="s">
        <v>1058</v>
      </c>
      <c r="B1527" s="17" t="s">
        <v>1012</v>
      </c>
      <c r="C1527" s="17" t="s">
        <v>800</v>
      </c>
      <c r="D1527" s="17" t="s">
        <v>801</v>
      </c>
      <c r="E1527" s="18">
        <v>3004160791034</v>
      </c>
      <c r="G1527" s="20" t="str">
        <f t="shared" si="69"/>
        <v xml:space="preserve"> ANSES/RONDES    </v>
      </c>
      <c r="H1527" s="20" t="str">
        <f t="shared" si="70"/>
        <v>SEROR</v>
      </c>
      <c r="I1527" s="20" t="str">
        <f t="shared" si="71"/>
        <v xml:space="preserve">L    </v>
      </c>
    </row>
    <row r="1528" spans="1:9">
      <c r="A1528" s="17" t="s">
        <v>1058</v>
      </c>
      <c r="B1528" s="17" t="s">
        <v>1012</v>
      </c>
      <c r="C1528" s="17" t="s">
        <v>802</v>
      </c>
      <c r="D1528" s="17" t="s">
        <v>801</v>
      </c>
      <c r="E1528" s="18">
        <v>3004160791027</v>
      </c>
      <c r="G1528" s="20" t="str">
        <f t="shared" si="69"/>
        <v xml:space="preserve"> ANSES/RONDES    </v>
      </c>
      <c r="H1528" s="20" t="str">
        <f t="shared" si="70"/>
        <v>SEROR</v>
      </c>
      <c r="I1528" s="20" t="str">
        <f t="shared" si="71"/>
        <v xml:space="preserve">M    </v>
      </c>
    </row>
    <row r="1529" spans="1:9">
      <c r="A1529" s="17" t="s">
        <v>1058</v>
      </c>
      <c r="B1529" s="17" t="s">
        <v>1012</v>
      </c>
      <c r="C1529" s="17" t="s">
        <v>803</v>
      </c>
      <c r="D1529" s="17" t="s">
        <v>801</v>
      </c>
      <c r="E1529" s="18">
        <v>3004160791010</v>
      </c>
      <c r="G1529" s="20" t="str">
        <f t="shared" si="69"/>
        <v xml:space="preserve"> ANSES/RONDES    </v>
      </c>
      <c r="H1529" s="20" t="str">
        <f t="shared" si="70"/>
        <v>SEROR</v>
      </c>
      <c r="I1529" s="20" t="str">
        <f t="shared" si="71"/>
        <v xml:space="preserve">S    </v>
      </c>
    </row>
    <row r="1530" spans="1:9">
      <c r="A1530" s="17" t="s">
        <v>1058</v>
      </c>
      <c r="B1530" s="17" t="s">
        <v>1012</v>
      </c>
      <c r="C1530" s="17" t="s">
        <v>804</v>
      </c>
      <c r="D1530" s="17" t="s">
        <v>801</v>
      </c>
      <c r="E1530" s="18">
        <v>3004160791041</v>
      </c>
      <c r="G1530" s="20" t="str">
        <f t="shared" si="69"/>
        <v xml:space="preserve"> ANSES/RONDES    </v>
      </c>
      <c r="H1530" s="20" t="str">
        <f t="shared" si="70"/>
        <v>SEROR</v>
      </c>
      <c r="I1530" s="20" t="str">
        <f t="shared" si="71"/>
        <v xml:space="preserve">XL   </v>
      </c>
    </row>
    <row r="1531" spans="1:9">
      <c r="A1531" s="17" t="s">
        <v>1058</v>
      </c>
      <c r="B1531" s="17" t="s">
        <v>1012</v>
      </c>
      <c r="C1531" s="17" t="s">
        <v>805</v>
      </c>
      <c r="D1531" s="17" t="s">
        <v>801</v>
      </c>
      <c r="E1531" s="18">
        <v>3004160791003</v>
      </c>
      <c r="G1531" s="20" t="str">
        <f t="shared" si="69"/>
        <v xml:space="preserve"> ANSES/RONDES    </v>
      </c>
      <c r="H1531" s="20" t="str">
        <f t="shared" si="70"/>
        <v>SEROR</v>
      </c>
      <c r="I1531" s="20" t="str">
        <f t="shared" si="71"/>
        <v xml:space="preserve">XS   </v>
      </c>
    </row>
    <row r="1532" spans="1:9">
      <c r="A1532" s="17" t="s">
        <v>1058</v>
      </c>
      <c r="B1532" s="17" t="s">
        <v>1071</v>
      </c>
      <c r="C1532" s="17" t="s">
        <v>800</v>
      </c>
      <c r="D1532" s="17" t="s">
        <v>801</v>
      </c>
      <c r="E1532" s="18">
        <v>3004161094035</v>
      </c>
      <c r="G1532" s="20" t="str">
        <f t="shared" si="69"/>
        <v xml:space="preserve"> ANSES/RONDES    </v>
      </c>
      <c r="H1532" s="20" t="str">
        <f t="shared" si="70"/>
        <v>SLBLU</v>
      </c>
      <c r="I1532" s="20" t="str">
        <f t="shared" si="71"/>
        <v xml:space="preserve">L    </v>
      </c>
    </row>
    <row r="1533" spans="1:9">
      <c r="A1533" s="17" t="s">
        <v>1058</v>
      </c>
      <c r="B1533" s="17" t="s">
        <v>1071</v>
      </c>
      <c r="C1533" s="17" t="s">
        <v>800</v>
      </c>
      <c r="D1533" s="17" t="s">
        <v>801</v>
      </c>
      <c r="E1533" s="18">
        <v>8056095064382</v>
      </c>
      <c r="G1533" s="20" t="str">
        <f t="shared" si="69"/>
        <v xml:space="preserve"> ANSES/RONDES    </v>
      </c>
      <c r="H1533" s="20" t="str">
        <f t="shared" si="70"/>
        <v>SLBLU</v>
      </c>
      <c r="I1533" s="20" t="str">
        <f t="shared" si="71"/>
        <v xml:space="preserve">L    </v>
      </c>
    </row>
    <row r="1534" spans="1:9">
      <c r="A1534" s="17" t="s">
        <v>1058</v>
      </c>
      <c r="B1534" s="17" t="s">
        <v>1071</v>
      </c>
      <c r="C1534" s="17" t="s">
        <v>802</v>
      </c>
      <c r="D1534" s="17" t="s">
        <v>801</v>
      </c>
      <c r="E1534" s="18">
        <v>3004161094028</v>
      </c>
      <c r="G1534" s="20" t="str">
        <f t="shared" si="69"/>
        <v xml:space="preserve"> ANSES/RONDES    </v>
      </c>
      <c r="H1534" s="20" t="str">
        <f t="shared" si="70"/>
        <v>SLBLU</v>
      </c>
      <c r="I1534" s="20" t="str">
        <f t="shared" si="71"/>
        <v xml:space="preserve">M    </v>
      </c>
    </row>
    <row r="1535" spans="1:9">
      <c r="A1535" s="17" t="s">
        <v>1058</v>
      </c>
      <c r="B1535" s="17" t="s">
        <v>1071</v>
      </c>
      <c r="C1535" s="17" t="s">
        <v>803</v>
      </c>
      <c r="D1535" s="17" t="s">
        <v>801</v>
      </c>
      <c r="E1535" s="18">
        <v>3004161094011</v>
      </c>
      <c r="G1535" s="20" t="str">
        <f t="shared" si="69"/>
        <v xml:space="preserve"> ANSES/RONDES    </v>
      </c>
      <c r="H1535" s="20" t="str">
        <f t="shared" si="70"/>
        <v>SLBLU</v>
      </c>
      <c r="I1535" s="20" t="str">
        <f t="shared" si="71"/>
        <v xml:space="preserve">S    </v>
      </c>
    </row>
    <row r="1536" spans="1:9">
      <c r="A1536" s="17" t="s">
        <v>1058</v>
      </c>
      <c r="B1536" s="17" t="s">
        <v>1071</v>
      </c>
      <c r="C1536" s="17" t="s">
        <v>804</v>
      </c>
      <c r="D1536" s="17" t="s">
        <v>801</v>
      </c>
      <c r="E1536" s="18">
        <v>3004161094042</v>
      </c>
      <c r="G1536" s="20" t="str">
        <f t="shared" si="69"/>
        <v xml:space="preserve"> ANSES/RONDES    </v>
      </c>
      <c r="H1536" s="20" t="str">
        <f t="shared" si="70"/>
        <v>SLBLU</v>
      </c>
      <c r="I1536" s="20" t="str">
        <f t="shared" si="71"/>
        <v xml:space="preserve">XL   </v>
      </c>
    </row>
    <row r="1537" spans="1:9">
      <c r="A1537" s="17" t="s">
        <v>1058</v>
      </c>
      <c r="B1537" s="17" t="s">
        <v>1071</v>
      </c>
      <c r="C1537" s="17" t="s">
        <v>805</v>
      </c>
      <c r="D1537" s="17" t="s">
        <v>801</v>
      </c>
      <c r="E1537" s="18">
        <v>3004161094004</v>
      </c>
      <c r="G1537" s="20" t="str">
        <f t="shared" si="69"/>
        <v xml:space="preserve"> ANSES/RONDES    </v>
      </c>
      <c r="H1537" s="20" t="str">
        <f t="shared" si="70"/>
        <v>SLBLU</v>
      </c>
      <c r="I1537" s="20" t="str">
        <f t="shared" si="71"/>
        <v xml:space="preserve">XS   </v>
      </c>
    </row>
    <row r="1538" spans="1:9">
      <c r="A1538" s="17" t="s">
        <v>1058</v>
      </c>
      <c r="B1538" s="17" t="s">
        <v>1072</v>
      </c>
      <c r="C1538" s="17" t="s">
        <v>800</v>
      </c>
      <c r="D1538" s="17" t="s">
        <v>801</v>
      </c>
      <c r="E1538" s="18">
        <v>3004161093038</v>
      </c>
      <c r="G1538" s="20" t="str">
        <f t="shared" si="69"/>
        <v xml:space="preserve"> ANSES/RONDES    </v>
      </c>
      <c r="H1538" s="20" t="str">
        <f t="shared" si="70"/>
        <v>SLGLI</v>
      </c>
      <c r="I1538" s="20" t="str">
        <f t="shared" si="71"/>
        <v xml:space="preserve">L    </v>
      </c>
    </row>
    <row r="1539" spans="1:9">
      <c r="A1539" s="17" t="s">
        <v>1058</v>
      </c>
      <c r="B1539" s="17" t="s">
        <v>1072</v>
      </c>
      <c r="C1539" s="17" t="s">
        <v>800</v>
      </c>
      <c r="D1539" s="17" t="s">
        <v>801</v>
      </c>
      <c r="E1539" s="18">
        <v>8056095064375</v>
      </c>
      <c r="G1539" s="20" t="str">
        <f t="shared" si="69"/>
        <v xml:space="preserve"> ANSES/RONDES    </v>
      </c>
      <c r="H1539" s="20" t="str">
        <f t="shared" si="70"/>
        <v>SLGLI</v>
      </c>
      <c r="I1539" s="20" t="str">
        <f t="shared" si="71"/>
        <v xml:space="preserve">L    </v>
      </c>
    </row>
    <row r="1540" spans="1:9">
      <c r="A1540" s="17" t="s">
        <v>1058</v>
      </c>
      <c r="B1540" s="17" t="s">
        <v>1072</v>
      </c>
      <c r="C1540" s="17" t="s">
        <v>802</v>
      </c>
      <c r="D1540" s="17" t="s">
        <v>801</v>
      </c>
      <c r="E1540" s="18">
        <v>3004161093021</v>
      </c>
      <c r="G1540" s="20" t="str">
        <f t="shared" si="69"/>
        <v xml:space="preserve"> ANSES/RONDES    </v>
      </c>
      <c r="H1540" s="20" t="str">
        <f t="shared" si="70"/>
        <v>SLGLI</v>
      </c>
      <c r="I1540" s="20" t="str">
        <f t="shared" si="71"/>
        <v xml:space="preserve">M    </v>
      </c>
    </row>
    <row r="1541" spans="1:9">
      <c r="A1541" s="17" t="s">
        <v>1058</v>
      </c>
      <c r="B1541" s="17" t="s">
        <v>1072</v>
      </c>
      <c r="C1541" s="17" t="s">
        <v>803</v>
      </c>
      <c r="D1541" s="17" t="s">
        <v>801</v>
      </c>
      <c r="E1541" s="18">
        <v>3004161093014</v>
      </c>
      <c r="G1541" s="20" t="str">
        <f t="shared" ref="G1541:G1604" si="72">A1541</f>
        <v xml:space="preserve"> ANSES/RONDES    </v>
      </c>
      <c r="H1541" s="20" t="str">
        <f t="shared" ref="H1541:H1604" si="73">B1541</f>
        <v>SLGLI</v>
      </c>
      <c r="I1541" s="20" t="str">
        <f t="shared" ref="I1541:I1604" si="74">C1541</f>
        <v xml:space="preserve">S    </v>
      </c>
    </row>
    <row r="1542" spans="1:9">
      <c r="A1542" s="17" t="s">
        <v>1058</v>
      </c>
      <c r="B1542" s="17" t="s">
        <v>1072</v>
      </c>
      <c r="C1542" s="17" t="s">
        <v>804</v>
      </c>
      <c r="D1542" s="17" t="s">
        <v>801</v>
      </c>
      <c r="E1542" s="18">
        <v>3004161093045</v>
      </c>
      <c r="G1542" s="20" t="str">
        <f t="shared" si="72"/>
        <v xml:space="preserve"> ANSES/RONDES    </v>
      </c>
      <c r="H1542" s="20" t="str">
        <f t="shared" si="73"/>
        <v>SLGLI</v>
      </c>
      <c r="I1542" s="20" t="str">
        <f t="shared" si="74"/>
        <v xml:space="preserve">XL   </v>
      </c>
    </row>
    <row r="1543" spans="1:9">
      <c r="A1543" s="17" t="s">
        <v>1058</v>
      </c>
      <c r="B1543" s="17" t="s">
        <v>1072</v>
      </c>
      <c r="C1543" s="17" t="s">
        <v>805</v>
      </c>
      <c r="D1543" s="17" t="s">
        <v>801</v>
      </c>
      <c r="E1543" s="18">
        <v>3004161093007</v>
      </c>
      <c r="G1543" s="20" t="str">
        <f t="shared" si="72"/>
        <v xml:space="preserve"> ANSES/RONDES    </v>
      </c>
      <c r="H1543" s="20" t="str">
        <f t="shared" si="73"/>
        <v>SLGLI</v>
      </c>
      <c r="I1543" s="20" t="str">
        <f t="shared" si="74"/>
        <v xml:space="preserve">XS   </v>
      </c>
    </row>
    <row r="1544" spans="1:9">
      <c r="A1544" s="17" t="s">
        <v>1058</v>
      </c>
      <c r="B1544" s="17" t="s">
        <v>1073</v>
      </c>
      <c r="C1544" s="17" t="s">
        <v>800</v>
      </c>
      <c r="D1544" s="17" t="s">
        <v>801</v>
      </c>
      <c r="E1544" s="18">
        <v>3004161092031</v>
      </c>
      <c r="G1544" s="20" t="str">
        <f t="shared" si="72"/>
        <v xml:space="preserve"> ANSES/RONDES    </v>
      </c>
      <c r="H1544" s="20" t="str">
        <f t="shared" si="73"/>
        <v>SLSAL</v>
      </c>
      <c r="I1544" s="20" t="str">
        <f t="shared" si="74"/>
        <v xml:space="preserve">L    </v>
      </c>
    </row>
    <row r="1545" spans="1:9">
      <c r="A1545" s="17" t="s">
        <v>1058</v>
      </c>
      <c r="B1545" s="17" t="s">
        <v>1073</v>
      </c>
      <c r="C1545" s="17" t="s">
        <v>800</v>
      </c>
      <c r="D1545" s="17" t="s">
        <v>801</v>
      </c>
      <c r="E1545" s="18">
        <v>8056095064368</v>
      </c>
      <c r="G1545" s="20" t="str">
        <f t="shared" si="72"/>
        <v xml:space="preserve"> ANSES/RONDES    </v>
      </c>
      <c r="H1545" s="20" t="str">
        <f t="shared" si="73"/>
        <v>SLSAL</v>
      </c>
      <c r="I1545" s="20" t="str">
        <f t="shared" si="74"/>
        <v xml:space="preserve">L    </v>
      </c>
    </row>
    <row r="1546" spans="1:9">
      <c r="A1546" s="17" t="s">
        <v>1058</v>
      </c>
      <c r="B1546" s="17" t="s">
        <v>1073</v>
      </c>
      <c r="C1546" s="17" t="s">
        <v>802</v>
      </c>
      <c r="D1546" s="17" t="s">
        <v>801</v>
      </c>
      <c r="E1546" s="18">
        <v>3004161092024</v>
      </c>
      <c r="G1546" s="20" t="str">
        <f t="shared" si="72"/>
        <v xml:space="preserve"> ANSES/RONDES    </v>
      </c>
      <c r="H1546" s="20" t="str">
        <f t="shared" si="73"/>
        <v>SLSAL</v>
      </c>
      <c r="I1546" s="20" t="str">
        <f t="shared" si="74"/>
        <v xml:space="preserve">M    </v>
      </c>
    </row>
    <row r="1547" spans="1:9">
      <c r="A1547" s="17" t="s">
        <v>1058</v>
      </c>
      <c r="B1547" s="17" t="s">
        <v>1073</v>
      </c>
      <c r="C1547" s="17" t="s">
        <v>803</v>
      </c>
      <c r="D1547" s="17" t="s">
        <v>801</v>
      </c>
      <c r="E1547" s="18">
        <v>3004161092017</v>
      </c>
      <c r="G1547" s="20" t="str">
        <f t="shared" si="72"/>
        <v xml:space="preserve"> ANSES/RONDES    </v>
      </c>
      <c r="H1547" s="20" t="str">
        <f t="shared" si="73"/>
        <v>SLSAL</v>
      </c>
      <c r="I1547" s="20" t="str">
        <f t="shared" si="74"/>
        <v xml:space="preserve">S    </v>
      </c>
    </row>
    <row r="1548" spans="1:9">
      <c r="A1548" s="17" t="s">
        <v>1058</v>
      </c>
      <c r="B1548" s="17" t="s">
        <v>1073</v>
      </c>
      <c r="C1548" s="17" t="s">
        <v>804</v>
      </c>
      <c r="D1548" s="17" t="s">
        <v>801</v>
      </c>
      <c r="E1548" s="18">
        <v>3004161092048</v>
      </c>
      <c r="G1548" s="20" t="str">
        <f t="shared" si="72"/>
        <v xml:space="preserve"> ANSES/RONDES    </v>
      </c>
      <c r="H1548" s="20" t="str">
        <f t="shared" si="73"/>
        <v>SLSAL</v>
      </c>
      <c r="I1548" s="20" t="str">
        <f t="shared" si="74"/>
        <v xml:space="preserve">XL   </v>
      </c>
    </row>
    <row r="1549" spans="1:9">
      <c r="A1549" s="17" t="s">
        <v>1058</v>
      </c>
      <c r="B1549" s="17" t="s">
        <v>1073</v>
      </c>
      <c r="C1549" s="17" t="s">
        <v>805</v>
      </c>
      <c r="D1549" s="17" t="s">
        <v>801</v>
      </c>
      <c r="E1549" s="18">
        <v>3004161092000</v>
      </c>
      <c r="G1549" s="20" t="str">
        <f t="shared" si="72"/>
        <v xml:space="preserve"> ANSES/RONDES    </v>
      </c>
      <c r="H1549" s="20" t="str">
        <f t="shared" si="73"/>
        <v>SLSAL</v>
      </c>
      <c r="I1549" s="20" t="str">
        <f t="shared" si="74"/>
        <v xml:space="preserve">XS   </v>
      </c>
    </row>
    <row r="1550" spans="1:9">
      <c r="A1550" s="17" t="s">
        <v>1058</v>
      </c>
      <c r="B1550" s="17" t="s">
        <v>1074</v>
      </c>
      <c r="C1550" s="17" t="s">
        <v>800</v>
      </c>
      <c r="D1550" s="17" t="s">
        <v>801</v>
      </c>
      <c r="E1550" s="18">
        <v>3004160769033</v>
      </c>
      <c r="G1550" s="20" t="str">
        <f t="shared" si="72"/>
        <v xml:space="preserve"> ANSES/RONDES    </v>
      </c>
      <c r="H1550" s="20" t="str">
        <f t="shared" si="73"/>
        <v>TURQU</v>
      </c>
      <c r="I1550" s="20" t="str">
        <f t="shared" si="74"/>
        <v xml:space="preserve">L    </v>
      </c>
    </row>
    <row r="1551" spans="1:9">
      <c r="A1551" s="17" t="s">
        <v>1058</v>
      </c>
      <c r="B1551" s="17" t="s">
        <v>1074</v>
      </c>
      <c r="C1551" s="17" t="s">
        <v>802</v>
      </c>
      <c r="D1551" s="17" t="s">
        <v>801</v>
      </c>
      <c r="E1551" s="18">
        <v>3004160769026</v>
      </c>
      <c r="G1551" s="20" t="str">
        <f t="shared" si="72"/>
        <v xml:space="preserve"> ANSES/RONDES    </v>
      </c>
      <c r="H1551" s="20" t="str">
        <f t="shared" si="73"/>
        <v>TURQU</v>
      </c>
      <c r="I1551" s="20" t="str">
        <f t="shared" si="74"/>
        <v xml:space="preserve">M    </v>
      </c>
    </row>
    <row r="1552" spans="1:9">
      <c r="A1552" s="17" t="s">
        <v>1058</v>
      </c>
      <c r="B1552" s="17" t="s">
        <v>1074</v>
      </c>
      <c r="C1552" s="17" t="s">
        <v>803</v>
      </c>
      <c r="D1552" s="17" t="s">
        <v>801</v>
      </c>
      <c r="E1552" s="18">
        <v>3004160769019</v>
      </c>
      <c r="G1552" s="20" t="str">
        <f t="shared" si="72"/>
        <v xml:space="preserve"> ANSES/RONDES    </v>
      </c>
      <c r="H1552" s="20" t="str">
        <f t="shared" si="73"/>
        <v>TURQU</v>
      </c>
      <c r="I1552" s="20" t="str">
        <f t="shared" si="74"/>
        <v xml:space="preserve">S    </v>
      </c>
    </row>
    <row r="1553" spans="1:9">
      <c r="A1553" s="17" t="s">
        <v>1058</v>
      </c>
      <c r="B1553" s="17" t="s">
        <v>1074</v>
      </c>
      <c r="C1553" s="17" t="s">
        <v>804</v>
      </c>
      <c r="D1553" s="17" t="s">
        <v>801</v>
      </c>
      <c r="E1553" s="18">
        <v>3004160769040</v>
      </c>
      <c r="G1553" s="20" t="str">
        <f t="shared" si="72"/>
        <v xml:space="preserve"> ANSES/RONDES    </v>
      </c>
      <c r="H1553" s="20" t="str">
        <f t="shared" si="73"/>
        <v>TURQU</v>
      </c>
      <c r="I1553" s="20" t="str">
        <f t="shared" si="74"/>
        <v xml:space="preserve">XL   </v>
      </c>
    </row>
    <row r="1554" spans="1:9">
      <c r="A1554" s="17" t="s">
        <v>1058</v>
      </c>
      <c r="B1554" s="17" t="s">
        <v>1074</v>
      </c>
      <c r="C1554" s="17" t="s">
        <v>805</v>
      </c>
      <c r="D1554" s="17" t="s">
        <v>801</v>
      </c>
      <c r="E1554" s="18">
        <v>3004160769002</v>
      </c>
      <c r="G1554" s="20" t="str">
        <f t="shared" si="72"/>
        <v xml:space="preserve"> ANSES/RONDES    </v>
      </c>
      <c r="H1554" s="20" t="str">
        <f t="shared" si="73"/>
        <v>TURQU</v>
      </c>
      <c r="I1554" s="20" t="str">
        <f t="shared" si="74"/>
        <v xml:space="preserve">XS   </v>
      </c>
    </row>
    <row r="1555" spans="1:9">
      <c r="A1555" s="17" t="s">
        <v>1058</v>
      </c>
      <c r="B1555" s="17" t="s">
        <v>1075</v>
      </c>
      <c r="C1555" s="17" t="s">
        <v>800</v>
      </c>
      <c r="D1555" s="17" t="s">
        <v>801</v>
      </c>
      <c r="E1555" s="18">
        <v>3004160770039</v>
      </c>
      <c r="G1555" s="20" t="str">
        <f t="shared" si="72"/>
        <v xml:space="preserve"> ANSES/RONDES    </v>
      </c>
      <c r="H1555" s="20" t="str">
        <f t="shared" si="73"/>
        <v>VERPO</v>
      </c>
      <c r="I1555" s="20" t="str">
        <f t="shared" si="74"/>
        <v xml:space="preserve">L    </v>
      </c>
    </row>
    <row r="1556" spans="1:9">
      <c r="A1556" s="17" t="s">
        <v>1058</v>
      </c>
      <c r="B1556" s="17" t="s">
        <v>1075</v>
      </c>
      <c r="C1556" s="17" t="s">
        <v>802</v>
      </c>
      <c r="D1556" s="17" t="s">
        <v>801</v>
      </c>
      <c r="E1556" s="18">
        <v>3004160770022</v>
      </c>
      <c r="G1556" s="20" t="str">
        <f t="shared" si="72"/>
        <v xml:space="preserve"> ANSES/RONDES    </v>
      </c>
      <c r="H1556" s="20" t="str">
        <f t="shared" si="73"/>
        <v>VERPO</v>
      </c>
      <c r="I1556" s="20" t="str">
        <f t="shared" si="74"/>
        <v xml:space="preserve">M    </v>
      </c>
    </row>
    <row r="1557" spans="1:9">
      <c r="A1557" s="17" t="s">
        <v>1058</v>
      </c>
      <c r="B1557" s="17" t="s">
        <v>1075</v>
      </c>
      <c r="C1557" s="17" t="s">
        <v>803</v>
      </c>
      <c r="D1557" s="17" t="s">
        <v>801</v>
      </c>
      <c r="E1557" s="18">
        <v>3004160770015</v>
      </c>
      <c r="G1557" s="20" t="str">
        <f t="shared" si="72"/>
        <v xml:space="preserve"> ANSES/RONDES    </v>
      </c>
      <c r="H1557" s="20" t="str">
        <f t="shared" si="73"/>
        <v>VERPO</v>
      </c>
      <c r="I1557" s="20" t="str">
        <f t="shared" si="74"/>
        <v xml:space="preserve">S    </v>
      </c>
    </row>
    <row r="1558" spans="1:9">
      <c r="A1558" s="17" t="s">
        <v>1058</v>
      </c>
      <c r="B1558" s="17" t="s">
        <v>1075</v>
      </c>
      <c r="C1558" s="17" t="s">
        <v>804</v>
      </c>
      <c r="D1558" s="17" t="s">
        <v>801</v>
      </c>
      <c r="E1558" s="18">
        <v>3004160770046</v>
      </c>
      <c r="G1558" s="20" t="str">
        <f t="shared" si="72"/>
        <v xml:space="preserve"> ANSES/RONDES    </v>
      </c>
      <c r="H1558" s="20" t="str">
        <f t="shared" si="73"/>
        <v>VERPO</v>
      </c>
      <c r="I1558" s="20" t="str">
        <f t="shared" si="74"/>
        <v xml:space="preserve">XL   </v>
      </c>
    </row>
    <row r="1559" spans="1:9">
      <c r="A1559" s="17" t="s">
        <v>1058</v>
      </c>
      <c r="B1559" s="17" t="s">
        <v>1075</v>
      </c>
      <c r="C1559" s="17" t="s">
        <v>805</v>
      </c>
      <c r="D1559" s="17" t="s">
        <v>801</v>
      </c>
      <c r="E1559" s="18">
        <v>3004160770008</v>
      </c>
      <c r="G1559" s="20" t="str">
        <f t="shared" si="72"/>
        <v xml:space="preserve"> ANSES/RONDES    </v>
      </c>
      <c r="H1559" s="20" t="str">
        <f t="shared" si="73"/>
        <v>VERPO</v>
      </c>
      <c r="I1559" s="20" t="str">
        <f t="shared" si="74"/>
        <v xml:space="preserve">XS   </v>
      </c>
    </row>
    <row r="1560" spans="1:9">
      <c r="A1560" s="17" t="s">
        <v>1058</v>
      </c>
      <c r="B1560" s="17" t="s">
        <v>1024</v>
      </c>
      <c r="C1560" s="17" t="s">
        <v>800</v>
      </c>
      <c r="D1560" s="17" t="s">
        <v>801</v>
      </c>
      <c r="E1560" s="18">
        <v>3004160435037</v>
      </c>
      <c r="G1560" s="20" t="str">
        <f t="shared" si="72"/>
        <v xml:space="preserve"> ANSES/RONDES    </v>
      </c>
      <c r="H1560" s="20" t="str">
        <f t="shared" si="73"/>
        <v xml:space="preserve">VIOL </v>
      </c>
      <c r="I1560" s="20" t="str">
        <f t="shared" si="74"/>
        <v xml:space="preserve">L    </v>
      </c>
    </row>
    <row r="1561" spans="1:9">
      <c r="A1561" s="17" t="s">
        <v>1058</v>
      </c>
      <c r="B1561" s="17" t="s">
        <v>1024</v>
      </c>
      <c r="C1561" s="17" t="s">
        <v>802</v>
      </c>
      <c r="D1561" s="17" t="s">
        <v>801</v>
      </c>
      <c r="E1561" s="18">
        <v>3004160435020</v>
      </c>
      <c r="G1561" s="20" t="str">
        <f t="shared" si="72"/>
        <v xml:space="preserve"> ANSES/RONDES    </v>
      </c>
      <c r="H1561" s="20" t="str">
        <f t="shared" si="73"/>
        <v xml:space="preserve">VIOL </v>
      </c>
      <c r="I1561" s="20" t="str">
        <f t="shared" si="74"/>
        <v xml:space="preserve">M    </v>
      </c>
    </row>
    <row r="1562" spans="1:9">
      <c r="A1562" s="17" t="s">
        <v>1058</v>
      </c>
      <c r="B1562" s="17" t="s">
        <v>1024</v>
      </c>
      <c r="C1562" s="17" t="s">
        <v>803</v>
      </c>
      <c r="D1562" s="17" t="s">
        <v>801</v>
      </c>
      <c r="E1562" s="18">
        <v>3004160435013</v>
      </c>
      <c r="G1562" s="20" t="str">
        <f t="shared" si="72"/>
        <v xml:space="preserve"> ANSES/RONDES    </v>
      </c>
      <c r="H1562" s="20" t="str">
        <f t="shared" si="73"/>
        <v xml:space="preserve">VIOL </v>
      </c>
      <c r="I1562" s="20" t="str">
        <f t="shared" si="74"/>
        <v xml:space="preserve">S    </v>
      </c>
    </row>
    <row r="1563" spans="1:9">
      <c r="A1563" s="17" t="s">
        <v>1058</v>
      </c>
      <c r="B1563" s="17" t="s">
        <v>1024</v>
      </c>
      <c r="C1563" s="17" t="s">
        <v>804</v>
      </c>
      <c r="D1563" s="17" t="s">
        <v>801</v>
      </c>
      <c r="E1563" s="18">
        <v>3004160435044</v>
      </c>
      <c r="G1563" s="20" t="str">
        <f t="shared" si="72"/>
        <v xml:space="preserve"> ANSES/RONDES    </v>
      </c>
      <c r="H1563" s="20" t="str">
        <f t="shared" si="73"/>
        <v xml:space="preserve">VIOL </v>
      </c>
      <c r="I1563" s="20" t="str">
        <f t="shared" si="74"/>
        <v xml:space="preserve">XL   </v>
      </c>
    </row>
    <row r="1564" spans="1:9">
      <c r="A1564" s="17" t="s">
        <v>1058</v>
      </c>
      <c r="B1564" s="17" t="s">
        <v>1024</v>
      </c>
      <c r="C1564" s="17" t="s">
        <v>805</v>
      </c>
      <c r="D1564" s="17" t="s">
        <v>801</v>
      </c>
      <c r="E1564" s="18">
        <v>3004160435006</v>
      </c>
      <c r="G1564" s="20" t="str">
        <f t="shared" si="72"/>
        <v xml:space="preserve"> ANSES/RONDES    </v>
      </c>
      <c r="H1564" s="20" t="str">
        <f t="shared" si="73"/>
        <v xml:space="preserve">VIOL </v>
      </c>
      <c r="I1564" s="20" t="str">
        <f t="shared" si="74"/>
        <v xml:space="preserve">XS   </v>
      </c>
    </row>
    <row r="1565" spans="1:9">
      <c r="A1565" s="17" t="s">
        <v>1076</v>
      </c>
      <c r="B1565" s="17" t="s">
        <v>809</v>
      </c>
      <c r="C1565" s="17">
        <v>0</v>
      </c>
      <c r="D1565" s="17" t="s">
        <v>801</v>
      </c>
      <c r="E1565" s="18">
        <v>8050538590636</v>
      </c>
      <c r="G1565" s="20" t="str">
        <f t="shared" si="72"/>
        <v xml:space="preserve"> ANSES/SQUARE    </v>
      </c>
      <c r="H1565" s="20" t="str">
        <f t="shared" si="73"/>
        <v>AUBER</v>
      </c>
      <c r="I1565" s="20">
        <f t="shared" si="74"/>
        <v>0</v>
      </c>
    </row>
    <row r="1566" spans="1:9">
      <c r="A1566" s="17" t="s">
        <v>1076</v>
      </c>
      <c r="B1566" s="17" t="s">
        <v>818</v>
      </c>
      <c r="C1566" s="17">
        <v>0</v>
      </c>
      <c r="D1566" s="17" t="s">
        <v>801</v>
      </c>
      <c r="E1566" s="18">
        <v>8056099179716</v>
      </c>
      <c r="G1566" s="20" t="str">
        <f t="shared" si="72"/>
        <v xml:space="preserve"> ANSES/SQUARE    </v>
      </c>
      <c r="H1566" s="20" t="str">
        <f t="shared" si="73"/>
        <v xml:space="preserve">BDX  </v>
      </c>
      <c r="I1566" s="20">
        <f t="shared" si="74"/>
        <v>0</v>
      </c>
    </row>
    <row r="1567" spans="1:9">
      <c r="A1567" s="17" t="s">
        <v>1076</v>
      </c>
      <c r="B1567" s="17" t="s">
        <v>1077</v>
      </c>
      <c r="C1567" s="17">
        <v>0</v>
      </c>
      <c r="D1567" s="17" t="s">
        <v>801</v>
      </c>
      <c r="E1567" s="18">
        <v>3005241073001</v>
      </c>
      <c r="G1567" s="20" t="str">
        <f t="shared" si="72"/>
        <v xml:space="preserve"> ANSES/SQUARE    </v>
      </c>
      <c r="H1567" s="20" t="str">
        <f t="shared" si="73"/>
        <v>BISCO</v>
      </c>
      <c r="I1567" s="20">
        <f t="shared" si="74"/>
        <v>0</v>
      </c>
    </row>
    <row r="1568" spans="1:9">
      <c r="A1568" s="17" t="s">
        <v>1076</v>
      </c>
      <c r="B1568" s="17" t="s">
        <v>1077</v>
      </c>
      <c r="C1568" s="17">
        <v>0</v>
      </c>
      <c r="D1568" s="17" t="s">
        <v>801</v>
      </c>
      <c r="E1568" s="18">
        <v>8056099170164</v>
      </c>
      <c r="G1568" s="20" t="str">
        <f t="shared" si="72"/>
        <v xml:space="preserve"> ANSES/SQUARE    </v>
      </c>
      <c r="H1568" s="20" t="str">
        <f t="shared" si="73"/>
        <v>BISCO</v>
      </c>
      <c r="I1568" s="20">
        <f t="shared" si="74"/>
        <v>0</v>
      </c>
    </row>
    <row r="1569" spans="1:9">
      <c r="A1569" s="17" t="s">
        <v>1076</v>
      </c>
      <c r="B1569" s="17" t="s">
        <v>930</v>
      </c>
      <c r="C1569" s="17">
        <v>0</v>
      </c>
      <c r="D1569" s="17" t="s">
        <v>801</v>
      </c>
      <c r="E1569" s="18">
        <v>3005240557007</v>
      </c>
      <c r="G1569" s="20" t="str">
        <f t="shared" si="72"/>
        <v xml:space="preserve"> ANSES/SQUARE    </v>
      </c>
      <c r="H1569" s="20" t="str">
        <f t="shared" si="73"/>
        <v xml:space="preserve">BLK  </v>
      </c>
      <c r="I1569" s="20">
        <f t="shared" si="74"/>
        <v>0</v>
      </c>
    </row>
    <row r="1570" spans="1:9">
      <c r="A1570" s="17" t="s">
        <v>1076</v>
      </c>
      <c r="B1570" s="17" t="s">
        <v>930</v>
      </c>
      <c r="C1570" s="17">
        <v>0</v>
      </c>
      <c r="D1570" s="17" t="s">
        <v>801</v>
      </c>
      <c r="E1570" s="18">
        <v>8056099170225</v>
      </c>
      <c r="G1570" s="20" t="str">
        <f t="shared" si="72"/>
        <v xml:space="preserve"> ANSES/SQUARE    </v>
      </c>
      <c r="H1570" s="20" t="str">
        <f t="shared" si="73"/>
        <v xml:space="preserve">BLK  </v>
      </c>
      <c r="I1570" s="20">
        <f t="shared" si="74"/>
        <v>0</v>
      </c>
    </row>
    <row r="1571" spans="1:9">
      <c r="A1571" s="17" t="s">
        <v>1076</v>
      </c>
      <c r="B1571" s="17" t="s">
        <v>810</v>
      </c>
      <c r="C1571" s="17">
        <v>0</v>
      </c>
      <c r="D1571" s="17" t="s">
        <v>801</v>
      </c>
      <c r="E1571" s="18">
        <v>8056099170201</v>
      </c>
      <c r="G1571" s="20" t="str">
        <f t="shared" si="72"/>
        <v xml:space="preserve"> ANSES/SQUARE    </v>
      </c>
      <c r="H1571" s="20" t="str">
        <f t="shared" si="73"/>
        <v xml:space="preserve">BLUE </v>
      </c>
      <c r="I1571" s="20">
        <f t="shared" si="74"/>
        <v>0</v>
      </c>
    </row>
    <row r="1572" spans="1:9">
      <c r="A1572" s="17" t="s">
        <v>1076</v>
      </c>
      <c r="B1572" s="17" t="s">
        <v>858</v>
      </c>
      <c r="C1572" s="17">
        <v>0</v>
      </c>
      <c r="D1572" s="17" t="s">
        <v>801</v>
      </c>
      <c r="E1572" s="18">
        <v>3005240341002</v>
      </c>
      <c r="G1572" s="20" t="str">
        <f t="shared" si="72"/>
        <v xml:space="preserve"> ANSES/SQUARE    </v>
      </c>
      <c r="H1572" s="20" t="str">
        <f t="shared" si="73"/>
        <v xml:space="preserve">GREY </v>
      </c>
      <c r="I1572" s="20">
        <f t="shared" si="74"/>
        <v>0</v>
      </c>
    </row>
    <row r="1573" spans="1:9">
      <c r="A1573" s="17" t="s">
        <v>1076</v>
      </c>
      <c r="B1573" s="17" t="s">
        <v>858</v>
      </c>
      <c r="C1573" s="17">
        <v>0</v>
      </c>
      <c r="D1573" s="17" t="s">
        <v>801</v>
      </c>
      <c r="E1573" s="18">
        <v>8056099170157</v>
      </c>
      <c r="G1573" s="20" t="str">
        <f t="shared" si="72"/>
        <v xml:space="preserve"> ANSES/SQUARE    </v>
      </c>
      <c r="H1573" s="20" t="str">
        <f t="shared" si="73"/>
        <v xml:space="preserve">GREY </v>
      </c>
      <c r="I1573" s="20">
        <f t="shared" si="74"/>
        <v>0</v>
      </c>
    </row>
    <row r="1574" spans="1:9">
      <c r="A1574" s="17" t="s">
        <v>1076</v>
      </c>
      <c r="B1574" s="17" t="s">
        <v>892</v>
      </c>
      <c r="C1574" s="17">
        <v>0</v>
      </c>
      <c r="D1574" s="17" t="s">
        <v>801</v>
      </c>
      <c r="E1574" s="18">
        <v>3005240473000</v>
      </c>
      <c r="G1574" s="20" t="str">
        <f t="shared" si="72"/>
        <v xml:space="preserve"> ANSES/SQUARE    </v>
      </c>
      <c r="H1574" s="20" t="str">
        <f t="shared" si="73"/>
        <v xml:space="preserve">LIME </v>
      </c>
      <c r="I1574" s="20">
        <f t="shared" si="74"/>
        <v>0</v>
      </c>
    </row>
    <row r="1575" spans="1:9">
      <c r="A1575" s="17" t="s">
        <v>1076</v>
      </c>
      <c r="B1575" s="17" t="s">
        <v>892</v>
      </c>
      <c r="C1575" s="17">
        <v>0</v>
      </c>
      <c r="D1575" s="17" t="s">
        <v>801</v>
      </c>
      <c r="E1575" s="18">
        <v>8056099170140</v>
      </c>
      <c r="G1575" s="20" t="str">
        <f t="shared" si="72"/>
        <v xml:space="preserve"> ANSES/SQUARE    </v>
      </c>
      <c r="H1575" s="20" t="str">
        <f t="shared" si="73"/>
        <v xml:space="preserve">LIME </v>
      </c>
      <c r="I1575" s="20">
        <f t="shared" si="74"/>
        <v>0</v>
      </c>
    </row>
    <row r="1576" spans="1:9">
      <c r="A1576" s="17" t="s">
        <v>1076</v>
      </c>
      <c r="B1576" s="17" t="s">
        <v>1078</v>
      </c>
      <c r="C1576" s="17">
        <v>0</v>
      </c>
      <c r="D1576" s="17" t="s">
        <v>801</v>
      </c>
      <c r="E1576" s="18">
        <v>3005240494005</v>
      </c>
      <c r="G1576" s="20" t="str">
        <f t="shared" si="72"/>
        <v xml:space="preserve"> ANSES/SQUARE    </v>
      </c>
      <c r="H1576" s="20" t="str">
        <f t="shared" si="73"/>
        <v xml:space="preserve">NAVY </v>
      </c>
      <c r="I1576" s="20">
        <f t="shared" si="74"/>
        <v>0</v>
      </c>
    </row>
    <row r="1577" spans="1:9">
      <c r="A1577" s="17" t="s">
        <v>1076</v>
      </c>
      <c r="B1577" s="17" t="s">
        <v>971</v>
      </c>
      <c r="C1577" s="17">
        <v>0</v>
      </c>
      <c r="D1577" s="17" t="s">
        <v>801</v>
      </c>
      <c r="E1577" s="18">
        <v>8050538591350</v>
      </c>
      <c r="G1577" s="20" t="str">
        <f t="shared" si="72"/>
        <v xml:space="preserve"> ANSES/SQUARE    </v>
      </c>
      <c r="H1577" s="20" t="str">
        <f t="shared" si="73"/>
        <v>OTTAN</v>
      </c>
      <c r="I1577" s="20">
        <f t="shared" si="74"/>
        <v>0</v>
      </c>
    </row>
    <row r="1578" spans="1:9">
      <c r="A1578" s="17" t="s">
        <v>1076</v>
      </c>
      <c r="B1578" s="17" t="s">
        <v>283</v>
      </c>
      <c r="C1578" s="17">
        <v>0</v>
      </c>
      <c r="D1578" s="17" t="s">
        <v>801</v>
      </c>
      <c r="E1578" s="18">
        <v>3005240871004</v>
      </c>
      <c r="G1578" s="20" t="str">
        <f t="shared" si="72"/>
        <v xml:space="preserve"> ANSES/SQUARE    </v>
      </c>
      <c r="H1578" s="20" t="str">
        <f t="shared" si="73"/>
        <v>PHARD</v>
      </c>
      <c r="I1578" s="20">
        <f t="shared" si="74"/>
        <v>0</v>
      </c>
    </row>
    <row r="1579" spans="1:9">
      <c r="A1579" s="17" t="s">
        <v>1076</v>
      </c>
      <c r="B1579" s="17" t="s">
        <v>283</v>
      </c>
      <c r="C1579" s="17">
        <v>0</v>
      </c>
      <c r="D1579" s="17" t="s">
        <v>801</v>
      </c>
      <c r="E1579" s="18">
        <v>8056099170171</v>
      </c>
      <c r="G1579" s="20" t="str">
        <f t="shared" si="72"/>
        <v xml:space="preserve"> ANSES/SQUARE    </v>
      </c>
      <c r="H1579" s="20" t="str">
        <f t="shared" si="73"/>
        <v>PHARD</v>
      </c>
      <c r="I1579" s="20">
        <f t="shared" si="74"/>
        <v>0</v>
      </c>
    </row>
    <row r="1580" spans="1:9">
      <c r="A1580" s="17" t="s">
        <v>1076</v>
      </c>
      <c r="B1580" s="17" t="s">
        <v>1079</v>
      </c>
      <c r="C1580" s="17">
        <v>0</v>
      </c>
      <c r="D1580" s="17" t="s">
        <v>801</v>
      </c>
      <c r="E1580" s="18">
        <v>3005240410005</v>
      </c>
      <c r="G1580" s="20" t="str">
        <f t="shared" si="72"/>
        <v xml:space="preserve"> ANSES/SQUARE    </v>
      </c>
      <c r="H1580" s="20" t="str">
        <f t="shared" si="73"/>
        <v xml:space="preserve">SLVG </v>
      </c>
      <c r="I1580" s="20">
        <f t="shared" si="74"/>
        <v>0</v>
      </c>
    </row>
    <row r="1581" spans="1:9">
      <c r="A1581" s="17" t="s">
        <v>1076</v>
      </c>
      <c r="B1581" s="17" t="s">
        <v>1079</v>
      </c>
      <c r="C1581" s="17">
        <v>0</v>
      </c>
      <c r="D1581" s="17" t="s">
        <v>801</v>
      </c>
      <c r="E1581" s="18">
        <v>8056099170218</v>
      </c>
      <c r="G1581" s="20" t="str">
        <f t="shared" si="72"/>
        <v xml:space="preserve"> ANSES/SQUARE    </v>
      </c>
      <c r="H1581" s="20" t="str">
        <f t="shared" si="73"/>
        <v xml:space="preserve">SLVG </v>
      </c>
      <c r="I1581" s="20">
        <f t="shared" si="74"/>
        <v>0</v>
      </c>
    </row>
    <row r="1582" spans="1:9">
      <c r="A1582" s="17" t="s">
        <v>1076</v>
      </c>
      <c r="B1582" s="17" t="s">
        <v>1080</v>
      </c>
      <c r="C1582" s="17">
        <v>0</v>
      </c>
      <c r="D1582" s="17" t="s">
        <v>801</v>
      </c>
      <c r="E1582" s="18">
        <v>3005241074008</v>
      </c>
      <c r="G1582" s="20" t="str">
        <f t="shared" si="72"/>
        <v xml:space="preserve"> ANSES/SQUARE    </v>
      </c>
      <c r="H1582" s="20" t="str">
        <f t="shared" si="73"/>
        <v>TERRA</v>
      </c>
      <c r="I1582" s="20">
        <f t="shared" si="74"/>
        <v>0</v>
      </c>
    </row>
    <row r="1583" spans="1:9">
      <c r="A1583" s="17" t="s">
        <v>1076</v>
      </c>
      <c r="B1583" s="17" t="s">
        <v>1080</v>
      </c>
      <c r="C1583" s="17">
        <v>0</v>
      </c>
      <c r="D1583" s="17" t="s">
        <v>801</v>
      </c>
      <c r="E1583" s="18">
        <v>8056099170188</v>
      </c>
      <c r="G1583" s="20" t="str">
        <f t="shared" si="72"/>
        <v xml:space="preserve"> ANSES/SQUARE    </v>
      </c>
      <c r="H1583" s="20" t="str">
        <f t="shared" si="73"/>
        <v>TERRA</v>
      </c>
      <c r="I1583" s="20">
        <f t="shared" si="74"/>
        <v>0</v>
      </c>
    </row>
    <row r="1584" spans="1:9">
      <c r="A1584" s="17" t="s">
        <v>1076</v>
      </c>
      <c r="B1584" s="17" t="s">
        <v>867</v>
      </c>
      <c r="C1584" s="17">
        <v>0</v>
      </c>
      <c r="D1584" s="17" t="s">
        <v>801</v>
      </c>
      <c r="E1584" s="18">
        <v>3005241032008</v>
      </c>
      <c r="G1584" s="20" t="str">
        <f t="shared" si="72"/>
        <v xml:space="preserve"> ANSES/SQUARE    </v>
      </c>
      <c r="H1584" s="20" t="str">
        <f t="shared" si="73"/>
        <v>VERTF</v>
      </c>
      <c r="I1584" s="20">
        <f t="shared" si="74"/>
        <v>0</v>
      </c>
    </row>
    <row r="1585" spans="1:9">
      <c r="A1585" s="17" t="s">
        <v>1076</v>
      </c>
      <c r="B1585" s="17" t="s">
        <v>867</v>
      </c>
      <c r="C1585" s="17">
        <v>0</v>
      </c>
      <c r="D1585" s="17" t="s">
        <v>801</v>
      </c>
      <c r="E1585" s="18">
        <v>8056099170195</v>
      </c>
      <c r="G1585" s="20" t="str">
        <f t="shared" si="72"/>
        <v xml:space="preserve"> ANSES/SQUARE    </v>
      </c>
      <c r="H1585" s="20" t="str">
        <f t="shared" si="73"/>
        <v>VERTF</v>
      </c>
      <c r="I1585" s="20">
        <f t="shared" si="74"/>
        <v>0</v>
      </c>
    </row>
    <row r="1586" spans="1:9">
      <c r="A1586" s="17" t="s">
        <v>1081</v>
      </c>
      <c r="B1586" s="17" t="s">
        <v>1082</v>
      </c>
      <c r="C1586" s="17" t="s">
        <v>800</v>
      </c>
      <c r="D1586" s="17" t="s">
        <v>801</v>
      </c>
      <c r="E1586" s="18">
        <v>3004520249038</v>
      </c>
      <c r="G1586" s="20" t="str">
        <f t="shared" si="72"/>
        <v xml:space="preserve"> ANSES/TISSU     </v>
      </c>
      <c r="H1586" s="20" t="str">
        <f t="shared" si="73"/>
        <v>CARGR</v>
      </c>
      <c r="I1586" s="20" t="str">
        <f t="shared" si="74"/>
        <v xml:space="preserve">L    </v>
      </c>
    </row>
    <row r="1587" spans="1:9">
      <c r="A1587" s="17" t="s">
        <v>1081</v>
      </c>
      <c r="B1587" s="17" t="s">
        <v>1082</v>
      </c>
      <c r="C1587" s="17" t="s">
        <v>802</v>
      </c>
      <c r="D1587" s="17" t="s">
        <v>801</v>
      </c>
      <c r="E1587" s="18">
        <v>3004520249021</v>
      </c>
      <c r="G1587" s="20" t="str">
        <f t="shared" si="72"/>
        <v xml:space="preserve"> ANSES/TISSU     </v>
      </c>
      <c r="H1587" s="20" t="str">
        <f t="shared" si="73"/>
        <v>CARGR</v>
      </c>
      <c r="I1587" s="20" t="str">
        <f t="shared" si="74"/>
        <v xml:space="preserve">M    </v>
      </c>
    </row>
    <row r="1588" spans="1:9">
      <c r="A1588" s="17" t="s">
        <v>1081</v>
      </c>
      <c r="B1588" s="17" t="s">
        <v>1082</v>
      </c>
      <c r="C1588" s="17" t="s">
        <v>803</v>
      </c>
      <c r="D1588" s="17" t="s">
        <v>801</v>
      </c>
      <c r="E1588" s="18">
        <v>3004520249014</v>
      </c>
      <c r="G1588" s="20" t="str">
        <f t="shared" si="72"/>
        <v xml:space="preserve"> ANSES/TISSU     </v>
      </c>
      <c r="H1588" s="20" t="str">
        <f t="shared" si="73"/>
        <v>CARGR</v>
      </c>
      <c r="I1588" s="20" t="str">
        <f t="shared" si="74"/>
        <v xml:space="preserve">S    </v>
      </c>
    </row>
    <row r="1589" spans="1:9">
      <c r="A1589" s="17" t="s">
        <v>1081</v>
      </c>
      <c r="B1589" s="17" t="s">
        <v>1082</v>
      </c>
      <c r="C1589" s="17" t="s">
        <v>804</v>
      </c>
      <c r="D1589" s="17" t="s">
        <v>801</v>
      </c>
      <c r="E1589" s="18">
        <v>3004520249045</v>
      </c>
      <c r="G1589" s="20" t="str">
        <f t="shared" si="72"/>
        <v xml:space="preserve"> ANSES/TISSU     </v>
      </c>
      <c r="H1589" s="20" t="str">
        <f t="shared" si="73"/>
        <v>CARGR</v>
      </c>
      <c r="I1589" s="20" t="str">
        <f t="shared" si="74"/>
        <v xml:space="preserve">XL   </v>
      </c>
    </row>
    <row r="1590" spans="1:9">
      <c r="A1590" s="17" t="s">
        <v>1081</v>
      </c>
      <c r="B1590" s="17" t="s">
        <v>1082</v>
      </c>
      <c r="C1590" s="17" t="s">
        <v>805</v>
      </c>
      <c r="D1590" s="17" t="s">
        <v>801</v>
      </c>
      <c r="E1590" s="18">
        <v>3004520249007</v>
      </c>
      <c r="G1590" s="20" t="str">
        <f t="shared" si="72"/>
        <v xml:space="preserve"> ANSES/TISSU     </v>
      </c>
      <c r="H1590" s="20" t="str">
        <f t="shared" si="73"/>
        <v>CARGR</v>
      </c>
      <c r="I1590" s="20" t="str">
        <f t="shared" si="74"/>
        <v xml:space="preserve">XS   </v>
      </c>
    </row>
    <row r="1591" spans="1:9">
      <c r="A1591" s="17" t="s">
        <v>1081</v>
      </c>
      <c r="B1591" s="17" t="s">
        <v>1083</v>
      </c>
      <c r="C1591" s="17" t="s">
        <v>800</v>
      </c>
      <c r="D1591" s="17" t="s">
        <v>801</v>
      </c>
      <c r="E1591" s="18">
        <v>3004520247034</v>
      </c>
      <c r="G1591" s="20" t="str">
        <f t="shared" si="72"/>
        <v xml:space="preserve"> ANSES/TISSU     </v>
      </c>
      <c r="H1591" s="20" t="str">
        <f t="shared" si="73"/>
        <v>CARRO</v>
      </c>
      <c r="I1591" s="20" t="str">
        <f t="shared" si="74"/>
        <v xml:space="preserve">L    </v>
      </c>
    </row>
    <row r="1592" spans="1:9">
      <c r="A1592" s="17" t="s">
        <v>1081</v>
      </c>
      <c r="B1592" s="17" t="s">
        <v>1083</v>
      </c>
      <c r="C1592" s="17" t="s">
        <v>802</v>
      </c>
      <c r="D1592" s="17" t="s">
        <v>801</v>
      </c>
      <c r="E1592" s="18">
        <v>3004520247027</v>
      </c>
      <c r="G1592" s="20" t="str">
        <f t="shared" si="72"/>
        <v xml:space="preserve"> ANSES/TISSU     </v>
      </c>
      <c r="H1592" s="20" t="str">
        <f t="shared" si="73"/>
        <v>CARRO</v>
      </c>
      <c r="I1592" s="20" t="str">
        <f t="shared" si="74"/>
        <v xml:space="preserve">M    </v>
      </c>
    </row>
    <row r="1593" spans="1:9">
      <c r="A1593" s="17" t="s">
        <v>1081</v>
      </c>
      <c r="B1593" s="17" t="s">
        <v>1083</v>
      </c>
      <c r="C1593" s="17" t="s">
        <v>803</v>
      </c>
      <c r="D1593" s="17" t="s">
        <v>801</v>
      </c>
      <c r="E1593" s="18">
        <v>3004520247010</v>
      </c>
      <c r="G1593" s="20" t="str">
        <f t="shared" si="72"/>
        <v xml:space="preserve"> ANSES/TISSU     </v>
      </c>
      <c r="H1593" s="20" t="str">
        <f t="shared" si="73"/>
        <v>CARRO</v>
      </c>
      <c r="I1593" s="20" t="str">
        <f t="shared" si="74"/>
        <v xml:space="preserve">S    </v>
      </c>
    </row>
    <row r="1594" spans="1:9">
      <c r="A1594" s="17" t="s">
        <v>1081</v>
      </c>
      <c r="B1594" s="17" t="s">
        <v>1083</v>
      </c>
      <c r="C1594" s="17" t="s">
        <v>804</v>
      </c>
      <c r="D1594" s="17" t="s">
        <v>801</v>
      </c>
      <c r="E1594" s="18">
        <v>3004520247041</v>
      </c>
      <c r="G1594" s="20" t="str">
        <f t="shared" si="72"/>
        <v xml:space="preserve"> ANSES/TISSU     </v>
      </c>
      <c r="H1594" s="20" t="str">
        <f t="shared" si="73"/>
        <v>CARRO</v>
      </c>
      <c r="I1594" s="20" t="str">
        <f t="shared" si="74"/>
        <v xml:space="preserve">XL   </v>
      </c>
    </row>
    <row r="1595" spans="1:9">
      <c r="A1595" s="17" t="s">
        <v>1081</v>
      </c>
      <c r="B1595" s="17" t="s">
        <v>1083</v>
      </c>
      <c r="C1595" s="17" t="s">
        <v>805</v>
      </c>
      <c r="D1595" s="17" t="s">
        <v>801</v>
      </c>
      <c r="E1595" s="18">
        <v>3004520247003</v>
      </c>
      <c r="G1595" s="20" t="str">
        <f t="shared" si="72"/>
        <v xml:space="preserve"> ANSES/TISSU     </v>
      </c>
      <c r="H1595" s="20" t="str">
        <f t="shared" si="73"/>
        <v>CARRO</v>
      </c>
      <c r="I1595" s="20" t="str">
        <f t="shared" si="74"/>
        <v xml:space="preserve">XS   </v>
      </c>
    </row>
    <row r="1596" spans="1:9">
      <c r="A1596" s="17" t="s">
        <v>1081</v>
      </c>
      <c r="B1596" s="17" t="s">
        <v>1084</v>
      </c>
      <c r="C1596" s="17">
        <v>0</v>
      </c>
      <c r="D1596" s="17" t="s">
        <v>801</v>
      </c>
      <c r="E1596" s="18">
        <v>3003810201008</v>
      </c>
      <c r="G1596" s="20" t="str">
        <f t="shared" si="72"/>
        <v xml:space="preserve"> ANSES/TISSU     </v>
      </c>
      <c r="H1596" s="20" t="str">
        <f t="shared" si="73"/>
        <v xml:space="preserve">DEN  </v>
      </c>
      <c r="I1596" s="20">
        <f t="shared" si="74"/>
        <v>0</v>
      </c>
    </row>
    <row r="1597" spans="1:9">
      <c r="A1597" s="17" t="s">
        <v>1081</v>
      </c>
      <c r="B1597" s="17" t="s">
        <v>1084</v>
      </c>
      <c r="C1597" s="17" t="s">
        <v>800</v>
      </c>
      <c r="D1597" s="17" t="s">
        <v>801</v>
      </c>
      <c r="E1597" s="18">
        <v>3004520201036</v>
      </c>
      <c r="G1597" s="20" t="str">
        <f t="shared" si="72"/>
        <v xml:space="preserve"> ANSES/TISSU     </v>
      </c>
      <c r="H1597" s="20" t="str">
        <f t="shared" si="73"/>
        <v xml:space="preserve">DEN  </v>
      </c>
      <c r="I1597" s="20" t="str">
        <f t="shared" si="74"/>
        <v xml:space="preserve">L    </v>
      </c>
    </row>
    <row r="1598" spans="1:9">
      <c r="A1598" s="17" t="s">
        <v>1081</v>
      </c>
      <c r="B1598" s="17" t="s">
        <v>1084</v>
      </c>
      <c r="C1598" s="17" t="s">
        <v>802</v>
      </c>
      <c r="D1598" s="17" t="s">
        <v>801</v>
      </c>
      <c r="E1598" s="18">
        <v>3004520201029</v>
      </c>
      <c r="G1598" s="20" t="str">
        <f t="shared" si="72"/>
        <v xml:space="preserve"> ANSES/TISSU     </v>
      </c>
      <c r="H1598" s="20" t="str">
        <f t="shared" si="73"/>
        <v xml:space="preserve">DEN  </v>
      </c>
      <c r="I1598" s="20" t="str">
        <f t="shared" si="74"/>
        <v xml:space="preserve">M    </v>
      </c>
    </row>
    <row r="1599" spans="1:9">
      <c r="A1599" s="17" t="s">
        <v>1081</v>
      </c>
      <c r="B1599" s="17" t="s">
        <v>1084</v>
      </c>
      <c r="C1599" s="17" t="s">
        <v>803</v>
      </c>
      <c r="D1599" s="17" t="s">
        <v>801</v>
      </c>
      <c r="E1599" s="18">
        <v>3004520201012</v>
      </c>
      <c r="G1599" s="20" t="str">
        <f t="shared" si="72"/>
        <v xml:space="preserve"> ANSES/TISSU     </v>
      </c>
      <c r="H1599" s="20" t="str">
        <f t="shared" si="73"/>
        <v xml:space="preserve">DEN  </v>
      </c>
      <c r="I1599" s="20" t="str">
        <f t="shared" si="74"/>
        <v xml:space="preserve">S    </v>
      </c>
    </row>
    <row r="1600" spans="1:9">
      <c r="A1600" s="17" t="s">
        <v>1081</v>
      </c>
      <c r="B1600" s="17" t="s">
        <v>1084</v>
      </c>
      <c r="C1600" s="17" t="s">
        <v>804</v>
      </c>
      <c r="D1600" s="17" t="s">
        <v>801</v>
      </c>
      <c r="E1600" s="18">
        <v>3004520201043</v>
      </c>
      <c r="G1600" s="20" t="str">
        <f t="shared" si="72"/>
        <v xml:space="preserve"> ANSES/TISSU     </v>
      </c>
      <c r="H1600" s="20" t="str">
        <f t="shared" si="73"/>
        <v xml:space="preserve">DEN  </v>
      </c>
      <c r="I1600" s="20" t="str">
        <f t="shared" si="74"/>
        <v xml:space="preserve">XL   </v>
      </c>
    </row>
    <row r="1601" spans="1:9">
      <c r="A1601" s="17" t="s">
        <v>1081</v>
      </c>
      <c r="B1601" s="17" t="s">
        <v>1084</v>
      </c>
      <c r="C1601" s="17" t="s">
        <v>805</v>
      </c>
      <c r="D1601" s="17" t="s">
        <v>801</v>
      </c>
      <c r="E1601" s="18">
        <v>3004520201005</v>
      </c>
      <c r="G1601" s="20" t="str">
        <f t="shared" si="72"/>
        <v xml:space="preserve"> ANSES/TISSU     </v>
      </c>
      <c r="H1601" s="20" t="str">
        <f t="shared" si="73"/>
        <v xml:space="preserve">DEN  </v>
      </c>
      <c r="I1601" s="20" t="str">
        <f t="shared" si="74"/>
        <v xml:space="preserve">XS   </v>
      </c>
    </row>
    <row r="1602" spans="1:9">
      <c r="A1602" s="17" t="s">
        <v>1081</v>
      </c>
      <c r="B1602" s="17" t="s">
        <v>1085</v>
      </c>
      <c r="C1602" s="17" t="s">
        <v>800</v>
      </c>
      <c r="D1602" s="17" t="s">
        <v>801</v>
      </c>
      <c r="E1602" s="18">
        <v>3004520240035</v>
      </c>
      <c r="G1602" s="20" t="str">
        <f t="shared" si="72"/>
        <v xml:space="preserve"> ANSES/TISSU     </v>
      </c>
      <c r="H1602" s="20" t="str">
        <f t="shared" si="73"/>
        <v xml:space="preserve">FEUB </v>
      </c>
      <c r="I1602" s="20" t="str">
        <f t="shared" si="74"/>
        <v xml:space="preserve">L    </v>
      </c>
    </row>
    <row r="1603" spans="1:9">
      <c r="A1603" s="17" t="s">
        <v>1081</v>
      </c>
      <c r="B1603" s="17" t="s">
        <v>1085</v>
      </c>
      <c r="C1603" s="17" t="s">
        <v>802</v>
      </c>
      <c r="D1603" s="17" t="s">
        <v>801</v>
      </c>
      <c r="E1603" s="18">
        <v>3004520240028</v>
      </c>
      <c r="G1603" s="20" t="str">
        <f t="shared" si="72"/>
        <v xml:space="preserve"> ANSES/TISSU     </v>
      </c>
      <c r="H1603" s="20" t="str">
        <f t="shared" si="73"/>
        <v xml:space="preserve">FEUB </v>
      </c>
      <c r="I1603" s="20" t="str">
        <f t="shared" si="74"/>
        <v xml:space="preserve">M    </v>
      </c>
    </row>
    <row r="1604" spans="1:9">
      <c r="A1604" s="17" t="s">
        <v>1081</v>
      </c>
      <c r="B1604" s="17" t="s">
        <v>1085</v>
      </c>
      <c r="C1604" s="17" t="s">
        <v>803</v>
      </c>
      <c r="D1604" s="17" t="s">
        <v>801</v>
      </c>
      <c r="E1604" s="18">
        <v>3004520240011</v>
      </c>
      <c r="G1604" s="20" t="str">
        <f t="shared" si="72"/>
        <v xml:space="preserve"> ANSES/TISSU     </v>
      </c>
      <c r="H1604" s="20" t="str">
        <f t="shared" si="73"/>
        <v xml:space="preserve">FEUB </v>
      </c>
      <c r="I1604" s="20" t="str">
        <f t="shared" si="74"/>
        <v xml:space="preserve">S    </v>
      </c>
    </row>
    <row r="1605" spans="1:9">
      <c r="A1605" s="17" t="s">
        <v>1081</v>
      </c>
      <c r="B1605" s="17" t="s">
        <v>1085</v>
      </c>
      <c r="C1605" s="17" t="s">
        <v>804</v>
      </c>
      <c r="D1605" s="17" t="s">
        <v>801</v>
      </c>
      <c r="E1605" s="18">
        <v>3004520240042</v>
      </c>
      <c r="G1605" s="20" t="str">
        <f t="shared" ref="G1605:G1668" si="75">A1605</f>
        <v xml:space="preserve"> ANSES/TISSU     </v>
      </c>
      <c r="H1605" s="20" t="str">
        <f t="shared" ref="H1605:H1668" si="76">B1605</f>
        <v xml:space="preserve">FEUB </v>
      </c>
      <c r="I1605" s="20" t="str">
        <f t="shared" ref="I1605:I1668" si="77">C1605</f>
        <v xml:space="preserve">XL   </v>
      </c>
    </row>
    <row r="1606" spans="1:9">
      <c r="A1606" s="17" t="s">
        <v>1081</v>
      </c>
      <c r="B1606" s="17" t="s">
        <v>1085</v>
      </c>
      <c r="C1606" s="17" t="s">
        <v>805</v>
      </c>
      <c r="D1606" s="17" t="s">
        <v>801</v>
      </c>
      <c r="E1606" s="18">
        <v>3004520240004</v>
      </c>
      <c r="G1606" s="20" t="str">
        <f t="shared" si="75"/>
        <v xml:space="preserve"> ANSES/TISSU     </v>
      </c>
      <c r="H1606" s="20" t="str">
        <f t="shared" si="76"/>
        <v xml:space="preserve">FEUB </v>
      </c>
      <c r="I1606" s="20" t="str">
        <f t="shared" si="77"/>
        <v xml:space="preserve">XS   </v>
      </c>
    </row>
    <row r="1607" spans="1:9">
      <c r="A1607" s="17" t="s">
        <v>1081</v>
      </c>
      <c r="B1607" s="17" t="s">
        <v>1086</v>
      </c>
      <c r="C1607" s="17" t="s">
        <v>800</v>
      </c>
      <c r="D1607" s="17" t="s">
        <v>801</v>
      </c>
      <c r="E1607" s="18">
        <v>3004520241032</v>
      </c>
      <c r="G1607" s="20" t="str">
        <f t="shared" si="75"/>
        <v xml:space="preserve"> ANSES/TISSU     </v>
      </c>
      <c r="H1607" s="20" t="str">
        <f t="shared" si="76"/>
        <v xml:space="preserve">FEUM </v>
      </c>
      <c r="I1607" s="20" t="str">
        <f t="shared" si="77"/>
        <v xml:space="preserve">L    </v>
      </c>
    </row>
    <row r="1608" spans="1:9">
      <c r="A1608" s="17" t="s">
        <v>1081</v>
      </c>
      <c r="B1608" s="17" t="s">
        <v>1086</v>
      </c>
      <c r="C1608" s="17" t="s">
        <v>802</v>
      </c>
      <c r="D1608" s="17" t="s">
        <v>801</v>
      </c>
      <c r="E1608" s="18">
        <v>3004520241025</v>
      </c>
      <c r="G1608" s="20" t="str">
        <f t="shared" si="75"/>
        <v xml:space="preserve"> ANSES/TISSU     </v>
      </c>
      <c r="H1608" s="20" t="str">
        <f t="shared" si="76"/>
        <v xml:space="preserve">FEUM </v>
      </c>
      <c r="I1608" s="20" t="str">
        <f t="shared" si="77"/>
        <v xml:space="preserve">M    </v>
      </c>
    </row>
    <row r="1609" spans="1:9">
      <c r="A1609" s="17" t="s">
        <v>1081</v>
      </c>
      <c r="B1609" s="17" t="s">
        <v>1086</v>
      </c>
      <c r="C1609" s="17" t="s">
        <v>803</v>
      </c>
      <c r="D1609" s="17" t="s">
        <v>801</v>
      </c>
      <c r="E1609" s="18">
        <v>3004520241018</v>
      </c>
      <c r="G1609" s="20" t="str">
        <f t="shared" si="75"/>
        <v xml:space="preserve"> ANSES/TISSU     </v>
      </c>
      <c r="H1609" s="20" t="str">
        <f t="shared" si="76"/>
        <v xml:space="preserve">FEUM </v>
      </c>
      <c r="I1609" s="20" t="str">
        <f t="shared" si="77"/>
        <v xml:space="preserve">S    </v>
      </c>
    </row>
    <row r="1610" spans="1:9">
      <c r="A1610" s="17" t="s">
        <v>1081</v>
      </c>
      <c r="B1610" s="17" t="s">
        <v>1086</v>
      </c>
      <c r="C1610" s="17" t="s">
        <v>804</v>
      </c>
      <c r="D1610" s="17" t="s">
        <v>801</v>
      </c>
      <c r="E1610" s="18">
        <v>3004520241049</v>
      </c>
      <c r="G1610" s="20" t="str">
        <f t="shared" si="75"/>
        <v xml:space="preserve"> ANSES/TISSU     </v>
      </c>
      <c r="H1610" s="20" t="str">
        <f t="shared" si="76"/>
        <v xml:space="preserve">FEUM </v>
      </c>
      <c r="I1610" s="20" t="str">
        <f t="shared" si="77"/>
        <v xml:space="preserve">XL   </v>
      </c>
    </row>
    <row r="1611" spans="1:9">
      <c r="A1611" s="17" t="s">
        <v>1081</v>
      </c>
      <c r="B1611" s="17" t="s">
        <v>1086</v>
      </c>
      <c r="C1611" s="17" t="s">
        <v>805</v>
      </c>
      <c r="D1611" s="17" t="s">
        <v>801</v>
      </c>
      <c r="E1611" s="18">
        <v>3004520241001</v>
      </c>
      <c r="G1611" s="20" t="str">
        <f t="shared" si="75"/>
        <v xml:space="preserve"> ANSES/TISSU     </v>
      </c>
      <c r="H1611" s="20" t="str">
        <f t="shared" si="76"/>
        <v xml:space="preserve">FEUM </v>
      </c>
      <c r="I1611" s="20" t="str">
        <f t="shared" si="77"/>
        <v xml:space="preserve">XS   </v>
      </c>
    </row>
    <row r="1612" spans="1:9">
      <c r="A1612" s="17" t="s">
        <v>1081</v>
      </c>
      <c r="B1612" s="17" t="s">
        <v>1087</v>
      </c>
      <c r="C1612" s="17" t="s">
        <v>800</v>
      </c>
      <c r="D1612" s="17" t="s">
        <v>801</v>
      </c>
      <c r="E1612" s="18">
        <v>3004520243036</v>
      </c>
      <c r="G1612" s="20" t="str">
        <f t="shared" si="75"/>
        <v xml:space="preserve"> ANSES/TISSU     </v>
      </c>
      <c r="H1612" s="20" t="str">
        <f t="shared" si="76"/>
        <v>FEUPE</v>
      </c>
      <c r="I1612" s="20" t="str">
        <f t="shared" si="77"/>
        <v xml:space="preserve">L    </v>
      </c>
    </row>
    <row r="1613" spans="1:9">
      <c r="A1613" s="17" t="s">
        <v>1081</v>
      </c>
      <c r="B1613" s="17" t="s">
        <v>1087</v>
      </c>
      <c r="C1613" s="17" t="s">
        <v>802</v>
      </c>
      <c r="D1613" s="17" t="s">
        <v>801</v>
      </c>
      <c r="E1613" s="18">
        <v>3004520243029</v>
      </c>
      <c r="G1613" s="20" t="str">
        <f t="shared" si="75"/>
        <v xml:space="preserve"> ANSES/TISSU     </v>
      </c>
      <c r="H1613" s="20" t="str">
        <f t="shared" si="76"/>
        <v>FEUPE</v>
      </c>
      <c r="I1613" s="20" t="str">
        <f t="shared" si="77"/>
        <v xml:space="preserve">M    </v>
      </c>
    </row>
    <row r="1614" spans="1:9">
      <c r="A1614" s="17" t="s">
        <v>1081</v>
      </c>
      <c r="B1614" s="17" t="s">
        <v>1087</v>
      </c>
      <c r="C1614" s="17" t="s">
        <v>803</v>
      </c>
      <c r="D1614" s="17" t="s">
        <v>801</v>
      </c>
      <c r="E1614" s="18">
        <v>3004520243012</v>
      </c>
      <c r="G1614" s="20" t="str">
        <f t="shared" si="75"/>
        <v xml:space="preserve"> ANSES/TISSU     </v>
      </c>
      <c r="H1614" s="20" t="str">
        <f t="shared" si="76"/>
        <v>FEUPE</v>
      </c>
      <c r="I1614" s="20" t="str">
        <f t="shared" si="77"/>
        <v xml:space="preserve">S    </v>
      </c>
    </row>
    <row r="1615" spans="1:9">
      <c r="A1615" s="17" t="s">
        <v>1081</v>
      </c>
      <c r="B1615" s="17" t="s">
        <v>1087</v>
      </c>
      <c r="C1615" s="17" t="s">
        <v>804</v>
      </c>
      <c r="D1615" s="17" t="s">
        <v>801</v>
      </c>
      <c r="E1615" s="18">
        <v>3004520243043</v>
      </c>
      <c r="G1615" s="20" t="str">
        <f t="shared" si="75"/>
        <v xml:space="preserve"> ANSES/TISSU     </v>
      </c>
      <c r="H1615" s="20" t="str">
        <f t="shared" si="76"/>
        <v>FEUPE</v>
      </c>
      <c r="I1615" s="20" t="str">
        <f t="shared" si="77"/>
        <v xml:space="preserve">XL   </v>
      </c>
    </row>
    <row r="1616" spans="1:9">
      <c r="A1616" s="17" t="s">
        <v>1081</v>
      </c>
      <c r="B1616" s="17" t="s">
        <v>1087</v>
      </c>
      <c r="C1616" s="17" t="s">
        <v>805</v>
      </c>
      <c r="D1616" s="17" t="s">
        <v>801</v>
      </c>
      <c r="E1616" s="18">
        <v>3004520243005</v>
      </c>
      <c r="G1616" s="20" t="str">
        <f t="shared" si="75"/>
        <v xml:space="preserve"> ANSES/TISSU     </v>
      </c>
      <c r="H1616" s="20" t="str">
        <f t="shared" si="76"/>
        <v>FEUPE</v>
      </c>
      <c r="I1616" s="20" t="str">
        <f t="shared" si="77"/>
        <v xml:space="preserve">XS   </v>
      </c>
    </row>
    <row r="1617" spans="1:9">
      <c r="A1617" s="17" t="s">
        <v>1081</v>
      </c>
      <c r="B1617" s="17" t="s">
        <v>1088</v>
      </c>
      <c r="C1617" s="17" t="s">
        <v>800</v>
      </c>
      <c r="D1617" s="17" t="s">
        <v>801</v>
      </c>
      <c r="E1617" s="18">
        <v>3004520242039</v>
      </c>
      <c r="G1617" s="20" t="str">
        <f t="shared" si="75"/>
        <v xml:space="preserve"> ANSES/TISSU     </v>
      </c>
      <c r="H1617" s="20" t="str">
        <f t="shared" si="76"/>
        <v xml:space="preserve">FEUR </v>
      </c>
      <c r="I1617" s="20" t="str">
        <f t="shared" si="77"/>
        <v xml:space="preserve">L    </v>
      </c>
    </row>
    <row r="1618" spans="1:9">
      <c r="A1618" s="17" t="s">
        <v>1081</v>
      </c>
      <c r="B1618" s="17" t="s">
        <v>1088</v>
      </c>
      <c r="C1618" s="17" t="s">
        <v>802</v>
      </c>
      <c r="D1618" s="17" t="s">
        <v>801</v>
      </c>
      <c r="E1618" s="18">
        <v>3004520242022</v>
      </c>
      <c r="G1618" s="20" t="str">
        <f t="shared" si="75"/>
        <v xml:space="preserve"> ANSES/TISSU     </v>
      </c>
      <c r="H1618" s="20" t="str">
        <f t="shared" si="76"/>
        <v xml:space="preserve">FEUR </v>
      </c>
      <c r="I1618" s="20" t="str">
        <f t="shared" si="77"/>
        <v xml:space="preserve">M    </v>
      </c>
    </row>
    <row r="1619" spans="1:9">
      <c r="A1619" s="17" t="s">
        <v>1081</v>
      </c>
      <c r="B1619" s="17" t="s">
        <v>1088</v>
      </c>
      <c r="C1619" s="17" t="s">
        <v>803</v>
      </c>
      <c r="D1619" s="17" t="s">
        <v>801</v>
      </c>
      <c r="E1619" s="18">
        <v>3004520242015</v>
      </c>
      <c r="G1619" s="20" t="str">
        <f t="shared" si="75"/>
        <v xml:space="preserve"> ANSES/TISSU     </v>
      </c>
      <c r="H1619" s="20" t="str">
        <f t="shared" si="76"/>
        <v xml:space="preserve">FEUR </v>
      </c>
      <c r="I1619" s="20" t="str">
        <f t="shared" si="77"/>
        <v xml:space="preserve">S    </v>
      </c>
    </row>
    <row r="1620" spans="1:9">
      <c r="A1620" s="17" t="s">
        <v>1081</v>
      </c>
      <c r="B1620" s="17" t="s">
        <v>1088</v>
      </c>
      <c r="C1620" s="17" t="s">
        <v>804</v>
      </c>
      <c r="D1620" s="17" t="s">
        <v>801</v>
      </c>
      <c r="E1620" s="18">
        <v>3004520242046</v>
      </c>
      <c r="G1620" s="20" t="str">
        <f t="shared" si="75"/>
        <v xml:space="preserve"> ANSES/TISSU     </v>
      </c>
      <c r="H1620" s="20" t="str">
        <f t="shared" si="76"/>
        <v xml:space="preserve">FEUR </v>
      </c>
      <c r="I1620" s="20" t="str">
        <f t="shared" si="77"/>
        <v xml:space="preserve">XL   </v>
      </c>
    </row>
    <row r="1621" spans="1:9">
      <c r="A1621" s="17" t="s">
        <v>1081</v>
      </c>
      <c r="B1621" s="17" t="s">
        <v>1088</v>
      </c>
      <c r="C1621" s="17" t="s">
        <v>805</v>
      </c>
      <c r="D1621" s="17" t="s">
        <v>801</v>
      </c>
      <c r="E1621" s="18">
        <v>3004520242008</v>
      </c>
      <c r="G1621" s="20" t="str">
        <f t="shared" si="75"/>
        <v xml:space="preserve"> ANSES/TISSU     </v>
      </c>
      <c r="H1621" s="20" t="str">
        <f t="shared" si="76"/>
        <v xml:space="preserve">FEUR </v>
      </c>
      <c r="I1621" s="20" t="str">
        <f t="shared" si="77"/>
        <v xml:space="preserve">XS   </v>
      </c>
    </row>
    <row r="1622" spans="1:9">
      <c r="A1622" s="17" t="s">
        <v>1081</v>
      </c>
      <c r="B1622" s="17" t="s">
        <v>1089</v>
      </c>
      <c r="C1622" s="17">
        <v>0</v>
      </c>
      <c r="D1622" s="17" t="s">
        <v>801</v>
      </c>
      <c r="E1622" s="18">
        <v>3003810203002</v>
      </c>
      <c r="G1622" s="20" t="str">
        <f t="shared" si="75"/>
        <v xml:space="preserve"> ANSES/TISSU     </v>
      </c>
      <c r="H1622" s="20" t="str">
        <f t="shared" si="76"/>
        <v xml:space="preserve">FLGR </v>
      </c>
      <c r="I1622" s="20">
        <f t="shared" si="77"/>
        <v>0</v>
      </c>
    </row>
    <row r="1623" spans="1:9">
      <c r="A1623" s="17" t="s">
        <v>1081</v>
      </c>
      <c r="B1623" s="17" t="s">
        <v>1089</v>
      </c>
      <c r="C1623" s="17" t="s">
        <v>800</v>
      </c>
      <c r="D1623" s="17" t="s">
        <v>801</v>
      </c>
      <c r="E1623" s="18">
        <v>3004520203030</v>
      </c>
      <c r="G1623" s="20" t="str">
        <f t="shared" si="75"/>
        <v xml:space="preserve"> ANSES/TISSU     </v>
      </c>
      <c r="H1623" s="20" t="str">
        <f t="shared" si="76"/>
        <v xml:space="preserve">FLGR </v>
      </c>
      <c r="I1623" s="20" t="str">
        <f t="shared" si="77"/>
        <v xml:space="preserve">L    </v>
      </c>
    </row>
    <row r="1624" spans="1:9">
      <c r="A1624" s="17" t="s">
        <v>1081</v>
      </c>
      <c r="B1624" s="17" t="s">
        <v>1089</v>
      </c>
      <c r="C1624" s="17" t="s">
        <v>802</v>
      </c>
      <c r="D1624" s="17" t="s">
        <v>801</v>
      </c>
      <c r="E1624" s="18">
        <v>3004520203023</v>
      </c>
      <c r="G1624" s="20" t="str">
        <f t="shared" si="75"/>
        <v xml:space="preserve"> ANSES/TISSU     </v>
      </c>
      <c r="H1624" s="20" t="str">
        <f t="shared" si="76"/>
        <v xml:space="preserve">FLGR </v>
      </c>
      <c r="I1624" s="20" t="str">
        <f t="shared" si="77"/>
        <v xml:space="preserve">M    </v>
      </c>
    </row>
    <row r="1625" spans="1:9">
      <c r="A1625" s="17" t="s">
        <v>1081</v>
      </c>
      <c r="B1625" s="17" t="s">
        <v>1089</v>
      </c>
      <c r="C1625" s="17" t="s">
        <v>803</v>
      </c>
      <c r="D1625" s="17" t="s">
        <v>801</v>
      </c>
      <c r="E1625" s="18">
        <v>3004520203016</v>
      </c>
      <c r="G1625" s="20" t="str">
        <f t="shared" si="75"/>
        <v xml:space="preserve"> ANSES/TISSU     </v>
      </c>
      <c r="H1625" s="20" t="str">
        <f t="shared" si="76"/>
        <v xml:space="preserve">FLGR </v>
      </c>
      <c r="I1625" s="20" t="str">
        <f t="shared" si="77"/>
        <v xml:space="preserve">S    </v>
      </c>
    </row>
    <row r="1626" spans="1:9">
      <c r="A1626" s="17" t="s">
        <v>1081</v>
      </c>
      <c r="B1626" s="17" t="s">
        <v>1089</v>
      </c>
      <c r="C1626" s="17" t="s">
        <v>804</v>
      </c>
      <c r="D1626" s="17" t="s">
        <v>801</v>
      </c>
      <c r="E1626" s="18">
        <v>3004520203047</v>
      </c>
      <c r="G1626" s="20" t="str">
        <f t="shared" si="75"/>
        <v xml:space="preserve"> ANSES/TISSU     </v>
      </c>
      <c r="H1626" s="20" t="str">
        <f t="shared" si="76"/>
        <v xml:space="preserve">FLGR </v>
      </c>
      <c r="I1626" s="20" t="str">
        <f t="shared" si="77"/>
        <v xml:space="preserve">XL   </v>
      </c>
    </row>
    <row r="1627" spans="1:9">
      <c r="A1627" s="17" t="s">
        <v>1081</v>
      </c>
      <c r="B1627" s="17" t="s">
        <v>1089</v>
      </c>
      <c r="C1627" s="17" t="s">
        <v>805</v>
      </c>
      <c r="D1627" s="17" t="s">
        <v>801</v>
      </c>
      <c r="E1627" s="18">
        <v>3004520203009</v>
      </c>
      <c r="G1627" s="20" t="str">
        <f t="shared" si="75"/>
        <v xml:space="preserve"> ANSES/TISSU     </v>
      </c>
      <c r="H1627" s="20" t="str">
        <f t="shared" si="76"/>
        <v xml:space="preserve">FLGR </v>
      </c>
      <c r="I1627" s="20" t="str">
        <f t="shared" si="77"/>
        <v xml:space="preserve">XS   </v>
      </c>
    </row>
    <row r="1628" spans="1:9">
      <c r="A1628" s="17" t="s">
        <v>1081</v>
      </c>
      <c r="B1628" s="17" t="s">
        <v>1090</v>
      </c>
      <c r="C1628" s="17">
        <v>0</v>
      </c>
      <c r="D1628" s="17" t="s">
        <v>801</v>
      </c>
      <c r="E1628" s="18">
        <v>3003810199008</v>
      </c>
      <c r="G1628" s="20" t="str">
        <f t="shared" si="75"/>
        <v xml:space="preserve"> ANSES/TISSU     </v>
      </c>
      <c r="H1628" s="20" t="str">
        <f t="shared" si="76"/>
        <v>FLORA</v>
      </c>
      <c r="I1628" s="20">
        <f t="shared" si="77"/>
        <v>0</v>
      </c>
    </row>
    <row r="1629" spans="1:9">
      <c r="A1629" s="17" t="s">
        <v>1081</v>
      </c>
      <c r="B1629" s="17" t="s">
        <v>1090</v>
      </c>
      <c r="C1629" s="17" t="s">
        <v>800</v>
      </c>
      <c r="D1629" s="17" t="s">
        <v>801</v>
      </c>
      <c r="E1629" s="18">
        <v>3004520199036</v>
      </c>
      <c r="G1629" s="20" t="str">
        <f t="shared" si="75"/>
        <v xml:space="preserve"> ANSES/TISSU     </v>
      </c>
      <c r="H1629" s="20" t="str">
        <f t="shared" si="76"/>
        <v>FLORA</v>
      </c>
      <c r="I1629" s="20" t="str">
        <f t="shared" si="77"/>
        <v xml:space="preserve">L    </v>
      </c>
    </row>
    <row r="1630" spans="1:9">
      <c r="A1630" s="17" t="s">
        <v>1081</v>
      </c>
      <c r="B1630" s="17" t="s">
        <v>1090</v>
      </c>
      <c r="C1630" s="17" t="s">
        <v>802</v>
      </c>
      <c r="D1630" s="17" t="s">
        <v>801</v>
      </c>
      <c r="E1630" s="18">
        <v>3004520199029</v>
      </c>
      <c r="G1630" s="20" t="str">
        <f t="shared" si="75"/>
        <v xml:space="preserve"> ANSES/TISSU     </v>
      </c>
      <c r="H1630" s="20" t="str">
        <f t="shared" si="76"/>
        <v>FLORA</v>
      </c>
      <c r="I1630" s="20" t="str">
        <f t="shared" si="77"/>
        <v xml:space="preserve">M    </v>
      </c>
    </row>
    <row r="1631" spans="1:9">
      <c r="A1631" s="17" t="s">
        <v>1081</v>
      </c>
      <c r="B1631" s="17" t="s">
        <v>1090</v>
      </c>
      <c r="C1631" s="17" t="s">
        <v>803</v>
      </c>
      <c r="D1631" s="17" t="s">
        <v>801</v>
      </c>
      <c r="E1631" s="18">
        <v>3004520199012</v>
      </c>
      <c r="G1631" s="20" t="str">
        <f t="shared" si="75"/>
        <v xml:space="preserve"> ANSES/TISSU     </v>
      </c>
      <c r="H1631" s="20" t="str">
        <f t="shared" si="76"/>
        <v>FLORA</v>
      </c>
      <c r="I1631" s="20" t="str">
        <f t="shared" si="77"/>
        <v xml:space="preserve">S    </v>
      </c>
    </row>
    <row r="1632" spans="1:9">
      <c r="A1632" s="17" t="s">
        <v>1081</v>
      </c>
      <c r="B1632" s="17" t="s">
        <v>1090</v>
      </c>
      <c r="C1632" s="17" t="s">
        <v>804</v>
      </c>
      <c r="D1632" s="17" t="s">
        <v>801</v>
      </c>
      <c r="E1632" s="18">
        <v>3004520199043</v>
      </c>
      <c r="G1632" s="20" t="str">
        <f t="shared" si="75"/>
        <v xml:space="preserve"> ANSES/TISSU     </v>
      </c>
      <c r="H1632" s="20" t="str">
        <f t="shared" si="76"/>
        <v>FLORA</v>
      </c>
      <c r="I1632" s="20" t="str">
        <f t="shared" si="77"/>
        <v xml:space="preserve">XL   </v>
      </c>
    </row>
    <row r="1633" spans="1:9">
      <c r="A1633" s="17" t="s">
        <v>1081</v>
      </c>
      <c r="B1633" s="17" t="s">
        <v>1090</v>
      </c>
      <c r="C1633" s="17" t="s">
        <v>805</v>
      </c>
      <c r="D1633" s="17" t="s">
        <v>801</v>
      </c>
      <c r="E1633" s="18">
        <v>3004520199005</v>
      </c>
      <c r="G1633" s="20" t="str">
        <f t="shared" si="75"/>
        <v xml:space="preserve"> ANSES/TISSU     </v>
      </c>
      <c r="H1633" s="20" t="str">
        <f t="shared" si="76"/>
        <v>FLORA</v>
      </c>
      <c r="I1633" s="20" t="str">
        <f t="shared" si="77"/>
        <v xml:space="preserve">XS   </v>
      </c>
    </row>
    <row r="1634" spans="1:9">
      <c r="A1634" s="17" t="s">
        <v>1081</v>
      </c>
      <c r="B1634" s="17" t="s">
        <v>1091</v>
      </c>
      <c r="C1634" s="17">
        <v>0</v>
      </c>
      <c r="D1634" s="17" t="s">
        <v>801</v>
      </c>
      <c r="E1634" s="18">
        <v>3003810190005</v>
      </c>
      <c r="G1634" s="20" t="str">
        <f t="shared" si="75"/>
        <v xml:space="preserve"> ANSES/TISSU     </v>
      </c>
      <c r="H1634" s="20" t="str">
        <f t="shared" si="76"/>
        <v>HAWAI</v>
      </c>
      <c r="I1634" s="20">
        <f t="shared" si="77"/>
        <v>0</v>
      </c>
    </row>
    <row r="1635" spans="1:9">
      <c r="A1635" s="17" t="s">
        <v>1081</v>
      </c>
      <c r="B1635" s="17" t="s">
        <v>1091</v>
      </c>
      <c r="C1635" s="17" t="s">
        <v>800</v>
      </c>
      <c r="D1635" s="17" t="s">
        <v>801</v>
      </c>
      <c r="E1635" s="18">
        <v>3004520190033</v>
      </c>
      <c r="G1635" s="20" t="str">
        <f t="shared" si="75"/>
        <v xml:space="preserve"> ANSES/TISSU     </v>
      </c>
      <c r="H1635" s="20" t="str">
        <f t="shared" si="76"/>
        <v>HAWAI</v>
      </c>
      <c r="I1635" s="20" t="str">
        <f t="shared" si="77"/>
        <v xml:space="preserve">L    </v>
      </c>
    </row>
    <row r="1636" spans="1:9">
      <c r="A1636" s="17" t="s">
        <v>1081</v>
      </c>
      <c r="B1636" s="17" t="s">
        <v>1091</v>
      </c>
      <c r="C1636" s="17" t="s">
        <v>802</v>
      </c>
      <c r="D1636" s="17" t="s">
        <v>801</v>
      </c>
      <c r="E1636" s="18">
        <v>3004520190026</v>
      </c>
      <c r="G1636" s="20" t="str">
        <f t="shared" si="75"/>
        <v xml:space="preserve"> ANSES/TISSU     </v>
      </c>
      <c r="H1636" s="20" t="str">
        <f t="shared" si="76"/>
        <v>HAWAI</v>
      </c>
      <c r="I1636" s="20" t="str">
        <f t="shared" si="77"/>
        <v xml:space="preserve">M    </v>
      </c>
    </row>
    <row r="1637" spans="1:9">
      <c r="A1637" s="17" t="s">
        <v>1081</v>
      </c>
      <c r="B1637" s="17" t="s">
        <v>1091</v>
      </c>
      <c r="C1637" s="17" t="s">
        <v>803</v>
      </c>
      <c r="D1637" s="17" t="s">
        <v>801</v>
      </c>
      <c r="E1637" s="18">
        <v>3004520190019</v>
      </c>
      <c r="G1637" s="20" t="str">
        <f t="shared" si="75"/>
        <v xml:space="preserve"> ANSES/TISSU     </v>
      </c>
      <c r="H1637" s="20" t="str">
        <f t="shared" si="76"/>
        <v>HAWAI</v>
      </c>
      <c r="I1637" s="20" t="str">
        <f t="shared" si="77"/>
        <v xml:space="preserve">S    </v>
      </c>
    </row>
    <row r="1638" spans="1:9">
      <c r="A1638" s="17" t="s">
        <v>1081</v>
      </c>
      <c r="B1638" s="17" t="s">
        <v>1091</v>
      </c>
      <c r="C1638" s="17" t="s">
        <v>804</v>
      </c>
      <c r="D1638" s="17" t="s">
        <v>801</v>
      </c>
      <c r="E1638" s="18">
        <v>3004520190040</v>
      </c>
      <c r="G1638" s="20" t="str">
        <f t="shared" si="75"/>
        <v xml:space="preserve"> ANSES/TISSU     </v>
      </c>
      <c r="H1638" s="20" t="str">
        <f t="shared" si="76"/>
        <v>HAWAI</v>
      </c>
      <c r="I1638" s="20" t="str">
        <f t="shared" si="77"/>
        <v xml:space="preserve">XL   </v>
      </c>
    </row>
    <row r="1639" spans="1:9">
      <c r="A1639" s="17" t="s">
        <v>1081</v>
      </c>
      <c r="B1639" s="17" t="s">
        <v>1091</v>
      </c>
      <c r="C1639" s="17" t="s">
        <v>805</v>
      </c>
      <c r="D1639" s="17" t="s">
        <v>801</v>
      </c>
      <c r="E1639" s="18">
        <v>3004520190002</v>
      </c>
      <c r="G1639" s="20" t="str">
        <f t="shared" si="75"/>
        <v xml:space="preserve"> ANSES/TISSU     </v>
      </c>
      <c r="H1639" s="20" t="str">
        <f t="shared" si="76"/>
        <v>HAWAI</v>
      </c>
      <c r="I1639" s="20" t="str">
        <f t="shared" si="77"/>
        <v xml:space="preserve">XS   </v>
      </c>
    </row>
    <row r="1640" spans="1:9">
      <c r="A1640" s="17" t="s">
        <v>1081</v>
      </c>
      <c r="B1640" s="17" t="s">
        <v>1092</v>
      </c>
      <c r="C1640" s="17">
        <v>0</v>
      </c>
      <c r="D1640" s="17" t="s">
        <v>801</v>
      </c>
      <c r="E1640" s="18">
        <v>3003811004004</v>
      </c>
      <c r="G1640" s="20" t="str">
        <f t="shared" si="75"/>
        <v xml:space="preserve"> ANSES/TISSU     </v>
      </c>
      <c r="H1640" s="20" t="str">
        <f t="shared" si="76"/>
        <v>MULTI</v>
      </c>
      <c r="I1640" s="20">
        <f t="shared" si="77"/>
        <v>0</v>
      </c>
    </row>
    <row r="1641" spans="1:9">
      <c r="A1641" s="17" t="s">
        <v>1081</v>
      </c>
      <c r="B1641" s="17" t="s">
        <v>1092</v>
      </c>
      <c r="C1641" s="17" t="s">
        <v>800</v>
      </c>
      <c r="D1641" s="17" t="s">
        <v>801</v>
      </c>
      <c r="E1641" s="18">
        <v>3004521004032</v>
      </c>
      <c r="G1641" s="20" t="str">
        <f t="shared" si="75"/>
        <v xml:space="preserve"> ANSES/TISSU     </v>
      </c>
      <c r="H1641" s="20" t="str">
        <f t="shared" si="76"/>
        <v>MULTI</v>
      </c>
      <c r="I1641" s="20" t="str">
        <f t="shared" si="77"/>
        <v xml:space="preserve">L    </v>
      </c>
    </row>
    <row r="1642" spans="1:9">
      <c r="A1642" s="17" t="s">
        <v>1081</v>
      </c>
      <c r="B1642" s="17" t="s">
        <v>1092</v>
      </c>
      <c r="C1642" s="17" t="s">
        <v>802</v>
      </c>
      <c r="D1642" s="17" t="s">
        <v>801</v>
      </c>
      <c r="E1642" s="18">
        <v>3004521004025</v>
      </c>
      <c r="G1642" s="20" t="str">
        <f t="shared" si="75"/>
        <v xml:space="preserve"> ANSES/TISSU     </v>
      </c>
      <c r="H1642" s="20" t="str">
        <f t="shared" si="76"/>
        <v>MULTI</v>
      </c>
      <c r="I1642" s="20" t="str">
        <f t="shared" si="77"/>
        <v xml:space="preserve">M    </v>
      </c>
    </row>
    <row r="1643" spans="1:9">
      <c r="A1643" s="17" t="s">
        <v>1081</v>
      </c>
      <c r="B1643" s="17" t="s">
        <v>1092</v>
      </c>
      <c r="C1643" s="17" t="s">
        <v>803</v>
      </c>
      <c r="D1643" s="17" t="s">
        <v>801</v>
      </c>
      <c r="E1643" s="18">
        <v>3004521004018</v>
      </c>
      <c r="G1643" s="20" t="str">
        <f t="shared" si="75"/>
        <v xml:space="preserve"> ANSES/TISSU     </v>
      </c>
      <c r="H1643" s="20" t="str">
        <f t="shared" si="76"/>
        <v>MULTI</v>
      </c>
      <c r="I1643" s="20" t="str">
        <f t="shared" si="77"/>
        <v xml:space="preserve">S    </v>
      </c>
    </row>
    <row r="1644" spans="1:9">
      <c r="A1644" s="17" t="s">
        <v>1081</v>
      </c>
      <c r="B1644" s="17" t="s">
        <v>1092</v>
      </c>
      <c r="C1644" s="17" t="s">
        <v>804</v>
      </c>
      <c r="D1644" s="17" t="s">
        <v>801</v>
      </c>
      <c r="E1644" s="18">
        <v>3004521004049</v>
      </c>
      <c r="G1644" s="20" t="str">
        <f t="shared" si="75"/>
        <v xml:space="preserve"> ANSES/TISSU     </v>
      </c>
      <c r="H1644" s="20" t="str">
        <f t="shared" si="76"/>
        <v>MULTI</v>
      </c>
      <c r="I1644" s="20" t="str">
        <f t="shared" si="77"/>
        <v xml:space="preserve">XL   </v>
      </c>
    </row>
    <row r="1645" spans="1:9">
      <c r="A1645" s="17" t="s">
        <v>1081</v>
      </c>
      <c r="B1645" s="17" t="s">
        <v>1092</v>
      </c>
      <c r="C1645" s="17" t="s">
        <v>805</v>
      </c>
      <c r="D1645" s="17" t="s">
        <v>801</v>
      </c>
      <c r="E1645" s="18">
        <v>3004521004001</v>
      </c>
      <c r="G1645" s="20" t="str">
        <f t="shared" si="75"/>
        <v xml:space="preserve"> ANSES/TISSU     </v>
      </c>
      <c r="H1645" s="20" t="str">
        <f t="shared" si="76"/>
        <v>MULTI</v>
      </c>
      <c r="I1645" s="20" t="str">
        <f t="shared" si="77"/>
        <v xml:space="preserve">XS   </v>
      </c>
    </row>
    <row r="1646" spans="1:9">
      <c r="A1646" s="17" t="s">
        <v>1081</v>
      </c>
      <c r="B1646" s="17" t="s">
        <v>1093</v>
      </c>
      <c r="C1646" s="17">
        <v>0</v>
      </c>
      <c r="D1646" s="17" t="s">
        <v>801</v>
      </c>
      <c r="E1646" s="18">
        <v>3003810462003</v>
      </c>
      <c r="G1646" s="20" t="str">
        <f t="shared" si="75"/>
        <v xml:space="preserve"> ANSES/TISSU     </v>
      </c>
      <c r="H1646" s="20" t="str">
        <f t="shared" si="76"/>
        <v>RAIBL</v>
      </c>
      <c r="I1646" s="20">
        <f t="shared" si="77"/>
        <v>0</v>
      </c>
    </row>
    <row r="1647" spans="1:9">
      <c r="A1647" s="17" t="s">
        <v>1081</v>
      </c>
      <c r="B1647" s="17" t="s">
        <v>1093</v>
      </c>
      <c r="C1647" s="17" t="s">
        <v>800</v>
      </c>
      <c r="D1647" s="17" t="s">
        <v>801</v>
      </c>
      <c r="E1647" s="18">
        <v>3004520204037</v>
      </c>
      <c r="G1647" s="20" t="str">
        <f t="shared" si="75"/>
        <v xml:space="preserve"> ANSES/TISSU     </v>
      </c>
      <c r="H1647" s="20" t="str">
        <f t="shared" si="76"/>
        <v>RAIBL</v>
      </c>
      <c r="I1647" s="20" t="str">
        <f t="shared" si="77"/>
        <v xml:space="preserve">L    </v>
      </c>
    </row>
    <row r="1648" spans="1:9">
      <c r="A1648" s="17" t="s">
        <v>1081</v>
      </c>
      <c r="B1648" s="17" t="s">
        <v>1093</v>
      </c>
      <c r="C1648" s="17" t="s">
        <v>802</v>
      </c>
      <c r="D1648" s="17" t="s">
        <v>801</v>
      </c>
      <c r="E1648" s="18">
        <v>3004520204020</v>
      </c>
      <c r="G1648" s="20" t="str">
        <f t="shared" si="75"/>
        <v xml:space="preserve"> ANSES/TISSU     </v>
      </c>
      <c r="H1648" s="20" t="str">
        <f t="shared" si="76"/>
        <v>RAIBL</v>
      </c>
      <c r="I1648" s="20" t="str">
        <f t="shared" si="77"/>
        <v xml:space="preserve">M    </v>
      </c>
    </row>
    <row r="1649" spans="1:9">
      <c r="A1649" s="17" t="s">
        <v>1081</v>
      </c>
      <c r="B1649" s="17" t="s">
        <v>1093</v>
      </c>
      <c r="C1649" s="17" t="s">
        <v>803</v>
      </c>
      <c r="D1649" s="17" t="s">
        <v>801</v>
      </c>
      <c r="E1649" s="18">
        <v>3004520204013</v>
      </c>
      <c r="G1649" s="20" t="str">
        <f t="shared" si="75"/>
        <v xml:space="preserve"> ANSES/TISSU     </v>
      </c>
      <c r="H1649" s="20" t="str">
        <f t="shared" si="76"/>
        <v>RAIBL</v>
      </c>
      <c r="I1649" s="20" t="str">
        <f t="shared" si="77"/>
        <v xml:space="preserve">S    </v>
      </c>
    </row>
    <row r="1650" spans="1:9">
      <c r="A1650" s="17" t="s">
        <v>1081</v>
      </c>
      <c r="B1650" s="17" t="s">
        <v>1093</v>
      </c>
      <c r="C1650" s="17" t="s">
        <v>804</v>
      </c>
      <c r="D1650" s="17" t="s">
        <v>801</v>
      </c>
      <c r="E1650" s="18">
        <v>3004520204044</v>
      </c>
      <c r="G1650" s="20" t="str">
        <f t="shared" si="75"/>
        <v xml:space="preserve"> ANSES/TISSU     </v>
      </c>
      <c r="H1650" s="20" t="str">
        <f t="shared" si="76"/>
        <v>RAIBL</v>
      </c>
      <c r="I1650" s="20" t="str">
        <f t="shared" si="77"/>
        <v xml:space="preserve">XL   </v>
      </c>
    </row>
    <row r="1651" spans="1:9">
      <c r="A1651" s="17" t="s">
        <v>1081</v>
      </c>
      <c r="B1651" s="17" t="s">
        <v>1093</v>
      </c>
      <c r="C1651" s="17" t="s">
        <v>805</v>
      </c>
      <c r="D1651" s="17" t="s">
        <v>801</v>
      </c>
      <c r="E1651" s="18">
        <v>3004520204006</v>
      </c>
      <c r="G1651" s="20" t="str">
        <f t="shared" si="75"/>
        <v xml:space="preserve"> ANSES/TISSU     </v>
      </c>
      <c r="H1651" s="20" t="str">
        <f t="shared" si="76"/>
        <v>RAIBL</v>
      </c>
      <c r="I1651" s="20" t="str">
        <f t="shared" si="77"/>
        <v xml:space="preserve">XS   </v>
      </c>
    </row>
    <row r="1652" spans="1:9">
      <c r="A1652" s="17" t="s">
        <v>1081</v>
      </c>
      <c r="B1652" s="17" t="s">
        <v>1094</v>
      </c>
      <c r="C1652" s="17">
        <v>0</v>
      </c>
      <c r="D1652" s="17" t="s">
        <v>801</v>
      </c>
      <c r="E1652" s="18">
        <v>3003810202005</v>
      </c>
      <c r="G1652" s="20" t="str">
        <f t="shared" si="75"/>
        <v xml:space="preserve"> ANSES/TISSU     </v>
      </c>
      <c r="H1652" s="20" t="str">
        <f t="shared" si="76"/>
        <v>RAIRO</v>
      </c>
      <c r="I1652" s="20">
        <f t="shared" si="77"/>
        <v>0</v>
      </c>
    </row>
    <row r="1653" spans="1:9">
      <c r="A1653" s="17" t="s">
        <v>1081</v>
      </c>
      <c r="B1653" s="17" t="s">
        <v>1094</v>
      </c>
      <c r="C1653" s="17" t="s">
        <v>800</v>
      </c>
      <c r="D1653" s="17" t="s">
        <v>801</v>
      </c>
      <c r="E1653" s="18">
        <v>3004520202033</v>
      </c>
      <c r="G1653" s="20" t="str">
        <f t="shared" si="75"/>
        <v xml:space="preserve"> ANSES/TISSU     </v>
      </c>
      <c r="H1653" s="20" t="str">
        <f t="shared" si="76"/>
        <v>RAIRO</v>
      </c>
      <c r="I1653" s="20" t="str">
        <f t="shared" si="77"/>
        <v xml:space="preserve">L    </v>
      </c>
    </row>
    <row r="1654" spans="1:9">
      <c r="A1654" s="17" t="s">
        <v>1081</v>
      </c>
      <c r="B1654" s="17" t="s">
        <v>1094</v>
      </c>
      <c r="C1654" s="17" t="s">
        <v>802</v>
      </c>
      <c r="D1654" s="17" t="s">
        <v>801</v>
      </c>
      <c r="E1654" s="18">
        <v>3004520202026</v>
      </c>
      <c r="G1654" s="20" t="str">
        <f t="shared" si="75"/>
        <v xml:space="preserve"> ANSES/TISSU     </v>
      </c>
      <c r="H1654" s="20" t="str">
        <f t="shared" si="76"/>
        <v>RAIRO</v>
      </c>
      <c r="I1654" s="20" t="str">
        <f t="shared" si="77"/>
        <v xml:space="preserve">M    </v>
      </c>
    </row>
    <row r="1655" spans="1:9">
      <c r="A1655" s="17" t="s">
        <v>1081</v>
      </c>
      <c r="B1655" s="17" t="s">
        <v>1094</v>
      </c>
      <c r="C1655" s="17" t="s">
        <v>803</v>
      </c>
      <c r="D1655" s="17" t="s">
        <v>801</v>
      </c>
      <c r="E1655" s="18">
        <v>3004520202019</v>
      </c>
      <c r="G1655" s="20" t="str">
        <f t="shared" si="75"/>
        <v xml:space="preserve"> ANSES/TISSU     </v>
      </c>
      <c r="H1655" s="20" t="str">
        <f t="shared" si="76"/>
        <v>RAIRO</v>
      </c>
      <c r="I1655" s="20" t="str">
        <f t="shared" si="77"/>
        <v xml:space="preserve">S    </v>
      </c>
    </row>
    <row r="1656" spans="1:9">
      <c r="A1656" s="17" t="s">
        <v>1081</v>
      </c>
      <c r="B1656" s="17" t="s">
        <v>1094</v>
      </c>
      <c r="C1656" s="17" t="s">
        <v>804</v>
      </c>
      <c r="D1656" s="17" t="s">
        <v>801</v>
      </c>
      <c r="E1656" s="18">
        <v>3004520202040</v>
      </c>
      <c r="G1656" s="20" t="str">
        <f t="shared" si="75"/>
        <v xml:space="preserve"> ANSES/TISSU     </v>
      </c>
      <c r="H1656" s="20" t="str">
        <f t="shared" si="76"/>
        <v>RAIRO</v>
      </c>
      <c r="I1656" s="20" t="str">
        <f t="shared" si="77"/>
        <v xml:space="preserve">XL   </v>
      </c>
    </row>
    <row r="1657" spans="1:9">
      <c r="A1657" s="17" t="s">
        <v>1081</v>
      </c>
      <c r="B1657" s="17" t="s">
        <v>1094</v>
      </c>
      <c r="C1657" s="17" t="s">
        <v>805</v>
      </c>
      <c r="D1657" s="17" t="s">
        <v>801</v>
      </c>
      <c r="E1657" s="18">
        <v>3004520202002</v>
      </c>
      <c r="G1657" s="20" t="str">
        <f t="shared" si="75"/>
        <v xml:space="preserve"> ANSES/TISSU     </v>
      </c>
      <c r="H1657" s="20" t="str">
        <f t="shared" si="76"/>
        <v>RAIRO</v>
      </c>
      <c r="I1657" s="20" t="str">
        <f t="shared" si="77"/>
        <v xml:space="preserve">XS   </v>
      </c>
    </row>
    <row r="1658" spans="1:9">
      <c r="A1658" s="17" t="s">
        <v>1095</v>
      </c>
      <c r="B1658" s="17" t="s">
        <v>1047</v>
      </c>
      <c r="C1658" s="17" t="s">
        <v>799</v>
      </c>
      <c r="D1658" s="17" t="s">
        <v>801</v>
      </c>
      <c r="E1658" s="18">
        <v>8058983594940</v>
      </c>
      <c r="G1658" s="20" t="str">
        <f t="shared" si="75"/>
        <v xml:space="preserve"> ANSES/TRESSEES  </v>
      </c>
      <c r="H1658" s="20" t="str">
        <f t="shared" si="76"/>
        <v>CUIMA</v>
      </c>
      <c r="I1658" s="20" t="str">
        <f t="shared" si="77"/>
        <v xml:space="preserve">     </v>
      </c>
    </row>
    <row r="1659" spans="1:9">
      <c r="A1659" s="17" t="s">
        <v>1095</v>
      </c>
      <c r="B1659" s="17" t="s">
        <v>1047</v>
      </c>
      <c r="C1659" s="17" t="s">
        <v>799</v>
      </c>
      <c r="D1659" s="17" t="s">
        <v>801</v>
      </c>
      <c r="E1659" s="18">
        <v>3004660505001</v>
      </c>
      <c r="G1659" s="20" t="str">
        <f t="shared" si="75"/>
        <v xml:space="preserve"> ANSES/TRESSEES  </v>
      </c>
      <c r="H1659" s="20" t="str">
        <f t="shared" si="76"/>
        <v>CUIMA</v>
      </c>
      <c r="I1659" s="20" t="str">
        <f t="shared" si="77"/>
        <v xml:space="preserve">     </v>
      </c>
    </row>
    <row r="1660" spans="1:9">
      <c r="A1660" s="17" t="s">
        <v>1095</v>
      </c>
      <c r="B1660" s="17" t="s">
        <v>1047</v>
      </c>
      <c r="C1660" s="17" t="s">
        <v>800</v>
      </c>
      <c r="D1660" s="17" t="s">
        <v>801</v>
      </c>
      <c r="E1660" s="18">
        <v>3004660505032</v>
      </c>
      <c r="G1660" s="20" t="str">
        <f t="shared" si="75"/>
        <v xml:space="preserve"> ANSES/TRESSEES  </v>
      </c>
      <c r="H1660" s="20" t="str">
        <f t="shared" si="76"/>
        <v>CUIMA</v>
      </c>
      <c r="I1660" s="20" t="str">
        <f t="shared" si="77"/>
        <v xml:space="preserve">L    </v>
      </c>
    </row>
    <row r="1661" spans="1:9">
      <c r="A1661" s="17" t="s">
        <v>1095</v>
      </c>
      <c r="B1661" s="17" t="s">
        <v>1047</v>
      </c>
      <c r="C1661" s="17" t="s">
        <v>800</v>
      </c>
      <c r="D1661" s="17" t="s">
        <v>801</v>
      </c>
      <c r="E1661" s="18">
        <v>3005320505034</v>
      </c>
      <c r="G1661" s="20" t="str">
        <f t="shared" si="75"/>
        <v xml:space="preserve"> ANSES/TRESSEES  </v>
      </c>
      <c r="H1661" s="20" t="str">
        <f t="shared" si="76"/>
        <v>CUIMA</v>
      </c>
      <c r="I1661" s="20" t="str">
        <f t="shared" si="77"/>
        <v xml:space="preserve">L    </v>
      </c>
    </row>
    <row r="1662" spans="1:9">
      <c r="A1662" s="17" t="s">
        <v>1095</v>
      </c>
      <c r="B1662" s="17" t="s">
        <v>1047</v>
      </c>
      <c r="C1662" s="17" t="s">
        <v>802</v>
      </c>
      <c r="D1662" s="17" t="s">
        <v>801</v>
      </c>
      <c r="E1662" s="18">
        <v>3004660505025</v>
      </c>
      <c r="G1662" s="20" t="str">
        <f t="shared" si="75"/>
        <v xml:space="preserve"> ANSES/TRESSEES  </v>
      </c>
      <c r="H1662" s="20" t="str">
        <f t="shared" si="76"/>
        <v>CUIMA</v>
      </c>
      <c r="I1662" s="20" t="str">
        <f t="shared" si="77"/>
        <v xml:space="preserve">M    </v>
      </c>
    </row>
    <row r="1663" spans="1:9">
      <c r="A1663" s="17" t="s">
        <v>1095</v>
      </c>
      <c r="B1663" s="17" t="s">
        <v>1047</v>
      </c>
      <c r="C1663" s="17" t="s">
        <v>802</v>
      </c>
      <c r="D1663" s="17" t="s">
        <v>801</v>
      </c>
      <c r="E1663" s="18">
        <v>3005320505027</v>
      </c>
      <c r="G1663" s="20" t="str">
        <f t="shared" si="75"/>
        <v xml:space="preserve"> ANSES/TRESSEES  </v>
      </c>
      <c r="H1663" s="20" t="str">
        <f t="shared" si="76"/>
        <v>CUIMA</v>
      </c>
      <c r="I1663" s="20" t="str">
        <f t="shared" si="77"/>
        <v xml:space="preserve">M    </v>
      </c>
    </row>
    <row r="1664" spans="1:9">
      <c r="A1664" s="17" t="s">
        <v>1095</v>
      </c>
      <c r="B1664" s="17" t="s">
        <v>1047</v>
      </c>
      <c r="C1664" s="17" t="s">
        <v>803</v>
      </c>
      <c r="D1664" s="17" t="s">
        <v>801</v>
      </c>
      <c r="E1664" s="18">
        <v>3004660505018</v>
      </c>
      <c r="G1664" s="20" t="str">
        <f t="shared" si="75"/>
        <v xml:space="preserve"> ANSES/TRESSEES  </v>
      </c>
      <c r="H1664" s="20" t="str">
        <f t="shared" si="76"/>
        <v>CUIMA</v>
      </c>
      <c r="I1664" s="20" t="str">
        <f t="shared" si="77"/>
        <v xml:space="preserve">S    </v>
      </c>
    </row>
    <row r="1665" spans="1:9">
      <c r="A1665" s="17" t="s">
        <v>1095</v>
      </c>
      <c r="B1665" s="17" t="s">
        <v>1047</v>
      </c>
      <c r="C1665" s="17" t="s">
        <v>803</v>
      </c>
      <c r="D1665" s="17" t="s">
        <v>801</v>
      </c>
      <c r="E1665" s="18">
        <v>3005320505010</v>
      </c>
      <c r="G1665" s="20" t="str">
        <f t="shared" si="75"/>
        <v xml:space="preserve"> ANSES/TRESSEES  </v>
      </c>
      <c r="H1665" s="20" t="str">
        <f t="shared" si="76"/>
        <v>CUIMA</v>
      </c>
      <c r="I1665" s="20" t="str">
        <f t="shared" si="77"/>
        <v xml:space="preserve">S    </v>
      </c>
    </row>
    <row r="1666" spans="1:9">
      <c r="A1666" s="17" t="s">
        <v>1095</v>
      </c>
      <c r="B1666" s="17" t="s">
        <v>1047</v>
      </c>
      <c r="C1666" s="17" t="s">
        <v>804</v>
      </c>
      <c r="D1666" s="17" t="s">
        <v>801</v>
      </c>
      <c r="E1666" s="18">
        <v>3004660505049</v>
      </c>
      <c r="G1666" s="20" t="str">
        <f t="shared" si="75"/>
        <v xml:space="preserve"> ANSES/TRESSEES  </v>
      </c>
      <c r="H1666" s="20" t="str">
        <f t="shared" si="76"/>
        <v>CUIMA</v>
      </c>
      <c r="I1666" s="20" t="str">
        <f t="shared" si="77"/>
        <v xml:space="preserve">XL   </v>
      </c>
    </row>
    <row r="1667" spans="1:9">
      <c r="A1667" s="17" t="s">
        <v>1095</v>
      </c>
      <c r="B1667" s="17" t="s">
        <v>1047</v>
      </c>
      <c r="C1667" s="17" t="s">
        <v>804</v>
      </c>
      <c r="D1667" s="17" t="s">
        <v>801</v>
      </c>
      <c r="E1667" s="18">
        <v>3005320505041</v>
      </c>
      <c r="G1667" s="20" t="str">
        <f t="shared" si="75"/>
        <v xml:space="preserve"> ANSES/TRESSEES  </v>
      </c>
      <c r="H1667" s="20" t="str">
        <f t="shared" si="76"/>
        <v>CUIMA</v>
      </c>
      <c r="I1667" s="20" t="str">
        <f t="shared" si="77"/>
        <v xml:space="preserve">XL   </v>
      </c>
    </row>
    <row r="1668" spans="1:9">
      <c r="A1668" s="17" t="s">
        <v>1095</v>
      </c>
      <c r="B1668" s="17" t="s">
        <v>1047</v>
      </c>
      <c r="C1668" s="17" t="s">
        <v>805</v>
      </c>
      <c r="D1668" s="17" t="s">
        <v>801</v>
      </c>
      <c r="E1668" s="18">
        <v>3005320505003</v>
      </c>
      <c r="G1668" s="20" t="str">
        <f t="shared" si="75"/>
        <v xml:space="preserve"> ANSES/TRESSEES  </v>
      </c>
      <c r="H1668" s="20" t="str">
        <f t="shared" si="76"/>
        <v>CUIMA</v>
      </c>
      <c r="I1668" s="20" t="str">
        <f t="shared" si="77"/>
        <v xml:space="preserve">XS   </v>
      </c>
    </row>
    <row r="1669" spans="1:9">
      <c r="A1669" s="17" t="s">
        <v>1095</v>
      </c>
      <c r="B1669" s="17" t="s">
        <v>1096</v>
      </c>
      <c r="C1669" s="17" t="s">
        <v>799</v>
      </c>
      <c r="D1669" s="17" t="s">
        <v>801</v>
      </c>
      <c r="E1669" s="18">
        <v>8058983594933</v>
      </c>
      <c r="G1669" s="20" t="str">
        <f t="shared" ref="G1669:G1732" si="78">A1669</f>
        <v xml:space="preserve"> ANSES/TRESSEES  </v>
      </c>
      <c r="H1669" s="20" t="str">
        <f t="shared" ref="H1669:H1732" si="79">B1669</f>
        <v>CUINA</v>
      </c>
      <c r="I1669" s="20" t="str">
        <f t="shared" ref="I1669:I1732" si="80">C1669</f>
        <v xml:space="preserve">     </v>
      </c>
    </row>
    <row r="1670" spans="1:9">
      <c r="A1670" s="17" t="s">
        <v>1095</v>
      </c>
      <c r="B1670" s="17" t="s">
        <v>1096</v>
      </c>
      <c r="C1670" s="17" t="s">
        <v>799</v>
      </c>
      <c r="D1670" s="17" t="s">
        <v>801</v>
      </c>
      <c r="E1670" s="18">
        <v>3004660677005</v>
      </c>
      <c r="G1670" s="20" t="str">
        <f t="shared" si="78"/>
        <v xml:space="preserve"> ANSES/TRESSEES  </v>
      </c>
      <c r="H1670" s="20" t="str">
        <f t="shared" si="79"/>
        <v>CUINA</v>
      </c>
      <c r="I1670" s="20" t="str">
        <f t="shared" si="80"/>
        <v xml:space="preserve">     </v>
      </c>
    </row>
    <row r="1671" spans="1:9">
      <c r="A1671" s="17" t="s">
        <v>1095</v>
      </c>
      <c r="B1671" s="17" t="s">
        <v>1096</v>
      </c>
      <c r="C1671" s="17" t="s">
        <v>800</v>
      </c>
      <c r="D1671" s="17" t="s">
        <v>801</v>
      </c>
      <c r="E1671" s="18">
        <v>3004660677036</v>
      </c>
      <c r="G1671" s="20" t="str">
        <f t="shared" si="78"/>
        <v xml:space="preserve"> ANSES/TRESSEES  </v>
      </c>
      <c r="H1671" s="20" t="str">
        <f t="shared" si="79"/>
        <v>CUINA</v>
      </c>
      <c r="I1671" s="20" t="str">
        <f t="shared" si="80"/>
        <v xml:space="preserve">L    </v>
      </c>
    </row>
    <row r="1672" spans="1:9">
      <c r="A1672" s="17" t="s">
        <v>1095</v>
      </c>
      <c r="B1672" s="17" t="s">
        <v>1096</v>
      </c>
      <c r="C1672" s="17" t="s">
        <v>800</v>
      </c>
      <c r="D1672" s="17" t="s">
        <v>801</v>
      </c>
      <c r="E1672" s="18">
        <v>3005320677038</v>
      </c>
      <c r="G1672" s="20" t="str">
        <f t="shared" si="78"/>
        <v xml:space="preserve"> ANSES/TRESSEES  </v>
      </c>
      <c r="H1672" s="20" t="str">
        <f t="shared" si="79"/>
        <v>CUINA</v>
      </c>
      <c r="I1672" s="20" t="str">
        <f t="shared" si="80"/>
        <v xml:space="preserve">L    </v>
      </c>
    </row>
    <row r="1673" spans="1:9">
      <c r="A1673" s="17" t="s">
        <v>1095</v>
      </c>
      <c r="B1673" s="17" t="s">
        <v>1096</v>
      </c>
      <c r="C1673" s="17" t="s">
        <v>802</v>
      </c>
      <c r="D1673" s="17" t="s">
        <v>801</v>
      </c>
      <c r="E1673" s="18">
        <v>3004660677029</v>
      </c>
      <c r="G1673" s="20" t="str">
        <f t="shared" si="78"/>
        <v xml:space="preserve"> ANSES/TRESSEES  </v>
      </c>
      <c r="H1673" s="20" t="str">
        <f t="shared" si="79"/>
        <v>CUINA</v>
      </c>
      <c r="I1673" s="20" t="str">
        <f t="shared" si="80"/>
        <v xml:space="preserve">M    </v>
      </c>
    </row>
    <row r="1674" spans="1:9">
      <c r="A1674" s="17" t="s">
        <v>1095</v>
      </c>
      <c r="B1674" s="17" t="s">
        <v>1096</v>
      </c>
      <c r="C1674" s="17" t="s">
        <v>802</v>
      </c>
      <c r="D1674" s="17" t="s">
        <v>801</v>
      </c>
      <c r="E1674" s="18">
        <v>3005320677021</v>
      </c>
      <c r="G1674" s="20" t="str">
        <f t="shared" si="78"/>
        <v xml:space="preserve"> ANSES/TRESSEES  </v>
      </c>
      <c r="H1674" s="20" t="str">
        <f t="shared" si="79"/>
        <v>CUINA</v>
      </c>
      <c r="I1674" s="20" t="str">
        <f t="shared" si="80"/>
        <v xml:space="preserve">M    </v>
      </c>
    </row>
    <row r="1675" spans="1:9">
      <c r="A1675" s="17" t="s">
        <v>1095</v>
      </c>
      <c r="B1675" s="17" t="s">
        <v>1096</v>
      </c>
      <c r="C1675" s="17" t="s">
        <v>803</v>
      </c>
      <c r="D1675" s="17" t="s">
        <v>801</v>
      </c>
      <c r="E1675" s="18">
        <v>3004660677012</v>
      </c>
      <c r="G1675" s="20" t="str">
        <f t="shared" si="78"/>
        <v xml:space="preserve"> ANSES/TRESSEES  </v>
      </c>
      <c r="H1675" s="20" t="str">
        <f t="shared" si="79"/>
        <v>CUINA</v>
      </c>
      <c r="I1675" s="20" t="str">
        <f t="shared" si="80"/>
        <v xml:space="preserve">S    </v>
      </c>
    </row>
    <row r="1676" spans="1:9">
      <c r="A1676" s="17" t="s">
        <v>1095</v>
      </c>
      <c r="B1676" s="17" t="s">
        <v>1096</v>
      </c>
      <c r="C1676" s="17" t="s">
        <v>803</v>
      </c>
      <c r="D1676" s="17" t="s">
        <v>801</v>
      </c>
      <c r="E1676" s="18">
        <v>3005320677014</v>
      </c>
      <c r="G1676" s="20" t="str">
        <f t="shared" si="78"/>
        <v xml:space="preserve"> ANSES/TRESSEES  </v>
      </c>
      <c r="H1676" s="20" t="str">
        <f t="shared" si="79"/>
        <v>CUINA</v>
      </c>
      <c r="I1676" s="20" t="str">
        <f t="shared" si="80"/>
        <v xml:space="preserve">S    </v>
      </c>
    </row>
    <row r="1677" spans="1:9">
      <c r="A1677" s="17" t="s">
        <v>1095</v>
      </c>
      <c r="B1677" s="17" t="s">
        <v>1096</v>
      </c>
      <c r="C1677" s="17" t="s">
        <v>804</v>
      </c>
      <c r="D1677" s="17" t="s">
        <v>801</v>
      </c>
      <c r="E1677" s="18">
        <v>3004660677043</v>
      </c>
      <c r="G1677" s="20" t="str">
        <f t="shared" si="78"/>
        <v xml:space="preserve"> ANSES/TRESSEES  </v>
      </c>
      <c r="H1677" s="20" t="str">
        <f t="shared" si="79"/>
        <v>CUINA</v>
      </c>
      <c r="I1677" s="20" t="str">
        <f t="shared" si="80"/>
        <v xml:space="preserve">XL   </v>
      </c>
    </row>
    <row r="1678" spans="1:9">
      <c r="A1678" s="17" t="s">
        <v>1095</v>
      </c>
      <c r="B1678" s="17" t="s">
        <v>1096</v>
      </c>
      <c r="C1678" s="17" t="s">
        <v>804</v>
      </c>
      <c r="D1678" s="17" t="s">
        <v>801</v>
      </c>
      <c r="E1678" s="18">
        <v>3005320677045</v>
      </c>
      <c r="G1678" s="20" t="str">
        <f t="shared" si="78"/>
        <v xml:space="preserve"> ANSES/TRESSEES  </v>
      </c>
      <c r="H1678" s="20" t="str">
        <f t="shared" si="79"/>
        <v>CUINA</v>
      </c>
      <c r="I1678" s="20" t="str">
        <f t="shared" si="80"/>
        <v xml:space="preserve">XL   </v>
      </c>
    </row>
    <row r="1679" spans="1:9">
      <c r="A1679" s="17" t="s">
        <v>1095</v>
      </c>
      <c r="B1679" s="17" t="s">
        <v>1096</v>
      </c>
      <c r="C1679" s="17" t="s">
        <v>805</v>
      </c>
      <c r="D1679" s="17" t="s">
        <v>801</v>
      </c>
      <c r="E1679" s="18">
        <v>3005320677007</v>
      </c>
      <c r="G1679" s="20" t="str">
        <f t="shared" si="78"/>
        <v xml:space="preserve"> ANSES/TRESSEES  </v>
      </c>
      <c r="H1679" s="20" t="str">
        <f t="shared" si="79"/>
        <v>CUINA</v>
      </c>
      <c r="I1679" s="20" t="str">
        <f t="shared" si="80"/>
        <v xml:space="preserve">XS   </v>
      </c>
    </row>
    <row r="1680" spans="1:9">
      <c r="A1680" s="17" t="s">
        <v>1095</v>
      </c>
      <c r="B1680" s="17" t="s">
        <v>1032</v>
      </c>
      <c r="C1680" s="17" t="s">
        <v>800</v>
      </c>
      <c r="D1680" s="17" t="s">
        <v>801</v>
      </c>
      <c r="E1680" s="18">
        <v>3004661099035</v>
      </c>
      <c r="G1680" s="20" t="str">
        <f t="shared" si="78"/>
        <v xml:space="preserve"> ANSES/TRESSEES  </v>
      </c>
      <c r="H1680" s="20" t="str">
        <f t="shared" si="79"/>
        <v xml:space="preserve">OCRE </v>
      </c>
      <c r="I1680" s="20" t="str">
        <f t="shared" si="80"/>
        <v xml:space="preserve">L    </v>
      </c>
    </row>
    <row r="1681" spans="1:9">
      <c r="A1681" s="17" t="s">
        <v>1095</v>
      </c>
      <c r="B1681" s="17" t="s">
        <v>1032</v>
      </c>
      <c r="C1681" s="17" t="s">
        <v>800</v>
      </c>
      <c r="D1681" s="17" t="s">
        <v>801</v>
      </c>
      <c r="E1681" s="18">
        <v>3005321099037</v>
      </c>
      <c r="G1681" s="20" t="str">
        <f t="shared" si="78"/>
        <v xml:space="preserve"> ANSES/TRESSEES  </v>
      </c>
      <c r="H1681" s="20" t="str">
        <f t="shared" si="79"/>
        <v xml:space="preserve">OCRE </v>
      </c>
      <c r="I1681" s="20" t="str">
        <f t="shared" si="80"/>
        <v xml:space="preserve">L    </v>
      </c>
    </row>
    <row r="1682" spans="1:9">
      <c r="A1682" s="17" t="s">
        <v>1095</v>
      </c>
      <c r="B1682" s="17" t="s">
        <v>1032</v>
      </c>
      <c r="C1682" s="17" t="s">
        <v>802</v>
      </c>
      <c r="D1682" s="17" t="s">
        <v>801</v>
      </c>
      <c r="E1682" s="18">
        <v>3004661099028</v>
      </c>
      <c r="G1682" s="20" t="str">
        <f t="shared" si="78"/>
        <v xml:space="preserve"> ANSES/TRESSEES  </v>
      </c>
      <c r="H1682" s="20" t="str">
        <f t="shared" si="79"/>
        <v xml:space="preserve">OCRE </v>
      </c>
      <c r="I1682" s="20" t="str">
        <f t="shared" si="80"/>
        <v xml:space="preserve">M    </v>
      </c>
    </row>
    <row r="1683" spans="1:9">
      <c r="A1683" s="17" t="s">
        <v>1095</v>
      </c>
      <c r="B1683" s="17" t="s">
        <v>1032</v>
      </c>
      <c r="C1683" s="17" t="s">
        <v>802</v>
      </c>
      <c r="D1683" s="17" t="s">
        <v>801</v>
      </c>
      <c r="E1683" s="18">
        <v>3005321099020</v>
      </c>
      <c r="G1683" s="20" t="str">
        <f t="shared" si="78"/>
        <v xml:space="preserve"> ANSES/TRESSEES  </v>
      </c>
      <c r="H1683" s="20" t="str">
        <f t="shared" si="79"/>
        <v xml:space="preserve">OCRE </v>
      </c>
      <c r="I1683" s="20" t="str">
        <f t="shared" si="80"/>
        <v xml:space="preserve">M    </v>
      </c>
    </row>
    <row r="1684" spans="1:9">
      <c r="A1684" s="17" t="s">
        <v>1095</v>
      </c>
      <c r="B1684" s="17" t="s">
        <v>1032</v>
      </c>
      <c r="C1684" s="17" t="s">
        <v>803</v>
      </c>
      <c r="D1684" s="17" t="s">
        <v>801</v>
      </c>
      <c r="E1684" s="18">
        <v>3004661099011</v>
      </c>
      <c r="G1684" s="20" t="str">
        <f t="shared" si="78"/>
        <v xml:space="preserve"> ANSES/TRESSEES  </v>
      </c>
      <c r="H1684" s="20" t="str">
        <f t="shared" si="79"/>
        <v xml:space="preserve">OCRE </v>
      </c>
      <c r="I1684" s="20" t="str">
        <f t="shared" si="80"/>
        <v xml:space="preserve">S    </v>
      </c>
    </row>
    <row r="1685" spans="1:9">
      <c r="A1685" s="17" t="s">
        <v>1095</v>
      </c>
      <c r="B1685" s="17" t="s">
        <v>1032</v>
      </c>
      <c r="C1685" s="17" t="s">
        <v>803</v>
      </c>
      <c r="D1685" s="17" t="s">
        <v>801</v>
      </c>
      <c r="E1685" s="18">
        <v>8056095063989</v>
      </c>
      <c r="G1685" s="20" t="str">
        <f t="shared" si="78"/>
        <v xml:space="preserve"> ANSES/TRESSEES  </v>
      </c>
      <c r="H1685" s="20" t="str">
        <f t="shared" si="79"/>
        <v xml:space="preserve">OCRE </v>
      </c>
      <c r="I1685" s="20" t="str">
        <f t="shared" si="80"/>
        <v xml:space="preserve">S    </v>
      </c>
    </row>
    <row r="1686" spans="1:9">
      <c r="A1686" s="17" t="s">
        <v>1095</v>
      </c>
      <c r="B1686" s="17" t="s">
        <v>1032</v>
      </c>
      <c r="C1686" s="17" t="s">
        <v>803</v>
      </c>
      <c r="D1686" s="17" t="s">
        <v>801</v>
      </c>
      <c r="E1686" s="18">
        <v>3005321099013</v>
      </c>
      <c r="G1686" s="20" t="str">
        <f t="shared" si="78"/>
        <v xml:space="preserve"> ANSES/TRESSEES  </v>
      </c>
      <c r="H1686" s="20" t="str">
        <f t="shared" si="79"/>
        <v xml:space="preserve">OCRE </v>
      </c>
      <c r="I1686" s="20" t="str">
        <f t="shared" si="80"/>
        <v xml:space="preserve">S    </v>
      </c>
    </row>
    <row r="1687" spans="1:9">
      <c r="A1687" s="17" t="s">
        <v>1095</v>
      </c>
      <c r="B1687" s="17" t="s">
        <v>1032</v>
      </c>
      <c r="C1687" s="17" t="s">
        <v>804</v>
      </c>
      <c r="D1687" s="17" t="s">
        <v>801</v>
      </c>
      <c r="E1687" s="18">
        <v>3004661099042</v>
      </c>
      <c r="G1687" s="20" t="str">
        <f t="shared" si="78"/>
        <v xml:space="preserve"> ANSES/TRESSEES  </v>
      </c>
      <c r="H1687" s="20" t="str">
        <f t="shared" si="79"/>
        <v xml:space="preserve">OCRE </v>
      </c>
      <c r="I1687" s="20" t="str">
        <f t="shared" si="80"/>
        <v xml:space="preserve">XL   </v>
      </c>
    </row>
    <row r="1688" spans="1:9">
      <c r="A1688" s="17" t="s">
        <v>1095</v>
      </c>
      <c r="B1688" s="17" t="s">
        <v>1032</v>
      </c>
      <c r="C1688" s="17" t="s">
        <v>804</v>
      </c>
      <c r="D1688" s="17" t="s">
        <v>801</v>
      </c>
      <c r="E1688" s="18">
        <v>3005321099044</v>
      </c>
      <c r="G1688" s="20" t="str">
        <f t="shared" si="78"/>
        <v xml:space="preserve"> ANSES/TRESSEES  </v>
      </c>
      <c r="H1688" s="20" t="str">
        <f t="shared" si="79"/>
        <v xml:space="preserve">OCRE </v>
      </c>
      <c r="I1688" s="20" t="str">
        <f t="shared" si="80"/>
        <v xml:space="preserve">XL   </v>
      </c>
    </row>
    <row r="1689" spans="1:9">
      <c r="A1689" s="17" t="s">
        <v>1095</v>
      </c>
      <c r="B1689" s="17" t="s">
        <v>1032</v>
      </c>
      <c r="C1689" s="17" t="s">
        <v>805</v>
      </c>
      <c r="D1689" s="17" t="s">
        <v>801</v>
      </c>
      <c r="E1689" s="18">
        <v>3004661099004</v>
      </c>
      <c r="G1689" s="20" t="str">
        <f t="shared" si="78"/>
        <v xml:space="preserve"> ANSES/TRESSEES  </v>
      </c>
      <c r="H1689" s="20" t="str">
        <f t="shared" si="79"/>
        <v xml:space="preserve">OCRE </v>
      </c>
      <c r="I1689" s="20" t="str">
        <f t="shared" si="80"/>
        <v xml:space="preserve">XS   </v>
      </c>
    </row>
    <row r="1690" spans="1:9">
      <c r="A1690" s="17" t="s">
        <v>1095</v>
      </c>
      <c r="B1690" s="17" t="s">
        <v>1032</v>
      </c>
      <c r="C1690" s="17" t="s">
        <v>805</v>
      </c>
      <c r="D1690" s="17" t="s">
        <v>801</v>
      </c>
      <c r="E1690" s="18">
        <v>3005321099006</v>
      </c>
      <c r="G1690" s="20" t="str">
        <f t="shared" si="78"/>
        <v xml:space="preserve"> ANSES/TRESSEES  </v>
      </c>
      <c r="H1690" s="20" t="str">
        <f t="shared" si="79"/>
        <v xml:space="preserve">OCRE </v>
      </c>
      <c r="I1690" s="20" t="str">
        <f t="shared" si="80"/>
        <v xml:space="preserve">XS   </v>
      </c>
    </row>
    <row r="1691" spans="1:9">
      <c r="A1691" s="17" t="s">
        <v>1095</v>
      </c>
      <c r="B1691" s="17" t="s">
        <v>1097</v>
      </c>
      <c r="C1691" s="17" t="s">
        <v>800</v>
      </c>
      <c r="D1691" s="17" t="s">
        <v>801</v>
      </c>
      <c r="E1691" s="18">
        <v>3004660838031</v>
      </c>
      <c r="G1691" s="20" t="str">
        <f t="shared" si="78"/>
        <v xml:space="preserve"> ANSES/TRESSEES  </v>
      </c>
      <c r="H1691" s="20" t="str">
        <f t="shared" si="79"/>
        <v xml:space="preserve">PORP </v>
      </c>
      <c r="I1691" s="20" t="str">
        <f t="shared" si="80"/>
        <v xml:space="preserve">L    </v>
      </c>
    </row>
    <row r="1692" spans="1:9">
      <c r="A1692" s="17" t="s">
        <v>1095</v>
      </c>
      <c r="B1692" s="17" t="s">
        <v>1097</v>
      </c>
      <c r="C1692" s="17" t="s">
        <v>800</v>
      </c>
      <c r="D1692" s="17" t="s">
        <v>801</v>
      </c>
      <c r="E1692" s="18">
        <v>8056095064009</v>
      </c>
      <c r="G1692" s="20" t="str">
        <f t="shared" si="78"/>
        <v xml:space="preserve"> ANSES/TRESSEES  </v>
      </c>
      <c r="H1692" s="20" t="str">
        <f t="shared" si="79"/>
        <v xml:space="preserve">PORP </v>
      </c>
      <c r="I1692" s="20" t="str">
        <f t="shared" si="80"/>
        <v xml:space="preserve">L    </v>
      </c>
    </row>
    <row r="1693" spans="1:9">
      <c r="A1693" s="17" t="s">
        <v>1095</v>
      </c>
      <c r="B1693" s="17" t="s">
        <v>1097</v>
      </c>
      <c r="C1693" s="17" t="s">
        <v>802</v>
      </c>
      <c r="D1693" s="17" t="s">
        <v>801</v>
      </c>
      <c r="E1693" s="18">
        <v>3004660838024</v>
      </c>
      <c r="G1693" s="20" t="str">
        <f t="shared" si="78"/>
        <v xml:space="preserve"> ANSES/TRESSEES  </v>
      </c>
      <c r="H1693" s="20" t="str">
        <f t="shared" si="79"/>
        <v xml:space="preserve">PORP </v>
      </c>
      <c r="I1693" s="20" t="str">
        <f t="shared" si="80"/>
        <v xml:space="preserve">M    </v>
      </c>
    </row>
    <row r="1694" spans="1:9">
      <c r="A1694" s="17" t="s">
        <v>1095</v>
      </c>
      <c r="B1694" s="17" t="s">
        <v>1097</v>
      </c>
      <c r="C1694" s="17" t="s">
        <v>802</v>
      </c>
      <c r="D1694" s="17" t="s">
        <v>801</v>
      </c>
      <c r="E1694" s="18">
        <v>3005320838026</v>
      </c>
      <c r="G1694" s="20" t="str">
        <f t="shared" si="78"/>
        <v xml:space="preserve"> ANSES/TRESSEES  </v>
      </c>
      <c r="H1694" s="20" t="str">
        <f t="shared" si="79"/>
        <v xml:space="preserve">PORP </v>
      </c>
      <c r="I1694" s="20" t="str">
        <f t="shared" si="80"/>
        <v xml:space="preserve">M    </v>
      </c>
    </row>
    <row r="1695" spans="1:9">
      <c r="A1695" s="17" t="s">
        <v>1095</v>
      </c>
      <c r="B1695" s="17" t="s">
        <v>1097</v>
      </c>
      <c r="C1695" s="17" t="s">
        <v>803</v>
      </c>
      <c r="D1695" s="17" t="s">
        <v>801</v>
      </c>
      <c r="E1695" s="18">
        <v>3004660838017</v>
      </c>
      <c r="G1695" s="20" t="str">
        <f t="shared" si="78"/>
        <v xml:space="preserve"> ANSES/TRESSEES  </v>
      </c>
      <c r="H1695" s="20" t="str">
        <f t="shared" si="79"/>
        <v xml:space="preserve">PORP </v>
      </c>
      <c r="I1695" s="20" t="str">
        <f t="shared" si="80"/>
        <v xml:space="preserve">S    </v>
      </c>
    </row>
    <row r="1696" spans="1:9">
      <c r="A1696" s="17" t="s">
        <v>1095</v>
      </c>
      <c r="B1696" s="17" t="s">
        <v>1097</v>
      </c>
      <c r="C1696" s="17" t="s">
        <v>803</v>
      </c>
      <c r="D1696" s="17" t="s">
        <v>801</v>
      </c>
      <c r="E1696" s="18">
        <v>3005320838019</v>
      </c>
      <c r="G1696" s="20" t="str">
        <f t="shared" si="78"/>
        <v xml:space="preserve"> ANSES/TRESSEES  </v>
      </c>
      <c r="H1696" s="20" t="str">
        <f t="shared" si="79"/>
        <v xml:space="preserve">PORP </v>
      </c>
      <c r="I1696" s="20" t="str">
        <f t="shared" si="80"/>
        <v xml:space="preserve">S    </v>
      </c>
    </row>
    <row r="1697" spans="1:9">
      <c r="A1697" s="17" t="s">
        <v>1095</v>
      </c>
      <c r="B1697" s="17" t="s">
        <v>1097</v>
      </c>
      <c r="C1697" s="17" t="s">
        <v>804</v>
      </c>
      <c r="D1697" s="17" t="s">
        <v>801</v>
      </c>
      <c r="E1697" s="18">
        <v>3004660838048</v>
      </c>
      <c r="G1697" s="20" t="str">
        <f t="shared" si="78"/>
        <v xml:space="preserve"> ANSES/TRESSEES  </v>
      </c>
      <c r="H1697" s="20" t="str">
        <f t="shared" si="79"/>
        <v xml:space="preserve">PORP </v>
      </c>
      <c r="I1697" s="20" t="str">
        <f t="shared" si="80"/>
        <v xml:space="preserve">XL   </v>
      </c>
    </row>
    <row r="1698" spans="1:9">
      <c r="A1698" s="17" t="s">
        <v>1095</v>
      </c>
      <c r="B1698" s="17" t="s">
        <v>1097</v>
      </c>
      <c r="C1698" s="17" t="s">
        <v>804</v>
      </c>
      <c r="D1698" s="17" t="s">
        <v>801</v>
      </c>
      <c r="E1698" s="18">
        <v>3005320838040</v>
      </c>
      <c r="G1698" s="20" t="str">
        <f t="shared" si="78"/>
        <v xml:space="preserve"> ANSES/TRESSEES  </v>
      </c>
      <c r="H1698" s="20" t="str">
        <f t="shared" si="79"/>
        <v xml:space="preserve">PORP </v>
      </c>
      <c r="I1698" s="20" t="str">
        <f t="shared" si="80"/>
        <v xml:space="preserve">XL   </v>
      </c>
    </row>
    <row r="1699" spans="1:9">
      <c r="A1699" s="17" t="s">
        <v>1095</v>
      </c>
      <c r="B1699" s="17" t="s">
        <v>1097</v>
      </c>
      <c r="C1699" s="17" t="s">
        <v>805</v>
      </c>
      <c r="D1699" s="17" t="s">
        <v>801</v>
      </c>
      <c r="E1699" s="18">
        <v>3004660838000</v>
      </c>
      <c r="G1699" s="20" t="str">
        <f t="shared" si="78"/>
        <v xml:space="preserve"> ANSES/TRESSEES  </v>
      </c>
      <c r="H1699" s="20" t="str">
        <f t="shared" si="79"/>
        <v xml:space="preserve">PORP </v>
      </c>
      <c r="I1699" s="20" t="str">
        <f t="shared" si="80"/>
        <v xml:space="preserve">XS   </v>
      </c>
    </row>
    <row r="1700" spans="1:9">
      <c r="A1700" s="17" t="s">
        <v>1095</v>
      </c>
      <c r="B1700" s="17" t="s">
        <v>1097</v>
      </c>
      <c r="C1700" s="17" t="s">
        <v>805</v>
      </c>
      <c r="D1700" s="17" t="s">
        <v>801</v>
      </c>
      <c r="E1700" s="18">
        <v>3005320838002</v>
      </c>
      <c r="G1700" s="20" t="str">
        <f t="shared" si="78"/>
        <v xml:space="preserve"> ANSES/TRESSEES  </v>
      </c>
      <c r="H1700" s="20" t="str">
        <f t="shared" si="79"/>
        <v xml:space="preserve">PORP </v>
      </c>
      <c r="I1700" s="20" t="str">
        <f t="shared" si="80"/>
        <v xml:space="preserve">XS   </v>
      </c>
    </row>
    <row r="1701" spans="1:9">
      <c r="A1701" s="17" t="s">
        <v>1095</v>
      </c>
      <c r="B1701" s="17" t="s">
        <v>1080</v>
      </c>
      <c r="C1701" s="17" t="s">
        <v>800</v>
      </c>
      <c r="D1701" s="17" t="s">
        <v>801</v>
      </c>
      <c r="E1701" s="18">
        <v>8056095063972</v>
      </c>
      <c r="G1701" s="20" t="str">
        <f t="shared" si="78"/>
        <v xml:space="preserve"> ANSES/TRESSEES  </v>
      </c>
      <c r="H1701" s="20" t="str">
        <f t="shared" si="79"/>
        <v>TERRA</v>
      </c>
      <c r="I1701" s="20" t="str">
        <f t="shared" si="80"/>
        <v xml:space="preserve">L    </v>
      </c>
    </row>
    <row r="1702" spans="1:9">
      <c r="A1702" s="17" t="s">
        <v>1095</v>
      </c>
      <c r="B1702" s="17" t="s">
        <v>1080</v>
      </c>
      <c r="C1702" s="17" t="s">
        <v>800</v>
      </c>
      <c r="D1702" s="17" t="s">
        <v>801</v>
      </c>
      <c r="E1702" s="18">
        <v>3004661074032</v>
      </c>
      <c r="G1702" s="20" t="str">
        <f t="shared" si="78"/>
        <v xml:space="preserve"> ANSES/TRESSEES  </v>
      </c>
      <c r="H1702" s="20" t="str">
        <f t="shared" si="79"/>
        <v>TERRA</v>
      </c>
      <c r="I1702" s="20" t="str">
        <f t="shared" si="80"/>
        <v xml:space="preserve">L    </v>
      </c>
    </row>
    <row r="1703" spans="1:9">
      <c r="A1703" s="17" t="s">
        <v>1095</v>
      </c>
      <c r="B1703" s="17" t="s">
        <v>1080</v>
      </c>
      <c r="C1703" s="17" t="s">
        <v>800</v>
      </c>
      <c r="D1703" s="17" t="s">
        <v>801</v>
      </c>
      <c r="E1703" s="18">
        <v>7056027063972</v>
      </c>
      <c r="G1703" s="20" t="str">
        <f t="shared" si="78"/>
        <v xml:space="preserve"> ANSES/TRESSEES  </v>
      </c>
      <c r="H1703" s="20" t="str">
        <f t="shared" si="79"/>
        <v>TERRA</v>
      </c>
      <c r="I1703" s="20" t="str">
        <f t="shared" si="80"/>
        <v xml:space="preserve">L    </v>
      </c>
    </row>
    <row r="1704" spans="1:9">
      <c r="A1704" s="17" t="s">
        <v>1095</v>
      </c>
      <c r="B1704" s="17" t="s">
        <v>1080</v>
      </c>
      <c r="C1704" s="17" t="s">
        <v>802</v>
      </c>
      <c r="D1704" s="17" t="s">
        <v>801</v>
      </c>
      <c r="E1704" s="18">
        <v>3004661074025</v>
      </c>
      <c r="G1704" s="20" t="str">
        <f t="shared" si="78"/>
        <v xml:space="preserve"> ANSES/TRESSEES  </v>
      </c>
      <c r="H1704" s="20" t="str">
        <f t="shared" si="79"/>
        <v>TERRA</v>
      </c>
      <c r="I1704" s="20" t="str">
        <f t="shared" si="80"/>
        <v xml:space="preserve">M    </v>
      </c>
    </row>
    <row r="1705" spans="1:9">
      <c r="A1705" s="17" t="s">
        <v>1095</v>
      </c>
      <c r="B1705" s="17" t="s">
        <v>1080</v>
      </c>
      <c r="C1705" s="17" t="s">
        <v>802</v>
      </c>
      <c r="D1705" s="17" t="s">
        <v>801</v>
      </c>
      <c r="E1705" s="18">
        <v>3005321074027</v>
      </c>
      <c r="G1705" s="20" t="str">
        <f t="shared" si="78"/>
        <v xml:space="preserve"> ANSES/TRESSEES  </v>
      </c>
      <c r="H1705" s="20" t="str">
        <f t="shared" si="79"/>
        <v>TERRA</v>
      </c>
      <c r="I1705" s="20" t="str">
        <f t="shared" si="80"/>
        <v xml:space="preserve">M    </v>
      </c>
    </row>
    <row r="1706" spans="1:9">
      <c r="A1706" s="17" t="s">
        <v>1095</v>
      </c>
      <c r="B1706" s="17" t="s">
        <v>1080</v>
      </c>
      <c r="C1706" s="17" t="s">
        <v>803</v>
      </c>
      <c r="D1706" s="17" t="s">
        <v>801</v>
      </c>
      <c r="E1706" s="18">
        <v>3004661074018</v>
      </c>
      <c r="G1706" s="20" t="str">
        <f t="shared" si="78"/>
        <v xml:space="preserve"> ANSES/TRESSEES  </v>
      </c>
      <c r="H1706" s="20" t="str">
        <f t="shared" si="79"/>
        <v>TERRA</v>
      </c>
      <c r="I1706" s="20" t="str">
        <f t="shared" si="80"/>
        <v xml:space="preserve">S    </v>
      </c>
    </row>
    <row r="1707" spans="1:9">
      <c r="A1707" s="17" t="s">
        <v>1095</v>
      </c>
      <c r="B1707" s="17" t="s">
        <v>1080</v>
      </c>
      <c r="C1707" s="17" t="s">
        <v>803</v>
      </c>
      <c r="D1707" s="17" t="s">
        <v>801</v>
      </c>
      <c r="E1707" s="18">
        <v>3005321074010</v>
      </c>
      <c r="G1707" s="20" t="str">
        <f t="shared" si="78"/>
        <v xml:space="preserve"> ANSES/TRESSEES  </v>
      </c>
      <c r="H1707" s="20" t="str">
        <f t="shared" si="79"/>
        <v>TERRA</v>
      </c>
      <c r="I1707" s="20" t="str">
        <f t="shared" si="80"/>
        <v xml:space="preserve">S    </v>
      </c>
    </row>
    <row r="1708" spans="1:9">
      <c r="A1708" s="17" t="s">
        <v>1095</v>
      </c>
      <c r="B1708" s="17" t="s">
        <v>1080</v>
      </c>
      <c r="C1708" s="17" t="s">
        <v>804</v>
      </c>
      <c r="D1708" s="17" t="s">
        <v>801</v>
      </c>
      <c r="E1708" s="18">
        <v>3004661074049</v>
      </c>
      <c r="G1708" s="20" t="str">
        <f t="shared" si="78"/>
        <v xml:space="preserve"> ANSES/TRESSEES  </v>
      </c>
      <c r="H1708" s="20" t="str">
        <f t="shared" si="79"/>
        <v>TERRA</v>
      </c>
      <c r="I1708" s="20" t="str">
        <f t="shared" si="80"/>
        <v xml:space="preserve">XL   </v>
      </c>
    </row>
    <row r="1709" spans="1:9">
      <c r="A1709" s="17" t="s">
        <v>1095</v>
      </c>
      <c r="B1709" s="17" t="s">
        <v>1080</v>
      </c>
      <c r="C1709" s="17" t="s">
        <v>804</v>
      </c>
      <c r="D1709" s="17" t="s">
        <v>801</v>
      </c>
      <c r="E1709" s="18">
        <v>3005321074041</v>
      </c>
      <c r="G1709" s="20" t="str">
        <f t="shared" si="78"/>
        <v xml:space="preserve"> ANSES/TRESSEES  </v>
      </c>
      <c r="H1709" s="20" t="str">
        <f t="shared" si="79"/>
        <v>TERRA</v>
      </c>
      <c r="I1709" s="20" t="str">
        <f t="shared" si="80"/>
        <v xml:space="preserve">XL   </v>
      </c>
    </row>
    <row r="1710" spans="1:9">
      <c r="A1710" s="17" t="s">
        <v>1095</v>
      </c>
      <c r="B1710" s="17" t="s">
        <v>1080</v>
      </c>
      <c r="C1710" s="17" t="s">
        <v>805</v>
      </c>
      <c r="D1710" s="17" t="s">
        <v>801</v>
      </c>
      <c r="E1710" s="18">
        <v>3004661074001</v>
      </c>
      <c r="G1710" s="20" t="str">
        <f t="shared" si="78"/>
        <v xml:space="preserve"> ANSES/TRESSEES  </v>
      </c>
      <c r="H1710" s="20" t="str">
        <f t="shared" si="79"/>
        <v>TERRA</v>
      </c>
      <c r="I1710" s="20" t="str">
        <f t="shared" si="80"/>
        <v xml:space="preserve">XS   </v>
      </c>
    </row>
    <row r="1711" spans="1:9">
      <c r="A1711" s="17" t="s">
        <v>1095</v>
      </c>
      <c r="B1711" s="17" t="s">
        <v>1080</v>
      </c>
      <c r="C1711" s="17" t="s">
        <v>805</v>
      </c>
      <c r="D1711" s="17" t="s">
        <v>801</v>
      </c>
      <c r="E1711" s="18">
        <v>3005321074003</v>
      </c>
      <c r="G1711" s="20" t="str">
        <f t="shared" si="78"/>
        <v xml:space="preserve"> ANSES/TRESSEES  </v>
      </c>
      <c r="H1711" s="20" t="str">
        <f t="shared" si="79"/>
        <v>TERRA</v>
      </c>
      <c r="I1711" s="20" t="str">
        <f t="shared" si="80"/>
        <v xml:space="preserve">XS   </v>
      </c>
    </row>
    <row r="1712" spans="1:9">
      <c r="A1712" s="17" t="s">
        <v>1095</v>
      </c>
      <c r="B1712" s="17" t="s">
        <v>1013</v>
      </c>
      <c r="C1712" s="17" t="s">
        <v>800</v>
      </c>
      <c r="D1712" s="17" t="s">
        <v>801</v>
      </c>
      <c r="E1712" s="18">
        <v>3004660425033</v>
      </c>
      <c r="G1712" s="20" t="str">
        <f t="shared" si="78"/>
        <v xml:space="preserve"> ANSES/TRESSEES  </v>
      </c>
      <c r="H1712" s="20" t="str">
        <f t="shared" si="79"/>
        <v xml:space="preserve">TURQ </v>
      </c>
      <c r="I1712" s="20" t="str">
        <f t="shared" si="80"/>
        <v xml:space="preserve">L    </v>
      </c>
    </row>
    <row r="1713" spans="1:9">
      <c r="A1713" s="17" t="s">
        <v>1095</v>
      </c>
      <c r="B1713" s="17" t="s">
        <v>1013</v>
      </c>
      <c r="C1713" s="17" t="s">
        <v>800</v>
      </c>
      <c r="D1713" s="17" t="s">
        <v>801</v>
      </c>
      <c r="E1713" s="18">
        <v>3005320425035</v>
      </c>
      <c r="G1713" s="20" t="str">
        <f t="shared" si="78"/>
        <v xml:space="preserve"> ANSES/TRESSEES  </v>
      </c>
      <c r="H1713" s="20" t="str">
        <f t="shared" si="79"/>
        <v xml:space="preserve">TURQ </v>
      </c>
      <c r="I1713" s="20" t="str">
        <f t="shared" si="80"/>
        <v xml:space="preserve">L    </v>
      </c>
    </row>
    <row r="1714" spans="1:9">
      <c r="A1714" s="17" t="s">
        <v>1095</v>
      </c>
      <c r="B1714" s="17" t="s">
        <v>1013</v>
      </c>
      <c r="C1714" s="17" t="s">
        <v>802</v>
      </c>
      <c r="D1714" s="17" t="s">
        <v>801</v>
      </c>
      <c r="E1714" s="18">
        <v>3004660425026</v>
      </c>
      <c r="G1714" s="20" t="str">
        <f t="shared" si="78"/>
        <v xml:space="preserve"> ANSES/TRESSEES  </v>
      </c>
      <c r="H1714" s="20" t="str">
        <f t="shared" si="79"/>
        <v xml:space="preserve">TURQ </v>
      </c>
      <c r="I1714" s="20" t="str">
        <f t="shared" si="80"/>
        <v xml:space="preserve">M    </v>
      </c>
    </row>
    <row r="1715" spans="1:9">
      <c r="A1715" s="17" t="s">
        <v>1095</v>
      </c>
      <c r="B1715" s="17" t="s">
        <v>1013</v>
      </c>
      <c r="C1715" s="17" t="s">
        <v>802</v>
      </c>
      <c r="D1715" s="17" t="s">
        <v>801</v>
      </c>
      <c r="E1715" s="18">
        <v>3005320425028</v>
      </c>
      <c r="G1715" s="20" t="str">
        <f t="shared" si="78"/>
        <v xml:space="preserve"> ANSES/TRESSEES  </v>
      </c>
      <c r="H1715" s="20" t="str">
        <f t="shared" si="79"/>
        <v xml:space="preserve">TURQ </v>
      </c>
      <c r="I1715" s="20" t="str">
        <f t="shared" si="80"/>
        <v xml:space="preserve">M    </v>
      </c>
    </row>
    <row r="1716" spans="1:9">
      <c r="A1716" s="17" t="s">
        <v>1095</v>
      </c>
      <c r="B1716" s="17" t="s">
        <v>1013</v>
      </c>
      <c r="C1716" s="17" t="s">
        <v>803</v>
      </c>
      <c r="D1716" s="17" t="s">
        <v>801</v>
      </c>
      <c r="E1716" s="18">
        <v>3004660425019</v>
      </c>
      <c r="G1716" s="20" t="str">
        <f t="shared" si="78"/>
        <v xml:space="preserve"> ANSES/TRESSEES  </v>
      </c>
      <c r="H1716" s="20" t="str">
        <f t="shared" si="79"/>
        <v xml:space="preserve">TURQ </v>
      </c>
      <c r="I1716" s="20" t="str">
        <f t="shared" si="80"/>
        <v xml:space="preserve">S    </v>
      </c>
    </row>
    <row r="1717" spans="1:9">
      <c r="A1717" s="17" t="s">
        <v>1095</v>
      </c>
      <c r="B1717" s="17" t="s">
        <v>1013</v>
      </c>
      <c r="C1717" s="17" t="s">
        <v>803</v>
      </c>
      <c r="D1717" s="17" t="s">
        <v>801</v>
      </c>
      <c r="E1717" s="18">
        <v>8056095063996</v>
      </c>
      <c r="G1717" s="20" t="str">
        <f t="shared" si="78"/>
        <v xml:space="preserve"> ANSES/TRESSEES  </v>
      </c>
      <c r="H1717" s="20" t="str">
        <f t="shared" si="79"/>
        <v xml:space="preserve">TURQ </v>
      </c>
      <c r="I1717" s="20" t="str">
        <f t="shared" si="80"/>
        <v xml:space="preserve">S    </v>
      </c>
    </row>
    <row r="1718" spans="1:9">
      <c r="A1718" s="17" t="s">
        <v>1095</v>
      </c>
      <c r="B1718" s="17" t="s">
        <v>1013</v>
      </c>
      <c r="C1718" s="17" t="s">
        <v>803</v>
      </c>
      <c r="D1718" s="17" t="s">
        <v>801</v>
      </c>
      <c r="E1718" s="18">
        <v>3005320425011</v>
      </c>
      <c r="G1718" s="20" t="str">
        <f t="shared" si="78"/>
        <v xml:space="preserve"> ANSES/TRESSEES  </v>
      </c>
      <c r="H1718" s="20" t="str">
        <f t="shared" si="79"/>
        <v xml:space="preserve">TURQ </v>
      </c>
      <c r="I1718" s="20" t="str">
        <f t="shared" si="80"/>
        <v xml:space="preserve">S    </v>
      </c>
    </row>
    <row r="1719" spans="1:9">
      <c r="A1719" s="17" t="s">
        <v>1095</v>
      </c>
      <c r="B1719" s="17" t="s">
        <v>1013</v>
      </c>
      <c r="C1719" s="17" t="s">
        <v>804</v>
      </c>
      <c r="D1719" s="17" t="s">
        <v>801</v>
      </c>
      <c r="E1719" s="18">
        <v>3004660425040</v>
      </c>
      <c r="G1719" s="20" t="str">
        <f t="shared" si="78"/>
        <v xml:space="preserve"> ANSES/TRESSEES  </v>
      </c>
      <c r="H1719" s="20" t="str">
        <f t="shared" si="79"/>
        <v xml:space="preserve">TURQ </v>
      </c>
      <c r="I1719" s="20" t="str">
        <f t="shared" si="80"/>
        <v xml:space="preserve">XL   </v>
      </c>
    </row>
    <row r="1720" spans="1:9">
      <c r="A1720" s="17" t="s">
        <v>1095</v>
      </c>
      <c r="B1720" s="17" t="s">
        <v>1013</v>
      </c>
      <c r="C1720" s="17" t="s">
        <v>804</v>
      </c>
      <c r="D1720" s="17" t="s">
        <v>801</v>
      </c>
      <c r="E1720" s="18">
        <v>3005320425042</v>
      </c>
      <c r="G1720" s="20" t="str">
        <f t="shared" si="78"/>
        <v xml:space="preserve"> ANSES/TRESSEES  </v>
      </c>
      <c r="H1720" s="20" t="str">
        <f t="shared" si="79"/>
        <v xml:space="preserve">TURQ </v>
      </c>
      <c r="I1720" s="20" t="str">
        <f t="shared" si="80"/>
        <v xml:space="preserve">XL   </v>
      </c>
    </row>
    <row r="1721" spans="1:9">
      <c r="A1721" s="17" t="s">
        <v>1095</v>
      </c>
      <c r="B1721" s="17" t="s">
        <v>1013</v>
      </c>
      <c r="C1721" s="17" t="s">
        <v>805</v>
      </c>
      <c r="D1721" s="17" t="s">
        <v>801</v>
      </c>
      <c r="E1721" s="18">
        <v>3004660425002</v>
      </c>
      <c r="G1721" s="20" t="str">
        <f t="shared" si="78"/>
        <v xml:space="preserve"> ANSES/TRESSEES  </v>
      </c>
      <c r="H1721" s="20" t="str">
        <f t="shared" si="79"/>
        <v xml:space="preserve">TURQ </v>
      </c>
      <c r="I1721" s="20" t="str">
        <f t="shared" si="80"/>
        <v xml:space="preserve">XS   </v>
      </c>
    </row>
    <row r="1722" spans="1:9">
      <c r="A1722" s="17" t="s">
        <v>1095</v>
      </c>
      <c r="B1722" s="17" t="s">
        <v>1013</v>
      </c>
      <c r="C1722" s="17" t="s">
        <v>805</v>
      </c>
      <c r="D1722" s="17" t="s">
        <v>801</v>
      </c>
      <c r="E1722" s="18">
        <v>3005320425004</v>
      </c>
      <c r="G1722" s="20" t="str">
        <f t="shared" si="78"/>
        <v xml:space="preserve"> ANSES/TRESSEES  </v>
      </c>
      <c r="H1722" s="20" t="str">
        <f t="shared" si="79"/>
        <v xml:space="preserve">TURQ </v>
      </c>
      <c r="I1722" s="20" t="str">
        <f t="shared" si="80"/>
        <v xml:space="preserve">XS   </v>
      </c>
    </row>
    <row r="1723" spans="1:9">
      <c r="A1723" s="17" t="s">
        <v>1098</v>
      </c>
      <c r="B1723" s="17" t="s">
        <v>859</v>
      </c>
      <c r="C1723" s="17">
        <v>0</v>
      </c>
      <c r="D1723" s="17" t="s">
        <v>801</v>
      </c>
      <c r="E1723" s="18">
        <v>3005610598005</v>
      </c>
      <c r="G1723" s="20" t="str">
        <f t="shared" si="78"/>
        <v xml:space="preserve"> ANSES/TRESSESECO</v>
      </c>
      <c r="H1723" s="20" t="str">
        <f t="shared" si="79"/>
        <v>NATUR</v>
      </c>
      <c r="I1723" s="20">
        <f t="shared" si="80"/>
        <v>0</v>
      </c>
    </row>
    <row r="1724" spans="1:9">
      <c r="A1724" s="17" t="s">
        <v>1098</v>
      </c>
      <c r="B1724" s="17" t="s">
        <v>919</v>
      </c>
      <c r="C1724" s="17">
        <v>0</v>
      </c>
      <c r="D1724" s="17" t="s">
        <v>801</v>
      </c>
      <c r="E1724" s="18">
        <v>3005611178008</v>
      </c>
      <c r="G1724" s="20" t="str">
        <f t="shared" si="78"/>
        <v xml:space="preserve"> ANSES/TRESSESECO</v>
      </c>
      <c r="H1724" s="20" t="str">
        <f t="shared" si="79"/>
        <v>TESTA</v>
      </c>
      <c r="I1724" s="20">
        <f t="shared" si="80"/>
        <v>0</v>
      </c>
    </row>
    <row r="1725" spans="1:9">
      <c r="A1725" s="17" t="s">
        <v>1099</v>
      </c>
      <c r="B1725" s="17" t="s">
        <v>280</v>
      </c>
      <c r="C1725" s="17">
        <v>0</v>
      </c>
      <c r="D1725" s="17" t="s">
        <v>801</v>
      </c>
      <c r="E1725" s="18">
        <v>3005470004005</v>
      </c>
      <c r="G1725" s="20" t="str">
        <f t="shared" si="78"/>
        <v xml:space="preserve"> ANSES/TWEEDGOUT </v>
      </c>
      <c r="H1725" s="20" t="str">
        <f t="shared" si="79"/>
        <v>BLACK</v>
      </c>
      <c r="I1725" s="20">
        <f t="shared" si="80"/>
        <v>0</v>
      </c>
    </row>
    <row r="1726" spans="1:9">
      <c r="A1726" s="17" t="s">
        <v>1099</v>
      </c>
      <c r="B1726" s="17" t="s">
        <v>858</v>
      </c>
      <c r="C1726" s="17">
        <v>0</v>
      </c>
      <c r="D1726" s="17" t="s">
        <v>801</v>
      </c>
      <c r="E1726" s="18">
        <v>3005470002001</v>
      </c>
      <c r="G1726" s="20" t="str">
        <f t="shared" si="78"/>
        <v xml:space="preserve"> ANSES/TWEEDGOUT </v>
      </c>
      <c r="H1726" s="20" t="str">
        <f t="shared" si="79"/>
        <v xml:space="preserve">GREY </v>
      </c>
      <c r="I1726" s="20">
        <f t="shared" si="80"/>
        <v>0</v>
      </c>
    </row>
    <row r="1727" spans="1:9">
      <c r="A1727" s="17" t="s">
        <v>1100</v>
      </c>
      <c r="B1727" s="17" t="s">
        <v>280</v>
      </c>
      <c r="C1727" s="17">
        <v>0</v>
      </c>
      <c r="D1727" s="17" t="s">
        <v>801</v>
      </c>
      <c r="E1727" s="18">
        <v>3004630004008</v>
      </c>
      <c r="G1727" s="20" t="str">
        <f t="shared" si="78"/>
        <v xml:space="preserve"> ANSES/VERNIS    </v>
      </c>
      <c r="H1727" s="20" t="str">
        <f t="shared" si="79"/>
        <v>BLACK</v>
      </c>
      <c r="I1727" s="20">
        <f t="shared" si="80"/>
        <v>0</v>
      </c>
    </row>
    <row r="1728" spans="1:9">
      <c r="A1728" s="17" t="s">
        <v>1100</v>
      </c>
      <c r="B1728" s="17" t="s">
        <v>280</v>
      </c>
      <c r="C1728" s="17">
        <v>0</v>
      </c>
      <c r="D1728" s="17" t="s">
        <v>801</v>
      </c>
      <c r="E1728" s="18">
        <v>8056300453369</v>
      </c>
      <c r="G1728" s="20" t="str">
        <f t="shared" si="78"/>
        <v xml:space="preserve"> ANSES/VERNIS    </v>
      </c>
      <c r="H1728" s="20" t="str">
        <f t="shared" si="79"/>
        <v>BLACK</v>
      </c>
      <c r="I1728" s="20">
        <f t="shared" si="80"/>
        <v>0</v>
      </c>
    </row>
    <row r="1729" spans="1:9">
      <c r="A1729" s="17" t="s">
        <v>1100</v>
      </c>
      <c r="B1729" s="17" t="s">
        <v>1101</v>
      </c>
      <c r="C1729" s="17">
        <v>0</v>
      </c>
      <c r="D1729" s="17" t="s">
        <v>801</v>
      </c>
      <c r="E1729" s="18">
        <v>3003920590009</v>
      </c>
      <c r="G1729" s="20" t="str">
        <f t="shared" si="78"/>
        <v xml:space="preserve"> ANSES/VERNIS    </v>
      </c>
      <c r="H1729" s="20" t="str">
        <f t="shared" si="79"/>
        <v xml:space="preserve">BOR  </v>
      </c>
      <c r="I1729" s="20">
        <f t="shared" si="80"/>
        <v>0</v>
      </c>
    </row>
    <row r="1730" spans="1:9">
      <c r="A1730" s="17" t="s">
        <v>1100</v>
      </c>
      <c r="B1730" s="17" t="s">
        <v>1101</v>
      </c>
      <c r="C1730" s="17">
        <v>0</v>
      </c>
      <c r="D1730" s="17" t="s">
        <v>801</v>
      </c>
      <c r="E1730" s="18">
        <v>8056300453352</v>
      </c>
      <c r="G1730" s="20" t="str">
        <f t="shared" si="78"/>
        <v xml:space="preserve"> ANSES/VERNIS    </v>
      </c>
      <c r="H1730" s="20" t="str">
        <f t="shared" si="79"/>
        <v xml:space="preserve">BOR  </v>
      </c>
      <c r="I1730" s="20">
        <f t="shared" si="80"/>
        <v>0</v>
      </c>
    </row>
    <row r="1731" spans="1:9">
      <c r="A1731" s="17" t="s">
        <v>1100</v>
      </c>
      <c r="B1731" s="17" t="s">
        <v>1102</v>
      </c>
      <c r="C1731" s="17">
        <v>0</v>
      </c>
      <c r="D1731" s="17" t="s">
        <v>801</v>
      </c>
      <c r="E1731" s="18">
        <v>3003920963001</v>
      </c>
      <c r="G1731" s="20" t="str">
        <f t="shared" si="78"/>
        <v xml:space="preserve"> ANSES/VERNIS    </v>
      </c>
      <c r="H1731" s="20" t="str">
        <f t="shared" si="79"/>
        <v>CIPRI</v>
      </c>
      <c r="I1731" s="20">
        <f t="shared" si="80"/>
        <v>0</v>
      </c>
    </row>
    <row r="1732" spans="1:9">
      <c r="A1732" s="17" t="s">
        <v>1100</v>
      </c>
      <c r="B1732" s="17" t="s">
        <v>1102</v>
      </c>
      <c r="C1732" s="17">
        <v>0</v>
      </c>
      <c r="D1732" s="17" t="s">
        <v>801</v>
      </c>
      <c r="E1732" s="18">
        <v>8058983596814</v>
      </c>
      <c r="G1732" s="20" t="str">
        <f t="shared" si="78"/>
        <v xml:space="preserve"> ANSES/VERNIS    </v>
      </c>
      <c r="H1732" s="20" t="str">
        <f t="shared" si="79"/>
        <v>CIPRI</v>
      </c>
      <c r="I1732" s="20">
        <f t="shared" si="80"/>
        <v>0</v>
      </c>
    </row>
    <row r="1733" spans="1:9">
      <c r="A1733" s="17" t="s">
        <v>1100</v>
      </c>
      <c r="B1733" s="17" t="s">
        <v>1103</v>
      </c>
      <c r="C1733" s="17">
        <v>0</v>
      </c>
      <c r="D1733" s="17" t="s">
        <v>801</v>
      </c>
      <c r="E1733" s="18">
        <v>3003920742002</v>
      </c>
      <c r="G1733" s="20" t="str">
        <f t="shared" ref="G1733:G1796" si="81">A1733</f>
        <v xml:space="preserve"> ANSES/VERNIS    </v>
      </c>
      <c r="H1733" s="20" t="str">
        <f t="shared" ref="H1733:H1796" si="82">B1733</f>
        <v>CORAL</v>
      </c>
      <c r="I1733" s="20">
        <f t="shared" ref="I1733:I1796" si="83">C1733</f>
        <v>0</v>
      </c>
    </row>
    <row r="1734" spans="1:9">
      <c r="A1734" s="17" t="s">
        <v>1100</v>
      </c>
      <c r="B1734" s="17" t="s">
        <v>1104</v>
      </c>
      <c r="C1734" s="17">
        <v>0</v>
      </c>
      <c r="D1734" s="17" t="s">
        <v>801</v>
      </c>
      <c r="E1734" s="18">
        <v>3003920638008</v>
      </c>
      <c r="G1734" s="20" t="str">
        <f t="shared" si="81"/>
        <v xml:space="preserve"> ANSES/VERNIS    </v>
      </c>
      <c r="H1734" s="20" t="str">
        <f t="shared" si="82"/>
        <v>MARRO</v>
      </c>
      <c r="I1734" s="20">
        <f t="shared" si="83"/>
        <v>0</v>
      </c>
    </row>
    <row r="1735" spans="1:9">
      <c r="A1735" s="17" t="s">
        <v>1100</v>
      </c>
      <c r="B1735" s="17" t="s">
        <v>1104</v>
      </c>
      <c r="C1735" s="17">
        <v>0</v>
      </c>
      <c r="D1735" s="17" t="s">
        <v>801</v>
      </c>
      <c r="E1735" s="18">
        <v>8056300453376</v>
      </c>
      <c r="G1735" s="20" t="str">
        <f t="shared" si="81"/>
        <v xml:space="preserve"> ANSES/VERNIS    </v>
      </c>
      <c r="H1735" s="20" t="str">
        <f t="shared" si="82"/>
        <v>MARRO</v>
      </c>
      <c r="I1735" s="20">
        <f t="shared" si="83"/>
        <v>0</v>
      </c>
    </row>
    <row r="1736" spans="1:9">
      <c r="A1736" s="17" t="s">
        <v>1100</v>
      </c>
      <c r="B1736" s="17" t="s">
        <v>1105</v>
      </c>
      <c r="C1736" s="17">
        <v>0</v>
      </c>
      <c r="D1736" s="17" t="s">
        <v>801</v>
      </c>
      <c r="E1736" s="18">
        <v>3004630667005</v>
      </c>
      <c r="G1736" s="20" t="str">
        <f t="shared" si="81"/>
        <v xml:space="preserve"> ANSES/VERNIS    </v>
      </c>
      <c r="H1736" s="20" t="str">
        <f t="shared" si="82"/>
        <v>MARSA</v>
      </c>
      <c r="I1736" s="20">
        <f t="shared" si="83"/>
        <v>0</v>
      </c>
    </row>
    <row r="1737" spans="1:9">
      <c r="A1737" s="17" t="s">
        <v>1100</v>
      </c>
      <c r="B1737" s="17" t="s">
        <v>1078</v>
      </c>
      <c r="C1737" s="17">
        <v>0</v>
      </c>
      <c r="D1737" s="17" t="s">
        <v>801</v>
      </c>
      <c r="E1737" s="18">
        <v>3003920494000</v>
      </c>
      <c r="G1737" s="20" t="str">
        <f t="shared" si="81"/>
        <v xml:space="preserve"> ANSES/VERNIS    </v>
      </c>
      <c r="H1737" s="20" t="str">
        <f t="shared" si="82"/>
        <v xml:space="preserve">NAVY </v>
      </c>
      <c r="I1737" s="20">
        <f t="shared" si="83"/>
        <v>0</v>
      </c>
    </row>
    <row r="1738" spans="1:9">
      <c r="A1738" s="17" t="s">
        <v>1100</v>
      </c>
      <c r="B1738" s="17" t="s">
        <v>1078</v>
      </c>
      <c r="C1738" s="17">
        <v>0</v>
      </c>
      <c r="D1738" s="17" t="s">
        <v>801</v>
      </c>
      <c r="E1738" s="18">
        <v>8058983596821</v>
      </c>
      <c r="G1738" s="20" t="str">
        <f t="shared" si="81"/>
        <v xml:space="preserve"> ANSES/VERNIS    </v>
      </c>
      <c r="H1738" s="20" t="str">
        <f t="shared" si="82"/>
        <v xml:space="preserve">NAVY </v>
      </c>
      <c r="I1738" s="20">
        <f t="shared" si="83"/>
        <v>0</v>
      </c>
    </row>
    <row r="1739" spans="1:9">
      <c r="A1739" s="17" t="s">
        <v>1100</v>
      </c>
      <c r="B1739" s="17" t="s">
        <v>914</v>
      </c>
      <c r="C1739" s="17">
        <v>0</v>
      </c>
      <c r="D1739" s="17" t="s">
        <v>801</v>
      </c>
      <c r="E1739" s="18">
        <v>3004630610001</v>
      </c>
      <c r="G1739" s="20" t="str">
        <f t="shared" si="81"/>
        <v xml:space="preserve"> ANSES/VERNIS    </v>
      </c>
      <c r="H1739" s="20" t="str">
        <f t="shared" si="82"/>
        <v xml:space="preserve">PURP </v>
      </c>
      <c r="I1739" s="20">
        <f t="shared" si="83"/>
        <v>0</v>
      </c>
    </row>
    <row r="1740" spans="1:9">
      <c r="A1740" s="17" t="s">
        <v>1100</v>
      </c>
      <c r="B1740" s="17" t="s">
        <v>914</v>
      </c>
      <c r="C1740" s="17">
        <v>0</v>
      </c>
      <c r="D1740" s="17" t="s">
        <v>801</v>
      </c>
      <c r="E1740" s="18">
        <v>8056300454632</v>
      </c>
      <c r="G1740" s="20" t="str">
        <f t="shared" si="81"/>
        <v xml:space="preserve"> ANSES/VERNIS    </v>
      </c>
      <c r="H1740" s="20" t="str">
        <f t="shared" si="82"/>
        <v xml:space="preserve">PURP </v>
      </c>
      <c r="I1740" s="20">
        <f t="shared" si="83"/>
        <v>0</v>
      </c>
    </row>
    <row r="1741" spans="1:9">
      <c r="A1741" s="17" t="s">
        <v>1100</v>
      </c>
      <c r="B1741" s="17" t="s">
        <v>840</v>
      </c>
      <c r="C1741" s="17">
        <v>0</v>
      </c>
      <c r="D1741" s="17" t="s">
        <v>801</v>
      </c>
      <c r="E1741" s="18">
        <v>3003920403002</v>
      </c>
      <c r="G1741" s="20" t="str">
        <f t="shared" si="81"/>
        <v xml:space="preserve"> ANSES/VERNIS    </v>
      </c>
      <c r="H1741" s="20" t="str">
        <f t="shared" si="82"/>
        <v>SAUGE</v>
      </c>
      <c r="I1741" s="20">
        <f t="shared" si="83"/>
        <v>0</v>
      </c>
    </row>
    <row r="1742" spans="1:9">
      <c r="A1742" s="17" t="s">
        <v>1100</v>
      </c>
      <c r="B1742" s="17" t="s">
        <v>811</v>
      </c>
      <c r="C1742" s="17">
        <v>0</v>
      </c>
      <c r="D1742" s="17" t="s">
        <v>801</v>
      </c>
      <c r="E1742" s="18">
        <v>3003920431005</v>
      </c>
      <c r="G1742" s="20" t="str">
        <f t="shared" si="81"/>
        <v xml:space="preserve"> ANSES/VERNIS    </v>
      </c>
      <c r="H1742" s="20" t="str">
        <f t="shared" si="82"/>
        <v xml:space="preserve">VERT </v>
      </c>
      <c r="I1742" s="20">
        <f t="shared" si="83"/>
        <v>0</v>
      </c>
    </row>
    <row r="1743" spans="1:9">
      <c r="A1743" s="17" t="s">
        <v>1100</v>
      </c>
      <c r="B1743" s="17" t="s">
        <v>811</v>
      </c>
      <c r="C1743" s="17">
        <v>0</v>
      </c>
      <c r="D1743" s="17" t="s">
        <v>801</v>
      </c>
      <c r="E1743" s="18">
        <v>8056300454649</v>
      </c>
      <c r="G1743" s="20" t="str">
        <f t="shared" si="81"/>
        <v xml:space="preserve"> ANSES/VERNIS    </v>
      </c>
      <c r="H1743" s="20" t="str">
        <f t="shared" si="82"/>
        <v xml:space="preserve">VERT </v>
      </c>
      <c r="I1743" s="20">
        <f t="shared" si="83"/>
        <v>0</v>
      </c>
    </row>
    <row r="1744" spans="1:9">
      <c r="A1744" s="17" t="s">
        <v>1106</v>
      </c>
      <c r="B1744" s="17">
        <v>1</v>
      </c>
      <c r="C1744" s="17">
        <v>0</v>
      </c>
      <c r="D1744" s="17" t="s">
        <v>801</v>
      </c>
      <c r="E1744" s="18">
        <v>3004300000002</v>
      </c>
      <c r="G1744" s="20" t="str">
        <f t="shared" si="81"/>
        <v xml:space="preserve"> ANSES:CHAINE+ECO</v>
      </c>
      <c r="H1744" s="20">
        <f t="shared" si="82"/>
        <v>1</v>
      </c>
      <c r="I1744" s="20">
        <f t="shared" si="83"/>
        <v>0</v>
      </c>
    </row>
    <row r="1745" spans="1:9">
      <c r="A1745" s="17" t="s">
        <v>1106</v>
      </c>
      <c r="B1745" s="17" t="s">
        <v>280</v>
      </c>
      <c r="C1745" s="17">
        <v>0</v>
      </c>
      <c r="D1745" s="17" t="s">
        <v>801</v>
      </c>
      <c r="E1745" s="18">
        <v>3004960276007</v>
      </c>
      <c r="G1745" s="20" t="str">
        <f t="shared" si="81"/>
        <v xml:space="preserve"> ANSES:CHAINE+ECO</v>
      </c>
      <c r="H1745" s="20" t="str">
        <f t="shared" si="82"/>
        <v>BLACK</v>
      </c>
      <c r="I1745" s="20">
        <f t="shared" si="83"/>
        <v>0</v>
      </c>
    </row>
    <row r="1746" spans="1:9">
      <c r="A1746" s="17" t="s">
        <v>1106</v>
      </c>
      <c r="B1746" s="17" t="s">
        <v>280</v>
      </c>
      <c r="C1746" s="17">
        <v>0</v>
      </c>
      <c r="D1746" s="17" t="s">
        <v>801</v>
      </c>
      <c r="E1746" s="18">
        <v>3004300276001</v>
      </c>
      <c r="G1746" s="20" t="str">
        <f t="shared" si="81"/>
        <v xml:space="preserve"> ANSES:CHAINE+ECO</v>
      </c>
      <c r="H1746" s="20" t="str">
        <f t="shared" si="82"/>
        <v>BLACK</v>
      </c>
      <c r="I1746" s="20">
        <f t="shared" si="83"/>
        <v>0</v>
      </c>
    </row>
    <row r="1747" spans="1:9">
      <c r="A1747" s="17" t="s">
        <v>1106</v>
      </c>
      <c r="B1747" s="17" t="s">
        <v>280</v>
      </c>
      <c r="C1747" s="17">
        <v>0</v>
      </c>
      <c r="D1747" s="17" t="s">
        <v>801</v>
      </c>
      <c r="E1747" s="18">
        <v>8050450211244</v>
      </c>
      <c r="G1747" s="20" t="str">
        <f t="shared" si="81"/>
        <v xml:space="preserve"> ANSES:CHAINE+ECO</v>
      </c>
      <c r="H1747" s="20" t="str">
        <f t="shared" si="82"/>
        <v>BLACK</v>
      </c>
      <c r="I1747" s="20">
        <f t="shared" si="83"/>
        <v>0</v>
      </c>
    </row>
    <row r="1748" spans="1:9">
      <c r="A1748" s="17" t="s">
        <v>1106</v>
      </c>
      <c r="B1748" s="17" t="s">
        <v>810</v>
      </c>
      <c r="C1748" s="17">
        <v>0</v>
      </c>
      <c r="D1748" s="17" t="s">
        <v>801</v>
      </c>
      <c r="E1748" s="18">
        <v>3004300284006</v>
      </c>
      <c r="G1748" s="20" t="str">
        <f t="shared" si="81"/>
        <v xml:space="preserve"> ANSES:CHAINE+ECO</v>
      </c>
      <c r="H1748" s="20" t="str">
        <f t="shared" si="82"/>
        <v xml:space="preserve">BLUE </v>
      </c>
      <c r="I1748" s="20">
        <f t="shared" si="83"/>
        <v>0</v>
      </c>
    </row>
    <row r="1749" spans="1:9">
      <c r="A1749" s="17" t="s">
        <v>1106</v>
      </c>
      <c r="B1749" s="17" t="s">
        <v>991</v>
      </c>
      <c r="C1749" s="17">
        <v>0</v>
      </c>
      <c r="D1749" s="17" t="s">
        <v>801</v>
      </c>
      <c r="E1749" s="18">
        <v>3004960571003</v>
      </c>
      <c r="G1749" s="20" t="str">
        <f t="shared" si="81"/>
        <v xml:space="preserve"> ANSES:CHAINE+ECO</v>
      </c>
      <c r="H1749" s="20" t="str">
        <f t="shared" si="82"/>
        <v>CROBL</v>
      </c>
      <c r="I1749" s="20">
        <f t="shared" si="83"/>
        <v>0</v>
      </c>
    </row>
    <row r="1750" spans="1:9">
      <c r="A1750" s="17" t="s">
        <v>1106</v>
      </c>
      <c r="B1750" s="17" t="s">
        <v>992</v>
      </c>
      <c r="C1750" s="17">
        <v>0</v>
      </c>
      <c r="D1750" s="17" t="s">
        <v>801</v>
      </c>
      <c r="E1750" s="18">
        <v>3004960572000</v>
      </c>
      <c r="G1750" s="20" t="str">
        <f t="shared" si="81"/>
        <v xml:space="preserve"> ANSES:CHAINE+ECO</v>
      </c>
      <c r="H1750" s="20" t="str">
        <f t="shared" si="82"/>
        <v>CROBR</v>
      </c>
      <c r="I1750" s="20">
        <f t="shared" si="83"/>
        <v>0</v>
      </c>
    </row>
    <row r="1751" spans="1:9">
      <c r="A1751" s="17" t="s">
        <v>1106</v>
      </c>
      <c r="B1751" s="17" t="s">
        <v>1107</v>
      </c>
      <c r="C1751" s="17">
        <v>0</v>
      </c>
      <c r="D1751" s="17" t="s">
        <v>801</v>
      </c>
      <c r="E1751" s="18">
        <v>8058983596975</v>
      </c>
      <c r="G1751" s="20" t="str">
        <f t="shared" si="81"/>
        <v xml:space="preserve"> ANSES:CHAINE+ECO</v>
      </c>
      <c r="H1751" s="20" t="str">
        <f t="shared" si="82"/>
        <v>FEUBE</v>
      </c>
      <c r="I1751" s="20">
        <f t="shared" si="83"/>
        <v>0</v>
      </c>
    </row>
    <row r="1752" spans="1:9">
      <c r="A1752" s="17" t="s">
        <v>1106</v>
      </c>
      <c r="B1752" s="17" t="s">
        <v>1107</v>
      </c>
      <c r="C1752" s="17">
        <v>0</v>
      </c>
      <c r="D1752" s="17" t="s">
        <v>801</v>
      </c>
      <c r="E1752" s="18">
        <v>3004960588001</v>
      </c>
      <c r="G1752" s="20" t="str">
        <f t="shared" si="81"/>
        <v xml:space="preserve"> ANSES:CHAINE+ECO</v>
      </c>
      <c r="H1752" s="20" t="str">
        <f t="shared" si="82"/>
        <v>FEUBE</v>
      </c>
      <c r="I1752" s="20">
        <f t="shared" si="83"/>
        <v>0</v>
      </c>
    </row>
    <row r="1753" spans="1:9">
      <c r="A1753" s="17" t="s">
        <v>1106</v>
      </c>
      <c r="B1753" s="17" t="s">
        <v>1108</v>
      </c>
      <c r="C1753" s="17">
        <v>0</v>
      </c>
      <c r="D1753" s="17" t="s">
        <v>801</v>
      </c>
      <c r="E1753" s="18">
        <v>8058983596951</v>
      </c>
      <c r="G1753" s="20" t="str">
        <f t="shared" si="81"/>
        <v xml:space="preserve"> ANSES:CHAINE+ECO</v>
      </c>
      <c r="H1753" s="20" t="str">
        <f t="shared" si="82"/>
        <v>FEUBL</v>
      </c>
      <c r="I1753" s="20">
        <f t="shared" si="83"/>
        <v>0</v>
      </c>
    </row>
    <row r="1754" spans="1:9">
      <c r="A1754" s="17" t="s">
        <v>1106</v>
      </c>
      <c r="B1754" s="17" t="s">
        <v>1108</v>
      </c>
      <c r="C1754" s="17">
        <v>0</v>
      </c>
      <c r="D1754" s="17" t="s">
        <v>801</v>
      </c>
      <c r="E1754" s="18">
        <v>3004960246000</v>
      </c>
      <c r="G1754" s="20" t="str">
        <f t="shared" si="81"/>
        <v xml:space="preserve"> ANSES:CHAINE+ECO</v>
      </c>
      <c r="H1754" s="20" t="str">
        <f t="shared" si="82"/>
        <v>FEUBL</v>
      </c>
      <c r="I1754" s="20">
        <f t="shared" si="83"/>
        <v>0</v>
      </c>
    </row>
    <row r="1755" spans="1:9">
      <c r="A1755" s="17" t="s">
        <v>1106</v>
      </c>
      <c r="B1755" s="17" t="s">
        <v>1109</v>
      </c>
      <c r="C1755" s="17">
        <v>0</v>
      </c>
      <c r="D1755" s="17" t="s">
        <v>801</v>
      </c>
      <c r="E1755" s="18">
        <v>3004300888006</v>
      </c>
      <c r="G1755" s="20" t="str">
        <f t="shared" si="81"/>
        <v xml:space="preserve"> ANSES:CHAINE+ECO</v>
      </c>
      <c r="H1755" s="20" t="str">
        <f t="shared" si="82"/>
        <v>FEUJA</v>
      </c>
      <c r="I1755" s="20">
        <f t="shared" si="83"/>
        <v>0</v>
      </c>
    </row>
    <row r="1756" spans="1:9">
      <c r="A1756" s="17" t="s">
        <v>1106</v>
      </c>
      <c r="B1756" s="17" t="s">
        <v>1109</v>
      </c>
      <c r="C1756" s="17">
        <v>0</v>
      </c>
      <c r="D1756" s="17" t="s">
        <v>801</v>
      </c>
      <c r="E1756" s="18">
        <v>8058983596968</v>
      </c>
      <c r="G1756" s="20" t="str">
        <f t="shared" si="81"/>
        <v xml:space="preserve"> ANSES:CHAINE+ECO</v>
      </c>
      <c r="H1756" s="20" t="str">
        <f t="shared" si="82"/>
        <v>FEUJA</v>
      </c>
      <c r="I1756" s="20">
        <f t="shared" si="83"/>
        <v>0</v>
      </c>
    </row>
    <row r="1757" spans="1:9">
      <c r="A1757" s="17" t="s">
        <v>1106</v>
      </c>
      <c r="B1757" s="17" t="s">
        <v>1088</v>
      </c>
      <c r="C1757" s="17">
        <v>0</v>
      </c>
      <c r="D1757" s="17" t="s">
        <v>801</v>
      </c>
      <c r="E1757" s="18">
        <v>3004300513007</v>
      </c>
      <c r="G1757" s="20" t="str">
        <f t="shared" si="81"/>
        <v xml:space="preserve"> ANSES:CHAINE+ECO</v>
      </c>
      <c r="H1757" s="20" t="str">
        <f t="shared" si="82"/>
        <v xml:space="preserve">FEUR </v>
      </c>
      <c r="I1757" s="20">
        <f t="shared" si="83"/>
        <v>0</v>
      </c>
    </row>
    <row r="1758" spans="1:9">
      <c r="A1758" s="17" t="s">
        <v>1106</v>
      </c>
      <c r="B1758" s="17" t="s">
        <v>861</v>
      </c>
      <c r="C1758" s="17">
        <v>0</v>
      </c>
      <c r="D1758" s="17" t="s">
        <v>801</v>
      </c>
      <c r="E1758" s="18">
        <v>8056098539627</v>
      </c>
      <c r="G1758" s="20" t="str">
        <f t="shared" si="81"/>
        <v xml:space="preserve"> ANSES:CHAINE+ECO</v>
      </c>
      <c r="H1758" s="20" t="str">
        <f t="shared" si="82"/>
        <v>GOBLU</v>
      </c>
      <c r="I1758" s="20">
        <f t="shared" si="83"/>
        <v>0</v>
      </c>
    </row>
    <row r="1759" spans="1:9">
      <c r="A1759" s="17" t="s">
        <v>1106</v>
      </c>
      <c r="B1759" s="17" t="s">
        <v>861</v>
      </c>
      <c r="C1759" s="17">
        <v>0</v>
      </c>
      <c r="D1759" s="17" t="s">
        <v>801</v>
      </c>
      <c r="E1759" s="18">
        <v>3004301344006</v>
      </c>
      <c r="G1759" s="20" t="str">
        <f t="shared" si="81"/>
        <v xml:space="preserve"> ANSES:CHAINE+ECO</v>
      </c>
      <c r="H1759" s="20" t="str">
        <f t="shared" si="82"/>
        <v>GOBLU</v>
      </c>
      <c r="I1759" s="20">
        <f t="shared" si="83"/>
        <v>0</v>
      </c>
    </row>
    <row r="1760" spans="1:9">
      <c r="A1760" s="17" t="s">
        <v>1106</v>
      </c>
      <c r="B1760" s="17" t="s">
        <v>1064</v>
      </c>
      <c r="C1760" s="17">
        <v>0</v>
      </c>
      <c r="D1760" s="17" t="s">
        <v>801</v>
      </c>
      <c r="E1760" s="18">
        <v>8056098539634</v>
      </c>
      <c r="G1760" s="20" t="str">
        <f t="shared" si="81"/>
        <v xml:space="preserve"> ANSES:CHAINE+ECO</v>
      </c>
      <c r="H1760" s="20" t="str">
        <f t="shared" si="82"/>
        <v>GOGRE</v>
      </c>
      <c r="I1760" s="20">
        <f t="shared" si="83"/>
        <v>0</v>
      </c>
    </row>
    <row r="1761" spans="1:9">
      <c r="A1761" s="17" t="s">
        <v>1106</v>
      </c>
      <c r="B1761" s="17" t="s">
        <v>1064</v>
      </c>
      <c r="C1761" s="17">
        <v>0</v>
      </c>
      <c r="D1761" s="17" t="s">
        <v>801</v>
      </c>
      <c r="E1761" s="18">
        <v>3004300797001</v>
      </c>
      <c r="G1761" s="20" t="str">
        <f t="shared" si="81"/>
        <v xml:space="preserve"> ANSES:CHAINE+ECO</v>
      </c>
      <c r="H1761" s="20" t="str">
        <f t="shared" si="82"/>
        <v>GOGRE</v>
      </c>
      <c r="I1761" s="20">
        <f t="shared" si="83"/>
        <v>0</v>
      </c>
    </row>
    <row r="1762" spans="1:9">
      <c r="A1762" s="17" t="s">
        <v>1106</v>
      </c>
      <c r="B1762" s="17" t="s">
        <v>1110</v>
      </c>
      <c r="C1762" s="17">
        <v>0</v>
      </c>
      <c r="D1762" s="17" t="s">
        <v>801</v>
      </c>
      <c r="E1762" s="18">
        <v>8056098539610</v>
      </c>
      <c r="G1762" s="20" t="str">
        <f t="shared" si="81"/>
        <v xml:space="preserve"> ANSES:CHAINE+ECO</v>
      </c>
      <c r="H1762" s="20" t="str">
        <f t="shared" si="82"/>
        <v>GOORA</v>
      </c>
      <c r="I1762" s="20">
        <f t="shared" si="83"/>
        <v>0</v>
      </c>
    </row>
    <row r="1763" spans="1:9">
      <c r="A1763" s="17" t="s">
        <v>1106</v>
      </c>
      <c r="B1763" s="17" t="s">
        <v>1110</v>
      </c>
      <c r="C1763" s="17">
        <v>0</v>
      </c>
      <c r="D1763" s="17" t="s">
        <v>801</v>
      </c>
      <c r="E1763" s="18">
        <v>3004301343009</v>
      </c>
      <c r="G1763" s="20" t="str">
        <f t="shared" si="81"/>
        <v xml:space="preserve"> ANSES:CHAINE+ECO</v>
      </c>
      <c r="H1763" s="20" t="str">
        <f t="shared" si="82"/>
        <v>GOORA</v>
      </c>
      <c r="I1763" s="20">
        <f t="shared" si="83"/>
        <v>0</v>
      </c>
    </row>
    <row r="1764" spans="1:9">
      <c r="A1764" s="17" t="s">
        <v>1106</v>
      </c>
      <c r="B1764" s="17" t="s">
        <v>1111</v>
      </c>
      <c r="C1764" s="17">
        <v>0</v>
      </c>
      <c r="D1764" s="17" t="s">
        <v>801</v>
      </c>
      <c r="E1764" s="18">
        <v>3004301101005</v>
      </c>
      <c r="G1764" s="20" t="str">
        <f t="shared" si="81"/>
        <v xml:space="preserve"> ANSES:CHAINE+ECO</v>
      </c>
      <c r="H1764" s="20" t="str">
        <f t="shared" si="82"/>
        <v>GRBLU</v>
      </c>
      <c r="I1764" s="20">
        <f t="shared" si="83"/>
        <v>0</v>
      </c>
    </row>
    <row r="1765" spans="1:9">
      <c r="A1765" s="17" t="s">
        <v>1106</v>
      </c>
      <c r="B1765" s="17" t="s">
        <v>1111</v>
      </c>
      <c r="C1765" s="17">
        <v>0</v>
      </c>
      <c r="D1765" s="17" t="s">
        <v>801</v>
      </c>
      <c r="E1765" s="18">
        <v>8056095063859</v>
      </c>
      <c r="G1765" s="20" t="str">
        <f t="shared" si="81"/>
        <v xml:space="preserve"> ANSES:CHAINE+ECO</v>
      </c>
      <c r="H1765" s="20" t="str">
        <f t="shared" si="82"/>
        <v>GRBLU</v>
      </c>
      <c r="I1765" s="20">
        <f t="shared" si="83"/>
        <v>0</v>
      </c>
    </row>
    <row r="1766" spans="1:9">
      <c r="A1766" s="17" t="s">
        <v>1106</v>
      </c>
      <c r="B1766" s="17" t="s">
        <v>1112</v>
      </c>
      <c r="C1766" s="17">
        <v>0</v>
      </c>
      <c r="D1766" s="17" t="s">
        <v>801</v>
      </c>
      <c r="E1766" s="18">
        <v>3004301102002</v>
      </c>
      <c r="G1766" s="20" t="str">
        <f t="shared" si="81"/>
        <v xml:space="preserve"> ANSES:CHAINE+ECO</v>
      </c>
      <c r="H1766" s="20" t="str">
        <f t="shared" si="82"/>
        <v>GRPOL</v>
      </c>
      <c r="I1766" s="20">
        <f t="shared" si="83"/>
        <v>0</v>
      </c>
    </row>
    <row r="1767" spans="1:9">
      <c r="A1767" s="17" t="s">
        <v>1106</v>
      </c>
      <c r="B1767" s="17" t="s">
        <v>1112</v>
      </c>
      <c r="C1767" s="17">
        <v>0</v>
      </c>
      <c r="D1767" s="17" t="s">
        <v>801</v>
      </c>
      <c r="E1767" s="18">
        <v>8056095063866</v>
      </c>
      <c r="G1767" s="20" t="str">
        <f t="shared" si="81"/>
        <v xml:space="preserve"> ANSES:CHAINE+ECO</v>
      </c>
      <c r="H1767" s="20" t="str">
        <f t="shared" si="82"/>
        <v>GRPOL</v>
      </c>
      <c r="I1767" s="20">
        <f t="shared" si="83"/>
        <v>0</v>
      </c>
    </row>
    <row r="1768" spans="1:9">
      <c r="A1768" s="17" t="s">
        <v>1106</v>
      </c>
      <c r="B1768" s="17" t="s">
        <v>838</v>
      </c>
      <c r="C1768" s="17">
        <v>0</v>
      </c>
      <c r="D1768" s="17" t="s">
        <v>801</v>
      </c>
      <c r="E1768" s="18">
        <v>3004300497000</v>
      </c>
      <c r="G1768" s="20" t="str">
        <f t="shared" si="81"/>
        <v xml:space="preserve"> ANSES:CHAINE+ECO</v>
      </c>
      <c r="H1768" s="20" t="str">
        <f t="shared" si="82"/>
        <v>IVOIR</v>
      </c>
      <c r="I1768" s="20">
        <f t="shared" si="83"/>
        <v>0</v>
      </c>
    </row>
    <row r="1769" spans="1:9">
      <c r="A1769" s="17" t="s">
        <v>1106</v>
      </c>
      <c r="B1769" s="17" t="s">
        <v>1113</v>
      </c>
      <c r="C1769" s="17">
        <v>0</v>
      </c>
      <c r="D1769" s="17" t="s">
        <v>801</v>
      </c>
      <c r="E1769" s="18">
        <v>3004300672001</v>
      </c>
      <c r="G1769" s="20" t="str">
        <f t="shared" si="81"/>
        <v xml:space="preserve"> ANSES:CHAINE+ECO</v>
      </c>
      <c r="H1769" s="20" t="str">
        <f t="shared" si="82"/>
        <v>MIGRI</v>
      </c>
      <c r="I1769" s="20">
        <f t="shared" si="83"/>
        <v>0</v>
      </c>
    </row>
    <row r="1770" spans="1:9">
      <c r="A1770" s="17" t="s">
        <v>1106</v>
      </c>
      <c r="B1770" s="17" t="s">
        <v>1067</v>
      </c>
      <c r="C1770" s="17">
        <v>0</v>
      </c>
      <c r="D1770" s="17" t="s">
        <v>801</v>
      </c>
      <c r="E1770" s="18">
        <v>3004301089006</v>
      </c>
      <c r="G1770" s="20" t="str">
        <f t="shared" si="81"/>
        <v xml:space="preserve"> ANSES:CHAINE+ECO</v>
      </c>
      <c r="H1770" s="20" t="str">
        <f t="shared" si="82"/>
        <v>MISAL</v>
      </c>
      <c r="I1770" s="20">
        <f t="shared" si="83"/>
        <v>0</v>
      </c>
    </row>
    <row r="1771" spans="1:9">
      <c r="A1771" s="17" t="s">
        <v>1106</v>
      </c>
      <c r="B1771" s="17" t="s">
        <v>1067</v>
      </c>
      <c r="C1771" s="17">
        <v>0</v>
      </c>
      <c r="D1771" s="17" t="s">
        <v>801</v>
      </c>
      <c r="E1771" s="18">
        <v>8056095063873</v>
      </c>
      <c r="G1771" s="20" t="str">
        <f t="shared" si="81"/>
        <v xml:space="preserve"> ANSES:CHAINE+ECO</v>
      </c>
      <c r="H1771" s="20" t="str">
        <f t="shared" si="82"/>
        <v>MISAL</v>
      </c>
      <c r="I1771" s="20">
        <f t="shared" si="83"/>
        <v>0</v>
      </c>
    </row>
    <row r="1772" spans="1:9">
      <c r="A1772" s="17" t="s">
        <v>1106</v>
      </c>
      <c r="B1772" s="17" t="s">
        <v>839</v>
      </c>
      <c r="C1772" s="17">
        <v>0</v>
      </c>
      <c r="D1772" s="17" t="s">
        <v>801</v>
      </c>
      <c r="E1772" s="18">
        <v>3004300397003</v>
      </c>
      <c r="G1772" s="20" t="str">
        <f t="shared" si="81"/>
        <v xml:space="preserve"> ANSES:CHAINE+ECO</v>
      </c>
      <c r="H1772" s="20" t="str">
        <f t="shared" si="82"/>
        <v xml:space="preserve">ROSA </v>
      </c>
      <c r="I1772" s="20">
        <f t="shared" si="83"/>
        <v>0</v>
      </c>
    </row>
    <row r="1773" spans="1:9">
      <c r="A1773" s="17" t="s">
        <v>1106</v>
      </c>
      <c r="B1773" s="17" t="s">
        <v>1009</v>
      </c>
      <c r="C1773" s="17">
        <v>0</v>
      </c>
      <c r="D1773" s="17" t="s">
        <v>801</v>
      </c>
      <c r="E1773" s="18">
        <v>3004300695000</v>
      </c>
      <c r="G1773" s="20" t="str">
        <f t="shared" si="81"/>
        <v xml:space="preserve"> ANSES:CHAINE+ECO</v>
      </c>
      <c r="H1773" s="20" t="str">
        <f t="shared" si="82"/>
        <v>SALMO</v>
      </c>
      <c r="I1773" s="20">
        <f t="shared" si="83"/>
        <v>0</v>
      </c>
    </row>
    <row r="1774" spans="1:9">
      <c r="A1774" s="17" t="s">
        <v>1106</v>
      </c>
      <c r="B1774" s="17" t="s">
        <v>840</v>
      </c>
      <c r="C1774" s="17">
        <v>0</v>
      </c>
      <c r="D1774" s="17" t="s">
        <v>801</v>
      </c>
      <c r="E1774" s="18">
        <v>3004300403001</v>
      </c>
      <c r="G1774" s="20" t="str">
        <f t="shared" si="81"/>
        <v xml:space="preserve"> ANSES:CHAINE+ECO</v>
      </c>
      <c r="H1774" s="20" t="str">
        <f t="shared" si="82"/>
        <v>SAUGE</v>
      </c>
      <c r="I1774" s="20">
        <f t="shared" si="83"/>
        <v>0</v>
      </c>
    </row>
    <row r="1775" spans="1:9">
      <c r="A1775" s="17" t="s">
        <v>1106</v>
      </c>
      <c r="B1775" s="17" t="s">
        <v>1114</v>
      </c>
      <c r="C1775" s="17">
        <v>0</v>
      </c>
      <c r="D1775" s="17" t="s">
        <v>801</v>
      </c>
      <c r="E1775" s="18">
        <v>3004301059009</v>
      </c>
      <c r="G1775" s="20" t="str">
        <f t="shared" si="81"/>
        <v xml:space="preserve"> ANSES:CHAINE+ECO</v>
      </c>
      <c r="H1775" s="20" t="str">
        <f t="shared" si="82"/>
        <v>VELBO</v>
      </c>
      <c r="I1775" s="20">
        <f t="shared" si="83"/>
        <v>0</v>
      </c>
    </row>
    <row r="1776" spans="1:9">
      <c r="A1776" s="17" t="s">
        <v>1106</v>
      </c>
      <c r="B1776" s="17" t="s">
        <v>1115</v>
      </c>
      <c r="C1776" s="17">
        <v>0</v>
      </c>
      <c r="D1776" s="17" t="s">
        <v>801</v>
      </c>
      <c r="E1776" s="18">
        <v>3004301060005</v>
      </c>
      <c r="G1776" s="20" t="str">
        <f t="shared" si="81"/>
        <v xml:space="preserve"> ANSES:CHAINE+ECO</v>
      </c>
      <c r="H1776" s="20" t="str">
        <f t="shared" si="82"/>
        <v>VELNE</v>
      </c>
      <c r="I1776" s="20">
        <f t="shared" si="83"/>
        <v>0</v>
      </c>
    </row>
    <row r="1777" spans="1:9">
      <c r="A1777" s="17" t="s">
        <v>1106</v>
      </c>
      <c r="B1777" s="17" t="s">
        <v>1116</v>
      </c>
      <c r="C1777" s="17">
        <v>0</v>
      </c>
      <c r="D1777" s="17" t="s">
        <v>801</v>
      </c>
      <c r="E1777" s="18">
        <v>3004301061002</v>
      </c>
      <c r="G1777" s="20" t="str">
        <f t="shared" si="81"/>
        <v xml:space="preserve"> ANSES:CHAINE+ECO</v>
      </c>
      <c r="H1777" s="20" t="str">
        <f t="shared" si="82"/>
        <v>VELSK</v>
      </c>
      <c r="I1777" s="20">
        <f t="shared" si="83"/>
        <v>0</v>
      </c>
    </row>
    <row r="1778" spans="1:9">
      <c r="A1778" s="17" t="s">
        <v>1106</v>
      </c>
      <c r="B1778" s="17" t="s">
        <v>1117</v>
      </c>
      <c r="C1778" s="17">
        <v>0</v>
      </c>
      <c r="D1778" s="17" t="s">
        <v>801</v>
      </c>
      <c r="E1778" s="18">
        <v>3004960544007</v>
      </c>
      <c r="G1778" s="20" t="str">
        <f t="shared" si="81"/>
        <v xml:space="preserve"> ANSES:CHAINE+ECO</v>
      </c>
      <c r="H1778" s="20" t="str">
        <f t="shared" si="82"/>
        <v>VERBG</v>
      </c>
      <c r="I1778" s="20">
        <f t="shared" si="83"/>
        <v>0</v>
      </c>
    </row>
    <row r="1779" spans="1:9">
      <c r="A1779" s="17" t="s">
        <v>1106</v>
      </c>
      <c r="B1779" s="17" t="s">
        <v>844</v>
      </c>
      <c r="C1779" s="17">
        <v>0</v>
      </c>
      <c r="D1779" s="17" t="s">
        <v>801</v>
      </c>
      <c r="E1779" s="18">
        <v>3004300715005</v>
      </c>
      <c r="G1779" s="20" t="str">
        <f t="shared" si="81"/>
        <v xml:space="preserve"> ANSES:CHAINE+ECO</v>
      </c>
      <c r="H1779" s="20" t="str">
        <f t="shared" si="82"/>
        <v>VERCI</v>
      </c>
      <c r="I1779" s="20">
        <f t="shared" si="83"/>
        <v>0</v>
      </c>
    </row>
    <row r="1780" spans="1:9">
      <c r="A1780" s="17" t="s">
        <v>1106</v>
      </c>
      <c r="B1780" s="17" t="s">
        <v>1016</v>
      </c>
      <c r="C1780" s="17">
        <v>0</v>
      </c>
      <c r="D1780" s="17" t="s">
        <v>801</v>
      </c>
      <c r="E1780" s="18">
        <v>3004960370002</v>
      </c>
      <c r="G1780" s="20" t="str">
        <f t="shared" si="81"/>
        <v xml:space="preserve"> ANSES:CHAINE+ECO</v>
      </c>
      <c r="H1780" s="20" t="str">
        <f t="shared" si="82"/>
        <v>VERMA</v>
      </c>
      <c r="I1780" s="20">
        <f t="shared" si="83"/>
        <v>0</v>
      </c>
    </row>
    <row r="1781" spans="1:9">
      <c r="A1781" s="17" t="s">
        <v>1106</v>
      </c>
      <c r="B1781" s="17" t="s">
        <v>922</v>
      </c>
      <c r="C1781" s="17">
        <v>0</v>
      </c>
      <c r="D1781" s="17" t="s">
        <v>801</v>
      </c>
      <c r="E1781" s="18">
        <v>3004960661001</v>
      </c>
      <c r="G1781" s="20" t="str">
        <f t="shared" si="81"/>
        <v xml:space="preserve"> ANSES:CHAINE+ECO</v>
      </c>
      <c r="H1781" s="20" t="str">
        <f t="shared" si="82"/>
        <v>VERNO</v>
      </c>
      <c r="I1781" s="20">
        <f t="shared" si="83"/>
        <v>0</v>
      </c>
    </row>
    <row r="1782" spans="1:9">
      <c r="A1782" s="17" t="s">
        <v>1106</v>
      </c>
      <c r="B1782" s="17" t="s">
        <v>922</v>
      </c>
      <c r="C1782" s="17">
        <v>0</v>
      </c>
      <c r="D1782" s="17" t="s">
        <v>801</v>
      </c>
      <c r="E1782" s="18">
        <v>3004300661005</v>
      </c>
      <c r="G1782" s="20" t="str">
        <f t="shared" si="81"/>
        <v xml:space="preserve"> ANSES:CHAINE+ECO</v>
      </c>
      <c r="H1782" s="20" t="str">
        <f t="shared" si="82"/>
        <v>VERNO</v>
      </c>
      <c r="I1782" s="20">
        <f t="shared" si="83"/>
        <v>0</v>
      </c>
    </row>
    <row r="1783" spans="1:9">
      <c r="A1783" s="17" t="s">
        <v>1106</v>
      </c>
      <c r="B1783" s="17" t="s">
        <v>922</v>
      </c>
      <c r="C1783" s="17">
        <v>0</v>
      </c>
      <c r="D1783" s="17" t="s">
        <v>801</v>
      </c>
      <c r="E1783" s="18">
        <v>8050450211251</v>
      </c>
      <c r="G1783" s="20" t="str">
        <f t="shared" si="81"/>
        <v xml:space="preserve"> ANSES:CHAINE+ECO</v>
      </c>
      <c r="H1783" s="20" t="str">
        <f t="shared" si="82"/>
        <v>VERNO</v>
      </c>
      <c r="I1783" s="20">
        <f t="shared" si="83"/>
        <v>0</v>
      </c>
    </row>
    <row r="1784" spans="1:9">
      <c r="A1784" s="17" t="s">
        <v>1106</v>
      </c>
      <c r="B1784" s="17" t="s">
        <v>845</v>
      </c>
      <c r="C1784" s="17">
        <v>0</v>
      </c>
      <c r="D1784" s="17" t="s">
        <v>801</v>
      </c>
      <c r="E1784" s="18">
        <v>3004300714008</v>
      </c>
      <c r="G1784" s="20" t="str">
        <f t="shared" si="81"/>
        <v xml:space="preserve"> ANSES:CHAINE+ECO</v>
      </c>
      <c r="H1784" s="20" t="str">
        <f t="shared" si="82"/>
        <v>VERRO</v>
      </c>
      <c r="I1784" s="20">
        <f t="shared" si="83"/>
        <v>0</v>
      </c>
    </row>
    <row r="1785" spans="1:9">
      <c r="A1785" s="17" t="s">
        <v>1118</v>
      </c>
      <c r="B1785" s="17" t="s">
        <v>799</v>
      </c>
      <c r="C1785" s="17" t="s">
        <v>800</v>
      </c>
      <c r="D1785" s="17" t="s">
        <v>801</v>
      </c>
      <c r="E1785" s="18">
        <v>3004640000038</v>
      </c>
      <c r="G1785" s="20" t="str">
        <f t="shared" si="81"/>
        <v xml:space="preserve"> ANSESANGULAIRES </v>
      </c>
      <c r="H1785" s="20" t="str">
        <f t="shared" si="82"/>
        <v xml:space="preserve">     </v>
      </c>
      <c r="I1785" s="20" t="str">
        <f t="shared" si="83"/>
        <v xml:space="preserve">L    </v>
      </c>
    </row>
    <row r="1786" spans="1:9">
      <c r="A1786" s="17" t="s">
        <v>1118</v>
      </c>
      <c r="B1786" s="17" t="s">
        <v>799</v>
      </c>
      <c r="C1786" s="17" t="s">
        <v>802</v>
      </c>
      <c r="D1786" s="17" t="s">
        <v>801</v>
      </c>
      <c r="E1786" s="18">
        <v>3004640000021</v>
      </c>
      <c r="G1786" s="20" t="str">
        <f t="shared" si="81"/>
        <v xml:space="preserve"> ANSESANGULAIRES </v>
      </c>
      <c r="H1786" s="20" t="str">
        <f t="shared" si="82"/>
        <v xml:space="preserve">     </v>
      </c>
      <c r="I1786" s="20" t="str">
        <f t="shared" si="83"/>
        <v xml:space="preserve">M    </v>
      </c>
    </row>
    <row r="1787" spans="1:9">
      <c r="A1787" s="17" t="s">
        <v>1118</v>
      </c>
      <c r="B1787" s="17" t="s">
        <v>799</v>
      </c>
      <c r="C1787" s="17" t="s">
        <v>803</v>
      </c>
      <c r="D1787" s="17" t="s">
        <v>801</v>
      </c>
      <c r="E1787" s="18">
        <v>3004640000014</v>
      </c>
      <c r="G1787" s="20" t="str">
        <f t="shared" si="81"/>
        <v xml:space="preserve"> ANSESANGULAIRES </v>
      </c>
      <c r="H1787" s="20" t="str">
        <f t="shared" si="82"/>
        <v xml:space="preserve">     </v>
      </c>
      <c r="I1787" s="20" t="str">
        <f t="shared" si="83"/>
        <v xml:space="preserve">S    </v>
      </c>
    </row>
    <row r="1788" spans="1:9">
      <c r="A1788" s="17" t="s">
        <v>1118</v>
      </c>
      <c r="B1788" s="17" t="s">
        <v>799</v>
      </c>
      <c r="C1788" s="17" t="s">
        <v>804</v>
      </c>
      <c r="D1788" s="17" t="s">
        <v>801</v>
      </c>
      <c r="E1788" s="18">
        <v>3004640000045</v>
      </c>
      <c r="G1788" s="20" t="str">
        <f t="shared" si="81"/>
        <v xml:space="preserve"> ANSESANGULAIRES </v>
      </c>
      <c r="H1788" s="20" t="str">
        <f t="shared" si="82"/>
        <v xml:space="preserve">     </v>
      </c>
      <c r="I1788" s="20" t="str">
        <f t="shared" si="83"/>
        <v xml:space="preserve">XL   </v>
      </c>
    </row>
    <row r="1789" spans="1:9">
      <c r="A1789" s="17" t="s">
        <v>1118</v>
      </c>
      <c r="B1789" s="17" t="s">
        <v>799</v>
      </c>
      <c r="C1789" s="17" t="s">
        <v>805</v>
      </c>
      <c r="D1789" s="17" t="s">
        <v>801</v>
      </c>
      <c r="E1789" s="18">
        <v>3004640000007</v>
      </c>
      <c r="G1789" s="20" t="str">
        <f t="shared" si="81"/>
        <v xml:space="preserve"> ANSESANGULAIRES </v>
      </c>
      <c r="H1789" s="20" t="str">
        <f t="shared" si="82"/>
        <v xml:space="preserve">     </v>
      </c>
      <c r="I1789" s="20" t="str">
        <f t="shared" si="83"/>
        <v xml:space="preserve">XS   </v>
      </c>
    </row>
    <row r="1790" spans="1:9">
      <c r="A1790" s="17" t="s">
        <v>1118</v>
      </c>
      <c r="B1790" s="17" t="s">
        <v>1119</v>
      </c>
      <c r="C1790" s="17" t="s">
        <v>800</v>
      </c>
      <c r="D1790" s="17" t="s">
        <v>801</v>
      </c>
      <c r="E1790" s="18">
        <v>3004640751039</v>
      </c>
      <c r="G1790" s="20" t="str">
        <f t="shared" si="81"/>
        <v xml:space="preserve"> ANSESANGULAIRES </v>
      </c>
      <c r="H1790" s="20" t="str">
        <f t="shared" si="82"/>
        <v>ARANC</v>
      </c>
      <c r="I1790" s="20" t="str">
        <f t="shared" si="83"/>
        <v xml:space="preserve">L    </v>
      </c>
    </row>
    <row r="1791" spans="1:9">
      <c r="A1791" s="17" t="s">
        <v>1118</v>
      </c>
      <c r="B1791" s="17" t="s">
        <v>1119</v>
      </c>
      <c r="C1791" s="17" t="s">
        <v>802</v>
      </c>
      <c r="D1791" s="17" t="s">
        <v>801</v>
      </c>
      <c r="E1791" s="18">
        <v>3004640751022</v>
      </c>
      <c r="G1791" s="20" t="str">
        <f t="shared" si="81"/>
        <v xml:space="preserve"> ANSESANGULAIRES </v>
      </c>
      <c r="H1791" s="20" t="str">
        <f t="shared" si="82"/>
        <v>ARANC</v>
      </c>
      <c r="I1791" s="20" t="str">
        <f t="shared" si="83"/>
        <v xml:space="preserve">M    </v>
      </c>
    </row>
    <row r="1792" spans="1:9">
      <c r="A1792" s="17" t="s">
        <v>1118</v>
      </c>
      <c r="B1792" s="17" t="s">
        <v>1119</v>
      </c>
      <c r="C1792" s="17" t="s">
        <v>803</v>
      </c>
      <c r="D1792" s="17" t="s">
        <v>801</v>
      </c>
      <c r="E1792" s="18">
        <v>3004640751015</v>
      </c>
      <c r="G1792" s="20" t="str">
        <f t="shared" si="81"/>
        <v xml:space="preserve"> ANSESANGULAIRES </v>
      </c>
      <c r="H1792" s="20" t="str">
        <f t="shared" si="82"/>
        <v>ARANC</v>
      </c>
      <c r="I1792" s="20" t="str">
        <f t="shared" si="83"/>
        <v xml:space="preserve">S    </v>
      </c>
    </row>
    <row r="1793" spans="1:9">
      <c r="A1793" s="17" t="s">
        <v>1118</v>
      </c>
      <c r="B1793" s="17" t="s">
        <v>1119</v>
      </c>
      <c r="C1793" s="17" t="s">
        <v>804</v>
      </c>
      <c r="D1793" s="17" t="s">
        <v>801</v>
      </c>
      <c r="E1793" s="18">
        <v>3004640751046</v>
      </c>
      <c r="G1793" s="20" t="str">
        <f t="shared" si="81"/>
        <v xml:space="preserve"> ANSESANGULAIRES </v>
      </c>
      <c r="H1793" s="20" t="str">
        <f t="shared" si="82"/>
        <v>ARANC</v>
      </c>
      <c r="I1793" s="20" t="str">
        <f t="shared" si="83"/>
        <v xml:space="preserve">XL   </v>
      </c>
    </row>
    <row r="1794" spans="1:9">
      <c r="A1794" s="17" t="s">
        <v>1118</v>
      </c>
      <c r="B1794" s="17" t="s">
        <v>1119</v>
      </c>
      <c r="C1794" s="17" t="s">
        <v>805</v>
      </c>
      <c r="D1794" s="17" t="s">
        <v>801</v>
      </c>
      <c r="E1794" s="18">
        <v>3004640751008</v>
      </c>
      <c r="G1794" s="20" t="str">
        <f t="shared" si="81"/>
        <v xml:space="preserve"> ANSESANGULAIRES </v>
      </c>
      <c r="H1794" s="20" t="str">
        <f t="shared" si="82"/>
        <v>ARANC</v>
      </c>
      <c r="I1794" s="20" t="str">
        <f t="shared" si="83"/>
        <v xml:space="preserve">XS   </v>
      </c>
    </row>
    <row r="1795" spans="1:9">
      <c r="A1795" s="17" t="s">
        <v>1118</v>
      </c>
      <c r="B1795" s="17" t="s">
        <v>820</v>
      </c>
      <c r="C1795" s="17" t="s">
        <v>800</v>
      </c>
      <c r="D1795" s="17" t="s">
        <v>801</v>
      </c>
      <c r="E1795" s="18">
        <v>3004640744031</v>
      </c>
      <c r="G1795" s="20" t="str">
        <f t="shared" si="81"/>
        <v xml:space="preserve"> ANSESANGULAIRES </v>
      </c>
      <c r="H1795" s="20" t="str">
        <f t="shared" si="82"/>
        <v>ECBLA</v>
      </c>
      <c r="I1795" s="20" t="str">
        <f t="shared" si="83"/>
        <v xml:space="preserve">L    </v>
      </c>
    </row>
    <row r="1796" spans="1:9">
      <c r="A1796" s="17" t="s">
        <v>1118</v>
      </c>
      <c r="B1796" s="17" t="s">
        <v>820</v>
      </c>
      <c r="C1796" s="17" t="s">
        <v>800</v>
      </c>
      <c r="D1796" s="17" t="s">
        <v>801</v>
      </c>
      <c r="E1796" s="18">
        <v>8057014140743</v>
      </c>
      <c r="G1796" s="20" t="str">
        <f t="shared" si="81"/>
        <v xml:space="preserve"> ANSESANGULAIRES </v>
      </c>
      <c r="H1796" s="20" t="str">
        <f t="shared" si="82"/>
        <v>ECBLA</v>
      </c>
      <c r="I1796" s="20" t="str">
        <f t="shared" si="83"/>
        <v xml:space="preserve">L    </v>
      </c>
    </row>
    <row r="1797" spans="1:9">
      <c r="A1797" s="17" t="s">
        <v>1118</v>
      </c>
      <c r="B1797" s="17" t="s">
        <v>820</v>
      </c>
      <c r="C1797" s="17" t="s">
        <v>802</v>
      </c>
      <c r="D1797" s="17" t="s">
        <v>801</v>
      </c>
      <c r="E1797" s="18">
        <v>3004640744024</v>
      </c>
      <c r="G1797" s="20" t="str">
        <f t="shared" ref="G1797:G1860" si="84">A1797</f>
        <v xml:space="preserve"> ANSESANGULAIRES </v>
      </c>
      <c r="H1797" s="20" t="str">
        <f t="shared" ref="H1797:H1860" si="85">B1797</f>
        <v>ECBLA</v>
      </c>
      <c r="I1797" s="20" t="str">
        <f t="shared" ref="I1797:I1860" si="86">C1797</f>
        <v xml:space="preserve">M    </v>
      </c>
    </row>
    <row r="1798" spans="1:9">
      <c r="A1798" s="17" t="s">
        <v>1118</v>
      </c>
      <c r="B1798" s="17" t="s">
        <v>820</v>
      </c>
      <c r="C1798" s="17" t="s">
        <v>803</v>
      </c>
      <c r="D1798" s="17" t="s">
        <v>801</v>
      </c>
      <c r="E1798" s="18">
        <v>3004640744017</v>
      </c>
      <c r="G1798" s="20" t="str">
        <f t="shared" si="84"/>
        <v xml:space="preserve"> ANSESANGULAIRES </v>
      </c>
      <c r="H1798" s="20" t="str">
        <f t="shared" si="85"/>
        <v>ECBLA</v>
      </c>
      <c r="I1798" s="20" t="str">
        <f t="shared" si="86"/>
        <v xml:space="preserve">S    </v>
      </c>
    </row>
    <row r="1799" spans="1:9">
      <c r="A1799" s="17" t="s">
        <v>1118</v>
      </c>
      <c r="B1799" s="17" t="s">
        <v>820</v>
      </c>
      <c r="C1799" s="17" t="s">
        <v>804</v>
      </c>
      <c r="D1799" s="17" t="s">
        <v>801</v>
      </c>
      <c r="E1799" s="18">
        <v>3004640744048</v>
      </c>
      <c r="G1799" s="20" t="str">
        <f t="shared" si="84"/>
        <v xml:space="preserve"> ANSESANGULAIRES </v>
      </c>
      <c r="H1799" s="20" t="str">
        <f t="shared" si="85"/>
        <v>ECBLA</v>
      </c>
      <c r="I1799" s="20" t="str">
        <f t="shared" si="86"/>
        <v xml:space="preserve">XL   </v>
      </c>
    </row>
    <row r="1800" spans="1:9">
      <c r="A1800" s="17" t="s">
        <v>1118</v>
      </c>
      <c r="B1800" s="17" t="s">
        <v>820</v>
      </c>
      <c r="C1800" s="17" t="s">
        <v>805</v>
      </c>
      <c r="D1800" s="17" t="s">
        <v>801</v>
      </c>
      <c r="E1800" s="18">
        <v>3004640744000</v>
      </c>
      <c r="G1800" s="20" t="str">
        <f t="shared" si="84"/>
        <v xml:space="preserve"> ANSESANGULAIRES </v>
      </c>
      <c r="H1800" s="20" t="str">
        <f t="shared" si="85"/>
        <v>ECBLA</v>
      </c>
      <c r="I1800" s="20" t="str">
        <f t="shared" si="86"/>
        <v xml:space="preserve">XS   </v>
      </c>
    </row>
    <row r="1801" spans="1:9">
      <c r="A1801" s="17" t="s">
        <v>1118</v>
      </c>
      <c r="B1801" s="17" t="s">
        <v>821</v>
      </c>
      <c r="C1801" s="17" t="s">
        <v>800</v>
      </c>
      <c r="D1801" s="17" t="s">
        <v>801</v>
      </c>
      <c r="E1801" s="18">
        <v>3004640743034</v>
      </c>
      <c r="G1801" s="20" t="str">
        <f t="shared" si="84"/>
        <v xml:space="preserve"> ANSESANGULAIRES </v>
      </c>
      <c r="H1801" s="20" t="str">
        <f t="shared" si="85"/>
        <v>ECNAT</v>
      </c>
      <c r="I1801" s="20" t="str">
        <f t="shared" si="86"/>
        <v xml:space="preserve">L    </v>
      </c>
    </row>
    <row r="1802" spans="1:9">
      <c r="A1802" s="17" t="s">
        <v>1118</v>
      </c>
      <c r="B1802" s="17" t="s">
        <v>821</v>
      </c>
      <c r="C1802" s="17" t="s">
        <v>802</v>
      </c>
      <c r="D1802" s="17" t="s">
        <v>801</v>
      </c>
      <c r="E1802" s="18">
        <v>3004640743027</v>
      </c>
      <c r="G1802" s="20" t="str">
        <f t="shared" si="84"/>
        <v xml:space="preserve"> ANSESANGULAIRES </v>
      </c>
      <c r="H1802" s="20" t="str">
        <f t="shared" si="85"/>
        <v>ECNAT</v>
      </c>
      <c r="I1802" s="20" t="str">
        <f t="shared" si="86"/>
        <v xml:space="preserve">M    </v>
      </c>
    </row>
    <row r="1803" spans="1:9">
      <c r="A1803" s="17" t="s">
        <v>1118</v>
      </c>
      <c r="B1803" s="17" t="s">
        <v>821</v>
      </c>
      <c r="C1803" s="17" t="s">
        <v>803</v>
      </c>
      <c r="D1803" s="17" t="s">
        <v>801</v>
      </c>
      <c r="E1803" s="18">
        <v>3004640743010</v>
      </c>
      <c r="G1803" s="20" t="str">
        <f t="shared" si="84"/>
        <v xml:space="preserve"> ANSESANGULAIRES </v>
      </c>
      <c r="H1803" s="20" t="str">
        <f t="shared" si="85"/>
        <v>ECNAT</v>
      </c>
      <c r="I1803" s="20" t="str">
        <f t="shared" si="86"/>
        <v xml:space="preserve">S    </v>
      </c>
    </row>
    <row r="1804" spans="1:9">
      <c r="A1804" s="17" t="s">
        <v>1118</v>
      </c>
      <c r="B1804" s="17" t="s">
        <v>821</v>
      </c>
      <c r="C1804" s="17" t="s">
        <v>804</v>
      </c>
      <c r="D1804" s="17" t="s">
        <v>801</v>
      </c>
      <c r="E1804" s="18">
        <v>3004640743041</v>
      </c>
      <c r="G1804" s="20" t="str">
        <f t="shared" si="84"/>
        <v xml:space="preserve"> ANSESANGULAIRES </v>
      </c>
      <c r="H1804" s="20" t="str">
        <f t="shared" si="85"/>
        <v>ECNAT</v>
      </c>
      <c r="I1804" s="20" t="str">
        <f t="shared" si="86"/>
        <v xml:space="preserve">XL   </v>
      </c>
    </row>
    <row r="1805" spans="1:9">
      <c r="A1805" s="17" t="s">
        <v>1118</v>
      </c>
      <c r="B1805" s="17" t="s">
        <v>821</v>
      </c>
      <c r="C1805" s="17" t="s">
        <v>805</v>
      </c>
      <c r="D1805" s="17" t="s">
        <v>801</v>
      </c>
      <c r="E1805" s="18">
        <v>3004640743003</v>
      </c>
      <c r="G1805" s="20" t="str">
        <f t="shared" si="84"/>
        <v xml:space="preserve"> ANSESANGULAIRES </v>
      </c>
      <c r="H1805" s="20" t="str">
        <f t="shared" si="85"/>
        <v>ECNAT</v>
      </c>
      <c r="I1805" s="20" t="str">
        <f t="shared" si="86"/>
        <v xml:space="preserve">XS   </v>
      </c>
    </row>
    <row r="1806" spans="1:9">
      <c r="A1806" s="17" t="s">
        <v>1118</v>
      </c>
      <c r="B1806" s="17" t="s">
        <v>1055</v>
      </c>
      <c r="C1806" s="17" t="s">
        <v>800</v>
      </c>
      <c r="D1806" s="17" t="s">
        <v>801</v>
      </c>
      <c r="E1806" s="18">
        <v>3004640469033</v>
      </c>
      <c r="G1806" s="20" t="str">
        <f t="shared" si="84"/>
        <v xml:space="preserve"> ANSESANGULAIRES </v>
      </c>
      <c r="H1806" s="20" t="str">
        <f t="shared" si="85"/>
        <v>ECONA</v>
      </c>
      <c r="I1806" s="20" t="str">
        <f t="shared" si="86"/>
        <v xml:space="preserve">L    </v>
      </c>
    </row>
    <row r="1807" spans="1:9">
      <c r="A1807" s="17" t="s">
        <v>1118</v>
      </c>
      <c r="B1807" s="17" t="s">
        <v>1055</v>
      </c>
      <c r="C1807" s="17" t="s">
        <v>802</v>
      </c>
      <c r="D1807" s="17" t="s">
        <v>801</v>
      </c>
      <c r="E1807" s="18">
        <v>3004640469026</v>
      </c>
      <c r="G1807" s="20" t="str">
        <f t="shared" si="84"/>
        <v xml:space="preserve"> ANSESANGULAIRES </v>
      </c>
      <c r="H1807" s="20" t="str">
        <f t="shared" si="85"/>
        <v>ECONA</v>
      </c>
      <c r="I1807" s="20" t="str">
        <f t="shared" si="86"/>
        <v xml:space="preserve">M    </v>
      </c>
    </row>
    <row r="1808" spans="1:9">
      <c r="A1808" s="17" t="s">
        <v>1118</v>
      </c>
      <c r="B1808" s="17" t="s">
        <v>1055</v>
      </c>
      <c r="C1808" s="17" t="s">
        <v>803</v>
      </c>
      <c r="D1808" s="17" t="s">
        <v>801</v>
      </c>
      <c r="E1808" s="18">
        <v>3004640469019</v>
      </c>
      <c r="G1808" s="20" t="str">
        <f t="shared" si="84"/>
        <v xml:space="preserve"> ANSESANGULAIRES </v>
      </c>
      <c r="H1808" s="20" t="str">
        <f t="shared" si="85"/>
        <v>ECONA</v>
      </c>
      <c r="I1808" s="20" t="str">
        <f t="shared" si="86"/>
        <v xml:space="preserve">S    </v>
      </c>
    </row>
    <row r="1809" spans="1:9">
      <c r="A1809" s="17" t="s">
        <v>1118</v>
      </c>
      <c r="B1809" s="17" t="s">
        <v>1055</v>
      </c>
      <c r="C1809" s="17" t="s">
        <v>804</v>
      </c>
      <c r="D1809" s="17" t="s">
        <v>801</v>
      </c>
      <c r="E1809" s="18">
        <v>3004640469040</v>
      </c>
      <c r="G1809" s="20" t="str">
        <f t="shared" si="84"/>
        <v xml:space="preserve"> ANSESANGULAIRES </v>
      </c>
      <c r="H1809" s="20" t="str">
        <f t="shared" si="85"/>
        <v>ECONA</v>
      </c>
      <c r="I1809" s="20" t="str">
        <f t="shared" si="86"/>
        <v xml:space="preserve">XL   </v>
      </c>
    </row>
    <row r="1810" spans="1:9">
      <c r="A1810" s="17" t="s">
        <v>1118</v>
      </c>
      <c r="B1810" s="17" t="s">
        <v>1055</v>
      </c>
      <c r="C1810" s="17" t="s">
        <v>805</v>
      </c>
      <c r="D1810" s="17" t="s">
        <v>801</v>
      </c>
      <c r="E1810" s="18">
        <v>3004640469002</v>
      </c>
      <c r="G1810" s="20" t="str">
        <f t="shared" si="84"/>
        <v xml:space="preserve"> ANSESANGULAIRES </v>
      </c>
      <c r="H1810" s="20" t="str">
        <f t="shared" si="85"/>
        <v>ECONA</v>
      </c>
      <c r="I1810" s="20" t="str">
        <f t="shared" si="86"/>
        <v xml:space="preserve">XS   </v>
      </c>
    </row>
    <row r="1811" spans="1:9">
      <c r="A1811" s="17" t="s">
        <v>1118</v>
      </c>
      <c r="B1811" s="17" t="s">
        <v>822</v>
      </c>
      <c r="C1811" s="17" t="s">
        <v>800</v>
      </c>
      <c r="D1811" s="17" t="s">
        <v>801</v>
      </c>
      <c r="E1811" s="18">
        <v>3004640745038</v>
      </c>
      <c r="G1811" s="20" t="str">
        <f t="shared" si="84"/>
        <v xml:space="preserve"> ANSESANGULAIRES </v>
      </c>
      <c r="H1811" s="20" t="str">
        <f t="shared" si="85"/>
        <v>ECTES</v>
      </c>
      <c r="I1811" s="20" t="str">
        <f t="shared" si="86"/>
        <v xml:space="preserve">L    </v>
      </c>
    </row>
    <row r="1812" spans="1:9">
      <c r="A1812" s="17" t="s">
        <v>1118</v>
      </c>
      <c r="B1812" s="17" t="s">
        <v>822</v>
      </c>
      <c r="C1812" s="17" t="s">
        <v>800</v>
      </c>
      <c r="D1812" s="17" t="s">
        <v>801</v>
      </c>
      <c r="E1812" s="18">
        <v>8057014140736</v>
      </c>
      <c r="G1812" s="20" t="str">
        <f t="shared" si="84"/>
        <v xml:space="preserve"> ANSESANGULAIRES </v>
      </c>
      <c r="H1812" s="20" t="str">
        <f t="shared" si="85"/>
        <v>ECTES</v>
      </c>
      <c r="I1812" s="20" t="str">
        <f t="shared" si="86"/>
        <v xml:space="preserve">L    </v>
      </c>
    </row>
    <row r="1813" spans="1:9">
      <c r="A1813" s="17" t="s">
        <v>1118</v>
      </c>
      <c r="B1813" s="17" t="s">
        <v>822</v>
      </c>
      <c r="C1813" s="17" t="s">
        <v>802</v>
      </c>
      <c r="D1813" s="17" t="s">
        <v>801</v>
      </c>
      <c r="E1813" s="18">
        <v>3004640745021</v>
      </c>
      <c r="G1813" s="20" t="str">
        <f t="shared" si="84"/>
        <v xml:space="preserve"> ANSESANGULAIRES </v>
      </c>
      <c r="H1813" s="20" t="str">
        <f t="shared" si="85"/>
        <v>ECTES</v>
      </c>
      <c r="I1813" s="20" t="str">
        <f t="shared" si="86"/>
        <v xml:space="preserve">M    </v>
      </c>
    </row>
    <row r="1814" spans="1:9">
      <c r="A1814" s="17" t="s">
        <v>1118</v>
      </c>
      <c r="B1814" s="17" t="s">
        <v>822</v>
      </c>
      <c r="C1814" s="17" t="s">
        <v>803</v>
      </c>
      <c r="D1814" s="17" t="s">
        <v>801</v>
      </c>
      <c r="E1814" s="18">
        <v>3004640745014</v>
      </c>
      <c r="G1814" s="20" t="str">
        <f t="shared" si="84"/>
        <v xml:space="preserve"> ANSESANGULAIRES </v>
      </c>
      <c r="H1814" s="20" t="str">
        <f t="shared" si="85"/>
        <v>ECTES</v>
      </c>
      <c r="I1814" s="20" t="str">
        <f t="shared" si="86"/>
        <v xml:space="preserve">S    </v>
      </c>
    </row>
    <row r="1815" spans="1:9">
      <c r="A1815" s="17" t="s">
        <v>1118</v>
      </c>
      <c r="B1815" s="17" t="s">
        <v>822</v>
      </c>
      <c r="C1815" s="17" t="s">
        <v>803</v>
      </c>
      <c r="D1815" s="17" t="s">
        <v>801</v>
      </c>
      <c r="E1815" s="18">
        <v>8057014140729</v>
      </c>
      <c r="G1815" s="20" t="str">
        <f t="shared" si="84"/>
        <v xml:space="preserve"> ANSESANGULAIRES </v>
      </c>
      <c r="H1815" s="20" t="str">
        <f t="shared" si="85"/>
        <v>ECTES</v>
      </c>
      <c r="I1815" s="20" t="str">
        <f t="shared" si="86"/>
        <v xml:space="preserve">S    </v>
      </c>
    </row>
    <row r="1816" spans="1:9">
      <c r="A1816" s="17" t="s">
        <v>1118</v>
      </c>
      <c r="B1816" s="17" t="s">
        <v>822</v>
      </c>
      <c r="C1816" s="17" t="s">
        <v>804</v>
      </c>
      <c r="D1816" s="17" t="s">
        <v>801</v>
      </c>
      <c r="E1816" s="18">
        <v>3004640745045</v>
      </c>
      <c r="G1816" s="20" t="str">
        <f t="shared" si="84"/>
        <v xml:space="preserve"> ANSESANGULAIRES </v>
      </c>
      <c r="H1816" s="20" t="str">
        <f t="shared" si="85"/>
        <v>ECTES</v>
      </c>
      <c r="I1816" s="20" t="str">
        <f t="shared" si="86"/>
        <v xml:space="preserve">XL   </v>
      </c>
    </row>
    <row r="1817" spans="1:9">
      <c r="A1817" s="17" t="s">
        <v>1118</v>
      </c>
      <c r="B1817" s="17" t="s">
        <v>822</v>
      </c>
      <c r="C1817" s="17" t="s">
        <v>805</v>
      </c>
      <c r="D1817" s="17" t="s">
        <v>801</v>
      </c>
      <c r="E1817" s="18">
        <v>3004640745007</v>
      </c>
      <c r="G1817" s="20" t="str">
        <f t="shared" si="84"/>
        <v xml:space="preserve"> ANSESANGULAIRES </v>
      </c>
      <c r="H1817" s="20" t="str">
        <f t="shared" si="85"/>
        <v>ECTES</v>
      </c>
      <c r="I1817" s="20" t="str">
        <f t="shared" si="86"/>
        <v xml:space="preserve">XS   </v>
      </c>
    </row>
    <row r="1818" spans="1:9">
      <c r="A1818" s="17" t="s">
        <v>1118</v>
      </c>
      <c r="B1818" s="17" t="s">
        <v>1120</v>
      </c>
      <c r="C1818" s="17" t="s">
        <v>800</v>
      </c>
      <c r="D1818" s="17" t="s">
        <v>801</v>
      </c>
      <c r="E1818" s="18">
        <v>3004640779033</v>
      </c>
      <c r="G1818" s="20" t="str">
        <f t="shared" si="84"/>
        <v xml:space="preserve"> ANSESANGULAIRES </v>
      </c>
      <c r="H1818" s="20" t="str">
        <f t="shared" si="85"/>
        <v>MAGEN</v>
      </c>
      <c r="I1818" s="20" t="str">
        <f t="shared" si="86"/>
        <v xml:space="preserve">L    </v>
      </c>
    </row>
    <row r="1819" spans="1:9">
      <c r="A1819" s="17" t="s">
        <v>1118</v>
      </c>
      <c r="B1819" s="17" t="s">
        <v>1120</v>
      </c>
      <c r="C1819" s="17" t="s">
        <v>802</v>
      </c>
      <c r="D1819" s="17" t="s">
        <v>801</v>
      </c>
      <c r="E1819" s="18">
        <v>3004640779026</v>
      </c>
      <c r="G1819" s="20" t="str">
        <f t="shared" si="84"/>
        <v xml:space="preserve"> ANSESANGULAIRES </v>
      </c>
      <c r="H1819" s="20" t="str">
        <f t="shared" si="85"/>
        <v>MAGEN</v>
      </c>
      <c r="I1819" s="20" t="str">
        <f t="shared" si="86"/>
        <v xml:space="preserve">M    </v>
      </c>
    </row>
    <row r="1820" spans="1:9">
      <c r="A1820" s="17" t="s">
        <v>1118</v>
      </c>
      <c r="B1820" s="17" t="s">
        <v>1120</v>
      </c>
      <c r="C1820" s="17" t="s">
        <v>803</v>
      </c>
      <c r="D1820" s="17" t="s">
        <v>801</v>
      </c>
      <c r="E1820" s="18">
        <v>3004640779019</v>
      </c>
      <c r="G1820" s="20" t="str">
        <f t="shared" si="84"/>
        <v xml:space="preserve"> ANSESANGULAIRES </v>
      </c>
      <c r="H1820" s="20" t="str">
        <f t="shared" si="85"/>
        <v>MAGEN</v>
      </c>
      <c r="I1820" s="20" t="str">
        <f t="shared" si="86"/>
        <v xml:space="preserve">S    </v>
      </c>
    </row>
    <row r="1821" spans="1:9">
      <c r="A1821" s="17" t="s">
        <v>1118</v>
      </c>
      <c r="B1821" s="17" t="s">
        <v>1120</v>
      </c>
      <c r="C1821" s="17" t="s">
        <v>804</v>
      </c>
      <c r="D1821" s="17" t="s">
        <v>801</v>
      </c>
      <c r="E1821" s="18">
        <v>3004640779040</v>
      </c>
      <c r="G1821" s="20" t="str">
        <f t="shared" si="84"/>
        <v xml:space="preserve"> ANSESANGULAIRES </v>
      </c>
      <c r="H1821" s="20" t="str">
        <f t="shared" si="85"/>
        <v>MAGEN</v>
      </c>
      <c r="I1821" s="20" t="str">
        <f t="shared" si="86"/>
        <v xml:space="preserve">XL   </v>
      </c>
    </row>
    <row r="1822" spans="1:9">
      <c r="A1822" s="17" t="s">
        <v>1118</v>
      </c>
      <c r="B1822" s="17" t="s">
        <v>1120</v>
      </c>
      <c r="C1822" s="17" t="s">
        <v>805</v>
      </c>
      <c r="D1822" s="17" t="s">
        <v>801</v>
      </c>
      <c r="E1822" s="18">
        <v>3004640779002</v>
      </c>
      <c r="G1822" s="20" t="str">
        <f t="shared" si="84"/>
        <v xml:space="preserve"> ANSESANGULAIRES </v>
      </c>
      <c r="H1822" s="20" t="str">
        <f t="shared" si="85"/>
        <v>MAGEN</v>
      </c>
      <c r="I1822" s="20" t="str">
        <f t="shared" si="86"/>
        <v xml:space="preserve">XS   </v>
      </c>
    </row>
    <row r="1823" spans="1:9">
      <c r="A1823" s="17" t="s">
        <v>1118</v>
      </c>
      <c r="B1823" s="17" t="s">
        <v>1121</v>
      </c>
      <c r="C1823" s="17" t="s">
        <v>800</v>
      </c>
      <c r="D1823" s="17" t="s">
        <v>801</v>
      </c>
      <c r="E1823" s="18">
        <v>3004640748039</v>
      </c>
      <c r="G1823" s="20" t="str">
        <f t="shared" si="84"/>
        <v xml:space="preserve"> ANSESANGULAIRES </v>
      </c>
      <c r="H1823" s="20" t="str">
        <f t="shared" si="85"/>
        <v>SABLU</v>
      </c>
      <c r="I1823" s="20" t="str">
        <f t="shared" si="86"/>
        <v xml:space="preserve">L    </v>
      </c>
    </row>
    <row r="1824" spans="1:9">
      <c r="A1824" s="17" t="s">
        <v>1118</v>
      </c>
      <c r="B1824" s="17" t="s">
        <v>1121</v>
      </c>
      <c r="C1824" s="17" t="s">
        <v>802</v>
      </c>
      <c r="D1824" s="17" t="s">
        <v>801</v>
      </c>
      <c r="E1824" s="18">
        <v>3004640748022</v>
      </c>
      <c r="G1824" s="20" t="str">
        <f t="shared" si="84"/>
        <v xml:space="preserve"> ANSESANGULAIRES </v>
      </c>
      <c r="H1824" s="20" t="str">
        <f t="shared" si="85"/>
        <v>SABLU</v>
      </c>
      <c r="I1824" s="20" t="str">
        <f t="shared" si="86"/>
        <v xml:space="preserve">M    </v>
      </c>
    </row>
    <row r="1825" spans="1:9">
      <c r="A1825" s="17" t="s">
        <v>1118</v>
      </c>
      <c r="B1825" s="17" t="s">
        <v>1121</v>
      </c>
      <c r="C1825" s="17" t="s">
        <v>803</v>
      </c>
      <c r="D1825" s="17" t="s">
        <v>801</v>
      </c>
      <c r="E1825" s="18">
        <v>3004640748015</v>
      </c>
      <c r="G1825" s="20" t="str">
        <f t="shared" si="84"/>
        <v xml:space="preserve"> ANSESANGULAIRES </v>
      </c>
      <c r="H1825" s="20" t="str">
        <f t="shared" si="85"/>
        <v>SABLU</v>
      </c>
      <c r="I1825" s="20" t="str">
        <f t="shared" si="86"/>
        <v xml:space="preserve">S    </v>
      </c>
    </row>
    <row r="1826" spans="1:9">
      <c r="A1826" s="17" t="s">
        <v>1118</v>
      </c>
      <c r="B1826" s="17" t="s">
        <v>1121</v>
      </c>
      <c r="C1826" s="17" t="s">
        <v>804</v>
      </c>
      <c r="D1826" s="17" t="s">
        <v>801</v>
      </c>
      <c r="E1826" s="18">
        <v>3004640748046</v>
      </c>
      <c r="G1826" s="20" t="str">
        <f t="shared" si="84"/>
        <v xml:space="preserve"> ANSESANGULAIRES </v>
      </c>
      <c r="H1826" s="20" t="str">
        <f t="shared" si="85"/>
        <v>SABLU</v>
      </c>
      <c r="I1826" s="20" t="str">
        <f t="shared" si="86"/>
        <v xml:space="preserve">XL   </v>
      </c>
    </row>
    <row r="1827" spans="1:9">
      <c r="A1827" s="17" t="s">
        <v>1118</v>
      </c>
      <c r="B1827" s="17" t="s">
        <v>1121</v>
      </c>
      <c r="C1827" s="17" t="s">
        <v>805</v>
      </c>
      <c r="D1827" s="17" t="s">
        <v>801</v>
      </c>
      <c r="E1827" s="18">
        <v>3004640748008</v>
      </c>
      <c r="G1827" s="20" t="str">
        <f t="shared" si="84"/>
        <v xml:space="preserve"> ANSESANGULAIRES </v>
      </c>
      <c r="H1827" s="20" t="str">
        <f t="shared" si="85"/>
        <v>SABLU</v>
      </c>
      <c r="I1827" s="20" t="str">
        <f t="shared" si="86"/>
        <v xml:space="preserve">XS   </v>
      </c>
    </row>
    <row r="1828" spans="1:9">
      <c r="A1828" s="17" t="s">
        <v>1118</v>
      </c>
      <c r="B1828" s="17" t="s">
        <v>1122</v>
      </c>
      <c r="C1828" s="17" t="s">
        <v>800</v>
      </c>
      <c r="D1828" s="17" t="s">
        <v>801</v>
      </c>
      <c r="E1828" s="18">
        <v>3004640747032</v>
      </c>
      <c r="G1828" s="20" t="str">
        <f t="shared" si="84"/>
        <v xml:space="preserve"> ANSESANGULAIRES </v>
      </c>
      <c r="H1828" s="20" t="str">
        <f t="shared" si="85"/>
        <v>SAFAB</v>
      </c>
      <c r="I1828" s="20" t="str">
        <f t="shared" si="86"/>
        <v xml:space="preserve">L    </v>
      </c>
    </row>
    <row r="1829" spans="1:9">
      <c r="A1829" s="17" t="s">
        <v>1118</v>
      </c>
      <c r="B1829" s="17" t="s">
        <v>1122</v>
      </c>
      <c r="C1829" s="17" t="s">
        <v>802</v>
      </c>
      <c r="D1829" s="17" t="s">
        <v>801</v>
      </c>
      <c r="E1829" s="18">
        <v>3004640747025</v>
      </c>
      <c r="G1829" s="20" t="str">
        <f t="shared" si="84"/>
        <v xml:space="preserve"> ANSESANGULAIRES </v>
      </c>
      <c r="H1829" s="20" t="str">
        <f t="shared" si="85"/>
        <v>SAFAB</v>
      </c>
      <c r="I1829" s="20" t="str">
        <f t="shared" si="86"/>
        <v xml:space="preserve">M    </v>
      </c>
    </row>
    <row r="1830" spans="1:9">
      <c r="A1830" s="17" t="s">
        <v>1118</v>
      </c>
      <c r="B1830" s="17" t="s">
        <v>1122</v>
      </c>
      <c r="C1830" s="17" t="s">
        <v>803</v>
      </c>
      <c r="D1830" s="17" t="s">
        <v>801</v>
      </c>
      <c r="E1830" s="18">
        <v>3004640747018</v>
      </c>
      <c r="G1830" s="20" t="str">
        <f t="shared" si="84"/>
        <v xml:space="preserve"> ANSESANGULAIRES </v>
      </c>
      <c r="H1830" s="20" t="str">
        <f t="shared" si="85"/>
        <v>SAFAB</v>
      </c>
      <c r="I1830" s="20" t="str">
        <f t="shared" si="86"/>
        <v xml:space="preserve">S    </v>
      </c>
    </row>
    <row r="1831" spans="1:9">
      <c r="A1831" s="17" t="s">
        <v>1118</v>
      </c>
      <c r="B1831" s="17" t="s">
        <v>1122</v>
      </c>
      <c r="C1831" s="17" t="s">
        <v>804</v>
      </c>
      <c r="D1831" s="17" t="s">
        <v>801</v>
      </c>
      <c r="E1831" s="18">
        <v>3004640747049</v>
      </c>
      <c r="G1831" s="20" t="str">
        <f t="shared" si="84"/>
        <v xml:space="preserve"> ANSESANGULAIRES </v>
      </c>
      <c r="H1831" s="20" t="str">
        <f t="shared" si="85"/>
        <v>SAFAB</v>
      </c>
      <c r="I1831" s="20" t="str">
        <f t="shared" si="86"/>
        <v xml:space="preserve">XL   </v>
      </c>
    </row>
    <row r="1832" spans="1:9">
      <c r="A1832" s="17" t="s">
        <v>1118</v>
      </c>
      <c r="B1832" s="17" t="s">
        <v>1122</v>
      </c>
      <c r="C1832" s="17" t="s">
        <v>805</v>
      </c>
      <c r="D1832" s="17" t="s">
        <v>801</v>
      </c>
      <c r="E1832" s="18">
        <v>3004640747001</v>
      </c>
      <c r="G1832" s="20" t="str">
        <f t="shared" si="84"/>
        <v xml:space="preserve"> ANSESANGULAIRES </v>
      </c>
      <c r="H1832" s="20" t="str">
        <f t="shared" si="85"/>
        <v>SAFAB</v>
      </c>
      <c r="I1832" s="20" t="str">
        <f t="shared" si="86"/>
        <v xml:space="preserve">XS   </v>
      </c>
    </row>
    <row r="1833" spans="1:9">
      <c r="A1833" s="17" t="s">
        <v>1118</v>
      </c>
      <c r="B1833" s="17" t="s">
        <v>1123</v>
      </c>
      <c r="C1833" s="17" t="s">
        <v>800</v>
      </c>
      <c r="D1833" s="17" t="s">
        <v>801</v>
      </c>
      <c r="E1833" s="18">
        <v>3004640964033</v>
      </c>
      <c r="G1833" s="20" t="str">
        <f t="shared" si="84"/>
        <v xml:space="preserve"> ANSESANGULAIRES </v>
      </c>
      <c r="H1833" s="20" t="str">
        <f t="shared" si="85"/>
        <v>SAOTT</v>
      </c>
      <c r="I1833" s="20" t="str">
        <f t="shared" si="86"/>
        <v xml:space="preserve">L    </v>
      </c>
    </row>
    <row r="1834" spans="1:9">
      <c r="A1834" s="17" t="s">
        <v>1118</v>
      </c>
      <c r="B1834" s="17" t="s">
        <v>1123</v>
      </c>
      <c r="C1834" s="17" t="s">
        <v>802</v>
      </c>
      <c r="D1834" s="17" t="s">
        <v>801</v>
      </c>
      <c r="E1834" s="18">
        <v>3004640964026</v>
      </c>
      <c r="G1834" s="20" t="str">
        <f t="shared" si="84"/>
        <v xml:space="preserve"> ANSESANGULAIRES </v>
      </c>
      <c r="H1834" s="20" t="str">
        <f t="shared" si="85"/>
        <v>SAOTT</v>
      </c>
      <c r="I1834" s="20" t="str">
        <f t="shared" si="86"/>
        <v xml:space="preserve">M    </v>
      </c>
    </row>
    <row r="1835" spans="1:9">
      <c r="A1835" s="17" t="s">
        <v>1118</v>
      </c>
      <c r="B1835" s="17" t="s">
        <v>1123</v>
      </c>
      <c r="C1835" s="17" t="s">
        <v>803</v>
      </c>
      <c r="D1835" s="17" t="s">
        <v>801</v>
      </c>
      <c r="E1835" s="18">
        <v>3004640964019</v>
      </c>
      <c r="G1835" s="20" t="str">
        <f t="shared" si="84"/>
        <v xml:space="preserve"> ANSESANGULAIRES </v>
      </c>
      <c r="H1835" s="20" t="str">
        <f t="shared" si="85"/>
        <v>SAOTT</v>
      </c>
      <c r="I1835" s="20" t="str">
        <f t="shared" si="86"/>
        <v xml:space="preserve">S    </v>
      </c>
    </row>
    <row r="1836" spans="1:9">
      <c r="A1836" s="17" t="s">
        <v>1118</v>
      </c>
      <c r="B1836" s="17" t="s">
        <v>1123</v>
      </c>
      <c r="C1836" s="17" t="s">
        <v>804</v>
      </c>
      <c r="D1836" s="17" t="s">
        <v>801</v>
      </c>
      <c r="E1836" s="18">
        <v>3004640964040</v>
      </c>
      <c r="G1836" s="20" t="str">
        <f t="shared" si="84"/>
        <v xml:space="preserve"> ANSESANGULAIRES </v>
      </c>
      <c r="H1836" s="20" t="str">
        <f t="shared" si="85"/>
        <v>SAOTT</v>
      </c>
      <c r="I1836" s="20" t="str">
        <f t="shared" si="86"/>
        <v xml:space="preserve">XL   </v>
      </c>
    </row>
    <row r="1837" spans="1:9">
      <c r="A1837" s="17" t="s">
        <v>1118</v>
      </c>
      <c r="B1837" s="17" t="s">
        <v>1123</v>
      </c>
      <c r="C1837" s="17" t="s">
        <v>805</v>
      </c>
      <c r="D1837" s="17" t="s">
        <v>801</v>
      </c>
      <c r="E1837" s="18">
        <v>3004640964002</v>
      </c>
      <c r="G1837" s="20" t="str">
        <f t="shared" si="84"/>
        <v xml:space="preserve"> ANSESANGULAIRES </v>
      </c>
      <c r="H1837" s="20" t="str">
        <f t="shared" si="85"/>
        <v>SAOTT</v>
      </c>
      <c r="I1837" s="20" t="str">
        <f t="shared" si="86"/>
        <v xml:space="preserve">XS   </v>
      </c>
    </row>
    <row r="1838" spans="1:9">
      <c r="A1838" s="17" t="s">
        <v>1118</v>
      </c>
      <c r="B1838" s="17" t="s">
        <v>1124</v>
      </c>
      <c r="C1838" s="17" t="s">
        <v>800</v>
      </c>
      <c r="D1838" s="17" t="s">
        <v>801</v>
      </c>
      <c r="E1838" s="18">
        <v>3004640749036</v>
      </c>
      <c r="G1838" s="20" t="str">
        <f t="shared" si="84"/>
        <v xml:space="preserve"> ANSESANGULAIRES </v>
      </c>
      <c r="H1838" s="20" t="str">
        <f t="shared" si="85"/>
        <v>SAROS</v>
      </c>
      <c r="I1838" s="20" t="str">
        <f t="shared" si="86"/>
        <v xml:space="preserve">L    </v>
      </c>
    </row>
    <row r="1839" spans="1:9">
      <c r="A1839" s="17" t="s">
        <v>1118</v>
      </c>
      <c r="B1839" s="17" t="s">
        <v>1124</v>
      </c>
      <c r="C1839" s="17" t="s">
        <v>802</v>
      </c>
      <c r="D1839" s="17" t="s">
        <v>801</v>
      </c>
      <c r="E1839" s="18">
        <v>3004640749029</v>
      </c>
      <c r="G1839" s="20" t="str">
        <f t="shared" si="84"/>
        <v xml:space="preserve"> ANSESANGULAIRES </v>
      </c>
      <c r="H1839" s="20" t="str">
        <f t="shared" si="85"/>
        <v>SAROS</v>
      </c>
      <c r="I1839" s="20" t="str">
        <f t="shared" si="86"/>
        <v xml:space="preserve">M    </v>
      </c>
    </row>
    <row r="1840" spans="1:9">
      <c r="A1840" s="17" t="s">
        <v>1118</v>
      </c>
      <c r="B1840" s="17" t="s">
        <v>1124</v>
      </c>
      <c r="C1840" s="17" t="s">
        <v>803</v>
      </c>
      <c r="D1840" s="17" t="s">
        <v>801</v>
      </c>
      <c r="E1840" s="18">
        <v>3004640749012</v>
      </c>
      <c r="G1840" s="20" t="str">
        <f t="shared" si="84"/>
        <v xml:space="preserve"> ANSESANGULAIRES </v>
      </c>
      <c r="H1840" s="20" t="str">
        <f t="shared" si="85"/>
        <v>SAROS</v>
      </c>
      <c r="I1840" s="20" t="str">
        <f t="shared" si="86"/>
        <v xml:space="preserve">S    </v>
      </c>
    </row>
    <row r="1841" spans="1:9">
      <c r="A1841" s="17" t="s">
        <v>1118</v>
      </c>
      <c r="B1841" s="17" t="s">
        <v>1124</v>
      </c>
      <c r="C1841" s="17" t="s">
        <v>804</v>
      </c>
      <c r="D1841" s="17" t="s">
        <v>801</v>
      </c>
      <c r="E1841" s="18">
        <v>3004640749043</v>
      </c>
      <c r="G1841" s="20" t="str">
        <f t="shared" si="84"/>
        <v xml:space="preserve"> ANSESANGULAIRES </v>
      </c>
      <c r="H1841" s="20" t="str">
        <f t="shared" si="85"/>
        <v>SAROS</v>
      </c>
      <c r="I1841" s="20" t="str">
        <f t="shared" si="86"/>
        <v xml:space="preserve">XL   </v>
      </c>
    </row>
    <row r="1842" spans="1:9">
      <c r="A1842" s="17" t="s">
        <v>1118</v>
      </c>
      <c r="B1842" s="17" t="s">
        <v>1124</v>
      </c>
      <c r="C1842" s="17" t="s">
        <v>805</v>
      </c>
      <c r="D1842" s="17" t="s">
        <v>801</v>
      </c>
      <c r="E1842" s="18">
        <v>3004640749005</v>
      </c>
      <c r="G1842" s="20" t="str">
        <f t="shared" si="84"/>
        <v xml:space="preserve"> ANSESANGULAIRES </v>
      </c>
      <c r="H1842" s="20" t="str">
        <f t="shared" si="85"/>
        <v>SAROS</v>
      </c>
      <c r="I1842" s="20" t="str">
        <f t="shared" si="86"/>
        <v xml:space="preserve">XS   </v>
      </c>
    </row>
    <row r="1843" spans="1:9">
      <c r="A1843" s="17" t="s">
        <v>1118</v>
      </c>
      <c r="B1843" s="17" t="s">
        <v>1125</v>
      </c>
      <c r="C1843" s="17" t="s">
        <v>800</v>
      </c>
      <c r="D1843" s="17" t="s">
        <v>801</v>
      </c>
      <c r="E1843" s="18">
        <v>3004640750032</v>
      </c>
      <c r="G1843" s="20" t="str">
        <f t="shared" si="84"/>
        <v xml:space="preserve"> ANSESANGULAIRES </v>
      </c>
      <c r="H1843" s="20" t="str">
        <f t="shared" si="85"/>
        <v>SAROU</v>
      </c>
      <c r="I1843" s="20" t="str">
        <f t="shared" si="86"/>
        <v xml:space="preserve">L    </v>
      </c>
    </row>
    <row r="1844" spans="1:9">
      <c r="A1844" s="17" t="s">
        <v>1118</v>
      </c>
      <c r="B1844" s="17" t="s">
        <v>1125</v>
      </c>
      <c r="C1844" s="17" t="s">
        <v>802</v>
      </c>
      <c r="D1844" s="17" t="s">
        <v>801</v>
      </c>
      <c r="E1844" s="18">
        <v>3004640750025</v>
      </c>
      <c r="G1844" s="20" t="str">
        <f t="shared" si="84"/>
        <v xml:space="preserve"> ANSESANGULAIRES </v>
      </c>
      <c r="H1844" s="20" t="str">
        <f t="shared" si="85"/>
        <v>SAROU</v>
      </c>
      <c r="I1844" s="20" t="str">
        <f t="shared" si="86"/>
        <v xml:space="preserve">M    </v>
      </c>
    </row>
    <row r="1845" spans="1:9">
      <c r="A1845" s="17" t="s">
        <v>1118</v>
      </c>
      <c r="B1845" s="17" t="s">
        <v>1125</v>
      </c>
      <c r="C1845" s="17" t="s">
        <v>803</v>
      </c>
      <c r="D1845" s="17" t="s">
        <v>801</v>
      </c>
      <c r="E1845" s="18">
        <v>3004640750018</v>
      </c>
      <c r="G1845" s="20" t="str">
        <f t="shared" si="84"/>
        <v xml:space="preserve"> ANSESANGULAIRES </v>
      </c>
      <c r="H1845" s="20" t="str">
        <f t="shared" si="85"/>
        <v>SAROU</v>
      </c>
      <c r="I1845" s="20" t="str">
        <f t="shared" si="86"/>
        <v xml:space="preserve">S    </v>
      </c>
    </row>
    <row r="1846" spans="1:9">
      <c r="A1846" s="17" t="s">
        <v>1118</v>
      </c>
      <c r="B1846" s="17" t="s">
        <v>1125</v>
      </c>
      <c r="C1846" s="17" t="s">
        <v>804</v>
      </c>
      <c r="D1846" s="17" t="s">
        <v>801</v>
      </c>
      <c r="E1846" s="18">
        <v>3004640750049</v>
      </c>
      <c r="G1846" s="20" t="str">
        <f t="shared" si="84"/>
        <v xml:space="preserve"> ANSESANGULAIRES </v>
      </c>
      <c r="H1846" s="20" t="str">
        <f t="shared" si="85"/>
        <v>SAROU</v>
      </c>
      <c r="I1846" s="20" t="str">
        <f t="shared" si="86"/>
        <v xml:space="preserve">XL   </v>
      </c>
    </row>
    <row r="1847" spans="1:9">
      <c r="A1847" s="17" t="s">
        <v>1118</v>
      </c>
      <c r="B1847" s="17" t="s">
        <v>1125</v>
      </c>
      <c r="C1847" s="17" t="s">
        <v>805</v>
      </c>
      <c r="D1847" s="17" t="s">
        <v>801</v>
      </c>
      <c r="E1847" s="18">
        <v>3004640750001</v>
      </c>
      <c r="G1847" s="20" t="str">
        <f t="shared" si="84"/>
        <v xml:space="preserve"> ANSESANGULAIRES </v>
      </c>
      <c r="H1847" s="20" t="str">
        <f t="shared" si="85"/>
        <v>SAROU</v>
      </c>
      <c r="I1847" s="20" t="str">
        <f t="shared" si="86"/>
        <v xml:space="preserve">XS   </v>
      </c>
    </row>
    <row r="1848" spans="1:9">
      <c r="A1848" s="17" t="s">
        <v>1118</v>
      </c>
      <c r="B1848" s="17" t="s">
        <v>1126</v>
      </c>
      <c r="C1848" s="17" t="s">
        <v>800</v>
      </c>
      <c r="D1848" s="17" t="s">
        <v>801</v>
      </c>
      <c r="E1848" s="18">
        <v>3004640965030</v>
      </c>
      <c r="G1848" s="20" t="str">
        <f t="shared" si="84"/>
        <v xml:space="preserve"> ANSESANGULAIRES </v>
      </c>
      <c r="H1848" s="20" t="str">
        <f t="shared" si="85"/>
        <v>SATES</v>
      </c>
      <c r="I1848" s="20" t="str">
        <f t="shared" si="86"/>
        <v xml:space="preserve">L    </v>
      </c>
    </row>
    <row r="1849" spans="1:9">
      <c r="A1849" s="17" t="s">
        <v>1118</v>
      </c>
      <c r="B1849" s="17" t="s">
        <v>1126</v>
      </c>
      <c r="C1849" s="17" t="s">
        <v>802</v>
      </c>
      <c r="D1849" s="17" t="s">
        <v>801</v>
      </c>
      <c r="E1849" s="18">
        <v>3004640965023</v>
      </c>
      <c r="G1849" s="20" t="str">
        <f t="shared" si="84"/>
        <v xml:space="preserve"> ANSESANGULAIRES </v>
      </c>
      <c r="H1849" s="20" t="str">
        <f t="shared" si="85"/>
        <v>SATES</v>
      </c>
      <c r="I1849" s="20" t="str">
        <f t="shared" si="86"/>
        <v xml:space="preserve">M    </v>
      </c>
    </row>
    <row r="1850" spans="1:9">
      <c r="A1850" s="17" t="s">
        <v>1118</v>
      </c>
      <c r="B1850" s="17" t="s">
        <v>1126</v>
      </c>
      <c r="C1850" s="17" t="s">
        <v>803</v>
      </c>
      <c r="D1850" s="17" t="s">
        <v>801</v>
      </c>
      <c r="E1850" s="18">
        <v>3004640965016</v>
      </c>
      <c r="G1850" s="20" t="str">
        <f t="shared" si="84"/>
        <v xml:space="preserve"> ANSESANGULAIRES </v>
      </c>
      <c r="H1850" s="20" t="str">
        <f t="shared" si="85"/>
        <v>SATES</v>
      </c>
      <c r="I1850" s="20" t="str">
        <f t="shared" si="86"/>
        <v xml:space="preserve">S    </v>
      </c>
    </row>
    <row r="1851" spans="1:9">
      <c r="A1851" s="17" t="s">
        <v>1118</v>
      </c>
      <c r="B1851" s="17" t="s">
        <v>1126</v>
      </c>
      <c r="C1851" s="17" t="s">
        <v>804</v>
      </c>
      <c r="D1851" s="17" t="s">
        <v>801</v>
      </c>
      <c r="E1851" s="18">
        <v>3004640965047</v>
      </c>
      <c r="G1851" s="20" t="str">
        <f t="shared" si="84"/>
        <v xml:space="preserve"> ANSESANGULAIRES </v>
      </c>
      <c r="H1851" s="20" t="str">
        <f t="shared" si="85"/>
        <v>SATES</v>
      </c>
      <c r="I1851" s="20" t="str">
        <f t="shared" si="86"/>
        <v xml:space="preserve">XL   </v>
      </c>
    </row>
    <row r="1852" spans="1:9">
      <c r="A1852" s="17" t="s">
        <v>1118</v>
      </c>
      <c r="B1852" s="17" t="s">
        <v>1126</v>
      </c>
      <c r="C1852" s="17" t="s">
        <v>805</v>
      </c>
      <c r="D1852" s="17" t="s">
        <v>801</v>
      </c>
      <c r="E1852" s="18">
        <v>3004640965009</v>
      </c>
      <c r="G1852" s="20" t="str">
        <f t="shared" si="84"/>
        <v xml:space="preserve"> ANSESANGULAIRES </v>
      </c>
      <c r="H1852" s="20" t="str">
        <f t="shared" si="85"/>
        <v>SATES</v>
      </c>
      <c r="I1852" s="20" t="str">
        <f t="shared" si="86"/>
        <v xml:space="preserve">XS   </v>
      </c>
    </row>
    <row r="1853" spans="1:9">
      <c r="A1853" s="17" t="s">
        <v>1118</v>
      </c>
      <c r="B1853" s="17" t="s">
        <v>1127</v>
      </c>
      <c r="C1853" s="17" t="s">
        <v>800</v>
      </c>
      <c r="D1853" s="17" t="s">
        <v>801</v>
      </c>
      <c r="E1853" s="18">
        <v>3004640966037</v>
      </c>
      <c r="G1853" s="20" t="str">
        <f t="shared" si="84"/>
        <v xml:space="preserve"> ANSESANGULAIRES </v>
      </c>
      <c r="H1853" s="20" t="str">
        <f t="shared" si="85"/>
        <v>SAVER</v>
      </c>
      <c r="I1853" s="20" t="str">
        <f t="shared" si="86"/>
        <v xml:space="preserve">L    </v>
      </c>
    </row>
    <row r="1854" spans="1:9">
      <c r="A1854" s="17" t="s">
        <v>1118</v>
      </c>
      <c r="B1854" s="17" t="s">
        <v>1127</v>
      </c>
      <c r="C1854" s="17" t="s">
        <v>802</v>
      </c>
      <c r="D1854" s="17" t="s">
        <v>801</v>
      </c>
      <c r="E1854" s="18">
        <v>3004640966020</v>
      </c>
      <c r="G1854" s="20" t="str">
        <f t="shared" si="84"/>
        <v xml:space="preserve"> ANSESANGULAIRES </v>
      </c>
      <c r="H1854" s="20" t="str">
        <f t="shared" si="85"/>
        <v>SAVER</v>
      </c>
      <c r="I1854" s="20" t="str">
        <f t="shared" si="86"/>
        <v xml:space="preserve">M    </v>
      </c>
    </row>
    <row r="1855" spans="1:9">
      <c r="A1855" s="17" t="s">
        <v>1118</v>
      </c>
      <c r="B1855" s="17" t="s">
        <v>1127</v>
      </c>
      <c r="C1855" s="17" t="s">
        <v>803</v>
      </c>
      <c r="D1855" s="17" t="s">
        <v>801</v>
      </c>
      <c r="E1855" s="18">
        <v>3004640966013</v>
      </c>
      <c r="G1855" s="20" t="str">
        <f t="shared" si="84"/>
        <v xml:space="preserve"> ANSESANGULAIRES </v>
      </c>
      <c r="H1855" s="20" t="str">
        <f t="shared" si="85"/>
        <v>SAVER</v>
      </c>
      <c r="I1855" s="20" t="str">
        <f t="shared" si="86"/>
        <v xml:space="preserve">S    </v>
      </c>
    </row>
    <row r="1856" spans="1:9">
      <c r="A1856" s="17" t="s">
        <v>1118</v>
      </c>
      <c r="B1856" s="17" t="s">
        <v>1127</v>
      </c>
      <c r="C1856" s="17" t="s">
        <v>804</v>
      </c>
      <c r="D1856" s="17" t="s">
        <v>801</v>
      </c>
      <c r="E1856" s="18">
        <v>3004640966044</v>
      </c>
      <c r="G1856" s="20" t="str">
        <f t="shared" si="84"/>
        <v xml:space="preserve"> ANSESANGULAIRES </v>
      </c>
      <c r="H1856" s="20" t="str">
        <f t="shared" si="85"/>
        <v>SAVER</v>
      </c>
      <c r="I1856" s="20" t="str">
        <f t="shared" si="86"/>
        <v xml:space="preserve">XL   </v>
      </c>
    </row>
    <row r="1857" spans="1:9">
      <c r="A1857" s="17" t="s">
        <v>1118</v>
      </c>
      <c r="B1857" s="17" t="s">
        <v>1127</v>
      </c>
      <c r="C1857" s="17" t="s">
        <v>805</v>
      </c>
      <c r="D1857" s="17" t="s">
        <v>801</v>
      </c>
      <c r="E1857" s="18">
        <v>3004640966006</v>
      </c>
      <c r="G1857" s="20" t="str">
        <f t="shared" si="84"/>
        <v xml:space="preserve"> ANSESANGULAIRES </v>
      </c>
      <c r="H1857" s="20" t="str">
        <f t="shared" si="85"/>
        <v>SAVER</v>
      </c>
      <c r="I1857" s="20" t="str">
        <f t="shared" si="86"/>
        <v xml:space="preserve">XS   </v>
      </c>
    </row>
    <row r="1858" spans="1:9">
      <c r="A1858" s="17" t="s">
        <v>1118</v>
      </c>
      <c r="B1858" s="17" t="s">
        <v>1128</v>
      </c>
      <c r="C1858" s="17" t="s">
        <v>800</v>
      </c>
      <c r="D1858" s="17" t="s">
        <v>801</v>
      </c>
      <c r="E1858" s="18">
        <v>3004640967034</v>
      </c>
      <c r="G1858" s="20" t="str">
        <f t="shared" si="84"/>
        <v xml:space="preserve"> ANSESANGULAIRES </v>
      </c>
      <c r="H1858" s="20" t="str">
        <f t="shared" si="85"/>
        <v>SAVIO</v>
      </c>
      <c r="I1858" s="20" t="str">
        <f t="shared" si="86"/>
        <v xml:space="preserve">L    </v>
      </c>
    </row>
    <row r="1859" spans="1:9">
      <c r="A1859" s="17" t="s">
        <v>1118</v>
      </c>
      <c r="B1859" s="17" t="s">
        <v>1128</v>
      </c>
      <c r="C1859" s="17" t="s">
        <v>802</v>
      </c>
      <c r="D1859" s="17" t="s">
        <v>801</v>
      </c>
      <c r="E1859" s="18">
        <v>3004640967027</v>
      </c>
      <c r="G1859" s="20" t="str">
        <f t="shared" si="84"/>
        <v xml:space="preserve"> ANSESANGULAIRES </v>
      </c>
      <c r="H1859" s="20" t="str">
        <f t="shared" si="85"/>
        <v>SAVIO</v>
      </c>
      <c r="I1859" s="20" t="str">
        <f t="shared" si="86"/>
        <v xml:space="preserve">M    </v>
      </c>
    </row>
    <row r="1860" spans="1:9">
      <c r="A1860" s="17" t="s">
        <v>1118</v>
      </c>
      <c r="B1860" s="17" t="s">
        <v>1128</v>
      </c>
      <c r="C1860" s="17" t="s">
        <v>803</v>
      </c>
      <c r="D1860" s="17" t="s">
        <v>801</v>
      </c>
      <c r="E1860" s="18">
        <v>3004640967010</v>
      </c>
      <c r="G1860" s="20" t="str">
        <f t="shared" si="84"/>
        <v xml:space="preserve"> ANSESANGULAIRES </v>
      </c>
      <c r="H1860" s="20" t="str">
        <f t="shared" si="85"/>
        <v>SAVIO</v>
      </c>
      <c r="I1860" s="20" t="str">
        <f t="shared" si="86"/>
        <v xml:space="preserve">S    </v>
      </c>
    </row>
    <row r="1861" spans="1:9">
      <c r="A1861" s="17" t="s">
        <v>1118</v>
      </c>
      <c r="B1861" s="17" t="s">
        <v>1128</v>
      </c>
      <c r="C1861" s="17" t="s">
        <v>804</v>
      </c>
      <c r="D1861" s="17" t="s">
        <v>801</v>
      </c>
      <c r="E1861" s="18">
        <v>3004640967041</v>
      </c>
      <c r="G1861" s="20" t="str">
        <f t="shared" ref="G1861:G1924" si="87">A1861</f>
        <v xml:space="preserve"> ANSESANGULAIRES </v>
      </c>
      <c r="H1861" s="20" t="str">
        <f t="shared" ref="H1861:H1924" si="88">B1861</f>
        <v>SAVIO</v>
      </c>
      <c r="I1861" s="20" t="str">
        <f t="shared" ref="I1861:I1924" si="89">C1861</f>
        <v xml:space="preserve">XL   </v>
      </c>
    </row>
    <row r="1862" spans="1:9">
      <c r="A1862" s="17" t="s">
        <v>1118</v>
      </c>
      <c r="B1862" s="17" t="s">
        <v>1128</v>
      </c>
      <c r="C1862" s="17" t="s">
        <v>805</v>
      </c>
      <c r="D1862" s="17" t="s">
        <v>801</v>
      </c>
      <c r="E1862" s="18">
        <v>3004640967003</v>
      </c>
      <c r="G1862" s="20" t="str">
        <f t="shared" si="87"/>
        <v xml:space="preserve"> ANSESANGULAIRES </v>
      </c>
      <c r="H1862" s="20" t="str">
        <f t="shared" si="88"/>
        <v>SAVIO</v>
      </c>
      <c r="I1862" s="20" t="str">
        <f t="shared" si="89"/>
        <v xml:space="preserve">XS   </v>
      </c>
    </row>
    <row r="1863" spans="1:9">
      <c r="A1863" s="17" t="s">
        <v>1118</v>
      </c>
      <c r="B1863" s="17" t="s">
        <v>1129</v>
      </c>
      <c r="C1863" s="17" t="s">
        <v>800</v>
      </c>
      <c r="D1863" s="17" t="s">
        <v>801</v>
      </c>
      <c r="E1863" s="18">
        <v>3004640746035</v>
      </c>
      <c r="G1863" s="20" t="str">
        <f t="shared" si="87"/>
        <v xml:space="preserve"> ANSESANGULAIRES </v>
      </c>
      <c r="H1863" s="20" t="str">
        <f t="shared" si="88"/>
        <v>SUNAT</v>
      </c>
      <c r="I1863" s="20" t="str">
        <f t="shared" si="89"/>
        <v xml:space="preserve">L    </v>
      </c>
    </row>
    <row r="1864" spans="1:9">
      <c r="A1864" s="17" t="s">
        <v>1118</v>
      </c>
      <c r="B1864" s="17" t="s">
        <v>1129</v>
      </c>
      <c r="C1864" s="17" t="s">
        <v>800</v>
      </c>
      <c r="D1864" s="17" t="s">
        <v>801</v>
      </c>
      <c r="E1864" s="18">
        <v>8057014140750</v>
      </c>
      <c r="G1864" s="20" t="str">
        <f t="shared" si="87"/>
        <v xml:space="preserve"> ANSESANGULAIRES </v>
      </c>
      <c r="H1864" s="20" t="str">
        <f t="shared" si="88"/>
        <v>SUNAT</v>
      </c>
      <c r="I1864" s="20" t="str">
        <f t="shared" si="89"/>
        <v xml:space="preserve">L    </v>
      </c>
    </row>
    <row r="1865" spans="1:9">
      <c r="A1865" s="17" t="s">
        <v>1118</v>
      </c>
      <c r="B1865" s="17" t="s">
        <v>1129</v>
      </c>
      <c r="C1865" s="17" t="s">
        <v>802</v>
      </c>
      <c r="D1865" s="17" t="s">
        <v>801</v>
      </c>
      <c r="E1865" s="18">
        <v>3004640746028</v>
      </c>
      <c r="G1865" s="20" t="str">
        <f t="shared" si="87"/>
        <v xml:space="preserve"> ANSESANGULAIRES </v>
      </c>
      <c r="H1865" s="20" t="str">
        <f t="shared" si="88"/>
        <v>SUNAT</v>
      </c>
      <c r="I1865" s="20" t="str">
        <f t="shared" si="89"/>
        <v xml:space="preserve">M    </v>
      </c>
    </row>
    <row r="1866" spans="1:9">
      <c r="A1866" s="17" t="s">
        <v>1118</v>
      </c>
      <c r="B1866" s="17" t="s">
        <v>1129</v>
      </c>
      <c r="C1866" s="17" t="s">
        <v>803</v>
      </c>
      <c r="D1866" s="17" t="s">
        <v>801</v>
      </c>
      <c r="E1866" s="18">
        <v>3004640746011</v>
      </c>
      <c r="G1866" s="20" t="str">
        <f t="shared" si="87"/>
        <v xml:space="preserve"> ANSESANGULAIRES </v>
      </c>
      <c r="H1866" s="20" t="str">
        <f t="shared" si="88"/>
        <v>SUNAT</v>
      </c>
      <c r="I1866" s="20" t="str">
        <f t="shared" si="89"/>
        <v xml:space="preserve">S    </v>
      </c>
    </row>
    <row r="1867" spans="1:9">
      <c r="A1867" s="17" t="s">
        <v>1118</v>
      </c>
      <c r="B1867" s="17" t="s">
        <v>1129</v>
      </c>
      <c r="C1867" s="17" t="s">
        <v>804</v>
      </c>
      <c r="D1867" s="17" t="s">
        <v>801</v>
      </c>
      <c r="E1867" s="18">
        <v>3004640746042</v>
      </c>
      <c r="G1867" s="20" t="str">
        <f t="shared" si="87"/>
        <v xml:space="preserve"> ANSESANGULAIRES </v>
      </c>
      <c r="H1867" s="20" t="str">
        <f t="shared" si="88"/>
        <v>SUNAT</v>
      </c>
      <c r="I1867" s="20" t="str">
        <f t="shared" si="89"/>
        <v xml:space="preserve">XL   </v>
      </c>
    </row>
    <row r="1868" spans="1:9">
      <c r="A1868" s="17" t="s">
        <v>1118</v>
      </c>
      <c r="B1868" s="17" t="s">
        <v>1129</v>
      </c>
      <c r="C1868" s="17" t="s">
        <v>805</v>
      </c>
      <c r="D1868" s="17" t="s">
        <v>801</v>
      </c>
      <c r="E1868" s="18">
        <v>3004640746004</v>
      </c>
      <c r="G1868" s="20" t="str">
        <f t="shared" si="87"/>
        <v xml:space="preserve"> ANSESANGULAIRES </v>
      </c>
      <c r="H1868" s="20" t="str">
        <f t="shared" si="88"/>
        <v>SUNAT</v>
      </c>
      <c r="I1868" s="20" t="str">
        <f t="shared" si="89"/>
        <v xml:space="preserve">XS   </v>
      </c>
    </row>
    <row r="1869" spans="1:9">
      <c r="A1869" s="17" t="s">
        <v>1130</v>
      </c>
      <c r="B1869" s="17" t="s">
        <v>280</v>
      </c>
      <c r="C1869" s="17" t="s">
        <v>800</v>
      </c>
      <c r="D1869" s="17" t="s">
        <v>801</v>
      </c>
      <c r="E1869" s="18">
        <v>3005480004026</v>
      </c>
      <c r="G1869" s="20" t="str">
        <f t="shared" si="87"/>
        <v xml:space="preserve"> ANSESANGULAIREXS</v>
      </c>
      <c r="H1869" s="20" t="str">
        <f t="shared" si="88"/>
        <v>BLACK</v>
      </c>
      <c r="I1869" s="20" t="str">
        <f t="shared" si="89"/>
        <v xml:space="preserve">L    </v>
      </c>
    </row>
    <row r="1870" spans="1:9">
      <c r="A1870" s="17" t="s">
        <v>1130</v>
      </c>
      <c r="B1870" s="17" t="s">
        <v>280</v>
      </c>
      <c r="C1870" s="17" t="s">
        <v>802</v>
      </c>
      <c r="D1870" s="17" t="s">
        <v>801</v>
      </c>
      <c r="E1870" s="18">
        <v>3005480004019</v>
      </c>
      <c r="G1870" s="20" t="str">
        <f t="shared" si="87"/>
        <v xml:space="preserve"> ANSESANGULAIREXS</v>
      </c>
      <c r="H1870" s="20" t="str">
        <f t="shared" si="88"/>
        <v>BLACK</v>
      </c>
      <c r="I1870" s="20" t="str">
        <f t="shared" si="89"/>
        <v xml:space="preserve">M    </v>
      </c>
    </row>
    <row r="1871" spans="1:9">
      <c r="A1871" s="17" t="s">
        <v>1130</v>
      </c>
      <c r="B1871" s="17" t="s">
        <v>280</v>
      </c>
      <c r="C1871" s="17" t="s">
        <v>803</v>
      </c>
      <c r="D1871" s="17" t="s">
        <v>801</v>
      </c>
      <c r="E1871" s="18">
        <v>3005480004002</v>
      </c>
      <c r="G1871" s="20" t="str">
        <f t="shared" si="87"/>
        <v xml:space="preserve"> ANSESANGULAIREXS</v>
      </c>
      <c r="H1871" s="20" t="str">
        <f t="shared" si="88"/>
        <v>BLACK</v>
      </c>
      <c r="I1871" s="20" t="str">
        <f t="shared" si="89"/>
        <v xml:space="preserve">S    </v>
      </c>
    </row>
    <row r="1872" spans="1:9">
      <c r="A1872" s="17" t="s">
        <v>1130</v>
      </c>
      <c r="B1872" s="17" t="s">
        <v>280</v>
      </c>
      <c r="C1872" s="17" t="s">
        <v>804</v>
      </c>
      <c r="D1872" s="17" t="s">
        <v>801</v>
      </c>
      <c r="E1872" s="18">
        <v>3005480004033</v>
      </c>
      <c r="G1872" s="20" t="str">
        <f t="shared" si="87"/>
        <v xml:space="preserve"> ANSESANGULAIREXS</v>
      </c>
      <c r="H1872" s="20" t="str">
        <f t="shared" si="88"/>
        <v>BLACK</v>
      </c>
      <c r="I1872" s="20" t="str">
        <f t="shared" si="89"/>
        <v xml:space="preserve">XL   </v>
      </c>
    </row>
    <row r="1873" spans="1:9">
      <c r="A1873" s="17" t="s">
        <v>1130</v>
      </c>
      <c r="B1873" s="17" t="s">
        <v>810</v>
      </c>
      <c r="C1873" s="17" t="s">
        <v>800</v>
      </c>
      <c r="D1873" s="17" t="s">
        <v>801</v>
      </c>
      <c r="E1873" s="18">
        <v>3004820284029</v>
      </c>
      <c r="G1873" s="20" t="str">
        <f t="shared" si="87"/>
        <v xml:space="preserve"> ANSESANGULAIREXS</v>
      </c>
      <c r="H1873" s="20" t="str">
        <f t="shared" si="88"/>
        <v xml:space="preserve">BLUE </v>
      </c>
      <c r="I1873" s="20" t="str">
        <f t="shared" si="89"/>
        <v xml:space="preserve">L    </v>
      </c>
    </row>
    <row r="1874" spans="1:9">
      <c r="A1874" s="17" t="s">
        <v>1130</v>
      </c>
      <c r="B1874" s="17" t="s">
        <v>810</v>
      </c>
      <c r="C1874" s="17" t="s">
        <v>800</v>
      </c>
      <c r="D1874" s="17" t="s">
        <v>801</v>
      </c>
      <c r="E1874" s="18">
        <v>8056095063828</v>
      </c>
      <c r="G1874" s="20" t="str">
        <f t="shared" si="87"/>
        <v xml:space="preserve"> ANSESANGULAIREXS</v>
      </c>
      <c r="H1874" s="20" t="str">
        <f t="shared" si="88"/>
        <v xml:space="preserve">BLUE </v>
      </c>
      <c r="I1874" s="20" t="str">
        <f t="shared" si="89"/>
        <v xml:space="preserve">L    </v>
      </c>
    </row>
    <row r="1875" spans="1:9">
      <c r="A1875" s="17" t="s">
        <v>1130</v>
      </c>
      <c r="B1875" s="17" t="s">
        <v>810</v>
      </c>
      <c r="C1875" s="17" t="s">
        <v>800</v>
      </c>
      <c r="D1875" s="17" t="s">
        <v>801</v>
      </c>
      <c r="E1875" s="18">
        <v>8056099170300</v>
      </c>
      <c r="G1875" s="20" t="str">
        <f t="shared" si="87"/>
        <v xml:space="preserve"> ANSESANGULAIREXS</v>
      </c>
      <c r="H1875" s="20" t="str">
        <f t="shared" si="88"/>
        <v xml:space="preserve">BLUE </v>
      </c>
      <c r="I1875" s="20" t="str">
        <f t="shared" si="89"/>
        <v xml:space="preserve">L    </v>
      </c>
    </row>
    <row r="1876" spans="1:9">
      <c r="A1876" s="17" t="s">
        <v>1130</v>
      </c>
      <c r="B1876" s="17" t="s">
        <v>810</v>
      </c>
      <c r="C1876" s="17" t="s">
        <v>800</v>
      </c>
      <c r="D1876" s="17" t="s">
        <v>801</v>
      </c>
      <c r="E1876" s="18">
        <v>3005480319021</v>
      </c>
      <c r="G1876" s="20" t="str">
        <f t="shared" si="87"/>
        <v xml:space="preserve"> ANSESANGULAIREXS</v>
      </c>
      <c r="H1876" s="20" t="str">
        <f t="shared" si="88"/>
        <v xml:space="preserve">BLUE </v>
      </c>
      <c r="I1876" s="20" t="str">
        <f t="shared" si="89"/>
        <v xml:space="preserve">L    </v>
      </c>
    </row>
    <row r="1877" spans="1:9">
      <c r="A1877" s="17" t="s">
        <v>1130</v>
      </c>
      <c r="B1877" s="17" t="s">
        <v>810</v>
      </c>
      <c r="C1877" s="17" t="s">
        <v>802</v>
      </c>
      <c r="D1877" s="17" t="s">
        <v>801</v>
      </c>
      <c r="E1877" s="18">
        <v>3004820284012</v>
      </c>
      <c r="G1877" s="20" t="str">
        <f t="shared" si="87"/>
        <v xml:space="preserve"> ANSESANGULAIREXS</v>
      </c>
      <c r="H1877" s="20" t="str">
        <f t="shared" si="88"/>
        <v xml:space="preserve">BLUE </v>
      </c>
      <c r="I1877" s="20" t="str">
        <f t="shared" si="89"/>
        <v xml:space="preserve">M    </v>
      </c>
    </row>
    <row r="1878" spans="1:9">
      <c r="A1878" s="17" t="s">
        <v>1130</v>
      </c>
      <c r="B1878" s="17" t="s">
        <v>810</v>
      </c>
      <c r="C1878" s="17" t="s">
        <v>802</v>
      </c>
      <c r="D1878" s="17" t="s">
        <v>801</v>
      </c>
      <c r="E1878" s="18">
        <v>3005480319014</v>
      </c>
      <c r="G1878" s="20" t="str">
        <f t="shared" si="87"/>
        <v xml:space="preserve"> ANSESANGULAIREXS</v>
      </c>
      <c r="H1878" s="20" t="str">
        <f t="shared" si="88"/>
        <v xml:space="preserve">BLUE </v>
      </c>
      <c r="I1878" s="20" t="str">
        <f t="shared" si="89"/>
        <v xml:space="preserve">M    </v>
      </c>
    </row>
    <row r="1879" spans="1:9">
      <c r="A1879" s="17" t="s">
        <v>1130</v>
      </c>
      <c r="B1879" s="17" t="s">
        <v>810</v>
      </c>
      <c r="C1879" s="17" t="s">
        <v>803</v>
      </c>
      <c r="D1879" s="17" t="s">
        <v>801</v>
      </c>
      <c r="E1879" s="18">
        <v>3004820284005</v>
      </c>
      <c r="G1879" s="20" t="str">
        <f t="shared" si="87"/>
        <v xml:space="preserve"> ANSESANGULAIREXS</v>
      </c>
      <c r="H1879" s="20" t="str">
        <f t="shared" si="88"/>
        <v xml:space="preserve">BLUE </v>
      </c>
      <c r="I1879" s="20" t="str">
        <f t="shared" si="89"/>
        <v xml:space="preserve">S    </v>
      </c>
    </row>
    <row r="1880" spans="1:9">
      <c r="A1880" s="17" t="s">
        <v>1130</v>
      </c>
      <c r="B1880" s="17" t="s">
        <v>810</v>
      </c>
      <c r="C1880" s="17" t="s">
        <v>803</v>
      </c>
      <c r="D1880" s="17" t="s">
        <v>801</v>
      </c>
      <c r="E1880" s="18">
        <v>3005480319007</v>
      </c>
      <c r="G1880" s="20" t="str">
        <f t="shared" si="87"/>
        <v xml:space="preserve"> ANSESANGULAIREXS</v>
      </c>
      <c r="H1880" s="20" t="str">
        <f t="shared" si="88"/>
        <v xml:space="preserve">BLUE </v>
      </c>
      <c r="I1880" s="20" t="str">
        <f t="shared" si="89"/>
        <v xml:space="preserve">S    </v>
      </c>
    </row>
    <row r="1881" spans="1:9">
      <c r="A1881" s="17" t="s">
        <v>1130</v>
      </c>
      <c r="B1881" s="17" t="s">
        <v>810</v>
      </c>
      <c r="C1881" s="17" t="s">
        <v>804</v>
      </c>
      <c r="D1881" s="17" t="s">
        <v>801</v>
      </c>
      <c r="E1881" s="18">
        <v>3004820284036</v>
      </c>
      <c r="G1881" s="20" t="str">
        <f t="shared" si="87"/>
        <v xml:space="preserve"> ANSESANGULAIREXS</v>
      </c>
      <c r="H1881" s="20" t="str">
        <f t="shared" si="88"/>
        <v xml:space="preserve">BLUE </v>
      </c>
      <c r="I1881" s="20" t="str">
        <f t="shared" si="89"/>
        <v xml:space="preserve">XL   </v>
      </c>
    </row>
    <row r="1882" spans="1:9">
      <c r="A1882" s="17" t="s">
        <v>1130</v>
      </c>
      <c r="B1882" s="17" t="s">
        <v>810</v>
      </c>
      <c r="C1882" s="17" t="s">
        <v>804</v>
      </c>
      <c r="D1882" s="17" t="s">
        <v>801</v>
      </c>
      <c r="E1882" s="18">
        <v>3005480319038</v>
      </c>
      <c r="G1882" s="20" t="str">
        <f t="shared" si="87"/>
        <v xml:space="preserve"> ANSESANGULAIREXS</v>
      </c>
      <c r="H1882" s="20" t="str">
        <f t="shared" si="88"/>
        <v xml:space="preserve">BLUE </v>
      </c>
      <c r="I1882" s="20" t="str">
        <f t="shared" si="89"/>
        <v xml:space="preserve">XL   </v>
      </c>
    </row>
    <row r="1883" spans="1:9">
      <c r="A1883" s="17" t="s">
        <v>1130</v>
      </c>
      <c r="B1883" s="17" t="s">
        <v>891</v>
      </c>
      <c r="C1883" s="17" t="s">
        <v>800</v>
      </c>
      <c r="D1883" s="17" t="s">
        <v>801</v>
      </c>
      <c r="E1883" s="18">
        <v>8058983597071</v>
      </c>
      <c r="G1883" s="20" t="str">
        <f t="shared" si="87"/>
        <v xml:space="preserve"> ANSESANGULAIREXS</v>
      </c>
      <c r="H1883" s="20" t="str">
        <f t="shared" si="88"/>
        <v>GREEN</v>
      </c>
      <c r="I1883" s="20" t="str">
        <f t="shared" si="89"/>
        <v xml:space="preserve">L    </v>
      </c>
    </row>
    <row r="1884" spans="1:9">
      <c r="A1884" s="17" t="s">
        <v>1130</v>
      </c>
      <c r="B1884" s="17" t="s">
        <v>891</v>
      </c>
      <c r="C1884" s="17" t="s">
        <v>800</v>
      </c>
      <c r="D1884" s="17" t="s">
        <v>801</v>
      </c>
      <c r="E1884" s="18">
        <v>3005480581022</v>
      </c>
      <c r="G1884" s="20" t="str">
        <f t="shared" si="87"/>
        <v xml:space="preserve"> ANSESANGULAIREXS</v>
      </c>
      <c r="H1884" s="20" t="str">
        <f t="shared" si="88"/>
        <v>GREEN</v>
      </c>
      <c r="I1884" s="20" t="str">
        <f t="shared" si="89"/>
        <v xml:space="preserve">L    </v>
      </c>
    </row>
    <row r="1885" spans="1:9">
      <c r="A1885" s="17" t="s">
        <v>1130</v>
      </c>
      <c r="B1885" s="17" t="s">
        <v>891</v>
      </c>
      <c r="C1885" s="17" t="s">
        <v>802</v>
      </c>
      <c r="D1885" s="17" t="s">
        <v>801</v>
      </c>
      <c r="E1885" s="18">
        <v>3005480581015</v>
      </c>
      <c r="G1885" s="20" t="str">
        <f t="shared" si="87"/>
        <v xml:space="preserve"> ANSESANGULAIREXS</v>
      </c>
      <c r="H1885" s="20" t="str">
        <f t="shared" si="88"/>
        <v>GREEN</v>
      </c>
      <c r="I1885" s="20" t="str">
        <f t="shared" si="89"/>
        <v xml:space="preserve">M    </v>
      </c>
    </row>
    <row r="1886" spans="1:9">
      <c r="A1886" s="17" t="s">
        <v>1130</v>
      </c>
      <c r="B1886" s="17" t="s">
        <v>891</v>
      </c>
      <c r="C1886" s="17" t="s">
        <v>803</v>
      </c>
      <c r="D1886" s="17" t="s">
        <v>801</v>
      </c>
      <c r="E1886" s="18">
        <v>8058983597118</v>
      </c>
      <c r="G1886" s="20" t="str">
        <f t="shared" si="87"/>
        <v xml:space="preserve"> ANSESANGULAIREXS</v>
      </c>
      <c r="H1886" s="20" t="str">
        <f t="shared" si="88"/>
        <v>GREEN</v>
      </c>
      <c r="I1886" s="20" t="str">
        <f t="shared" si="89"/>
        <v xml:space="preserve">S    </v>
      </c>
    </row>
    <row r="1887" spans="1:9">
      <c r="A1887" s="17" t="s">
        <v>1130</v>
      </c>
      <c r="B1887" s="17" t="s">
        <v>891</v>
      </c>
      <c r="C1887" s="17" t="s">
        <v>803</v>
      </c>
      <c r="D1887" s="17" t="s">
        <v>801</v>
      </c>
      <c r="E1887" s="18">
        <v>3005480581008</v>
      </c>
      <c r="G1887" s="20" t="str">
        <f t="shared" si="87"/>
        <v xml:space="preserve"> ANSESANGULAIREXS</v>
      </c>
      <c r="H1887" s="20" t="str">
        <f t="shared" si="88"/>
        <v>GREEN</v>
      </c>
      <c r="I1887" s="20" t="str">
        <f t="shared" si="89"/>
        <v xml:space="preserve">S    </v>
      </c>
    </row>
    <row r="1888" spans="1:9">
      <c r="A1888" s="17" t="s">
        <v>1130</v>
      </c>
      <c r="B1888" s="17" t="s">
        <v>891</v>
      </c>
      <c r="C1888" s="17" t="s">
        <v>804</v>
      </c>
      <c r="D1888" s="17" t="s">
        <v>801</v>
      </c>
      <c r="E1888" s="18">
        <v>3005480581039</v>
      </c>
      <c r="G1888" s="20" t="str">
        <f t="shared" si="87"/>
        <v xml:space="preserve"> ANSESANGULAIREXS</v>
      </c>
      <c r="H1888" s="20" t="str">
        <f t="shared" si="88"/>
        <v>GREEN</v>
      </c>
      <c r="I1888" s="20" t="str">
        <f t="shared" si="89"/>
        <v xml:space="preserve">XL   </v>
      </c>
    </row>
    <row r="1889" spans="1:9">
      <c r="A1889" s="17" t="s">
        <v>1130</v>
      </c>
      <c r="B1889" s="17" t="s">
        <v>858</v>
      </c>
      <c r="C1889" s="17" t="s">
        <v>800</v>
      </c>
      <c r="D1889" s="17" t="s">
        <v>801</v>
      </c>
      <c r="E1889" s="18">
        <v>3005480002022</v>
      </c>
      <c r="G1889" s="20" t="str">
        <f t="shared" si="87"/>
        <v xml:space="preserve"> ANSESANGULAIREXS</v>
      </c>
      <c r="H1889" s="20" t="str">
        <f t="shared" si="88"/>
        <v xml:space="preserve">GREY </v>
      </c>
      <c r="I1889" s="20" t="str">
        <f t="shared" si="89"/>
        <v xml:space="preserve">L    </v>
      </c>
    </row>
    <row r="1890" spans="1:9">
      <c r="A1890" s="17" t="s">
        <v>1130</v>
      </c>
      <c r="B1890" s="17" t="s">
        <v>858</v>
      </c>
      <c r="C1890" s="17" t="s">
        <v>802</v>
      </c>
      <c r="D1890" s="17" t="s">
        <v>801</v>
      </c>
      <c r="E1890" s="18">
        <v>3005480002015</v>
      </c>
      <c r="G1890" s="20" t="str">
        <f t="shared" si="87"/>
        <v xml:space="preserve"> ANSESANGULAIREXS</v>
      </c>
      <c r="H1890" s="20" t="str">
        <f t="shared" si="88"/>
        <v xml:space="preserve">GREY </v>
      </c>
      <c r="I1890" s="20" t="str">
        <f t="shared" si="89"/>
        <v xml:space="preserve">M    </v>
      </c>
    </row>
    <row r="1891" spans="1:9">
      <c r="A1891" s="17" t="s">
        <v>1130</v>
      </c>
      <c r="B1891" s="17" t="s">
        <v>858</v>
      </c>
      <c r="C1891" s="17" t="s">
        <v>803</v>
      </c>
      <c r="D1891" s="17" t="s">
        <v>801</v>
      </c>
      <c r="E1891" s="18">
        <v>3005480002008</v>
      </c>
      <c r="G1891" s="20" t="str">
        <f t="shared" si="87"/>
        <v xml:space="preserve"> ANSESANGULAIREXS</v>
      </c>
      <c r="H1891" s="20" t="str">
        <f t="shared" si="88"/>
        <v xml:space="preserve">GREY </v>
      </c>
      <c r="I1891" s="20" t="str">
        <f t="shared" si="89"/>
        <v xml:space="preserve">S    </v>
      </c>
    </row>
    <row r="1892" spans="1:9">
      <c r="A1892" s="17" t="s">
        <v>1130</v>
      </c>
      <c r="B1892" s="17" t="s">
        <v>858</v>
      </c>
      <c r="C1892" s="17" t="s">
        <v>804</v>
      </c>
      <c r="D1892" s="17" t="s">
        <v>801</v>
      </c>
      <c r="E1892" s="18">
        <v>3005480002039</v>
      </c>
      <c r="G1892" s="20" t="str">
        <f t="shared" si="87"/>
        <v xml:space="preserve"> ANSESANGULAIREXS</v>
      </c>
      <c r="H1892" s="20" t="str">
        <f t="shared" si="88"/>
        <v xml:space="preserve">GREY </v>
      </c>
      <c r="I1892" s="20" t="str">
        <f t="shared" si="89"/>
        <v xml:space="preserve">XL   </v>
      </c>
    </row>
    <row r="1893" spans="1:9">
      <c r="A1893" s="17" t="s">
        <v>1130</v>
      </c>
      <c r="B1893" s="17" t="s">
        <v>978</v>
      </c>
      <c r="C1893" s="17" t="s">
        <v>800</v>
      </c>
      <c r="D1893" s="17" t="s">
        <v>801</v>
      </c>
      <c r="E1893" s="18">
        <v>3004821000024</v>
      </c>
      <c r="G1893" s="20" t="str">
        <f t="shared" si="87"/>
        <v xml:space="preserve"> ANSESANGULAIREXS</v>
      </c>
      <c r="H1893" s="20" t="str">
        <f t="shared" si="88"/>
        <v>GRIGI</v>
      </c>
      <c r="I1893" s="20" t="str">
        <f t="shared" si="89"/>
        <v xml:space="preserve">L    </v>
      </c>
    </row>
    <row r="1894" spans="1:9">
      <c r="A1894" s="17" t="s">
        <v>1130</v>
      </c>
      <c r="B1894" s="17" t="s">
        <v>978</v>
      </c>
      <c r="C1894" s="17" t="s">
        <v>800</v>
      </c>
      <c r="D1894" s="17" t="s">
        <v>801</v>
      </c>
      <c r="E1894" s="18">
        <v>8056095063842</v>
      </c>
      <c r="G1894" s="20" t="str">
        <f t="shared" si="87"/>
        <v xml:space="preserve"> ANSESANGULAIREXS</v>
      </c>
      <c r="H1894" s="20" t="str">
        <f t="shared" si="88"/>
        <v>GRIGI</v>
      </c>
      <c r="I1894" s="20" t="str">
        <f t="shared" si="89"/>
        <v xml:space="preserve">L    </v>
      </c>
    </row>
    <row r="1895" spans="1:9">
      <c r="A1895" s="17" t="s">
        <v>1130</v>
      </c>
      <c r="B1895" s="17" t="s">
        <v>978</v>
      </c>
      <c r="C1895" s="17" t="s">
        <v>802</v>
      </c>
      <c r="D1895" s="17" t="s">
        <v>801</v>
      </c>
      <c r="E1895" s="18">
        <v>3004821000017</v>
      </c>
      <c r="G1895" s="20" t="str">
        <f t="shared" si="87"/>
        <v xml:space="preserve"> ANSESANGULAIREXS</v>
      </c>
      <c r="H1895" s="20" t="str">
        <f t="shared" si="88"/>
        <v>GRIGI</v>
      </c>
      <c r="I1895" s="20" t="str">
        <f t="shared" si="89"/>
        <v xml:space="preserve">M    </v>
      </c>
    </row>
    <row r="1896" spans="1:9">
      <c r="A1896" s="17" t="s">
        <v>1130</v>
      </c>
      <c r="B1896" s="17" t="s">
        <v>978</v>
      </c>
      <c r="C1896" s="17" t="s">
        <v>803</v>
      </c>
      <c r="D1896" s="17" t="s">
        <v>801</v>
      </c>
      <c r="E1896" s="18">
        <v>3004821000000</v>
      </c>
      <c r="G1896" s="20" t="str">
        <f t="shared" si="87"/>
        <v xml:space="preserve"> ANSESANGULAIREXS</v>
      </c>
      <c r="H1896" s="20" t="str">
        <f t="shared" si="88"/>
        <v>GRIGI</v>
      </c>
      <c r="I1896" s="20" t="str">
        <f t="shared" si="89"/>
        <v xml:space="preserve">S    </v>
      </c>
    </row>
    <row r="1897" spans="1:9">
      <c r="A1897" s="17" t="s">
        <v>1130</v>
      </c>
      <c r="B1897" s="17" t="s">
        <v>978</v>
      </c>
      <c r="C1897" s="17" t="s">
        <v>804</v>
      </c>
      <c r="D1897" s="17" t="s">
        <v>801</v>
      </c>
      <c r="E1897" s="18">
        <v>3004821000031</v>
      </c>
      <c r="G1897" s="20" t="str">
        <f t="shared" si="87"/>
        <v xml:space="preserve"> ANSESANGULAIREXS</v>
      </c>
      <c r="H1897" s="20" t="str">
        <f t="shared" si="88"/>
        <v>GRIGI</v>
      </c>
      <c r="I1897" s="20" t="str">
        <f t="shared" si="89"/>
        <v xml:space="preserve">XL   </v>
      </c>
    </row>
    <row r="1898" spans="1:9">
      <c r="A1898" s="17" t="s">
        <v>1130</v>
      </c>
      <c r="B1898" s="17" t="s">
        <v>838</v>
      </c>
      <c r="C1898" s="17" t="s">
        <v>800</v>
      </c>
      <c r="D1898" s="17" t="s">
        <v>801</v>
      </c>
      <c r="E1898" s="18">
        <v>3004820497023</v>
      </c>
      <c r="G1898" s="20" t="str">
        <f t="shared" si="87"/>
        <v xml:space="preserve"> ANSESANGULAIREXS</v>
      </c>
      <c r="H1898" s="20" t="str">
        <f t="shared" si="88"/>
        <v>IVOIR</v>
      </c>
      <c r="I1898" s="20" t="str">
        <f t="shared" si="89"/>
        <v xml:space="preserve">L    </v>
      </c>
    </row>
    <row r="1899" spans="1:9">
      <c r="A1899" s="17" t="s">
        <v>1130</v>
      </c>
      <c r="B1899" s="17" t="s">
        <v>838</v>
      </c>
      <c r="C1899" s="17" t="s">
        <v>800</v>
      </c>
      <c r="D1899" s="17" t="s">
        <v>801</v>
      </c>
      <c r="E1899" s="18">
        <v>8056095065228</v>
      </c>
      <c r="G1899" s="20" t="str">
        <f t="shared" si="87"/>
        <v xml:space="preserve"> ANSESANGULAIREXS</v>
      </c>
      <c r="H1899" s="20" t="str">
        <f t="shared" si="88"/>
        <v>IVOIR</v>
      </c>
      <c r="I1899" s="20" t="str">
        <f t="shared" si="89"/>
        <v xml:space="preserve">L    </v>
      </c>
    </row>
    <row r="1900" spans="1:9">
      <c r="A1900" s="17" t="s">
        <v>1130</v>
      </c>
      <c r="B1900" s="17" t="s">
        <v>838</v>
      </c>
      <c r="C1900" s="17" t="s">
        <v>802</v>
      </c>
      <c r="D1900" s="17" t="s">
        <v>801</v>
      </c>
      <c r="E1900" s="18">
        <v>3004820497016</v>
      </c>
      <c r="G1900" s="20" t="str">
        <f t="shared" si="87"/>
        <v xml:space="preserve"> ANSESANGULAIREXS</v>
      </c>
      <c r="H1900" s="20" t="str">
        <f t="shared" si="88"/>
        <v>IVOIR</v>
      </c>
      <c r="I1900" s="20" t="str">
        <f t="shared" si="89"/>
        <v xml:space="preserve">M    </v>
      </c>
    </row>
    <row r="1901" spans="1:9">
      <c r="A1901" s="17" t="s">
        <v>1130</v>
      </c>
      <c r="B1901" s="17" t="s">
        <v>838</v>
      </c>
      <c r="C1901" s="17" t="s">
        <v>803</v>
      </c>
      <c r="D1901" s="17" t="s">
        <v>801</v>
      </c>
      <c r="E1901" s="18">
        <v>3004820497009</v>
      </c>
      <c r="G1901" s="20" t="str">
        <f t="shared" si="87"/>
        <v xml:space="preserve"> ANSESANGULAIREXS</v>
      </c>
      <c r="H1901" s="20" t="str">
        <f t="shared" si="88"/>
        <v>IVOIR</v>
      </c>
      <c r="I1901" s="20" t="str">
        <f t="shared" si="89"/>
        <v xml:space="preserve">S    </v>
      </c>
    </row>
    <row r="1902" spans="1:9">
      <c r="A1902" s="17" t="s">
        <v>1130</v>
      </c>
      <c r="B1902" s="17" t="s">
        <v>838</v>
      </c>
      <c r="C1902" s="17" t="s">
        <v>804</v>
      </c>
      <c r="D1902" s="17" t="s">
        <v>801</v>
      </c>
      <c r="E1902" s="18">
        <v>3004820497030</v>
      </c>
      <c r="G1902" s="20" t="str">
        <f t="shared" si="87"/>
        <v xml:space="preserve"> ANSESANGULAIREXS</v>
      </c>
      <c r="H1902" s="20" t="str">
        <f t="shared" si="88"/>
        <v>IVOIR</v>
      </c>
      <c r="I1902" s="20" t="str">
        <f t="shared" si="89"/>
        <v xml:space="preserve">XL   </v>
      </c>
    </row>
    <row r="1903" spans="1:9">
      <c r="A1903" s="17" t="s">
        <v>1130</v>
      </c>
      <c r="B1903" s="17" t="s">
        <v>1131</v>
      </c>
      <c r="C1903" s="17" t="s">
        <v>800</v>
      </c>
      <c r="D1903" s="17" t="s">
        <v>801</v>
      </c>
      <c r="E1903" s="18">
        <v>3004821028028</v>
      </c>
      <c r="G1903" s="20" t="str">
        <f t="shared" si="87"/>
        <v xml:space="preserve"> ANSESANGULAIREXS</v>
      </c>
      <c r="H1903" s="20" t="str">
        <f t="shared" si="88"/>
        <v>MABLU</v>
      </c>
      <c r="I1903" s="20" t="str">
        <f t="shared" si="89"/>
        <v xml:space="preserve">L    </v>
      </c>
    </row>
    <row r="1904" spans="1:9">
      <c r="A1904" s="17" t="s">
        <v>1130</v>
      </c>
      <c r="B1904" s="17" t="s">
        <v>1131</v>
      </c>
      <c r="C1904" s="17" t="s">
        <v>800</v>
      </c>
      <c r="D1904" s="17" t="s">
        <v>801</v>
      </c>
      <c r="E1904" s="18">
        <v>8056300454663</v>
      </c>
      <c r="G1904" s="20" t="str">
        <f t="shared" si="87"/>
        <v xml:space="preserve"> ANSESANGULAIREXS</v>
      </c>
      <c r="H1904" s="20" t="str">
        <f t="shared" si="88"/>
        <v>MABLU</v>
      </c>
      <c r="I1904" s="20" t="str">
        <f t="shared" si="89"/>
        <v xml:space="preserve">L    </v>
      </c>
    </row>
    <row r="1905" spans="1:9">
      <c r="A1905" s="17" t="s">
        <v>1130</v>
      </c>
      <c r="B1905" s="17" t="s">
        <v>1131</v>
      </c>
      <c r="C1905" s="17" t="s">
        <v>802</v>
      </c>
      <c r="D1905" s="17" t="s">
        <v>801</v>
      </c>
      <c r="E1905" s="18">
        <v>3004821028011</v>
      </c>
      <c r="G1905" s="20" t="str">
        <f t="shared" si="87"/>
        <v xml:space="preserve"> ANSESANGULAIREXS</v>
      </c>
      <c r="H1905" s="20" t="str">
        <f t="shared" si="88"/>
        <v>MABLU</v>
      </c>
      <c r="I1905" s="20" t="str">
        <f t="shared" si="89"/>
        <v xml:space="preserve">M    </v>
      </c>
    </row>
    <row r="1906" spans="1:9">
      <c r="A1906" s="17" t="s">
        <v>1130</v>
      </c>
      <c r="B1906" s="17" t="s">
        <v>1131</v>
      </c>
      <c r="C1906" s="17" t="s">
        <v>802</v>
      </c>
      <c r="D1906" s="17" t="s">
        <v>801</v>
      </c>
      <c r="E1906" s="18">
        <v>3005481028014</v>
      </c>
      <c r="G1906" s="20" t="str">
        <f t="shared" si="87"/>
        <v xml:space="preserve"> ANSESANGULAIREXS</v>
      </c>
      <c r="H1906" s="20" t="str">
        <f t="shared" si="88"/>
        <v>MABLU</v>
      </c>
      <c r="I1906" s="20" t="str">
        <f t="shared" si="89"/>
        <v xml:space="preserve">M    </v>
      </c>
    </row>
    <row r="1907" spans="1:9">
      <c r="A1907" s="17" t="s">
        <v>1130</v>
      </c>
      <c r="B1907" s="17" t="s">
        <v>1131</v>
      </c>
      <c r="C1907" s="17" t="s">
        <v>803</v>
      </c>
      <c r="D1907" s="17" t="s">
        <v>801</v>
      </c>
      <c r="E1907" s="18">
        <v>3004821028004</v>
      </c>
      <c r="G1907" s="20" t="str">
        <f t="shared" si="87"/>
        <v xml:space="preserve"> ANSESANGULAIREXS</v>
      </c>
      <c r="H1907" s="20" t="str">
        <f t="shared" si="88"/>
        <v>MABLU</v>
      </c>
      <c r="I1907" s="20" t="str">
        <f t="shared" si="89"/>
        <v xml:space="preserve">S    </v>
      </c>
    </row>
    <row r="1908" spans="1:9">
      <c r="A1908" s="17" t="s">
        <v>1130</v>
      </c>
      <c r="B1908" s="17" t="s">
        <v>1131</v>
      </c>
      <c r="C1908" s="17" t="s">
        <v>803</v>
      </c>
      <c r="D1908" s="17" t="s">
        <v>801</v>
      </c>
      <c r="E1908" s="18">
        <v>3005481028007</v>
      </c>
      <c r="G1908" s="20" t="str">
        <f t="shared" si="87"/>
        <v xml:space="preserve"> ANSESANGULAIREXS</v>
      </c>
      <c r="H1908" s="20" t="str">
        <f t="shared" si="88"/>
        <v>MABLU</v>
      </c>
      <c r="I1908" s="20" t="str">
        <f t="shared" si="89"/>
        <v xml:space="preserve">S    </v>
      </c>
    </row>
    <row r="1909" spans="1:9">
      <c r="A1909" s="17" t="s">
        <v>1130</v>
      </c>
      <c r="B1909" s="17" t="s">
        <v>1131</v>
      </c>
      <c r="C1909" s="17" t="s">
        <v>804</v>
      </c>
      <c r="D1909" s="17" t="s">
        <v>801</v>
      </c>
      <c r="E1909" s="18">
        <v>3004821028035</v>
      </c>
      <c r="G1909" s="20" t="str">
        <f t="shared" si="87"/>
        <v xml:space="preserve"> ANSESANGULAIREXS</v>
      </c>
      <c r="H1909" s="20" t="str">
        <f t="shared" si="88"/>
        <v>MABLU</v>
      </c>
      <c r="I1909" s="20" t="str">
        <f t="shared" si="89"/>
        <v xml:space="preserve">XL   </v>
      </c>
    </row>
    <row r="1910" spans="1:9">
      <c r="A1910" s="17" t="s">
        <v>1130</v>
      </c>
      <c r="B1910" s="17" t="s">
        <v>1131</v>
      </c>
      <c r="C1910" s="17" t="s">
        <v>804</v>
      </c>
      <c r="D1910" s="17" t="s">
        <v>801</v>
      </c>
      <c r="E1910" s="18">
        <v>3005481028038</v>
      </c>
      <c r="G1910" s="20" t="str">
        <f t="shared" si="87"/>
        <v xml:space="preserve"> ANSESANGULAIREXS</v>
      </c>
      <c r="H1910" s="20" t="str">
        <f t="shared" si="88"/>
        <v>MABLU</v>
      </c>
      <c r="I1910" s="20" t="str">
        <f t="shared" si="89"/>
        <v xml:space="preserve">XL   </v>
      </c>
    </row>
    <row r="1911" spans="1:9">
      <c r="A1911" s="17" t="s">
        <v>1130</v>
      </c>
      <c r="B1911" s="17" t="s">
        <v>1132</v>
      </c>
      <c r="C1911" s="17" t="s">
        <v>800</v>
      </c>
      <c r="D1911" s="17" t="s">
        <v>801</v>
      </c>
      <c r="E1911" s="18">
        <v>3004821027021</v>
      </c>
      <c r="G1911" s="20" t="str">
        <f t="shared" si="87"/>
        <v xml:space="preserve"> ANSESANGULAIREXS</v>
      </c>
      <c r="H1911" s="20" t="str">
        <f t="shared" si="88"/>
        <v>MAGRI</v>
      </c>
      <c r="I1911" s="20" t="str">
        <f t="shared" si="89"/>
        <v xml:space="preserve">L    </v>
      </c>
    </row>
    <row r="1912" spans="1:9">
      <c r="A1912" s="17" t="s">
        <v>1130</v>
      </c>
      <c r="B1912" s="17" t="s">
        <v>1132</v>
      </c>
      <c r="C1912" s="17" t="s">
        <v>800</v>
      </c>
      <c r="D1912" s="17" t="s">
        <v>801</v>
      </c>
      <c r="E1912" s="18">
        <v>8056300454656</v>
      </c>
      <c r="G1912" s="20" t="str">
        <f t="shared" si="87"/>
        <v xml:space="preserve"> ANSESANGULAIREXS</v>
      </c>
      <c r="H1912" s="20" t="str">
        <f t="shared" si="88"/>
        <v>MAGRI</v>
      </c>
      <c r="I1912" s="20" t="str">
        <f t="shared" si="89"/>
        <v xml:space="preserve">L    </v>
      </c>
    </row>
    <row r="1913" spans="1:9">
      <c r="A1913" s="17" t="s">
        <v>1130</v>
      </c>
      <c r="B1913" s="17" t="s">
        <v>1132</v>
      </c>
      <c r="C1913" s="17" t="s">
        <v>802</v>
      </c>
      <c r="D1913" s="17" t="s">
        <v>801</v>
      </c>
      <c r="E1913" s="18">
        <v>3004821027014</v>
      </c>
      <c r="G1913" s="20" t="str">
        <f t="shared" si="87"/>
        <v xml:space="preserve"> ANSESANGULAIREXS</v>
      </c>
      <c r="H1913" s="20" t="str">
        <f t="shared" si="88"/>
        <v>MAGRI</v>
      </c>
      <c r="I1913" s="20" t="str">
        <f t="shared" si="89"/>
        <v xml:space="preserve">M    </v>
      </c>
    </row>
    <row r="1914" spans="1:9">
      <c r="A1914" s="17" t="s">
        <v>1130</v>
      </c>
      <c r="B1914" s="17" t="s">
        <v>1132</v>
      </c>
      <c r="C1914" s="17" t="s">
        <v>802</v>
      </c>
      <c r="D1914" s="17" t="s">
        <v>801</v>
      </c>
      <c r="E1914" s="18">
        <v>3005481027017</v>
      </c>
      <c r="G1914" s="20" t="str">
        <f t="shared" si="87"/>
        <v xml:space="preserve"> ANSESANGULAIREXS</v>
      </c>
      <c r="H1914" s="20" t="str">
        <f t="shared" si="88"/>
        <v>MAGRI</v>
      </c>
      <c r="I1914" s="20" t="str">
        <f t="shared" si="89"/>
        <v xml:space="preserve">M    </v>
      </c>
    </row>
    <row r="1915" spans="1:9">
      <c r="A1915" s="17" t="s">
        <v>1130</v>
      </c>
      <c r="B1915" s="17" t="s">
        <v>1132</v>
      </c>
      <c r="C1915" s="17" t="s">
        <v>803</v>
      </c>
      <c r="D1915" s="17" t="s">
        <v>801</v>
      </c>
      <c r="E1915" s="18">
        <v>3004821027007</v>
      </c>
      <c r="G1915" s="20" t="str">
        <f t="shared" si="87"/>
        <v xml:space="preserve"> ANSESANGULAIREXS</v>
      </c>
      <c r="H1915" s="20" t="str">
        <f t="shared" si="88"/>
        <v>MAGRI</v>
      </c>
      <c r="I1915" s="20" t="str">
        <f t="shared" si="89"/>
        <v xml:space="preserve">S    </v>
      </c>
    </row>
    <row r="1916" spans="1:9">
      <c r="A1916" s="17" t="s">
        <v>1130</v>
      </c>
      <c r="B1916" s="17" t="s">
        <v>1132</v>
      </c>
      <c r="C1916" s="17" t="s">
        <v>803</v>
      </c>
      <c r="D1916" s="17" t="s">
        <v>801</v>
      </c>
      <c r="E1916" s="18">
        <v>3005481027000</v>
      </c>
      <c r="G1916" s="20" t="str">
        <f t="shared" si="87"/>
        <v xml:space="preserve"> ANSESANGULAIREXS</v>
      </c>
      <c r="H1916" s="20" t="str">
        <f t="shared" si="88"/>
        <v>MAGRI</v>
      </c>
      <c r="I1916" s="20" t="str">
        <f t="shared" si="89"/>
        <v xml:space="preserve">S    </v>
      </c>
    </row>
    <row r="1917" spans="1:9">
      <c r="A1917" s="17" t="s">
        <v>1130</v>
      </c>
      <c r="B1917" s="17" t="s">
        <v>1132</v>
      </c>
      <c r="C1917" s="17" t="s">
        <v>804</v>
      </c>
      <c r="D1917" s="17" t="s">
        <v>801</v>
      </c>
      <c r="E1917" s="18">
        <v>3004821027038</v>
      </c>
      <c r="G1917" s="20" t="str">
        <f t="shared" si="87"/>
        <v xml:space="preserve"> ANSESANGULAIREXS</v>
      </c>
      <c r="H1917" s="20" t="str">
        <f t="shared" si="88"/>
        <v>MAGRI</v>
      </c>
      <c r="I1917" s="20" t="str">
        <f t="shared" si="89"/>
        <v xml:space="preserve">XL   </v>
      </c>
    </row>
    <row r="1918" spans="1:9">
      <c r="A1918" s="17" t="s">
        <v>1130</v>
      </c>
      <c r="B1918" s="17" t="s">
        <v>1132</v>
      </c>
      <c r="C1918" s="17" t="s">
        <v>804</v>
      </c>
      <c r="D1918" s="17" t="s">
        <v>801</v>
      </c>
      <c r="E1918" s="18">
        <v>3005481027031</v>
      </c>
      <c r="G1918" s="20" t="str">
        <f t="shared" si="87"/>
        <v xml:space="preserve"> ANSESANGULAIREXS</v>
      </c>
      <c r="H1918" s="20" t="str">
        <f t="shared" si="88"/>
        <v>MAGRI</v>
      </c>
      <c r="I1918" s="20" t="str">
        <f t="shared" si="89"/>
        <v xml:space="preserve">XL   </v>
      </c>
    </row>
    <row r="1919" spans="1:9">
      <c r="A1919" s="17" t="s">
        <v>1130</v>
      </c>
      <c r="B1919" s="17" t="s">
        <v>1133</v>
      </c>
      <c r="C1919" s="17" t="s">
        <v>800</v>
      </c>
      <c r="D1919" s="17" t="s">
        <v>801</v>
      </c>
      <c r="E1919" s="18">
        <v>3004821030021</v>
      </c>
      <c r="G1919" s="20" t="str">
        <f t="shared" si="87"/>
        <v xml:space="preserve"> ANSESANGULAIREXS</v>
      </c>
      <c r="H1919" s="20" t="str">
        <f t="shared" si="88"/>
        <v>MANOC</v>
      </c>
      <c r="I1919" s="20" t="str">
        <f t="shared" si="89"/>
        <v xml:space="preserve">L    </v>
      </c>
    </row>
    <row r="1920" spans="1:9">
      <c r="A1920" s="17" t="s">
        <v>1130</v>
      </c>
      <c r="B1920" s="17" t="s">
        <v>1133</v>
      </c>
      <c r="C1920" s="17" t="s">
        <v>800</v>
      </c>
      <c r="D1920" s="17" t="s">
        <v>801</v>
      </c>
      <c r="E1920" s="18">
        <v>8056300454687</v>
      </c>
      <c r="G1920" s="20" t="str">
        <f t="shared" si="87"/>
        <v xml:space="preserve"> ANSESANGULAIREXS</v>
      </c>
      <c r="H1920" s="20" t="str">
        <f t="shared" si="88"/>
        <v>MANOC</v>
      </c>
      <c r="I1920" s="20" t="str">
        <f t="shared" si="89"/>
        <v xml:space="preserve">L    </v>
      </c>
    </row>
    <row r="1921" spans="1:9">
      <c r="A1921" s="17" t="s">
        <v>1130</v>
      </c>
      <c r="B1921" s="17" t="s">
        <v>1133</v>
      </c>
      <c r="C1921" s="17" t="s">
        <v>802</v>
      </c>
      <c r="D1921" s="17" t="s">
        <v>801</v>
      </c>
      <c r="E1921" s="18">
        <v>3004821030014</v>
      </c>
      <c r="G1921" s="20" t="str">
        <f t="shared" si="87"/>
        <v xml:space="preserve"> ANSESANGULAIREXS</v>
      </c>
      <c r="H1921" s="20" t="str">
        <f t="shared" si="88"/>
        <v>MANOC</v>
      </c>
      <c r="I1921" s="20" t="str">
        <f t="shared" si="89"/>
        <v xml:space="preserve">M    </v>
      </c>
    </row>
    <row r="1922" spans="1:9">
      <c r="A1922" s="17" t="s">
        <v>1130</v>
      </c>
      <c r="B1922" s="17" t="s">
        <v>1133</v>
      </c>
      <c r="C1922" s="17" t="s">
        <v>802</v>
      </c>
      <c r="D1922" s="17" t="s">
        <v>801</v>
      </c>
      <c r="E1922" s="18">
        <v>3005481030017</v>
      </c>
      <c r="G1922" s="20" t="str">
        <f t="shared" si="87"/>
        <v xml:space="preserve"> ANSESANGULAIREXS</v>
      </c>
      <c r="H1922" s="20" t="str">
        <f t="shared" si="88"/>
        <v>MANOC</v>
      </c>
      <c r="I1922" s="20" t="str">
        <f t="shared" si="89"/>
        <v xml:space="preserve">M    </v>
      </c>
    </row>
    <row r="1923" spans="1:9">
      <c r="A1923" s="17" t="s">
        <v>1130</v>
      </c>
      <c r="B1923" s="17" t="s">
        <v>1133</v>
      </c>
      <c r="C1923" s="17" t="s">
        <v>803</v>
      </c>
      <c r="D1923" s="17" t="s">
        <v>801</v>
      </c>
      <c r="E1923" s="18">
        <v>3004821030007</v>
      </c>
      <c r="G1923" s="20" t="str">
        <f t="shared" si="87"/>
        <v xml:space="preserve"> ANSESANGULAIREXS</v>
      </c>
      <c r="H1923" s="20" t="str">
        <f t="shared" si="88"/>
        <v>MANOC</v>
      </c>
      <c r="I1923" s="20" t="str">
        <f t="shared" si="89"/>
        <v xml:space="preserve">S    </v>
      </c>
    </row>
    <row r="1924" spans="1:9">
      <c r="A1924" s="17" t="s">
        <v>1130</v>
      </c>
      <c r="B1924" s="17" t="s">
        <v>1133</v>
      </c>
      <c r="C1924" s="17" t="s">
        <v>803</v>
      </c>
      <c r="D1924" s="17" t="s">
        <v>801</v>
      </c>
      <c r="E1924" s="18">
        <v>3005481030000</v>
      </c>
      <c r="G1924" s="20" t="str">
        <f t="shared" si="87"/>
        <v xml:space="preserve"> ANSESANGULAIREXS</v>
      </c>
      <c r="H1924" s="20" t="str">
        <f t="shared" si="88"/>
        <v>MANOC</v>
      </c>
      <c r="I1924" s="20" t="str">
        <f t="shared" si="89"/>
        <v xml:space="preserve">S    </v>
      </c>
    </row>
    <row r="1925" spans="1:9">
      <c r="A1925" s="17" t="s">
        <v>1130</v>
      </c>
      <c r="B1925" s="17" t="s">
        <v>1133</v>
      </c>
      <c r="C1925" s="17" t="s">
        <v>804</v>
      </c>
      <c r="D1925" s="17" t="s">
        <v>801</v>
      </c>
      <c r="E1925" s="18">
        <v>3004821030038</v>
      </c>
      <c r="G1925" s="20" t="str">
        <f t="shared" ref="G1925:G1988" si="90">A1925</f>
        <v xml:space="preserve"> ANSESANGULAIREXS</v>
      </c>
      <c r="H1925" s="20" t="str">
        <f t="shared" ref="H1925:H1988" si="91">B1925</f>
        <v>MANOC</v>
      </c>
      <c r="I1925" s="20" t="str">
        <f t="shared" ref="I1925:I1988" si="92">C1925</f>
        <v xml:space="preserve">XL   </v>
      </c>
    </row>
    <row r="1926" spans="1:9">
      <c r="A1926" s="17" t="s">
        <v>1130</v>
      </c>
      <c r="B1926" s="17" t="s">
        <v>1133</v>
      </c>
      <c r="C1926" s="17" t="s">
        <v>804</v>
      </c>
      <c r="D1926" s="17" t="s">
        <v>801</v>
      </c>
      <c r="E1926" s="18">
        <v>3005481030031</v>
      </c>
      <c r="G1926" s="20" t="str">
        <f t="shared" si="90"/>
        <v xml:space="preserve"> ANSESANGULAIREXS</v>
      </c>
      <c r="H1926" s="20" t="str">
        <f t="shared" si="91"/>
        <v>MANOC</v>
      </c>
      <c r="I1926" s="20" t="str">
        <f t="shared" si="92"/>
        <v xml:space="preserve">XL   </v>
      </c>
    </row>
    <row r="1927" spans="1:9">
      <c r="A1927" s="17" t="s">
        <v>1130</v>
      </c>
      <c r="B1927" s="17" t="s">
        <v>1134</v>
      </c>
      <c r="C1927" s="17" t="s">
        <v>800</v>
      </c>
      <c r="D1927" s="17" t="s">
        <v>801</v>
      </c>
      <c r="E1927" s="18">
        <v>3004821029025</v>
      </c>
      <c r="G1927" s="20" t="str">
        <f t="shared" si="90"/>
        <v xml:space="preserve"> ANSESANGULAIREXS</v>
      </c>
      <c r="H1927" s="20" t="str">
        <f t="shared" si="91"/>
        <v>MATER</v>
      </c>
      <c r="I1927" s="20" t="str">
        <f t="shared" si="92"/>
        <v xml:space="preserve">L    </v>
      </c>
    </row>
    <row r="1928" spans="1:9">
      <c r="A1928" s="17" t="s">
        <v>1130</v>
      </c>
      <c r="B1928" s="17" t="s">
        <v>1134</v>
      </c>
      <c r="C1928" s="17" t="s">
        <v>800</v>
      </c>
      <c r="D1928" s="17" t="s">
        <v>801</v>
      </c>
      <c r="E1928" s="18">
        <v>8056300454670</v>
      </c>
      <c r="G1928" s="20" t="str">
        <f t="shared" si="90"/>
        <v xml:space="preserve"> ANSESANGULAIREXS</v>
      </c>
      <c r="H1928" s="20" t="str">
        <f t="shared" si="91"/>
        <v>MATER</v>
      </c>
      <c r="I1928" s="20" t="str">
        <f t="shared" si="92"/>
        <v xml:space="preserve">L    </v>
      </c>
    </row>
    <row r="1929" spans="1:9">
      <c r="A1929" s="17" t="s">
        <v>1130</v>
      </c>
      <c r="B1929" s="17" t="s">
        <v>1134</v>
      </c>
      <c r="C1929" s="17" t="s">
        <v>802</v>
      </c>
      <c r="D1929" s="17" t="s">
        <v>801</v>
      </c>
      <c r="E1929" s="18">
        <v>3004821029018</v>
      </c>
      <c r="G1929" s="20" t="str">
        <f t="shared" si="90"/>
        <v xml:space="preserve"> ANSESANGULAIREXS</v>
      </c>
      <c r="H1929" s="20" t="str">
        <f t="shared" si="91"/>
        <v>MATER</v>
      </c>
      <c r="I1929" s="20" t="str">
        <f t="shared" si="92"/>
        <v xml:space="preserve">M    </v>
      </c>
    </row>
    <row r="1930" spans="1:9">
      <c r="A1930" s="17" t="s">
        <v>1130</v>
      </c>
      <c r="B1930" s="17" t="s">
        <v>1134</v>
      </c>
      <c r="C1930" s="17" t="s">
        <v>802</v>
      </c>
      <c r="D1930" s="17" t="s">
        <v>801</v>
      </c>
      <c r="E1930" s="18">
        <v>3005481029011</v>
      </c>
      <c r="G1930" s="20" t="str">
        <f t="shared" si="90"/>
        <v xml:space="preserve"> ANSESANGULAIREXS</v>
      </c>
      <c r="H1930" s="20" t="str">
        <f t="shared" si="91"/>
        <v>MATER</v>
      </c>
      <c r="I1930" s="20" t="str">
        <f t="shared" si="92"/>
        <v xml:space="preserve">M    </v>
      </c>
    </row>
    <row r="1931" spans="1:9">
      <c r="A1931" s="17" t="s">
        <v>1130</v>
      </c>
      <c r="B1931" s="17" t="s">
        <v>1134</v>
      </c>
      <c r="C1931" s="17" t="s">
        <v>803</v>
      </c>
      <c r="D1931" s="17" t="s">
        <v>801</v>
      </c>
      <c r="E1931" s="18">
        <v>3005481029004</v>
      </c>
      <c r="G1931" s="20" t="str">
        <f t="shared" si="90"/>
        <v xml:space="preserve"> ANSESANGULAIREXS</v>
      </c>
      <c r="H1931" s="20" t="str">
        <f t="shared" si="91"/>
        <v>MATER</v>
      </c>
      <c r="I1931" s="20" t="str">
        <f t="shared" si="92"/>
        <v xml:space="preserve">S    </v>
      </c>
    </row>
    <row r="1932" spans="1:9">
      <c r="A1932" s="17" t="s">
        <v>1130</v>
      </c>
      <c r="B1932" s="17" t="s">
        <v>1134</v>
      </c>
      <c r="C1932" s="17" t="s">
        <v>803</v>
      </c>
      <c r="D1932" s="17" t="s">
        <v>801</v>
      </c>
      <c r="E1932" s="18">
        <v>3004821029001</v>
      </c>
      <c r="G1932" s="20" t="str">
        <f t="shared" si="90"/>
        <v xml:space="preserve"> ANSESANGULAIREXS</v>
      </c>
      <c r="H1932" s="20" t="str">
        <f t="shared" si="91"/>
        <v>MATER</v>
      </c>
      <c r="I1932" s="20" t="str">
        <f t="shared" si="92"/>
        <v xml:space="preserve">S    </v>
      </c>
    </row>
    <row r="1933" spans="1:9">
      <c r="A1933" s="17" t="s">
        <v>1130</v>
      </c>
      <c r="B1933" s="17" t="s">
        <v>1134</v>
      </c>
      <c r="C1933" s="17" t="s">
        <v>804</v>
      </c>
      <c r="D1933" s="17" t="s">
        <v>801</v>
      </c>
      <c r="E1933" s="18">
        <v>3005481029035</v>
      </c>
      <c r="G1933" s="20" t="str">
        <f t="shared" si="90"/>
        <v xml:space="preserve"> ANSESANGULAIREXS</v>
      </c>
      <c r="H1933" s="20" t="str">
        <f t="shared" si="91"/>
        <v>MATER</v>
      </c>
      <c r="I1933" s="20" t="str">
        <f t="shared" si="92"/>
        <v xml:space="preserve">XL   </v>
      </c>
    </row>
    <row r="1934" spans="1:9">
      <c r="A1934" s="17" t="s">
        <v>1130</v>
      </c>
      <c r="B1934" s="17" t="s">
        <v>1134</v>
      </c>
      <c r="C1934" s="17" t="s">
        <v>804</v>
      </c>
      <c r="D1934" s="17" t="s">
        <v>801</v>
      </c>
      <c r="E1934" s="18">
        <v>3004821029032</v>
      </c>
      <c r="G1934" s="20" t="str">
        <f t="shared" si="90"/>
        <v xml:space="preserve"> ANSESANGULAIREXS</v>
      </c>
      <c r="H1934" s="20" t="str">
        <f t="shared" si="91"/>
        <v>MATER</v>
      </c>
      <c r="I1934" s="20" t="str">
        <f t="shared" si="92"/>
        <v xml:space="preserve">XL   </v>
      </c>
    </row>
    <row r="1935" spans="1:9">
      <c r="A1935" s="17" t="s">
        <v>1130</v>
      </c>
      <c r="B1935" s="17" t="s">
        <v>859</v>
      </c>
      <c r="C1935" s="17" t="s">
        <v>800</v>
      </c>
      <c r="D1935" s="17" t="s">
        <v>801</v>
      </c>
      <c r="E1935" s="18">
        <v>3005480598020</v>
      </c>
      <c r="G1935" s="20" t="str">
        <f t="shared" si="90"/>
        <v xml:space="preserve"> ANSESANGULAIREXS</v>
      </c>
      <c r="H1935" s="20" t="str">
        <f t="shared" si="91"/>
        <v>NATUR</v>
      </c>
      <c r="I1935" s="20" t="str">
        <f t="shared" si="92"/>
        <v xml:space="preserve">L    </v>
      </c>
    </row>
    <row r="1936" spans="1:9">
      <c r="A1936" s="17" t="s">
        <v>1130</v>
      </c>
      <c r="B1936" s="17" t="s">
        <v>859</v>
      </c>
      <c r="C1936" s="17" t="s">
        <v>802</v>
      </c>
      <c r="D1936" s="17" t="s">
        <v>801</v>
      </c>
      <c r="E1936" s="18">
        <v>3005480598013</v>
      </c>
      <c r="G1936" s="20" t="str">
        <f t="shared" si="90"/>
        <v xml:space="preserve"> ANSESANGULAIREXS</v>
      </c>
      <c r="H1936" s="20" t="str">
        <f t="shared" si="91"/>
        <v>NATUR</v>
      </c>
      <c r="I1936" s="20" t="str">
        <f t="shared" si="92"/>
        <v xml:space="preserve">M    </v>
      </c>
    </row>
    <row r="1937" spans="1:9">
      <c r="A1937" s="17" t="s">
        <v>1130</v>
      </c>
      <c r="B1937" s="17" t="s">
        <v>859</v>
      </c>
      <c r="C1937" s="17" t="s">
        <v>803</v>
      </c>
      <c r="D1937" s="17" t="s">
        <v>801</v>
      </c>
      <c r="E1937" s="18">
        <v>8057014140705</v>
      </c>
      <c r="G1937" s="20" t="str">
        <f t="shared" si="90"/>
        <v xml:space="preserve"> ANSESANGULAIREXS</v>
      </c>
      <c r="H1937" s="20" t="str">
        <f t="shared" si="91"/>
        <v>NATUR</v>
      </c>
      <c r="I1937" s="20" t="str">
        <f t="shared" si="92"/>
        <v xml:space="preserve">S    </v>
      </c>
    </row>
    <row r="1938" spans="1:9">
      <c r="A1938" s="17" t="s">
        <v>1130</v>
      </c>
      <c r="B1938" s="17" t="s">
        <v>859</v>
      </c>
      <c r="C1938" s="17" t="s">
        <v>803</v>
      </c>
      <c r="D1938" s="17" t="s">
        <v>801</v>
      </c>
      <c r="E1938" s="18">
        <v>3005480598006</v>
      </c>
      <c r="G1938" s="20" t="str">
        <f t="shared" si="90"/>
        <v xml:space="preserve"> ANSESANGULAIREXS</v>
      </c>
      <c r="H1938" s="20" t="str">
        <f t="shared" si="91"/>
        <v>NATUR</v>
      </c>
      <c r="I1938" s="20" t="str">
        <f t="shared" si="92"/>
        <v xml:space="preserve">S    </v>
      </c>
    </row>
    <row r="1939" spans="1:9">
      <c r="A1939" s="17" t="s">
        <v>1130</v>
      </c>
      <c r="B1939" s="17" t="s">
        <v>859</v>
      </c>
      <c r="C1939" s="17" t="s">
        <v>804</v>
      </c>
      <c r="D1939" s="17" t="s">
        <v>801</v>
      </c>
      <c r="E1939" s="18">
        <v>3005480598037</v>
      </c>
      <c r="G1939" s="20" t="str">
        <f t="shared" si="90"/>
        <v xml:space="preserve"> ANSESANGULAIREXS</v>
      </c>
      <c r="H1939" s="20" t="str">
        <f t="shared" si="91"/>
        <v>NATUR</v>
      </c>
      <c r="I1939" s="20" t="str">
        <f t="shared" si="92"/>
        <v xml:space="preserve">XL   </v>
      </c>
    </row>
    <row r="1940" spans="1:9">
      <c r="A1940" s="17" t="s">
        <v>1130</v>
      </c>
      <c r="B1940" s="17" t="s">
        <v>1135</v>
      </c>
      <c r="C1940" s="17" t="s">
        <v>800</v>
      </c>
      <c r="D1940" s="17" t="s">
        <v>801</v>
      </c>
      <c r="E1940" s="18">
        <v>3005480688028</v>
      </c>
      <c r="G1940" s="20" t="str">
        <f t="shared" si="90"/>
        <v xml:space="preserve"> ANSESANGULAIREXS</v>
      </c>
      <c r="H1940" s="20" t="str">
        <f t="shared" si="91"/>
        <v xml:space="preserve">NOCE </v>
      </c>
      <c r="I1940" s="20" t="str">
        <f t="shared" si="92"/>
        <v xml:space="preserve">L    </v>
      </c>
    </row>
    <row r="1941" spans="1:9">
      <c r="A1941" s="17" t="s">
        <v>1130</v>
      </c>
      <c r="B1941" s="17" t="s">
        <v>1135</v>
      </c>
      <c r="C1941" s="17" t="s">
        <v>802</v>
      </c>
      <c r="D1941" s="17" t="s">
        <v>801</v>
      </c>
      <c r="E1941" s="18">
        <v>3005480688011</v>
      </c>
      <c r="G1941" s="20" t="str">
        <f t="shared" si="90"/>
        <v xml:space="preserve"> ANSESANGULAIREXS</v>
      </c>
      <c r="H1941" s="20" t="str">
        <f t="shared" si="91"/>
        <v xml:space="preserve">NOCE </v>
      </c>
      <c r="I1941" s="20" t="str">
        <f t="shared" si="92"/>
        <v xml:space="preserve">M    </v>
      </c>
    </row>
    <row r="1942" spans="1:9">
      <c r="A1942" s="17" t="s">
        <v>1130</v>
      </c>
      <c r="B1942" s="17" t="s">
        <v>1135</v>
      </c>
      <c r="C1942" s="17" t="s">
        <v>803</v>
      </c>
      <c r="D1942" s="17" t="s">
        <v>801</v>
      </c>
      <c r="E1942" s="18">
        <v>3005480688004</v>
      </c>
      <c r="G1942" s="20" t="str">
        <f t="shared" si="90"/>
        <v xml:space="preserve"> ANSESANGULAIREXS</v>
      </c>
      <c r="H1942" s="20" t="str">
        <f t="shared" si="91"/>
        <v xml:space="preserve">NOCE </v>
      </c>
      <c r="I1942" s="20" t="str">
        <f t="shared" si="92"/>
        <v xml:space="preserve">S    </v>
      </c>
    </row>
    <row r="1943" spans="1:9">
      <c r="A1943" s="17" t="s">
        <v>1130</v>
      </c>
      <c r="B1943" s="17" t="s">
        <v>1135</v>
      </c>
      <c r="C1943" s="17" t="s">
        <v>804</v>
      </c>
      <c r="D1943" s="17" t="s">
        <v>801</v>
      </c>
      <c r="E1943" s="18">
        <v>3005480688035</v>
      </c>
      <c r="G1943" s="20" t="str">
        <f t="shared" si="90"/>
        <v xml:space="preserve"> ANSESANGULAIREXS</v>
      </c>
      <c r="H1943" s="20" t="str">
        <f t="shared" si="91"/>
        <v xml:space="preserve">NOCE </v>
      </c>
      <c r="I1943" s="20" t="str">
        <f t="shared" si="92"/>
        <v xml:space="preserve">XL   </v>
      </c>
    </row>
    <row r="1944" spans="1:9">
      <c r="A1944" s="17" t="s">
        <v>1130</v>
      </c>
      <c r="B1944" s="17" t="s">
        <v>971</v>
      </c>
      <c r="C1944" s="17" t="s">
        <v>800</v>
      </c>
      <c r="D1944" s="17" t="s">
        <v>801</v>
      </c>
      <c r="E1944" s="18">
        <v>8058983597057</v>
      </c>
      <c r="G1944" s="20" t="str">
        <f t="shared" si="90"/>
        <v xml:space="preserve"> ANSESANGULAIREXS</v>
      </c>
      <c r="H1944" s="20" t="str">
        <f t="shared" si="91"/>
        <v>OTTAN</v>
      </c>
      <c r="I1944" s="20" t="str">
        <f t="shared" si="92"/>
        <v xml:space="preserve">L    </v>
      </c>
    </row>
    <row r="1945" spans="1:9">
      <c r="A1945" s="17" t="s">
        <v>1130</v>
      </c>
      <c r="B1945" s="17" t="s">
        <v>971</v>
      </c>
      <c r="C1945" s="17" t="s">
        <v>800</v>
      </c>
      <c r="D1945" s="17" t="s">
        <v>801</v>
      </c>
      <c r="E1945" s="18">
        <v>3005480394028</v>
      </c>
      <c r="G1945" s="20" t="str">
        <f t="shared" si="90"/>
        <v xml:space="preserve"> ANSESANGULAIREXS</v>
      </c>
      <c r="H1945" s="20" t="str">
        <f t="shared" si="91"/>
        <v>OTTAN</v>
      </c>
      <c r="I1945" s="20" t="str">
        <f t="shared" si="92"/>
        <v xml:space="preserve">L    </v>
      </c>
    </row>
    <row r="1946" spans="1:9">
      <c r="A1946" s="17" t="s">
        <v>1130</v>
      </c>
      <c r="B1946" s="17" t="s">
        <v>971</v>
      </c>
      <c r="C1946" s="17" t="s">
        <v>802</v>
      </c>
      <c r="D1946" s="17" t="s">
        <v>801</v>
      </c>
      <c r="E1946" s="18">
        <v>3005480394011</v>
      </c>
      <c r="G1946" s="20" t="str">
        <f t="shared" si="90"/>
        <v xml:space="preserve"> ANSESANGULAIREXS</v>
      </c>
      <c r="H1946" s="20" t="str">
        <f t="shared" si="91"/>
        <v>OTTAN</v>
      </c>
      <c r="I1946" s="20" t="str">
        <f t="shared" si="92"/>
        <v xml:space="preserve">M    </v>
      </c>
    </row>
    <row r="1947" spans="1:9">
      <c r="A1947" s="17" t="s">
        <v>1130</v>
      </c>
      <c r="B1947" s="17" t="s">
        <v>971</v>
      </c>
      <c r="C1947" s="17" t="s">
        <v>803</v>
      </c>
      <c r="D1947" s="17" t="s">
        <v>801</v>
      </c>
      <c r="E1947" s="18">
        <v>8058983597095</v>
      </c>
      <c r="G1947" s="20" t="str">
        <f t="shared" si="90"/>
        <v xml:space="preserve"> ANSESANGULAIREXS</v>
      </c>
      <c r="H1947" s="20" t="str">
        <f t="shared" si="91"/>
        <v>OTTAN</v>
      </c>
      <c r="I1947" s="20" t="str">
        <f t="shared" si="92"/>
        <v xml:space="preserve">S    </v>
      </c>
    </row>
    <row r="1948" spans="1:9">
      <c r="A1948" s="17" t="s">
        <v>1130</v>
      </c>
      <c r="B1948" s="17" t="s">
        <v>971</v>
      </c>
      <c r="C1948" s="17" t="s">
        <v>803</v>
      </c>
      <c r="D1948" s="17" t="s">
        <v>801</v>
      </c>
      <c r="E1948" s="18">
        <v>3005480394004</v>
      </c>
      <c r="G1948" s="20" t="str">
        <f t="shared" si="90"/>
        <v xml:space="preserve"> ANSESANGULAIREXS</v>
      </c>
      <c r="H1948" s="20" t="str">
        <f t="shared" si="91"/>
        <v>OTTAN</v>
      </c>
      <c r="I1948" s="20" t="str">
        <f t="shared" si="92"/>
        <v xml:space="preserve">S    </v>
      </c>
    </row>
    <row r="1949" spans="1:9">
      <c r="A1949" s="17" t="s">
        <v>1130</v>
      </c>
      <c r="B1949" s="17" t="s">
        <v>971</v>
      </c>
      <c r="C1949" s="17" t="s">
        <v>804</v>
      </c>
      <c r="D1949" s="17" t="s">
        <v>801</v>
      </c>
      <c r="E1949" s="18">
        <v>3005480394035</v>
      </c>
      <c r="G1949" s="20" t="str">
        <f t="shared" si="90"/>
        <v xml:space="preserve"> ANSESANGULAIREXS</v>
      </c>
      <c r="H1949" s="20" t="str">
        <f t="shared" si="91"/>
        <v>OTTAN</v>
      </c>
      <c r="I1949" s="20" t="str">
        <f t="shared" si="92"/>
        <v xml:space="preserve">XL   </v>
      </c>
    </row>
    <row r="1950" spans="1:9">
      <c r="A1950" s="17" t="s">
        <v>1130</v>
      </c>
      <c r="B1950" s="17" t="s">
        <v>283</v>
      </c>
      <c r="C1950" s="17" t="s">
        <v>800</v>
      </c>
      <c r="D1950" s="17" t="s">
        <v>801</v>
      </c>
      <c r="E1950" s="18">
        <v>3005480573027</v>
      </c>
      <c r="G1950" s="20" t="str">
        <f t="shared" si="90"/>
        <v xml:space="preserve"> ANSESANGULAIREXS</v>
      </c>
      <c r="H1950" s="20" t="str">
        <f t="shared" si="91"/>
        <v>PHARD</v>
      </c>
      <c r="I1950" s="20" t="str">
        <f t="shared" si="92"/>
        <v xml:space="preserve">L    </v>
      </c>
    </row>
    <row r="1951" spans="1:9">
      <c r="A1951" s="17" t="s">
        <v>1130</v>
      </c>
      <c r="B1951" s="17" t="s">
        <v>283</v>
      </c>
      <c r="C1951" s="17" t="s">
        <v>802</v>
      </c>
      <c r="D1951" s="17" t="s">
        <v>801</v>
      </c>
      <c r="E1951" s="18">
        <v>3005480573010</v>
      </c>
      <c r="G1951" s="20" t="str">
        <f t="shared" si="90"/>
        <v xml:space="preserve"> ANSESANGULAIREXS</v>
      </c>
      <c r="H1951" s="20" t="str">
        <f t="shared" si="91"/>
        <v>PHARD</v>
      </c>
      <c r="I1951" s="20" t="str">
        <f t="shared" si="92"/>
        <v xml:space="preserve">M    </v>
      </c>
    </row>
    <row r="1952" spans="1:9">
      <c r="A1952" s="17" t="s">
        <v>1130</v>
      </c>
      <c r="B1952" s="17" t="s">
        <v>283</v>
      </c>
      <c r="C1952" s="17" t="s">
        <v>803</v>
      </c>
      <c r="D1952" s="17" t="s">
        <v>801</v>
      </c>
      <c r="E1952" s="18">
        <v>3005480573003</v>
      </c>
      <c r="G1952" s="20" t="str">
        <f t="shared" si="90"/>
        <v xml:space="preserve"> ANSESANGULAIREXS</v>
      </c>
      <c r="H1952" s="20" t="str">
        <f t="shared" si="91"/>
        <v>PHARD</v>
      </c>
      <c r="I1952" s="20" t="str">
        <f t="shared" si="92"/>
        <v xml:space="preserve">S    </v>
      </c>
    </row>
    <row r="1953" spans="1:9">
      <c r="A1953" s="17" t="s">
        <v>1130</v>
      </c>
      <c r="B1953" s="17" t="s">
        <v>283</v>
      </c>
      <c r="C1953" s="17" t="s">
        <v>804</v>
      </c>
      <c r="D1953" s="17" t="s">
        <v>801</v>
      </c>
      <c r="E1953" s="18">
        <v>3005480573034</v>
      </c>
      <c r="G1953" s="20" t="str">
        <f t="shared" si="90"/>
        <v xml:space="preserve"> ANSESANGULAIREXS</v>
      </c>
      <c r="H1953" s="20" t="str">
        <f t="shared" si="91"/>
        <v>PHARD</v>
      </c>
      <c r="I1953" s="20" t="str">
        <f t="shared" si="92"/>
        <v xml:space="preserve">XL   </v>
      </c>
    </row>
    <row r="1954" spans="1:9">
      <c r="A1954" s="17" t="s">
        <v>1130</v>
      </c>
      <c r="B1954" s="17" t="s">
        <v>816</v>
      </c>
      <c r="C1954" s="17" t="s">
        <v>800</v>
      </c>
      <c r="D1954" s="17" t="s">
        <v>801</v>
      </c>
      <c r="E1954" s="18">
        <v>8056099170287</v>
      </c>
      <c r="G1954" s="20" t="str">
        <f t="shared" si="90"/>
        <v xml:space="preserve"> ANSESANGULAIREXS</v>
      </c>
      <c r="H1954" s="20" t="str">
        <f t="shared" si="91"/>
        <v xml:space="preserve">RED  </v>
      </c>
      <c r="I1954" s="20" t="str">
        <f t="shared" si="92"/>
        <v xml:space="preserve">L    </v>
      </c>
    </row>
    <row r="1955" spans="1:9">
      <c r="A1955" s="17" t="s">
        <v>1130</v>
      </c>
      <c r="B1955" s="17" t="s">
        <v>816</v>
      </c>
      <c r="C1955" s="17" t="s">
        <v>802</v>
      </c>
      <c r="D1955" s="17" t="s">
        <v>801</v>
      </c>
      <c r="E1955" s="18">
        <v>3004820395015</v>
      </c>
      <c r="G1955" s="20" t="str">
        <f t="shared" si="90"/>
        <v xml:space="preserve"> ANSESANGULAIREXS</v>
      </c>
      <c r="H1955" s="20" t="str">
        <f t="shared" si="91"/>
        <v xml:space="preserve">RED  </v>
      </c>
      <c r="I1955" s="20" t="str">
        <f t="shared" si="92"/>
        <v xml:space="preserve">M    </v>
      </c>
    </row>
    <row r="1956" spans="1:9">
      <c r="A1956" s="17" t="s">
        <v>1130</v>
      </c>
      <c r="B1956" s="17" t="s">
        <v>816</v>
      </c>
      <c r="C1956" s="17" t="s">
        <v>803</v>
      </c>
      <c r="D1956" s="17" t="s">
        <v>801</v>
      </c>
      <c r="E1956" s="18">
        <v>3004820395008</v>
      </c>
      <c r="G1956" s="20" t="str">
        <f t="shared" si="90"/>
        <v xml:space="preserve"> ANSESANGULAIREXS</v>
      </c>
      <c r="H1956" s="20" t="str">
        <f t="shared" si="91"/>
        <v xml:space="preserve">RED  </v>
      </c>
      <c r="I1956" s="20" t="str">
        <f t="shared" si="92"/>
        <v xml:space="preserve">S    </v>
      </c>
    </row>
    <row r="1957" spans="1:9">
      <c r="A1957" s="17" t="s">
        <v>1130</v>
      </c>
      <c r="B1957" s="17" t="s">
        <v>816</v>
      </c>
      <c r="C1957" s="17" t="s">
        <v>804</v>
      </c>
      <c r="D1957" s="17" t="s">
        <v>801</v>
      </c>
      <c r="E1957" s="18">
        <v>3004820395039</v>
      </c>
      <c r="G1957" s="20" t="str">
        <f t="shared" si="90"/>
        <v xml:space="preserve"> ANSESANGULAIREXS</v>
      </c>
      <c r="H1957" s="20" t="str">
        <f t="shared" si="91"/>
        <v xml:space="preserve">RED  </v>
      </c>
      <c r="I1957" s="20" t="str">
        <f t="shared" si="92"/>
        <v xml:space="preserve">XL   </v>
      </c>
    </row>
    <row r="1958" spans="1:9">
      <c r="A1958" s="17" t="s">
        <v>1130</v>
      </c>
      <c r="B1958" s="17" t="s">
        <v>1034</v>
      </c>
      <c r="C1958" s="17" t="s">
        <v>800</v>
      </c>
      <c r="D1958" s="17" t="s">
        <v>801</v>
      </c>
      <c r="E1958" s="18">
        <v>3004820828025</v>
      </c>
      <c r="G1958" s="20" t="str">
        <f t="shared" si="90"/>
        <v xml:space="preserve"> ANSESANGULAIREXS</v>
      </c>
      <c r="H1958" s="20" t="str">
        <f t="shared" si="91"/>
        <v>TAUPE</v>
      </c>
      <c r="I1958" s="20" t="str">
        <f t="shared" si="92"/>
        <v xml:space="preserve">L    </v>
      </c>
    </row>
    <row r="1959" spans="1:9">
      <c r="A1959" s="17" t="s">
        <v>1130</v>
      </c>
      <c r="B1959" s="17" t="s">
        <v>1034</v>
      </c>
      <c r="C1959" s="17" t="s">
        <v>800</v>
      </c>
      <c r="D1959" s="17" t="s">
        <v>801</v>
      </c>
      <c r="E1959" s="18">
        <v>8056095065235</v>
      </c>
      <c r="G1959" s="20" t="str">
        <f t="shared" si="90"/>
        <v xml:space="preserve"> ANSESANGULAIREXS</v>
      </c>
      <c r="H1959" s="20" t="str">
        <f t="shared" si="91"/>
        <v>TAUPE</v>
      </c>
      <c r="I1959" s="20" t="str">
        <f t="shared" si="92"/>
        <v xml:space="preserve">L    </v>
      </c>
    </row>
    <row r="1960" spans="1:9">
      <c r="A1960" s="17" t="s">
        <v>1130</v>
      </c>
      <c r="B1960" s="17" t="s">
        <v>1034</v>
      </c>
      <c r="C1960" s="17" t="s">
        <v>802</v>
      </c>
      <c r="D1960" s="17" t="s">
        <v>801</v>
      </c>
      <c r="E1960" s="18">
        <v>3004820828018</v>
      </c>
      <c r="G1960" s="20" t="str">
        <f t="shared" si="90"/>
        <v xml:space="preserve"> ANSESANGULAIREXS</v>
      </c>
      <c r="H1960" s="20" t="str">
        <f t="shared" si="91"/>
        <v>TAUPE</v>
      </c>
      <c r="I1960" s="20" t="str">
        <f t="shared" si="92"/>
        <v xml:space="preserve">M    </v>
      </c>
    </row>
    <row r="1961" spans="1:9">
      <c r="A1961" s="17" t="s">
        <v>1130</v>
      </c>
      <c r="B1961" s="17" t="s">
        <v>1034</v>
      </c>
      <c r="C1961" s="17" t="s">
        <v>803</v>
      </c>
      <c r="D1961" s="17" t="s">
        <v>801</v>
      </c>
      <c r="E1961" s="18">
        <v>3004820828001</v>
      </c>
      <c r="G1961" s="20" t="str">
        <f t="shared" si="90"/>
        <v xml:space="preserve"> ANSESANGULAIREXS</v>
      </c>
      <c r="H1961" s="20" t="str">
        <f t="shared" si="91"/>
        <v>TAUPE</v>
      </c>
      <c r="I1961" s="20" t="str">
        <f t="shared" si="92"/>
        <v xml:space="preserve">S    </v>
      </c>
    </row>
    <row r="1962" spans="1:9">
      <c r="A1962" s="17" t="s">
        <v>1130</v>
      </c>
      <c r="B1962" s="17" t="s">
        <v>1034</v>
      </c>
      <c r="C1962" s="17" t="s">
        <v>804</v>
      </c>
      <c r="D1962" s="17" t="s">
        <v>801</v>
      </c>
      <c r="E1962" s="18">
        <v>3004820828032</v>
      </c>
      <c r="G1962" s="20" t="str">
        <f t="shared" si="90"/>
        <v xml:space="preserve"> ANSESANGULAIREXS</v>
      </c>
      <c r="H1962" s="20" t="str">
        <f t="shared" si="91"/>
        <v>TAUPE</v>
      </c>
      <c r="I1962" s="20" t="str">
        <f t="shared" si="92"/>
        <v xml:space="preserve">XL   </v>
      </c>
    </row>
    <row r="1963" spans="1:9">
      <c r="A1963" s="17" t="s">
        <v>1130</v>
      </c>
      <c r="B1963" s="17" t="s">
        <v>1080</v>
      </c>
      <c r="C1963" s="17" t="s">
        <v>800</v>
      </c>
      <c r="D1963" s="17" t="s">
        <v>801</v>
      </c>
      <c r="E1963" s="18">
        <v>3005480687021</v>
      </c>
      <c r="G1963" s="20" t="str">
        <f t="shared" si="90"/>
        <v xml:space="preserve"> ANSESANGULAIREXS</v>
      </c>
      <c r="H1963" s="20" t="str">
        <f t="shared" si="91"/>
        <v>TERRA</v>
      </c>
      <c r="I1963" s="20" t="str">
        <f t="shared" si="92"/>
        <v xml:space="preserve">L    </v>
      </c>
    </row>
    <row r="1964" spans="1:9">
      <c r="A1964" s="17" t="s">
        <v>1130</v>
      </c>
      <c r="B1964" s="17" t="s">
        <v>1080</v>
      </c>
      <c r="C1964" s="17" t="s">
        <v>800</v>
      </c>
      <c r="D1964" s="17" t="s">
        <v>801</v>
      </c>
      <c r="E1964" s="18">
        <v>3004821074025</v>
      </c>
      <c r="G1964" s="20" t="str">
        <f t="shared" si="90"/>
        <v xml:space="preserve"> ANSESANGULAIREXS</v>
      </c>
      <c r="H1964" s="20" t="str">
        <f t="shared" si="91"/>
        <v>TERRA</v>
      </c>
      <c r="I1964" s="20" t="str">
        <f t="shared" si="92"/>
        <v xml:space="preserve">L    </v>
      </c>
    </row>
    <row r="1965" spans="1:9">
      <c r="A1965" s="17" t="s">
        <v>1130</v>
      </c>
      <c r="B1965" s="17" t="s">
        <v>1080</v>
      </c>
      <c r="C1965" s="17" t="s">
        <v>800</v>
      </c>
      <c r="D1965" s="17" t="s">
        <v>801</v>
      </c>
      <c r="E1965" s="18">
        <v>8056095063835</v>
      </c>
      <c r="G1965" s="20" t="str">
        <f t="shared" si="90"/>
        <v xml:space="preserve"> ANSESANGULAIREXS</v>
      </c>
      <c r="H1965" s="20" t="str">
        <f t="shared" si="91"/>
        <v>TERRA</v>
      </c>
      <c r="I1965" s="20" t="str">
        <f t="shared" si="92"/>
        <v xml:space="preserve">L    </v>
      </c>
    </row>
    <row r="1966" spans="1:9">
      <c r="A1966" s="17" t="s">
        <v>1130</v>
      </c>
      <c r="B1966" s="17" t="s">
        <v>1080</v>
      </c>
      <c r="C1966" s="17" t="s">
        <v>802</v>
      </c>
      <c r="D1966" s="17" t="s">
        <v>801</v>
      </c>
      <c r="E1966" s="18">
        <v>3005480687014</v>
      </c>
      <c r="G1966" s="20" t="str">
        <f t="shared" si="90"/>
        <v xml:space="preserve"> ANSESANGULAIREXS</v>
      </c>
      <c r="H1966" s="20" t="str">
        <f t="shared" si="91"/>
        <v>TERRA</v>
      </c>
      <c r="I1966" s="20" t="str">
        <f t="shared" si="92"/>
        <v xml:space="preserve">M    </v>
      </c>
    </row>
    <row r="1967" spans="1:9">
      <c r="A1967" s="17" t="s">
        <v>1130</v>
      </c>
      <c r="B1967" s="17" t="s">
        <v>1080</v>
      </c>
      <c r="C1967" s="17" t="s">
        <v>802</v>
      </c>
      <c r="D1967" s="17" t="s">
        <v>801</v>
      </c>
      <c r="E1967" s="18">
        <v>3004821074018</v>
      </c>
      <c r="G1967" s="20" t="str">
        <f t="shared" si="90"/>
        <v xml:space="preserve"> ANSESANGULAIREXS</v>
      </c>
      <c r="H1967" s="20" t="str">
        <f t="shared" si="91"/>
        <v>TERRA</v>
      </c>
      <c r="I1967" s="20" t="str">
        <f t="shared" si="92"/>
        <v xml:space="preserve">M    </v>
      </c>
    </row>
    <row r="1968" spans="1:9">
      <c r="A1968" s="17" t="s">
        <v>1130</v>
      </c>
      <c r="B1968" s="17" t="s">
        <v>1080</v>
      </c>
      <c r="C1968" s="17" t="s">
        <v>803</v>
      </c>
      <c r="D1968" s="17" t="s">
        <v>801</v>
      </c>
      <c r="E1968" s="18">
        <v>3005480687007</v>
      </c>
      <c r="G1968" s="20" t="str">
        <f t="shared" si="90"/>
        <v xml:space="preserve"> ANSESANGULAIREXS</v>
      </c>
      <c r="H1968" s="20" t="str">
        <f t="shared" si="91"/>
        <v>TERRA</v>
      </c>
      <c r="I1968" s="20" t="str">
        <f t="shared" si="92"/>
        <v xml:space="preserve">S    </v>
      </c>
    </row>
    <row r="1969" spans="1:9">
      <c r="A1969" s="17" t="s">
        <v>1130</v>
      </c>
      <c r="B1969" s="17" t="s">
        <v>1080</v>
      </c>
      <c r="C1969" s="17" t="s">
        <v>803</v>
      </c>
      <c r="D1969" s="17" t="s">
        <v>801</v>
      </c>
      <c r="E1969" s="18">
        <v>3004821074001</v>
      </c>
      <c r="G1969" s="20" t="str">
        <f t="shared" si="90"/>
        <v xml:space="preserve"> ANSESANGULAIREXS</v>
      </c>
      <c r="H1969" s="20" t="str">
        <f t="shared" si="91"/>
        <v>TERRA</v>
      </c>
      <c r="I1969" s="20" t="str">
        <f t="shared" si="92"/>
        <v xml:space="preserve">S    </v>
      </c>
    </row>
    <row r="1970" spans="1:9">
      <c r="A1970" s="17" t="s">
        <v>1130</v>
      </c>
      <c r="B1970" s="17" t="s">
        <v>1080</v>
      </c>
      <c r="C1970" s="17" t="s">
        <v>804</v>
      </c>
      <c r="D1970" s="17" t="s">
        <v>801</v>
      </c>
      <c r="E1970" s="18">
        <v>3005480687038</v>
      </c>
      <c r="G1970" s="20" t="str">
        <f t="shared" si="90"/>
        <v xml:space="preserve"> ANSESANGULAIREXS</v>
      </c>
      <c r="H1970" s="20" t="str">
        <f t="shared" si="91"/>
        <v>TERRA</v>
      </c>
      <c r="I1970" s="20" t="str">
        <f t="shared" si="92"/>
        <v xml:space="preserve">XL   </v>
      </c>
    </row>
    <row r="1971" spans="1:9">
      <c r="A1971" s="17" t="s">
        <v>1130</v>
      </c>
      <c r="B1971" s="17" t="s">
        <v>1080</v>
      </c>
      <c r="C1971" s="17" t="s">
        <v>804</v>
      </c>
      <c r="D1971" s="17" t="s">
        <v>801</v>
      </c>
      <c r="E1971" s="18">
        <v>3004821074032</v>
      </c>
      <c r="G1971" s="20" t="str">
        <f t="shared" si="90"/>
        <v xml:space="preserve"> ANSESANGULAIREXS</v>
      </c>
      <c r="H1971" s="20" t="str">
        <f t="shared" si="91"/>
        <v>TERRA</v>
      </c>
      <c r="I1971" s="20" t="str">
        <f t="shared" si="92"/>
        <v xml:space="preserve">XL   </v>
      </c>
    </row>
    <row r="1972" spans="1:9">
      <c r="A1972" s="17" t="s">
        <v>1130</v>
      </c>
      <c r="B1972" s="17" t="s">
        <v>919</v>
      </c>
      <c r="C1972" s="17" t="s">
        <v>800</v>
      </c>
      <c r="D1972" s="17" t="s">
        <v>801</v>
      </c>
      <c r="E1972" s="18">
        <v>8058983597064</v>
      </c>
      <c r="G1972" s="20" t="str">
        <f t="shared" si="90"/>
        <v xml:space="preserve"> ANSESANGULAIREXS</v>
      </c>
      <c r="H1972" s="20" t="str">
        <f t="shared" si="91"/>
        <v>TESTA</v>
      </c>
      <c r="I1972" s="20" t="str">
        <f t="shared" si="92"/>
        <v xml:space="preserve">L    </v>
      </c>
    </row>
    <row r="1973" spans="1:9">
      <c r="A1973" s="17" t="s">
        <v>1130</v>
      </c>
      <c r="B1973" s="17" t="s">
        <v>919</v>
      </c>
      <c r="C1973" s="17" t="s">
        <v>800</v>
      </c>
      <c r="D1973" s="17" t="s">
        <v>801</v>
      </c>
      <c r="E1973" s="18">
        <v>3005481178023</v>
      </c>
      <c r="G1973" s="20" t="str">
        <f t="shared" si="90"/>
        <v xml:space="preserve"> ANSESANGULAIREXS</v>
      </c>
      <c r="H1973" s="20" t="str">
        <f t="shared" si="91"/>
        <v>TESTA</v>
      </c>
      <c r="I1973" s="20" t="str">
        <f t="shared" si="92"/>
        <v xml:space="preserve">L    </v>
      </c>
    </row>
    <row r="1974" spans="1:9">
      <c r="A1974" s="17" t="s">
        <v>1130</v>
      </c>
      <c r="B1974" s="17" t="s">
        <v>919</v>
      </c>
      <c r="C1974" s="17" t="s">
        <v>802</v>
      </c>
      <c r="D1974" s="17" t="s">
        <v>801</v>
      </c>
      <c r="E1974" s="18">
        <v>3005481178016</v>
      </c>
      <c r="G1974" s="20" t="str">
        <f t="shared" si="90"/>
        <v xml:space="preserve"> ANSESANGULAIREXS</v>
      </c>
      <c r="H1974" s="20" t="str">
        <f t="shared" si="91"/>
        <v>TESTA</v>
      </c>
      <c r="I1974" s="20" t="str">
        <f t="shared" si="92"/>
        <v xml:space="preserve">M    </v>
      </c>
    </row>
    <row r="1975" spans="1:9">
      <c r="A1975" s="17" t="s">
        <v>1130</v>
      </c>
      <c r="B1975" s="17" t="s">
        <v>919</v>
      </c>
      <c r="C1975" s="17" t="s">
        <v>803</v>
      </c>
      <c r="D1975" s="17" t="s">
        <v>801</v>
      </c>
      <c r="E1975" s="18">
        <v>8058983597101</v>
      </c>
      <c r="G1975" s="20" t="str">
        <f t="shared" si="90"/>
        <v xml:space="preserve"> ANSESANGULAIREXS</v>
      </c>
      <c r="H1975" s="20" t="str">
        <f t="shared" si="91"/>
        <v>TESTA</v>
      </c>
      <c r="I1975" s="20" t="str">
        <f t="shared" si="92"/>
        <v xml:space="preserve">S    </v>
      </c>
    </row>
    <row r="1976" spans="1:9">
      <c r="A1976" s="17" t="s">
        <v>1130</v>
      </c>
      <c r="B1976" s="17" t="s">
        <v>919</v>
      </c>
      <c r="C1976" s="17" t="s">
        <v>803</v>
      </c>
      <c r="D1976" s="17" t="s">
        <v>801</v>
      </c>
      <c r="E1976" s="18">
        <v>3005481178009</v>
      </c>
      <c r="G1976" s="20" t="str">
        <f t="shared" si="90"/>
        <v xml:space="preserve"> ANSESANGULAIREXS</v>
      </c>
      <c r="H1976" s="20" t="str">
        <f t="shared" si="91"/>
        <v>TESTA</v>
      </c>
      <c r="I1976" s="20" t="str">
        <f t="shared" si="92"/>
        <v xml:space="preserve">S    </v>
      </c>
    </row>
    <row r="1977" spans="1:9">
      <c r="A1977" s="17" t="s">
        <v>1130</v>
      </c>
      <c r="B1977" s="17" t="s">
        <v>919</v>
      </c>
      <c r="C1977" s="17" t="s">
        <v>804</v>
      </c>
      <c r="D1977" s="17" t="s">
        <v>801</v>
      </c>
      <c r="E1977" s="18">
        <v>3005481178030</v>
      </c>
      <c r="G1977" s="20" t="str">
        <f t="shared" si="90"/>
        <v xml:space="preserve"> ANSESANGULAIREXS</v>
      </c>
      <c r="H1977" s="20" t="str">
        <f t="shared" si="91"/>
        <v>TESTA</v>
      </c>
      <c r="I1977" s="20" t="str">
        <f t="shared" si="92"/>
        <v xml:space="preserve">XL   </v>
      </c>
    </row>
    <row r="1978" spans="1:9">
      <c r="A1978" s="17" t="s">
        <v>1130</v>
      </c>
      <c r="B1978" s="17" t="s">
        <v>1024</v>
      </c>
      <c r="C1978" s="17" t="s">
        <v>800</v>
      </c>
      <c r="D1978" s="17" t="s">
        <v>801</v>
      </c>
      <c r="E1978" s="18">
        <v>8058983597088</v>
      </c>
      <c r="G1978" s="20" t="str">
        <f t="shared" si="90"/>
        <v xml:space="preserve"> ANSESANGULAIREXS</v>
      </c>
      <c r="H1978" s="20" t="str">
        <f t="shared" si="91"/>
        <v xml:space="preserve">VIOL </v>
      </c>
      <c r="I1978" s="20" t="str">
        <f t="shared" si="92"/>
        <v xml:space="preserve">L    </v>
      </c>
    </row>
    <row r="1979" spans="1:9">
      <c r="A1979" s="17" t="s">
        <v>1130</v>
      </c>
      <c r="B1979" s="17" t="s">
        <v>1024</v>
      </c>
      <c r="C1979" s="17" t="s">
        <v>800</v>
      </c>
      <c r="D1979" s="17" t="s">
        <v>801</v>
      </c>
      <c r="E1979" s="18">
        <v>3005480628024</v>
      </c>
      <c r="G1979" s="20" t="str">
        <f t="shared" si="90"/>
        <v xml:space="preserve"> ANSESANGULAIREXS</v>
      </c>
      <c r="H1979" s="20" t="str">
        <f t="shared" si="91"/>
        <v xml:space="preserve">VIOL </v>
      </c>
      <c r="I1979" s="20" t="str">
        <f t="shared" si="92"/>
        <v xml:space="preserve">L    </v>
      </c>
    </row>
    <row r="1980" spans="1:9">
      <c r="A1980" s="17" t="s">
        <v>1130</v>
      </c>
      <c r="B1980" s="17" t="s">
        <v>1024</v>
      </c>
      <c r="C1980" s="17" t="s">
        <v>802</v>
      </c>
      <c r="D1980" s="17" t="s">
        <v>801</v>
      </c>
      <c r="E1980" s="18">
        <v>3005480628017</v>
      </c>
      <c r="G1980" s="20" t="str">
        <f t="shared" si="90"/>
        <v xml:space="preserve"> ANSESANGULAIREXS</v>
      </c>
      <c r="H1980" s="20" t="str">
        <f t="shared" si="91"/>
        <v xml:space="preserve">VIOL </v>
      </c>
      <c r="I1980" s="20" t="str">
        <f t="shared" si="92"/>
        <v xml:space="preserve">M    </v>
      </c>
    </row>
    <row r="1981" spans="1:9">
      <c r="A1981" s="17" t="s">
        <v>1130</v>
      </c>
      <c r="B1981" s="17" t="s">
        <v>1024</v>
      </c>
      <c r="C1981" s="17" t="s">
        <v>803</v>
      </c>
      <c r="D1981" s="17" t="s">
        <v>801</v>
      </c>
      <c r="E1981" s="18">
        <v>8058983597125</v>
      </c>
      <c r="G1981" s="20" t="str">
        <f t="shared" si="90"/>
        <v xml:space="preserve"> ANSESANGULAIREXS</v>
      </c>
      <c r="H1981" s="20" t="str">
        <f t="shared" si="91"/>
        <v xml:space="preserve">VIOL </v>
      </c>
      <c r="I1981" s="20" t="str">
        <f t="shared" si="92"/>
        <v xml:space="preserve">S    </v>
      </c>
    </row>
    <row r="1982" spans="1:9">
      <c r="A1982" s="17" t="s">
        <v>1130</v>
      </c>
      <c r="B1982" s="17" t="s">
        <v>1024</v>
      </c>
      <c r="C1982" s="17" t="s">
        <v>803</v>
      </c>
      <c r="D1982" s="17" t="s">
        <v>801</v>
      </c>
      <c r="E1982" s="18">
        <v>3005480628000</v>
      </c>
      <c r="G1982" s="20" t="str">
        <f t="shared" si="90"/>
        <v xml:space="preserve"> ANSESANGULAIREXS</v>
      </c>
      <c r="H1982" s="20" t="str">
        <f t="shared" si="91"/>
        <v xml:space="preserve">VIOL </v>
      </c>
      <c r="I1982" s="20" t="str">
        <f t="shared" si="92"/>
        <v xml:space="preserve">S    </v>
      </c>
    </row>
    <row r="1983" spans="1:9">
      <c r="A1983" s="17" t="s">
        <v>1130</v>
      </c>
      <c r="B1983" s="17" t="s">
        <v>1024</v>
      </c>
      <c r="C1983" s="17" t="s">
        <v>804</v>
      </c>
      <c r="D1983" s="17" t="s">
        <v>801</v>
      </c>
      <c r="E1983" s="18">
        <v>3005480628031</v>
      </c>
      <c r="G1983" s="20" t="str">
        <f t="shared" si="90"/>
        <v xml:space="preserve"> ANSESANGULAIREXS</v>
      </c>
      <c r="H1983" s="20" t="str">
        <f t="shared" si="91"/>
        <v xml:space="preserve">VIOL </v>
      </c>
      <c r="I1983" s="20" t="str">
        <f t="shared" si="92"/>
        <v xml:space="preserve">XL   </v>
      </c>
    </row>
    <row r="1984" spans="1:9">
      <c r="A1984" s="17" t="s">
        <v>1130</v>
      </c>
      <c r="B1984" s="17" t="s">
        <v>825</v>
      </c>
      <c r="C1984" s="17" t="s">
        <v>800</v>
      </c>
      <c r="D1984" s="17" t="s">
        <v>801</v>
      </c>
      <c r="E1984" s="18">
        <v>8056099170270</v>
      </c>
      <c r="G1984" s="20" t="str">
        <f t="shared" si="90"/>
        <v xml:space="preserve"> ANSESANGULAIREXS</v>
      </c>
      <c r="H1984" s="20" t="str">
        <f t="shared" si="91"/>
        <v xml:space="preserve">YELL </v>
      </c>
      <c r="I1984" s="20" t="str">
        <f t="shared" si="92"/>
        <v xml:space="preserve">L    </v>
      </c>
    </row>
    <row r="1985" spans="1:9">
      <c r="A1985" s="17" t="s">
        <v>1130</v>
      </c>
      <c r="B1985" s="17" t="s">
        <v>825</v>
      </c>
      <c r="C1985" s="17" t="s">
        <v>802</v>
      </c>
      <c r="D1985" s="17" t="s">
        <v>801</v>
      </c>
      <c r="E1985" s="18">
        <v>3004820632011</v>
      </c>
      <c r="G1985" s="20" t="str">
        <f t="shared" si="90"/>
        <v xml:space="preserve"> ANSESANGULAIREXS</v>
      </c>
      <c r="H1985" s="20" t="str">
        <f t="shared" si="91"/>
        <v xml:space="preserve">YELL </v>
      </c>
      <c r="I1985" s="20" t="str">
        <f t="shared" si="92"/>
        <v xml:space="preserve">M    </v>
      </c>
    </row>
    <row r="1986" spans="1:9">
      <c r="A1986" s="17" t="s">
        <v>1130</v>
      </c>
      <c r="B1986" s="17" t="s">
        <v>825</v>
      </c>
      <c r="C1986" s="17" t="s">
        <v>803</v>
      </c>
      <c r="D1986" s="17" t="s">
        <v>801</v>
      </c>
      <c r="E1986" s="18">
        <v>3004820632004</v>
      </c>
      <c r="G1986" s="20" t="str">
        <f t="shared" si="90"/>
        <v xml:space="preserve"> ANSESANGULAIREXS</v>
      </c>
      <c r="H1986" s="20" t="str">
        <f t="shared" si="91"/>
        <v xml:space="preserve">YELL </v>
      </c>
      <c r="I1986" s="20" t="str">
        <f t="shared" si="92"/>
        <v xml:space="preserve">S    </v>
      </c>
    </row>
    <row r="1987" spans="1:9">
      <c r="A1987" s="17" t="s">
        <v>1130</v>
      </c>
      <c r="B1987" s="17" t="s">
        <v>825</v>
      </c>
      <c r="C1987" s="17" t="s">
        <v>804</v>
      </c>
      <c r="D1987" s="17" t="s">
        <v>801</v>
      </c>
      <c r="E1987" s="18">
        <v>3004820632035</v>
      </c>
      <c r="G1987" s="20" t="str">
        <f t="shared" si="90"/>
        <v xml:space="preserve"> ANSESANGULAIREXS</v>
      </c>
      <c r="H1987" s="20" t="str">
        <f t="shared" si="91"/>
        <v xml:space="preserve">YELL </v>
      </c>
      <c r="I1987" s="20" t="str">
        <f t="shared" si="92"/>
        <v xml:space="preserve">XL   </v>
      </c>
    </row>
    <row r="1988" spans="1:9">
      <c r="A1988" s="17" t="s">
        <v>1136</v>
      </c>
      <c r="B1988" s="17" t="s">
        <v>991</v>
      </c>
      <c r="C1988" s="17">
        <v>0</v>
      </c>
      <c r="D1988" s="17" t="s">
        <v>801</v>
      </c>
      <c r="E1988" s="18">
        <v>3004330869006</v>
      </c>
      <c r="G1988" s="20" t="str">
        <f t="shared" si="90"/>
        <v xml:space="preserve"> ANSESCHAINES/GO </v>
      </c>
      <c r="H1988" s="20" t="str">
        <f t="shared" si="91"/>
        <v>CROBL</v>
      </c>
      <c r="I1988" s="20">
        <f t="shared" si="92"/>
        <v>0</v>
      </c>
    </row>
    <row r="1989" spans="1:9">
      <c r="A1989" s="17" t="s">
        <v>1136</v>
      </c>
      <c r="B1989" s="17" t="s">
        <v>991</v>
      </c>
      <c r="C1989" s="17">
        <v>0</v>
      </c>
      <c r="D1989" s="17" t="s">
        <v>801</v>
      </c>
      <c r="E1989" s="18">
        <v>8058983596593</v>
      </c>
      <c r="G1989" s="20" t="str">
        <f t="shared" ref="G1989:G2052" si="93">A1989</f>
        <v xml:space="preserve"> ANSESCHAINES/GO </v>
      </c>
      <c r="H1989" s="20" t="str">
        <f t="shared" ref="H1989:H2052" si="94">B1989</f>
        <v>CROBL</v>
      </c>
      <c r="I1989" s="20">
        <f t="shared" ref="I1989:I2052" si="95">C1989</f>
        <v>0</v>
      </c>
    </row>
    <row r="1990" spans="1:9">
      <c r="A1990" s="17" t="s">
        <v>1136</v>
      </c>
      <c r="B1990" s="17" t="s">
        <v>992</v>
      </c>
      <c r="C1990" s="17">
        <v>0</v>
      </c>
      <c r="D1990" s="17" t="s">
        <v>801</v>
      </c>
      <c r="E1990" s="18">
        <v>3004330870002</v>
      </c>
      <c r="G1990" s="20" t="str">
        <f t="shared" si="93"/>
        <v xml:space="preserve"> ANSESCHAINES/GO </v>
      </c>
      <c r="H1990" s="20" t="str">
        <f t="shared" si="94"/>
        <v>CROBR</v>
      </c>
      <c r="I1990" s="20">
        <f t="shared" si="95"/>
        <v>0</v>
      </c>
    </row>
    <row r="1991" spans="1:9">
      <c r="A1991" s="17" t="s">
        <v>1136</v>
      </c>
      <c r="B1991" s="17" t="s">
        <v>992</v>
      </c>
      <c r="C1991" s="17">
        <v>0</v>
      </c>
      <c r="D1991" s="17" t="s">
        <v>801</v>
      </c>
      <c r="E1991" s="18">
        <v>8058983596586</v>
      </c>
      <c r="G1991" s="20" t="str">
        <f t="shared" si="93"/>
        <v xml:space="preserve"> ANSESCHAINES/GO </v>
      </c>
      <c r="H1991" s="20" t="str">
        <f t="shared" si="94"/>
        <v>CROBR</v>
      </c>
      <c r="I1991" s="20">
        <f t="shared" si="95"/>
        <v>0</v>
      </c>
    </row>
    <row r="1992" spans="1:9">
      <c r="A1992" s="17" t="s">
        <v>1136</v>
      </c>
      <c r="B1992" s="17" t="s">
        <v>1137</v>
      </c>
      <c r="C1992" s="17">
        <v>0</v>
      </c>
      <c r="D1992" s="17" t="s">
        <v>801</v>
      </c>
      <c r="E1992" s="18">
        <v>3004331095008</v>
      </c>
      <c r="G1992" s="20" t="str">
        <f t="shared" si="93"/>
        <v xml:space="preserve"> ANSESCHAINES/GO </v>
      </c>
      <c r="H1992" s="20" t="str">
        <f t="shared" si="94"/>
        <v>LIEBL</v>
      </c>
      <c r="I1992" s="20">
        <f t="shared" si="95"/>
        <v>0</v>
      </c>
    </row>
    <row r="1993" spans="1:9">
      <c r="A1993" s="17" t="s">
        <v>1136</v>
      </c>
      <c r="B1993" s="17" t="s">
        <v>1137</v>
      </c>
      <c r="C1993" s="17">
        <v>0</v>
      </c>
      <c r="D1993" s="17" t="s">
        <v>801</v>
      </c>
      <c r="E1993" s="18">
        <v>8056095064474</v>
      </c>
      <c r="G1993" s="20" t="str">
        <f t="shared" si="93"/>
        <v xml:space="preserve"> ANSESCHAINES/GO </v>
      </c>
      <c r="H1993" s="20" t="str">
        <f t="shared" si="94"/>
        <v>LIEBL</v>
      </c>
      <c r="I1993" s="20">
        <f t="shared" si="95"/>
        <v>0</v>
      </c>
    </row>
    <row r="1994" spans="1:9">
      <c r="A1994" s="17" t="s">
        <v>1136</v>
      </c>
      <c r="B1994" s="17" t="s">
        <v>1138</v>
      </c>
      <c r="C1994" s="17">
        <v>0</v>
      </c>
      <c r="D1994" s="17" t="s">
        <v>801</v>
      </c>
      <c r="E1994" s="18">
        <v>3004331096005</v>
      </c>
      <c r="G1994" s="20" t="str">
        <f t="shared" si="93"/>
        <v xml:space="preserve"> ANSESCHAINES/GO </v>
      </c>
      <c r="H1994" s="20" t="str">
        <f t="shared" si="94"/>
        <v>LIEIV</v>
      </c>
      <c r="I1994" s="20">
        <f t="shared" si="95"/>
        <v>0</v>
      </c>
    </row>
    <row r="1995" spans="1:9">
      <c r="A1995" s="17" t="s">
        <v>1136</v>
      </c>
      <c r="B1995" s="17" t="s">
        <v>1138</v>
      </c>
      <c r="C1995" s="17">
        <v>0</v>
      </c>
      <c r="D1995" s="17" t="s">
        <v>801</v>
      </c>
      <c r="E1995" s="18">
        <v>8056095064481</v>
      </c>
      <c r="G1995" s="20" t="str">
        <f t="shared" si="93"/>
        <v xml:space="preserve"> ANSESCHAINES/GO </v>
      </c>
      <c r="H1995" s="20" t="str">
        <f t="shared" si="94"/>
        <v>LIEIV</v>
      </c>
      <c r="I1995" s="20">
        <f t="shared" si="95"/>
        <v>0</v>
      </c>
    </row>
    <row r="1996" spans="1:9">
      <c r="A1996" s="17" t="s">
        <v>1136</v>
      </c>
      <c r="B1996" s="17" t="s">
        <v>1114</v>
      </c>
      <c r="C1996" s="17">
        <v>0</v>
      </c>
      <c r="D1996" s="17" t="s">
        <v>801</v>
      </c>
      <c r="E1996" s="18">
        <v>3004331059000</v>
      </c>
      <c r="G1996" s="20" t="str">
        <f t="shared" si="93"/>
        <v xml:space="preserve"> ANSESCHAINES/GO </v>
      </c>
      <c r="H1996" s="20" t="str">
        <f t="shared" si="94"/>
        <v>VELBO</v>
      </c>
      <c r="I1996" s="20">
        <f t="shared" si="95"/>
        <v>0</v>
      </c>
    </row>
    <row r="1997" spans="1:9">
      <c r="A1997" s="17" t="s">
        <v>1136</v>
      </c>
      <c r="B1997" s="17" t="s">
        <v>1114</v>
      </c>
      <c r="C1997" s="17">
        <v>0</v>
      </c>
      <c r="D1997" s="17" t="s">
        <v>801</v>
      </c>
      <c r="E1997" s="18">
        <v>8056099173585</v>
      </c>
      <c r="G1997" s="20" t="str">
        <f t="shared" si="93"/>
        <v xml:space="preserve"> ANSESCHAINES/GO </v>
      </c>
      <c r="H1997" s="20" t="str">
        <f t="shared" si="94"/>
        <v>VELBO</v>
      </c>
      <c r="I1997" s="20">
        <f t="shared" si="95"/>
        <v>0</v>
      </c>
    </row>
    <row r="1998" spans="1:9">
      <c r="A1998" s="17" t="s">
        <v>1136</v>
      </c>
      <c r="B1998" s="17" t="s">
        <v>1115</v>
      </c>
      <c r="C1998" s="17">
        <v>0</v>
      </c>
      <c r="D1998" s="17" t="s">
        <v>801</v>
      </c>
      <c r="E1998" s="18">
        <v>3004331060006</v>
      </c>
      <c r="G1998" s="20" t="str">
        <f t="shared" si="93"/>
        <v xml:space="preserve"> ANSESCHAINES/GO </v>
      </c>
      <c r="H1998" s="20" t="str">
        <f t="shared" si="94"/>
        <v>VELNE</v>
      </c>
      <c r="I1998" s="20">
        <f t="shared" si="95"/>
        <v>0</v>
      </c>
    </row>
    <row r="1999" spans="1:9">
      <c r="A1999" s="17" t="s">
        <v>1136</v>
      </c>
      <c r="B1999" s="17" t="s">
        <v>1115</v>
      </c>
      <c r="C1999" s="17">
        <v>0</v>
      </c>
      <c r="D1999" s="17" t="s">
        <v>801</v>
      </c>
      <c r="E1999" s="18">
        <v>8056099173561</v>
      </c>
      <c r="G1999" s="20" t="str">
        <f t="shared" si="93"/>
        <v xml:space="preserve"> ANSESCHAINES/GO </v>
      </c>
      <c r="H1999" s="20" t="str">
        <f t="shared" si="94"/>
        <v>VELNE</v>
      </c>
      <c r="I1999" s="20">
        <f t="shared" si="95"/>
        <v>0</v>
      </c>
    </row>
    <row r="2000" spans="1:9">
      <c r="A2000" s="17" t="s">
        <v>1136</v>
      </c>
      <c r="B2000" s="17" t="s">
        <v>1116</v>
      </c>
      <c r="C2000" s="17">
        <v>0</v>
      </c>
      <c r="D2000" s="17" t="s">
        <v>801</v>
      </c>
      <c r="E2000" s="18">
        <v>3004331061003</v>
      </c>
      <c r="G2000" s="20" t="str">
        <f t="shared" si="93"/>
        <v xml:space="preserve"> ANSESCHAINES/GO </v>
      </c>
      <c r="H2000" s="20" t="str">
        <f t="shared" si="94"/>
        <v>VELSK</v>
      </c>
      <c r="I2000" s="20">
        <f t="shared" si="95"/>
        <v>0</v>
      </c>
    </row>
    <row r="2001" spans="1:9">
      <c r="A2001" s="17" t="s">
        <v>1136</v>
      </c>
      <c r="B2001" s="17" t="s">
        <v>1116</v>
      </c>
      <c r="C2001" s="17">
        <v>0</v>
      </c>
      <c r="D2001" s="17" t="s">
        <v>801</v>
      </c>
      <c r="E2001" s="18">
        <v>8056099173578</v>
      </c>
      <c r="G2001" s="20" t="str">
        <f t="shared" si="93"/>
        <v xml:space="preserve"> ANSESCHAINES/GO </v>
      </c>
      <c r="H2001" s="20" t="str">
        <f t="shared" si="94"/>
        <v>VELSK</v>
      </c>
      <c r="I2001" s="20">
        <f t="shared" si="95"/>
        <v>0</v>
      </c>
    </row>
    <row r="2002" spans="1:9">
      <c r="A2002" s="17" t="s">
        <v>1136</v>
      </c>
      <c r="B2002" s="17" t="s">
        <v>1014</v>
      </c>
      <c r="C2002" s="17">
        <v>0</v>
      </c>
      <c r="D2002" s="17" t="s">
        <v>801</v>
      </c>
      <c r="E2002" s="18">
        <v>3004990665000</v>
      </c>
      <c r="G2002" s="20" t="str">
        <f t="shared" si="93"/>
        <v xml:space="preserve"> ANSESCHAINES/GO </v>
      </c>
      <c r="H2002" s="20" t="str">
        <f t="shared" si="94"/>
        <v>VERBO</v>
      </c>
      <c r="I2002" s="20">
        <f t="shared" si="95"/>
        <v>0</v>
      </c>
    </row>
    <row r="2003" spans="1:9">
      <c r="A2003" s="17" t="s">
        <v>1136</v>
      </c>
      <c r="B2003" s="17" t="s">
        <v>1014</v>
      </c>
      <c r="C2003" s="17">
        <v>0</v>
      </c>
      <c r="D2003" s="17" t="s">
        <v>801</v>
      </c>
      <c r="E2003" s="18">
        <v>3004330665004</v>
      </c>
      <c r="G2003" s="20" t="str">
        <f t="shared" si="93"/>
        <v xml:space="preserve"> ANSESCHAINES/GO </v>
      </c>
      <c r="H2003" s="20" t="str">
        <f t="shared" si="94"/>
        <v>VERBO</v>
      </c>
      <c r="I2003" s="20">
        <f t="shared" si="95"/>
        <v>0</v>
      </c>
    </row>
    <row r="2004" spans="1:9">
      <c r="A2004" s="17" t="s">
        <v>1136</v>
      </c>
      <c r="B2004" s="17" t="s">
        <v>1016</v>
      </c>
      <c r="C2004" s="17">
        <v>0</v>
      </c>
      <c r="D2004" s="17" t="s">
        <v>801</v>
      </c>
      <c r="E2004" s="18">
        <v>3004990664003</v>
      </c>
      <c r="G2004" s="20" t="str">
        <f t="shared" si="93"/>
        <v xml:space="preserve"> ANSESCHAINES/GO </v>
      </c>
      <c r="H2004" s="20" t="str">
        <f t="shared" si="94"/>
        <v>VERMA</v>
      </c>
      <c r="I2004" s="20">
        <f t="shared" si="95"/>
        <v>0</v>
      </c>
    </row>
    <row r="2005" spans="1:9">
      <c r="A2005" s="17" t="s">
        <v>1136</v>
      </c>
      <c r="B2005" s="17" t="s">
        <v>1016</v>
      </c>
      <c r="C2005" s="17">
        <v>0</v>
      </c>
      <c r="D2005" s="17" t="s">
        <v>801</v>
      </c>
      <c r="E2005" s="18">
        <v>3004330664007</v>
      </c>
      <c r="G2005" s="20" t="str">
        <f t="shared" si="93"/>
        <v xml:space="preserve"> ANSESCHAINES/GO </v>
      </c>
      <c r="H2005" s="20" t="str">
        <f t="shared" si="94"/>
        <v>VERMA</v>
      </c>
      <c r="I2005" s="20">
        <f t="shared" si="95"/>
        <v>0</v>
      </c>
    </row>
    <row r="2006" spans="1:9">
      <c r="A2006" s="17" t="s">
        <v>1136</v>
      </c>
      <c r="B2006" s="17" t="s">
        <v>922</v>
      </c>
      <c r="C2006" s="17">
        <v>0</v>
      </c>
      <c r="D2006" s="17" t="s">
        <v>801</v>
      </c>
      <c r="E2006" s="18">
        <v>3004990661002</v>
      </c>
      <c r="G2006" s="20" t="str">
        <f t="shared" si="93"/>
        <v xml:space="preserve"> ANSESCHAINES/GO </v>
      </c>
      <c r="H2006" s="20" t="str">
        <f t="shared" si="94"/>
        <v>VERNO</v>
      </c>
      <c r="I2006" s="20">
        <f t="shared" si="95"/>
        <v>0</v>
      </c>
    </row>
    <row r="2007" spans="1:9">
      <c r="A2007" s="17" t="s">
        <v>1136</v>
      </c>
      <c r="B2007" s="17" t="s">
        <v>922</v>
      </c>
      <c r="C2007" s="17">
        <v>0</v>
      </c>
      <c r="D2007" s="17" t="s">
        <v>801</v>
      </c>
      <c r="E2007" s="18">
        <v>3004330661006</v>
      </c>
      <c r="G2007" s="20" t="str">
        <f t="shared" si="93"/>
        <v xml:space="preserve"> ANSESCHAINES/GO </v>
      </c>
      <c r="H2007" s="20" t="str">
        <f t="shared" si="94"/>
        <v>VERNO</v>
      </c>
      <c r="I2007" s="20">
        <f t="shared" si="95"/>
        <v>0</v>
      </c>
    </row>
    <row r="2008" spans="1:9">
      <c r="A2008" s="17" t="s">
        <v>1139</v>
      </c>
      <c r="B2008" s="17" t="s">
        <v>280</v>
      </c>
      <c r="C2008" s="17">
        <v>0</v>
      </c>
      <c r="D2008" s="17" t="s">
        <v>801</v>
      </c>
      <c r="E2008" s="18">
        <v>3005260004000</v>
      </c>
      <c r="G2008" s="20" t="str">
        <f t="shared" si="93"/>
        <v xml:space="preserve"> ANSESRONDES     </v>
      </c>
      <c r="H2008" s="20" t="str">
        <f t="shared" si="94"/>
        <v>BLACK</v>
      </c>
      <c r="I2008" s="20">
        <f t="shared" si="95"/>
        <v>0</v>
      </c>
    </row>
    <row r="2009" spans="1:9">
      <c r="A2009" s="17" t="s">
        <v>1139</v>
      </c>
      <c r="B2009" s="17" t="s">
        <v>810</v>
      </c>
      <c r="C2009" s="17">
        <v>0</v>
      </c>
      <c r="D2009" s="17" t="s">
        <v>801</v>
      </c>
      <c r="E2009" s="18">
        <v>3005260319005</v>
      </c>
      <c r="G2009" s="20" t="str">
        <f t="shared" si="93"/>
        <v xml:space="preserve"> ANSESRONDES     </v>
      </c>
      <c r="H2009" s="20" t="str">
        <f t="shared" si="94"/>
        <v xml:space="preserve">BLUE </v>
      </c>
      <c r="I2009" s="20">
        <f t="shared" si="95"/>
        <v>0</v>
      </c>
    </row>
    <row r="2010" spans="1:9">
      <c r="A2010" s="17" t="s">
        <v>1139</v>
      </c>
      <c r="B2010" s="17" t="s">
        <v>869</v>
      </c>
      <c r="C2010" s="17">
        <v>0</v>
      </c>
      <c r="D2010" s="17" t="s">
        <v>801</v>
      </c>
      <c r="E2010" s="18">
        <v>3005260554000</v>
      </c>
      <c r="G2010" s="20" t="str">
        <f t="shared" si="93"/>
        <v xml:space="preserve"> ANSESRONDES     </v>
      </c>
      <c r="H2010" s="20" t="str">
        <f t="shared" si="94"/>
        <v>BROWN</v>
      </c>
      <c r="I2010" s="20">
        <f t="shared" si="95"/>
        <v>0</v>
      </c>
    </row>
    <row r="2011" spans="1:9">
      <c r="A2011" s="17" t="s">
        <v>1139</v>
      </c>
      <c r="B2011" s="17" t="s">
        <v>1046</v>
      </c>
      <c r="C2011" s="17">
        <v>0</v>
      </c>
      <c r="D2011" s="17" t="s">
        <v>801</v>
      </c>
      <c r="E2011" s="18">
        <v>3005260234001</v>
      </c>
      <c r="G2011" s="20" t="str">
        <f t="shared" si="93"/>
        <v xml:space="preserve"> ANSESRONDES     </v>
      </c>
      <c r="H2011" s="20" t="str">
        <f t="shared" si="94"/>
        <v>CUIBL</v>
      </c>
      <c r="I2011" s="20">
        <f t="shared" si="95"/>
        <v>0</v>
      </c>
    </row>
    <row r="2012" spans="1:9">
      <c r="A2012" s="17" t="s">
        <v>1139</v>
      </c>
      <c r="B2012" s="17" t="s">
        <v>1047</v>
      </c>
      <c r="C2012" s="17">
        <v>0</v>
      </c>
      <c r="D2012" s="17" t="s">
        <v>801</v>
      </c>
      <c r="E2012" s="18">
        <v>3005260236005</v>
      </c>
      <c r="G2012" s="20" t="str">
        <f t="shared" si="93"/>
        <v xml:space="preserve"> ANSESRONDES     </v>
      </c>
      <c r="H2012" s="20" t="str">
        <f t="shared" si="94"/>
        <v>CUIMA</v>
      </c>
      <c r="I2012" s="20">
        <f t="shared" si="95"/>
        <v>0</v>
      </c>
    </row>
    <row r="2013" spans="1:9">
      <c r="A2013" s="17" t="s">
        <v>1139</v>
      </c>
      <c r="B2013" s="17" t="s">
        <v>1096</v>
      </c>
      <c r="C2013" s="17">
        <v>0</v>
      </c>
      <c r="D2013" s="17" t="s">
        <v>801</v>
      </c>
      <c r="E2013" s="18">
        <v>3005260385000</v>
      </c>
      <c r="G2013" s="20" t="str">
        <f t="shared" si="93"/>
        <v xml:space="preserve"> ANSESRONDES     </v>
      </c>
      <c r="H2013" s="20" t="str">
        <f t="shared" si="94"/>
        <v>CUINA</v>
      </c>
      <c r="I2013" s="20">
        <f t="shared" si="95"/>
        <v>0</v>
      </c>
    </row>
    <row r="2014" spans="1:9">
      <c r="A2014" s="17" t="s">
        <v>1139</v>
      </c>
      <c r="B2014" s="17" t="s">
        <v>1048</v>
      </c>
      <c r="C2014" s="17">
        <v>0</v>
      </c>
      <c r="D2014" s="17" t="s">
        <v>801</v>
      </c>
      <c r="E2014" s="18">
        <v>3005260235008</v>
      </c>
      <c r="G2014" s="20" t="str">
        <f t="shared" si="93"/>
        <v xml:space="preserve"> ANSESRONDES     </v>
      </c>
      <c r="H2014" s="20" t="str">
        <f t="shared" si="94"/>
        <v>CUINO</v>
      </c>
      <c r="I2014" s="20">
        <f t="shared" si="95"/>
        <v>0</v>
      </c>
    </row>
    <row r="2015" spans="1:9">
      <c r="A2015" s="17" t="s">
        <v>1139</v>
      </c>
      <c r="B2015" s="17" t="s">
        <v>859</v>
      </c>
      <c r="C2015" s="17">
        <v>0</v>
      </c>
      <c r="D2015" s="17" t="s">
        <v>801</v>
      </c>
      <c r="E2015" s="18">
        <v>3005260598004</v>
      </c>
      <c r="G2015" s="20" t="str">
        <f t="shared" si="93"/>
        <v xml:space="preserve"> ANSESRONDES     </v>
      </c>
      <c r="H2015" s="20" t="str">
        <f t="shared" si="94"/>
        <v>NATUR</v>
      </c>
      <c r="I2015" s="20">
        <f t="shared" si="95"/>
        <v>0</v>
      </c>
    </row>
    <row r="2016" spans="1:9">
      <c r="A2016" s="17" t="s">
        <v>1140</v>
      </c>
      <c r="B2016" s="17" t="s">
        <v>930</v>
      </c>
      <c r="C2016" s="17">
        <v>0</v>
      </c>
      <c r="D2016" s="17" t="s">
        <v>801</v>
      </c>
      <c r="E2016" s="18">
        <v>3005170557009</v>
      </c>
      <c r="G2016" s="20" t="str">
        <f t="shared" si="93"/>
        <v xml:space="preserve"> ANSESZAINO      </v>
      </c>
      <c r="H2016" s="20" t="str">
        <f t="shared" si="94"/>
        <v xml:space="preserve">BLK  </v>
      </c>
      <c r="I2016" s="20">
        <f t="shared" si="95"/>
        <v>0</v>
      </c>
    </row>
    <row r="2017" spans="1:9">
      <c r="A2017" s="17" t="s">
        <v>1140</v>
      </c>
      <c r="B2017" s="17" t="s">
        <v>810</v>
      </c>
      <c r="C2017" s="17">
        <v>0</v>
      </c>
      <c r="D2017" s="17" t="s">
        <v>801</v>
      </c>
      <c r="E2017" s="18">
        <v>3005170284004</v>
      </c>
      <c r="G2017" s="20" t="str">
        <f t="shared" si="93"/>
        <v xml:space="preserve"> ANSESZAINO      </v>
      </c>
      <c r="H2017" s="20" t="str">
        <f t="shared" si="94"/>
        <v xml:space="preserve">BLUE </v>
      </c>
      <c r="I2017" s="20">
        <f t="shared" si="95"/>
        <v>0</v>
      </c>
    </row>
    <row r="2018" spans="1:9">
      <c r="A2018" s="17" t="s">
        <v>1140</v>
      </c>
      <c r="B2018" s="17" t="s">
        <v>1101</v>
      </c>
      <c r="C2018" s="17">
        <v>0</v>
      </c>
      <c r="D2018" s="17" t="s">
        <v>801</v>
      </c>
      <c r="E2018" s="18">
        <v>3005170590006</v>
      </c>
      <c r="G2018" s="20" t="str">
        <f t="shared" si="93"/>
        <v xml:space="preserve"> ANSESZAINO      </v>
      </c>
      <c r="H2018" s="20" t="str">
        <f t="shared" si="94"/>
        <v xml:space="preserve">BOR  </v>
      </c>
      <c r="I2018" s="20">
        <f t="shared" si="95"/>
        <v>0</v>
      </c>
    </row>
    <row r="2019" spans="1:9">
      <c r="A2019" s="17" t="s">
        <v>1140</v>
      </c>
      <c r="B2019" s="17" t="s">
        <v>1141</v>
      </c>
      <c r="C2019" s="17">
        <v>0</v>
      </c>
      <c r="D2019" s="17" t="s">
        <v>801</v>
      </c>
      <c r="E2019" s="18">
        <v>3005170994002</v>
      </c>
      <c r="G2019" s="20" t="str">
        <f t="shared" si="93"/>
        <v xml:space="preserve"> ANSESZAINO      </v>
      </c>
      <c r="H2019" s="20" t="str">
        <f t="shared" si="94"/>
        <v>BRUCI</v>
      </c>
      <c r="I2019" s="20">
        <f t="shared" si="95"/>
        <v>0</v>
      </c>
    </row>
    <row r="2020" spans="1:9">
      <c r="A2020" s="17" t="s">
        <v>1140</v>
      </c>
      <c r="B2020" s="17" t="s">
        <v>919</v>
      </c>
      <c r="C2020" s="17">
        <v>0</v>
      </c>
      <c r="D2020" s="17" t="s">
        <v>801</v>
      </c>
      <c r="E2020" s="18">
        <v>3005170690003</v>
      </c>
      <c r="G2020" s="20" t="str">
        <f t="shared" si="93"/>
        <v xml:space="preserve"> ANSESZAINO      </v>
      </c>
      <c r="H2020" s="20" t="str">
        <f t="shared" si="94"/>
        <v>TESTA</v>
      </c>
      <c r="I2020" s="20">
        <f t="shared" si="95"/>
        <v>0</v>
      </c>
    </row>
    <row r="2021" spans="1:9">
      <c r="A2021" s="17" t="s">
        <v>1140</v>
      </c>
      <c r="B2021" s="17" t="s">
        <v>811</v>
      </c>
      <c r="C2021" s="17">
        <v>0</v>
      </c>
      <c r="D2021" s="17" t="s">
        <v>801</v>
      </c>
      <c r="E2021" s="18">
        <v>8056300455370</v>
      </c>
      <c r="G2021" s="20" t="str">
        <f t="shared" si="93"/>
        <v xml:space="preserve"> ANSESZAINO      </v>
      </c>
      <c r="H2021" s="20" t="str">
        <f t="shared" si="94"/>
        <v xml:space="preserve">VERT </v>
      </c>
      <c r="I2021" s="20">
        <f t="shared" si="95"/>
        <v>0</v>
      </c>
    </row>
    <row r="2022" spans="1:9">
      <c r="A2022" s="17" t="s">
        <v>1142</v>
      </c>
      <c r="B2022" s="17" t="s">
        <v>280</v>
      </c>
      <c r="C2022" s="17">
        <v>0</v>
      </c>
      <c r="D2022" s="17" t="s">
        <v>801</v>
      </c>
      <c r="E2022" s="18">
        <v>3004760004008</v>
      </c>
      <c r="G2022" s="20" t="str">
        <f t="shared" si="93"/>
        <v xml:space="preserve"> ASTRA           </v>
      </c>
      <c r="H2022" s="20" t="str">
        <f t="shared" si="94"/>
        <v>BLACK</v>
      </c>
      <c r="I2022" s="20">
        <f t="shared" si="95"/>
        <v>0</v>
      </c>
    </row>
    <row r="2023" spans="1:9">
      <c r="A2023" s="17" t="s">
        <v>1143</v>
      </c>
      <c r="B2023" s="17" t="s">
        <v>280</v>
      </c>
      <c r="C2023" s="17">
        <v>0</v>
      </c>
      <c r="D2023" s="17" t="s">
        <v>801</v>
      </c>
      <c r="E2023" s="18">
        <v>3004310276008</v>
      </c>
      <c r="G2023" s="20" t="str">
        <f t="shared" si="93"/>
        <v xml:space="preserve"> ATTACHESCHAINE  </v>
      </c>
      <c r="H2023" s="20" t="str">
        <f t="shared" si="94"/>
        <v>BLACK</v>
      </c>
      <c r="I2023" s="20">
        <f t="shared" si="95"/>
        <v>0</v>
      </c>
    </row>
    <row r="2024" spans="1:9">
      <c r="A2024" s="17" t="s">
        <v>1143</v>
      </c>
      <c r="B2024" s="17" t="s">
        <v>280</v>
      </c>
      <c r="C2024" s="17">
        <v>0</v>
      </c>
      <c r="D2024" s="17" t="s">
        <v>801</v>
      </c>
      <c r="E2024" s="18">
        <v>8050450211114</v>
      </c>
      <c r="G2024" s="20" t="str">
        <f t="shared" si="93"/>
        <v xml:space="preserve"> ATTACHESCHAINE  </v>
      </c>
      <c r="H2024" s="20" t="str">
        <f t="shared" si="94"/>
        <v>BLACK</v>
      </c>
      <c r="I2024" s="20">
        <f t="shared" si="95"/>
        <v>0</v>
      </c>
    </row>
    <row r="2025" spans="1:9">
      <c r="A2025" s="17" t="s">
        <v>1143</v>
      </c>
      <c r="B2025" s="17" t="s">
        <v>810</v>
      </c>
      <c r="C2025" s="17">
        <v>0</v>
      </c>
      <c r="D2025" s="17" t="s">
        <v>801</v>
      </c>
      <c r="E2025" s="18">
        <v>3004310284003</v>
      </c>
      <c r="G2025" s="20" t="str">
        <f t="shared" si="93"/>
        <v xml:space="preserve"> ATTACHESCHAINE  </v>
      </c>
      <c r="H2025" s="20" t="str">
        <f t="shared" si="94"/>
        <v xml:space="preserve">BLUE </v>
      </c>
      <c r="I2025" s="20">
        <f t="shared" si="95"/>
        <v>0</v>
      </c>
    </row>
    <row r="2026" spans="1:9">
      <c r="A2026" s="17" t="s">
        <v>1143</v>
      </c>
      <c r="B2026" s="17" t="s">
        <v>810</v>
      </c>
      <c r="C2026" s="17">
        <v>0</v>
      </c>
      <c r="D2026" s="17" t="s">
        <v>801</v>
      </c>
      <c r="E2026" s="18">
        <v>8056095063910</v>
      </c>
      <c r="G2026" s="20" t="str">
        <f t="shared" si="93"/>
        <v xml:space="preserve"> ATTACHESCHAINE  </v>
      </c>
      <c r="H2026" s="20" t="str">
        <f t="shared" si="94"/>
        <v xml:space="preserve">BLUE </v>
      </c>
      <c r="I2026" s="20">
        <f t="shared" si="95"/>
        <v>0</v>
      </c>
    </row>
    <row r="2027" spans="1:9">
      <c r="A2027" s="17" t="s">
        <v>1143</v>
      </c>
      <c r="B2027" s="17" t="s">
        <v>853</v>
      </c>
      <c r="C2027" s="17">
        <v>0</v>
      </c>
      <c r="D2027" s="17" t="s">
        <v>801</v>
      </c>
      <c r="E2027" s="18">
        <v>3004310499001</v>
      </c>
      <c r="G2027" s="20" t="str">
        <f t="shared" si="93"/>
        <v xml:space="preserve"> ATTACHESCHAINE  </v>
      </c>
      <c r="H2027" s="20" t="str">
        <f t="shared" si="94"/>
        <v>BRONZ</v>
      </c>
      <c r="I2027" s="20">
        <f t="shared" si="95"/>
        <v>0</v>
      </c>
    </row>
    <row r="2028" spans="1:9">
      <c r="A2028" s="17" t="s">
        <v>1143</v>
      </c>
      <c r="B2028" s="17" t="s">
        <v>831</v>
      </c>
      <c r="C2028" s="17">
        <v>0</v>
      </c>
      <c r="D2028" s="17" t="s">
        <v>801</v>
      </c>
      <c r="E2028" s="18">
        <v>3004310467000</v>
      </c>
      <c r="G2028" s="20" t="str">
        <f t="shared" si="93"/>
        <v xml:space="preserve"> ATTACHESCHAINE  </v>
      </c>
      <c r="H2028" s="20" t="str">
        <f t="shared" si="94"/>
        <v>CBNAT</v>
      </c>
      <c r="I2028" s="20">
        <f t="shared" si="95"/>
        <v>0</v>
      </c>
    </row>
    <row r="2029" spans="1:9">
      <c r="A2029" s="17" t="s">
        <v>1143</v>
      </c>
      <c r="B2029" s="17" t="s">
        <v>832</v>
      </c>
      <c r="C2029" s="17">
        <v>0</v>
      </c>
      <c r="D2029" s="17" t="s">
        <v>801</v>
      </c>
      <c r="E2029" s="18">
        <v>3004310756005</v>
      </c>
      <c r="G2029" s="20" t="str">
        <f t="shared" si="93"/>
        <v xml:space="preserve"> ATTACHESCHAINE  </v>
      </c>
      <c r="H2029" s="20" t="str">
        <f t="shared" si="94"/>
        <v>CBNAV</v>
      </c>
      <c r="I2029" s="20">
        <f t="shared" si="95"/>
        <v>0</v>
      </c>
    </row>
    <row r="2030" spans="1:9">
      <c r="A2030" s="17" t="s">
        <v>1143</v>
      </c>
      <c r="B2030" s="17" t="s">
        <v>991</v>
      </c>
      <c r="C2030" s="17">
        <v>0</v>
      </c>
      <c r="D2030" s="17" t="s">
        <v>801</v>
      </c>
      <c r="E2030" s="18">
        <v>8058983597156</v>
      </c>
      <c r="G2030" s="20" t="str">
        <f t="shared" si="93"/>
        <v xml:space="preserve"> ATTACHESCHAINE  </v>
      </c>
      <c r="H2030" s="20" t="str">
        <f t="shared" si="94"/>
        <v>CROBL</v>
      </c>
      <c r="I2030" s="20">
        <f t="shared" si="95"/>
        <v>0</v>
      </c>
    </row>
    <row r="2031" spans="1:9">
      <c r="A2031" s="17" t="s">
        <v>1143</v>
      </c>
      <c r="B2031" s="17" t="s">
        <v>991</v>
      </c>
      <c r="C2031" s="17">
        <v>0</v>
      </c>
      <c r="D2031" s="17" t="s">
        <v>801</v>
      </c>
      <c r="E2031" s="18">
        <v>3004970571000</v>
      </c>
      <c r="G2031" s="20" t="str">
        <f t="shared" si="93"/>
        <v xml:space="preserve"> ATTACHESCHAINE  </v>
      </c>
      <c r="H2031" s="20" t="str">
        <f t="shared" si="94"/>
        <v>CROBL</v>
      </c>
      <c r="I2031" s="20">
        <f t="shared" si="95"/>
        <v>0</v>
      </c>
    </row>
    <row r="2032" spans="1:9">
      <c r="A2032" s="17" t="s">
        <v>1143</v>
      </c>
      <c r="B2032" s="17" t="s">
        <v>992</v>
      </c>
      <c r="C2032" s="17">
        <v>0</v>
      </c>
      <c r="D2032" s="17" t="s">
        <v>801</v>
      </c>
      <c r="E2032" s="18">
        <v>8057014140712</v>
      </c>
      <c r="G2032" s="20" t="str">
        <f t="shared" si="93"/>
        <v xml:space="preserve"> ATTACHESCHAINE  </v>
      </c>
      <c r="H2032" s="20" t="str">
        <f t="shared" si="94"/>
        <v>CROBR</v>
      </c>
      <c r="I2032" s="20">
        <f t="shared" si="95"/>
        <v>0</v>
      </c>
    </row>
    <row r="2033" spans="1:9">
      <c r="A2033" s="17" t="s">
        <v>1143</v>
      </c>
      <c r="B2033" s="17" t="s">
        <v>992</v>
      </c>
      <c r="C2033" s="17">
        <v>0</v>
      </c>
      <c r="D2033" s="17" t="s">
        <v>801</v>
      </c>
      <c r="E2033" s="18">
        <v>3004970572007</v>
      </c>
      <c r="G2033" s="20" t="str">
        <f t="shared" si="93"/>
        <v xml:space="preserve"> ATTACHESCHAINE  </v>
      </c>
      <c r="H2033" s="20" t="str">
        <f t="shared" si="94"/>
        <v>CROBR</v>
      </c>
      <c r="I2033" s="20">
        <f t="shared" si="95"/>
        <v>0</v>
      </c>
    </row>
    <row r="2034" spans="1:9">
      <c r="A2034" s="17" t="s">
        <v>1143</v>
      </c>
      <c r="B2034" s="17" t="s">
        <v>834</v>
      </c>
      <c r="C2034" s="17">
        <v>0</v>
      </c>
      <c r="D2034" s="17" t="s">
        <v>801</v>
      </c>
      <c r="E2034" s="18">
        <v>3004310794007</v>
      </c>
      <c r="G2034" s="20" t="str">
        <f t="shared" si="93"/>
        <v xml:space="preserve"> ATTACHESCHAINE  </v>
      </c>
      <c r="H2034" s="20" t="str">
        <f t="shared" si="94"/>
        <v>GOACQ</v>
      </c>
      <c r="I2034" s="20">
        <f t="shared" si="95"/>
        <v>0</v>
      </c>
    </row>
    <row r="2035" spans="1:9">
      <c r="A2035" s="17" t="s">
        <v>1143</v>
      </c>
      <c r="B2035" s="17" t="s">
        <v>835</v>
      </c>
      <c r="C2035" s="17">
        <v>0</v>
      </c>
      <c r="D2035" s="17" t="s">
        <v>801</v>
      </c>
      <c r="E2035" s="18">
        <v>3004310796001</v>
      </c>
      <c r="G2035" s="20" t="str">
        <f t="shared" si="93"/>
        <v xml:space="preserve"> ATTACHESCHAINE  </v>
      </c>
      <c r="H2035" s="20" t="str">
        <f t="shared" si="94"/>
        <v>GOICE</v>
      </c>
      <c r="I2035" s="20">
        <f t="shared" si="95"/>
        <v>0</v>
      </c>
    </row>
    <row r="2036" spans="1:9">
      <c r="A2036" s="17" t="s">
        <v>1143</v>
      </c>
      <c r="B2036" s="17" t="s">
        <v>836</v>
      </c>
      <c r="C2036" s="17">
        <v>0</v>
      </c>
      <c r="D2036" s="17" t="s">
        <v>801</v>
      </c>
      <c r="E2036" s="18">
        <v>3004310795004</v>
      </c>
      <c r="G2036" s="20" t="str">
        <f t="shared" si="93"/>
        <v xml:space="preserve"> ATTACHESCHAINE  </v>
      </c>
      <c r="H2036" s="20" t="str">
        <f t="shared" si="94"/>
        <v>GOIRI</v>
      </c>
      <c r="I2036" s="20">
        <f t="shared" si="95"/>
        <v>0</v>
      </c>
    </row>
    <row r="2037" spans="1:9">
      <c r="A2037" s="17" t="s">
        <v>1143</v>
      </c>
      <c r="B2037" s="17" t="s">
        <v>837</v>
      </c>
      <c r="C2037" s="17">
        <v>0</v>
      </c>
      <c r="D2037" s="17" t="s">
        <v>801</v>
      </c>
      <c r="E2037" s="18">
        <v>3004310800005</v>
      </c>
      <c r="G2037" s="20" t="str">
        <f t="shared" si="93"/>
        <v xml:space="preserve"> ATTACHESCHAINE  </v>
      </c>
      <c r="H2037" s="20" t="str">
        <f t="shared" si="94"/>
        <v>GOMAG</v>
      </c>
      <c r="I2037" s="20">
        <f t="shared" si="95"/>
        <v>0</v>
      </c>
    </row>
    <row r="2038" spans="1:9">
      <c r="A2038" s="17" t="s">
        <v>1143</v>
      </c>
      <c r="B2038" s="17" t="s">
        <v>858</v>
      </c>
      <c r="C2038" s="17">
        <v>0</v>
      </c>
      <c r="D2038" s="17" t="s">
        <v>801</v>
      </c>
      <c r="E2038" s="18">
        <v>3004310341003</v>
      </c>
      <c r="G2038" s="20" t="str">
        <f t="shared" si="93"/>
        <v xml:space="preserve"> ATTACHESCHAINE  </v>
      </c>
      <c r="H2038" s="20" t="str">
        <f t="shared" si="94"/>
        <v xml:space="preserve">GREY </v>
      </c>
      <c r="I2038" s="20">
        <f t="shared" si="95"/>
        <v>0</v>
      </c>
    </row>
    <row r="2039" spans="1:9">
      <c r="A2039" s="17" t="s">
        <v>1143</v>
      </c>
      <c r="B2039" s="17" t="s">
        <v>858</v>
      </c>
      <c r="C2039" s="17">
        <v>0</v>
      </c>
      <c r="D2039" s="17" t="s">
        <v>801</v>
      </c>
      <c r="E2039" s="18">
        <v>8056095063927</v>
      </c>
      <c r="G2039" s="20" t="str">
        <f t="shared" si="93"/>
        <v xml:space="preserve"> ATTACHESCHAINE  </v>
      </c>
      <c r="H2039" s="20" t="str">
        <f t="shared" si="94"/>
        <v xml:space="preserve">GREY </v>
      </c>
      <c r="I2039" s="20">
        <f t="shared" si="95"/>
        <v>0</v>
      </c>
    </row>
    <row r="2040" spans="1:9">
      <c r="A2040" s="17" t="s">
        <v>1143</v>
      </c>
      <c r="B2040" s="17" t="s">
        <v>838</v>
      </c>
      <c r="C2040" s="17">
        <v>0</v>
      </c>
      <c r="D2040" s="17" t="s">
        <v>801</v>
      </c>
      <c r="E2040" s="18">
        <v>3004310497007</v>
      </c>
      <c r="G2040" s="20" t="str">
        <f t="shared" si="93"/>
        <v xml:space="preserve"> ATTACHESCHAINE  </v>
      </c>
      <c r="H2040" s="20" t="str">
        <f t="shared" si="94"/>
        <v>IVOIR</v>
      </c>
      <c r="I2040" s="20">
        <f t="shared" si="95"/>
        <v>0</v>
      </c>
    </row>
    <row r="2041" spans="1:9">
      <c r="A2041" s="17" t="s">
        <v>1143</v>
      </c>
      <c r="B2041" s="17" t="s">
        <v>839</v>
      </c>
      <c r="C2041" s="17">
        <v>0</v>
      </c>
      <c r="D2041" s="17" t="s">
        <v>801</v>
      </c>
      <c r="E2041" s="18">
        <v>3004310397000</v>
      </c>
      <c r="G2041" s="20" t="str">
        <f t="shared" si="93"/>
        <v xml:space="preserve"> ATTACHESCHAINE  </v>
      </c>
      <c r="H2041" s="20" t="str">
        <f t="shared" si="94"/>
        <v xml:space="preserve">ROSA </v>
      </c>
      <c r="I2041" s="20">
        <f t="shared" si="95"/>
        <v>0</v>
      </c>
    </row>
    <row r="2042" spans="1:9">
      <c r="A2042" s="17" t="s">
        <v>1143</v>
      </c>
      <c r="B2042" s="17" t="s">
        <v>840</v>
      </c>
      <c r="C2042" s="17">
        <v>0</v>
      </c>
      <c r="D2042" s="17" t="s">
        <v>801</v>
      </c>
      <c r="E2042" s="18">
        <v>3004310403008</v>
      </c>
      <c r="G2042" s="20" t="str">
        <f t="shared" si="93"/>
        <v xml:space="preserve"> ATTACHESCHAINE  </v>
      </c>
      <c r="H2042" s="20" t="str">
        <f t="shared" si="94"/>
        <v>SAUGE</v>
      </c>
      <c r="I2042" s="20">
        <f t="shared" si="95"/>
        <v>0</v>
      </c>
    </row>
    <row r="2043" spans="1:9">
      <c r="A2043" s="17" t="s">
        <v>1143</v>
      </c>
      <c r="B2043" s="17" t="s">
        <v>855</v>
      </c>
      <c r="C2043" s="17">
        <v>0</v>
      </c>
      <c r="D2043" s="17" t="s">
        <v>801</v>
      </c>
      <c r="E2043" s="18">
        <v>3004310567007</v>
      </c>
      <c r="G2043" s="20" t="str">
        <f t="shared" si="93"/>
        <v xml:space="preserve"> ATTACHESCHAINE  </v>
      </c>
      <c r="H2043" s="20" t="str">
        <f t="shared" si="94"/>
        <v>SILVE</v>
      </c>
      <c r="I2043" s="20">
        <f t="shared" si="95"/>
        <v>0</v>
      </c>
    </row>
    <row r="2044" spans="1:9">
      <c r="A2044" s="17" t="s">
        <v>1143</v>
      </c>
      <c r="B2044" s="17" t="s">
        <v>872</v>
      </c>
      <c r="C2044" s="17">
        <v>0</v>
      </c>
      <c r="D2044" s="17" t="s">
        <v>801</v>
      </c>
      <c r="E2044" s="18">
        <v>3004310408003</v>
      </c>
      <c r="G2044" s="20" t="str">
        <f t="shared" si="93"/>
        <v xml:space="preserve"> ATTACHESCHAINE  </v>
      </c>
      <c r="H2044" s="20" t="str">
        <f t="shared" si="94"/>
        <v xml:space="preserve">SKB  </v>
      </c>
      <c r="I2044" s="20">
        <f t="shared" si="95"/>
        <v>0</v>
      </c>
    </row>
    <row r="2045" spans="1:9">
      <c r="A2045" s="17" t="s">
        <v>1143</v>
      </c>
      <c r="B2045" s="17" t="s">
        <v>872</v>
      </c>
      <c r="C2045" s="17">
        <v>0</v>
      </c>
      <c r="D2045" s="17" t="s">
        <v>801</v>
      </c>
      <c r="E2045" s="18">
        <v>8056095066010</v>
      </c>
      <c r="G2045" s="20" t="str">
        <f t="shared" si="93"/>
        <v xml:space="preserve"> ATTACHESCHAINE  </v>
      </c>
      <c r="H2045" s="20" t="str">
        <f t="shared" si="94"/>
        <v xml:space="preserve">SKB  </v>
      </c>
      <c r="I2045" s="20">
        <f t="shared" si="95"/>
        <v>0</v>
      </c>
    </row>
    <row r="2046" spans="1:9">
      <c r="A2046" s="17" t="s">
        <v>1143</v>
      </c>
      <c r="B2046" s="17" t="s">
        <v>1080</v>
      </c>
      <c r="C2046" s="17">
        <v>0</v>
      </c>
      <c r="D2046" s="17" t="s">
        <v>801</v>
      </c>
      <c r="E2046" s="18">
        <v>3004311074009</v>
      </c>
      <c r="G2046" s="20" t="str">
        <f t="shared" si="93"/>
        <v xml:space="preserve"> ATTACHESCHAINE  </v>
      </c>
      <c r="H2046" s="20" t="str">
        <f t="shared" si="94"/>
        <v>TERRA</v>
      </c>
      <c r="I2046" s="20">
        <f t="shared" si="95"/>
        <v>0</v>
      </c>
    </row>
    <row r="2047" spans="1:9">
      <c r="A2047" s="17" t="s">
        <v>1143</v>
      </c>
      <c r="B2047" s="17" t="s">
        <v>1080</v>
      </c>
      <c r="C2047" s="17">
        <v>0</v>
      </c>
      <c r="D2047" s="17" t="s">
        <v>801</v>
      </c>
      <c r="E2047" s="18">
        <v>8056095063934</v>
      </c>
      <c r="G2047" s="20" t="str">
        <f t="shared" si="93"/>
        <v xml:space="preserve"> ATTACHESCHAINE  </v>
      </c>
      <c r="H2047" s="20" t="str">
        <f t="shared" si="94"/>
        <v>TERRA</v>
      </c>
      <c r="I2047" s="20">
        <f t="shared" si="95"/>
        <v>0</v>
      </c>
    </row>
    <row r="2048" spans="1:9">
      <c r="A2048" s="17" t="s">
        <v>1143</v>
      </c>
      <c r="B2048" s="17" t="s">
        <v>841</v>
      </c>
      <c r="C2048" s="17">
        <v>0</v>
      </c>
      <c r="D2048" s="17" t="s">
        <v>801</v>
      </c>
      <c r="E2048" s="18">
        <v>3004970591008</v>
      </c>
      <c r="G2048" s="20" t="str">
        <f t="shared" si="93"/>
        <v xml:space="preserve"> ATTACHESCHAINE  </v>
      </c>
      <c r="H2048" s="20" t="str">
        <f t="shared" si="94"/>
        <v xml:space="preserve">TEST </v>
      </c>
      <c r="I2048" s="20">
        <f t="shared" si="95"/>
        <v>0</v>
      </c>
    </row>
    <row r="2049" spans="1:9">
      <c r="A2049" s="17" t="s">
        <v>1143</v>
      </c>
      <c r="B2049" s="17" t="s">
        <v>841</v>
      </c>
      <c r="C2049" s="17">
        <v>0</v>
      </c>
      <c r="D2049" s="17" t="s">
        <v>801</v>
      </c>
      <c r="E2049" s="18">
        <v>3004310591002</v>
      </c>
      <c r="G2049" s="20" t="str">
        <f t="shared" si="93"/>
        <v xml:space="preserve"> ATTACHESCHAINE  </v>
      </c>
      <c r="H2049" s="20" t="str">
        <f t="shared" si="94"/>
        <v xml:space="preserve">TEST </v>
      </c>
      <c r="I2049" s="20">
        <f t="shared" si="95"/>
        <v>0</v>
      </c>
    </row>
    <row r="2050" spans="1:9">
      <c r="A2050" s="17" t="s">
        <v>1143</v>
      </c>
      <c r="B2050" s="17" t="s">
        <v>841</v>
      </c>
      <c r="C2050" s="17">
        <v>0</v>
      </c>
      <c r="D2050" s="17" t="s">
        <v>801</v>
      </c>
      <c r="E2050" s="18">
        <v>8050450211138</v>
      </c>
      <c r="G2050" s="20" t="str">
        <f t="shared" si="93"/>
        <v xml:space="preserve"> ATTACHESCHAINE  </v>
      </c>
      <c r="H2050" s="20" t="str">
        <f t="shared" si="94"/>
        <v xml:space="preserve">TEST </v>
      </c>
      <c r="I2050" s="20">
        <f t="shared" si="95"/>
        <v>0</v>
      </c>
    </row>
    <row r="2051" spans="1:9">
      <c r="A2051" s="17" t="s">
        <v>1143</v>
      </c>
      <c r="B2051" s="17" t="s">
        <v>844</v>
      </c>
      <c r="C2051" s="17">
        <v>0</v>
      </c>
      <c r="D2051" s="17" t="s">
        <v>801</v>
      </c>
      <c r="E2051" s="18">
        <v>3004310715002</v>
      </c>
      <c r="G2051" s="20" t="str">
        <f t="shared" si="93"/>
        <v xml:space="preserve"> ATTACHESCHAINE  </v>
      </c>
      <c r="H2051" s="20" t="str">
        <f t="shared" si="94"/>
        <v>VERCI</v>
      </c>
      <c r="I2051" s="20">
        <f t="shared" si="95"/>
        <v>0</v>
      </c>
    </row>
    <row r="2052" spans="1:9">
      <c r="A2052" s="17" t="s">
        <v>1143</v>
      </c>
      <c r="B2052" s="17" t="s">
        <v>922</v>
      </c>
      <c r="C2052" s="17">
        <v>0</v>
      </c>
      <c r="D2052" s="17" t="s">
        <v>801</v>
      </c>
      <c r="E2052" s="18">
        <v>3004970661008</v>
      </c>
      <c r="G2052" s="20" t="str">
        <f t="shared" si="93"/>
        <v xml:space="preserve"> ATTACHESCHAINE  </v>
      </c>
      <c r="H2052" s="20" t="str">
        <f t="shared" si="94"/>
        <v>VERNO</v>
      </c>
      <c r="I2052" s="20">
        <f t="shared" si="95"/>
        <v>0</v>
      </c>
    </row>
    <row r="2053" spans="1:9">
      <c r="A2053" s="17" t="s">
        <v>1143</v>
      </c>
      <c r="B2053" s="17" t="s">
        <v>922</v>
      </c>
      <c r="C2053" s="17">
        <v>0</v>
      </c>
      <c r="D2053" s="17" t="s">
        <v>801</v>
      </c>
      <c r="E2053" s="18">
        <v>3004310661002</v>
      </c>
      <c r="G2053" s="20" t="str">
        <f t="shared" ref="G2053:G2116" si="96">A2053</f>
        <v xml:space="preserve"> ATTACHESCHAINE  </v>
      </c>
      <c r="H2053" s="20" t="str">
        <f t="shared" ref="H2053:H2116" si="97">B2053</f>
        <v>VERNO</v>
      </c>
      <c r="I2053" s="20">
        <f t="shared" ref="I2053:I2116" si="98">C2053</f>
        <v>0</v>
      </c>
    </row>
    <row r="2054" spans="1:9">
      <c r="A2054" s="17" t="s">
        <v>1143</v>
      </c>
      <c r="B2054" s="17" t="s">
        <v>922</v>
      </c>
      <c r="C2054" s="17">
        <v>0</v>
      </c>
      <c r="D2054" s="17" t="s">
        <v>801</v>
      </c>
      <c r="E2054" s="18">
        <v>8050450211121</v>
      </c>
      <c r="G2054" s="20" t="str">
        <f t="shared" si="96"/>
        <v xml:space="preserve"> ATTACHESCHAINE  </v>
      </c>
      <c r="H2054" s="20" t="str">
        <f t="shared" si="97"/>
        <v>VERNO</v>
      </c>
      <c r="I2054" s="20">
        <f t="shared" si="98"/>
        <v>0</v>
      </c>
    </row>
    <row r="2055" spans="1:9">
      <c r="A2055" s="17" t="s">
        <v>1143</v>
      </c>
      <c r="B2055" s="17" t="s">
        <v>845</v>
      </c>
      <c r="C2055" s="17">
        <v>0</v>
      </c>
      <c r="D2055" s="17" t="s">
        <v>801</v>
      </c>
      <c r="E2055" s="18">
        <v>3004310714005</v>
      </c>
      <c r="G2055" s="20" t="str">
        <f t="shared" si="96"/>
        <v xml:space="preserve"> ATTACHESCHAINE  </v>
      </c>
      <c r="H2055" s="20" t="str">
        <f t="shared" si="97"/>
        <v>VERRO</v>
      </c>
      <c r="I2055" s="20">
        <f t="shared" si="98"/>
        <v>0</v>
      </c>
    </row>
    <row r="2056" spans="1:9">
      <c r="A2056" s="17" t="s">
        <v>1144</v>
      </c>
      <c r="B2056" s="17" t="s">
        <v>1145</v>
      </c>
      <c r="C2056" s="17">
        <v>0</v>
      </c>
      <c r="D2056" s="17" t="s">
        <v>801</v>
      </c>
      <c r="E2056" s="18">
        <v>8058983591871</v>
      </c>
      <c r="G2056" s="20" t="str">
        <f t="shared" si="96"/>
        <v xml:space="preserve"> ATTACHESOPOCKET </v>
      </c>
      <c r="H2056" s="20" t="str">
        <f t="shared" si="97"/>
        <v>BEIGE</v>
      </c>
      <c r="I2056" s="20">
        <f t="shared" si="98"/>
        <v>0</v>
      </c>
    </row>
    <row r="2057" spans="1:9">
      <c r="A2057" s="17" t="s">
        <v>1144</v>
      </c>
      <c r="B2057" s="17" t="s">
        <v>1145</v>
      </c>
      <c r="C2057" s="17">
        <v>0</v>
      </c>
      <c r="D2057" s="17" t="s">
        <v>801</v>
      </c>
      <c r="E2057" s="18">
        <v>3004500274005</v>
      </c>
      <c r="G2057" s="20" t="str">
        <f t="shared" si="96"/>
        <v xml:space="preserve"> ATTACHESOPOCKET </v>
      </c>
      <c r="H2057" s="20" t="str">
        <f t="shared" si="97"/>
        <v>BEIGE</v>
      </c>
      <c r="I2057" s="20">
        <f t="shared" si="98"/>
        <v>0</v>
      </c>
    </row>
    <row r="2058" spans="1:9">
      <c r="A2058" s="17" t="s">
        <v>1144</v>
      </c>
      <c r="B2058" s="17" t="s">
        <v>280</v>
      </c>
      <c r="C2058" s="17">
        <v>0</v>
      </c>
      <c r="D2058" s="17" t="s">
        <v>801</v>
      </c>
      <c r="E2058" s="18">
        <v>3004500276009</v>
      </c>
      <c r="G2058" s="20" t="str">
        <f t="shared" si="96"/>
        <v xml:space="preserve"> ATTACHESOPOCKET </v>
      </c>
      <c r="H2058" s="20" t="str">
        <f t="shared" si="97"/>
        <v>BLACK</v>
      </c>
      <c r="I2058" s="20">
        <f t="shared" si="98"/>
        <v>0</v>
      </c>
    </row>
    <row r="2059" spans="1:9">
      <c r="A2059" s="17" t="s">
        <v>1144</v>
      </c>
      <c r="B2059" s="17" t="s">
        <v>280</v>
      </c>
      <c r="C2059" s="17">
        <v>0</v>
      </c>
      <c r="D2059" s="17" t="s">
        <v>801</v>
      </c>
      <c r="E2059" s="18">
        <v>8050450213255</v>
      </c>
      <c r="G2059" s="20" t="str">
        <f t="shared" si="96"/>
        <v xml:space="preserve"> ATTACHESOPOCKET </v>
      </c>
      <c r="H2059" s="20" t="str">
        <f t="shared" si="97"/>
        <v>BLACK</v>
      </c>
      <c r="I2059" s="20">
        <f t="shared" si="98"/>
        <v>0</v>
      </c>
    </row>
    <row r="2060" spans="1:9">
      <c r="A2060" s="17" t="s">
        <v>1144</v>
      </c>
      <c r="B2060" s="17" t="s">
        <v>869</v>
      </c>
      <c r="C2060" s="17">
        <v>0</v>
      </c>
      <c r="D2060" s="17" t="s">
        <v>801</v>
      </c>
      <c r="E2060" s="18">
        <v>3004500294003</v>
      </c>
      <c r="G2060" s="20" t="str">
        <f t="shared" si="96"/>
        <v xml:space="preserve"> ATTACHESOPOCKET </v>
      </c>
      <c r="H2060" s="20" t="str">
        <f t="shared" si="97"/>
        <v>BROWN</v>
      </c>
      <c r="I2060" s="20">
        <f t="shared" si="98"/>
        <v>0</v>
      </c>
    </row>
    <row r="2061" spans="1:9">
      <c r="A2061" s="17" t="s">
        <v>1144</v>
      </c>
      <c r="B2061" s="17" t="s">
        <v>869</v>
      </c>
      <c r="C2061" s="17">
        <v>0</v>
      </c>
      <c r="D2061" s="17" t="s">
        <v>801</v>
      </c>
      <c r="E2061" s="18">
        <v>8050450213279</v>
      </c>
      <c r="G2061" s="20" t="str">
        <f t="shared" si="96"/>
        <v xml:space="preserve"> ATTACHESOPOCKET </v>
      </c>
      <c r="H2061" s="20" t="str">
        <f t="shared" si="97"/>
        <v>BROWN</v>
      </c>
      <c r="I2061" s="20">
        <f t="shared" si="98"/>
        <v>0</v>
      </c>
    </row>
    <row r="2062" spans="1:9">
      <c r="A2062" s="17" t="s">
        <v>1144</v>
      </c>
      <c r="B2062" s="17" t="s">
        <v>834</v>
      </c>
      <c r="C2062" s="17">
        <v>0</v>
      </c>
      <c r="D2062" s="17" t="s">
        <v>801</v>
      </c>
      <c r="E2062" s="18">
        <v>3004500794008</v>
      </c>
      <c r="G2062" s="20" t="str">
        <f t="shared" si="96"/>
        <v xml:space="preserve"> ATTACHESOPOCKET </v>
      </c>
      <c r="H2062" s="20" t="str">
        <f t="shared" si="97"/>
        <v>GOACQ</v>
      </c>
      <c r="I2062" s="20">
        <f t="shared" si="98"/>
        <v>0</v>
      </c>
    </row>
    <row r="2063" spans="1:9">
      <c r="A2063" s="17" t="s">
        <v>1144</v>
      </c>
      <c r="B2063" s="17" t="s">
        <v>835</v>
      </c>
      <c r="C2063" s="17">
        <v>0</v>
      </c>
      <c r="D2063" s="17" t="s">
        <v>801</v>
      </c>
      <c r="E2063" s="18">
        <v>3004500796002</v>
      </c>
      <c r="G2063" s="20" t="str">
        <f t="shared" si="96"/>
        <v xml:space="preserve"> ATTACHESOPOCKET </v>
      </c>
      <c r="H2063" s="20" t="str">
        <f t="shared" si="97"/>
        <v>GOICE</v>
      </c>
      <c r="I2063" s="20">
        <f t="shared" si="98"/>
        <v>0</v>
      </c>
    </row>
    <row r="2064" spans="1:9">
      <c r="A2064" s="17" t="s">
        <v>1144</v>
      </c>
      <c r="B2064" s="17" t="s">
        <v>836</v>
      </c>
      <c r="C2064" s="17">
        <v>0</v>
      </c>
      <c r="D2064" s="17" t="s">
        <v>801</v>
      </c>
      <c r="E2064" s="18">
        <v>3004500795005</v>
      </c>
      <c r="G2064" s="20" t="str">
        <f t="shared" si="96"/>
        <v xml:space="preserve"> ATTACHESOPOCKET </v>
      </c>
      <c r="H2064" s="20" t="str">
        <f t="shared" si="97"/>
        <v>GOIRI</v>
      </c>
      <c r="I2064" s="20">
        <f t="shared" si="98"/>
        <v>0</v>
      </c>
    </row>
    <row r="2065" spans="1:9">
      <c r="A2065" s="17" t="s">
        <v>1144</v>
      </c>
      <c r="B2065" s="17" t="s">
        <v>837</v>
      </c>
      <c r="C2065" s="17">
        <v>0</v>
      </c>
      <c r="D2065" s="17" t="s">
        <v>801</v>
      </c>
      <c r="E2065" s="18">
        <v>3004500800006</v>
      </c>
      <c r="G2065" s="20" t="str">
        <f t="shared" si="96"/>
        <v xml:space="preserve"> ATTACHESOPOCKET </v>
      </c>
      <c r="H2065" s="20" t="str">
        <f t="shared" si="97"/>
        <v>GOMAG</v>
      </c>
      <c r="I2065" s="20">
        <f t="shared" si="98"/>
        <v>0</v>
      </c>
    </row>
    <row r="2066" spans="1:9">
      <c r="A2066" s="17" t="s">
        <v>1144</v>
      </c>
      <c r="B2066" s="17" t="s">
        <v>922</v>
      </c>
      <c r="C2066" s="17">
        <v>0</v>
      </c>
      <c r="D2066" s="17" t="s">
        <v>801</v>
      </c>
      <c r="E2066" s="18">
        <v>3004500661003</v>
      </c>
      <c r="G2066" s="20" t="str">
        <f t="shared" si="96"/>
        <v xml:space="preserve"> ATTACHESOPOCKET </v>
      </c>
      <c r="H2066" s="20" t="str">
        <f t="shared" si="97"/>
        <v>VERNO</v>
      </c>
      <c r="I2066" s="20">
        <f t="shared" si="98"/>
        <v>0</v>
      </c>
    </row>
    <row r="2067" spans="1:9">
      <c r="A2067" s="17" t="s">
        <v>1146</v>
      </c>
      <c r="B2067" s="17" t="s">
        <v>1147</v>
      </c>
      <c r="C2067" s="17">
        <v>0</v>
      </c>
      <c r="D2067" s="17" t="s">
        <v>801</v>
      </c>
      <c r="E2067" s="18">
        <v>3002331057002</v>
      </c>
      <c r="G2067" s="20" t="str">
        <f t="shared" si="96"/>
        <v xml:space="preserve"> BANDOBASKET     </v>
      </c>
      <c r="H2067" s="20" t="str">
        <f t="shared" si="97"/>
        <v>ALNAT</v>
      </c>
      <c r="I2067" s="20">
        <f t="shared" si="98"/>
        <v>0</v>
      </c>
    </row>
    <row r="2068" spans="1:9">
      <c r="A2068" s="17" t="s">
        <v>1146</v>
      </c>
      <c r="B2068" s="17" t="s">
        <v>1148</v>
      </c>
      <c r="C2068" s="17">
        <v>0</v>
      </c>
      <c r="D2068" s="17" t="s">
        <v>801</v>
      </c>
      <c r="E2068" s="18">
        <v>3002331055008</v>
      </c>
      <c r="G2068" s="20" t="str">
        <f t="shared" si="96"/>
        <v xml:space="preserve"> BANDOBASKET     </v>
      </c>
      <c r="H2068" s="20" t="str">
        <f t="shared" si="97"/>
        <v>ALNER</v>
      </c>
      <c r="I2068" s="20">
        <f t="shared" si="98"/>
        <v>0</v>
      </c>
    </row>
    <row r="2069" spans="1:9">
      <c r="A2069" s="17" t="s">
        <v>1146</v>
      </c>
      <c r="B2069" s="17" t="s">
        <v>1149</v>
      </c>
      <c r="C2069" s="17">
        <v>0</v>
      </c>
      <c r="D2069" s="17" t="s">
        <v>801</v>
      </c>
      <c r="E2069" s="18">
        <v>3002331056005</v>
      </c>
      <c r="G2069" s="20" t="str">
        <f t="shared" si="96"/>
        <v xml:space="preserve"> BANDOBASKET     </v>
      </c>
      <c r="H2069" s="20" t="str">
        <f t="shared" si="97"/>
        <v>ALTES</v>
      </c>
      <c r="I2069" s="20">
        <f t="shared" si="98"/>
        <v>0</v>
      </c>
    </row>
    <row r="2070" spans="1:9">
      <c r="A2070" s="17" t="s">
        <v>1146</v>
      </c>
      <c r="B2070" s="17" t="s">
        <v>280</v>
      </c>
      <c r="C2070" s="17">
        <v>0</v>
      </c>
      <c r="D2070" s="17" t="s">
        <v>801</v>
      </c>
      <c r="E2070" s="18">
        <v>3004300004000</v>
      </c>
      <c r="G2070" s="20" t="str">
        <f t="shared" si="96"/>
        <v xml:space="preserve"> BANDOBASKET     </v>
      </c>
      <c r="H2070" s="20" t="str">
        <f t="shared" si="97"/>
        <v>BLACK</v>
      </c>
      <c r="I2070" s="20">
        <f t="shared" si="98"/>
        <v>0</v>
      </c>
    </row>
    <row r="2071" spans="1:9">
      <c r="A2071" s="17" t="s">
        <v>1146</v>
      </c>
      <c r="B2071" s="17" t="s">
        <v>280</v>
      </c>
      <c r="C2071" s="17">
        <v>0</v>
      </c>
      <c r="D2071" s="17" t="s">
        <v>801</v>
      </c>
      <c r="E2071" s="18">
        <v>8050450210650</v>
      </c>
      <c r="G2071" s="20" t="str">
        <f t="shared" si="96"/>
        <v xml:space="preserve"> BANDOBASKET     </v>
      </c>
      <c r="H2071" s="20" t="str">
        <f t="shared" si="97"/>
        <v>BLACK</v>
      </c>
      <c r="I2071" s="20">
        <f t="shared" si="98"/>
        <v>0</v>
      </c>
    </row>
    <row r="2072" spans="1:9">
      <c r="A2072" s="17" t="s">
        <v>1146</v>
      </c>
      <c r="B2072" s="17" t="s">
        <v>869</v>
      </c>
      <c r="C2072" s="17">
        <v>0</v>
      </c>
      <c r="D2072" s="17" t="s">
        <v>801</v>
      </c>
      <c r="E2072" s="18">
        <v>3004300554000</v>
      </c>
      <c r="G2072" s="20" t="str">
        <f t="shared" si="96"/>
        <v xml:space="preserve"> BANDOBASKET     </v>
      </c>
      <c r="H2072" s="20" t="str">
        <f t="shared" si="97"/>
        <v>BROWN</v>
      </c>
      <c r="I2072" s="20">
        <f t="shared" si="98"/>
        <v>0</v>
      </c>
    </row>
    <row r="2073" spans="1:9">
      <c r="A2073" s="17" t="s">
        <v>1146</v>
      </c>
      <c r="B2073" s="17" t="s">
        <v>869</v>
      </c>
      <c r="C2073" s="17">
        <v>0</v>
      </c>
      <c r="D2073" s="17" t="s">
        <v>801</v>
      </c>
      <c r="E2073" s="18">
        <v>8050450218571</v>
      </c>
      <c r="G2073" s="20" t="str">
        <f t="shared" si="96"/>
        <v xml:space="preserve"> BANDOBASKET     </v>
      </c>
      <c r="H2073" s="20" t="str">
        <f t="shared" si="97"/>
        <v>BROWN</v>
      </c>
      <c r="I2073" s="20">
        <f t="shared" si="98"/>
        <v>0</v>
      </c>
    </row>
    <row r="2074" spans="1:9">
      <c r="A2074" s="17" t="s">
        <v>1146</v>
      </c>
      <c r="B2074" s="17" t="s">
        <v>1150</v>
      </c>
      <c r="C2074" s="17">
        <v>0</v>
      </c>
      <c r="D2074" s="17" t="s">
        <v>801</v>
      </c>
      <c r="E2074" s="18">
        <v>3002330660005</v>
      </c>
      <c r="G2074" s="20" t="str">
        <f t="shared" si="96"/>
        <v xml:space="preserve"> BANDOBASKET     </v>
      </c>
      <c r="H2074" s="20" t="str">
        <f t="shared" si="97"/>
        <v>CHABR</v>
      </c>
      <c r="I2074" s="20">
        <f t="shared" si="98"/>
        <v>0</v>
      </c>
    </row>
    <row r="2075" spans="1:9">
      <c r="A2075" s="17" t="s">
        <v>1146</v>
      </c>
      <c r="B2075" s="17" t="s">
        <v>1151</v>
      </c>
      <c r="C2075" s="17">
        <v>0</v>
      </c>
      <c r="D2075" s="17" t="s">
        <v>801</v>
      </c>
      <c r="E2075" s="18">
        <v>3002330659009</v>
      </c>
      <c r="G2075" s="20" t="str">
        <f t="shared" si="96"/>
        <v xml:space="preserve"> BANDOBASKET     </v>
      </c>
      <c r="H2075" s="20" t="str">
        <f t="shared" si="97"/>
        <v>CHAOR</v>
      </c>
      <c r="I2075" s="20">
        <f t="shared" si="98"/>
        <v>0</v>
      </c>
    </row>
    <row r="2076" spans="1:9">
      <c r="A2076" s="17" t="s">
        <v>1146</v>
      </c>
      <c r="B2076" s="17" t="s">
        <v>1152</v>
      </c>
      <c r="C2076" s="17">
        <v>0</v>
      </c>
      <c r="D2076" s="17" t="s">
        <v>801</v>
      </c>
      <c r="E2076" s="18">
        <v>3002330658002</v>
      </c>
      <c r="G2076" s="20" t="str">
        <f t="shared" si="96"/>
        <v xml:space="preserve"> BANDOBASKET     </v>
      </c>
      <c r="H2076" s="20" t="str">
        <f t="shared" si="97"/>
        <v>CHASI</v>
      </c>
      <c r="I2076" s="20">
        <f t="shared" si="98"/>
        <v>0</v>
      </c>
    </row>
    <row r="2077" spans="1:9">
      <c r="A2077" s="17" t="s">
        <v>1146</v>
      </c>
      <c r="B2077" s="17" t="s">
        <v>991</v>
      </c>
      <c r="C2077" s="17">
        <v>0</v>
      </c>
      <c r="D2077" s="17" t="s">
        <v>801</v>
      </c>
      <c r="E2077" s="18">
        <v>3004300571007</v>
      </c>
      <c r="G2077" s="20" t="str">
        <f t="shared" si="96"/>
        <v xml:space="preserve"> BANDOBASKET     </v>
      </c>
      <c r="H2077" s="20" t="str">
        <f t="shared" si="97"/>
        <v>CROBL</v>
      </c>
      <c r="I2077" s="20">
        <f t="shared" si="98"/>
        <v>0</v>
      </c>
    </row>
    <row r="2078" spans="1:9">
      <c r="A2078" s="17" t="s">
        <v>1146</v>
      </c>
      <c r="B2078" s="17" t="s">
        <v>992</v>
      </c>
      <c r="C2078" s="17">
        <v>0</v>
      </c>
      <c r="D2078" s="17" t="s">
        <v>801</v>
      </c>
      <c r="E2078" s="18">
        <v>3004300572004</v>
      </c>
      <c r="G2078" s="20" t="str">
        <f t="shared" si="96"/>
        <v xml:space="preserve"> BANDOBASKET     </v>
      </c>
      <c r="H2078" s="20" t="str">
        <f t="shared" si="97"/>
        <v>CROBR</v>
      </c>
      <c r="I2078" s="20">
        <f t="shared" si="98"/>
        <v>0</v>
      </c>
    </row>
    <row r="2079" spans="1:9">
      <c r="A2079" s="17" t="s">
        <v>1146</v>
      </c>
      <c r="B2079" s="17" t="s">
        <v>1153</v>
      </c>
      <c r="C2079" s="17">
        <v>0</v>
      </c>
      <c r="D2079" s="17" t="s">
        <v>801</v>
      </c>
      <c r="E2079" s="18">
        <v>3004300251008</v>
      </c>
      <c r="G2079" s="20" t="str">
        <f t="shared" si="96"/>
        <v xml:space="preserve"> BANDOBASKET     </v>
      </c>
      <c r="H2079" s="20" t="str">
        <f t="shared" si="97"/>
        <v xml:space="preserve">CUIB </v>
      </c>
      <c r="I2079" s="20">
        <f t="shared" si="98"/>
        <v>0</v>
      </c>
    </row>
    <row r="2080" spans="1:9">
      <c r="A2080" s="17" t="s">
        <v>1146</v>
      </c>
      <c r="B2080" s="17" t="s">
        <v>1047</v>
      </c>
      <c r="C2080" s="17">
        <v>0</v>
      </c>
      <c r="D2080" s="17" t="s">
        <v>801</v>
      </c>
      <c r="E2080" s="18">
        <v>3004300252005</v>
      </c>
      <c r="G2080" s="20" t="str">
        <f t="shared" si="96"/>
        <v xml:space="preserve"> BANDOBASKET     </v>
      </c>
      <c r="H2080" s="20" t="str">
        <f t="shared" si="97"/>
        <v>CUIMA</v>
      </c>
      <c r="I2080" s="20">
        <f t="shared" si="98"/>
        <v>0</v>
      </c>
    </row>
    <row r="2081" spans="1:9">
      <c r="A2081" s="17" t="s">
        <v>1146</v>
      </c>
      <c r="B2081" s="17" t="s">
        <v>1154</v>
      </c>
      <c r="C2081" s="17">
        <v>0</v>
      </c>
      <c r="D2081" s="17" t="s">
        <v>801</v>
      </c>
      <c r="E2081" s="18">
        <v>3004300200006</v>
      </c>
      <c r="G2081" s="20" t="str">
        <f t="shared" si="96"/>
        <v xml:space="preserve"> BANDOBASKET     </v>
      </c>
      <c r="H2081" s="20" t="str">
        <f t="shared" si="97"/>
        <v xml:space="preserve">FLBL </v>
      </c>
      <c r="I2081" s="20">
        <f t="shared" si="98"/>
        <v>0</v>
      </c>
    </row>
    <row r="2082" spans="1:9">
      <c r="A2082" s="17" t="s">
        <v>1146</v>
      </c>
      <c r="B2082" s="17" t="s">
        <v>1089</v>
      </c>
      <c r="C2082" s="17">
        <v>0</v>
      </c>
      <c r="D2082" s="17" t="s">
        <v>801</v>
      </c>
      <c r="E2082" s="18">
        <v>3002330461008</v>
      </c>
      <c r="G2082" s="20" t="str">
        <f t="shared" si="96"/>
        <v xml:space="preserve"> BANDOBASKET     </v>
      </c>
      <c r="H2082" s="20" t="str">
        <f t="shared" si="97"/>
        <v xml:space="preserve">FLGR </v>
      </c>
      <c r="I2082" s="20">
        <f t="shared" si="98"/>
        <v>0</v>
      </c>
    </row>
    <row r="2083" spans="1:9">
      <c r="A2083" s="17" t="s">
        <v>1146</v>
      </c>
      <c r="B2083" s="17" t="s">
        <v>1089</v>
      </c>
      <c r="C2083" s="17">
        <v>0</v>
      </c>
      <c r="D2083" s="17" t="s">
        <v>801</v>
      </c>
      <c r="E2083" s="18">
        <v>3004300203007</v>
      </c>
      <c r="G2083" s="20" t="str">
        <f t="shared" si="96"/>
        <v xml:space="preserve"> BANDOBASKET     </v>
      </c>
      <c r="H2083" s="20" t="str">
        <f t="shared" si="97"/>
        <v xml:space="preserve">FLGR </v>
      </c>
      <c r="I2083" s="20">
        <f t="shared" si="98"/>
        <v>0</v>
      </c>
    </row>
    <row r="2084" spans="1:9">
      <c r="A2084" s="17" t="s">
        <v>1146</v>
      </c>
      <c r="B2084" s="17" t="s">
        <v>1155</v>
      </c>
      <c r="C2084" s="17">
        <v>0</v>
      </c>
      <c r="D2084" s="17" t="s">
        <v>801</v>
      </c>
      <c r="E2084" s="18">
        <v>3002330331004</v>
      </c>
      <c r="G2084" s="20" t="str">
        <f t="shared" si="96"/>
        <v xml:space="preserve"> BANDOBASKET     </v>
      </c>
      <c r="H2084" s="20" t="str">
        <f t="shared" si="97"/>
        <v>FLROS</v>
      </c>
      <c r="I2084" s="20">
        <f t="shared" si="98"/>
        <v>0</v>
      </c>
    </row>
    <row r="2085" spans="1:9">
      <c r="A2085" s="17" t="s">
        <v>1146</v>
      </c>
      <c r="B2085" s="17" t="s">
        <v>1155</v>
      </c>
      <c r="C2085" s="17">
        <v>0</v>
      </c>
      <c r="D2085" s="17" t="s">
        <v>801</v>
      </c>
      <c r="E2085" s="18">
        <v>3004300129000</v>
      </c>
      <c r="G2085" s="20" t="str">
        <f t="shared" si="96"/>
        <v xml:space="preserve"> BANDOBASKET     </v>
      </c>
      <c r="H2085" s="20" t="str">
        <f t="shared" si="97"/>
        <v>FLROS</v>
      </c>
      <c r="I2085" s="20">
        <f t="shared" si="98"/>
        <v>0</v>
      </c>
    </row>
    <row r="2086" spans="1:9">
      <c r="A2086" s="17" t="s">
        <v>1146</v>
      </c>
      <c r="B2086" s="17" t="s">
        <v>1057</v>
      </c>
      <c r="C2086" s="17">
        <v>0</v>
      </c>
      <c r="D2086" s="17" t="s">
        <v>801</v>
      </c>
      <c r="E2086" s="18">
        <v>3004301007000</v>
      </c>
      <c r="G2086" s="20" t="str">
        <f t="shared" si="96"/>
        <v xml:space="preserve"> BANDOBASKET     </v>
      </c>
      <c r="H2086" s="20" t="str">
        <f t="shared" si="97"/>
        <v xml:space="preserve">MAR  </v>
      </c>
      <c r="I2086" s="20">
        <f t="shared" si="98"/>
        <v>0</v>
      </c>
    </row>
    <row r="2087" spans="1:9">
      <c r="A2087" s="17" t="s">
        <v>1146</v>
      </c>
      <c r="B2087" s="17" t="s">
        <v>1092</v>
      </c>
      <c r="C2087" s="17">
        <v>0</v>
      </c>
      <c r="D2087" s="17" t="s">
        <v>801</v>
      </c>
      <c r="E2087" s="18">
        <v>3004301004009</v>
      </c>
      <c r="G2087" s="20" t="str">
        <f t="shared" si="96"/>
        <v xml:space="preserve"> BANDOBASKET     </v>
      </c>
      <c r="H2087" s="20" t="str">
        <f t="shared" si="97"/>
        <v>MULTI</v>
      </c>
      <c r="I2087" s="20">
        <f t="shared" si="98"/>
        <v>0</v>
      </c>
    </row>
    <row r="2088" spans="1:9">
      <c r="A2088" s="17" t="s">
        <v>1146</v>
      </c>
      <c r="B2088" s="17" t="s">
        <v>1007</v>
      </c>
      <c r="C2088" s="17">
        <v>0</v>
      </c>
      <c r="D2088" s="17" t="s">
        <v>801</v>
      </c>
      <c r="E2088" s="18">
        <v>8056099170539</v>
      </c>
      <c r="G2088" s="20" t="str">
        <f t="shared" si="96"/>
        <v xml:space="preserve"> BANDOBASKET     </v>
      </c>
      <c r="H2088" s="20" t="str">
        <f t="shared" si="97"/>
        <v>SACGR</v>
      </c>
      <c r="I2088" s="20">
        <f t="shared" si="98"/>
        <v>0</v>
      </c>
    </row>
    <row r="2089" spans="1:9">
      <c r="A2089" s="17" t="s">
        <v>1146</v>
      </c>
      <c r="B2089" s="17" t="s">
        <v>1033</v>
      </c>
      <c r="C2089" s="17">
        <v>0</v>
      </c>
      <c r="D2089" s="17" t="s">
        <v>801</v>
      </c>
      <c r="E2089" s="18">
        <v>8056099170522</v>
      </c>
      <c r="G2089" s="20" t="str">
        <f t="shared" si="96"/>
        <v xml:space="preserve"> BANDOBASKET     </v>
      </c>
      <c r="H2089" s="20" t="str">
        <f t="shared" si="97"/>
        <v>SAKOC</v>
      </c>
      <c r="I2089" s="20">
        <f t="shared" si="98"/>
        <v>0</v>
      </c>
    </row>
    <row r="2090" spans="1:9">
      <c r="A2090" s="17" t="s">
        <v>1146</v>
      </c>
      <c r="B2090" s="17" t="s">
        <v>842</v>
      </c>
      <c r="C2090" s="17">
        <v>0</v>
      </c>
      <c r="D2090" s="17" t="s">
        <v>801</v>
      </c>
      <c r="E2090" s="18">
        <v>3002330768008</v>
      </c>
      <c r="G2090" s="20" t="str">
        <f t="shared" si="96"/>
        <v xml:space="preserve"> BANDOBASKET     </v>
      </c>
      <c r="H2090" s="20" t="str">
        <f t="shared" si="97"/>
        <v>TREBR</v>
      </c>
      <c r="I2090" s="20">
        <f t="shared" si="98"/>
        <v>0</v>
      </c>
    </row>
    <row r="2091" spans="1:9">
      <c r="A2091" s="17" t="s">
        <v>1146</v>
      </c>
      <c r="B2091" s="17" t="s">
        <v>843</v>
      </c>
      <c r="C2091" s="17">
        <v>0</v>
      </c>
      <c r="D2091" s="17" t="s">
        <v>801</v>
      </c>
      <c r="E2091" s="18">
        <v>3002330767001</v>
      </c>
      <c r="G2091" s="20" t="str">
        <f t="shared" si="96"/>
        <v xml:space="preserve"> BANDOBASKET     </v>
      </c>
      <c r="H2091" s="20" t="str">
        <f t="shared" si="97"/>
        <v>TRENA</v>
      </c>
      <c r="I2091" s="20">
        <f t="shared" si="98"/>
        <v>0</v>
      </c>
    </row>
    <row r="2092" spans="1:9">
      <c r="A2092" s="17" t="s">
        <v>1146</v>
      </c>
      <c r="B2092" s="17" t="s">
        <v>273</v>
      </c>
      <c r="C2092" s="17">
        <v>0</v>
      </c>
      <c r="D2092" s="17" t="s">
        <v>801</v>
      </c>
      <c r="E2092" s="18">
        <v>3004300005007</v>
      </c>
      <c r="G2092" s="20" t="str">
        <f t="shared" si="96"/>
        <v xml:space="preserve"> BANDOBASKET     </v>
      </c>
      <c r="H2092" s="20" t="str">
        <f t="shared" si="97"/>
        <v>WHITE</v>
      </c>
      <c r="I2092" s="20">
        <f t="shared" si="98"/>
        <v>0</v>
      </c>
    </row>
    <row r="2093" spans="1:9">
      <c r="A2093" s="17" t="s">
        <v>1146</v>
      </c>
      <c r="B2093" s="17" t="s">
        <v>273</v>
      </c>
      <c r="C2093" s="17">
        <v>0</v>
      </c>
      <c r="D2093" s="17" t="s">
        <v>801</v>
      </c>
      <c r="E2093" s="18">
        <v>8050450218588</v>
      </c>
      <c r="G2093" s="20" t="str">
        <f t="shared" si="96"/>
        <v xml:space="preserve"> BANDOBASKET     </v>
      </c>
      <c r="H2093" s="20" t="str">
        <f t="shared" si="97"/>
        <v>WHITE</v>
      </c>
      <c r="I2093" s="20">
        <f t="shared" si="98"/>
        <v>0</v>
      </c>
    </row>
    <row r="2094" spans="1:9">
      <c r="A2094" s="17" t="s">
        <v>1156</v>
      </c>
      <c r="B2094" s="17" t="s">
        <v>280</v>
      </c>
      <c r="C2094" s="17">
        <v>0</v>
      </c>
      <c r="D2094" s="17" t="s">
        <v>801</v>
      </c>
      <c r="E2094" s="18">
        <v>3004390004003</v>
      </c>
      <c r="G2094" s="20" t="str">
        <f t="shared" si="96"/>
        <v xml:space="preserve"> BANDOBODY       </v>
      </c>
      <c r="H2094" s="20" t="str">
        <f t="shared" si="97"/>
        <v>BLACK</v>
      </c>
      <c r="I2094" s="20">
        <f t="shared" si="98"/>
        <v>0</v>
      </c>
    </row>
    <row r="2095" spans="1:9">
      <c r="A2095" s="17" t="s">
        <v>1156</v>
      </c>
      <c r="B2095" s="17" t="s">
        <v>1157</v>
      </c>
      <c r="C2095" s="17">
        <v>0</v>
      </c>
      <c r="D2095" s="17" t="s">
        <v>801</v>
      </c>
      <c r="E2095" s="18">
        <v>8050846018853</v>
      </c>
      <c r="G2095" s="20" t="str">
        <f t="shared" si="96"/>
        <v xml:space="preserve"> BANDOBODY       </v>
      </c>
      <c r="H2095" s="20" t="str">
        <f t="shared" si="97"/>
        <v xml:space="preserve">BLOR </v>
      </c>
      <c r="I2095" s="20">
        <f t="shared" si="98"/>
        <v>0</v>
      </c>
    </row>
    <row r="2096" spans="1:9">
      <c r="A2096" s="17" t="s">
        <v>1156</v>
      </c>
      <c r="B2096" s="17" t="s">
        <v>810</v>
      </c>
      <c r="C2096" s="17">
        <v>0</v>
      </c>
      <c r="D2096" s="17" t="s">
        <v>801</v>
      </c>
      <c r="E2096" s="18">
        <v>3004390319008</v>
      </c>
      <c r="G2096" s="20" t="str">
        <f t="shared" si="96"/>
        <v xml:space="preserve"> BANDOBODY       </v>
      </c>
      <c r="H2096" s="20" t="str">
        <f t="shared" si="97"/>
        <v xml:space="preserve">BLUE </v>
      </c>
      <c r="I2096" s="20">
        <f t="shared" si="98"/>
        <v>0</v>
      </c>
    </row>
    <row r="2097" spans="1:9">
      <c r="A2097" s="17" t="s">
        <v>1156</v>
      </c>
      <c r="B2097" s="17" t="s">
        <v>869</v>
      </c>
      <c r="C2097" s="17">
        <v>0</v>
      </c>
      <c r="D2097" s="17" t="s">
        <v>801</v>
      </c>
      <c r="E2097" s="18">
        <v>3004390554003</v>
      </c>
      <c r="G2097" s="20" t="str">
        <f t="shared" si="96"/>
        <v xml:space="preserve"> BANDOBODY       </v>
      </c>
      <c r="H2097" s="20" t="str">
        <f t="shared" si="97"/>
        <v>BROWN</v>
      </c>
      <c r="I2097" s="20">
        <f t="shared" si="98"/>
        <v>0</v>
      </c>
    </row>
    <row r="2098" spans="1:9">
      <c r="A2098" s="17" t="s">
        <v>1156</v>
      </c>
      <c r="B2098" s="17" t="s">
        <v>869</v>
      </c>
      <c r="C2098" s="17">
        <v>0</v>
      </c>
      <c r="D2098" s="17" t="s">
        <v>801</v>
      </c>
      <c r="E2098" s="18">
        <v>8050450215419</v>
      </c>
      <c r="G2098" s="20" t="str">
        <f t="shared" si="96"/>
        <v xml:space="preserve"> BANDOBODY       </v>
      </c>
      <c r="H2098" s="20" t="str">
        <f t="shared" si="97"/>
        <v>BROWN</v>
      </c>
      <c r="I2098" s="20">
        <f t="shared" si="98"/>
        <v>0</v>
      </c>
    </row>
    <row r="2099" spans="1:9">
      <c r="A2099" s="17" t="s">
        <v>1156</v>
      </c>
      <c r="B2099" s="17" t="s">
        <v>1158</v>
      </c>
      <c r="C2099" s="17">
        <v>0</v>
      </c>
      <c r="D2099" s="17" t="s">
        <v>801</v>
      </c>
      <c r="E2099" s="18">
        <v>3002340662006</v>
      </c>
      <c r="G2099" s="20" t="str">
        <f t="shared" si="96"/>
        <v xml:space="preserve"> BANDOBODY       </v>
      </c>
      <c r="H2099" s="20" t="str">
        <f t="shared" si="97"/>
        <v>CHAIN</v>
      </c>
      <c r="I2099" s="20">
        <f t="shared" si="98"/>
        <v>0</v>
      </c>
    </row>
    <row r="2100" spans="1:9">
      <c r="A2100" s="17" t="s">
        <v>1156</v>
      </c>
      <c r="B2100" s="17" t="s">
        <v>1152</v>
      </c>
      <c r="C2100" s="17">
        <v>0</v>
      </c>
      <c r="D2100" s="17" t="s">
        <v>801</v>
      </c>
      <c r="E2100" s="18">
        <v>3002340658009</v>
      </c>
      <c r="G2100" s="20" t="str">
        <f t="shared" si="96"/>
        <v xml:space="preserve"> BANDOBODY       </v>
      </c>
      <c r="H2100" s="20" t="str">
        <f t="shared" si="97"/>
        <v>CHASI</v>
      </c>
      <c r="I2100" s="20">
        <f t="shared" si="98"/>
        <v>0</v>
      </c>
    </row>
    <row r="2101" spans="1:9">
      <c r="A2101" s="17" t="s">
        <v>1156</v>
      </c>
      <c r="B2101" s="17" t="s">
        <v>1152</v>
      </c>
      <c r="C2101" s="17">
        <v>0</v>
      </c>
      <c r="D2101" s="17" t="s">
        <v>801</v>
      </c>
      <c r="E2101" s="18">
        <v>8050450212470</v>
      </c>
      <c r="G2101" s="20" t="str">
        <f t="shared" si="96"/>
        <v xml:space="preserve"> BANDOBODY       </v>
      </c>
      <c r="H2101" s="20" t="str">
        <f t="shared" si="97"/>
        <v>CHASI</v>
      </c>
      <c r="I2101" s="20">
        <f t="shared" si="98"/>
        <v>0</v>
      </c>
    </row>
    <row r="2102" spans="1:9">
      <c r="A2102" s="17" t="s">
        <v>1156</v>
      </c>
      <c r="B2102" s="17" t="s">
        <v>1159</v>
      </c>
      <c r="C2102" s="17">
        <v>0</v>
      </c>
      <c r="D2102" s="17" t="s">
        <v>801</v>
      </c>
      <c r="E2102" s="18">
        <v>3004390118007</v>
      </c>
      <c r="G2102" s="20" t="str">
        <f t="shared" si="96"/>
        <v xml:space="preserve"> BANDOBODY       </v>
      </c>
      <c r="H2102" s="20" t="str">
        <f t="shared" si="97"/>
        <v xml:space="preserve">CNOI </v>
      </c>
      <c r="I2102" s="20">
        <f t="shared" si="98"/>
        <v>0</v>
      </c>
    </row>
    <row r="2103" spans="1:9">
      <c r="A2103" s="17" t="s">
        <v>1156</v>
      </c>
      <c r="B2103" s="17" t="s">
        <v>1160</v>
      </c>
      <c r="C2103" s="17">
        <v>0</v>
      </c>
      <c r="D2103" s="17" t="s">
        <v>801</v>
      </c>
      <c r="E2103" s="18">
        <v>3002340766001</v>
      </c>
      <c r="G2103" s="20" t="str">
        <f t="shared" si="96"/>
        <v xml:space="preserve"> BANDOBODY       </v>
      </c>
      <c r="H2103" s="20" t="str">
        <f t="shared" si="97"/>
        <v>ECOAZ</v>
      </c>
      <c r="I2103" s="20">
        <f t="shared" si="98"/>
        <v>0</v>
      </c>
    </row>
    <row r="2104" spans="1:9">
      <c r="A2104" s="17" t="s">
        <v>1156</v>
      </c>
      <c r="B2104" s="17" t="s">
        <v>1053</v>
      </c>
      <c r="C2104" s="17">
        <v>0</v>
      </c>
      <c r="D2104" s="17" t="s">
        <v>801</v>
      </c>
      <c r="E2104" s="18">
        <v>3004390171002</v>
      </c>
      <c r="G2104" s="20" t="str">
        <f t="shared" si="96"/>
        <v xml:space="preserve"> BANDOBODY       </v>
      </c>
      <c r="H2104" s="20" t="str">
        <f t="shared" si="97"/>
        <v xml:space="preserve">ECOB </v>
      </c>
      <c r="I2104" s="20">
        <f t="shared" si="98"/>
        <v>0</v>
      </c>
    </row>
    <row r="2105" spans="1:9">
      <c r="A2105" s="17" t="s">
        <v>1156</v>
      </c>
      <c r="B2105" s="17" t="s">
        <v>1053</v>
      </c>
      <c r="C2105" s="17">
        <v>0</v>
      </c>
      <c r="D2105" s="17" t="s">
        <v>801</v>
      </c>
      <c r="E2105" s="18">
        <v>8050450215464</v>
      </c>
      <c r="G2105" s="20" t="str">
        <f t="shared" si="96"/>
        <v xml:space="preserve"> BANDOBODY       </v>
      </c>
      <c r="H2105" s="20" t="str">
        <f t="shared" si="97"/>
        <v xml:space="preserve">ECOB </v>
      </c>
      <c r="I2105" s="20">
        <f t="shared" si="98"/>
        <v>0</v>
      </c>
    </row>
    <row r="2106" spans="1:9">
      <c r="A2106" s="17" t="s">
        <v>1156</v>
      </c>
      <c r="B2106" s="17" t="s">
        <v>1054</v>
      </c>
      <c r="C2106" s="17">
        <v>0</v>
      </c>
      <c r="D2106" s="17" t="s">
        <v>801</v>
      </c>
      <c r="E2106" s="18">
        <v>3004390172009</v>
      </c>
      <c r="G2106" s="20" t="str">
        <f t="shared" si="96"/>
        <v xml:space="preserve"> BANDOBODY       </v>
      </c>
      <c r="H2106" s="20" t="str">
        <f t="shared" si="97"/>
        <v>ECOBR</v>
      </c>
      <c r="I2106" s="20">
        <f t="shared" si="98"/>
        <v>0</v>
      </c>
    </row>
    <row r="2107" spans="1:9">
      <c r="A2107" s="17" t="s">
        <v>1156</v>
      </c>
      <c r="B2107" s="17" t="s">
        <v>1054</v>
      </c>
      <c r="C2107" s="17">
        <v>0</v>
      </c>
      <c r="D2107" s="17" t="s">
        <v>801</v>
      </c>
      <c r="E2107" s="18">
        <v>8050450214351</v>
      </c>
      <c r="G2107" s="20" t="str">
        <f t="shared" si="96"/>
        <v xml:space="preserve"> BANDOBODY       </v>
      </c>
      <c r="H2107" s="20" t="str">
        <f t="shared" si="97"/>
        <v>ECOBR</v>
      </c>
      <c r="I2107" s="20">
        <f t="shared" si="98"/>
        <v>0</v>
      </c>
    </row>
    <row r="2108" spans="1:9">
      <c r="A2108" s="17" t="s">
        <v>1156</v>
      </c>
      <c r="B2108" s="17" t="s">
        <v>1055</v>
      </c>
      <c r="C2108" s="17">
        <v>0</v>
      </c>
      <c r="D2108" s="17" t="s">
        <v>801</v>
      </c>
      <c r="E2108" s="18">
        <v>8050450212487</v>
      </c>
      <c r="G2108" s="20" t="str">
        <f t="shared" si="96"/>
        <v xml:space="preserve"> BANDOBODY       </v>
      </c>
      <c r="H2108" s="20" t="str">
        <f t="shared" si="97"/>
        <v>ECONA</v>
      </c>
      <c r="I2108" s="20">
        <f t="shared" si="98"/>
        <v>0</v>
      </c>
    </row>
    <row r="2109" spans="1:9">
      <c r="A2109" s="17" t="s">
        <v>1156</v>
      </c>
      <c r="B2109" s="17" t="s">
        <v>1055</v>
      </c>
      <c r="C2109" s="17">
        <v>0</v>
      </c>
      <c r="D2109" s="17" t="s">
        <v>801</v>
      </c>
      <c r="E2109" s="18">
        <v>3004390205004</v>
      </c>
      <c r="G2109" s="20" t="str">
        <f t="shared" si="96"/>
        <v xml:space="preserve"> BANDOBODY       </v>
      </c>
      <c r="H2109" s="20" t="str">
        <f t="shared" si="97"/>
        <v>ECONA</v>
      </c>
      <c r="I2109" s="20">
        <f t="shared" si="98"/>
        <v>0</v>
      </c>
    </row>
    <row r="2110" spans="1:9">
      <c r="A2110" s="17" t="s">
        <v>1156</v>
      </c>
      <c r="B2110" s="17" t="s">
        <v>1161</v>
      </c>
      <c r="C2110" s="17">
        <v>0</v>
      </c>
      <c r="D2110" s="17" t="s">
        <v>801</v>
      </c>
      <c r="E2110" s="18">
        <v>3004390173006</v>
      </c>
      <c r="G2110" s="20" t="str">
        <f t="shared" si="96"/>
        <v xml:space="preserve"> BANDOBODY       </v>
      </c>
      <c r="H2110" s="20" t="str">
        <f t="shared" si="97"/>
        <v xml:space="preserve">ECOW </v>
      </c>
      <c r="I2110" s="20">
        <f t="shared" si="98"/>
        <v>0</v>
      </c>
    </row>
    <row r="2111" spans="1:9">
      <c r="A2111" s="17" t="s">
        <v>1156</v>
      </c>
      <c r="B2111" s="17" t="s">
        <v>1161</v>
      </c>
      <c r="C2111" s="17">
        <v>0</v>
      </c>
      <c r="D2111" s="17" t="s">
        <v>801</v>
      </c>
      <c r="E2111" s="18">
        <v>8050450215440</v>
      </c>
      <c r="G2111" s="20" t="str">
        <f t="shared" si="96"/>
        <v xml:space="preserve"> BANDOBODY       </v>
      </c>
      <c r="H2111" s="20" t="str">
        <f t="shared" si="97"/>
        <v xml:space="preserve">ECOW </v>
      </c>
      <c r="I2111" s="20">
        <f t="shared" si="98"/>
        <v>0</v>
      </c>
    </row>
    <row r="2112" spans="1:9">
      <c r="A2112" s="17" t="s">
        <v>1156</v>
      </c>
      <c r="B2112" s="17" t="s">
        <v>1039</v>
      </c>
      <c r="C2112" s="17">
        <v>0</v>
      </c>
      <c r="D2112" s="17" t="s">
        <v>801</v>
      </c>
      <c r="E2112" s="18">
        <v>8050538590780</v>
      </c>
      <c r="G2112" s="20" t="str">
        <f t="shared" si="96"/>
        <v xml:space="preserve"> BANDOBODY       </v>
      </c>
      <c r="H2112" s="20" t="str">
        <f t="shared" si="97"/>
        <v>JACBL</v>
      </c>
      <c r="I2112" s="20">
        <f t="shared" si="98"/>
        <v>0</v>
      </c>
    </row>
    <row r="2113" spans="1:9">
      <c r="A2113" s="17" t="s">
        <v>1156</v>
      </c>
      <c r="B2113" s="17" t="s">
        <v>1162</v>
      </c>
      <c r="C2113" s="17">
        <v>0</v>
      </c>
      <c r="D2113" s="17" t="s">
        <v>801</v>
      </c>
      <c r="E2113" s="18">
        <v>8050538591053</v>
      </c>
      <c r="G2113" s="20" t="str">
        <f t="shared" si="96"/>
        <v xml:space="preserve"> BANDOBODY       </v>
      </c>
      <c r="H2113" s="20" t="str">
        <f t="shared" si="97"/>
        <v>JARED</v>
      </c>
      <c r="I2113" s="20">
        <f t="shared" si="98"/>
        <v>0</v>
      </c>
    </row>
    <row r="2114" spans="1:9">
      <c r="A2114" s="17" t="s">
        <v>1156</v>
      </c>
      <c r="B2114" s="17" t="s">
        <v>859</v>
      </c>
      <c r="C2114" s="17">
        <v>0</v>
      </c>
      <c r="D2114" s="17" t="s">
        <v>801</v>
      </c>
      <c r="E2114" s="18">
        <v>3004390597000</v>
      </c>
      <c r="G2114" s="20" t="str">
        <f t="shared" si="96"/>
        <v xml:space="preserve"> BANDOBODY       </v>
      </c>
      <c r="H2114" s="20" t="str">
        <f t="shared" si="97"/>
        <v>NATUR</v>
      </c>
      <c r="I2114" s="20">
        <f t="shared" si="98"/>
        <v>0</v>
      </c>
    </row>
    <row r="2115" spans="1:9">
      <c r="A2115" s="17" t="s">
        <v>1156</v>
      </c>
      <c r="B2115" s="17" t="s">
        <v>859</v>
      </c>
      <c r="C2115" s="17">
        <v>0</v>
      </c>
      <c r="D2115" s="17" t="s">
        <v>801</v>
      </c>
      <c r="E2115" s="18">
        <v>8050450215426</v>
      </c>
      <c r="G2115" s="20" t="str">
        <f t="shared" si="96"/>
        <v xml:space="preserve"> BANDOBODY       </v>
      </c>
      <c r="H2115" s="20" t="str">
        <f t="shared" si="97"/>
        <v>NATUR</v>
      </c>
      <c r="I2115" s="20">
        <f t="shared" si="98"/>
        <v>0</v>
      </c>
    </row>
    <row r="2116" spans="1:9">
      <c r="A2116" s="17" t="s">
        <v>1156</v>
      </c>
      <c r="B2116" s="17" t="s">
        <v>816</v>
      </c>
      <c r="C2116" s="17">
        <v>0</v>
      </c>
      <c r="D2116" s="17" t="s">
        <v>801</v>
      </c>
      <c r="E2116" s="18">
        <v>3004390394005</v>
      </c>
      <c r="G2116" s="20" t="str">
        <f t="shared" si="96"/>
        <v xml:space="preserve"> BANDOBODY       </v>
      </c>
      <c r="H2116" s="20" t="str">
        <f t="shared" si="97"/>
        <v xml:space="preserve">RED  </v>
      </c>
      <c r="I2116" s="20">
        <f t="shared" si="98"/>
        <v>0</v>
      </c>
    </row>
    <row r="2117" spans="1:9">
      <c r="A2117" s="17" t="s">
        <v>1156</v>
      </c>
      <c r="B2117" s="17" t="s">
        <v>872</v>
      </c>
      <c r="C2117" s="17">
        <v>0</v>
      </c>
      <c r="D2117" s="17" t="s">
        <v>801</v>
      </c>
      <c r="E2117" s="18">
        <v>8056095064276</v>
      </c>
      <c r="G2117" s="20" t="str">
        <f t="shared" ref="G2117:G2180" si="99">A2117</f>
        <v xml:space="preserve"> BANDOBODY       </v>
      </c>
      <c r="H2117" s="20" t="str">
        <f t="shared" ref="H2117:H2180" si="100">B2117</f>
        <v xml:space="preserve">SKB  </v>
      </c>
      <c r="I2117" s="20">
        <f t="shared" ref="I2117:I2180" si="101">C2117</f>
        <v>0</v>
      </c>
    </row>
    <row r="2118" spans="1:9">
      <c r="A2118" s="17" t="s">
        <v>1156</v>
      </c>
      <c r="B2118" s="17" t="s">
        <v>872</v>
      </c>
      <c r="C2118" s="17">
        <v>0</v>
      </c>
      <c r="D2118" s="17" t="s">
        <v>801</v>
      </c>
      <c r="E2118" s="18">
        <v>3002340408000</v>
      </c>
      <c r="G2118" s="20" t="str">
        <f t="shared" si="99"/>
        <v xml:space="preserve"> BANDOBODY       </v>
      </c>
      <c r="H2118" s="20" t="str">
        <f t="shared" si="100"/>
        <v xml:space="preserve">SKB  </v>
      </c>
      <c r="I2118" s="20">
        <f t="shared" si="101"/>
        <v>0</v>
      </c>
    </row>
    <row r="2119" spans="1:9">
      <c r="A2119" s="17" t="s">
        <v>1156</v>
      </c>
      <c r="B2119" s="17" t="s">
        <v>873</v>
      </c>
      <c r="C2119" s="17">
        <v>0</v>
      </c>
      <c r="D2119" s="17" t="s">
        <v>801</v>
      </c>
      <c r="E2119" s="18">
        <v>3002341100002</v>
      </c>
      <c r="G2119" s="20" t="str">
        <f t="shared" si="99"/>
        <v xml:space="preserve"> BANDOBODY       </v>
      </c>
      <c r="H2119" s="20" t="str">
        <f t="shared" si="100"/>
        <v>TORTO</v>
      </c>
      <c r="I2119" s="20">
        <f t="shared" si="101"/>
        <v>0</v>
      </c>
    </row>
    <row r="2120" spans="1:9">
      <c r="A2120" s="17" t="s">
        <v>1156</v>
      </c>
      <c r="B2120" s="17" t="s">
        <v>873</v>
      </c>
      <c r="C2120" s="17">
        <v>0</v>
      </c>
      <c r="D2120" s="17" t="s">
        <v>801</v>
      </c>
      <c r="E2120" s="18">
        <v>8056095064269</v>
      </c>
      <c r="G2120" s="20" t="str">
        <f t="shared" si="99"/>
        <v xml:space="preserve"> BANDOBODY       </v>
      </c>
      <c r="H2120" s="20" t="str">
        <f t="shared" si="100"/>
        <v>TORTO</v>
      </c>
      <c r="I2120" s="20">
        <f t="shared" si="101"/>
        <v>0</v>
      </c>
    </row>
    <row r="2121" spans="1:9">
      <c r="A2121" s="17" t="s">
        <v>1156</v>
      </c>
      <c r="B2121" s="17" t="s">
        <v>1163</v>
      </c>
      <c r="C2121" s="17">
        <v>0</v>
      </c>
      <c r="D2121" s="17" t="s">
        <v>801</v>
      </c>
      <c r="E2121" s="18">
        <v>8056099178290</v>
      </c>
      <c r="G2121" s="20" t="str">
        <f t="shared" si="99"/>
        <v xml:space="preserve"> BANDOBODY       </v>
      </c>
      <c r="H2121" s="20" t="str">
        <f t="shared" si="100"/>
        <v>TRBDX</v>
      </c>
      <c r="I2121" s="20">
        <f t="shared" si="101"/>
        <v>0</v>
      </c>
    </row>
    <row r="2122" spans="1:9">
      <c r="A2122" s="17" t="s">
        <v>1156</v>
      </c>
      <c r="B2122" s="17" t="s">
        <v>1164</v>
      </c>
      <c r="C2122" s="17">
        <v>0</v>
      </c>
      <c r="D2122" s="17" t="s">
        <v>801</v>
      </c>
      <c r="E2122" s="18">
        <v>8056099177439</v>
      </c>
      <c r="G2122" s="20" t="str">
        <f t="shared" si="99"/>
        <v xml:space="preserve"> BANDOBODY       </v>
      </c>
      <c r="H2122" s="20" t="str">
        <f t="shared" si="100"/>
        <v>TROTT</v>
      </c>
      <c r="I2122" s="20">
        <f t="shared" si="101"/>
        <v>0</v>
      </c>
    </row>
    <row r="2123" spans="1:9">
      <c r="A2123" s="17" t="s">
        <v>1156</v>
      </c>
      <c r="B2123" s="17" t="s">
        <v>1165</v>
      </c>
      <c r="C2123" s="17">
        <v>0</v>
      </c>
      <c r="D2123" s="17" t="s">
        <v>801</v>
      </c>
      <c r="E2123" s="18">
        <v>3002341125005</v>
      </c>
      <c r="G2123" s="20" t="str">
        <f t="shared" si="99"/>
        <v xml:space="preserve"> BANDOBODY       </v>
      </c>
      <c r="H2123" s="20" t="str">
        <f t="shared" si="100"/>
        <v>TRTOR</v>
      </c>
      <c r="I2123" s="20">
        <f t="shared" si="101"/>
        <v>0</v>
      </c>
    </row>
    <row r="2124" spans="1:9">
      <c r="A2124" s="17" t="s">
        <v>1156</v>
      </c>
      <c r="B2124" s="17" t="s">
        <v>1166</v>
      </c>
      <c r="C2124" s="17">
        <v>0</v>
      </c>
      <c r="D2124" s="17" t="s">
        <v>801</v>
      </c>
      <c r="E2124" s="18">
        <v>8056099178399</v>
      </c>
      <c r="G2124" s="20" t="str">
        <f t="shared" si="99"/>
        <v xml:space="preserve"> BANDOBODY       </v>
      </c>
      <c r="H2124" s="20" t="str">
        <f t="shared" si="100"/>
        <v>TRTOU</v>
      </c>
      <c r="I2124" s="20">
        <f t="shared" si="101"/>
        <v>0</v>
      </c>
    </row>
    <row r="2125" spans="1:9">
      <c r="A2125" s="17" t="s">
        <v>1156</v>
      </c>
      <c r="B2125" s="17" t="s">
        <v>1167</v>
      </c>
      <c r="C2125" s="17">
        <v>0</v>
      </c>
      <c r="D2125" s="17" t="s">
        <v>801</v>
      </c>
      <c r="E2125" s="18">
        <v>8058983597026</v>
      </c>
      <c r="G2125" s="20" t="str">
        <f t="shared" si="99"/>
        <v xml:space="preserve"> BANDOBODY       </v>
      </c>
      <c r="H2125" s="20" t="str">
        <f t="shared" si="100"/>
        <v>TWEGR</v>
      </c>
      <c r="I2125" s="20">
        <f t="shared" si="101"/>
        <v>0</v>
      </c>
    </row>
    <row r="2126" spans="1:9">
      <c r="A2126" s="17" t="s">
        <v>1156</v>
      </c>
      <c r="B2126" s="17" t="s">
        <v>1167</v>
      </c>
      <c r="C2126" s="17">
        <v>0</v>
      </c>
      <c r="D2126" s="17" t="s">
        <v>801</v>
      </c>
      <c r="E2126" s="18">
        <v>3002340852001</v>
      </c>
      <c r="G2126" s="20" t="str">
        <f t="shared" si="99"/>
        <v xml:space="preserve"> BANDOBODY       </v>
      </c>
      <c r="H2126" s="20" t="str">
        <f t="shared" si="100"/>
        <v>TWEGR</v>
      </c>
      <c r="I2126" s="20">
        <f t="shared" si="101"/>
        <v>0</v>
      </c>
    </row>
    <row r="2127" spans="1:9">
      <c r="A2127" s="17" t="s">
        <v>1156</v>
      </c>
      <c r="B2127" s="17" t="s">
        <v>1168</v>
      </c>
      <c r="C2127" s="17">
        <v>0</v>
      </c>
      <c r="D2127" s="17" t="s">
        <v>801</v>
      </c>
      <c r="E2127" s="18">
        <v>8058983597033</v>
      </c>
      <c r="G2127" s="20" t="str">
        <f t="shared" si="99"/>
        <v xml:space="preserve"> BANDOBODY       </v>
      </c>
      <c r="H2127" s="20" t="str">
        <f t="shared" si="100"/>
        <v>TWENO</v>
      </c>
      <c r="I2127" s="20">
        <f t="shared" si="101"/>
        <v>0</v>
      </c>
    </row>
    <row r="2128" spans="1:9">
      <c r="A2128" s="17" t="s">
        <v>1156</v>
      </c>
      <c r="B2128" s="17" t="s">
        <v>1168</v>
      </c>
      <c r="C2128" s="17">
        <v>0</v>
      </c>
      <c r="D2128" s="17" t="s">
        <v>801</v>
      </c>
      <c r="E2128" s="18">
        <v>3002340853008</v>
      </c>
      <c r="G2128" s="20" t="str">
        <f t="shared" si="99"/>
        <v xml:space="preserve"> BANDOBODY       </v>
      </c>
      <c r="H2128" s="20" t="str">
        <f t="shared" si="100"/>
        <v>TWENO</v>
      </c>
      <c r="I2128" s="20">
        <f t="shared" si="101"/>
        <v>0</v>
      </c>
    </row>
    <row r="2129" spans="1:9">
      <c r="A2129" s="17" t="s">
        <v>1156</v>
      </c>
      <c r="B2129" s="17" t="s">
        <v>273</v>
      </c>
      <c r="C2129" s="17">
        <v>0</v>
      </c>
      <c r="D2129" s="17" t="s">
        <v>801</v>
      </c>
      <c r="E2129" s="18">
        <v>3004390005000</v>
      </c>
      <c r="G2129" s="20" t="str">
        <f t="shared" si="99"/>
        <v xml:space="preserve"> BANDOBODY       </v>
      </c>
      <c r="H2129" s="20" t="str">
        <f t="shared" si="100"/>
        <v>WHITE</v>
      </c>
      <c r="I2129" s="20">
        <f t="shared" si="101"/>
        <v>0</v>
      </c>
    </row>
    <row r="2130" spans="1:9">
      <c r="A2130" s="17" t="s">
        <v>1169</v>
      </c>
      <c r="B2130" s="17" t="s">
        <v>872</v>
      </c>
      <c r="C2130" s="17">
        <v>0</v>
      </c>
      <c r="D2130" s="17" t="s">
        <v>801</v>
      </c>
      <c r="E2130" s="18">
        <v>3006140618003</v>
      </c>
      <c r="G2130" s="20" t="str">
        <f t="shared" si="99"/>
        <v xml:space="preserve"> BANDOCITY       </v>
      </c>
      <c r="H2130" s="20" t="str">
        <f t="shared" si="100"/>
        <v xml:space="preserve">SKB  </v>
      </c>
      <c r="I2130" s="20">
        <f t="shared" si="101"/>
        <v>0</v>
      </c>
    </row>
    <row r="2131" spans="1:9">
      <c r="A2131" s="17" t="s">
        <v>1169</v>
      </c>
      <c r="B2131" s="17" t="s">
        <v>873</v>
      </c>
      <c r="C2131" s="17">
        <v>0</v>
      </c>
      <c r="D2131" s="17" t="s">
        <v>801</v>
      </c>
      <c r="E2131" s="18">
        <v>3006140885009</v>
      </c>
      <c r="G2131" s="20" t="str">
        <f t="shared" si="99"/>
        <v xml:space="preserve"> BANDOCITY       </v>
      </c>
      <c r="H2131" s="20" t="str">
        <f t="shared" si="100"/>
        <v>TORTO</v>
      </c>
      <c r="I2131" s="20">
        <f t="shared" si="101"/>
        <v>0</v>
      </c>
    </row>
    <row r="2132" spans="1:9">
      <c r="A2132" s="17" t="s">
        <v>1170</v>
      </c>
      <c r="B2132" s="17" t="s">
        <v>280</v>
      </c>
      <c r="C2132" s="17">
        <v>0</v>
      </c>
      <c r="D2132" s="17" t="s">
        <v>801</v>
      </c>
      <c r="E2132" s="18">
        <v>3005620004008</v>
      </c>
      <c r="G2132" s="20" t="str">
        <f t="shared" si="99"/>
        <v xml:space="preserve"> BANDOCOUR       </v>
      </c>
      <c r="H2132" s="20" t="str">
        <f t="shared" si="100"/>
        <v>BLACK</v>
      </c>
      <c r="I2132" s="20">
        <f t="shared" si="101"/>
        <v>0</v>
      </c>
    </row>
    <row r="2133" spans="1:9">
      <c r="A2133" s="17" t="s">
        <v>1170</v>
      </c>
      <c r="B2133" s="17" t="s">
        <v>919</v>
      </c>
      <c r="C2133" s="17">
        <v>0</v>
      </c>
      <c r="D2133" s="17" t="s">
        <v>801</v>
      </c>
      <c r="E2133" s="18">
        <v>3005621178005</v>
      </c>
      <c r="G2133" s="20" t="str">
        <f t="shared" si="99"/>
        <v xml:space="preserve"> BANDOCOUR       </v>
      </c>
      <c r="H2133" s="20" t="str">
        <f t="shared" si="100"/>
        <v>TESTA</v>
      </c>
      <c r="I2133" s="20">
        <f t="shared" si="101"/>
        <v>0</v>
      </c>
    </row>
    <row r="2134" spans="1:9">
      <c r="A2134" s="17" t="s">
        <v>1171</v>
      </c>
      <c r="B2134" s="17" t="s">
        <v>280</v>
      </c>
      <c r="C2134" s="17">
        <v>0</v>
      </c>
      <c r="D2134" s="17" t="s">
        <v>801</v>
      </c>
      <c r="E2134" s="18">
        <v>3005520004009</v>
      </c>
      <c r="G2134" s="20" t="str">
        <f t="shared" si="99"/>
        <v xml:space="preserve"> BANDOCOURTE     </v>
      </c>
      <c r="H2134" s="20" t="str">
        <f t="shared" si="100"/>
        <v>BLACK</v>
      </c>
      <c r="I2134" s="20">
        <f t="shared" si="101"/>
        <v>0</v>
      </c>
    </row>
    <row r="2135" spans="1:9">
      <c r="A2135" s="17" t="s">
        <v>1171</v>
      </c>
      <c r="B2135" s="17" t="s">
        <v>919</v>
      </c>
      <c r="C2135" s="17">
        <v>0</v>
      </c>
      <c r="D2135" s="17" t="s">
        <v>801</v>
      </c>
      <c r="E2135" s="18">
        <v>3005521178006</v>
      </c>
      <c r="G2135" s="20" t="str">
        <f t="shared" si="99"/>
        <v xml:space="preserve"> BANDOCOURTE     </v>
      </c>
      <c r="H2135" s="20" t="str">
        <f t="shared" si="100"/>
        <v>TESTA</v>
      </c>
      <c r="I2135" s="20">
        <f t="shared" si="101"/>
        <v>0</v>
      </c>
    </row>
    <row r="2136" spans="1:9">
      <c r="A2136" s="17" t="s">
        <v>1172</v>
      </c>
      <c r="B2136" s="17" t="s">
        <v>1173</v>
      </c>
      <c r="C2136" s="17" t="s">
        <v>800</v>
      </c>
      <c r="D2136" s="17" t="s">
        <v>801</v>
      </c>
      <c r="E2136" s="18">
        <v>3006191436021</v>
      </c>
      <c r="G2136" s="20" t="str">
        <f t="shared" si="99"/>
        <v xml:space="preserve"> BANDOECO+CHAINE </v>
      </c>
      <c r="H2136" s="20" t="str">
        <f t="shared" si="100"/>
        <v>VEBLU</v>
      </c>
      <c r="I2136" s="20" t="str">
        <f t="shared" si="101"/>
        <v xml:space="preserve">L    </v>
      </c>
    </row>
    <row r="2137" spans="1:9">
      <c r="A2137" s="17" t="s">
        <v>1172</v>
      </c>
      <c r="B2137" s="17" t="s">
        <v>1173</v>
      </c>
      <c r="C2137" s="17" t="s">
        <v>800</v>
      </c>
      <c r="D2137" s="17" t="s">
        <v>801</v>
      </c>
      <c r="E2137" s="18">
        <v>8050846013292</v>
      </c>
      <c r="G2137" s="20" t="str">
        <f t="shared" si="99"/>
        <v xml:space="preserve"> BANDOECO+CHAINE </v>
      </c>
      <c r="H2137" s="20" t="str">
        <f t="shared" si="100"/>
        <v>VEBLU</v>
      </c>
      <c r="I2137" s="20" t="str">
        <f t="shared" si="101"/>
        <v xml:space="preserve">L    </v>
      </c>
    </row>
    <row r="2138" spans="1:9">
      <c r="A2138" s="17" t="s">
        <v>1172</v>
      </c>
      <c r="B2138" s="17" t="s">
        <v>1173</v>
      </c>
      <c r="C2138" s="17" t="s">
        <v>800</v>
      </c>
      <c r="D2138" s="17" t="s">
        <v>801</v>
      </c>
      <c r="E2138" s="18">
        <v>8050846013285</v>
      </c>
      <c r="G2138" s="20" t="str">
        <f t="shared" si="99"/>
        <v xml:space="preserve"> BANDOECO+CHAINE </v>
      </c>
      <c r="H2138" s="20" t="str">
        <f t="shared" si="100"/>
        <v>VEBLU</v>
      </c>
      <c r="I2138" s="20" t="str">
        <f t="shared" si="101"/>
        <v xml:space="preserve">L    </v>
      </c>
    </row>
    <row r="2139" spans="1:9">
      <c r="A2139" s="17" t="s">
        <v>1172</v>
      </c>
      <c r="B2139" s="17" t="s">
        <v>1173</v>
      </c>
      <c r="C2139" s="17" t="s">
        <v>802</v>
      </c>
      <c r="D2139" s="17" t="s">
        <v>801</v>
      </c>
      <c r="E2139" s="18">
        <v>3006191436014</v>
      </c>
      <c r="G2139" s="20" t="str">
        <f t="shared" si="99"/>
        <v xml:space="preserve"> BANDOECO+CHAINE </v>
      </c>
      <c r="H2139" s="20" t="str">
        <f t="shared" si="100"/>
        <v>VEBLU</v>
      </c>
      <c r="I2139" s="20" t="str">
        <f t="shared" si="101"/>
        <v xml:space="preserve">M    </v>
      </c>
    </row>
    <row r="2140" spans="1:9">
      <c r="A2140" s="17" t="s">
        <v>1172</v>
      </c>
      <c r="B2140" s="17" t="s">
        <v>1173</v>
      </c>
      <c r="C2140" s="17" t="s">
        <v>803</v>
      </c>
      <c r="D2140" s="17" t="s">
        <v>801</v>
      </c>
      <c r="E2140" s="18">
        <v>3006191436007</v>
      </c>
      <c r="G2140" s="20" t="str">
        <f t="shared" si="99"/>
        <v xml:space="preserve"> BANDOECO+CHAINE </v>
      </c>
      <c r="H2140" s="20" t="str">
        <f t="shared" si="100"/>
        <v>VEBLU</v>
      </c>
      <c r="I2140" s="20" t="str">
        <f t="shared" si="101"/>
        <v xml:space="preserve">S    </v>
      </c>
    </row>
    <row r="2141" spans="1:9">
      <c r="A2141" s="17" t="s">
        <v>1172</v>
      </c>
      <c r="B2141" s="17" t="s">
        <v>1174</v>
      </c>
      <c r="C2141" s="17" t="s">
        <v>800</v>
      </c>
      <c r="D2141" s="17" t="s">
        <v>801</v>
      </c>
      <c r="E2141" s="18">
        <v>3006191526029</v>
      </c>
      <c r="G2141" s="20" t="str">
        <f t="shared" si="99"/>
        <v xml:space="preserve"> BANDOECO+CHAINE </v>
      </c>
      <c r="H2141" s="20" t="str">
        <f t="shared" si="100"/>
        <v>VELAU</v>
      </c>
      <c r="I2141" s="20" t="str">
        <f t="shared" si="101"/>
        <v xml:space="preserve">L    </v>
      </c>
    </row>
    <row r="2142" spans="1:9">
      <c r="A2142" s="17" t="s">
        <v>1172</v>
      </c>
      <c r="B2142" s="17" t="s">
        <v>1174</v>
      </c>
      <c r="C2142" s="17" t="s">
        <v>800</v>
      </c>
      <c r="D2142" s="17" t="s">
        <v>801</v>
      </c>
      <c r="E2142" s="18">
        <v>8050846013315</v>
      </c>
      <c r="G2142" s="20" t="str">
        <f t="shared" si="99"/>
        <v xml:space="preserve"> BANDOECO+CHAINE </v>
      </c>
      <c r="H2142" s="20" t="str">
        <f t="shared" si="100"/>
        <v>VELAU</v>
      </c>
      <c r="I2142" s="20" t="str">
        <f t="shared" si="101"/>
        <v xml:space="preserve">L    </v>
      </c>
    </row>
    <row r="2143" spans="1:9">
      <c r="A2143" s="17" t="s">
        <v>1172</v>
      </c>
      <c r="B2143" s="17" t="s">
        <v>1174</v>
      </c>
      <c r="C2143" s="17" t="s">
        <v>802</v>
      </c>
      <c r="D2143" s="17" t="s">
        <v>801</v>
      </c>
      <c r="E2143" s="18">
        <v>3006191526012</v>
      </c>
      <c r="G2143" s="20" t="str">
        <f t="shared" si="99"/>
        <v xml:space="preserve"> BANDOECO+CHAINE </v>
      </c>
      <c r="H2143" s="20" t="str">
        <f t="shared" si="100"/>
        <v>VELAU</v>
      </c>
      <c r="I2143" s="20" t="str">
        <f t="shared" si="101"/>
        <v xml:space="preserve">M    </v>
      </c>
    </row>
    <row r="2144" spans="1:9">
      <c r="A2144" s="17" t="s">
        <v>1172</v>
      </c>
      <c r="B2144" s="17" t="s">
        <v>1174</v>
      </c>
      <c r="C2144" s="17" t="s">
        <v>803</v>
      </c>
      <c r="D2144" s="17" t="s">
        <v>801</v>
      </c>
      <c r="E2144" s="18">
        <v>3006191526005</v>
      </c>
      <c r="G2144" s="20" t="str">
        <f t="shared" si="99"/>
        <v xml:space="preserve"> BANDOECO+CHAINE </v>
      </c>
      <c r="H2144" s="20" t="str">
        <f t="shared" si="100"/>
        <v>VELAU</v>
      </c>
      <c r="I2144" s="20" t="str">
        <f t="shared" si="101"/>
        <v xml:space="preserve">S    </v>
      </c>
    </row>
    <row r="2145" spans="1:9">
      <c r="A2145" s="17" t="s">
        <v>1172</v>
      </c>
      <c r="B2145" s="17" t="s">
        <v>1175</v>
      </c>
      <c r="C2145" s="17" t="s">
        <v>800</v>
      </c>
      <c r="D2145" s="17" t="s">
        <v>801</v>
      </c>
      <c r="E2145" s="18">
        <v>3006191527026</v>
      </c>
      <c r="G2145" s="20" t="str">
        <f t="shared" si="99"/>
        <v xml:space="preserve"> BANDOECO+CHAINE </v>
      </c>
      <c r="H2145" s="20" t="str">
        <f t="shared" si="100"/>
        <v>VELAV</v>
      </c>
      <c r="I2145" s="20" t="str">
        <f t="shared" si="101"/>
        <v xml:space="preserve">L    </v>
      </c>
    </row>
    <row r="2146" spans="1:9">
      <c r="A2146" s="17" t="s">
        <v>1172</v>
      </c>
      <c r="B2146" s="17" t="s">
        <v>1175</v>
      </c>
      <c r="C2146" s="17" t="s">
        <v>800</v>
      </c>
      <c r="D2146" s="17" t="s">
        <v>801</v>
      </c>
      <c r="E2146" s="18">
        <v>8050846013308</v>
      </c>
      <c r="G2146" s="20" t="str">
        <f t="shared" si="99"/>
        <v xml:space="preserve"> BANDOECO+CHAINE </v>
      </c>
      <c r="H2146" s="20" t="str">
        <f t="shared" si="100"/>
        <v>VELAV</v>
      </c>
      <c r="I2146" s="20" t="str">
        <f t="shared" si="101"/>
        <v xml:space="preserve">L    </v>
      </c>
    </row>
    <row r="2147" spans="1:9">
      <c r="A2147" s="17" t="s">
        <v>1172</v>
      </c>
      <c r="B2147" s="17" t="s">
        <v>1175</v>
      </c>
      <c r="C2147" s="17" t="s">
        <v>802</v>
      </c>
      <c r="D2147" s="17" t="s">
        <v>801</v>
      </c>
      <c r="E2147" s="18">
        <v>3006191527019</v>
      </c>
      <c r="G2147" s="20" t="str">
        <f t="shared" si="99"/>
        <v xml:space="preserve"> BANDOECO+CHAINE </v>
      </c>
      <c r="H2147" s="20" t="str">
        <f t="shared" si="100"/>
        <v>VELAV</v>
      </c>
      <c r="I2147" s="20" t="str">
        <f t="shared" si="101"/>
        <v xml:space="preserve">M    </v>
      </c>
    </row>
    <row r="2148" spans="1:9">
      <c r="A2148" s="17" t="s">
        <v>1172</v>
      </c>
      <c r="B2148" s="17" t="s">
        <v>1175</v>
      </c>
      <c r="C2148" s="17" t="s">
        <v>803</v>
      </c>
      <c r="D2148" s="17" t="s">
        <v>801</v>
      </c>
      <c r="E2148" s="18">
        <v>3006191527002</v>
      </c>
      <c r="G2148" s="20" t="str">
        <f t="shared" si="99"/>
        <v xml:space="preserve"> BANDOECO+CHAINE </v>
      </c>
      <c r="H2148" s="20" t="str">
        <f t="shared" si="100"/>
        <v>VELAV</v>
      </c>
      <c r="I2148" s="20" t="str">
        <f t="shared" si="101"/>
        <v xml:space="preserve">S    </v>
      </c>
    </row>
    <row r="2149" spans="1:9">
      <c r="A2149" s="17" t="s">
        <v>1172</v>
      </c>
      <c r="B2149" s="17" t="s">
        <v>1176</v>
      </c>
      <c r="C2149" s="17" t="s">
        <v>800</v>
      </c>
      <c r="D2149" s="17" t="s">
        <v>801</v>
      </c>
      <c r="E2149" s="18">
        <v>3006191522021</v>
      </c>
      <c r="G2149" s="20" t="str">
        <f t="shared" si="99"/>
        <v xml:space="preserve"> BANDOECO+CHAINE </v>
      </c>
      <c r="H2149" s="20" t="str">
        <f t="shared" si="100"/>
        <v>VELBD</v>
      </c>
      <c r="I2149" s="20" t="str">
        <f t="shared" si="101"/>
        <v xml:space="preserve">L    </v>
      </c>
    </row>
    <row r="2150" spans="1:9">
      <c r="A2150" s="17" t="s">
        <v>1172</v>
      </c>
      <c r="B2150" s="17" t="s">
        <v>1176</v>
      </c>
      <c r="C2150" s="17" t="s">
        <v>800</v>
      </c>
      <c r="D2150" s="17" t="s">
        <v>801</v>
      </c>
      <c r="E2150" s="18">
        <v>8050846013278</v>
      </c>
      <c r="G2150" s="20" t="str">
        <f t="shared" si="99"/>
        <v xml:space="preserve"> BANDOECO+CHAINE </v>
      </c>
      <c r="H2150" s="20" t="str">
        <f t="shared" si="100"/>
        <v>VELBD</v>
      </c>
      <c r="I2150" s="20" t="str">
        <f t="shared" si="101"/>
        <v xml:space="preserve">L    </v>
      </c>
    </row>
    <row r="2151" spans="1:9">
      <c r="A2151" s="17" t="s">
        <v>1172</v>
      </c>
      <c r="B2151" s="17" t="s">
        <v>1176</v>
      </c>
      <c r="C2151" s="17" t="s">
        <v>802</v>
      </c>
      <c r="D2151" s="17" t="s">
        <v>801</v>
      </c>
      <c r="E2151" s="18">
        <v>3006191522014</v>
      </c>
      <c r="G2151" s="20" t="str">
        <f t="shared" si="99"/>
        <v xml:space="preserve"> BANDOECO+CHAINE </v>
      </c>
      <c r="H2151" s="20" t="str">
        <f t="shared" si="100"/>
        <v>VELBD</v>
      </c>
      <c r="I2151" s="20" t="str">
        <f t="shared" si="101"/>
        <v xml:space="preserve">M    </v>
      </c>
    </row>
    <row r="2152" spans="1:9">
      <c r="A2152" s="17" t="s">
        <v>1172</v>
      </c>
      <c r="B2152" s="17" t="s">
        <v>1176</v>
      </c>
      <c r="C2152" s="17" t="s">
        <v>803</v>
      </c>
      <c r="D2152" s="17" t="s">
        <v>801</v>
      </c>
      <c r="E2152" s="18">
        <v>3006191522007</v>
      </c>
      <c r="G2152" s="20" t="str">
        <f t="shared" si="99"/>
        <v xml:space="preserve"> BANDOECO+CHAINE </v>
      </c>
      <c r="H2152" s="20" t="str">
        <f t="shared" si="100"/>
        <v>VELBD</v>
      </c>
      <c r="I2152" s="20" t="str">
        <f t="shared" si="101"/>
        <v xml:space="preserve">S    </v>
      </c>
    </row>
    <row r="2153" spans="1:9">
      <c r="A2153" s="17" t="s">
        <v>1172</v>
      </c>
      <c r="B2153" s="17" t="s">
        <v>1177</v>
      </c>
      <c r="C2153" s="17" t="s">
        <v>800</v>
      </c>
      <c r="D2153" s="17" t="s">
        <v>801</v>
      </c>
      <c r="E2153" s="18">
        <v>3006191175029</v>
      </c>
      <c r="G2153" s="20" t="str">
        <f t="shared" si="99"/>
        <v xml:space="preserve"> BANDOECO+CHAINE </v>
      </c>
      <c r="H2153" s="20" t="str">
        <f t="shared" si="100"/>
        <v>VELNO</v>
      </c>
      <c r="I2153" s="20" t="str">
        <f t="shared" si="101"/>
        <v xml:space="preserve">L    </v>
      </c>
    </row>
    <row r="2154" spans="1:9">
      <c r="A2154" s="17" t="s">
        <v>1172</v>
      </c>
      <c r="B2154" s="17" t="s">
        <v>1177</v>
      </c>
      <c r="C2154" s="17" t="s">
        <v>802</v>
      </c>
      <c r="D2154" s="17" t="s">
        <v>801</v>
      </c>
      <c r="E2154" s="18">
        <v>3006191175012</v>
      </c>
      <c r="G2154" s="20" t="str">
        <f t="shared" si="99"/>
        <v xml:space="preserve"> BANDOECO+CHAINE </v>
      </c>
      <c r="H2154" s="20" t="str">
        <f t="shared" si="100"/>
        <v>VELNO</v>
      </c>
      <c r="I2154" s="20" t="str">
        <f t="shared" si="101"/>
        <v xml:space="preserve">M    </v>
      </c>
    </row>
    <row r="2155" spans="1:9">
      <c r="A2155" s="17" t="s">
        <v>1172</v>
      </c>
      <c r="B2155" s="17" t="s">
        <v>1177</v>
      </c>
      <c r="C2155" s="17" t="s">
        <v>803</v>
      </c>
      <c r="D2155" s="17" t="s">
        <v>801</v>
      </c>
      <c r="E2155" s="18">
        <v>3006191175005</v>
      </c>
      <c r="G2155" s="20" t="str">
        <f t="shared" si="99"/>
        <v xml:space="preserve"> BANDOECO+CHAINE </v>
      </c>
      <c r="H2155" s="20" t="str">
        <f t="shared" si="100"/>
        <v>VELNO</v>
      </c>
      <c r="I2155" s="20" t="str">
        <f t="shared" si="101"/>
        <v xml:space="preserve">S    </v>
      </c>
    </row>
    <row r="2156" spans="1:9">
      <c r="A2156" s="17" t="s">
        <v>1172</v>
      </c>
      <c r="B2156" s="17" t="s">
        <v>1178</v>
      </c>
      <c r="C2156" s="17" t="s">
        <v>800</v>
      </c>
      <c r="D2156" s="17" t="s">
        <v>801</v>
      </c>
      <c r="E2156" s="18">
        <v>3006191440028</v>
      </c>
      <c r="G2156" s="20" t="str">
        <f t="shared" si="99"/>
        <v xml:space="preserve"> BANDOECO+CHAINE </v>
      </c>
      <c r="H2156" s="20" t="str">
        <f t="shared" si="100"/>
        <v>VELPH</v>
      </c>
      <c r="I2156" s="20" t="str">
        <f t="shared" si="101"/>
        <v xml:space="preserve">L    </v>
      </c>
    </row>
    <row r="2157" spans="1:9">
      <c r="A2157" s="17" t="s">
        <v>1172</v>
      </c>
      <c r="B2157" s="17" t="s">
        <v>1178</v>
      </c>
      <c r="C2157" s="17" t="s">
        <v>800</v>
      </c>
      <c r="D2157" s="17" t="s">
        <v>801</v>
      </c>
      <c r="E2157" s="18">
        <v>8050846013261</v>
      </c>
      <c r="G2157" s="20" t="str">
        <f t="shared" si="99"/>
        <v xml:space="preserve"> BANDOECO+CHAINE </v>
      </c>
      <c r="H2157" s="20" t="str">
        <f t="shared" si="100"/>
        <v>VELPH</v>
      </c>
      <c r="I2157" s="20" t="str">
        <f t="shared" si="101"/>
        <v xml:space="preserve">L    </v>
      </c>
    </row>
    <row r="2158" spans="1:9">
      <c r="A2158" s="17" t="s">
        <v>1172</v>
      </c>
      <c r="B2158" s="17" t="s">
        <v>1178</v>
      </c>
      <c r="C2158" s="17" t="s">
        <v>802</v>
      </c>
      <c r="D2158" s="17" t="s">
        <v>801</v>
      </c>
      <c r="E2158" s="18">
        <v>3006191440011</v>
      </c>
      <c r="G2158" s="20" t="str">
        <f t="shared" si="99"/>
        <v xml:space="preserve"> BANDOECO+CHAINE </v>
      </c>
      <c r="H2158" s="20" t="str">
        <f t="shared" si="100"/>
        <v>VELPH</v>
      </c>
      <c r="I2158" s="20" t="str">
        <f t="shared" si="101"/>
        <v xml:space="preserve">M    </v>
      </c>
    </row>
    <row r="2159" spans="1:9">
      <c r="A2159" s="17" t="s">
        <v>1172</v>
      </c>
      <c r="B2159" s="17" t="s">
        <v>1178</v>
      </c>
      <c r="C2159" s="17" t="s">
        <v>803</v>
      </c>
      <c r="D2159" s="17" t="s">
        <v>801</v>
      </c>
      <c r="E2159" s="18">
        <v>3006191440004</v>
      </c>
      <c r="G2159" s="20" t="str">
        <f t="shared" si="99"/>
        <v xml:space="preserve"> BANDOECO+CHAINE </v>
      </c>
      <c r="H2159" s="20" t="str">
        <f t="shared" si="100"/>
        <v>VELPH</v>
      </c>
      <c r="I2159" s="20" t="str">
        <f t="shared" si="101"/>
        <v xml:space="preserve">S    </v>
      </c>
    </row>
    <row r="2160" spans="1:9">
      <c r="A2160" s="17" t="s">
        <v>1179</v>
      </c>
      <c r="B2160" s="17" t="s">
        <v>280</v>
      </c>
      <c r="C2160" s="17">
        <v>0</v>
      </c>
      <c r="D2160" s="17" t="s">
        <v>801</v>
      </c>
      <c r="E2160" s="18">
        <v>3005630004005</v>
      </c>
      <c r="G2160" s="20" t="str">
        <f t="shared" si="99"/>
        <v xml:space="preserve"> BANDOFINE       </v>
      </c>
      <c r="H2160" s="20" t="str">
        <f t="shared" si="100"/>
        <v>BLACK</v>
      </c>
      <c r="I2160" s="20">
        <f t="shared" si="101"/>
        <v>0</v>
      </c>
    </row>
    <row r="2161" spans="1:9">
      <c r="A2161" s="17" t="s">
        <v>1179</v>
      </c>
      <c r="B2161" s="17" t="s">
        <v>919</v>
      </c>
      <c r="C2161" s="17">
        <v>0</v>
      </c>
      <c r="D2161" s="17" t="s">
        <v>801</v>
      </c>
      <c r="E2161" s="18">
        <v>3005631178002</v>
      </c>
      <c r="G2161" s="20" t="str">
        <f t="shared" si="99"/>
        <v xml:space="preserve"> BANDOFINE       </v>
      </c>
      <c r="H2161" s="20" t="str">
        <f t="shared" si="100"/>
        <v>TESTA</v>
      </c>
      <c r="I2161" s="20">
        <f t="shared" si="101"/>
        <v>0</v>
      </c>
    </row>
    <row r="2162" spans="1:9">
      <c r="A2162" s="17" t="s">
        <v>1180</v>
      </c>
      <c r="B2162" s="17" t="s">
        <v>280</v>
      </c>
      <c r="C2162" s="17">
        <v>0</v>
      </c>
      <c r="D2162" s="17" t="s">
        <v>801</v>
      </c>
      <c r="E2162" s="18">
        <v>8050450210698</v>
      </c>
      <c r="G2162" s="20" t="str">
        <f t="shared" si="99"/>
        <v xml:space="preserve"> BANDOFOLDER     </v>
      </c>
      <c r="H2162" s="20" t="str">
        <f t="shared" si="100"/>
        <v>BLACK</v>
      </c>
      <c r="I2162" s="20">
        <f t="shared" si="101"/>
        <v>0</v>
      </c>
    </row>
    <row r="2163" spans="1:9">
      <c r="A2163" s="17" t="s">
        <v>1180</v>
      </c>
      <c r="B2163" s="17" t="s">
        <v>280</v>
      </c>
      <c r="C2163" s="17">
        <v>0</v>
      </c>
      <c r="D2163" s="17" t="s">
        <v>801</v>
      </c>
      <c r="E2163" s="18">
        <v>3004690004000</v>
      </c>
      <c r="G2163" s="20" t="str">
        <f t="shared" si="99"/>
        <v xml:space="preserve"> BANDOFOLDER     </v>
      </c>
      <c r="H2163" s="20" t="str">
        <f t="shared" si="100"/>
        <v>BLACK</v>
      </c>
      <c r="I2163" s="20">
        <f t="shared" si="101"/>
        <v>0</v>
      </c>
    </row>
    <row r="2164" spans="1:9">
      <c r="A2164" s="17" t="s">
        <v>1180</v>
      </c>
      <c r="B2164" s="17" t="s">
        <v>1181</v>
      </c>
      <c r="C2164" s="17">
        <v>0</v>
      </c>
      <c r="D2164" s="17" t="s">
        <v>801</v>
      </c>
      <c r="E2164" s="18">
        <v>3003991152007</v>
      </c>
      <c r="G2164" s="20" t="str">
        <f t="shared" si="99"/>
        <v xml:space="preserve"> BANDOFOLDER     </v>
      </c>
      <c r="H2164" s="20" t="str">
        <f t="shared" si="100"/>
        <v>BNTAU</v>
      </c>
      <c r="I2164" s="20">
        <f t="shared" si="101"/>
        <v>0</v>
      </c>
    </row>
    <row r="2165" spans="1:9">
      <c r="A2165" s="17" t="s">
        <v>1180</v>
      </c>
      <c r="B2165" s="17" t="s">
        <v>1181</v>
      </c>
      <c r="C2165" s="17">
        <v>0</v>
      </c>
      <c r="D2165" s="17" t="s">
        <v>801</v>
      </c>
      <c r="E2165" s="18">
        <v>8056095065143</v>
      </c>
      <c r="G2165" s="20" t="str">
        <f t="shared" si="99"/>
        <v xml:space="preserve"> BANDOFOLDER     </v>
      </c>
      <c r="H2165" s="20" t="str">
        <f t="shared" si="100"/>
        <v>BNTAU</v>
      </c>
      <c r="I2165" s="20">
        <f t="shared" si="101"/>
        <v>0</v>
      </c>
    </row>
    <row r="2166" spans="1:9">
      <c r="A2166" s="17" t="s">
        <v>1180</v>
      </c>
      <c r="B2166" s="17" t="s">
        <v>1182</v>
      </c>
      <c r="C2166" s="17">
        <v>0</v>
      </c>
      <c r="D2166" s="17" t="s">
        <v>801</v>
      </c>
      <c r="E2166" s="18">
        <v>3003991195004</v>
      </c>
      <c r="G2166" s="20" t="str">
        <f t="shared" si="99"/>
        <v xml:space="preserve"> BANDOFOLDER     </v>
      </c>
      <c r="H2166" s="20" t="str">
        <f t="shared" si="100"/>
        <v>BNTES</v>
      </c>
      <c r="I2166" s="20">
        <f t="shared" si="101"/>
        <v>0</v>
      </c>
    </row>
    <row r="2167" spans="1:9">
      <c r="A2167" s="17" t="s">
        <v>1180</v>
      </c>
      <c r="B2167" s="17" t="s">
        <v>1182</v>
      </c>
      <c r="C2167" s="17">
        <v>0</v>
      </c>
      <c r="D2167" s="17" t="s">
        <v>801</v>
      </c>
      <c r="E2167" s="18">
        <v>8056095065150</v>
      </c>
      <c r="G2167" s="20" t="str">
        <f t="shared" si="99"/>
        <v xml:space="preserve"> BANDOFOLDER     </v>
      </c>
      <c r="H2167" s="20" t="str">
        <f t="shared" si="100"/>
        <v>BNTES</v>
      </c>
      <c r="I2167" s="20">
        <f t="shared" si="101"/>
        <v>0</v>
      </c>
    </row>
    <row r="2168" spans="1:9">
      <c r="A2168" s="17" t="s">
        <v>1180</v>
      </c>
      <c r="B2168" s="17" t="s">
        <v>869</v>
      </c>
      <c r="C2168" s="17">
        <v>0</v>
      </c>
      <c r="D2168" s="17" t="s">
        <v>801</v>
      </c>
      <c r="E2168" s="18">
        <v>8050450210704</v>
      </c>
      <c r="G2168" s="20" t="str">
        <f t="shared" si="99"/>
        <v xml:space="preserve"> BANDOFOLDER     </v>
      </c>
      <c r="H2168" s="20" t="str">
        <f t="shared" si="100"/>
        <v>BROWN</v>
      </c>
      <c r="I2168" s="20">
        <f t="shared" si="101"/>
        <v>0</v>
      </c>
    </row>
    <row r="2169" spans="1:9">
      <c r="A2169" s="17" t="s">
        <v>1180</v>
      </c>
      <c r="B2169" s="17" t="s">
        <v>869</v>
      </c>
      <c r="C2169" s="17">
        <v>0</v>
      </c>
      <c r="D2169" s="17" t="s">
        <v>801</v>
      </c>
      <c r="E2169" s="18">
        <v>3004690554000</v>
      </c>
      <c r="G2169" s="20" t="str">
        <f t="shared" si="99"/>
        <v xml:space="preserve"> BANDOFOLDER     </v>
      </c>
      <c r="H2169" s="20" t="str">
        <f t="shared" si="100"/>
        <v>BROWN</v>
      </c>
      <c r="I2169" s="20">
        <f t="shared" si="101"/>
        <v>0</v>
      </c>
    </row>
    <row r="2170" spans="1:9">
      <c r="A2170" s="17" t="s">
        <v>1180</v>
      </c>
      <c r="B2170" s="17" t="s">
        <v>1046</v>
      </c>
      <c r="C2170" s="17">
        <v>0</v>
      </c>
      <c r="D2170" s="17" t="s">
        <v>801</v>
      </c>
      <c r="E2170" s="18">
        <v>3003990504005</v>
      </c>
      <c r="G2170" s="20" t="str">
        <f t="shared" si="99"/>
        <v xml:space="preserve"> BANDOFOLDER     </v>
      </c>
      <c r="H2170" s="20" t="str">
        <f t="shared" si="100"/>
        <v>CUIBL</v>
      </c>
      <c r="I2170" s="20">
        <f t="shared" si="101"/>
        <v>0</v>
      </c>
    </row>
    <row r="2171" spans="1:9">
      <c r="A2171" s="17" t="s">
        <v>1180</v>
      </c>
      <c r="B2171" s="17" t="s">
        <v>1046</v>
      </c>
      <c r="C2171" s="17">
        <v>0</v>
      </c>
      <c r="D2171" s="17" t="s">
        <v>801</v>
      </c>
      <c r="E2171" s="18">
        <v>8058983590140</v>
      </c>
      <c r="G2171" s="20" t="str">
        <f t="shared" si="99"/>
        <v xml:space="preserve"> BANDOFOLDER     </v>
      </c>
      <c r="H2171" s="20" t="str">
        <f t="shared" si="100"/>
        <v>CUIBL</v>
      </c>
      <c r="I2171" s="20">
        <f t="shared" si="101"/>
        <v>0</v>
      </c>
    </row>
    <row r="2172" spans="1:9">
      <c r="A2172" s="17" t="s">
        <v>1180</v>
      </c>
      <c r="B2172" s="17" t="s">
        <v>1047</v>
      </c>
      <c r="C2172" s="17">
        <v>0</v>
      </c>
      <c r="D2172" s="17" t="s">
        <v>801</v>
      </c>
      <c r="E2172" s="18">
        <v>8050450213248</v>
      </c>
      <c r="G2172" s="20" t="str">
        <f t="shared" si="99"/>
        <v xml:space="preserve"> BANDOFOLDER     </v>
      </c>
      <c r="H2172" s="20" t="str">
        <f t="shared" si="100"/>
        <v>CUIMA</v>
      </c>
      <c r="I2172" s="20">
        <f t="shared" si="101"/>
        <v>0</v>
      </c>
    </row>
    <row r="2173" spans="1:9">
      <c r="A2173" s="17" t="s">
        <v>1180</v>
      </c>
      <c r="B2173" s="17" t="s">
        <v>1047</v>
      </c>
      <c r="C2173" s="17">
        <v>0</v>
      </c>
      <c r="D2173" s="17" t="s">
        <v>801</v>
      </c>
      <c r="E2173" s="18">
        <v>3004690236005</v>
      </c>
      <c r="G2173" s="20" t="str">
        <f t="shared" si="99"/>
        <v xml:space="preserve"> BANDOFOLDER     </v>
      </c>
      <c r="H2173" s="20" t="str">
        <f t="shared" si="100"/>
        <v>CUIMA</v>
      </c>
      <c r="I2173" s="20">
        <f t="shared" si="101"/>
        <v>0</v>
      </c>
    </row>
    <row r="2174" spans="1:9">
      <c r="A2174" s="17" t="s">
        <v>1180</v>
      </c>
      <c r="B2174" s="17" t="s">
        <v>1096</v>
      </c>
      <c r="C2174" s="17">
        <v>0</v>
      </c>
      <c r="D2174" s="17" t="s">
        <v>801</v>
      </c>
      <c r="E2174" s="18">
        <v>3003990677006</v>
      </c>
      <c r="G2174" s="20" t="str">
        <f t="shared" si="99"/>
        <v xml:space="preserve"> BANDOFOLDER     </v>
      </c>
      <c r="H2174" s="20" t="str">
        <f t="shared" si="100"/>
        <v>CUINA</v>
      </c>
      <c r="I2174" s="20">
        <f t="shared" si="101"/>
        <v>0</v>
      </c>
    </row>
    <row r="2175" spans="1:9">
      <c r="A2175" s="17" t="s">
        <v>1180</v>
      </c>
      <c r="B2175" s="17" t="s">
        <v>1096</v>
      </c>
      <c r="C2175" s="17">
        <v>0</v>
      </c>
      <c r="D2175" s="17" t="s">
        <v>801</v>
      </c>
      <c r="E2175" s="18">
        <v>8050450213224</v>
      </c>
      <c r="G2175" s="20" t="str">
        <f t="shared" si="99"/>
        <v xml:space="preserve"> BANDOFOLDER     </v>
      </c>
      <c r="H2175" s="20" t="str">
        <f t="shared" si="100"/>
        <v>CUINA</v>
      </c>
      <c r="I2175" s="20">
        <f t="shared" si="101"/>
        <v>0</v>
      </c>
    </row>
    <row r="2176" spans="1:9">
      <c r="A2176" s="17" t="s">
        <v>1180</v>
      </c>
      <c r="B2176" s="17" t="s">
        <v>1048</v>
      </c>
      <c r="C2176" s="17">
        <v>0</v>
      </c>
      <c r="D2176" s="17" t="s">
        <v>801</v>
      </c>
      <c r="E2176" s="18">
        <v>3004690235008</v>
      </c>
      <c r="G2176" s="20" t="str">
        <f t="shared" si="99"/>
        <v xml:space="preserve"> BANDOFOLDER     </v>
      </c>
      <c r="H2176" s="20" t="str">
        <f t="shared" si="100"/>
        <v>CUINO</v>
      </c>
      <c r="I2176" s="20">
        <f t="shared" si="101"/>
        <v>0</v>
      </c>
    </row>
    <row r="2177" spans="1:9">
      <c r="A2177" s="17" t="s">
        <v>1180</v>
      </c>
      <c r="B2177" s="17" t="s">
        <v>1183</v>
      </c>
      <c r="C2177" s="17">
        <v>0</v>
      </c>
      <c r="D2177" s="17" t="s">
        <v>801</v>
      </c>
      <c r="E2177" s="18">
        <v>3003990712004</v>
      </c>
      <c r="G2177" s="20" t="str">
        <f t="shared" si="99"/>
        <v xml:space="preserve"> BANDOFOLDER     </v>
      </c>
      <c r="H2177" s="20" t="str">
        <f t="shared" si="100"/>
        <v>CUIVE</v>
      </c>
      <c r="I2177" s="20">
        <f t="shared" si="101"/>
        <v>0</v>
      </c>
    </row>
    <row r="2178" spans="1:9">
      <c r="A2178" s="17" t="s">
        <v>1180</v>
      </c>
      <c r="B2178" s="17" t="s">
        <v>1049</v>
      </c>
      <c r="C2178" s="17">
        <v>0</v>
      </c>
      <c r="D2178" s="17" t="s">
        <v>801</v>
      </c>
      <c r="E2178" s="18">
        <v>3003990603005</v>
      </c>
      <c r="G2178" s="20" t="str">
        <f t="shared" si="99"/>
        <v xml:space="preserve"> BANDOFOLDER     </v>
      </c>
      <c r="H2178" s="20" t="str">
        <f t="shared" si="100"/>
        <v>CUIVI</v>
      </c>
      <c r="I2178" s="20">
        <f t="shared" si="101"/>
        <v>0</v>
      </c>
    </row>
    <row r="2179" spans="1:9">
      <c r="A2179" s="17" t="s">
        <v>1180</v>
      </c>
      <c r="B2179" s="17" t="s">
        <v>1049</v>
      </c>
      <c r="C2179" s="17">
        <v>0</v>
      </c>
      <c r="D2179" s="17" t="s">
        <v>801</v>
      </c>
      <c r="E2179" s="18">
        <v>8050450213231</v>
      </c>
      <c r="G2179" s="20" t="str">
        <f t="shared" si="99"/>
        <v xml:space="preserve"> BANDOFOLDER     </v>
      </c>
      <c r="H2179" s="20" t="str">
        <f t="shared" si="100"/>
        <v>CUIVI</v>
      </c>
      <c r="I2179" s="20">
        <f t="shared" si="101"/>
        <v>0</v>
      </c>
    </row>
    <row r="2180" spans="1:9">
      <c r="A2180" s="17" t="s">
        <v>1180</v>
      </c>
      <c r="B2180" s="17" t="s">
        <v>1184</v>
      </c>
      <c r="C2180" s="17">
        <v>0</v>
      </c>
      <c r="D2180" s="17" t="s">
        <v>801</v>
      </c>
      <c r="E2180" s="18">
        <v>3003991155008</v>
      </c>
      <c r="G2180" s="20" t="str">
        <f t="shared" si="99"/>
        <v xml:space="preserve"> BANDOFOLDER     </v>
      </c>
      <c r="H2180" s="20" t="str">
        <f t="shared" si="100"/>
        <v>ECBLU</v>
      </c>
      <c r="I2180" s="20">
        <f t="shared" si="101"/>
        <v>0</v>
      </c>
    </row>
    <row r="2181" spans="1:9">
      <c r="A2181" s="17" t="s">
        <v>1180</v>
      </c>
      <c r="B2181" s="17" t="s">
        <v>1184</v>
      </c>
      <c r="C2181" s="17">
        <v>0</v>
      </c>
      <c r="D2181" s="17" t="s">
        <v>801</v>
      </c>
      <c r="E2181" s="18">
        <v>8056095063545</v>
      </c>
      <c r="G2181" s="20" t="str">
        <f t="shared" ref="G2181:G2244" si="102">A2181</f>
        <v xml:space="preserve"> BANDOFOLDER     </v>
      </c>
      <c r="H2181" s="20" t="str">
        <f t="shared" ref="H2181:H2244" si="103">B2181</f>
        <v>ECBLU</v>
      </c>
      <c r="I2181" s="20">
        <f t="shared" ref="I2181:I2244" si="104">C2181</f>
        <v>0</v>
      </c>
    </row>
    <row r="2182" spans="1:9">
      <c r="A2182" s="17" t="s">
        <v>1180</v>
      </c>
      <c r="B2182" s="17" t="s">
        <v>1185</v>
      </c>
      <c r="C2182" s="17">
        <v>0</v>
      </c>
      <c r="D2182" s="17" t="s">
        <v>801</v>
      </c>
      <c r="E2182" s="18">
        <v>8050450215433</v>
      </c>
      <c r="G2182" s="20" t="str">
        <f t="shared" si="102"/>
        <v xml:space="preserve"> BANDOFOLDER     </v>
      </c>
      <c r="H2182" s="20" t="str">
        <f t="shared" si="103"/>
        <v>ECOBL</v>
      </c>
      <c r="I2182" s="20">
        <f t="shared" si="104"/>
        <v>0</v>
      </c>
    </row>
    <row r="2183" spans="1:9">
      <c r="A2183" s="17" t="s">
        <v>1180</v>
      </c>
      <c r="B2183" s="17" t="s">
        <v>1185</v>
      </c>
      <c r="C2183" s="17">
        <v>0</v>
      </c>
      <c r="D2183" s="17" t="s">
        <v>801</v>
      </c>
      <c r="E2183" s="18">
        <v>3004690536006</v>
      </c>
      <c r="G2183" s="20" t="str">
        <f t="shared" si="102"/>
        <v xml:space="preserve"> BANDOFOLDER     </v>
      </c>
      <c r="H2183" s="20" t="str">
        <f t="shared" si="103"/>
        <v>ECOBL</v>
      </c>
      <c r="I2183" s="20">
        <f t="shared" si="104"/>
        <v>0</v>
      </c>
    </row>
    <row r="2184" spans="1:9">
      <c r="A2184" s="17" t="s">
        <v>1180</v>
      </c>
      <c r="B2184" s="17" t="s">
        <v>1055</v>
      </c>
      <c r="C2184" s="17">
        <v>0</v>
      </c>
      <c r="D2184" s="17" t="s">
        <v>801</v>
      </c>
      <c r="E2184" s="18">
        <v>3003990469007</v>
      </c>
      <c r="G2184" s="20" t="str">
        <f t="shared" si="102"/>
        <v xml:space="preserve"> BANDOFOLDER     </v>
      </c>
      <c r="H2184" s="20" t="str">
        <f t="shared" si="103"/>
        <v>ECONA</v>
      </c>
      <c r="I2184" s="20">
        <f t="shared" si="104"/>
        <v>0</v>
      </c>
    </row>
    <row r="2185" spans="1:9">
      <c r="A2185" s="17" t="s">
        <v>1180</v>
      </c>
      <c r="B2185" s="17" t="s">
        <v>1186</v>
      </c>
      <c r="C2185" s="17">
        <v>0</v>
      </c>
      <c r="D2185" s="17" t="s">
        <v>801</v>
      </c>
      <c r="E2185" s="18">
        <v>8058983591826</v>
      </c>
      <c r="G2185" s="20" t="str">
        <f t="shared" si="102"/>
        <v xml:space="preserve"> BANDOFOLDER     </v>
      </c>
      <c r="H2185" s="20" t="str">
        <f t="shared" si="103"/>
        <v>ECOTE</v>
      </c>
      <c r="I2185" s="20">
        <f t="shared" si="104"/>
        <v>0</v>
      </c>
    </row>
    <row r="2186" spans="1:9">
      <c r="A2186" s="17" t="s">
        <v>1180</v>
      </c>
      <c r="B2186" s="17" t="s">
        <v>1186</v>
      </c>
      <c r="C2186" s="17">
        <v>0</v>
      </c>
      <c r="D2186" s="17" t="s">
        <v>801</v>
      </c>
      <c r="E2186" s="18">
        <v>3003990713001</v>
      </c>
      <c r="G2186" s="20" t="str">
        <f t="shared" si="102"/>
        <v xml:space="preserve"> BANDOFOLDER     </v>
      </c>
      <c r="H2186" s="20" t="str">
        <f t="shared" si="103"/>
        <v>ECOTE</v>
      </c>
      <c r="I2186" s="20">
        <f t="shared" si="104"/>
        <v>0</v>
      </c>
    </row>
    <row r="2187" spans="1:9">
      <c r="A2187" s="17" t="s">
        <v>1180</v>
      </c>
      <c r="B2187" s="17" t="s">
        <v>1187</v>
      </c>
      <c r="C2187" s="17">
        <v>0</v>
      </c>
      <c r="D2187" s="17" t="s">
        <v>801</v>
      </c>
      <c r="E2187" s="18">
        <v>3003991185005</v>
      </c>
      <c r="G2187" s="20" t="str">
        <f t="shared" si="102"/>
        <v xml:space="preserve"> BANDOFOLDER     </v>
      </c>
      <c r="H2187" s="20" t="str">
        <f t="shared" si="103"/>
        <v>ECPRA</v>
      </c>
      <c r="I2187" s="20">
        <f t="shared" si="104"/>
        <v>0</v>
      </c>
    </row>
    <row r="2188" spans="1:9">
      <c r="A2188" s="17" t="s">
        <v>1180</v>
      </c>
      <c r="B2188" s="17" t="s">
        <v>1187</v>
      </c>
      <c r="C2188" s="17">
        <v>0</v>
      </c>
      <c r="D2188" s="17" t="s">
        <v>801</v>
      </c>
      <c r="E2188" s="18">
        <v>8056095063552</v>
      </c>
      <c r="G2188" s="20" t="str">
        <f t="shared" si="102"/>
        <v xml:space="preserve"> BANDOFOLDER     </v>
      </c>
      <c r="H2188" s="20" t="str">
        <f t="shared" si="103"/>
        <v>ECPRA</v>
      </c>
      <c r="I2188" s="20">
        <f t="shared" si="104"/>
        <v>0</v>
      </c>
    </row>
    <row r="2189" spans="1:9">
      <c r="A2189" s="17" t="s">
        <v>1180</v>
      </c>
      <c r="B2189" s="17" t="s">
        <v>834</v>
      </c>
      <c r="C2189" s="17">
        <v>0</v>
      </c>
      <c r="D2189" s="17" t="s">
        <v>801</v>
      </c>
      <c r="E2189" s="18">
        <v>3003990794000</v>
      </c>
      <c r="G2189" s="20" t="str">
        <f t="shared" si="102"/>
        <v xml:space="preserve"> BANDOFOLDER     </v>
      </c>
      <c r="H2189" s="20" t="str">
        <f t="shared" si="103"/>
        <v>GOACQ</v>
      </c>
      <c r="I2189" s="20">
        <f t="shared" si="104"/>
        <v>0</v>
      </c>
    </row>
    <row r="2190" spans="1:9">
      <c r="A2190" s="17" t="s">
        <v>1180</v>
      </c>
      <c r="B2190" s="17" t="s">
        <v>1062</v>
      </c>
      <c r="C2190" s="17">
        <v>0</v>
      </c>
      <c r="D2190" s="17" t="s">
        <v>801</v>
      </c>
      <c r="E2190" s="18">
        <v>3003990798008</v>
      </c>
      <c r="G2190" s="20" t="str">
        <f t="shared" si="102"/>
        <v xml:space="preserve"> BANDOFOLDER     </v>
      </c>
      <c r="H2190" s="20" t="str">
        <f t="shared" si="103"/>
        <v>GOBLA</v>
      </c>
      <c r="I2190" s="20">
        <f t="shared" si="104"/>
        <v>0</v>
      </c>
    </row>
    <row r="2191" spans="1:9">
      <c r="A2191" s="17" t="s">
        <v>1180</v>
      </c>
      <c r="B2191" s="17" t="s">
        <v>1064</v>
      </c>
      <c r="C2191" s="17">
        <v>0</v>
      </c>
      <c r="D2191" s="17" t="s">
        <v>801</v>
      </c>
      <c r="E2191" s="18">
        <v>3003990797001</v>
      </c>
      <c r="G2191" s="20" t="str">
        <f t="shared" si="102"/>
        <v xml:space="preserve"> BANDOFOLDER     </v>
      </c>
      <c r="H2191" s="20" t="str">
        <f t="shared" si="103"/>
        <v>GOGRE</v>
      </c>
      <c r="I2191" s="20">
        <f t="shared" si="104"/>
        <v>0</v>
      </c>
    </row>
    <row r="2192" spans="1:9">
      <c r="A2192" s="17" t="s">
        <v>1180</v>
      </c>
      <c r="B2192" s="17" t="s">
        <v>835</v>
      </c>
      <c r="C2192" s="17">
        <v>0</v>
      </c>
      <c r="D2192" s="17" t="s">
        <v>801</v>
      </c>
      <c r="E2192" s="18">
        <v>3003990796004</v>
      </c>
      <c r="G2192" s="20" t="str">
        <f t="shared" si="102"/>
        <v xml:space="preserve"> BANDOFOLDER     </v>
      </c>
      <c r="H2192" s="20" t="str">
        <f t="shared" si="103"/>
        <v>GOICE</v>
      </c>
      <c r="I2192" s="20">
        <f t="shared" si="104"/>
        <v>0</v>
      </c>
    </row>
    <row r="2193" spans="1:9">
      <c r="A2193" s="17" t="s">
        <v>1180</v>
      </c>
      <c r="B2193" s="17" t="s">
        <v>836</v>
      </c>
      <c r="C2193" s="17">
        <v>0</v>
      </c>
      <c r="D2193" s="17" t="s">
        <v>801</v>
      </c>
      <c r="E2193" s="18">
        <v>3003990795007</v>
      </c>
      <c r="G2193" s="20" t="str">
        <f t="shared" si="102"/>
        <v xml:space="preserve"> BANDOFOLDER     </v>
      </c>
      <c r="H2193" s="20" t="str">
        <f t="shared" si="103"/>
        <v>GOIRI</v>
      </c>
      <c r="I2193" s="20">
        <f t="shared" si="104"/>
        <v>0</v>
      </c>
    </row>
    <row r="2194" spans="1:9">
      <c r="A2194" s="17" t="s">
        <v>1180</v>
      </c>
      <c r="B2194" s="17" t="s">
        <v>1065</v>
      </c>
      <c r="C2194" s="17">
        <v>0</v>
      </c>
      <c r="D2194" s="17" t="s">
        <v>801</v>
      </c>
      <c r="E2194" s="18">
        <v>3003990799005</v>
      </c>
      <c r="G2194" s="20" t="str">
        <f t="shared" si="102"/>
        <v xml:space="preserve"> BANDOFOLDER     </v>
      </c>
      <c r="H2194" s="20" t="str">
        <f t="shared" si="103"/>
        <v>GOTES</v>
      </c>
      <c r="I2194" s="20">
        <f t="shared" si="104"/>
        <v>0</v>
      </c>
    </row>
    <row r="2195" spans="1:9">
      <c r="A2195" s="17" t="s">
        <v>1180</v>
      </c>
      <c r="B2195" s="17" t="s">
        <v>273</v>
      </c>
      <c r="C2195" s="17">
        <v>0</v>
      </c>
      <c r="D2195" s="17" t="s">
        <v>801</v>
      </c>
      <c r="E2195" s="18">
        <v>3004690006004</v>
      </c>
      <c r="G2195" s="20" t="str">
        <f t="shared" si="102"/>
        <v xml:space="preserve"> BANDOFOLDER     </v>
      </c>
      <c r="H2195" s="20" t="str">
        <f t="shared" si="103"/>
        <v>WHITE</v>
      </c>
      <c r="I2195" s="20">
        <f t="shared" si="104"/>
        <v>0</v>
      </c>
    </row>
    <row r="2196" spans="1:9">
      <c r="A2196" s="17" t="s">
        <v>1188</v>
      </c>
      <c r="B2196" s="17" t="s">
        <v>945</v>
      </c>
      <c r="C2196" s="17">
        <v>0</v>
      </c>
      <c r="D2196" s="17" t="s">
        <v>801</v>
      </c>
      <c r="E2196" s="18">
        <v>3005911056006</v>
      </c>
      <c r="G2196" s="20" t="str">
        <f t="shared" si="102"/>
        <v xml:space="preserve"> BANDOGOUTTE     </v>
      </c>
      <c r="H2196" s="20" t="str">
        <f t="shared" si="103"/>
        <v>FOLKB</v>
      </c>
      <c r="I2196" s="20">
        <f t="shared" si="104"/>
        <v>0</v>
      </c>
    </row>
    <row r="2197" spans="1:9">
      <c r="A2197" s="17" t="s">
        <v>1188</v>
      </c>
      <c r="B2197" s="17" t="s">
        <v>967</v>
      </c>
      <c r="C2197" s="17">
        <v>0</v>
      </c>
      <c r="D2197" s="17" t="s">
        <v>801</v>
      </c>
      <c r="E2197" s="18">
        <v>3005911063004</v>
      </c>
      <c r="G2197" s="20" t="str">
        <f t="shared" si="102"/>
        <v xml:space="preserve"> BANDOGOUTTE     </v>
      </c>
      <c r="H2197" s="20" t="str">
        <f t="shared" si="103"/>
        <v>FOLKO</v>
      </c>
      <c r="I2197" s="20">
        <f t="shared" si="104"/>
        <v>0</v>
      </c>
    </row>
    <row r="2198" spans="1:9">
      <c r="A2198" s="17" t="s">
        <v>1188</v>
      </c>
      <c r="B2198" s="17" t="s">
        <v>1040</v>
      </c>
      <c r="C2198" s="17">
        <v>0</v>
      </c>
      <c r="D2198" s="17" t="s">
        <v>801</v>
      </c>
      <c r="E2198" s="18">
        <v>3005911064001</v>
      </c>
      <c r="G2198" s="20" t="str">
        <f t="shared" si="102"/>
        <v xml:space="preserve"> BANDOGOUTTE     </v>
      </c>
      <c r="H2198" s="20" t="str">
        <f t="shared" si="103"/>
        <v>JACRO</v>
      </c>
      <c r="I2198" s="20">
        <f t="shared" si="104"/>
        <v>0</v>
      </c>
    </row>
    <row r="2199" spans="1:9">
      <c r="A2199" s="17" t="s">
        <v>1188</v>
      </c>
      <c r="B2199" s="17" t="s">
        <v>1041</v>
      </c>
      <c r="C2199" s="17">
        <v>0</v>
      </c>
      <c r="D2199" s="17" t="s">
        <v>801</v>
      </c>
      <c r="E2199" s="18">
        <v>3005911499001</v>
      </c>
      <c r="G2199" s="20" t="str">
        <f t="shared" si="102"/>
        <v xml:space="preserve"> BANDOGOUTTE     </v>
      </c>
      <c r="H2199" s="20" t="str">
        <f t="shared" si="103"/>
        <v>LIGBL</v>
      </c>
      <c r="I2199" s="20">
        <f t="shared" si="104"/>
        <v>0</v>
      </c>
    </row>
    <row r="2200" spans="1:9">
      <c r="A2200" s="17" t="s">
        <v>1188</v>
      </c>
      <c r="B2200" s="17" t="s">
        <v>1041</v>
      </c>
      <c r="C2200" s="17">
        <v>0</v>
      </c>
      <c r="D2200" s="17" t="s">
        <v>801</v>
      </c>
      <c r="E2200" s="18">
        <v>8050538595556</v>
      </c>
      <c r="G2200" s="20" t="str">
        <f t="shared" si="102"/>
        <v xml:space="preserve"> BANDOGOUTTE     </v>
      </c>
      <c r="H2200" s="20" t="str">
        <f t="shared" si="103"/>
        <v>LIGBL</v>
      </c>
      <c r="I2200" s="20">
        <f t="shared" si="104"/>
        <v>0</v>
      </c>
    </row>
    <row r="2201" spans="1:9">
      <c r="A2201" s="17" t="s">
        <v>1188</v>
      </c>
      <c r="B2201" s="17" t="s">
        <v>1042</v>
      </c>
      <c r="C2201" s="17">
        <v>0</v>
      </c>
      <c r="D2201" s="17" t="s">
        <v>801</v>
      </c>
      <c r="E2201" s="18">
        <v>8050538595549</v>
      </c>
      <c r="G2201" s="20" t="str">
        <f t="shared" si="102"/>
        <v xml:space="preserve"> BANDOGOUTTE     </v>
      </c>
      <c r="H2201" s="20" t="str">
        <f t="shared" si="103"/>
        <v>LIGRO</v>
      </c>
      <c r="I2201" s="20">
        <f t="shared" si="104"/>
        <v>0</v>
      </c>
    </row>
    <row r="2202" spans="1:9">
      <c r="A2202" s="17" t="s">
        <v>1188</v>
      </c>
      <c r="B2202" s="17" t="s">
        <v>1042</v>
      </c>
      <c r="C2202" s="17">
        <v>0</v>
      </c>
      <c r="D2202" s="17" t="s">
        <v>801</v>
      </c>
      <c r="E2202" s="18">
        <v>3005911500004</v>
      </c>
      <c r="G2202" s="20" t="str">
        <f t="shared" si="102"/>
        <v xml:space="preserve"> BANDOGOUTTE     </v>
      </c>
      <c r="H2202" s="20" t="str">
        <f t="shared" si="103"/>
        <v>LIGRO</v>
      </c>
      <c r="I2202" s="20">
        <f t="shared" si="104"/>
        <v>0</v>
      </c>
    </row>
    <row r="2203" spans="1:9">
      <c r="A2203" s="17" t="s">
        <v>1189</v>
      </c>
      <c r="B2203" s="17" t="s">
        <v>857</v>
      </c>
      <c r="C2203" s="17">
        <v>0</v>
      </c>
      <c r="D2203" s="17" t="s">
        <v>801</v>
      </c>
      <c r="E2203" s="18">
        <v>8056099170591</v>
      </c>
      <c r="G2203" s="20" t="str">
        <f t="shared" si="102"/>
        <v xml:space="preserve"> BANDOMINIFOLDER </v>
      </c>
      <c r="H2203" s="20" t="str">
        <f t="shared" si="103"/>
        <v>BLUET</v>
      </c>
      <c r="I2203" s="20">
        <f t="shared" si="104"/>
        <v>0</v>
      </c>
    </row>
    <row r="2204" spans="1:9">
      <c r="A2204" s="17" t="s">
        <v>1189</v>
      </c>
      <c r="B2204" s="17" t="s">
        <v>970</v>
      </c>
      <c r="C2204" s="17">
        <v>0</v>
      </c>
      <c r="D2204" s="17" t="s">
        <v>801</v>
      </c>
      <c r="E2204" s="18">
        <v>3005301218007</v>
      </c>
      <c r="G2204" s="20" t="str">
        <f t="shared" si="102"/>
        <v xml:space="preserve"> BANDOMINIFOLDER </v>
      </c>
      <c r="H2204" s="20" t="str">
        <f t="shared" si="103"/>
        <v>COGNA</v>
      </c>
      <c r="I2204" s="20">
        <f t="shared" si="104"/>
        <v>0</v>
      </c>
    </row>
    <row r="2205" spans="1:9">
      <c r="A2205" s="17" t="s">
        <v>1189</v>
      </c>
      <c r="B2205" s="17" t="s">
        <v>970</v>
      </c>
      <c r="C2205" s="17">
        <v>0</v>
      </c>
      <c r="D2205" s="17" t="s">
        <v>801</v>
      </c>
      <c r="E2205" s="18">
        <v>8056099170577</v>
      </c>
      <c r="G2205" s="20" t="str">
        <f t="shared" si="102"/>
        <v xml:space="preserve"> BANDOMINIFOLDER </v>
      </c>
      <c r="H2205" s="20" t="str">
        <f t="shared" si="103"/>
        <v>COGNA</v>
      </c>
      <c r="I2205" s="20">
        <f t="shared" si="104"/>
        <v>0</v>
      </c>
    </row>
    <row r="2206" spans="1:9">
      <c r="A2206" s="17" t="s">
        <v>1189</v>
      </c>
      <c r="B2206" s="17" t="s">
        <v>945</v>
      </c>
      <c r="C2206" s="17">
        <v>0</v>
      </c>
      <c r="D2206" s="17" t="s">
        <v>801</v>
      </c>
      <c r="E2206" s="18">
        <v>8056099177415</v>
      </c>
      <c r="G2206" s="20" t="str">
        <f t="shared" si="102"/>
        <v xml:space="preserve"> BANDOMINIFOLDER </v>
      </c>
      <c r="H2206" s="20" t="str">
        <f t="shared" si="103"/>
        <v>FOLKB</v>
      </c>
      <c r="I2206" s="20">
        <f t="shared" si="104"/>
        <v>0</v>
      </c>
    </row>
    <row r="2207" spans="1:9">
      <c r="A2207" s="17" t="s">
        <v>1189</v>
      </c>
      <c r="B2207" s="17" t="s">
        <v>967</v>
      </c>
      <c r="C2207" s="17">
        <v>0</v>
      </c>
      <c r="D2207" s="17" t="s">
        <v>801</v>
      </c>
      <c r="E2207" s="18">
        <v>8056099177033</v>
      </c>
      <c r="G2207" s="20" t="str">
        <f t="shared" si="102"/>
        <v xml:space="preserve"> BANDOMINIFOLDER </v>
      </c>
      <c r="H2207" s="20" t="str">
        <f t="shared" si="103"/>
        <v>FOLKO</v>
      </c>
      <c r="I2207" s="20">
        <f t="shared" si="104"/>
        <v>0</v>
      </c>
    </row>
    <row r="2208" spans="1:9">
      <c r="A2208" s="17" t="s">
        <v>1189</v>
      </c>
      <c r="B2208" s="17" t="s">
        <v>1190</v>
      </c>
      <c r="C2208" s="17">
        <v>0</v>
      </c>
      <c r="D2208" s="17" t="s">
        <v>801</v>
      </c>
      <c r="E2208" s="18">
        <v>8056099177194</v>
      </c>
      <c r="G2208" s="20" t="str">
        <f t="shared" si="102"/>
        <v xml:space="preserve"> BANDOMINIFOLDER </v>
      </c>
      <c r="H2208" s="20" t="str">
        <f t="shared" si="103"/>
        <v>FOLKT</v>
      </c>
      <c r="I2208" s="20">
        <f t="shared" si="104"/>
        <v>0</v>
      </c>
    </row>
    <row r="2209" spans="1:9">
      <c r="A2209" s="17" t="s">
        <v>1189</v>
      </c>
      <c r="B2209" s="17" t="s">
        <v>858</v>
      </c>
      <c r="C2209" s="17">
        <v>0</v>
      </c>
      <c r="D2209" s="17" t="s">
        <v>801</v>
      </c>
      <c r="E2209" s="18">
        <v>8056095063569</v>
      </c>
      <c r="G2209" s="20" t="str">
        <f t="shared" si="102"/>
        <v xml:space="preserve"> BANDOMINIFOLDER </v>
      </c>
      <c r="H2209" s="20" t="str">
        <f t="shared" si="103"/>
        <v xml:space="preserve">GREY </v>
      </c>
      <c r="I2209" s="20">
        <f t="shared" si="104"/>
        <v>0</v>
      </c>
    </row>
    <row r="2210" spans="1:9">
      <c r="A2210" s="17" t="s">
        <v>1189</v>
      </c>
      <c r="B2210" s="17" t="s">
        <v>1191</v>
      </c>
      <c r="C2210" s="17">
        <v>0</v>
      </c>
      <c r="D2210" s="17" t="s">
        <v>801</v>
      </c>
      <c r="E2210" s="18">
        <v>8056099170584</v>
      </c>
      <c r="G2210" s="20" t="str">
        <f t="shared" si="102"/>
        <v xml:space="preserve"> BANDOMINIFOLDER </v>
      </c>
      <c r="H2210" s="20" t="str">
        <f t="shared" si="103"/>
        <v xml:space="preserve">KIWI </v>
      </c>
      <c r="I2210" s="20">
        <f t="shared" si="104"/>
        <v>0</v>
      </c>
    </row>
    <row r="2211" spans="1:9">
      <c r="A2211" s="17" t="s">
        <v>1189</v>
      </c>
      <c r="B2211" s="17" t="s">
        <v>1032</v>
      </c>
      <c r="C2211" s="17">
        <v>0</v>
      </c>
      <c r="D2211" s="17" t="s">
        <v>801</v>
      </c>
      <c r="E2211" s="18">
        <v>3005301099002</v>
      </c>
      <c r="G2211" s="20" t="str">
        <f t="shared" si="102"/>
        <v xml:space="preserve"> BANDOMINIFOLDER </v>
      </c>
      <c r="H2211" s="20" t="str">
        <f t="shared" si="103"/>
        <v xml:space="preserve">OCRE </v>
      </c>
      <c r="I2211" s="20">
        <f t="shared" si="104"/>
        <v>0</v>
      </c>
    </row>
    <row r="2212" spans="1:9">
      <c r="A2212" s="17" t="s">
        <v>1189</v>
      </c>
      <c r="B2212" s="17" t="s">
        <v>1032</v>
      </c>
      <c r="C2212" s="17">
        <v>0</v>
      </c>
      <c r="D2212" s="17" t="s">
        <v>801</v>
      </c>
      <c r="E2212" s="18">
        <v>8056099170553</v>
      </c>
      <c r="G2212" s="20" t="str">
        <f t="shared" si="102"/>
        <v xml:space="preserve"> BANDOMINIFOLDER </v>
      </c>
      <c r="H2212" s="20" t="str">
        <f t="shared" si="103"/>
        <v xml:space="preserve">OCRE </v>
      </c>
      <c r="I2212" s="20">
        <f t="shared" si="104"/>
        <v>0</v>
      </c>
    </row>
    <row r="2213" spans="1:9">
      <c r="A2213" s="17" t="s">
        <v>1189</v>
      </c>
      <c r="B2213" s="17" t="s">
        <v>840</v>
      </c>
      <c r="C2213" s="17">
        <v>0</v>
      </c>
      <c r="D2213" s="17" t="s">
        <v>801</v>
      </c>
      <c r="E2213" s="18">
        <v>3005300403008</v>
      </c>
      <c r="G2213" s="20" t="str">
        <f t="shared" si="102"/>
        <v xml:space="preserve"> BANDOMINIFOLDER </v>
      </c>
      <c r="H2213" s="20" t="str">
        <f t="shared" si="103"/>
        <v>SAUGE</v>
      </c>
      <c r="I2213" s="20">
        <f t="shared" si="104"/>
        <v>0</v>
      </c>
    </row>
    <row r="2214" spans="1:9">
      <c r="A2214" s="17" t="s">
        <v>1189</v>
      </c>
      <c r="B2214" s="17" t="s">
        <v>840</v>
      </c>
      <c r="C2214" s="17">
        <v>0</v>
      </c>
      <c r="D2214" s="17" t="s">
        <v>801</v>
      </c>
      <c r="E2214" s="18">
        <v>8056095064207</v>
      </c>
      <c r="G2214" s="20" t="str">
        <f t="shared" si="102"/>
        <v xml:space="preserve"> BANDOMINIFOLDER </v>
      </c>
      <c r="H2214" s="20" t="str">
        <f t="shared" si="103"/>
        <v>SAUGE</v>
      </c>
      <c r="I2214" s="20">
        <f t="shared" si="104"/>
        <v>0</v>
      </c>
    </row>
    <row r="2215" spans="1:9">
      <c r="A2215" s="17" t="s">
        <v>1189</v>
      </c>
      <c r="B2215" s="17" t="s">
        <v>1079</v>
      </c>
      <c r="C2215" s="17">
        <v>0</v>
      </c>
      <c r="D2215" s="17" t="s">
        <v>801</v>
      </c>
      <c r="E2215" s="18">
        <v>3005300410006</v>
      </c>
      <c r="G2215" s="20" t="str">
        <f t="shared" si="102"/>
        <v xml:space="preserve"> BANDOMINIFOLDER </v>
      </c>
      <c r="H2215" s="20" t="str">
        <f t="shared" si="103"/>
        <v xml:space="preserve">SLVG </v>
      </c>
      <c r="I2215" s="20">
        <f t="shared" si="104"/>
        <v>0</v>
      </c>
    </row>
    <row r="2216" spans="1:9">
      <c r="A2216" s="17" t="s">
        <v>1189</v>
      </c>
      <c r="B2216" s="17" t="s">
        <v>1080</v>
      </c>
      <c r="C2216" s="17">
        <v>0</v>
      </c>
      <c r="D2216" s="17" t="s">
        <v>801</v>
      </c>
      <c r="E2216" s="18">
        <v>8056099170560</v>
      </c>
      <c r="G2216" s="20" t="str">
        <f t="shared" si="102"/>
        <v xml:space="preserve"> BANDOMINIFOLDER </v>
      </c>
      <c r="H2216" s="20" t="str">
        <f t="shared" si="103"/>
        <v>TERRA</v>
      </c>
      <c r="I2216" s="20">
        <f t="shared" si="104"/>
        <v>0</v>
      </c>
    </row>
    <row r="2217" spans="1:9">
      <c r="A2217" s="17" t="s">
        <v>1189</v>
      </c>
      <c r="B2217" s="17" t="s">
        <v>873</v>
      </c>
      <c r="C2217" s="17">
        <v>0</v>
      </c>
      <c r="D2217" s="17" t="s">
        <v>801</v>
      </c>
      <c r="E2217" s="18">
        <v>3005301100005</v>
      </c>
      <c r="G2217" s="20" t="str">
        <f t="shared" si="102"/>
        <v xml:space="preserve"> BANDOMINIFOLDER </v>
      </c>
      <c r="H2217" s="20" t="str">
        <f t="shared" si="103"/>
        <v>TORTO</v>
      </c>
      <c r="I2217" s="20">
        <f t="shared" si="104"/>
        <v>0</v>
      </c>
    </row>
    <row r="2218" spans="1:9">
      <c r="A2218" s="17" t="s">
        <v>1189</v>
      </c>
      <c r="B2218" s="17" t="s">
        <v>873</v>
      </c>
      <c r="C2218" s="17">
        <v>0</v>
      </c>
      <c r="D2218" s="17" t="s">
        <v>801</v>
      </c>
      <c r="E2218" s="18">
        <v>8056095064214</v>
      </c>
      <c r="G2218" s="20" t="str">
        <f t="shared" si="102"/>
        <v xml:space="preserve"> BANDOMINIFOLDER </v>
      </c>
      <c r="H2218" s="20" t="str">
        <f t="shared" si="103"/>
        <v>TORTO</v>
      </c>
      <c r="I2218" s="20">
        <f t="shared" si="104"/>
        <v>0</v>
      </c>
    </row>
    <row r="2219" spans="1:9">
      <c r="A2219" s="17" t="s">
        <v>1189</v>
      </c>
      <c r="B2219" s="17" t="s">
        <v>273</v>
      </c>
      <c r="C2219" s="17">
        <v>0</v>
      </c>
      <c r="D2219" s="17" t="s">
        <v>801</v>
      </c>
      <c r="E2219" s="18">
        <v>3005300440003</v>
      </c>
      <c r="G2219" s="20" t="str">
        <f t="shared" si="102"/>
        <v xml:space="preserve"> BANDOMINIFOLDER </v>
      </c>
      <c r="H2219" s="20" t="str">
        <f t="shared" si="103"/>
        <v>WHITE</v>
      </c>
      <c r="I2219" s="20">
        <f t="shared" si="104"/>
        <v>0</v>
      </c>
    </row>
    <row r="2220" spans="1:9">
      <c r="A2220" s="17" t="s">
        <v>1189</v>
      </c>
      <c r="B2220" s="17" t="s">
        <v>273</v>
      </c>
      <c r="C2220" s="17">
        <v>0</v>
      </c>
      <c r="D2220" s="17" t="s">
        <v>801</v>
      </c>
      <c r="E2220" s="18">
        <v>8056099170546</v>
      </c>
      <c r="G2220" s="20" t="str">
        <f t="shared" si="102"/>
        <v xml:space="preserve"> BANDOMINIFOLDER </v>
      </c>
      <c r="H2220" s="20" t="str">
        <f t="shared" si="103"/>
        <v>WHITE</v>
      </c>
      <c r="I2220" s="20">
        <f t="shared" si="104"/>
        <v>0</v>
      </c>
    </row>
    <row r="2221" spans="1:9">
      <c r="A2221" s="17" t="s">
        <v>1192</v>
      </c>
      <c r="B2221" s="17" t="s">
        <v>1193</v>
      </c>
      <c r="C2221" s="17">
        <v>0</v>
      </c>
      <c r="D2221" s="17" t="s">
        <v>801</v>
      </c>
      <c r="E2221" s="18">
        <v>3005481201004</v>
      </c>
      <c r="G2221" s="20" t="str">
        <f t="shared" si="102"/>
        <v xml:space="preserve"> BANDOMOON       </v>
      </c>
      <c r="H2221" s="20" t="str">
        <f t="shared" si="103"/>
        <v>BOBLA</v>
      </c>
      <c r="I2221" s="20">
        <f t="shared" si="104"/>
        <v>0</v>
      </c>
    </row>
    <row r="2222" spans="1:9">
      <c r="A2222" s="17" t="s">
        <v>1192</v>
      </c>
      <c r="B2222" s="17" t="s">
        <v>1193</v>
      </c>
      <c r="C2222" s="17">
        <v>0</v>
      </c>
      <c r="D2222" s="17" t="s">
        <v>801</v>
      </c>
      <c r="E2222" s="18">
        <v>8056099170676</v>
      </c>
      <c r="G2222" s="20" t="str">
        <f t="shared" si="102"/>
        <v xml:space="preserve"> BANDOMOON       </v>
      </c>
      <c r="H2222" s="20" t="str">
        <f t="shared" si="103"/>
        <v>BOBLA</v>
      </c>
      <c r="I2222" s="20">
        <f t="shared" si="104"/>
        <v>0</v>
      </c>
    </row>
    <row r="2223" spans="1:9">
      <c r="A2223" s="17" t="s">
        <v>1192</v>
      </c>
      <c r="B2223" s="17" t="s">
        <v>1194</v>
      </c>
      <c r="C2223" s="17">
        <v>0</v>
      </c>
      <c r="D2223" s="17" t="s">
        <v>801</v>
      </c>
      <c r="E2223" s="18">
        <v>3005481204005</v>
      </c>
      <c r="G2223" s="20" t="str">
        <f t="shared" si="102"/>
        <v xml:space="preserve"> BANDOMOON       </v>
      </c>
      <c r="H2223" s="20" t="str">
        <f t="shared" si="103"/>
        <v>BOBLU</v>
      </c>
      <c r="I2223" s="20">
        <f t="shared" si="104"/>
        <v>0</v>
      </c>
    </row>
    <row r="2224" spans="1:9">
      <c r="A2224" s="17" t="s">
        <v>1192</v>
      </c>
      <c r="B2224" s="17" t="s">
        <v>1194</v>
      </c>
      <c r="C2224" s="17">
        <v>0</v>
      </c>
      <c r="D2224" s="17" t="s">
        <v>801</v>
      </c>
      <c r="E2224" s="18">
        <v>8056099170645</v>
      </c>
      <c r="G2224" s="20" t="str">
        <f t="shared" si="102"/>
        <v xml:space="preserve"> BANDOMOON       </v>
      </c>
      <c r="H2224" s="20" t="str">
        <f t="shared" si="103"/>
        <v>BOBLU</v>
      </c>
      <c r="I2224" s="20">
        <f t="shared" si="104"/>
        <v>0</v>
      </c>
    </row>
    <row r="2225" spans="1:9">
      <c r="A2225" s="17" t="s">
        <v>1192</v>
      </c>
      <c r="B2225" s="17" t="s">
        <v>1195</v>
      </c>
      <c r="C2225" s="17">
        <v>0</v>
      </c>
      <c r="D2225" s="17" t="s">
        <v>801</v>
      </c>
      <c r="E2225" s="18">
        <v>3005481203008</v>
      </c>
      <c r="G2225" s="20" t="str">
        <f t="shared" si="102"/>
        <v xml:space="preserve"> BANDOMOON       </v>
      </c>
      <c r="H2225" s="20" t="str">
        <f t="shared" si="103"/>
        <v>BOGRE</v>
      </c>
      <c r="I2225" s="20">
        <f t="shared" si="104"/>
        <v>0</v>
      </c>
    </row>
    <row r="2226" spans="1:9">
      <c r="A2226" s="17" t="s">
        <v>1192</v>
      </c>
      <c r="B2226" s="17" t="s">
        <v>1195</v>
      </c>
      <c r="C2226" s="17">
        <v>0</v>
      </c>
      <c r="D2226" s="17" t="s">
        <v>801</v>
      </c>
      <c r="E2226" s="18">
        <v>8056099170669</v>
      </c>
      <c r="G2226" s="20" t="str">
        <f t="shared" si="102"/>
        <v xml:space="preserve"> BANDOMOON       </v>
      </c>
      <c r="H2226" s="20" t="str">
        <f t="shared" si="103"/>
        <v>BOGRE</v>
      </c>
      <c r="I2226" s="20">
        <f t="shared" si="104"/>
        <v>0</v>
      </c>
    </row>
    <row r="2227" spans="1:9">
      <c r="A2227" s="17" t="s">
        <v>1192</v>
      </c>
      <c r="B2227" s="17" t="s">
        <v>1196</v>
      </c>
      <c r="C2227" s="17">
        <v>0</v>
      </c>
      <c r="D2227" s="17" t="s">
        <v>801</v>
      </c>
      <c r="E2227" s="18">
        <v>3005481200007</v>
      </c>
      <c r="G2227" s="20" t="str">
        <f t="shared" si="102"/>
        <v xml:space="preserve"> BANDOMOON       </v>
      </c>
      <c r="H2227" s="20" t="str">
        <f t="shared" si="103"/>
        <v>BONAT</v>
      </c>
      <c r="I2227" s="20">
        <f t="shared" si="104"/>
        <v>0</v>
      </c>
    </row>
    <row r="2228" spans="1:9">
      <c r="A2228" s="17" t="s">
        <v>1192</v>
      </c>
      <c r="B2228" s="17" t="s">
        <v>1196</v>
      </c>
      <c r="C2228" s="17">
        <v>0</v>
      </c>
      <c r="D2228" s="17" t="s">
        <v>801</v>
      </c>
      <c r="E2228" s="18">
        <v>8056099170621</v>
      </c>
      <c r="G2228" s="20" t="str">
        <f t="shared" si="102"/>
        <v xml:space="preserve"> BANDOMOON       </v>
      </c>
      <c r="H2228" s="20" t="str">
        <f t="shared" si="103"/>
        <v>BONAT</v>
      </c>
      <c r="I2228" s="20">
        <f t="shared" si="104"/>
        <v>0</v>
      </c>
    </row>
    <row r="2229" spans="1:9">
      <c r="A2229" s="17" t="s">
        <v>1192</v>
      </c>
      <c r="B2229" s="17" t="s">
        <v>1197</v>
      </c>
      <c r="C2229" s="17">
        <v>0</v>
      </c>
      <c r="D2229" s="17" t="s">
        <v>801</v>
      </c>
      <c r="E2229" s="18">
        <v>3005481202001</v>
      </c>
      <c r="G2229" s="20" t="str">
        <f t="shared" si="102"/>
        <v xml:space="preserve"> BANDOMOON       </v>
      </c>
      <c r="H2229" s="20" t="str">
        <f t="shared" si="103"/>
        <v>BOTES</v>
      </c>
      <c r="I2229" s="20">
        <f t="shared" si="104"/>
        <v>0</v>
      </c>
    </row>
    <row r="2230" spans="1:9">
      <c r="A2230" s="17" t="s">
        <v>1192</v>
      </c>
      <c r="B2230" s="17" t="s">
        <v>1197</v>
      </c>
      <c r="C2230" s="17">
        <v>0</v>
      </c>
      <c r="D2230" s="17" t="s">
        <v>801</v>
      </c>
      <c r="E2230" s="18">
        <v>8056099170652</v>
      </c>
      <c r="G2230" s="20" t="str">
        <f t="shared" si="102"/>
        <v xml:space="preserve"> BANDOMOON       </v>
      </c>
      <c r="H2230" s="20" t="str">
        <f t="shared" si="103"/>
        <v>BOTES</v>
      </c>
      <c r="I2230" s="20">
        <f t="shared" si="104"/>
        <v>0</v>
      </c>
    </row>
    <row r="2231" spans="1:9">
      <c r="A2231" s="17" t="s">
        <v>1192</v>
      </c>
      <c r="B2231" s="17" t="s">
        <v>1185</v>
      </c>
      <c r="C2231" s="17">
        <v>0</v>
      </c>
      <c r="D2231" s="17" t="s">
        <v>801</v>
      </c>
      <c r="E2231" s="18">
        <v>3005480834005</v>
      </c>
      <c r="G2231" s="20" t="str">
        <f t="shared" si="102"/>
        <v xml:space="preserve"> BANDOMOON       </v>
      </c>
      <c r="H2231" s="20" t="str">
        <f t="shared" si="103"/>
        <v>ECOBL</v>
      </c>
      <c r="I2231" s="20">
        <f t="shared" si="104"/>
        <v>0</v>
      </c>
    </row>
    <row r="2232" spans="1:9">
      <c r="A2232" s="17" t="s">
        <v>1192</v>
      </c>
      <c r="B2232" s="17" t="s">
        <v>1185</v>
      </c>
      <c r="C2232" s="17">
        <v>0</v>
      </c>
      <c r="D2232" s="17" t="s">
        <v>801</v>
      </c>
      <c r="E2232" s="18">
        <v>8056099170706</v>
      </c>
      <c r="G2232" s="20" t="str">
        <f t="shared" si="102"/>
        <v xml:space="preserve"> BANDOMOON       </v>
      </c>
      <c r="H2232" s="20" t="str">
        <f t="shared" si="103"/>
        <v>ECOBL</v>
      </c>
      <c r="I2232" s="20">
        <f t="shared" si="104"/>
        <v>0</v>
      </c>
    </row>
    <row r="2233" spans="1:9">
      <c r="A2233" s="17" t="s">
        <v>1192</v>
      </c>
      <c r="B2233" s="17" t="s">
        <v>1198</v>
      </c>
      <c r="C2233" s="17">
        <v>0</v>
      </c>
      <c r="D2233" s="17" t="s">
        <v>801</v>
      </c>
      <c r="E2233" s="18">
        <v>3005481131004</v>
      </c>
      <c r="G2233" s="20" t="str">
        <f t="shared" si="102"/>
        <v xml:space="preserve"> BANDOMOON       </v>
      </c>
      <c r="H2233" s="20" t="str">
        <f t="shared" si="103"/>
        <v>ECOGR</v>
      </c>
      <c r="I2233" s="20">
        <f t="shared" si="104"/>
        <v>0</v>
      </c>
    </row>
    <row r="2234" spans="1:9">
      <c r="A2234" s="17" t="s">
        <v>1192</v>
      </c>
      <c r="B2234" s="17" t="s">
        <v>1198</v>
      </c>
      <c r="C2234" s="17">
        <v>0</v>
      </c>
      <c r="D2234" s="17" t="s">
        <v>801</v>
      </c>
      <c r="E2234" s="18">
        <v>8056099170737</v>
      </c>
      <c r="G2234" s="20" t="str">
        <f t="shared" si="102"/>
        <v xml:space="preserve"> BANDOMOON       </v>
      </c>
      <c r="H2234" s="20" t="str">
        <f t="shared" si="103"/>
        <v>ECOGR</v>
      </c>
      <c r="I2234" s="20">
        <f t="shared" si="104"/>
        <v>0</v>
      </c>
    </row>
    <row r="2235" spans="1:9">
      <c r="A2235" s="17" t="s">
        <v>1192</v>
      </c>
      <c r="B2235" s="17" t="s">
        <v>1055</v>
      </c>
      <c r="C2235" s="17">
        <v>0</v>
      </c>
      <c r="D2235" s="17" t="s">
        <v>801</v>
      </c>
      <c r="E2235" s="18">
        <v>3005480469009</v>
      </c>
      <c r="G2235" s="20" t="str">
        <f t="shared" si="102"/>
        <v xml:space="preserve"> BANDOMOON       </v>
      </c>
      <c r="H2235" s="20" t="str">
        <f t="shared" si="103"/>
        <v>ECONA</v>
      </c>
      <c r="I2235" s="20">
        <f t="shared" si="104"/>
        <v>0</v>
      </c>
    </row>
    <row r="2236" spans="1:9">
      <c r="A2236" s="17" t="s">
        <v>1192</v>
      </c>
      <c r="B2236" s="17" t="s">
        <v>1055</v>
      </c>
      <c r="C2236" s="17">
        <v>0</v>
      </c>
      <c r="D2236" s="17" t="s">
        <v>801</v>
      </c>
      <c r="E2236" s="18">
        <v>8056099170683</v>
      </c>
      <c r="G2236" s="20" t="str">
        <f t="shared" si="102"/>
        <v xml:space="preserve"> BANDOMOON       </v>
      </c>
      <c r="H2236" s="20" t="str">
        <f t="shared" si="103"/>
        <v>ECONA</v>
      </c>
      <c r="I2236" s="20">
        <f t="shared" si="104"/>
        <v>0</v>
      </c>
    </row>
    <row r="2237" spans="1:9">
      <c r="A2237" s="17" t="s">
        <v>1192</v>
      </c>
      <c r="B2237" s="17" t="s">
        <v>1186</v>
      </c>
      <c r="C2237" s="17">
        <v>0</v>
      </c>
      <c r="D2237" s="17" t="s">
        <v>801</v>
      </c>
      <c r="E2237" s="18">
        <v>3005480713003</v>
      </c>
      <c r="G2237" s="20" t="str">
        <f t="shared" si="102"/>
        <v xml:space="preserve"> BANDOMOON       </v>
      </c>
      <c r="H2237" s="20" t="str">
        <f t="shared" si="103"/>
        <v>ECOTE</v>
      </c>
      <c r="I2237" s="20">
        <f t="shared" si="104"/>
        <v>0</v>
      </c>
    </row>
    <row r="2238" spans="1:9">
      <c r="A2238" s="17" t="s">
        <v>1192</v>
      </c>
      <c r="B2238" s="17" t="s">
        <v>1186</v>
      </c>
      <c r="C2238" s="17">
        <v>0</v>
      </c>
      <c r="D2238" s="17" t="s">
        <v>801</v>
      </c>
      <c r="E2238" s="18">
        <v>8056099170690</v>
      </c>
      <c r="G2238" s="20" t="str">
        <f t="shared" si="102"/>
        <v xml:space="preserve"> BANDOMOON       </v>
      </c>
      <c r="H2238" s="20" t="str">
        <f t="shared" si="103"/>
        <v>ECOTE</v>
      </c>
      <c r="I2238" s="20">
        <f t="shared" si="104"/>
        <v>0</v>
      </c>
    </row>
    <row r="2239" spans="1:9">
      <c r="A2239" s="17" t="s">
        <v>1192</v>
      </c>
      <c r="B2239" s="17" t="s">
        <v>1199</v>
      </c>
      <c r="C2239" s="17">
        <v>0</v>
      </c>
      <c r="D2239" s="17" t="s">
        <v>801</v>
      </c>
      <c r="E2239" s="18">
        <v>3005481130007</v>
      </c>
      <c r="G2239" s="20" t="str">
        <f t="shared" si="102"/>
        <v xml:space="preserve"> BANDOMOON       </v>
      </c>
      <c r="H2239" s="20" t="str">
        <f t="shared" si="103"/>
        <v>ECOVE</v>
      </c>
      <c r="I2239" s="20">
        <f t="shared" si="104"/>
        <v>0</v>
      </c>
    </row>
    <row r="2240" spans="1:9">
      <c r="A2240" s="17" t="s">
        <v>1192</v>
      </c>
      <c r="B2240" s="17" t="s">
        <v>1199</v>
      </c>
      <c r="C2240" s="17">
        <v>0</v>
      </c>
      <c r="D2240" s="17" t="s">
        <v>801</v>
      </c>
      <c r="E2240" s="18">
        <v>8056099170720</v>
      </c>
      <c r="G2240" s="20" t="str">
        <f t="shared" si="102"/>
        <v xml:space="preserve"> BANDOMOON       </v>
      </c>
      <c r="H2240" s="20" t="str">
        <f t="shared" si="103"/>
        <v>ECOVE</v>
      </c>
      <c r="I2240" s="20">
        <f t="shared" si="104"/>
        <v>0</v>
      </c>
    </row>
    <row r="2241" spans="1:9">
      <c r="A2241" s="17" t="s">
        <v>1192</v>
      </c>
      <c r="B2241" s="17" t="s">
        <v>1200</v>
      </c>
      <c r="C2241" s="17">
        <v>0</v>
      </c>
      <c r="D2241" s="17" t="s">
        <v>801</v>
      </c>
      <c r="E2241" s="18">
        <v>3005481319006</v>
      </c>
      <c r="G2241" s="20" t="str">
        <f t="shared" si="102"/>
        <v xml:space="preserve"> BANDOMOON       </v>
      </c>
      <c r="H2241" s="20" t="str">
        <f t="shared" si="103"/>
        <v>RAYBL</v>
      </c>
      <c r="I2241" s="20">
        <f t="shared" si="104"/>
        <v>0</v>
      </c>
    </row>
    <row r="2242" spans="1:9">
      <c r="A2242" s="17" t="s">
        <v>1192</v>
      </c>
      <c r="B2242" s="17" t="s">
        <v>1201</v>
      </c>
      <c r="C2242" s="17">
        <v>0</v>
      </c>
      <c r="D2242" s="17" t="s">
        <v>801</v>
      </c>
      <c r="E2242" s="18">
        <v>3005481331008</v>
      </c>
      <c r="G2242" s="20" t="str">
        <f t="shared" si="102"/>
        <v xml:space="preserve"> BANDOMOON       </v>
      </c>
      <c r="H2242" s="20" t="str">
        <f t="shared" si="103"/>
        <v>RAYIV</v>
      </c>
      <c r="I2242" s="20">
        <f t="shared" si="104"/>
        <v>0</v>
      </c>
    </row>
    <row r="2243" spans="1:9">
      <c r="A2243" s="17" t="s">
        <v>1202</v>
      </c>
      <c r="B2243" s="17" t="s">
        <v>1203</v>
      </c>
      <c r="C2243" s="17">
        <v>0</v>
      </c>
      <c r="D2243" s="17" t="s">
        <v>801</v>
      </c>
      <c r="E2243" s="18">
        <v>8056099177101</v>
      </c>
      <c r="G2243" s="20" t="str">
        <f t="shared" si="102"/>
        <v xml:space="preserve"> BANDOMOONLIGHT  </v>
      </c>
      <c r="H2243" s="20" t="str">
        <f t="shared" si="103"/>
        <v>ECOAU</v>
      </c>
      <c r="I2243" s="20">
        <f t="shared" si="104"/>
        <v>0</v>
      </c>
    </row>
    <row r="2244" spans="1:9">
      <c r="A2244" s="17" t="s">
        <v>1202</v>
      </c>
      <c r="B2244" s="17" t="s">
        <v>1185</v>
      </c>
      <c r="C2244" s="17">
        <v>0</v>
      </c>
      <c r="D2244" s="17" t="s">
        <v>801</v>
      </c>
      <c r="E2244" s="18">
        <v>3005490834002</v>
      </c>
      <c r="G2244" s="20" t="str">
        <f t="shared" si="102"/>
        <v xml:space="preserve"> BANDOMOONLIGHT  </v>
      </c>
      <c r="H2244" s="20" t="str">
        <f t="shared" si="103"/>
        <v>ECOBL</v>
      </c>
      <c r="I2244" s="20">
        <f t="shared" si="104"/>
        <v>0</v>
      </c>
    </row>
    <row r="2245" spans="1:9">
      <c r="A2245" s="17" t="s">
        <v>1202</v>
      </c>
      <c r="B2245" s="17" t="s">
        <v>1185</v>
      </c>
      <c r="C2245" s="17">
        <v>0</v>
      </c>
      <c r="D2245" s="17" t="s">
        <v>801</v>
      </c>
      <c r="E2245" s="18">
        <v>8056099170782</v>
      </c>
      <c r="G2245" s="20" t="str">
        <f t="shared" ref="G2245:G2308" si="105">A2245</f>
        <v xml:space="preserve"> BANDOMOONLIGHT  </v>
      </c>
      <c r="H2245" s="20" t="str">
        <f t="shared" ref="H2245:H2308" si="106">B2245</f>
        <v>ECOBL</v>
      </c>
      <c r="I2245" s="20">
        <f t="shared" ref="I2245:I2308" si="107">C2245</f>
        <v>0</v>
      </c>
    </row>
    <row r="2246" spans="1:9">
      <c r="A2246" s="17" t="s">
        <v>1202</v>
      </c>
      <c r="B2246" s="17" t="s">
        <v>1055</v>
      </c>
      <c r="C2246" s="17">
        <v>0</v>
      </c>
      <c r="D2246" s="17" t="s">
        <v>801</v>
      </c>
      <c r="E2246" s="18">
        <v>3005490469006</v>
      </c>
      <c r="G2246" s="20" t="str">
        <f t="shared" si="105"/>
        <v xml:space="preserve"> BANDOMOONLIGHT  </v>
      </c>
      <c r="H2246" s="20" t="str">
        <f t="shared" si="106"/>
        <v>ECONA</v>
      </c>
      <c r="I2246" s="20">
        <f t="shared" si="107"/>
        <v>0</v>
      </c>
    </row>
    <row r="2247" spans="1:9">
      <c r="A2247" s="17" t="s">
        <v>1202</v>
      </c>
      <c r="B2247" s="17" t="s">
        <v>1055</v>
      </c>
      <c r="C2247" s="17">
        <v>0</v>
      </c>
      <c r="D2247" s="17" t="s">
        <v>801</v>
      </c>
      <c r="E2247" s="18">
        <v>8056099170744</v>
      </c>
      <c r="G2247" s="20" t="str">
        <f t="shared" si="105"/>
        <v xml:space="preserve"> BANDOMOONLIGHT  </v>
      </c>
      <c r="H2247" s="20" t="str">
        <f t="shared" si="106"/>
        <v>ECONA</v>
      </c>
      <c r="I2247" s="20">
        <f t="shared" si="107"/>
        <v>0</v>
      </c>
    </row>
    <row r="2248" spans="1:9">
      <c r="A2248" s="17" t="s">
        <v>1202</v>
      </c>
      <c r="B2248" s="17" t="s">
        <v>1204</v>
      </c>
      <c r="C2248" s="17">
        <v>0</v>
      </c>
      <c r="D2248" s="17" t="s">
        <v>801</v>
      </c>
      <c r="E2248" s="18">
        <v>8056099178856</v>
      </c>
      <c r="G2248" s="20" t="str">
        <f t="shared" si="105"/>
        <v xml:space="preserve"> BANDOMOONLIGHT  </v>
      </c>
      <c r="H2248" s="20" t="str">
        <f t="shared" si="106"/>
        <v>ECOOT</v>
      </c>
      <c r="I2248" s="20">
        <f t="shared" si="107"/>
        <v>0</v>
      </c>
    </row>
    <row r="2249" spans="1:9">
      <c r="A2249" s="17" t="s">
        <v>1202</v>
      </c>
      <c r="B2249" s="17" t="s">
        <v>1186</v>
      </c>
      <c r="C2249" s="17">
        <v>0</v>
      </c>
      <c r="D2249" s="17" t="s">
        <v>801</v>
      </c>
      <c r="E2249" s="18">
        <v>3005490713000</v>
      </c>
      <c r="G2249" s="20" t="str">
        <f t="shared" si="105"/>
        <v xml:space="preserve"> BANDOMOONLIGHT  </v>
      </c>
      <c r="H2249" s="20" t="str">
        <f t="shared" si="106"/>
        <v>ECOTE</v>
      </c>
      <c r="I2249" s="20">
        <f t="shared" si="107"/>
        <v>0</v>
      </c>
    </row>
    <row r="2250" spans="1:9">
      <c r="A2250" s="17" t="s">
        <v>1202</v>
      </c>
      <c r="B2250" s="17" t="s">
        <v>1186</v>
      </c>
      <c r="C2250" s="17">
        <v>0</v>
      </c>
      <c r="D2250" s="17" t="s">
        <v>801</v>
      </c>
      <c r="E2250" s="18">
        <v>8056099170775</v>
      </c>
      <c r="G2250" s="20" t="str">
        <f t="shared" si="105"/>
        <v xml:space="preserve"> BANDOMOONLIGHT  </v>
      </c>
      <c r="H2250" s="20" t="str">
        <f t="shared" si="106"/>
        <v>ECOTE</v>
      </c>
      <c r="I2250" s="20">
        <f t="shared" si="107"/>
        <v>0</v>
      </c>
    </row>
    <row r="2251" spans="1:9">
      <c r="A2251" s="17" t="s">
        <v>1202</v>
      </c>
      <c r="B2251" s="17" t="s">
        <v>1199</v>
      </c>
      <c r="C2251" s="17">
        <v>0</v>
      </c>
      <c r="D2251" s="17" t="s">
        <v>801</v>
      </c>
      <c r="E2251" s="18">
        <v>3005491130004</v>
      </c>
      <c r="G2251" s="20" t="str">
        <f t="shared" si="105"/>
        <v xml:space="preserve"> BANDOMOONLIGHT  </v>
      </c>
      <c r="H2251" s="20" t="str">
        <f t="shared" si="106"/>
        <v>ECOVE</v>
      </c>
      <c r="I2251" s="20">
        <f t="shared" si="107"/>
        <v>0</v>
      </c>
    </row>
    <row r="2252" spans="1:9">
      <c r="A2252" s="17" t="s">
        <v>1202</v>
      </c>
      <c r="B2252" s="17" t="s">
        <v>1199</v>
      </c>
      <c r="C2252" s="17">
        <v>0</v>
      </c>
      <c r="D2252" s="17" t="s">
        <v>801</v>
      </c>
      <c r="E2252" s="18">
        <v>8056099170751</v>
      </c>
      <c r="G2252" s="20" t="str">
        <f t="shared" si="105"/>
        <v xml:space="preserve"> BANDOMOONLIGHT  </v>
      </c>
      <c r="H2252" s="20" t="str">
        <f t="shared" si="106"/>
        <v>ECOVE</v>
      </c>
      <c r="I2252" s="20">
        <f t="shared" si="107"/>
        <v>0</v>
      </c>
    </row>
    <row r="2253" spans="1:9">
      <c r="A2253" s="17" t="s">
        <v>1202</v>
      </c>
      <c r="B2253" s="17" t="s">
        <v>1205</v>
      </c>
      <c r="C2253" s="17">
        <v>0</v>
      </c>
      <c r="D2253" s="17" t="s">
        <v>801</v>
      </c>
      <c r="E2253" s="18">
        <v>8056099176869</v>
      </c>
      <c r="G2253" s="20" t="str">
        <f t="shared" si="105"/>
        <v xml:space="preserve"> BANDOMOONLIGHT  </v>
      </c>
      <c r="H2253" s="20" t="str">
        <f t="shared" si="106"/>
        <v>ECOVO</v>
      </c>
      <c r="I2253" s="20">
        <f t="shared" si="107"/>
        <v>0</v>
      </c>
    </row>
    <row r="2254" spans="1:9">
      <c r="A2254" s="17" t="s">
        <v>1202</v>
      </c>
      <c r="B2254" s="17" t="s">
        <v>1200</v>
      </c>
      <c r="C2254" s="17">
        <v>0</v>
      </c>
      <c r="D2254" s="17" t="s">
        <v>801</v>
      </c>
      <c r="E2254" s="18">
        <v>3005491319003</v>
      </c>
      <c r="G2254" s="20" t="str">
        <f t="shared" si="105"/>
        <v xml:space="preserve"> BANDOMOONLIGHT  </v>
      </c>
      <c r="H2254" s="20" t="str">
        <f t="shared" si="106"/>
        <v>RAYBL</v>
      </c>
      <c r="I2254" s="20">
        <f t="shared" si="107"/>
        <v>0</v>
      </c>
    </row>
    <row r="2255" spans="1:9">
      <c r="A2255" s="17" t="s">
        <v>1202</v>
      </c>
      <c r="B2255" s="17" t="s">
        <v>1201</v>
      </c>
      <c r="C2255" s="17">
        <v>0</v>
      </c>
      <c r="D2255" s="17" t="s">
        <v>801</v>
      </c>
      <c r="E2255" s="18">
        <v>3005491331005</v>
      </c>
      <c r="G2255" s="20" t="str">
        <f t="shared" si="105"/>
        <v xml:space="preserve"> BANDOMOONLIGHT  </v>
      </c>
      <c r="H2255" s="20" t="str">
        <f t="shared" si="106"/>
        <v>RAYIV</v>
      </c>
      <c r="I2255" s="20">
        <f t="shared" si="107"/>
        <v>0</v>
      </c>
    </row>
    <row r="2256" spans="1:9">
      <c r="A2256" s="17" t="s">
        <v>1202</v>
      </c>
      <c r="B2256" s="17" t="s">
        <v>1163</v>
      </c>
      <c r="C2256" s="17">
        <v>0</v>
      </c>
      <c r="D2256" s="17" t="s">
        <v>801</v>
      </c>
      <c r="E2256" s="18">
        <v>8056099176807</v>
      </c>
      <c r="G2256" s="20" t="str">
        <f t="shared" si="105"/>
        <v xml:space="preserve"> BANDOMOONLIGHT  </v>
      </c>
      <c r="H2256" s="20" t="str">
        <f t="shared" si="106"/>
        <v>TRBDX</v>
      </c>
      <c r="I2256" s="20">
        <f t="shared" si="107"/>
        <v>0</v>
      </c>
    </row>
    <row r="2257" spans="1:9">
      <c r="A2257" s="17" t="s">
        <v>1202</v>
      </c>
      <c r="B2257" s="17" t="s">
        <v>1206</v>
      </c>
      <c r="C2257" s="17">
        <v>0</v>
      </c>
      <c r="D2257" s="17" t="s">
        <v>801</v>
      </c>
      <c r="E2257" s="18">
        <v>3005491468008</v>
      </c>
      <c r="G2257" s="20" t="str">
        <f t="shared" si="105"/>
        <v xml:space="preserve"> BANDOMOONLIGHT  </v>
      </c>
      <c r="H2257" s="20" t="str">
        <f t="shared" si="106"/>
        <v>TRITO</v>
      </c>
      <c r="I2257" s="20">
        <f t="shared" si="107"/>
        <v>0</v>
      </c>
    </row>
    <row r="2258" spans="1:9">
      <c r="A2258" s="17" t="s">
        <v>1202</v>
      </c>
      <c r="B2258" s="17" t="s">
        <v>1206</v>
      </c>
      <c r="C2258" s="17">
        <v>0</v>
      </c>
      <c r="D2258" s="17" t="s">
        <v>801</v>
      </c>
      <c r="E2258" s="18">
        <v>8056099179532</v>
      </c>
      <c r="G2258" s="20" t="str">
        <f t="shared" si="105"/>
        <v xml:space="preserve"> BANDOMOONLIGHT  </v>
      </c>
      <c r="H2258" s="20" t="str">
        <f t="shared" si="106"/>
        <v>TRITO</v>
      </c>
      <c r="I2258" s="20">
        <f t="shared" si="107"/>
        <v>0</v>
      </c>
    </row>
    <row r="2259" spans="1:9">
      <c r="A2259" s="17" t="s">
        <v>1202</v>
      </c>
      <c r="B2259" s="17" t="s">
        <v>1207</v>
      </c>
      <c r="C2259" s="17">
        <v>0</v>
      </c>
      <c r="D2259" s="17" t="s">
        <v>801</v>
      </c>
      <c r="E2259" s="18">
        <v>8056099179808</v>
      </c>
      <c r="G2259" s="20" t="str">
        <f t="shared" si="105"/>
        <v xml:space="preserve"> BANDOMOONLIGHT  </v>
      </c>
      <c r="H2259" s="20" t="str">
        <f t="shared" si="106"/>
        <v>TROTA</v>
      </c>
      <c r="I2259" s="20">
        <f t="shared" si="107"/>
        <v>0</v>
      </c>
    </row>
    <row r="2260" spans="1:9">
      <c r="A2260" s="17" t="s">
        <v>1202</v>
      </c>
      <c r="B2260" s="17" t="s">
        <v>1165</v>
      </c>
      <c r="C2260" s="17">
        <v>0</v>
      </c>
      <c r="D2260" s="17" t="s">
        <v>801</v>
      </c>
      <c r="E2260" s="18">
        <v>3005491125000</v>
      </c>
      <c r="G2260" s="20" t="str">
        <f t="shared" si="105"/>
        <v xml:space="preserve"> BANDOMOONLIGHT  </v>
      </c>
      <c r="H2260" s="20" t="str">
        <f t="shared" si="106"/>
        <v>TRTOR</v>
      </c>
      <c r="I2260" s="20">
        <f t="shared" si="107"/>
        <v>0</v>
      </c>
    </row>
    <row r="2261" spans="1:9">
      <c r="A2261" s="17" t="s">
        <v>1208</v>
      </c>
      <c r="B2261" s="17" t="s">
        <v>1055</v>
      </c>
      <c r="C2261" s="17">
        <v>0</v>
      </c>
      <c r="D2261" s="17" t="s">
        <v>801</v>
      </c>
      <c r="E2261" s="18">
        <v>3005710469007</v>
      </c>
      <c r="G2261" s="20" t="str">
        <f t="shared" si="105"/>
        <v xml:space="preserve"> BANDOSWING      </v>
      </c>
      <c r="H2261" s="20" t="str">
        <f t="shared" si="106"/>
        <v>ECONA</v>
      </c>
      <c r="I2261" s="20">
        <f t="shared" si="107"/>
        <v>0</v>
      </c>
    </row>
    <row r="2262" spans="1:9">
      <c r="A2262" s="17" t="s">
        <v>1208</v>
      </c>
      <c r="B2262" s="17" t="s">
        <v>1186</v>
      </c>
      <c r="C2262" s="17">
        <v>0</v>
      </c>
      <c r="D2262" s="17" t="s">
        <v>801</v>
      </c>
      <c r="E2262" s="18">
        <v>3005710713001</v>
      </c>
      <c r="G2262" s="20" t="str">
        <f t="shared" si="105"/>
        <v xml:space="preserve"> BANDOSWING      </v>
      </c>
      <c r="H2262" s="20" t="str">
        <f t="shared" si="106"/>
        <v>ECOTE</v>
      </c>
      <c r="I2262" s="20">
        <f t="shared" si="107"/>
        <v>0</v>
      </c>
    </row>
    <row r="2263" spans="1:9">
      <c r="A2263" s="17" t="s">
        <v>1208</v>
      </c>
      <c r="B2263" s="17" t="s">
        <v>1209</v>
      </c>
      <c r="C2263" s="17">
        <v>0</v>
      </c>
      <c r="D2263" s="17" t="s">
        <v>801</v>
      </c>
      <c r="E2263" s="18">
        <v>3005711129009</v>
      </c>
      <c r="G2263" s="20" t="str">
        <f t="shared" si="105"/>
        <v xml:space="preserve"> BANDOSWING      </v>
      </c>
      <c r="H2263" s="20" t="str">
        <f t="shared" si="106"/>
        <v>ECTER</v>
      </c>
      <c r="I2263" s="20">
        <f t="shared" si="107"/>
        <v>0</v>
      </c>
    </row>
    <row r="2264" spans="1:9">
      <c r="A2264" s="17" t="s">
        <v>1208</v>
      </c>
      <c r="B2264" s="17" t="s">
        <v>1210</v>
      </c>
      <c r="C2264" s="17">
        <v>0</v>
      </c>
      <c r="D2264" s="17" t="s">
        <v>801</v>
      </c>
      <c r="E2264" s="18">
        <v>3005711315006</v>
      </c>
      <c r="G2264" s="20" t="str">
        <f t="shared" si="105"/>
        <v xml:space="preserve"> BANDOSWING      </v>
      </c>
      <c r="H2264" s="20" t="str">
        <f t="shared" si="106"/>
        <v>ETBLU</v>
      </c>
      <c r="I2264" s="20">
        <f t="shared" si="107"/>
        <v>0</v>
      </c>
    </row>
    <row r="2265" spans="1:9">
      <c r="A2265" s="17" t="s">
        <v>1208</v>
      </c>
      <c r="B2265" s="17" t="s">
        <v>1211</v>
      </c>
      <c r="C2265" s="17">
        <v>0</v>
      </c>
      <c r="D2265" s="17" t="s">
        <v>801</v>
      </c>
      <c r="E2265" s="18">
        <v>3005711317000</v>
      </c>
      <c r="G2265" s="20" t="str">
        <f t="shared" si="105"/>
        <v xml:space="preserve"> BANDOSWING      </v>
      </c>
      <c r="H2265" s="20" t="str">
        <f t="shared" si="106"/>
        <v>ETLAI</v>
      </c>
      <c r="I2265" s="20">
        <f t="shared" si="107"/>
        <v>0</v>
      </c>
    </row>
    <row r="2266" spans="1:9">
      <c r="A2266" s="17" t="s">
        <v>1208</v>
      </c>
      <c r="B2266" s="17" t="s">
        <v>1212</v>
      </c>
      <c r="C2266" s="17">
        <v>0</v>
      </c>
      <c r="D2266" s="17" t="s">
        <v>801</v>
      </c>
      <c r="E2266" s="18">
        <v>3005711316003</v>
      </c>
      <c r="G2266" s="20" t="str">
        <f t="shared" si="105"/>
        <v xml:space="preserve"> BANDOSWING      </v>
      </c>
      <c r="H2266" s="20" t="str">
        <f t="shared" si="106"/>
        <v>ETRED</v>
      </c>
      <c r="I2266" s="20">
        <f t="shared" si="107"/>
        <v>0</v>
      </c>
    </row>
    <row r="2267" spans="1:9">
      <c r="A2267" s="17" t="s">
        <v>1208</v>
      </c>
      <c r="B2267" s="17" t="s">
        <v>1213</v>
      </c>
      <c r="C2267" s="17">
        <v>0</v>
      </c>
      <c r="D2267" s="17" t="s">
        <v>801</v>
      </c>
      <c r="E2267" s="18">
        <v>3005711321007</v>
      </c>
      <c r="G2267" s="20" t="str">
        <f t="shared" si="105"/>
        <v xml:space="preserve"> BANDOSWING      </v>
      </c>
      <c r="H2267" s="20" t="str">
        <f t="shared" si="106"/>
        <v>ETVIN</v>
      </c>
      <c r="I2267" s="20">
        <f t="shared" si="107"/>
        <v>0</v>
      </c>
    </row>
    <row r="2268" spans="1:9">
      <c r="A2268" s="17" t="s">
        <v>1208</v>
      </c>
      <c r="B2268" s="17" t="s">
        <v>1214</v>
      </c>
      <c r="C2268" s="17">
        <v>0</v>
      </c>
      <c r="D2268" s="17" t="s">
        <v>801</v>
      </c>
      <c r="E2268" s="18">
        <v>3005711323001</v>
      </c>
      <c r="G2268" s="20" t="str">
        <f t="shared" si="105"/>
        <v xml:space="preserve"> BANDOSWING      </v>
      </c>
      <c r="H2268" s="20" t="str">
        <f t="shared" si="106"/>
        <v>PERBL</v>
      </c>
      <c r="I2268" s="20">
        <f t="shared" si="107"/>
        <v>0</v>
      </c>
    </row>
    <row r="2269" spans="1:9">
      <c r="A2269" s="17" t="s">
        <v>1208</v>
      </c>
      <c r="B2269" s="17" t="s">
        <v>1215</v>
      </c>
      <c r="C2269" s="17">
        <v>0</v>
      </c>
      <c r="D2269" s="17" t="s">
        <v>801</v>
      </c>
      <c r="E2269" s="18">
        <v>3005711326002</v>
      </c>
      <c r="G2269" s="20" t="str">
        <f t="shared" si="105"/>
        <v xml:space="preserve"> BANDOSWING      </v>
      </c>
      <c r="H2269" s="20" t="str">
        <f t="shared" si="106"/>
        <v>PEROR</v>
      </c>
      <c r="I2269" s="20">
        <f t="shared" si="107"/>
        <v>0</v>
      </c>
    </row>
    <row r="2270" spans="1:9">
      <c r="A2270" s="17" t="s">
        <v>1208</v>
      </c>
      <c r="B2270" s="17" t="s">
        <v>1216</v>
      </c>
      <c r="C2270" s="17">
        <v>0</v>
      </c>
      <c r="D2270" s="17" t="s">
        <v>801</v>
      </c>
      <c r="E2270" s="18">
        <v>3005711324008</v>
      </c>
      <c r="G2270" s="20" t="str">
        <f t="shared" si="105"/>
        <v xml:space="preserve"> BANDOSWING      </v>
      </c>
      <c r="H2270" s="20" t="str">
        <f t="shared" si="106"/>
        <v>PERVE</v>
      </c>
      <c r="I2270" s="20">
        <f t="shared" si="107"/>
        <v>0</v>
      </c>
    </row>
    <row r="2271" spans="1:9">
      <c r="A2271" s="17" t="s">
        <v>1208</v>
      </c>
      <c r="B2271" s="17" t="s">
        <v>1217</v>
      </c>
      <c r="C2271" s="17">
        <v>0</v>
      </c>
      <c r="D2271" s="17" t="s">
        <v>801</v>
      </c>
      <c r="E2271" s="18">
        <v>3005711325005</v>
      </c>
      <c r="G2271" s="20" t="str">
        <f t="shared" si="105"/>
        <v xml:space="preserve"> BANDOSWING      </v>
      </c>
      <c r="H2271" s="20" t="str">
        <f t="shared" si="106"/>
        <v>PERWH</v>
      </c>
      <c r="I2271" s="20">
        <f t="shared" si="107"/>
        <v>0</v>
      </c>
    </row>
    <row r="2272" spans="1:9">
      <c r="A2272" s="17" t="s">
        <v>1208</v>
      </c>
      <c r="B2272" s="17" t="s">
        <v>843</v>
      </c>
      <c r="C2272" s="17">
        <v>0</v>
      </c>
      <c r="D2272" s="17" t="s">
        <v>801</v>
      </c>
      <c r="E2272" s="18">
        <v>3005710767004</v>
      </c>
      <c r="G2272" s="20" t="str">
        <f t="shared" si="105"/>
        <v xml:space="preserve"> BANDOSWING      </v>
      </c>
      <c r="H2272" s="20" t="str">
        <f t="shared" si="106"/>
        <v>TRENA</v>
      </c>
      <c r="I2272" s="20">
        <f t="shared" si="107"/>
        <v>0</v>
      </c>
    </row>
    <row r="2273" spans="1:9">
      <c r="A2273" s="17" t="s">
        <v>1208</v>
      </c>
      <c r="B2273" s="17" t="s">
        <v>1218</v>
      </c>
      <c r="C2273" s="17">
        <v>0</v>
      </c>
      <c r="D2273" s="17" t="s">
        <v>801</v>
      </c>
      <c r="E2273" s="18">
        <v>3005711322004</v>
      </c>
      <c r="G2273" s="20" t="str">
        <f t="shared" si="105"/>
        <v xml:space="preserve"> BANDOSWING      </v>
      </c>
      <c r="H2273" s="20" t="str">
        <f t="shared" si="106"/>
        <v>TRETE</v>
      </c>
      <c r="I2273" s="20">
        <f t="shared" si="107"/>
        <v>0</v>
      </c>
    </row>
    <row r="2274" spans="1:9">
      <c r="A2274" s="17" t="s">
        <v>1219</v>
      </c>
      <c r="B2274" s="17" t="s">
        <v>879</v>
      </c>
      <c r="C2274" s="17">
        <v>0</v>
      </c>
      <c r="D2274" s="17" t="s">
        <v>801</v>
      </c>
      <c r="E2274" s="18">
        <v>3020370181007</v>
      </c>
      <c r="G2274" s="20" t="str">
        <f t="shared" si="105"/>
        <v xml:space="preserve"> BANDOULIERE     </v>
      </c>
      <c r="H2274" s="20" t="str">
        <f t="shared" si="106"/>
        <v xml:space="preserve">AZUR </v>
      </c>
      <c r="I2274" s="20">
        <f t="shared" si="107"/>
        <v>0</v>
      </c>
    </row>
    <row r="2275" spans="1:9">
      <c r="A2275" s="17" t="s">
        <v>1219</v>
      </c>
      <c r="B2275" s="17" t="s">
        <v>827</v>
      </c>
      <c r="C2275" s="17">
        <v>0</v>
      </c>
      <c r="D2275" s="17" t="s">
        <v>801</v>
      </c>
      <c r="E2275" s="18">
        <v>8056095063903</v>
      </c>
      <c r="G2275" s="20" t="str">
        <f t="shared" si="105"/>
        <v xml:space="preserve"> BANDOULIERE     </v>
      </c>
      <c r="H2275" s="20" t="str">
        <f t="shared" si="106"/>
        <v>BIBLU</v>
      </c>
      <c r="I2275" s="20">
        <f t="shared" si="107"/>
        <v>0</v>
      </c>
    </row>
    <row r="2276" spans="1:9">
      <c r="A2276" s="17" t="s">
        <v>1219</v>
      </c>
      <c r="B2276" s="17" t="s">
        <v>827</v>
      </c>
      <c r="C2276" s="17">
        <v>0</v>
      </c>
      <c r="D2276" s="17" t="s">
        <v>801</v>
      </c>
      <c r="E2276" s="18">
        <v>3002351087003</v>
      </c>
      <c r="G2276" s="20" t="str">
        <f t="shared" si="105"/>
        <v xml:space="preserve"> BANDOULIERE     </v>
      </c>
      <c r="H2276" s="20" t="str">
        <f t="shared" si="106"/>
        <v>BIBLU</v>
      </c>
      <c r="I2276" s="20">
        <f t="shared" si="107"/>
        <v>0</v>
      </c>
    </row>
    <row r="2277" spans="1:9">
      <c r="A2277" s="17" t="s">
        <v>1219</v>
      </c>
      <c r="B2277" s="17" t="s">
        <v>1059</v>
      </c>
      <c r="C2277" s="17">
        <v>0</v>
      </c>
      <c r="D2277" s="17" t="s">
        <v>801</v>
      </c>
      <c r="E2277" s="18">
        <v>3002351085009</v>
      </c>
      <c r="G2277" s="20" t="str">
        <f t="shared" si="105"/>
        <v xml:space="preserve"> BANDOULIERE     </v>
      </c>
      <c r="H2277" s="20" t="str">
        <f t="shared" si="106"/>
        <v>BIGRI</v>
      </c>
      <c r="I2277" s="20">
        <f t="shared" si="107"/>
        <v>0</v>
      </c>
    </row>
    <row r="2278" spans="1:9">
      <c r="A2278" s="17" t="s">
        <v>1219</v>
      </c>
      <c r="B2278" s="17" t="s">
        <v>1059</v>
      </c>
      <c r="C2278" s="17">
        <v>0</v>
      </c>
      <c r="D2278" s="17" t="s">
        <v>801</v>
      </c>
      <c r="E2278" s="18">
        <v>8056095063880</v>
      </c>
      <c r="G2278" s="20" t="str">
        <f t="shared" si="105"/>
        <v xml:space="preserve"> BANDOULIERE     </v>
      </c>
      <c r="H2278" s="20" t="str">
        <f t="shared" si="106"/>
        <v>BIGRI</v>
      </c>
      <c r="I2278" s="20">
        <f t="shared" si="107"/>
        <v>0</v>
      </c>
    </row>
    <row r="2279" spans="1:9">
      <c r="A2279" s="17" t="s">
        <v>1219</v>
      </c>
      <c r="B2279" s="17" t="s">
        <v>830</v>
      </c>
      <c r="C2279" s="17">
        <v>0</v>
      </c>
      <c r="D2279" s="17" t="s">
        <v>801</v>
      </c>
      <c r="E2279" s="18">
        <v>8056095063897</v>
      </c>
      <c r="G2279" s="20" t="str">
        <f t="shared" si="105"/>
        <v xml:space="preserve"> BANDOULIERE     </v>
      </c>
      <c r="H2279" s="20" t="str">
        <f t="shared" si="106"/>
        <v>BITER</v>
      </c>
      <c r="I2279" s="20">
        <f t="shared" si="107"/>
        <v>0</v>
      </c>
    </row>
    <row r="2280" spans="1:9">
      <c r="A2280" s="17" t="s">
        <v>1219</v>
      </c>
      <c r="B2280" s="17" t="s">
        <v>830</v>
      </c>
      <c r="C2280" s="17">
        <v>0</v>
      </c>
      <c r="D2280" s="17" t="s">
        <v>801</v>
      </c>
      <c r="E2280" s="18">
        <v>3002351084002</v>
      </c>
      <c r="G2280" s="20" t="str">
        <f t="shared" si="105"/>
        <v xml:space="preserve"> BANDOULIERE     </v>
      </c>
      <c r="H2280" s="20" t="str">
        <f t="shared" si="106"/>
        <v>BITER</v>
      </c>
      <c r="I2280" s="20">
        <f t="shared" si="107"/>
        <v>0</v>
      </c>
    </row>
    <row r="2281" spans="1:9">
      <c r="A2281" s="17" t="s">
        <v>1219</v>
      </c>
      <c r="B2281" s="17" t="s">
        <v>280</v>
      </c>
      <c r="C2281" s="17">
        <v>0</v>
      </c>
      <c r="D2281" s="17" t="s">
        <v>801</v>
      </c>
      <c r="E2281" s="18">
        <v>3003340001000</v>
      </c>
      <c r="G2281" s="20" t="str">
        <f t="shared" si="105"/>
        <v xml:space="preserve"> BANDOULIERE     </v>
      </c>
      <c r="H2281" s="20" t="str">
        <f t="shared" si="106"/>
        <v>BLACK</v>
      </c>
      <c r="I2281" s="20">
        <f t="shared" si="107"/>
        <v>0</v>
      </c>
    </row>
    <row r="2282" spans="1:9">
      <c r="A2282" s="17" t="s">
        <v>1219</v>
      </c>
      <c r="B2282" s="17" t="s">
        <v>280</v>
      </c>
      <c r="C2282" s="17">
        <v>0</v>
      </c>
      <c r="D2282" s="17" t="s">
        <v>801</v>
      </c>
      <c r="E2282" s="18">
        <v>8050450214795</v>
      </c>
      <c r="G2282" s="20" t="str">
        <f t="shared" si="105"/>
        <v xml:space="preserve"> BANDOULIERE     </v>
      </c>
      <c r="H2282" s="20" t="str">
        <f t="shared" si="106"/>
        <v>BLACK</v>
      </c>
      <c r="I2282" s="20">
        <f t="shared" si="107"/>
        <v>0</v>
      </c>
    </row>
    <row r="2283" spans="1:9">
      <c r="A2283" s="17" t="s">
        <v>1219</v>
      </c>
      <c r="B2283" s="17" t="s">
        <v>810</v>
      </c>
      <c r="C2283" s="17">
        <v>0</v>
      </c>
      <c r="D2283" s="17" t="s">
        <v>801</v>
      </c>
      <c r="E2283" s="18">
        <v>3002350284007</v>
      </c>
      <c r="G2283" s="20" t="str">
        <f t="shared" si="105"/>
        <v xml:space="preserve"> BANDOULIERE     </v>
      </c>
      <c r="H2283" s="20" t="str">
        <f t="shared" si="106"/>
        <v xml:space="preserve">BLUE </v>
      </c>
      <c r="I2283" s="20">
        <f t="shared" si="107"/>
        <v>0</v>
      </c>
    </row>
    <row r="2284" spans="1:9">
      <c r="A2284" s="17" t="s">
        <v>1219</v>
      </c>
      <c r="B2284" s="17" t="s">
        <v>869</v>
      </c>
      <c r="C2284" s="17">
        <v>0</v>
      </c>
      <c r="D2284" s="17" t="s">
        <v>801</v>
      </c>
      <c r="E2284" s="18">
        <v>3003340005008</v>
      </c>
      <c r="G2284" s="20" t="str">
        <f t="shared" si="105"/>
        <v xml:space="preserve"> BANDOULIERE     </v>
      </c>
      <c r="H2284" s="20" t="str">
        <f t="shared" si="106"/>
        <v>BROWN</v>
      </c>
      <c r="I2284" s="20">
        <f t="shared" si="107"/>
        <v>0</v>
      </c>
    </row>
    <row r="2285" spans="1:9">
      <c r="A2285" s="17" t="s">
        <v>1219</v>
      </c>
      <c r="B2285" s="17" t="s">
        <v>869</v>
      </c>
      <c r="C2285" s="17">
        <v>0</v>
      </c>
      <c r="D2285" s="17" t="s">
        <v>801</v>
      </c>
      <c r="E2285" s="18">
        <v>8050450214818</v>
      </c>
      <c r="G2285" s="20" t="str">
        <f t="shared" si="105"/>
        <v xml:space="preserve"> BANDOULIERE     </v>
      </c>
      <c r="H2285" s="20" t="str">
        <f t="shared" si="106"/>
        <v>BROWN</v>
      </c>
      <c r="I2285" s="20">
        <f t="shared" si="107"/>
        <v>0</v>
      </c>
    </row>
    <row r="2286" spans="1:9">
      <c r="A2286" s="17" t="s">
        <v>1219</v>
      </c>
      <c r="B2286" s="17" t="s">
        <v>1220</v>
      </c>
      <c r="C2286" s="17">
        <v>0</v>
      </c>
      <c r="D2286" s="17" t="s">
        <v>801</v>
      </c>
      <c r="E2286" s="18">
        <v>3020370127005</v>
      </c>
      <c r="G2286" s="20" t="str">
        <f t="shared" si="105"/>
        <v xml:space="preserve"> BANDOULIERE     </v>
      </c>
      <c r="H2286" s="20" t="str">
        <f t="shared" si="106"/>
        <v xml:space="preserve">CBLA </v>
      </c>
      <c r="I2286" s="20">
        <f t="shared" si="107"/>
        <v>0</v>
      </c>
    </row>
    <row r="2287" spans="1:9">
      <c r="A2287" s="17" t="s">
        <v>1219</v>
      </c>
      <c r="B2287" s="17" t="s">
        <v>1220</v>
      </c>
      <c r="C2287" s="17">
        <v>0</v>
      </c>
      <c r="D2287" s="17" t="s">
        <v>801</v>
      </c>
      <c r="E2287" s="18">
        <v>8050450214832</v>
      </c>
      <c r="G2287" s="20" t="str">
        <f t="shared" si="105"/>
        <v xml:space="preserve"> BANDOULIERE     </v>
      </c>
      <c r="H2287" s="20" t="str">
        <f t="shared" si="106"/>
        <v xml:space="preserve">CBLA </v>
      </c>
      <c r="I2287" s="20">
        <f t="shared" si="107"/>
        <v>0</v>
      </c>
    </row>
    <row r="2288" spans="1:9">
      <c r="A2288" s="17" t="s">
        <v>1219</v>
      </c>
      <c r="B2288" s="17" t="s">
        <v>831</v>
      </c>
      <c r="C2288" s="17">
        <v>0</v>
      </c>
      <c r="D2288" s="17" t="s">
        <v>801</v>
      </c>
      <c r="E2288" s="18">
        <v>3020370211001</v>
      </c>
      <c r="G2288" s="20" t="str">
        <f t="shared" si="105"/>
        <v xml:space="preserve"> BANDOULIERE     </v>
      </c>
      <c r="H2288" s="20" t="str">
        <f t="shared" si="106"/>
        <v>CBNAT</v>
      </c>
      <c r="I2288" s="20">
        <f t="shared" si="107"/>
        <v>0</v>
      </c>
    </row>
    <row r="2289" spans="1:9">
      <c r="A2289" s="17" t="s">
        <v>1219</v>
      </c>
      <c r="B2289" s="17" t="s">
        <v>832</v>
      </c>
      <c r="C2289" s="17">
        <v>0</v>
      </c>
      <c r="D2289" s="17" t="s">
        <v>801</v>
      </c>
      <c r="E2289" s="18">
        <v>3020370461000</v>
      </c>
      <c r="G2289" s="20" t="str">
        <f t="shared" si="105"/>
        <v xml:space="preserve"> BANDOULIERE     </v>
      </c>
      <c r="H2289" s="20" t="str">
        <f t="shared" si="106"/>
        <v>CBNAV</v>
      </c>
      <c r="I2289" s="20">
        <f t="shared" si="107"/>
        <v>0</v>
      </c>
    </row>
    <row r="2290" spans="1:9">
      <c r="A2290" s="17" t="s">
        <v>1219</v>
      </c>
      <c r="B2290" s="17" t="s">
        <v>1159</v>
      </c>
      <c r="C2290" s="17">
        <v>0</v>
      </c>
      <c r="D2290" s="17" t="s">
        <v>801</v>
      </c>
      <c r="E2290" s="18">
        <v>3020370000001</v>
      </c>
      <c r="G2290" s="20" t="str">
        <f t="shared" si="105"/>
        <v xml:space="preserve"> BANDOULIERE     </v>
      </c>
      <c r="H2290" s="20" t="str">
        <f t="shared" si="106"/>
        <v xml:space="preserve">CNOI </v>
      </c>
      <c r="I2290" s="20">
        <f t="shared" si="107"/>
        <v>0</v>
      </c>
    </row>
    <row r="2291" spans="1:9">
      <c r="A2291" s="17" t="s">
        <v>1219</v>
      </c>
      <c r="B2291" s="17" t="s">
        <v>1159</v>
      </c>
      <c r="C2291" s="17">
        <v>0</v>
      </c>
      <c r="D2291" s="17" t="s">
        <v>801</v>
      </c>
      <c r="E2291" s="18">
        <v>3020370118003</v>
      </c>
      <c r="G2291" s="20" t="str">
        <f t="shared" si="105"/>
        <v xml:space="preserve"> BANDOULIERE     </v>
      </c>
      <c r="H2291" s="20" t="str">
        <f t="shared" si="106"/>
        <v xml:space="preserve">CNOI </v>
      </c>
      <c r="I2291" s="20">
        <f t="shared" si="107"/>
        <v>0</v>
      </c>
    </row>
    <row r="2292" spans="1:9">
      <c r="A2292" s="17" t="s">
        <v>1219</v>
      </c>
      <c r="B2292" s="17" t="s">
        <v>1159</v>
      </c>
      <c r="C2292" s="17">
        <v>0</v>
      </c>
      <c r="D2292" s="17" t="s">
        <v>801</v>
      </c>
      <c r="E2292" s="18">
        <v>8050450214825</v>
      </c>
      <c r="G2292" s="20" t="str">
        <f t="shared" si="105"/>
        <v xml:space="preserve"> BANDOULIERE     </v>
      </c>
      <c r="H2292" s="20" t="str">
        <f t="shared" si="106"/>
        <v xml:space="preserve">CNOI </v>
      </c>
      <c r="I2292" s="20">
        <f t="shared" si="107"/>
        <v>0</v>
      </c>
    </row>
    <row r="2293" spans="1:9">
      <c r="A2293" s="17" t="s">
        <v>1219</v>
      </c>
      <c r="B2293" s="17" t="s">
        <v>991</v>
      </c>
      <c r="C2293" s="17">
        <v>0</v>
      </c>
      <c r="D2293" s="17" t="s">
        <v>801</v>
      </c>
      <c r="E2293" s="18">
        <v>3020370571006</v>
      </c>
      <c r="G2293" s="20" t="str">
        <f t="shared" si="105"/>
        <v xml:space="preserve"> BANDOULIERE     </v>
      </c>
      <c r="H2293" s="20" t="str">
        <f t="shared" si="106"/>
        <v>CROBL</v>
      </c>
      <c r="I2293" s="20">
        <f t="shared" si="107"/>
        <v>0</v>
      </c>
    </row>
    <row r="2294" spans="1:9">
      <c r="A2294" s="17" t="s">
        <v>1219</v>
      </c>
      <c r="B2294" s="17" t="s">
        <v>991</v>
      </c>
      <c r="C2294" s="17">
        <v>0</v>
      </c>
      <c r="D2294" s="17" t="s">
        <v>801</v>
      </c>
      <c r="E2294" s="18">
        <v>8058983597002</v>
      </c>
      <c r="G2294" s="20" t="str">
        <f t="shared" si="105"/>
        <v xml:space="preserve"> BANDOULIERE     </v>
      </c>
      <c r="H2294" s="20" t="str">
        <f t="shared" si="106"/>
        <v>CROBL</v>
      </c>
      <c r="I2294" s="20">
        <f t="shared" si="107"/>
        <v>0</v>
      </c>
    </row>
    <row r="2295" spans="1:9">
      <c r="A2295" s="17" t="s">
        <v>1219</v>
      </c>
      <c r="B2295" s="17" t="s">
        <v>992</v>
      </c>
      <c r="C2295" s="17">
        <v>0</v>
      </c>
      <c r="D2295" s="17" t="s">
        <v>801</v>
      </c>
      <c r="E2295" s="18">
        <v>3020370572003</v>
      </c>
      <c r="G2295" s="20" t="str">
        <f t="shared" si="105"/>
        <v xml:space="preserve"> BANDOULIERE     </v>
      </c>
      <c r="H2295" s="20" t="str">
        <f t="shared" si="106"/>
        <v>CROBR</v>
      </c>
      <c r="I2295" s="20">
        <f t="shared" si="107"/>
        <v>0</v>
      </c>
    </row>
    <row r="2296" spans="1:9">
      <c r="A2296" s="17" t="s">
        <v>1219</v>
      </c>
      <c r="B2296" s="17" t="s">
        <v>992</v>
      </c>
      <c r="C2296" s="17">
        <v>0</v>
      </c>
      <c r="D2296" s="17" t="s">
        <v>801</v>
      </c>
      <c r="E2296" s="18">
        <v>8058983597019</v>
      </c>
      <c r="G2296" s="20" t="str">
        <f t="shared" si="105"/>
        <v xml:space="preserve"> BANDOULIERE     </v>
      </c>
      <c r="H2296" s="20" t="str">
        <f t="shared" si="106"/>
        <v>CROBR</v>
      </c>
      <c r="I2296" s="20">
        <f t="shared" si="107"/>
        <v>0</v>
      </c>
    </row>
    <row r="2297" spans="1:9">
      <c r="A2297" s="17" t="s">
        <v>1219</v>
      </c>
      <c r="B2297" s="17" t="s">
        <v>1221</v>
      </c>
      <c r="C2297" s="17">
        <v>0</v>
      </c>
      <c r="D2297" s="17" t="s">
        <v>801</v>
      </c>
      <c r="E2297" s="18">
        <v>3002351487001</v>
      </c>
      <c r="G2297" s="20" t="str">
        <f t="shared" si="105"/>
        <v xml:space="preserve"> BANDOULIERE     </v>
      </c>
      <c r="H2297" s="20" t="str">
        <f t="shared" si="106"/>
        <v>DISBL</v>
      </c>
      <c r="I2297" s="20">
        <f t="shared" si="107"/>
        <v>0</v>
      </c>
    </row>
    <row r="2298" spans="1:9">
      <c r="A2298" s="17" t="s">
        <v>1219</v>
      </c>
      <c r="B2298" s="17" t="s">
        <v>1221</v>
      </c>
      <c r="C2298" s="17">
        <v>0</v>
      </c>
      <c r="D2298" s="17" t="s">
        <v>801</v>
      </c>
      <c r="E2298" s="18">
        <v>8050846007604</v>
      </c>
      <c r="G2298" s="20" t="str">
        <f t="shared" si="105"/>
        <v xml:space="preserve"> BANDOULIERE     </v>
      </c>
      <c r="H2298" s="20" t="str">
        <f t="shared" si="106"/>
        <v>DISBL</v>
      </c>
      <c r="I2298" s="20">
        <f t="shared" si="107"/>
        <v>0</v>
      </c>
    </row>
    <row r="2299" spans="1:9">
      <c r="A2299" s="17" t="s">
        <v>1219</v>
      </c>
      <c r="B2299" s="17" t="s">
        <v>1222</v>
      </c>
      <c r="C2299" s="17">
        <v>0</v>
      </c>
      <c r="D2299" s="17" t="s">
        <v>801</v>
      </c>
      <c r="E2299" s="18">
        <v>3002351488008</v>
      </c>
      <c r="G2299" s="20" t="str">
        <f t="shared" si="105"/>
        <v xml:space="preserve"> BANDOULIERE     </v>
      </c>
      <c r="H2299" s="20" t="str">
        <f t="shared" si="106"/>
        <v>DISJA</v>
      </c>
      <c r="I2299" s="20">
        <f t="shared" si="107"/>
        <v>0</v>
      </c>
    </row>
    <row r="2300" spans="1:9">
      <c r="A2300" s="17" t="s">
        <v>1219</v>
      </c>
      <c r="B2300" s="17" t="s">
        <v>1222</v>
      </c>
      <c r="C2300" s="17">
        <v>0</v>
      </c>
      <c r="D2300" s="17" t="s">
        <v>801</v>
      </c>
      <c r="E2300" s="18">
        <v>8050846007598</v>
      </c>
      <c r="G2300" s="20" t="str">
        <f t="shared" si="105"/>
        <v xml:space="preserve"> BANDOULIERE     </v>
      </c>
      <c r="H2300" s="20" t="str">
        <f t="shared" si="106"/>
        <v>DISJA</v>
      </c>
      <c r="I2300" s="20">
        <f t="shared" si="107"/>
        <v>0</v>
      </c>
    </row>
    <row r="2301" spans="1:9">
      <c r="A2301" s="17" t="s">
        <v>1219</v>
      </c>
      <c r="B2301" s="17" t="s">
        <v>1223</v>
      </c>
      <c r="C2301" s="17">
        <v>0</v>
      </c>
      <c r="D2301" s="17" t="s">
        <v>801</v>
      </c>
      <c r="E2301" s="18">
        <v>8050846019102</v>
      </c>
      <c r="G2301" s="20" t="str">
        <f t="shared" si="105"/>
        <v xml:space="preserve"> BANDOULIERE     </v>
      </c>
      <c r="H2301" s="20" t="str">
        <f t="shared" si="106"/>
        <v>DISPO</v>
      </c>
      <c r="I2301" s="20">
        <f t="shared" si="107"/>
        <v>0</v>
      </c>
    </row>
    <row r="2302" spans="1:9">
      <c r="A2302" s="17" t="s">
        <v>1219</v>
      </c>
      <c r="B2302" s="17" t="s">
        <v>1224</v>
      </c>
      <c r="C2302" s="17">
        <v>0</v>
      </c>
      <c r="D2302" s="17" t="s">
        <v>801</v>
      </c>
      <c r="E2302" s="18">
        <v>8050846019096</v>
      </c>
      <c r="G2302" s="20" t="str">
        <f t="shared" si="105"/>
        <v xml:space="preserve"> BANDOULIERE     </v>
      </c>
      <c r="H2302" s="20" t="str">
        <f t="shared" si="106"/>
        <v>DISRE</v>
      </c>
      <c r="I2302" s="20">
        <f t="shared" si="107"/>
        <v>0</v>
      </c>
    </row>
    <row r="2303" spans="1:9">
      <c r="A2303" s="17" t="s">
        <v>1219</v>
      </c>
      <c r="B2303" s="17" t="s">
        <v>1225</v>
      </c>
      <c r="C2303" s="17">
        <v>0</v>
      </c>
      <c r="D2303" s="17" t="s">
        <v>801</v>
      </c>
      <c r="E2303" s="18">
        <v>3002351104007</v>
      </c>
      <c r="G2303" s="20" t="str">
        <f t="shared" si="105"/>
        <v xml:space="preserve"> BANDOULIERE     </v>
      </c>
      <c r="H2303" s="20" t="str">
        <f t="shared" si="106"/>
        <v>DTPIN</v>
      </c>
      <c r="I2303" s="20">
        <f t="shared" si="107"/>
        <v>0</v>
      </c>
    </row>
    <row r="2304" spans="1:9">
      <c r="A2304" s="17" t="s">
        <v>1219</v>
      </c>
      <c r="B2304" s="17" t="s">
        <v>1225</v>
      </c>
      <c r="C2304" s="17">
        <v>0</v>
      </c>
      <c r="D2304" s="17" t="s">
        <v>801</v>
      </c>
      <c r="E2304" s="18">
        <v>8056095064177</v>
      </c>
      <c r="G2304" s="20" t="str">
        <f t="shared" si="105"/>
        <v xml:space="preserve"> BANDOULIERE     </v>
      </c>
      <c r="H2304" s="20" t="str">
        <f t="shared" si="106"/>
        <v>DTPIN</v>
      </c>
      <c r="I2304" s="20">
        <f t="shared" si="107"/>
        <v>0</v>
      </c>
    </row>
    <row r="2305" spans="1:9">
      <c r="A2305" s="17" t="s">
        <v>1219</v>
      </c>
      <c r="B2305" s="17" t="s">
        <v>1226</v>
      </c>
      <c r="C2305" s="17">
        <v>0</v>
      </c>
      <c r="D2305" s="17" t="s">
        <v>801</v>
      </c>
      <c r="E2305" s="18">
        <v>8056095064160</v>
      </c>
      <c r="G2305" s="20" t="str">
        <f t="shared" si="105"/>
        <v xml:space="preserve"> BANDOULIERE     </v>
      </c>
      <c r="H2305" s="20" t="str">
        <f t="shared" si="106"/>
        <v>DTSAU</v>
      </c>
      <c r="I2305" s="20">
        <f t="shared" si="107"/>
        <v>0</v>
      </c>
    </row>
    <row r="2306" spans="1:9">
      <c r="A2306" s="17" t="s">
        <v>1219</v>
      </c>
      <c r="B2306" s="17" t="s">
        <v>1226</v>
      </c>
      <c r="C2306" s="17">
        <v>80560</v>
      </c>
      <c r="D2306" s="17" t="s">
        <v>801</v>
      </c>
      <c r="E2306" s="18">
        <v>3002351103000</v>
      </c>
      <c r="G2306" s="20" t="str">
        <f t="shared" si="105"/>
        <v xml:space="preserve"> BANDOULIERE     </v>
      </c>
      <c r="H2306" s="20" t="str">
        <f t="shared" si="106"/>
        <v>DTSAU</v>
      </c>
      <c r="I2306" s="20">
        <f t="shared" si="107"/>
        <v>80560</v>
      </c>
    </row>
    <row r="2307" spans="1:9">
      <c r="A2307" s="17" t="s">
        <v>1219</v>
      </c>
      <c r="B2307" s="17" t="s">
        <v>838</v>
      </c>
      <c r="C2307" s="17">
        <v>0</v>
      </c>
      <c r="D2307" s="17" t="s">
        <v>801</v>
      </c>
      <c r="E2307" s="18">
        <v>3002350497001</v>
      </c>
      <c r="G2307" s="20" t="str">
        <f t="shared" si="105"/>
        <v xml:space="preserve"> BANDOULIERE     </v>
      </c>
      <c r="H2307" s="20" t="str">
        <f t="shared" si="106"/>
        <v>IVOIR</v>
      </c>
      <c r="I2307" s="20">
        <f t="shared" si="107"/>
        <v>0</v>
      </c>
    </row>
    <row r="2308" spans="1:9">
      <c r="A2308" s="17" t="s">
        <v>1219</v>
      </c>
      <c r="B2308" s="17" t="s">
        <v>1227</v>
      </c>
      <c r="C2308" s="17">
        <v>0</v>
      </c>
      <c r="D2308" s="17" t="s">
        <v>801</v>
      </c>
      <c r="E2308" s="18">
        <v>3020370185005</v>
      </c>
      <c r="G2308" s="20" t="str">
        <f t="shared" si="105"/>
        <v xml:space="preserve"> BANDOULIERE     </v>
      </c>
      <c r="H2308" s="20" t="str">
        <f t="shared" si="106"/>
        <v xml:space="preserve">LMAR </v>
      </c>
      <c r="I2308" s="20">
        <f t="shared" si="107"/>
        <v>0</v>
      </c>
    </row>
    <row r="2309" spans="1:9">
      <c r="A2309" s="17" t="s">
        <v>1219</v>
      </c>
      <c r="B2309" s="17" t="s">
        <v>1228</v>
      </c>
      <c r="C2309" s="17">
        <v>0</v>
      </c>
      <c r="D2309" s="17" t="s">
        <v>801</v>
      </c>
      <c r="E2309" s="18">
        <v>3020370184008</v>
      </c>
      <c r="G2309" s="20" t="str">
        <f t="shared" ref="G2309:G2372" si="108">A2309</f>
        <v xml:space="preserve"> BANDOULIERE     </v>
      </c>
      <c r="H2309" s="20" t="str">
        <f t="shared" ref="H2309:H2372" si="109">B2309</f>
        <v xml:space="preserve">LNOI </v>
      </c>
      <c r="I2309" s="20">
        <f t="shared" ref="I2309:I2372" si="110">C2309</f>
        <v>0</v>
      </c>
    </row>
    <row r="2310" spans="1:9">
      <c r="A2310" s="17" t="s">
        <v>1219</v>
      </c>
      <c r="B2310" s="17" t="s">
        <v>859</v>
      </c>
      <c r="C2310" s="17">
        <v>0</v>
      </c>
      <c r="D2310" s="17" t="s">
        <v>801</v>
      </c>
      <c r="E2310" s="18">
        <v>8051770309116</v>
      </c>
      <c r="G2310" s="20" t="str">
        <f t="shared" si="108"/>
        <v xml:space="preserve"> BANDOULIERE     </v>
      </c>
      <c r="H2310" s="20" t="str">
        <f t="shared" si="109"/>
        <v>NATUR</v>
      </c>
      <c r="I2310" s="20">
        <f t="shared" si="110"/>
        <v>0</v>
      </c>
    </row>
    <row r="2311" spans="1:9">
      <c r="A2311" s="17" t="s">
        <v>1219</v>
      </c>
      <c r="B2311" s="17" t="s">
        <v>859</v>
      </c>
      <c r="C2311" s="17">
        <v>0</v>
      </c>
      <c r="D2311" s="17" t="s">
        <v>801</v>
      </c>
      <c r="E2311" s="18">
        <v>3003340002007</v>
      </c>
      <c r="G2311" s="20" t="str">
        <f t="shared" si="108"/>
        <v xml:space="preserve"> BANDOULIERE     </v>
      </c>
      <c r="H2311" s="20" t="str">
        <f t="shared" si="109"/>
        <v>NATUR</v>
      </c>
      <c r="I2311" s="20">
        <f t="shared" si="110"/>
        <v>0</v>
      </c>
    </row>
    <row r="2312" spans="1:9">
      <c r="A2312" s="17" t="s">
        <v>1219</v>
      </c>
      <c r="B2312" s="17" t="s">
        <v>1078</v>
      </c>
      <c r="C2312" s="17">
        <v>0</v>
      </c>
      <c r="D2312" s="17" t="s">
        <v>801</v>
      </c>
      <c r="E2312" s="18">
        <v>3020370006003</v>
      </c>
      <c r="G2312" s="20" t="str">
        <f t="shared" si="108"/>
        <v xml:space="preserve"> BANDOULIERE     </v>
      </c>
      <c r="H2312" s="20" t="str">
        <f t="shared" si="109"/>
        <v xml:space="preserve">NAVY </v>
      </c>
      <c r="I2312" s="20">
        <f t="shared" si="110"/>
        <v>0</v>
      </c>
    </row>
    <row r="2313" spans="1:9">
      <c r="A2313" s="17" t="s">
        <v>1219</v>
      </c>
      <c r="B2313" s="17" t="s">
        <v>839</v>
      </c>
      <c r="C2313" s="17">
        <v>0</v>
      </c>
      <c r="D2313" s="17" t="s">
        <v>801</v>
      </c>
      <c r="E2313" s="18">
        <v>3002350397004</v>
      </c>
      <c r="G2313" s="20" t="str">
        <f t="shared" si="108"/>
        <v xml:space="preserve"> BANDOULIERE     </v>
      </c>
      <c r="H2313" s="20" t="str">
        <f t="shared" si="109"/>
        <v xml:space="preserve">ROSA </v>
      </c>
      <c r="I2313" s="20">
        <f t="shared" si="110"/>
        <v>0</v>
      </c>
    </row>
    <row r="2314" spans="1:9">
      <c r="A2314" s="17" t="s">
        <v>1219</v>
      </c>
      <c r="B2314" s="17" t="s">
        <v>840</v>
      </c>
      <c r="C2314" s="17">
        <v>0</v>
      </c>
      <c r="D2314" s="17" t="s">
        <v>801</v>
      </c>
      <c r="E2314" s="18">
        <v>3002350403002</v>
      </c>
      <c r="G2314" s="20" t="str">
        <f t="shared" si="108"/>
        <v xml:space="preserve"> BANDOULIERE     </v>
      </c>
      <c r="H2314" s="20" t="str">
        <f t="shared" si="109"/>
        <v>SAUGE</v>
      </c>
      <c r="I2314" s="20">
        <f t="shared" si="110"/>
        <v>0</v>
      </c>
    </row>
    <row r="2315" spans="1:9">
      <c r="A2315" s="17" t="s">
        <v>1219</v>
      </c>
      <c r="B2315" s="17" t="s">
        <v>842</v>
      </c>
      <c r="C2315" s="17">
        <v>0</v>
      </c>
      <c r="D2315" s="17" t="s">
        <v>801</v>
      </c>
      <c r="E2315" s="18">
        <v>3002350768002</v>
      </c>
      <c r="G2315" s="20" t="str">
        <f t="shared" si="108"/>
        <v xml:space="preserve"> BANDOULIERE     </v>
      </c>
      <c r="H2315" s="20" t="str">
        <f t="shared" si="109"/>
        <v>TREBR</v>
      </c>
      <c r="I2315" s="20">
        <f t="shared" si="110"/>
        <v>0</v>
      </c>
    </row>
    <row r="2316" spans="1:9">
      <c r="A2316" s="17" t="s">
        <v>1219</v>
      </c>
      <c r="B2316" s="17" t="s">
        <v>843</v>
      </c>
      <c r="C2316" s="17">
        <v>0</v>
      </c>
      <c r="D2316" s="17" t="s">
        <v>801</v>
      </c>
      <c r="E2316" s="18">
        <v>8058983594957</v>
      </c>
      <c r="G2316" s="20" t="str">
        <f t="shared" si="108"/>
        <v xml:space="preserve"> BANDOULIERE     </v>
      </c>
      <c r="H2316" s="20" t="str">
        <f t="shared" si="109"/>
        <v>TRENA</v>
      </c>
      <c r="I2316" s="20">
        <f t="shared" si="110"/>
        <v>0</v>
      </c>
    </row>
    <row r="2317" spans="1:9">
      <c r="A2317" s="17" t="s">
        <v>1219</v>
      </c>
      <c r="B2317" s="17" t="s">
        <v>843</v>
      </c>
      <c r="C2317" s="17">
        <v>0</v>
      </c>
      <c r="D2317" s="17" t="s">
        <v>801</v>
      </c>
      <c r="E2317" s="18">
        <v>3002350767005</v>
      </c>
      <c r="G2317" s="20" t="str">
        <f t="shared" si="108"/>
        <v xml:space="preserve"> BANDOULIERE     </v>
      </c>
      <c r="H2317" s="20" t="str">
        <f t="shared" si="109"/>
        <v>TRENA</v>
      </c>
      <c r="I2317" s="20">
        <f t="shared" si="110"/>
        <v>0</v>
      </c>
    </row>
    <row r="2318" spans="1:9">
      <c r="A2318" s="17" t="s">
        <v>1219</v>
      </c>
      <c r="B2318" s="17" t="s">
        <v>1167</v>
      </c>
      <c r="C2318" s="17">
        <v>0</v>
      </c>
      <c r="D2318" s="17" t="s">
        <v>801</v>
      </c>
      <c r="E2318" s="18">
        <v>3002350852008</v>
      </c>
      <c r="G2318" s="20" t="str">
        <f t="shared" si="108"/>
        <v xml:space="preserve"> BANDOULIERE     </v>
      </c>
      <c r="H2318" s="20" t="str">
        <f t="shared" si="109"/>
        <v>TWEGR</v>
      </c>
      <c r="I2318" s="20">
        <f t="shared" si="110"/>
        <v>0</v>
      </c>
    </row>
    <row r="2319" spans="1:9">
      <c r="A2319" s="17" t="s">
        <v>1219</v>
      </c>
      <c r="B2319" s="17" t="s">
        <v>1168</v>
      </c>
      <c r="C2319" s="17">
        <v>0</v>
      </c>
      <c r="D2319" s="17" t="s">
        <v>801</v>
      </c>
      <c r="E2319" s="18">
        <v>3002350853005</v>
      </c>
      <c r="G2319" s="20" t="str">
        <f t="shared" si="108"/>
        <v xml:space="preserve"> BANDOULIERE     </v>
      </c>
      <c r="H2319" s="20" t="str">
        <f t="shared" si="109"/>
        <v>TWENO</v>
      </c>
      <c r="I2319" s="20">
        <f t="shared" si="110"/>
        <v>0</v>
      </c>
    </row>
    <row r="2320" spans="1:9">
      <c r="A2320" s="17" t="s">
        <v>1219</v>
      </c>
      <c r="B2320" s="17" t="s">
        <v>844</v>
      </c>
      <c r="C2320" s="17">
        <v>0</v>
      </c>
      <c r="D2320" s="17" t="s">
        <v>801</v>
      </c>
      <c r="E2320" s="18">
        <v>3002350715006</v>
      </c>
      <c r="G2320" s="20" t="str">
        <f t="shared" si="108"/>
        <v xml:space="preserve"> BANDOULIERE     </v>
      </c>
      <c r="H2320" s="20" t="str">
        <f t="shared" si="109"/>
        <v>VERCI</v>
      </c>
      <c r="I2320" s="20">
        <f t="shared" si="110"/>
        <v>0</v>
      </c>
    </row>
    <row r="2321" spans="1:9">
      <c r="A2321" s="17" t="s">
        <v>1219</v>
      </c>
      <c r="B2321" s="17" t="s">
        <v>845</v>
      </c>
      <c r="C2321" s="17">
        <v>0</v>
      </c>
      <c r="D2321" s="17" t="s">
        <v>801</v>
      </c>
      <c r="E2321" s="18">
        <v>3002350714009</v>
      </c>
      <c r="G2321" s="20" t="str">
        <f t="shared" si="108"/>
        <v xml:space="preserve"> BANDOULIERE     </v>
      </c>
      <c r="H2321" s="20" t="str">
        <f t="shared" si="109"/>
        <v>VERRO</v>
      </c>
      <c r="I2321" s="20">
        <f t="shared" si="110"/>
        <v>0</v>
      </c>
    </row>
    <row r="2322" spans="1:9">
      <c r="A2322" s="17" t="s">
        <v>1219</v>
      </c>
      <c r="B2322" s="17" t="s">
        <v>273</v>
      </c>
      <c r="C2322" s="17">
        <v>0</v>
      </c>
      <c r="D2322" s="17" t="s">
        <v>801</v>
      </c>
      <c r="E2322" s="18">
        <v>3020370005006</v>
      </c>
      <c r="G2322" s="20" t="str">
        <f t="shared" si="108"/>
        <v xml:space="preserve"> BANDOULIERE     </v>
      </c>
      <c r="H2322" s="20" t="str">
        <f t="shared" si="109"/>
        <v>WHITE</v>
      </c>
      <c r="I2322" s="20">
        <f t="shared" si="110"/>
        <v>0</v>
      </c>
    </row>
    <row r="2323" spans="1:9">
      <c r="A2323" s="17" t="s">
        <v>1219</v>
      </c>
      <c r="B2323" s="17" t="s">
        <v>273</v>
      </c>
      <c r="C2323" s="17">
        <v>0</v>
      </c>
      <c r="D2323" s="17" t="s">
        <v>801</v>
      </c>
      <c r="E2323" s="18">
        <v>8050450214801</v>
      </c>
      <c r="G2323" s="20" t="str">
        <f t="shared" si="108"/>
        <v xml:space="preserve"> BANDOULIERE     </v>
      </c>
      <c r="H2323" s="20" t="str">
        <f t="shared" si="109"/>
        <v>WHITE</v>
      </c>
      <c r="I2323" s="20">
        <f t="shared" si="110"/>
        <v>0</v>
      </c>
    </row>
    <row r="2324" spans="1:9">
      <c r="A2324" s="17" t="s">
        <v>1229</v>
      </c>
      <c r="B2324" s="17" t="s">
        <v>875</v>
      </c>
      <c r="C2324" s="17">
        <v>0</v>
      </c>
      <c r="D2324" s="17" t="s">
        <v>801</v>
      </c>
      <c r="E2324" s="18">
        <v>3020380112008</v>
      </c>
      <c r="G2324" s="20" t="str">
        <f t="shared" si="108"/>
        <v xml:space="preserve"> BODYBEACH       </v>
      </c>
      <c r="H2324" s="20" t="str">
        <f t="shared" si="109"/>
        <v xml:space="preserve">ABRI </v>
      </c>
      <c r="I2324" s="20">
        <f t="shared" si="110"/>
        <v>0</v>
      </c>
    </row>
    <row r="2325" spans="1:9">
      <c r="A2325" s="17" t="s">
        <v>1229</v>
      </c>
      <c r="B2325" s="17" t="s">
        <v>1230</v>
      </c>
      <c r="C2325" s="17">
        <v>0</v>
      </c>
      <c r="D2325" s="17" t="s">
        <v>801</v>
      </c>
      <c r="E2325" s="18">
        <v>3020381338001</v>
      </c>
      <c r="G2325" s="20" t="str">
        <f t="shared" si="108"/>
        <v xml:space="preserve"> BODYBEACH       </v>
      </c>
      <c r="H2325" s="20" t="str">
        <f t="shared" si="109"/>
        <v>ACQUA</v>
      </c>
      <c r="I2325" s="20">
        <f t="shared" si="110"/>
        <v>0</v>
      </c>
    </row>
    <row r="2326" spans="1:9">
      <c r="A2326" s="17" t="s">
        <v>1229</v>
      </c>
      <c r="B2326" s="17" t="s">
        <v>963</v>
      </c>
      <c r="C2326" s="17">
        <v>0</v>
      </c>
      <c r="D2326" s="17" t="s">
        <v>801</v>
      </c>
      <c r="E2326" s="18">
        <v>3020380395005</v>
      </c>
      <c r="G2326" s="20" t="str">
        <f t="shared" si="108"/>
        <v xml:space="preserve"> BODYBEACH       </v>
      </c>
      <c r="H2326" s="20" t="str">
        <f t="shared" si="109"/>
        <v>AMARA</v>
      </c>
      <c r="I2326" s="20">
        <f t="shared" si="110"/>
        <v>0</v>
      </c>
    </row>
    <row r="2327" spans="1:9">
      <c r="A2327" s="17" t="s">
        <v>1229</v>
      </c>
      <c r="B2327" s="17" t="s">
        <v>298</v>
      </c>
      <c r="C2327" s="17">
        <v>0</v>
      </c>
      <c r="D2327" s="17" t="s">
        <v>801</v>
      </c>
      <c r="E2327" s="18">
        <v>3003300023004</v>
      </c>
      <c r="G2327" s="20" t="str">
        <f t="shared" si="108"/>
        <v xml:space="preserve"> BODYBEACH       </v>
      </c>
      <c r="H2327" s="20" t="str">
        <f t="shared" si="109"/>
        <v>APPLE</v>
      </c>
      <c r="I2327" s="20">
        <f t="shared" si="110"/>
        <v>0</v>
      </c>
    </row>
    <row r="2328" spans="1:9">
      <c r="A2328" s="17" t="s">
        <v>1229</v>
      </c>
      <c r="B2328" s="17" t="s">
        <v>879</v>
      </c>
      <c r="C2328" s="17">
        <v>0</v>
      </c>
      <c r="D2328" s="17" t="s">
        <v>801</v>
      </c>
      <c r="E2328" s="18">
        <v>3020380181004</v>
      </c>
      <c r="G2328" s="20" t="str">
        <f t="shared" si="108"/>
        <v xml:space="preserve"> BODYBEACH       </v>
      </c>
      <c r="H2328" s="20" t="str">
        <f t="shared" si="109"/>
        <v xml:space="preserve">AZUR </v>
      </c>
      <c r="I2328" s="20">
        <f t="shared" si="110"/>
        <v>0</v>
      </c>
    </row>
    <row r="2329" spans="1:9">
      <c r="A2329" s="17" t="s">
        <v>1229</v>
      </c>
      <c r="B2329" s="17" t="s">
        <v>818</v>
      </c>
      <c r="C2329" s="17">
        <v>0</v>
      </c>
      <c r="D2329" s="17" t="s">
        <v>801</v>
      </c>
      <c r="E2329" s="18">
        <v>3003300019007</v>
      </c>
      <c r="G2329" s="20" t="str">
        <f t="shared" si="108"/>
        <v xml:space="preserve"> BODYBEACH       </v>
      </c>
      <c r="H2329" s="20" t="str">
        <f t="shared" si="109"/>
        <v xml:space="preserve">BDX  </v>
      </c>
      <c r="I2329" s="20">
        <f t="shared" si="110"/>
        <v>0</v>
      </c>
    </row>
    <row r="2330" spans="1:9">
      <c r="A2330" s="17" t="s">
        <v>1229</v>
      </c>
      <c r="B2330" s="17" t="s">
        <v>280</v>
      </c>
      <c r="C2330" s="17">
        <v>0</v>
      </c>
      <c r="D2330" s="17" t="s">
        <v>801</v>
      </c>
      <c r="E2330" s="18">
        <v>3003300001002</v>
      </c>
      <c r="G2330" s="20" t="str">
        <f t="shared" si="108"/>
        <v xml:space="preserve"> BODYBEACH       </v>
      </c>
      <c r="H2330" s="20" t="str">
        <f t="shared" si="109"/>
        <v>BLACK</v>
      </c>
      <c r="I2330" s="20">
        <f t="shared" si="110"/>
        <v>0</v>
      </c>
    </row>
    <row r="2331" spans="1:9">
      <c r="A2331" s="17" t="s">
        <v>1229</v>
      </c>
      <c r="B2331" s="17" t="s">
        <v>869</v>
      </c>
      <c r="C2331" s="17">
        <v>0</v>
      </c>
      <c r="D2331" s="17" t="s">
        <v>801</v>
      </c>
      <c r="E2331" s="18">
        <v>3003300005000</v>
      </c>
      <c r="G2331" s="20" t="str">
        <f t="shared" si="108"/>
        <v xml:space="preserve"> BODYBEACH       </v>
      </c>
      <c r="H2331" s="20" t="str">
        <f t="shared" si="109"/>
        <v>BROWN</v>
      </c>
      <c r="I2331" s="20">
        <f t="shared" si="110"/>
        <v>0</v>
      </c>
    </row>
    <row r="2332" spans="1:9">
      <c r="A2332" s="17" t="s">
        <v>1229</v>
      </c>
      <c r="B2332" s="17" t="s">
        <v>858</v>
      </c>
      <c r="C2332" s="17">
        <v>0</v>
      </c>
      <c r="D2332" s="17" t="s">
        <v>801</v>
      </c>
      <c r="E2332" s="18">
        <v>3003300003006</v>
      </c>
      <c r="G2332" s="20" t="str">
        <f t="shared" si="108"/>
        <v xml:space="preserve"> BODYBEACH       </v>
      </c>
      <c r="H2332" s="20" t="str">
        <f t="shared" si="109"/>
        <v xml:space="preserve">GREY </v>
      </c>
      <c r="I2332" s="20">
        <f t="shared" si="110"/>
        <v>0</v>
      </c>
    </row>
    <row r="2333" spans="1:9">
      <c r="A2333" s="17" t="s">
        <v>1229</v>
      </c>
      <c r="B2333" s="17" t="s">
        <v>892</v>
      </c>
      <c r="C2333" s="17">
        <v>0</v>
      </c>
      <c r="D2333" s="17" t="s">
        <v>801</v>
      </c>
      <c r="E2333" s="18">
        <v>3020380214009</v>
      </c>
      <c r="G2333" s="20" t="str">
        <f t="shared" si="108"/>
        <v xml:space="preserve"> BODYBEACH       </v>
      </c>
      <c r="H2333" s="20" t="str">
        <f t="shared" si="109"/>
        <v xml:space="preserve">LIME </v>
      </c>
      <c r="I2333" s="20">
        <f t="shared" si="110"/>
        <v>0</v>
      </c>
    </row>
    <row r="2334" spans="1:9">
      <c r="A2334" s="17" t="s">
        <v>1229</v>
      </c>
      <c r="B2334" s="17" t="s">
        <v>893</v>
      </c>
      <c r="C2334" s="17">
        <v>0</v>
      </c>
      <c r="D2334" s="17" t="s">
        <v>801</v>
      </c>
      <c r="E2334" s="18">
        <v>3003300017003</v>
      </c>
      <c r="G2334" s="20" t="str">
        <f t="shared" si="108"/>
        <v xml:space="preserve"> BODYBEACH       </v>
      </c>
      <c r="H2334" s="20" t="str">
        <f t="shared" si="109"/>
        <v xml:space="preserve">MAG  </v>
      </c>
      <c r="I2334" s="20">
        <f t="shared" si="110"/>
        <v>0</v>
      </c>
    </row>
    <row r="2335" spans="1:9">
      <c r="A2335" s="17" t="s">
        <v>1229</v>
      </c>
      <c r="B2335" s="17" t="s">
        <v>1231</v>
      </c>
      <c r="C2335" s="17">
        <v>0</v>
      </c>
      <c r="D2335" s="17" t="s">
        <v>801</v>
      </c>
      <c r="E2335" s="18">
        <v>3020380109008</v>
      </c>
      <c r="G2335" s="20" t="str">
        <f t="shared" si="108"/>
        <v xml:space="preserve"> BODYBEACH       </v>
      </c>
      <c r="H2335" s="20" t="str">
        <f t="shared" si="109"/>
        <v xml:space="preserve">MAYA </v>
      </c>
      <c r="I2335" s="20">
        <f t="shared" si="110"/>
        <v>0</v>
      </c>
    </row>
    <row r="2336" spans="1:9">
      <c r="A2336" s="17" t="s">
        <v>1229</v>
      </c>
      <c r="B2336" s="17" t="s">
        <v>1232</v>
      </c>
      <c r="C2336" s="17">
        <v>0</v>
      </c>
      <c r="D2336" s="17" t="s">
        <v>801</v>
      </c>
      <c r="E2336" s="18">
        <v>3003300022007</v>
      </c>
      <c r="G2336" s="20" t="str">
        <f t="shared" si="108"/>
        <v xml:space="preserve"> BODYBEACH       </v>
      </c>
      <c r="H2336" s="20" t="str">
        <f t="shared" si="109"/>
        <v xml:space="preserve">MINT </v>
      </c>
      <c r="I2336" s="20">
        <f t="shared" si="110"/>
        <v>0</v>
      </c>
    </row>
    <row r="2337" spans="1:9">
      <c r="A2337" s="17" t="s">
        <v>1229</v>
      </c>
      <c r="B2337" s="17" t="s">
        <v>1233</v>
      </c>
      <c r="C2337" s="17">
        <v>0</v>
      </c>
      <c r="D2337" s="17" t="s">
        <v>801</v>
      </c>
      <c r="E2337" s="18">
        <v>3003300024001</v>
      </c>
      <c r="G2337" s="20" t="str">
        <f t="shared" si="108"/>
        <v xml:space="preserve"> BODYBEACH       </v>
      </c>
      <c r="H2337" s="20" t="str">
        <f t="shared" si="109"/>
        <v>OCEAN</v>
      </c>
      <c r="I2337" s="20">
        <f t="shared" si="110"/>
        <v>0</v>
      </c>
    </row>
    <row r="2338" spans="1:9">
      <c r="A2338" s="17" t="s">
        <v>1229</v>
      </c>
      <c r="B2338" s="17" t="s">
        <v>1234</v>
      </c>
      <c r="C2338" s="17">
        <v>0</v>
      </c>
      <c r="D2338" s="17" t="s">
        <v>801</v>
      </c>
      <c r="E2338" s="18">
        <v>3003300021000</v>
      </c>
      <c r="G2338" s="20" t="str">
        <f t="shared" si="108"/>
        <v xml:space="preserve"> BODYBEACH       </v>
      </c>
      <c r="H2338" s="20" t="str">
        <f t="shared" si="109"/>
        <v>OLIVE</v>
      </c>
      <c r="I2338" s="20">
        <f t="shared" si="110"/>
        <v>0</v>
      </c>
    </row>
    <row r="2339" spans="1:9">
      <c r="A2339" s="17" t="s">
        <v>1229</v>
      </c>
      <c r="B2339" s="17" t="s">
        <v>964</v>
      </c>
      <c r="C2339" s="17">
        <v>0</v>
      </c>
      <c r="D2339" s="17" t="s">
        <v>801</v>
      </c>
      <c r="E2339" s="18">
        <v>3003300009008</v>
      </c>
      <c r="G2339" s="20" t="str">
        <f t="shared" si="108"/>
        <v xml:space="preserve"> BODYBEACH       </v>
      </c>
      <c r="H2339" s="20" t="str">
        <f t="shared" si="109"/>
        <v>ORANG</v>
      </c>
      <c r="I2339" s="20">
        <f t="shared" si="110"/>
        <v>0</v>
      </c>
    </row>
    <row r="2340" spans="1:9">
      <c r="A2340" s="17" t="s">
        <v>1229</v>
      </c>
      <c r="B2340" s="17" t="s">
        <v>1235</v>
      </c>
      <c r="C2340" s="17">
        <v>0</v>
      </c>
      <c r="D2340" s="17" t="s">
        <v>801</v>
      </c>
      <c r="E2340" s="18">
        <v>3020380288000</v>
      </c>
      <c r="G2340" s="20" t="str">
        <f t="shared" si="108"/>
        <v xml:space="preserve"> BODYBEACH       </v>
      </c>
      <c r="H2340" s="20" t="str">
        <f t="shared" si="109"/>
        <v>PAPAY</v>
      </c>
      <c r="I2340" s="20">
        <f t="shared" si="110"/>
        <v>0</v>
      </c>
    </row>
    <row r="2341" spans="1:9">
      <c r="A2341" s="17" t="s">
        <v>1229</v>
      </c>
      <c r="B2341" s="17" t="s">
        <v>912</v>
      </c>
      <c r="C2341" s="17">
        <v>0</v>
      </c>
      <c r="D2341" s="17" t="s">
        <v>801</v>
      </c>
      <c r="E2341" s="18">
        <v>3020381008003</v>
      </c>
      <c r="G2341" s="20" t="str">
        <f t="shared" si="108"/>
        <v xml:space="preserve"> BODYBEACH       </v>
      </c>
      <c r="H2341" s="20" t="str">
        <f t="shared" si="109"/>
        <v>PETRO</v>
      </c>
      <c r="I2341" s="20">
        <f t="shared" si="110"/>
        <v>0</v>
      </c>
    </row>
    <row r="2342" spans="1:9">
      <c r="A2342" s="17" t="s">
        <v>1229</v>
      </c>
      <c r="B2342" s="17" t="s">
        <v>1236</v>
      </c>
      <c r="C2342" s="17">
        <v>0</v>
      </c>
      <c r="D2342" s="17" t="s">
        <v>801</v>
      </c>
      <c r="E2342" s="18">
        <v>3003300020003</v>
      </c>
      <c r="G2342" s="20" t="str">
        <f t="shared" si="108"/>
        <v xml:space="preserve"> BODYBEACH       </v>
      </c>
      <c r="H2342" s="20" t="str">
        <f t="shared" si="109"/>
        <v xml:space="preserve">POW  </v>
      </c>
      <c r="I2342" s="20">
        <f t="shared" si="110"/>
        <v>0</v>
      </c>
    </row>
    <row r="2343" spans="1:9">
      <c r="A2343" s="17" t="s">
        <v>1229</v>
      </c>
      <c r="B2343" s="17" t="s">
        <v>914</v>
      </c>
      <c r="C2343" s="17">
        <v>0</v>
      </c>
      <c r="D2343" s="17" t="s">
        <v>801</v>
      </c>
      <c r="E2343" s="18">
        <v>3003300018000</v>
      </c>
      <c r="G2343" s="20" t="str">
        <f t="shared" si="108"/>
        <v xml:space="preserve"> BODYBEACH       </v>
      </c>
      <c r="H2343" s="20" t="str">
        <f t="shared" si="109"/>
        <v xml:space="preserve">PURP </v>
      </c>
      <c r="I2343" s="20">
        <f t="shared" si="110"/>
        <v>0</v>
      </c>
    </row>
    <row r="2344" spans="1:9">
      <c r="A2344" s="17" t="s">
        <v>1229</v>
      </c>
      <c r="B2344" s="17" t="s">
        <v>816</v>
      </c>
      <c r="C2344" s="17">
        <v>0</v>
      </c>
      <c r="D2344" s="17" t="s">
        <v>801</v>
      </c>
      <c r="E2344" s="18">
        <v>3003300010004</v>
      </c>
      <c r="G2344" s="20" t="str">
        <f t="shared" si="108"/>
        <v xml:space="preserve"> BODYBEACH       </v>
      </c>
      <c r="H2344" s="20" t="str">
        <f t="shared" si="109"/>
        <v xml:space="preserve">RED  </v>
      </c>
      <c r="I2344" s="20">
        <f t="shared" si="110"/>
        <v>0</v>
      </c>
    </row>
    <row r="2345" spans="1:9">
      <c r="A2345" s="17" t="s">
        <v>1229</v>
      </c>
      <c r="B2345" s="17" t="s">
        <v>1237</v>
      </c>
      <c r="C2345" s="17">
        <v>0</v>
      </c>
      <c r="D2345" s="17" t="s">
        <v>801</v>
      </c>
      <c r="E2345" s="18">
        <v>3003300027002</v>
      </c>
      <c r="G2345" s="20" t="str">
        <f t="shared" si="108"/>
        <v xml:space="preserve"> BODYBEACH       </v>
      </c>
      <c r="H2345" s="20" t="str">
        <f t="shared" si="109"/>
        <v xml:space="preserve">ROCK </v>
      </c>
      <c r="I2345" s="20">
        <f t="shared" si="110"/>
        <v>0</v>
      </c>
    </row>
    <row r="2346" spans="1:9">
      <c r="A2346" s="17" t="s">
        <v>1229</v>
      </c>
      <c r="B2346" s="17" t="s">
        <v>1238</v>
      </c>
      <c r="C2346" s="17">
        <v>0</v>
      </c>
      <c r="D2346" s="17" t="s">
        <v>801</v>
      </c>
      <c r="E2346" s="18">
        <v>3020380215006</v>
      </c>
      <c r="G2346" s="20" t="str">
        <f t="shared" si="108"/>
        <v xml:space="preserve"> BODYBEACH       </v>
      </c>
      <c r="H2346" s="20" t="str">
        <f t="shared" si="109"/>
        <v>ROSMO</v>
      </c>
      <c r="I2346" s="20">
        <f t="shared" si="110"/>
        <v>0</v>
      </c>
    </row>
    <row r="2347" spans="1:9">
      <c r="A2347" s="17" t="s">
        <v>1229</v>
      </c>
      <c r="B2347" s="17" t="s">
        <v>1239</v>
      </c>
      <c r="C2347" s="17">
        <v>0</v>
      </c>
      <c r="D2347" s="17" t="s">
        <v>801</v>
      </c>
      <c r="E2347" s="18">
        <v>3003300028009</v>
      </c>
      <c r="G2347" s="20" t="str">
        <f t="shared" si="108"/>
        <v xml:space="preserve"> BODYBEACH       </v>
      </c>
      <c r="H2347" s="20" t="str">
        <f t="shared" si="109"/>
        <v xml:space="preserve">SAND </v>
      </c>
      <c r="I2347" s="20">
        <f t="shared" si="110"/>
        <v>0</v>
      </c>
    </row>
    <row r="2348" spans="1:9">
      <c r="A2348" s="17" t="s">
        <v>1229</v>
      </c>
      <c r="B2348" s="17" t="s">
        <v>1240</v>
      </c>
      <c r="C2348" s="17">
        <v>0</v>
      </c>
      <c r="D2348" s="17" t="s">
        <v>801</v>
      </c>
      <c r="E2348" s="18">
        <v>3020380111001</v>
      </c>
      <c r="G2348" s="20" t="str">
        <f t="shared" si="108"/>
        <v xml:space="preserve"> BODYBEACH       </v>
      </c>
      <c r="H2348" s="20" t="str">
        <f t="shared" si="109"/>
        <v xml:space="preserve">SAU  </v>
      </c>
      <c r="I2348" s="20">
        <f t="shared" si="110"/>
        <v>0</v>
      </c>
    </row>
    <row r="2349" spans="1:9">
      <c r="A2349" s="17" t="s">
        <v>1229</v>
      </c>
      <c r="B2349" s="17" t="s">
        <v>1241</v>
      </c>
      <c r="C2349" s="17">
        <v>0</v>
      </c>
      <c r="D2349" s="17" t="s">
        <v>801</v>
      </c>
      <c r="E2349" s="18">
        <v>3020380616001</v>
      </c>
      <c r="G2349" s="20" t="str">
        <f t="shared" si="108"/>
        <v xml:space="preserve"> BODYBEACH       </v>
      </c>
      <c r="H2349" s="20" t="str">
        <f t="shared" si="109"/>
        <v>SBLUE</v>
      </c>
      <c r="I2349" s="20">
        <f t="shared" si="110"/>
        <v>0</v>
      </c>
    </row>
    <row r="2350" spans="1:9">
      <c r="A2350" s="17" t="s">
        <v>1229</v>
      </c>
      <c r="B2350" s="17" t="s">
        <v>872</v>
      </c>
      <c r="C2350" s="17">
        <v>0</v>
      </c>
      <c r="D2350" s="17" t="s">
        <v>801</v>
      </c>
      <c r="E2350" s="18">
        <v>3020380618005</v>
      </c>
      <c r="G2350" s="20" t="str">
        <f t="shared" si="108"/>
        <v xml:space="preserve"> BODYBEACH       </v>
      </c>
      <c r="H2350" s="20" t="str">
        <f t="shared" si="109"/>
        <v xml:space="preserve">SKB  </v>
      </c>
      <c r="I2350" s="20">
        <f t="shared" si="110"/>
        <v>0</v>
      </c>
    </row>
    <row r="2351" spans="1:9">
      <c r="A2351" s="17" t="s">
        <v>1229</v>
      </c>
      <c r="B2351" s="17" t="s">
        <v>1013</v>
      </c>
      <c r="C2351" s="17">
        <v>0</v>
      </c>
      <c r="D2351" s="17" t="s">
        <v>801</v>
      </c>
      <c r="E2351" s="18">
        <v>3003300026005</v>
      </c>
      <c r="G2351" s="20" t="str">
        <f t="shared" si="108"/>
        <v xml:space="preserve"> BODYBEACH       </v>
      </c>
      <c r="H2351" s="20" t="str">
        <f t="shared" si="109"/>
        <v xml:space="preserve">TURQ </v>
      </c>
      <c r="I2351" s="20">
        <f t="shared" si="110"/>
        <v>0</v>
      </c>
    </row>
    <row r="2352" spans="1:9">
      <c r="A2352" s="17" t="s">
        <v>1229</v>
      </c>
      <c r="B2352" s="17" t="s">
        <v>927</v>
      </c>
      <c r="C2352" s="17">
        <v>0</v>
      </c>
      <c r="D2352" s="17" t="s">
        <v>801</v>
      </c>
      <c r="E2352" s="18">
        <v>3020380161006</v>
      </c>
      <c r="G2352" s="20" t="str">
        <f t="shared" si="108"/>
        <v xml:space="preserve"> BODYBEACH       </v>
      </c>
      <c r="H2352" s="20" t="str">
        <f t="shared" si="109"/>
        <v xml:space="preserve">VOLC </v>
      </c>
      <c r="I2352" s="20">
        <f t="shared" si="110"/>
        <v>0</v>
      </c>
    </row>
    <row r="2353" spans="1:9">
      <c r="A2353" s="17" t="s">
        <v>1229</v>
      </c>
      <c r="B2353" s="17" t="s">
        <v>928</v>
      </c>
      <c r="C2353" s="17">
        <v>0</v>
      </c>
      <c r="D2353" s="17" t="s">
        <v>801</v>
      </c>
      <c r="E2353" s="18">
        <v>3003300025008</v>
      </c>
      <c r="G2353" s="20" t="str">
        <f t="shared" si="108"/>
        <v xml:space="preserve"> BODYBEACH       </v>
      </c>
      <c r="H2353" s="20" t="str">
        <f t="shared" si="109"/>
        <v>WBLUE</v>
      </c>
      <c r="I2353" s="20">
        <f t="shared" si="110"/>
        <v>0</v>
      </c>
    </row>
    <row r="2354" spans="1:9">
      <c r="A2354" s="17" t="s">
        <v>1229</v>
      </c>
      <c r="B2354" s="17" t="s">
        <v>273</v>
      </c>
      <c r="C2354" s="17">
        <v>0</v>
      </c>
      <c r="D2354" s="17" t="s">
        <v>801</v>
      </c>
      <c r="E2354" s="18">
        <v>3003300004003</v>
      </c>
      <c r="G2354" s="20" t="str">
        <f t="shared" si="108"/>
        <v xml:space="preserve"> BODYBEACH       </v>
      </c>
      <c r="H2354" s="20" t="str">
        <f t="shared" si="109"/>
        <v>WHITE</v>
      </c>
      <c r="I2354" s="20">
        <f t="shared" si="110"/>
        <v>0</v>
      </c>
    </row>
    <row r="2355" spans="1:9">
      <c r="A2355" s="17" t="s">
        <v>1229</v>
      </c>
      <c r="B2355" s="17" t="s">
        <v>825</v>
      </c>
      <c r="C2355" s="17">
        <v>0</v>
      </c>
      <c r="D2355" s="17" t="s">
        <v>801</v>
      </c>
      <c r="E2355" s="18">
        <v>3003300011001</v>
      </c>
      <c r="G2355" s="20" t="str">
        <f t="shared" si="108"/>
        <v xml:space="preserve"> BODYBEACH       </v>
      </c>
      <c r="H2355" s="20" t="str">
        <f t="shared" si="109"/>
        <v xml:space="preserve">YELL </v>
      </c>
      <c r="I2355" s="20">
        <f t="shared" si="110"/>
        <v>0</v>
      </c>
    </row>
    <row r="2356" spans="1:9">
      <c r="A2356" s="17" t="s">
        <v>1242</v>
      </c>
      <c r="B2356" s="17" t="s">
        <v>875</v>
      </c>
      <c r="C2356" s="17">
        <v>0</v>
      </c>
      <c r="D2356" s="17" t="s">
        <v>801</v>
      </c>
      <c r="E2356" s="18">
        <v>3020390112005</v>
      </c>
      <c r="G2356" s="20" t="str">
        <f t="shared" si="108"/>
        <v xml:space="preserve"> BODYHOLE        </v>
      </c>
      <c r="H2356" s="20" t="str">
        <f t="shared" si="109"/>
        <v xml:space="preserve">ABRI </v>
      </c>
      <c r="I2356" s="20">
        <f t="shared" si="110"/>
        <v>0</v>
      </c>
    </row>
    <row r="2357" spans="1:9">
      <c r="A2357" s="17" t="s">
        <v>1242</v>
      </c>
      <c r="B2357" s="17" t="s">
        <v>298</v>
      </c>
      <c r="C2357" s="17">
        <v>0</v>
      </c>
      <c r="D2357" s="17" t="s">
        <v>801</v>
      </c>
      <c r="E2357" s="18">
        <v>3003520023006</v>
      </c>
      <c r="G2357" s="20" t="str">
        <f t="shared" si="108"/>
        <v xml:space="preserve"> BODYHOLE        </v>
      </c>
      <c r="H2357" s="20" t="str">
        <f t="shared" si="109"/>
        <v>APPLE</v>
      </c>
      <c r="I2357" s="20">
        <f t="shared" si="110"/>
        <v>0</v>
      </c>
    </row>
    <row r="2358" spans="1:9">
      <c r="A2358" s="17" t="s">
        <v>1242</v>
      </c>
      <c r="B2358" s="17" t="s">
        <v>280</v>
      </c>
      <c r="C2358" s="17">
        <v>0</v>
      </c>
      <c r="D2358" s="17" t="s">
        <v>801</v>
      </c>
      <c r="E2358" s="18">
        <v>3020390009008</v>
      </c>
      <c r="G2358" s="20" t="str">
        <f t="shared" si="108"/>
        <v xml:space="preserve"> BODYHOLE        </v>
      </c>
      <c r="H2358" s="20" t="str">
        <f t="shared" si="109"/>
        <v>BLACK</v>
      </c>
      <c r="I2358" s="20">
        <f t="shared" si="110"/>
        <v>0</v>
      </c>
    </row>
    <row r="2359" spans="1:9">
      <c r="A2359" s="17" t="s">
        <v>1242</v>
      </c>
      <c r="B2359" s="17" t="s">
        <v>869</v>
      </c>
      <c r="C2359" s="17">
        <v>0</v>
      </c>
      <c r="D2359" s="17" t="s">
        <v>801</v>
      </c>
      <c r="E2359" s="18">
        <v>3003520005002</v>
      </c>
      <c r="G2359" s="20" t="str">
        <f t="shared" si="108"/>
        <v xml:space="preserve"> BODYHOLE        </v>
      </c>
      <c r="H2359" s="20" t="str">
        <f t="shared" si="109"/>
        <v>BROWN</v>
      </c>
      <c r="I2359" s="20">
        <f t="shared" si="110"/>
        <v>0</v>
      </c>
    </row>
    <row r="2360" spans="1:9">
      <c r="A2360" s="17" t="s">
        <v>1242</v>
      </c>
      <c r="B2360" s="17" t="s">
        <v>893</v>
      </c>
      <c r="C2360" s="17">
        <v>0</v>
      </c>
      <c r="D2360" s="17" t="s">
        <v>801</v>
      </c>
      <c r="E2360" s="18">
        <v>3020390589005</v>
      </c>
      <c r="G2360" s="20" t="str">
        <f t="shared" si="108"/>
        <v xml:space="preserve"> BODYHOLE        </v>
      </c>
      <c r="H2360" s="20" t="str">
        <f t="shared" si="109"/>
        <v xml:space="preserve">MAG  </v>
      </c>
      <c r="I2360" s="20">
        <f t="shared" si="110"/>
        <v>0</v>
      </c>
    </row>
    <row r="2361" spans="1:9">
      <c r="A2361" s="17" t="s">
        <v>1242</v>
      </c>
      <c r="B2361" s="17" t="s">
        <v>1233</v>
      </c>
      <c r="C2361" s="17">
        <v>0</v>
      </c>
      <c r="D2361" s="17" t="s">
        <v>801</v>
      </c>
      <c r="E2361" s="18">
        <v>3003520024003</v>
      </c>
      <c r="G2361" s="20" t="str">
        <f t="shared" si="108"/>
        <v xml:space="preserve"> BODYHOLE        </v>
      </c>
      <c r="H2361" s="20" t="str">
        <f t="shared" si="109"/>
        <v>OCEAN</v>
      </c>
      <c r="I2361" s="20">
        <f t="shared" si="110"/>
        <v>0</v>
      </c>
    </row>
    <row r="2362" spans="1:9">
      <c r="A2362" s="17" t="s">
        <v>1242</v>
      </c>
      <c r="B2362" s="17" t="s">
        <v>964</v>
      </c>
      <c r="C2362" s="17">
        <v>0</v>
      </c>
      <c r="D2362" s="17" t="s">
        <v>801</v>
      </c>
      <c r="E2362" s="18">
        <v>3020390603008</v>
      </c>
      <c r="G2362" s="20" t="str">
        <f t="shared" si="108"/>
        <v xml:space="preserve"> BODYHOLE        </v>
      </c>
      <c r="H2362" s="20" t="str">
        <f t="shared" si="109"/>
        <v>ORANG</v>
      </c>
      <c r="I2362" s="20">
        <f t="shared" si="110"/>
        <v>0</v>
      </c>
    </row>
    <row r="2363" spans="1:9">
      <c r="A2363" s="17" t="s">
        <v>1242</v>
      </c>
      <c r="B2363" s="17" t="s">
        <v>1236</v>
      </c>
      <c r="C2363" s="17">
        <v>0</v>
      </c>
      <c r="D2363" s="17" t="s">
        <v>801</v>
      </c>
      <c r="E2363" s="18">
        <v>3020390609000</v>
      </c>
      <c r="G2363" s="20" t="str">
        <f t="shared" si="108"/>
        <v xml:space="preserve"> BODYHOLE        </v>
      </c>
      <c r="H2363" s="20" t="str">
        <f t="shared" si="109"/>
        <v xml:space="preserve">POW  </v>
      </c>
      <c r="I2363" s="20">
        <f t="shared" si="110"/>
        <v>0</v>
      </c>
    </row>
    <row r="2364" spans="1:9">
      <c r="A2364" s="17" t="s">
        <v>1242</v>
      </c>
      <c r="B2364" s="17" t="s">
        <v>914</v>
      </c>
      <c r="C2364" s="17">
        <v>0</v>
      </c>
      <c r="D2364" s="17" t="s">
        <v>801</v>
      </c>
      <c r="E2364" s="18">
        <v>3003520018002</v>
      </c>
      <c r="G2364" s="20" t="str">
        <f t="shared" si="108"/>
        <v xml:space="preserve"> BODYHOLE        </v>
      </c>
      <c r="H2364" s="20" t="str">
        <f t="shared" si="109"/>
        <v xml:space="preserve">PURP </v>
      </c>
      <c r="I2364" s="20">
        <f t="shared" si="110"/>
        <v>0</v>
      </c>
    </row>
    <row r="2365" spans="1:9">
      <c r="A2365" s="17" t="s">
        <v>1242</v>
      </c>
      <c r="B2365" s="17" t="s">
        <v>816</v>
      </c>
      <c r="C2365" s="17">
        <v>0</v>
      </c>
      <c r="D2365" s="17" t="s">
        <v>801</v>
      </c>
      <c r="E2365" s="18">
        <v>3003520010006</v>
      </c>
      <c r="G2365" s="20" t="str">
        <f t="shared" si="108"/>
        <v xml:space="preserve"> BODYHOLE        </v>
      </c>
      <c r="H2365" s="20" t="str">
        <f t="shared" si="109"/>
        <v xml:space="preserve">RED  </v>
      </c>
      <c r="I2365" s="20">
        <f t="shared" si="110"/>
        <v>0</v>
      </c>
    </row>
    <row r="2366" spans="1:9">
      <c r="A2366" s="17" t="s">
        <v>1242</v>
      </c>
      <c r="B2366" s="17" t="s">
        <v>1237</v>
      </c>
      <c r="C2366" s="17">
        <v>0</v>
      </c>
      <c r="D2366" s="17" t="s">
        <v>801</v>
      </c>
      <c r="E2366" s="18">
        <v>3003520027004</v>
      </c>
      <c r="G2366" s="20" t="str">
        <f t="shared" si="108"/>
        <v xml:space="preserve"> BODYHOLE        </v>
      </c>
      <c r="H2366" s="20" t="str">
        <f t="shared" si="109"/>
        <v xml:space="preserve">ROCK </v>
      </c>
      <c r="I2366" s="20">
        <f t="shared" si="110"/>
        <v>0</v>
      </c>
    </row>
    <row r="2367" spans="1:9">
      <c r="A2367" s="17" t="s">
        <v>1242</v>
      </c>
      <c r="B2367" s="17" t="s">
        <v>1239</v>
      </c>
      <c r="C2367" s="17">
        <v>0</v>
      </c>
      <c r="D2367" s="17" t="s">
        <v>801</v>
      </c>
      <c r="E2367" s="18">
        <v>3020390337002</v>
      </c>
      <c r="G2367" s="20" t="str">
        <f t="shared" si="108"/>
        <v xml:space="preserve"> BODYHOLE        </v>
      </c>
      <c r="H2367" s="20" t="str">
        <f t="shared" si="109"/>
        <v xml:space="preserve">SAND </v>
      </c>
      <c r="I2367" s="20">
        <f t="shared" si="110"/>
        <v>0</v>
      </c>
    </row>
    <row r="2368" spans="1:9">
      <c r="A2368" s="17" t="s">
        <v>1242</v>
      </c>
      <c r="B2368" s="17" t="s">
        <v>872</v>
      </c>
      <c r="C2368" s="17">
        <v>0</v>
      </c>
      <c r="D2368" s="17" t="s">
        <v>801</v>
      </c>
      <c r="E2368" s="18">
        <v>3003520029008</v>
      </c>
      <c r="G2368" s="20" t="str">
        <f t="shared" si="108"/>
        <v xml:space="preserve"> BODYHOLE        </v>
      </c>
      <c r="H2368" s="20" t="str">
        <f t="shared" si="109"/>
        <v xml:space="preserve">SKB  </v>
      </c>
      <c r="I2368" s="20">
        <f t="shared" si="110"/>
        <v>0</v>
      </c>
    </row>
    <row r="2369" spans="1:9">
      <c r="A2369" s="17" t="s">
        <v>1242</v>
      </c>
      <c r="B2369" s="17" t="s">
        <v>1013</v>
      </c>
      <c r="C2369" s="17">
        <v>0</v>
      </c>
      <c r="D2369" s="17" t="s">
        <v>801</v>
      </c>
      <c r="E2369" s="18">
        <v>3020390625000</v>
      </c>
      <c r="G2369" s="20" t="str">
        <f t="shared" si="108"/>
        <v xml:space="preserve"> BODYHOLE        </v>
      </c>
      <c r="H2369" s="20" t="str">
        <f t="shared" si="109"/>
        <v xml:space="preserve">TURQ </v>
      </c>
      <c r="I2369" s="20">
        <f t="shared" si="110"/>
        <v>0</v>
      </c>
    </row>
    <row r="2370" spans="1:9">
      <c r="A2370" s="17" t="s">
        <v>1242</v>
      </c>
      <c r="B2370" s="17" t="s">
        <v>928</v>
      </c>
      <c r="C2370" s="17">
        <v>0</v>
      </c>
      <c r="D2370" s="17" t="s">
        <v>801</v>
      </c>
      <c r="E2370" s="18">
        <v>3003520025000</v>
      </c>
      <c r="G2370" s="20" t="str">
        <f t="shared" si="108"/>
        <v xml:space="preserve"> BODYHOLE        </v>
      </c>
      <c r="H2370" s="20" t="str">
        <f t="shared" si="109"/>
        <v>WBLUE</v>
      </c>
      <c r="I2370" s="20">
        <f t="shared" si="110"/>
        <v>0</v>
      </c>
    </row>
    <row r="2371" spans="1:9">
      <c r="A2371" s="17" t="s">
        <v>1242</v>
      </c>
      <c r="B2371" s="17" t="s">
        <v>273</v>
      </c>
      <c r="C2371" s="17">
        <v>0</v>
      </c>
      <c r="D2371" s="17" t="s">
        <v>801</v>
      </c>
      <c r="E2371" s="18">
        <v>3020390010004</v>
      </c>
      <c r="G2371" s="20" t="str">
        <f t="shared" si="108"/>
        <v xml:space="preserve"> BODYHOLE        </v>
      </c>
      <c r="H2371" s="20" t="str">
        <f t="shared" si="109"/>
        <v>WHITE</v>
      </c>
      <c r="I2371" s="20">
        <f t="shared" si="110"/>
        <v>0</v>
      </c>
    </row>
    <row r="2372" spans="1:9">
      <c r="A2372" s="17" t="s">
        <v>1242</v>
      </c>
      <c r="B2372" s="17" t="s">
        <v>825</v>
      </c>
      <c r="C2372" s="17">
        <v>0</v>
      </c>
      <c r="D2372" s="17" t="s">
        <v>801</v>
      </c>
      <c r="E2372" s="18">
        <v>3003520011003</v>
      </c>
      <c r="G2372" s="20" t="str">
        <f t="shared" si="108"/>
        <v xml:space="preserve"> BODYHOLE        </v>
      </c>
      <c r="H2372" s="20" t="str">
        <f t="shared" si="109"/>
        <v xml:space="preserve">YELL </v>
      </c>
      <c r="I2372" s="20">
        <f t="shared" si="110"/>
        <v>0</v>
      </c>
    </row>
    <row r="2373" spans="1:9">
      <c r="A2373" s="17" t="s">
        <v>1243</v>
      </c>
      <c r="B2373" s="17" t="s">
        <v>1244</v>
      </c>
      <c r="C2373" s="17">
        <v>0</v>
      </c>
      <c r="D2373" s="17" t="s">
        <v>801</v>
      </c>
      <c r="E2373" s="18">
        <v>3004700264004</v>
      </c>
      <c r="G2373" s="20" t="str">
        <f t="shared" ref="G2373:G2436" si="111">A2373</f>
        <v xml:space="preserve"> BORBASFOU       </v>
      </c>
      <c r="H2373" s="20" t="str">
        <f t="shared" ref="H2373:H2436" si="112">B2373</f>
        <v xml:space="preserve">LABE </v>
      </c>
      <c r="I2373" s="20">
        <f t="shared" ref="I2373:I2436" si="113">C2373</f>
        <v>0</v>
      </c>
    </row>
    <row r="2374" spans="1:9">
      <c r="A2374" s="17" t="s">
        <v>1243</v>
      </c>
      <c r="B2374" s="17" t="s">
        <v>1245</v>
      </c>
      <c r="C2374" s="17">
        <v>0</v>
      </c>
      <c r="D2374" s="17" t="s">
        <v>801</v>
      </c>
      <c r="E2374" s="18">
        <v>3004700265001</v>
      </c>
      <c r="G2374" s="20" t="str">
        <f t="shared" si="111"/>
        <v xml:space="preserve"> BORBASFOU       </v>
      </c>
      <c r="H2374" s="20" t="str">
        <f t="shared" si="112"/>
        <v>LANOI</v>
      </c>
      <c r="I2374" s="20">
        <f t="shared" si="113"/>
        <v>0</v>
      </c>
    </row>
    <row r="2375" spans="1:9">
      <c r="A2375" s="17" t="s">
        <v>1246</v>
      </c>
      <c r="B2375" s="17" t="s">
        <v>858</v>
      </c>
      <c r="C2375" s="17">
        <v>0</v>
      </c>
      <c r="D2375" s="17" t="s">
        <v>801</v>
      </c>
      <c r="E2375" s="18">
        <v>3004950341005</v>
      </c>
      <c r="G2375" s="20" t="str">
        <f t="shared" si="111"/>
        <v xml:space="preserve"> BORCHIECOFOU    </v>
      </c>
      <c r="H2375" s="20" t="str">
        <f t="shared" si="112"/>
        <v xml:space="preserve">GREY </v>
      </c>
      <c r="I2375" s="20">
        <f t="shared" si="113"/>
        <v>0</v>
      </c>
    </row>
    <row r="2376" spans="1:9">
      <c r="A2376" s="17" t="s">
        <v>1246</v>
      </c>
      <c r="B2376" s="17" t="s">
        <v>858</v>
      </c>
      <c r="C2376" s="17">
        <v>0</v>
      </c>
      <c r="D2376" s="17" t="s">
        <v>801</v>
      </c>
      <c r="E2376" s="18">
        <v>3004290341000</v>
      </c>
      <c r="G2376" s="20" t="str">
        <f t="shared" si="111"/>
        <v xml:space="preserve"> BORCHIECOFOU    </v>
      </c>
      <c r="H2376" s="20" t="str">
        <f t="shared" si="112"/>
        <v xml:space="preserve">GREY </v>
      </c>
      <c r="I2376" s="20">
        <f t="shared" si="113"/>
        <v>0</v>
      </c>
    </row>
    <row r="2377" spans="1:9">
      <c r="A2377" s="17" t="s">
        <v>1246</v>
      </c>
      <c r="B2377" s="17" t="s">
        <v>858</v>
      </c>
      <c r="C2377" s="17">
        <v>0</v>
      </c>
      <c r="D2377" s="17" t="s">
        <v>801</v>
      </c>
      <c r="E2377" s="18">
        <v>8058983598122</v>
      </c>
      <c r="G2377" s="20" t="str">
        <f t="shared" si="111"/>
        <v xml:space="preserve"> BORCHIECOFOU    </v>
      </c>
      <c r="H2377" s="20" t="str">
        <f t="shared" si="112"/>
        <v xml:space="preserve">GREY </v>
      </c>
      <c r="I2377" s="20">
        <f t="shared" si="113"/>
        <v>0</v>
      </c>
    </row>
    <row r="2378" spans="1:9">
      <c r="A2378" s="17" t="s">
        <v>1246</v>
      </c>
      <c r="B2378" s="17" t="s">
        <v>858</v>
      </c>
      <c r="C2378" s="17">
        <v>0</v>
      </c>
      <c r="D2378" s="17" t="s">
        <v>801</v>
      </c>
      <c r="E2378" s="18">
        <v>8058983598214</v>
      </c>
      <c r="G2378" s="20" t="str">
        <f t="shared" si="111"/>
        <v xml:space="preserve"> BORCHIECOFOU    </v>
      </c>
      <c r="H2378" s="20" t="str">
        <f t="shared" si="112"/>
        <v xml:space="preserve">GREY </v>
      </c>
      <c r="I2378" s="20">
        <f t="shared" si="113"/>
        <v>0</v>
      </c>
    </row>
    <row r="2379" spans="1:9">
      <c r="A2379" s="17" t="s">
        <v>1246</v>
      </c>
      <c r="B2379" s="17" t="s">
        <v>1247</v>
      </c>
      <c r="C2379" s="17">
        <v>0</v>
      </c>
      <c r="D2379" s="17" t="s">
        <v>801</v>
      </c>
      <c r="E2379" s="18">
        <v>3004400679009</v>
      </c>
      <c r="G2379" s="20" t="str">
        <f t="shared" si="111"/>
        <v xml:space="preserve"> BORCHIECOFOU    </v>
      </c>
      <c r="H2379" s="20" t="str">
        <f t="shared" si="112"/>
        <v>IVOAB</v>
      </c>
      <c r="I2379" s="20">
        <f t="shared" si="113"/>
        <v>0</v>
      </c>
    </row>
    <row r="2380" spans="1:9">
      <c r="A2380" s="17" t="s">
        <v>1246</v>
      </c>
      <c r="B2380" s="17" t="s">
        <v>1248</v>
      </c>
      <c r="C2380" s="17">
        <v>0</v>
      </c>
      <c r="D2380" s="17" t="s">
        <v>801</v>
      </c>
      <c r="E2380" s="18">
        <v>3004950559004</v>
      </c>
      <c r="G2380" s="20" t="str">
        <f t="shared" si="111"/>
        <v xml:space="preserve"> BORCHIECOFOU    </v>
      </c>
      <c r="H2380" s="20" t="str">
        <f t="shared" si="112"/>
        <v>LANIB</v>
      </c>
      <c r="I2380" s="20">
        <f t="shared" si="113"/>
        <v>0</v>
      </c>
    </row>
    <row r="2381" spans="1:9">
      <c r="A2381" s="17" t="s">
        <v>1246</v>
      </c>
      <c r="B2381" s="17" t="s">
        <v>1248</v>
      </c>
      <c r="C2381" s="17">
        <v>0</v>
      </c>
      <c r="D2381" s="17" t="s">
        <v>801</v>
      </c>
      <c r="E2381" s="18">
        <v>8058983598139</v>
      </c>
      <c r="G2381" s="20" t="str">
        <f t="shared" si="111"/>
        <v xml:space="preserve"> BORCHIECOFOU    </v>
      </c>
      <c r="H2381" s="20" t="str">
        <f t="shared" si="112"/>
        <v>LANIB</v>
      </c>
      <c r="I2381" s="20">
        <f t="shared" si="113"/>
        <v>0</v>
      </c>
    </row>
    <row r="2382" spans="1:9">
      <c r="A2382" s="17" t="s">
        <v>1246</v>
      </c>
      <c r="B2382" s="17" t="s">
        <v>1249</v>
      </c>
      <c r="C2382" s="17">
        <v>0</v>
      </c>
      <c r="D2382" s="17" t="s">
        <v>801</v>
      </c>
      <c r="E2382" s="18">
        <v>3004950560000</v>
      </c>
      <c r="G2382" s="20" t="str">
        <f t="shared" si="111"/>
        <v xml:space="preserve"> BORCHIECOFOU    </v>
      </c>
      <c r="H2382" s="20" t="str">
        <f t="shared" si="112"/>
        <v>LANIG</v>
      </c>
      <c r="I2382" s="20">
        <f t="shared" si="113"/>
        <v>0</v>
      </c>
    </row>
    <row r="2383" spans="1:9">
      <c r="A2383" s="17" t="s">
        <v>1246</v>
      </c>
      <c r="B2383" s="17" t="s">
        <v>1249</v>
      </c>
      <c r="C2383" s="17">
        <v>0</v>
      </c>
      <c r="D2383" s="17" t="s">
        <v>801</v>
      </c>
      <c r="E2383" s="18">
        <v>8058983598146</v>
      </c>
      <c r="G2383" s="20" t="str">
        <f t="shared" si="111"/>
        <v xml:space="preserve"> BORCHIECOFOU    </v>
      </c>
      <c r="H2383" s="20" t="str">
        <f t="shared" si="112"/>
        <v>LANIG</v>
      </c>
      <c r="I2383" s="20">
        <f t="shared" si="113"/>
        <v>0</v>
      </c>
    </row>
    <row r="2384" spans="1:9">
      <c r="A2384" s="17" t="s">
        <v>1246</v>
      </c>
      <c r="B2384" s="17" t="s">
        <v>1250</v>
      </c>
      <c r="C2384" s="17">
        <v>0</v>
      </c>
      <c r="D2384" s="17" t="s">
        <v>801</v>
      </c>
      <c r="E2384" s="18">
        <v>8056300455295</v>
      </c>
      <c r="G2384" s="20" t="str">
        <f t="shared" si="111"/>
        <v xml:space="preserve"> BORCHIECOFOU    </v>
      </c>
      <c r="H2384" s="20" t="str">
        <f t="shared" si="112"/>
        <v>LAPAU</v>
      </c>
      <c r="I2384" s="20">
        <f t="shared" si="113"/>
        <v>0</v>
      </c>
    </row>
    <row r="2385" spans="1:9">
      <c r="A2385" s="17" t="s">
        <v>1246</v>
      </c>
      <c r="B2385" s="17" t="s">
        <v>1250</v>
      </c>
      <c r="C2385" s="17">
        <v>0</v>
      </c>
      <c r="D2385" s="17" t="s">
        <v>801</v>
      </c>
      <c r="E2385" s="18">
        <v>3004290989004</v>
      </c>
      <c r="G2385" s="20" t="str">
        <f t="shared" si="111"/>
        <v xml:space="preserve"> BORCHIECOFOU    </v>
      </c>
      <c r="H2385" s="20" t="str">
        <f t="shared" si="112"/>
        <v>LAPAU</v>
      </c>
      <c r="I2385" s="20">
        <f t="shared" si="113"/>
        <v>0</v>
      </c>
    </row>
    <row r="2386" spans="1:9">
      <c r="A2386" s="17" t="s">
        <v>1246</v>
      </c>
      <c r="B2386" s="17" t="s">
        <v>1251</v>
      </c>
      <c r="C2386" s="17">
        <v>0</v>
      </c>
      <c r="D2386" s="17" t="s">
        <v>801</v>
      </c>
      <c r="E2386" s="18">
        <v>3004950387003</v>
      </c>
      <c r="G2386" s="20" t="str">
        <f t="shared" si="111"/>
        <v xml:space="preserve"> BORCHIECOFOU    </v>
      </c>
      <c r="H2386" s="20" t="str">
        <f t="shared" si="112"/>
        <v>LAPBL</v>
      </c>
      <c r="I2386" s="20">
        <f t="shared" si="113"/>
        <v>0</v>
      </c>
    </row>
    <row r="2387" spans="1:9">
      <c r="A2387" s="17" t="s">
        <v>1246</v>
      </c>
      <c r="B2387" s="17" t="s">
        <v>1251</v>
      </c>
      <c r="C2387" s="17">
        <v>0</v>
      </c>
      <c r="D2387" s="17" t="s">
        <v>801</v>
      </c>
      <c r="E2387" s="18">
        <v>8058983598238</v>
      </c>
      <c r="G2387" s="20" t="str">
        <f t="shared" si="111"/>
        <v xml:space="preserve"> BORCHIECOFOU    </v>
      </c>
      <c r="H2387" s="20" t="str">
        <f t="shared" si="112"/>
        <v>LAPBL</v>
      </c>
      <c r="I2387" s="20">
        <f t="shared" si="113"/>
        <v>0</v>
      </c>
    </row>
    <row r="2388" spans="1:9">
      <c r="A2388" s="17" t="s">
        <v>1246</v>
      </c>
      <c r="B2388" s="17" t="s">
        <v>1252</v>
      </c>
      <c r="C2388" s="17">
        <v>0</v>
      </c>
      <c r="D2388" s="17" t="s">
        <v>801</v>
      </c>
      <c r="E2388" s="18">
        <v>3004950392007</v>
      </c>
      <c r="G2388" s="20" t="str">
        <f t="shared" si="111"/>
        <v xml:space="preserve"> BORCHIECOFOU    </v>
      </c>
      <c r="H2388" s="20" t="str">
        <f t="shared" si="112"/>
        <v>LAPBO</v>
      </c>
      <c r="I2388" s="20">
        <f t="shared" si="113"/>
        <v>0</v>
      </c>
    </row>
    <row r="2389" spans="1:9">
      <c r="A2389" s="17" t="s">
        <v>1246</v>
      </c>
      <c r="B2389" s="17" t="s">
        <v>1252</v>
      </c>
      <c r="C2389" s="17">
        <v>0</v>
      </c>
      <c r="D2389" s="17" t="s">
        <v>801</v>
      </c>
      <c r="E2389" s="18">
        <v>8058983598245</v>
      </c>
      <c r="G2389" s="20" t="str">
        <f t="shared" si="111"/>
        <v xml:space="preserve"> BORCHIECOFOU    </v>
      </c>
      <c r="H2389" s="20" t="str">
        <f t="shared" si="112"/>
        <v>LAPBO</v>
      </c>
      <c r="I2389" s="20">
        <f t="shared" si="113"/>
        <v>0</v>
      </c>
    </row>
    <row r="2390" spans="1:9">
      <c r="A2390" s="17" t="s">
        <v>1246</v>
      </c>
      <c r="B2390" s="17" t="s">
        <v>1253</v>
      </c>
      <c r="C2390" s="17">
        <v>0</v>
      </c>
      <c r="D2390" s="17" t="s">
        <v>801</v>
      </c>
      <c r="E2390" s="18">
        <v>3005060346003</v>
      </c>
      <c r="G2390" s="20" t="str">
        <f t="shared" si="111"/>
        <v xml:space="preserve"> BORCHIECOFOU    </v>
      </c>
      <c r="H2390" s="20" t="str">
        <f t="shared" si="112"/>
        <v>LAPGR</v>
      </c>
      <c r="I2390" s="20">
        <f t="shared" si="113"/>
        <v>0</v>
      </c>
    </row>
    <row r="2391" spans="1:9">
      <c r="A2391" s="17" t="s">
        <v>1246</v>
      </c>
      <c r="B2391" s="17" t="s">
        <v>1254</v>
      </c>
      <c r="C2391" s="17">
        <v>0</v>
      </c>
      <c r="D2391" s="17" t="s">
        <v>801</v>
      </c>
      <c r="E2391" s="18">
        <v>3004950556003</v>
      </c>
      <c r="G2391" s="20" t="str">
        <f t="shared" si="111"/>
        <v xml:space="preserve"> BORCHIECOFOU    </v>
      </c>
      <c r="H2391" s="20" t="str">
        <f t="shared" si="112"/>
        <v>LAPIV</v>
      </c>
      <c r="I2391" s="20">
        <f t="shared" si="113"/>
        <v>0</v>
      </c>
    </row>
    <row r="2392" spans="1:9">
      <c r="A2392" s="17" t="s">
        <v>1246</v>
      </c>
      <c r="B2392" s="17" t="s">
        <v>1254</v>
      </c>
      <c r="C2392" s="17">
        <v>0</v>
      </c>
      <c r="D2392" s="17" t="s">
        <v>801</v>
      </c>
      <c r="E2392" s="18">
        <v>8058983598092</v>
      </c>
      <c r="G2392" s="20" t="str">
        <f t="shared" si="111"/>
        <v xml:space="preserve"> BORCHIECOFOU    </v>
      </c>
      <c r="H2392" s="20" t="str">
        <f t="shared" si="112"/>
        <v>LAPIV</v>
      </c>
      <c r="I2392" s="20">
        <f t="shared" si="113"/>
        <v>0</v>
      </c>
    </row>
    <row r="2393" spans="1:9">
      <c r="A2393" s="17" t="s">
        <v>1246</v>
      </c>
      <c r="B2393" s="17" t="s">
        <v>1255</v>
      </c>
      <c r="C2393" s="17">
        <v>0</v>
      </c>
      <c r="D2393" s="17" t="s">
        <v>801</v>
      </c>
      <c r="E2393" s="18">
        <v>3004950386006</v>
      </c>
      <c r="G2393" s="20" t="str">
        <f t="shared" si="111"/>
        <v xml:space="preserve"> BORCHIECOFOU    </v>
      </c>
      <c r="H2393" s="20" t="str">
        <f t="shared" si="112"/>
        <v>LAPOR</v>
      </c>
      <c r="I2393" s="20">
        <f t="shared" si="113"/>
        <v>0</v>
      </c>
    </row>
    <row r="2394" spans="1:9">
      <c r="A2394" s="17" t="s">
        <v>1246</v>
      </c>
      <c r="B2394" s="17" t="s">
        <v>1256</v>
      </c>
      <c r="C2394" s="17">
        <v>0</v>
      </c>
      <c r="D2394" s="17" t="s">
        <v>801</v>
      </c>
      <c r="E2394" s="18">
        <v>3004950557000</v>
      </c>
      <c r="G2394" s="20" t="str">
        <f t="shared" si="111"/>
        <v xml:space="preserve"> BORCHIECOFOU    </v>
      </c>
      <c r="H2394" s="20" t="str">
        <f t="shared" si="112"/>
        <v>LAPPO</v>
      </c>
      <c r="I2394" s="20">
        <f t="shared" si="113"/>
        <v>0</v>
      </c>
    </row>
    <row r="2395" spans="1:9">
      <c r="A2395" s="17" t="s">
        <v>1246</v>
      </c>
      <c r="B2395" s="17" t="s">
        <v>1256</v>
      </c>
      <c r="C2395" s="17">
        <v>0</v>
      </c>
      <c r="D2395" s="17" t="s">
        <v>801</v>
      </c>
      <c r="E2395" s="18">
        <v>8058983598108</v>
      </c>
      <c r="G2395" s="20" t="str">
        <f t="shared" si="111"/>
        <v xml:space="preserve"> BORCHIECOFOU    </v>
      </c>
      <c r="H2395" s="20" t="str">
        <f t="shared" si="112"/>
        <v>LAPPO</v>
      </c>
      <c r="I2395" s="20">
        <f t="shared" si="113"/>
        <v>0</v>
      </c>
    </row>
    <row r="2396" spans="1:9">
      <c r="A2396" s="17" t="s">
        <v>1246</v>
      </c>
      <c r="B2396" s="17" t="s">
        <v>1257</v>
      </c>
      <c r="C2396" s="17">
        <v>0</v>
      </c>
      <c r="D2396" s="17" t="s">
        <v>801</v>
      </c>
      <c r="E2396" s="18">
        <v>3004950389007</v>
      </c>
      <c r="G2396" s="20" t="str">
        <f t="shared" si="111"/>
        <v xml:space="preserve"> BORCHIECOFOU    </v>
      </c>
      <c r="H2396" s="20" t="str">
        <f t="shared" si="112"/>
        <v>LAPRO</v>
      </c>
      <c r="I2396" s="20">
        <f t="shared" si="113"/>
        <v>0</v>
      </c>
    </row>
    <row r="2397" spans="1:9">
      <c r="A2397" s="17" t="s">
        <v>1246</v>
      </c>
      <c r="B2397" s="17" t="s">
        <v>1258</v>
      </c>
      <c r="C2397" s="17">
        <v>0</v>
      </c>
      <c r="D2397" s="17" t="s">
        <v>801</v>
      </c>
      <c r="E2397" s="18">
        <v>8056300455288</v>
      </c>
      <c r="G2397" s="20" t="str">
        <f t="shared" si="111"/>
        <v xml:space="preserve"> BORCHIECOFOU    </v>
      </c>
      <c r="H2397" s="20" t="str">
        <f t="shared" si="112"/>
        <v>LAPSA</v>
      </c>
      <c r="I2397" s="20">
        <f t="shared" si="113"/>
        <v>0</v>
      </c>
    </row>
    <row r="2398" spans="1:9">
      <c r="A2398" s="17" t="s">
        <v>1246</v>
      </c>
      <c r="B2398" s="17" t="s">
        <v>1258</v>
      </c>
      <c r="C2398" s="17">
        <v>0</v>
      </c>
      <c r="D2398" s="17" t="s">
        <v>801</v>
      </c>
      <c r="E2398" s="18">
        <v>3004290898009</v>
      </c>
      <c r="G2398" s="20" t="str">
        <f t="shared" si="111"/>
        <v xml:space="preserve"> BORCHIECOFOU    </v>
      </c>
      <c r="H2398" s="20" t="str">
        <f t="shared" si="112"/>
        <v>LAPSA</v>
      </c>
      <c r="I2398" s="20">
        <f t="shared" si="113"/>
        <v>0</v>
      </c>
    </row>
    <row r="2399" spans="1:9">
      <c r="A2399" s="17" t="s">
        <v>1246</v>
      </c>
      <c r="B2399" s="17" t="s">
        <v>1259</v>
      </c>
      <c r="C2399" s="17">
        <v>0</v>
      </c>
      <c r="D2399" s="17" t="s">
        <v>801</v>
      </c>
      <c r="E2399" s="18">
        <v>8056300455271</v>
      </c>
      <c r="G2399" s="20" t="str">
        <f t="shared" si="111"/>
        <v xml:space="preserve"> BORCHIECOFOU    </v>
      </c>
      <c r="H2399" s="20" t="str">
        <f t="shared" si="112"/>
        <v>LAPTE</v>
      </c>
      <c r="I2399" s="20">
        <f t="shared" si="113"/>
        <v>0</v>
      </c>
    </row>
    <row r="2400" spans="1:9">
      <c r="A2400" s="17" t="s">
        <v>1246</v>
      </c>
      <c r="B2400" s="17" t="s">
        <v>1259</v>
      </c>
      <c r="C2400" s="17">
        <v>0</v>
      </c>
      <c r="D2400" s="17" t="s">
        <v>801</v>
      </c>
      <c r="E2400" s="18">
        <v>3004291015009</v>
      </c>
      <c r="G2400" s="20" t="str">
        <f t="shared" si="111"/>
        <v xml:space="preserve"> BORCHIECOFOU    </v>
      </c>
      <c r="H2400" s="20" t="str">
        <f t="shared" si="112"/>
        <v>LAPTE</v>
      </c>
      <c r="I2400" s="20">
        <f t="shared" si="113"/>
        <v>0</v>
      </c>
    </row>
    <row r="2401" spans="1:9">
      <c r="A2401" s="17" t="s">
        <v>1246</v>
      </c>
      <c r="B2401" s="17" t="s">
        <v>1260</v>
      </c>
      <c r="C2401" s="17">
        <v>0</v>
      </c>
      <c r="D2401" s="17" t="s">
        <v>801</v>
      </c>
      <c r="E2401" s="18">
        <v>3004950558007</v>
      </c>
      <c r="G2401" s="20" t="str">
        <f t="shared" si="111"/>
        <v xml:space="preserve"> BORCHIECOFOU    </v>
      </c>
      <c r="H2401" s="20" t="str">
        <f t="shared" si="112"/>
        <v>LAPTO</v>
      </c>
      <c r="I2401" s="20">
        <f t="shared" si="113"/>
        <v>0</v>
      </c>
    </row>
    <row r="2402" spans="1:9">
      <c r="A2402" s="17" t="s">
        <v>1246</v>
      </c>
      <c r="B2402" s="17" t="s">
        <v>1260</v>
      </c>
      <c r="C2402" s="17">
        <v>0</v>
      </c>
      <c r="D2402" s="17" t="s">
        <v>801</v>
      </c>
      <c r="E2402" s="18">
        <v>8058983598115</v>
      </c>
      <c r="G2402" s="20" t="str">
        <f t="shared" si="111"/>
        <v xml:space="preserve"> BORCHIECOFOU    </v>
      </c>
      <c r="H2402" s="20" t="str">
        <f t="shared" si="112"/>
        <v>LAPTO</v>
      </c>
      <c r="I2402" s="20">
        <f t="shared" si="113"/>
        <v>0</v>
      </c>
    </row>
    <row r="2403" spans="1:9">
      <c r="A2403" s="17" t="s">
        <v>1246</v>
      </c>
      <c r="B2403" s="17" t="s">
        <v>1261</v>
      </c>
      <c r="C2403" s="17">
        <v>0</v>
      </c>
      <c r="D2403" s="17" t="s">
        <v>801</v>
      </c>
      <c r="E2403" s="18">
        <v>3004400669000</v>
      </c>
      <c r="G2403" s="20" t="str">
        <f t="shared" si="111"/>
        <v xml:space="preserve"> BORCHIECOFOU    </v>
      </c>
      <c r="H2403" s="20" t="str">
        <f t="shared" si="112"/>
        <v>LAPVE</v>
      </c>
      <c r="I2403" s="20">
        <f t="shared" si="113"/>
        <v>0</v>
      </c>
    </row>
    <row r="2404" spans="1:9">
      <c r="A2404" s="17" t="s">
        <v>1246</v>
      </c>
      <c r="B2404" s="17" t="s">
        <v>1261</v>
      </c>
      <c r="C2404" s="17">
        <v>0</v>
      </c>
      <c r="D2404" s="17" t="s">
        <v>801</v>
      </c>
      <c r="E2404" s="18">
        <v>3004950373006</v>
      </c>
      <c r="G2404" s="20" t="str">
        <f t="shared" si="111"/>
        <v xml:space="preserve"> BORCHIECOFOU    </v>
      </c>
      <c r="H2404" s="20" t="str">
        <f t="shared" si="112"/>
        <v>LAPVE</v>
      </c>
      <c r="I2404" s="20">
        <f t="shared" si="113"/>
        <v>0</v>
      </c>
    </row>
    <row r="2405" spans="1:9">
      <c r="A2405" s="17" t="s">
        <v>1246</v>
      </c>
      <c r="B2405" s="17" t="s">
        <v>1262</v>
      </c>
      <c r="C2405" s="17">
        <v>0</v>
      </c>
      <c r="D2405" s="17" t="s">
        <v>801</v>
      </c>
      <c r="E2405" s="18">
        <v>3004950564008</v>
      </c>
      <c r="G2405" s="20" t="str">
        <f t="shared" si="111"/>
        <v xml:space="preserve"> BORCHIECOFOU    </v>
      </c>
      <c r="H2405" s="20" t="str">
        <f t="shared" si="112"/>
        <v>LARAB</v>
      </c>
      <c r="I2405" s="20">
        <f t="shared" si="113"/>
        <v>0</v>
      </c>
    </row>
    <row r="2406" spans="1:9">
      <c r="A2406" s="17" t="s">
        <v>1246</v>
      </c>
      <c r="B2406" s="17" t="s">
        <v>1262</v>
      </c>
      <c r="C2406" s="17">
        <v>0</v>
      </c>
      <c r="D2406" s="17" t="s">
        <v>801</v>
      </c>
      <c r="E2406" s="18">
        <v>8058983598184</v>
      </c>
      <c r="G2406" s="20" t="str">
        <f t="shared" si="111"/>
        <v xml:space="preserve"> BORCHIECOFOU    </v>
      </c>
      <c r="H2406" s="20" t="str">
        <f t="shared" si="112"/>
        <v>LARAB</v>
      </c>
      <c r="I2406" s="20">
        <f t="shared" si="113"/>
        <v>0</v>
      </c>
    </row>
    <row r="2407" spans="1:9">
      <c r="A2407" s="17" t="s">
        <v>1246</v>
      </c>
      <c r="B2407" s="17" t="s">
        <v>1263</v>
      </c>
      <c r="C2407" s="17">
        <v>0</v>
      </c>
      <c r="D2407" s="17" t="s">
        <v>801</v>
      </c>
      <c r="E2407" s="18">
        <v>3004950563001</v>
      </c>
      <c r="G2407" s="20" t="str">
        <f t="shared" si="111"/>
        <v xml:space="preserve"> BORCHIECOFOU    </v>
      </c>
      <c r="H2407" s="20" t="str">
        <f t="shared" si="112"/>
        <v>LARAV</v>
      </c>
      <c r="I2407" s="20">
        <f t="shared" si="113"/>
        <v>0</v>
      </c>
    </row>
    <row r="2408" spans="1:9">
      <c r="A2408" s="17" t="s">
        <v>1246</v>
      </c>
      <c r="B2408" s="17" t="s">
        <v>1263</v>
      </c>
      <c r="C2408" s="17">
        <v>0</v>
      </c>
      <c r="D2408" s="17" t="s">
        <v>801</v>
      </c>
      <c r="E2408" s="18">
        <v>8058983598191</v>
      </c>
      <c r="G2408" s="20" t="str">
        <f t="shared" si="111"/>
        <v xml:space="preserve"> BORCHIECOFOU    </v>
      </c>
      <c r="H2408" s="20" t="str">
        <f t="shared" si="112"/>
        <v>LARAV</v>
      </c>
      <c r="I2408" s="20">
        <f t="shared" si="113"/>
        <v>0</v>
      </c>
    </row>
    <row r="2409" spans="1:9">
      <c r="A2409" s="17" t="s">
        <v>1246</v>
      </c>
      <c r="B2409" s="17" t="s">
        <v>1264</v>
      </c>
      <c r="C2409" s="17">
        <v>0</v>
      </c>
      <c r="D2409" s="17" t="s">
        <v>801</v>
      </c>
      <c r="E2409" s="18">
        <v>8058983598085</v>
      </c>
      <c r="G2409" s="20" t="str">
        <f t="shared" si="111"/>
        <v xml:space="preserve"> BORCHIECOFOU    </v>
      </c>
      <c r="H2409" s="20" t="str">
        <f t="shared" si="112"/>
        <v>LAROS</v>
      </c>
      <c r="I2409" s="20">
        <f t="shared" si="113"/>
        <v>0</v>
      </c>
    </row>
    <row r="2410" spans="1:9">
      <c r="A2410" s="17" t="s">
        <v>1246</v>
      </c>
      <c r="B2410" s="17" t="s">
        <v>1264</v>
      </c>
      <c r="C2410" s="17">
        <v>0</v>
      </c>
      <c r="D2410" s="17" t="s">
        <v>801</v>
      </c>
      <c r="E2410" s="18">
        <v>3004950647008</v>
      </c>
      <c r="G2410" s="20" t="str">
        <f t="shared" si="111"/>
        <v xml:space="preserve"> BORCHIECOFOU    </v>
      </c>
      <c r="H2410" s="20" t="str">
        <f t="shared" si="112"/>
        <v>LAROS</v>
      </c>
      <c r="I2410" s="20">
        <f t="shared" si="113"/>
        <v>0</v>
      </c>
    </row>
    <row r="2411" spans="1:9">
      <c r="A2411" s="17" t="s">
        <v>1246</v>
      </c>
      <c r="B2411" s="17" t="s">
        <v>1265</v>
      </c>
      <c r="C2411" s="17">
        <v>0</v>
      </c>
      <c r="D2411" s="17" t="s">
        <v>801</v>
      </c>
      <c r="E2411" s="18">
        <v>8056300453840</v>
      </c>
      <c r="G2411" s="20" t="str">
        <f t="shared" si="111"/>
        <v xml:space="preserve"> BORCHIECOFOU    </v>
      </c>
      <c r="H2411" s="20" t="str">
        <f t="shared" si="112"/>
        <v>MARIV</v>
      </c>
      <c r="I2411" s="20">
        <f t="shared" si="113"/>
        <v>0</v>
      </c>
    </row>
    <row r="2412" spans="1:9">
      <c r="A2412" s="17" t="s">
        <v>1246</v>
      </c>
      <c r="B2412" s="17" t="s">
        <v>1265</v>
      </c>
      <c r="C2412" s="17">
        <v>0</v>
      </c>
      <c r="D2412" s="17" t="s">
        <v>801</v>
      </c>
      <c r="E2412" s="18">
        <v>3004290990000</v>
      </c>
      <c r="G2412" s="20" t="str">
        <f t="shared" si="111"/>
        <v xml:space="preserve"> BORCHIECOFOU    </v>
      </c>
      <c r="H2412" s="20" t="str">
        <f t="shared" si="112"/>
        <v>MARIV</v>
      </c>
      <c r="I2412" s="20">
        <f t="shared" si="113"/>
        <v>0</v>
      </c>
    </row>
    <row r="2413" spans="1:9">
      <c r="A2413" s="17" t="s">
        <v>1246</v>
      </c>
      <c r="B2413" s="17" t="s">
        <v>1266</v>
      </c>
      <c r="C2413" s="17">
        <v>0</v>
      </c>
      <c r="D2413" s="17" t="s">
        <v>801</v>
      </c>
      <c r="E2413" s="18">
        <v>8056300453857</v>
      </c>
      <c r="G2413" s="20" t="str">
        <f t="shared" si="111"/>
        <v xml:space="preserve"> BORCHIECOFOU    </v>
      </c>
      <c r="H2413" s="20" t="str">
        <f t="shared" si="112"/>
        <v>MARSI</v>
      </c>
      <c r="I2413" s="20">
        <f t="shared" si="113"/>
        <v>0</v>
      </c>
    </row>
    <row r="2414" spans="1:9">
      <c r="A2414" s="17" t="s">
        <v>1246</v>
      </c>
      <c r="B2414" s="17" t="s">
        <v>1266</v>
      </c>
      <c r="C2414" s="17">
        <v>0</v>
      </c>
      <c r="D2414" s="17" t="s">
        <v>801</v>
      </c>
      <c r="E2414" s="18">
        <v>3004290991007</v>
      </c>
      <c r="G2414" s="20" t="str">
        <f t="shared" si="111"/>
        <v xml:space="preserve"> BORCHIECOFOU    </v>
      </c>
      <c r="H2414" s="20" t="str">
        <f t="shared" si="112"/>
        <v>MARSI</v>
      </c>
      <c r="I2414" s="20">
        <f t="shared" si="113"/>
        <v>0</v>
      </c>
    </row>
    <row r="2415" spans="1:9">
      <c r="A2415" s="17" t="s">
        <v>1246</v>
      </c>
      <c r="B2415" s="17" t="s">
        <v>1267</v>
      </c>
      <c r="C2415" s="17">
        <v>0</v>
      </c>
      <c r="D2415" s="17" t="s">
        <v>801</v>
      </c>
      <c r="E2415" s="18">
        <v>3005060375003</v>
      </c>
      <c r="G2415" s="20" t="str">
        <f t="shared" si="111"/>
        <v xml:space="preserve"> BORCHIECOFOU    </v>
      </c>
      <c r="H2415" s="20" t="str">
        <f t="shared" si="112"/>
        <v>REVIO</v>
      </c>
      <c r="I2415" s="20">
        <f t="shared" si="113"/>
        <v>0</v>
      </c>
    </row>
    <row r="2416" spans="1:9">
      <c r="A2416" s="17" t="s">
        <v>1246</v>
      </c>
      <c r="B2416" s="17" t="s">
        <v>1268</v>
      </c>
      <c r="C2416" s="17">
        <v>0</v>
      </c>
      <c r="D2416" s="17" t="s">
        <v>801</v>
      </c>
      <c r="E2416" s="18">
        <v>3004400680005</v>
      </c>
      <c r="G2416" s="20" t="str">
        <f t="shared" si="111"/>
        <v xml:space="preserve"> BORCHIECOFOU    </v>
      </c>
      <c r="H2416" s="20" t="str">
        <f t="shared" si="112"/>
        <v>ROUAZ</v>
      </c>
      <c r="I2416" s="20">
        <f t="shared" si="113"/>
        <v>0</v>
      </c>
    </row>
    <row r="2417" spans="1:9">
      <c r="A2417" s="17" t="s">
        <v>1246</v>
      </c>
      <c r="B2417" s="17" t="s">
        <v>1024</v>
      </c>
      <c r="C2417" s="17">
        <v>0</v>
      </c>
      <c r="D2417" s="17" t="s">
        <v>801</v>
      </c>
      <c r="E2417" s="18">
        <v>3004950566002</v>
      </c>
      <c r="G2417" s="20" t="str">
        <f t="shared" si="111"/>
        <v xml:space="preserve"> BORCHIECOFOU    </v>
      </c>
      <c r="H2417" s="20" t="str">
        <f t="shared" si="112"/>
        <v xml:space="preserve">VIOL </v>
      </c>
      <c r="I2417" s="20">
        <f t="shared" si="113"/>
        <v>0</v>
      </c>
    </row>
    <row r="2418" spans="1:9">
      <c r="A2418" s="17" t="s">
        <v>1246</v>
      </c>
      <c r="B2418" s="17" t="s">
        <v>1024</v>
      </c>
      <c r="C2418" s="17">
        <v>0</v>
      </c>
      <c r="D2418" s="17" t="s">
        <v>801</v>
      </c>
      <c r="E2418" s="18">
        <v>3004290566007</v>
      </c>
      <c r="G2418" s="20" t="str">
        <f t="shared" si="111"/>
        <v xml:space="preserve"> BORCHIECOFOU    </v>
      </c>
      <c r="H2418" s="20" t="str">
        <f t="shared" si="112"/>
        <v xml:space="preserve">VIOL </v>
      </c>
      <c r="I2418" s="20">
        <f t="shared" si="113"/>
        <v>0</v>
      </c>
    </row>
    <row r="2419" spans="1:9">
      <c r="A2419" s="17" t="s">
        <v>1246</v>
      </c>
      <c r="B2419" s="17" t="s">
        <v>1269</v>
      </c>
      <c r="C2419" s="17">
        <v>0</v>
      </c>
      <c r="D2419" s="17" t="s">
        <v>801</v>
      </c>
      <c r="E2419" s="18">
        <v>3004950562004</v>
      </c>
      <c r="G2419" s="20" t="str">
        <f t="shared" si="111"/>
        <v xml:space="preserve"> BORCHIECOFOU    </v>
      </c>
      <c r="H2419" s="20" t="str">
        <f t="shared" si="112"/>
        <v>VISBL</v>
      </c>
      <c r="I2419" s="20">
        <f t="shared" si="113"/>
        <v>0</v>
      </c>
    </row>
    <row r="2420" spans="1:9">
      <c r="A2420" s="17" t="s">
        <v>1246</v>
      </c>
      <c r="B2420" s="17" t="s">
        <v>1269</v>
      </c>
      <c r="C2420" s="17">
        <v>0</v>
      </c>
      <c r="D2420" s="17" t="s">
        <v>801</v>
      </c>
      <c r="E2420" s="18">
        <v>8058983598160</v>
      </c>
      <c r="G2420" s="20" t="str">
        <f t="shared" si="111"/>
        <v xml:space="preserve"> BORCHIECOFOU    </v>
      </c>
      <c r="H2420" s="20" t="str">
        <f t="shared" si="112"/>
        <v>VISBL</v>
      </c>
      <c r="I2420" s="20">
        <f t="shared" si="113"/>
        <v>0</v>
      </c>
    </row>
    <row r="2421" spans="1:9">
      <c r="A2421" s="17" t="s">
        <v>1246</v>
      </c>
      <c r="B2421" s="17" t="s">
        <v>1270</v>
      </c>
      <c r="C2421" s="17">
        <v>0</v>
      </c>
      <c r="D2421" s="17" t="s">
        <v>801</v>
      </c>
      <c r="E2421" s="18">
        <v>3004950561007</v>
      </c>
      <c r="G2421" s="20" t="str">
        <f t="shared" si="111"/>
        <v xml:space="preserve"> BORCHIECOFOU    </v>
      </c>
      <c r="H2421" s="20" t="str">
        <f t="shared" si="112"/>
        <v>VISGR</v>
      </c>
      <c r="I2421" s="20">
        <f t="shared" si="113"/>
        <v>0</v>
      </c>
    </row>
    <row r="2422" spans="1:9">
      <c r="A2422" s="17" t="s">
        <v>1246</v>
      </c>
      <c r="B2422" s="17" t="s">
        <v>1270</v>
      </c>
      <c r="C2422" s="17">
        <v>0</v>
      </c>
      <c r="D2422" s="17" t="s">
        <v>801</v>
      </c>
      <c r="E2422" s="18">
        <v>8058983598153</v>
      </c>
      <c r="G2422" s="20" t="str">
        <f t="shared" si="111"/>
        <v xml:space="preserve"> BORCHIECOFOU    </v>
      </c>
      <c r="H2422" s="20" t="str">
        <f t="shared" si="112"/>
        <v>VISGR</v>
      </c>
      <c r="I2422" s="20">
        <f t="shared" si="113"/>
        <v>0</v>
      </c>
    </row>
    <row r="2423" spans="1:9">
      <c r="A2423" s="17" t="s">
        <v>1246</v>
      </c>
      <c r="B2423" s="17" t="s">
        <v>1271</v>
      </c>
      <c r="C2423" s="17">
        <v>0</v>
      </c>
      <c r="D2423" s="17" t="s">
        <v>801</v>
      </c>
      <c r="E2423" s="18">
        <v>8058983598207</v>
      </c>
      <c r="G2423" s="20" t="str">
        <f t="shared" si="111"/>
        <v xml:space="preserve"> BORCHIECOFOU    </v>
      </c>
      <c r="H2423" s="20" t="str">
        <f t="shared" si="112"/>
        <v>VISMU</v>
      </c>
      <c r="I2423" s="20">
        <f t="shared" si="113"/>
        <v>0</v>
      </c>
    </row>
    <row r="2424" spans="1:9">
      <c r="A2424" s="17" t="s">
        <v>1246</v>
      </c>
      <c r="B2424" s="17" t="s">
        <v>1271</v>
      </c>
      <c r="C2424" s="17">
        <v>0</v>
      </c>
      <c r="D2424" s="17" t="s">
        <v>801</v>
      </c>
      <c r="E2424" s="18">
        <v>3004290992004</v>
      </c>
      <c r="G2424" s="20" t="str">
        <f t="shared" si="111"/>
        <v xml:space="preserve"> BORCHIECOFOU    </v>
      </c>
      <c r="H2424" s="20" t="str">
        <f t="shared" si="112"/>
        <v>VISMU</v>
      </c>
      <c r="I2424" s="20">
        <f t="shared" si="113"/>
        <v>0</v>
      </c>
    </row>
    <row r="2425" spans="1:9">
      <c r="A2425" s="17" t="s">
        <v>1272</v>
      </c>
      <c r="B2425" s="17" t="s">
        <v>1273</v>
      </c>
      <c r="C2425" s="17">
        <v>0</v>
      </c>
      <c r="D2425" s="17" t="s">
        <v>801</v>
      </c>
      <c r="E2425" s="18">
        <v>3004511121008</v>
      </c>
      <c r="G2425" s="20" t="str">
        <f t="shared" si="111"/>
        <v xml:space="preserve"> BORCHIETNICO    </v>
      </c>
      <c r="H2425" s="20" t="str">
        <f t="shared" si="112"/>
        <v>BROBL</v>
      </c>
      <c r="I2425" s="20">
        <f t="shared" si="113"/>
        <v>0</v>
      </c>
    </row>
    <row r="2426" spans="1:9">
      <c r="A2426" s="17" t="s">
        <v>1272</v>
      </c>
      <c r="B2426" s="17" t="s">
        <v>1273</v>
      </c>
      <c r="C2426" s="17">
        <v>0</v>
      </c>
      <c r="D2426" s="17" t="s">
        <v>801</v>
      </c>
      <c r="E2426" s="18">
        <v>8056095066072</v>
      </c>
      <c r="G2426" s="20" t="str">
        <f t="shared" si="111"/>
        <v xml:space="preserve"> BORCHIETNICO    </v>
      </c>
      <c r="H2426" s="20" t="str">
        <f t="shared" si="112"/>
        <v>BROBL</v>
      </c>
      <c r="I2426" s="20">
        <f t="shared" si="113"/>
        <v>0</v>
      </c>
    </row>
    <row r="2427" spans="1:9">
      <c r="A2427" s="17" t="s">
        <v>1272</v>
      </c>
      <c r="B2427" s="17" t="s">
        <v>1274</v>
      </c>
      <c r="C2427" s="17">
        <v>0</v>
      </c>
      <c r="D2427" s="17" t="s">
        <v>801</v>
      </c>
      <c r="E2427" s="18">
        <v>3004511113003</v>
      </c>
      <c r="G2427" s="20" t="str">
        <f t="shared" si="111"/>
        <v xml:space="preserve"> BORCHIETNICO    </v>
      </c>
      <c r="H2427" s="20" t="str">
        <f t="shared" si="112"/>
        <v>BRODE</v>
      </c>
      <c r="I2427" s="20">
        <f t="shared" si="113"/>
        <v>0</v>
      </c>
    </row>
    <row r="2428" spans="1:9">
      <c r="A2428" s="17" t="s">
        <v>1272</v>
      </c>
      <c r="B2428" s="17" t="s">
        <v>1274</v>
      </c>
      <c r="C2428" s="17">
        <v>0</v>
      </c>
      <c r="D2428" s="17" t="s">
        <v>801</v>
      </c>
      <c r="E2428" s="18">
        <v>8056095064528</v>
      </c>
      <c r="G2428" s="20" t="str">
        <f t="shared" si="111"/>
        <v xml:space="preserve"> BORCHIETNICO    </v>
      </c>
      <c r="H2428" s="20" t="str">
        <f t="shared" si="112"/>
        <v>BRODE</v>
      </c>
      <c r="I2428" s="20">
        <f t="shared" si="113"/>
        <v>0</v>
      </c>
    </row>
    <row r="2429" spans="1:9">
      <c r="A2429" s="17" t="s">
        <v>1272</v>
      </c>
      <c r="B2429" s="17" t="s">
        <v>1275</v>
      </c>
      <c r="C2429" s="17">
        <v>0</v>
      </c>
      <c r="D2429" s="17" t="s">
        <v>801</v>
      </c>
      <c r="E2429" s="18">
        <v>3004511111009</v>
      </c>
      <c r="G2429" s="20" t="str">
        <f t="shared" si="111"/>
        <v xml:space="preserve"> BORCHIETNICO    </v>
      </c>
      <c r="H2429" s="20" t="str">
        <f t="shared" si="112"/>
        <v>BROIV</v>
      </c>
      <c r="I2429" s="20">
        <f t="shared" si="113"/>
        <v>0</v>
      </c>
    </row>
    <row r="2430" spans="1:9">
      <c r="A2430" s="17" t="s">
        <v>1272</v>
      </c>
      <c r="B2430" s="17" t="s">
        <v>1275</v>
      </c>
      <c r="C2430" s="17">
        <v>0</v>
      </c>
      <c r="D2430" s="17" t="s">
        <v>801</v>
      </c>
      <c r="E2430" s="18">
        <v>8056095066065</v>
      </c>
      <c r="G2430" s="20" t="str">
        <f t="shared" si="111"/>
        <v xml:space="preserve"> BORCHIETNICO    </v>
      </c>
      <c r="H2430" s="20" t="str">
        <f t="shared" si="112"/>
        <v>BROIV</v>
      </c>
      <c r="I2430" s="20">
        <f t="shared" si="113"/>
        <v>0</v>
      </c>
    </row>
    <row r="2431" spans="1:9">
      <c r="A2431" s="17" t="s">
        <v>1272</v>
      </c>
      <c r="B2431" s="17" t="s">
        <v>1276</v>
      </c>
      <c r="C2431" s="17">
        <v>0</v>
      </c>
      <c r="D2431" s="17" t="s">
        <v>801</v>
      </c>
      <c r="E2431" s="18">
        <v>3004511119005</v>
      </c>
      <c r="G2431" s="20" t="str">
        <f t="shared" si="111"/>
        <v xml:space="preserve"> BORCHIETNICO    </v>
      </c>
      <c r="H2431" s="20" t="str">
        <f t="shared" si="112"/>
        <v>CANFR</v>
      </c>
      <c r="I2431" s="20">
        <f t="shared" si="113"/>
        <v>0</v>
      </c>
    </row>
    <row r="2432" spans="1:9">
      <c r="A2432" s="17" t="s">
        <v>1272</v>
      </c>
      <c r="B2432" s="17" t="s">
        <v>1276</v>
      </c>
      <c r="C2432" s="17">
        <v>0</v>
      </c>
      <c r="D2432" s="17" t="s">
        <v>801</v>
      </c>
      <c r="E2432" s="18">
        <v>8056095066102</v>
      </c>
      <c r="G2432" s="20" t="str">
        <f t="shared" si="111"/>
        <v xml:space="preserve"> BORCHIETNICO    </v>
      </c>
      <c r="H2432" s="20" t="str">
        <f t="shared" si="112"/>
        <v>CANFR</v>
      </c>
      <c r="I2432" s="20">
        <f t="shared" si="113"/>
        <v>0</v>
      </c>
    </row>
    <row r="2433" spans="1:9">
      <c r="A2433" s="17" t="s">
        <v>1272</v>
      </c>
      <c r="B2433" s="17" t="s">
        <v>1277</v>
      </c>
      <c r="C2433" s="17">
        <v>0</v>
      </c>
      <c r="D2433" s="17" t="s">
        <v>801</v>
      </c>
      <c r="E2433" s="18">
        <v>3004510718001</v>
      </c>
      <c r="G2433" s="20" t="str">
        <f t="shared" si="111"/>
        <v xml:space="preserve"> BORCHIETNICO    </v>
      </c>
      <c r="H2433" s="20" t="str">
        <f t="shared" si="112"/>
        <v>FOULA</v>
      </c>
      <c r="I2433" s="20">
        <f t="shared" si="113"/>
        <v>0</v>
      </c>
    </row>
    <row r="2434" spans="1:9">
      <c r="A2434" s="17" t="s">
        <v>1272</v>
      </c>
      <c r="B2434" s="17" t="s">
        <v>1277</v>
      </c>
      <c r="C2434" s="17">
        <v>0</v>
      </c>
      <c r="D2434" s="17" t="s">
        <v>801</v>
      </c>
      <c r="E2434" s="18">
        <v>8056095065327</v>
      </c>
      <c r="G2434" s="20" t="str">
        <f t="shared" si="111"/>
        <v xml:space="preserve"> BORCHIETNICO    </v>
      </c>
      <c r="H2434" s="20" t="str">
        <f t="shared" si="112"/>
        <v>FOULA</v>
      </c>
      <c r="I2434" s="20">
        <f t="shared" si="113"/>
        <v>0</v>
      </c>
    </row>
    <row r="2435" spans="1:9">
      <c r="A2435" s="17" t="s">
        <v>1272</v>
      </c>
      <c r="B2435" s="17" t="s">
        <v>891</v>
      </c>
      <c r="C2435" s="17">
        <v>0</v>
      </c>
      <c r="D2435" s="17" t="s">
        <v>801</v>
      </c>
      <c r="E2435" s="18">
        <v>3004510340004</v>
      </c>
      <c r="G2435" s="20" t="str">
        <f t="shared" si="111"/>
        <v xml:space="preserve"> BORCHIETNICO    </v>
      </c>
      <c r="H2435" s="20" t="str">
        <f t="shared" si="112"/>
        <v>GREEN</v>
      </c>
      <c r="I2435" s="20">
        <f t="shared" si="113"/>
        <v>0</v>
      </c>
    </row>
    <row r="2436" spans="1:9">
      <c r="A2436" s="17" t="s">
        <v>1272</v>
      </c>
      <c r="B2436" s="17" t="s">
        <v>1278</v>
      </c>
      <c r="C2436" s="17">
        <v>0</v>
      </c>
      <c r="D2436" s="17" t="s">
        <v>801</v>
      </c>
      <c r="E2436" s="18">
        <v>3004510758007</v>
      </c>
      <c r="G2436" s="20" t="str">
        <f t="shared" si="111"/>
        <v xml:space="preserve"> BORCHIETNICO    </v>
      </c>
      <c r="H2436" s="20" t="str">
        <f t="shared" si="112"/>
        <v>RAFBR</v>
      </c>
      <c r="I2436" s="20">
        <f t="shared" si="113"/>
        <v>0</v>
      </c>
    </row>
    <row r="2437" spans="1:9">
      <c r="A2437" s="17" t="s">
        <v>1272</v>
      </c>
      <c r="B2437" s="17" t="s">
        <v>1009</v>
      </c>
      <c r="C2437" s="17">
        <v>0</v>
      </c>
      <c r="D2437" s="17" t="s">
        <v>801</v>
      </c>
      <c r="E2437" s="18">
        <v>3004510695005</v>
      </c>
      <c r="G2437" s="20" t="str">
        <f t="shared" ref="G2437:G2500" si="114">A2437</f>
        <v xml:space="preserve"> BORCHIETNICO    </v>
      </c>
      <c r="H2437" s="20" t="str">
        <f t="shared" ref="H2437:H2500" si="115">B2437</f>
        <v>SALMO</v>
      </c>
      <c r="I2437" s="20">
        <f t="shared" ref="I2437:I2500" si="116">C2437</f>
        <v>0</v>
      </c>
    </row>
    <row r="2438" spans="1:9">
      <c r="A2438" s="17" t="s">
        <v>1272</v>
      </c>
      <c r="B2438" s="17" t="s">
        <v>1010</v>
      </c>
      <c r="C2438" s="17">
        <v>0</v>
      </c>
      <c r="D2438" s="17" t="s">
        <v>801</v>
      </c>
      <c r="E2438" s="18">
        <v>3004510793008</v>
      </c>
      <c r="G2438" s="20" t="str">
        <f t="shared" si="114"/>
        <v xml:space="preserve"> BORCHIETNICO    </v>
      </c>
      <c r="H2438" s="20" t="str">
        <f t="shared" si="115"/>
        <v>SERBE</v>
      </c>
      <c r="I2438" s="20">
        <f t="shared" si="116"/>
        <v>0</v>
      </c>
    </row>
    <row r="2439" spans="1:9">
      <c r="A2439" s="17" t="s">
        <v>1272</v>
      </c>
      <c r="B2439" s="17" t="s">
        <v>1011</v>
      </c>
      <c r="C2439" s="17">
        <v>0</v>
      </c>
      <c r="D2439" s="17" t="s">
        <v>801</v>
      </c>
      <c r="E2439" s="18">
        <v>3004510792001</v>
      </c>
      <c r="G2439" s="20" t="str">
        <f t="shared" si="114"/>
        <v xml:space="preserve"> BORCHIETNICO    </v>
      </c>
      <c r="H2439" s="20" t="str">
        <f t="shared" si="115"/>
        <v>SERGR</v>
      </c>
      <c r="I2439" s="20">
        <f t="shared" si="116"/>
        <v>0</v>
      </c>
    </row>
    <row r="2440" spans="1:9">
      <c r="A2440" s="17" t="s">
        <v>1272</v>
      </c>
      <c r="B2440" s="17" t="s">
        <v>1012</v>
      </c>
      <c r="C2440" s="17">
        <v>0</v>
      </c>
      <c r="D2440" s="17" t="s">
        <v>801</v>
      </c>
      <c r="E2440" s="18">
        <v>3004510791004</v>
      </c>
      <c r="G2440" s="20" t="str">
        <f t="shared" si="114"/>
        <v xml:space="preserve"> BORCHIETNICO    </v>
      </c>
      <c r="H2440" s="20" t="str">
        <f t="shared" si="115"/>
        <v>SEROR</v>
      </c>
      <c r="I2440" s="20">
        <f t="shared" si="116"/>
        <v>0</v>
      </c>
    </row>
    <row r="2441" spans="1:9">
      <c r="A2441" s="17" t="s">
        <v>1272</v>
      </c>
      <c r="B2441" s="17" t="s">
        <v>1279</v>
      </c>
      <c r="C2441" s="17">
        <v>0</v>
      </c>
      <c r="D2441" s="17" t="s">
        <v>801</v>
      </c>
      <c r="E2441" s="18">
        <v>3004511045007</v>
      </c>
      <c r="G2441" s="20" t="str">
        <f t="shared" si="114"/>
        <v xml:space="preserve"> BORCHIETNICO    </v>
      </c>
      <c r="H2441" s="20" t="str">
        <f t="shared" si="115"/>
        <v>TRESA</v>
      </c>
      <c r="I2441" s="20">
        <f t="shared" si="116"/>
        <v>0</v>
      </c>
    </row>
    <row r="2442" spans="1:9">
      <c r="A2442" s="17" t="s">
        <v>1272</v>
      </c>
      <c r="B2442" s="17" t="s">
        <v>1280</v>
      </c>
      <c r="C2442" s="17">
        <v>0</v>
      </c>
      <c r="D2442" s="17" t="s">
        <v>801</v>
      </c>
      <c r="E2442" s="18">
        <v>8056095066089</v>
      </c>
      <c r="G2442" s="20" t="str">
        <f t="shared" si="114"/>
        <v xml:space="preserve"> BORCHIETNICO    </v>
      </c>
      <c r="H2442" s="20" t="str">
        <f t="shared" si="115"/>
        <v>TRSAL</v>
      </c>
      <c r="I2442" s="20">
        <f t="shared" si="116"/>
        <v>0</v>
      </c>
    </row>
    <row r="2443" spans="1:9">
      <c r="A2443" s="17" t="s">
        <v>1272</v>
      </c>
      <c r="B2443" s="17" t="s">
        <v>1280</v>
      </c>
      <c r="C2443" s="17">
        <v>0</v>
      </c>
      <c r="D2443" s="17" t="s">
        <v>801</v>
      </c>
      <c r="E2443" s="18">
        <v>3004511124009</v>
      </c>
      <c r="G2443" s="20" t="str">
        <f t="shared" si="114"/>
        <v xml:space="preserve"> BORCHIETNICO    </v>
      </c>
      <c r="H2443" s="20" t="str">
        <f t="shared" si="115"/>
        <v>TRSAL</v>
      </c>
      <c r="I2443" s="20">
        <f t="shared" si="116"/>
        <v>0</v>
      </c>
    </row>
    <row r="2444" spans="1:9">
      <c r="A2444" s="17" t="s">
        <v>1272</v>
      </c>
      <c r="B2444" s="17" t="s">
        <v>1165</v>
      </c>
      <c r="C2444" s="17">
        <v>0</v>
      </c>
      <c r="D2444" s="17" t="s">
        <v>801</v>
      </c>
      <c r="E2444" s="18">
        <v>8056095066096</v>
      </c>
      <c r="G2444" s="20" t="str">
        <f t="shared" si="114"/>
        <v xml:space="preserve"> BORCHIETNICO    </v>
      </c>
      <c r="H2444" s="20" t="str">
        <f t="shared" si="115"/>
        <v>TRTOR</v>
      </c>
      <c r="I2444" s="20">
        <f t="shared" si="116"/>
        <v>0</v>
      </c>
    </row>
    <row r="2445" spans="1:9">
      <c r="A2445" s="17" t="s">
        <v>1272</v>
      </c>
      <c r="B2445" s="17" t="s">
        <v>1165</v>
      </c>
      <c r="C2445" s="17">
        <v>0</v>
      </c>
      <c r="D2445" s="17" t="s">
        <v>801</v>
      </c>
      <c r="E2445" s="18">
        <v>3004511125006</v>
      </c>
      <c r="G2445" s="20" t="str">
        <f t="shared" si="114"/>
        <v xml:space="preserve"> BORCHIETNICO    </v>
      </c>
      <c r="H2445" s="20" t="str">
        <f t="shared" si="115"/>
        <v>TRTOR</v>
      </c>
      <c r="I2445" s="20">
        <f t="shared" si="116"/>
        <v>0</v>
      </c>
    </row>
    <row r="2446" spans="1:9">
      <c r="A2446" s="17" t="s">
        <v>1281</v>
      </c>
      <c r="B2446" s="17" t="s">
        <v>1282</v>
      </c>
      <c r="C2446" s="17">
        <v>0</v>
      </c>
      <c r="D2446" s="17" t="s">
        <v>801</v>
      </c>
      <c r="E2446" s="18">
        <v>3004710266005</v>
      </c>
      <c r="G2446" s="20" t="str">
        <f t="shared" si="114"/>
        <v xml:space="preserve"> BORCHIFOU       </v>
      </c>
      <c r="H2446" s="20" t="str">
        <f t="shared" si="115"/>
        <v xml:space="preserve">LAIR </v>
      </c>
      <c r="I2446" s="20">
        <f t="shared" si="116"/>
        <v>0</v>
      </c>
    </row>
    <row r="2447" spans="1:9">
      <c r="A2447" s="17" t="s">
        <v>1281</v>
      </c>
      <c r="B2447" s="17" t="s">
        <v>1283</v>
      </c>
      <c r="C2447" s="17">
        <v>0</v>
      </c>
      <c r="D2447" s="17" t="s">
        <v>801</v>
      </c>
      <c r="E2447" s="18">
        <v>3004010267009</v>
      </c>
      <c r="G2447" s="20" t="str">
        <f t="shared" si="114"/>
        <v xml:space="preserve"> BORCHIFOU       </v>
      </c>
      <c r="H2447" s="20" t="str">
        <f t="shared" si="115"/>
        <v xml:space="preserve">LALI </v>
      </c>
      <c r="I2447" s="20">
        <f t="shared" si="116"/>
        <v>0</v>
      </c>
    </row>
    <row r="2448" spans="1:9">
      <c r="A2448" s="17" t="s">
        <v>1281</v>
      </c>
      <c r="B2448" s="17" t="s">
        <v>1284</v>
      </c>
      <c r="C2448" s="17">
        <v>0</v>
      </c>
      <c r="D2448" s="17" t="s">
        <v>801</v>
      </c>
      <c r="E2448" s="18">
        <v>3004710268009</v>
      </c>
      <c r="G2448" s="20" t="str">
        <f t="shared" si="114"/>
        <v xml:space="preserve"> BORCHIFOU       </v>
      </c>
      <c r="H2448" s="20" t="str">
        <f t="shared" si="115"/>
        <v xml:space="preserve">LARO </v>
      </c>
      <c r="I2448" s="20">
        <f t="shared" si="116"/>
        <v>0</v>
      </c>
    </row>
    <row r="2449" spans="1:9">
      <c r="A2449" s="17" t="s">
        <v>1281</v>
      </c>
      <c r="B2449" s="17" t="s">
        <v>1104</v>
      </c>
      <c r="C2449" s="17">
        <v>0</v>
      </c>
      <c r="D2449" s="17" t="s">
        <v>801</v>
      </c>
      <c r="E2449" s="18">
        <v>3004010638007</v>
      </c>
      <c r="G2449" s="20" t="str">
        <f t="shared" si="114"/>
        <v xml:space="preserve"> BORCHIFOU       </v>
      </c>
      <c r="H2449" s="20" t="str">
        <f t="shared" si="115"/>
        <v>MARRO</v>
      </c>
      <c r="I2449" s="20">
        <f t="shared" si="116"/>
        <v>0</v>
      </c>
    </row>
    <row r="2450" spans="1:9">
      <c r="A2450" s="17" t="s">
        <v>1281</v>
      </c>
      <c r="B2450" s="17" t="s">
        <v>1285</v>
      </c>
      <c r="C2450" s="17">
        <v>0</v>
      </c>
      <c r="D2450" s="17" t="s">
        <v>801</v>
      </c>
      <c r="E2450" s="18">
        <v>3004710312009</v>
      </c>
      <c r="G2450" s="20" t="str">
        <f t="shared" si="114"/>
        <v xml:space="preserve"> BORCHIFOU       </v>
      </c>
      <c r="H2450" s="20" t="str">
        <f t="shared" si="115"/>
        <v xml:space="preserve">MMAR </v>
      </c>
      <c r="I2450" s="20">
        <f t="shared" si="116"/>
        <v>0</v>
      </c>
    </row>
    <row r="2451" spans="1:9">
      <c r="A2451" s="17" t="s">
        <v>1286</v>
      </c>
      <c r="B2451" s="17" t="s">
        <v>1145</v>
      </c>
      <c r="C2451" s="17">
        <v>0</v>
      </c>
      <c r="D2451" s="17" t="s">
        <v>801</v>
      </c>
      <c r="E2451" s="18">
        <v>3004880542008</v>
      </c>
      <c r="G2451" s="20" t="str">
        <f t="shared" si="114"/>
        <v xml:space="preserve"> BORCHILAI       </v>
      </c>
      <c r="H2451" s="20" t="str">
        <f t="shared" si="115"/>
        <v>BEIGE</v>
      </c>
      <c r="I2451" s="20">
        <f t="shared" si="116"/>
        <v>0</v>
      </c>
    </row>
    <row r="2452" spans="1:9">
      <c r="A2452" s="17" t="s">
        <v>1286</v>
      </c>
      <c r="B2452" s="17" t="s">
        <v>280</v>
      </c>
      <c r="C2452" s="17">
        <v>0</v>
      </c>
      <c r="D2452" s="17" t="s">
        <v>801</v>
      </c>
      <c r="E2452" s="18">
        <v>3004880004001</v>
      </c>
      <c r="G2452" s="20" t="str">
        <f t="shared" si="114"/>
        <v xml:space="preserve"> BORCHILAI       </v>
      </c>
      <c r="H2452" s="20" t="str">
        <f t="shared" si="115"/>
        <v>BLACK</v>
      </c>
      <c r="I2452" s="20">
        <f t="shared" si="116"/>
        <v>0</v>
      </c>
    </row>
    <row r="2453" spans="1:9">
      <c r="A2453" s="17" t="s">
        <v>1286</v>
      </c>
      <c r="B2453" s="17" t="s">
        <v>1287</v>
      </c>
      <c r="C2453" s="17">
        <v>0</v>
      </c>
      <c r="D2453" s="17" t="s">
        <v>801</v>
      </c>
      <c r="E2453" s="18">
        <v>3004200939006</v>
      </c>
      <c r="G2453" s="20" t="str">
        <f t="shared" si="114"/>
        <v xml:space="preserve"> BORCHILAI       </v>
      </c>
      <c r="H2453" s="20" t="str">
        <f t="shared" si="115"/>
        <v>BOUBL</v>
      </c>
      <c r="I2453" s="20">
        <f t="shared" si="116"/>
        <v>0</v>
      </c>
    </row>
    <row r="2454" spans="1:9">
      <c r="A2454" s="17" t="s">
        <v>1286</v>
      </c>
      <c r="B2454" s="17" t="s">
        <v>1287</v>
      </c>
      <c r="C2454" s="17">
        <v>0</v>
      </c>
      <c r="D2454" s="17" t="s">
        <v>801</v>
      </c>
      <c r="E2454" s="18">
        <v>8056300453789</v>
      </c>
      <c r="G2454" s="20" t="str">
        <f t="shared" si="114"/>
        <v xml:space="preserve"> BORCHILAI       </v>
      </c>
      <c r="H2454" s="20" t="str">
        <f t="shared" si="115"/>
        <v>BOUBL</v>
      </c>
      <c r="I2454" s="20">
        <f t="shared" si="116"/>
        <v>0</v>
      </c>
    </row>
    <row r="2455" spans="1:9">
      <c r="A2455" s="17" t="s">
        <v>1286</v>
      </c>
      <c r="B2455" s="17" t="s">
        <v>1288</v>
      </c>
      <c r="C2455" s="17">
        <v>0</v>
      </c>
      <c r="D2455" s="17" t="s">
        <v>801</v>
      </c>
      <c r="E2455" s="18">
        <v>8056300453796</v>
      </c>
      <c r="G2455" s="20" t="str">
        <f t="shared" si="114"/>
        <v xml:space="preserve"> BORCHILAI       </v>
      </c>
      <c r="H2455" s="20" t="str">
        <f t="shared" si="115"/>
        <v>BOUBO</v>
      </c>
      <c r="I2455" s="20">
        <f t="shared" si="116"/>
        <v>0</v>
      </c>
    </row>
    <row r="2456" spans="1:9">
      <c r="A2456" s="17" t="s">
        <v>1286</v>
      </c>
      <c r="B2456" s="17" t="s">
        <v>1289</v>
      </c>
      <c r="C2456" s="17">
        <v>0</v>
      </c>
      <c r="D2456" s="17" t="s">
        <v>801</v>
      </c>
      <c r="E2456" s="18">
        <v>3004200620003</v>
      </c>
      <c r="G2456" s="20" t="str">
        <f t="shared" si="114"/>
        <v xml:space="preserve"> BORCHILAI       </v>
      </c>
      <c r="H2456" s="20" t="str">
        <f t="shared" si="115"/>
        <v>CACHD</v>
      </c>
      <c r="I2456" s="20">
        <f t="shared" si="116"/>
        <v>0</v>
      </c>
    </row>
    <row r="2457" spans="1:9">
      <c r="A2457" s="17" t="s">
        <v>1286</v>
      </c>
      <c r="B2457" s="17" t="s">
        <v>1290</v>
      </c>
      <c r="C2457" s="17">
        <v>0</v>
      </c>
      <c r="D2457" s="17" t="s">
        <v>801</v>
      </c>
      <c r="E2457" s="18">
        <v>3004200621000</v>
      </c>
      <c r="G2457" s="20" t="str">
        <f t="shared" si="114"/>
        <v xml:space="preserve"> BORCHILAI       </v>
      </c>
      <c r="H2457" s="20" t="str">
        <f t="shared" si="115"/>
        <v>CACHG</v>
      </c>
      <c r="I2457" s="20">
        <f t="shared" si="116"/>
        <v>0</v>
      </c>
    </row>
    <row r="2458" spans="1:9">
      <c r="A2458" s="17" t="s">
        <v>1286</v>
      </c>
      <c r="B2458" s="17" t="s">
        <v>1291</v>
      </c>
      <c r="C2458" s="17">
        <v>0</v>
      </c>
      <c r="D2458" s="17" t="s">
        <v>801</v>
      </c>
      <c r="E2458" s="18">
        <v>3004200622007</v>
      </c>
      <c r="G2458" s="20" t="str">
        <f t="shared" si="114"/>
        <v xml:space="preserve"> BORCHILAI       </v>
      </c>
      <c r="H2458" s="20" t="str">
        <f t="shared" si="115"/>
        <v>CACHM</v>
      </c>
      <c r="I2458" s="20">
        <f t="shared" si="116"/>
        <v>0</v>
      </c>
    </row>
    <row r="2459" spans="1:9">
      <c r="A2459" s="17" t="s">
        <v>1286</v>
      </c>
      <c r="B2459" s="17" t="s">
        <v>1292</v>
      </c>
      <c r="C2459" s="17">
        <v>0</v>
      </c>
      <c r="D2459" s="17" t="s">
        <v>801</v>
      </c>
      <c r="E2459" s="18">
        <v>3004201012005</v>
      </c>
      <c r="G2459" s="20" t="str">
        <f t="shared" si="114"/>
        <v xml:space="preserve"> BORCHILAI       </v>
      </c>
      <c r="H2459" s="20" t="str">
        <f t="shared" si="115"/>
        <v>CHABW</v>
      </c>
      <c r="I2459" s="20">
        <f t="shared" si="116"/>
        <v>0</v>
      </c>
    </row>
    <row r="2460" spans="1:9">
      <c r="A2460" s="17" t="s">
        <v>1286</v>
      </c>
      <c r="B2460" s="17" t="s">
        <v>1292</v>
      </c>
      <c r="C2460" s="17">
        <v>0</v>
      </c>
      <c r="D2460" s="17" t="s">
        <v>801</v>
      </c>
      <c r="E2460" s="18">
        <v>8056300453765</v>
      </c>
      <c r="G2460" s="20" t="str">
        <f t="shared" si="114"/>
        <v xml:space="preserve"> BORCHILAI       </v>
      </c>
      <c r="H2460" s="20" t="str">
        <f t="shared" si="115"/>
        <v>CHABW</v>
      </c>
      <c r="I2460" s="20">
        <f t="shared" si="116"/>
        <v>0</v>
      </c>
    </row>
    <row r="2461" spans="1:9">
      <c r="A2461" s="17" t="s">
        <v>1286</v>
      </c>
      <c r="B2461" s="17" t="s">
        <v>1293</v>
      </c>
      <c r="C2461" s="17">
        <v>0</v>
      </c>
      <c r="D2461" s="17" t="s">
        <v>801</v>
      </c>
      <c r="E2461" s="18">
        <v>3004880553004</v>
      </c>
      <c r="G2461" s="20" t="str">
        <f t="shared" si="114"/>
        <v xml:space="preserve"> BORCHILAI       </v>
      </c>
      <c r="H2461" s="20" t="str">
        <f t="shared" si="115"/>
        <v>CHANB</v>
      </c>
      <c r="I2461" s="20">
        <f t="shared" si="116"/>
        <v>0</v>
      </c>
    </row>
    <row r="2462" spans="1:9">
      <c r="A2462" s="17" t="s">
        <v>1286</v>
      </c>
      <c r="B2462" s="17" t="s">
        <v>1293</v>
      </c>
      <c r="C2462" s="17">
        <v>0</v>
      </c>
      <c r="D2462" s="17" t="s">
        <v>801</v>
      </c>
      <c r="E2462" s="18">
        <v>8058983597996</v>
      </c>
      <c r="G2462" s="20" t="str">
        <f t="shared" si="114"/>
        <v xml:space="preserve"> BORCHILAI       </v>
      </c>
      <c r="H2462" s="20" t="str">
        <f t="shared" si="115"/>
        <v>CHANB</v>
      </c>
      <c r="I2462" s="20">
        <f t="shared" si="116"/>
        <v>0</v>
      </c>
    </row>
    <row r="2463" spans="1:9">
      <c r="A2463" s="17" t="s">
        <v>1286</v>
      </c>
      <c r="B2463" s="17" t="s">
        <v>1294</v>
      </c>
      <c r="C2463" s="17">
        <v>0</v>
      </c>
      <c r="D2463" s="17" t="s">
        <v>801</v>
      </c>
      <c r="E2463" s="18">
        <v>3004880552007</v>
      </c>
      <c r="G2463" s="20" t="str">
        <f t="shared" si="114"/>
        <v xml:space="preserve"> BORCHILAI       </v>
      </c>
      <c r="H2463" s="20" t="str">
        <f t="shared" si="115"/>
        <v>CHARO</v>
      </c>
      <c r="I2463" s="20">
        <f t="shared" si="116"/>
        <v>0</v>
      </c>
    </row>
    <row r="2464" spans="1:9">
      <c r="A2464" s="17" t="s">
        <v>1286</v>
      </c>
      <c r="B2464" s="17" t="s">
        <v>1294</v>
      </c>
      <c r="C2464" s="17">
        <v>0</v>
      </c>
      <c r="D2464" s="17" t="s">
        <v>801</v>
      </c>
      <c r="E2464" s="18">
        <v>8058983598009</v>
      </c>
      <c r="G2464" s="20" t="str">
        <f t="shared" si="114"/>
        <v xml:space="preserve"> BORCHILAI       </v>
      </c>
      <c r="H2464" s="20" t="str">
        <f t="shared" si="115"/>
        <v>CHARO</v>
      </c>
      <c r="I2464" s="20">
        <f t="shared" si="116"/>
        <v>0</v>
      </c>
    </row>
    <row r="2465" spans="1:9">
      <c r="A2465" s="17" t="s">
        <v>1286</v>
      </c>
      <c r="B2465" s="17" t="s">
        <v>858</v>
      </c>
      <c r="C2465" s="17">
        <v>0</v>
      </c>
      <c r="D2465" s="17" t="s">
        <v>801</v>
      </c>
      <c r="E2465" s="18">
        <v>3004880002007</v>
      </c>
      <c r="G2465" s="20" t="str">
        <f t="shared" si="114"/>
        <v xml:space="preserve"> BORCHILAI       </v>
      </c>
      <c r="H2465" s="20" t="str">
        <f t="shared" si="115"/>
        <v xml:space="preserve">GREY </v>
      </c>
      <c r="I2465" s="20">
        <f t="shared" si="116"/>
        <v>0</v>
      </c>
    </row>
    <row r="2466" spans="1:9">
      <c r="A2466" s="17" t="s">
        <v>1286</v>
      </c>
      <c r="B2466" s="17" t="s">
        <v>1295</v>
      </c>
      <c r="C2466" s="17">
        <v>0</v>
      </c>
      <c r="D2466" s="17" t="s">
        <v>801</v>
      </c>
      <c r="E2466" s="18">
        <v>3004880547003</v>
      </c>
      <c r="G2466" s="20" t="str">
        <f t="shared" si="114"/>
        <v xml:space="preserve"> BORCHILAI       </v>
      </c>
      <c r="H2466" s="20" t="str">
        <f t="shared" si="115"/>
        <v>JABOR</v>
      </c>
      <c r="I2466" s="20">
        <f t="shared" si="116"/>
        <v>0</v>
      </c>
    </row>
    <row r="2467" spans="1:9">
      <c r="A2467" s="17" t="s">
        <v>1286</v>
      </c>
      <c r="B2467" s="17" t="s">
        <v>1295</v>
      </c>
      <c r="C2467" s="17">
        <v>0</v>
      </c>
      <c r="D2467" s="17" t="s">
        <v>801</v>
      </c>
      <c r="E2467" s="18">
        <v>8058983598054</v>
      </c>
      <c r="G2467" s="20" t="str">
        <f t="shared" si="114"/>
        <v xml:space="preserve"> BORCHILAI       </v>
      </c>
      <c r="H2467" s="20" t="str">
        <f t="shared" si="115"/>
        <v>JABOR</v>
      </c>
      <c r="I2467" s="20">
        <f t="shared" si="116"/>
        <v>0</v>
      </c>
    </row>
    <row r="2468" spans="1:9">
      <c r="A2468" s="17" t="s">
        <v>1286</v>
      </c>
      <c r="B2468" s="17" t="s">
        <v>1296</v>
      </c>
      <c r="C2468" s="17">
        <v>0</v>
      </c>
      <c r="D2468" s="17" t="s">
        <v>801</v>
      </c>
      <c r="E2468" s="18">
        <v>3004880549007</v>
      </c>
      <c r="G2468" s="20" t="str">
        <f t="shared" si="114"/>
        <v xml:space="preserve"> BORCHILAI       </v>
      </c>
      <c r="H2468" s="20" t="str">
        <f t="shared" si="115"/>
        <v xml:space="preserve">JADO </v>
      </c>
      <c r="I2468" s="20">
        <f t="shared" si="116"/>
        <v>0</v>
      </c>
    </row>
    <row r="2469" spans="1:9">
      <c r="A2469" s="17" t="s">
        <v>1286</v>
      </c>
      <c r="B2469" s="17" t="s">
        <v>1296</v>
      </c>
      <c r="C2469" s="17">
        <v>0</v>
      </c>
      <c r="D2469" s="17" t="s">
        <v>801</v>
      </c>
      <c r="E2469" s="18">
        <v>8058983598078</v>
      </c>
      <c r="G2469" s="20" t="str">
        <f t="shared" si="114"/>
        <v xml:space="preserve"> BORCHILAI       </v>
      </c>
      <c r="H2469" s="20" t="str">
        <f t="shared" si="115"/>
        <v xml:space="preserve">JADO </v>
      </c>
      <c r="I2469" s="20">
        <f t="shared" si="116"/>
        <v>0</v>
      </c>
    </row>
    <row r="2470" spans="1:9">
      <c r="A2470" s="17" t="s">
        <v>1286</v>
      </c>
      <c r="B2470" s="17" t="s">
        <v>1297</v>
      </c>
      <c r="C2470" s="17">
        <v>0</v>
      </c>
      <c r="D2470" s="17" t="s">
        <v>801</v>
      </c>
      <c r="E2470" s="18">
        <v>3004880548000</v>
      </c>
      <c r="G2470" s="20" t="str">
        <f t="shared" si="114"/>
        <v xml:space="preserve"> BORCHILAI       </v>
      </c>
      <c r="H2470" s="20" t="str">
        <f t="shared" si="115"/>
        <v>JAGRE</v>
      </c>
      <c r="I2470" s="20">
        <f t="shared" si="116"/>
        <v>0</v>
      </c>
    </row>
    <row r="2471" spans="1:9">
      <c r="A2471" s="17" t="s">
        <v>1286</v>
      </c>
      <c r="B2471" s="17" t="s">
        <v>1297</v>
      </c>
      <c r="C2471" s="17">
        <v>0</v>
      </c>
      <c r="D2471" s="17" t="s">
        <v>801</v>
      </c>
      <c r="E2471" s="18">
        <v>8058983598061</v>
      </c>
      <c r="G2471" s="20" t="str">
        <f t="shared" si="114"/>
        <v xml:space="preserve"> BORCHILAI       </v>
      </c>
      <c r="H2471" s="20" t="str">
        <f t="shared" si="115"/>
        <v>JAGRE</v>
      </c>
      <c r="I2471" s="20">
        <f t="shared" si="116"/>
        <v>0</v>
      </c>
    </row>
    <row r="2472" spans="1:9">
      <c r="A2472" s="17" t="s">
        <v>1286</v>
      </c>
      <c r="B2472" s="17" t="s">
        <v>1298</v>
      </c>
      <c r="C2472" s="17">
        <v>0</v>
      </c>
      <c r="D2472" s="17" t="s">
        <v>801</v>
      </c>
      <c r="E2472" s="18">
        <v>8056300454946</v>
      </c>
      <c r="G2472" s="20" t="str">
        <f t="shared" si="114"/>
        <v xml:space="preserve"> BORCHILAI       </v>
      </c>
      <c r="H2472" s="20" t="str">
        <f t="shared" si="115"/>
        <v>LAIAN</v>
      </c>
      <c r="I2472" s="20">
        <f t="shared" si="116"/>
        <v>0</v>
      </c>
    </row>
    <row r="2473" spans="1:9">
      <c r="A2473" s="17" t="s">
        <v>1286</v>
      </c>
      <c r="B2473" s="17" t="s">
        <v>1298</v>
      </c>
      <c r="C2473" s="17">
        <v>0</v>
      </c>
      <c r="D2473" s="17" t="s">
        <v>801</v>
      </c>
      <c r="E2473" s="18">
        <v>3004200988004</v>
      </c>
      <c r="G2473" s="20" t="str">
        <f t="shared" si="114"/>
        <v xml:space="preserve"> BORCHILAI       </v>
      </c>
      <c r="H2473" s="20" t="str">
        <f t="shared" si="115"/>
        <v>LAIAN</v>
      </c>
      <c r="I2473" s="20">
        <f t="shared" si="116"/>
        <v>0</v>
      </c>
    </row>
    <row r="2474" spans="1:9">
      <c r="A2474" s="17" t="s">
        <v>1286</v>
      </c>
      <c r="B2474" s="17" t="s">
        <v>1299</v>
      </c>
      <c r="C2474" s="17">
        <v>0</v>
      </c>
      <c r="D2474" s="17" t="s">
        <v>801</v>
      </c>
      <c r="E2474" s="18">
        <v>3004880343001</v>
      </c>
      <c r="G2474" s="20" t="str">
        <f t="shared" si="114"/>
        <v xml:space="preserve"> BORCHILAI       </v>
      </c>
      <c r="H2474" s="20" t="str">
        <f t="shared" si="115"/>
        <v>LAIBL</v>
      </c>
      <c r="I2474" s="20">
        <f t="shared" si="116"/>
        <v>0</v>
      </c>
    </row>
    <row r="2475" spans="1:9">
      <c r="A2475" s="17" t="s">
        <v>1286</v>
      </c>
      <c r="B2475" s="17" t="s">
        <v>1300</v>
      </c>
      <c r="C2475" s="17">
        <v>0</v>
      </c>
      <c r="D2475" s="17" t="s">
        <v>801</v>
      </c>
      <c r="E2475" s="18">
        <v>8058983598023</v>
      </c>
      <c r="G2475" s="20" t="str">
        <f t="shared" si="114"/>
        <v xml:space="preserve"> BORCHILAI       </v>
      </c>
      <c r="H2475" s="20" t="str">
        <f t="shared" si="115"/>
        <v>LAINN</v>
      </c>
      <c r="I2475" s="20">
        <f t="shared" si="116"/>
        <v>0</v>
      </c>
    </row>
    <row r="2476" spans="1:9">
      <c r="A2476" s="17" t="s">
        <v>1286</v>
      </c>
      <c r="B2476" s="17" t="s">
        <v>1300</v>
      </c>
      <c r="C2476" s="17">
        <v>0</v>
      </c>
      <c r="D2476" s="17" t="s">
        <v>801</v>
      </c>
      <c r="E2476" s="18">
        <v>3004880165009</v>
      </c>
      <c r="G2476" s="20" t="str">
        <f t="shared" si="114"/>
        <v xml:space="preserve"> BORCHILAI       </v>
      </c>
      <c r="H2476" s="20" t="str">
        <f t="shared" si="115"/>
        <v>LAINN</v>
      </c>
      <c r="I2476" s="20">
        <f t="shared" si="116"/>
        <v>0</v>
      </c>
    </row>
    <row r="2477" spans="1:9">
      <c r="A2477" s="17" t="s">
        <v>1286</v>
      </c>
      <c r="B2477" s="17" t="s">
        <v>1301</v>
      </c>
      <c r="C2477" s="17">
        <v>0</v>
      </c>
      <c r="D2477" s="17" t="s">
        <v>801</v>
      </c>
      <c r="E2477" s="18">
        <v>3004880550003</v>
      </c>
      <c r="G2477" s="20" t="str">
        <f t="shared" si="114"/>
        <v xml:space="preserve"> BORCHILAI       </v>
      </c>
      <c r="H2477" s="20" t="str">
        <f t="shared" si="115"/>
        <v>LAIOT</v>
      </c>
      <c r="I2477" s="20">
        <f t="shared" si="116"/>
        <v>0</v>
      </c>
    </row>
    <row r="2478" spans="1:9">
      <c r="A2478" s="17" t="s">
        <v>1286</v>
      </c>
      <c r="B2478" s="17" t="s">
        <v>1301</v>
      </c>
      <c r="C2478" s="17">
        <v>0</v>
      </c>
      <c r="D2478" s="17" t="s">
        <v>801</v>
      </c>
      <c r="E2478" s="18">
        <v>8058983598030</v>
      </c>
      <c r="G2478" s="20" t="str">
        <f t="shared" si="114"/>
        <v xml:space="preserve"> BORCHILAI       </v>
      </c>
      <c r="H2478" s="20" t="str">
        <f t="shared" si="115"/>
        <v>LAIOT</v>
      </c>
      <c r="I2478" s="20">
        <f t="shared" si="116"/>
        <v>0</v>
      </c>
    </row>
    <row r="2479" spans="1:9">
      <c r="A2479" s="17" t="s">
        <v>1286</v>
      </c>
      <c r="B2479" s="17" t="s">
        <v>1302</v>
      </c>
      <c r="C2479" s="17">
        <v>0</v>
      </c>
      <c r="D2479" s="17" t="s">
        <v>801</v>
      </c>
      <c r="E2479" s="18">
        <v>3004880551000</v>
      </c>
      <c r="G2479" s="20" t="str">
        <f t="shared" si="114"/>
        <v xml:space="preserve"> BORCHILAI       </v>
      </c>
      <c r="H2479" s="20" t="str">
        <f t="shared" si="115"/>
        <v>LAIRO</v>
      </c>
      <c r="I2479" s="20">
        <f t="shared" si="116"/>
        <v>0</v>
      </c>
    </row>
    <row r="2480" spans="1:9">
      <c r="A2480" s="17" t="s">
        <v>1286</v>
      </c>
      <c r="B2480" s="17" t="s">
        <v>1302</v>
      </c>
      <c r="C2480" s="17">
        <v>0</v>
      </c>
      <c r="D2480" s="17" t="s">
        <v>801</v>
      </c>
      <c r="E2480" s="18">
        <v>8058983598047</v>
      </c>
      <c r="G2480" s="20" t="str">
        <f t="shared" si="114"/>
        <v xml:space="preserve"> BORCHILAI       </v>
      </c>
      <c r="H2480" s="20" t="str">
        <f t="shared" si="115"/>
        <v>LAIRO</v>
      </c>
      <c r="I2480" s="20">
        <f t="shared" si="116"/>
        <v>0</v>
      </c>
    </row>
    <row r="2481" spans="1:9">
      <c r="A2481" s="17" t="s">
        <v>1286</v>
      </c>
      <c r="B2481" s="17" t="s">
        <v>1303</v>
      </c>
      <c r="C2481" s="17">
        <v>0</v>
      </c>
      <c r="D2481" s="17" t="s">
        <v>801</v>
      </c>
      <c r="E2481" s="18">
        <v>3004201039002</v>
      </c>
      <c r="G2481" s="20" t="str">
        <f t="shared" si="114"/>
        <v xml:space="preserve"> BORCHILAI       </v>
      </c>
      <c r="H2481" s="20" t="str">
        <f t="shared" si="115"/>
        <v>PDPBU</v>
      </c>
      <c r="I2481" s="20">
        <f t="shared" si="116"/>
        <v>0</v>
      </c>
    </row>
    <row r="2482" spans="1:9">
      <c r="A2482" s="17" t="s">
        <v>1286</v>
      </c>
      <c r="B2482" s="17" t="s">
        <v>1303</v>
      </c>
      <c r="C2482" s="17">
        <v>0</v>
      </c>
      <c r="D2482" s="17" t="s">
        <v>801</v>
      </c>
      <c r="E2482" s="18">
        <v>8056300453802</v>
      </c>
      <c r="G2482" s="20" t="str">
        <f t="shared" si="114"/>
        <v xml:space="preserve"> BORCHILAI       </v>
      </c>
      <c r="H2482" s="20" t="str">
        <f t="shared" si="115"/>
        <v>PDPBU</v>
      </c>
      <c r="I2482" s="20">
        <f t="shared" si="116"/>
        <v>0</v>
      </c>
    </row>
    <row r="2483" spans="1:9">
      <c r="A2483" s="17" t="s">
        <v>1286</v>
      </c>
      <c r="B2483" s="17" t="s">
        <v>1304</v>
      </c>
      <c r="C2483" s="17">
        <v>0</v>
      </c>
      <c r="D2483" s="17" t="s">
        <v>801</v>
      </c>
      <c r="E2483" s="18">
        <v>3004201014009</v>
      </c>
      <c r="G2483" s="20" t="str">
        <f t="shared" si="114"/>
        <v xml:space="preserve"> BORCHILAI       </v>
      </c>
      <c r="H2483" s="20" t="str">
        <f t="shared" si="115"/>
        <v>PDPRU</v>
      </c>
      <c r="I2483" s="20">
        <f t="shared" si="116"/>
        <v>0</v>
      </c>
    </row>
    <row r="2484" spans="1:9">
      <c r="A2484" s="17" t="s">
        <v>1286</v>
      </c>
      <c r="B2484" s="17" t="s">
        <v>1304</v>
      </c>
      <c r="C2484" s="17">
        <v>0</v>
      </c>
      <c r="D2484" s="17" t="s">
        <v>801</v>
      </c>
      <c r="E2484" s="18">
        <v>8056300453819</v>
      </c>
      <c r="G2484" s="20" t="str">
        <f t="shared" si="114"/>
        <v xml:space="preserve"> BORCHILAI       </v>
      </c>
      <c r="H2484" s="20" t="str">
        <f t="shared" si="115"/>
        <v>PDPRU</v>
      </c>
      <c r="I2484" s="20">
        <f t="shared" si="116"/>
        <v>0</v>
      </c>
    </row>
    <row r="2485" spans="1:9">
      <c r="A2485" s="17" t="s">
        <v>1286</v>
      </c>
      <c r="B2485" s="17" t="s">
        <v>1305</v>
      </c>
      <c r="C2485" s="17">
        <v>0</v>
      </c>
      <c r="D2485" s="17" t="s">
        <v>801</v>
      </c>
      <c r="E2485" s="18">
        <v>3004201017000</v>
      </c>
      <c r="G2485" s="20" t="str">
        <f t="shared" si="114"/>
        <v xml:space="preserve"> BORCHILAI       </v>
      </c>
      <c r="H2485" s="20" t="str">
        <f t="shared" si="115"/>
        <v>TRABL</v>
      </c>
      <c r="I2485" s="20">
        <f t="shared" si="116"/>
        <v>0</v>
      </c>
    </row>
    <row r="2486" spans="1:9">
      <c r="A2486" s="17" t="s">
        <v>1286</v>
      </c>
      <c r="B2486" s="17" t="s">
        <v>1305</v>
      </c>
      <c r="C2486" s="17">
        <v>0</v>
      </c>
      <c r="D2486" s="17" t="s">
        <v>801</v>
      </c>
      <c r="E2486" s="18">
        <v>8056300453833</v>
      </c>
      <c r="G2486" s="20" t="str">
        <f t="shared" si="114"/>
        <v xml:space="preserve"> BORCHILAI       </v>
      </c>
      <c r="H2486" s="20" t="str">
        <f t="shared" si="115"/>
        <v>TRABL</v>
      </c>
      <c r="I2486" s="20">
        <f t="shared" si="116"/>
        <v>0</v>
      </c>
    </row>
    <row r="2487" spans="1:9">
      <c r="A2487" s="17" t="s">
        <v>1286</v>
      </c>
      <c r="B2487" s="17" t="s">
        <v>1306</v>
      </c>
      <c r="C2487" s="17">
        <v>0</v>
      </c>
      <c r="D2487" s="17" t="s">
        <v>801</v>
      </c>
      <c r="E2487" s="18">
        <v>3004201016003</v>
      </c>
      <c r="G2487" s="20" t="str">
        <f t="shared" si="114"/>
        <v xml:space="preserve"> BORCHILAI       </v>
      </c>
      <c r="H2487" s="20" t="str">
        <f t="shared" si="115"/>
        <v>TRAIV</v>
      </c>
      <c r="I2487" s="20">
        <f t="shared" si="116"/>
        <v>0</v>
      </c>
    </row>
    <row r="2488" spans="1:9">
      <c r="A2488" s="17" t="s">
        <v>1286</v>
      </c>
      <c r="B2488" s="17" t="s">
        <v>1306</v>
      </c>
      <c r="C2488" s="17">
        <v>0</v>
      </c>
      <c r="D2488" s="17" t="s">
        <v>801</v>
      </c>
      <c r="E2488" s="18">
        <v>8056300453826</v>
      </c>
      <c r="G2488" s="20" t="str">
        <f t="shared" si="114"/>
        <v xml:space="preserve"> BORCHILAI       </v>
      </c>
      <c r="H2488" s="20" t="str">
        <f t="shared" si="115"/>
        <v>TRAIV</v>
      </c>
      <c r="I2488" s="20">
        <f t="shared" si="116"/>
        <v>0</v>
      </c>
    </row>
    <row r="2489" spans="1:9">
      <c r="A2489" s="17" t="s">
        <v>1286</v>
      </c>
      <c r="B2489" s="17" t="s">
        <v>1167</v>
      </c>
      <c r="C2489" s="17">
        <v>0</v>
      </c>
      <c r="D2489" s="17" t="s">
        <v>801</v>
      </c>
      <c r="E2489" s="18">
        <v>3004880554001</v>
      </c>
      <c r="G2489" s="20" t="str">
        <f t="shared" si="114"/>
        <v xml:space="preserve"> BORCHILAI       </v>
      </c>
      <c r="H2489" s="20" t="str">
        <f t="shared" si="115"/>
        <v>TWEGR</v>
      </c>
      <c r="I2489" s="20">
        <f t="shared" si="116"/>
        <v>0</v>
      </c>
    </row>
    <row r="2490" spans="1:9">
      <c r="A2490" s="17" t="s">
        <v>1286</v>
      </c>
      <c r="B2490" s="17" t="s">
        <v>1168</v>
      </c>
      <c r="C2490" s="17">
        <v>0</v>
      </c>
      <c r="D2490" s="17" t="s">
        <v>801</v>
      </c>
      <c r="E2490" s="18">
        <v>3004880555008</v>
      </c>
      <c r="G2490" s="20" t="str">
        <f t="shared" si="114"/>
        <v xml:space="preserve"> BORCHILAI       </v>
      </c>
      <c r="H2490" s="20" t="str">
        <f t="shared" si="115"/>
        <v>TWENO</v>
      </c>
      <c r="I2490" s="20">
        <f t="shared" si="116"/>
        <v>0</v>
      </c>
    </row>
    <row r="2491" spans="1:9">
      <c r="A2491" s="17" t="s">
        <v>1307</v>
      </c>
      <c r="B2491" s="17" t="s">
        <v>1308</v>
      </c>
      <c r="C2491" s="17">
        <v>0</v>
      </c>
      <c r="D2491" s="17" t="s">
        <v>801</v>
      </c>
      <c r="E2491" s="18">
        <v>3004940654009</v>
      </c>
      <c r="G2491" s="20" t="str">
        <f t="shared" si="114"/>
        <v xml:space="preserve"> BORCHISUEDINE   </v>
      </c>
      <c r="H2491" s="20" t="str">
        <f t="shared" si="115"/>
        <v>COCDO</v>
      </c>
      <c r="I2491" s="20">
        <f t="shared" si="116"/>
        <v>0</v>
      </c>
    </row>
    <row r="2492" spans="1:9">
      <c r="A2492" s="17" t="s">
        <v>1307</v>
      </c>
      <c r="B2492" s="17" t="s">
        <v>1308</v>
      </c>
      <c r="C2492" s="17">
        <v>0</v>
      </c>
      <c r="D2492" s="17" t="s">
        <v>801</v>
      </c>
      <c r="E2492" s="18">
        <v>3004280654004</v>
      </c>
      <c r="G2492" s="20" t="str">
        <f t="shared" si="114"/>
        <v xml:space="preserve"> BORCHISUEDINE   </v>
      </c>
      <c r="H2492" s="20" t="str">
        <f t="shared" si="115"/>
        <v>COCDO</v>
      </c>
      <c r="I2492" s="20">
        <f t="shared" si="116"/>
        <v>0</v>
      </c>
    </row>
    <row r="2493" spans="1:9">
      <c r="A2493" s="17" t="s">
        <v>1307</v>
      </c>
      <c r="B2493" s="17" t="s">
        <v>1309</v>
      </c>
      <c r="C2493" s="17">
        <v>0</v>
      </c>
      <c r="D2493" s="17" t="s">
        <v>801</v>
      </c>
      <c r="E2493" s="18">
        <v>3004940655006</v>
      </c>
      <c r="G2493" s="20" t="str">
        <f t="shared" si="114"/>
        <v xml:space="preserve"> BORCHISUEDINE   </v>
      </c>
      <c r="H2493" s="20" t="str">
        <f t="shared" si="115"/>
        <v>COCMA</v>
      </c>
      <c r="I2493" s="20">
        <f t="shared" si="116"/>
        <v>0</v>
      </c>
    </row>
    <row r="2494" spans="1:9">
      <c r="A2494" s="17" t="s">
        <v>1307</v>
      </c>
      <c r="B2494" s="17" t="s">
        <v>1309</v>
      </c>
      <c r="C2494" s="17">
        <v>0</v>
      </c>
      <c r="D2494" s="17" t="s">
        <v>801</v>
      </c>
      <c r="E2494" s="18">
        <v>3004280655001</v>
      </c>
      <c r="G2494" s="20" t="str">
        <f t="shared" si="114"/>
        <v xml:space="preserve"> BORCHISUEDINE   </v>
      </c>
      <c r="H2494" s="20" t="str">
        <f t="shared" si="115"/>
        <v>COCMA</v>
      </c>
      <c r="I2494" s="20">
        <f t="shared" si="116"/>
        <v>0</v>
      </c>
    </row>
    <row r="2495" spans="1:9">
      <c r="A2495" s="17" t="s">
        <v>1307</v>
      </c>
      <c r="B2495" s="17" t="s">
        <v>1310</v>
      </c>
      <c r="C2495" s="17">
        <v>0</v>
      </c>
      <c r="D2495" s="17" t="s">
        <v>801</v>
      </c>
      <c r="E2495" s="18">
        <v>3004940656003</v>
      </c>
      <c r="G2495" s="20" t="str">
        <f t="shared" si="114"/>
        <v xml:space="preserve"> BORCHISUEDINE   </v>
      </c>
      <c r="H2495" s="20" t="str">
        <f t="shared" si="115"/>
        <v>COCNO</v>
      </c>
      <c r="I2495" s="20">
        <f t="shared" si="116"/>
        <v>0</v>
      </c>
    </row>
    <row r="2496" spans="1:9">
      <c r="A2496" s="17" t="s">
        <v>1307</v>
      </c>
      <c r="B2496" s="17" t="s">
        <v>1310</v>
      </c>
      <c r="C2496" s="17">
        <v>0</v>
      </c>
      <c r="D2496" s="17" t="s">
        <v>801</v>
      </c>
      <c r="E2496" s="18">
        <v>3004280656008</v>
      </c>
      <c r="G2496" s="20" t="str">
        <f t="shared" si="114"/>
        <v xml:space="preserve"> BORCHISUEDINE   </v>
      </c>
      <c r="H2496" s="20" t="str">
        <f t="shared" si="115"/>
        <v>COCNO</v>
      </c>
      <c r="I2496" s="20">
        <f t="shared" si="116"/>
        <v>0</v>
      </c>
    </row>
    <row r="2497" spans="1:9">
      <c r="A2497" s="17" t="s">
        <v>1307</v>
      </c>
      <c r="B2497" s="17" t="s">
        <v>1311</v>
      </c>
      <c r="C2497" s="17">
        <v>0</v>
      </c>
      <c r="D2497" s="17" t="s">
        <v>801</v>
      </c>
      <c r="E2497" s="18">
        <v>3004940652005</v>
      </c>
      <c r="G2497" s="20" t="str">
        <f t="shared" si="114"/>
        <v xml:space="preserve"> BORCHISUEDINE   </v>
      </c>
      <c r="H2497" s="20" t="str">
        <f t="shared" si="115"/>
        <v>FIOMA</v>
      </c>
      <c r="I2497" s="20">
        <f t="shared" si="116"/>
        <v>0</v>
      </c>
    </row>
    <row r="2498" spans="1:9">
      <c r="A2498" s="17" t="s">
        <v>1307</v>
      </c>
      <c r="B2498" s="17" t="s">
        <v>1311</v>
      </c>
      <c r="C2498" s="17">
        <v>0</v>
      </c>
      <c r="D2498" s="17" t="s">
        <v>801</v>
      </c>
      <c r="E2498" s="18">
        <v>3004280652000</v>
      </c>
      <c r="G2498" s="20" t="str">
        <f t="shared" si="114"/>
        <v xml:space="preserve"> BORCHISUEDINE   </v>
      </c>
      <c r="H2498" s="20" t="str">
        <f t="shared" si="115"/>
        <v>FIOMA</v>
      </c>
      <c r="I2498" s="20">
        <f t="shared" si="116"/>
        <v>0</v>
      </c>
    </row>
    <row r="2499" spans="1:9">
      <c r="A2499" s="17" t="s">
        <v>1307</v>
      </c>
      <c r="B2499" s="17" t="s">
        <v>1312</v>
      </c>
      <c r="C2499" s="17">
        <v>0</v>
      </c>
      <c r="D2499" s="17" t="s">
        <v>801</v>
      </c>
      <c r="E2499" s="18">
        <v>3004940651008</v>
      </c>
      <c r="G2499" s="20" t="str">
        <f t="shared" si="114"/>
        <v xml:space="preserve"> BORCHISUEDINE   </v>
      </c>
      <c r="H2499" s="20" t="str">
        <f t="shared" si="115"/>
        <v>FIOPE</v>
      </c>
      <c r="I2499" s="20">
        <f t="shared" si="116"/>
        <v>0</v>
      </c>
    </row>
    <row r="2500" spans="1:9">
      <c r="A2500" s="17" t="s">
        <v>1307</v>
      </c>
      <c r="B2500" s="17" t="s">
        <v>1312</v>
      </c>
      <c r="C2500" s="17">
        <v>0</v>
      </c>
      <c r="D2500" s="17" t="s">
        <v>801</v>
      </c>
      <c r="E2500" s="18">
        <v>3004280651003</v>
      </c>
      <c r="G2500" s="20" t="str">
        <f t="shared" si="114"/>
        <v xml:space="preserve"> BORCHISUEDINE   </v>
      </c>
      <c r="H2500" s="20" t="str">
        <f t="shared" si="115"/>
        <v>FIOPE</v>
      </c>
      <c r="I2500" s="20">
        <f t="shared" si="116"/>
        <v>0</v>
      </c>
    </row>
    <row r="2501" spans="1:9">
      <c r="A2501" s="17" t="s">
        <v>1307</v>
      </c>
      <c r="B2501" s="17" t="s">
        <v>1313</v>
      </c>
      <c r="C2501" s="17">
        <v>0</v>
      </c>
      <c r="D2501" s="17" t="s">
        <v>801</v>
      </c>
      <c r="E2501" s="18">
        <v>3004940653002</v>
      </c>
      <c r="G2501" s="20" t="str">
        <f t="shared" ref="G2501:G2564" si="117">A2501</f>
        <v xml:space="preserve"> BORCHISUEDINE   </v>
      </c>
      <c r="H2501" s="20" t="str">
        <f t="shared" ref="H2501:H2564" si="118">B2501</f>
        <v>FIOVI</v>
      </c>
      <c r="I2501" s="20">
        <f t="shared" ref="I2501:I2564" si="119">C2501</f>
        <v>0</v>
      </c>
    </row>
    <row r="2502" spans="1:9">
      <c r="A2502" s="17" t="s">
        <v>1307</v>
      </c>
      <c r="B2502" s="17" t="s">
        <v>1313</v>
      </c>
      <c r="C2502" s="17">
        <v>0</v>
      </c>
      <c r="D2502" s="17" t="s">
        <v>801</v>
      </c>
      <c r="E2502" s="18">
        <v>3004280653007</v>
      </c>
      <c r="G2502" s="20" t="str">
        <f t="shared" si="117"/>
        <v xml:space="preserve"> BORCHISUEDINE   </v>
      </c>
      <c r="H2502" s="20" t="str">
        <f t="shared" si="118"/>
        <v>FIOVI</v>
      </c>
      <c r="I2502" s="20">
        <f t="shared" si="119"/>
        <v>0</v>
      </c>
    </row>
    <row r="2503" spans="1:9">
      <c r="A2503" s="17" t="s">
        <v>1314</v>
      </c>
      <c r="B2503" s="17" t="s">
        <v>1244</v>
      </c>
      <c r="C2503" s="17">
        <v>0</v>
      </c>
      <c r="D2503" s="17" t="s">
        <v>801</v>
      </c>
      <c r="E2503" s="18">
        <v>3004860264005</v>
      </c>
      <c r="G2503" s="20" t="str">
        <f t="shared" si="117"/>
        <v xml:space="preserve"> BORDOBASKET     </v>
      </c>
      <c r="H2503" s="20" t="str">
        <f t="shared" si="118"/>
        <v xml:space="preserve">LABE </v>
      </c>
      <c r="I2503" s="20">
        <f t="shared" si="119"/>
        <v>0</v>
      </c>
    </row>
    <row r="2504" spans="1:9">
      <c r="A2504" s="17" t="s">
        <v>1314</v>
      </c>
      <c r="B2504" s="17" t="s">
        <v>1245</v>
      </c>
      <c r="C2504" s="17">
        <v>0</v>
      </c>
      <c r="D2504" s="17" t="s">
        <v>801</v>
      </c>
      <c r="E2504" s="18">
        <v>3004860265002</v>
      </c>
      <c r="G2504" s="20" t="str">
        <f t="shared" si="117"/>
        <v xml:space="preserve"> BORDOBASKET     </v>
      </c>
      <c r="H2504" s="20" t="str">
        <f t="shared" si="118"/>
        <v>LANOI</v>
      </c>
      <c r="I2504" s="20">
        <f t="shared" si="119"/>
        <v>0</v>
      </c>
    </row>
    <row r="2505" spans="1:9">
      <c r="A2505" s="17" t="s">
        <v>1315</v>
      </c>
      <c r="B2505" s="17" t="s">
        <v>1316</v>
      </c>
      <c r="C2505" s="17">
        <v>0</v>
      </c>
      <c r="D2505" s="17" t="s">
        <v>801</v>
      </c>
      <c r="E2505" s="18">
        <v>8056099171031</v>
      </c>
      <c r="G2505" s="20" t="str">
        <f t="shared" si="117"/>
        <v xml:space="preserve"> BORDOCHIC       </v>
      </c>
      <c r="H2505" s="20" t="str">
        <f t="shared" si="118"/>
        <v>CARNO</v>
      </c>
      <c r="I2505" s="20">
        <f t="shared" si="119"/>
        <v>0</v>
      </c>
    </row>
    <row r="2506" spans="1:9">
      <c r="A2506" s="17" t="s">
        <v>1315</v>
      </c>
      <c r="B2506" s="17" t="s">
        <v>1083</v>
      </c>
      <c r="C2506" s="17">
        <v>0</v>
      </c>
      <c r="D2506" s="17" t="s">
        <v>801</v>
      </c>
      <c r="E2506" s="18">
        <v>8056099171024</v>
      </c>
      <c r="G2506" s="20" t="str">
        <f t="shared" si="117"/>
        <v xml:space="preserve"> BORDOCHIC       </v>
      </c>
      <c r="H2506" s="20" t="str">
        <f t="shared" si="118"/>
        <v>CARRO</v>
      </c>
      <c r="I2506" s="20">
        <f t="shared" si="119"/>
        <v>0</v>
      </c>
    </row>
    <row r="2507" spans="1:9">
      <c r="A2507" s="17" t="s">
        <v>1315</v>
      </c>
      <c r="B2507" s="17" t="s">
        <v>1317</v>
      </c>
      <c r="C2507" s="17">
        <v>0</v>
      </c>
      <c r="D2507" s="17" t="s">
        <v>801</v>
      </c>
      <c r="E2507" s="18">
        <v>8056099171086</v>
      </c>
      <c r="G2507" s="20" t="str">
        <f t="shared" si="117"/>
        <v xml:space="preserve"> BORDOCHIC       </v>
      </c>
      <c r="H2507" s="20" t="str">
        <f t="shared" si="118"/>
        <v>SOIAC</v>
      </c>
      <c r="I2507" s="20">
        <f t="shared" si="119"/>
        <v>0</v>
      </c>
    </row>
    <row r="2508" spans="1:9">
      <c r="A2508" s="17" t="s">
        <v>1315</v>
      </c>
      <c r="B2508" s="17" t="s">
        <v>1318</v>
      </c>
      <c r="C2508" s="17">
        <v>0</v>
      </c>
      <c r="D2508" s="17" t="s">
        <v>801</v>
      </c>
      <c r="E2508" s="18">
        <v>8056099171079</v>
      </c>
      <c r="G2508" s="20" t="str">
        <f t="shared" si="117"/>
        <v xml:space="preserve"> BORDOCHIC       </v>
      </c>
      <c r="H2508" s="20" t="str">
        <f t="shared" si="118"/>
        <v>SOIOC</v>
      </c>
      <c r="I2508" s="20">
        <f t="shared" si="119"/>
        <v>0</v>
      </c>
    </row>
    <row r="2509" spans="1:9">
      <c r="A2509" s="17" t="s">
        <v>1315</v>
      </c>
      <c r="B2509" s="17" t="s">
        <v>1319</v>
      </c>
      <c r="C2509" s="17">
        <v>0</v>
      </c>
      <c r="D2509" s="17" t="s">
        <v>801</v>
      </c>
      <c r="E2509" s="18">
        <v>8056099171093</v>
      </c>
      <c r="G2509" s="20" t="str">
        <f t="shared" si="117"/>
        <v xml:space="preserve"> BORDOCHIC       </v>
      </c>
      <c r="H2509" s="20" t="str">
        <f t="shared" si="118"/>
        <v>SOISI</v>
      </c>
      <c r="I2509" s="20">
        <f t="shared" si="119"/>
        <v>0</v>
      </c>
    </row>
    <row r="2510" spans="1:9">
      <c r="A2510" s="17" t="s">
        <v>1320</v>
      </c>
      <c r="B2510" s="17" t="s">
        <v>1299</v>
      </c>
      <c r="C2510" s="17">
        <v>0</v>
      </c>
      <c r="D2510" s="17" t="s">
        <v>801</v>
      </c>
      <c r="E2510" s="18">
        <v>8050538590087</v>
      </c>
      <c r="G2510" s="20" t="str">
        <f t="shared" si="117"/>
        <v xml:space="preserve"> BORDOCITY       </v>
      </c>
      <c r="H2510" s="20" t="str">
        <f t="shared" si="118"/>
        <v>LAIBL</v>
      </c>
      <c r="I2510" s="20">
        <f t="shared" si="119"/>
        <v>0</v>
      </c>
    </row>
    <row r="2511" spans="1:9">
      <c r="A2511" s="17" t="s">
        <v>1320</v>
      </c>
      <c r="B2511" s="17" t="s">
        <v>1321</v>
      </c>
      <c r="C2511" s="17">
        <v>0</v>
      </c>
      <c r="D2511" s="17" t="s">
        <v>801</v>
      </c>
      <c r="E2511" s="18">
        <v>8056099179945</v>
      </c>
      <c r="G2511" s="20" t="str">
        <f t="shared" si="117"/>
        <v xml:space="preserve"> BORDOCITY       </v>
      </c>
      <c r="H2511" s="20" t="str">
        <f t="shared" si="118"/>
        <v>LAIDO</v>
      </c>
      <c r="I2511" s="20">
        <f t="shared" si="119"/>
        <v>0</v>
      </c>
    </row>
    <row r="2512" spans="1:9">
      <c r="A2512" s="17" t="s">
        <v>1320</v>
      </c>
      <c r="B2512" s="17" t="s">
        <v>1322</v>
      </c>
      <c r="C2512" s="17">
        <v>0</v>
      </c>
      <c r="D2512" s="17" t="s">
        <v>801</v>
      </c>
      <c r="E2512" s="18">
        <v>8050538590650</v>
      </c>
      <c r="G2512" s="20" t="str">
        <f t="shared" si="117"/>
        <v xml:space="preserve"> BORDOCITY       </v>
      </c>
      <c r="H2512" s="20" t="str">
        <f t="shared" si="118"/>
        <v>LAINO</v>
      </c>
      <c r="I2512" s="20">
        <f t="shared" si="119"/>
        <v>0</v>
      </c>
    </row>
    <row r="2513" spans="1:9">
      <c r="A2513" s="17" t="s">
        <v>1323</v>
      </c>
      <c r="B2513" s="17" t="s">
        <v>1198</v>
      </c>
      <c r="C2513" s="17">
        <v>0</v>
      </c>
      <c r="D2513" s="17" t="s">
        <v>801</v>
      </c>
      <c r="E2513" s="18">
        <v>3005311131006</v>
      </c>
      <c r="G2513" s="20" t="str">
        <f t="shared" si="117"/>
        <v xml:space="preserve"> BORDOFIFTY      </v>
      </c>
      <c r="H2513" s="20" t="str">
        <f t="shared" si="118"/>
        <v>ECOGR</v>
      </c>
      <c r="I2513" s="20">
        <f t="shared" si="119"/>
        <v>0</v>
      </c>
    </row>
    <row r="2514" spans="1:9">
      <c r="A2514" s="17" t="s">
        <v>1323</v>
      </c>
      <c r="B2514" s="17" t="s">
        <v>1198</v>
      </c>
      <c r="C2514" s="17">
        <v>0</v>
      </c>
      <c r="D2514" s="17" t="s">
        <v>801</v>
      </c>
      <c r="E2514" s="18">
        <v>8056095066041</v>
      </c>
      <c r="G2514" s="20" t="str">
        <f t="shared" si="117"/>
        <v xml:space="preserve"> BORDOFIFTY      </v>
      </c>
      <c r="H2514" s="20" t="str">
        <f t="shared" si="118"/>
        <v>ECOGR</v>
      </c>
      <c r="I2514" s="20">
        <f t="shared" si="119"/>
        <v>0</v>
      </c>
    </row>
    <row r="2515" spans="1:9">
      <c r="A2515" s="17" t="s">
        <v>1323</v>
      </c>
      <c r="B2515" s="17" t="s">
        <v>1324</v>
      </c>
      <c r="C2515" s="17">
        <v>0</v>
      </c>
      <c r="D2515" s="17" t="s">
        <v>801</v>
      </c>
      <c r="E2515" s="18">
        <v>3005311128006</v>
      </c>
      <c r="G2515" s="20" t="str">
        <f t="shared" si="117"/>
        <v xml:space="preserve"> BORDOFIFTY      </v>
      </c>
      <c r="H2515" s="20" t="str">
        <f t="shared" si="118"/>
        <v>ECOPH</v>
      </c>
      <c r="I2515" s="20">
        <f t="shared" si="119"/>
        <v>0</v>
      </c>
    </row>
    <row r="2516" spans="1:9">
      <c r="A2516" s="17" t="s">
        <v>1323</v>
      </c>
      <c r="B2516" s="17" t="s">
        <v>1324</v>
      </c>
      <c r="C2516" s="17">
        <v>0</v>
      </c>
      <c r="D2516" s="17" t="s">
        <v>801</v>
      </c>
      <c r="E2516" s="18">
        <v>8056098530068</v>
      </c>
      <c r="G2516" s="20" t="str">
        <f t="shared" si="117"/>
        <v xml:space="preserve"> BORDOFIFTY      </v>
      </c>
      <c r="H2516" s="20" t="str">
        <f t="shared" si="118"/>
        <v>ECOPH</v>
      </c>
      <c r="I2516" s="20">
        <f t="shared" si="119"/>
        <v>0</v>
      </c>
    </row>
    <row r="2517" spans="1:9">
      <c r="A2517" s="17" t="s">
        <v>1323</v>
      </c>
      <c r="B2517" s="17" t="s">
        <v>1186</v>
      </c>
      <c r="C2517" s="17">
        <v>0</v>
      </c>
      <c r="D2517" s="17" t="s">
        <v>801</v>
      </c>
      <c r="E2517" s="18">
        <v>3005310713005</v>
      </c>
      <c r="G2517" s="20" t="str">
        <f t="shared" si="117"/>
        <v xml:space="preserve"> BORDOFIFTY      </v>
      </c>
      <c r="H2517" s="20" t="str">
        <f t="shared" si="118"/>
        <v>ECOTE</v>
      </c>
      <c r="I2517" s="20">
        <f t="shared" si="119"/>
        <v>0</v>
      </c>
    </row>
    <row r="2518" spans="1:9">
      <c r="A2518" s="17" t="s">
        <v>1323</v>
      </c>
      <c r="B2518" s="17" t="s">
        <v>1199</v>
      </c>
      <c r="C2518" s="17">
        <v>0</v>
      </c>
      <c r="D2518" s="17" t="s">
        <v>801</v>
      </c>
      <c r="E2518" s="18">
        <v>3005311130009</v>
      </c>
      <c r="G2518" s="20" t="str">
        <f t="shared" si="117"/>
        <v xml:space="preserve"> BORDOFIFTY      </v>
      </c>
      <c r="H2518" s="20" t="str">
        <f t="shared" si="118"/>
        <v>ECOVE</v>
      </c>
      <c r="I2518" s="20">
        <f t="shared" si="119"/>
        <v>0</v>
      </c>
    </row>
    <row r="2519" spans="1:9">
      <c r="A2519" s="17" t="s">
        <v>1323</v>
      </c>
      <c r="B2519" s="17" t="s">
        <v>1199</v>
      </c>
      <c r="C2519" s="17">
        <v>0</v>
      </c>
      <c r="D2519" s="17" t="s">
        <v>801</v>
      </c>
      <c r="E2519" s="18">
        <v>8056095066058</v>
      </c>
      <c r="G2519" s="20" t="str">
        <f t="shared" si="117"/>
        <v xml:space="preserve"> BORDOFIFTY      </v>
      </c>
      <c r="H2519" s="20" t="str">
        <f t="shared" si="118"/>
        <v>ECOVE</v>
      </c>
      <c r="I2519" s="20">
        <f t="shared" si="119"/>
        <v>0</v>
      </c>
    </row>
    <row r="2520" spans="1:9">
      <c r="A2520" s="17" t="s">
        <v>1323</v>
      </c>
      <c r="B2520" s="17" t="s">
        <v>1209</v>
      </c>
      <c r="C2520" s="17">
        <v>0</v>
      </c>
      <c r="D2520" s="17" t="s">
        <v>801</v>
      </c>
      <c r="E2520" s="18">
        <v>3005311129003</v>
      </c>
      <c r="G2520" s="20" t="str">
        <f t="shared" si="117"/>
        <v xml:space="preserve"> BORDOFIFTY      </v>
      </c>
      <c r="H2520" s="20" t="str">
        <f t="shared" si="118"/>
        <v>ECTER</v>
      </c>
      <c r="I2520" s="20">
        <f t="shared" si="119"/>
        <v>0</v>
      </c>
    </row>
    <row r="2521" spans="1:9">
      <c r="A2521" s="17" t="s">
        <v>1323</v>
      </c>
      <c r="B2521" s="17" t="s">
        <v>1209</v>
      </c>
      <c r="C2521" s="17">
        <v>0</v>
      </c>
      <c r="D2521" s="17" t="s">
        <v>801</v>
      </c>
      <c r="E2521" s="18">
        <v>8056098530075</v>
      </c>
      <c r="G2521" s="20" t="str">
        <f t="shared" si="117"/>
        <v xml:space="preserve"> BORDOFIFTY      </v>
      </c>
      <c r="H2521" s="20" t="str">
        <f t="shared" si="118"/>
        <v>ECTER</v>
      </c>
      <c r="I2521" s="20">
        <f t="shared" si="119"/>
        <v>0</v>
      </c>
    </row>
    <row r="2522" spans="1:9">
      <c r="A2522" s="17" t="s">
        <v>1323</v>
      </c>
      <c r="B2522" s="17" t="s">
        <v>1325</v>
      </c>
      <c r="C2522" s="17">
        <v>0</v>
      </c>
      <c r="D2522" s="17" t="s">
        <v>801</v>
      </c>
      <c r="E2522" s="18">
        <v>8056095063675</v>
      </c>
      <c r="G2522" s="20" t="str">
        <f t="shared" si="117"/>
        <v xml:space="preserve"> BORDOFIFTY      </v>
      </c>
      <c r="H2522" s="20" t="str">
        <f t="shared" si="118"/>
        <v>TRBLU</v>
      </c>
      <c r="I2522" s="20">
        <f t="shared" si="119"/>
        <v>0</v>
      </c>
    </row>
    <row r="2523" spans="1:9">
      <c r="A2523" s="17" t="s">
        <v>1323</v>
      </c>
      <c r="B2523" s="17" t="s">
        <v>1325</v>
      </c>
      <c r="C2523" s="17">
        <v>0</v>
      </c>
      <c r="D2523" s="17" t="s">
        <v>801</v>
      </c>
      <c r="E2523" s="18">
        <v>3005311126002</v>
      </c>
      <c r="G2523" s="20" t="str">
        <f t="shared" si="117"/>
        <v xml:space="preserve"> BORDOFIFTY      </v>
      </c>
      <c r="H2523" s="20" t="str">
        <f t="shared" si="118"/>
        <v>TRBLU</v>
      </c>
      <c r="I2523" s="20">
        <f t="shared" si="119"/>
        <v>0</v>
      </c>
    </row>
    <row r="2524" spans="1:9">
      <c r="A2524" s="17" t="s">
        <v>1323</v>
      </c>
      <c r="B2524" s="17" t="s">
        <v>1326</v>
      </c>
      <c r="C2524" s="17">
        <v>0</v>
      </c>
      <c r="D2524" s="17" t="s">
        <v>801</v>
      </c>
      <c r="E2524" s="18">
        <v>8056095063682</v>
      </c>
      <c r="G2524" s="20" t="str">
        <f t="shared" si="117"/>
        <v xml:space="preserve"> BORDOFIFTY      </v>
      </c>
      <c r="H2524" s="20" t="str">
        <f t="shared" si="118"/>
        <v>TREVE</v>
      </c>
      <c r="I2524" s="20">
        <f t="shared" si="119"/>
        <v>0</v>
      </c>
    </row>
    <row r="2525" spans="1:9">
      <c r="A2525" s="17" t="s">
        <v>1323</v>
      </c>
      <c r="B2525" s="17" t="s">
        <v>1326</v>
      </c>
      <c r="C2525" s="17">
        <v>0</v>
      </c>
      <c r="D2525" s="17" t="s">
        <v>801</v>
      </c>
      <c r="E2525" s="18">
        <v>3005311127009</v>
      </c>
      <c r="G2525" s="20" t="str">
        <f t="shared" si="117"/>
        <v xml:space="preserve"> BORDOFIFTY      </v>
      </c>
      <c r="H2525" s="20" t="str">
        <f t="shared" si="118"/>
        <v>TREVE</v>
      </c>
      <c r="I2525" s="20">
        <f t="shared" si="119"/>
        <v>0</v>
      </c>
    </row>
    <row r="2526" spans="1:9">
      <c r="A2526" s="17" t="s">
        <v>1327</v>
      </c>
      <c r="B2526" s="17" t="s">
        <v>969</v>
      </c>
      <c r="C2526" s="17">
        <v>0</v>
      </c>
      <c r="D2526" s="17" t="s">
        <v>801</v>
      </c>
      <c r="E2526" s="18">
        <v>8050538594887</v>
      </c>
      <c r="G2526" s="20" t="str">
        <f t="shared" si="117"/>
        <v xml:space="preserve"> BORDURES        </v>
      </c>
      <c r="H2526" s="20" t="str">
        <f t="shared" si="118"/>
        <v>3DLAT</v>
      </c>
      <c r="I2526" s="20">
        <f t="shared" si="119"/>
        <v>0</v>
      </c>
    </row>
    <row r="2527" spans="1:9">
      <c r="A2527" s="17" t="s">
        <v>1327</v>
      </c>
      <c r="B2527" s="17" t="s">
        <v>969</v>
      </c>
      <c r="C2527" s="17">
        <v>0</v>
      </c>
      <c r="D2527" s="17" t="s">
        <v>801</v>
      </c>
      <c r="E2527" s="18">
        <v>8050846012301</v>
      </c>
      <c r="G2527" s="20" t="str">
        <f t="shared" si="117"/>
        <v xml:space="preserve"> BORDURES        </v>
      </c>
      <c r="H2527" s="20" t="str">
        <f t="shared" si="118"/>
        <v>3DLAT</v>
      </c>
      <c r="I2527" s="20">
        <f t="shared" si="119"/>
        <v>0</v>
      </c>
    </row>
    <row r="2528" spans="1:9">
      <c r="A2528" s="17" t="s">
        <v>1327</v>
      </c>
      <c r="B2528" s="17" t="s">
        <v>1328</v>
      </c>
      <c r="C2528" s="17">
        <v>0</v>
      </c>
      <c r="D2528" s="17" t="s">
        <v>801</v>
      </c>
      <c r="E2528" s="18">
        <v>3003740541007</v>
      </c>
      <c r="G2528" s="20" t="str">
        <f t="shared" si="117"/>
        <v xml:space="preserve"> BORDURES        </v>
      </c>
      <c r="H2528" s="20" t="str">
        <f t="shared" si="118"/>
        <v xml:space="preserve">AGUG </v>
      </c>
      <c r="I2528" s="20">
        <f t="shared" si="119"/>
        <v>0</v>
      </c>
    </row>
    <row r="2529" spans="1:9">
      <c r="A2529" s="17" t="s">
        <v>1327</v>
      </c>
      <c r="B2529" s="17" t="s">
        <v>1329</v>
      </c>
      <c r="C2529" s="17">
        <v>0</v>
      </c>
      <c r="D2529" s="17" t="s">
        <v>801</v>
      </c>
      <c r="E2529" s="18">
        <v>3003740132007</v>
      </c>
      <c r="G2529" s="20" t="str">
        <f t="shared" si="117"/>
        <v xml:space="preserve"> BORDURES        </v>
      </c>
      <c r="H2529" s="20" t="str">
        <f t="shared" si="118"/>
        <v xml:space="preserve">BLWH </v>
      </c>
      <c r="I2529" s="20">
        <f t="shared" si="119"/>
        <v>0</v>
      </c>
    </row>
    <row r="2530" spans="1:9">
      <c r="A2530" s="17" t="s">
        <v>1327</v>
      </c>
      <c r="B2530" s="17" t="s">
        <v>1330</v>
      </c>
      <c r="C2530" s="17">
        <v>0</v>
      </c>
      <c r="D2530" s="17" t="s">
        <v>801</v>
      </c>
      <c r="E2530" s="18">
        <v>3003740584004</v>
      </c>
      <c r="G2530" s="20" t="str">
        <f t="shared" si="117"/>
        <v xml:space="preserve"> BORDURES        </v>
      </c>
      <c r="H2530" s="20" t="str">
        <f t="shared" si="118"/>
        <v>BOUJA</v>
      </c>
      <c r="I2530" s="20">
        <f t="shared" si="119"/>
        <v>0</v>
      </c>
    </row>
    <row r="2531" spans="1:9">
      <c r="A2531" s="17" t="s">
        <v>1327</v>
      </c>
      <c r="B2531" s="17" t="s">
        <v>1331</v>
      </c>
      <c r="C2531" s="17">
        <v>0</v>
      </c>
      <c r="D2531" s="17" t="s">
        <v>801</v>
      </c>
      <c r="E2531" s="18">
        <v>3003740542004</v>
      </c>
      <c r="G2531" s="20" t="str">
        <f t="shared" si="117"/>
        <v xml:space="preserve"> BORDURES        </v>
      </c>
      <c r="H2531" s="20" t="str">
        <f t="shared" si="118"/>
        <v>BOUOR</v>
      </c>
      <c r="I2531" s="20">
        <f t="shared" si="119"/>
        <v>0</v>
      </c>
    </row>
    <row r="2532" spans="1:9">
      <c r="A2532" s="17" t="s">
        <v>1327</v>
      </c>
      <c r="B2532" s="17" t="s">
        <v>1332</v>
      </c>
      <c r="C2532" s="17">
        <v>0</v>
      </c>
      <c r="D2532" s="17" t="s">
        <v>801</v>
      </c>
      <c r="E2532" s="18">
        <v>8056099178177</v>
      </c>
      <c r="G2532" s="20" t="str">
        <f t="shared" si="117"/>
        <v xml:space="preserve"> BORDURES        </v>
      </c>
      <c r="H2532" s="20" t="str">
        <f t="shared" si="118"/>
        <v>BOUTO</v>
      </c>
      <c r="I2532" s="20">
        <f t="shared" si="119"/>
        <v>0</v>
      </c>
    </row>
    <row r="2533" spans="1:9">
      <c r="A2533" s="17" t="s">
        <v>1327</v>
      </c>
      <c r="B2533" s="17" t="s">
        <v>1274</v>
      </c>
      <c r="C2533" s="17">
        <v>0</v>
      </c>
      <c r="D2533" s="17" t="s">
        <v>801</v>
      </c>
      <c r="E2533" s="18">
        <v>3002381113000</v>
      </c>
      <c r="G2533" s="20" t="str">
        <f t="shared" si="117"/>
        <v xml:space="preserve"> BORDURES        </v>
      </c>
      <c r="H2533" s="20" t="str">
        <f t="shared" si="118"/>
        <v>BRODE</v>
      </c>
      <c r="I2533" s="20">
        <f t="shared" si="119"/>
        <v>0</v>
      </c>
    </row>
    <row r="2534" spans="1:9">
      <c r="A2534" s="17" t="s">
        <v>1327</v>
      </c>
      <c r="B2534" s="17" t="s">
        <v>1274</v>
      </c>
      <c r="C2534" s="17">
        <v>0</v>
      </c>
      <c r="D2534" s="17" t="s">
        <v>801</v>
      </c>
      <c r="E2534" s="18">
        <v>8056095064511</v>
      </c>
      <c r="G2534" s="20" t="str">
        <f t="shared" si="117"/>
        <v xml:space="preserve"> BORDURES        </v>
      </c>
      <c r="H2534" s="20" t="str">
        <f t="shared" si="118"/>
        <v>BRODE</v>
      </c>
      <c r="I2534" s="20">
        <f t="shared" si="119"/>
        <v>0</v>
      </c>
    </row>
    <row r="2535" spans="1:9">
      <c r="A2535" s="17" t="s">
        <v>1327</v>
      </c>
      <c r="B2535" s="17" t="s">
        <v>1333</v>
      </c>
      <c r="C2535" s="17">
        <v>0</v>
      </c>
      <c r="D2535" s="17" t="s">
        <v>801</v>
      </c>
      <c r="E2535" s="18">
        <v>3002381112003</v>
      </c>
      <c r="G2535" s="20" t="str">
        <f t="shared" si="117"/>
        <v xml:space="preserve"> BORDURES        </v>
      </c>
      <c r="H2535" s="20" t="str">
        <f t="shared" si="118"/>
        <v>BROGR</v>
      </c>
      <c r="I2535" s="20">
        <f t="shared" si="119"/>
        <v>0</v>
      </c>
    </row>
    <row r="2536" spans="1:9">
      <c r="A2536" s="17" t="s">
        <v>1327</v>
      </c>
      <c r="B2536" s="17" t="s">
        <v>1333</v>
      </c>
      <c r="C2536" s="17">
        <v>0</v>
      </c>
      <c r="D2536" s="17" t="s">
        <v>801</v>
      </c>
      <c r="E2536" s="18">
        <v>8056095064771</v>
      </c>
      <c r="G2536" s="20" t="str">
        <f t="shared" si="117"/>
        <v xml:space="preserve"> BORDURES        </v>
      </c>
      <c r="H2536" s="20" t="str">
        <f t="shared" si="118"/>
        <v>BROGR</v>
      </c>
      <c r="I2536" s="20">
        <f t="shared" si="119"/>
        <v>0</v>
      </c>
    </row>
    <row r="2537" spans="1:9">
      <c r="A2537" s="17" t="s">
        <v>1327</v>
      </c>
      <c r="B2537" s="17" t="s">
        <v>1275</v>
      </c>
      <c r="C2537" s="17">
        <v>0</v>
      </c>
      <c r="D2537" s="17" t="s">
        <v>801</v>
      </c>
      <c r="E2537" s="18">
        <v>3002381111006</v>
      </c>
      <c r="G2537" s="20" t="str">
        <f t="shared" si="117"/>
        <v xml:space="preserve"> BORDURES        </v>
      </c>
      <c r="H2537" s="20" t="str">
        <f t="shared" si="118"/>
        <v>BROIV</v>
      </c>
      <c r="I2537" s="20">
        <f t="shared" si="119"/>
        <v>0</v>
      </c>
    </row>
    <row r="2538" spans="1:9">
      <c r="A2538" s="17" t="s">
        <v>1327</v>
      </c>
      <c r="B2538" s="17" t="s">
        <v>1275</v>
      </c>
      <c r="C2538" s="17">
        <v>0</v>
      </c>
      <c r="D2538" s="17" t="s">
        <v>801</v>
      </c>
      <c r="E2538" s="18">
        <v>8056095064764</v>
      </c>
      <c r="G2538" s="20" t="str">
        <f t="shared" si="117"/>
        <v xml:space="preserve"> BORDURES        </v>
      </c>
      <c r="H2538" s="20" t="str">
        <f t="shared" si="118"/>
        <v>BROIV</v>
      </c>
      <c r="I2538" s="20">
        <f t="shared" si="119"/>
        <v>0</v>
      </c>
    </row>
    <row r="2539" spans="1:9">
      <c r="A2539" s="17" t="s">
        <v>1327</v>
      </c>
      <c r="B2539" s="17" t="s">
        <v>1334</v>
      </c>
      <c r="C2539" s="17">
        <v>0</v>
      </c>
      <c r="D2539" s="17" t="s">
        <v>801</v>
      </c>
      <c r="E2539" s="18">
        <v>3003740317008</v>
      </c>
      <c r="G2539" s="20" t="str">
        <f t="shared" si="117"/>
        <v xml:space="preserve"> BORDURES        </v>
      </c>
      <c r="H2539" s="20" t="str">
        <f t="shared" si="118"/>
        <v>CACHB</v>
      </c>
      <c r="I2539" s="20">
        <f t="shared" si="119"/>
        <v>0</v>
      </c>
    </row>
    <row r="2540" spans="1:9">
      <c r="A2540" s="17" t="s">
        <v>1327</v>
      </c>
      <c r="B2540" s="17" t="s">
        <v>1289</v>
      </c>
      <c r="C2540" s="17">
        <v>0</v>
      </c>
      <c r="D2540" s="17" t="s">
        <v>801</v>
      </c>
      <c r="E2540" s="18">
        <v>3003740318005</v>
      </c>
      <c r="G2540" s="20" t="str">
        <f t="shared" si="117"/>
        <v xml:space="preserve"> BORDURES        </v>
      </c>
      <c r="H2540" s="20" t="str">
        <f t="shared" si="118"/>
        <v>CACHD</v>
      </c>
      <c r="I2540" s="20">
        <f t="shared" si="119"/>
        <v>0</v>
      </c>
    </row>
    <row r="2541" spans="1:9">
      <c r="A2541" s="17" t="s">
        <v>1327</v>
      </c>
      <c r="B2541" s="17" t="s">
        <v>1290</v>
      </c>
      <c r="C2541" s="17">
        <v>0</v>
      </c>
      <c r="D2541" s="17" t="s">
        <v>801</v>
      </c>
      <c r="E2541" s="18">
        <v>3003740315004</v>
      </c>
      <c r="G2541" s="20" t="str">
        <f t="shared" si="117"/>
        <v xml:space="preserve"> BORDURES        </v>
      </c>
      <c r="H2541" s="20" t="str">
        <f t="shared" si="118"/>
        <v>CACHG</v>
      </c>
      <c r="I2541" s="20">
        <f t="shared" si="119"/>
        <v>0</v>
      </c>
    </row>
    <row r="2542" spans="1:9">
      <c r="A2542" s="17" t="s">
        <v>1327</v>
      </c>
      <c r="B2542" s="17" t="s">
        <v>1291</v>
      </c>
      <c r="C2542" s="17">
        <v>0</v>
      </c>
      <c r="D2542" s="17" t="s">
        <v>801</v>
      </c>
      <c r="E2542" s="18">
        <v>3003740316001</v>
      </c>
      <c r="G2542" s="20" t="str">
        <f t="shared" si="117"/>
        <v xml:space="preserve"> BORDURES        </v>
      </c>
      <c r="H2542" s="20" t="str">
        <f t="shared" si="118"/>
        <v>CACHM</v>
      </c>
      <c r="I2542" s="20">
        <f t="shared" si="119"/>
        <v>0</v>
      </c>
    </row>
    <row r="2543" spans="1:9">
      <c r="A2543" s="17" t="s">
        <v>1327</v>
      </c>
      <c r="B2543" s="17" t="s">
        <v>1335</v>
      </c>
      <c r="C2543" s="17">
        <v>0</v>
      </c>
      <c r="D2543" s="17" t="s">
        <v>801</v>
      </c>
      <c r="E2543" s="18">
        <v>3002380759001</v>
      </c>
      <c r="G2543" s="20" t="str">
        <f t="shared" si="117"/>
        <v xml:space="preserve"> BORDURES        </v>
      </c>
      <c r="H2543" s="20" t="str">
        <f t="shared" si="118"/>
        <v>CAMET</v>
      </c>
      <c r="I2543" s="20">
        <f t="shared" si="119"/>
        <v>0</v>
      </c>
    </row>
    <row r="2544" spans="1:9">
      <c r="A2544" s="17" t="s">
        <v>1327</v>
      </c>
      <c r="B2544" s="17" t="s">
        <v>1336</v>
      </c>
      <c r="C2544" s="17">
        <v>0</v>
      </c>
      <c r="D2544" s="17" t="s">
        <v>801</v>
      </c>
      <c r="E2544" s="18">
        <v>8056099170829</v>
      </c>
      <c r="G2544" s="20" t="str">
        <f t="shared" si="117"/>
        <v xml:space="preserve"> BORDURES        </v>
      </c>
      <c r="H2544" s="20" t="str">
        <f t="shared" si="118"/>
        <v>CARBL</v>
      </c>
      <c r="I2544" s="20">
        <f t="shared" si="119"/>
        <v>0</v>
      </c>
    </row>
    <row r="2545" spans="1:9">
      <c r="A2545" s="17" t="s">
        <v>1327</v>
      </c>
      <c r="B2545" s="17" t="s">
        <v>1336</v>
      </c>
      <c r="C2545" s="17">
        <v>0</v>
      </c>
      <c r="D2545" s="17" t="s">
        <v>801</v>
      </c>
      <c r="E2545" s="18">
        <v>3003740248005</v>
      </c>
      <c r="G2545" s="20" t="str">
        <f t="shared" si="117"/>
        <v xml:space="preserve"> BORDURES        </v>
      </c>
      <c r="H2545" s="20" t="str">
        <f t="shared" si="118"/>
        <v>CARBL</v>
      </c>
      <c r="I2545" s="20">
        <f t="shared" si="119"/>
        <v>0</v>
      </c>
    </row>
    <row r="2546" spans="1:9">
      <c r="A2546" s="17" t="s">
        <v>1327</v>
      </c>
      <c r="B2546" s="17" t="s">
        <v>1337</v>
      </c>
      <c r="C2546" s="17">
        <v>0</v>
      </c>
      <c r="D2546" s="17" t="s">
        <v>801</v>
      </c>
      <c r="E2546" s="18">
        <v>8050538590421</v>
      </c>
      <c r="G2546" s="20" t="str">
        <f t="shared" si="117"/>
        <v xml:space="preserve"> BORDURES        </v>
      </c>
      <c r="H2546" s="20" t="str">
        <f t="shared" si="118"/>
        <v>CARBW</v>
      </c>
      <c r="I2546" s="20">
        <f t="shared" si="119"/>
        <v>0</v>
      </c>
    </row>
    <row r="2547" spans="1:9">
      <c r="A2547" s="17" t="s">
        <v>1327</v>
      </c>
      <c r="B2547" s="17" t="s">
        <v>1082</v>
      </c>
      <c r="C2547" s="17">
        <v>0</v>
      </c>
      <c r="D2547" s="17" t="s">
        <v>801</v>
      </c>
      <c r="E2547" s="18">
        <v>3003740249002</v>
      </c>
      <c r="G2547" s="20" t="str">
        <f t="shared" si="117"/>
        <v xml:space="preserve"> BORDURES        </v>
      </c>
      <c r="H2547" s="20" t="str">
        <f t="shared" si="118"/>
        <v>CARGR</v>
      </c>
      <c r="I2547" s="20">
        <f t="shared" si="119"/>
        <v>0</v>
      </c>
    </row>
    <row r="2548" spans="1:9">
      <c r="A2548" s="17" t="s">
        <v>1327</v>
      </c>
      <c r="B2548" s="17" t="s">
        <v>1083</v>
      </c>
      <c r="C2548" s="17">
        <v>0</v>
      </c>
      <c r="D2548" s="17" t="s">
        <v>801</v>
      </c>
      <c r="E2548" s="18">
        <v>8056099170836</v>
      </c>
      <c r="G2548" s="20" t="str">
        <f t="shared" si="117"/>
        <v xml:space="preserve"> BORDURES        </v>
      </c>
      <c r="H2548" s="20" t="str">
        <f t="shared" si="118"/>
        <v>CARRO</v>
      </c>
      <c r="I2548" s="20">
        <f t="shared" si="119"/>
        <v>0</v>
      </c>
    </row>
    <row r="2549" spans="1:9">
      <c r="A2549" s="17" t="s">
        <v>1327</v>
      </c>
      <c r="B2549" s="17" t="s">
        <v>1083</v>
      </c>
      <c r="C2549" s="17">
        <v>0</v>
      </c>
      <c r="D2549" s="17" t="s">
        <v>801</v>
      </c>
      <c r="E2549" s="18">
        <v>3003740247008</v>
      </c>
      <c r="G2549" s="20" t="str">
        <f t="shared" si="117"/>
        <v xml:space="preserve"> BORDURES        </v>
      </c>
      <c r="H2549" s="20" t="str">
        <f t="shared" si="118"/>
        <v>CARRO</v>
      </c>
      <c r="I2549" s="20">
        <f t="shared" si="119"/>
        <v>0</v>
      </c>
    </row>
    <row r="2550" spans="1:9">
      <c r="A2550" s="17" t="s">
        <v>1327</v>
      </c>
      <c r="B2550" s="17" t="s">
        <v>1338</v>
      </c>
      <c r="C2550" s="17">
        <v>0</v>
      </c>
      <c r="D2550" s="17" t="s">
        <v>801</v>
      </c>
      <c r="E2550" s="18">
        <v>3003740250008</v>
      </c>
      <c r="G2550" s="20" t="str">
        <f t="shared" si="117"/>
        <v xml:space="preserve"> BORDURES        </v>
      </c>
      <c r="H2550" s="20" t="str">
        <f t="shared" si="118"/>
        <v>CARVE</v>
      </c>
      <c r="I2550" s="20">
        <f t="shared" si="119"/>
        <v>0</v>
      </c>
    </row>
    <row r="2551" spans="1:9">
      <c r="A2551" s="17" t="s">
        <v>1327</v>
      </c>
      <c r="B2551" s="17" t="s">
        <v>1339</v>
      </c>
      <c r="C2551" s="17">
        <v>0</v>
      </c>
      <c r="D2551" s="17" t="s">
        <v>801</v>
      </c>
      <c r="E2551" s="18">
        <v>3003740306002</v>
      </c>
      <c r="G2551" s="20" t="str">
        <f t="shared" si="117"/>
        <v xml:space="preserve"> BORDURES        </v>
      </c>
      <c r="H2551" s="20" t="str">
        <f t="shared" si="118"/>
        <v>CARVI</v>
      </c>
      <c r="I2551" s="20">
        <f t="shared" si="119"/>
        <v>0</v>
      </c>
    </row>
    <row r="2552" spans="1:9">
      <c r="A2552" s="17" t="s">
        <v>1327</v>
      </c>
      <c r="B2552" s="17" t="s">
        <v>1340</v>
      </c>
      <c r="C2552" s="17">
        <v>0</v>
      </c>
      <c r="D2552" s="17" t="s">
        <v>801</v>
      </c>
      <c r="E2552" s="18">
        <v>3003740670004</v>
      </c>
      <c r="G2552" s="20" t="str">
        <f t="shared" si="117"/>
        <v xml:space="preserve"> BORDURES        </v>
      </c>
      <c r="H2552" s="20" t="str">
        <f t="shared" si="118"/>
        <v xml:space="preserve">CHA  </v>
      </c>
      <c r="I2552" s="20">
        <f t="shared" si="119"/>
        <v>0</v>
      </c>
    </row>
    <row r="2553" spans="1:9">
      <c r="A2553" s="17" t="s">
        <v>1327</v>
      </c>
      <c r="B2553" s="17" t="s">
        <v>1341</v>
      </c>
      <c r="C2553" s="17">
        <v>0</v>
      </c>
      <c r="D2553" s="17" t="s">
        <v>801</v>
      </c>
      <c r="E2553" s="18">
        <v>3003740671001</v>
      </c>
      <c r="G2553" s="20" t="str">
        <f t="shared" si="117"/>
        <v xml:space="preserve"> BORDURES        </v>
      </c>
      <c r="H2553" s="20" t="str">
        <f t="shared" si="118"/>
        <v>CHABI</v>
      </c>
      <c r="I2553" s="20">
        <f t="shared" si="119"/>
        <v>0</v>
      </c>
    </row>
    <row r="2554" spans="1:9">
      <c r="A2554" s="17" t="s">
        <v>1327</v>
      </c>
      <c r="B2554" s="17" t="s">
        <v>939</v>
      </c>
      <c r="C2554" s="17">
        <v>0</v>
      </c>
      <c r="D2554" s="17" t="s">
        <v>801</v>
      </c>
      <c r="E2554" s="18">
        <v>3003740669008</v>
      </c>
      <c r="G2554" s="20" t="str">
        <f t="shared" si="117"/>
        <v xml:space="preserve"> BORDURES        </v>
      </c>
      <c r="H2554" s="20" t="str">
        <f t="shared" si="118"/>
        <v>CHAMU</v>
      </c>
      <c r="I2554" s="20">
        <f t="shared" si="119"/>
        <v>0</v>
      </c>
    </row>
    <row r="2555" spans="1:9">
      <c r="A2555" s="17" t="s">
        <v>1327</v>
      </c>
      <c r="B2555" s="17" t="s">
        <v>1342</v>
      </c>
      <c r="C2555" s="17">
        <v>0</v>
      </c>
      <c r="D2555" s="17" t="s">
        <v>801</v>
      </c>
      <c r="E2555" s="18">
        <v>3002380975005</v>
      </c>
      <c r="G2555" s="20" t="str">
        <f t="shared" si="117"/>
        <v xml:space="preserve"> BORDURES        </v>
      </c>
      <c r="H2555" s="20" t="str">
        <f t="shared" si="118"/>
        <v>COTBL</v>
      </c>
      <c r="I2555" s="20">
        <f t="shared" si="119"/>
        <v>0</v>
      </c>
    </row>
    <row r="2556" spans="1:9">
      <c r="A2556" s="17" t="s">
        <v>1327</v>
      </c>
      <c r="B2556" s="17" t="s">
        <v>1342</v>
      </c>
      <c r="C2556" s="17">
        <v>0</v>
      </c>
      <c r="D2556" s="17" t="s">
        <v>801</v>
      </c>
      <c r="E2556" s="18">
        <v>3003740975000</v>
      </c>
      <c r="G2556" s="20" t="str">
        <f t="shared" si="117"/>
        <v xml:space="preserve"> BORDURES        </v>
      </c>
      <c r="H2556" s="20" t="str">
        <f t="shared" si="118"/>
        <v>COTBL</v>
      </c>
      <c r="I2556" s="20">
        <f t="shared" si="119"/>
        <v>0</v>
      </c>
    </row>
    <row r="2557" spans="1:9">
      <c r="A2557" s="17" t="s">
        <v>1327</v>
      </c>
      <c r="B2557" s="17" t="s">
        <v>1343</v>
      </c>
      <c r="C2557" s="17">
        <v>0</v>
      </c>
      <c r="D2557" s="17" t="s">
        <v>801</v>
      </c>
      <c r="E2557" s="18">
        <v>3002380976002</v>
      </c>
      <c r="G2557" s="20" t="str">
        <f t="shared" si="117"/>
        <v xml:space="preserve"> BORDURES        </v>
      </c>
      <c r="H2557" s="20" t="str">
        <f t="shared" si="118"/>
        <v>COTDO</v>
      </c>
      <c r="I2557" s="20">
        <f t="shared" si="119"/>
        <v>0</v>
      </c>
    </row>
    <row r="2558" spans="1:9">
      <c r="A2558" s="17" t="s">
        <v>1327</v>
      </c>
      <c r="B2558" s="17" t="s">
        <v>1343</v>
      </c>
      <c r="C2558" s="17">
        <v>0</v>
      </c>
      <c r="D2558" s="17" t="s">
        <v>801</v>
      </c>
      <c r="E2558" s="18">
        <v>3003740976007</v>
      </c>
      <c r="G2558" s="20" t="str">
        <f t="shared" si="117"/>
        <v xml:space="preserve"> BORDURES        </v>
      </c>
      <c r="H2558" s="20" t="str">
        <f t="shared" si="118"/>
        <v>COTDO</v>
      </c>
      <c r="I2558" s="20">
        <f t="shared" si="119"/>
        <v>0</v>
      </c>
    </row>
    <row r="2559" spans="1:9">
      <c r="A2559" s="17" t="s">
        <v>1327</v>
      </c>
      <c r="B2559" s="17" t="s">
        <v>1344</v>
      </c>
      <c r="C2559" s="17">
        <v>0</v>
      </c>
      <c r="D2559" s="17" t="s">
        <v>801</v>
      </c>
      <c r="E2559" s="18">
        <v>3002380977009</v>
      </c>
      <c r="G2559" s="20" t="str">
        <f t="shared" si="117"/>
        <v xml:space="preserve"> BORDURES        </v>
      </c>
      <c r="H2559" s="20" t="str">
        <f t="shared" si="118"/>
        <v>COTWH</v>
      </c>
      <c r="I2559" s="20">
        <f t="shared" si="119"/>
        <v>0</v>
      </c>
    </row>
    <row r="2560" spans="1:9">
      <c r="A2560" s="17" t="s">
        <v>1327</v>
      </c>
      <c r="B2560" s="17" t="s">
        <v>1344</v>
      </c>
      <c r="C2560" s="17">
        <v>0</v>
      </c>
      <c r="D2560" s="17" t="s">
        <v>801</v>
      </c>
      <c r="E2560" s="18">
        <v>3003740977004</v>
      </c>
      <c r="G2560" s="20" t="str">
        <f t="shared" si="117"/>
        <v xml:space="preserve"> BORDURES        </v>
      </c>
      <c r="H2560" s="20" t="str">
        <f t="shared" si="118"/>
        <v>COTWH</v>
      </c>
      <c r="I2560" s="20">
        <f t="shared" si="119"/>
        <v>0</v>
      </c>
    </row>
    <row r="2561" spans="1:9">
      <c r="A2561" s="17" t="s">
        <v>1327</v>
      </c>
      <c r="B2561" s="17" t="s">
        <v>1345</v>
      </c>
      <c r="C2561" s="17">
        <v>0</v>
      </c>
      <c r="D2561" s="17" t="s">
        <v>801</v>
      </c>
      <c r="E2561" s="18">
        <v>3002381025006</v>
      </c>
      <c r="G2561" s="20" t="str">
        <f t="shared" si="117"/>
        <v xml:space="preserve"> BORDURES        </v>
      </c>
      <c r="H2561" s="20" t="str">
        <f t="shared" si="118"/>
        <v>DAMBA</v>
      </c>
      <c r="I2561" s="20">
        <f t="shared" si="119"/>
        <v>0</v>
      </c>
    </row>
    <row r="2562" spans="1:9">
      <c r="A2562" s="17" t="s">
        <v>1327</v>
      </c>
      <c r="B2562" s="17" t="s">
        <v>1345</v>
      </c>
      <c r="C2562" s="17">
        <v>0</v>
      </c>
      <c r="D2562" s="17" t="s">
        <v>801</v>
      </c>
      <c r="E2562" s="18">
        <v>8056300454311</v>
      </c>
      <c r="G2562" s="20" t="str">
        <f t="shared" si="117"/>
        <v xml:space="preserve"> BORDURES        </v>
      </c>
      <c r="H2562" s="20" t="str">
        <f t="shared" si="118"/>
        <v>DAMBA</v>
      </c>
      <c r="I2562" s="20">
        <f t="shared" si="119"/>
        <v>0</v>
      </c>
    </row>
    <row r="2563" spans="1:9">
      <c r="A2563" s="17" t="s">
        <v>1327</v>
      </c>
      <c r="B2563" s="17" t="s">
        <v>1346</v>
      </c>
      <c r="C2563" s="17">
        <v>0</v>
      </c>
      <c r="D2563" s="17" t="s">
        <v>801</v>
      </c>
      <c r="E2563" s="18">
        <v>3003740685008</v>
      </c>
      <c r="G2563" s="20" t="str">
        <f t="shared" si="117"/>
        <v xml:space="preserve"> BORDURES        </v>
      </c>
      <c r="H2563" s="20" t="str">
        <f t="shared" si="118"/>
        <v>DAMBL</v>
      </c>
      <c r="I2563" s="20">
        <f t="shared" si="119"/>
        <v>0</v>
      </c>
    </row>
    <row r="2564" spans="1:9">
      <c r="A2564" s="17" t="s">
        <v>1327</v>
      </c>
      <c r="B2564" s="17" t="s">
        <v>1347</v>
      </c>
      <c r="C2564" s="17">
        <v>0</v>
      </c>
      <c r="D2564" s="17" t="s">
        <v>801</v>
      </c>
      <c r="E2564" s="18">
        <v>3002381008009</v>
      </c>
      <c r="G2564" s="20" t="str">
        <f t="shared" si="117"/>
        <v xml:space="preserve"> BORDURES        </v>
      </c>
      <c r="H2564" s="20" t="str">
        <f t="shared" si="118"/>
        <v>DAMIV</v>
      </c>
      <c r="I2564" s="20">
        <f t="shared" si="119"/>
        <v>0</v>
      </c>
    </row>
    <row r="2565" spans="1:9">
      <c r="A2565" s="17" t="s">
        <v>1327</v>
      </c>
      <c r="B2565" s="17" t="s">
        <v>1347</v>
      </c>
      <c r="C2565" s="17">
        <v>0</v>
      </c>
      <c r="D2565" s="17" t="s">
        <v>801</v>
      </c>
      <c r="E2565" s="18">
        <v>3003740684001</v>
      </c>
      <c r="G2565" s="20" t="str">
        <f t="shared" ref="G2565:G2628" si="120">A2565</f>
        <v xml:space="preserve"> BORDURES        </v>
      </c>
      <c r="H2565" s="20" t="str">
        <f t="shared" ref="H2565:H2628" si="121">B2565</f>
        <v>DAMIV</v>
      </c>
      <c r="I2565" s="20">
        <f t="shared" ref="I2565:I2628" si="122">C2565</f>
        <v>0</v>
      </c>
    </row>
    <row r="2566" spans="1:9">
      <c r="A2566" s="17" t="s">
        <v>1327</v>
      </c>
      <c r="B2566" s="17" t="s">
        <v>1347</v>
      </c>
      <c r="C2566" s="17">
        <v>0</v>
      </c>
      <c r="D2566" s="17" t="s">
        <v>801</v>
      </c>
      <c r="E2566" s="18">
        <v>8056300454304</v>
      </c>
      <c r="G2566" s="20" t="str">
        <f t="shared" si="120"/>
        <v xml:space="preserve"> BORDURES        </v>
      </c>
      <c r="H2566" s="20" t="str">
        <f t="shared" si="121"/>
        <v>DAMIV</v>
      </c>
      <c r="I2566" s="20">
        <f t="shared" si="122"/>
        <v>0</v>
      </c>
    </row>
    <row r="2567" spans="1:9">
      <c r="A2567" s="17" t="s">
        <v>1327</v>
      </c>
      <c r="B2567" s="17" t="s">
        <v>1038</v>
      </c>
      <c r="C2567" s="17">
        <v>0</v>
      </c>
      <c r="D2567" s="17" t="s">
        <v>801</v>
      </c>
      <c r="E2567" s="18">
        <v>8050538594894</v>
      </c>
      <c r="G2567" s="20" t="str">
        <f t="shared" si="120"/>
        <v xml:space="preserve"> BORDURES        </v>
      </c>
      <c r="H2567" s="20" t="str">
        <f t="shared" si="121"/>
        <v>DIABL</v>
      </c>
      <c r="I2567" s="20">
        <f t="shared" si="122"/>
        <v>0</v>
      </c>
    </row>
    <row r="2568" spans="1:9">
      <c r="A2568" s="17" t="s">
        <v>1327</v>
      </c>
      <c r="B2568" s="17" t="s">
        <v>1348</v>
      </c>
      <c r="C2568" s="17">
        <v>0</v>
      </c>
      <c r="D2568" s="17" t="s">
        <v>801</v>
      </c>
      <c r="E2568" s="18">
        <v>3002380629007</v>
      </c>
      <c r="G2568" s="20" t="str">
        <f t="shared" si="120"/>
        <v xml:space="preserve"> BORDURES        </v>
      </c>
      <c r="H2568" s="20" t="str">
        <f t="shared" si="121"/>
        <v>ECOSR</v>
      </c>
      <c r="I2568" s="20">
        <f t="shared" si="122"/>
        <v>0</v>
      </c>
    </row>
    <row r="2569" spans="1:9">
      <c r="A2569" s="17" t="s">
        <v>1327</v>
      </c>
      <c r="B2569" s="17" t="s">
        <v>1349</v>
      </c>
      <c r="C2569" s="17">
        <v>0</v>
      </c>
      <c r="D2569" s="17" t="s">
        <v>801</v>
      </c>
      <c r="E2569" s="18">
        <v>3002380630003</v>
      </c>
      <c r="G2569" s="20" t="str">
        <f t="shared" si="120"/>
        <v xml:space="preserve"> BORDURES        </v>
      </c>
      <c r="H2569" s="20" t="str">
        <f t="shared" si="121"/>
        <v>ECOSV</v>
      </c>
      <c r="I2569" s="20">
        <f t="shared" si="122"/>
        <v>0</v>
      </c>
    </row>
    <row r="2570" spans="1:9">
      <c r="A2570" s="17" t="s">
        <v>1327</v>
      </c>
      <c r="B2570" s="17" t="s">
        <v>1350</v>
      </c>
      <c r="C2570" s="17">
        <v>0</v>
      </c>
      <c r="D2570" s="17" t="s">
        <v>801</v>
      </c>
      <c r="E2570" s="18">
        <v>3003740526004</v>
      </c>
      <c r="G2570" s="20" t="str">
        <f t="shared" si="120"/>
        <v xml:space="preserve"> BORDURES        </v>
      </c>
      <c r="H2570" s="20" t="str">
        <f t="shared" si="121"/>
        <v>EFSBL</v>
      </c>
      <c r="I2570" s="20">
        <f t="shared" si="122"/>
        <v>0</v>
      </c>
    </row>
    <row r="2571" spans="1:9">
      <c r="A2571" s="17" t="s">
        <v>1327</v>
      </c>
      <c r="B2571" s="17" t="s">
        <v>1108</v>
      </c>
      <c r="C2571" s="17">
        <v>0</v>
      </c>
      <c r="D2571" s="17" t="s">
        <v>801</v>
      </c>
      <c r="E2571" s="18">
        <v>3003740246001</v>
      </c>
      <c r="G2571" s="20" t="str">
        <f t="shared" si="120"/>
        <v xml:space="preserve"> BORDURES        </v>
      </c>
      <c r="H2571" s="20" t="str">
        <f t="shared" si="121"/>
        <v>FEUBL</v>
      </c>
      <c r="I2571" s="20">
        <f t="shared" si="122"/>
        <v>0</v>
      </c>
    </row>
    <row r="2572" spans="1:9">
      <c r="A2572" s="17" t="s">
        <v>1327</v>
      </c>
      <c r="B2572" s="17" t="s">
        <v>1086</v>
      </c>
      <c r="C2572" s="17">
        <v>0</v>
      </c>
      <c r="D2572" s="17" t="s">
        <v>801</v>
      </c>
      <c r="E2572" s="18">
        <v>3003740241006</v>
      </c>
      <c r="G2572" s="20" t="str">
        <f t="shared" si="120"/>
        <v xml:space="preserve"> BORDURES        </v>
      </c>
      <c r="H2572" s="20" t="str">
        <f t="shared" si="121"/>
        <v xml:space="preserve">FEUM </v>
      </c>
      <c r="I2572" s="20">
        <f t="shared" si="122"/>
        <v>0</v>
      </c>
    </row>
    <row r="2573" spans="1:9">
      <c r="A2573" s="17" t="s">
        <v>1327</v>
      </c>
      <c r="B2573" s="17" t="s">
        <v>1351</v>
      </c>
      <c r="C2573" s="17">
        <v>0</v>
      </c>
      <c r="D2573" s="17" t="s">
        <v>801</v>
      </c>
      <c r="E2573" s="18">
        <v>8058983597231</v>
      </c>
      <c r="G2573" s="20" t="str">
        <f t="shared" si="120"/>
        <v xml:space="preserve"> BORDURES        </v>
      </c>
      <c r="H2573" s="20" t="str">
        <f t="shared" si="121"/>
        <v>FEUNO</v>
      </c>
      <c r="I2573" s="20">
        <f t="shared" si="122"/>
        <v>0</v>
      </c>
    </row>
    <row r="2574" spans="1:9">
      <c r="A2574" s="17" t="s">
        <v>1327</v>
      </c>
      <c r="B2574" s="17" t="s">
        <v>1351</v>
      </c>
      <c r="C2574" s="17">
        <v>0</v>
      </c>
      <c r="D2574" s="17" t="s">
        <v>801</v>
      </c>
      <c r="E2574" s="18">
        <v>3003740570007</v>
      </c>
      <c r="G2574" s="20" t="str">
        <f t="shared" si="120"/>
        <v xml:space="preserve"> BORDURES        </v>
      </c>
      <c r="H2574" s="20" t="str">
        <f t="shared" si="121"/>
        <v>FEUNO</v>
      </c>
      <c r="I2574" s="20">
        <f t="shared" si="122"/>
        <v>0</v>
      </c>
    </row>
    <row r="2575" spans="1:9">
      <c r="A2575" s="17" t="s">
        <v>1327</v>
      </c>
      <c r="B2575" s="17" t="s">
        <v>1087</v>
      </c>
      <c r="C2575" s="17">
        <v>0</v>
      </c>
      <c r="D2575" s="17" t="s">
        <v>801</v>
      </c>
      <c r="E2575" s="18">
        <v>3003740243000</v>
      </c>
      <c r="G2575" s="20" t="str">
        <f t="shared" si="120"/>
        <v xml:space="preserve"> BORDURES        </v>
      </c>
      <c r="H2575" s="20" t="str">
        <f t="shared" si="121"/>
        <v>FEUPE</v>
      </c>
      <c r="I2575" s="20">
        <f t="shared" si="122"/>
        <v>0</v>
      </c>
    </row>
    <row r="2576" spans="1:9">
      <c r="A2576" s="17" t="s">
        <v>1327</v>
      </c>
      <c r="B2576" s="17" t="s">
        <v>1088</v>
      </c>
      <c r="C2576" s="17">
        <v>0</v>
      </c>
      <c r="D2576" s="17" t="s">
        <v>801</v>
      </c>
      <c r="E2576" s="18">
        <v>3003740242003</v>
      </c>
      <c r="G2576" s="20" t="str">
        <f t="shared" si="120"/>
        <v xml:space="preserve"> BORDURES        </v>
      </c>
      <c r="H2576" s="20" t="str">
        <f t="shared" si="121"/>
        <v xml:space="preserve">FEUR </v>
      </c>
      <c r="I2576" s="20">
        <f t="shared" si="122"/>
        <v>0</v>
      </c>
    </row>
    <row r="2577" spans="1:9">
      <c r="A2577" s="17" t="s">
        <v>1327</v>
      </c>
      <c r="B2577" s="17" t="s">
        <v>1352</v>
      </c>
      <c r="C2577" s="17">
        <v>0</v>
      </c>
      <c r="D2577" s="17" t="s">
        <v>801</v>
      </c>
      <c r="E2577" s="18">
        <v>3003740330007</v>
      </c>
      <c r="G2577" s="20" t="str">
        <f t="shared" si="120"/>
        <v xml:space="preserve"> BORDURES        </v>
      </c>
      <c r="H2577" s="20" t="str">
        <f t="shared" si="121"/>
        <v>FEUVE</v>
      </c>
      <c r="I2577" s="20">
        <f t="shared" si="122"/>
        <v>0</v>
      </c>
    </row>
    <row r="2578" spans="1:9">
      <c r="A2578" s="17" t="s">
        <v>1327</v>
      </c>
      <c r="B2578" s="17" t="s">
        <v>1353</v>
      </c>
      <c r="C2578" s="17">
        <v>0</v>
      </c>
      <c r="D2578" s="17" t="s">
        <v>801</v>
      </c>
      <c r="E2578" s="18">
        <v>3002381023002</v>
      </c>
      <c r="G2578" s="20" t="str">
        <f t="shared" si="120"/>
        <v xml:space="preserve"> BORDURES        </v>
      </c>
      <c r="H2578" s="20" t="str">
        <f t="shared" si="121"/>
        <v>FLAGR</v>
      </c>
      <c r="I2578" s="20">
        <f t="shared" si="122"/>
        <v>0</v>
      </c>
    </row>
    <row r="2579" spans="1:9">
      <c r="A2579" s="17" t="s">
        <v>1327</v>
      </c>
      <c r="B2579" s="17" t="s">
        <v>1353</v>
      </c>
      <c r="C2579" s="17">
        <v>0</v>
      </c>
      <c r="D2579" s="17" t="s">
        <v>801</v>
      </c>
      <c r="E2579" s="18">
        <v>3003740680003</v>
      </c>
      <c r="G2579" s="20" t="str">
        <f t="shared" si="120"/>
        <v xml:space="preserve"> BORDURES        </v>
      </c>
      <c r="H2579" s="20" t="str">
        <f t="shared" si="121"/>
        <v>FLAGR</v>
      </c>
      <c r="I2579" s="20">
        <f t="shared" si="122"/>
        <v>0</v>
      </c>
    </row>
    <row r="2580" spans="1:9">
      <c r="A2580" s="17" t="s">
        <v>1327</v>
      </c>
      <c r="B2580" s="17" t="s">
        <v>1353</v>
      </c>
      <c r="C2580" s="17">
        <v>0</v>
      </c>
      <c r="D2580" s="17" t="s">
        <v>801</v>
      </c>
      <c r="E2580" s="18">
        <v>8056300454298</v>
      </c>
      <c r="G2580" s="20" t="str">
        <f t="shared" si="120"/>
        <v xml:space="preserve"> BORDURES        </v>
      </c>
      <c r="H2580" s="20" t="str">
        <f t="shared" si="121"/>
        <v>FLAGR</v>
      </c>
      <c r="I2580" s="20">
        <f t="shared" si="122"/>
        <v>0</v>
      </c>
    </row>
    <row r="2581" spans="1:9">
      <c r="A2581" s="17" t="s">
        <v>1327</v>
      </c>
      <c r="B2581" s="17" t="s">
        <v>1354</v>
      </c>
      <c r="C2581" s="17">
        <v>0</v>
      </c>
      <c r="D2581" s="17" t="s">
        <v>801</v>
      </c>
      <c r="E2581" s="18">
        <v>3003740686005</v>
      </c>
      <c r="G2581" s="20" t="str">
        <f t="shared" si="120"/>
        <v xml:space="preserve"> BORDURES        </v>
      </c>
      <c r="H2581" s="20" t="str">
        <f t="shared" si="121"/>
        <v>FLAVE</v>
      </c>
      <c r="I2581" s="20">
        <f t="shared" si="122"/>
        <v>0</v>
      </c>
    </row>
    <row r="2582" spans="1:9">
      <c r="A2582" s="17" t="s">
        <v>1327</v>
      </c>
      <c r="B2582" s="17" t="s">
        <v>1355</v>
      </c>
      <c r="C2582" s="17">
        <v>0</v>
      </c>
      <c r="D2582" s="17" t="s">
        <v>801</v>
      </c>
      <c r="E2582" s="18">
        <v>3002381026003</v>
      </c>
      <c r="G2582" s="20" t="str">
        <f t="shared" si="120"/>
        <v xml:space="preserve"> BORDURES        </v>
      </c>
      <c r="H2582" s="20" t="str">
        <f t="shared" si="121"/>
        <v>FLGRE</v>
      </c>
      <c r="I2582" s="20">
        <f t="shared" si="122"/>
        <v>0</v>
      </c>
    </row>
    <row r="2583" spans="1:9">
      <c r="A2583" s="17" t="s">
        <v>1327</v>
      </c>
      <c r="B2583" s="17" t="s">
        <v>1355</v>
      </c>
      <c r="C2583" s="17">
        <v>0</v>
      </c>
      <c r="D2583" s="17" t="s">
        <v>801</v>
      </c>
      <c r="E2583" s="18">
        <v>8056300454281</v>
      </c>
      <c r="G2583" s="20" t="str">
        <f t="shared" si="120"/>
        <v xml:space="preserve"> BORDURES        </v>
      </c>
      <c r="H2583" s="20" t="str">
        <f t="shared" si="121"/>
        <v>FLGRE</v>
      </c>
      <c r="I2583" s="20">
        <f t="shared" si="122"/>
        <v>0</v>
      </c>
    </row>
    <row r="2584" spans="1:9">
      <c r="A2584" s="17" t="s">
        <v>1327</v>
      </c>
      <c r="B2584" s="17" t="s">
        <v>1356</v>
      </c>
      <c r="C2584" s="17">
        <v>0</v>
      </c>
      <c r="D2584" s="17" t="s">
        <v>801</v>
      </c>
      <c r="E2584" s="18">
        <v>3002380761004</v>
      </c>
      <c r="G2584" s="20" t="str">
        <f t="shared" si="120"/>
        <v xml:space="preserve"> BORDURES        </v>
      </c>
      <c r="H2584" s="20" t="str">
        <f t="shared" si="121"/>
        <v>FLOWE</v>
      </c>
      <c r="I2584" s="20">
        <f t="shared" si="122"/>
        <v>0</v>
      </c>
    </row>
    <row r="2585" spans="1:9">
      <c r="A2585" s="17" t="s">
        <v>1327</v>
      </c>
      <c r="B2585" s="17" t="s">
        <v>945</v>
      </c>
      <c r="C2585" s="17">
        <v>0</v>
      </c>
      <c r="D2585" s="17" t="s">
        <v>801</v>
      </c>
      <c r="E2585" s="18">
        <v>8056099178948</v>
      </c>
      <c r="G2585" s="20" t="str">
        <f t="shared" si="120"/>
        <v xml:space="preserve"> BORDURES        </v>
      </c>
      <c r="H2585" s="20" t="str">
        <f t="shared" si="121"/>
        <v>FOLKB</v>
      </c>
      <c r="I2585" s="20">
        <f t="shared" si="122"/>
        <v>0</v>
      </c>
    </row>
    <row r="2586" spans="1:9">
      <c r="A2586" s="17" t="s">
        <v>1327</v>
      </c>
      <c r="B2586" s="17" t="s">
        <v>1357</v>
      </c>
      <c r="C2586" s="17">
        <v>0</v>
      </c>
      <c r="D2586" s="17" t="s">
        <v>801</v>
      </c>
      <c r="E2586" s="18">
        <v>8056099178597</v>
      </c>
      <c r="G2586" s="20" t="str">
        <f t="shared" si="120"/>
        <v xml:space="preserve"> BORDURES        </v>
      </c>
      <c r="H2586" s="20" t="str">
        <f t="shared" si="121"/>
        <v>FOLKG</v>
      </c>
      <c r="I2586" s="20">
        <f t="shared" si="122"/>
        <v>0</v>
      </c>
    </row>
    <row r="2587" spans="1:9">
      <c r="A2587" s="17" t="s">
        <v>1327</v>
      </c>
      <c r="B2587" s="17" t="s">
        <v>967</v>
      </c>
      <c r="C2587" s="17">
        <v>0</v>
      </c>
      <c r="D2587" s="17" t="s">
        <v>801</v>
      </c>
      <c r="E2587" s="18">
        <v>8056099179211</v>
      </c>
      <c r="G2587" s="20" t="str">
        <f t="shared" si="120"/>
        <v xml:space="preserve"> BORDURES        </v>
      </c>
      <c r="H2587" s="20" t="str">
        <f t="shared" si="121"/>
        <v>FOLKO</v>
      </c>
      <c r="I2587" s="20">
        <f t="shared" si="122"/>
        <v>0</v>
      </c>
    </row>
    <row r="2588" spans="1:9">
      <c r="A2588" s="17" t="s">
        <v>1327</v>
      </c>
      <c r="B2588" s="17" t="s">
        <v>1277</v>
      </c>
      <c r="C2588" s="17">
        <v>0</v>
      </c>
      <c r="D2588" s="17" t="s">
        <v>801</v>
      </c>
      <c r="E2588" s="18">
        <v>3002380718008</v>
      </c>
      <c r="G2588" s="20" t="str">
        <f t="shared" si="120"/>
        <v xml:space="preserve"> BORDURES        </v>
      </c>
      <c r="H2588" s="20" t="str">
        <f t="shared" si="121"/>
        <v>FOULA</v>
      </c>
      <c r="I2588" s="20">
        <f t="shared" si="122"/>
        <v>0</v>
      </c>
    </row>
    <row r="2589" spans="1:9">
      <c r="A2589" s="17" t="s">
        <v>1327</v>
      </c>
      <c r="B2589" s="17" t="s">
        <v>1277</v>
      </c>
      <c r="C2589" s="17">
        <v>0</v>
      </c>
      <c r="D2589" s="17" t="s">
        <v>801</v>
      </c>
      <c r="E2589" s="18">
        <v>8056095065266</v>
      </c>
      <c r="G2589" s="20" t="str">
        <f t="shared" si="120"/>
        <v xml:space="preserve"> BORDURES        </v>
      </c>
      <c r="H2589" s="20" t="str">
        <f t="shared" si="121"/>
        <v>FOULA</v>
      </c>
      <c r="I2589" s="20">
        <f t="shared" si="122"/>
        <v>0</v>
      </c>
    </row>
    <row r="2590" spans="1:9">
      <c r="A2590" s="17" t="s">
        <v>1327</v>
      </c>
      <c r="B2590" s="17" t="s">
        <v>1039</v>
      </c>
      <c r="C2590" s="17">
        <v>0</v>
      </c>
      <c r="D2590" s="17" t="s">
        <v>801</v>
      </c>
      <c r="E2590" s="18">
        <v>3002380980009</v>
      </c>
      <c r="G2590" s="20" t="str">
        <f t="shared" si="120"/>
        <v xml:space="preserve"> BORDURES        </v>
      </c>
      <c r="H2590" s="20" t="str">
        <f t="shared" si="121"/>
        <v>JACBL</v>
      </c>
      <c r="I2590" s="20">
        <f t="shared" si="122"/>
        <v>0</v>
      </c>
    </row>
    <row r="2591" spans="1:9">
      <c r="A2591" s="17" t="s">
        <v>1327</v>
      </c>
      <c r="B2591" s="17" t="s">
        <v>1039</v>
      </c>
      <c r="C2591" s="17">
        <v>0</v>
      </c>
      <c r="D2591" s="17" t="s">
        <v>801</v>
      </c>
      <c r="E2591" s="18">
        <v>8050538591381</v>
      </c>
      <c r="G2591" s="20" t="str">
        <f t="shared" si="120"/>
        <v xml:space="preserve"> BORDURES        </v>
      </c>
      <c r="H2591" s="20" t="str">
        <f t="shared" si="121"/>
        <v>JACBL</v>
      </c>
      <c r="I2591" s="20">
        <f t="shared" si="122"/>
        <v>0</v>
      </c>
    </row>
    <row r="2592" spans="1:9">
      <c r="A2592" s="17" t="s">
        <v>1327</v>
      </c>
      <c r="B2592" s="17" t="s">
        <v>1040</v>
      </c>
      <c r="C2592" s="17">
        <v>0</v>
      </c>
      <c r="D2592" s="17" t="s">
        <v>801</v>
      </c>
      <c r="E2592" s="18">
        <v>8056099178573</v>
      </c>
      <c r="G2592" s="20" t="str">
        <f t="shared" si="120"/>
        <v xml:space="preserve"> BORDURES        </v>
      </c>
      <c r="H2592" s="20" t="str">
        <f t="shared" si="121"/>
        <v>JACRO</v>
      </c>
      <c r="I2592" s="20">
        <f t="shared" si="122"/>
        <v>0</v>
      </c>
    </row>
    <row r="2593" spans="1:9">
      <c r="A2593" s="17" t="s">
        <v>1327</v>
      </c>
      <c r="B2593" s="17" t="s">
        <v>1358</v>
      </c>
      <c r="C2593" s="17">
        <v>0</v>
      </c>
      <c r="D2593" s="17" t="s">
        <v>801</v>
      </c>
      <c r="E2593" s="18">
        <v>8056099170867</v>
      </c>
      <c r="G2593" s="20" t="str">
        <f t="shared" si="120"/>
        <v xml:space="preserve"> BORDURES        </v>
      </c>
      <c r="H2593" s="20" t="str">
        <f t="shared" si="121"/>
        <v xml:space="preserve">JUBL </v>
      </c>
      <c r="I2593" s="20">
        <f t="shared" si="122"/>
        <v>0</v>
      </c>
    </row>
    <row r="2594" spans="1:9">
      <c r="A2594" s="17" t="s">
        <v>1327</v>
      </c>
      <c r="B2594" s="17" t="s">
        <v>1359</v>
      </c>
      <c r="C2594" s="17">
        <v>0</v>
      </c>
      <c r="D2594" s="17" t="s">
        <v>801</v>
      </c>
      <c r="E2594" s="18">
        <v>3002380709006</v>
      </c>
      <c r="G2594" s="20" t="str">
        <f t="shared" si="120"/>
        <v xml:space="preserve"> BORDURES        </v>
      </c>
      <c r="H2594" s="20" t="str">
        <f t="shared" si="121"/>
        <v>JUBLU</v>
      </c>
      <c r="I2594" s="20">
        <f t="shared" si="122"/>
        <v>0</v>
      </c>
    </row>
    <row r="2595" spans="1:9">
      <c r="A2595" s="17" t="s">
        <v>1327</v>
      </c>
      <c r="B2595" s="17" t="s">
        <v>1360</v>
      </c>
      <c r="C2595" s="17">
        <v>0</v>
      </c>
      <c r="D2595" s="17" t="s">
        <v>801</v>
      </c>
      <c r="E2595" s="18">
        <v>8056099170874</v>
      </c>
      <c r="G2595" s="20" t="str">
        <f t="shared" si="120"/>
        <v xml:space="preserve"> BORDURES        </v>
      </c>
      <c r="H2595" s="20" t="str">
        <f t="shared" si="121"/>
        <v xml:space="preserve">JUGR </v>
      </c>
      <c r="I2595" s="20">
        <f t="shared" si="122"/>
        <v>0</v>
      </c>
    </row>
    <row r="2596" spans="1:9">
      <c r="A2596" s="17" t="s">
        <v>1327</v>
      </c>
      <c r="B2596" s="17" t="s">
        <v>1361</v>
      </c>
      <c r="C2596" s="17">
        <v>0</v>
      </c>
      <c r="D2596" s="17" t="s">
        <v>801</v>
      </c>
      <c r="E2596" s="18">
        <v>8056099170843</v>
      </c>
      <c r="G2596" s="20" t="str">
        <f t="shared" si="120"/>
        <v xml:space="preserve"> BORDURES        </v>
      </c>
      <c r="H2596" s="20" t="str">
        <f t="shared" si="121"/>
        <v>JUNAT</v>
      </c>
      <c r="I2596" s="20">
        <f t="shared" si="122"/>
        <v>0</v>
      </c>
    </row>
    <row r="2597" spans="1:9">
      <c r="A2597" s="17" t="s">
        <v>1327</v>
      </c>
      <c r="B2597" s="17" t="s">
        <v>1361</v>
      </c>
      <c r="C2597" s="17">
        <v>0</v>
      </c>
      <c r="D2597" s="17" t="s">
        <v>801</v>
      </c>
      <c r="E2597" s="18">
        <v>3002380706005</v>
      </c>
      <c r="G2597" s="20" t="str">
        <f t="shared" si="120"/>
        <v xml:space="preserve"> BORDURES        </v>
      </c>
      <c r="H2597" s="20" t="str">
        <f t="shared" si="121"/>
        <v>JUNAT</v>
      </c>
      <c r="I2597" s="20">
        <f t="shared" si="122"/>
        <v>0</v>
      </c>
    </row>
    <row r="2598" spans="1:9">
      <c r="A2598" s="17" t="s">
        <v>1327</v>
      </c>
      <c r="B2598" s="17" t="s">
        <v>1362</v>
      </c>
      <c r="C2598" s="17">
        <v>0</v>
      </c>
      <c r="D2598" s="17" t="s">
        <v>801</v>
      </c>
      <c r="E2598" s="18">
        <v>3002380707002</v>
      </c>
      <c r="G2598" s="20" t="str">
        <f t="shared" si="120"/>
        <v xml:space="preserve"> BORDURES        </v>
      </c>
      <c r="H2598" s="20" t="str">
        <f t="shared" si="121"/>
        <v>JUNOI</v>
      </c>
      <c r="I2598" s="20">
        <f t="shared" si="122"/>
        <v>0</v>
      </c>
    </row>
    <row r="2599" spans="1:9">
      <c r="A2599" s="17" t="s">
        <v>1327</v>
      </c>
      <c r="B2599" s="17" t="s">
        <v>1363</v>
      </c>
      <c r="C2599" s="17">
        <v>0</v>
      </c>
      <c r="D2599" s="17" t="s">
        <v>801</v>
      </c>
      <c r="E2599" s="18">
        <v>8056099170850</v>
      </c>
      <c r="G2599" s="20" t="str">
        <f t="shared" si="120"/>
        <v xml:space="preserve"> BORDURES        </v>
      </c>
      <c r="H2599" s="20" t="str">
        <f t="shared" si="121"/>
        <v>JUOCR</v>
      </c>
      <c r="I2599" s="20">
        <f t="shared" si="122"/>
        <v>0</v>
      </c>
    </row>
    <row r="2600" spans="1:9">
      <c r="A2600" s="17" t="s">
        <v>1327</v>
      </c>
      <c r="B2600" s="17" t="s">
        <v>1364</v>
      </c>
      <c r="C2600" s="17">
        <v>0</v>
      </c>
      <c r="D2600" s="17" t="s">
        <v>801</v>
      </c>
      <c r="E2600" s="18">
        <v>3002380708009</v>
      </c>
      <c r="G2600" s="20" t="str">
        <f t="shared" si="120"/>
        <v xml:space="preserve"> BORDURES        </v>
      </c>
      <c r="H2600" s="20" t="str">
        <f t="shared" si="121"/>
        <v>JUWHI</v>
      </c>
      <c r="I2600" s="20">
        <f t="shared" si="122"/>
        <v>0</v>
      </c>
    </row>
    <row r="2601" spans="1:9">
      <c r="A2601" s="17" t="s">
        <v>1327</v>
      </c>
      <c r="B2601" s="17" t="s">
        <v>1365</v>
      </c>
      <c r="C2601" s="17">
        <v>0</v>
      </c>
      <c r="D2601" s="17" t="s">
        <v>801</v>
      </c>
      <c r="E2601" s="18">
        <v>8050538595242</v>
      </c>
      <c r="G2601" s="20" t="str">
        <f t="shared" si="120"/>
        <v xml:space="preserve"> BORDURES        </v>
      </c>
      <c r="H2601" s="20" t="str">
        <f t="shared" si="121"/>
        <v>KALAU</v>
      </c>
      <c r="I2601" s="20">
        <f t="shared" si="122"/>
        <v>0</v>
      </c>
    </row>
    <row r="2602" spans="1:9">
      <c r="A2602" s="17" t="s">
        <v>1327</v>
      </c>
      <c r="B2602" s="17" t="s">
        <v>1366</v>
      </c>
      <c r="C2602" s="17">
        <v>0</v>
      </c>
      <c r="D2602" s="17" t="s">
        <v>801</v>
      </c>
      <c r="E2602" s="18">
        <v>8050538595259</v>
      </c>
      <c r="G2602" s="20" t="str">
        <f t="shared" si="120"/>
        <v xml:space="preserve"> BORDURES        </v>
      </c>
      <c r="H2602" s="20" t="str">
        <f t="shared" si="121"/>
        <v>KALOT</v>
      </c>
      <c r="I2602" s="20">
        <f t="shared" si="122"/>
        <v>0</v>
      </c>
    </row>
    <row r="2603" spans="1:9">
      <c r="A2603" s="17" t="s">
        <v>1327</v>
      </c>
      <c r="B2603" s="17" t="s">
        <v>1366</v>
      </c>
      <c r="C2603" s="17">
        <v>0</v>
      </c>
      <c r="D2603" s="17" t="s">
        <v>801</v>
      </c>
      <c r="E2603" s="18">
        <v>8050846019294</v>
      </c>
      <c r="G2603" s="20" t="str">
        <f t="shared" si="120"/>
        <v xml:space="preserve"> BORDURES        </v>
      </c>
      <c r="H2603" s="20" t="str">
        <f t="shared" si="121"/>
        <v>KALOT</v>
      </c>
      <c r="I2603" s="20">
        <f t="shared" si="122"/>
        <v>0</v>
      </c>
    </row>
    <row r="2604" spans="1:9">
      <c r="A2604" s="17" t="s">
        <v>1327</v>
      </c>
      <c r="B2604" s="17" t="s">
        <v>1367</v>
      </c>
      <c r="C2604" s="17">
        <v>0</v>
      </c>
      <c r="D2604" s="17" t="s">
        <v>801</v>
      </c>
      <c r="E2604" s="18">
        <v>3003740298000</v>
      </c>
      <c r="G2604" s="20" t="str">
        <f t="shared" si="120"/>
        <v xml:space="preserve"> BORDURES        </v>
      </c>
      <c r="H2604" s="20" t="str">
        <f t="shared" si="121"/>
        <v>LAINB</v>
      </c>
      <c r="I2604" s="20">
        <f t="shared" si="122"/>
        <v>0</v>
      </c>
    </row>
    <row r="2605" spans="1:9">
      <c r="A2605" s="17" t="s">
        <v>1327</v>
      </c>
      <c r="B2605" s="17" t="s">
        <v>1322</v>
      </c>
      <c r="C2605" s="17">
        <v>0</v>
      </c>
      <c r="D2605" s="17" t="s">
        <v>801</v>
      </c>
      <c r="E2605" s="18">
        <v>3002380298005</v>
      </c>
      <c r="G2605" s="20" t="str">
        <f t="shared" si="120"/>
        <v xml:space="preserve"> BORDURES        </v>
      </c>
      <c r="H2605" s="20" t="str">
        <f t="shared" si="121"/>
        <v>LAINO</v>
      </c>
      <c r="I2605" s="20">
        <f t="shared" si="122"/>
        <v>0</v>
      </c>
    </row>
    <row r="2606" spans="1:9">
      <c r="A2606" s="17" t="s">
        <v>1327</v>
      </c>
      <c r="B2606" s="17" t="s">
        <v>1368</v>
      </c>
      <c r="C2606" s="17">
        <v>0</v>
      </c>
      <c r="D2606" s="17" t="s">
        <v>801</v>
      </c>
      <c r="E2606" s="18">
        <v>3002381516009</v>
      </c>
      <c r="G2606" s="20" t="str">
        <f t="shared" si="120"/>
        <v xml:space="preserve"> BORDURES        </v>
      </c>
      <c r="H2606" s="20" t="str">
        <f t="shared" si="121"/>
        <v>LAIPH</v>
      </c>
      <c r="I2606" s="20">
        <f t="shared" si="122"/>
        <v>0</v>
      </c>
    </row>
    <row r="2607" spans="1:9">
      <c r="A2607" s="17" t="s">
        <v>1327</v>
      </c>
      <c r="B2607" s="17" t="s">
        <v>1368</v>
      </c>
      <c r="C2607" s="17">
        <v>0</v>
      </c>
      <c r="D2607" s="17" t="s">
        <v>801</v>
      </c>
      <c r="E2607" s="18">
        <v>8050846012776</v>
      </c>
      <c r="G2607" s="20" t="str">
        <f t="shared" si="120"/>
        <v xml:space="preserve"> BORDURES        </v>
      </c>
      <c r="H2607" s="20" t="str">
        <f t="shared" si="121"/>
        <v>LAIPH</v>
      </c>
      <c r="I2607" s="20">
        <f t="shared" si="122"/>
        <v>0</v>
      </c>
    </row>
    <row r="2608" spans="1:9">
      <c r="A2608" s="17" t="s">
        <v>1327</v>
      </c>
      <c r="B2608" s="17" t="s">
        <v>1369</v>
      </c>
      <c r="C2608" s="17">
        <v>0</v>
      </c>
      <c r="D2608" s="17" t="s">
        <v>801</v>
      </c>
      <c r="E2608" s="18">
        <v>3002380856007</v>
      </c>
      <c r="G2608" s="20" t="str">
        <f t="shared" si="120"/>
        <v xml:space="preserve"> BORDURES        </v>
      </c>
      <c r="H2608" s="20" t="str">
        <f t="shared" si="121"/>
        <v>LIEDE</v>
      </c>
      <c r="I2608" s="20">
        <f t="shared" si="122"/>
        <v>0</v>
      </c>
    </row>
    <row r="2609" spans="1:9">
      <c r="A2609" s="17" t="s">
        <v>1327</v>
      </c>
      <c r="B2609" s="17" t="s">
        <v>1138</v>
      </c>
      <c r="C2609" s="17">
        <v>0</v>
      </c>
      <c r="D2609" s="17" t="s">
        <v>801</v>
      </c>
      <c r="E2609" s="18">
        <v>3002381096006</v>
      </c>
      <c r="G2609" s="20" t="str">
        <f t="shared" si="120"/>
        <v xml:space="preserve"> BORDURES        </v>
      </c>
      <c r="H2609" s="20" t="str">
        <f t="shared" si="121"/>
        <v>LIEIV</v>
      </c>
      <c r="I2609" s="20">
        <f t="shared" si="122"/>
        <v>0</v>
      </c>
    </row>
    <row r="2610" spans="1:9">
      <c r="A2610" s="17" t="s">
        <v>1327</v>
      </c>
      <c r="B2610" s="17" t="s">
        <v>1138</v>
      </c>
      <c r="C2610" s="17">
        <v>0</v>
      </c>
      <c r="D2610" s="17" t="s">
        <v>801</v>
      </c>
      <c r="E2610" s="18">
        <v>8056095064399</v>
      </c>
      <c r="G2610" s="20" t="str">
        <f t="shared" si="120"/>
        <v xml:space="preserve"> BORDURES        </v>
      </c>
      <c r="H2610" s="20" t="str">
        <f t="shared" si="121"/>
        <v>LIEIV</v>
      </c>
      <c r="I2610" s="20">
        <f t="shared" si="122"/>
        <v>0</v>
      </c>
    </row>
    <row r="2611" spans="1:9">
      <c r="A2611" s="17" t="s">
        <v>1327</v>
      </c>
      <c r="B2611" s="17" t="s">
        <v>1370</v>
      </c>
      <c r="C2611" s="17">
        <v>0</v>
      </c>
      <c r="D2611" s="17" t="s">
        <v>801</v>
      </c>
      <c r="E2611" s="18">
        <v>3002380780005</v>
      </c>
      <c r="G2611" s="20" t="str">
        <f t="shared" si="120"/>
        <v xml:space="preserve"> BORDURES        </v>
      </c>
      <c r="H2611" s="20" t="str">
        <f t="shared" si="121"/>
        <v>LINAZ</v>
      </c>
      <c r="I2611" s="20">
        <f t="shared" si="122"/>
        <v>0</v>
      </c>
    </row>
    <row r="2612" spans="1:9">
      <c r="A2612" s="17" t="s">
        <v>1327</v>
      </c>
      <c r="B2612" s="17" t="s">
        <v>1371</v>
      </c>
      <c r="C2612" s="17">
        <v>0</v>
      </c>
      <c r="D2612" s="17" t="s">
        <v>801</v>
      </c>
      <c r="E2612" s="18">
        <v>3002381115004</v>
      </c>
      <c r="G2612" s="20" t="str">
        <f t="shared" si="120"/>
        <v xml:space="preserve"> BORDURES        </v>
      </c>
      <c r="H2612" s="20" t="str">
        <f t="shared" si="121"/>
        <v>LINBL</v>
      </c>
      <c r="I2612" s="20">
        <f t="shared" si="122"/>
        <v>0</v>
      </c>
    </row>
    <row r="2613" spans="1:9">
      <c r="A2613" s="17" t="s">
        <v>1327</v>
      </c>
      <c r="B2613" s="17" t="s">
        <v>1371</v>
      </c>
      <c r="C2613" s="17">
        <v>0</v>
      </c>
      <c r="D2613" s="17" t="s">
        <v>801</v>
      </c>
      <c r="E2613" s="18">
        <v>8056095064900</v>
      </c>
      <c r="G2613" s="20" t="str">
        <f t="shared" si="120"/>
        <v xml:space="preserve"> BORDURES        </v>
      </c>
      <c r="H2613" s="20" t="str">
        <f t="shared" si="121"/>
        <v>LINBL</v>
      </c>
      <c r="I2613" s="20">
        <f t="shared" si="122"/>
        <v>0</v>
      </c>
    </row>
    <row r="2614" spans="1:9">
      <c r="A2614" s="17" t="s">
        <v>1327</v>
      </c>
      <c r="B2614" s="17" t="s">
        <v>1372</v>
      </c>
      <c r="C2614" s="17">
        <v>0</v>
      </c>
      <c r="D2614" s="17" t="s">
        <v>801</v>
      </c>
      <c r="E2614" s="18">
        <v>3002381114007</v>
      </c>
      <c r="G2614" s="20" t="str">
        <f t="shared" si="120"/>
        <v xml:space="preserve"> BORDURES        </v>
      </c>
      <c r="H2614" s="20" t="str">
        <f t="shared" si="121"/>
        <v>LINPH</v>
      </c>
      <c r="I2614" s="20">
        <f t="shared" si="122"/>
        <v>0</v>
      </c>
    </row>
    <row r="2615" spans="1:9">
      <c r="A2615" s="17" t="s">
        <v>1327</v>
      </c>
      <c r="B2615" s="17" t="s">
        <v>1372</v>
      </c>
      <c r="C2615" s="17">
        <v>0</v>
      </c>
      <c r="D2615" s="17" t="s">
        <v>801</v>
      </c>
      <c r="E2615" s="18">
        <v>8056095064894</v>
      </c>
      <c r="G2615" s="20" t="str">
        <f t="shared" si="120"/>
        <v xml:space="preserve"> BORDURES        </v>
      </c>
      <c r="H2615" s="20" t="str">
        <f t="shared" si="121"/>
        <v>LINPH</v>
      </c>
      <c r="I2615" s="20">
        <f t="shared" si="122"/>
        <v>0</v>
      </c>
    </row>
    <row r="2616" spans="1:9">
      <c r="A2616" s="17" t="s">
        <v>1327</v>
      </c>
      <c r="B2616" s="17" t="s">
        <v>1373</v>
      </c>
      <c r="C2616" s="17">
        <v>0</v>
      </c>
      <c r="D2616" s="17" t="s">
        <v>801</v>
      </c>
      <c r="E2616" s="18">
        <v>3002380782009</v>
      </c>
      <c r="G2616" s="20" t="str">
        <f t="shared" si="120"/>
        <v xml:space="preserve"> BORDURES        </v>
      </c>
      <c r="H2616" s="20" t="str">
        <f t="shared" si="121"/>
        <v>LINPO</v>
      </c>
      <c r="I2616" s="20">
        <f t="shared" si="122"/>
        <v>0</v>
      </c>
    </row>
    <row r="2617" spans="1:9">
      <c r="A2617" s="17" t="s">
        <v>1327</v>
      </c>
      <c r="B2617" s="17" t="s">
        <v>1374</v>
      </c>
      <c r="C2617" s="17">
        <v>0</v>
      </c>
      <c r="D2617" s="17" t="s">
        <v>801</v>
      </c>
      <c r="E2617" s="18">
        <v>3002380781002</v>
      </c>
      <c r="G2617" s="20" t="str">
        <f t="shared" si="120"/>
        <v xml:space="preserve"> BORDURES        </v>
      </c>
      <c r="H2617" s="20" t="str">
        <f t="shared" si="121"/>
        <v>LINYE</v>
      </c>
      <c r="I2617" s="20">
        <f t="shared" si="122"/>
        <v>0</v>
      </c>
    </row>
    <row r="2618" spans="1:9">
      <c r="A2618" s="17" t="s">
        <v>1327</v>
      </c>
      <c r="B2618" s="17" t="s">
        <v>1375</v>
      </c>
      <c r="C2618" s="17">
        <v>0</v>
      </c>
      <c r="D2618" s="17" t="s">
        <v>801</v>
      </c>
      <c r="E2618" s="18">
        <v>8050846012752</v>
      </c>
      <c r="G2618" s="20" t="str">
        <f t="shared" si="120"/>
        <v xml:space="preserve"> BORDURES        </v>
      </c>
      <c r="H2618" s="20" t="str">
        <f t="shared" si="121"/>
        <v xml:space="preserve">MATB </v>
      </c>
      <c r="I2618" s="20">
        <f t="shared" si="122"/>
        <v>0</v>
      </c>
    </row>
    <row r="2619" spans="1:9">
      <c r="A2619" s="17" t="s">
        <v>1327</v>
      </c>
      <c r="B2619" s="17" t="s">
        <v>1375</v>
      </c>
      <c r="C2619" s="17">
        <v>0</v>
      </c>
      <c r="D2619" s="17" t="s">
        <v>801</v>
      </c>
      <c r="E2619" s="18">
        <v>3003740237009</v>
      </c>
      <c r="G2619" s="20" t="str">
        <f t="shared" si="120"/>
        <v xml:space="preserve"> BORDURES        </v>
      </c>
      <c r="H2619" s="20" t="str">
        <f t="shared" si="121"/>
        <v xml:space="preserve">MATB </v>
      </c>
      <c r="I2619" s="20">
        <f t="shared" si="122"/>
        <v>0</v>
      </c>
    </row>
    <row r="2620" spans="1:9">
      <c r="A2620" s="17" t="s">
        <v>1327</v>
      </c>
      <c r="B2620" s="17" t="s">
        <v>1376</v>
      </c>
      <c r="C2620" s="17">
        <v>0</v>
      </c>
      <c r="D2620" s="17" t="s">
        <v>801</v>
      </c>
      <c r="E2620" s="18">
        <v>3002381521003</v>
      </c>
      <c r="G2620" s="20" t="str">
        <f t="shared" si="120"/>
        <v xml:space="preserve"> BORDURES        </v>
      </c>
      <c r="H2620" s="20" t="str">
        <f t="shared" si="121"/>
        <v>MATBD</v>
      </c>
      <c r="I2620" s="20">
        <f t="shared" si="122"/>
        <v>0</v>
      </c>
    </row>
    <row r="2621" spans="1:9">
      <c r="A2621" s="17" t="s">
        <v>1327</v>
      </c>
      <c r="B2621" s="17" t="s">
        <v>1376</v>
      </c>
      <c r="C2621" s="17">
        <v>0</v>
      </c>
      <c r="D2621" s="17" t="s">
        <v>801</v>
      </c>
      <c r="E2621" s="18">
        <v>8050846012745</v>
      </c>
      <c r="G2621" s="20" t="str">
        <f t="shared" si="120"/>
        <v xml:space="preserve"> BORDURES        </v>
      </c>
      <c r="H2621" s="20" t="str">
        <f t="shared" si="121"/>
        <v>MATBD</v>
      </c>
      <c r="I2621" s="20">
        <f t="shared" si="122"/>
        <v>0</v>
      </c>
    </row>
    <row r="2622" spans="1:9">
      <c r="A2622" s="17" t="s">
        <v>1327</v>
      </c>
      <c r="B2622" s="17" t="s">
        <v>1377</v>
      </c>
      <c r="C2622" s="17">
        <v>0</v>
      </c>
      <c r="D2622" s="17" t="s">
        <v>801</v>
      </c>
      <c r="E2622" s="18">
        <v>8056099177859</v>
      </c>
      <c r="G2622" s="20" t="str">
        <f t="shared" si="120"/>
        <v xml:space="preserve"> BORDURES        </v>
      </c>
      <c r="H2622" s="20" t="str">
        <f t="shared" si="121"/>
        <v>MATBL</v>
      </c>
      <c r="I2622" s="20">
        <f t="shared" si="122"/>
        <v>0</v>
      </c>
    </row>
    <row r="2623" spans="1:9">
      <c r="A2623" s="17" t="s">
        <v>1327</v>
      </c>
      <c r="B2623" s="17" t="s">
        <v>1378</v>
      </c>
      <c r="C2623" s="17">
        <v>0</v>
      </c>
      <c r="D2623" s="17" t="s">
        <v>801</v>
      </c>
      <c r="E2623" s="18">
        <v>8056099177514</v>
      </c>
      <c r="G2623" s="20" t="str">
        <f t="shared" si="120"/>
        <v xml:space="preserve"> BORDURES        </v>
      </c>
      <c r="H2623" s="20" t="str">
        <f t="shared" si="121"/>
        <v>MATGR</v>
      </c>
      <c r="I2623" s="20">
        <f t="shared" si="122"/>
        <v>0</v>
      </c>
    </row>
    <row r="2624" spans="1:9">
      <c r="A2624" s="17" t="s">
        <v>1327</v>
      </c>
      <c r="B2624" s="17" t="s">
        <v>1379</v>
      </c>
      <c r="C2624" s="17">
        <v>0</v>
      </c>
      <c r="D2624" s="17" t="s">
        <v>801</v>
      </c>
      <c r="E2624" s="18">
        <v>3003740290004</v>
      </c>
      <c r="G2624" s="20" t="str">
        <f t="shared" si="120"/>
        <v xml:space="preserve"> BORDURES        </v>
      </c>
      <c r="H2624" s="20" t="str">
        <f t="shared" si="121"/>
        <v xml:space="preserve">MATL </v>
      </c>
      <c r="I2624" s="20">
        <f t="shared" si="122"/>
        <v>0</v>
      </c>
    </row>
    <row r="2625" spans="1:9">
      <c r="A2625" s="17" t="s">
        <v>1327</v>
      </c>
      <c r="B2625" s="17" t="s">
        <v>1380</v>
      </c>
      <c r="C2625" s="17">
        <v>0</v>
      </c>
      <c r="D2625" s="17" t="s">
        <v>801</v>
      </c>
      <c r="E2625" s="18">
        <v>3003740291001</v>
      </c>
      <c r="G2625" s="20" t="str">
        <f t="shared" si="120"/>
        <v xml:space="preserve"> BORDURES        </v>
      </c>
      <c r="H2625" s="20" t="str">
        <f t="shared" si="121"/>
        <v xml:space="preserve">MATM </v>
      </c>
      <c r="I2625" s="20">
        <f t="shared" si="122"/>
        <v>0</v>
      </c>
    </row>
    <row r="2626" spans="1:9">
      <c r="A2626" s="17" t="s">
        <v>1327</v>
      </c>
      <c r="B2626" s="17" t="s">
        <v>1381</v>
      </c>
      <c r="C2626" s="17">
        <v>0</v>
      </c>
      <c r="D2626" s="17" t="s">
        <v>801</v>
      </c>
      <c r="E2626" s="18">
        <v>3003740239003</v>
      </c>
      <c r="G2626" s="20" t="str">
        <f t="shared" si="120"/>
        <v xml:space="preserve"> BORDURES        </v>
      </c>
      <c r="H2626" s="20" t="str">
        <f t="shared" si="121"/>
        <v xml:space="preserve">MATN </v>
      </c>
      <c r="I2626" s="20">
        <f t="shared" si="122"/>
        <v>0</v>
      </c>
    </row>
    <row r="2627" spans="1:9">
      <c r="A2627" s="17" t="s">
        <v>1327</v>
      </c>
      <c r="B2627" s="17" t="s">
        <v>1382</v>
      </c>
      <c r="C2627" s="17">
        <v>0</v>
      </c>
      <c r="D2627" s="17" t="s">
        <v>801</v>
      </c>
      <c r="E2627" s="18">
        <v>3002381520006</v>
      </c>
      <c r="G2627" s="20" t="str">
        <f t="shared" si="120"/>
        <v xml:space="preserve"> BORDURES        </v>
      </c>
      <c r="H2627" s="20" t="str">
        <f t="shared" si="121"/>
        <v>MATNO</v>
      </c>
      <c r="I2627" s="20">
        <f t="shared" si="122"/>
        <v>0</v>
      </c>
    </row>
    <row r="2628" spans="1:9">
      <c r="A2628" s="17" t="s">
        <v>1327</v>
      </c>
      <c r="B2628" s="17" t="s">
        <v>1383</v>
      </c>
      <c r="C2628" s="17">
        <v>0</v>
      </c>
      <c r="D2628" s="17" t="s">
        <v>801</v>
      </c>
      <c r="E2628" s="18">
        <v>3003740289008</v>
      </c>
      <c r="G2628" s="20" t="str">
        <f t="shared" si="120"/>
        <v xml:space="preserve"> BORDURES        </v>
      </c>
      <c r="H2628" s="20" t="str">
        <f t="shared" si="121"/>
        <v xml:space="preserve">MATV </v>
      </c>
      <c r="I2628" s="20">
        <f t="shared" si="122"/>
        <v>0</v>
      </c>
    </row>
    <row r="2629" spans="1:9">
      <c r="A2629" s="17" t="s">
        <v>1327</v>
      </c>
      <c r="B2629" s="17" t="s">
        <v>1384</v>
      </c>
      <c r="C2629" s="17">
        <v>0</v>
      </c>
      <c r="D2629" s="17" t="s">
        <v>801</v>
      </c>
      <c r="E2629" s="18">
        <v>3003740238006</v>
      </c>
      <c r="G2629" s="20" t="str">
        <f t="shared" ref="G2629:G2692" si="123">A2629</f>
        <v xml:space="preserve"> BORDURES        </v>
      </c>
      <c r="H2629" s="20" t="str">
        <f t="shared" ref="H2629:H2692" si="124">B2629</f>
        <v xml:space="preserve">MATW </v>
      </c>
      <c r="I2629" s="20">
        <f t="shared" ref="I2629:I2692" si="125">C2629</f>
        <v>0</v>
      </c>
    </row>
    <row r="2630" spans="1:9">
      <c r="A2630" s="17" t="s">
        <v>1327</v>
      </c>
      <c r="B2630" s="17" t="s">
        <v>1385</v>
      </c>
      <c r="C2630" s="17">
        <v>0</v>
      </c>
      <c r="D2630" s="17" t="s">
        <v>801</v>
      </c>
      <c r="E2630" s="18">
        <v>3003740196009</v>
      </c>
      <c r="G2630" s="20" t="str">
        <f t="shared" si="123"/>
        <v xml:space="preserve"> BORDURES        </v>
      </c>
      <c r="H2630" s="20" t="str">
        <f t="shared" si="124"/>
        <v xml:space="preserve">MEX  </v>
      </c>
      <c r="I2630" s="20">
        <f t="shared" si="125"/>
        <v>0</v>
      </c>
    </row>
    <row r="2631" spans="1:9">
      <c r="A2631" s="17" t="s">
        <v>1327</v>
      </c>
      <c r="B2631" s="17" t="s">
        <v>952</v>
      </c>
      <c r="C2631" s="17">
        <v>0</v>
      </c>
      <c r="D2631" s="17" t="s">
        <v>801</v>
      </c>
      <c r="E2631" s="18">
        <v>8056095063194</v>
      </c>
      <c r="G2631" s="20" t="str">
        <f t="shared" si="123"/>
        <v xml:space="preserve"> BORDURES        </v>
      </c>
      <c r="H2631" s="20" t="str">
        <f t="shared" si="124"/>
        <v>ODPBL</v>
      </c>
      <c r="I2631" s="20">
        <f t="shared" si="125"/>
        <v>0</v>
      </c>
    </row>
    <row r="2632" spans="1:9">
      <c r="A2632" s="17" t="s">
        <v>1327</v>
      </c>
      <c r="B2632" s="17" t="s">
        <v>952</v>
      </c>
      <c r="C2632" s="17">
        <v>0</v>
      </c>
      <c r="D2632" s="17" t="s">
        <v>801</v>
      </c>
      <c r="E2632" s="18">
        <v>3002381105005</v>
      </c>
      <c r="G2632" s="20" t="str">
        <f t="shared" si="123"/>
        <v xml:space="preserve"> BORDURES        </v>
      </c>
      <c r="H2632" s="20" t="str">
        <f t="shared" si="124"/>
        <v>ODPBL</v>
      </c>
      <c r="I2632" s="20">
        <f t="shared" si="125"/>
        <v>0</v>
      </c>
    </row>
    <row r="2633" spans="1:9">
      <c r="A2633" s="17" t="s">
        <v>1327</v>
      </c>
      <c r="B2633" s="17" t="s">
        <v>1386</v>
      </c>
      <c r="C2633" s="17">
        <v>0</v>
      </c>
      <c r="D2633" s="17" t="s">
        <v>801</v>
      </c>
      <c r="E2633" s="18">
        <v>8056095063217</v>
      </c>
      <c r="G2633" s="20" t="str">
        <f t="shared" si="123"/>
        <v xml:space="preserve"> BORDURES        </v>
      </c>
      <c r="H2633" s="20" t="str">
        <f t="shared" si="124"/>
        <v>ODPSA</v>
      </c>
      <c r="I2633" s="20">
        <f t="shared" si="125"/>
        <v>0</v>
      </c>
    </row>
    <row r="2634" spans="1:9">
      <c r="A2634" s="17" t="s">
        <v>1327</v>
      </c>
      <c r="B2634" s="17" t="s">
        <v>1386</v>
      </c>
      <c r="C2634" s="17">
        <v>0</v>
      </c>
      <c r="D2634" s="17" t="s">
        <v>801</v>
      </c>
      <c r="E2634" s="18">
        <v>3002381107009</v>
      </c>
      <c r="G2634" s="20" t="str">
        <f t="shared" si="123"/>
        <v xml:space="preserve"> BORDURES        </v>
      </c>
      <c r="H2634" s="20" t="str">
        <f t="shared" si="124"/>
        <v>ODPSA</v>
      </c>
      <c r="I2634" s="20">
        <f t="shared" si="125"/>
        <v>0</v>
      </c>
    </row>
    <row r="2635" spans="1:9">
      <c r="A2635" s="17" t="s">
        <v>1327</v>
      </c>
      <c r="B2635" s="17" t="s">
        <v>953</v>
      </c>
      <c r="C2635" s="17">
        <v>0</v>
      </c>
      <c r="D2635" s="17" t="s">
        <v>801</v>
      </c>
      <c r="E2635" s="18">
        <v>8056095063200</v>
      </c>
      <c r="G2635" s="20" t="str">
        <f t="shared" si="123"/>
        <v xml:space="preserve"> BORDURES        </v>
      </c>
      <c r="H2635" s="20" t="str">
        <f t="shared" si="124"/>
        <v>ODPTO</v>
      </c>
      <c r="I2635" s="20">
        <f t="shared" si="125"/>
        <v>0</v>
      </c>
    </row>
    <row r="2636" spans="1:9">
      <c r="A2636" s="17" t="s">
        <v>1327</v>
      </c>
      <c r="B2636" s="17" t="s">
        <v>953</v>
      </c>
      <c r="C2636" s="17">
        <v>0</v>
      </c>
      <c r="D2636" s="17" t="s">
        <v>801</v>
      </c>
      <c r="E2636" s="18">
        <v>3002381106002</v>
      </c>
      <c r="G2636" s="20" t="str">
        <f t="shared" si="123"/>
        <v xml:space="preserve"> BORDURES        </v>
      </c>
      <c r="H2636" s="20" t="str">
        <f t="shared" si="124"/>
        <v>ODPTO</v>
      </c>
      <c r="I2636" s="20">
        <f t="shared" si="125"/>
        <v>0</v>
      </c>
    </row>
    <row r="2637" spans="1:9">
      <c r="A2637" s="17" t="s">
        <v>1327</v>
      </c>
      <c r="B2637" s="17" t="s">
        <v>1387</v>
      </c>
      <c r="C2637" s="17">
        <v>0</v>
      </c>
      <c r="D2637" s="17" t="s">
        <v>801</v>
      </c>
      <c r="E2637" s="18">
        <v>8050538594870</v>
      </c>
      <c r="G2637" s="20" t="str">
        <f t="shared" si="123"/>
        <v xml:space="preserve"> BORDURES        </v>
      </c>
      <c r="H2637" s="20" t="str">
        <f t="shared" si="124"/>
        <v>ONDBL</v>
      </c>
      <c r="I2637" s="20">
        <f t="shared" si="125"/>
        <v>0</v>
      </c>
    </row>
    <row r="2638" spans="1:9">
      <c r="A2638" s="17" t="s">
        <v>1327</v>
      </c>
      <c r="B2638" s="17" t="s">
        <v>1387</v>
      </c>
      <c r="C2638" s="17">
        <v>0</v>
      </c>
      <c r="D2638" s="17" t="s">
        <v>801</v>
      </c>
      <c r="E2638" s="18">
        <v>8050846019263</v>
      </c>
      <c r="G2638" s="20" t="str">
        <f t="shared" si="123"/>
        <v xml:space="preserve"> BORDURES        </v>
      </c>
      <c r="H2638" s="20" t="str">
        <f t="shared" si="124"/>
        <v>ONDBL</v>
      </c>
      <c r="I2638" s="20">
        <f t="shared" si="125"/>
        <v>0</v>
      </c>
    </row>
    <row r="2639" spans="1:9">
      <c r="A2639" s="17" t="s">
        <v>1327</v>
      </c>
      <c r="B2639" s="17" t="s">
        <v>815</v>
      </c>
      <c r="C2639" s="17">
        <v>0</v>
      </c>
      <c r="D2639" s="17" t="s">
        <v>801</v>
      </c>
      <c r="E2639" s="18">
        <v>3002381469008</v>
      </c>
      <c r="G2639" s="20" t="str">
        <f t="shared" si="123"/>
        <v xml:space="preserve"> BORDURES        </v>
      </c>
      <c r="H2639" s="20" t="str">
        <f t="shared" si="124"/>
        <v>OPTWH</v>
      </c>
      <c r="I2639" s="20">
        <f t="shared" si="125"/>
        <v>0</v>
      </c>
    </row>
    <row r="2640" spans="1:9">
      <c r="A2640" s="17" t="s">
        <v>1327</v>
      </c>
      <c r="B2640" s="17" t="s">
        <v>815</v>
      </c>
      <c r="C2640" s="17">
        <v>0</v>
      </c>
      <c r="D2640" s="17" t="s">
        <v>801</v>
      </c>
      <c r="E2640" s="18">
        <v>8050538590100</v>
      </c>
      <c r="G2640" s="20" t="str">
        <f t="shared" si="123"/>
        <v xml:space="preserve"> BORDURES        </v>
      </c>
      <c r="H2640" s="20" t="str">
        <f t="shared" si="124"/>
        <v>OPTWH</v>
      </c>
      <c r="I2640" s="20">
        <f t="shared" si="125"/>
        <v>0</v>
      </c>
    </row>
    <row r="2641" spans="1:9">
      <c r="A2641" s="17" t="s">
        <v>1327</v>
      </c>
      <c r="B2641" s="17" t="s">
        <v>1388</v>
      </c>
      <c r="C2641" s="17">
        <v>0</v>
      </c>
      <c r="D2641" s="17" t="s">
        <v>801</v>
      </c>
      <c r="E2641" s="18">
        <v>3002381515002</v>
      </c>
      <c r="G2641" s="20" t="str">
        <f t="shared" si="123"/>
        <v xml:space="preserve"> BORDURES        </v>
      </c>
      <c r="H2641" s="20" t="str">
        <f t="shared" si="124"/>
        <v>ORIBL</v>
      </c>
      <c r="I2641" s="20">
        <f t="shared" si="125"/>
        <v>0</v>
      </c>
    </row>
    <row r="2642" spans="1:9">
      <c r="A2642" s="17" t="s">
        <v>1327</v>
      </c>
      <c r="B2642" s="17" t="s">
        <v>1388</v>
      </c>
      <c r="C2642" s="17">
        <v>0</v>
      </c>
      <c r="D2642" s="17" t="s">
        <v>801</v>
      </c>
      <c r="E2642" s="18">
        <v>8050846012769</v>
      </c>
      <c r="G2642" s="20" t="str">
        <f t="shared" si="123"/>
        <v xml:space="preserve"> BORDURES        </v>
      </c>
      <c r="H2642" s="20" t="str">
        <f t="shared" si="124"/>
        <v>ORIBL</v>
      </c>
      <c r="I2642" s="20">
        <f t="shared" si="125"/>
        <v>0</v>
      </c>
    </row>
    <row r="2643" spans="1:9">
      <c r="A2643" s="17" t="s">
        <v>1327</v>
      </c>
      <c r="B2643" s="17" t="s">
        <v>1389</v>
      </c>
      <c r="C2643" s="17">
        <v>0</v>
      </c>
      <c r="D2643" s="17" t="s">
        <v>801</v>
      </c>
      <c r="E2643" s="18">
        <v>3003740605006</v>
      </c>
      <c r="G2643" s="20" t="str">
        <f t="shared" si="123"/>
        <v xml:space="preserve"> BORDURES        </v>
      </c>
      <c r="H2643" s="20" t="str">
        <f t="shared" si="124"/>
        <v xml:space="preserve">PINK </v>
      </c>
      <c r="I2643" s="20">
        <f t="shared" si="125"/>
        <v>0</v>
      </c>
    </row>
    <row r="2644" spans="1:9">
      <c r="A2644" s="17" t="s">
        <v>1327</v>
      </c>
      <c r="B2644" s="17" t="s">
        <v>1390</v>
      </c>
      <c r="C2644" s="17">
        <v>0</v>
      </c>
      <c r="D2644" s="17" t="s">
        <v>801</v>
      </c>
      <c r="E2644" s="18">
        <v>3003740131000</v>
      </c>
      <c r="G2644" s="20" t="str">
        <f t="shared" si="123"/>
        <v xml:space="preserve"> BORDURES        </v>
      </c>
      <c r="H2644" s="20" t="str">
        <f t="shared" si="124"/>
        <v xml:space="preserve">PKBL </v>
      </c>
      <c r="I2644" s="20">
        <f t="shared" si="125"/>
        <v>0</v>
      </c>
    </row>
    <row r="2645" spans="1:9">
      <c r="A2645" s="17" t="s">
        <v>1327</v>
      </c>
      <c r="B2645" s="17" t="s">
        <v>1391</v>
      </c>
      <c r="C2645" s="17">
        <v>0</v>
      </c>
      <c r="D2645" s="17" t="s">
        <v>801</v>
      </c>
      <c r="E2645" s="18">
        <v>3003740130003</v>
      </c>
      <c r="G2645" s="20" t="str">
        <f t="shared" si="123"/>
        <v xml:space="preserve"> BORDURES        </v>
      </c>
      <c r="H2645" s="20" t="str">
        <f t="shared" si="124"/>
        <v xml:space="preserve">PKWH </v>
      </c>
      <c r="I2645" s="20">
        <f t="shared" si="125"/>
        <v>0</v>
      </c>
    </row>
    <row r="2646" spans="1:9">
      <c r="A2646" s="17" t="s">
        <v>1327</v>
      </c>
      <c r="B2646" s="17" t="s">
        <v>1392</v>
      </c>
      <c r="C2646" s="17">
        <v>0</v>
      </c>
      <c r="D2646" s="17" t="s">
        <v>801</v>
      </c>
      <c r="E2646" s="18">
        <v>8056095063255</v>
      </c>
      <c r="G2646" s="20" t="str">
        <f t="shared" si="123"/>
        <v xml:space="preserve"> BORDURES        </v>
      </c>
      <c r="H2646" s="20" t="str">
        <f t="shared" si="124"/>
        <v>POBLU</v>
      </c>
      <c r="I2646" s="20">
        <f t="shared" si="125"/>
        <v>0</v>
      </c>
    </row>
    <row r="2647" spans="1:9">
      <c r="A2647" s="17" t="s">
        <v>1327</v>
      </c>
      <c r="B2647" s="17" t="s">
        <v>1392</v>
      </c>
      <c r="C2647" s="17">
        <v>0</v>
      </c>
      <c r="D2647" s="17" t="s">
        <v>801</v>
      </c>
      <c r="E2647" s="18">
        <v>3002381108006</v>
      </c>
      <c r="G2647" s="20" t="str">
        <f t="shared" si="123"/>
        <v xml:space="preserve"> BORDURES        </v>
      </c>
      <c r="H2647" s="20" t="str">
        <f t="shared" si="124"/>
        <v>POBLU</v>
      </c>
      <c r="I2647" s="20">
        <f t="shared" si="125"/>
        <v>0</v>
      </c>
    </row>
    <row r="2648" spans="1:9">
      <c r="A2648" s="17" t="s">
        <v>1327</v>
      </c>
      <c r="B2648" s="17" t="s">
        <v>1393</v>
      </c>
      <c r="C2648" s="17">
        <v>0</v>
      </c>
      <c r="D2648" s="17" t="s">
        <v>801</v>
      </c>
      <c r="E2648" s="18">
        <v>8050538594863</v>
      </c>
      <c r="G2648" s="20" t="str">
        <f t="shared" si="123"/>
        <v xml:space="preserve"> BORDURES        </v>
      </c>
      <c r="H2648" s="20" t="str">
        <f t="shared" si="124"/>
        <v>POIBD</v>
      </c>
      <c r="I2648" s="20">
        <f t="shared" si="125"/>
        <v>0</v>
      </c>
    </row>
    <row r="2649" spans="1:9">
      <c r="A2649" s="17" t="s">
        <v>1327</v>
      </c>
      <c r="B2649" s="17" t="s">
        <v>1394</v>
      </c>
      <c r="C2649" s="17">
        <v>0</v>
      </c>
      <c r="D2649" s="17" t="s">
        <v>801</v>
      </c>
      <c r="E2649" s="18">
        <v>3003740151008</v>
      </c>
      <c r="G2649" s="20" t="str">
        <f t="shared" si="123"/>
        <v xml:space="preserve"> BORDURES        </v>
      </c>
      <c r="H2649" s="20" t="str">
        <f t="shared" si="124"/>
        <v xml:space="preserve">POIS </v>
      </c>
      <c r="I2649" s="20">
        <f t="shared" si="125"/>
        <v>0</v>
      </c>
    </row>
    <row r="2650" spans="1:9">
      <c r="A2650" s="17" t="s">
        <v>1327</v>
      </c>
      <c r="B2650" s="17" t="s">
        <v>1395</v>
      </c>
      <c r="C2650" s="17">
        <v>0</v>
      </c>
      <c r="D2650" s="17" t="s">
        <v>801</v>
      </c>
      <c r="E2650" s="18">
        <v>8050538594856</v>
      </c>
      <c r="G2650" s="20" t="str">
        <f t="shared" si="123"/>
        <v xml:space="preserve"> BORDURES        </v>
      </c>
      <c r="H2650" s="20" t="str">
        <f t="shared" si="124"/>
        <v>POIWH</v>
      </c>
      <c r="I2650" s="20">
        <f t="shared" si="125"/>
        <v>0</v>
      </c>
    </row>
    <row r="2651" spans="1:9">
      <c r="A2651" s="17" t="s">
        <v>1327</v>
      </c>
      <c r="B2651" s="17" t="s">
        <v>1396</v>
      </c>
      <c r="C2651" s="17">
        <v>0</v>
      </c>
      <c r="D2651" s="17" t="s">
        <v>801</v>
      </c>
      <c r="E2651" s="18">
        <v>8056095063262</v>
      </c>
      <c r="G2651" s="20" t="str">
        <f t="shared" si="123"/>
        <v xml:space="preserve"> BORDURES        </v>
      </c>
      <c r="H2651" s="20" t="str">
        <f t="shared" si="124"/>
        <v>POSAL</v>
      </c>
      <c r="I2651" s="20">
        <f t="shared" si="125"/>
        <v>0</v>
      </c>
    </row>
    <row r="2652" spans="1:9">
      <c r="A2652" s="17" t="s">
        <v>1327</v>
      </c>
      <c r="B2652" s="17" t="s">
        <v>1396</v>
      </c>
      <c r="C2652" s="17">
        <v>0</v>
      </c>
      <c r="D2652" s="17" t="s">
        <v>801</v>
      </c>
      <c r="E2652" s="18">
        <v>3002381109003</v>
      </c>
      <c r="G2652" s="20" t="str">
        <f t="shared" si="123"/>
        <v xml:space="preserve"> BORDURES        </v>
      </c>
      <c r="H2652" s="20" t="str">
        <f t="shared" si="124"/>
        <v>POSAL</v>
      </c>
      <c r="I2652" s="20">
        <f t="shared" si="125"/>
        <v>0</v>
      </c>
    </row>
    <row r="2653" spans="1:9">
      <c r="A2653" s="17" t="s">
        <v>1327</v>
      </c>
      <c r="B2653" s="17" t="s">
        <v>1397</v>
      </c>
      <c r="C2653" s="17">
        <v>0</v>
      </c>
      <c r="D2653" s="17" t="s">
        <v>801</v>
      </c>
      <c r="E2653" s="18">
        <v>3003740188004</v>
      </c>
      <c r="G2653" s="20" t="str">
        <f t="shared" si="123"/>
        <v xml:space="preserve"> BORDURES        </v>
      </c>
      <c r="H2653" s="20" t="str">
        <f t="shared" si="124"/>
        <v xml:space="preserve">RAF  </v>
      </c>
      <c r="I2653" s="20">
        <f t="shared" si="125"/>
        <v>0</v>
      </c>
    </row>
    <row r="2654" spans="1:9">
      <c r="A2654" s="17" t="s">
        <v>1327</v>
      </c>
      <c r="B2654" s="17" t="s">
        <v>1398</v>
      </c>
      <c r="C2654" s="17">
        <v>0</v>
      </c>
      <c r="D2654" s="17" t="s">
        <v>801</v>
      </c>
      <c r="E2654" s="18">
        <v>3003740197006</v>
      </c>
      <c r="G2654" s="20" t="str">
        <f t="shared" si="123"/>
        <v xml:space="preserve"> BORDURES        </v>
      </c>
      <c r="H2654" s="20" t="str">
        <f t="shared" si="124"/>
        <v>RAIES</v>
      </c>
      <c r="I2654" s="20">
        <f t="shared" si="125"/>
        <v>0</v>
      </c>
    </row>
    <row r="2655" spans="1:9">
      <c r="A2655" s="17" t="s">
        <v>1327</v>
      </c>
      <c r="B2655" s="17" t="s">
        <v>1399</v>
      </c>
      <c r="C2655" s="17">
        <v>0</v>
      </c>
      <c r="D2655" s="17" t="s">
        <v>801</v>
      </c>
      <c r="E2655" s="18">
        <v>8056099170812</v>
      </c>
      <c r="G2655" s="20" t="str">
        <f t="shared" si="123"/>
        <v xml:space="preserve"> BORDURES        </v>
      </c>
      <c r="H2655" s="20" t="str">
        <f t="shared" si="124"/>
        <v>RIVBL</v>
      </c>
      <c r="I2655" s="20">
        <f t="shared" si="125"/>
        <v>0</v>
      </c>
    </row>
    <row r="2656" spans="1:9">
      <c r="A2656" s="17" t="s">
        <v>1327</v>
      </c>
      <c r="B2656" s="17" t="s">
        <v>1400</v>
      </c>
      <c r="C2656" s="17">
        <v>0</v>
      </c>
      <c r="D2656" s="17" t="s">
        <v>801</v>
      </c>
      <c r="E2656" s="18">
        <v>8056099170799</v>
      </c>
      <c r="G2656" s="20" t="str">
        <f t="shared" si="123"/>
        <v xml:space="preserve"> BORDURES        </v>
      </c>
      <c r="H2656" s="20" t="str">
        <f t="shared" si="124"/>
        <v>RIVJA</v>
      </c>
      <c r="I2656" s="20">
        <f t="shared" si="125"/>
        <v>0</v>
      </c>
    </row>
    <row r="2657" spans="1:9">
      <c r="A2657" s="17" t="s">
        <v>1327</v>
      </c>
      <c r="B2657" s="17" t="s">
        <v>1401</v>
      </c>
      <c r="C2657" s="17">
        <v>0</v>
      </c>
      <c r="D2657" s="17" t="s">
        <v>801</v>
      </c>
      <c r="E2657" s="18">
        <v>8056099170805</v>
      </c>
      <c r="G2657" s="20" t="str">
        <f t="shared" si="123"/>
        <v xml:space="preserve"> BORDURES        </v>
      </c>
      <c r="H2657" s="20" t="str">
        <f t="shared" si="124"/>
        <v>RIVRO</v>
      </c>
      <c r="I2657" s="20">
        <f t="shared" si="125"/>
        <v>0</v>
      </c>
    </row>
    <row r="2658" spans="1:9">
      <c r="A2658" s="17" t="s">
        <v>1327</v>
      </c>
      <c r="B2658" s="17" t="s">
        <v>1402</v>
      </c>
      <c r="C2658" s="17">
        <v>0</v>
      </c>
      <c r="D2658" s="17" t="s">
        <v>801</v>
      </c>
      <c r="E2658" s="18">
        <v>8056099170911</v>
      </c>
      <c r="G2658" s="20" t="str">
        <f t="shared" si="123"/>
        <v xml:space="preserve"> BORDURES        </v>
      </c>
      <c r="H2658" s="20" t="str">
        <f t="shared" si="124"/>
        <v>SOIBL</v>
      </c>
      <c r="I2658" s="20">
        <f t="shared" si="125"/>
        <v>0</v>
      </c>
    </row>
    <row r="2659" spans="1:9">
      <c r="A2659" s="17" t="s">
        <v>1327</v>
      </c>
      <c r="B2659" s="17" t="s">
        <v>1403</v>
      </c>
      <c r="C2659" s="17">
        <v>0</v>
      </c>
      <c r="D2659" s="17" t="s">
        <v>801</v>
      </c>
      <c r="E2659" s="18">
        <v>8056099170881</v>
      </c>
      <c r="G2659" s="20" t="str">
        <f t="shared" si="123"/>
        <v xml:space="preserve"> BORDURES        </v>
      </c>
      <c r="H2659" s="20" t="str">
        <f t="shared" si="124"/>
        <v>SOIJA</v>
      </c>
      <c r="I2659" s="20">
        <f t="shared" si="125"/>
        <v>0</v>
      </c>
    </row>
    <row r="2660" spans="1:9">
      <c r="A2660" s="17" t="s">
        <v>1327</v>
      </c>
      <c r="B2660" s="17" t="s">
        <v>1404</v>
      </c>
      <c r="C2660" s="17">
        <v>0</v>
      </c>
      <c r="D2660" s="17" t="s">
        <v>801</v>
      </c>
      <c r="E2660" s="18">
        <v>8056099170898</v>
      </c>
      <c r="G2660" s="20" t="str">
        <f t="shared" si="123"/>
        <v xml:space="preserve"> BORDURES        </v>
      </c>
      <c r="H2660" s="20" t="str">
        <f t="shared" si="124"/>
        <v>SOIOR</v>
      </c>
      <c r="I2660" s="20">
        <f t="shared" si="125"/>
        <v>0</v>
      </c>
    </row>
    <row r="2661" spans="1:9">
      <c r="A2661" s="17" t="s">
        <v>1327</v>
      </c>
      <c r="B2661" s="17" t="s">
        <v>1405</v>
      </c>
      <c r="C2661" s="17">
        <v>0</v>
      </c>
      <c r="D2661" s="17" t="s">
        <v>801</v>
      </c>
      <c r="E2661" s="18">
        <v>8056099170904</v>
      </c>
      <c r="G2661" s="20" t="str">
        <f t="shared" si="123"/>
        <v xml:space="preserve"> BORDURES        </v>
      </c>
      <c r="H2661" s="20" t="str">
        <f t="shared" si="124"/>
        <v>SOIRO</v>
      </c>
      <c r="I2661" s="20">
        <f t="shared" si="125"/>
        <v>0</v>
      </c>
    </row>
    <row r="2662" spans="1:9">
      <c r="A2662" s="17" t="s">
        <v>1327</v>
      </c>
      <c r="B2662" s="17" t="s">
        <v>1406</v>
      </c>
      <c r="C2662" s="17">
        <v>0</v>
      </c>
      <c r="D2662" s="17" t="s">
        <v>801</v>
      </c>
      <c r="E2662" s="18">
        <v>3002380739003</v>
      </c>
      <c r="G2662" s="20" t="str">
        <f t="shared" si="123"/>
        <v xml:space="preserve"> BORDURES        </v>
      </c>
      <c r="H2662" s="20" t="str">
        <f t="shared" si="124"/>
        <v>SUEBL</v>
      </c>
      <c r="I2662" s="20">
        <f t="shared" si="125"/>
        <v>0</v>
      </c>
    </row>
    <row r="2663" spans="1:9">
      <c r="A2663" s="17" t="s">
        <v>1327</v>
      </c>
      <c r="B2663" s="17" t="s">
        <v>1407</v>
      </c>
      <c r="C2663" s="17">
        <v>0</v>
      </c>
      <c r="D2663" s="17" t="s">
        <v>801</v>
      </c>
      <c r="E2663" s="18">
        <v>3002380667009</v>
      </c>
      <c r="G2663" s="20" t="str">
        <f t="shared" si="123"/>
        <v xml:space="preserve"> BORDURES        </v>
      </c>
      <c r="H2663" s="20" t="str">
        <f t="shared" si="124"/>
        <v>SUEBO</v>
      </c>
      <c r="I2663" s="20">
        <f t="shared" si="125"/>
        <v>0</v>
      </c>
    </row>
    <row r="2664" spans="1:9">
      <c r="A2664" s="17" t="s">
        <v>1327</v>
      </c>
      <c r="B2664" s="17" t="s">
        <v>957</v>
      </c>
      <c r="C2664" s="17">
        <v>0</v>
      </c>
      <c r="D2664" s="17" t="s">
        <v>801</v>
      </c>
      <c r="E2664" s="18">
        <v>3002380650001</v>
      </c>
      <c r="G2664" s="20" t="str">
        <f t="shared" si="123"/>
        <v xml:space="preserve"> BORDURES        </v>
      </c>
      <c r="H2664" s="20" t="str">
        <f t="shared" si="124"/>
        <v>SUEDO</v>
      </c>
      <c r="I2664" s="20">
        <f t="shared" si="125"/>
        <v>0</v>
      </c>
    </row>
    <row r="2665" spans="1:9">
      <c r="A2665" s="17" t="s">
        <v>1327</v>
      </c>
      <c r="B2665" s="17" t="s">
        <v>1408</v>
      </c>
      <c r="C2665" s="17">
        <v>0</v>
      </c>
      <c r="D2665" s="17" t="s">
        <v>801</v>
      </c>
      <c r="E2665" s="18">
        <v>3002380666002</v>
      </c>
      <c r="G2665" s="20" t="str">
        <f t="shared" si="123"/>
        <v xml:space="preserve"> BORDURES        </v>
      </c>
      <c r="H2665" s="20" t="str">
        <f t="shared" si="124"/>
        <v>SUENA</v>
      </c>
      <c r="I2665" s="20">
        <f t="shared" si="125"/>
        <v>0</v>
      </c>
    </row>
    <row r="2666" spans="1:9">
      <c r="A2666" s="17" t="s">
        <v>1327</v>
      </c>
      <c r="B2666" s="17" t="s">
        <v>1409</v>
      </c>
      <c r="C2666" s="17">
        <v>0</v>
      </c>
      <c r="D2666" s="17" t="s">
        <v>801</v>
      </c>
      <c r="E2666" s="18">
        <v>3002380725006</v>
      </c>
      <c r="G2666" s="20" t="str">
        <f t="shared" si="123"/>
        <v xml:space="preserve"> BORDURES        </v>
      </c>
      <c r="H2666" s="20" t="str">
        <f t="shared" si="124"/>
        <v>SUERO</v>
      </c>
      <c r="I2666" s="20">
        <f t="shared" si="125"/>
        <v>0</v>
      </c>
    </row>
    <row r="2667" spans="1:9">
      <c r="A2667" s="17" t="s">
        <v>1327</v>
      </c>
      <c r="B2667" s="17" t="s">
        <v>1410</v>
      </c>
      <c r="C2667" s="17">
        <v>0</v>
      </c>
      <c r="D2667" s="17" t="s">
        <v>801</v>
      </c>
      <c r="E2667" s="18">
        <v>3003740519006</v>
      </c>
      <c r="G2667" s="20" t="str">
        <f t="shared" si="123"/>
        <v xml:space="preserve"> BORDURES        </v>
      </c>
      <c r="H2667" s="20" t="str">
        <f t="shared" si="124"/>
        <v>SUETE</v>
      </c>
      <c r="I2667" s="20">
        <f t="shared" si="125"/>
        <v>0</v>
      </c>
    </row>
    <row r="2668" spans="1:9">
      <c r="A2668" s="17" t="s">
        <v>1327</v>
      </c>
      <c r="B2668" s="17" t="s">
        <v>1411</v>
      </c>
      <c r="C2668" s="17">
        <v>0</v>
      </c>
      <c r="D2668" s="17" t="s">
        <v>801</v>
      </c>
      <c r="E2668" s="18">
        <v>8056095064016</v>
      </c>
      <c r="G2668" s="20" t="str">
        <f t="shared" si="123"/>
        <v xml:space="preserve"> BORDURES        </v>
      </c>
      <c r="H2668" s="20" t="str">
        <f t="shared" si="124"/>
        <v>SWING</v>
      </c>
      <c r="I2668" s="20">
        <f t="shared" si="125"/>
        <v>0</v>
      </c>
    </row>
    <row r="2669" spans="1:9">
      <c r="A2669" s="17" t="s">
        <v>1327</v>
      </c>
      <c r="B2669" s="17" t="s">
        <v>1411</v>
      </c>
      <c r="C2669" s="17">
        <v>0</v>
      </c>
      <c r="D2669" s="17" t="s">
        <v>801</v>
      </c>
      <c r="E2669" s="18">
        <v>3002381110009</v>
      </c>
      <c r="G2669" s="20" t="str">
        <f t="shared" si="123"/>
        <v xml:space="preserve"> BORDURES        </v>
      </c>
      <c r="H2669" s="20" t="str">
        <f t="shared" si="124"/>
        <v>SWING</v>
      </c>
      <c r="I2669" s="20">
        <f t="shared" si="125"/>
        <v>0</v>
      </c>
    </row>
    <row r="2670" spans="1:9">
      <c r="A2670" s="17" t="s">
        <v>1327</v>
      </c>
      <c r="B2670" s="17" t="s">
        <v>1412</v>
      </c>
      <c r="C2670" s="17">
        <v>0</v>
      </c>
      <c r="D2670" s="17" t="s">
        <v>801</v>
      </c>
      <c r="E2670" s="18">
        <v>3003740222005</v>
      </c>
      <c r="G2670" s="20" t="str">
        <f t="shared" si="123"/>
        <v xml:space="preserve"> BORDURES        </v>
      </c>
      <c r="H2670" s="20" t="str">
        <f t="shared" si="124"/>
        <v>TOIBL</v>
      </c>
      <c r="I2670" s="20">
        <f t="shared" si="125"/>
        <v>0</v>
      </c>
    </row>
    <row r="2671" spans="1:9">
      <c r="A2671" s="17" t="s">
        <v>1327</v>
      </c>
      <c r="B2671" s="17" t="s">
        <v>1413</v>
      </c>
      <c r="C2671" s="17">
        <v>0</v>
      </c>
      <c r="D2671" s="17" t="s">
        <v>801</v>
      </c>
      <c r="E2671" s="18">
        <v>3003740223002</v>
      </c>
      <c r="G2671" s="20" t="str">
        <f t="shared" si="123"/>
        <v xml:space="preserve"> BORDURES        </v>
      </c>
      <c r="H2671" s="20" t="str">
        <f t="shared" si="124"/>
        <v>TOIFR</v>
      </c>
      <c r="I2671" s="20">
        <f t="shared" si="125"/>
        <v>0</v>
      </c>
    </row>
    <row r="2672" spans="1:9">
      <c r="A2672" s="17" t="s">
        <v>1327</v>
      </c>
      <c r="B2672" s="17" t="s">
        <v>1414</v>
      </c>
      <c r="C2672" s="17">
        <v>0</v>
      </c>
      <c r="D2672" s="17" t="s">
        <v>801</v>
      </c>
      <c r="E2672" s="18">
        <v>3003740224009</v>
      </c>
      <c r="G2672" s="20" t="str">
        <f t="shared" si="123"/>
        <v xml:space="preserve"> BORDURES        </v>
      </c>
      <c r="H2672" s="20" t="str">
        <f t="shared" si="124"/>
        <v>TOISO</v>
      </c>
      <c r="I2672" s="20">
        <f t="shared" si="125"/>
        <v>0</v>
      </c>
    </row>
    <row r="2673" spans="1:9">
      <c r="A2673" s="17" t="s">
        <v>1327</v>
      </c>
      <c r="B2673" s="17" t="s">
        <v>1415</v>
      </c>
      <c r="C2673" s="17">
        <v>0</v>
      </c>
      <c r="D2673" s="17" t="s">
        <v>801</v>
      </c>
      <c r="E2673" s="18">
        <v>3002380760007</v>
      </c>
      <c r="G2673" s="20" t="str">
        <f t="shared" si="123"/>
        <v xml:space="preserve"> BORDURES        </v>
      </c>
      <c r="H2673" s="20" t="str">
        <f t="shared" si="124"/>
        <v>TOUCA</v>
      </c>
      <c r="I2673" s="20">
        <f t="shared" si="125"/>
        <v>0</v>
      </c>
    </row>
    <row r="2674" spans="1:9">
      <c r="A2674" s="17" t="s">
        <v>1327</v>
      </c>
      <c r="B2674" s="17" t="s">
        <v>1167</v>
      </c>
      <c r="C2674" s="17">
        <v>0</v>
      </c>
      <c r="D2674" s="17" t="s">
        <v>801</v>
      </c>
      <c r="E2674" s="18">
        <v>8058983597217</v>
      </c>
      <c r="G2674" s="20" t="str">
        <f t="shared" si="123"/>
        <v xml:space="preserve"> BORDURES        </v>
      </c>
      <c r="H2674" s="20" t="str">
        <f t="shared" si="124"/>
        <v>TWEGR</v>
      </c>
      <c r="I2674" s="20">
        <f t="shared" si="125"/>
        <v>0</v>
      </c>
    </row>
    <row r="2675" spans="1:9">
      <c r="A2675" s="17" t="s">
        <v>1327</v>
      </c>
      <c r="B2675" s="17" t="s">
        <v>1167</v>
      </c>
      <c r="C2675" s="17">
        <v>0</v>
      </c>
      <c r="D2675" s="17" t="s">
        <v>801</v>
      </c>
      <c r="E2675" s="18">
        <v>3003740554007</v>
      </c>
      <c r="G2675" s="20" t="str">
        <f t="shared" si="123"/>
        <v xml:space="preserve"> BORDURES        </v>
      </c>
      <c r="H2675" s="20" t="str">
        <f t="shared" si="124"/>
        <v>TWEGR</v>
      </c>
      <c r="I2675" s="20">
        <f t="shared" si="125"/>
        <v>0</v>
      </c>
    </row>
    <row r="2676" spans="1:9">
      <c r="A2676" s="17" t="s">
        <v>1327</v>
      </c>
      <c r="B2676" s="17" t="s">
        <v>1168</v>
      </c>
      <c r="C2676" s="17">
        <v>0</v>
      </c>
      <c r="D2676" s="17" t="s">
        <v>801</v>
      </c>
      <c r="E2676" s="18">
        <v>8058983597224</v>
      </c>
      <c r="G2676" s="20" t="str">
        <f t="shared" si="123"/>
        <v xml:space="preserve"> BORDURES        </v>
      </c>
      <c r="H2676" s="20" t="str">
        <f t="shared" si="124"/>
        <v>TWENO</v>
      </c>
      <c r="I2676" s="20">
        <f t="shared" si="125"/>
        <v>0</v>
      </c>
    </row>
    <row r="2677" spans="1:9">
      <c r="A2677" s="17" t="s">
        <v>1327</v>
      </c>
      <c r="B2677" s="17" t="s">
        <v>1168</v>
      </c>
      <c r="C2677" s="17">
        <v>0</v>
      </c>
      <c r="D2677" s="17" t="s">
        <v>801</v>
      </c>
      <c r="E2677" s="18">
        <v>3003740555004</v>
      </c>
      <c r="G2677" s="20" t="str">
        <f t="shared" si="123"/>
        <v xml:space="preserve"> BORDURES        </v>
      </c>
      <c r="H2677" s="20" t="str">
        <f t="shared" si="124"/>
        <v>TWENO</v>
      </c>
      <c r="I2677" s="20">
        <f t="shared" si="125"/>
        <v>0</v>
      </c>
    </row>
    <row r="2678" spans="1:9">
      <c r="A2678" s="17" t="s">
        <v>1327</v>
      </c>
      <c r="B2678" s="17" t="s">
        <v>1416</v>
      </c>
      <c r="C2678" s="17" t="s">
        <v>799</v>
      </c>
      <c r="D2678" s="17" t="s">
        <v>801</v>
      </c>
      <c r="E2678" s="18">
        <v>3003740000009</v>
      </c>
      <c r="G2678" s="20" t="str">
        <f t="shared" si="123"/>
        <v xml:space="preserve"> BORDURES        </v>
      </c>
      <c r="H2678" s="20" t="str">
        <f t="shared" si="124"/>
        <v>TWILL</v>
      </c>
      <c r="I2678" s="20" t="str">
        <f t="shared" si="125"/>
        <v xml:space="preserve">     </v>
      </c>
    </row>
    <row r="2679" spans="1:9">
      <c r="A2679" s="17" t="s">
        <v>1327</v>
      </c>
      <c r="B2679" s="17" t="s">
        <v>1416</v>
      </c>
      <c r="C2679" s="17">
        <v>0</v>
      </c>
      <c r="D2679" s="17" t="s">
        <v>801</v>
      </c>
      <c r="E2679" s="18">
        <v>3003740153002</v>
      </c>
      <c r="G2679" s="20" t="str">
        <f t="shared" si="123"/>
        <v xml:space="preserve"> BORDURES        </v>
      </c>
      <c r="H2679" s="20" t="str">
        <f t="shared" si="124"/>
        <v>TWILL</v>
      </c>
      <c r="I2679" s="20">
        <f t="shared" si="125"/>
        <v>0</v>
      </c>
    </row>
    <row r="2680" spans="1:9">
      <c r="A2680" s="17" t="s">
        <v>1327</v>
      </c>
      <c r="B2680" s="17" t="s">
        <v>1417</v>
      </c>
      <c r="C2680" s="17">
        <v>0</v>
      </c>
      <c r="D2680" s="17" t="s">
        <v>801</v>
      </c>
      <c r="E2680" s="18">
        <v>8050538590384</v>
      </c>
      <c r="G2680" s="20" t="str">
        <f t="shared" si="123"/>
        <v xml:space="preserve"> BORDURES        </v>
      </c>
      <c r="H2680" s="20" t="str">
        <f t="shared" si="124"/>
        <v>VELAI</v>
      </c>
      <c r="I2680" s="20">
        <f t="shared" si="125"/>
        <v>0</v>
      </c>
    </row>
    <row r="2681" spans="1:9">
      <c r="A2681" s="17" t="s">
        <v>1327</v>
      </c>
      <c r="B2681" s="17" t="s">
        <v>1043</v>
      </c>
      <c r="C2681" s="17">
        <v>0</v>
      </c>
      <c r="D2681" s="17" t="s">
        <v>801</v>
      </c>
      <c r="E2681" s="18">
        <v>8056099179150</v>
      </c>
      <c r="G2681" s="20" t="str">
        <f t="shared" si="123"/>
        <v xml:space="preserve"> BORDURES        </v>
      </c>
      <c r="H2681" s="20" t="str">
        <f t="shared" si="124"/>
        <v>VELBL</v>
      </c>
      <c r="I2681" s="20">
        <f t="shared" si="125"/>
        <v>0</v>
      </c>
    </row>
    <row r="2682" spans="1:9">
      <c r="A2682" s="17" t="s">
        <v>1327</v>
      </c>
      <c r="B2682" s="17" t="s">
        <v>1178</v>
      </c>
      <c r="C2682" s="17">
        <v>0</v>
      </c>
      <c r="D2682" s="17" t="s">
        <v>801</v>
      </c>
      <c r="E2682" s="18">
        <v>8050538590889</v>
      </c>
      <c r="G2682" s="20" t="str">
        <f t="shared" si="123"/>
        <v xml:space="preserve"> BORDURES        </v>
      </c>
      <c r="H2682" s="20" t="str">
        <f t="shared" si="124"/>
        <v>VELPH</v>
      </c>
      <c r="I2682" s="20">
        <f t="shared" si="125"/>
        <v>0</v>
      </c>
    </row>
    <row r="2683" spans="1:9">
      <c r="A2683" s="17" t="s">
        <v>1327</v>
      </c>
      <c r="B2683" s="17" t="s">
        <v>1418</v>
      </c>
      <c r="C2683" s="17">
        <v>0</v>
      </c>
      <c r="D2683" s="17" t="s">
        <v>801</v>
      </c>
      <c r="E2683" s="18">
        <v>3003740152005</v>
      </c>
      <c r="G2683" s="20" t="str">
        <f t="shared" si="123"/>
        <v xml:space="preserve"> BORDURES        </v>
      </c>
      <c r="H2683" s="20" t="str">
        <f t="shared" si="124"/>
        <v xml:space="preserve">VINT </v>
      </c>
      <c r="I2683" s="20">
        <f t="shared" si="125"/>
        <v>0</v>
      </c>
    </row>
    <row r="2684" spans="1:9">
      <c r="A2684" s="17" t="s">
        <v>1419</v>
      </c>
      <c r="B2684" s="17" t="s">
        <v>1420</v>
      </c>
      <c r="C2684" s="17">
        <v>0</v>
      </c>
      <c r="D2684" s="17" t="s">
        <v>801</v>
      </c>
      <c r="E2684" s="18">
        <v>3004991068008</v>
      </c>
      <c r="G2684" s="20" t="str">
        <f t="shared" si="123"/>
        <v xml:space="preserve"> BORDUREZIP      </v>
      </c>
      <c r="H2684" s="20" t="str">
        <f t="shared" si="124"/>
        <v>ZIPNE</v>
      </c>
      <c r="I2684" s="20">
        <f t="shared" si="125"/>
        <v>0</v>
      </c>
    </row>
    <row r="2685" spans="1:9">
      <c r="A2685" s="17" t="s">
        <v>1419</v>
      </c>
      <c r="B2685" s="17" t="s">
        <v>1421</v>
      </c>
      <c r="C2685" s="17">
        <v>0</v>
      </c>
      <c r="D2685" s="17" t="s">
        <v>801</v>
      </c>
      <c r="E2685" s="18">
        <v>3004990968002</v>
      </c>
      <c r="G2685" s="20" t="str">
        <f t="shared" si="123"/>
        <v xml:space="preserve"> BORDUREZIP      </v>
      </c>
      <c r="H2685" s="20" t="str">
        <f t="shared" si="124"/>
        <v>ZIPVE</v>
      </c>
      <c r="I2685" s="20">
        <f t="shared" si="125"/>
        <v>0</v>
      </c>
    </row>
    <row r="2686" spans="1:9">
      <c r="A2686" s="17" t="s">
        <v>1419</v>
      </c>
      <c r="B2686" s="17" t="s">
        <v>1421</v>
      </c>
      <c r="C2686" s="17">
        <v>0</v>
      </c>
      <c r="D2686" s="17" t="s">
        <v>801</v>
      </c>
      <c r="E2686" s="18">
        <v>8058983597279</v>
      </c>
      <c r="G2686" s="20" t="str">
        <f t="shared" si="123"/>
        <v xml:space="preserve"> BORDUREZIP      </v>
      </c>
      <c r="H2686" s="20" t="str">
        <f t="shared" si="124"/>
        <v>ZIPVE</v>
      </c>
      <c r="I2686" s="20">
        <f t="shared" si="125"/>
        <v>0</v>
      </c>
    </row>
    <row r="2687" spans="1:9">
      <c r="A2687" s="17" t="s">
        <v>1422</v>
      </c>
      <c r="B2687" s="17" t="s">
        <v>963</v>
      </c>
      <c r="C2687" s="17" t="s">
        <v>800</v>
      </c>
      <c r="D2687" s="17" t="s">
        <v>801</v>
      </c>
      <c r="E2687" s="18">
        <v>3002390691032</v>
      </c>
      <c r="G2687" s="20" t="str">
        <f t="shared" si="123"/>
        <v xml:space="preserve"> BRACELET        </v>
      </c>
      <c r="H2687" s="20" t="str">
        <f t="shared" si="124"/>
        <v>AMARA</v>
      </c>
      <c r="I2687" s="20" t="str">
        <f t="shared" si="125"/>
        <v xml:space="preserve">L    </v>
      </c>
    </row>
    <row r="2688" spans="1:9">
      <c r="A2688" s="17" t="s">
        <v>1422</v>
      </c>
      <c r="B2688" s="17" t="s">
        <v>963</v>
      </c>
      <c r="C2688" s="17" t="s">
        <v>800</v>
      </c>
      <c r="D2688" s="17" t="s">
        <v>801</v>
      </c>
      <c r="E2688" s="18">
        <v>8058333586625</v>
      </c>
      <c r="G2688" s="20" t="str">
        <f t="shared" si="123"/>
        <v xml:space="preserve"> BRACELET        </v>
      </c>
      <c r="H2688" s="20" t="str">
        <f t="shared" si="124"/>
        <v>AMARA</v>
      </c>
      <c r="I2688" s="20" t="str">
        <f t="shared" si="125"/>
        <v xml:space="preserve">L    </v>
      </c>
    </row>
    <row r="2689" spans="1:9">
      <c r="A2689" s="17" t="s">
        <v>1422</v>
      </c>
      <c r="B2689" s="17" t="s">
        <v>963</v>
      </c>
      <c r="C2689" s="17" t="s">
        <v>802</v>
      </c>
      <c r="D2689" s="17" t="s">
        <v>801</v>
      </c>
      <c r="E2689" s="18">
        <v>3002390691025</v>
      </c>
      <c r="G2689" s="20" t="str">
        <f t="shared" si="123"/>
        <v xml:space="preserve"> BRACELET        </v>
      </c>
      <c r="H2689" s="20" t="str">
        <f t="shared" si="124"/>
        <v>AMARA</v>
      </c>
      <c r="I2689" s="20" t="str">
        <f t="shared" si="125"/>
        <v xml:space="preserve">M    </v>
      </c>
    </row>
    <row r="2690" spans="1:9">
      <c r="A2690" s="17" t="s">
        <v>1422</v>
      </c>
      <c r="B2690" s="17" t="s">
        <v>963</v>
      </c>
      <c r="C2690" s="17" t="s">
        <v>802</v>
      </c>
      <c r="D2690" s="17" t="s">
        <v>801</v>
      </c>
      <c r="E2690" s="18">
        <v>8058333586632</v>
      </c>
      <c r="G2690" s="20" t="str">
        <f t="shared" si="123"/>
        <v xml:space="preserve"> BRACELET        </v>
      </c>
      <c r="H2690" s="20" t="str">
        <f t="shared" si="124"/>
        <v>AMARA</v>
      </c>
      <c r="I2690" s="20" t="str">
        <f t="shared" si="125"/>
        <v xml:space="preserve">M    </v>
      </c>
    </row>
    <row r="2691" spans="1:9">
      <c r="A2691" s="17" t="s">
        <v>1422</v>
      </c>
      <c r="B2691" s="17" t="s">
        <v>963</v>
      </c>
      <c r="C2691" s="17" t="s">
        <v>803</v>
      </c>
      <c r="D2691" s="17" t="s">
        <v>801</v>
      </c>
      <c r="E2691" s="18">
        <v>3002390691018</v>
      </c>
      <c r="G2691" s="20" t="str">
        <f t="shared" si="123"/>
        <v xml:space="preserve"> BRACELET        </v>
      </c>
      <c r="H2691" s="20" t="str">
        <f t="shared" si="124"/>
        <v>AMARA</v>
      </c>
      <c r="I2691" s="20" t="str">
        <f t="shared" si="125"/>
        <v xml:space="preserve">S    </v>
      </c>
    </row>
    <row r="2692" spans="1:9">
      <c r="A2692" s="17" t="s">
        <v>1422</v>
      </c>
      <c r="B2692" s="17" t="s">
        <v>963</v>
      </c>
      <c r="C2692" s="17" t="s">
        <v>803</v>
      </c>
      <c r="D2692" s="17" t="s">
        <v>801</v>
      </c>
      <c r="E2692" s="18">
        <v>8058333586649</v>
      </c>
      <c r="G2692" s="20" t="str">
        <f t="shared" si="123"/>
        <v xml:space="preserve"> BRACELET        </v>
      </c>
      <c r="H2692" s="20" t="str">
        <f t="shared" si="124"/>
        <v>AMARA</v>
      </c>
      <c r="I2692" s="20" t="str">
        <f t="shared" si="125"/>
        <v xml:space="preserve">S    </v>
      </c>
    </row>
    <row r="2693" spans="1:9">
      <c r="A2693" s="17" t="s">
        <v>1422</v>
      </c>
      <c r="B2693" s="17" t="s">
        <v>963</v>
      </c>
      <c r="C2693" s="17" t="s">
        <v>804</v>
      </c>
      <c r="D2693" s="17" t="s">
        <v>801</v>
      </c>
      <c r="E2693" s="18">
        <v>3002390691049</v>
      </c>
      <c r="G2693" s="20" t="str">
        <f t="shared" ref="G2693:G2756" si="126">A2693</f>
        <v xml:space="preserve"> BRACELET        </v>
      </c>
      <c r="H2693" s="20" t="str">
        <f t="shared" ref="H2693:H2756" si="127">B2693</f>
        <v>AMARA</v>
      </c>
      <c r="I2693" s="20" t="str">
        <f t="shared" ref="I2693:I2756" si="128">C2693</f>
        <v xml:space="preserve">XL   </v>
      </c>
    </row>
    <row r="2694" spans="1:9">
      <c r="A2694" s="17" t="s">
        <v>1422</v>
      </c>
      <c r="B2694" s="17" t="s">
        <v>963</v>
      </c>
      <c r="C2694" s="17" t="s">
        <v>805</v>
      </c>
      <c r="D2694" s="17" t="s">
        <v>801</v>
      </c>
      <c r="E2694" s="18">
        <v>3002390691001</v>
      </c>
      <c r="G2694" s="20" t="str">
        <f t="shared" si="126"/>
        <v xml:space="preserve"> BRACELET        </v>
      </c>
      <c r="H2694" s="20" t="str">
        <f t="shared" si="127"/>
        <v>AMARA</v>
      </c>
      <c r="I2694" s="20" t="str">
        <f t="shared" si="128"/>
        <v xml:space="preserve">XS   </v>
      </c>
    </row>
    <row r="2695" spans="1:9">
      <c r="A2695" s="17" t="s">
        <v>1422</v>
      </c>
      <c r="B2695" s="17" t="s">
        <v>298</v>
      </c>
      <c r="C2695" s="17" t="s">
        <v>800</v>
      </c>
      <c r="D2695" s="17" t="s">
        <v>801</v>
      </c>
      <c r="E2695" s="18">
        <v>3003350023030</v>
      </c>
      <c r="G2695" s="20" t="str">
        <f t="shared" si="126"/>
        <v xml:space="preserve"> BRACELET        </v>
      </c>
      <c r="H2695" s="20" t="str">
        <f t="shared" si="127"/>
        <v>APPLE</v>
      </c>
      <c r="I2695" s="20" t="str">
        <f t="shared" si="128"/>
        <v xml:space="preserve">L    </v>
      </c>
    </row>
    <row r="2696" spans="1:9">
      <c r="A2696" s="17" t="s">
        <v>1422</v>
      </c>
      <c r="B2696" s="17" t="s">
        <v>298</v>
      </c>
      <c r="C2696" s="17" t="s">
        <v>802</v>
      </c>
      <c r="D2696" s="17" t="s">
        <v>801</v>
      </c>
      <c r="E2696" s="18">
        <v>3003350023023</v>
      </c>
      <c r="G2696" s="20" t="str">
        <f t="shared" si="126"/>
        <v xml:space="preserve"> BRACELET        </v>
      </c>
      <c r="H2696" s="20" t="str">
        <f t="shared" si="127"/>
        <v>APPLE</v>
      </c>
      <c r="I2696" s="20" t="str">
        <f t="shared" si="128"/>
        <v xml:space="preserve">M    </v>
      </c>
    </row>
    <row r="2697" spans="1:9">
      <c r="A2697" s="17" t="s">
        <v>1422</v>
      </c>
      <c r="B2697" s="17" t="s">
        <v>298</v>
      </c>
      <c r="C2697" s="17" t="s">
        <v>803</v>
      </c>
      <c r="D2697" s="17" t="s">
        <v>801</v>
      </c>
      <c r="E2697" s="18">
        <v>3003350023016</v>
      </c>
      <c r="G2697" s="20" t="str">
        <f t="shared" si="126"/>
        <v xml:space="preserve"> BRACELET        </v>
      </c>
      <c r="H2697" s="20" t="str">
        <f t="shared" si="127"/>
        <v>APPLE</v>
      </c>
      <c r="I2697" s="20" t="str">
        <f t="shared" si="128"/>
        <v xml:space="preserve">S    </v>
      </c>
    </row>
    <row r="2698" spans="1:9">
      <c r="A2698" s="17" t="s">
        <v>1422</v>
      </c>
      <c r="B2698" s="17" t="s">
        <v>298</v>
      </c>
      <c r="C2698" s="17" t="s">
        <v>804</v>
      </c>
      <c r="D2698" s="17" t="s">
        <v>801</v>
      </c>
      <c r="E2698" s="18">
        <v>3003350023047</v>
      </c>
      <c r="G2698" s="20" t="str">
        <f t="shared" si="126"/>
        <v xml:space="preserve"> BRACELET        </v>
      </c>
      <c r="H2698" s="20" t="str">
        <f t="shared" si="127"/>
        <v>APPLE</v>
      </c>
      <c r="I2698" s="20" t="str">
        <f t="shared" si="128"/>
        <v xml:space="preserve">XL   </v>
      </c>
    </row>
    <row r="2699" spans="1:9">
      <c r="A2699" s="17" t="s">
        <v>1422</v>
      </c>
      <c r="B2699" s="17" t="s">
        <v>298</v>
      </c>
      <c r="C2699" s="17" t="s">
        <v>805</v>
      </c>
      <c r="D2699" s="17" t="s">
        <v>801</v>
      </c>
      <c r="E2699" s="18">
        <v>3003350023009</v>
      </c>
      <c r="G2699" s="20" t="str">
        <f t="shared" si="126"/>
        <v xml:space="preserve"> BRACELET        </v>
      </c>
      <c r="H2699" s="20" t="str">
        <f t="shared" si="127"/>
        <v>APPLE</v>
      </c>
      <c r="I2699" s="20" t="str">
        <f t="shared" si="128"/>
        <v xml:space="preserve">XS   </v>
      </c>
    </row>
    <row r="2700" spans="1:9">
      <c r="A2700" s="17" t="s">
        <v>1422</v>
      </c>
      <c r="B2700" s="17" t="s">
        <v>879</v>
      </c>
      <c r="C2700" s="17" t="s">
        <v>800</v>
      </c>
      <c r="D2700" s="17" t="s">
        <v>801</v>
      </c>
      <c r="E2700" s="18">
        <v>3020400181038</v>
      </c>
      <c r="G2700" s="20" t="str">
        <f t="shared" si="126"/>
        <v xml:space="preserve"> BRACELET        </v>
      </c>
      <c r="H2700" s="20" t="str">
        <f t="shared" si="127"/>
        <v xml:space="preserve">AZUR </v>
      </c>
      <c r="I2700" s="20" t="str">
        <f t="shared" si="128"/>
        <v xml:space="preserve">L    </v>
      </c>
    </row>
    <row r="2701" spans="1:9">
      <c r="A2701" s="17" t="s">
        <v>1422</v>
      </c>
      <c r="B2701" s="17" t="s">
        <v>879</v>
      </c>
      <c r="C2701" s="17" t="s">
        <v>802</v>
      </c>
      <c r="D2701" s="17" t="s">
        <v>801</v>
      </c>
      <c r="E2701" s="18">
        <v>3020400181021</v>
      </c>
      <c r="G2701" s="20" t="str">
        <f t="shared" si="126"/>
        <v xml:space="preserve"> BRACELET        </v>
      </c>
      <c r="H2701" s="20" t="str">
        <f t="shared" si="127"/>
        <v xml:space="preserve">AZUR </v>
      </c>
      <c r="I2701" s="20" t="str">
        <f t="shared" si="128"/>
        <v xml:space="preserve">M    </v>
      </c>
    </row>
    <row r="2702" spans="1:9">
      <c r="A2702" s="17" t="s">
        <v>1422</v>
      </c>
      <c r="B2702" s="17" t="s">
        <v>879</v>
      </c>
      <c r="C2702" s="17" t="s">
        <v>803</v>
      </c>
      <c r="D2702" s="17" t="s">
        <v>801</v>
      </c>
      <c r="E2702" s="18">
        <v>3020400181014</v>
      </c>
      <c r="G2702" s="20" t="str">
        <f t="shared" si="126"/>
        <v xml:space="preserve"> BRACELET        </v>
      </c>
      <c r="H2702" s="20" t="str">
        <f t="shared" si="127"/>
        <v xml:space="preserve">AZUR </v>
      </c>
      <c r="I2702" s="20" t="str">
        <f t="shared" si="128"/>
        <v xml:space="preserve">S    </v>
      </c>
    </row>
    <row r="2703" spans="1:9">
      <c r="A2703" s="17" t="s">
        <v>1422</v>
      </c>
      <c r="B2703" s="17" t="s">
        <v>879</v>
      </c>
      <c r="C2703" s="17" t="s">
        <v>804</v>
      </c>
      <c r="D2703" s="17" t="s">
        <v>801</v>
      </c>
      <c r="E2703" s="18">
        <v>3020400181045</v>
      </c>
      <c r="G2703" s="20" t="str">
        <f t="shared" si="126"/>
        <v xml:space="preserve"> BRACELET        </v>
      </c>
      <c r="H2703" s="20" t="str">
        <f t="shared" si="127"/>
        <v xml:space="preserve">AZUR </v>
      </c>
      <c r="I2703" s="20" t="str">
        <f t="shared" si="128"/>
        <v xml:space="preserve">XL   </v>
      </c>
    </row>
    <row r="2704" spans="1:9">
      <c r="A2704" s="17" t="s">
        <v>1422</v>
      </c>
      <c r="B2704" s="17" t="s">
        <v>879</v>
      </c>
      <c r="C2704" s="17" t="s">
        <v>805</v>
      </c>
      <c r="D2704" s="17" t="s">
        <v>801</v>
      </c>
      <c r="E2704" s="18">
        <v>3020400181007</v>
      </c>
      <c r="G2704" s="20" t="str">
        <f t="shared" si="126"/>
        <v xml:space="preserve"> BRACELET        </v>
      </c>
      <c r="H2704" s="20" t="str">
        <f t="shared" si="127"/>
        <v xml:space="preserve">AZUR </v>
      </c>
      <c r="I2704" s="20" t="str">
        <f t="shared" si="128"/>
        <v xml:space="preserve">XS   </v>
      </c>
    </row>
    <row r="2705" spans="1:9">
      <c r="A2705" s="17" t="s">
        <v>1422</v>
      </c>
      <c r="B2705" s="17" t="s">
        <v>280</v>
      </c>
      <c r="C2705" s="17" t="s">
        <v>800</v>
      </c>
      <c r="D2705" s="17" t="s">
        <v>801</v>
      </c>
      <c r="E2705" s="18">
        <v>8051770300786</v>
      </c>
      <c r="G2705" s="20" t="str">
        <f t="shared" si="126"/>
        <v xml:space="preserve"> BRACELET        </v>
      </c>
      <c r="H2705" s="20" t="str">
        <f t="shared" si="127"/>
        <v>BLACK</v>
      </c>
      <c r="I2705" s="20" t="str">
        <f t="shared" si="128"/>
        <v xml:space="preserve">L    </v>
      </c>
    </row>
    <row r="2706" spans="1:9">
      <c r="A2706" s="17" t="s">
        <v>1422</v>
      </c>
      <c r="B2706" s="17" t="s">
        <v>280</v>
      </c>
      <c r="C2706" s="17" t="s">
        <v>800</v>
      </c>
      <c r="D2706" s="17" t="s">
        <v>801</v>
      </c>
      <c r="E2706" s="18">
        <v>3003350001038</v>
      </c>
      <c r="G2706" s="20" t="str">
        <f t="shared" si="126"/>
        <v xml:space="preserve"> BRACELET        </v>
      </c>
      <c r="H2706" s="20" t="str">
        <f t="shared" si="127"/>
        <v>BLACK</v>
      </c>
      <c r="I2706" s="20" t="str">
        <f t="shared" si="128"/>
        <v xml:space="preserve">L    </v>
      </c>
    </row>
    <row r="2707" spans="1:9">
      <c r="A2707" s="17" t="s">
        <v>1422</v>
      </c>
      <c r="B2707" s="17" t="s">
        <v>280</v>
      </c>
      <c r="C2707" s="17" t="s">
        <v>802</v>
      </c>
      <c r="D2707" s="17" t="s">
        <v>801</v>
      </c>
      <c r="E2707" s="18">
        <v>8051770300984</v>
      </c>
      <c r="G2707" s="20" t="str">
        <f t="shared" si="126"/>
        <v xml:space="preserve"> BRACELET        </v>
      </c>
      <c r="H2707" s="20" t="str">
        <f t="shared" si="127"/>
        <v>BLACK</v>
      </c>
      <c r="I2707" s="20" t="str">
        <f t="shared" si="128"/>
        <v xml:space="preserve">M    </v>
      </c>
    </row>
    <row r="2708" spans="1:9">
      <c r="A2708" s="17" t="s">
        <v>1422</v>
      </c>
      <c r="B2708" s="17" t="s">
        <v>280</v>
      </c>
      <c r="C2708" s="17" t="s">
        <v>802</v>
      </c>
      <c r="D2708" s="17" t="s">
        <v>801</v>
      </c>
      <c r="E2708" s="18">
        <v>3003350001021</v>
      </c>
      <c r="G2708" s="20" t="str">
        <f t="shared" si="126"/>
        <v xml:space="preserve"> BRACELET        </v>
      </c>
      <c r="H2708" s="20" t="str">
        <f t="shared" si="127"/>
        <v>BLACK</v>
      </c>
      <c r="I2708" s="20" t="str">
        <f t="shared" si="128"/>
        <v xml:space="preserve">M    </v>
      </c>
    </row>
    <row r="2709" spans="1:9">
      <c r="A2709" s="17" t="s">
        <v>1422</v>
      </c>
      <c r="B2709" s="17" t="s">
        <v>280</v>
      </c>
      <c r="C2709" s="17" t="s">
        <v>803</v>
      </c>
      <c r="D2709" s="17" t="s">
        <v>801</v>
      </c>
      <c r="E2709" s="18">
        <v>8051770301189</v>
      </c>
      <c r="G2709" s="20" t="str">
        <f t="shared" si="126"/>
        <v xml:space="preserve"> BRACELET        </v>
      </c>
      <c r="H2709" s="20" t="str">
        <f t="shared" si="127"/>
        <v>BLACK</v>
      </c>
      <c r="I2709" s="20" t="str">
        <f t="shared" si="128"/>
        <v xml:space="preserve">S    </v>
      </c>
    </row>
    <row r="2710" spans="1:9">
      <c r="A2710" s="17" t="s">
        <v>1422</v>
      </c>
      <c r="B2710" s="17" t="s">
        <v>280</v>
      </c>
      <c r="C2710" s="17" t="s">
        <v>803</v>
      </c>
      <c r="D2710" s="17" t="s">
        <v>801</v>
      </c>
      <c r="E2710" s="18">
        <v>3003350001014</v>
      </c>
      <c r="G2710" s="20" t="str">
        <f t="shared" si="126"/>
        <v xml:space="preserve"> BRACELET        </v>
      </c>
      <c r="H2710" s="20" t="str">
        <f t="shared" si="127"/>
        <v>BLACK</v>
      </c>
      <c r="I2710" s="20" t="str">
        <f t="shared" si="128"/>
        <v xml:space="preserve">S    </v>
      </c>
    </row>
    <row r="2711" spans="1:9">
      <c r="A2711" s="17" t="s">
        <v>1422</v>
      </c>
      <c r="B2711" s="17" t="s">
        <v>280</v>
      </c>
      <c r="C2711" s="17" t="s">
        <v>804</v>
      </c>
      <c r="D2711" s="17" t="s">
        <v>801</v>
      </c>
      <c r="E2711" s="18">
        <v>3003350001045</v>
      </c>
      <c r="G2711" s="20" t="str">
        <f t="shared" si="126"/>
        <v xml:space="preserve"> BRACELET        </v>
      </c>
      <c r="H2711" s="20" t="str">
        <f t="shared" si="127"/>
        <v>BLACK</v>
      </c>
      <c r="I2711" s="20" t="str">
        <f t="shared" si="128"/>
        <v xml:space="preserve">XL   </v>
      </c>
    </row>
    <row r="2712" spans="1:9">
      <c r="A2712" s="17" t="s">
        <v>1422</v>
      </c>
      <c r="B2712" s="17" t="s">
        <v>280</v>
      </c>
      <c r="C2712" s="17" t="s">
        <v>805</v>
      </c>
      <c r="D2712" s="17" t="s">
        <v>801</v>
      </c>
      <c r="E2712" s="18">
        <v>8051770303664</v>
      </c>
      <c r="G2712" s="20" t="str">
        <f t="shared" si="126"/>
        <v xml:space="preserve"> BRACELET        </v>
      </c>
      <c r="H2712" s="20" t="str">
        <f t="shared" si="127"/>
        <v>BLACK</v>
      </c>
      <c r="I2712" s="20" t="str">
        <f t="shared" si="128"/>
        <v xml:space="preserve">XS   </v>
      </c>
    </row>
    <row r="2713" spans="1:9">
      <c r="A2713" s="17" t="s">
        <v>1422</v>
      </c>
      <c r="B2713" s="17" t="s">
        <v>280</v>
      </c>
      <c r="C2713" s="17" t="s">
        <v>805</v>
      </c>
      <c r="D2713" s="17" t="s">
        <v>801</v>
      </c>
      <c r="E2713" s="18">
        <v>3003350001007</v>
      </c>
      <c r="G2713" s="20" t="str">
        <f t="shared" si="126"/>
        <v xml:space="preserve"> BRACELET        </v>
      </c>
      <c r="H2713" s="20" t="str">
        <f t="shared" si="127"/>
        <v>BLACK</v>
      </c>
      <c r="I2713" s="20" t="str">
        <f t="shared" si="128"/>
        <v xml:space="preserve">XS   </v>
      </c>
    </row>
    <row r="2714" spans="1:9">
      <c r="A2714" s="17" t="s">
        <v>1422</v>
      </c>
      <c r="B2714" s="17" t="s">
        <v>1423</v>
      </c>
      <c r="C2714" s="17" t="s">
        <v>800</v>
      </c>
      <c r="D2714" s="17" t="s">
        <v>801</v>
      </c>
      <c r="E2714" s="18">
        <v>8051770300755</v>
      </c>
      <c r="G2714" s="20" t="str">
        <f t="shared" si="126"/>
        <v xml:space="preserve"> BRACELET        </v>
      </c>
      <c r="H2714" s="20" t="str">
        <f t="shared" si="127"/>
        <v xml:space="preserve">BLG  </v>
      </c>
      <c r="I2714" s="20" t="str">
        <f t="shared" si="128"/>
        <v xml:space="preserve">L    </v>
      </c>
    </row>
    <row r="2715" spans="1:9">
      <c r="A2715" s="17" t="s">
        <v>1422</v>
      </c>
      <c r="B2715" s="17" t="s">
        <v>1423</v>
      </c>
      <c r="C2715" s="17" t="s">
        <v>800</v>
      </c>
      <c r="D2715" s="17" t="s">
        <v>801</v>
      </c>
      <c r="E2715" s="18">
        <v>3003350044035</v>
      </c>
      <c r="G2715" s="20" t="str">
        <f t="shared" si="126"/>
        <v xml:space="preserve"> BRACELET        </v>
      </c>
      <c r="H2715" s="20" t="str">
        <f t="shared" si="127"/>
        <v xml:space="preserve">BLG  </v>
      </c>
      <c r="I2715" s="20" t="str">
        <f t="shared" si="128"/>
        <v xml:space="preserve">L    </v>
      </c>
    </row>
    <row r="2716" spans="1:9">
      <c r="A2716" s="17" t="s">
        <v>1422</v>
      </c>
      <c r="B2716" s="17" t="s">
        <v>1423</v>
      </c>
      <c r="C2716" s="17" t="s">
        <v>802</v>
      </c>
      <c r="D2716" s="17" t="s">
        <v>801</v>
      </c>
      <c r="E2716" s="18">
        <v>8051770300953</v>
      </c>
      <c r="G2716" s="20" t="str">
        <f t="shared" si="126"/>
        <v xml:space="preserve"> BRACELET        </v>
      </c>
      <c r="H2716" s="20" t="str">
        <f t="shared" si="127"/>
        <v xml:space="preserve">BLG  </v>
      </c>
      <c r="I2716" s="20" t="str">
        <f t="shared" si="128"/>
        <v xml:space="preserve">M    </v>
      </c>
    </row>
    <row r="2717" spans="1:9">
      <c r="A2717" s="17" t="s">
        <v>1422</v>
      </c>
      <c r="B2717" s="17" t="s">
        <v>1423</v>
      </c>
      <c r="C2717" s="17" t="s">
        <v>802</v>
      </c>
      <c r="D2717" s="17" t="s">
        <v>801</v>
      </c>
      <c r="E2717" s="18">
        <v>3003350044028</v>
      </c>
      <c r="G2717" s="20" t="str">
        <f t="shared" si="126"/>
        <v xml:space="preserve"> BRACELET        </v>
      </c>
      <c r="H2717" s="20" t="str">
        <f t="shared" si="127"/>
        <v xml:space="preserve">BLG  </v>
      </c>
      <c r="I2717" s="20" t="str">
        <f t="shared" si="128"/>
        <v xml:space="preserve">M    </v>
      </c>
    </row>
    <row r="2718" spans="1:9">
      <c r="A2718" s="17" t="s">
        <v>1422</v>
      </c>
      <c r="B2718" s="17" t="s">
        <v>1423</v>
      </c>
      <c r="C2718" s="17" t="s">
        <v>803</v>
      </c>
      <c r="D2718" s="17" t="s">
        <v>801</v>
      </c>
      <c r="E2718" s="18">
        <v>8051770301158</v>
      </c>
      <c r="G2718" s="20" t="str">
        <f t="shared" si="126"/>
        <v xml:space="preserve"> BRACELET        </v>
      </c>
      <c r="H2718" s="20" t="str">
        <f t="shared" si="127"/>
        <v xml:space="preserve">BLG  </v>
      </c>
      <c r="I2718" s="20" t="str">
        <f t="shared" si="128"/>
        <v xml:space="preserve">S    </v>
      </c>
    </row>
    <row r="2719" spans="1:9">
      <c r="A2719" s="17" t="s">
        <v>1422</v>
      </c>
      <c r="B2719" s="17" t="s">
        <v>1423</v>
      </c>
      <c r="C2719" s="17" t="s">
        <v>803</v>
      </c>
      <c r="D2719" s="17" t="s">
        <v>801</v>
      </c>
      <c r="E2719" s="18">
        <v>3003350044011</v>
      </c>
      <c r="G2719" s="20" t="str">
        <f t="shared" si="126"/>
        <v xml:space="preserve"> BRACELET        </v>
      </c>
      <c r="H2719" s="20" t="str">
        <f t="shared" si="127"/>
        <v xml:space="preserve">BLG  </v>
      </c>
      <c r="I2719" s="20" t="str">
        <f t="shared" si="128"/>
        <v xml:space="preserve">S    </v>
      </c>
    </row>
    <row r="2720" spans="1:9">
      <c r="A2720" s="17" t="s">
        <v>1422</v>
      </c>
      <c r="B2720" s="17" t="s">
        <v>1423</v>
      </c>
      <c r="C2720" s="17" t="s">
        <v>804</v>
      </c>
      <c r="D2720" s="17" t="s">
        <v>801</v>
      </c>
      <c r="E2720" s="18">
        <v>3003350044042</v>
      </c>
      <c r="G2720" s="20" t="str">
        <f t="shared" si="126"/>
        <v xml:space="preserve"> BRACELET        </v>
      </c>
      <c r="H2720" s="20" t="str">
        <f t="shared" si="127"/>
        <v xml:space="preserve">BLG  </v>
      </c>
      <c r="I2720" s="20" t="str">
        <f t="shared" si="128"/>
        <v xml:space="preserve">XL   </v>
      </c>
    </row>
    <row r="2721" spans="1:9">
      <c r="A2721" s="17" t="s">
        <v>1422</v>
      </c>
      <c r="B2721" s="17" t="s">
        <v>1423</v>
      </c>
      <c r="C2721" s="17" t="s">
        <v>805</v>
      </c>
      <c r="D2721" s="17" t="s">
        <v>801</v>
      </c>
      <c r="E2721" s="18">
        <v>3003350044004</v>
      </c>
      <c r="G2721" s="20" t="str">
        <f t="shared" si="126"/>
        <v xml:space="preserve"> BRACELET        </v>
      </c>
      <c r="H2721" s="20" t="str">
        <f t="shared" si="127"/>
        <v xml:space="preserve">BLG  </v>
      </c>
      <c r="I2721" s="20" t="str">
        <f t="shared" si="128"/>
        <v xml:space="preserve">XS   </v>
      </c>
    </row>
    <row r="2722" spans="1:9">
      <c r="A2722" s="17" t="s">
        <v>1422</v>
      </c>
      <c r="B2722" s="17" t="s">
        <v>853</v>
      </c>
      <c r="C2722" s="17" t="s">
        <v>800</v>
      </c>
      <c r="D2722" s="17" t="s">
        <v>801</v>
      </c>
      <c r="E2722" s="18">
        <v>3020400255036</v>
      </c>
      <c r="G2722" s="20" t="str">
        <f t="shared" si="126"/>
        <v xml:space="preserve"> BRACELET        </v>
      </c>
      <c r="H2722" s="20" t="str">
        <f t="shared" si="127"/>
        <v>BRONZ</v>
      </c>
      <c r="I2722" s="20" t="str">
        <f t="shared" si="128"/>
        <v xml:space="preserve">L    </v>
      </c>
    </row>
    <row r="2723" spans="1:9">
      <c r="A2723" s="17" t="s">
        <v>1422</v>
      </c>
      <c r="B2723" s="17" t="s">
        <v>853</v>
      </c>
      <c r="C2723" s="17" t="s">
        <v>802</v>
      </c>
      <c r="D2723" s="17" t="s">
        <v>801</v>
      </c>
      <c r="E2723" s="18">
        <v>3020400255029</v>
      </c>
      <c r="G2723" s="20" t="str">
        <f t="shared" si="126"/>
        <v xml:space="preserve"> BRACELET        </v>
      </c>
      <c r="H2723" s="20" t="str">
        <f t="shared" si="127"/>
        <v>BRONZ</v>
      </c>
      <c r="I2723" s="20" t="str">
        <f t="shared" si="128"/>
        <v xml:space="preserve">M    </v>
      </c>
    </row>
    <row r="2724" spans="1:9">
      <c r="A2724" s="17" t="s">
        <v>1422</v>
      </c>
      <c r="B2724" s="17" t="s">
        <v>853</v>
      </c>
      <c r="C2724" s="17" t="s">
        <v>803</v>
      </c>
      <c r="D2724" s="17" t="s">
        <v>801</v>
      </c>
      <c r="E2724" s="18">
        <v>3020400255012</v>
      </c>
      <c r="G2724" s="20" t="str">
        <f t="shared" si="126"/>
        <v xml:space="preserve"> BRACELET        </v>
      </c>
      <c r="H2724" s="20" t="str">
        <f t="shared" si="127"/>
        <v>BRONZ</v>
      </c>
      <c r="I2724" s="20" t="str">
        <f t="shared" si="128"/>
        <v xml:space="preserve">S    </v>
      </c>
    </row>
    <row r="2725" spans="1:9">
      <c r="A2725" s="17" t="s">
        <v>1422</v>
      </c>
      <c r="B2725" s="17" t="s">
        <v>853</v>
      </c>
      <c r="C2725" s="17" t="s">
        <v>804</v>
      </c>
      <c r="D2725" s="17" t="s">
        <v>801</v>
      </c>
      <c r="E2725" s="18">
        <v>3020400255043</v>
      </c>
      <c r="G2725" s="20" t="str">
        <f t="shared" si="126"/>
        <v xml:space="preserve"> BRACELET        </v>
      </c>
      <c r="H2725" s="20" t="str">
        <f t="shared" si="127"/>
        <v>BRONZ</v>
      </c>
      <c r="I2725" s="20" t="str">
        <f t="shared" si="128"/>
        <v xml:space="preserve">XL   </v>
      </c>
    </row>
    <row r="2726" spans="1:9">
      <c r="A2726" s="17" t="s">
        <v>1422</v>
      </c>
      <c r="B2726" s="17" t="s">
        <v>853</v>
      </c>
      <c r="C2726" s="17" t="s">
        <v>805</v>
      </c>
      <c r="D2726" s="17" t="s">
        <v>801</v>
      </c>
      <c r="E2726" s="18">
        <v>3020400255005</v>
      </c>
      <c r="G2726" s="20" t="str">
        <f t="shared" si="126"/>
        <v xml:space="preserve"> BRACELET        </v>
      </c>
      <c r="H2726" s="20" t="str">
        <f t="shared" si="127"/>
        <v>BRONZ</v>
      </c>
      <c r="I2726" s="20" t="str">
        <f t="shared" si="128"/>
        <v xml:space="preserve">XS   </v>
      </c>
    </row>
    <row r="2727" spans="1:9">
      <c r="A2727" s="17" t="s">
        <v>1422</v>
      </c>
      <c r="B2727" s="17" t="s">
        <v>1424</v>
      </c>
      <c r="C2727" s="17" t="s">
        <v>800</v>
      </c>
      <c r="D2727" s="17" t="s">
        <v>801</v>
      </c>
      <c r="E2727" s="18">
        <v>3003350031035</v>
      </c>
      <c r="G2727" s="20" t="str">
        <f t="shared" si="126"/>
        <v xml:space="preserve"> BRACELET        </v>
      </c>
      <c r="H2727" s="20" t="str">
        <f t="shared" si="127"/>
        <v>CAPRI</v>
      </c>
      <c r="I2727" s="20" t="str">
        <f t="shared" si="128"/>
        <v xml:space="preserve">L    </v>
      </c>
    </row>
    <row r="2728" spans="1:9">
      <c r="A2728" s="17" t="s">
        <v>1422</v>
      </c>
      <c r="B2728" s="17" t="s">
        <v>1424</v>
      </c>
      <c r="C2728" s="17" t="s">
        <v>802</v>
      </c>
      <c r="D2728" s="17" t="s">
        <v>801</v>
      </c>
      <c r="E2728" s="18">
        <v>8051770300915</v>
      </c>
      <c r="G2728" s="20" t="str">
        <f t="shared" si="126"/>
        <v xml:space="preserve"> BRACELET        </v>
      </c>
      <c r="H2728" s="20" t="str">
        <f t="shared" si="127"/>
        <v>CAPRI</v>
      </c>
      <c r="I2728" s="20" t="str">
        <f t="shared" si="128"/>
        <v xml:space="preserve">M    </v>
      </c>
    </row>
    <row r="2729" spans="1:9">
      <c r="A2729" s="17" t="s">
        <v>1422</v>
      </c>
      <c r="B2729" s="17" t="s">
        <v>1424</v>
      </c>
      <c r="C2729" s="17" t="s">
        <v>802</v>
      </c>
      <c r="D2729" s="17" t="s">
        <v>801</v>
      </c>
      <c r="E2729" s="18">
        <v>3003350031028</v>
      </c>
      <c r="G2729" s="20" t="str">
        <f t="shared" si="126"/>
        <v xml:space="preserve"> BRACELET        </v>
      </c>
      <c r="H2729" s="20" t="str">
        <f t="shared" si="127"/>
        <v>CAPRI</v>
      </c>
      <c r="I2729" s="20" t="str">
        <f t="shared" si="128"/>
        <v xml:space="preserve">M    </v>
      </c>
    </row>
    <row r="2730" spans="1:9">
      <c r="A2730" s="17" t="s">
        <v>1422</v>
      </c>
      <c r="B2730" s="17" t="s">
        <v>1424</v>
      </c>
      <c r="C2730" s="17" t="s">
        <v>803</v>
      </c>
      <c r="D2730" s="17" t="s">
        <v>801</v>
      </c>
      <c r="E2730" s="18">
        <v>8051770301110</v>
      </c>
      <c r="G2730" s="20" t="str">
        <f t="shared" si="126"/>
        <v xml:space="preserve"> BRACELET        </v>
      </c>
      <c r="H2730" s="20" t="str">
        <f t="shared" si="127"/>
        <v>CAPRI</v>
      </c>
      <c r="I2730" s="20" t="str">
        <f t="shared" si="128"/>
        <v xml:space="preserve">S    </v>
      </c>
    </row>
    <row r="2731" spans="1:9">
      <c r="A2731" s="17" t="s">
        <v>1422</v>
      </c>
      <c r="B2731" s="17" t="s">
        <v>1424</v>
      </c>
      <c r="C2731" s="17" t="s">
        <v>803</v>
      </c>
      <c r="D2731" s="17" t="s">
        <v>801</v>
      </c>
      <c r="E2731" s="18">
        <v>3003350031011</v>
      </c>
      <c r="G2731" s="20" t="str">
        <f t="shared" si="126"/>
        <v xml:space="preserve"> BRACELET        </v>
      </c>
      <c r="H2731" s="20" t="str">
        <f t="shared" si="127"/>
        <v>CAPRI</v>
      </c>
      <c r="I2731" s="20" t="str">
        <f t="shared" si="128"/>
        <v xml:space="preserve">S    </v>
      </c>
    </row>
    <row r="2732" spans="1:9">
      <c r="A2732" s="17" t="s">
        <v>1422</v>
      </c>
      <c r="B2732" s="17" t="s">
        <v>1424</v>
      </c>
      <c r="C2732" s="17" t="s">
        <v>804</v>
      </c>
      <c r="D2732" s="17" t="s">
        <v>801</v>
      </c>
      <c r="E2732" s="18">
        <v>3003350031042</v>
      </c>
      <c r="G2732" s="20" t="str">
        <f t="shared" si="126"/>
        <v xml:space="preserve"> BRACELET        </v>
      </c>
      <c r="H2732" s="20" t="str">
        <f t="shared" si="127"/>
        <v>CAPRI</v>
      </c>
      <c r="I2732" s="20" t="str">
        <f t="shared" si="128"/>
        <v xml:space="preserve">XL   </v>
      </c>
    </row>
    <row r="2733" spans="1:9">
      <c r="A2733" s="17" t="s">
        <v>1422</v>
      </c>
      <c r="B2733" s="17" t="s">
        <v>1424</v>
      </c>
      <c r="C2733" s="17" t="s">
        <v>805</v>
      </c>
      <c r="D2733" s="17" t="s">
        <v>801</v>
      </c>
      <c r="E2733" s="18">
        <v>8051770303541</v>
      </c>
      <c r="G2733" s="20" t="str">
        <f t="shared" si="126"/>
        <v xml:space="preserve"> BRACELET        </v>
      </c>
      <c r="H2733" s="20" t="str">
        <f t="shared" si="127"/>
        <v>CAPRI</v>
      </c>
      <c r="I2733" s="20" t="str">
        <f t="shared" si="128"/>
        <v xml:space="preserve">XS   </v>
      </c>
    </row>
    <row r="2734" spans="1:9">
      <c r="A2734" s="17" t="s">
        <v>1422</v>
      </c>
      <c r="B2734" s="17" t="s">
        <v>1424</v>
      </c>
      <c r="C2734" s="17" t="s">
        <v>805</v>
      </c>
      <c r="D2734" s="17" t="s">
        <v>801</v>
      </c>
      <c r="E2734" s="18">
        <v>3003350031004</v>
      </c>
      <c r="G2734" s="20" t="str">
        <f t="shared" si="126"/>
        <v xml:space="preserve"> BRACELET        </v>
      </c>
      <c r="H2734" s="20" t="str">
        <f t="shared" si="127"/>
        <v>CAPRI</v>
      </c>
      <c r="I2734" s="20" t="str">
        <f t="shared" si="128"/>
        <v xml:space="preserve">XS   </v>
      </c>
    </row>
    <row r="2735" spans="1:9">
      <c r="A2735" s="17" t="s">
        <v>1422</v>
      </c>
      <c r="B2735" s="17" t="s">
        <v>1425</v>
      </c>
      <c r="C2735" s="17" t="s">
        <v>800</v>
      </c>
      <c r="D2735" s="17" t="s">
        <v>801</v>
      </c>
      <c r="E2735" s="18">
        <v>3003350032032</v>
      </c>
      <c r="G2735" s="20" t="str">
        <f t="shared" si="126"/>
        <v xml:space="preserve"> BRACELET        </v>
      </c>
      <c r="H2735" s="20" t="str">
        <f t="shared" si="127"/>
        <v xml:space="preserve">CHO  </v>
      </c>
      <c r="I2735" s="20" t="str">
        <f t="shared" si="128"/>
        <v xml:space="preserve">L    </v>
      </c>
    </row>
    <row r="2736" spans="1:9">
      <c r="A2736" s="17" t="s">
        <v>1422</v>
      </c>
      <c r="B2736" s="17" t="s">
        <v>1425</v>
      </c>
      <c r="C2736" s="17" t="s">
        <v>802</v>
      </c>
      <c r="D2736" s="17" t="s">
        <v>801</v>
      </c>
      <c r="E2736" s="18">
        <v>3003350032025</v>
      </c>
      <c r="G2736" s="20" t="str">
        <f t="shared" si="126"/>
        <v xml:space="preserve"> BRACELET        </v>
      </c>
      <c r="H2736" s="20" t="str">
        <f t="shared" si="127"/>
        <v xml:space="preserve">CHO  </v>
      </c>
      <c r="I2736" s="20" t="str">
        <f t="shared" si="128"/>
        <v xml:space="preserve">M    </v>
      </c>
    </row>
    <row r="2737" spans="1:9">
      <c r="A2737" s="17" t="s">
        <v>1422</v>
      </c>
      <c r="B2737" s="17" t="s">
        <v>1425</v>
      </c>
      <c r="C2737" s="17" t="s">
        <v>803</v>
      </c>
      <c r="D2737" s="17" t="s">
        <v>801</v>
      </c>
      <c r="E2737" s="18">
        <v>3003350032018</v>
      </c>
      <c r="G2737" s="20" t="str">
        <f t="shared" si="126"/>
        <v xml:space="preserve"> BRACELET        </v>
      </c>
      <c r="H2737" s="20" t="str">
        <f t="shared" si="127"/>
        <v xml:space="preserve">CHO  </v>
      </c>
      <c r="I2737" s="20" t="str">
        <f t="shared" si="128"/>
        <v xml:space="preserve">S    </v>
      </c>
    </row>
    <row r="2738" spans="1:9">
      <c r="A2738" s="17" t="s">
        <v>1422</v>
      </c>
      <c r="B2738" s="17" t="s">
        <v>1425</v>
      </c>
      <c r="C2738" s="17" t="s">
        <v>804</v>
      </c>
      <c r="D2738" s="17" t="s">
        <v>801</v>
      </c>
      <c r="E2738" s="18">
        <v>3003350032049</v>
      </c>
      <c r="G2738" s="20" t="str">
        <f t="shared" si="126"/>
        <v xml:space="preserve"> BRACELET        </v>
      </c>
      <c r="H2738" s="20" t="str">
        <f t="shared" si="127"/>
        <v xml:space="preserve">CHO  </v>
      </c>
      <c r="I2738" s="20" t="str">
        <f t="shared" si="128"/>
        <v xml:space="preserve">XL   </v>
      </c>
    </row>
    <row r="2739" spans="1:9">
      <c r="A2739" s="17" t="s">
        <v>1422</v>
      </c>
      <c r="B2739" s="17" t="s">
        <v>1425</v>
      </c>
      <c r="C2739" s="17" t="s">
        <v>805</v>
      </c>
      <c r="D2739" s="17" t="s">
        <v>801</v>
      </c>
      <c r="E2739" s="18">
        <v>3003350032001</v>
      </c>
      <c r="G2739" s="20" t="str">
        <f t="shared" si="126"/>
        <v xml:space="preserve"> BRACELET        </v>
      </c>
      <c r="H2739" s="20" t="str">
        <f t="shared" si="127"/>
        <v xml:space="preserve">CHO  </v>
      </c>
      <c r="I2739" s="20" t="str">
        <f t="shared" si="128"/>
        <v xml:space="preserve">XS   </v>
      </c>
    </row>
    <row r="2740" spans="1:9">
      <c r="A2740" s="17" t="s">
        <v>1422</v>
      </c>
      <c r="B2740" s="17" t="s">
        <v>819</v>
      </c>
      <c r="C2740" s="17" t="s">
        <v>800</v>
      </c>
      <c r="D2740" s="17" t="s">
        <v>801</v>
      </c>
      <c r="E2740" s="18">
        <v>8051770300663</v>
      </c>
      <c r="G2740" s="20" t="str">
        <f t="shared" si="126"/>
        <v xml:space="preserve"> BRACELET        </v>
      </c>
      <c r="H2740" s="20" t="str">
        <f t="shared" si="127"/>
        <v xml:space="preserve">DOVE </v>
      </c>
      <c r="I2740" s="20" t="str">
        <f t="shared" si="128"/>
        <v xml:space="preserve">L    </v>
      </c>
    </row>
    <row r="2741" spans="1:9">
      <c r="A2741" s="17" t="s">
        <v>1422</v>
      </c>
      <c r="B2741" s="17" t="s">
        <v>819</v>
      </c>
      <c r="C2741" s="17" t="s">
        <v>800</v>
      </c>
      <c r="D2741" s="17" t="s">
        <v>801</v>
      </c>
      <c r="E2741" s="18">
        <v>3003350006033</v>
      </c>
      <c r="G2741" s="20" t="str">
        <f t="shared" si="126"/>
        <v xml:space="preserve"> BRACELET        </v>
      </c>
      <c r="H2741" s="20" t="str">
        <f t="shared" si="127"/>
        <v xml:space="preserve">DOVE </v>
      </c>
      <c r="I2741" s="20" t="str">
        <f t="shared" si="128"/>
        <v xml:space="preserve">L    </v>
      </c>
    </row>
    <row r="2742" spans="1:9">
      <c r="A2742" s="17" t="s">
        <v>1422</v>
      </c>
      <c r="B2742" s="17" t="s">
        <v>819</v>
      </c>
      <c r="C2742" s="17" t="s">
        <v>802</v>
      </c>
      <c r="D2742" s="17" t="s">
        <v>801</v>
      </c>
      <c r="E2742" s="18">
        <v>8051770300861</v>
      </c>
      <c r="G2742" s="20" t="str">
        <f t="shared" si="126"/>
        <v xml:space="preserve"> BRACELET        </v>
      </c>
      <c r="H2742" s="20" t="str">
        <f t="shared" si="127"/>
        <v xml:space="preserve">DOVE </v>
      </c>
      <c r="I2742" s="20" t="str">
        <f t="shared" si="128"/>
        <v xml:space="preserve">M    </v>
      </c>
    </row>
    <row r="2743" spans="1:9">
      <c r="A2743" s="17" t="s">
        <v>1422</v>
      </c>
      <c r="B2743" s="17" t="s">
        <v>819</v>
      </c>
      <c r="C2743" s="17" t="s">
        <v>802</v>
      </c>
      <c r="D2743" s="17" t="s">
        <v>801</v>
      </c>
      <c r="E2743" s="18">
        <v>3003350006026</v>
      </c>
      <c r="G2743" s="20" t="str">
        <f t="shared" si="126"/>
        <v xml:space="preserve"> BRACELET        </v>
      </c>
      <c r="H2743" s="20" t="str">
        <f t="shared" si="127"/>
        <v xml:space="preserve">DOVE </v>
      </c>
      <c r="I2743" s="20" t="str">
        <f t="shared" si="128"/>
        <v xml:space="preserve">M    </v>
      </c>
    </row>
    <row r="2744" spans="1:9">
      <c r="A2744" s="17" t="s">
        <v>1422</v>
      </c>
      <c r="B2744" s="17" t="s">
        <v>819</v>
      </c>
      <c r="C2744" s="17" t="s">
        <v>803</v>
      </c>
      <c r="D2744" s="17" t="s">
        <v>801</v>
      </c>
      <c r="E2744" s="18">
        <v>8051770301066</v>
      </c>
      <c r="G2744" s="20" t="str">
        <f t="shared" si="126"/>
        <v xml:space="preserve"> BRACELET        </v>
      </c>
      <c r="H2744" s="20" t="str">
        <f t="shared" si="127"/>
        <v xml:space="preserve">DOVE </v>
      </c>
      <c r="I2744" s="20" t="str">
        <f t="shared" si="128"/>
        <v xml:space="preserve">S    </v>
      </c>
    </row>
    <row r="2745" spans="1:9">
      <c r="A2745" s="17" t="s">
        <v>1422</v>
      </c>
      <c r="B2745" s="17" t="s">
        <v>819</v>
      </c>
      <c r="C2745" s="17" t="s">
        <v>803</v>
      </c>
      <c r="D2745" s="17" t="s">
        <v>801</v>
      </c>
      <c r="E2745" s="18">
        <v>3003350006019</v>
      </c>
      <c r="G2745" s="20" t="str">
        <f t="shared" si="126"/>
        <v xml:space="preserve"> BRACELET        </v>
      </c>
      <c r="H2745" s="20" t="str">
        <f t="shared" si="127"/>
        <v xml:space="preserve">DOVE </v>
      </c>
      <c r="I2745" s="20" t="str">
        <f t="shared" si="128"/>
        <v xml:space="preserve">S    </v>
      </c>
    </row>
    <row r="2746" spans="1:9">
      <c r="A2746" s="17" t="s">
        <v>1422</v>
      </c>
      <c r="B2746" s="17" t="s">
        <v>819</v>
      </c>
      <c r="C2746" s="17" t="s">
        <v>804</v>
      </c>
      <c r="D2746" s="17" t="s">
        <v>801</v>
      </c>
      <c r="E2746" s="18">
        <v>3003350006040</v>
      </c>
      <c r="G2746" s="20" t="str">
        <f t="shared" si="126"/>
        <v xml:space="preserve"> BRACELET        </v>
      </c>
      <c r="H2746" s="20" t="str">
        <f t="shared" si="127"/>
        <v xml:space="preserve">DOVE </v>
      </c>
      <c r="I2746" s="20" t="str">
        <f t="shared" si="128"/>
        <v xml:space="preserve">XL   </v>
      </c>
    </row>
    <row r="2747" spans="1:9">
      <c r="A2747" s="17" t="s">
        <v>1422</v>
      </c>
      <c r="B2747" s="17" t="s">
        <v>819</v>
      </c>
      <c r="C2747" s="17" t="s">
        <v>805</v>
      </c>
      <c r="D2747" s="17" t="s">
        <v>801</v>
      </c>
      <c r="E2747" s="18">
        <v>3003350006002</v>
      </c>
      <c r="G2747" s="20" t="str">
        <f t="shared" si="126"/>
        <v xml:space="preserve"> BRACELET        </v>
      </c>
      <c r="H2747" s="20" t="str">
        <f t="shared" si="127"/>
        <v xml:space="preserve">DOVE </v>
      </c>
      <c r="I2747" s="20" t="str">
        <f t="shared" si="128"/>
        <v xml:space="preserve">XS   </v>
      </c>
    </row>
    <row r="2748" spans="1:9">
      <c r="A2748" s="17" t="s">
        <v>1422</v>
      </c>
      <c r="B2748" s="17" t="s">
        <v>888</v>
      </c>
      <c r="C2748" s="17" t="s">
        <v>800</v>
      </c>
      <c r="D2748" s="17" t="s">
        <v>801</v>
      </c>
      <c r="E2748" s="18">
        <v>3003350099035</v>
      </c>
      <c r="G2748" s="20" t="str">
        <f t="shared" si="126"/>
        <v xml:space="preserve"> BRACELET        </v>
      </c>
      <c r="H2748" s="20" t="str">
        <f t="shared" si="127"/>
        <v>DRKOR</v>
      </c>
      <c r="I2748" s="20" t="str">
        <f t="shared" si="128"/>
        <v xml:space="preserve">L    </v>
      </c>
    </row>
    <row r="2749" spans="1:9">
      <c r="A2749" s="17" t="s">
        <v>1422</v>
      </c>
      <c r="B2749" s="17" t="s">
        <v>888</v>
      </c>
      <c r="C2749" s="17" t="s">
        <v>802</v>
      </c>
      <c r="D2749" s="17" t="s">
        <v>801</v>
      </c>
      <c r="E2749" s="18">
        <v>8051770309253</v>
      </c>
      <c r="G2749" s="20" t="str">
        <f t="shared" si="126"/>
        <v xml:space="preserve"> BRACELET        </v>
      </c>
      <c r="H2749" s="20" t="str">
        <f t="shared" si="127"/>
        <v>DRKOR</v>
      </c>
      <c r="I2749" s="20" t="str">
        <f t="shared" si="128"/>
        <v xml:space="preserve">M    </v>
      </c>
    </row>
    <row r="2750" spans="1:9">
      <c r="A2750" s="17" t="s">
        <v>1422</v>
      </c>
      <c r="B2750" s="17" t="s">
        <v>888</v>
      </c>
      <c r="C2750" s="17" t="s">
        <v>802</v>
      </c>
      <c r="D2750" s="17" t="s">
        <v>801</v>
      </c>
      <c r="E2750" s="18">
        <v>3003350099028</v>
      </c>
      <c r="G2750" s="20" t="str">
        <f t="shared" si="126"/>
        <v xml:space="preserve"> BRACELET        </v>
      </c>
      <c r="H2750" s="20" t="str">
        <f t="shared" si="127"/>
        <v>DRKOR</v>
      </c>
      <c r="I2750" s="20" t="str">
        <f t="shared" si="128"/>
        <v xml:space="preserve">M    </v>
      </c>
    </row>
    <row r="2751" spans="1:9">
      <c r="A2751" s="17" t="s">
        <v>1422</v>
      </c>
      <c r="B2751" s="17" t="s">
        <v>888</v>
      </c>
      <c r="C2751" s="17" t="s">
        <v>803</v>
      </c>
      <c r="D2751" s="17" t="s">
        <v>801</v>
      </c>
      <c r="E2751" s="18">
        <v>8051770309246</v>
      </c>
      <c r="G2751" s="20" t="str">
        <f t="shared" si="126"/>
        <v xml:space="preserve"> BRACELET        </v>
      </c>
      <c r="H2751" s="20" t="str">
        <f t="shared" si="127"/>
        <v>DRKOR</v>
      </c>
      <c r="I2751" s="20" t="str">
        <f t="shared" si="128"/>
        <v xml:space="preserve">S    </v>
      </c>
    </row>
    <row r="2752" spans="1:9">
      <c r="A2752" s="17" t="s">
        <v>1422</v>
      </c>
      <c r="B2752" s="17" t="s">
        <v>888</v>
      </c>
      <c r="C2752" s="17" t="s">
        <v>803</v>
      </c>
      <c r="D2752" s="17" t="s">
        <v>801</v>
      </c>
      <c r="E2752" s="18">
        <v>3003350099011</v>
      </c>
      <c r="G2752" s="20" t="str">
        <f t="shared" si="126"/>
        <v xml:space="preserve"> BRACELET        </v>
      </c>
      <c r="H2752" s="20" t="str">
        <f t="shared" si="127"/>
        <v>DRKOR</v>
      </c>
      <c r="I2752" s="20" t="str">
        <f t="shared" si="128"/>
        <v xml:space="preserve">S    </v>
      </c>
    </row>
    <row r="2753" spans="1:9">
      <c r="A2753" s="17" t="s">
        <v>1422</v>
      </c>
      <c r="B2753" s="17" t="s">
        <v>888</v>
      </c>
      <c r="C2753" s="17" t="s">
        <v>804</v>
      </c>
      <c r="D2753" s="17" t="s">
        <v>801</v>
      </c>
      <c r="E2753" s="18">
        <v>3003350099042</v>
      </c>
      <c r="G2753" s="20" t="str">
        <f t="shared" si="126"/>
        <v xml:space="preserve"> BRACELET        </v>
      </c>
      <c r="H2753" s="20" t="str">
        <f t="shared" si="127"/>
        <v>DRKOR</v>
      </c>
      <c r="I2753" s="20" t="str">
        <f t="shared" si="128"/>
        <v xml:space="preserve">XL   </v>
      </c>
    </row>
    <row r="2754" spans="1:9">
      <c r="A2754" s="17" t="s">
        <v>1422</v>
      </c>
      <c r="B2754" s="17" t="s">
        <v>888</v>
      </c>
      <c r="C2754" s="17" t="s">
        <v>805</v>
      </c>
      <c r="D2754" s="17" t="s">
        <v>801</v>
      </c>
      <c r="E2754" s="18">
        <v>3003350099004</v>
      </c>
      <c r="G2754" s="20" t="str">
        <f t="shared" si="126"/>
        <v xml:space="preserve"> BRACELET        </v>
      </c>
      <c r="H2754" s="20" t="str">
        <f t="shared" si="127"/>
        <v>DRKOR</v>
      </c>
      <c r="I2754" s="20" t="str">
        <f t="shared" si="128"/>
        <v xml:space="preserve">XS   </v>
      </c>
    </row>
    <row r="2755" spans="1:9">
      <c r="A2755" s="17" t="s">
        <v>1422</v>
      </c>
      <c r="B2755" s="17" t="s">
        <v>995</v>
      </c>
      <c r="C2755" s="17" t="s">
        <v>800</v>
      </c>
      <c r="D2755" s="17" t="s">
        <v>801</v>
      </c>
      <c r="E2755" s="18">
        <v>3003350101035</v>
      </c>
      <c r="G2755" s="20" t="str">
        <f t="shared" si="126"/>
        <v xml:space="preserve"> BRACELET        </v>
      </c>
      <c r="H2755" s="20" t="str">
        <f t="shared" si="127"/>
        <v xml:space="preserve">EMER </v>
      </c>
      <c r="I2755" s="20" t="str">
        <f t="shared" si="128"/>
        <v xml:space="preserve">L    </v>
      </c>
    </row>
    <row r="2756" spans="1:9">
      <c r="A2756" s="17" t="s">
        <v>1422</v>
      </c>
      <c r="B2756" s="17" t="s">
        <v>995</v>
      </c>
      <c r="C2756" s="17" t="s">
        <v>802</v>
      </c>
      <c r="D2756" s="17" t="s">
        <v>801</v>
      </c>
      <c r="E2756" s="18">
        <v>8051770309192</v>
      </c>
      <c r="G2756" s="20" t="str">
        <f t="shared" si="126"/>
        <v xml:space="preserve"> BRACELET        </v>
      </c>
      <c r="H2756" s="20" t="str">
        <f t="shared" si="127"/>
        <v xml:space="preserve">EMER </v>
      </c>
      <c r="I2756" s="20" t="str">
        <f t="shared" si="128"/>
        <v xml:space="preserve">M    </v>
      </c>
    </row>
    <row r="2757" spans="1:9">
      <c r="A2757" s="17" t="s">
        <v>1422</v>
      </c>
      <c r="B2757" s="17" t="s">
        <v>995</v>
      </c>
      <c r="C2757" s="17" t="s">
        <v>802</v>
      </c>
      <c r="D2757" s="17" t="s">
        <v>801</v>
      </c>
      <c r="E2757" s="18">
        <v>3003350101028</v>
      </c>
      <c r="G2757" s="20" t="str">
        <f t="shared" ref="G2757:G2820" si="129">A2757</f>
        <v xml:space="preserve"> BRACELET        </v>
      </c>
      <c r="H2757" s="20" t="str">
        <f t="shared" ref="H2757:H2820" si="130">B2757</f>
        <v xml:space="preserve">EMER </v>
      </c>
      <c r="I2757" s="20" t="str">
        <f t="shared" ref="I2757:I2820" si="131">C2757</f>
        <v xml:space="preserve">M    </v>
      </c>
    </row>
    <row r="2758" spans="1:9">
      <c r="A2758" s="17" t="s">
        <v>1422</v>
      </c>
      <c r="B2758" s="17" t="s">
        <v>995</v>
      </c>
      <c r="C2758" s="17" t="s">
        <v>803</v>
      </c>
      <c r="D2758" s="17" t="s">
        <v>801</v>
      </c>
      <c r="E2758" s="18">
        <v>8051770309185</v>
      </c>
      <c r="G2758" s="20" t="str">
        <f t="shared" si="129"/>
        <v xml:space="preserve"> BRACELET        </v>
      </c>
      <c r="H2758" s="20" t="str">
        <f t="shared" si="130"/>
        <v xml:space="preserve">EMER </v>
      </c>
      <c r="I2758" s="20" t="str">
        <f t="shared" si="131"/>
        <v xml:space="preserve">S    </v>
      </c>
    </row>
    <row r="2759" spans="1:9">
      <c r="A2759" s="17" t="s">
        <v>1422</v>
      </c>
      <c r="B2759" s="17" t="s">
        <v>995</v>
      </c>
      <c r="C2759" s="17" t="s">
        <v>803</v>
      </c>
      <c r="D2759" s="17" t="s">
        <v>801</v>
      </c>
      <c r="E2759" s="18">
        <v>3003350101011</v>
      </c>
      <c r="G2759" s="20" t="str">
        <f t="shared" si="129"/>
        <v xml:space="preserve"> BRACELET        </v>
      </c>
      <c r="H2759" s="20" t="str">
        <f t="shared" si="130"/>
        <v xml:space="preserve">EMER </v>
      </c>
      <c r="I2759" s="20" t="str">
        <f t="shared" si="131"/>
        <v xml:space="preserve">S    </v>
      </c>
    </row>
    <row r="2760" spans="1:9">
      <c r="A2760" s="17" t="s">
        <v>1422</v>
      </c>
      <c r="B2760" s="17" t="s">
        <v>995</v>
      </c>
      <c r="C2760" s="17" t="s">
        <v>804</v>
      </c>
      <c r="D2760" s="17" t="s">
        <v>801</v>
      </c>
      <c r="E2760" s="18">
        <v>3003350101042</v>
      </c>
      <c r="G2760" s="20" t="str">
        <f t="shared" si="129"/>
        <v xml:space="preserve"> BRACELET        </v>
      </c>
      <c r="H2760" s="20" t="str">
        <f t="shared" si="130"/>
        <v xml:space="preserve">EMER </v>
      </c>
      <c r="I2760" s="20" t="str">
        <f t="shared" si="131"/>
        <v xml:space="preserve">XL   </v>
      </c>
    </row>
    <row r="2761" spans="1:9">
      <c r="A2761" s="17" t="s">
        <v>1422</v>
      </c>
      <c r="B2761" s="17" t="s">
        <v>995</v>
      </c>
      <c r="C2761" s="17" t="s">
        <v>805</v>
      </c>
      <c r="D2761" s="17" t="s">
        <v>801</v>
      </c>
      <c r="E2761" s="18">
        <v>3003350101004</v>
      </c>
      <c r="G2761" s="20" t="str">
        <f t="shared" si="129"/>
        <v xml:space="preserve"> BRACELET        </v>
      </c>
      <c r="H2761" s="20" t="str">
        <f t="shared" si="130"/>
        <v xml:space="preserve">EMER </v>
      </c>
      <c r="I2761" s="20" t="str">
        <f t="shared" si="131"/>
        <v xml:space="preserve">XS   </v>
      </c>
    </row>
    <row r="2762" spans="1:9">
      <c r="A2762" s="17" t="s">
        <v>1422</v>
      </c>
      <c r="B2762" s="17" t="s">
        <v>1426</v>
      </c>
      <c r="C2762" s="17" t="s">
        <v>800</v>
      </c>
      <c r="D2762" s="17" t="s">
        <v>801</v>
      </c>
      <c r="E2762" s="18">
        <v>3003350038034</v>
      </c>
      <c r="G2762" s="20" t="str">
        <f t="shared" si="129"/>
        <v xml:space="preserve"> BRACELET        </v>
      </c>
      <c r="H2762" s="20" t="str">
        <f t="shared" si="130"/>
        <v>FLUOG</v>
      </c>
      <c r="I2762" s="20" t="str">
        <f t="shared" si="131"/>
        <v xml:space="preserve">L    </v>
      </c>
    </row>
    <row r="2763" spans="1:9">
      <c r="A2763" s="17" t="s">
        <v>1422</v>
      </c>
      <c r="B2763" s="17" t="s">
        <v>1426</v>
      </c>
      <c r="C2763" s="17" t="s">
        <v>802</v>
      </c>
      <c r="D2763" s="17" t="s">
        <v>801</v>
      </c>
      <c r="E2763" s="18">
        <v>3003350038027</v>
      </c>
      <c r="G2763" s="20" t="str">
        <f t="shared" si="129"/>
        <v xml:space="preserve"> BRACELET        </v>
      </c>
      <c r="H2763" s="20" t="str">
        <f t="shared" si="130"/>
        <v>FLUOG</v>
      </c>
      <c r="I2763" s="20" t="str">
        <f t="shared" si="131"/>
        <v xml:space="preserve">M    </v>
      </c>
    </row>
    <row r="2764" spans="1:9">
      <c r="A2764" s="17" t="s">
        <v>1422</v>
      </c>
      <c r="B2764" s="17" t="s">
        <v>1426</v>
      </c>
      <c r="C2764" s="17" t="s">
        <v>803</v>
      </c>
      <c r="D2764" s="17" t="s">
        <v>801</v>
      </c>
      <c r="E2764" s="18">
        <v>3003350038010</v>
      </c>
      <c r="G2764" s="20" t="str">
        <f t="shared" si="129"/>
        <v xml:space="preserve"> BRACELET        </v>
      </c>
      <c r="H2764" s="20" t="str">
        <f t="shared" si="130"/>
        <v>FLUOG</v>
      </c>
      <c r="I2764" s="20" t="str">
        <f t="shared" si="131"/>
        <v xml:space="preserve">S    </v>
      </c>
    </row>
    <row r="2765" spans="1:9">
      <c r="A2765" s="17" t="s">
        <v>1422</v>
      </c>
      <c r="B2765" s="17" t="s">
        <v>1426</v>
      </c>
      <c r="C2765" s="17" t="s">
        <v>804</v>
      </c>
      <c r="D2765" s="17" t="s">
        <v>801</v>
      </c>
      <c r="E2765" s="18">
        <v>3003350038041</v>
      </c>
      <c r="G2765" s="20" t="str">
        <f t="shared" si="129"/>
        <v xml:space="preserve"> BRACELET        </v>
      </c>
      <c r="H2765" s="20" t="str">
        <f t="shared" si="130"/>
        <v>FLUOG</v>
      </c>
      <c r="I2765" s="20" t="str">
        <f t="shared" si="131"/>
        <v xml:space="preserve">XL   </v>
      </c>
    </row>
    <row r="2766" spans="1:9">
      <c r="A2766" s="17" t="s">
        <v>1422</v>
      </c>
      <c r="B2766" s="17" t="s">
        <v>1426</v>
      </c>
      <c r="C2766" s="17" t="s">
        <v>805</v>
      </c>
      <c r="D2766" s="17" t="s">
        <v>801</v>
      </c>
      <c r="E2766" s="18">
        <v>3003350038003</v>
      </c>
      <c r="G2766" s="20" t="str">
        <f t="shared" si="129"/>
        <v xml:space="preserve"> BRACELET        </v>
      </c>
      <c r="H2766" s="20" t="str">
        <f t="shared" si="130"/>
        <v>FLUOG</v>
      </c>
      <c r="I2766" s="20" t="str">
        <f t="shared" si="131"/>
        <v xml:space="preserve">XS   </v>
      </c>
    </row>
    <row r="2767" spans="1:9">
      <c r="A2767" s="17" t="s">
        <v>1422</v>
      </c>
      <c r="B2767" s="17" t="s">
        <v>1427</v>
      </c>
      <c r="C2767" s="17" t="s">
        <v>800</v>
      </c>
      <c r="D2767" s="17" t="s">
        <v>801</v>
      </c>
      <c r="E2767" s="18">
        <v>3003350039031</v>
      </c>
      <c r="G2767" s="20" t="str">
        <f t="shared" si="129"/>
        <v xml:space="preserve"> BRACELET        </v>
      </c>
      <c r="H2767" s="20" t="str">
        <f t="shared" si="130"/>
        <v>FLUOP</v>
      </c>
      <c r="I2767" s="20" t="str">
        <f t="shared" si="131"/>
        <v xml:space="preserve">L    </v>
      </c>
    </row>
    <row r="2768" spans="1:9">
      <c r="A2768" s="17" t="s">
        <v>1422</v>
      </c>
      <c r="B2768" s="17" t="s">
        <v>1427</v>
      </c>
      <c r="C2768" s="17" t="s">
        <v>802</v>
      </c>
      <c r="D2768" s="17" t="s">
        <v>801</v>
      </c>
      <c r="E2768" s="18">
        <v>3003350039024</v>
      </c>
      <c r="G2768" s="20" t="str">
        <f t="shared" si="129"/>
        <v xml:space="preserve"> BRACELET        </v>
      </c>
      <c r="H2768" s="20" t="str">
        <f t="shared" si="130"/>
        <v>FLUOP</v>
      </c>
      <c r="I2768" s="20" t="str">
        <f t="shared" si="131"/>
        <v xml:space="preserve">M    </v>
      </c>
    </row>
    <row r="2769" spans="1:9">
      <c r="A2769" s="17" t="s">
        <v>1422</v>
      </c>
      <c r="B2769" s="17" t="s">
        <v>1427</v>
      </c>
      <c r="C2769" s="17" t="s">
        <v>803</v>
      </c>
      <c r="D2769" s="17" t="s">
        <v>801</v>
      </c>
      <c r="E2769" s="18">
        <v>3003350039017</v>
      </c>
      <c r="G2769" s="20" t="str">
        <f t="shared" si="129"/>
        <v xml:space="preserve"> BRACELET        </v>
      </c>
      <c r="H2769" s="20" t="str">
        <f t="shared" si="130"/>
        <v>FLUOP</v>
      </c>
      <c r="I2769" s="20" t="str">
        <f t="shared" si="131"/>
        <v xml:space="preserve">S    </v>
      </c>
    </row>
    <row r="2770" spans="1:9">
      <c r="A2770" s="17" t="s">
        <v>1422</v>
      </c>
      <c r="B2770" s="17" t="s">
        <v>1427</v>
      </c>
      <c r="C2770" s="17" t="s">
        <v>804</v>
      </c>
      <c r="D2770" s="17" t="s">
        <v>801</v>
      </c>
      <c r="E2770" s="18">
        <v>3003350039048</v>
      </c>
      <c r="G2770" s="20" t="str">
        <f t="shared" si="129"/>
        <v xml:space="preserve"> BRACELET        </v>
      </c>
      <c r="H2770" s="20" t="str">
        <f t="shared" si="130"/>
        <v>FLUOP</v>
      </c>
      <c r="I2770" s="20" t="str">
        <f t="shared" si="131"/>
        <v xml:space="preserve">XL   </v>
      </c>
    </row>
    <row r="2771" spans="1:9">
      <c r="A2771" s="17" t="s">
        <v>1422</v>
      </c>
      <c r="B2771" s="17" t="s">
        <v>1427</v>
      </c>
      <c r="C2771" s="17" t="s">
        <v>805</v>
      </c>
      <c r="D2771" s="17" t="s">
        <v>801</v>
      </c>
      <c r="E2771" s="18">
        <v>3003350039000</v>
      </c>
      <c r="G2771" s="20" t="str">
        <f t="shared" si="129"/>
        <v xml:space="preserve"> BRACELET        </v>
      </c>
      <c r="H2771" s="20" t="str">
        <f t="shared" si="130"/>
        <v>FLUOP</v>
      </c>
      <c r="I2771" s="20" t="str">
        <f t="shared" si="131"/>
        <v xml:space="preserve">XS   </v>
      </c>
    </row>
    <row r="2772" spans="1:9">
      <c r="A2772" s="17" t="s">
        <v>1422</v>
      </c>
      <c r="B2772" s="17" t="s">
        <v>1428</v>
      </c>
      <c r="C2772" s="17" t="s">
        <v>800</v>
      </c>
      <c r="D2772" s="17" t="s">
        <v>801</v>
      </c>
      <c r="E2772" s="18">
        <v>3003350037037</v>
      </c>
      <c r="G2772" s="20" t="str">
        <f t="shared" si="129"/>
        <v xml:space="preserve"> BRACELET        </v>
      </c>
      <c r="H2772" s="20" t="str">
        <f t="shared" si="130"/>
        <v>FLUOY</v>
      </c>
      <c r="I2772" s="20" t="str">
        <f t="shared" si="131"/>
        <v xml:space="preserve">L    </v>
      </c>
    </row>
    <row r="2773" spans="1:9">
      <c r="A2773" s="17" t="s">
        <v>1422</v>
      </c>
      <c r="B2773" s="17" t="s">
        <v>1428</v>
      </c>
      <c r="C2773" s="17" t="s">
        <v>802</v>
      </c>
      <c r="D2773" s="17" t="s">
        <v>801</v>
      </c>
      <c r="E2773" s="18">
        <v>3003350037020</v>
      </c>
      <c r="G2773" s="20" t="str">
        <f t="shared" si="129"/>
        <v xml:space="preserve"> BRACELET        </v>
      </c>
      <c r="H2773" s="20" t="str">
        <f t="shared" si="130"/>
        <v>FLUOY</v>
      </c>
      <c r="I2773" s="20" t="str">
        <f t="shared" si="131"/>
        <v xml:space="preserve">M    </v>
      </c>
    </row>
    <row r="2774" spans="1:9">
      <c r="A2774" s="17" t="s">
        <v>1422</v>
      </c>
      <c r="B2774" s="17" t="s">
        <v>1428</v>
      </c>
      <c r="C2774" s="17" t="s">
        <v>803</v>
      </c>
      <c r="D2774" s="17" t="s">
        <v>801</v>
      </c>
      <c r="E2774" s="18">
        <v>3003350037013</v>
      </c>
      <c r="G2774" s="20" t="str">
        <f t="shared" si="129"/>
        <v xml:space="preserve"> BRACELET        </v>
      </c>
      <c r="H2774" s="20" t="str">
        <f t="shared" si="130"/>
        <v>FLUOY</v>
      </c>
      <c r="I2774" s="20" t="str">
        <f t="shared" si="131"/>
        <v xml:space="preserve">S    </v>
      </c>
    </row>
    <row r="2775" spans="1:9">
      <c r="A2775" s="17" t="s">
        <v>1422</v>
      </c>
      <c r="B2775" s="17" t="s">
        <v>1428</v>
      </c>
      <c r="C2775" s="17" t="s">
        <v>804</v>
      </c>
      <c r="D2775" s="17" t="s">
        <v>801</v>
      </c>
      <c r="E2775" s="18">
        <v>3003350037044</v>
      </c>
      <c r="G2775" s="20" t="str">
        <f t="shared" si="129"/>
        <v xml:space="preserve"> BRACELET        </v>
      </c>
      <c r="H2775" s="20" t="str">
        <f t="shared" si="130"/>
        <v>FLUOY</v>
      </c>
      <c r="I2775" s="20" t="str">
        <f t="shared" si="131"/>
        <v xml:space="preserve">XL   </v>
      </c>
    </row>
    <row r="2776" spans="1:9">
      <c r="A2776" s="17" t="s">
        <v>1422</v>
      </c>
      <c r="B2776" s="17" t="s">
        <v>1428</v>
      </c>
      <c r="C2776" s="17" t="s">
        <v>805</v>
      </c>
      <c r="D2776" s="17" t="s">
        <v>801</v>
      </c>
      <c r="E2776" s="18">
        <v>3003350037006</v>
      </c>
      <c r="G2776" s="20" t="str">
        <f t="shared" si="129"/>
        <v xml:space="preserve"> BRACELET        </v>
      </c>
      <c r="H2776" s="20" t="str">
        <f t="shared" si="130"/>
        <v>FLUOY</v>
      </c>
      <c r="I2776" s="20" t="str">
        <f t="shared" si="131"/>
        <v xml:space="preserve">XS   </v>
      </c>
    </row>
    <row r="2777" spans="1:9">
      <c r="A2777" s="17" t="s">
        <v>1422</v>
      </c>
      <c r="B2777" s="17" t="s">
        <v>1429</v>
      </c>
      <c r="C2777" s="17" t="s">
        <v>800</v>
      </c>
      <c r="D2777" s="17" t="s">
        <v>801</v>
      </c>
      <c r="E2777" s="18">
        <v>3003350033039</v>
      </c>
      <c r="G2777" s="20" t="str">
        <f t="shared" si="129"/>
        <v xml:space="preserve"> BRACELET        </v>
      </c>
      <c r="H2777" s="20" t="str">
        <f t="shared" si="130"/>
        <v xml:space="preserve">ICE  </v>
      </c>
      <c r="I2777" s="20" t="str">
        <f t="shared" si="131"/>
        <v xml:space="preserve">L    </v>
      </c>
    </row>
    <row r="2778" spans="1:9">
      <c r="A2778" s="17" t="s">
        <v>1422</v>
      </c>
      <c r="B2778" s="17" t="s">
        <v>1429</v>
      </c>
      <c r="C2778" s="17" t="s">
        <v>802</v>
      </c>
      <c r="D2778" s="17" t="s">
        <v>801</v>
      </c>
      <c r="E2778" s="18">
        <v>3003350033022</v>
      </c>
      <c r="G2778" s="20" t="str">
        <f t="shared" si="129"/>
        <v xml:space="preserve"> BRACELET        </v>
      </c>
      <c r="H2778" s="20" t="str">
        <f t="shared" si="130"/>
        <v xml:space="preserve">ICE  </v>
      </c>
      <c r="I2778" s="20" t="str">
        <f t="shared" si="131"/>
        <v xml:space="preserve">M    </v>
      </c>
    </row>
    <row r="2779" spans="1:9">
      <c r="A2779" s="17" t="s">
        <v>1422</v>
      </c>
      <c r="B2779" s="17" t="s">
        <v>1429</v>
      </c>
      <c r="C2779" s="17" t="s">
        <v>803</v>
      </c>
      <c r="D2779" s="17" t="s">
        <v>801</v>
      </c>
      <c r="E2779" s="18">
        <v>3003350033015</v>
      </c>
      <c r="G2779" s="20" t="str">
        <f t="shared" si="129"/>
        <v xml:space="preserve"> BRACELET        </v>
      </c>
      <c r="H2779" s="20" t="str">
        <f t="shared" si="130"/>
        <v xml:space="preserve">ICE  </v>
      </c>
      <c r="I2779" s="20" t="str">
        <f t="shared" si="131"/>
        <v xml:space="preserve">S    </v>
      </c>
    </row>
    <row r="2780" spans="1:9">
      <c r="A2780" s="17" t="s">
        <v>1422</v>
      </c>
      <c r="B2780" s="17" t="s">
        <v>1429</v>
      </c>
      <c r="C2780" s="17" t="s">
        <v>804</v>
      </c>
      <c r="D2780" s="17" t="s">
        <v>801</v>
      </c>
      <c r="E2780" s="18">
        <v>3003350033046</v>
      </c>
      <c r="G2780" s="20" t="str">
        <f t="shared" si="129"/>
        <v xml:space="preserve"> BRACELET        </v>
      </c>
      <c r="H2780" s="20" t="str">
        <f t="shared" si="130"/>
        <v xml:space="preserve">ICE  </v>
      </c>
      <c r="I2780" s="20" t="str">
        <f t="shared" si="131"/>
        <v xml:space="preserve">XL   </v>
      </c>
    </row>
    <row r="2781" spans="1:9">
      <c r="A2781" s="17" t="s">
        <v>1422</v>
      </c>
      <c r="B2781" s="17" t="s">
        <v>1429</v>
      </c>
      <c r="C2781" s="17" t="s">
        <v>805</v>
      </c>
      <c r="D2781" s="17" t="s">
        <v>801</v>
      </c>
      <c r="E2781" s="18">
        <v>3003350033008</v>
      </c>
      <c r="G2781" s="20" t="str">
        <f t="shared" si="129"/>
        <v xml:space="preserve"> BRACELET        </v>
      </c>
      <c r="H2781" s="20" t="str">
        <f t="shared" si="130"/>
        <v xml:space="preserve">ICE  </v>
      </c>
      <c r="I2781" s="20" t="str">
        <f t="shared" si="131"/>
        <v xml:space="preserve">XS   </v>
      </c>
    </row>
    <row r="2782" spans="1:9">
      <c r="A2782" s="17" t="s">
        <v>1422</v>
      </c>
      <c r="B2782" s="17" t="s">
        <v>1430</v>
      </c>
      <c r="C2782" s="17" t="s">
        <v>800</v>
      </c>
      <c r="D2782" s="17" t="s">
        <v>801</v>
      </c>
      <c r="E2782" s="18">
        <v>8058983599518</v>
      </c>
      <c r="G2782" s="20" t="str">
        <f t="shared" si="129"/>
        <v xml:space="preserve"> BRACELET        </v>
      </c>
      <c r="H2782" s="20" t="str">
        <f t="shared" si="130"/>
        <v xml:space="preserve">IRIS </v>
      </c>
      <c r="I2782" s="20" t="str">
        <f t="shared" si="131"/>
        <v xml:space="preserve">L    </v>
      </c>
    </row>
    <row r="2783" spans="1:9">
      <c r="A2783" s="17" t="s">
        <v>1422</v>
      </c>
      <c r="B2783" s="17" t="s">
        <v>1430</v>
      </c>
      <c r="C2783" s="17" t="s">
        <v>800</v>
      </c>
      <c r="D2783" s="17" t="s">
        <v>801</v>
      </c>
      <c r="E2783" s="18">
        <v>3020400230033</v>
      </c>
      <c r="G2783" s="20" t="str">
        <f t="shared" si="129"/>
        <v xml:space="preserve"> BRACELET        </v>
      </c>
      <c r="H2783" s="20" t="str">
        <f t="shared" si="130"/>
        <v xml:space="preserve">IRIS </v>
      </c>
      <c r="I2783" s="20" t="str">
        <f t="shared" si="131"/>
        <v xml:space="preserve">L    </v>
      </c>
    </row>
    <row r="2784" spans="1:9">
      <c r="A2784" s="17" t="s">
        <v>1422</v>
      </c>
      <c r="B2784" s="17" t="s">
        <v>1430</v>
      </c>
      <c r="C2784" s="17" t="s">
        <v>802</v>
      </c>
      <c r="D2784" s="17" t="s">
        <v>801</v>
      </c>
      <c r="E2784" s="18">
        <v>8058983599525</v>
      </c>
      <c r="G2784" s="20" t="str">
        <f t="shared" si="129"/>
        <v xml:space="preserve"> BRACELET        </v>
      </c>
      <c r="H2784" s="20" t="str">
        <f t="shared" si="130"/>
        <v xml:space="preserve">IRIS </v>
      </c>
      <c r="I2784" s="20" t="str">
        <f t="shared" si="131"/>
        <v xml:space="preserve">M    </v>
      </c>
    </row>
    <row r="2785" spans="1:9">
      <c r="A2785" s="17" t="s">
        <v>1422</v>
      </c>
      <c r="B2785" s="17" t="s">
        <v>1430</v>
      </c>
      <c r="C2785" s="17" t="s">
        <v>802</v>
      </c>
      <c r="D2785" s="17" t="s">
        <v>801</v>
      </c>
      <c r="E2785" s="18">
        <v>3020400230026</v>
      </c>
      <c r="G2785" s="20" t="str">
        <f t="shared" si="129"/>
        <v xml:space="preserve"> BRACELET        </v>
      </c>
      <c r="H2785" s="20" t="str">
        <f t="shared" si="130"/>
        <v xml:space="preserve">IRIS </v>
      </c>
      <c r="I2785" s="20" t="str">
        <f t="shared" si="131"/>
        <v xml:space="preserve">M    </v>
      </c>
    </row>
    <row r="2786" spans="1:9">
      <c r="A2786" s="17" t="s">
        <v>1422</v>
      </c>
      <c r="B2786" s="17" t="s">
        <v>1430</v>
      </c>
      <c r="C2786" s="17" t="s">
        <v>803</v>
      </c>
      <c r="D2786" s="17" t="s">
        <v>801</v>
      </c>
      <c r="E2786" s="18">
        <v>8058983599532</v>
      </c>
      <c r="G2786" s="20" t="str">
        <f t="shared" si="129"/>
        <v xml:space="preserve"> BRACELET        </v>
      </c>
      <c r="H2786" s="20" t="str">
        <f t="shared" si="130"/>
        <v xml:space="preserve">IRIS </v>
      </c>
      <c r="I2786" s="20" t="str">
        <f t="shared" si="131"/>
        <v xml:space="preserve">S    </v>
      </c>
    </row>
    <row r="2787" spans="1:9">
      <c r="A2787" s="17" t="s">
        <v>1422</v>
      </c>
      <c r="B2787" s="17" t="s">
        <v>1430</v>
      </c>
      <c r="C2787" s="17" t="s">
        <v>803</v>
      </c>
      <c r="D2787" s="17" t="s">
        <v>801</v>
      </c>
      <c r="E2787" s="18">
        <v>3020400230019</v>
      </c>
      <c r="G2787" s="20" t="str">
        <f t="shared" si="129"/>
        <v xml:space="preserve"> BRACELET        </v>
      </c>
      <c r="H2787" s="20" t="str">
        <f t="shared" si="130"/>
        <v xml:space="preserve">IRIS </v>
      </c>
      <c r="I2787" s="20" t="str">
        <f t="shared" si="131"/>
        <v xml:space="preserve">S    </v>
      </c>
    </row>
    <row r="2788" spans="1:9">
      <c r="A2788" s="17" t="s">
        <v>1422</v>
      </c>
      <c r="B2788" s="17" t="s">
        <v>1430</v>
      </c>
      <c r="C2788" s="17" t="s">
        <v>804</v>
      </c>
      <c r="D2788" s="17" t="s">
        <v>801</v>
      </c>
      <c r="E2788" s="18">
        <v>3020400230040</v>
      </c>
      <c r="G2788" s="20" t="str">
        <f t="shared" si="129"/>
        <v xml:space="preserve"> BRACELET        </v>
      </c>
      <c r="H2788" s="20" t="str">
        <f t="shared" si="130"/>
        <v xml:space="preserve">IRIS </v>
      </c>
      <c r="I2788" s="20" t="str">
        <f t="shared" si="131"/>
        <v xml:space="preserve">XL   </v>
      </c>
    </row>
    <row r="2789" spans="1:9">
      <c r="A2789" s="17" t="s">
        <v>1422</v>
      </c>
      <c r="B2789" s="17" t="s">
        <v>1430</v>
      </c>
      <c r="C2789" s="17" t="s">
        <v>805</v>
      </c>
      <c r="D2789" s="17" t="s">
        <v>801</v>
      </c>
      <c r="E2789" s="18">
        <v>3020400230002</v>
      </c>
      <c r="G2789" s="20" t="str">
        <f t="shared" si="129"/>
        <v xml:space="preserve"> BRACELET        </v>
      </c>
      <c r="H2789" s="20" t="str">
        <f t="shared" si="130"/>
        <v xml:space="preserve">IRIS </v>
      </c>
      <c r="I2789" s="20" t="str">
        <f t="shared" si="131"/>
        <v xml:space="preserve">XS   </v>
      </c>
    </row>
    <row r="2790" spans="1:9">
      <c r="A2790" s="17" t="s">
        <v>1422</v>
      </c>
      <c r="B2790" s="17" t="s">
        <v>1431</v>
      </c>
      <c r="C2790" s="17" t="s">
        <v>800</v>
      </c>
      <c r="D2790" s="17" t="s">
        <v>801</v>
      </c>
      <c r="E2790" s="18">
        <v>3003350034036</v>
      </c>
      <c r="G2790" s="20" t="str">
        <f t="shared" si="129"/>
        <v xml:space="preserve"> BRACELET        </v>
      </c>
      <c r="H2790" s="20" t="str">
        <f t="shared" si="130"/>
        <v>LIGHT</v>
      </c>
      <c r="I2790" s="20" t="str">
        <f t="shared" si="131"/>
        <v xml:space="preserve">L    </v>
      </c>
    </row>
    <row r="2791" spans="1:9">
      <c r="A2791" s="17" t="s">
        <v>1422</v>
      </c>
      <c r="B2791" s="17" t="s">
        <v>1431</v>
      </c>
      <c r="C2791" s="17" t="s">
        <v>802</v>
      </c>
      <c r="D2791" s="17" t="s">
        <v>801</v>
      </c>
      <c r="E2791" s="18">
        <v>8051770300939</v>
      </c>
      <c r="G2791" s="20" t="str">
        <f t="shared" si="129"/>
        <v xml:space="preserve"> BRACELET        </v>
      </c>
      <c r="H2791" s="20" t="str">
        <f t="shared" si="130"/>
        <v>LIGHT</v>
      </c>
      <c r="I2791" s="20" t="str">
        <f t="shared" si="131"/>
        <v xml:space="preserve">M    </v>
      </c>
    </row>
    <row r="2792" spans="1:9">
      <c r="A2792" s="17" t="s">
        <v>1422</v>
      </c>
      <c r="B2792" s="17" t="s">
        <v>1431</v>
      </c>
      <c r="C2792" s="17" t="s">
        <v>802</v>
      </c>
      <c r="D2792" s="17" t="s">
        <v>801</v>
      </c>
      <c r="E2792" s="18">
        <v>3003350034029</v>
      </c>
      <c r="G2792" s="20" t="str">
        <f t="shared" si="129"/>
        <v xml:space="preserve"> BRACELET        </v>
      </c>
      <c r="H2792" s="20" t="str">
        <f t="shared" si="130"/>
        <v>LIGHT</v>
      </c>
      <c r="I2792" s="20" t="str">
        <f t="shared" si="131"/>
        <v xml:space="preserve">M    </v>
      </c>
    </row>
    <row r="2793" spans="1:9">
      <c r="A2793" s="17" t="s">
        <v>1422</v>
      </c>
      <c r="B2793" s="17" t="s">
        <v>1431</v>
      </c>
      <c r="C2793" s="17" t="s">
        <v>803</v>
      </c>
      <c r="D2793" s="17" t="s">
        <v>801</v>
      </c>
      <c r="E2793" s="18">
        <v>8051770301134</v>
      </c>
      <c r="G2793" s="20" t="str">
        <f t="shared" si="129"/>
        <v xml:space="preserve"> BRACELET        </v>
      </c>
      <c r="H2793" s="20" t="str">
        <f t="shared" si="130"/>
        <v>LIGHT</v>
      </c>
      <c r="I2793" s="20" t="str">
        <f t="shared" si="131"/>
        <v xml:space="preserve">S    </v>
      </c>
    </row>
    <row r="2794" spans="1:9">
      <c r="A2794" s="17" t="s">
        <v>1422</v>
      </c>
      <c r="B2794" s="17" t="s">
        <v>1431</v>
      </c>
      <c r="C2794" s="17" t="s">
        <v>803</v>
      </c>
      <c r="D2794" s="17" t="s">
        <v>801</v>
      </c>
      <c r="E2794" s="18">
        <v>3003350034012</v>
      </c>
      <c r="G2794" s="20" t="str">
        <f t="shared" si="129"/>
        <v xml:space="preserve"> BRACELET        </v>
      </c>
      <c r="H2794" s="20" t="str">
        <f t="shared" si="130"/>
        <v>LIGHT</v>
      </c>
      <c r="I2794" s="20" t="str">
        <f t="shared" si="131"/>
        <v xml:space="preserve">S    </v>
      </c>
    </row>
    <row r="2795" spans="1:9">
      <c r="A2795" s="17" t="s">
        <v>1422</v>
      </c>
      <c r="B2795" s="17" t="s">
        <v>1431</v>
      </c>
      <c r="C2795" s="17" t="s">
        <v>804</v>
      </c>
      <c r="D2795" s="17" t="s">
        <v>801</v>
      </c>
      <c r="E2795" s="18">
        <v>3003350034043</v>
      </c>
      <c r="G2795" s="20" t="str">
        <f t="shared" si="129"/>
        <v xml:space="preserve"> BRACELET        </v>
      </c>
      <c r="H2795" s="20" t="str">
        <f t="shared" si="130"/>
        <v>LIGHT</v>
      </c>
      <c r="I2795" s="20" t="str">
        <f t="shared" si="131"/>
        <v xml:space="preserve">XL   </v>
      </c>
    </row>
    <row r="2796" spans="1:9">
      <c r="A2796" s="17" t="s">
        <v>1422</v>
      </c>
      <c r="B2796" s="17" t="s">
        <v>1431</v>
      </c>
      <c r="C2796" s="17" t="s">
        <v>805</v>
      </c>
      <c r="D2796" s="17" t="s">
        <v>801</v>
      </c>
      <c r="E2796" s="18">
        <v>8051770303558</v>
      </c>
      <c r="G2796" s="20" t="str">
        <f t="shared" si="129"/>
        <v xml:space="preserve"> BRACELET        </v>
      </c>
      <c r="H2796" s="20" t="str">
        <f t="shared" si="130"/>
        <v>LIGHT</v>
      </c>
      <c r="I2796" s="20" t="str">
        <f t="shared" si="131"/>
        <v xml:space="preserve">XS   </v>
      </c>
    </row>
    <row r="2797" spans="1:9">
      <c r="A2797" s="17" t="s">
        <v>1422</v>
      </c>
      <c r="B2797" s="17" t="s">
        <v>1431</v>
      </c>
      <c r="C2797" s="17" t="s">
        <v>805</v>
      </c>
      <c r="D2797" s="17" t="s">
        <v>801</v>
      </c>
      <c r="E2797" s="18">
        <v>3003350034005</v>
      </c>
      <c r="G2797" s="20" t="str">
        <f t="shared" si="129"/>
        <v xml:space="preserve"> BRACELET        </v>
      </c>
      <c r="H2797" s="20" t="str">
        <f t="shared" si="130"/>
        <v>LIGHT</v>
      </c>
      <c r="I2797" s="20" t="str">
        <f t="shared" si="131"/>
        <v xml:space="preserve">XS   </v>
      </c>
    </row>
    <row r="2798" spans="1:9">
      <c r="A2798" s="17" t="s">
        <v>1422</v>
      </c>
      <c r="B2798" s="17" t="s">
        <v>1432</v>
      </c>
      <c r="C2798" s="17" t="s">
        <v>800</v>
      </c>
      <c r="D2798" s="17" t="s">
        <v>801</v>
      </c>
      <c r="E2798" s="18">
        <v>3003350035033</v>
      </c>
      <c r="G2798" s="20" t="str">
        <f t="shared" si="129"/>
        <v xml:space="preserve"> BRACELET        </v>
      </c>
      <c r="H2798" s="20" t="str">
        <f t="shared" si="130"/>
        <v>LILAC</v>
      </c>
      <c r="I2798" s="20" t="str">
        <f t="shared" si="131"/>
        <v xml:space="preserve">L    </v>
      </c>
    </row>
    <row r="2799" spans="1:9">
      <c r="A2799" s="17" t="s">
        <v>1422</v>
      </c>
      <c r="B2799" s="17" t="s">
        <v>1432</v>
      </c>
      <c r="C2799" s="17" t="s">
        <v>802</v>
      </c>
      <c r="D2799" s="17" t="s">
        <v>801</v>
      </c>
      <c r="E2799" s="18">
        <v>3003350035026</v>
      </c>
      <c r="G2799" s="20" t="str">
        <f t="shared" si="129"/>
        <v xml:space="preserve"> BRACELET        </v>
      </c>
      <c r="H2799" s="20" t="str">
        <f t="shared" si="130"/>
        <v>LILAC</v>
      </c>
      <c r="I2799" s="20" t="str">
        <f t="shared" si="131"/>
        <v xml:space="preserve">M    </v>
      </c>
    </row>
    <row r="2800" spans="1:9">
      <c r="A2800" s="17" t="s">
        <v>1422</v>
      </c>
      <c r="B2800" s="17" t="s">
        <v>1432</v>
      </c>
      <c r="C2800" s="17" t="s">
        <v>803</v>
      </c>
      <c r="D2800" s="17" t="s">
        <v>801</v>
      </c>
      <c r="E2800" s="18">
        <v>3003350035019</v>
      </c>
      <c r="G2800" s="20" t="str">
        <f t="shared" si="129"/>
        <v xml:space="preserve"> BRACELET        </v>
      </c>
      <c r="H2800" s="20" t="str">
        <f t="shared" si="130"/>
        <v>LILAC</v>
      </c>
      <c r="I2800" s="20" t="str">
        <f t="shared" si="131"/>
        <v xml:space="preserve">S    </v>
      </c>
    </row>
    <row r="2801" spans="1:9">
      <c r="A2801" s="17" t="s">
        <v>1422</v>
      </c>
      <c r="B2801" s="17" t="s">
        <v>1432</v>
      </c>
      <c r="C2801" s="17" t="s">
        <v>804</v>
      </c>
      <c r="D2801" s="17" t="s">
        <v>801</v>
      </c>
      <c r="E2801" s="18">
        <v>3003350035040</v>
      </c>
      <c r="G2801" s="20" t="str">
        <f t="shared" si="129"/>
        <v xml:space="preserve"> BRACELET        </v>
      </c>
      <c r="H2801" s="20" t="str">
        <f t="shared" si="130"/>
        <v>LILAC</v>
      </c>
      <c r="I2801" s="20" t="str">
        <f t="shared" si="131"/>
        <v xml:space="preserve">XL   </v>
      </c>
    </row>
    <row r="2802" spans="1:9">
      <c r="A2802" s="17" t="s">
        <v>1422</v>
      </c>
      <c r="B2802" s="17" t="s">
        <v>1432</v>
      </c>
      <c r="C2802" s="17" t="s">
        <v>805</v>
      </c>
      <c r="D2802" s="17" t="s">
        <v>801</v>
      </c>
      <c r="E2802" s="18">
        <v>3003350035002</v>
      </c>
      <c r="G2802" s="20" t="str">
        <f t="shared" si="129"/>
        <v xml:space="preserve"> BRACELET        </v>
      </c>
      <c r="H2802" s="20" t="str">
        <f t="shared" si="130"/>
        <v>LILAC</v>
      </c>
      <c r="I2802" s="20" t="str">
        <f t="shared" si="131"/>
        <v xml:space="preserve">XS   </v>
      </c>
    </row>
    <row r="2803" spans="1:9">
      <c r="A2803" s="17" t="s">
        <v>1422</v>
      </c>
      <c r="B2803" s="17" t="s">
        <v>892</v>
      </c>
      <c r="C2803" s="17" t="s">
        <v>800</v>
      </c>
      <c r="D2803" s="17" t="s">
        <v>801</v>
      </c>
      <c r="E2803" s="18">
        <v>3002390473034</v>
      </c>
      <c r="G2803" s="20" t="str">
        <f t="shared" si="129"/>
        <v xml:space="preserve"> BRACELET        </v>
      </c>
      <c r="H2803" s="20" t="str">
        <f t="shared" si="130"/>
        <v xml:space="preserve">LIME </v>
      </c>
      <c r="I2803" s="20" t="str">
        <f t="shared" si="131"/>
        <v xml:space="preserve">L    </v>
      </c>
    </row>
    <row r="2804" spans="1:9">
      <c r="A2804" s="17" t="s">
        <v>1422</v>
      </c>
      <c r="B2804" s="17" t="s">
        <v>892</v>
      </c>
      <c r="C2804" s="17" t="s">
        <v>800</v>
      </c>
      <c r="D2804" s="17" t="s">
        <v>801</v>
      </c>
      <c r="E2804" s="18">
        <v>8058333586724</v>
      </c>
      <c r="G2804" s="20" t="str">
        <f t="shared" si="129"/>
        <v xml:space="preserve"> BRACELET        </v>
      </c>
      <c r="H2804" s="20" t="str">
        <f t="shared" si="130"/>
        <v xml:space="preserve">LIME </v>
      </c>
      <c r="I2804" s="20" t="str">
        <f t="shared" si="131"/>
        <v xml:space="preserve">L    </v>
      </c>
    </row>
    <row r="2805" spans="1:9">
      <c r="A2805" s="17" t="s">
        <v>1422</v>
      </c>
      <c r="B2805" s="17" t="s">
        <v>892</v>
      </c>
      <c r="C2805" s="17" t="s">
        <v>802</v>
      </c>
      <c r="D2805" s="17" t="s">
        <v>801</v>
      </c>
      <c r="E2805" s="18">
        <v>3002390473027</v>
      </c>
      <c r="G2805" s="20" t="str">
        <f t="shared" si="129"/>
        <v xml:space="preserve"> BRACELET        </v>
      </c>
      <c r="H2805" s="20" t="str">
        <f t="shared" si="130"/>
        <v xml:space="preserve">LIME </v>
      </c>
      <c r="I2805" s="20" t="str">
        <f t="shared" si="131"/>
        <v xml:space="preserve">M    </v>
      </c>
    </row>
    <row r="2806" spans="1:9">
      <c r="A2806" s="17" t="s">
        <v>1422</v>
      </c>
      <c r="B2806" s="17" t="s">
        <v>892</v>
      </c>
      <c r="C2806" s="17" t="s">
        <v>802</v>
      </c>
      <c r="D2806" s="17" t="s">
        <v>801</v>
      </c>
      <c r="E2806" s="18">
        <v>8058333586731</v>
      </c>
      <c r="G2806" s="20" t="str">
        <f t="shared" si="129"/>
        <v xml:space="preserve"> BRACELET        </v>
      </c>
      <c r="H2806" s="20" t="str">
        <f t="shared" si="130"/>
        <v xml:space="preserve">LIME </v>
      </c>
      <c r="I2806" s="20" t="str">
        <f t="shared" si="131"/>
        <v xml:space="preserve">M    </v>
      </c>
    </row>
    <row r="2807" spans="1:9">
      <c r="A2807" s="17" t="s">
        <v>1422</v>
      </c>
      <c r="B2807" s="17" t="s">
        <v>892</v>
      </c>
      <c r="C2807" s="17" t="s">
        <v>803</v>
      </c>
      <c r="D2807" s="17" t="s">
        <v>801</v>
      </c>
      <c r="E2807" s="18">
        <v>3002390473010</v>
      </c>
      <c r="G2807" s="20" t="str">
        <f t="shared" si="129"/>
        <v xml:space="preserve"> BRACELET        </v>
      </c>
      <c r="H2807" s="20" t="str">
        <f t="shared" si="130"/>
        <v xml:space="preserve">LIME </v>
      </c>
      <c r="I2807" s="20" t="str">
        <f t="shared" si="131"/>
        <v xml:space="preserve">S    </v>
      </c>
    </row>
    <row r="2808" spans="1:9">
      <c r="A2808" s="17" t="s">
        <v>1422</v>
      </c>
      <c r="B2808" s="17" t="s">
        <v>892</v>
      </c>
      <c r="C2808" s="17" t="s">
        <v>803</v>
      </c>
      <c r="D2808" s="17" t="s">
        <v>801</v>
      </c>
      <c r="E2808" s="18">
        <v>8058333586748</v>
      </c>
      <c r="G2808" s="20" t="str">
        <f t="shared" si="129"/>
        <v xml:space="preserve"> BRACELET        </v>
      </c>
      <c r="H2808" s="20" t="str">
        <f t="shared" si="130"/>
        <v xml:space="preserve">LIME </v>
      </c>
      <c r="I2808" s="20" t="str">
        <f t="shared" si="131"/>
        <v xml:space="preserve">S    </v>
      </c>
    </row>
    <row r="2809" spans="1:9">
      <c r="A2809" s="17" t="s">
        <v>1422</v>
      </c>
      <c r="B2809" s="17" t="s">
        <v>892</v>
      </c>
      <c r="C2809" s="17" t="s">
        <v>804</v>
      </c>
      <c r="D2809" s="17" t="s">
        <v>801</v>
      </c>
      <c r="E2809" s="18">
        <v>3002390473041</v>
      </c>
      <c r="G2809" s="20" t="str">
        <f t="shared" si="129"/>
        <v xml:space="preserve"> BRACELET        </v>
      </c>
      <c r="H2809" s="20" t="str">
        <f t="shared" si="130"/>
        <v xml:space="preserve">LIME </v>
      </c>
      <c r="I2809" s="20" t="str">
        <f t="shared" si="131"/>
        <v xml:space="preserve">XL   </v>
      </c>
    </row>
    <row r="2810" spans="1:9">
      <c r="A2810" s="17" t="s">
        <v>1422</v>
      </c>
      <c r="B2810" s="17" t="s">
        <v>892</v>
      </c>
      <c r="C2810" s="17" t="s">
        <v>805</v>
      </c>
      <c r="D2810" s="17" t="s">
        <v>801</v>
      </c>
      <c r="E2810" s="18">
        <v>3002390473003</v>
      </c>
      <c r="G2810" s="20" t="str">
        <f t="shared" si="129"/>
        <v xml:space="preserve"> BRACELET        </v>
      </c>
      <c r="H2810" s="20" t="str">
        <f t="shared" si="130"/>
        <v xml:space="preserve">LIME </v>
      </c>
      <c r="I2810" s="20" t="str">
        <f t="shared" si="131"/>
        <v xml:space="preserve">XS   </v>
      </c>
    </row>
    <row r="2811" spans="1:9">
      <c r="A2811" s="17" t="s">
        <v>1422</v>
      </c>
      <c r="B2811" s="17" t="s">
        <v>893</v>
      </c>
      <c r="C2811" s="17" t="s">
        <v>800</v>
      </c>
      <c r="D2811" s="17" t="s">
        <v>801</v>
      </c>
      <c r="E2811" s="18">
        <v>3003350017039</v>
      </c>
      <c r="G2811" s="20" t="str">
        <f t="shared" si="129"/>
        <v xml:space="preserve"> BRACELET        </v>
      </c>
      <c r="H2811" s="20" t="str">
        <f t="shared" si="130"/>
        <v xml:space="preserve">MAG  </v>
      </c>
      <c r="I2811" s="20" t="str">
        <f t="shared" si="131"/>
        <v xml:space="preserve">L    </v>
      </c>
    </row>
    <row r="2812" spans="1:9">
      <c r="A2812" s="17" t="s">
        <v>1422</v>
      </c>
      <c r="B2812" s="17" t="s">
        <v>893</v>
      </c>
      <c r="C2812" s="17" t="s">
        <v>802</v>
      </c>
      <c r="D2812" s="17" t="s">
        <v>801</v>
      </c>
      <c r="E2812" s="18">
        <v>3003350017022</v>
      </c>
      <c r="G2812" s="20" t="str">
        <f t="shared" si="129"/>
        <v xml:space="preserve"> BRACELET        </v>
      </c>
      <c r="H2812" s="20" t="str">
        <f t="shared" si="130"/>
        <v xml:space="preserve">MAG  </v>
      </c>
      <c r="I2812" s="20" t="str">
        <f t="shared" si="131"/>
        <v xml:space="preserve">M    </v>
      </c>
    </row>
    <row r="2813" spans="1:9">
      <c r="A2813" s="17" t="s">
        <v>1422</v>
      </c>
      <c r="B2813" s="17" t="s">
        <v>893</v>
      </c>
      <c r="C2813" s="17" t="s">
        <v>802</v>
      </c>
      <c r="D2813" s="17" t="s">
        <v>801</v>
      </c>
      <c r="E2813" s="18">
        <v>8051770301011</v>
      </c>
      <c r="G2813" s="20" t="str">
        <f t="shared" si="129"/>
        <v xml:space="preserve"> BRACELET        </v>
      </c>
      <c r="H2813" s="20" t="str">
        <f t="shared" si="130"/>
        <v xml:space="preserve">MAG  </v>
      </c>
      <c r="I2813" s="20" t="str">
        <f t="shared" si="131"/>
        <v xml:space="preserve">M    </v>
      </c>
    </row>
    <row r="2814" spans="1:9">
      <c r="A2814" s="17" t="s">
        <v>1422</v>
      </c>
      <c r="B2814" s="17" t="s">
        <v>893</v>
      </c>
      <c r="C2814" s="17" t="s">
        <v>803</v>
      </c>
      <c r="D2814" s="17" t="s">
        <v>801</v>
      </c>
      <c r="E2814" s="18">
        <v>3003350017015</v>
      </c>
      <c r="G2814" s="20" t="str">
        <f t="shared" si="129"/>
        <v xml:space="preserve"> BRACELET        </v>
      </c>
      <c r="H2814" s="20" t="str">
        <f t="shared" si="130"/>
        <v xml:space="preserve">MAG  </v>
      </c>
      <c r="I2814" s="20" t="str">
        <f t="shared" si="131"/>
        <v xml:space="preserve">S    </v>
      </c>
    </row>
    <row r="2815" spans="1:9">
      <c r="A2815" s="17" t="s">
        <v>1422</v>
      </c>
      <c r="B2815" s="17" t="s">
        <v>893</v>
      </c>
      <c r="C2815" s="17" t="s">
        <v>803</v>
      </c>
      <c r="D2815" s="17" t="s">
        <v>801</v>
      </c>
      <c r="E2815" s="18">
        <v>8051770301219</v>
      </c>
      <c r="G2815" s="20" t="str">
        <f t="shared" si="129"/>
        <v xml:space="preserve"> BRACELET        </v>
      </c>
      <c r="H2815" s="20" t="str">
        <f t="shared" si="130"/>
        <v xml:space="preserve">MAG  </v>
      </c>
      <c r="I2815" s="20" t="str">
        <f t="shared" si="131"/>
        <v xml:space="preserve">S    </v>
      </c>
    </row>
    <row r="2816" spans="1:9">
      <c r="A2816" s="17" t="s">
        <v>1422</v>
      </c>
      <c r="B2816" s="17" t="s">
        <v>893</v>
      </c>
      <c r="C2816" s="17" t="s">
        <v>804</v>
      </c>
      <c r="D2816" s="17" t="s">
        <v>801</v>
      </c>
      <c r="E2816" s="18">
        <v>3003350017046</v>
      </c>
      <c r="G2816" s="20" t="str">
        <f t="shared" si="129"/>
        <v xml:space="preserve"> BRACELET        </v>
      </c>
      <c r="H2816" s="20" t="str">
        <f t="shared" si="130"/>
        <v xml:space="preserve">MAG  </v>
      </c>
      <c r="I2816" s="20" t="str">
        <f t="shared" si="131"/>
        <v xml:space="preserve">XL   </v>
      </c>
    </row>
    <row r="2817" spans="1:9">
      <c r="A2817" s="17" t="s">
        <v>1422</v>
      </c>
      <c r="B2817" s="17" t="s">
        <v>893</v>
      </c>
      <c r="C2817" s="17" t="s">
        <v>805</v>
      </c>
      <c r="D2817" s="17" t="s">
        <v>801</v>
      </c>
      <c r="E2817" s="18">
        <v>3003350017008</v>
      </c>
      <c r="G2817" s="20" t="str">
        <f t="shared" si="129"/>
        <v xml:space="preserve"> BRACELET        </v>
      </c>
      <c r="H2817" s="20" t="str">
        <f t="shared" si="130"/>
        <v xml:space="preserve">MAG  </v>
      </c>
      <c r="I2817" s="20" t="str">
        <f t="shared" si="131"/>
        <v xml:space="preserve">XS   </v>
      </c>
    </row>
    <row r="2818" spans="1:9">
      <c r="A2818" s="17" t="s">
        <v>1422</v>
      </c>
      <c r="B2818" s="17" t="s">
        <v>1105</v>
      </c>
      <c r="C2818" s="17" t="s">
        <v>800</v>
      </c>
      <c r="D2818" s="17" t="s">
        <v>801</v>
      </c>
      <c r="E2818" s="18">
        <v>3020400667037</v>
      </c>
      <c r="G2818" s="20" t="str">
        <f t="shared" si="129"/>
        <v xml:space="preserve"> BRACELET        </v>
      </c>
      <c r="H2818" s="20" t="str">
        <f t="shared" si="130"/>
        <v>MARSA</v>
      </c>
      <c r="I2818" s="20" t="str">
        <f t="shared" si="131"/>
        <v xml:space="preserve">L    </v>
      </c>
    </row>
    <row r="2819" spans="1:9">
      <c r="A2819" s="17" t="s">
        <v>1422</v>
      </c>
      <c r="B2819" s="17" t="s">
        <v>1105</v>
      </c>
      <c r="C2819" s="17" t="s">
        <v>802</v>
      </c>
      <c r="D2819" s="17" t="s">
        <v>801</v>
      </c>
      <c r="E2819" s="18">
        <v>3020400667020</v>
      </c>
      <c r="G2819" s="20" t="str">
        <f t="shared" si="129"/>
        <v xml:space="preserve"> BRACELET        </v>
      </c>
      <c r="H2819" s="20" t="str">
        <f t="shared" si="130"/>
        <v>MARSA</v>
      </c>
      <c r="I2819" s="20" t="str">
        <f t="shared" si="131"/>
        <v xml:space="preserve">M    </v>
      </c>
    </row>
    <row r="2820" spans="1:9">
      <c r="A2820" s="17" t="s">
        <v>1422</v>
      </c>
      <c r="B2820" s="17" t="s">
        <v>1105</v>
      </c>
      <c r="C2820" s="17" t="s">
        <v>802</v>
      </c>
      <c r="D2820" s="17" t="s">
        <v>801</v>
      </c>
      <c r="E2820" s="18">
        <v>8050450213064</v>
      </c>
      <c r="G2820" s="20" t="str">
        <f t="shared" si="129"/>
        <v xml:space="preserve"> BRACELET        </v>
      </c>
      <c r="H2820" s="20" t="str">
        <f t="shared" si="130"/>
        <v>MARSA</v>
      </c>
      <c r="I2820" s="20" t="str">
        <f t="shared" si="131"/>
        <v xml:space="preserve">M    </v>
      </c>
    </row>
    <row r="2821" spans="1:9">
      <c r="A2821" s="17" t="s">
        <v>1422</v>
      </c>
      <c r="B2821" s="17" t="s">
        <v>1105</v>
      </c>
      <c r="C2821" s="17" t="s">
        <v>803</v>
      </c>
      <c r="D2821" s="17" t="s">
        <v>801</v>
      </c>
      <c r="E2821" s="18">
        <v>3020400667013</v>
      </c>
      <c r="G2821" s="20" t="str">
        <f t="shared" ref="G2821:G2884" si="132">A2821</f>
        <v xml:space="preserve"> BRACELET        </v>
      </c>
      <c r="H2821" s="20" t="str">
        <f t="shared" ref="H2821:H2884" si="133">B2821</f>
        <v>MARSA</v>
      </c>
      <c r="I2821" s="20" t="str">
        <f t="shared" ref="I2821:I2884" si="134">C2821</f>
        <v xml:space="preserve">S    </v>
      </c>
    </row>
    <row r="2822" spans="1:9">
      <c r="A2822" s="17" t="s">
        <v>1422</v>
      </c>
      <c r="B2822" s="17" t="s">
        <v>1105</v>
      </c>
      <c r="C2822" s="17" t="s">
        <v>803</v>
      </c>
      <c r="D2822" s="17" t="s">
        <v>801</v>
      </c>
      <c r="E2822" s="18">
        <v>8050450213071</v>
      </c>
      <c r="G2822" s="20" t="str">
        <f t="shared" si="132"/>
        <v xml:space="preserve"> BRACELET        </v>
      </c>
      <c r="H2822" s="20" t="str">
        <f t="shared" si="133"/>
        <v>MARSA</v>
      </c>
      <c r="I2822" s="20" t="str">
        <f t="shared" si="134"/>
        <v xml:space="preserve">S    </v>
      </c>
    </row>
    <row r="2823" spans="1:9">
      <c r="A2823" s="17" t="s">
        <v>1422</v>
      </c>
      <c r="B2823" s="17" t="s">
        <v>1105</v>
      </c>
      <c r="C2823" s="17" t="s">
        <v>804</v>
      </c>
      <c r="D2823" s="17" t="s">
        <v>801</v>
      </c>
      <c r="E2823" s="18">
        <v>3020400667044</v>
      </c>
      <c r="G2823" s="20" t="str">
        <f t="shared" si="132"/>
        <v xml:space="preserve"> BRACELET        </v>
      </c>
      <c r="H2823" s="20" t="str">
        <f t="shared" si="133"/>
        <v>MARSA</v>
      </c>
      <c r="I2823" s="20" t="str">
        <f t="shared" si="134"/>
        <v xml:space="preserve">XL   </v>
      </c>
    </row>
    <row r="2824" spans="1:9">
      <c r="A2824" s="17" t="s">
        <v>1422</v>
      </c>
      <c r="B2824" s="17" t="s">
        <v>1105</v>
      </c>
      <c r="C2824" s="17" t="s">
        <v>805</v>
      </c>
      <c r="D2824" s="17" t="s">
        <v>801</v>
      </c>
      <c r="E2824" s="18">
        <v>3020400667006</v>
      </c>
      <c r="G2824" s="20" t="str">
        <f t="shared" si="132"/>
        <v xml:space="preserve"> BRACELET        </v>
      </c>
      <c r="H2824" s="20" t="str">
        <f t="shared" si="133"/>
        <v>MARSA</v>
      </c>
      <c r="I2824" s="20" t="str">
        <f t="shared" si="134"/>
        <v xml:space="preserve">XS   </v>
      </c>
    </row>
    <row r="2825" spans="1:9">
      <c r="A2825" s="17" t="s">
        <v>1422</v>
      </c>
      <c r="B2825" s="17" t="s">
        <v>1433</v>
      </c>
      <c r="C2825" s="17" t="s">
        <v>800</v>
      </c>
      <c r="D2825" s="17" t="s">
        <v>801</v>
      </c>
      <c r="E2825" s="18">
        <v>3003350042031</v>
      </c>
      <c r="G2825" s="20" t="str">
        <f t="shared" si="132"/>
        <v xml:space="preserve"> BRACELET        </v>
      </c>
      <c r="H2825" s="20" t="str">
        <f t="shared" si="133"/>
        <v>MONTG</v>
      </c>
      <c r="I2825" s="20" t="str">
        <f t="shared" si="134"/>
        <v xml:space="preserve">L    </v>
      </c>
    </row>
    <row r="2826" spans="1:9">
      <c r="A2826" s="17" t="s">
        <v>1422</v>
      </c>
      <c r="B2826" s="17" t="s">
        <v>1433</v>
      </c>
      <c r="C2826" s="17" t="s">
        <v>802</v>
      </c>
      <c r="D2826" s="17" t="s">
        <v>801</v>
      </c>
      <c r="E2826" s="18">
        <v>3003350042024</v>
      </c>
      <c r="G2826" s="20" t="str">
        <f t="shared" si="132"/>
        <v xml:space="preserve"> BRACELET        </v>
      </c>
      <c r="H2826" s="20" t="str">
        <f t="shared" si="133"/>
        <v>MONTG</v>
      </c>
      <c r="I2826" s="20" t="str">
        <f t="shared" si="134"/>
        <v xml:space="preserve">M    </v>
      </c>
    </row>
    <row r="2827" spans="1:9">
      <c r="A2827" s="17" t="s">
        <v>1422</v>
      </c>
      <c r="B2827" s="17" t="s">
        <v>1433</v>
      </c>
      <c r="C2827" s="17" t="s">
        <v>802</v>
      </c>
      <c r="D2827" s="17" t="s">
        <v>801</v>
      </c>
      <c r="E2827" s="18">
        <v>8051770307860</v>
      </c>
      <c r="G2827" s="20" t="str">
        <f t="shared" si="132"/>
        <v xml:space="preserve"> BRACELET        </v>
      </c>
      <c r="H2827" s="20" t="str">
        <f t="shared" si="133"/>
        <v>MONTG</v>
      </c>
      <c r="I2827" s="20" t="str">
        <f t="shared" si="134"/>
        <v xml:space="preserve">M    </v>
      </c>
    </row>
    <row r="2828" spans="1:9">
      <c r="A2828" s="17" t="s">
        <v>1422</v>
      </c>
      <c r="B2828" s="17" t="s">
        <v>1433</v>
      </c>
      <c r="C2828" s="17" t="s">
        <v>803</v>
      </c>
      <c r="D2828" s="17" t="s">
        <v>801</v>
      </c>
      <c r="E2828" s="18">
        <v>3003350042017</v>
      </c>
      <c r="G2828" s="20" t="str">
        <f t="shared" si="132"/>
        <v xml:space="preserve"> BRACELET        </v>
      </c>
      <c r="H2828" s="20" t="str">
        <f t="shared" si="133"/>
        <v>MONTG</v>
      </c>
      <c r="I2828" s="20" t="str">
        <f t="shared" si="134"/>
        <v xml:space="preserve">S    </v>
      </c>
    </row>
    <row r="2829" spans="1:9">
      <c r="A2829" s="17" t="s">
        <v>1422</v>
      </c>
      <c r="B2829" s="17" t="s">
        <v>1433</v>
      </c>
      <c r="C2829" s="17" t="s">
        <v>803</v>
      </c>
      <c r="D2829" s="17" t="s">
        <v>801</v>
      </c>
      <c r="E2829" s="18">
        <v>8051770307853</v>
      </c>
      <c r="G2829" s="20" t="str">
        <f t="shared" si="132"/>
        <v xml:space="preserve"> BRACELET        </v>
      </c>
      <c r="H2829" s="20" t="str">
        <f t="shared" si="133"/>
        <v>MONTG</v>
      </c>
      <c r="I2829" s="20" t="str">
        <f t="shared" si="134"/>
        <v xml:space="preserve">S    </v>
      </c>
    </row>
    <row r="2830" spans="1:9">
      <c r="A2830" s="17" t="s">
        <v>1422</v>
      </c>
      <c r="B2830" s="17" t="s">
        <v>1433</v>
      </c>
      <c r="C2830" s="17" t="s">
        <v>804</v>
      </c>
      <c r="D2830" s="17" t="s">
        <v>801</v>
      </c>
      <c r="E2830" s="18">
        <v>3003350042048</v>
      </c>
      <c r="G2830" s="20" t="str">
        <f t="shared" si="132"/>
        <v xml:space="preserve"> BRACELET        </v>
      </c>
      <c r="H2830" s="20" t="str">
        <f t="shared" si="133"/>
        <v>MONTG</v>
      </c>
      <c r="I2830" s="20" t="str">
        <f t="shared" si="134"/>
        <v xml:space="preserve">XL   </v>
      </c>
    </row>
    <row r="2831" spans="1:9">
      <c r="A2831" s="17" t="s">
        <v>1422</v>
      </c>
      <c r="B2831" s="17" t="s">
        <v>1433</v>
      </c>
      <c r="C2831" s="17" t="s">
        <v>805</v>
      </c>
      <c r="D2831" s="17" t="s">
        <v>801</v>
      </c>
      <c r="E2831" s="18">
        <v>3003350042000</v>
      </c>
      <c r="G2831" s="20" t="str">
        <f t="shared" si="132"/>
        <v xml:space="preserve"> BRACELET        </v>
      </c>
      <c r="H2831" s="20" t="str">
        <f t="shared" si="133"/>
        <v>MONTG</v>
      </c>
      <c r="I2831" s="20" t="str">
        <f t="shared" si="134"/>
        <v xml:space="preserve">XS   </v>
      </c>
    </row>
    <row r="2832" spans="1:9">
      <c r="A2832" s="17" t="s">
        <v>1422</v>
      </c>
      <c r="B2832" s="17" t="s">
        <v>823</v>
      </c>
      <c r="C2832" s="17" t="s">
        <v>800</v>
      </c>
      <c r="D2832" s="17" t="s">
        <v>801</v>
      </c>
      <c r="E2832" s="18">
        <v>3003350036030</v>
      </c>
      <c r="G2832" s="20" t="str">
        <f t="shared" si="132"/>
        <v xml:space="preserve"> BRACELET        </v>
      </c>
      <c r="H2832" s="20" t="str">
        <f t="shared" si="133"/>
        <v xml:space="preserve">MOSS </v>
      </c>
      <c r="I2832" s="20" t="str">
        <f t="shared" si="134"/>
        <v xml:space="preserve">L    </v>
      </c>
    </row>
    <row r="2833" spans="1:9">
      <c r="A2833" s="17" t="s">
        <v>1422</v>
      </c>
      <c r="B2833" s="17" t="s">
        <v>823</v>
      </c>
      <c r="C2833" s="17" t="s">
        <v>802</v>
      </c>
      <c r="D2833" s="17" t="s">
        <v>801</v>
      </c>
      <c r="E2833" s="18">
        <v>3003350036023</v>
      </c>
      <c r="G2833" s="20" t="str">
        <f t="shared" si="132"/>
        <v xml:space="preserve"> BRACELET        </v>
      </c>
      <c r="H2833" s="20" t="str">
        <f t="shared" si="133"/>
        <v xml:space="preserve">MOSS </v>
      </c>
      <c r="I2833" s="20" t="str">
        <f t="shared" si="134"/>
        <v xml:space="preserve">M    </v>
      </c>
    </row>
    <row r="2834" spans="1:9">
      <c r="A2834" s="17" t="s">
        <v>1422</v>
      </c>
      <c r="B2834" s="17" t="s">
        <v>823</v>
      </c>
      <c r="C2834" s="17" t="s">
        <v>803</v>
      </c>
      <c r="D2834" s="17" t="s">
        <v>801</v>
      </c>
      <c r="E2834" s="18">
        <v>3003350036016</v>
      </c>
      <c r="G2834" s="20" t="str">
        <f t="shared" si="132"/>
        <v xml:space="preserve"> BRACELET        </v>
      </c>
      <c r="H2834" s="20" t="str">
        <f t="shared" si="133"/>
        <v xml:space="preserve">MOSS </v>
      </c>
      <c r="I2834" s="20" t="str">
        <f t="shared" si="134"/>
        <v xml:space="preserve">S    </v>
      </c>
    </row>
    <row r="2835" spans="1:9">
      <c r="A2835" s="17" t="s">
        <v>1422</v>
      </c>
      <c r="B2835" s="17" t="s">
        <v>823</v>
      </c>
      <c r="C2835" s="17" t="s">
        <v>804</v>
      </c>
      <c r="D2835" s="17" t="s">
        <v>801</v>
      </c>
      <c r="E2835" s="18">
        <v>3003350036047</v>
      </c>
      <c r="G2835" s="20" t="str">
        <f t="shared" si="132"/>
        <v xml:space="preserve"> BRACELET        </v>
      </c>
      <c r="H2835" s="20" t="str">
        <f t="shared" si="133"/>
        <v xml:space="preserve">MOSS </v>
      </c>
      <c r="I2835" s="20" t="str">
        <f t="shared" si="134"/>
        <v xml:space="preserve">XL   </v>
      </c>
    </row>
    <row r="2836" spans="1:9">
      <c r="A2836" s="17" t="s">
        <v>1422</v>
      </c>
      <c r="B2836" s="17" t="s">
        <v>823</v>
      </c>
      <c r="C2836" s="17" t="s">
        <v>805</v>
      </c>
      <c r="D2836" s="17" t="s">
        <v>801</v>
      </c>
      <c r="E2836" s="18">
        <v>3003350036009</v>
      </c>
      <c r="G2836" s="20" t="str">
        <f t="shared" si="132"/>
        <v xml:space="preserve"> BRACELET        </v>
      </c>
      <c r="H2836" s="20" t="str">
        <f t="shared" si="133"/>
        <v xml:space="preserve">MOSS </v>
      </c>
      <c r="I2836" s="20" t="str">
        <f t="shared" si="134"/>
        <v xml:space="preserve">XS   </v>
      </c>
    </row>
    <row r="2837" spans="1:9">
      <c r="A2837" s="17" t="s">
        <v>1422</v>
      </c>
      <c r="B2837" s="17" t="s">
        <v>1434</v>
      </c>
      <c r="C2837" s="17" t="s">
        <v>800</v>
      </c>
      <c r="D2837" s="17" t="s">
        <v>801</v>
      </c>
      <c r="E2837" s="18">
        <v>8058983599471</v>
      </c>
      <c r="G2837" s="20" t="str">
        <f t="shared" si="132"/>
        <v xml:space="preserve"> BRACELET        </v>
      </c>
      <c r="H2837" s="20" t="str">
        <f t="shared" si="133"/>
        <v xml:space="preserve">NAR  </v>
      </c>
      <c r="I2837" s="20" t="str">
        <f t="shared" si="134"/>
        <v xml:space="preserve">L    </v>
      </c>
    </row>
    <row r="2838" spans="1:9">
      <c r="A2838" s="17" t="s">
        <v>1422</v>
      </c>
      <c r="B2838" s="17" t="s">
        <v>1434</v>
      </c>
      <c r="C2838" s="17" t="s">
        <v>800</v>
      </c>
      <c r="D2838" s="17" t="s">
        <v>801</v>
      </c>
      <c r="E2838" s="18">
        <v>3020400569034</v>
      </c>
      <c r="G2838" s="20" t="str">
        <f t="shared" si="132"/>
        <v xml:space="preserve"> BRACELET        </v>
      </c>
      <c r="H2838" s="20" t="str">
        <f t="shared" si="133"/>
        <v xml:space="preserve">NAR  </v>
      </c>
      <c r="I2838" s="20" t="str">
        <f t="shared" si="134"/>
        <v xml:space="preserve">L    </v>
      </c>
    </row>
    <row r="2839" spans="1:9">
      <c r="A2839" s="17" t="s">
        <v>1422</v>
      </c>
      <c r="B2839" s="17" t="s">
        <v>1434</v>
      </c>
      <c r="C2839" s="17" t="s">
        <v>802</v>
      </c>
      <c r="D2839" s="17" t="s">
        <v>801</v>
      </c>
      <c r="E2839" s="18">
        <v>8058983599488</v>
      </c>
      <c r="G2839" s="20" t="str">
        <f t="shared" si="132"/>
        <v xml:space="preserve"> BRACELET        </v>
      </c>
      <c r="H2839" s="20" t="str">
        <f t="shared" si="133"/>
        <v xml:space="preserve">NAR  </v>
      </c>
      <c r="I2839" s="20" t="str">
        <f t="shared" si="134"/>
        <v xml:space="preserve">M    </v>
      </c>
    </row>
    <row r="2840" spans="1:9">
      <c r="A2840" s="17" t="s">
        <v>1422</v>
      </c>
      <c r="B2840" s="17" t="s">
        <v>1434</v>
      </c>
      <c r="C2840" s="17" t="s">
        <v>802</v>
      </c>
      <c r="D2840" s="17" t="s">
        <v>801</v>
      </c>
      <c r="E2840" s="18">
        <v>3020400569027</v>
      </c>
      <c r="G2840" s="20" t="str">
        <f t="shared" si="132"/>
        <v xml:space="preserve"> BRACELET        </v>
      </c>
      <c r="H2840" s="20" t="str">
        <f t="shared" si="133"/>
        <v xml:space="preserve">NAR  </v>
      </c>
      <c r="I2840" s="20" t="str">
        <f t="shared" si="134"/>
        <v xml:space="preserve">M    </v>
      </c>
    </row>
    <row r="2841" spans="1:9">
      <c r="A2841" s="17" t="s">
        <v>1422</v>
      </c>
      <c r="B2841" s="17" t="s">
        <v>1434</v>
      </c>
      <c r="C2841" s="17" t="s">
        <v>803</v>
      </c>
      <c r="D2841" s="17" t="s">
        <v>801</v>
      </c>
      <c r="E2841" s="18">
        <v>8058983599495</v>
      </c>
      <c r="G2841" s="20" t="str">
        <f t="shared" si="132"/>
        <v xml:space="preserve"> BRACELET        </v>
      </c>
      <c r="H2841" s="20" t="str">
        <f t="shared" si="133"/>
        <v xml:space="preserve">NAR  </v>
      </c>
      <c r="I2841" s="20" t="str">
        <f t="shared" si="134"/>
        <v xml:space="preserve">S    </v>
      </c>
    </row>
    <row r="2842" spans="1:9">
      <c r="A2842" s="17" t="s">
        <v>1422</v>
      </c>
      <c r="B2842" s="17" t="s">
        <v>1434</v>
      </c>
      <c r="C2842" s="17" t="s">
        <v>803</v>
      </c>
      <c r="D2842" s="17" t="s">
        <v>801</v>
      </c>
      <c r="E2842" s="18">
        <v>3020400569010</v>
      </c>
      <c r="G2842" s="20" t="str">
        <f t="shared" si="132"/>
        <v xml:space="preserve"> BRACELET        </v>
      </c>
      <c r="H2842" s="20" t="str">
        <f t="shared" si="133"/>
        <v xml:space="preserve">NAR  </v>
      </c>
      <c r="I2842" s="20" t="str">
        <f t="shared" si="134"/>
        <v xml:space="preserve">S    </v>
      </c>
    </row>
    <row r="2843" spans="1:9">
      <c r="A2843" s="17" t="s">
        <v>1422</v>
      </c>
      <c r="B2843" s="17" t="s">
        <v>1434</v>
      </c>
      <c r="C2843" s="17" t="s">
        <v>804</v>
      </c>
      <c r="D2843" s="17" t="s">
        <v>801</v>
      </c>
      <c r="E2843" s="18">
        <v>3020400569041</v>
      </c>
      <c r="G2843" s="20" t="str">
        <f t="shared" si="132"/>
        <v xml:space="preserve"> BRACELET        </v>
      </c>
      <c r="H2843" s="20" t="str">
        <f t="shared" si="133"/>
        <v xml:space="preserve">NAR  </v>
      </c>
      <c r="I2843" s="20" t="str">
        <f t="shared" si="134"/>
        <v xml:space="preserve">XL   </v>
      </c>
    </row>
    <row r="2844" spans="1:9">
      <c r="A2844" s="17" t="s">
        <v>1422</v>
      </c>
      <c r="B2844" s="17" t="s">
        <v>1434</v>
      </c>
      <c r="C2844" s="17" t="s">
        <v>805</v>
      </c>
      <c r="D2844" s="17" t="s">
        <v>801</v>
      </c>
      <c r="E2844" s="18">
        <v>3020400569003</v>
      </c>
      <c r="G2844" s="20" t="str">
        <f t="shared" si="132"/>
        <v xml:space="preserve"> BRACELET        </v>
      </c>
      <c r="H2844" s="20" t="str">
        <f t="shared" si="133"/>
        <v xml:space="preserve">NAR  </v>
      </c>
      <c r="I2844" s="20" t="str">
        <f t="shared" si="134"/>
        <v xml:space="preserve">XS   </v>
      </c>
    </row>
    <row r="2845" spans="1:9">
      <c r="A2845" s="17" t="s">
        <v>1422</v>
      </c>
      <c r="B2845" s="17" t="s">
        <v>1233</v>
      </c>
      <c r="C2845" s="17" t="s">
        <v>800</v>
      </c>
      <c r="D2845" s="17" t="s">
        <v>801</v>
      </c>
      <c r="E2845" s="18">
        <v>3003350024037</v>
      </c>
      <c r="G2845" s="20" t="str">
        <f t="shared" si="132"/>
        <v xml:space="preserve"> BRACELET        </v>
      </c>
      <c r="H2845" s="20" t="str">
        <f t="shared" si="133"/>
        <v>OCEAN</v>
      </c>
      <c r="I2845" s="20" t="str">
        <f t="shared" si="134"/>
        <v xml:space="preserve">L    </v>
      </c>
    </row>
    <row r="2846" spans="1:9">
      <c r="A2846" s="17" t="s">
        <v>1422</v>
      </c>
      <c r="B2846" s="17" t="s">
        <v>1233</v>
      </c>
      <c r="C2846" s="17" t="s">
        <v>802</v>
      </c>
      <c r="D2846" s="17" t="s">
        <v>801</v>
      </c>
      <c r="E2846" s="18">
        <v>3003350024020</v>
      </c>
      <c r="G2846" s="20" t="str">
        <f t="shared" si="132"/>
        <v xml:space="preserve"> BRACELET        </v>
      </c>
      <c r="H2846" s="20" t="str">
        <f t="shared" si="133"/>
        <v>OCEAN</v>
      </c>
      <c r="I2846" s="20" t="str">
        <f t="shared" si="134"/>
        <v xml:space="preserve">M    </v>
      </c>
    </row>
    <row r="2847" spans="1:9">
      <c r="A2847" s="17" t="s">
        <v>1422</v>
      </c>
      <c r="B2847" s="17" t="s">
        <v>1233</v>
      </c>
      <c r="C2847" s="17" t="s">
        <v>802</v>
      </c>
      <c r="D2847" s="17" t="s">
        <v>801</v>
      </c>
      <c r="E2847" s="18">
        <v>8051770300885</v>
      </c>
      <c r="G2847" s="20" t="str">
        <f t="shared" si="132"/>
        <v xml:space="preserve"> BRACELET        </v>
      </c>
      <c r="H2847" s="20" t="str">
        <f t="shared" si="133"/>
        <v>OCEAN</v>
      </c>
      <c r="I2847" s="20" t="str">
        <f t="shared" si="134"/>
        <v xml:space="preserve">M    </v>
      </c>
    </row>
    <row r="2848" spans="1:9">
      <c r="A2848" s="17" t="s">
        <v>1422</v>
      </c>
      <c r="B2848" s="17" t="s">
        <v>1233</v>
      </c>
      <c r="C2848" s="17" t="s">
        <v>803</v>
      </c>
      <c r="D2848" s="17" t="s">
        <v>801</v>
      </c>
      <c r="E2848" s="18">
        <v>3003350024013</v>
      </c>
      <c r="G2848" s="20" t="str">
        <f t="shared" si="132"/>
        <v xml:space="preserve"> BRACELET        </v>
      </c>
      <c r="H2848" s="20" t="str">
        <f t="shared" si="133"/>
        <v>OCEAN</v>
      </c>
      <c r="I2848" s="20" t="str">
        <f t="shared" si="134"/>
        <v xml:space="preserve">S    </v>
      </c>
    </row>
    <row r="2849" spans="1:9">
      <c r="A2849" s="17" t="s">
        <v>1422</v>
      </c>
      <c r="B2849" s="17" t="s">
        <v>1233</v>
      </c>
      <c r="C2849" s="17" t="s">
        <v>803</v>
      </c>
      <c r="D2849" s="17" t="s">
        <v>801</v>
      </c>
      <c r="E2849" s="18">
        <v>8051770301080</v>
      </c>
      <c r="G2849" s="20" t="str">
        <f t="shared" si="132"/>
        <v xml:space="preserve"> BRACELET        </v>
      </c>
      <c r="H2849" s="20" t="str">
        <f t="shared" si="133"/>
        <v>OCEAN</v>
      </c>
      <c r="I2849" s="20" t="str">
        <f t="shared" si="134"/>
        <v xml:space="preserve">S    </v>
      </c>
    </row>
    <row r="2850" spans="1:9">
      <c r="A2850" s="17" t="s">
        <v>1422</v>
      </c>
      <c r="B2850" s="17" t="s">
        <v>1233</v>
      </c>
      <c r="C2850" s="17" t="s">
        <v>804</v>
      </c>
      <c r="D2850" s="17" t="s">
        <v>801</v>
      </c>
      <c r="E2850" s="18">
        <v>3003350024044</v>
      </c>
      <c r="G2850" s="20" t="str">
        <f t="shared" si="132"/>
        <v xml:space="preserve"> BRACELET        </v>
      </c>
      <c r="H2850" s="20" t="str">
        <f t="shared" si="133"/>
        <v>OCEAN</v>
      </c>
      <c r="I2850" s="20" t="str">
        <f t="shared" si="134"/>
        <v xml:space="preserve">XL   </v>
      </c>
    </row>
    <row r="2851" spans="1:9">
      <c r="A2851" s="17" t="s">
        <v>1422</v>
      </c>
      <c r="B2851" s="17" t="s">
        <v>1233</v>
      </c>
      <c r="C2851" s="17" t="s">
        <v>805</v>
      </c>
      <c r="D2851" s="17" t="s">
        <v>801</v>
      </c>
      <c r="E2851" s="18">
        <v>3003350024006</v>
      </c>
      <c r="G2851" s="20" t="str">
        <f t="shared" si="132"/>
        <v xml:space="preserve"> BRACELET        </v>
      </c>
      <c r="H2851" s="20" t="str">
        <f t="shared" si="133"/>
        <v>OCEAN</v>
      </c>
      <c r="I2851" s="20" t="str">
        <f t="shared" si="134"/>
        <v xml:space="preserve">XS   </v>
      </c>
    </row>
    <row r="2852" spans="1:9">
      <c r="A2852" s="17" t="s">
        <v>1422</v>
      </c>
      <c r="B2852" s="17" t="s">
        <v>1234</v>
      </c>
      <c r="C2852" s="17" t="s">
        <v>800</v>
      </c>
      <c r="D2852" s="17" t="s">
        <v>801</v>
      </c>
      <c r="E2852" s="18">
        <v>3003350021036</v>
      </c>
      <c r="G2852" s="20" t="str">
        <f t="shared" si="132"/>
        <v xml:space="preserve"> BRACELET        </v>
      </c>
      <c r="H2852" s="20" t="str">
        <f t="shared" si="133"/>
        <v>OLIVE</v>
      </c>
      <c r="I2852" s="20" t="str">
        <f t="shared" si="134"/>
        <v xml:space="preserve">L    </v>
      </c>
    </row>
    <row r="2853" spans="1:9">
      <c r="A2853" s="17" t="s">
        <v>1422</v>
      </c>
      <c r="B2853" s="17" t="s">
        <v>1234</v>
      </c>
      <c r="C2853" s="17" t="s">
        <v>800</v>
      </c>
      <c r="D2853" s="17" t="s">
        <v>801</v>
      </c>
      <c r="E2853" s="18">
        <v>8051770301493</v>
      </c>
      <c r="G2853" s="20" t="str">
        <f t="shared" si="132"/>
        <v xml:space="preserve"> BRACELET        </v>
      </c>
      <c r="H2853" s="20" t="str">
        <f t="shared" si="133"/>
        <v>OLIVE</v>
      </c>
      <c r="I2853" s="20" t="str">
        <f t="shared" si="134"/>
        <v xml:space="preserve">L    </v>
      </c>
    </row>
    <row r="2854" spans="1:9">
      <c r="A2854" s="17" t="s">
        <v>1422</v>
      </c>
      <c r="B2854" s="17" t="s">
        <v>1234</v>
      </c>
      <c r="C2854" s="17" t="s">
        <v>802</v>
      </c>
      <c r="D2854" s="17" t="s">
        <v>801</v>
      </c>
      <c r="E2854" s="18">
        <v>3003350021029</v>
      </c>
      <c r="G2854" s="20" t="str">
        <f t="shared" si="132"/>
        <v xml:space="preserve"> BRACELET        </v>
      </c>
      <c r="H2854" s="20" t="str">
        <f t="shared" si="133"/>
        <v>OLIVE</v>
      </c>
      <c r="I2854" s="20" t="str">
        <f t="shared" si="134"/>
        <v xml:space="preserve">M    </v>
      </c>
    </row>
    <row r="2855" spans="1:9">
      <c r="A2855" s="17" t="s">
        <v>1422</v>
      </c>
      <c r="B2855" s="17" t="s">
        <v>1234</v>
      </c>
      <c r="C2855" s="17" t="s">
        <v>802</v>
      </c>
      <c r="D2855" s="17" t="s">
        <v>801</v>
      </c>
      <c r="E2855" s="18">
        <v>8051770301509</v>
      </c>
      <c r="G2855" s="20" t="str">
        <f t="shared" si="132"/>
        <v xml:space="preserve"> BRACELET        </v>
      </c>
      <c r="H2855" s="20" t="str">
        <f t="shared" si="133"/>
        <v>OLIVE</v>
      </c>
      <c r="I2855" s="20" t="str">
        <f t="shared" si="134"/>
        <v xml:space="preserve">M    </v>
      </c>
    </row>
    <row r="2856" spans="1:9">
      <c r="A2856" s="17" t="s">
        <v>1422</v>
      </c>
      <c r="B2856" s="17" t="s">
        <v>1234</v>
      </c>
      <c r="C2856" s="17" t="s">
        <v>803</v>
      </c>
      <c r="D2856" s="17" t="s">
        <v>801</v>
      </c>
      <c r="E2856" s="18">
        <v>3003350021012</v>
      </c>
      <c r="G2856" s="20" t="str">
        <f t="shared" si="132"/>
        <v xml:space="preserve"> BRACELET        </v>
      </c>
      <c r="H2856" s="20" t="str">
        <f t="shared" si="133"/>
        <v>OLIVE</v>
      </c>
      <c r="I2856" s="20" t="str">
        <f t="shared" si="134"/>
        <v xml:space="preserve">S    </v>
      </c>
    </row>
    <row r="2857" spans="1:9">
      <c r="A2857" s="17" t="s">
        <v>1422</v>
      </c>
      <c r="B2857" s="17" t="s">
        <v>1234</v>
      </c>
      <c r="C2857" s="17" t="s">
        <v>803</v>
      </c>
      <c r="D2857" s="17" t="s">
        <v>801</v>
      </c>
      <c r="E2857" s="18">
        <v>8051770301516</v>
      </c>
      <c r="G2857" s="20" t="str">
        <f t="shared" si="132"/>
        <v xml:space="preserve"> BRACELET        </v>
      </c>
      <c r="H2857" s="20" t="str">
        <f t="shared" si="133"/>
        <v>OLIVE</v>
      </c>
      <c r="I2857" s="20" t="str">
        <f t="shared" si="134"/>
        <v xml:space="preserve">S    </v>
      </c>
    </row>
    <row r="2858" spans="1:9">
      <c r="A2858" s="17" t="s">
        <v>1422</v>
      </c>
      <c r="B2858" s="17" t="s">
        <v>1234</v>
      </c>
      <c r="C2858" s="17" t="s">
        <v>804</v>
      </c>
      <c r="D2858" s="17" t="s">
        <v>801</v>
      </c>
      <c r="E2858" s="18">
        <v>3003350021043</v>
      </c>
      <c r="G2858" s="20" t="str">
        <f t="shared" si="132"/>
        <v xml:space="preserve"> BRACELET        </v>
      </c>
      <c r="H2858" s="20" t="str">
        <f t="shared" si="133"/>
        <v>OLIVE</v>
      </c>
      <c r="I2858" s="20" t="str">
        <f t="shared" si="134"/>
        <v xml:space="preserve">XL   </v>
      </c>
    </row>
    <row r="2859" spans="1:9">
      <c r="A2859" s="17" t="s">
        <v>1422</v>
      </c>
      <c r="B2859" s="17" t="s">
        <v>1234</v>
      </c>
      <c r="C2859" s="17" t="s">
        <v>805</v>
      </c>
      <c r="D2859" s="17" t="s">
        <v>801</v>
      </c>
      <c r="E2859" s="18">
        <v>3003350021005</v>
      </c>
      <c r="G2859" s="20" t="str">
        <f t="shared" si="132"/>
        <v xml:space="preserve"> BRACELET        </v>
      </c>
      <c r="H2859" s="20" t="str">
        <f t="shared" si="133"/>
        <v>OLIVE</v>
      </c>
      <c r="I2859" s="20" t="str">
        <f t="shared" si="134"/>
        <v xml:space="preserve">XS   </v>
      </c>
    </row>
    <row r="2860" spans="1:9">
      <c r="A2860" s="17" t="s">
        <v>1422</v>
      </c>
      <c r="B2860" s="17" t="s">
        <v>964</v>
      </c>
      <c r="C2860" s="17" t="s">
        <v>800</v>
      </c>
      <c r="D2860" s="17" t="s">
        <v>801</v>
      </c>
      <c r="E2860" s="18">
        <v>3003350009034</v>
      </c>
      <c r="G2860" s="20" t="str">
        <f t="shared" si="132"/>
        <v xml:space="preserve"> BRACELET        </v>
      </c>
      <c r="H2860" s="20" t="str">
        <f t="shared" si="133"/>
        <v>ORANG</v>
      </c>
      <c r="I2860" s="20" t="str">
        <f t="shared" si="134"/>
        <v xml:space="preserve">L    </v>
      </c>
    </row>
    <row r="2861" spans="1:9">
      <c r="A2861" s="17" t="s">
        <v>1422</v>
      </c>
      <c r="B2861" s="17" t="s">
        <v>964</v>
      </c>
      <c r="C2861" s="17" t="s">
        <v>802</v>
      </c>
      <c r="D2861" s="17" t="s">
        <v>801</v>
      </c>
      <c r="E2861" s="18">
        <v>3003350009027</v>
      </c>
      <c r="G2861" s="20" t="str">
        <f t="shared" si="132"/>
        <v xml:space="preserve"> BRACELET        </v>
      </c>
      <c r="H2861" s="20" t="str">
        <f t="shared" si="133"/>
        <v>ORANG</v>
      </c>
      <c r="I2861" s="20" t="str">
        <f t="shared" si="134"/>
        <v xml:space="preserve">M    </v>
      </c>
    </row>
    <row r="2862" spans="1:9">
      <c r="A2862" s="17" t="s">
        <v>1422</v>
      </c>
      <c r="B2862" s="17" t="s">
        <v>964</v>
      </c>
      <c r="C2862" s="17" t="s">
        <v>803</v>
      </c>
      <c r="D2862" s="17" t="s">
        <v>801</v>
      </c>
      <c r="E2862" s="18">
        <v>3003350009010</v>
      </c>
      <c r="G2862" s="20" t="str">
        <f t="shared" si="132"/>
        <v xml:space="preserve"> BRACELET        </v>
      </c>
      <c r="H2862" s="20" t="str">
        <f t="shared" si="133"/>
        <v>ORANG</v>
      </c>
      <c r="I2862" s="20" t="str">
        <f t="shared" si="134"/>
        <v xml:space="preserve">S    </v>
      </c>
    </row>
    <row r="2863" spans="1:9">
      <c r="A2863" s="17" t="s">
        <v>1422</v>
      </c>
      <c r="B2863" s="17" t="s">
        <v>964</v>
      </c>
      <c r="C2863" s="17" t="s">
        <v>804</v>
      </c>
      <c r="D2863" s="17" t="s">
        <v>801</v>
      </c>
      <c r="E2863" s="18">
        <v>3003350009041</v>
      </c>
      <c r="G2863" s="20" t="str">
        <f t="shared" si="132"/>
        <v xml:space="preserve"> BRACELET        </v>
      </c>
      <c r="H2863" s="20" t="str">
        <f t="shared" si="133"/>
        <v>ORANG</v>
      </c>
      <c r="I2863" s="20" t="str">
        <f t="shared" si="134"/>
        <v xml:space="preserve">XL   </v>
      </c>
    </row>
    <row r="2864" spans="1:9">
      <c r="A2864" s="17" t="s">
        <v>1422</v>
      </c>
      <c r="B2864" s="17" t="s">
        <v>964</v>
      </c>
      <c r="C2864" s="17" t="s">
        <v>805</v>
      </c>
      <c r="D2864" s="17" t="s">
        <v>801</v>
      </c>
      <c r="E2864" s="18">
        <v>3003350009003</v>
      </c>
      <c r="G2864" s="20" t="str">
        <f t="shared" si="132"/>
        <v xml:space="preserve"> BRACELET        </v>
      </c>
      <c r="H2864" s="20" t="str">
        <f t="shared" si="133"/>
        <v>ORANG</v>
      </c>
      <c r="I2864" s="20" t="str">
        <f t="shared" si="134"/>
        <v xml:space="preserve">XS   </v>
      </c>
    </row>
    <row r="2865" spans="1:9">
      <c r="A2865" s="17" t="s">
        <v>1422</v>
      </c>
      <c r="B2865" s="17" t="s">
        <v>971</v>
      </c>
      <c r="C2865" s="17" t="s">
        <v>800</v>
      </c>
      <c r="D2865" s="17" t="s">
        <v>801</v>
      </c>
      <c r="E2865" s="18">
        <v>3002390689039</v>
      </c>
      <c r="G2865" s="20" t="str">
        <f t="shared" si="132"/>
        <v xml:space="preserve"> BRACELET        </v>
      </c>
      <c r="H2865" s="20" t="str">
        <f t="shared" si="133"/>
        <v>OTTAN</v>
      </c>
      <c r="I2865" s="20" t="str">
        <f t="shared" si="134"/>
        <v xml:space="preserve">L    </v>
      </c>
    </row>
    <row r="2866" spans="1:9">
      <c r="A2866" s="17" t="s">
        <v>1422</v>
      </c>
      <c r="B2866" s="17" t="s">
        <v>971</v>
      </c>
      <c r="C2866" s="17" t="s">
        <v>802</v>
      </c>
      <c r="D2866" s="17" t="s">
        <v>801</v>
      </c>
      <c r="E2866" s="18">
        <v>3002390689022</v>
      </c>
      <c r="G2866" s="20" t="str">
        <f t="shared" si="132"/>
        <v xml:space="preserve"> BRACELET        </v>
      </c>
      <c r="H2866" s="20" t="str">
        <f t="shared" si="133"/>
        <v>OTTAN</v>
      </c>
      <c r="I2866" s="20" t="str">
        <f t="shared" si="134"/>
        <v xml:space="preserve">M    </v>
      </c>
    </row>
    <row r="2867" spans="1:9">
      <c r="A2867" s="17" t="s">
        <v>1422</v>
      </c>
      <c r="B2867" s="17" t="s">
        <v>971</v>
      </c>
      <c r="C2867" s="17" t="s">
        <v>803</v>
      </c>
      <c r="D2867" s="17" t="s">
        <v>801</v>
      </c>
      <c r="E2867" s="18">
        <v>3002390689015</v>
      </c>
      <c r="G2867" s="20" t="str">
        <f t="shared" si="132"/>
        <v xml:space="preserve"> BRACELET        </v>
      </c>
      <c r="H2867" s="20" t="str">
        <f t="shared" si="133"/>
        <v>OTTAN</v>
      </c>
      <c r="I2867" s="20" t="str">
        <f t="shared" si="134"/>
        <v xml:space="preserve">S    </v>
      </c>
    </row>
    <row r="2868" spans="1:9">
      <c r="A2868" s="17" t="s">
        <v>1422</v>
      </c>
      <c r="B2868" s="17" t="s">
        <v>971</v>
      </c>
      <c r="C2868" s="17" t="s">
        <v>804</v>
      </c>
      <c r="D2868" s="17" t="s">
        <v>801</v>
      </c>
      <c r="E2868" s="18">
        <v>3002390689046</v>
      </c>
      <c r="G2868" s="20" t="str">
        <f t="shared" si="132"/>
        <v xml:space="preserve"> BRACELET        </v>
      </c>
      <c r="H2868" s="20" t="str">
        <f t="shared" si="133"/>
        <v>OTTAN</v>
      </c>
      <c r="I2868" s="20" t="str">
        <f t="shared" si="134"/>
        <v xml:space="preserve">XL   </v>
      </c>
    </row>
    <row r="2869" spans="1:9">
      <c r="A2869" s="17" t="s">
        <v>1422</v>
      </c>
      <c r="B2869" s="17" t="s">
        <v>971</v>
      </c>
      <c r="C2869" s="17" t="s">
        <v>805</v>
      </c>
      <c r="D2869" s="17" t="s">
        <v>801</v>
      </c>
      <c r="E2869" s="18">
        <v>3002390689008</v>
      </c>
      <c r="G2869" s="20" t="str">
        <f t="shared" si="132"/>
        <v xml:space="preserve"> BRACELET        </v>
      </c>
      <c r="H2869" s="20" t="str">
        <f t="shared" si="133"/>
        <v>OTTAN</v>
      </c>
      <c r="I2869" s="20" t="str">
        <f t="shared" si="134"/>
        <v xml:space="preserve">XS   </v>
      </c>
    </row>
    <row r="2870" spans="1:9">
      <c r="A2870" s="17" t="s">
        <v>1422</v>
      </c>
      <c r="B2870" s="17" t="s">
        <v>1435</v>
      </c>
      <c r="C2870" s="17" t="s">
        <v>800</v>
      </c>
      <c r="D2870" s="17" t="s">
        <v>801</v>
      </c>
      <c r="E2870" s="18">
        <v>3020400191037</v>
      </c>
      <c r="G2870" s="20" t="str">
        <f t="shared" si="132"/>
        <v xml:space="preserve"> BRACELET        </v>
      </c>
      <c r="H2870" s="20" t="str">
        <f t="shared" si="133"/>
        <v xml:space="preserve">PAST </v>
      </c>
      <c r="I2870" s="20" t="str">
        <f t="shared" si="134"/>
        <v xml:space="preserve">L    </v>
      </c>
    </row>
    <row r="2871" spans="1:9">
      <c r="A2871" s="17" t="s">
        <v>1422</v>
      </c>
      <c r="B2871" s="17" t="s">
        <v>1435</v>
      </c>
      <c r="C2871" s="17" t="s">
        <v>800</v>
      </c>
      <c r="D2871" s="17" t="s">
        <v>801</v>
      </c>
      <c r="E2871" s="18">
        <v>3020400182035</v>
      </c>
      <c r="G2871" s="20" t="str">
        <f t="shared" si="132"/>
        <v xml:space="preserve"> BRACELET        </v>
      </c>
      <c r="H2871" s="20" t="str">
        <f t="shared" si="133"/>
        <v xml:space="preserve">PAST </v>
      </c>
      <c r="I2871" s="20" t="str">
        <f t="shared" si="134"/>
        <v xml:space="preserve">L    </v>
      </c>
    </row>
    <row r="2872" spans="1:9">
      <c r="A2872" s="17" t="s">
        <v>1422</v>
      </c>
      <c r="B2872" s="17" t="s">
        <v>1435</v>
      </c>
      <c r="C2872" s="17" t="s">
        <v>802</v>
      </c>
      <c r="D2872" s="17" t="s">
        <v>801</v>
      </c>
      <c r="E2872" s="18">
        <v>3020400191020</v>
      </c>
      <c r="G2872" s="20" t="str">
        <f t="shared" si="132"/>
        <v xml:space="preserve"> BRACELET        </v>
      </c>
      <c r="H2872" s="20" t="str">
        <f t="shared" si="133"/>
        <v xml:space="preserve">PAST </v>
      </c>
      <c r="I2872" s="20" t="str">
        <f t="shared" si="134"/>
        <v xml:space="preserve">M    </v>
      </c>
    </row>
    <row r="2873" spans="1:9">
      <c r="A2873" s="17" t="s">
        <v>1422</v>
      </c>
      <c r="B2873" s="17" t="s">
        <v>1435</v>
      </c>
      <c r="C2873" s="17" t="s">
        <v>802</v>
      </c>
      <c r="D2873" s="17" t="s">
        <v>801</v>
      </c>
      <c r="E2873" s="18">
        <v>3020400182028</v>
      </c>
      <c r="G2873" s="20" t="str">
        <f t="shared" si="132"/>
        <v xml:space="preserve"> BRACELET        </v>
      </c>
      <c r="H2873" s="20" t="str">
        <f t="shared" si="133"/>
        <v xml:space="preserve">PAST </v>
      </c>
      <c r="I2873" s="20" t="str">
        <f t="shared" si="134"/>
        <v xml:space="preserve">M    </v>
      </c>
    </row>
    <row r="2874" spans="1:9">
      <c r="A2874" s="17" t="s">
        <v>1422</v>
      </c>
      <c r="B2874" s="17" t="s">
        <v>1435</v>
      </c>
      <c r="C2874" s="17" t="s">
        <v>802</v>
      </c>
      <c r="D2874" s="17" t="s">
        <v>801</v>
      </c>
      <c r="E2874" s="18">
        <v>8050450210537</v>
      </c>
      <c r="G2874" s="20" t="str">
        <f t="shared" si="132"/>
        <v xml:space="preserve"> BRACELET        </v>
      </c>
      <c r="H2874" s="20" t="str">
        <f t="shared" si="133"/>
        <v xml:space="preserve">PAST </v>
      </c>
      <c r="I2874" s="20" t="str">
        <f t="shared" si="134"/>
        <v xml:space="preserve">M    </v>
      </c>
    </row>
    <row r="2875" spans="1:9">
      <c r="A2875" s="17" t="s">
        <v>1422</v>
      </c>
      <c r="B2875" s="17" t="s">
        <v>1435</v>
      </c>
      <c r="C2875" s="17" t="s">
        <v>803</v>
      </c>
      <c r="D2875" s="17" t="s">
        <v>801</v>
      </c>
      <c r="E2875" s="18">
        <v>3020400191013</v>
      </c>
      <c r="G2875" s="20" t="str">
        <f t="shared" si="132"/>
        <v xml:space="preserve"> BRACELET        </v>
      </c>
      <c r="H2875" s="20" t="str">
        <f t="shared" si="133"/>
        <v xml:space="preserve">PAST </v>
      </c>
      <c r="I2875" s="20" t="str">
        <f t="shared" si="134"/>
        <v xml:space="preserve">S    </v>
      </c>
    </row>
    <row r="2876" spans="1:9">
      <c r="A2876" s="17" t="s">
        <v>1422</v>
      </c>
      <c r="B2876" s="17" t="s">
        <v>1435</v>
      </c>
      <c r="C2876" s="17" t="s">
        <v>803</v>
      </c>
      <c r="D2876" s="17" t="s">
        <v>801</v>
      </c>
      <c r="E2876" s="18">
        <v>3020400182011</v>
      </c>
      <c r="G2876" s="20" t="str">
        <f t="shared" si="132"/>
        <v xml:space="preserve"> BRACELET        </v>
      </c>
      <c r="H2876" s="20" t="str">
        <f t="shared" si="133"/>
        <v xml:space="preserve">PAST </v>
      </c>
      <c r="I2876" s="20" t="str">
        <f t="shared" si="134"/>
        <v xml:space="preserve">S    </v>
      </c>
    </row>
    <row r="2877" spans="1:9">
      <c r="A2877" s="17" t="s">
        <v>1422</v>
      </c>
      <c r="B2877" s="17" t="s">
        <v>1435</v>
      </c>
      <c r="C2877" s="17" t="s">
        <v>803</v>
      </c>
      <c r="D2877" s="17" t="s">
        <v>801</v>
      </c>
      <c r="E2877" s="18">
        <v>8050450210667</v>
      </c>
      <c r="G2877" s="20" t="str">
        <f t="shared" si="132"/>
        <v xml:space="preserve"> BRACELET        </v>
      </c>
      <c r="H2877" s="20" t="str">
        <f t="shared" si="133"/>
        <v xml:space="preserve">PAST </v>
      </c>
      <c r="I2877" s="20" t="str">
        <f t="shared" si="134"/>
        <v xml:space="preserve">S    </v>
      </c>
    </row>
    <row r="2878" spans="1:9">
      <c r="A2878" s="17" t="s">
        <v>1422</v>
      </c>
      <c r="B2878" s="17" t="s">
        <v>1435</v>
      </c>
      <c r="C2878" s="17" t="s">
        <v>804</v>
      </c>
      <c r="D2878" s="17" t="s">
        <v>801</v>
      </c>
      <c r="E2878" s="18">
        <v>3020400191044</v>
      </c>
      <c r="G2878" s="20" t="str">
        <f t="shared" si="132"/>
        <v xml:space="preserve"> BRACELET        </v>
      </c>
      <c r="H2878" s="20" t="str">
        <f t="shared" si="133"/>
        <v xml:space="preserve">PAST </v>
      </c>
      <c r="I2878" s="20" t="str">
        <f t="shared" si="134"/>
        <v xml:space="preserve">XL   </v>
      </c>
    </row>
    <row r="2879" spans="1:9">
      <c r="A2879" s="17" t="s">
        <v>1422</v>
      </c>
      <c r="B2879" s="17" t="s">
        <v>1435</v>
      </c>
      <c r="C2879" s="17" t="s">
        <v>804</v>
      </c>
      <c r="D2879" s="17" t="s">
        <v>801</v>
      </c>
      <c r="E2879" s="18">
        <v>3020400182042</v>
      </c>
      <c r="G2879" s="20" t="str">
        <f t="shared" si="132"/>
        <v xml:space="preserve"> BRACELET        </v>
      </c>
      <c r="H2879" s="20" t="str">
        <f t="shared" si="133"/>
        <v xml:space="preserve">PAST </v>
      </c>
      <c r="I2879" s="20" t="str">
        <f t="shared" si="134"/>
        <v xml:space="preserve">XL   </v>
      </c>
    </row>
    <row r="2880" spans="1:9">
      <c r="A2880" s="17" t="s">
        <v>1422</v>
      </c>
      <c r="B2880" s="17" t="s">
        <v>1435</v>
      </c>
      <c r="C2880" s="17" t="s">
        <v>805</v>
      </c>
      <c r="D2880" s="17" t="s">
        <v>801</v>
      </c>
      <c r="E2880" s="18">
        <v>3020400191006</v>
      </c>
      <c r="G2880" s="20" t="str">
        <f t="shared" si="132"/>
        <v xml:space="preserve"> BRACELET        </v>
      </c>
      <c r="H2880" s="20" t="str">
        <f t="shared" si="133"/>
        <v xml:space="preserve">PAST </v>
      </c>
      <c r="I2880" s="20" t="str">
        <f t="shared" si="134"/>
        <v xml:space="preserve">XS   </v>
      </c>
    </row>
    <row r="2881" spans="1:9">
      <c r="A2881" s="17" t="s">
        <v>1422</v>
      </c>
      <c r="B2881" s="17" t="s">
        <v>1435</v>
      </c>
      <c r="C2881" s="17" t="s">
        <v>805</v>
      </c>
      <c r="D2881" s="17" t="s">
        <v>801</v>
      </c>
      <c r="E2881" s="18">
        <v>3020400182004</v>
      </c>
      <c r="G2881" s="20" t="str">
        <f t="shared" si="132"/>
        <v xml:space="preserve"> BRACELET        </v>
      </c>
      <c r="H2881" s="20" t="str">
        <f t="shared" si="133"/>
        <v xml:space="preserve">PAST </v>
      </c>
      <c r="I2881" s="20" t="str">
        <f t="shared" si="134"/>
        <v xml:space="preserve">XS   </v>
      </c>
    </row>
    <row r="2882" spans="1:9">
      <c r="A2882" s="17" t="s">
        <v>1422</v>
      </c>
      <c r="B2882" s="17" t="s">
        <v>1436</v>
      </c>
      <c r="C2882" s="17" t="s">
        <v>800</v>
      </c>
      <c r="D2882" s="17" t="s">
        <v>801</v>
      </c>
      <c r="E2882" s="18">
        <v>3003350041034</v>
      </c>
      <c r="G2882" s="20" t="str">
        <f t="shared" si="132"/>
        <v xml:space="preserve"> BRACELET        </v>
      </c>
      <c r="H2882" s="20" t="str">
        <f t="shared" si="133"/>
        <v>PEPER</v>
      </c>
      <c r="I2882" s="20" t="str">
        <f t="shared" si="134"/>
        <v xml:space="preserve">L    </v>
      </c>
    </row>
    <row r="2883" spans="1:9">
      <c r="A2883" s="17" t="s">
        <v>1422</v>
      </c>
      <c r="B2883" s="17" t="s">
        <v>1436</v>
      </c>
      <c r="C2883" s="17" t="s">
        <v>802</v>
      </c>
      <c r="D2883" s="17" t="s">
        <v>801</v>
      </c>
      <c r="E2883" s="18">
        <v>3003350041027</v>
      </c>
      <c r="G2883" s="20" t="str">
        <f t="shared" si="132"/>
        <v xml:space="preserve"> BRACELET        </v>
      </c>
      <c r="H2883" s="20" t="str">
        <f t="shared" si="133"/>
        <v>PEPER</v>
      </c>
      <c r="I2883" s="20" t="str">
        <f t="shared" si="134"/>
        <v xml:space="preserve">M    </v>
      </c>
    </row>
    <row r="2884" spans="1:9">
      <c r="A2884" s="17" t="s">
        <v>1422</v>
      </c>
      <c r="B2884" s="17" t="s">
        <v>1436</v>
      </c>
      <c r="C2884" s="17" t="s">
        <v>802</v>
      </c>
      <c r="D2884" s="17" t="s">
        <v>801</v>
      </c>
      <c r="E2884" s="18">
        <v>8051770307945</v>
      </c>
      <c r="G2884" s="20" t="str">
        <f t="shared" si="132"/>
        <v xml:space="preserve"> BRACELET        </v>
      </c>
      <c r="H2884" s="20" t="str">
        <f t="shared" si="133"/>
        <v>PEPER</v>
      </c>
      <c r="I2884" s="20" t="str">
        <f t="shared" si="134"/>
        <v xml:space="preserve">M    </v>
      </c>
    </row>
    <row r="2885" spans="1:9">
      <c r="A2885" s="17" t="s">
        <v>1422</v>
      </c>
      <c r="B2885" s="17" t="s">
        <v>1436</v>
      </c>
      <c r="C2885" s="17" t="s">
        <v>803</v>
      </c>
      <c r="D2885" s="17" t="s">
        <v>801</v>
      </c>
      <c r="E2885" s="18">
        <v>3003350041010</v>
      </c>
      <c r="G2885" s="20" t="str">
        <f t="shared" ref="G2885:G2948" si="135">A2885</f>
        <v xml:space="preserve"> BRACELET        </v>
      </c>
      <c r="H2885" s="20" t="str">
        <f t="shared" ref="H2885:H2948" si="136">B2885</f>
        <v>PEPER</v>
      </c>
      <c r="I2885" s="20" t="str">
        <f t="shared" ref="I2885:I2948" si="137">C2885</f>
        <v xml:space="preserve">S    </v>
      </c>
    </row>
    <row r="2886" spans="1:9">
      <c r="A2886" s="17" t="s">
        <v>1422</v>
      </c>
      <c r="B2886" s="17" t="s">
        <v>1436</v>
      </c>
      <c r="C2886" s="17" t="s">
        <v>803</v>
      </c>
      <c r="D2886" s="17" t="s">
        <v>801</v>
      </c>
      <c r="E2886" s="18">
        <v>8051770307938</v>
      </c>
      <c r="G2886" s="20" t="str">
        <f t="shared" si="135"/>
        <v xml:space="preserve"> BRACELET        </v>
      </c>
      <c r="H2886" s="20" t="str">
        <f t="shared" si="136"/>
        <v>PEPER</v>
      </c>
      <c r="I2886" s="20" t="str">
        <f t="shared" si="137"/>
        <v xml:space="preserve">S    </v>
      </c>
    </row>
    <row r="2887" spans="1:9">
      <c r="A2887" s="17" t="s">
        <v>1422</v>
      </c>
      <c r="B2887" s="17" t="s">
        <v>1436</v>
      </c>
      <c r="C2887" s="17" t="s">
        <v>804</v>
      </c>
      <c r="D2887" s="17" t="s">
        <v>801</v>
      </c>
      <c r="E2887" s="18">
        <v>3003350041041</v>
      </c>
      <c r="G2887" s="20" t="str">
        <f t="shared" si="135"/>
        <v xml:space="preserve"> BRACELET        </v>
      </c>
      <c r="H2887" s="20" t="str">
        <f t="shared" si="136"/>
        <v>PEPER</v>
      </c>
      <c r="I2887" s="20" t="str">
        <f t="shared" si="137"/>
        <v xml:space="preserve">XL   </v>
      </c>
    </row>
    <row r="2888" spans="1:9">
      <c r="A2888" s="17" t="s">
        <v>1422</v>
      </c>
      <c r="B2888" s="17" t="s">
        <v>1436</v>
      </c>
      <c r="C2888" s="17" t="s">
        <v>805</v>
      </c>
      <c r="D2888" s="17" t="s">
        <v>801</v>
      </c>
      <c r="E2888" s="18">
        <v>3003350041003</v>
      </c>
      <c r="G2888" s="20" t="str">
        <f t="shared" si="135"/>
        <v xml:space="preserve"> BRACELET        </v>
      </c>
      <c r="H2888" s="20" t="str">
        <f t="shared" si="136"/>
        <v>PEPER</v>
      </c>
      <c r="I2888" s="20" t="str">
        <f t="shared" si="137"/>
        <v xml:space="preserve">XS   </v>
      </c>
    </row>
    <row r="2889" spans="1:9">
      <c r="A2889" s="17" t="s">
        <v>1422</v>
      </c>
      <c r="B2889" s="17" t="s">
        <v>1437</v>
      </c>
      <c r="C2889" s="17" t="s">
        <v>800</v>
      </c>
      <c r="D2889" s="17" t="s">
        <v>801</v>
      </c>
      <c r="E2889" s="18">
        <v>3003350040037</v>
      </c>
      <c r="G2889" s="20" t="str">
        <f t="shared" si="135"/>
        <v xml:space="preserve"> BRACELET        </v>
      </c>
      <c r="H2889" s="20" t="str">
        <f t="shared" si="136"/>
        <v>PISTA</v>
      </c>
      <c r="I2889" s="20" t="str">
        <f t="shared" si="137"/>
        <v xml:space="preserve">L    </v>
      </c>
    </row>
    <row r="2890" spans="1:9">
      <c r="A2890" s="17" t="s">
        <v>1422</v>
      </c>
      <c r="B2890" s="17" t="s">
        <v>1437</v>
      </c>
      <c r="C2890" s="17" t="s">
        <v>802</v>
      </c>
      <c r="D2890" s="17" t="s">
        <v>801</v>
      </c>
      <c r="E2890" s="18">
        <v>3003350040020</v>
      </c>
      <c r="G2890" s="20" t="str">
        <f t="shared" si="135"/>
        <v xml:space="preserve"> BRACELET        </v>
      </c>
      <c r="H2890" s="20" t="str">
        <f t="shared" si="136"/>
        <v>PISTA</v>
      </c>
      <c r="I2890" s="20" t="str">
        <f t="shared" si="137"/>
        <v xml:space="preserve">M    </v>
      </c>
    </row>
    <row r="2891" spans="1:9">
      <c r="A2891" s="17" t="s">
        <v>1422</v>
      </c>
      <c r="B2891" s="17" t="s">
        <v>1437</v>
      </c>
      <c r="C2891" s="17" t="s">
        <v>802</v>
      </c>
      <c r="D2891" s="17" t="s">
        <v>801</v>
      </c>
      <c r="E2891" s="18">
        <v>8051770307907</v>
      </c>
      <c r="G2891" s="20" t="str">
        <f t="shared" si="135"/>
        <v xml:space="preserve"> BRACELET        </v>
      </c>
      <c r="H2891" s="20" t="str">
        <f t="shared" si="136"/>
        <v>PISTA</v>
      </c>
      <c r="I2891" s="20" t="str">
        <f t="shared" si="137"/>
        <v xml:space="preserve">M    </v>
      </c>
    </row>
    <row r="2892" spans="1:9">
      <c r="A2892" s="17" t="s">
        <v>1422</v>
      </c>
      <c r="B2892" s="17" t="s">
        <v>1437</v>
      </c>
      <c r="C2892" s="17" t="s">
        <v>803</v>
      </c>
      <c r="D2892" s="17" t="s">
        <v>801</v>
      </c>
      <c r="E2892" s="18">
        <v>3003350040013</v>
      </c>
      <c r="G2892" s="20" t="str">
        <f t="shared" si="135"/>
        <v xml:space="preserve"> BRACELET        </v>
      </c>
      <c r="H2892" s="20" t="str">
        <f t="shared" si="136"/>
        <v>PISTA</v>
      </c>
      <c r="I2892" s="20" t="str">
        <f t="shared" si="137"/>
        <v xml:space="preserve">S    </v>
      </c>
    </row>
    <row r="2893" spans="1:9">
      <c r="A2893" s="17" t="s">
        <v>1422</v>
      </c>
      <c r="B2893" s="17" t="s">
        <v>1437</v>
      </c>
      <c r="C2893" s="17" t="s">
        <v>803</v>
      </c>
      <c r="D2893" s="17" t="s">
        <v>801</v>
      </c>
      <c r="E2893" s="18">
        <v>8051770307891</v>
      </c>
      <c r="G2893" s="20" t="str">
        <f t="shared" si="135"/>
        <v xml:space="preserve"> BRACELET        </v>
      </c>
      <c r="H2893" s="20" t="str">
        <f t="shared" si="136"/>
        <v>PISTA</v>
      </c>
      <c r="I2893" s="20" t="str">
        <f t="shared" si="137"/>
        <v xml:space="preserve">S    </v>
      </c>
    </row>
    <row r="2894" spans="1:9">
      <c r="A2894" s="17" t="s">
        <v>1422</v>
      </c>
      <c r="B2894" s="17" t="s">
        <v>1437</v>
      </c>
      <c r="C2894" s="17" t="s">
        <v>804</v>
      </c>
      <c r="D2894" s="17" t="s">
        <v>801</v>
      </c>
      <c r="E2894" s="18">
        <v>3003350040044</v>
      </c>
      <c r="G2894" s="20" t="str">
        <f t="shared" si="135"/>
        <v xml:space="preserve"> BRACELET        </v>
      </c>
      <c r="H2894" s="20" t="str">
        <f t="shared" si="136"/>
        <v>PISTA</v>
      </c>
      <c r="I2894" s="20" t="str">
        <f t="shared" si="137"/>
        <v xml:space="preserve">XL   </v>
      </c>
    </row>
    <row r="2895" spans="1:9">
      <c r="A2895" s="17" t="s">
        <v>1422</v>
      </c>
      <c r="B2895" s="17" t="s">
        <v>1437</v>
      </c>
      <c r="C2895" s="17" t="s">
        <v>805</v>
      </c>
      <c r="D2895" s="17" t="s">
        <v>801</v>
      </c>
      <c r="E2895" s="18">
        <v>3003350040006</v>
      </c>
      <c r="G2895" s="20" t="str">
        <f t="shared" si="135"/>
        <v xml:space="preserve"> BRACELET        </v>
      </c>
      <c r="H2895" s="20" t="str">
        <f t="shared" si="136"/>
        <v>PISTA</v>
      </c>
      <c r="I2895" s="20" t="str">
        <f t="shared" si="137"/>
        <v xml:space="preserve">XS   </v>
      </c>
    </row>
    <row r="2896" spans="1:9">
      <c r="A2896" s="17" t="s">
        <v>1422</v>
      </c>
      <c r="B2896" s="17" t="s">
        <v>913</v>
      </c>
      <c r="C2896" s="17" t="s">
        <v>800</v>
      </c>
      <c r="D2896" s="17" t="s">
        <v>801</v>
      </c>
      <c r="E2896" s="18">
        <v>8051770300793</v>
      </c>
      <c r="G2896" s="20" t="str">
        <f t="shared" si="135"/>
        <v xml:space="preserve"> BRACELET        </v>
      </c>
      <c r="H2896" s="20" t="str">
        <f t="shared" si="136"/>
        <v xml:space="preserve">PLUM </v>
      </c>
      <c r="I2896" s="20" t="str">
        <f t="shared" si="137"/>
        <v xml:space="preserve">L    </v>
      </c>
    </row>
    <row r="2897" spans="1:9">
      <c r="A2897" s="17" t="s">
        <v>1422</v>
      </c>
      <c r="B2897" s="17" t="s">
        <v>913</v>
      </c>
      <c r="C2897" s="17" t="s">
        <v>800</v>
      </c>
      <c r="D2897" s="17" t="s">
        <v>801</v>
      </c>
      <c r="E2897" s="18">
        <v>3003350043038</v>
      </c>
      <c r="G2897" s="20" t="str">
        <f t="shared" si="135"/>
        <v xml:space="preserve"> BRACELET        </v>
      </c>
      <c r="H2897" s="20" t="str">
        <f t="shared" si="136"/>
        <v xml:space="preserve">PLUM </v>
      </c>
      <c r="I2897" s="20" t="str">
        <f t="shared" si="137"/>
        <v xml:space="preserve">L    </v>
      </c>
    </row>
    <row r="2898" spans="1:9">
      <c r="A2898" s="17" t="s">
        <v>1422</v>
      </c>
      <c r="B2898" s="17" t="s">
        <v>913</v>
      </c>
      <c r="C2898" s="17" t="s">
        <v>802</v>
      </c>
      <c r="D2898" s="17" t="s">
        <v>801</v>
      </c>
      <c r="E2898" s="18">
        <v>8051770300991</v>
      </c>
      <c r="G2898" s="20" t="str">
        <f t="shared" si="135"/>
        <v xml:space="preserve"> BRACELET        </v>
      </c>
      <c r="H2898" s="20" t="str">
        <f t="shared" si="136"/>
        <v xml:space="preserve">PLUM </v>
      </c>
      <c r="I2898" s="20" t="str">
        <f t="shared" si="137"/>
        <v xml:space="preserve">M    </v>
      </c>
    </row>
    <row r="2899" spans="1:9">
      <c r="A2899" s="17" t="s">
        <v>1422</v>
      </c>
      <c r="B2899" s="17" t="s">
        <v>913</v>
      </c>
      <c r="C2899" s="17" t="s">
        <v>802</v>
      </c>
      <c r="D2899" s="17" t="s">
        <v>801</v>
      </c>
      <c r="E2899" s="18">
        <v>3003350043021</v>
      </c>
      <c r="G2899" s="20" t="str">
        <f t="shared" si="135"/>
        <v xml:space="preserve"> BRACELET        </v>
      </c>
      <c r="H2899" s="20" t="str">
        <f t="shared" si="136"/>
        <v xml:space="preserve">PLUM </v>
      </c>
      <c r="I2899" s="20" t="str">
        <f t="shared" si="137"/>
        <v xml:space="preserve">M    </v>
      </c>
    </row>
    <row r="2900" spans="1:9">
      <c r="A2900" s="17" t="s">
        <v>1422</v>
      </c>
      <c r="B2900" s="17" t="s">
        <v>913</v>
      </c>
      <c r="C2900" s="17" t="s">
        <v>803</v>
      </c>
      <c r="D2900" s="17" t="s">
        <v>801</v>
      </c>
      <c r="E2900" s="18">
        <v>8051770301196</v>
      </c>
      <c r="G2900" s="20" t="str">
        <f t="shared" si="135"/>
        <v xml:space="preserve"> BRACELET        </v>
      </c>
      <c r="H2900" s="20" t="str">
        <f t="shared" si="136"/>
        <v xml:space="preserve">PLUM </v>
      </c>
      <c r="I2900" s="20" t="str">
        <f t="shared" si="137"/>
        <v xml:space="preserve">S    </v>
      </c>
    </row>
    <row r="2901" spans="1:9">
      <c r="A2901" s="17" t="s">
        <v>1422</v>
      </c>
      <c r="B2901" s="17" t="s">
        <v>913</v>
      </c>
      <c r="C2901" s="17" t="s">
        <v>803</v>
      </c>
      <c r="D2901" s="17" t="s">
        <v>801</v>
      </c>
      <c r="E2901" s="18">
        <v>3003350043014</v>
      </c>
      <c r="G2901" s="20" t="str">
        <f t="shared" si="135"/>
        <v xml:space="preserve"> BRACELET        </v>
      </c>
      <c r="H2901" s="20" t="str">
        <f t="shared" si="136"/>
        <v xml:space="preserve">PLUM </v>
      </c>
      <c r="I2901" s="20" t="str">
        <f t="shared" si="137"/>
        <v xml:space="preserve">S    </v>
      </c>
    </row>
    <row r="2902" spans="1:9">
      <c r="A2902" s="17" t="s">
        <v>1422</v>
      </c>
      <c r="B2902" s="17" t="s">
        <v>913</v>
      </c>
      <c r="C2902" s="17" t="s">
        <v>804</v>
      </c>
      <c r="D2902" s="17" t="s">
        <v>801</v>
      </c>
      <c r="E2902" s="18">
        <v>3003350043045</v>
      </c>
      <c r="G2902" s="20" t="str">
        <f t="shared" si="135"/>
        <v xml:space="preserve"> BRACELET        </v>
      </c>
      <c r="H2902" s="20" t="str">
        <f t="shared" si="136"/>
        <v xml:space="preserve">PLUM </v>
      </c>
      <c r="I2902" s="20" t="str">
        <f t="shared" si="137"/>
        <v xml:space="preserve">XL   </v>
      </c>
    </row>
    <row r="2903" spans="1:9">
      <c r="A2903" s="17" t="s">
        <v>1422</v>
      </c>
      <c r="B2903" s="17" t="s">
        <v>913</v>
      </c>
      <c r="C2903" s="17" t="s">
        <v>805</v>
      </c>
      <c r="D2903" s="17" t="s">
        <v>801</v>
      </c>
      <c r="E2903" s="18">
        <v>3003350043007</v>
      </c>
      <c r="G2903" s="20" t="str">
        <f t="shared" si="135"/>
        <v xml:space="preserve"> BRACELET        </v>
      </c>
      <c r="H2903" s="20" t="str">
        <f t="shared" si="136"/>
        <v xml:space="preserve">PLUM </v>
      </c>
      <c r="I2903" s="20" t="str">
        <f t="shared" si="137"/>
        <v xml:space="preserve">XS   </v>
      </c>
    </row>
    <row r="2904" spans="1:9">
      <c r="A2904" s="17" t="s">
        <v>1422</v>
      </c>
      <c r="B2904" s="17" t="s">
        <v>1438</v>
      </c>
      <c r="C2904" s="17" t="s">
        <v>800</v>
      </c>
      <c r="D2904" s="17" t="s">
        <v>801</v>
      </c>
      <c r="E2904" s="18">
        <v>3002390692039</v>
      </c>
      <c r="G2904" s="20" t="str">
        <f t="shared" si="135"/>
        <v xml:space="preserve"> BRACELET        </v>
      </c>
      <c r="H2904" s="20" t="str">
        <f t="shared" si="136"/>
        <v>POLVE</v>
      </c>
      <c r="I2904" s="20" t="str">
        <f t="shared" si="137"/>
        <v xml:space="preserve">L    </v>
      </c>
    </row>
    <row r="2905" spans="1:9">
      <c r="A2905" s="17" t="s">
        <v>1422</v>
      </c>
      <c r="B2905" s="17" t="s">
        <v>1438</v>
      </c>
      <c r="C2905" s="17" t="s">
        <v>800</v>
      </c>
      <c r="D2905" s="17" t="s">
        <v>801</v>
      </c>
      <c r="E2905" s="18">
        <v>3020400692039</v>
      </c>
      <c r="G2905" s="20" t="str">
        <f t="shared" si="135"/>
        <v xml:space="preserve"> BRACELET        </v>
      </c>
      <c r="H2905" s="20" t="str">
        <f t="shared" si="136"/>
        <v>POLVE</v>
      </c>
      <c r="I2905" s="20" t="str">
        <f t="shared" si="137"/>
        <v xml:space="preserve">L    </v>
      </c>
    </row>
    <row r="2906" spans="1:9">
      <c r="A2906" s="17" t="s">
        <v>1422</v>
      </c>
      <c r="B2906" s="17" t="s">
        <v>1438</v>
      </c>
      <c r="C2906" s="17" t="s">
        <v>802</v>
      </c>
      <c r="D2906" s="17" t="s">
        <v>801</v>
      </c>
      <c r="E2906" s="18">
        <v>3020400692022</v>
      </c>
      <c r="G2906" s="20" t="str">
        <f t="shared" si="135"/>
        <v xml:space="preserve"> BRACELET        </v>
      </c>
      <c r="H2906" s="20" t="str">
        <f t="shared" si="136"/>
        <v>POLVE</v>
      </c>
      <c r="I2906" s="20" t="str">
        <f t="shared" si="137"/>
        <v xml:space="preserve">M    </v>
      </c>
    </row>
    <row r="2907" spans="1:9">
      <c r="A2907" s="17" t="s">
        <v>1422</v>
      </c>
      <c r="B2907" s="17" t="s">
        <v>1438</v>
      </c>
      <c r="C2907" s="17" t="s">
        <v>802</v>
      </c>
      <c r="D2907" s="17" t="s">
        <v>801</v>
      </c>
      <c r="E2907" s="18">
        <v>3002390692022</v>
      </c>
      <c r="G2907" s="20" t="str">
        <f t="shared" si="135"/>
        <v xml:space="preserve"> BRACELET        </v>
      </c>
      <c r="H2907" s="20" t="str">
        <f t="shared" si="136"/>
        <v>POLVE</v>
      </c>
      <c r="I2907" s="20" t="str">
        <f t="shared" si="137"/>
        <v xml:space="preserve">M    </v>
      </c>
    </row>
    <row r="2908" spans="1:9">
      <c r="A2908" s="17" t="s">
        <v>1422</v>
      </c>
      <c r="B2908" s="17" t="s">
        <v>1438</v>
      </c>
      <c r="C2908" s="17" t="s">
        <v>803</v>
      </c>
      <c r="D2908" s="17" t="s">
        <v>801</v>
      </c>
      <c r="E2908" s="18">
        <v>3020400692015</v>
      </c>
      <c r="G2908" s="20" t="str">
        <f t="shared" si="135"/>
        <v xml:space="preserve"> BRACELET        </v>
      </c>
      <c r="H2908" s="20" t="str">
        <f t="shared" si="136"/>
        <v>POLVE</v>
      </c>
      <c r="I2908" s="20" t="str">
        <f t="shared" si="137"/>
        <v xml:space="preserve">S    </v>
      </c>
    </row>
    <row r="2909" spans="1:9">
      <c r="A2909" s="17" t="s">
        <v>1422</v>
      </c>
      <c r="B2909" s="17" t="s">
        <v>1438</v>
      </c>
      <c r="C2909" s="17" t="s">
        <v>803</v>
      </c>
      <c r="D2909" s="17" t="s">
        <v>801</v>
      </c>
      <c r="E2909" s="18">
        <v>3002390692015</v>
      </c>
      <c r="G2909" s="20" t="str">
        <f t="shared" si="135"/>
        <v xml:space="preserve"> BRACELET        </v>
      </c>
      <c r="H2909" s="20" t="str">
        <f t="shared" si="136"/>
        <v>POLVE</v>
      </c>
      <c r="I2909" s="20" t="str">
        <f t="shared" si="137"/>
        <v xml:space="preserve">S    </v>
      </c>
    </row>
    <row r="2910" spans="1:9">
      <c r="A2910" s="17" t="s">
        <v>1422</v>
      </c>
      <c r="B2910" s="17" t="s">
        <v>1438</v>
      </c>
      <c r="C2910" s="17" t="s">
        <v>804</v>
      </c>
      <c r="D2910" s="17" t="s">
        <v>801</v>
      </c>
      <c r="E2910" s="18">
        <v>3002390692046</v>
      </c>
      <c r="G2910" s="20" t="str">
        <f t="shared" si="135"/>
        <v xml:space="preserve"> BRACELET        </v>
      </c>
      <c r="H2910" s="20" t="str">
        <f t="shared" si="136"/>
        <v>POLVE</v>
      </c>
      <c r="I2910" s="20" t="str">
        <f t="shared" si="137"/>
        <v xml:space="preserve">XL   </v>
      </c>
    </row>
    <row r="2911" spans="1:9">
      <c r="A2911" s="17" t="s">
        <v>1422</v>
      </c>
      <c r="B2911" s="17" t="s">
        <v>1438</v>
      </c>
      <c r="C2911" s="17" t="s">
        <v>804</v>
      </c>
      <c r="D2911" s="17" t="s">
        <v>801</v>
      </c>
      <c r="E2911" s="18">
        <v>3020400692046</v>
      </c>
      <c r="G2911" s="20" t="str">
        <f t="shared" si="135"/>
        <v xml:space="preserve"> BRACELET        </v>
      </c>
      <c r="H2911" s="20" t="str">
        <f t="shared" si="136"/>
        <v>POLVE</v>
      </c>
      <c r="I2911" s="20" t="str">
        <f t="shared" si="137"/>
        <v xml:space="preserve">XL   </v>
      </c>
    </row>
    <row r="2912" spans="1:9">
      <c r="A2912" s="17" t="s">
        <v>1422</v>
      </c>
      <c r="B2912" s="17" t="s">
        <v>1438</v>
      </c>
      <c r="C2912" s="17" t="s">
        <v>805</v>
      </c>
      <c r="D2912" s="17" t="s">
        <v>801</v>
      </c>
      <c r="E2912" s="18">
        <v>3020400692008</v>
      </c>
      <c r="G2912" s="20" t="str">
        <f t="shared" si="135"/>
        <v xml:space="preserve"> BRACELET        </v>
      </c>
      <c r="H2912" s="20" t="str">
        <f t="shared" si="136"/>
        <v>POLVE</v>
      </c>
      <c r="I2912" s="20" t="str">
        <f t="shared" si="137"/>
        <v xml:space="preserve">XS   </v>
      </c>
    </row>
    <row r="2913" spans="1:9">
      <c r="A2913" s="17" t="s">
        <v>1422</v>
      </c>
      <c r="B2913" s="17" t="s">
        <v>1438</v>
      </c>
      <c r="C2913" s="17" t="s">
        <v>805</v>
      </c>
      <c r="D2913" s="17" t="s">
        <v>801</v>
      </c>
      <c r="E2913" s="18">
        <v>3002390692008</v>
      </c>
      <c r="G2913" s="20" t="str">
        <f t="shared" si="135"/>
        <v xml:space="preserve"> BRACELET        </v>
      </c>
      <c r="H2913" s="20" t="str">
        <f t="shared" si="136"/>
        <v>POLVE</v>
      </c>
      <c r="I2913" s="20" t="str">
        <f t="shared" si="137"/>
        <v xml:space="preserve">XS   </v>
      </c>
    </row>
    <row r="2914" spans="1:9">
      <c r="A2914" s="17" t="s">
        <v>1422</v>
      </c>
      <c r="B2914" s="17" t="s">
        <v>1097</v>
      </c>
      <c r="C2914" s="17" t="s">
        <v>800</v>
      </c>
      <c r="D2914" s="17" t="s">
        <v>801</v>
      </c>
      <c r="E2914" s="18">
        <v>3020400540033</v>
      </c>
      <c r="G2914" s="20" t="str">
        <f t="shared" si="135"/>
        <v xml:space="preserve"> BRACELET        </v>
      </c>
      <c r="H2914" s="20" t="str">
        <f t="shared" si="136"/>
        <v xml:space="preserve">PORP </v>
      </c>
      <c r="I2914" s="20" t="str">
        <f t="shared" si="137"/>
        <v xml:space="preserve">L    </v>
      </c>
    </row>
    <row r="2915" spans="1:9">
      <c r="A2915" s="17" t="s">
        <v>1422</v>
      </c>
      <c r="B2915" s="17" t="s">
        <v>1097</v>
      </c>
      <c r="C2915" s="17" t="s">
        <v>802</v>
      </c>
      <c r="D2915" s="17" t="s">
        <v>801</v>
      </c>
      <c r="E2915" s="18">
        <v>3020400540026</v>
      </c>
      <c r="G2915" s="20" t="str">
        <f t="shared" si="135"/>
        <v xml:space="preserve"> BRACELET        </v>
      </c>
      <c r="H2915" s="20" t="str">
        <f t="shared" si="136"/>
        <v xml:space="preserve">PORP </v>
      </c>
      <c r="I2915" s="20" t="str">
        <f t="shared" si="137"/>
        <v xml:space="preserve">M    </v>
      </c>
    </row>
    <row r="2916" spans="1:9">
      <c r="A2916" s="17" t="s">
        <v>1422</v>
      </c>
      <c r="B2916" s="17" t="s">
        <v>1097</v>
      </c>
      <c r="C2916" s="17" t="s">
        <v>803</v>
      </c>
      <c r="D2916" s="17" t="s">
        <v>801</v>
      </c>
      <c r="E2916" s="18">
        <v>3020400540019</v>
      </c>
      <c r="G2916" s="20" t="str">
        <f t="shared" si="135"/>
        <v xml:space="preserve"> BRACELET        </v>
      </c>
      <c r="H2916" s="20" t="str">
        <f t="shared" si="136"/>
        <v xml:space="preserve">PORP </v>
      </c>
      <c r="I2916" s="20" t="str">
        <f t="shared" si="137"/>
        <v xml:space="preserve">S    </v>
      </c>
    </row>
    <row r="2917" spans="1:9">
      <c r="A2917" s="17" t="s">
        <v>1422</v>
      </c>
      <c r="B2917" s="17" t="s">
        <v>1097</v>
      </c>
      <c r="C2917" s="17" t="s">
        <v>804</v>
      </c>
      <c r="D2917" s="17" t="s">
        <v>801</v>
      </c>
      <c r="E2917" s="18">
        <v>3020400540040</v>
      </c>
      <c r="G2917" s="20" t="str">
        <f t="shared" si="135"/>
        <v xml:space="preserve"> BRACELET        </v>
      </c>
      <c r="H2917" s="20" t="str">
        <f t="shared" si="136"/>
        <v xml:space="preserve">PORP </v>
      </c>
      <c r="I2917" s="20" t="str">
        <f t="shared" si="137"/>
        <v xml:space="preserve">XL   </v>
      </c>
    </row>
    <row r="2918" spans="1:9">
      <c r="A2918" s="17" t="s">
        <v>1422</v>
      </c>
      <c r="B2918" s="17" t="s">
        <v>1097</v>
      </c>
      <c r="C2918" s="17" t="s">
        <v>805</v>
      </c>
      <c r="D2918" s="17" t="s">
        <v>801</v>
      </c>
      <c r="E2918" s="18">
        <v>3020400540002</v>
      </c>
      <c r="G2918" s="20" t="str">
        <f t="shared" si="135"/>
        <v xml:space="preserve"> BRACELET        </v>
      </c>
      <c r="H2918" s="20" t="str">
        <f t="shared" si="136"/>
        <v xml:space="preserve">PORP </v>
      </c>
      <c r="I2918" s="20" t="str">
        <f t="shared" si="137"/>
        <v xml:space="preserve">XS   </v>
      </c>
    </row>
    <row r="2919" spans="1:9">
      <c r="A2919" s="17" t="s">
        <v>1422</v>
      </c>
      <c r="B2919" s="17" t="s">
        <v>1236</v>
      </c>
      <c r="C2919" s="17" t="s">
        <v>800</v>
      </c>
      <c r="D2919" s="17" t="s">
        <v>801</v>
      </c>
      <c r="E2919" s="18">
        <v>3003350020039</v>
      </c>
      <c r="G2919" s="20" t="str">
        <f t="shared" si="135"/>
        <v xml:space="preserve"> BRACELET        </v>
      </c>
      <c r="H2919" s="20" t="str">
        <f t="shared" si="136"/>
        <v xml:space="preserve">POW  </v>
      </c>
      <c r="I2919" s="20" t="str">
        <f t="shared" si="137"/>
        <v xml:space="preserve">L    </v>
      </c>
    </row>
    <row r="2920" spans="1:9">
      <c r="A2920" s="17" t="s">
        <v>1422</v>
      </c>
      <c r="B2920" s="17" t="s">
        <v>1236</v>
      </c>
      <c r="C2920" s="17" t="s">
        <v>802</v>
      </c>
      <c r="D2920" s="17" t="s">
        <v>801</v>
      </c>
      <c r="E2920" s="18">
        <v>8051770300854</v>
      </c>
      <c r="G2920" s="20" t="str">
        <f t="shared" si="135"/>
        <v xml:space="preserve"> BRACELET        </v>
      </c>
      <c r="H2920" s="20" t="str">
        <f t="shared" si="136"/>
        <v xml:space="preserve">POW  </v>
      </c>
      <c r="I2920" s="20" t="str">
        <f t="shared" si="137"/>
        <v xml:space="preserve">M    </v>
      </c>
    </row>
    <row r="2921" spans="1:9">
      <c r="A2921" s="17" t="s">
        <v>1422</v>
      </c>
      <c r="B2921" s="17" t="s">
        <v>1236</v>
      </c>
      <c r="C2921" s="17" t="s">
        <v>802</v>
      </c>
      <c r="D2921" s="17" t="s">
        <v>801</v>
      </c>
      <c r="E2921" s="18">
        <v>3003350020022</v>
      </c>
      <c r="G2921" s="20" t="str">
        <f t="shared" si="135"/>
        <v xml:space="preserve"> BRACELET        </v>
      </c>
      <c r="H2921" s="20" t="str">
        <f t="shared" si="136"/>
        <v xml:space="preserve">POW  </v>
      </c>
      <c r="I2921" s="20" t="str">
        <f t="shared" si="137"/>
        <v xml:space="preserve">M    </v>
      </c>
    </row>
    <row r="2922" spans="1:9">
      <c r="A2922" s="17" t="s">
        <v>1422</v>
      </c>
      <c r="B2922" s="17" t="s">
        <v>1236</v>
      </c>
      <c r="C2922" s="17" t="s">
        <v>803</v>
      </c>
      <c r="D2922" s="17" t="s">
        <v>801</v>
      </c>
      <c r="E2922" s="18">
        <v>8051770301059</v>
      </c>
      <c r="G2922" s="20" t="str">
        <f t="shared" si="135"/>
        <v xml:space="preserve"> BRACELET        </v>
      </c>
      <c r="H2922" s="20" t="str">
        <f t="shared" si="136"/>
        <v xml:space="preserve">POW  </v>
      </c>
      <c r="I2922" s="20" t="str">
        <f t="shared" si="137"/>
        <v xml:space="preserve">S    </v>
      </c>
    </row>
    <row r="2923" spans="1:9">
      <c r="A2923" s="17" t="s">
        <v>1422</v>
      </c>
      <c r="B2923" s="17" t="s">
        <v>1236</v>
      </c>
      <c r="C2923" s="17" t="s">
        <v>803</v>
      </c>
      <c r="D2923" s="17" t="s">
        <v>801</v>
      </c>
      <c r="E2923" s="18">
        <v>3003350020015</v>
      </c>
      <c r="G2923" s="20" t="str">
        <f t="shared" si="135"/>
        <v xml:space="preserve"> BRACELET        </v>
      </c>
      <c r="H2923" s="20" t="str">
        <f t="shared" si="136"/>
        <v xml:space="preserve">POW  </v>
      </c>
      <c r="I2923" s="20" t="str">
        <f t="shared" si="137"/>
        <v xml:space="preserve">S    </v>
      </c>
    </row>
    <row r="2924" spans="1:9">
      <c r="A2924" s="17" t="s">
        <v>1422</v>
      </c>
      <c r="B2924" s="17" t="s">
        <v>1236</v>
      </c>
      <c r="C2924" s="17" t="s">
        <v>804</v>
      </c>
      <c r="D2924" s="17" t="s">
        <v>801</v>
      </c>
      <c r="E2924" s="18">
        <v>3003350020046</v>
      </c>
      <c r="G2924" s="20" t="str">
        <f t="shared" si="135"/>
        <v xml:space="preserve"> BRACELET        </v>
      </c>
      <c r="H2924" s="20" t="str">
        <f t="shared" si="136"/>
        <v xml:space="preserve">POW  </v>
      </c>
      <c r="I2924" s="20" t="str">
        <f t="shared" si="137"/>
        <v xml:space="preserve">XL   </v>
      </c>
    </row>
    <row r="2925" spans="1:9">
      <c r="A2925" s="17" t="s">
        <v>1422</v>
      </c>
      <c r="B2925" s="17" t="s">
        <v>1236</v>
      </c>
      <c r="C2925" s="17" t="s">
        <v>805</v>
      </c>
      <c r="D2925" s="17" t="s">
        <v>801</v>
      </c>
      <c r="E2925" s="18">
        <v>3003350020008</v>
      </c>
      <c r="G2925" s="20" t="str">
        <f t="shared" si="135"/>
        <v xml:space="preserve"> BRACELET        </v>
      </c>
      <c r="H2925" s="20" t="str">
        <f t="shared" si="136"/>
        <v xml:space="preserve">POW  </v>
      </c>
      <c r="I2925" s="20" t="str">
        <f t="shared" si="137"/>
        <v xml:space="preserve">XS   </v>
      </c>
    </row>
    <row r="2926" spans="1:9">
      <c r="A2926" s="17" t="s">
        <v>1422</v>
      </c>
      <c r="B2926" s="17" t="s">
        <v>1236</v>
      </c>
      <c r="C2926" s="17" t="s">
        <v>805</v>
      </c>
      <c r="D2926" s="17" t="s">
        <v>801</v>
      </c>
      <c r="E2926" s="18">
        <v>8051770303572</v>
      </c>
      <c r="G2926" s="20" t="str">
        <f t="shared" si="135"/>
        <v xml:space="preserve"> BRACELET        </v>
      </c>
      <c r="H2926" s="20" t="str">
        <f t="shared" si="136"/>
        <v xml:space="preserve">POW  </v>
      </c>
      <c r="I2926" s="20" t="str">
        <f t="shared" si="137"/>
        <v xml:space="preserve">XS   </v>
      </c>
    </row>
    <row r="2927" spans="1:9">
      <c r="A2927" s="17" t="s">
        <v>1422</v>
      </c>
      <c r="B2927" s="17" t="s">
        <v>914</v>
      </c>
      <c r="C2927" s="17" t="s">
        <v>800</v>
      </c>
      <c r="D2927" s="17" t="s">
        <v>801</v>
      </c>
      <c r="E2927" s="18">
        <v>3003350018036</v>
      </c>
      <c r="G2927" s="20" t="str">
        <f t="shared" si="135"/>
        <v xml:space="preserve"> BRACELET        </v>
      </c>
      <c r="H2927" s="20" t="str">
        <f t="shared" si="136"/>
        <v xml:space="preserve">PURP </v>
      </c>
      <c r="I2927" s="20" t="str">
        <f t="shared" si="137"/>
        <v xml:space="preserve">L    </v>
      </c>
    </row>
    <row r="2928" spans="1:9">
      <c r="A2928" s="17" t="s">
        <v>1422</v>
      </c>
      <c r="B2928" s="17" t="s">
        <v>914</v>
      </c>
      <c r="C2928" s="17" t="s">
        <v>802</v>
      </c>
      <c r="D2928" s="17" t="s">
        <v>801</v>
      </c>
      <c r="E2928" s="18">
        <v>3003350018029</v>
      </c>
      <c r="G2928" s="20" t="str">
        <f t="shared" si="135"/>
        <v xml:space="preserve"> BRACELET        </v>
      </c>
      <c r="H2928" s="20" t="str">
        <f t="shared" si="136"/>
        <v xml:space="preserve">PURP </v>
      </c>
      <c r="I2928" s="20" t="str">
        <f t="shared" si="137"/>
        <v xml:space="preserve">M    </v>
      </c>
    </row>
    <row r="2929" spans="1:9">
      <c r="A2929" s="17" t="s">
        <v>1422</v>
      </c>
      <c r="B2929" s="17" t="s">
        <v>914</v>
      </c>
      <c r="C2929" s="17" t="s">
        <v>803</v>
      </c>
      <c r="D2929" s="17" t="s">
        <v>801</v>
      </c>
      <c r="E2929" s="18">
        <v>3003350018012</v>
      </c>
      <c r="G2929" s="20" t="str">
        <f t="shared" si="135"/>
        <v xml:space="preserve"> BRACELET        </v>
      </c>
      <c r="H2929" s="20" t="str">
        <f t="shared" si="136"/>
        <v xml:space="preserve">PURP </v>
      </c>
      <c r="I2929" s="20" t="str">
        <f t="shared" si="137"/>
        <v xml:space="preserve">S    </v>
      </c>
    </row>
    <row r="2930" spans="1:9">
      <c r="A2930" s="17" t="s">
        <v>1422</v>
      </c>
      <c r="B2930" s="17" t="s">
        <v>914</v>
      </c>
      <c r="C2930" s="17" t="s">
        <v>804</v>
      </c>
      <c r="D2930" s="17" t="s">
        <v>801</v>
      </c>
      <c r="E2930" s="18">
        <v>3003350018043</v>
      </c>
      <c r="G2930" s="20" t="str">
        <f t="shared" si="135"/>
        <v xml:space="preserve"> BRACELET        </v>
      </c>
      <c r="H2930" s="20" t="str">
        <f t="shared" si="136"/>
        <v xml:space="preserve">PURP </v>
      </c>
      <c r="I2930" s="20" t="str">
        <f t="shared" si="137"/>
        <v xml:space="preserve">XL   </v>
      </c>
    </row>
    <row r="2931" spans="1:9">
      <c r="A2931" s="17" t="s">
        <v>1422</v>
      </c>
      <c r="B2931" s="17" t="s">
        <v>914</v>
      </c>
      <c r="C2931" s="17" t="s">
        <v>805</v>
      </c>
      <c r="D2931" s="17" t="s">
        <v>801</v>
      </c>
      <c r="E2931" s="18">
        <v>3003350018005</v>
      </c>
      <c r="G2931" s="20" t="str">
        <f t="shared" si="135"/>
        <v xml:space="preserve"> BRACELET        </v>
      </c>
      <c r="H2931" s="20" t="str">
        <f t="shared" si="136"/>
        <v xml:space="preserve">PURP </v>
      </c>
      <c r="I2931" s="20" t="str">
        <f t="shared" si="137"/>
        <v xml:space="preserve">XS   </v>
      </c>
    </row>
    <row r="2932" spans="1:9">
      <c r="A2932" s="17" t="s">
        <v>1422</v>
      </c>
      <c r="B2932" s="17" t="s">
        <v>816</v>
      </c>
      <c r="C2932" s="17" t="s">
        <v>800</v>
      </c>
      <c r="D2932" s="17" t="s">
        <v>801</v>
      </c>
      <c r="E2932" s="18">
        <v>8051770300809</v>
      </c>
      <c r="G2932" s="20" t="str">
        <f t="shared" si="135"/>
        <v xml:space="preserve"> BRACELET        </v>
      </c>
      <c r="H2932" s="20" t="str">
        <f t="shared" si="136"/>
        <v xml:space="preserve">RED  </v>
      </c>
      <c r="I2932" s="20" t="str">
        <f t="shared" si="137"/>
        <v xml:space="preserve">L    </v>
      </c>
    </row>
    <row r="2933" spans="1:9">
      <c r="A2933" s="17" t="s">
        <v>1422</v>
      </c>
      <c r="B2933" s="17" t="s">
        <v>816</v>
      </c>
      <c r="C2933" s="17" t="s">
        <v>800</v>
      </c>
      <c r="D2933" s="17" t="s">
        <v>801</v>
      </c>
      <c r="E2933" s="18">
        <v>3003350010030</v>
      </c>
      <c r="G2933" s="20" t="str">
        <f t="shared" si="135"/>
        <v xml:space="preserve"> BRACELET        </v>
      </c>
      <c r="H2933" s="20" t="str">
        <f t="shared" si="136"/>
        <v xml:space="preserve">RED  </v>
      </c>
      <c r="I2933" s="20" t="str">
        <f t="shared" si="137"/>
        <v xml:space="preserve">L    </v>
      </c>
    </row>
    <row r="2934" spans="1:9">
      <c r="A2934" s="17" t="s">
        <v>1422</v>
      </c>
      <c r="B2934" s="17" t="s">
        <v>816</v>
      </c>
      <c r="C2934" s="17" t="s">
        <v>802</v>
      </c>
      <c r="D2934" s="17" t="s">
        <v>801</v>
      </c>
      <c r="E2934" s="18">
        <v>8051770301004</v>
      </c>
      <c r="G2934" s="20" t="str">
        <f t="shared" si="135"/>
        <v xml:space="preserve"> BRACELET        </v>
      </c>
      <c r="H2934" s="20" t="str">
        <f t="shared" si="136"/>
        <v xml:space="preserve">RED  </v>
      </c>
      <c r="I2934" s="20" t="str">
        <f t="shared" si="137"/>
        <v xml:space="preserve">M    </v>
      </c>
    </row>
    <row r="2935" spans="1:9">
      <c r="A2935" s="17" t="s">
        <v>1422</v>
      </c>
      <c r="B2935" s="17" t="s">
        <v>816</v>
      </c>
      <c r="C2935" s="17" t="s">
        <v>802</v>
      </c>
      <c r="D2935" s="17" t="s">
        <v>801</v>
      </c>
      <c r="E2935" s="18">
        <v>3003350010023</v>
      </c>
      <c r="G2935" s="20" t="str">
        <f t="shared" si="135"/>
        <v xml:space="preserve"> BRACELET        </v>
      </c>
      <c r="H2935" s="20" t="str">
        <f t="shared" si="136"/>
        <v xml:space="preserve">RED  </v>
      </c>
      <c r="I2935" s="20" t="str">
        <f t="shared" si="137"/>
        <v xml:space="preserve">M    </v>
      </c>
    </row>
    <row r="2936" spans="1:9">
      <c r="A2936" s="17" t="s">
        <v>1422</v>
      </c>
      <c r="B2936" s="17" t="s">
        <v>816</v>
      </c>
      <c r="C2936" s="17" t="s">
        <v>803</v>
      </c>
      <c r="D2936" s="17" t="s">
        <v>801</v>
      </c>
      <c r="E2936" s="18">
        <v>8051770301202</v>
      </c>
      <c r="G2936" s="20" t="str">
        <f t="shared" si="135"/>
        <v xml:space="preserve"> BRACELET        </v>
      </c>
      <c r="H2936" s="20" t="str">
        <f t="shared" si="136"/>
        <v xml:space="preserve">RED  </v>
      </c>
      <c r="I2936" s="20" t="str">
        <f t="shared" si="137"/>
        <v xml:space="preserve">S    </v>
      </c>
    </row>
    <row r="2937" spans="1:9">
      <c r="A2937" s="17" t="s">
        <v>1422</v>
      </c>
      <c r="B2937" s="17" t="s">
        <v>816</v>
      </c>
      <c r="C2937" s="17" t="s">
        <v>803</v>
      </c>
      <c r="D2937" s="17" t="s">
        <v>801</v>
      </c>
      <c r="E2937" s="18">
        <v>3003350010016</v>
      </c>
      <c r="G2937" s="20" t="str">
        <f t="shared" si="135"/>
        <v xml:space="preserve"> BRACELET        </v>
      </c>
      <c r="H2937" s="20" t="str">
        <f t="shared" si="136"/>
        <v xml:space="preserve">RED  </v>
      </c>
      <c r="I2937" s="20" t="str">
        <f t="shared" si="137"/>
        <v xml:space="preserve">S    </v>
      </c>
    </row>
    <row r="2938" spans="1:9">
      <c r="A2938" s="17" t="s">
        <v>1422</v>
      </c>
      <c r="B2938" s="17" t="s">
        <v>816</v>
      </c>
      <c r="C2938" s="17" t="s">
        <v>804</v>
      </c>
      <c r="D2938" s="17" t="s">
        <v>801</v>
      </c>
      <c r="E2938" s="18">
        <v>3003350010047</v>
      </c>
      <c r="G2938" s="20" t="str">
        <f t="shared" si="135"/>
        <v xml:space="preserve"> BRACELET        </v>
      </c>
      <c r="H2938" s="20" t="str">
        <f t="shared" si="136"/>
        <v xml:space="preserve">RED  </v>
      </c>
      <c r="I2938" s="20" t="str">
        <f t="shared" si="137"/>
        <v xml:space="preserve">XL   </v>
      </c>
    </row>
    <row r="2939" spans="1:9">
      <c r="A2939" s="17" t="s">
        <v>1422</v>
      </c>
      <c r="B2939" s="17" t="s">
        <v>816</v>
      </c>
      <c r="C2939" s="17" t="s">
        <v>805</v>
      </c>
      <c r="D2939" s="17" t="s">
        <v>801</v>
      </c>
      <c r="E2939" s="18">
        <v>3003350010009</v>
      </c>
      <c r="G2939" s="20" t="str">
        <f t="shared" si="135"/>
        <v xml:space="preserve"> BRACELET        </v>
      </c>
      <c r="H2939" s="20" t="str">
        <f t="shared" si="136"/>
        <v xml:space="preserve">RED  </v>
      </c>
      <c r="I2939" s="20" t="str">
        <f t="shared" si="137"/>
        <v xml:space="preserve">XS   </v>
      </c>
    </row>
    <row r="2940" spans="1:9">
      <c r="A2940" s="17" t="s">
        <v>1422</v>
      </c>
      <c r="B2940" s="17" t="s">
        <v>816</v>
      </c>
      <c r="C2940" s="17" t="s">
        <v>805</v>
      </c>
      <c r="D2940" s="17" t="s">
        <v>801</v>
      </c>
      <c r="E2940" s="18">
        <v>8051770303695</v>
      </c>
      <c r="G2940" s="20" t="str">
        <f t="shared" si="135"/>
        <v xml:space="preserve"> BRACELET        </v>
      </c>
      <c r="H2940" s="20" t="str">
        <f t="shared" si="136"/>
        <v xml:space="preserve">RED  </v>
      </c>
      <c r="I2940" s="20" t="str">
        <f t="shared" si="137"/>
        <v xml:space="preserve">XS   </v>
      </c>
    </row>
    <row r="2941" spans="1:9">
      <c r="A2941" s="17" t="s">
        <v>1422</v>
      </c>
      <c r="B2941" s="17" t="s">
        <v>1237</v>
      </c>
      <c r="C2941" s="17" t="s">
        <v>800</v>
      </c>
      <c r="D2941" s="17" t="s">
        <v>801</v>
      </c>
      <c r="E2941" s="18">
        <v>3020400612037</v>
      </c>
      <c r="G2941" s="20" t="str">
        <f t="shared" si="135"/>
        <v xml:space="preserve"> BRACELET        </v>
      </c>
      <c r="H2941" s="20" t="str">
        <f t="shared" si="136"/>
        <v xml:space="preserve">ROCK </v>
      </c>
      <c r="I2941" s="20" t="str">
        <f t="shared" si="137"/>
        <v xml:space="preserve">L    </v>
      </c>
    </row>
    <row r="2942" spans="1:9">
      <c r="A2942" s="17" t="s">
        <v>1422</v>
      </c>
      <c r="B2942" s="17" t="s">
        <v>1237</v>
      </c>
      <c r="C2942" s="17" t="s">
        <v>800</v>
      </c>
      <c r="D2942" s="17" t="s">
        <v>801</v>
      </c>
      <c r="E2942" s="18">
        <v>8050450210551</v>
      </c>
      <c r="G2942" s="20" t="str">
        <f t="shared" si="135"/>
        <v xml:space="preserve"> BRACELET        </v>
      </c>
      <c r="H2942" s="20" t="str">
        <f t="shared" si="136"/>
        <v xml:space="preserve">ROCK </v>
      </c>
      <c r="I2942" s="20" t="str">
        <f t="shared" si="137"/>
        <v xml:space="preserve">L    </v>
      </c>
    </row>
    <row r="2943" spans="1:9">
      <c r="A2943" s="17" t="s">
        <v>1422</v>
      </c>
      <c r="B2943" s="17" t="s">
        <v>1237</v>
      </c>
      <c r="C2943" s="17" t="s">
        <v>802</v>
      </c>
      <c r="D2943" s="17" t="s">
        <v>801</v>
      </c>
      <c r="E2943" s="18">
        <v>3020400612020</v>
      </c>
      <c r="G2943" s="20" t="str">
        <f t="shared" si="135"/>
        <v xml:space="preserve"> BRACELET        </v>
      </c>
      <c r="H2943" s="20" t="str">
        <f t="shared" si="136"/>
        <v xml:space="preserve">ROCK </v>
      </c>
      <c r="I2943" s="20" t="str">
        <f t="shared" si="137"/>
        <v xml:space="preserve">M    </v>
      </c>
    </row>
    <row r="2944" spans="1:9">
      <c r="A2944" s="17" t="s">
        <v>1422</v>
      </c>
      <c r="B2944" s="17" t="s">
        <v>1237</v>
      </c>
      <c r="C2944" s="17" t="s">
        <v>802</v>
      </c>
      <c r="D2944" s="17" t="s">
        <v>801</v>
      </c>
      <c r="E2944" s="18">
        <v>8050450210568</v>
      </c>
      <c r="G2944" s="20" t="str">
        <f t="shared" si="135"/>
        <v xml:space="preserve"> BRACELET        </v>
      </c>
      <c r="H2944" s="20" t="str">
        <f t="shared" si="136"/>
        <v xml:space="preserve">ROCK </v>
      </c>
      <c r="I2944" s="20" t="str">
        <f t="shared" si="137"/>
        <v xml:space="preserve">M    </v>
      </c>
    </row>
    <row r="2945" spans="1:9">
      <c r="A2945" s="17" t="s">
        <v>1422</v>
      </c>
      <c r="B2945" s="17" t="s">
        <v>1237</v>
      </c>
      <c r="C2945" s="17" t="s">
        <v>803</v>
      </c>
      <c r="D2945" s="17" t="s">
        <v>801</v>
      </c>
      <c r="E2945" s="18">
        <v>3020400612013</v>
      </c>
      <c r="G2945" s="20" t="str">
        <f t="shared" si="135"/>
        <v xml:space="preserve"> BRACELET        </v>
      </c>
      <c r="H2945" s="20" t="str">
        <f t="shared" si="136"/>
        <v xml:space="preserve">ROCK </v>
      </c>
      <c r="I2945" s="20" t="str">
        <f t="shared" si="137"/>
        <v xml:space="preserve">S    </v>
      </c>
    </row>
    <row r="2946" spans="1:9">
      <c r="A2946" s="17" t="s">
        <v>1422</v>
      </c>
      <c r="B2946" s="17" t="s">
        <v>1237</v>
      </c>
      <c r="C2946" s="17" t="s">
        <v>803</v>
      </c>
      <c r="D2946" s="17" t="s">
        <v>801</v>
      </c>
      <c r="E2946" s="18">
        <v>8050450210681</v>
      </c>
      <c r="G2946" s="20" t="str">
        <f t="shared" si="135"/>
        <v xml:space="preserve"> BRACELET        </v>
      </c>
      <c r="H2946" s="20" t="str">
        <f t="shared" si="136"/>
        <v xml:space="preserve">ROCK </v>
      </c>
      <c r="I2946" s="20" t="str">
        <f t="shared" si="137"/>
        <v xml:space="preserve">S    </v>
      </c>
    </row>
    <row r="2947" spans="1:9">
      <c r="A2947" s="17" t="s">
        <v>1422</v>
      </c>
      <c r="B2947" s="17" t="s">
        <v>1237</v>
      </c>
      <c r="C2947" s="17" t="s">
        <v>804</v>
      </c>
      <c r="D2947" s="17" t="s">
        <v>801</v>
      </c>
      <c r="E2947" s="18">
        <v>3020400612044</v>
      </c>
      <c r="G2947" s="20" t="str">
        <f t="shared" si="135"/>
        <v xml:space="preserve"> BRACELET        </v>
      </c>
      <c r="H2947" s="20" t="str">
        <f t="shared" si="136"/>
        <v xml:space="preserve">ROCK </v>
      </c>
      <c r="I2947" s="20" t="str">
        <f t="shared" si="137"/>
        <v xml:space="preserve">XL   </v>
      </c>
    </row>
    <row r="2948" spans="1:9">
      <c r="A2948" s="17" t="s">
        <v>1422</v>
      </c>
      <c r="B2948" s="17" t="s">
        <v>1237</v>
      </c>
      <c r="C2948" s="17" t="s">
        <v>805</v>
      </c>
      <c r="D2948" s="17" t="s">
        <v>801</v>
      </c>
      <c r="E2948" s="18">
        <v>3020400612006</v>
      </c>
      <c r="G2948" s="20" t="str">
        <f t="shared" si="135"/>
        <v xml:space="preserve"> BRACELET        </v>
      </c>
      <c r="H2948" s="20" t="str">
        <f t="shared" si="136"/>
        <v xml:space="preserve">ROCK </v>
      </c>
      <c r="I2948" s="20" t="str">
        <f t="shared" si="137"/>
        <v xml:space="preserve">XS   </v>
      </c>
    </row>
    <row r="2949" spans="1:9">
      <c r="A2949" s="17" t="s">
        <v>1422</v>
      </c>
      <c r="B2949" s="17" t="s">
        <v>1439</v>
      </c>
      <c r="C2949" s="17" t="s">
        <v>800</v>
      </c>
      <c r="D2949" s="17" t="s">
        <v>801</v>
      </c>
      <c r="E2949" s="18">
        <v>3003350084031</v>
      </c>
      <c r="G2949" s="20" t="str">
        <f t="shared" ref="G2949:G3012" si="138">A2949</f>
        <v xml:space="preserve"> BRACELET        </v>
      </c>
      <c r="H2949" s="20" t="str">
        <f t="shared" ref="H2949:H3012" si="139">B2949</f>
        <v xml:space="preserve">RUBY </v>
      </c>
      <c r="I2949" s="20" t="str">
        <f t="shared" ref="I2949:I3012" si="140">C2949</f>
        <v xml:space="preserve">L    </v>
      </c>
    </row>
    <row r="2950" spans="1:9">
      <c r="A2950" s="17" t="s">
        <v>1422</v>
      </c>
      <c r="B2950" s="17" t="s">
        <v>1439</v>
      </c>
      <c r="C2950" s="17" t="s">
        <v>802</v>
      </c>
      <c r="D2950" s="17" t="s">
        <v>801</v>
      </c>
      <c r="E2950" s="18">
        <v>3003350084024</v>
      </c>
      <c r="G2950" s="20" t="str">
        <f t="shared" si="138"/>
        <v xml:space="preserve"> BRACELET        </v>
      </c>
      <c r="H2950" s="20" t="str">
        <f t="shared" si="139"/>
        <v xml:space="preserve">RUBY </v>
      </c>
      <c r="I2950" s="20" t="str">
        <f t="shared" si="140"/>
        <v xml:space="preserve">M    </v>
      </c>
    </row>
    <row r="2951" spans="1:9">
      <c r="A2951" s="17" t="s">
        <v>1422</v>
      </c>
      <c r="B2951" s="17" t="s">
        <v>1439</v>
      </c>
      <c r="C2951" s="17" t="s">
        <v>802</v>
      </c>
      <c r="D2951" s="17" t="s">
        <v>801</v>
      </c>
      <c r="E2951" s="18">
        <v>8051770309222</v>
      </c>
      <c r="G2951" s="20" t="str">
        <f t="shared" si="138"/>
        <v xml:space="preserve"> BRACELET        </v>
      </c>
      <c r="H2951" s="20" t="str">
        <f t="shared" si="139"/>
        <v xml:space="preserve">RUBY </v>
      </c>
      <c r="I2951" s="20" t="str">
        <f t="shared" si="140"/>
        <v xml:space="preserve">M    </v>
      </c>
    </row>
    <row r="2952" spans="1:9">
      <c r="A2952" s="17" t="s">
        <v>1422</v>
      </c>
      <c r="B2952" s="17" t="s">
        <v>1439</v>
      </c>
      <c r="C2952" s="17" t="s">
        <v>803</v>
      </c>
      <c r="D2952" s="17" t="s">
        <v>801</v>
      </c>
      <c r="E2952" s="18">
        <v>3003350084017</v>
      </c>
      <c r="G2952" s="20" t="str">
        <f t="shared" si="138"/>
        <v xml:space="preserve"> BRACELET        </v>
      </c>
      <c r="H2952" s="20" t="str">
        <f t="shared" si="139"/>
        <v xml:space="preserve">RUBY </v>
      </c>
      <c r="I2952" s="20" t="str">
        <f t="shared" si="140"/>
        <v xml:space="preserve">S    </v>
      </c>
    </row>
    <row r="2953" spans="1:9">
      <c r="A2953" s="17" t="s">
        <v>1422</v>
      </c>
      <c r="B2953" s="17" t="s">
        <v>1439</v>
      </c>
      <c r="C2953" s="17" t="s">
        <v>803</v>
      </c>
      <c r="D2953" s="17" t="s">
        <v>801</v>
      </c>
      <c r="E2953" s="18">
        <v>8051770309215</v>
      </c>
      <c r="G2953" s="20" t="str">
        <f t="shared" si="138"/>
        <v xml:space="preserve"> BRACELET        </v>
      </c>
      <c r="H2953" s="20" t="str">
        <f t="shared" si="139"/>
        <v xml:space="preserve">RUBY </v>
      </c>
      <c r="I2953" s="20" t="str">
        <f t="shared" si="140"/>
        <v xml:space="preserve">S    </v>
      </c>
    </row>
    <row r="2954" spans="1:9">
      <c r="A2954" s="17" t="s">
        <v>1422</v>
      </c>
      <c r="B2954" s="17" t="s">
        <v>1439</v>
      </c>
      <c r="C2954" s="17" t="s">
        <v>804</v>
      </c>
      <c r="D2954" s="17" t="s">
        <v>801</v>
      </c>
      <c r="E2954" s="18">
        <v>3003350084048</v>
      </c>
      <c r="G2954" s="20" t="str">
        <f t="shared" si="138"/>
        <v xml:space="preserve"> BRACELET        </v>
      </c>
      <c r="H2954" s="20" t="str">
        <f t="shared" si="139"/>
        <v xml:space="preserve">RUBY </v>
      </c>
      <c r="I2954" s="20" t="str">
        <f t="shared" si="140"/>
        <v xml:space="preserve">XL   </v>
      </c>
    </row>
    <row r="2955" spans="1:9">
      <c r="A2955" s="17" t="s">
        <v>1422</v>
      </c>
      <c r="B2955" s="17" t="s">
        <v>1439</v>
      </c>
      <c r="C2955" s="17" t="s">
        <v>805</v>
      </c>
      <c r="D2955" s="17" t="s">
        <v>801</v>
      </c>
      <c r="E2955" s="18">
        <v>3003350084000</v>
      </c>
      <c r="G2955" s="20" t="str">
        <f t="shared" si="138"/>
        <v xml:space="preserve"> BRACELET        </v>
      </c>
      <c r="H2955" s="20" t="str">
        <f t="shared" si="139"/>
        <v xml:space="preserve">RUBY </v>
      </c>
      <c r="I2955" s="20" t="str">
        <f t="shared" si="140"/>
        <v xml:space="preserve">XS   </v>
      </c>
    </row>
    <row r="2956" spans="1:9">
      <c r="A2956" s="17" t="s">
        <v>1422</v>
      </c>
      <c r="B2956" s="17" t="s">
        <v>1440</v>
      </c>
      <c r="C2956" s="17" t="s">
        <v>800</v>
      </c>
      <c r="D2956" s="17" t="s">
        <v>801</v>
      </c>
      <c r="E2956" s="18">
        <v>3003350100038</v>
      </c>
      <c r="G2956" s="20" t="str">
        <f t="shared" si="138"/>
        <v xml:space="preserve"> BRACELET        </v>
      </c>
      <c r="H2956" s="20" t="str">
        <f t="shared" si="139"/>
        <v xml:space="preserve">SAPH </v>
      </c>
      <c r="I2956" s="20" t="str">
        <f t="shared" si="140"/>
        <v xml:space="preserve">L    </v>
      </c>
    </row>
    <row r="2957" spans="1:9">
      <c r="A2957" s="17" t="s">
        <v>1422</v>
      </c>
      <c r="B2957" s="17" t="s">
        <v>1440</v>
      </c>
      <c r="C2957" s="17" t="s">
        <v>802</v>
      </c>
      <c r="D2957" s="17" t="s">
        <v>801</v>
      </c>
      <c r="E2957" s="18">
        <v>3003350100021</v>
      </c>
      <c r="G2957" s="20" t="str">
        <f t="shared" si="138"/>
        <v xml:space="preserve"> BRACELET        </v>
      </c>
      <c r="H2957" s="20" t="str">
        <f t="shared" si="139"/>
        <v xml:space="preserve">SAPH </v>
      </c>
      <c r="I2957" s="20" t="str">
        <f t="shared" si="140"/>
        <v xml:space="preserve">M    </v>
      </c>
    </row>
    <row r="2958" spans="1:9">
      <c r="A2958" s="17" t="s">
        <v>1422</v>
      </c>
      <c r="B2958" s="17" t="s">
        <v>1440</v>
      </c>
      <c r="C2958" s="17" t="s">
        <v>802</v>
      </c>
      <c r="D2958" s="17" t="s">
        <v>801</v>
      </c>
      <c r="E2958" s="18">
        <v>8051770309161</v>
      </c>
      <c r="G2958" s="20" t="str">
        <f t="shared" si="138"/>
        <v xml:space="preserve"> BRACELET        </v>
      </c>
      <c r="H2958" s="20" t="str">
        <f t="shared" si="139"/>
        <v xml:space="preserve">SAPH </v>
      </c>
      <c r="I2958" s="20" t="str">
        <f t="shared" si="140"/>
        <v xml:space="preserve">M    </v>
      </c>
    </row>
    <row r="2959" spans="1:9">
      <c r="A2959" s="17" t="s">
        <v>1422</v>
      </c>
      <c r="B2959" s="17" t="s">
        <v>1440</v>
      </c>
      <c r="C2959" s="17" t="s">
        <v>803</v>
      </c>
      <c r="D2959" s="17" t="s">
        <v>801</v>
      </c>
      <c r="E2959" s="18">
        <v>3003350100014</v>
      </c>
      <c r="G2959" s="20" t="str">
        <f t="shared" si="138"/>
        <v xml:space="preserve"> BRACELET        </v>
      </c>
      <c r="H2959" s="20" t="str">
        <f t="shared" si="139"/>
        <v xml:space="preserve">SAPH </v>
      </c>
      <c r="I2959" s="20" t="str">
        <f t="shared" si="140"/>
        <v xml:space="preserve">S    </v>
      </c>
    </row>
    <row r="2960" spans="1:9">
      <c r="A2960" s="17" t="s">
        <v>1422</v>
      </c>
      <c r="B2960" s="17" t="s">
        <v>1440</v>
      </c>
      <c r="C2960" s="17" t="s">
        <v>803</v>
      </c>
      <c r="D2960" s="17" t="s">
        <v>801</v>
      </c>
      <c r="E2960" s="18">
        <v>8051770309154</v>
      </c>
      <c r="G2960" s="20" t="str">
        <f t="shared" si="138"/>
        <v xml:space="preserve"> BRACELET        </v>
      </c>
      <c r="H2960" s="20" t="str">
        <f t="shared" si="139"/>
        <v xml:space="preserve">SAPH </v>
      </c>
      <c r="I2960" s="20" t="str">
        <f t="shared" si="140"/>
        <v xml:space="preserve">S    </v>
      </c>
    </row>
    <row r="2961" spans="1:9">
      <c r="A2961" s="17" t="s">
        <v>1422</v>
      </c>
      <c r="B2961" s="17" t="s">
        <v>1440</v>
      </c>
      <c r="C2961" s="17" t="s">
        <v>804</v>
      </c>
      <c r="D2961" s="17" t="s">
        <v>801</v>
      </c>
      <c r="E2961" s="18">
        <v>3003350100045</v>
      </c>
      <c r="G2961" s="20" t="str">
        <f t="shared" si="138"/>
        <v xml:space="preserve"> BRACELET        </v>
      </c>
      <c r="H2961" s="20" t="str">
        <f t="shared" si="139"/>
        <v xml:space="preserve">SAPH </v>
      </c>
      <c r="I2961" s="20" t="str">
        <f t="shared" si="140"/>
        <v xml:space="preserve">XL   </v>
      </c>
    </row>
    <row r="2962" spans="1:9">
      <c r="A2962" s="17" t="s">
        <v>1422</v>
      </c>
      <c r="B2962" s="17" t="s">
        <v>1440</v>
      </c>
      <c r="C2962" s="17" t="s">
        <v>805</v>
      </c>
      <c r="D2962" s="17" t="s">
        <v>801</v>
      </c>
      <c r="E2962" s="18">
        <v>3003350100007</v>
      </c>
      <c r="G2962" s="20" t="str">
        <f t="shared" si="138"/>
        <v xml:space="preserve"> BRACELET        </v>
      </c>
      <c r="H2962" s="20" t="str">
        <f t="shared" si="139"/>
        <v xml:space="preserve">SAPH </v>
      </c>
      <c r="I2962" s="20" t="str">
        <f t="shared" si="140"/>
        <v xml:space="preserve">XS   </v>
      </c>
    </row>
    <row r="2963" spans="1:9">
      <c r="A2963" s="17" t="s">
        <v>1422</v>
      </c>
      <c r="B2963" s="17" t="s">
        <v>1241</v>
      </c>
      <c r="C2963" s="17" t="s">
        <v>800</v>
      </c>
      <c r="D2963" s="17" t="s">
        <v>801</v>
      </c>
      <c r="E2963" s="18">
        <v>3020400616035</v>
      </c>
      <c r="G2963" s="20" t="str">
        <f t="shared" si="138"/>
        <v xml:space="preserve"> BRACELET        </v>
      </c>
      <c r="H2963" s="20" t="str">
        <f t="shared" si="139"/>
        <v>SBLUE</v>
      </c>
      <c r="I2963" s="20" t="str">
        <f t="shared" si="140"/>
        <v xml:space="preserve">L    </v>
      </c>
    </row>
    <row r="2964" spans="1:9">
      <c r="A2964" s="17" t="s">
        <v>1422</v>
      </c>
      <c r="B2964" s="17" t="s">
        <v>1241</v>
      </c>
      <c r="C2964" s="17" t="s">
        <v>802</v>
      </c>
      <c r="D2964" s="17" t="s">
        <v>801</v>
      </c>
      <c r="E2964" s="18">
        <v>3020400616028</v>
      </c>
      <c r="G2964" s="20" t="str">
        <f t="shared" si="138"/>
        <v xml:space="preserve"> BRACELET        </v>
      </c>
      <c r="H2964" s="20" t="str">
        <f t="shared" si="139"/>
        <v>SBLUE</v>
      </c>
      <c r="I2964" s="20" t="str">
        <f t="shared" si="140"/>
        <v xml:space="preserve">M    </v>
      </c>
    </row>
    <row r="2965" spans="1:9">
      <c r="A2965" s="17" t="s">
        <v>1422</v>
      </c>
      <c r="B2965" s="17" t="s">
        <v>1241</v>
      </c>
      <c r="C2965" s="17" t="s">
        <v>803</v>
      </c>
      <c r="D2965" s="17" t="s">
        <v>801</v>
      </c>
      <c r="E2965" s="18">
        <v>3020400616011</v>
      </c>
      <c r="G2965" s="20" t="str">
        <f t="shared" si="138"/>
        <v xml:space="preserve"> BRACELET        </v>
      </c>
      <c r="H2965" s="20" t="str">
        <f t="shared" si="139"/>
        <v>SBLUE</v>
      </c>
      <c r="I2965" s="20" t="str">
        <f t="shared" si="140"/>
        <v xml:space="preserve">S    </v>
      </c>
    </row>
    <row r="2966" spans="1:9">
      <c r="A2966" s="17" t="s">
        <v>1422</v>
      </c>
      <c r="B2966" s="17" t="s">
        <v>1241</v>
      </c>
      <c r="C2966" s="17" t="s">
        <v>804</v>
      </c>
      <c r="D2966" s="17" t="s">
        <v>801</v>
      </c>
      <c r="E2966" s="18">
        <v>3020400616042</v>
      </c>
      <c r="G2966" s="20" t="str">
        <f t="shared" si="138"/>
        <v xml:space="preserve"> BRACELET        </v>
      </c>
      <c r="H2966" s="20" t="str">
        <f t="shared" si="139"/>
        <v>SBLUE</v>
      </c>
      <c r="I2966" s="20" t="str">
        <f t="shared" si="140"/>
        <v xml:space="preserve">XL   </v>
      </c>
    </row>
    <row r="2967" spans="1:9">
      <c r="A2967" s="17" t="s">
        <v>1422</v>
      </c>
      <c r="B2967" s="17" t="s">
        <v>1241</v>
      </c>
      <c r="C2967" s="17" t="s">
        <v>805</v>
      </c>
      <c r="D2967" s="17" t="s">
        <v>801</v>
      </c>
      <c r="E2967" s="18">
        <v>3020400616004</v>
      </c>
      <c r="G2967" s="20" t="str">
        <f t="shared" si="138"/>
        <v xml:space="preserve"> BRACELET        </v>
      </c>
      <c r="H2967" s="20" t="str">
        <f t="shared" si="139"/>
        <v>SBLUE</v>
      </c>
      <c r="I2967" s="20" t="str">
        <f t="shared" si="140"/>
        <v xml:space="preserve">XS   </v>
      </c>
    </row>
    <row r="2968" spans="1:9">
      <c r="A2968" s="17" t="s">
        <v>1422</v>
      </c>
      <c r="B2968" s="17" t="s">
        <v>872</v>
      </c>
      <c r="C2968" s="17" t="s">
        <v>800</v>
      </c>
      <c r="D2968" s="17" t="s">
        <v>801</v>
      </c>
      <c r="E2968" s="18">
        <v>3003350029032</v>
      </c>
      <c r="G2968" s="20" t="str">
        <f t="shared" si="138"/>
        <v xml:space="preserve"> BRACELET        </v>
      </c>
      <c r="H2968" s="20" t="str">
        <f t="shared" si="139"/>
        <v xml:space="preserve">SKB  </v>
      </c>
      <c r="I2968" s="20" t="str">
        <f t="shared" si="140"/>
        <v xml:space="preserve">L    </v>
      </c>
    </row>
    <row r="2969" spans="1:9">
      <c r="A2969" s="17" t="s">
        <v>1422</v>
      </c>
      <c r="B2969" s="17" t="s">
        <v>872</v>
      </c>
      <c r="C2969" s="17" t="s">
        <v>800</v>
      </c>
      <c r="D2969" s="17" t="s">
        <v>801</v>
      </c>
      <c r="E2969" s="18">
        <v>8051770307990</v>
      </c>
      <c r="G2969" s="20" t="str">
        <f t="shared" si="138"/>
        <v xml:space="preserve"> BRACELET        </v>
      </c>
      <c r="H2969" s="20" t="str">
        <f t="shared" si="139"/>
        <v xml:space="preserve">SKB  </v>
      </c>
      <c r="I2969" s="20" t="str">
        <f t="shared" si="140"/>
        <v xml:space="preserve">L    </v>
      </c>
    </row>
    <row r="2970" spans="1:9">
      <c r="A2970" s="17" t="s">
        <v>1422</v>
      </c>
      <c r="B2970" s="17" t="s">
        <v>872</v>
      </c>
      <c r="C2970" s="17" t="s">
        <v>802</v>
      </c>
      <c r="D2970" s="17" t="s">
        <v>801</v>
      </c>
      <c r="E2970" s="18">
        <v>3003350029025</v>
      </c>
      <c r="G2970" s="20" t="str">
        <f t="shared" si="138"/>
        <v xml:space="preserve"> BRACELET        </v>
      </c>
      <c r="H2970" s="20" t="str">
        <f t="shared" si="139"/>
        <v xml:space="preserve">SKB  </v>
      </c>
      <c r="I2970" s="20" t="str">
        <f t="shared" si="140"/>
        <v xml:space="preserve">M    </v>
      </c>
    </row>
    <row r="2971" spans="1:9">
      <c r="A2971" s="17" t="s">
        <v>1422</v>
      </c>
      <c r="B2971" s="17" t="s">
        <v>872</v>
      </c>
      <c r="C2971" s="17" t="s">
        <v>802</v>
      </c>
      <c r="D2971" s="17" t="s">
        <v>801</v>
      </c>
      <c r="E2971" s="18">
        <v>8051770307983</v>
      </c>
      <c r="G2971" s="20" t="str">
        <f t="shared" si="138"/>
        <v xml:space="preserve"> BRACELET        </v>
      </c>
      <c r="H2971" s="20" t="str">
        <f t="shared" si="139"/>
        <v xml:space="preserve">SKB  </v>
      </c>
      <c r="I2971" s="20" t="str">
        <f t="shared" si="140"/>
        <v xml:space="preserve">M    </v>
      </c>
    </row>
    <row r="2972" spans="1:9">
      <c r="A2972" s="17" t="s">
        <v>1422</v>
      </c>
      <c r="B2972" s="17" t="s">
        <v>872</v>
      </c>
      <c r="C2972" s="17" t="s">
        <v>803</v>
      </c>
      <c r="D2972" s="17" t="s">
        <v>801</v>
      </c>
      <c r="E2972" s="18">
        <v>3003350029018</v>
      </c>
      <c r="G2972" s="20" t="str">
        <f t="shared" si="138"/>
        <v xml:space="preserve"> BRACELET        </v>
      </c>
      <c r="H2972" s="20" t="str">
        <f t="shared" si="139"/>
        <v xml:space="preserve">SKB  </v>
      </c>
      <c r="I2972" s="20" t="str">
        <f t="shared" si="140"/>
        <v xml:space="preserve">S    </v>
      </c>
    </row>
    <row r="2973" spans="1:9">
      <c r="A2973" s="17" t="s">
        <v>1422</v>
      </c>
      <c r="B2973" s="17" t="s">
        <v>872</v>
      </c>
      <c r="C2973" s="17" t="s">
        <v>803</v>
      </c>
      <c r="D2973" s="17" t="s">
        <v>801</v>
      </c>
      <c r="E2973" s="18">
        <v>8051770307976</v>
      </c>
      <c r="G2973" s="20" t="str">
        <f t="shared" si="138"/>
        <v xml:space="preserve"> BRACELET        </v>
      </c>
      <c r="H2973" s="20" t="str">
        <f t="shared" si="139"/>
        <v xml:space="preserve">SKB  </v>
      </c>
      <c r="I2973" s="20" t="str">
        <f t="shared" si="140"/>
        <v xml:space="preserve">S    </v>
      </c>
    </row>
    <row r="2974" spans="1:9">
      <c r="A2974" s="17" t="s">
        <v>1422</v>
      </c>
      <c r="B2974" s="17" t="s">
        <v>872</v>
      </c>
      <c r="C2974" s="17" t="s">
        <v>804</v>
      </c>
      <c r="D2974" s="17" t="s">
        <v>801</v>
      </c>
      <c r="E2974" s="18">
        <v>3003350029049</v>
      </c>
      <c r="G2974" s="20" t="str">
        <f t="shared" si="138"/>
        <v xml:space="preserve"> BRACELET        </v>
      </c>
      <c r="H2974" s="20" t="str">
        <f t="shared" si="139"/>
        <v xml:space="preserve">SKB  </v>
      </c>
      <c r="I2974" s="20" t="str">
        <f t="shared" si="140"/>
        <v xml:space="preserve">XL   </v>
      </c>
    </row>
    <row r="2975" spans="1:9">
      <c r="A2975" s="17" t="s">
        <v>1422</v>
      </c>
      <c r="B2975" s="17" t="s">
        <v>872</v>
      </c>
      <c r="C2975" s="17" t="s">
        <v>805</v>
      </c>
      <c r="D2975" s="17" t="s">
        <v>801</v>
      </c>
      <c r="E2975" s="18">
        <v>3003350029001</v>
      </c>
      <c r="G2975" s="20" t="str">
        <f t="shared" si="138"/>
        <v xml:space="preserve"> BRACELET        </v>
      </c>
      <c r="H2975" s="20" t="str">
        <f t="shared" si="139"/>
        <v xml:space="preserve">SKB  </v>
      </c>
      <c r="I2975" s="20" t="str">
        <f t="shared" si="140"/>
        <v xml:space="preserve">XS   </v>
      </c>
    </row>
    <row r="2976" spans="1:9">
      <c r="A2976" s="17" t="s">
        <v>1422</v>
      </c>
      <c r="B2976" s="17" t="s">
        <v>1441</v>
      </c>
      <c r="C2976" s="17" t="s">
        <v>799</v>
      </c>
      <c r="D2976" s="17" t="s">
        <v>801</v>
      </c>
      <c r="E2976" s="18">
        <v>3020400000001</v>
      </c>
      <c r="G2976" s="20" t="str">
        <f t="shared" si="138"/>
        <v xml:space="preserve"> BRACELET        </v>
      </c>
      <c r="H2976" s="20" t="str">
        <f t="shared" si="139"/>
        <v>VERTO</v>
      </c>
      <c r="I2976" s="20" t="str">
        <f t="shared" si="140"/>
        <v xml:space="preserve">     </v>
      </c>
    </row>
    <row r="2977" spans="1:9">
      <c r="A2977" s="17" t="s">
        <v>1422</v>
      </c>
      <c r="B2977" s="17" t="s">
        <v>1441</v>
      </c>
      <c r="C2977" s="17" t="s">
        <v>800</v>
      </c>
      <c r="D2977" s="17" t="s">
        <v>801</v>
      </c>
      <c r="E2977" s="18">
        <v>3020400192034</v>
      </c>
      <c r="G2977" s="20" t="str">
        <f t="shared" si="138"/>
        <v xml:space="preserve"> BRACELET        </v>
      </c>
      <c r="H2977" s="20" t="str">
        <f t="shared" si="139"/>
        <v>VERTO</v>
      </c>
      <c r="I2977" s="20" t="str">
        <f t="shared" si="140"/>
        <v xml:space="preserve">L    </v>
      </c>
    </row>
    <row r="2978" spans="1:9">
      <c r="A2978" s="17" t="s">
        <v>1422</v>
      </c>
      <c r="B2978" s="17" t="s">
        <v>1441</v>
      </c>
      <c r="C2978" s="17" t="s">
        <v>802</v>
      </c>
      <c r="D2978" s="17" t="s">
        <v>801</v>
      </c>
      <c r="E2978" s="18">
        <v>3020400192027</v>
      </c>
      <c r="G2978" s="20" t="str">
        <f t="shared" si="138"/>
        <v xml:space="preserve"> BRACELET        </v>
      </c>
      <c r="H2978" s="20" t="str">
        <f t="shared" si="139"/>
        <v>VERTO</v>
      </c>
      <c r="I2978" s="20" t="str">
        <f t="shared" si="140"/>
        <v xml:space="preserve">M    </v>
      </c>
    </row>
    <row r="2979" spans="1:9">
      <c r="A2979" s="17" t="s">
        <v>1422</v>
      </c>
      <c r="B2979" s="17" t="s">
        <v>1441</v>
      </c>
      <c r="C2979" s="17" t="s">
        <v>803</v>
      </c>
      <c r="D2979" s="17" t="s">
        <v>801</v>
      </c>
      <c r="E2979" s="18">
        <v>3020400192010</v>
      </c>
      <c r="G2979" s="20" t="str">
        <f t="shared" si="138"/>
        <v xml:space="preserve"> BRACELET        </v>
      </c>
      <c r="H2979" s="20" t="str">
        <f t="shared" si="139"/>
        <v>VERTO</v>
      </c>
      <c r="I2979" s="20" t="str">
        <f t="shared" si="140"/>
        <v xml:space="preserve">S    </v>
      </c>
    </row>
    <row r="2980" spans="1:9">
      <c r="A2980" s="17" t="s">
        <v>1422</v>
      </c>
      <c r="B2980" s="17" t="s">
        <v>1441</v>
      </c>
      <c r="C2980" s="17" t="s">
        <v>804</v>
      </c>
      <c r="D2980" s="17" t="s">
        <v>801</v>
      </c>
      <c r="E2980" s="18">
        <v>3020400192041</v>
      </c>
      <c r="G2980" s="20" t="str">
        <f t="shared" si="138"/>
        <v xml:space="preserve"> BRACELET        </v>
      </c>
      <c r="H2980" s="20" t="str">
        <f t="shared" si="139"/>
        <v>VERTO</v>
      </c>
      <c r="I2980" s="20" t="str">
        <f t="shared" si="140"/>
        <v xml:space="preserve">XL   </v>
      </c>
    </row>
    <row r="2981" spans="1:9">
      <c r="A2981" s="17" t="s">
        <v>1422</v>
      </c>
      <c r="B2981" s="17" t="s">
        <v>1441</v>
      </c>
      <c r="C2981" s="17" t="s">
        <v>805</v>
      </c>
      <c r="D2981" s="17" t="s">
        <v>801</v>
      </c>
      <c r="E2981" s="18">
        <v>3020400192003</v>
      </c>
      <c r="G2981" s="20" t="str">
        <f t="shared" si="138"/>
        <v xml:space="preserve"> BRACELET        </v>
      </c>
      <c r="H2981" s="20" t="str">
        <f t="shared" si="139"/>
        <v>VERTO</v>
      </c>
      <c r="I2981" s="20" t="str">
        <f t="shared" si="140"/>
        <v xml:space="preserve">XS   </v>
      </c>
    </row>
    <row r="2982" spans="1:9">
      <c r="A2982" s="17" t="s">
        <v>1422</v>
      </c>
      <c r="B2982" s="17" t="s">
        <v>1442</v>
      </c>
      <c r="C2982" s="17" t="s">
        <v>800</v>
      </c>
      <c r="D2982" s="17" t="s">
        <v>801</v>
      </c>
      <c r="E2982" s="18">
        <v>3020400225039</v>
      </c>
      <c r="G2982" s="20" t="str">
        <f t="shared" si="138"/>
        <v xml:space="preserve"> BRACELET        </v>
      </c>
      <c r="H2982" s="20" t="str">
        <f t="shared" si="139"/>
        <v>VIODE</v>
      </c>
      <c r="I2982" s="20" t="str">
        <f t="shared" si="140"/>
        <v xml:space="preserve">L    </v>
      </c>
    </row>
    <row r="2983" spans="1:9">
      <c r="A2983" s="17" t="s">
        <v>1422</v>
      </c>
      <c r="B2983" s="17" t="s">
        <v>1442</v>
      </c>
      <c r="C2983" s="17" t="s">
        <v>802</v>
      </c>
      <c r="D2983" s="17" t="s">
        <v>801</v>
      </c>
      <c r="E2983" s="18">
        <v>3020400225022</v>
      </c>
      <c r="G2983" s="20" t="str">
        <f t="shared" si="138"/>
        <v xml:space="preserve"> BRACELET        </v>
      </c>
      <c r="H2983" s="20" t="str">
        <f t="shared" si="139"/>
        <v>VIODE</v>
      </c>
      <c r="I2983" s="20" t="str">
        <f t="shared" si="140"/>
        <v xml:space="preserve">M    </v>
      </c>
    </row>
    <row r="2984" spans="1:9">
      <c r="A2984" s="17" t="s">
        <v>1422</v>
      </c>
      <c r="B2984" s="17" t="s">
        <v>1442</v>
      </c>
      <c r="C2984" s="17" t="s">
        <v>802</v>
      </c>
      <c r="D2984" s="17" t="s">
        <v>801</v>
      </c>
      <c r="E2984" s="18">
        <v>8050450213101</v>
      </c>
      <c r="G2984" s="20" t="str">
        <f t="shared" si="138"/>
        <v xml:space="preserve"> BRACELET        </v>
      </c>
      <c r="H2984" s="20" t="str">
        <f t="shared" si="139"/>
        <v>VIODE</v>
      </c>
      <c r="I2984" s="20" t="str">
        <f t="shared" si="140"/>
        <v xml:space="preserve">M    </v>
      </c>
    </row>
    <row r="2985" spans="1:9">
      <c r="A2985" s="17" t="s">
        <v>1422</v>
      </c>
      <c r="B2985" s="17" t="s">
        <v>1442</v>
      </c>
      <c r="C2985" s="17" t="s">
        <v>803</v>
      </c>
      <c r="D2985" s="17" t="s">
        <v>801</v>
      </c>
      <c r="E2985" s="18">
        <v>3020400225015</v>
      </c>
      <c r="G2985" s="20" t="str">
        <f t="shared" si="138"/>
        <v xml:space="preserve"> BRACELET        </v>
      </c>
      <c r="H2985" s="20" t="str">
        <f t="shared" si="139"/>
        <v>VIODE</v>
      </c>
      <c r="I2985" s="20" t="str">
        <f t="shared" si="140"/>
        <v xml:space="preserve">S    </v>
      </c>
    </row>
    <row r="2986" spans="1:9">
      <c r="A2986" s="17" t="s">
        <v>1422</v>
      </c>
      <c r="B2986" s="17" t="s">
        <v>1442</v>
      </c>
      <c r="C2986" s="17" t="s">
        <v>803</v>
      </c>
      <c r="D2986" s="17" t="s">
        <v>801</v>
      </c>
      <c r="E2986" s="18">
        <v>8050450213118</v>
      </c>
      <c r="G2986" s="20" t="str">
        <f t="shared" si="138"/>
        <v xml:space="preserve"> BRACELET        </v>
      </c>
      <c r="H2986" s="20" t="str">
        <f t="shared" si="139"/>
        <v>VIODE</v>
      </c>
      <c r="I2986" s="20" t="str">
        <f t="shared" si="140"/>
        <v xml:space="preserve">S    </v>
      </c>
    </row>
    <row r="2987" spans="1:9">
      <c r="A2987" s="17" t="s">
        <v>1422</v>
      </c>
      <c r="B2987" s="17" t="s">
        <v>1442</v>
      </c>
      <c r="C2987" s="17" t="s">
        <v>804</v>
      </c>
      <c r="D2987" s="17" t="s">
        <v>801</v>
      </c>
      <c r="E2987" s="18">
        <v>3020400225046</v>
      </c>
      <c r="G2987" s="20" t="str">
        <f t="shared" si="138"/>
        <v xml:space="preserve"> BRACELET        </v>
      </c>
      <c r="H2987" s="20" t="str">
        <f t="shared" si="139"/>
        <v>VIODE</v>
      </c>
      <c r="I2987" s="20" t="str">
        <f t="shared" si="140"/>
        <v xml:space="preserve">XL   </v>
      </c>
    </row>
    <row r="2988" spans="1:9">
      <c r="A2988" s="17" t="s">
        <v>1422</v>
      </c>
      <c r="B2988" s="17" t="s">
        <v>1442</v>
      </c>
      <c r="C2988" s="17" t="s">
        <v>805</v>
      </c>
      <c r="D2988" s="17" t="s">
        <v>801</v>
      </c>
      <c r="E2988" s="18">
        <v>3020400225008</v>
      </c>
      <c r="G2988" s="20" t="str">
        <f t="shared" si="138"/>
        <v xml:space="preserve"> BRACELET        </v>
      </c>
      <c r="H2988" s="20" t="str">
        <f t="shared" si="139"/>
        <v>VIODE</v>
      </c>
      <c r="I2988" s="20" t="str">
        <f t="shared" si="140"/>
        <v xml:space="preserve">XS   </v>
      </c>
    </row>
    <row r="2989" spans="1:9">
      <c r="A2989" s="17" t="s">
        <v>1422</v>
      </c>
      <c r="B2989" s="17" t="s">
        <v>1024</v>
      </c>
      <c r="C2989" s="17" t="s">
        <v>800</v>
      </c>
      <c r="D2989" s="17" t="s">
        <v>801</v>
      </c>
      <c r="E2989" s="18">
        <v>3003350065030</v>
      </c>
      <c r="G2989" s="20" t="str">
        <f t="shared" si="138"/>
        <v xml:space="preserve"> BRACELET        </v>
      </c>
      <c r="H2989" s="20" t="str">
        <f t="shared" si="139"/>
        <v xml:space="preserve">VIOL </v>
      </c>
      <c r="I2989" s="20" t="str">
        <f t="shared" si="140"/>
        <v xml:space="preserve">L    </v>
      </c>
    </row>
    <row r="2990" spans="1:9">
      <c r="A2990" s="17" t="s">
        <v>1422</v>
      </c>
      <c r="B2990" s="17" t="s">
        <v>1024</v>
      </c>
      <c r="C2990" s="17" t="s">
        <v>802</v>
      </c>
      <c r="D2990" s="17" t="s">
        <v>801</v>
      </c>
      <c r="E2990" s="18">
        <v>8051770301028</v>
      </c>
      <c r="G2990" s="20" t="str">
        <f t="shared" si="138"/>
        <v xml:space="preserve"> BRACELET        </v>
      </c>
      <c r="H2990" s="20" t="str">
        <f t="shared" si="139"/>
        <v xml:space="preserve">VIOL </v>
      </c>
      <c r="I2990" s="20" t="str">
        <f t="shared" si="140"/>
        <v xml:space="preserve">M    </v>
      </c>
    </row>
    <row r="2991" spans="1:9">
      <c r="A2991" s="17" t="s">
        <v>1422</v>
      </c>
      <c r="B2991" s="17" t="s">
        <v>1024</v>
      </c>
      <c r="C2991" s="17" t="s">
        <v>802</v>
      </c>
      <c r="D2991" s="17" t="s">
        <v>801</v>
      </c>
      <c r="E2991" s="18">
        <v>3003350065023</v>
      </c>
      <c r="G2991" s="20" t="str">
        <f t="shared" si="138"/>
        <v xml:space="preserve"> BRACELET        </v>
      </c>
      <c r="H2991" s="20" t="str">
        <f t="shared" si="139"/>
        <v xml:space="preserve">VIOL </v>
      </c>
      <c r="I2991" s="20" t="str">
        <f t="shared" si="140"/>
        <v xml:space="preserve">M    </v>
      </c>
    </row>
    <row r="2992" spans="1:9">
      <c r="A2992" s="17" t="s">
        <v>1422</v>
      </c>
      <c r="B2992" s="17" t="s">
        <v>1024</v>
      </c>
      <c r="C2992" s="17" t="s">
        <v>803</v>
      </c>
      <c r="D2992" s="17" t="s">
        <v>801</v>
      </c>
      <c r="E2992" s="18">
        <v>8051770301226</v>
      </c>
      <c r="G2992" s="20" t="str">
        <f t="shared" si="138"/>
        <v xml:space="preserve"> BRACELET        </v>
      </c>
      <c r="H2992" s="20" t="str">
        <f t="shared" si="139"/>
        <v xml:space="preserve">VIOL </v>
      </c>
      <c r="I2992" s="20" t="str">
        <f t="shared" si="140"/>
        <v xml:space="preserve">S    </v>
      </c>
    </row>
    <row r="2993" spans="1:9">
      <c r="A2993" s="17" t="s">
        <v>1422</v>
      </c>
      <c r="B2993" s="17" t="s">
        <v>1024</v>
      </c>
      <c r="C2993" s="17" t="s">
        <v>803</v>
      </c>
      <c r="D2993" s="17" t="s">
        <v>801</v>
      </c>
      <c r="E2993" s="18">
        <v>3003350065016</v>
      </c>
      <c r="G2993" s="20" t="str">
        <f t="shared" si="138"/>
        <v xml:space="preserve"> BRACELET        </v>
      </c>
      <c r="H2993" s="20" t="str">
        <f t="shared" si="139"/>
        <v xml:space="preserve">VIOL </v>
      </c>
      <c r="I2993" s="20" t="str">
        <f t="shared" si="140"/>
        <v xml:space="preserve">S    </v>
      </c>
    </row>
    <row r="2994" spans="1:9">
      <c r="A2994" s="17" t="s">
        <v>1422</v>
      </c>
      <c r="B2994" s="17" t="s">
        <v>1024</v>
      </c>
      <c r="C2994" s="17" t="s">
        <v>804</v>
      </c>
      <c r="D2994" s="17" t="s">
        <v>801</v>
      </c>
      <c r="E2994" s="18">
        <v>3003350065047</v>
      </c>
      <c r="G2994" s="20" t="str">
        <f t="shared" si="138"/>
        <v xml:space="preserve"> BRACELET        </v>
      </c>
      <c r="H2994" s="20" t="str">
        <f t="shared" si="139"/>
        <v xml:space="preserve">VIOL </v>
      </c>
      <c r="I2994" s="20" t="str">
        <f t="shared" si="140"/>
        <v xml:space="preserve">XL   </v>
      </c>
    </row>
    <row r="2995" spans="1:9">
      <c r="A2995" s="17" t="s">
        <v>1422</v>
      </c>
      <c r="B2995" s="17" t="s">
        <v>1024</v>
      </c>
      <c r="C2995" s="17" t="s">
        <v>805</v>
      </c>
      <c r="D2995" s="17" t="s">
        <v>801</v>
      </c>
      <c r="E2995" s="18">
        <v>3003350065009</v>
      </c>
      <c r="G2995" s="20" t="str">
        <f t="shared" si="138"/>
        <v xml:space="preserve"> BRACELET        </v>
      </c>
      <c r="H2995" s="20" t="str">
        <f t="shared" si="139"/>
        <v xml:space="preserve">VIOL </v>
      </c>
      <c r="I2995" s="20" t="str">
        <f t="shared" si="140"/>
        <v xml:space="preserve">XS   </v>
      </c>
    </row>
    <row r="2996" spans="1:9">
      <c r="A2996" s="17" t="s">
        <v>1422</v>
      </c>
      <c r="B2996" s="17" t="s">
        <v>928</v>
      </c>
      <c r="C2996" s="17" t="s">
        <v>800</v>
      </c>
      <c r="D2996" s="17" t="s">
        <v>801</v>
      </c>
      <c r="E2996" s="18">
        <v>3003350025034</v>
      </c>
      <c r="G2996" s="20" t="str">
        <f t="shared" si="138"/>
        <v xml:space="preserve"> BRACELET        </v>
      </c>
      <c r="H2996" s="20" t="str">
        <f t="shared" si="139"/>
        <v>WBLUE</v>
      </c>
      <c r="I2996" s="20" t="str">
        <f t="shared" si="140"/>
        <v xml:space="preserve">L    </v>
      </c>
    </row>
    <row r="2997" spans="1:9">
      <c r="A2997" s="17" t="s">
        <v>1422</v>
      </c>
      <c r="B2997" s="17" t="s">
        <v>928</v>
      </c>
      <c r="C2997" s="17" t="s">
        <v>802</v>
      </c>
      <c r="D2997" s="17" t="s">
        <v>801</v>
      </c>
      <c r="E2997" s="18">
        <v>8051770300908</v>
      </c>
      <c r="G2997" s="20" t="str">
        <f t="shared" si="138"/>
        <v xml:space="preserve"> BRACELET        </v>
      </c>
      <c r="H2997" s="20" t="str">
        <f t="shared" si="139"/>
        <v>WBLUE</v>
      </c>
      <c r="I2997" s="20" t="str">
        <f t="shared" si="140"/>
        <v xml:space="preserve">M    </v>
      </c>
    </row>
    <row r="2998" spans="1:9">
      <c r="A2998" s="17" t="s">
        <v>1422</v>
      </c>
      <c r="B2998" s="17" t="s">
        <v>928</v>
      </c>
      <c r="C2998" s="17" t="s">
        <v>802</v>
      </c>
      <c r="D2998" s="17" t="s">
        <v>801</v>
      </c>
      <c r="E2998" s="18">
        <v>3003350025027</v>
      </c>
      <c r="G2998" s="20" t="str">
        <f t="shared" si="138"/>
        <v xml:space="preserve"> BRACELET        </v>
      </c>
      <c r="H2998" s="20" t="str">
        <f t="shared" si="139"/>
        <v>WBLUE</v>
      </c>
      <c r="I2998" s="20" t="str">
        <f t="shared" si="140"/>
        <v xml:space="preserve">M    </v>
      </c>
    </row>
    <row r="2999" spans="1:9">
      <c r="A2999" s="17" t="s">
        <v>1422</v>
      </c>
      <c r="B2999" s="17" t="s">
        <v>928</v>
      </c>
      <c r="C2999" s="17" t="s">
        <v>803</v>
      </c>
      <c r="D2999" s="17" t="s">
        <v>801</v>
      </c>
      <c r="E2999" s="18">
        <v>8051770301103</v>
      </c>
      <c r="G2999" s="20" t="str">
        <f t="shared" si="138"/>
        <v xml:space="preserve"> BRACELET        </v>
      </c>
      <c r="H2999" s="20" t="str">
        <f t="shared" si="139"/>
        <v>WBLUE</v>
      </c>
      <c r="I2999" s="20" t="str">
        <f t="shared" si="140"/>
        <v xml:space="preserve">S    </v>
      </c>
    </row>
    <row r="3000" spans="1:9">
      <c r="A3000" s="17" t="s">
        <v>1422</v>
      </c>
      <c r="B3000" s="17" t="s">
        <v>928</v>
      </c>
      <c r="C3000" s="17" t="s">
        <v>803</v>
      </c>
      <c r="D3000" s="17" t="s">
        <v>801</v>
      </c>
      <c r="E3000" s="18">
        <v>3003350025010</v>
      </c>
      <c r="G3000" s="20" t="str">
        <f t="shared" si="138"/>
        <v xml:space="preserve"> BRACELET        </v>
      </c>
      <c r="H3000" s="20" t="str">
        <f t="shared" si="139"/>
        <v>WBLUE</v>
      </c>
      <c r="I3000" s="20" t="str">
        <f t="shared" si="140"/>
        <v xml:space="preserve">S    </v>
      </c>
    </row>
    <row r="3001" spans="1:9">
      <c r="A3001" s="17" t="s">
        <v>1422</v>
      </c>
      <c r="B3001" s="17" t="s">
        <v>928</v>
      </c>
      <c r="C3001" s="17" t="s">
        <v>804</v>
      </c>
      <c r="D3001" s="17" t="s">
        <v>801</v>
      </c>
      <c r="E3001" s="18">
        <v>3003350025041</v>
      </c>
      <c r="G3001" s="20" t="str">
        <f t="shared" si="138"/>
        <v xml:space="preserve"> BRACELET        </v>
      </c>
      <c r="H3001" s="20" t="str">
        <f t="shared" si="139"/>
        <v>WBLUE</v>
      </c>
      <c r="I3001" s="20" t="str">
        <f t="shared" si="140"/>
        <v xml:space="preserve">XL   </v>
      </c>
    </row>
    <row r="3002" spans="1:9">
      <c r="A3002" s="17" t="s">
        <v>1422</v>
      </c>
      <c r="B3002" s="17" t="s">
        <v>928</v>
      </c>
      <c r="C3002" s="17" t="s">
        <v>805</v>
      </c>
      <c r="D3002" s="17" t="s">
        <v>801</v>
      </c>
      <c r="E3002" s="18">
        <v>3003350025003</v>
      </c>
      <c r="G3002" s="20" t="str">
        <f t="shared" si="138"/>
        <v xml:space="preserve"> BRACELET        </v>
      </c>
      <c r="H3002" s="20" t="str">
        <f t="shared" si="139"/>
        <v>WBLUE</v>
      </c>
      <c r="I3002" s="20" t="str">
        <f t="shared" si="140"/>
        <v xml:space="preserve">XS   </v>
      </c>
    </row>
    <row r="3003" spans="1:9">
      <c r="A3003" s="17" t="s">
        <v>1422</v>
      </c>
      <c r="B3003" s="17" t="s">
        <v>1443</v>
      </c>
      <c r="C3003" s="17" t="s">
        <v>800</v>
      </c>
      <c r="D3003" s="17" t="s">
        <v>801</v>
      </c>
      <c r="E3003" s="18">
        <v>3020400183032</v>
      </c>
      <c r="G3003" s="20" t="str">
        <f t="shared" si="138"/>
        <v xml:space="preserve"> BRACELET        </v>
      </c>
      <c r="H3003" s="20" t="str">
        <f t="shared" si="139"/>
        <v xml:space="preserve">WGRE </v>
      </c>
      <c r="I3003" s="20" t="str">
        <f t="shared" si="140"/>
        <v xml:space="preserve">L    </v>
      </c>
    </row>
    <row r="3004" spans="1:9">
      <c r="A3004" s="17" t="s">
        <v>1422</v>
      </c>
      <c r="B3004" s="17" t="s">
        <v>1443</v>
      </c>
      <c r="C3004" s="17" t="s">
        <v>802</v>
      </c>
      <c r="D3004" s="17" t="s">
        <v>801</v>
      </c>
      <c r="E3004" s="18">
        <v>3020400183025</v>
      </c>
      <c r="G3004" s="20" t="str">
        <f t="shared" si="138"/>
        <v xml:space="preserve"> BRACELET        </v>
      </c>
      <c r="H3004" s="20" t="str">
        <f t="shared" si="139"/>
        <v xml:space="preserve">WGRE </v>
      </c>
      <c r="I3004" s="20" t="str">
        <f t="shared" si="140"/>
        <v xml:space="preserve">M    </v>
      </c>
    </row>
    <row r="3005" spans="1:9">
      <c r="A3005" s="17" t="s">
        <v>1422</v>
      </c>
      <c r="B3005" s="17" t="s">
        <v>1443</v>
      </c>
      <c r="C3005" s="17" t="s">
        <v>802</v>
      </c>
      <c r="D3005" s="17" t="s">
        <v>801</v>
      </c>
      <c r="E3005" s="18">
        <v>8050450210544</v>
      </c>
      <c r="G3005" s="20" t="str">
        <f t="shared" si="138"/>
        <v xml:space="preserve"> BRACELET        </v>
      </c>
      <c r="H3005" s="20" t="str">
        <f t="shared" si="139"/>
        <v xml:space="preserve">WGRE </v>
      </c>
      <c r="I3005" s="20" t="str">
        <f t="shared" si="140"/>
        <v xml:space="preserve">M    </v>
      </c>
    </row>
    <row r="3006" spans="1:9">
      <c r="A3006" s="17" t="s">
        <v>1422</v>
      </c>
      <c r="B3006" s="17" t="s">
        <v>1443</v>
      </c>
      <c r="C3006" s="17" t="s">
        <v>803</v>
      </c>
      <c r="D3006" s="17" t="s">
        <v>801</v>
      </c>
      <c r="E3006" s="18">
        <v>3020400183018</v>
      </c>
      <c r="G3006" s="20" t="str">
        <f t="shared" si="138"/>
        <v xml:space="preserve"> BRACELET        </v>
      </c>
      <c r="H3006" s="20" t="str">
        <f t="shared" si="139"/>
        <v xml:space="preserve">WGRE </v>
      </c>
      <c r="I3006" s="20" t="str">
        <f t="shared" si="140"/>
        <v xml:space="preserve">S    </v>
      </c>
    </row>
    <row r="3007" spans="1:9">
      <c r="A3007" s="17" t="s">
        <v>1422</v>
      </c>
      <c r="B3007" s="17" t="s">
        <v>1443</v>
      </c>
      <c r="C3007" s="17" t="s">
        <v>803</v>
      </c>
      <c r="D3007" s="17" t="s">
        <v>801</v>
      </c>
      <c r="E3007" s="18">
        <v>8050450210674</v>
      </c>
      <c r="G3007" s="20" t="str">
        <f t="shared" si="138"/>
        <v xml:space="preserve"> BRACELET        </v>
      </c>
      <c r="H3007" s="20" t="str">
        <f t="shared" si="139"/>
        <v xml:space="preserve">WGRE </v>
      </c>
      <c r="I3007" s="20" t="str">
        <f t="shared" si="140"/>
        <v xml:space="preserve">S    </v>
      </c>
    </row>
    <row r="3008" spans="1:9">
      <c r="A3008" s="17" t="s">
        <v>1422</v>
      </c>
      <c r="B3008" s="17" t="s">
        <v>1443</v>
      </c>
      <c r="C3008" s="17" t="s">
        <v>804</v>
      </c>
      <c r="D3008" s="17" t="s">
        <v>801</v>
      </c>
      <c r="E3008" s="18">
        <v>3020400183049</v>
      </c>
      <c r="G3008" s="20" t="str">
        <f t="shared" si="138"/>
        <v xml:space="preserve"> BRACELET        </v>
      </c>
      <c r="H3008" s="20" t="str">
        <f t="shared" si="139"/>
        <v xml:space="preserve">WGRE </v>
      </c>
      <c r="I3008" s="20" t="str">
        <f t="shared" si="140"/>
        <v xml:space="preserve">XL   </v>
      </c>
    </row>
    <row r="3009" spans="1:9">
      <c r="A3009" s="17" t="s">
        <v>1422</v>
      </c>
      <c r="B3009" s="17" t="s">
        <v>1443</v>
      </c>
      <c r="C3009" s="17" t="s">
        <v>805</v>
      </c>
      <c r="D3009" s="17" t="s">
        <v>801</v>
      </c>
      <c r="E3009" s="18">
        <v>3020400183001</v>
      </c>
      <c r="G3009" s="20" t="str">
        <f t="shared" si="138"/>
        <v xml:space="preserve"> BRACELET        </v>
      </c>
      <c r="H3009" s="20" t="str">
        <f t="shared" si="139"/>
        <v xml:space="preserve">WGRE </v>
      </c>
      <c r="I3009" s="20" t="str">
        <f t="shared" si="140"/>
        <v xml:space="preserve">XS   </v>
      </c>
    </row>
    <row r="3010" spans="1:9">
      <c r="A3010" s="17" t="s">
        <v>1422</v>
      </c>
      <c r="B3010" s="17" t="s">
        <v>273</v>
      </c>
      <c r="C3010" s="17" t="s">
        <v>800</v>
      </c>
      <c r="D3010" s="17" t="s">
        <v>801</v>
      </c>
      <c r="E3010" s="18">
        <v>8051770300724</v>
      </c>
      <c r="G3010" s="20" t="str">
        <f t="shared" si="138"/>
        <v xml:space="preserve"> BRACELET        </v>
      </c>
      <c r="H3010" s="20" t="str">
        <f t="shared" si="139"/>
        <v>WHITE</v>
      </c>
      <c r="I3010" s="20" t="str">
        <f t="shared" si="140"/>
        <v xml:space="preserve">L    </v>
      </c>
    </row>
    <row r="3011" spans="1:9">
      <c r="A3011" s="17" t="s">
        <v>1422</v>
      </c>
      <c r="B3011" s="17" t="s">
        <v>273</v>
      </c>
      <c r="C3011" s="17" t="s">
        <v>800</v>
      </c>
      <c r="D3011" s="17" t="s">
        <v>801</v>
      </c>
      <c r="E3011" s="18">
        <v>3003350004039</v>
      </c>
      <c r="G3011" s="20" t="str">
        <f t="shared" si="138"/>
        <v xml:space="preserve"> BRACELET        </v>
      </c>
      <c r="H3011" s="20" t="str">
        <f t="shared" si="139"/>
        <v>WHITE</v>
      </c>
      <c r="I3011" s="20" t="str">
        <f t="shared" si="140"/>
        <v xml:space="preserve">L    </v>
      </c>
    </row>
    <row r="3012" spans="1:9">
      <c r="A3012" s="17" t="s">
        <v>1422</v>
      </c>
      <c r="B3012" s="17" t="s">
        <v>273</v>
      </c>
      <c r="C3012" s="17" t="s">
        <v>800</v>
      </c>
      <c r="D3012" s="17" t="s">
        <v>801</v>
      </c>
      <c r="E3012" s="18">
        <v>3020400000032</v>
      </c>
      <c r="G3012" s="20" t="str">
        <f t="shared" si="138"/>
        <v xml:space="preserve"> BRACELET        </v>
      </c>
      <c r="H3012" s="20" t="str">
        <f t="shared" si="139"/>
        <v>WHITE</v>
      </c>
      <c r="I3012" s="20" t="str">
        <f t="shared" si="140"/>
        <v xml:space="preserve">L    </v>
      </c>
    </row>
    <row r="3013" spans="1:9">
      <c r="A3013" s="17" t="s">
        <v>1422</v>
      </c>
      <c r="B3013" s="17" t="s">
        <v>273</v>
      </c>
      <c r="C3013" s="17" t="s">
        <v>802</v>
      </c>
      <c r="D3013" s="17" t="s">
        <v>801</v>
      </c>
      <c r="E3013" s="18">
        <v>8051770300922</v>
      </c>
      <c r="G3013" s="20" t="str">
        <f t="shared" ref="G3013:G3076" si="141">A3013</f>
        <v xml:space="preserve"> BRACELET        </v>
      </c>
      <c r="H3013" s="20" t="str">
        <f t="shared" ref="H3013:H3076" si="142">B3013</f>
        <v>WHITE</v>
      </c>
      <c r="I3013" s="20" t="str">
        <f t="shared" ref="I3013:I3076" si="143">C3013</f>
        <v xml:space="preserve">M    </v>
      </c>
    </row>
    <row r="3014" spans="1:9">
      <c r="A3014" s="17" t="s">
        <v>1422</v>
      </c>
      <c r="B3014" s="17" t="s">
        <v>273</v>
      </c>
      <c r="C3014" s="17" t="s">
        <v>802</v>
      </c>
      <c r="D3014" s="17" t="s">
        <v>801</v>
      </c>
      <c r="E3014" s="18">
        <v>3003350004022</v>
      </c>
      <c r="G3014" s="20" t="str">
        <f t="shared" si="141"/>
        <v xml:space="preserve"> BRACELET        </v>
      </c>
      <c r="H3014" s="20" t="str">
        <f t="shared" si="142"/>
        <v>WHITE</v>
      </c>
      <c r="I3014" s="20" t="str">
        <f t="shared" si="143"/>
        <v xml:space="preserve">M    </v>
      </c>
    </row>
    <row r="3015" spans="1:9">
      <c r="A3015" s="17" t="s">
        <v>1422</v>
      </c>
      <c r="B3015" s="17" t="s">
        <v>273</v>
      </c>
      <c r="C3015" s="17" t="s">
        <v>802</v>
      </c>
      <c r="D3015" s="17" t="s">
        <v>801</v>
      </c>
      <c r="E3015" s="18">
        <v>3020400000025</v>
      </c>
      <c r="G3015" s="20" t="str">
        <f t="shared" si="141"/>
        <v xml:space="preserve"> BRACELET        </v>
      </c>
      <c r="H3015" s="20" t="str">
        <f t="shared" si="142"/>
        <v>WHITE</v>
      </c>
      <c r="I3015" s="20" t="str">
        <f t="shared" si="143"/>
        <v xml:space="preserve">M    </v>
      </c>
    </row>
    <row r="3016" spans="1:9">
      <c r="A3016" s="17" t="s">
        <v>1422</v>
      </c>
      <c r="B3016" s="17" t="s">
        <v>273</v>
      </c>
      <c r="C3016" s="17" t="s">
        <v>803</v>
      </c>
      <c r="D3016" s="17" t="s">
        <v>801</v>
      </c>
      <c r="E3016" s="18">
        <v>8051770301127</v>
      </c>
      <c r="G3016" s="20" t="str">
        <f t="shared" si="141"/>
        <v xml:space="preserve"> BRACELET        </v>
      </c>
      <c r="H3016" s="20" t="str">
        <f t="shared" si="142"/>
        <v>WHITE</v>
      </c>
      <c r="I3016" s="20" t="str">
        <f t="shared" si="143"/>
        <v xml:space="preserve">S    </v>
      </c>
    </row>
    <row r="3017" spans="1:9">
      <c r="A3017" s="17" t="s">
        <v>1422</v>
      </c>
      <c r="B3017" s="17" t="s">
        <v>273</v>
      </c>
      <c r="C3017" s="17" t="s">
        <v>803</v>
      </c>
      <c r="D3017" s="17" t="s">
        <v>801</v>
      </c>
      <c r="E3017" s="18">
        <v>3003350004015</v>
      </c>
      <c r="G3017" s="20" t="str">
        <f t="shared" si="141"/>
        <v xml:space="preserve"> BRACELET        </v>
      </c>
      <c r="H3017" s="20" t="str">
        <f t="shared" si="142"/>
        <v>WHITE</v>
      </c>
      <c r="I3017" s="20" t="str">
        <f t="shared" si="143"/>
        <v xml:space="preserve">S    </v>
      </c>
    </row>
    <row r="3018" spans="1:9">
      <c r="A3018" s="17" t="s">
        <v>1422</v>
      </c>
      <c r="B3018" s="17" t="s">
        <v>273</v>
      </c>
      <c r="C3018" s="17" t="s">
        <v>803</v>
      </c>
      <c r="D3018" s="17" t="s">
        <v>801</v>
      </c>
      <c r="E3018" s="18">
        <v>3020400000018</v>
      </c>
      <c r="G3018" s="20" t="str">
        <f t="shared" si="141"/>
        <v xml:space="preserve"> BRACELET        </v>
      </c>
      <c r="H3018" s="20" t="str">
        <f t="shared" si="142"/>
        <v>WHITE</v>
      </c>
      <c r="I3018" s="20" t="str">
        <f t="shared" si="143"/>
        <v xml:space="preserve">S    </v>
      </c>
    </row>
    <row r="3019" spans="1:9">
      <c r="A3019" s="17" t="s">
        <v>1422</v>
      </c>
      <c r="B3019" s="17" t="s">
        <v>273</v>
      </c>
      <c r="C3019" s="17" t="s">
        <v>804</v>
      </c>
      <c r="D3019" s="17" t="s">
        <v>801</v>
      </c>
      <c r="E3019" s="18">
        <v>3003350004046</v>
      </c>
      <c r="G3019" s="20" t="str">
        <f t="shared" si="141"/>
        <v xml:space="preserve"> BRACELET        </v>
      </c>
      <c r="H3019" s="20" t="str">
        <f t="shared" si="142"/>
        <v>WHITE</v>
      </c>
      <c r="I3019" s="20" t="str">
        <f t="shared" si="143"/>
        <v xml:space="preserve">XL   </v>
      </c>
    </row>
    <row r="3020" spans="1:9">
      <c r="A3020" s="17" t="s">
        <v>1422</v>
      </c>
      <c r="B3020" s="17" t="s">
        <v>273</v>
      </c>
      <c r="C3020" s="17" t="s">
        <v>804</v>
      </c>
      <c r="D3020" s="17" t="s">
        <v>801</v>
      </c>
      <c r="E3020" s="18">
        <v>3020400000049</v>
      </c>
      <c r="G3020" s="20" t="str">
        <f t="shared" si="141"/>
        <v xml:space="preserve"> BRACELET        </v>
      </c>
      <c r="H3020" s="20" t="str">
        <f t="shared" si="142"/>
        <v>WHITE</v>
      </c>
      <c r="I3020" s="20" t="str">
        <f t="shared" si="143"/>
        <v xml:space="preserve">XL   </v>
      </c>
    </row>
    <row r="3021" spans="1:9">
      <c r="A3021" s="17" t="s">
        <v>1422</v>
      </c>
      <c r="B3021" s="17" t="s">
        <v>273</v>
      </c>
      <c r="C3021" s="17" t="s">
        <v>805</v>
      </c>
      <c r="D3021" s="17" t="s">
        <v>801</v>
      </c>
      <c r="E3021" s="18">
        <v>8051770303329</v>
      </c>
      <c r="G3021" s="20" t="str">
        <f t="shared" si="141"/>
        <v xml:space="preserve"> BRACELET        </v>
      </c>
      <c r="H3021" s="20" t="str">
        <f t="shared" si="142"/>
        <v>WHITE</v>
      </c>
      <c r="I3021" s="20" t="str">
        <f t="shared" si="143"/>
        <v xml:space="preserve">XS   </v>
      </c>
    </row>
    <row r="3022" spans="1:9">
      <c r="A3022" s="17" t="s">
        <v>1422</v>
      </c>
      <c r="B3022" s="17" t="s">
        <v>273</v>
      </c>
      <c r="C3022" s="17" t="s">
        <v>805</v>
      </c>
      <c r="D3022" s="17" t="s">
        <v>801</v>
      </c>
      <c r="E3022" s="18">
        <v>3003350004008</v>
      </c>
      <c r="G3022" s="20" t="str">
        <f t="shared" si="141"/>
        <v xml:space="preserve"> BRACELET        </v>
      </c>
      <c r="H3022" s="20" t="str">
        <f t="shared" si="142"/>
        <v>WHITE</v>
      </c>
      <c r="I3022" s="20" t="str">
        <f t="shared" si="143"/>
        <v xml:space="preserve">XS   </v>
      </c>
    </row>
    <row r="3023" spans="1:9">
      <c r="A3023" s="17" t="s">
        <v>1422</v>
      </c>
      <c r="B3023" s="17" t="s">
        <v>825</v>
      </c>
      <c r="C3023" s="17" t="s">
        <v>800</v>
      </c>
      <c r="D3023" s="17" t="s">
        <v>801</v>
      </c>
      <c r="E3023" s="18">
        <v>8051770300762</v>
      </c>
      <c r="G3023" s="20" t="str">
        <f t="shared" si="141"/>
        <v xml:space="preserve"> BRACELET        </v>
      </c>
      <c r="H3023" s="20" t="str">
        <f t="shared" si="142"/>
        <v xml:space="preserve">YELL </v>
      </c>
      <c r="I3023" s="20" t="str">
        <f t="shared" si="143"/>
        <v xml:space="preserve">L    </v>
      </c>
    </row>
    <row r="3024" spans="1:9">
      <c r="A3024" s="17" t="s">
        <v>1422</v>
      </c>
      <c r="B3024" s="17" t="s">
        <v>825</v>
      </c>
      <c r="C3024" s="17" t="s">
        <v>800</v>
      </c>
      <c r="D3024" s="17" t="s">
        <v>801</v>
      </c>
      <c r="E3024" s="18">
        <v>3003350011037</v>
      </c>
      <c r="G3024" s="20" t="str">
        <f t="shared" si="141"/>
        <v xml:space="preserve"> BRACELET        </v>
      </c>
      <c r="H3024" s="20" t="str">
        <f t="shared" si="142"/>
        <v xml:space="preserve">YELL </v>
      </c>
      <c r="I3024" s="20" t="str">
        <f t="shared" si="143"/>
        <v xml:space="preserve">L    </v>
      </c>
    </row>
    <row r="3025" spans="1:9">
      <c r="A3025" s="17" t="s">
        <v>1422</v>
      </c>
      <c r="B3025" s="17" t="s">
        <v>825</v>
      </c>
      <c r="C3025" s="17" t="s">
        <v>802</v>
      </c>
      <c r="D3025" s="17" t="s">
        <v>801</v>
      </c>
      <c r="E3025" s="18">
        <v>8051770300960</v>
      </c>
      <c r="G3025" s="20" t="str">
        <f t="shared" si="141"/>
        <v xml:space="preserve"> BRACELET        </v>
      </c>
      <c r="H3025" s="20" t="str">
        <f t="shared" si="142"/>
        <v xml:space="preserve">YELL </v>
      </c>
      <c r="I3025" s="20" t="str">
        <f t="shared" si="143"/>
        <v xml:space="preserve">M    </v>
      </c>
    </row>
    <row r="3026" spans="1:9">
      <c r="A3026" s="17" t="s">
        <v>1422</v>
      </c>
      <c r="B3026" s="17" t="s">
        <v>825</v>
      </c>
      <c r="C3026" s="17" t="s">
        <v>802</v>
      </c>
      <c r="D3026" s="17" t="s">
        <v>801</v>
      </c>
      <c r="E3026" s="18">
        <v>3003350011020</v>
      </c>
      <c r="G3026" s="20" t="str">
        <f t="shared" si="141"/>
        <v xml:space="preserve"> BRACELET        </v>
      </c>
      <c r="H3026" s="20" t="str">
        <f t="shared" si="142"/>
        <v xml:space="preserve">YELL </v>
      </c>
      <c r="I3026" s="20" t="str">
        <f t="shared" si="143"/>
        <v xml:space="preserve">M    </v>
      </c>
    </row>
    <row r="3027" spans="1:9">
      <c r="A3027" s="17" t="s">
        <v>1422</v>
      </c>
      <c r="B3027" s="17" t="s">
        <v>825</v>
      </c>
      <c r="C3027" s="17" t="s">
        <v>803</v>
      </c>
      <c r="D3027" s="17" t="s">
        <v>801</v>
      </c>
      <c r="E3027" s="18">
        <v>8051770301165</v>
      </c>
      <c r="G3027" s="20" t="str">
        <f t="shared" si="141"/>
        <v xml:space="preserve"> BRACELET        </v>
      </c>
      <c r="H3027" s="20" t="str">
        <f t="shared" si="142"/>
        <v xml:space="preserve">YELL </v>
      </c>
      <c r="I3027" s="20" t="str">
        <f t="shared" si="143"/>
        <v xml:space="preserve">S    </v>
      </c>
    </row>
    <row r="3028" spans="1:9">
      <c r="A3028" s="17" t="s">
        <v>1422</v>
      </c>
      <c r="B3028" s="17" t="s">
        <v>825</v>
      </c>
      <c r="C3028" s="17" t="s">
        <v>803</v>
      </c>
      <c r="D3028" s="17" t="s">
        <v>801</v>
      </c>
      <c r="E3028" s="18">
        <v>3003350011013</v>
      </c>
      <c r="G3028" s="20" t="str">
        <f t="shared" si="141"/>
        <v xml:space="preserve"> BRACELET        </v>
      </c>
      <c r="H3028" s="20" t="str">
        <f t="shared" si="142"/>
        <v xml:space="preserve">YELL </v>
      </c>
      <c r="I3028" s="20" t="str">
        <f t="shared" si="143"/>
        <v xml:space="preserve">S    </v>
      </c>
    </row>
    <row r="3029" spans="1:9">
      <c r="A3029" s="17" t="s">
        <v>1422</v>
      </c>
      <c r="B3029" s="17" t="s">
        <v>825</v>
      </c>
      <c r="C3029" s="17" t="s">
        <v>804</v>
      </c>
      <c r="D3029" s="17" t="s">
        <v>801</v>
      </c>
      <c r="E3029" s="18">
        <v>3003350011044</v>
      </c>
      <c r="G3029" s="20" t="str">
        <f t="shared" si="141"/>
        <v xml:space="preserve"> BRACELET        </v>
      </c>
      <c r="H3029" s="20" t="str">
        <f t="shared" si="142"/>
        <v xml:space="preserve">YELL </v>
      </c>
      <c r="I3029" s="20" t="str">
        <f t="shared" si="143"/>
        <v xml:space="preserve">XL   </v>
      </c>
    </row>
    <row r="3030" spans="1:9">
      <c r="A3030" s="17" t="s">
        <v>1422</v>
      </c>
      <c r="B3030" s="17" t="s">
        <v>825</v>
      </c>
      <c r="C3030" s="17" t="s">
        <v>805</v>
      </c>
      <c r="D3030" s="17" t="s">
        <v>801</v>
      </c>
      <c r="E3030" s="18">
        <v>8051770303633</v>
      </c>
      <c r="G3030" s="20" t="str">
        <f t="shared" si="141"/>
        <v xml:space="preserve"> BRACELET        </v>
      </c>
      <c r="H3030" s="20" t="str">
        <f t="shared" si="142"/>
        <v xml:space="preserve">YELL </v>
      </c>
      <c r="I3030" s="20" t="str">
        <f t="shared" si="143"/>
        <v xml:space="preserve">XS   </v>
      </c>
    </row>
    <row r="3031" spans="1:9">
      <c r="A3031" s="17" t="s">
        <v>1422</v>
      </c>
      <c r="B3031" s="17" t="s">
        <v>825</v>
      </c>
      <c r="C3031" s="17" t="s">
        <v>805</v>
      </c>
      <c r="D3031" s="17" t="s">
        <v>801</v>
      </c>
      <c r="E3031" s="18">
        <v>3003350011006</v>
      </c>
      <c r="G3031" s="20" t="str">
        <f t="shared" si="141"/>
        <v xml:space="preserve"> BRACELET        </v>
      </c>
      <c r="H3031" s="20" t="str">
        <f t="shared" si="142"/>
        <v xml:space="preserve">YELL </v>
      </c>
      <c r="I3031" s="20" t="str">
        <f t="shared" si="143"/>
        <v xml:space="preserve">XS   </v>
      </c>
    </row>
    <row r="3032" spans="1:9">
      <c r="A3032" s="17" t="s">
        <v>1444</v>
      </c>
      <c r="B3032" s="17" t="s">
        <v>963</v>
      </c>
      <c r="C3032" s="17" t="s">
        <v>800</v>
      </c>
      <c r="D3032" s="17" t="s">
        <v>801</v>
      </c>
      <c r="E3032" s="18">
        <v>8058333587004</v>
      </c>
      <c r="G3032" s="20" t="str">
        <f t="shared" si="141"/>
        <v xml:space="preserve"> BRACELETGREAT   </v>
      </c>
      <c r="H3032" s="20" t="str">
        <f t="shared" si="142"/>
        <v>AMARA</v>
      </c>
      <c r="I3032" s="20" t="str">
        <f t="shared" si="143"/>
        <v xml:space="preserve">L    </v>
      </c>
    </row>
    <row r="3033" spans="1:9">
      <c r="A3033" s="17" t="s">
        <v>1444</v>
      </c>
      <c r="B3033" s="17" t="s">
        <v>963</v>
      </c>
      <c r="C3033" s="17" t="s">
        <v>800</v>
      </c>
      <c r="D3033" s="17" t="s">
        <v>801</v>
      </c>
      <c r="E3033" s="18">
        <v>3004390691036</v>
      </c>
      <c r="G3033" s="20" t="str">
        <f t="shared" si="141"/>
        <v xml:space="preserve"> BRACELETGREAT   </v>
      </c>
      <c r="H3033" s="20" t="str">
        <f t="shared" si="142"/>
        <v>AMARA</v>
      </c>
      <c r="I3033" s="20" t="str">
        <f t="shared" si="143"/>
        <v xml:space="preserve">L    </v>
      </c>
    </row>
    <row r="3034" spans="1:9">
      <c r="A3034" s="17" t="s">
        <v>1444</v>
      </c>
      <c r="B3034" s="17" t="s">
        <v>963</v>
      </c>
      <c r="C3034" s="17" t="s">
        <v>802</v>
      </c>
      <c r="D3034" s="17" t="s">
        <v>801</v>
      </c>
      <c r="E3034" s="18">
        <v>8058333587011</v>
      </c>
      <c r="G3034" s="20" t="str">
        <f t="shared" si="141"/>
        <v xml:space="preserve"> BRACELETGREAT   </v>
      </c>
      <c r="H3034" s="20" t="str">
        <f t="shared" si="142"/>
        <v>AMARA</v>
      </c>
      <c r="I3034" s="20" t="str">
        <f t="shared" si="143"/>
        <v xml:space="preserve">M    </v>
      </c>
    </row>
    <row r="3035" spans="1:9">
      <c r="A3035" s="17" t="s">
        <v>1444</v>
      </c>
      <c r="B3035" s="17" t="s">
        <v>963</v>
      </c>
      <c r="C3035" s="17" t="s">
        <v>802</v>
      </c>
      <c r="D3035" s="17" t="s">
        <v>801</v>
      </c>
      <c r="E3035" s="18">
        <v>3004390691029</v>
      </c>
      <c r="G3035" s="20" t="str">
        <f t="shared" si="141"/>
        <v xml:space="preserve"> BRACELETGREAT   </v>
      </c>
      <c r="H3035" s="20" t="str">
        <f t="shared" si="142"/>
        <v>AMARA</v>
      </c>
      <c r="I3035" s="20" t="str">
        <f t="shared" si="143"/>
        <v xml:space="preserve">M    </v>
      </c>
    </row>
    <row r="3036" spans="1:9">
      <c r="A3036" s="17" t="s">
        <v>1444</v>
      </c>
      <c r="B3036" s="17" t="s">
        <v>963</v>
      </c>
      <c r="C3036" s="17" t="s">
        <v>803</v>
      </c>
      <c r="D3036" s="17" t="s">
        <v>801</v>
      </c>
      <c r="E3036" s="18">
        <v>8058333587028</v>
      </c>
      <c r="G3036" s="20" t="str">
        <f t="shared" si="141"/>
        <v xml:space="preserve"> BRACELETGREAT   </v>
      </c>
      <c r="H3036" s="20" t="str">
        <f t="shared" si="142"/>
        <v>AMARA</v>
      </c>
      <c r="I3036" s="20" t="str">
        <f t="shared" si="143"/>
        <v xml:space="preserve">S    </v>
      </c>
    </row>
    <row r="3037" spans="1:9">
      <c r="A3037" s="17" t="s">
        <v>1444</v>
      </c>
      <c r="B3037" s="17" t="s">
        <v>963</v>
      </c>
      <c r="C3037" s="17" t="s">
        <v>803</v>
      </c>
      <c r="D3037" s="17" t="s">
        <v>801</v>
      </c>
      <c r="E3037" s="18">
        <v>3004390691012</v>
      </c>
      <c r="G3037" s="20" t="str">
        <f t="shared" si="141"/>
        <v xml:space="preserve"> BRACELETGREAT   </v>
      </c>
      <c r="H3037" s="20" t="str">
        <f t="shared" si="142"/>
        <v>AMARA</v>
      </c>
      <c r="I3037" s="20" t="str">
        <f t="shared" si="143"/>
        <v xml:space="preserve">S    </v>
      </c>
    </row>
    <row r="3038" spans="1:9">
      <c r="A3038" s="17" t="s">
        <v>1444</v>
      </c>
      <c r="B3038" s="17" t="s">
        <v>963</v>
      </c>
      <c r="C3038" s="17" t="s">
        <v>804</v>
      </c>
      <c r="D3038" s="17" t="s">
        <v>801</v>
      </c>
      <c r="E3038" s="18">
        <v>3004390691043</v>
      </c>
      <c r="G3038" s="20" t="str">
        <f t="shared" si="141"/>
        <v xml:space="preserve"> BRACELETGREAT   </v>
      </c>
      <c r="H3038" s="20" t="str">
        <f t="shared" si="142"/>
        <v>AMARA</v>
      </c>
      <c r="I3038" s="20" t="str">
        <f t="shared" si="143"/>
        <v xml:space="preserve">XL   </v>
      </c>
    </row>
    <row r="3039" spans="1:9">
      <c r="A3039" s="17" t="s">
        <v>1444</v>
      </c>
      <c r="B3039" s="17" t="s">
        <v>963</v>
      </c>
      <c r="C3039" s="17" t="s">
        <v>805</v>
      </c>
      <c r="D3039" s="17" t="s">
        <v>801</v>
      </c>
      <c r="E3039" s="18">
        <v>3004390691005</v>
      </c>
      <c r="G3039" s="20" t="str">
        <f t="shared" si="141"/>
        <v xml:space="preserve"> BRACELETGREAT   </v>
      </c>
      <c r="H3039" s="20" t="str">
        <f t="shared" si="142"/>
        <v>AMARA</v>
      </c>
      <c r="I3039" s="20" t="str">
        <f t="shared" si="143"/>
        <v xml:space="preserve">XS   </v>
      </c>
    </row>
    <row r="3040" spans="1:9">
      <c r="A3040" s="17" t="s">
        <v>1444</v>
      </c>
      <c r="B3040" s="17" t="s">
        <v>879</v>
      </c>
      <c r="C3040" s="17" t="s">
        <v>800</v>
      </c>
      <c r="D3040" s="17" t="s">
        <v>801</v>
      </c>
      <c r="E3040" s="18">
        <v>8058983590522</v>
      </c>
      <c r="G3040" s="20" t="str">
        <f t="shared" si="141"/>
        <v xml:space="preserve"> BRACELETGREAT   </v>
      </c>
      <c r="H3040" s="20" t="str">
        <f t="shared" si="142"/>
        <v xml:space="preserve">AZUR </v>
      </c>
      <c r="I3040" s="20" t="str">
        <f t="shared" si="143"/>
        <v xml:space="preserve">L    </v>
      </c>
    </row>
    <row r="3041" spans="1:9">
      <c r="A3041" s="17" t="s">
        <v>1444</v>
      </c>
      <c r="B3041" s="17" t="s">
        <v>879</v>
      </c>
      <c r="C3041" s="17" t="s">
        <v>800</v>
      </c>
      <c r="D3041" s="17" t="s">
        <v>801</v>
      </c>
      <c r="E3041" s="18">
        <v>3004390269037</v>
      </c>
      <c r="G3041" s="20" t="str">
        <f t="shared" si="141"/>
        <v xml:space="preserve"> BRACELETGREAT   </v>
      </c>
      <c r="H3041" s="20" t="str">
        <f t="shared" si="142"/>
        <v xml:space="preserve">AZUR </v>
      </c>
      <c r="I3041" s="20" t="str">
        <f t="shared" si="143"/>
        <v xml:space="preserve">L    </v>
      </c>
    </row>
    <row r="3042" spans="1:9">
      <c r="A3042" s="17" t="s">
        <v>1444</v>
      </c>
      <c r="B3042" s="17" t="s">
        <v>879</v>
      </c>
      <c r="C3042" s="17" t="s">
        <v>802</v>
      </c>
      <c r="D3042" s="17" t="s">
        <v>801</v>
      </c>
      <c r="E3042" s="18">
        <v>8058983590539</v>
      </c>
      <c r="G3042" s="20" t="str">
        <f t="shared" si="141"/>
        <v xml:space="preserve"> BRACELETGREAT   </v>
      </c>
      <c r="H3042" s="20" t="str">
        <f t="shared" si="142"/>
        <v xml:space="preserve">AZUR </v>
      </c>
      <c r="I3042" s="20" t="str">
        <f t="shared" si="143"/>
        <v xml:space="preserve">M    </v>
      </c>
    </row>
    <row r="3043" spans="1:9">
      <c r="A3043" s="17" t="s">
        <v>1444</v>
      </c>
      <c r="B3043" s="17" t="s">
        <v>879</v>
      </c>
      <c r="C3043" s="17" t="s">
        <v>802</v>
      </c>
      <c r="D3043" s="17" t="s">
        <v>801</v>
      </c>
      <c r="E3043" s="18">
        <v>3004390269020</v>
      </c>
      <c r="G3043" s="20" t="str">
        <f t="shared" si="141"/>
        <v xml:space="preserve"> BRACELETGREAT   </v>
      </c>
      <c r="H3043" s="20" t="str">
        <f t="shared" si="142"/>
        <v xml:space="preserve">AZUR </v>
      </c>
      <c r="I3043" s="20" t="str">
        <f t="shared" si="143"/>
        <v xml:space="preserve">M    </v>
      </c>
    </row>
    <row r="3044" spans="1:9">
      <c r="A3044" s="17" t="s">
        <v>1444</v>
      </c>
      <c r="B3044" s="17" t="s">
        <v>879</v>
      </c>
      <c r="C3044" s="17" t="s">
        <v>803</v>
      </c>
      <c r="D3044" s="17" t="s">
        <v>801</v>
      </c>
      <c r="E3044" s="18">
        <v>8058983590546</v>
      </c>
      <c r="G3044" s="20" t="str">
        <f t="shared" si="141"/>
        <v xml:space="preserve"> BRACELETGREAT   </v>
      </c>
      <c r="H3044" s="20" t="str">
        <f t="shared" si="142"/>
        <v xml:space="preserve">AZUR </v>
      </c>
      <c r="I3044" s="20" t="str">
        <f t="shared" si="143"/>
        <v xml:space="preserve">S    </v>
      </c>
    </row>
    <row r="3045" spans="1:9">
      <c r="A3045" s="17" t="s">
        <v>1444</v>
      </c>
      <c r="B3045" s="17" t="s">
        <v>879</v>
      </c>
      <c r="C3045" s="17" t="s">
        <v>803</v>
      </c>
      <c r="D3045" s="17" t="s">
        <v>801</v>
      </c>
      <c r="E3045" s="18">
        <v>3004390269013</v>
      </c>
      <c r="G3045" s="20" t="str">
        <f t="shared" si="141"/>
        <v xml:space="preserve"> BRACELETGREAT   </v>
      </c>
      <c r="H3045" s="20" t="str">
        <f t="shared" si="142"/>
        <v xml:space="preserve">AZUR </v>
      </c>
      <c r="I3045" s="20" t="str">
        <f t="shared" si="143"/>
        <v xml:space="preserve">S    </v>
      </c>
    </row>
    <row r="3046" spans="1:9">
      <c r="A3046" s="17" t="s">
        <v>1444</v>
      </c>
      <c r="B3046" s="17" t="s">
        <v>879</v>
      </c>
      <c r="C3046" s="17" t="s">
        <v>804</v>
      </c>
      <c r="D3046" s="17" t="s">
        <v>801</v>
      </c>
      <c r="E3046" s="18">
        <v>3004390269044</v>
      </c>
      <c r="G3046" s="20" t="str">
        <f t="shared" si="141"/>
        <v xml:space="preserve"> BRACELETGREAT   </v>
      </c>
      <c r="H3046" s="20" t="str">
        <f t="shared" si="142"/>
        <v xml:space="preserve">AZUR </v>
      </c>
      <c r="I3046" s="20" t="str">
        <f t="shared" si="143"/>
        <v xml:space="preserve">XL   </v>
      </c>
    </row>
    <row r="3047" spans="1:9">
      <c r="A3047" s="17" t="s">
        <v>1444</v>
      </c>
      <c r="B3047" s="17" t="s">
        <v>879</v>
      </c>
      <c r="C3047" s="17" t="s">
        <v>805</v>
      </c>
      <c r="D3047" s="17" t="s">
        <v>801</v>
      </c>
      <c r="E3047" s="18">
        <v>3004390269006</v>
      </c>
      <c r="G3047" s="20" t="str">
        <f t="shared" si="141"/>
        <v xml:space="preserve"> BRACELETGREAT   </v>
      </c>
      <c r="H3047" s="20" t="str">
        <f t="shared" si="142"/>
        <v xml:space="preserve">AZUR </v>
      </c>
      <c r="I3047" s="20" t="str">
        <f t="shared" si="143"/>
        <v xml:space="preserve">XS   </v>
      </c>
    </row>
    <row r="3048" spans="1:9">
      <c r="A3048" s="17" t="s">
        <v>1444</v>
      </c>
      <c r="B3048" s="17" t="s">
        <v>280</v>
      </c>
      <c r="C3048" s="17" t="s">
        <v>800</v>
      </c>
      <c r="D3048" s="17" t="s">
        <v>801</v>
      </c>
      <c r="E3048" s="18">
        <v>8058983590645</v>
      </c>
      <c r="G3048" s="20" t="str">
        <f t="shared" si="141"/>
        <v xml:space="preserve"> BRACELETGREAT   </v>
      </c>
      <c r="H3048" s="20" t="str">
        <f t="shared" si="142"/>
        <v>BLACK</v>
      </c>
      <c r="I3048" s="20" t="str">
        <f t="shared" si="143"/>
        <v xml:space="preserve">L    </v>
      </c>
    </row>
    <row r="3049" spans="1:9">
      <c r="A3049" s="17" t="s">
        <v>1444</v>
      </c>
      <c r="B3049" s="17" t="s">
        <v>280</v>
      </c>
      <c r="C3049" s="17" t="s">
        <v>800</v>
      </c>
      <c r="D3049" s="17" t="s">
        <v>801</v>
      </c>
      <c r="E3049" s="18">
        <v>3004390276035</v>
      </c>
      <c r="G3049" s="20" t="str">
        <f t="shared" si="141"/>
        <v xml:space="preserve"> BRACELETGREAT   </v>
      </c>
      <c r="H3049" s="20" t="str">
        <f t="shared" si="142"/>
        <v>BLACK</v>
      </c>
      <c r="I3049" s="20" t="str">
        <f t="shared" si="143"/>
        <v xml:space="preserve">L    </v>
      </c>
    </row>
    <row r="3050" spans="1:9">
      <c r="A3050" s="17" t="s">
        <v>1444</v>
      </c>
      <c r="B3050" s="17" t="s">
        <v>280</v>
      </c>
      <c r="C3050" s="17" t="s">
        <v>802</v>
      </c>
      <c r="D3050" s="17" t="s">
        <v>801</v>
      </c>
      <c r="E3050" s="18">
        <v>8058983590652</v>
      </c>
      <c r="G3050" s="20" t="str">
        <f t="shared" si="141"/>
        <v xml:space="preserve"> BRACELETGREAT   </v>
      </c>
      <c r="H3050" s="20" t="str">
        <f t="shared" si="142"/>
        <v>BLACK</v>
      </c>
      <c r="I3050" s="20" t="str">
        <f t="shared" si="143"/>
        <v xml:space="preserve">M    </v>
      </c>
    </row>
    <row r="3051" spans="1:9">
      <c r="A3051" s="17" t="s">
        <v>1444</v>
      </c>
      <c r="B3051" s="17" t="s">
        <v>280</v>
      </c>
      <c r="C3051" s="17" t="s">
        <v>802</v>
      </c>
      <c r="D3051" s="17" t="s">
        <v>801</v>
      </c>
      <c r="E3051" s="18">
        <v>3004390276028</v>
      </c>
      <c r="G3051" s="20" t="str">
        <f t="shared" si="141"/>
        <v xml:space="preserve"> BRACELETGREAT   </v>
      </c>
      <c r="H3051" s="20" t="str">
        <f t="shared" si="142"/>
        <v>BLACK</v>
      </c>
      <c r="I3051" s="20" t="str">
        <f t="shared" si="143"/>
        <v xml:space="preserve">M    </v>
      </c>
    </row>
    <row r="3052" spans="1:9">
      <c r="A3052" s="17" t="s">
        <v>1444</v>
      </c>
      <c r="B3052" s="17" t="s">
        <v>280</v>
      </c>
      <c r="C3052" s="17" t="s">
        <v>803</v>
      </c>
      <c r="D3052" s="17" t="s">
        <v>801</v>
      </c>
      <c r="E3052" s="18">
        <v>8058983590669</v>
      </c>
      <c r="G3052" s="20" t="str">
        <f t="shared" si="141"/>
        <v xml:space="preserve"> BRACELETGREAT   </v>
      </c>
      <c r="H3052" s="20" t="str">
        <f t="shared" si="142"/>
        <v>BLACK</v>
      </c>
      <c r="I3052" s="20" t="str">
        <f t="shared" si="143"/>
        <v xml:space="preserve">S    </v>
      </c>
    </row>
    <row r="3053" spans="1:9">
      <c r="A3053" s="17" t="s">
        <v>1444</v>
      </c>
      <c r="B3053" s="17" t="s">
        <v>280</v>
      </c>
      <c r="C3053" s="17" t="s">
        <v>803</v>
      </c>
      <c r="D3053" s="17" t="s">
        <v>801</v>
      </c>
      <c r="E3053" s="18">
        <v>3004390276011</v>
      </c>
      <c r="G3053" s="20" t="str">
        <f t="shared" si="141"/>
        <v xml:space="preserve"> BRACELETGREAT   </v>
      </c>
      <c r="H3053" s="20" t="str">
        <f t="shared" si="142"/>
        <v>BLACK</v>
      </c>
      <c r="I3053" s="20" t="str">
        <f t="shared" si="143"/>
        <v xml:space="preserve">S    </v>
      </c>
    </row>
    <row r="3054" spans="1:9">
      <c r="A3054" s="17" t="s">
        <v>1444</v>
      </c>
      <c r="B3054" s="17" t="s">
        <v>280</v>
      </c>
      <c r="C3054" s="17" t="s">
        <v>804</v>
      </c>
      <c r="D3054" s="17" t="s">
        <v>801</v>
      </c>
      <c r="E3054" s="18">
        <v>3004390276042</v>
      </c>
      <c r="G3054" s="20" t="str">
        <f t="shared" si="141"/>
        <v xml:space="preserve"> BRACELETGREAT   </v>
      </c>
      <c r="H3054" s="20" t="str">
        <f t="shared" si="142"/>
        <v>BLACK</v>
      </c>
      <c r="I3054" s="20" t="str">
        <f t="shared" si="143"/>
        <v xml:space="preserve">XL   </v>
      </c>
    </row>
    <row r="3055" spans="1:9">
      <c r="A3055" s="17" t="s">
        <v>1444</v>
      </c>
      <c r="B3055" s="17" t="s">
        <v>280</v>
      </c>
      <c r="C3055" s="17" t="s">
        <v>805</v>
      </c>
      <c r="D3055" s="17" t="s">
        <v>801</v>
      </c>
      <c r="E3055" s="18">
        <v>3004390276004</v>
      </c>
      <c r="G3055" s="20" t="str">
        <f t="shared" si="141"/>
        <v xml:space="preserve"> BRACELETGREAT   </v>
      </c>
      <c r="H3055" s="20" t="str">
        <f t="shared" si="142"/>
        <v>BLACK</v>
      </c>
      <c r="I3055" s="20" t="str">
        <f t="shared" si="143"/>
        <v xml:space="preserve">XS   </v>
      </c>
    </row>
    <row r="3056" spans="1:9">
      <c r="A3056" s="17" t="s">
        <v>1444</v>
      </c>
      <c r="B3056" s="17" t="s">
        <v>1423</v>
      </c>
      <c r="C3056" s="17" t="s">
        <v>800</v>
      </c>
      <c r="D3056" s="17" t="s">
        <v>801</v>
      </c>
      <c r="E3056" s="18">
        <v>3004390278039</v>
      </c>
      <c r="G3056" s="20" t="str">
        <f t="shared" si="141"/>
        <v xml:space="preserve"> BRACELETGREAT   </v>
      </c>
      <c r="H3056" s="20" t="str">
        <f t="shared" si="142"/>
        <v xml:space="preserve">BLG  </v>
      </c>
      <c r="I3056" s="20" t="str">
        <f t="shared" si="143"/>
        <v xml:space="preserve">L    </v>
      </c>
    </row>
    <row r="3057" spans="1:9">
      <c r="A3057" s="17" t="s">
        <v>1444</v>
      </c>
      <c r="B3057" s="17" t="s">
        <v>1423</v>
      </c>
      <c r="C3057" s="17" t="s">
        <v>800</v>
      </c>
      <c r="D3057" s="17" t="s">
        <v>801</v>
      </c>
      <c r="E3057" s="18">
        <v>3005050544037</v>
      </c>
      <c r="G3057" s="20" t="str">
        <f t="shared" si="141"/>
        <v xml:space="preserve"> BRACELETGREAT   </v>
      </c>
      <c r="H3057" s="20" t="str">
        <f t="shared" si="142"/>
        <v xml:space="preserve">BLG  </v>
      </c>
      <c r="I3057" s="20" t="str">
        <f t="shared" si="143"/>
        <v xml:space="preserve">L    </v>
      </c>
    </row>
    <row r="3058" spans="1:9">
      <c r="A3058" s="17" t="s">
        <v>1444</v>
      </c>
      <c r="B3058" s="17" t="s">
        <v>1423</v>
      </c>
      <c r="C3058" s="17" t="s">
        <v>802</v>
      </c>
      <c r="D3058" s="17" t="s">
        <v>801</v>
      </c>
      <c r="E3058" s="18">
        <v>3004390278022</v>
      </c>
      <c r="G3058" s="20" t="str">
        <f t="shared" si="141"/>
        <v xml:space="preserve"> BRACELETGREAT   </v>
      </c>
      <c r="H3058" s="20" t="str">
        <f t="shared" si="142"/>
        <v xml:space="preserve">BLG  </v>
      </c>
      <c r="I3058" s="20" t="str">
        <f t="shared" si="143"/>
        <v xml:space="preserve">M    </v>
      </c>
    </row>
    <row r="3059" spans="1:9">
      <c r="A3059" s="17" t="s">
        <v>1444</v>
      </c>
      <c r="B3059" s="17" t="s">
        <v>1423</v>
      </c>
      <c r="C3059" s="17" t="s">
        <v>802</v>
      </c>
      <c r="D3059" s="17" t="s">
        <v>801</v>
      </c>
      <c r="E3059" s="18">
        <v>3005050544020</v>
      </c>
      <c r="G3059" s="20" t="str">
        <f t="shared" si="141"/>
        <v xml:space="preserve"> BRACELETGREAT   </v>
      </c>
      <c r="H3059" s="20" t="str">
        <f t="shared" si="142"/>
        <v xml:space="preserve">BLG  </v>
      </c>
      <c r="I3059" s="20" t="str">
        <f t="shared" si="143"/>
        <v xml:space="preserve">M    </v>
      </c>
    </row>
    <row r="3060" spans="1:9">
      <c r="A3060" s="17" t="s">
        <v>1444</v>
      </c>
      <c r="B3060" s="17" t="s">
        <v>1423</v>
      </c>
      <c r="C3060" s="17" t="s">
        <v>803</v>
      </c>
      <c r="D3060" s="17" t="s">
        <v>801</v>
      </c>
      <c r="E3060" s="18">
        <v>3004390278015</v>
      </c>
      <c r="G3060" s="20" t="str">
        <f t="shared" si="141"/>
        <v xml:space="preserve"> BRACELETGREAT   </v>
      </c>
      <c r="H3060" s="20" t="str">
        <f t="shared" si="142"/>
        <v xml:space="preserve">BLG  </v>
      </c>
      <c r="I3060" s="20" t="str">
        <f t="shared" si="143"/>
        <v xml:space="preserve">S    </v>
      </c>
    </row>
    <row r="3061" spans="1:9">
      <c r="A3061" s="17" t="s">
        <v>1444</v>
      </c>
      <c r="B3061" s="17" t="s">
        <v>1423</v>
      </c>
      <c r="C3061" s="17" t="s">
        <v>803</v>
      </c>
      <c r="D3061" s="17" t="s">
        <v>801</v>
      </c>
      <c r="E3061" s="18">
        <v>3005050544013</v>
      </c>
      <c r="G3061" s="20" t="str">
        <f t="shared" si="141"/>
        <v xml:space="preserve"> BRACELETGREAT   </v>
      </c>
      <c r="H3061" s="20" t="str">
        <f t="shared" si="142"/>
        <v xml:space="preserve">BLG  </v>
      </c>
      <c r="I3061" s="20" t="str">
        <f t="shared" si="143"/>
        <v xml:space="preserve">S    </v>
      </c>
    </row>
    <row r="3062" spans="1:9">
      <c r="A3062" s="17" t="s">
        <v>1444</v>
      </c>
      <c r="B3062" s="17" t="s">
        <v>1423</v>
      </c>
      <c r="C3062" s="17" t="s">
        <v>804</v>
      </c>
      <c r="D3062" s="17" t="s">
        <v>801</v>
      </c>
      <c r="E3062" s="18">
        <v>3004390278046</v>
      </c>
      <c r="G3062" s="20" t="str">
        <f t="shared" si="141"/>
        <v xml:space="preserve"> BRACELETGREAT   </v>
      </c>
      <c r="H3062" s="20" t="str">
        <f t="shared" si="142"/>
        <v xml:space="preserve">BLG  </v>
      </c>
      <c r="I3062" s="20" t="str">
        <f t="shared" si="143"/>
        <v xml:space="preserve">XL   </v>
      </c>
    </row>
    <row r="3063" spans="1:9">
      <c r="A3063" s="17" t="s">
        <v>1444</v>
      </c>
      <c r="B3063" s="17" t="s">
        <v>1423</v>
      </c>
      <c r="C3063" s="17" t="s">
        <v>804</v>
      </c>
      <c r="D3063" s="17" t="s">
        <v>801</v>
      </c>
      <c r="E3063" s="18">
        <v>3005050544044</v>
      </c>
      <c r="G3063" s="20" t="str">
        <f t="shared" si="141"/>
        <v xml:space="preserve"> BRACELETGREAT   </v>
      </c>
      <c r="H3063" s="20" t="str">
        <f t="shared" si="142"/>
        <v xml:space="preserve">BLG  </v>
      </c>
      <c r="I3063" s="20" t="str">
        <f t="shared" si="143"/>
        <v xml:space="preserve">XL   </v>
      </c>
    </row>
    <row r="3064" spans="1:9">
      <c r="A3064" s="17" t="s">
        <v>1444</v>
      </c>
      <c r="B3064" s="17" t="s">
        <v>1423</v>
      </c>
      <c r="C3064" s="17" t="s">
        <v>805</v>
      </c>
      <c r="D3064" s="17" t="s">
        <v>801</v>
      </c>
      <c r="E3064" s="18">
        <v>3004390278008</v>
      </c>
      <c r="G3064" s="20" t="str">
        <f t="shared" si="141"/>
        <v xml:space="preserve"> BRACELETGREAT   </v>
      </c>
      <c r="H3064" s="20" t="str">
        <f t="shared" si="142"/>
        <v xml:space="preserve">BLG  </v>
      </c>
      <c r="I3064" s="20" t="str">
        <f t="shared" si="143"/>
        <v xml:space="preserve">XS   </v>
      </c>
    </row>
    <row r="3065" spans="1:9">
      <c r="A3065" s="17" t="s">
        <v>1444</v>
      </c>
      <c r="B3065" s="17" t="s">
        <v>1423</v>
      </c>
      <c r="C3065" s="17" t="s">
        <v>805</v>
      </c>
      <c r="D3065" s="17" t="s">
        <v>801</v>
      </c>
      <c r="E3065" s="18">
        <v>3005050544006</v>
      </c>
      <c r="G3065" s="20" t="str">
        <f t="shared" si="141"/>
        <v xml:space="preserve"> BRACELETGREAT   </v>
      </c>
      <c r="H3065" s="20" t="str">
        <f t="shared" si="142"/>
        <v xml:space="preserve">BLG  </v>
      </c>
      <c r="I3065" s="20" t="str">
        <f t="shared" si="143"/>
        <v xml:space="preserve">XS   </v>
      </c>
    </row>
    <row r="3066" spans="1:9">
      <c r="A3066" s="17" t="s">
        <v>1444</v>
      </c>
      <c r="B3066" s="17" t="s">
        <v>1424</v>
      </c>
      <c r="C3066" s="17" t="s">
        <v>800</v>
      </c>
      <c r="D3066" s="17" t="s">
        <v>801</v>
      </c>
      <c r="E3066" s="18">
        <v>8058983590461</v>
      </c>
      <c r="G3066" s="20" t="str">
        <f t="shared" si="141"/>
        <v xml:space="preserve"> BRACELETGREAT   </v>
      </c>
      <c r="H3066" s="20" t="str">
        <f t="shared" si="142"/>
        <v>CAPRI</v>
      </c>
      <c r="I3066" s="20" t="str">
        <f t="shared" si="143"/>
        <v xml:space="preserve">L    </v>
      </c>
    </row>
    <row r="3067" spans="1:9">
      <c r="A3067" s="17" t="s">
        <v>1444</v>
      </c>
      <c r="B3067" s="17" t="s">
        <v>1424</v>
      </c>
      <c r="C3067" s="17" t="s">
        <v>800</v>
      </c>
      <c r="D3067" s="17" t="s">
        <v>801</v>
      </c>
      <c r="E3067" s="18">
        <v>3004390299034</v>
      </c>
      <c r="G3067" s="20" t="str">
        <f t="shared" si="141"/>
        <v xml:space="preserve"> BRACELETGREAT   </v>
      </c>
      <c r="H3067" s="20" t="str">
        <f t="shared" si="142"/>
        <v>CAPRI</v>
      </c>
      <c r="I3067" s="20" t="str">
        <f t="shared" si="143"/>
        <v xml:space="preserve">L    </v>
      </c>
    </row>
    <row r="3068" spans="1:9">
      <c r="A3068" s="17" t="s">
        <v>1444</v>
      </c>
      <c r="B3068" s="17" t="s">
        <v>1424</v>
      </c>
      <c r="C3068" s="17" t="s">
        <v>802</v>
      </c>
      <c r="D3068" s="17" t="s">
        <v>801</v>
      </c>
      <c r="E3068" s="18">
        <v>8058983590478</v>
      </c>
      <c r="G3068" s="20" t="str">
        <f t="shared" si="141"/>
        <v xml:space="preserve"> BRACELETGREAT   </v>
      </c>
      <c r="H3068" s="20" t="str">
        <f t="shared" si="142"/>
        <v>CAPRI</v>
      </c>
      <c r="I3068" s="20" t="str">
        <f t="shared" si="143"/>
        <v xml:space="preserve">M    </v>
      </c>
    </row>
    <row r="3069" spans="1:9">
      <c r="A3069" s="17" t="s">
        <v>1444</v>
      </c>
      <c r="B3069" s="17" t="s">
        <v>1424</v>
      </c>
      <c r="C3069" s="17" t="s">
        <v>802</v>
      </c>
      <c r="D3069" s="17" t="s">
        <v>801</v>
      </c>
      <c r="E3069" s="18">
        <v>3004390299027</v>
      </c>
      <c r="G3069" s="20" t="str">
        <f t="shared" si="141"/>
        <v xml:space="preserve"> BRACELETGREAT   </v>
      </c>
      <c r="H3069" s="20" t="str">
        <f t="shared" si="142"/>
        <v>CAPRI</v>
      </c>
      <c r="I3069" s="20" t="str">
        <f t="shared" si="143"/>
        <v xml:space="preserve">M    </v>
      </c>
    </row>
    <row r="3070" spans="1:9">
      <c r="A3070" s="17" t="s">
        <v>1444</v>
      </c>
      <c r="B3070" s="17" t="s">
        <v>1424</v>
      </c>
      <c r="C3070" s="17" t="s">
        <v>803</v>
      </c>
      <c r="D3070" s="17" t="s">
        <v>801</v>
      </c>
      <c r="E3070" s="18">
        <v>8058983590485</v>
      </c>
      <c r="G3070" s="20" t="str">
        <f t="shared" si="141"/>
        <v xml:space="preserve"> BRACELETGREAT   </v>
      </c>
      <c r="H3070" s="20" t="str">
        <f t="shared" si="142"/>
        <v>CAPRI</v>
      </c>
      <c r="I3070" s="20" t="str">
        <f t="shared" si="143"/>
        <v xml:space="preserve">S    </v>
      </c>
    </row>
    <row r="3071" spans="1:9">
      <c r="A3071" s="17" t="s">
        <v>1444</v>
      </c>
      <c r="B3071" s="17" t="s">
        <v>1424</v>
      </c>
      <c r="C3071" s="17" t="s">
        <v>803</v>
      </c>
      <c r="D3071" s="17" t="s">
        <v>801</v>
      </c>
      <c r="E3071" s="18">
        <v>3004390299010</v>
      </c>
      <c r="G3071" s="20" t="str">
        <f t="shared" si="141"/>
        <v xml:space="preserve"> BRACELETGREAT   </v>
      </c>
      <c r="H3071" s="20" t="str">
        <f t="shared" si="142"/>
        <v>CAPRI</v>
      </c>
      <c r="I3071" s="20" t="str">
        <f t="shared" si="143"/>
        <v xml:space="preserve">S    </v>
      </c>
    </row>
    <row r="3072" spans="1:9">
      <c r="A3072" s="17" t="s">
        <v>1444</v>
      </c>
      <c r="B3072" s="17" t="s">
        <v>1424</v>
      </c>
      <c r="C3072" s="17" t="s">
        <v>804</v>
      </c>
      <c r="D3072" s="17" t="s">
        <v>801</v>
      </c>
      <c r="E3072" s="18">
        <v>3004390299041</v>
      </c>
      <c r="G3072" s="20" t="str">
        <f t="shared" si="141"/>
        <v xml:space="preserve"> BRACELETGREAT   </v>
      </c>
      <c r="H3072" s="20" t="str">
        <f t="shared" si="142"/>
        <v>CAPRI</v>
      </c>
      <c r="I3072" s="20" t="str">
        <f t="shared" si="143"/>
        <v xml:space="preserve">XL   </v>
      </c>
    </row>
    <row r="3073" spans="1:9">
      <c r="A3073" s="17" t="s">
        <v>1444</v>
      </c>
      <c r="B3073" s="17" t="s">
        <v>1424</v>
      </c>
      <c r="C3073" s="17" t="s">
        <v>805</v>
      </c>
      <c r="D3073" s="17" t="s">
        <v>801</v>
      </c>
      <c r="E3073" s="18">
        <v>3004390299003</v>
      </c>
      <c r="G3073" s="20" t="str">
        <f t="shared" si="141"/>
        <v xml:space="preserve"> BRACELETGREAT   </v>
      </c>
      <c r="H3073" s="20" t="str">
        <f t="shared" si="142"/>
        <v>CAPRI</v>
      </c>
      <c r="I3073" s="20" t="str">
        <f t="shared" si="143"/>
        <v xml:space="preserve">XS   </v>
      </c>
    </row>
    <row r="3074" spans="1:9">
      <c r="A3074" s="17" t="s">
        <v>1444</v>
      </c>
      <c r="B3074" s="17" t="s">
        <v>1425</v>
      </c>
      <c r="C3074" s="17" t="s">
        <v>800</v>
      </c>
      <c r="D3074" s="17" t="s">
        <v>801</v>
      </c>
      <c r="E3074" s="18">
        <v>3005050561034</v>
      </c>
      <c r="G3074" s="20" t="str">
        <f t="shared" si="141"/>
        <v xml:space="preserve"> BRACELETGREAT   </v>
      </c>
      <c r="H3074" s="20" t="str">
        <f t="shared" si="142"/>
        <v xml:space="preserve">CHO  </v>
      </c>
      <c r="I3074" s="20" t="str">
        <f t="shared" si="143"/>
        <v xml:space="preserve">L    </v>
      </c>
    </row>
    <row r="3075" spans="1:9">
      <c r="A3075" s="17" t="s">
        <v>1444</v>
      </c>
      <c r="B3075" s="17" t="s">
        <v>1425</v>
      </c>
      <c r="C3075" s="17" t="s">
        <v>802</v>
      </c>
      <c r="D3075" s="17" t="s">
        <v>801</v>
      </c>
      <c r="E3075" s="18">
        <v>3005050561027</v>
      </c>
      <c r="G3075" s="20" t="str">
        <f t="shared" si="141"/>
        <v xml:space="preserve"> BRACELETGREAT   </v>
      </c>
      <c r="H3075" s="20" t="str">
        <f t="shared" si="142"/>
        <v xml:space="preserve">CHO  </v>
      </c>
      <c r="I3075" s="20" t="str">
        <f t="shared" si="143"/>
        <v xml:space="preserve">M    </v>
      </c>
    </row>
    <row r="3076" spans="1:9">
      <c r="A3076" s="17" t="s">
        <v>1444</v>
      </c>
      <c r="B3076" s="17" t="s">
        <v>1425</v>
      </c>
      <c r="C3076" s="17" t="s">
        <v>803</v>
      </c>
      <c r="D3076" s="17" t="s">
        <v>801</v>
      </c>
      <c r="E3076" s="18">
        <v>3005050561010</v>
      </c>
      <c r="G3076" s="20" t="str">
        <f t="shared" si="141"/>
        <v xml:space="preserve"> BRACELETGREAT   </v>
      </c>
      <c r="H3076" s="20" t="str">
        <f t="shared" si="142"/>
        <v xml:space="preserve">CHO  </v>
      </c>
      <c r="I3076" s="20" t="str">
        <f t="shared" si="143"/>
        <v xml:space="preserve">S    </v>
      </c>
    </row>
    <row r="3077" spans="1:9">
      <c r="A3077" s="17" t="s">
        <v>1444</v>
      </c>
      <c r="B3077" s="17" t="s">
        <v>1425</v>
      </c>
      <c r="C3077" s="17" t="s">
        <v>804</v>
      </c>
      <c r="D3077" s="17" t="s">
        <v>801</v>
      </c>
      <c r="E3077" s="18">
        <v>3005050561041</v>
      </c>
      <c r="G3077" s="20" t="str">
        <f t="shared" ref="G3077:G3140" si="144">A3077</f>
        <v xml:space="preserve"> BRACELETGREAT   </v>
      </c>
      <c r="H3077" s="20" t="str">
        <f t="shared" ref="H3077:H3140" si="145">B3077</f>
        <v xml:space="preserve">CHO  </v>
      </c>
      <c r="I3077" s="20" t="str">
        <f t="shared" ref="I3077:I3140" si="146">C3077</f>
        <v xml:space="preserve">XL   </v>
      </c>
    </row>
    <row r="3078" spans="1:9">
      <c r="A3078" s="17" t="s">
        <v>1444</v>
      </c>
      <c r="B3078" s="17" t="s">
        <v>1425</v>
      </c>
      <c r="C3078" s="17" t="s">
        <v>805</v>
      </c>
      <c r="D3078" s="17" t="s">
        <v>801</v>
      </c>
      <c r="E3078" s="18">
        <v>3005050561003</v>
      </c>
      <c r="G3078" s="20" t="str">
        <f t="shared" si="144"/>
        <v xml:space="preserve"> BRACELETGREAT   </v>
      </c>
      <c r="H3078" s="20" t="str">
        <f t="shared" si="145"/>
        <v xml:space="preserve">CHO  </v>
      </c>
      <c r="I3078" s="20" t="str">
        <f t="shared" si="146"/>
        <v xml:space="preserve">XS   </v>
      </c>
    </row>
    <row r="3079" spans="1:9">
      <c r="A3079" s="17" t="s">
        <v>1444</v>
      </c>
      <c r="B3079" s="17" t="s">
        <v>858</v>
      </c>
      <c r="C3079" s="17" t="s">
        <v>800</v>
      </c>
      <c r="D3079" s="17" t="s">
        <v>801</v>
      </c>
      <c r="E3079" s="18">
        <v>3004390341030</v>
      </c>
      <c r="G3079" s="20" t="str">
        <f t="shared" si="144"/>
        <v xml:space="preserve"> BRACELETGREAT   </v>
      </c>
      <c r="H3079" s="20" t="str">
        <f t="shared" si="145"/>
        <v xml:space="preserve">GREY </v>
      </c>
      <c r="I3079" s="20" t="str">
        <f t="shared" si="146"/>
        <v xml:space="preserve">L    </v>
      </c>
    </row>
    <row r="3080" spans="1:9">
      <c r="A3080" s="17" t="s">
        <v>1444</v>
      </c>
      <c r="B3080" s="17" t="s">
        <v>858</v>
      </c>
      <c r="C3080" s="17" t="s">
        <v>802</v>
      </c>
      <c r="D3080" s="17" t="s">
        <v>801</v>
      </c>
      <c r="E3080" s="18">
        <v>3004390341023</v>
      </c>
      <c r="G3080" s="20" t="str">
        <f t="shared" si="144"/>
        <v xml:space="preserve"> BRACELETGREAT   </v>
      </c>
      <c r="H3080" s="20" t="str">
        <f t="shared" si="145"/>
        <v xml:space="preserve">GREY </v>
      </c>
      <c r="I3080" s="20" t="str">
        <f t="shared" si="146"/>
        <v xml:space="preserve">M    </v>
      </c>
    </row>
    <row r="3081" spans="1:9">
      <c r="A3081" s="17" t="s">
        <v>1444</v>
      </c>
      <c r="B3081" s="17" t="s">
        <v>858</v>
      </c>
      <c r="C3081" s="17" t="s">
        <v>803</v>
      </c>
      <c r="D3081" s="17" t="s">
        <v>801</v>
      </c>
      <c r="E3081" s="18">
        <v>3004390341016</v>
      </c>
      <c r="G3081" s="20" t="str">
        <f t="shared" si="144"/>
        <v xml:space="preserve"> BRACELETGREAT   </v>
      </c>
      <c r="H3081" s="20" t="str">
        <f t="shared" si="145"/>
        <v xml:space="preserve">GREY </v>
      </c>
      <c r="I3081" s="20" t="str">
        <f t="shared" si="146"/>
        <v xml:space="preserve">S    </v>
      </c>
    </row>
    <row r="3082" spans="1:9">
      <c r="A3082" s="17" t="s">
        <v>1444</v>
      </c>
      <c r="B3082" s="17" t="s">
        <v>858</v>
      </c>
      <c r="C3082" s="17" t="s">
        <v>804</v>
      </c>
      <c r="D3082" s="17" t="s">
        <v>801</v>
      </c>
      <c r="E3082" s="18">
        <v>3004390341047</v>
      </c>
      <c r="G3082" s="20" t="str">
        <f t="shared" si="144"/>
        <v xml:space="preserve"> BRACELETGREAT   </v>
      </c>
      <c r="H3082" s="20" t="str">
        <f t="shared" si="145"/>
        <v xml:space="preserve">GREY </v>
      </c>
      <c r="I3082" s="20" t="str">
        <f t="shared" si="146"/>
        <v xml:space="preserve">XL   </v>
      </c>
    </row>
    <row r="3083" spans="1:9">
      <c r="A3083" s="17" t="s">
        <v>1444</v>
      </c>
      <c r="B3083" s="17" t="s">
        <v>858</v>
      </c>
      <c r="C3083" s="17" t="s">
        <v>805</v>
      </c>
      <c r="D3083" s="17" t="s">
        <v>801</v>
      </c>
      <c r="E3083" s="18">
        <v>3004390341009</v>
      </c>
      <c r="G3083" s="20" t="str">
        <f t="shared" si="144"/>
        <v xml:space="preserve"> BRACELETGREAT   </v>
      </c>
      <c r="H3083" s="20" t="str">
        <f t="shared" si="145"/>
        <v xml:space="preserve">GREY </v>
      </c>
      <c r="I3083" s="20" t="str">
        <f t="shared" si="146"/>
        <v xml:space="preserve">XS   </v>
      </c>
    </row>
    <row r="3084" spans="1:9">
      <c r="A3084" s="17" t="s">
        <v>1444</v>
      </c>
      <c r="B3084" s="17" t="s">
        <v>1430</v>
      </c>
      <c r="C3084" s="17" t="s">
        <v>800</v>
      </c>
      <c r="D3084" s="17" t="s">
        <v>801</v>
      </c>
      <c r="E3084" s="18">
        <v>8058983599648</v>
      </c>
      <c r="G3084" s="20" t="str">
        <f t="shared" si="144"/>
        <v xml:space="preserve"> BRACELETGREAT   </v>
      </c>
      <c r="H3084" s="20" t="str">
        <f t="shared" si="145"/>
        <v xml:space="preserve">IRIS </v>
      </c>
      <c r="I3084" s="20" t="str">
        <f t="shared" si="146"/>
        <v xml:space="preserve">L    </v>
      </c>
    </row>
    <row r="3085" spans="1:9">
      <c r="A3085" s="17" t="s">
        <v>1444</v>
      </c>
      <c r="B3085" s="17" t="s">
        <v>1430</v>
      </c>
      <c r="C3085" s="17" t="s">
        <v>800</v>
      </c>
      <c r="D3085" s="17" t="s">
        <v>801</v>
      </c>
      <c r="E3085" s="18">
        <v>3005050230039</v>
      </c>
      <c r="G3085" s="20" t="str">
        <f t="shared" si="144"/>
        <v xml:space="preserve"> BRACELETGREAT   </v>
      </c>
      <c r="H3085" s="20" t="str">
        <f t="shared" si="145"/>
        <v xml:space="preserve">IRIS </v>
      </c>
      <c r="I3085" s="20" t="str">
        <f t="shared" si="146"/>
        <v xml:space="preserve">L    </v>
      </c>
    </row>
    <row r="3086" spans="1:9">
      <c r="A3086" s="17" t="s">
        <v>1444</v>
      </c>
      <c r="B3086" s="17" t="s">
        <v>1430</v>
      </c>
      <c r="C3086" s="17" t="s">
        <v>802</v>
      </c>
      <c r="D3086" s="17" t="s">
        <v>801</v>
      </c>
      <c r="E3086" s="18">
        <v>8058983599655</v>
      </c>
      <c r="G3086" s="20" t="str">
        <f t="shared" si="144"/>
        <v xml:space="preserve"> BRACELETGREAT   </v>
      </c>
      <c r="H3086" s="20" t="str">
        <f t="shared" si="145"/>
        <v xml:space="preserve">IRIS </v>
      </c>
      <c r="I3086" s="20" t="str">
        <f t="shared" si="146"/>
        <v xml:space="preserve">M    </v>
      </c>
    </row>
    <row r="3087" spans="1:9">
      <c r="A3087" s="17" t="s">
        <v>1444</v>
      </c>
      <c r="B3087" s="17" t="s">
        <v>1430</v>
      </c>
      <c r="C3087" s="17" t="s">
        <v>802</v>
      </c>
      <c r="D3087" s="17" t="s">
        <v>801</v>
      </c>
      <c r="E3087" s="18">
        <v>3005050230022</v>
      </c>
      <c r="G3087" s="20" t="str">
        <f t="shared" si="144"/>
        <v xml:space="preserve"> BRACELETGREAT   </v>
      </c>
      <c r="H3087" s="20" t="str">
        <f t="shared" si="145"/>
        <v xml:space="preserve">IRIS </v>
      </c>
      <c r="I3087" s="20" t="str">
        <f t="shared" si="146"/>
        <v xml:space="preserve">M    </v>
      </c>
    </row>
    <row r="3088" spans="1:9">
      <c r="A3088" s="17" t="s">
        <v>1444</v>
      </c>
      <c r="B3088" s="17" t="s">
        <v>1430</v>
      </c>
      <c r="C3088" s="17" t="s">
        <v>803</v>
      </c>
      <c r="D3088" s="17" t="s">
        <v>801</v>
      </c>
      <c r="E3088" s="18">
        <v>8058983599662</v>
      </c>
      <c r="G3088" s="20" t="str">
        <f t="shared" si="144"/>
        <v xml:space="preserve"> BRACELETGREAT   </v>
      </c>
      <c r="H3088" s="20" t="str">
        <f t="shared" si="145"/>
        <v xml:space="preserve">IRIS </v>
      </c>
      <c r="I3088" s="20" t="str">
        <f t="shared" si="146"/>
        <v xml:space="preserve">S    </v>
      </c>
    </row>
    <row r="3089" spans="1:9">
      <c r="A3089" s="17" t="s">
        <v>1444</v>
      </c>
      <c r="B3089" s="17" t="s">
        <v>1430</v>
      </c>
      <c r="C3089" s="17" t="s">
        <v>803</v>
      </c>
      <c r="D3089" s="17" t="s">
        <v>801</v>
      </c>
      <c r="E3089" s="18">
        <v>3005050230015</v>
      </c>
      <c r="G3089" s="20" t="str">
        <f t="shared" si="144"/>
        <v xml:space="preserve"> BRACELETGREAT   </v>
      </c>
      <c r="H3089" s="20" t="str">
        <f t="shared" si="145"/>
        <v xml:space="preserve">IRIS </v>
      </c>
      <c r="I3089" s="20" t="str">
        <f t="shared" si="146"/>
        <v xml:space="preserve">S    </v>
      </c>
    </row>
    <row r="3090" spans="1:9">
      <c r="A3090" s="17" t="s">
        <v>1444</v>
      </c>
      <c r="B3090" s="17" t="s">
        <v>1430</v>
      </c>
      <c r="C3090" s="17" t="s">
        <v>804</v>
      </c>
      <c r="D3090" s="17" t="s">
        <v>801</v>
      </c>
      <c r="E3090" s="18">
        <v>3005050230046</v>
      </c>
      <c r="G3090" s="20" t="str">
        <f t="shared" si="144"/>
        <v xml:space="preserve"> BRACELETGREAT   </v>
      </c>
      <c r="H3090" s="20" t="str">
        <f t="shared" si="145"/>
        <v xml:space="preserve">IRIS </v>
      </c>
      <c r="I3090" s="20" t="str">
        <f t="shared" si="146"/>
        <v xml:space="preserve">XL   </v>
      </c>
    </row>
    <row r="3091" spans="1:9">
      <c r="A3091" s="17" t="s">
        <v>1444</v>
      </c>
      <c r="B3091" s="17" t="s">
        <v>1430</v>
      </c>
      <c r="C3091" s="17" t="s">
        <v>805</v>
      </c>
      <c r="D3091" s="17" t="s">
        <v>801</v>
      </c>
      <c r="E3091" s="18">
        <v>3005050230008</v>
      </c>
      <c r="G3091" s="20" t="str">
        <f t="shared" si="144"/>
        <v xml:space="preserve"> BRACELETGREAT   </v>
      </c>
      <c r="H3091" s="20" t="str">
        <f t="shared" si="145"/>
        <v xml:space="preserve">IRIS </v>
      </c>
      <c r="I3091" s="20" t="str">
        <f t="shared" si="146"/>
        <v xml:space="preserve">XS   </v>
      </c>
    </row>
    <row r="3092" spans="1:9">
      <c r="A3092" s="17" t="s">
        <v>1444</v>
      </c>
      <c r="B3092" s="17" t="s">
        <v>892</v>
      </c>
      <c r="C3092" s="17" t="s">
        <v>800</v>
      </c>
      <c r="D3092" s="17" t="s">
        <v>801</v>
      </c>
      <c r="E3092" s="18">
        <v>8058333586960</v>
      </c>
      <c r="G3092" s="20" t="str">
        <f t="shared" si="144"/>
        <v xml:space="preserve"> BRACELETGREAT   </v>
      </c>
      <c r="H3092" s="20" t="str">
        <f t="shared" si="145"/>
        <v xml:space="preserve">LIME </v>
      </c>
      <c r="I3092" s="20" t="str">
        <f t="shared" si="146"/>
        <v xml:space="preserve">L    </v>
      </c>
    </row>
    <row r="3093" spans="1:9">
      <c r="A3093" s="17" t="s">
        <v>1444</v>
      </c>
      <c r="B3093" s="17" t="s">
        <v>892</v>
      </c>
      <c r="C3093" s="17" t="s">
        <v>800</v>
      </c>
      <c r="D3093" s="17" t="s">
        <v>801</v>
      </c>
      <c r="E3093" s="18">
        <v>3004390473038</v>
      </c>
      <c r="G3093" s="20" t="str">
        <f t="shared" si="144"/>
        <v xml:space="preserve"> BRACELETGREAT   </v>
      </c>
      <c r="H3093" s="20" t="str">
        <f t="shared" si="145"/>
        <v xml:space="preserve">LIME </v>
      </c>
      <c r="I3093" s="20" t="str">
        <f t="shared" si="146"/>
        <v xml:space="preserve">L    </v>
      </c>
    </row>
    <row r="3094" spans="1:9">
      <c r="A3094" s="17" t="s">
        <v>1444</v>
      </c>
      <c r="B3094" s="17" t="s">
        <v>892</v>
      </c>
      <c r="C3094" s="17" t="s">
        <v>802</v>
      </c>
      <c r="D3094" s="17" t="s">
        <v>801</v>
      </c>
      <c r="E3094" s="18">
        <v>8058333586977</v>
      </c>
      <c r="G3094" s="20" t="str">
        <f t="shared" si="144"/>
        <v xml:space="preserve"> BRACELETGREAT   </v>
      </c>
      <c r="H3094" s="20" t="str">
        <f t="shared" si="145"/>
        <v xml:space="preserve">LIME </v>
      </c>
      <c r="I3094" s="20" t="str">
        <f t="shared" si="146"/>
        <v xml:space="preserve">M    </v>
      </c>
    </row>
    <row r="3095" spans="1:9">
      <c r="A3095" s="17" t="s">
        <v>1444</v>
      </c>
      <c r="B3095" s="17" t="s">
        <v>892</v>
      </c>
      <c r="C3095" s="17" t="s">
        <v>802</v>
      </c>
      <c r="D3095" s="17" t="s">
        <v>801</v>
      </c>
      <c r="E3095" s="18">
        <v>3004390473021</v>
      </c>
      <c r="G3095" s="20" t="str">
        <f t="shared" si="144"/>
        <v xml:space="preserve"> BRACELETGREAT   </v>
      </c>
      <c r="H3095" s="20" t="str">
        <f t="shared" si="145"/>
        <v xml:space="preserve">LIME </v>
      </c>
      <c r="I3095" s="20" t="str">
        <f t="shared" si="146"/>
        <v xml:space="preserve">M    </v>
      </c>
    </row>
    <row r="3096" spans="1:9">
      <c r="A3096" s="17" t="s">
        <v>1444</v>
      </c>
      <c r="B3096" s="17" t="s">
        <v>892</v>
      </c>
      <c r="C3096" s="17" t="s">
        <v>803</v>
      </c>
      <c r="D3096" s="17" t="s">
        <v>801</v>
      </c>
      <c r="E3096" s="18">
        <v>8058333586984</v>
      </c>
      <c r="G3096" s="20" t="str">
        <f t="shared" si="144"/>
        <v xml:space="preserve"> BRACELETGREAT   </v>
      </c>
      <c r="H3096" s="20" t="str">
        <f t="shared" si="145"/>
        <v xml:space="preserve">LIME </v>
      </c>
      <c r="I3096" s="20" t="str">
        <f t="shared" si="146"/>
        <v xml:space="preserve">S    </v>
      </c>
    </row>
    <row r="3097" spans="1:9">
      <c r="A3097" s="17" t="s">
        <v>1444</v>
      </c>
      <c r="B3097" s="17" t="s">
        <v>892</v>
      </c>
      <c r="C3097" s="17" t="s">
        <v>803</v>
      </c>
      <c r="D3097" s="17" t="s">
        <v>801</v>
      </c>
      <c r="E3097" s="18">
        <v>3004390473014</v>
      </c>
      <c r="G3097" s="20" t="str">
        <f t="shared" si="144"/>
        <v xml:space="preserve"> BRACELETGREAT   </v>
      </c>
      <c r="H3097" s="20" t="str">
        <f t="shared" si="145"/>
        <v xml:space="preserve">LIME </v>
      </c>
      <c r="I3097" s="20" t="str">
        <f t="shared" si="146"/>
        <v xml:space="preserve">S    </v>
      </c>
    </row>
    <row r="3098" spans="1:9">
      <c r="A3098" s="17" t="s">
        <v>1444</v>
      </c>
      <c r="B3098" s="17" t="s">
        <v>892</v>
      </c>
      <c r="C3098" s="17" t="s">
        <v>804</v>
      </c>
      <c r="D3098" s="17" t="s">
        <v>801</v>
      </c>
      <c r="E3098" s="18">
        <v>3004390473045</v>
      </c>
      <c r="G3098" s="20" t="str">
        <f t="shared" si="144"/>
        <v xml:space="preserve"> BRACELETGREAT   </v>
      </c>
      <c r="H3098" s="20" t="str">
        <f t="shared" si="145"/>
        <v xml:space="preserve">LIME </v>
      </c>
      <c r="I3098" s="20" t="str">
        <f t="shared" si="146"/>
        <v xml:space="preserve">XL   </v>
      </c>
    </row>
    <row r="3099" spans="1:9">
      <c r="A3099" s="17" t="s">
        <v>1444</v>
      </c>
      <c r="B3099" s="17" t="s">
        <v>892</v>
      </c>
      <c r="C3099" s="17" t="s">
        <v>805</v>
      </c>
      <c r="D3099" s="17" t="s">
        <v>801</v>
      </c>
      <c r="E3099" s="18">
        <v>3004390473007</v>
      </c>
      <c r="G3099" s="20" t="str">
        <f t="shared" si="144"/>
        <v xml:space="preserve"> BRACELETGREAT   </v>
      </c>
      <c r="H3099" s="20" t="str">
        <f t="shared" si="145"/>
        <v xml:space="preserve">LIME </v>
      </c>
      <c r="I3099" s="20" t="str">
        <f t="shared" si="146"/>
        <v xml:space="preserve">XS   </v>
      </c>
    </row>
    <row r="3100" spans="1:9">
      <c r="A3100" s="17" t="s">
        <v>1444</v>
      </c>
      <c r="B3100" s="17" t="s">
        <v>893</v>
      </c>
      <c r="C3100" s="17" t="s">
        <v>800</v>
      </c>
      <c r="D3100" s="17" t="s">
        <v>801</v>
      </c>
      <c r="E3100" s="18">
        <v>8058983590614</v>
      </c>
      <c r="G3100" s="20" t="str">
        <f t="shared" si="144"/>
        <v xml:space="preserve"> BRACELETGREAT   </v>
      </c>
      <c r="H3100" s="20" t="str">
        <f t="shared" si="145"/>
        <v xml:space="preserve">MAG  </v>
      </c>
      <c r="I3100" s="20" t="str">
        <f t="shared" si="146"/>
        <v xml:space="preserve">L    </v>
      </c>
    </row>
    <row r="3101" spans="1:9">
      <c r="A3101" s="17" t="s">
        <v>1444</v>
      </c>
      <c r="B3101" s="17" t="s">
        <v>893</v>
      </c>
      <c r="C3101" s="17" t="s">
        <v>800</v>
      </c>
      <c r="D3101" s="17" t="s">
        <v>801</v>
      </c>
      <c r="E3101" s="18">
        <v>3004390356034</v>
      </c>
      <c r="G3101" s="20" t="str">
        <f t="shared" si="144"/>
        <v xml:space="preserve"> BRACELETGREAT   </v>
      </c>
      <c r="H3101" s="20" t="str">
        <f t="shared" si="145"/>
        <v xml:space="preserve">MAG  </v>
      </c>
      <c r="I3101" s="20" t="str">
        <f t="shared" si="146"/>
        <v xml:space="preserve">L    </v>
      </c>
    </row>
    <row r="3102" spans="1:9">
      <c r="A3102" s="17" t="s">
        <v>1444</v>
      </c>
      <c r="B3102" s="17" t="s">
        <v>893</v>
      </c>
      <c r="C3102" s="17" t="s">
        <v>802</v>
      </c>
      <c r="D3102" s="17" t="s">
        <v>801</v>
      </c>
      <c r="E3102" s="18">
        <v>8058983590621</v>
      </c>
      <c r="G3102" s="20" t="str">
        <f t="shared" si="144"/>
        <v xml:space="preserve"> BRACELETGREAT   </v>
      </c>
      <c r="H3102" s="20" t="str">
        <f t="shared" si="145"/>
        <v xml:space="preserve">MAG  </v>
      </c>
      <c r="I3102" s="20" t="str">
        <f t="shared" si="146"/>
        <v xml:space="preserve">M    </v>
      </c>
    </row>
    <row r="3103" spans="1:9">
      <c r="A3103" s="17" t="s">
        <v>1444</v>
      </c>
      <c r="B3103" s="17" t="s">
        <v>893</v>
      </c>
      <c r="C3103" s="17" t="s">
        <v>802</v>
      </c>
      <c r="D3103" s="17" t="s">
        <v>801</v>
      </c>
      <c r="E3103" s="18">
        <v>3004390356027</v>
      </c>
      <c r="G3103" s="20" t="str">
        <f t="shared" si="144"/>
        <v xml:space="preserve"> BRACELETGREAT   </v>
      </c>
      <c r="H3103" s="20" t="str">
        <f t="shared" si="145"/>
        <v xml:space="preserve">MAG  </v>
      </c>
      <c r="I3103" s="20" t="str">
        <f t="shared" si="146"/>
        <v xml:space="preserve">M    </v>
      </c>
    </row>
    <row r="3104" spans="1:9">
      <c r="A3104" s="17" t="s">
        <v>1444</v>
      </c>
      <c r="B3104" s="17" t="s">
        <v>893</v>
      </c>
      <c r="C3104" s="17" t="s">
        <v>803</v>
      </c>
      <c r="D3104" s="17" t="s">
        <v>801</v>
      </c>
      <c r="E3104" s="18">
        <v>8058983590638</v>
      </c>
      <c r="G3104" s="20" t="str">
        <f t="shared" si="144"/>
        <v xml:space="preserve"> BRACELETGREAT   </v>
      </c>
      <c r="H3104" s="20" t="str">
        <f t="shared" si="145"/>
        <v xml:space="preserve">MAG  </v>
      </c>
      <c r="I3104" s="20" t="str">
        <f t="shared" si="146"/>
        <v xml:space="preserve">S    </v>
      </c>
    </row>
    <row r="3105" spans="1:9">
      <c r="A3105" s="17" t="s">
        <v>1444</v>
      </c>
      <c r="B3105" s="17" t="s">
        <v>893</v>
      </c>
      <c r="C3105" s="17" t="s">
        <v>803</v>
      </c>
      <c r="D3105" s="17" t="s">
        <v>801</v>
      </c>
      <c r="E3105" s="18">
        <v>3004390356010</v>
      </c>
      <c r="G3105" s="20" t="str">
        <f t="shared" si="144"/>
        <v xml:space="preserve"> BRACELETGREAT   </v>
      </c>
      <c r="H3105" s="20" t="str">
        <f t="shared" si="145"/>
        <v xml:space="preserve">MAG  </v>
      </c>
      <c r="I3105" s="20" t="str">
        <f t="shared" si="146"/>
        <v xml:space="preserve">S    </v>
      </c>
    </row>
    <row r="3106" spans="1:9">
      <c r="A3106" s="17" t="s">
        <v>1444</v>
      </c>
      <c r="B3106" s="17" t="s">
        <v>893</v>
      </c>
      <c r="C3106" s="17" t="s">
        <v>804</v>
      </c>
      <c r="D3106" s="17" t="s">
        <v>801</v>
      </c>
      <c r="E3106" s="18">
        <v>3004390356041</v>
      </c>
      <c r="G3106" s="20" t="str">
        <f t="shared" si="144"/>
        <v xml:space="preserve"> BRACELETGREAT   </v>
      </c>
      <c r="H3106" s="20" t="str">
        <f t="shared" si="145"/>
        <v xml:space="preserve">MAG  </v>
      </c>
      <c r="I3106" s="20" t="str">
        <f t="shared" si="146"/>
        <v xml:space="preserve">XL   </v>
      </c>
    </row>
    <row r="3107" spans="1:9">
      <c r="A3107" s="17" t="s">
        <v>1444</v>
      </c>
      <c r="B3107" s="17" t="s">
        <v>893</v>
      </c>
      <c r="C3107" s="17" t="s">
        <v>805</v>
      </c>
      <c r="D3107" s="17" t="s">
        <v>801</v>
      </c>
      <c r="E3107" s="18">
        <v>3004390356003</v>
      </c>
      <c r="G3107" s="20" t="str">
        <f t="shared" si="144"/>
        <v xml:space="preserve"> BRACELETGREAT   </v>
      </c>
      <c r="H3107" s="20" t="str">
        <f t="shared" si="145"/>
        <v xml:space="preserve">MAG  </v>
      </c>
      <c r="I3107" s="20" t="str">
        <f t="shared" si="146"/>
        <v xml:space="preserve">XS   </v>
      </c>
    </row>
    <row r="3108" spans="1:9">
      <c r="A3108" s="17" t="s">
        <v>1444</v>
      </c>
      <c r="B3108" s="17" t="s">
        <v>1434</v>
      </c>
      <c r="C3108" s="17" t="s">
        <v>800</v>
      </c>
      <c r="D3108" s="17" t="s">
        <v>801</v>
      </c>
      <c r="E3108" s="18">
        <v>3005050569030</v>
      </c>
      <c r="G3108" s="20" t="str">
        <f t="shared" si="144"/>
        <v xml:space="preserve"> BRACELETGREAT   </v>
      </c>
      <c r="H3108" s="20" t="str">
        <f t="shared" si="145"/>
        <v xml:space="preserve">NAR  </v>
      </c>
      <c r="I3108" s="20" t="str">
        <f t="shared" si="146"/>
        <v xml:space="preserve">L    </v>
      </c>
    </row>
    <row r="3109" spans="1:9">
      <c r="A3109" s="17" t="s">
        <v>1444</v>
      </c>
      <c r="B3109" s="17" t="s">
        <v>1434</v>
      </c>
      <c r="C3109" s="17" t="s">
        <v>802</v>
      </c>
      <c r="D3109" s="17" t="s">
        <v>801</v>
      </c>
      <c r="E3109" s="18">
        <v>3005050569023</v>
      </c>
      <c r="G3109" s="20" t="str">
        <f t="shared" si="144"/>
        <v xml:space="preserve"> BRACELETGREAT   </v>
      </c>
      <c r="H3109" s="20" t="str">
        <f t="shared" si="145"/>
        <v xml:space="preserve">NAR  </v>
      </c>
      <c r="I3109" s="20" t="str">
        <f t="shared" si="146"/>
        <v xml:space="preserve">M    </v>
      </c>
    </row>
    <row r="3110" spans="1:9">
      <c r="A3110" s="17" t="s">
        <v>1444</v>
      </c>
      <c r="B3110" s="17" t="s">
        <v>1434</v>
      </c>
      <c r="C3110" s="17" t="s">
        <v>803</v>
      </c>
      <c r="D3110" s="17" t="s">
        <v>801</v>
      </c>
      <c r="E3110" s="18">
        <v>3005050569016</v>
      </c>
      <c r="G3110" s="20" t="str">
        <f t="shared" si="144"/>
        <v xml:space="preserve"> BRACELETGREAT   </v>
      </c>
      <c r="H3110" s="20" t="str">
        <f t="shared" si="145"/>
        <v xml:space="preserve">NAR  </v>
      </c>
      <c r="I3110" s="20" t="str">
        <f t="shared" si="146"/>
        <v xml:space="preserve">S    </v>
      </c>
    </row>
    <row r="3111" spans="1:9">
      <c r="A3111" s="17" t="s">
        <v>1444</v>
      </c>
      <c r="B3111" s="17" t="s">
        <v>1434</v>
      </c>
      <c r="C3111" s="17" t="s">
        <v>804</v>
      </c>
      <c r="D3111" s="17" t="s">
        <v>801</v>
      </c>
      <c r="E3111" s="18">
        <v>3005050569047</v>
      </c>
      <c r="G3111" s="20" t="str">
        <f t="shared" si="144"/>
        <v xml:space="preserve"> BRACELETGREAT   </v>
      </c>
      <c r="H3111" s="20" t="str">
        <f t="shared" si="145"/>
        <v xml:space="preserve">NAR  </v>
      </c>
      <c r="I3111" s="20" t="str">
        <f t="shared" si="146"/>
        <v xml:space="preserve">XL   </v>
      </c>
    </row>
    <row r="3112" spans="1:9">
      <c r="A3112" s="17" t="s">
        <v>1444</v>
      </c>
      <c r="B3112" s="17" t="s">
        <v>1434</v>
      </c>
      <c r="C3112" s="17" t="s">
        <v>805</v>
      </c>
      <c r="D3112" s="17" t="s">
        <v>801</v>
      </c>
      <c r="E3112" s="18">
        <v>3005050569009</v>
      </c>
      <c r="G3112" s="20" t="str">
        <f t="shared" si="144"/>
        <v xml:space="preserve"> BRACELETGREAT   </v>
      </c>
      <c r="H3112" s="20" t="str">
        <f t="shared" si="145"/>
        <v xml:space="preserve">NAR  </v>
      </c>
      <c r="I3112" s="20" t="str">
        <f t="shared" si="146"/>
        <v xml:space="preserve">XS   </v>
      </c>
    </row>
    <row r="3113" spans="1:9">
      <c r="A3113" s="17" t="s">
        <v>1444</v>
      </c>
      <c r="B3113" s="17" t="s">
        <v>1233</v>
      </c>
      <c r="C3113" s="17" t="s">
        <v>800</v>
      </c>
      <c r="D3113" s="17" t="s">
        <v>801</v>
      </c>
      <c r="E3113" s="18">
        <v>8058983590676</v>
      </c>
      <c r="G3113" s="20" t="str">
        <f t="shared" si="144"/>
        <v xml:space="preserve"> BRACELETGREAT   </v>
      </c>
      <c r="H3113" s="20" t="str">
        <f t="shared" si="145"/>
        <v>OCEAN</v>
      </c>
      <c r="I3113" s="20" t="str">
        <f t="shared" si="146"/>
        <v xml:space="preserve">L    </v>
      </c>
    </row>
    <row r="3114" spans="1:9">
      <c r="A3114" s="17" t="s">
        <v>1444</v>
      </c>
      <c r="B3114" s="17" t="s">
        <v>1233</v>
      </c>
      <c r="C3114" s="17" t="s">
        <v>800</v>
      </c>
      <c r="D3114" s="17" t="s">
        <v>801</v>
      </c>
      <c r="E3114" s="18">
        <v>3004390374038</v>
      </c>
      <c r="G3114" s="20" t="str">
        <f t="shared" si="144"/>
        <v xml:space="preserve"> BRACELETGREAT   </v>
      </c>
      <c r="H3114" s="20" t="str">
        <f t="shared" si="145"/>
        <v>OCEAN</v>
      </c>
      <c r="I3114" s="20" t="str">
        <f t="shared" si="146"/>
        <v xml:space="preserve">L    </v>
      </c>
    </row>
    <row r="3115" spans="1:9">
      <c r="A3115" s="17" t="s">
        <v>1444</v>
      </c>
      <c r="B3115" s="17" t="s">
        <v>1233</v>
      </c>
      <c r="C3115" s="17" t="s">
        <v>802</v>
      </c>
      <c r="D3115" s="17" t="s">
        <v>801</v>
      </c>
      <c r="E3115" s="18">
        <v>8058983590683</v>
      </c>
      <c r="G3115" s="20" t="str">
        <f t="shared" si="144"/>
        <v xml:space="preserve"> BRACELETGREAT   </v>
      </c>
      <c r="H3115" s="20" t="str">
        <f t="shared" si="145"/>
        <v>OCEAN</v>
      </c>
      <c r="I3115" s="20" t="str">
        <f t="shared" si="146"/>
        <v xml:space="preserve">M    </v>
      </c>
    </row>
    <row r="3116" spans="1:9">
      <c r="A3116" s="17" t="s">
        <v>1444</v>
      </c>
      <c r="B3116" s="17" t="s">
        <v>1233</v>
      </c>
      <c r="C3116" s="17" t="s">
        <v>802</v>
      </c>
      <c r="D3116" s="17" t="s">
        <v>801</v>
      </c>
      <c r="E3116" s="18">
        <v>3004390374021</v>
      </c>
      <c r="G3116" s="20" t="str">
        <f t="shared" si="144"/>
        <v xml:space="preserve"> BRACELETGREAT   </v>
      </c>
      <c r="H3116" s="20" t="str">
        <f t="shared" si="145"/>
        <v>OCEAN</v>
      </c>
      <c r="I3116" s="20" t="str">
        <f t="shared" si="146"/>
        <v xml:space="preserve">M    </v>
      </c>
    </row>
    <row r="3117" spans="1:9">
      <c r="A3117" s="17" t="s">
        <v>1444</v>
      </c>
      <c r="B3117" s="17" t="s">
        <v>1233</v>
      </c>
      <c r="C3117" s="17" t="s">
        <v>803</v>
      </c>
      <c r="D3117" s="17" t="s">
        <v>801</v>
      </c>
      <c r="E3117" s="18">
        <v>8058983590690</v>
      </c>
      <c r="G3117" s="20" t="str">
        <f t="shared" si="144"/>
        <v xml:space="preserve"> BRACELETGREAT   </v>
      </c>
      <c r="H3117" s="20" t="str">
        <f t="shared" si="145"/>
        <v>OCEAN</v>
      </c>
      <c r="I3117" s="20" t="str">
        <f t="shared" si="146"/>
        <v xml:space="preserve">S    </v>
      </c>
    </row>
    <row r="3118" spans="1:9">
      <c r="A3118" s="17" t="s">
        <v>1444</v>
      </c>
      <c r="B3118" s="17" t="s">
        <v>1233</v>
      </c>
      <c r="C3118" s="17" t="s">
        <v>803</v>
      </c>
      <c r="D3118" s="17" t="s">
        <v>801</v>
      </c>
      <c r="E3118" s="18">
        <v>3004390374014</v>
      </c>
      <c r="G3118" s="20" t="str">
        <f t="shared" si="144"/>
        <v xml:space="preserve"> BRACELETGREAT   </v>
      </c>
      <c r="H3118" s="20" t="str">
        <f t="shared" si="145"/>
        <v>OCEAN</v>
      </c>
      <c r="I3118" s="20" t="str">
        <f t="shared" si="146"/>
        <v xml:space="preserve">S    </v>
      </c>
    </row>
    <row r="3119" spans="1:9">
      <c r="A3119" s="17" t="s">
        <v>1444</v>
      </c>
      <c r="B3119" s="17" t="s">
        <v>1233</v>
      </c>
      <c r="C3119" s="17" t="s">
        <v>804</v>
      </c>
      <c r="D3119" s="17" t="s">
        <v>801</v>
      </c>
      <c r="E3119" s="18">
        <v>3004390374045</v>
      </c>
      <c r="G3119" s="20" t="str">
        <f t="shared" si="144"/>
        <v xml:space="preserve"> BRACELETGREAT   </v>
      </c>
      <c r="H3119" s="20" t="str">
        <f t="shared" si="145"/>
        <v>OCEAN</v>
      </c>
      <c r="I3119" s="20" t="str">
        <f t="shared" si="146"/>
        <v xml:space="preserve">XL   </v>
      </c>
    </row>
    <row r="3120" spans="1:9">
      <c r="A3120" s="17" t="s">
        <v>1444</v>
      </c>
      <c r="B3120" s="17" t="s">
        <v>1233</v>
      </c>
      <c r="C3120" s="17" t="s">
        <v>805</v>
      </c>
      <c r="D3120" s="17" t="s">
        <v>801</v>
      </c>
      <c r="E3120" s="18">
        <v>3004390374007</v>
      </c>
      <c r="G3120" s="20" t="str">
        <f t="shared" si="144"/>
        <v xml:space="preserve"> BRACELETGREAT   </v>
      </c>
      <c r="H3120" s="20" t="str">
        <f t="shared" si="145"/>
        <v>OCEAN</v>
      </c>
      <c r="I3120" s="20" t="str">
        <f t="shared" si="146"/>
        <v xml:space="preserve">XS   </v>
      </c>
    </row>
    <row r="3121" spans="1:9">
      <c r="A3121" s="17" t="s">
        <v>1444</v>
      </c>
      <c r="B3121" s="17" t="s">
        <v>1234</v>
      </c>
      <c r="C3121" s="17" t="s">
        <v>800</v>
      </c>
      <c r="D3121" s="17" t="s">
        <v>801</v>
      </c>
      <c r="E3121" s="18">
        <v>8058983590706</v>
      </c>
      <c r="G3121" s="20" t="str">
        <f t="shared" si="144"/>
        <v xml:space="preserve"> BRACELETGREAT   </v>
      </c>
      <c r="H3121" s="20" t="str">
        <f t="shared" si="145"/>
        <v>OLIVE</v>
      </c>
      <c r="I3121" s="20" t="str">
        <f t="shared" si="146"/>
        <v xml:space="preserve">L    </v>
      </c>
    </row>
    <row r="3122" spans="1:9">
      <c r="A3122" s="17" t="s">
        <v>1444</v>
      </c>
      <c r="B3122" s="17" t="s">
        <v>1234</v>
      </c>
      <c r="C3122" s="17" t="s">
        <v>800</v>
      </c>
      <c r="D3122" s="17" t="s">
        <v>801</v>
      </c>
      <c r="E3122" s="18">
        <v>3004390375035</v>
      </c>
      <c r="G3122" s="20" t="str">
        <f t="shared" si="144"/>
        <v xml:space="preserve"> BRACELETGREAT   </v>
      </c>
      <c r="H3122" s="20" t="str">
        <f t="shared" si="145"/>
        <v>OLIVE</v>
      </c>
      <c r="I3122" s="20" t="str">
        <f t="shared" si="146"/>
        <v xml:space="preserve">L    </v>
      </c>
    </row>
    <row r="3123" spans="1:9">
      <c r="A3123" s="17" t="s">
        <v>1444</v>
      </c>
      <c r="B3123" s="17" t="s">
        <v>1234</v>
      </c>
      <c r="C3123" s="17" t="s">
        <v>802</v>
      </c>
      <c r="D3123" s="17" t="s">
        <v>801</v>
      </c>
      <c r="E3123" s="18">
        <v>8058983590713</v>
      </c>
      <c r="G3123" s="20" t="str">
        <f t="shared" si="144"/>
        <v xml:space="preserve"> BRACELETGREAT   </v>
      </c>
      <c r="H3123" s="20" t="str">
        <f t="shared" si="145"/>
        <v>OLIVE</v>
      </c>
      <c r="I3123" s="20" t="str">
        <f t="shared" si="146"/>
        <v xml:space="preserve">M    </v>
      </c>
    </row>
    <row r="3124" spans="1:9">
      <c r="A3124" s="17" t="s">
        <v>1444</v>
      </c>
      <c r="B3124" s="17" t="s">
        <v>1234</v>
      </c>
      <c r="C3124" s="17" t="s">
        <v>802</v>
      </c>
      <c r="D3124" s="17" t="s">
        <v>801</v>
      </c>
      <c r="E3124" s="18">
        <v>3004390375028</v>
      </c>
      <c r="G3124" s="20" t="str">
        <f t="shared" si="144"/>
        <v xml:space="preserve"> BRACELETGREAT   </v>
      </c>
      <c r="H3124" s="20" t="str">
        <f t="shared" si="145"/>
        <v>OLIVE</v>
      </c>
      <c r="I3124" s="20" t="str">
        <f t="shared" si="146"/>
        <v xml:space="preserve">M    </v>
      </c>
    </row>
    <row r="3125" spans="1:9">
      <c r="A3125" s="17" t="s">
        <v>1444</v>
      </c>
      <c r="B3125" s="17" t="s">
        <v>1234</v>
      </c>
      <c r="C3125" s="17" t="s">
        <v>803</v>
      </c>
      <c r="D3125" s="17" t="s">
        <v>801</v>
      </c>
      <c r="E3125" s="18">
        <v>8058983590720</v>
      </c>
      <c r="G3125" s="20" t="str">
        <f t="shared" si="144"/>
        <v xml:space="preserve"> BRACELETGREAT   </v>
      </c>
      <c r="H3125" s="20" t="str">
        <f t="shared" si="145"/>
        <v>OLIVE</v>
      </c>
      <c r="I3125" s="20" t="str">
        <f t="shared" si="146"/>
        <v xml:space="preserve">S    </v>
      </c>
    </row>
    <row r="3126" spans="1:9">
      <c r="A3126" s="17" t="s">
        <v>1444</v>
      </c>
      <c r="B3126" s="17" t="s">
        <v>1234</v>
      </c>
      <c r="C3126" s="17" t="s">
        <v>803</v>
      </c>
      <c r="D3126" s="17" t="s">
        <v>801</v>
      </c>
      <c r="E3126" s="18">
        <v>3004390375011</v>
      </c>
      <c r="G3126" s="20" t="str">
        <f t="shared" si="144"/>
        <v xml:space="preserve"> BRACELETGREAT   </v>
      </c>
      <c r="H3126" s="20" t="str">
        <f t="shared" si="145"/>
        <v>OLIVE</v>
      </c>
      <c r="I3126" s="20" t="str">
        <f t="shared" si="146"/>
        <v xml:space="preserve">S    </v>
      </c>
    </row>
    <row r="3127" spans="1:9">
      <c r="A3127" s="17" t="s">
        <v>1444</v>
      </c>
      <c r="B3127" s="17" t="s">
        <v>1234</v>
      </c>
      <c r="C3127" s="17" t="s">
        <v>804</v>
      </c>
      <c r="D3127" s="17" t="s">
        <v>801</v>
      </c>
      <c r="E3127" s="18">
        <v>3004390375042</v>
      </c>
      <c r="G3127" s="20" t="str">
        <f t="shared" si="144"/>
        <v xml:space="preserve"> BRACELETGREAT   </v>
      </c>
      <c r="H3127" s="20" t="str">
        <f t="shared" si="145"/>
        <v>OLIVE</v>
      </c>
      <c r="I3127" s="20" t="str">
        <f t="shared" si="146"/>
        <v xml:space="preserve">XL   </v>
      </c>
    </row>
    <row r="3128" spans="1:9">
      <c r="A3128" s="17" t="s">
        <v>1444</v>
      </c>
      <c r="B3128" s="17" t="s">
        <v>1234</v>
      </c>
      <c r="C3128" s="17" t="s">
        <v>805</v>
      </c>
      <c r="D3128" s="17" t="s">
        <v>801</v>
      </c>
      <c r="E3128" s="18">
        <v>3004390375004</v>
      </c>
      <c r="G3128" s="20" t="str">
        <f t="shared" si="144"/>
        <v xml:space="preserve"> BRACELETGREAT   </v>
      </c>
      <c r="H3128" s="20" t="str">
        <f t="shared" si="145"/>
        <v>OLIVE</v>
      </c>
      <c r="I3128" s="20" t="str">
        <f t="shared" si="146"/>
        <v xml:space="preserve">XS   </v>
      </c>
    </row>
    <row r="3129" spans="1:9">
      <c r="A3129" s="17" t="s">
        <v>1444</v>
      </c>
      <c r="B3129" s="17" t="s">
        <v>964</v>
      </c>
      <c r="C3129" s="17" t="s">
        <v>800</v>
      </c>
      <c r="D3129" s="17" t="s">
        <v>801</v>
      </c>
      <c r="E3129" s="18">
        <v>8058983590409</v>
      </c>
      <c r="G3129" s="20" t="str">
        <f t="shared" si="144"/>
        <v xml:space="preserve"> BRACELETGREAT   </v>
      </c>
      <c r="H3129" s="20" t="str">
        <f t="shared" si="145"/>
        <v>ORANG</v>
      </c>
      <c r="I3129" s="20" t="str">
        <f t="shared" si="146"/>
        <v xml:space="preserve">L    </v>
      </c>
    </row>
    <row r="3130" spans="1:9">
      <c r="A3130" s="17" t="s">
        <v>1444</v>
      </c>
      <c r="B3130" s="17" t="s">
        <v>964</v>
      </c>
      <c r="C3130" s="17" t="s">
        <v>800</v>
      </c>
      <c r="D3130" s="17" t="s">
        <v>801</v>
      </c>
      <c r="E3130" s="18">
        <v>3004390376032</v>
      </c>
      <c r="G3130" s="20" t="str">
        <f t="shared" si="144"/>
        <v xml:space="preserve"> BRACELETGREAT   </v>
      </c>
      <c r="H3130" s="20" t="str">
        <f t="shared" si="145"/>
        <v>ORANG</v>
      </c>
      <c r="I3130" s="20" t="str">
        <f t="shared" si="146"/>
        <v xml:space="preserve">L    </v>
      </c>
    </row>
    <row r="3131" spans="1:9">
      <c r="A3131" s="17" t="s">
        <v>1444</v>
      </c>
      <c r="B3131" s="17" t="s">
        <v>964</v>
      </c>
      <c r="C3131" s="17" t="s">
        <v>802</v>
      </c>
      <c r="D3131" s="17" t="s">
        <v>801</v>
      </c>
      <c r="E3131" s="18">
        <v>8058983590416</v>
      </c>
      <c r="G3131" s="20" t="str">
        <f t="shared" si="144"/>
        <v xml:space="preserve"> BRACELETGREAT   </v>
      </c>
      <c r="H3131" s="20" t="str">
        <f t="shared" si="145"/>
        <v>ORANG</v>
      </c>
      <c r="I3131" s="20" t="str">
        <f t="shared" si="146"/>
        <v xml:space="preserve">M    </v>
      </c>
    </row>
    <row r="3132" spans="1:9">
      <c r="A3132" s="17" t="s">
        <v>1444</v>
      </c>
      <c r="B3132" s="17" t="s">
        <v>964</v>
      </c>
      <c r="C3132" s="17" t="s">
        <v>802</v>
      </c>
      <c r="D3132" s="17" t="s">
        <v>801</v>
      </c>
      <c r="E3132" s="18">
        <v>3004390376025</v>
      </c>
      <c r="G3132" s="20" t="str">
        <f t="shared" si="144"/>
        <v xml:space="preserve"> BRACELETGREAT   </v>
      </c>
      <c r="H3132" s="20" t="str">
        <f t="shared" si="145"/>
        <v>ORANG</v>
      </c>
      <c r="I3132" s="20" t="str">
        <f t="shared" si="146"/>
        <v xml:space="preserve">M    </v>
      </c>
    </row>
    <row r="3133" spans="1:9">
      <c r="A3133" s="17" t="s">
        <v>1444</v>
      </c>
      <c r="B3133" s="17" t="s">
        <v>964</v>
      </c>
      <c r="C3133" s="17" t="s">
        <v>803</v>
      </c>
      <c r="D3133" s="17" t="s">
        <v>801</v>
      </c>
      <c r="E3133" s="18">
        <v>8058983590423</v>
      </c>
      <c r="G3133" s="20" t="str">
        <f t="shared" si="144"/>
        <v xml:space="preserve"> BRACELETGREAT   </v>
      </c>
      <c r="H3133" s="20" t="str">
        <f t="shared" si="145"/>
        <v>ORANG</v>
      </c>
      <c r="I3133" s="20" t="str">
        <f t="shared" si="146"/>
        <v xml:space="preserve">S    </v>
      </c>
    </row>
    <row r="3134" spans="1:9">
      <c r="A3134" s="17" t="s">
        <v>1444</v>
      </c>
      <c r="B3134" s="17" t="s">
        <v>964</v>
      </c>
      <c r="C3134" s="17" t="s">
        <v>803</v>
      </c>
      <c r="D3134" s="17" t="s">
        <v>801</v>
      </c>
      <c r="E3134" s="18">
        <v>3004390376018</v>
      </c>
      <c r="G3134" s="20" t="str">
        <f t="shared" si="144"/>
        <v xml:space="preserve"> BRACELETGREAT   </v>
      </c>
      <c r="H3134" s="20" t="str">
        <f t="shared" si="145"/>
        <v>ORANG</v>
      </c>
      <c r="I3134" s="20" t="str">
        <f t="shared" si="146"/>
        <v xml:space="preserve">S    </v>
      </c>
    </row>
    <row r="3135" spans="1:9">
      <c r="A3135" s="17" t="s">
        <v>1444</v>
      </c>
      <c r="B3135" s="17" t="s">
        <v>964</v>
      </c>
      <c r="C3135" s="17" t="s">
        <v>804</v>
      </c>
      <c r="D3135" s="17" t="s">
        <v>801</v>
      </c>
      <c r="E3135" s="18">
        <v>3004390376049</v>
      </c>
      <c r="G3135" s="20" t="str">
        <f t="shared" si="144"/>
        <v xml:space="preserve"> BRACELETGREAT   </v>
      </c>
      <c r="H3135" s="20" t="str">
        <f t="shared" si="145"/>
        <v>ORANG</v>
      </c>
      <c r="I3135" s="20" t="str">
        <f t="shared" si="146"/>
        <v xml:space="preserve">XL   </v>
      </c>
    </row>
    <row r="3136" spans="1:9">
      <c r="A3136" s="17" t="s">
        <v>1444</v>
      </c>
      <c r="B3136" s="17" t="s">
        <v>964</v>
      </c>
      <c r="C3136" s="17" t="s">
        <v>805</v>
      </c>
      <c r="D3136" s="17" t="s">
        <v>801</v>
      </c>
      <c r="E3136" s="18">
        <v>3004390376001</v>
      </c>
      <c r="G3136" s="20" t="str">
        <f t="shared" si="144"/>
        <v xml:space="preserve"> BRACELETGREAT   </v>
      </c>
      <c r="H3136" s="20" t="str">
        <f t="shared" si="145"/>
        <v>ORANG</v>
      </c>
      <c r="I3136" s="20" t="str">
        <f t="shared" si="146"/>
        <v xml:space="preserve">XS   </v>
      </c>
    </row>
    <row r="3137" spans="1:9">
      <c r="A3137" s="17" t="s">
        <v>1444</v>
      </c>
      <c r="B3137" s="17" t="s">
        <v>971</v>
      </c>
      <c r="C3137" s="17" t="s">
        <v>800</v>
      </c>
      <c r="D3137" s="17" t="s">
        <v>801</v>
      </c>
      <c r="E3137" s="18">
        <v>8058333587042</v>
      </c>
      <c r="G3137" s="20" t="str">
        <f t="shared" si="144"/>
        <v xml:space="preserve"> BRACELETGREAT   </v>
      </c>
      <c r="H3137" s="20" t="str">
        <f t="shared" si="145"/>
        <v>OTTAN</v>
      </c>
      <c r="I3137" s="20" t="str">
        <f t="shared" si="146"/>
        <v xml:space="preserve">L    </v>
      </c>
    </row>
    <row r="3138" spans="1:9">
      <c r="A3138" s="17" t="s">
        <v>1444</v>
      </c>
      <c r="B3138" s="17" t="s">
        <v>971</v>
      </c>
      <c r="C3138" s="17" t="s">
        <v>800</v>
      </c>
      <c r="D3138" s="17" t="s">
        <v>801</v>
      </c>
      <c r="E3138" s="18">
        <v>3004390689033</v>
      </c>
      <c r="G3138" s="20" t="str">
        <f t="shared" si="144"/>
        <v xml:space="preserve"> BRACELETGREAT   </v>
      </c>
      <c r="H3138" s="20" t="str">
        <f t="shared" si="145"/>
        <v>OTTAN</v>
      </c>
      <c r="I3138" s="20" t="str">
        <f t="shared" si="146"/>
        <v xml:space="preserve">L    </v>
      </c>
    </row>
    <row r="3139" spans="1:9">
      <c r="A3139" s="17" t="s">
        <v>1444</v>
      </c>
      <c r="B3139" s="17" t="s">
        <v>971</v>
      </c>
      <c r="C3139" s="17" t="s">
        <v>802</v>
      </c>
      <c r="D3139" s="17" t="s">
        <v>801</v>
      </c>
      <c r="E3139" s="18">
        <v>8058333587059</v>
      </c>
      <c r="G3139" s="20" t="str">
        <f t="shared" si="144"/>
        <v xml:space="preserve"> BRACELETGREAT   </v>
      </c>
      <c r="H3139" s="20" t="str">
        <f t="shared" si="145"/>
        <v>OTTAN</v>
      </c>
      <c r="I3139" s="20" t="str">
        <f t="shared" si="146"/>
        <v xml:space="preserve">M    </v>
      </c>
    </row>
    <row r="3140" spans="1:9">
      <c r="A3140" s="17" t="s">
        <v>1444</v>
      </c>
      <c r="B3140" s="17" t="s">
        <v>971</v>
      </c>
      <c r="C3140" s="17" t="s">
        <v>802</v>
      </c>
      <c r="D3140" s="17" t="s">
        <v>801</v>
      </c>
      <c r="E3140" s="18">
        <v>3004390689026</v>
      </c>
      <c r="G3140" s="20" t="str">
        <f t="shared" si="144"/>
        <v xml:space="preserve"> BRACELETGREAT   </v>
      </c>
      <c r="H3140" s="20" t="str">
        <f t="shared" si="145"/>
        <v>OTTAN</v>
      </c>
      <c r="I3140" s="20" t="str">
        <f t="shared" si="146"/>
        <v xml:space="preserve">M    </v>
      </c>
    </row>
    <row r="3141" spans="1:9">
      <c r="A3141" s="17" t="s">
        <v>1444</v>
      </c>
      <c r="B3141" s="17" t="s">
        <v>971</v>
      </c>
      <c r="C3141" s="17" t="s">
        <v>803</v>
      </c>
      <c r="D3141" s="17" t="s">
        <v>801</v>
      </c>
      <c r="E3141" s="18">
        <v>8058333587066</v>
      </c>
      <c r="G3141" s="20" t="str">
        <f t="shared" ref="G3141:G3204" si="147">A3141</f>
        <v xml:space="preserve"> BRACELETGREAT   </v>
      </c>
      <c r="H3141" s="20" t="str">
        <f t="shared" ref="H3141:H3204" si="148">B3141</f>
        <v>OTTAN</v>
      </c>
      <c r="I3141" s="20" t="str">
        <f t="shared" ref="I3141:I3204" si="149">C3141</f>
        <v xml:space="preserve">S    </v>
      </c>
    </row>
    <row r="3142" spans="1:9">
      <c r="A3142" s="17" t="s">
        <v>1444</v>
      </c>
      <c r="B3142" s="17" t="s">
        <v>971</v>
      </c>
      <c r="C3142" s="17" t="s">
        <v>803</v>
      </c>
      <c r="D3142" s="17" t="s">
        <v>801</v>
      </c>
      <c r="E3142" s="18">
        <v>3004390689019</v>
      </c>
      <c r="G3142" s="20" t="str">
        <f t="shared" si="147"/>
        <v xml:space="preserve"> BRACELETGREAT   </v>
      </c>
      <c r="H3142" s="20" t="str">
        <f t="shared" si="148"/>
        <v>OTTAN</v>
      </c>
      <c r="I3142" s="20" t="str">
        <f t="shared" si="149"/>
        <v xml:space="preserve">S    </v>
      </c>
    </row>
    <row r="3143" spans="1:9">
      <c r="A3143" s="17" t="s">
        <v>1444</v>
      </c>
      <c r="B3143" s="17" t="s">
        <v>971</v>
      </c>
      <c r="C3143" s="17" t="s">
        <v>804</v>
      </c>
      <c r="D3143" s="17" t="s">
        <v>801</v>
      </c>
      <c r="E3143" s="18">
        <v>3004390689040</v>
      </c>
      <c r="G3143" s="20" t="str">
        <f t="shared" si="147"/>
        <v xml:space="preserve"> BRACELETGREAT   </v>
      </c>
      <c r="H3143" s="20" t="str">
        <f t="shared" si="148"/>
        <v>OTTAN</v>
      </c>
      <c r="I3143" s="20" t="str">
        <f t="shared" si="149"/>
        <v xml:space="preserve">XL   </v>
      </c>
    </row>
    <row r="3144" spans="1:9">
      <c r="A3144" s="17" t="s">
        <v>1444</v>
      </c>
      <c r="B3144" s="17" t="s">
        <v>971</v>
      </c>
      <c r="C3144" s="17" t="s">
        <v>805</v>
      </c>
      <c r="D3144" s="17" t="s">
        <v>801</v>
      </c>
      <c r="E3144" s="18">
        <v>3004390689002</v>
      </c>
      <c r="G3144" s="20" t="str">
        <f t="shared" si="147"/>
        <v xml:space="preserve"> BRACELETGREAT   </v>
      </c>
      <c r="H3144" s="20" t="str">
        <f t="shared" si="148"/>
        <v>OTTAN</v>
      </c>
      <c r="I3144" s="20" t="str">
        <f t="shared" si="149"/>
        <v xml:space="preserve">XS   </v>
      </c>
    </row>
    <row r="3145" spans="1:9">
      <c r="A3145" s="17" t="s">
        <v>1444</v>
      </c>
      <c r="B3145" s="17" t="s">
        <v>1437</v>
      </c>
      <c r="C3145" s="17" t="s">
        <v>800</v>
      </c>
      <c r="D3145" s="17" t="s">
        <v>801</v>
      </c>
      <c r="E3145" s="18">
        <v>8058983590799</v>
      </c>
      <c r="G3145" s="20" t="str">
        <f t="shared" si="147"/>
        <v xml:space="preserve"> BRACELETGREAT   </v>
      </c>
      <c r="H3145" s="20" t="str">
        <f t="shared" si="148"/>
        <v>PISTA</v>
      </c>
      <c r="I3145" s="20" t="str">
        <f t="shared" si="149"/>
        <v xml:space="preserve">L    </v>
      </c>
    </row>
    <row r="3146" spans="1:9">
      <c r="A3146" s="17" t="s">
        <v>1444</v>
      </c>
      <c r="B3146" s="17" t="s">
        <v>1437</v>
      </c>
      <c r="C3146" s="17" t="s">
        <v>800</v>
      </c>
      <c r="D3146" s="17" t="s">
        <v>801</v>
      </c>
      <c r="E3146" s="18">
        <v>3004390382033</v>
      </c>
      <c r="G3146" s="20" t="str">
        <f t="shared" si="147"/>
        <v xml:space="preserve"> BRACELETGREAT   </v>
      </c>
      <c r="H3146" s="20" t="str">
        <f t="shared" si="148"/>
        <v>PISTA</v>
      </c>
      <c r="I3146" s="20" t="str">
        <f t="shared" si="149"/>
        <v xml:space="preserve">L    </v>
      </c>
    </row>
    <row r="3147" spans="1:9">
      <c r="A3147" s="17" t="s">
        <v>1444</v>
      </c>
      <c r="B3147" s="17" t="s">
        <v>1437</v>
      </c>
      <c r="C3147" s="17" t="s">
        <v>802</v>
      </c>
      <c r="D3147" s="17" t="s">
        <v>801</v>
      </c>
      <c r="E3147" s="18">
        <v>8058983590805</v>
      </c>
      <c r="G3147" s="20" t="str">
        <f t="shared" si="147"/>
        <v xml:space="preserve"> BRACELETGREAT   </v>
      </c>
      <c r="H3147" s="20" t="str">
        <f t="shared" si="148"/>
        <v>PISTA</v>
      </c>
      <c r="I3147" s="20" t="str">
        <f t="shared" si="149"/>
        <v xml:space="preserve">M    </v>
      </c>
    </row>
    <row r="3148" spans="1:9">
      <c r="A3148" s="17" t="s">
        <v>1444</v>
      </c>
      <c r="B3148" s="17" t="s">
        <v>1437</v>
      </c>
      <c r="C3148" s="17" t="s">
        <v>802</v>
      </c>
      <c r="D3148" s="17" t="s">
        <v>801</v>
      </c>
      <c r="E3148" s="18">
        <v>3004390382026</v>
      </c>
      <c r="G3148" s="20" t="str">
        <f t="shared" si="147"/>
        <v xml:space="preserve"> BRACELETGREAT   </v>
      </c>
      <c r="H3148" s="20" t="str">
        <f t="shared" si="148"/>
        <v>PISTA</v>
      </c>
      <c r="I3148" s="20" t="str">
        <f t="shared" si="149"/>
        <v xml:space="preserve">M    </v>
      </c>
    </row>
    <row r="3149" spans="1:9">
      <c r="A3149" s="17" t="s">
        <v>1444</v>
      </c>
      <c r="B3149" s="17" t="s">
        <v>1437</v>
      </c>
      <c r="C3149" s="17" t="s">
        <v>803</v>
      </c>
      <c r="D3149" s="17" t="s">
        <v>801</v>
      </c>
      <c r="E3149" s="18">
        <v>8058983590812</v>
      </c>
      <c r="G3149" s="20" t="str">
        <f t="shared" si="147"/>
        <v xml:space="preserve"> BRACELETGREAT   </v>
      </c>
      <c r="H3149" s="20" t="str">
        <f t="shared" si="148"/>
        <v>PISTA</v>
      </c>
      <c r="I3149" s="20" t="str">
        <f t="shared" si="149"/>
        <v xml:space="preserve">S    </v>
      </c>
    </row>
    <row r="3150" spans="1:9">
      <c r="A3150" s="17" t="s">
        <v>1444</v>
      </c>
      <c r="B3150" s="17" t="s">
        <v>1437</v>
      </c>
      <c r="C3150" s="17" t="s">
        <v>803</v>
      </c>
      <c r="D3150" s="17" t="s">
        <v>801</v>
      </c>
      <c r="E3150" s="18">
        <v>3004390382019</v>
      </c>
      <c r="G3150" s="20" t="str">
        <f t="shared" si="147"/>
        <v xml:space="preserve"> BRACELETGREAT   </v>
      </c>
      <c r="H3150" s="20" t="str">
        <f t="shared" si="148"/>
        <v>PISTA</v>
      </c>
      <c r="I3150" s="20" t="str">
        <f t="shared" si="149"/>
        <v xml:space="preserve">S    </v>
      </c>
    </row>
    <row r="3151" spans="1:9">
      <c r="A3151" s="17" t="s">
        <v>1444</v>
      </c>
      <c r="B3151" s="17" t="s">
        <v>1437</v>
      </c>
      <c r="C3151" s="17" t="s">
        <v>804</v>
      </c>
      <c r="D3151" s="17" t="s">
        <v>801</v>
      </c>
      <c r="E3151" s="18">
        <v>3004390382040</v>
      </c>
      <c r="G3151" s="20" t="str">
        <f t="shared" si="147"/>
        <v xml:space="preserve"> BRACELETGREAT   </v>
      </c>
      <c r="H3151" s="20" t="str">
        <f t="shared" si="148"/>
        <v>PISTA</v>
      </c>
      <c r="I3151" s="20" t="str">
        <f t="shared" si="149"/>
        <v xml:space="preserve">XL   </v>
      </c>
    </row>
    <row r="3152" spans="1:9">
      <c r="A3152" s="17" t="s">
        <v>1444</v>
      </c>
      <c r="B3152" s="17" t="s">
        <v>1437</v>
      </c>
      <c r="C3152" s="17" t="s">
        <v>805</v>
      </c>
      <c r="D3152" s="17" t="s">
        <v>801</v>
      </c>
      <c r="E3152" s="18">
        <v>3004390382002</v>
      </c>
      <c r="G3152" s="20" t="str">
        <f t="shared" si="147"/>
        <v xml:space="preserve"> BRACELETGREAT   </v>
      </c>
      <c r="H3152" s="20" t="str">
        <f t="shared" si="148"/>
        <v>PISTA</v>
      </c>
      <c r="I3152" s="20" t="str">
        <f t="shared" si="149"/>
        <v xml:space="preserve">XS   </v>
      </c>
    </row>
    <row r="3153" spans="1:9">
      <c r="A3153" s="17" t="s">
        <v>1444</v>
      </c>
      <c r="B3153" s="17" t="s">
        <v>1438</v>
      </c>
      <c r="C3153" s="17" t="s">
        <v>800</v>
      </c>
      <c r="D3153" s="17" t="s">
        <v>801</v>
      </c>
      <c r="E3153" s="18">
        <v>3004390692033</v>
      </c>
      <c r="G3153" s="20" t="str">
        <f t="shared" si="147"/>
        <v xml:space="preserve"> BRACELETGREAT   </v>
      </c>
      <c r="H3153" s="20" t="str">
        <f t="shared" si="148"/>
        <v>POLVE</v>
      </c>
      <c r="I3153" s="20" t="str">
        <f t="shared" si="149"/>
        <v xml:space="preserve">L    </v>
      </c>
    </row>
    <row r="3154" spans="1:9">
      <c r="A3154" s="17" t="s">
        <v>1444</v>
      </c>
      <c r="B3154" s="17" t="s">
        <v>1438</v>
      </c>
      <c r="C3154" s="17" t="s">
        <v>800</v>
      </c>
      <c r="D3154" s="17" t="s">
        <v>801</v>
      </c>
      <c r="E3154" s="18">
        <v>8058333587080</v>
      </c>
      <c r="G3154" s="20" t="str">
        <f t="shared" si="147"/>
        <v xml:space="preserve"> BRACELETGREAT   </v>
      </c>
      <c r="H3154" s="20" t="str">
        <f t="shared" si="148"/>
        <v>POLVE</v>
      </c>
      <c r="I3154" s="20" t="str">
        <f t="shared" si="149"/>
        <v xml:space="preserve">L    </v>
      </c>
    </row>
    <row r="3155" spans="1:9">
      <c r="A3155" s="17" t="s">
        <v>1444</v>
      </c>
      <c r="B3155" s="17" t="s">
        <v>1438</v>
      </c>
      <c r="C3155" s="17" t="s">
        <v>802</v>
      </c>
      <c r="D3155" s="17" t="s">
        <v>801</v>
      </c>
      <c r="E3155" s="18">
        <v>3004390692026</v>
      </c>
      <c r="G3155" s="20" t="str">
        <f t="shared" si="147"/>
        <v xml:space="preserve"> BRACELETGREAT   </v>
      </c>
      <c r="H3155" s="20" t="str">
        <f t="shared" si="148"/>
        <v>POLVE</v>
      </c>
      <c r="I3155" s="20" t="str">
        <f t="shared" si="149"/>
        <v xml:space="preserve">M    </v>
      </c>
    </row>
    <row r="3156" spans="1:9">
      <c r="A3156" s="17" t="s">
        <v>1444</v>
      </c>
      <c r="B3156" s="17" t="s">
        <v>1438</v>
      </c>
      <c r="C3156" s="17" t="s">
        <v>802</v>
      </c>
      <c r="D3156" s="17" t="s">
        <v>801</v>
      </c>
      <c r="E3156" s="18">
        <v>8058333587097</v>
      </c>
      <c r="G3156" s="20" t="str">
        <f t="shared" si="147"/>
        <v xml:space="preserve"> BRACELETGREAT   </v>
      </c>
      <c r="H3156" s="20" t="str">
        <f t="shared" si="148"/>
        <v>POLVE</v>
      </c>
      <c r="I3156" s="20" t="str">
        <f t="shared" si="149"/>
        <v xml:space="preserve">M    </v>
      </c>
    </row>
    <row r="3157" spans="1:9">
      <c r="A3157" s="17" t="s">
        <v>1444</v>
      </c>
      <c r="B3157" s="17" t="s">
        <v>1438</v>
      </c>
      <c r="C3157" s="17" t="s">
        <v>803</v>
      </c>
      <c r="D3157" s="17" t="s">
        <v>801</v>
      </c>
      <c r="E3157" s="18">
        <v>8058333587103</v>
      </c>
      <c r="G3157" s="20" t="str">
        <f t="shared" si="147"/>
        <v xml:space="preserve"> BRACELETGREAT   </v>
      </c>
      <c r="H3157" s="20" t="str">
        <f t="shared" si="148"/>
        <v>POLVE</v>
      </c>
      <c r="I3157" s="20" t="str">
        <f t="shared" si="149"/>
        <v xml:space="preserve">S    </v>
      </c>
    </row>
    <row r="3158" spans="1:9">
      <c r="A3158" s="17" t="s">
        <v>1444</v>
      </c>
      <c r="B3158" s="17" t="s">
        <v>1438</v>
      </c>
      <c r="C3158" s="17" t="s">
        <v>803</v>
      </c>
      <c r="D3158" s="17" t="s">
        <v>801</v>
      </c>
      <c r="E3158" s="18">
        <v>3004390692019</v>
      </c>
      <c r="G3158" s="20" t="str">
        <f t="shared" si="147"/>
        <v xml:space="preserve"> BRACELETGREAT   </v>
      </c>
      <c r="H3158" s="20" t="str">
        <f t="shared" si="148"/>
        <v>POLVE</v>
      </c>
      <c r="I3158" s="20" t="str">
        <f t="shared" si="149"/>
        <v xml:space="preserve">S    </v>
      </c>
    </row>
    <row r="3159" spans="1:9">
      <c r="A3159" s="17" t="s">
        <v>1444</v>
      </c>
      <c r="B3159" s="17" t="s">
        <v>1438</v>
      </c>
      <c r="C3159" s="17" t="s">
        <v>804</v>
      </c>
      <c r="D3159" s="17" t="s">
        <v>801</v>
      </c>
      <c r="E3159" s="18">
        <v>3004390692040</v>
      </c>
      <c r="G3159" s="20" t="str">
        <f t="shared" si="147"/>
        <v xml:space="preserve"> BRACELETGREAT   </v>
      </c>
      <c r="H3159" s="20" t="str">
        <f t="shared" si="148"/>
        <v>POLVE</v>
      </c>
      <c r="I3159" s="20" t="str">
        <f t="shared" si="149"/>
        <v xml:space="preserve">XL   </v>
      </c>
    </row>
    <row r="3160" spans="1:9">
      <c r="A3160" s="17" t="s">
        <v>1444</v>
      </c>
      <c r="B3160" s="17" t="s">
        <v>1438</v>
      </c>
      <c r="C3160" s="17" t="s">
        <v>805</v>
      </c>
      <c r="D3160" s="17" t="s">
        <v>801</v>
      </c>
      <c r="E3160" s="18">
        <v>3004390692002</v>
      </c>
      <c r="G3160" s="20" t="str">
        <f t="shared" si="147"/>
        <v xml:space="preserve"> BRACELETGREAT   </v>
      </c>
      <c r="H3160" s="20" t="str">
        <f t="shared" si="148"/>
        <v>POLVE</v>
      </c>
      <c r="I3160" s="20" t="str">
        <f t="shared" si="149"/>
        <v xml:space="preserve">XS   </v>
      </c>
    </row>
    <row r="3161" spans="1:9">
      <c r="A3161" s="17" t="s">
        <v>1444</v>
      </c>
      <c r="B3161" s="17" t="s">
        <v>1236</v>
      </c>
      <c r="C3161" s="17" t="s">
        <v>800</v>
      </c>
      <c r="D3161" s="17" t="s">
        <v>801</v>
      </c>
      <c r="E3161" s="18">
        <v>3005050609033</v>
      </c>
      <c r="G3161" s="20" t="str">
        <f t="shared" si="147"/>
        <v xml:space="preserve"> BRACELETGREAT   </v>
      </c>
      <c r="H3161" s="20" t="str">
        <f t="shared" si="148"/>
        <v xml:space="preserve">POW  </v>
      </c>
      <c r="I3161" s="20" t="str">
        <f t="shared" si="149"/>
        <v xml:space="preserve">L    </v>
      </c>
    </row>
    <row r="3162" spans="1:9">
      <c r="A3162" s="17" t="s">
        <v>1444</v>
      </c>
      <c r="B3162" s="17" t="s">
        <v>1236</v>
      </c>
      <c r="C3162" s="17" t="s">
        <v>802</v>
      </c>
      <c r="D3162" s="17" t="s">
        <v>801</v>
      </c>
      <c r="E3162" s="18">
        <v>3005050609026</v>
      </c>
      <c r="G3162" s="20" t="str">
        <f t="shared" si="147"/>
        <v xml:space="preserve"> BRACELETGREAT   </v>
      </c>
      <c r="H3162" s="20" t="str">
        <f t="shared" si="148"/>
        <v xml:space="preserve">POW  </v>
      </c>
      <c r="I3162" s="20" t="str">
        <f t="shared" si="149"/>
        <v xml:space="preserve">M    </v>
      </c>
    </row>
    <row r="3163" spans="1:9">
      <c r="A3163" s="17" t="s">
        <v>1444</v>
      </c>
      <c r="B3163" s="17" t="s">
        <v>1236</v>
      </c>
      <c r="C3163" s="17" t="s">
        <v>803</v>
      </c>
      <c r="D3163" s="17" t="s">
        <v>801</v>
      </c>
      <c r="E3163" s="18">
        <v>3005050609019</v>
      </c>
      <c r="G3163" s="20" t="str">
        <f t="shared" si="147"/>
        <v xml:space="preserve"> BRACELETGREAT   </v>
      </c>
      <c r="H3163" s="20" t="str">
        <f t="shared" si="148"/>
        <v xml:space="preserve">POW  </v>
      </c>
      <c r="I3163" s="20" t="str">
        <f t="shared" si="149"/>
        <v xml:space="preserve">S    </v>
      </c>
    </row>
    <row r="3164" spans="1:9">
      <c r="A3164" s="17" t="s">
        <v>1444</v>
      </c>
      <c r="B3164" s="17" t="s">
        <v>1236</v>
      </c>
      <c r="C3164" s="17" t="s">
        <v>804</v>
      </c>
      <c r="D3164" s="17" t="s">
        <v>801</v>
      </c>
      <c r="E3164" s="18">
        <v>3005050609040</v>
      </c>
      <c r="G3164" s="20" t="str">
        <f t="shared" si="147"/>
        <v xml:space="preserve"> BRACELETGREAT   </v>
      </c>
      <c r="H3164" s="20" t="str">
        <f t="shared" si="148"/>
        <v xml:space="preserve">POW  </v>
      </c>
      <c r="I3164" s="20" t="str">
        <f t="shared" si="149"/>
        <v xml:space="preserve">XL   </v>
      </c>
    </row>
    <row r="3165" spans="1:9">
      <c r="A3165" s="17" t="s">
        <v>1444</v>
      </c>
      <c r="B3165" s="17" t="s">
        <v>1236</v>
      </c>
      <c r="C3165" s="17" t="s">
        <v>805</v>
      </c>
      <c r="D3165" s="17" t="s">
        <v>801</v>
      </c>
      <c r="E3165" s="18">
        <v>3005050609002</v>
      </c>
      <c r="G3165" s="20" t="str">
        <f t="shared" si="147"/>
        <v xml:space="preserve"> BRACELETGREAT   </v>
      </c>
      <c r="H3165" s="20" t="str">
        <f t="shared" si="148"/>
        <v xml:space="preserve">POW  </v>
      </c>
      <c r="I3165" s="20" t="str">
        <f t="shared" si="149"/>
        <v xml:space="preserve">XS   </v>
      </c>
    </row>
    <row r="3166" spans="1:9">
      <c r="A3166" s="17" t="s">
        <v>1444</v>
      </c>
      <c r="B3166" s="17" t="s">
        <v>816</v>
      </c>
      <c r="C3166" s="17" t="s">
        <v>800</v>
      </c>
      <c r="D3166" s="17" t="s">
        <v>801</v>
      </c>
      <c r="E3166" s="18">
        <v>8058983590768</v>
      </c>
      <c r="G3166" s="20" t="str">
        <f t="shared" si="147"/>
        <v xml:space="preserve"> BRACELETGREAT   </v>
      </c>
      <c r="H3166" s="20" t="str">
        <f t="shared" si="148"/>
        <v xml:space="preserve">RED  </v>
      </c>
      <c r="I3166" s="20" t="str">
        <f t="shared" si="149"/>
        <v xml:space="preserve">L    </v>
      </c>
    </row>
    <row r="3167" spans="1:9">
      <c r="A3167" s="17" t="s">
        <v>1444</v>
      </c>
      <c r="B3167" s="17" t="s">
        <v>816</v>
      </c>
      <c r="C3167" s="17" t="s">
        <v>800</v>
      </c>
      <c r="D3167" s="17" t="s">
        <v>801</v>
      </c>
      <c r="E3167" s="18">
        <v>3004390395033</v>
      </c>
      <c r="G3167" s="20" t="str">
        <f t="shared" si="147"/>
        <v xml:space="preserve"> BRACELETGREAT   </v>
      </c>
      <c r="H3167" s="20" t="str">
        <f t="shared" si="148"/>
        <v xml:space="preserve">RED  </v>
      </c>
      <c r="I3167" s="20" t="str">
        <f t="shared" si="149"/>
        <v xml:space="preserve">L    </v>
      </c>
    </row>
    <row r="3168" spans="1:9">
      <c r="A3168" s="17" t="s">
        <v>1444</v>
      </c>
      <c r="B3168" s="17" t="s">
        <v>816</v>
      </c>
      <c r="C3168" s="17" t="s">
        <v>802</v>
      </c>
      <c r="D3168" s="17" t="s">
        <v>801</v>
      </c>
      <c r="E3168" s="18">
        <v>8058983590775</v>
      </c>
      <c r="G3168" s="20" t="str">
        <f t="shared" si="147"/>
        <v xml:space="preserve"> BRACELETGREAT   </v>
      </c>
      <c r="H3168" s="20" t="str">
        <f t="shared" si="148"/>
        <v xml:space="preserve">RED  </v>
      </c>
      <c r="I3168" s="20" t="str">
        <f t="shared" si="149"/>
        <v xml:space="preserve">M    </v>
      </c>
    </row>
    <row r="3169" spans="1:9">
      <c r="A3169" s="17" t="s">
        <v>1444</v>
      </c>
      <c r="B3169" s="17" t="s">
        <v>816</v>
      </c>
      <c r="C3169" s="17" t="s">
        <v>802</v>
      </c>
      <c r="D3169" s="17" t="s">
        <v>801</v>
      </c>
      <c r="E3169" s="18">
        <v>3004390395026</v>
      </c>
      <c r="G3169" s="20" t="str">
        <f t="shared" si="147"/>
        <v xml:space="preserve"> BRACELETGREAT   </v>
      </c>
      <c r="H3169" s="20" t="str">
        <f t="shared" si="148"/>
        <v xml:space="preserve">RED  </v>
      </c>
      <c r="I3169" s="20" t="str">
        <f t="shared" si="149"/>
        <v xml:space="preserve">M    </v>
      </c>
    </row>
    <row r="3170" spans="1:9">
      <c r="A3170" s="17" t="s">
        <v>1444</v>
      </c>
      <c r="B3170" s="17" t="s">
        <v>816</v>
      </c>
      <c r="C3170" s="17" t="s">
        <v>803</v>
      </c>
      <c r="D3170" s="17" t="s">
        <v>801</v>
      </c>
      <c r="E3170" s="18">
        <v>8058983590782</v>
      </c>
      <c r="G3170" s="20" t="str">
        <f t="shared" si="147"/>
        <v xml:space="preserve"> BRACELETGREAT   </v>
      </c>
      <c r="H3170" s="20" t="str">
        <f t="shared" si="148"/>
        <v xml:space="preserve">RED  </v>
      </c>
      <c r="I3170" s="20" t="str">
        <f t="shared" si="149"/>
        <v xml:space="preserve">S    </v>
      </c>
    </row>
    <row r="3171" spans="1:9">
      <c r="A3171" s="17" t="s">
        <v>1444</v>
      </c>
      <c r="B3171" s="17" t="s">
        <v>816</v>
      </c>
      <c r="C3171" s="17" t="s">
        <v>803</v>
      </c>
      <c r="D3171" s="17" t="s">
        <v>801</v>
      </c>
      <c r="E3171" s="18">
        <v>3004390395019</v>
      </c>
      <c r="G3171" s="20" t="str">
        <f t="shared" si="147"/>
        <v xml:space="preserve"> BRACELETGREAT   </v>
      </c>
      <c r="H3171" s="20" t="str">
        <f t="shared" si="148"/>
        <v xml:space="preserve">RED  </v>
      </c>
      <c r="I3171" s="20" t="str">
        <f t="shared" si="149"/>
        <v xml:space="preserve">S    </v>
      </c>
    </row>
    <row r="3172" spans="1:9">
      <c r="A3172" s="17" t="s">
        <v>1444</v>
      </c>
      <c r="B3172" s="17" t="s">
        <v>816</v>
      </c>
      <c r="C3172" s="17" t="s">
        <v>804</v>
      </c>
      <c r="D3172" s="17" t="s">
        <v>801</v>
      </c>
      <c r="E3172" s="18">
        <v>3004390395040</v>
      </c>
      <c r="G3172" s="20" t="str">
        <f t="shared" si="147"/>
        <v xml:space="preserve"> BRACELETGREAT   </v>
      </c>
      <c r="H3172" s="20" t="str">
        <f t="shared" si="148"/>
        <v xml:space="preserve">RED  </v>
      </c>
      <c r="I3172" s="20" t="str">
        <f t="shared" si="149"/>
        <v xml:space="preserve">XL   </v>
      </c>
    </row>
    <row r="3173" spans="1:9">
      <c r="A3173" s="17" t="s">
        <v>1444</v>
      </c>
      <c r="B3173" s="17" t="s">
        <v>816</v>
      </c>
      <c r="C3173" s="17" t="s">
        <v>805</v>
      </c>
      <c r="D3173" s="17" t="s">
        <v>801</v>
      </c>
      <c r="E3173" s="18">
        <v>3004390395002</v>
      </c>
      <c r="G3173" s="20" t="str">
        <f t="shared" si="147"/>
        <v xml:space="preserve"> BRACELETGREAT   </v>
      </c>
      <c r="H3173" s="20" t="str">
        <f t="shared" si="148"/>
        <v xml:space="preserve">RED  </v>
      </c>
      <c r="I3173" s="20" t="str">
        <f t="shared" si="149"/>
        <v xml:space="preserve">XS   </v>
      </c>
    </row>
    <row r="3174" spans="1:9">
      <c r="A3174" s="17" t="s">
        <v>1444</v>
      </c>
      <c r="B3174" s="17" t="s">
        <v>1237</v>
      </c>
      <c r="C3174" s="17" t="s">
        <v>800</v>
      </c>
      <c r="D3174" s="17" t="s">
        <v>801</v>
      </c>
      <c r="E3174" s="18">
        <v>8058983590737</v>
      </c>
      <c r="G3174" s="20" t="str">
        <f t="shared" si="147"/>
        <v xml:space="preserve"> BRACELETGREAT   </v>
      </c>
      <c r="H3174" s="20" t="str">
        <f t="shared" si="148"/>
        <v xml:space="preserve">ROCK </v>
      </c>
      <c r="I3174" s="20" t="str">
        <f t="shared" si="149"/>
        <v xml:space="preserve">L    </v>
      </c>
    </row>
    <row r="3175" spans="1:9">
      <c r="A3175" s="17" t="s">
        <v>1444</v>
      </c>
      <c r="B3175" s="17" t="s">
        <v>1237</v>
      </c>
      <c r="C3175" s="17" t="s">
        <v>800</v>
      </c>
      <c r="D3175" s="17" t="s">
        <v>801</v>
      </c>
      <c r="E3175" s="18">
        <v>3004390396030</v>
      </c>
      <c r="G3175" s="20" t="str">
        <f t="shared" si="147"/>
        <v xml:space="preserve"> BRACELETGREAT   </v>
      </c>
      <c r="H3175" s="20" t="str">
        <f t="shared" si="148"/>
        <v xml:space="preserve">ROCK </v>
      </c>
      <c r="I3175" s="20" t="str">
        <f t="shared" si="149"/>
        <v xml:space="preserve">L    </v>
      </c>
    </row>
    <row r="3176" spans="1:9">
      <c r="A3176" s="17" t="s">
        <v>1444</v>
      </c>
      <c r="B3176" s="17" t="s">
        <v>1237</v>
      </c>
      <c r="C3176" s="17" t="s">
        <v>802</v>
      </c>
      <c r="D3176" s="17" t="s">
        <v>801</v>
      </c>
      <c r="E3176" s="18">
        <v>8058983590744</v>
      </c>
      <c r="G3176" s="20" t="str">
        <f t="shared" si="147"/>
        <v xml:space="preserve"> BRACELETGREAT   </v>
      </c>
      <c r="H3176" s="20" t="str">
        <f t="shared" si="148"/>
        <v xml:space="preserve">ROCK </v>
      </c>
      <c r="I3176" s="20" t="str">
        <f t="shared" si="149"/>
        <v xml:space="preserve">M    </v>
      </c>
    </row>
    <row r="3177" spans="1:9">
      <c r="A3177" s="17" t="s">
        <v>1444</v>
      </c>
      <c r="B3177" s="17" t="s">
        <v>1237</v>
      </c>
      <c r="C3177" s="17" t="s">
        <v>802</v>
      </c>
      <c r="D3177" s="17" t="s">
        <v>801</v>
      </c>
      <c r="E3177" s="18">
        <v>3004390396023</v>
      </c>
      <c r="G3177" s="20" t="str">
        <f t="shared" si="147"/>
        <v xml:space="preserve"> BRACELETGREAT   </v>
      </c>
      <c r="H3177" s="20" t="str">
        <f t="shared" si="148"/>
        <v xml:space="preserve">ROCK </v>
      </c>
      <c r="I3177" s="20" t="str">
        <f t="shared" si="149"/>
        <v xml:space="preserve">M    </v>
      </c>
    </row>
    <row r="3178" spans="1:9">
      <c r="A3178" s="17" t="s">
        <v>1444</v>
      </c>
      <c r="B3178" s="17" t="s">
        <v>1237</v>
      </c>
      <c r="C3178" s="17" t="s">
        <v>803</v>
      </c>
      <c r="D3178" s="17" t="s">
        <v>801</v>
      </c>
      <c r="E3178" s="18">
        <v>8058983590751</v>
      </c>
      <c r="G3178" s="20" t="str">
        <f t="shared" si="147"/>
        <v xml:space="preserve"> BRACELETGREAT   </v>
      </c>
      <c r="H3178" s="20" t="str">
        <f t="shared" si="148"/>
        <v xml:space="preserve">ROCK </v>
      </c>
      <c r="I3178" s="20" t="str">
        <f t="shared" si="149"/>
        <v xml:space="preserve">S    </v>
      </c>
    </row>
    <row r="3179" spans="1:9">
      <c r="A3179" s="17" t="s">
        <v>1444</v>
      </c>
      <c r="B3179" s="17" t="s">
        <v>1237</v>
      </c>
      <c r="C3179" s="17" t="s">
        <v>803</v>
      </c>
      <c r="D3179" s="17" t="s">
        <v>801</v>
      </c>
      <c r="E3179" s="18">
        <v>3004390396016</v>
      </c>
      <c r="G3179" s="20" t="str">
        <f t="shared" si="147"/>
        <v xml:space="preserve"> BRACELETGREAT   </v>
      </c>
      <c r="H3179" s="20" t="str">
        <f t="shared" si="148"/>
        <v xml:space="preserve">ROCK </v>
      </c>
      <c r="I3179" s="20" t="str">
        <f t="shared" si="149"/>
        <v xml:space="preserve">S    </v>
      </c>
    </row>
    <row r="3180" spans="1:9">
      <c r="A3180" s="17" t="s">
        <v>1444</v>
      </c>
      <c r="B3180" s="17" t="s">
        <v>1237</v>
      </c>
      <c r="C3180" s="17" t="s">
        <v>804</v>
      </c>
      <c r="D3180" s="17" t="s">
        <v>801</v>
      </c>
      <c r="E3180" s="18">
        <v>3004390396047</v>
      </c>
      <c r="G3180" s="20" t="str">
        <f t="shared" si="147"/>
        <v xml:space="preserve"> BRACELETGREAT   </v>
      </c>
      <c r="H3180" s="20" t="str">
        <f t="shared" si="148"/>
        <v xml:space="preserve">ROCK </v>
      </c>
      <c r="I3180" s="20" t="str">
        <f t="shared" si="149"/>
        <v xml:space="preserve">XL   </v>
      </c>
    </row>
    <row r="3181" spans="1:9">
      <c r="A3181" s="17" t="s">
        <v>1444</v>
      </c>
      <c r="B3181" s="17" t="s">
        <v>1237</v>
      </c>
      <c r="C3181" s="17" t="s">
        <v>805</v>
      </c>
      <c r="D3181" s="17" t="s">
        <v>801</v>
      </c>
      <c r="E3181" s="18">
        <v>3004390396009</v>
      </c>
      <c r="G3181" s="20" t="str">
        <f t="shared" si="147"/>
        <v xml:space="preserve"> BRACELETGREAT   </v>
      </c>
      <c r="H3181" s="20" t="str">
        <f t="shared" si="148"/>
        <v xml:space="preserve">ROCK </v>
      </c>
      <c r="I3181" s="20" t="str">
        <f t="shared" si="149"/>
        <v xml:space="preserve">XS   </v>
      </c>
    </row>
    <row r="3182" spans="1:9">
      <c r="A3182" s="17" t="s">
        <v>1444</v>
      </c>
      <c r="B3182" s="17" t="s">
        <v>1442</v>
      </c>
      <c r="C3182" s="17" t="s">
        <v>800</v>
      </c>
      <c r="D3182" s="17" t="s">
        <v>801</v>
      </c>
      <c r="E3182" s="18">
        <v>8058983590829</v>
      </c>
      <c r="G3182" s="20" t="str">
        <f t="shared" si="147"/>
        <v xml:space="preserve"> BRACELETGREAT   </v>
      </c>
      <c r="H3182" s="20" t="str">
        <f t="shared" si="148"/>
        <v>VIODE</v>
      </c>
      <c r="I3182" s="20" t="str">
        <f t="shared" si="149"/>
        <v xml:space="preserve">L    </v>
      </c>
    </row>
    <row r="3183" spans="1:9">
      <c r="A3183" s="17" t="s">
        <v>1444</v>
      </c>
      <c r="B3183" s="17" t="s">
        <v>1442</v>
      </c>
      <c r="C3183" s="17" t="s">
        <v>800</v>
      </c>
      <c r="D3183" s="17" t="s">
        <v>801</v>
      </c>
      <c r="E3183" s="18">
        <v>3004390489039</v>
      </c>
      <c r="G3183" s="20" t="str">
        <f t="shared" si="147"/>
        <v xml:space="preserve"> BRACELETGREAT   </v>
      </c>
      <c r="H3183" s="20" t="str">
        <f t="shared" si="148"/>
        <v>VIODE</v>
      </c>
      <c r="I3183" s="20" t="str">
        <f t="shared" si="149"/>
        <v xml:space="preserve">L    </v>
      </c>
    </row>
    <row r="3184" spans="1:9">
      <c r="A3184" s="17" t="s">
        <v>1444</v>
      </c>
      <c r="B3184" s="17" t="s">
        <v>1442</v>
      </c>
      <c r="C3184" s="17" t="s">
        <v>802</v>
      </c>
      <c r="D3184" s="17" t="s">
        <v>801</v>
      </c>
      <c r="E3184" s="18">
        <v>8058983590836</v>
      </c>
      <c r="G3184" s="20" t="str">
        <f t="shared" si="147"/>
        <v xml:space="preserve"> BRACELETGREAT   </v>
      </c>
      <c r="H3184" s="20" t="str">
        <f t="shared" si="148"/>
        <v>VIODE</v>
      </c>
      <c r="I3184" s="20" t="str">
        <f t="shared" si="149"/>
        <v xml:space="preserve">M    </v>
      </c>
    </row>
    <row r="3185" spans="1:9">
      <c r="A3185" s="17" t="s">
        <v>1444</v>
      </c>
      <c r="B3185" s="17" t="s">
        <v>1442</v>
      </c>
      <c r="C3185" s="17" t="s">
        <v>802</v>
      </c>
      <c r="D3185" s="17" t="s">
        <v>801</v>
      </c>
      <c r="E3185" s="18">
        <v>3004390489022</v>
      </c>
      <c r="G3185" s="20" t="str">
        <f t="shared" si="147"/>
        <v xml:space="preserve"> BRACELETGREAT   </v>
      </c>
      <c r="H3185" s="20" t="str">
        <f t="shared" si="148"/>
        <v>VIODE</v>
      </c>
      <c r="I3185" s="20" t="str">
        <f t="shared" si="149"/>
        <v xml:space="preserve">M    </v>
      </c>
    </row>
    <row r="3186" spans="1:9">
      <c r="A3186" s="17" t="s">
        <v>1444</v>
      </c>
      <c r="B3186" s="17" t="s">
        <v>1442</v>
      </c>
      <c r="C3186" s="17" t="s">
        <v>803</v>
      </c>
      <c r="D3186" s="17" t="s">
        <v>801</v>
      </c>
      <c r="E3186" s="18">
        <v>8058983590843</v>
      </c>
      <c r="G3186" s="20" t="str">
        <f t="shared" si="147"/>
        <v xml:space="preserve"> BRACELETGREAT   </v>
      </c>
      <c r="H3186" s="20" t="str">
        <f t="shared" si="148"/>
        <v>VIODE</v>
      </c>
      <c r="I3186" s="20" t="str">
        <f t="shared" si="149"/>
        <v xml:space="preserve">S    </v>
      </c>
    </row>
    <row r="3187" spans="1:9">
      <c r="A3187" s="17" t="s">
        <v>1444</v>
      </c>
      <c r="B3187" s="17" t="s">
        <v>1442</v>
      </c>
      <c r="C3187" s="17" t="s">
        <v>803</v>
      </c>
      <c r="D3187" s="17" t="s">
        <v>801</v>
      </c>
      <c r="E3187" s="18">
        <v>3004390489015</v>
      </c>
      <c r="G3187" s="20" t="str">
        <f t="shared" si="147"/>
        <v xml:space="preserve"> BRACELETGREAT   </v>
      </c>
      <c r="H3187" s="20" t="str">
        <f t="shared" si="148"/>
        <v>VIODE</v>
      </c>
      <c r="I3187" s="20" t="str">
        <f t="shared" si="149"/>
        <v xml:space="preserve">S    </v>
      </c>
    </row>
    <row r="3188" spans="1:9">
      <c r="A3188" s="17" t="s">
        <v>1444</v>
      </c>
      <c r="B3188" s="17" t="s">
        <v>1442</v>
      </c>
      <c r="C3188" s="17" t="s">
        <v>804</v>
      </c>
      <c r="D3188" s="17" t="s">
        <v>801</v>
      </c>
      <c r="E3188" s="18">
        <v>3004390489046</v>
      </c>
      <c r="G3188" s="20" t="str">
        <f t="shared" si="147"/>
        <v xml:space="preserve"> BRACELETGREAT   </v>
      </c>
      <c r="H3188" s="20" t="str">
        <f t="shared" si="148"/>
        <v>VIODE</v>
      </c>
      <c r="I3188" s="20" t="str">
        <f t="shared" si="149"/>
        <v xml:space="preserve">XL   </v>
      </c>
    </row>
    <row r="3189" spans="1:9">
      <c r="A3189" s="17" t="s">
        <v>1444</v>
      </c>
      <c r="B3189" s="17" t="s">
        <v>1442</v>
      </c>
      <c r="C3189" s="17" t="s">
        <v>805</v>
      </c>
      <c r="D3189" s="17" t="s">
        <v>801</v>
      </c>
      <c r="E3189" s="18">
        <v>3004390489008</v>
      </c>
      <c r="G3189" s="20" t="str">
        <f t="shared" si="147"/>
        <v xml:space="preserve"> BRACELETGREAT   </v>
      </c>
      <c r="H3189" s="20" t="str">
        <f t="shared" si="148"/>
        <v>VIODE</v>
      </c>
      <c r="I3189" s="20" t="str">
        <f t="shared" si="149"/>
        <v xml:space="preserve">XS   </v>
      </c>
    </row>
    <row r="3190" spans="1:9">
      <c r="A3190" s="17" t="s">
        <v>1444</v>
      </c>
      <c r="B3190" s="17" t="s">
        <v>1024</v>
      </c>
      <c r="C3190" s="17" t="s">
        <v>800</v>
      </c>
      <c r="D3190" s="17" t="s">
        <v>801</v>
      </c>
      <c r="E3190" s="18">
        <v>3004390435036</v>
      </c>
      <c r="G3190" s="20" t="str">
        <f t="shared" si="147"/>
        <v xml:space="preserve"> BRACELETGREAT   </v>
      </c>
      <c r="H3190" s="20" t="str">
        <f t="shared" si="148"/>
        <v xml:space="preserve">VIOL </v>
      </c>
      <c r="I3190" s="20" t="str">
        <f t="shared" si="149"/>
        <v xml:space="preserve">L    </v>
      </c>
    </row>
    <row r="3191" spans="1:9">
      <c r="A3191" s="17" t="s">
        <v>1444</v>
      </c>
      <c r="B3191" s="17" t="s">
        <v>1024</v>
      </c>
      <c r="C3191" s="17" t="s">
        <v>800</v>
      </c>
      <c r="D3191" s="17" t="s">
        <v>801</v>
      </c>
      <c r="E3191" s="18">
        <v>8058333587127</v>
      </c>
      <c r="G3191" s="20" t="str">
        <f t="shared" si="147"/>
        <v xml:space="preserve"> BRACELETGREAT   </v>
      </c>
      <c r="H3191" s="20" t="str">
        <f t="shared" si="148"/>
        <v xml:space="preserve">VIOL </v>
      </c>
      <c r="I3191" s="20" t="str">
        <f t="shared" si="149"/>
        <v xml:space="preserve">L    </v>
      </c>
    </row>
    <row r="3192" spans="1:9">
      <c r="A3192" s="17" t="s">
        <v>1444</v>
      </c>
      <c r="B3192" s="17" t="s">
        <v>1024</v>
      </c>
      <c r="C3192" s="17" t="s">
        <v>802</v>
      </c>
      <c r="D3192" s="17" t="s">
        <v>801</v>
      </c>
      <c r="E3192" s="18">
        <v>3004390435029</v>
      </c>
      <c r="G3192" s="20" t="str">
        <f t="shared" si="147"/>
        <v xml:space="preserve"> BRACELETGREAT   </v>
      </c>
      <c r="H3192" s="20" t="str">
        <f t="shared" si="148"/>
        <v xml:space="preserve">VIOL </v>
      </c>
      <c r="I3192" s="20" t="str">
        <f t="shared" si="149"/>
        <v xml:space="preserve">M    </v>
      </c>
    </row>
    <row r="3193" spans="1:9">
      <c r="A3193" s="17" t="s">
        <v>1444</v>
      </c>
      <c r="B3193" s="17" t="s">
        <v>1024</v>
      </c>
      <c r="C3193" s="17" t="s">
        <v>802</v>
      </c>
      <c r="D3193" s="17" t="s">
        <v>801</v>
      </c>
      <c r="E3193" s="18">
        <v>8058333587134</v>
      </c>
      <c r="G3193" s="20" t="str">
        <f t="shared" si="147"/>
        <v xml:space="preserve"> BRACELETGREAT   </v>
      </c>
      <c r="H3193" s="20" t="str">
        <f t="shared" si="148"/>
        <v xml:space="preserve">VIOL </v>
      </c>
      <c r="I3193" s="20" t="str">
        <f t="shared" si="149"/>
        <v xml:space="preserve">M    </v>
      </c>
    </row>
    <row r="3194" spans="1:9">
      <c r="A3194" s="17" t="s">
        <v>1444</v>
      </c>
      <c r="B3194" s="17" t="s">
        <v>1024</v>
      </c>
      <c r="C3194" s="17" t="s">
        <v>803</v>
      </c>
      <c r="D3194" s="17" t="s">
        <v>801</v>
      </c>
      <c r="E3194" s="18">
        <v>3004390435012</v>
      </c>
      <c r="G3194" s="20" t="str">
        <f t="shared" si="147"/>
        <v xml:space="preserve"> BRACELETGREAT   </v>
      </c>
      <c r="H3194" s="20" t="str">
        <f t="shared" si="148"/>
        <v xml:space="preserve">VIOL </v>
      </c>
      <c r="I3194" s="20" t="str">
        <f t="shared" si="149"/>
        <v xml:space="preserve">S    </v>
      </c>
    </row>
    <row r="3195" spans="1:9">
      <c r="A3195" s="17" t="s">
        <v>1444</v>
      </c>
      <c r="B3195" s="17" t="s">
        <v>1024</v>
      </c>
      <c r="C3195" s="17" t="s">
        <v>803</v>
      </c>
      <c r="D3195" s="17" t="s">
        <v>801</v>
      </c>
      <c r="E3195" s="18">
        <v>8058333587141</v>
      </c>
      <c r="G3195" s="20" t="str">
        <f t="shared" si="147"/>
        <v xml:space="preserve"> BRACELETGREAT   </v>
      </c>
      <c r="H3195" s="20" t="str">
        <f t="shared" si="148"/>
        <v xml:space="preserve">VIOL </v>
      </c>
      <c r="I3195" s="20" t="str">
        <f t="shared" si="149"/>
        <v xml:space="preserve">S    </v>
      </c>
    </row>
    <row r="3196" spans="1:9">
      <c r="A3196" s="17" t="s">
        <v>1444</v>
      </c>
      <c r="B3196" s="17" t="s">
        <v>1024</v>
      </c>
      <c r="C3196" s="17" t="s">
        <v>804</v>
      </c>
      <c r="D3196" s="17" t="s">
        <v>801</v>
      </c>
      <c r="E3196" s="18">
        <v>3004390435043</v>
      </c>
      <c r="G3196" s="20" t="str">
        <f t="shared" si="147"/>
        <v xml:space="preserve"> BRACELETGREAT   </v>
      </c>
      <c r="H3196" s="20" t="str">
        <f t="shared" si="148"/>
        <v xml:space="preserve">VIOL </v>
      </c>
      <c r="I3196" s="20" t="str">
        <f t="shared" si="149"/>
        <v xml:space="preserve">XL   </v>
      </c>
    </row>
    <row r="3197" spans="1:9">
      <c r="A3197" s="17" t="s">
        <v>1444</v>
      </c>
      <c r="B3197" s="17" t="s">
        <v>1024</v>
      </c>
      <c r="C3197" s="17" t="s">
        <v>805</v>
      </c>
      <c r="D3197" s="17" t="s">
        <v>801</v>
      </c>
      <c r="E3197" s="18">
        <v>3004390435005</v>
      </c>
      <c r="G3197" s="20" t="str">
        <f t="shared" si="147"/>
        <v xml:space="preserve"> BRACELETGREAT   </v>
      </c>
      <c r="H3197" s="20" t="str">
        <f t="shared" si="148"/>
        <v xml:space="preserve">VIOL </v>
      </c>
      <c r="I3197" s="20" t="str">
        <f t="shared" si="149"/>
        <v xml:space="preserve">XS   </v>
      </c>
    </row>
    <row r="3198" spans="1:9">
      <c r="A3198" s="17" t="s">
        <v>1444</v>
      </c>
      <c r="B3198" s="17" t="s">
        <v>928</v>
      </c>
      <c r="C3198" s="17" t="s">
        <v>800</v>
      </c>
      <c r="D3198" s="17" t="s">
        <v>801</v>
      </c>
      <c r="E3198" s="18">
        <v>8058983590430</v>
      </c>
      <c r="G3198" s="20" t="str">
        <f t="shared" si="147"/>
        <v xml:space="preserve"> BRACELETGREAT   </v>
      </c>
      <c r="H3198" s="20" t="str">
        <f t="shared" si="148"/>
        <v>WBLUE</v>
      </c>
      <c r="I3198" s="20" t="str">
        <f t="shared" si="149"/>
        <v xml:space="preserve">L    </v>
      </c>
    </row>
    <row r="3199" spans="1:9">
      <c r="A3199" s="17" t="s">
        <v>1444</v>
      </c>
      <c r="B3199" s="17" t="s">
        <v>928</v>
      </c>
      <c r="C3199" s="17" t="s">
        <v>800</v>
      </c>
      <c r="D3199" s="17" t="s">
        <v>801</v>
      </c>
      <c r="E3199" s="18">
        <v>3004390438037</v>
      </c>
      <c r="G3199" s="20" t="str">
        <f t="shared" si="147"/>
        <v xml:space="preserve"> BRACELETGREAT   </v>
      </c>
      <c r="H3199" s="20" t="str">
        <f t="shared" si="148"/>
        <v>WBLUE</v>
      </c>
      <c r="I3199" s="20" t="str">
        <f t="shared" si="149"/>
        <v xml:space="preserve">L    </v>
      </c>
    </row>
    <row r="3200" spans="1:9">
      <c r="A3200" s="17" t="s">
        <v>1444</v>
      </c>
      <c r="B3200" s="17" t="s">
        <v>928</v>
      </c>
      <c r="C3200" s="17" t="s">
        <v>802</v>
      </c>
      <c r="D3200" s="17" t="s">
        <v>801</v>
      </c>
      <c r="E3200" s="18">
        <v>8058983590447</v>
      </c>
      <c r="G3200" s="20" t="str">
        <f t="shared" si="147"/>
        <v xml:space="preserve"> BRACELETGREAT   </v>
      </c>
      <c r="H3200" s="20" t="str">
        <f t="shared" si="148"/>
        <v>WBLUE</v>
      </c>
      <c r="I3200" s="20" t="str">
        <f t="shared" si="149"/>
        <v xml:space="preserve">M    </v>
      </c>
    </row>
    <row r="3201" spans="1:9">
      <c r="A3201" s="17" t="s">
        <v>1444</v>
      </c>
      <c r="B3201" s="17" t="s">
        <v>928</v>
      </c>
      <c r="C3201" s="17" t="s">
        <v>802</v>
      </c>
      <c r="D3201" s="17" t="s">
        <v>801</v>
      </c>
      <c r="E3201" s="18">
        <v>3004390438020</v>
      </c>
      <c r="G3201" s="20" t="str">
        <f t="shared" si="147"/>
        <v xml:space="preserve"> BRACELETGREAT   </v>
      </c>
      <c r="H3201" s="20" t="str">
        <f t="shared" si="148"/>
        <v>WBLUE</v>
      </c>
      <c r="I3201" s="20" t="str">
        <f t="shared" si="149"/>
        <v xml:space="preserve">M    </v>
      </c>
    </row>
    <row r="3202" spans="1:9">
      <c r="A3202" s="17" t="s">
        <v>1444</v>
      </c>
      <c r="B3202" s="17" t="s">
        <v>928</v>
      </c>
      <c r="C3202" s="17" t="s">
        <v>803</v>
      </c>
      <c r="D3202" s="17" t="s">
        <v>801</v>
      </c>
      <c r="E3202" s="18">
        <v>8058983590454</v>
      </c>
      <c r="G3202" s="20" t="str">
        <f t="shared" si="147"/>
        <v xml:space="preserve"> BRACELETGREAT   </v>
      </c>
      <c r="H3202" s="20" t="str">
        <f t="shared" si="148"/>
        <v>WBLUE</v>
      </c>
      <c r="I3202" s="20" t="str">
        <f t="shared" si="149"/>
        <v xml:space="preserve">S    </v>
      </c>
    </row>
    <row r="3203" spans="1:9">
      <c r="A3203" s="17" t="s">
        <v>1444</v>
      </c>
      <c r="B3203" s="17" t="s">
        <v>928</v>
      </c>
      <c r="C3203" s="17" t="s">
        <v>803</v>
      </c>
      <c r="D3203" s="17" t="s">
        <v>801</v>
      </c>
      <c r="E3203" s="18">
        <v>3004390438013</v>
      </c>
      <c r="G3203" s="20" t="str">
        <f t="shared" si="147"/>
        <v xml:space="preserve"> BRACELETGREAT   </v>
      </c>
      <c r="H3203" s="20" t="str">
        <f t="shared" si="148"/>
        <v>WBLUE</v>
      </c>
      <c r="I3203" s="20" t="str">
        <f t="shared" si="149"/>
        <v xml:space="preserve">S    </v>
      </c>
    </row>
    <row r="3204" spans="1:9">
      <c r="A3204" s="17" t="s">
        <v>1444</v>
      </c>
      <c r="B3204" s="17" t="s">
        <v>928</v>
      </c>
      <c r="C3204" s="17" t="s">
        <v>804</v>
      </c>
      <c r="D3204" s="17" t="s">
        <v>801</v>
      </c>
      <c r="E3204" s="18">
        <v>3004390438044</v>
      </c>
      <c r="G3204" s="20" t="str">
        <f t="shared" si="147"/>
        <v xml:space="preserve"> BRACELETGREAT   </v>
      </c>
      <c r="H3204" s="20" t="str">
        <f t="shared" si="148"/>
        <v>WBLUE</v>
      </c>
      <c r="I3204" s="20" t="str">
        <f t="shared" si="149"/>
        <v xml:space="preserve">XL   </v>
      </c>
    </row>
    <row r="3205" spans="1:9">
      <c r="A3205" s="17" t="s">
        <v>1444</v>
      </c>
      <c r="B3205" s="17" t="s">
        <v>928</v>
      </c>
      <c r="C3205" s="17" t="s">
        <v>805</v>
      </c>
      <c r="D3205" s="17" t="s">
        <v>801</v>
      </c>
      <c r="E3205" s="18">
        <v>3004390438006</v>
      </c>
      <c r="G3205" s="20" t="str">
        <f t="shared" ref="G3205:G3268" si="150">A3205</f>
        <v xml:space="preserve"> BRACELETGREAT   </v>
      </c>
      <c r="H3205" s="20" t="str">
        <f t="shared" ref="H3205:H3268" si="151">B3205</f>
        <v>WBLUE</v>
      </c>
      <c r="I3205" s="20" t="str">
        <f t="shared" ref="I3205:I3268" si="152">C3205</f>
        <v xml:space="preserve">XS   </v>
      </c>
    </row>
    <row r="3206" spans="1:9">
      <c r="A3206" s="17" t="s">
        <v>1444</v>
      </c>
      <c r="B3206" s="17" t="s">
        <v>273</v>
      </c>
      <c r="C3206" s="17" t="s">
        <v>800</v>
      </c>
      <c r="D3206" s="17" t="s">
        <v>801</v>
      </c>
      <c r="E3206" s="18">
        <v>8058983590492</v>
      </c>
      <c r="G3206" s="20" t="str">
        <f t="shared" si="150"/>
        <v xml:space="preserve"> BRACELETGREAT   </v>
      </c>
      <c r="H3206" s="20" t="str">
        <f t="shared" si="151"/>
        <v>WHITE</v>
      </c>
      <c r="I3206" s="20" t="str">
        <f t="shared" si="152"/>
        <v xml:space="preserve">L    </v>
      </c>
    </row>
    <row r="3207" spans="1:9">
      <c r="A3207" s="17" t="s">
        <v>1444</v>
      </c>
      <c r="B3207" s="17" t="s">
        <v>273</v>
      </c>
      <c r="C3207" s="17" t="s">
        <v>800</v>
      </c>
      <c r="D3207" s="17" t="s">
        <v>801</v>
      </c>
      <c r="E3207" s="18">
        <v>3004390440030</v>
      </c>
      <c r="G3207" s="20" t="str">
        <f t="shared" si="150"/>
        <v xml:space="preserve"> BRACELETGREAT   </v>
      </c>
      <c r="H3207" s="20" t="str">
        <f t="shared" si="151"/>
        <v>WHITE</v>
      </c>
      <c r="I3207" s="20" t="str">
        <f t="shared" si="152"/>
        <v xml:space="preserve">L    </v>
      </c>
    </row>
    <row r="3208" spans="1:9">
      <c r="A3208" s="17" t="s">
        <v>1444</v>
      </c>
      <c r="B3208" s="17" t="s">
        <v>273</v>
      </c>
      <c r="C3208" s="17" t="s">
        <v>802</v>
      </c>
      <c r="D3208" s="17" t="s">
        <v>801</v>
      </c>
      <c r="E3208" s="18">
        <v>8058983590508</v>
      </c>
      <c r="G3208" s="20" t="str">
        <f t="shared" si="150"/>
        <v xml:space="preserve"> BRACELETGREAT   </v>
      </c>
      <c r="H3208" s="20" t="str">
        <f t="shared" si="151"/>
        <v>WHITE</v>
      </c>
      <c r="I3208" s="20" t="str">
        <f t="shared" si="152"/>
        <v xml:space="preserve">M    </v>
      </c>
    </row>
    <row r="3209" spans="1:9">
      <c r="A3209" s="17" t="s">
        <v>1444</v>
      </c>
      <c r="B3209" s="17" t="s">
        <v>273</v>
      </c>
      <c r="C3209" s="17" t="s">
        <v>802</v>
      </c>
      <c r="D3209" s="17" t="s">
        <v>801</v>
      </c>
      <c r="E3209" s="18">
        <v>3004390440023</v>
      </c>
      <c r="G3209" s="20" t="str">
        <f t="shared" si="150"/>
        <v xml:space="preserve"> BRACELETGREAT   </v>
      </c>
      <c r="H3209" s="20" t="str">
        <f t="shared" si="151"/>
        <v>WHITE</v>
      </c>
      <c r="I3209" s="20" t="str">
        <f t="shared" si="152"/>
        <v xml:space="preserve">M    </v>
      </c>
    </row>
    <row r="3210" spans="1:9">
      <c r="A3210" s="17" t="s">
        <v>1444</v>
      </c>
      <c r="B3210" s="17" t="s">
        <v>273</v>
      </c>
      <c r="C3210" s="17" t="s">
        <v>803</v>
      </c>
      <c r="D3210" s="17" t="s">
        <v>801</v>
      </c>
      <c r="E3210" s="18">
        <v>8058983590515</v>
      </c>
      <c r="G3210" s="20" t="str">
        <f t="shared" si="150"/>
        <v xml:space="preserve"> BRACELETGREAT   </v>
      </c>
      <c r="H3210" s="20" t="str">
        <f t="shared" si="151"/>
        <v>WHITE</v>
      </c>
      <c r="I3210" s="20" t="str">
        <f t="shared" si="152"/>
        <v xml:space="preserve">S    </v>
      </c>
    </row>
    <row r="3211" spans="1:9">
      <c r="A3211" s="17" t="s">
        <v>1444</v>
      </c>
      <c r="B3211" s="17" t="s">
        <v>273</v>
      </c>
      <c r="C3211" s="17" t="s">
        <v>803</v>
      </c>
      <c r="D3211" s="17" t="s">
        <v>801</v>
      </c>
      <c r="E3211" s="18">
        <v>3004390440016</v>
      </c>
      <c r="G3211" s="20" t="str">
        <f t="shared" si="150"/>
        <v xml:space="preserve"> BRACELETGREAT   </v>
      </c>
      <c r="H3211" s="20" t="str">
        <f t="shared" si="151"/>
        <v>WHITE</v>
      </c>
      <c r="I3211" s="20" t="str">
        <f t="shared" si="152"/>
        <v xml:space="preserve">S    </v>
      </c>
    </row>
    <row r="3212" spans="1:9">
      <c r="A3212" s="17" t="s">
        <v>1444</v>
      </c>
      <c r="B3212" s="17" t="s">
        <v>273</v>
      </c>
      <c r="C3212" s="17" t="s">
        <v>804</v>
      </c>
      <c r="D3212" s="17" t="s">
        <v>801</v>
      </c>
      <c r="E3212" s="18">
        <v>3004390440047</v>
      </c>
      <c r="G3212" s="20" t="str">
        <f t="shared" si="150"/>
        <v xml:space="preserve"> BRACELETGREAT   </v>
      </c>
      <c r="H3212" s="20" t="str">
        <f t="shared" si="151"/>
        <v>WHITE</v>
      </c>
      <c r="I3212" s="20" t="str">
        <f t="shared" si="152"/>
        <v xml:space="preserve">XL   </v>
      </c>
    </row>
    <row r="3213" spans="1:9">
      <c r="A3213" s="17" t="s">
        <v>1444</v>
      </c>
      <c r="B3213" s="17" t="s">
        <v>273</v>
      </c>
      <c r="C3213" s="17" t="s">
        <v>805</v>
      </c>
      <c r="D3213" s="17" t="s">
        <v>801</v>
      </c>
      <c r="E3213" s="18">
        <v>3004390440009</v>
      </c>
      <c r="G3213" s="20" t="str">
        <f t="shared" si="150"/>
        <v xml:space="preserve"> BRACELETGREAT   </v>
      </c>
      <c r="H3213" s="20" t="str">
        <f t="shared" si="151"/>
        <v>WHITE</v>
      </c>
      <c r="I3213" s="20" t="str">
        <f t="shared" si="152"/>
        <v xml:space="preserve">XS   </v>
      </c>
    </row>
    <row r="3214" spans="1:9">
      <c r="A3214" s="17" t="s">
        <v>1444</v>
      </c>
      <c r="B3214" s="17" t="s">
        <v>825</v>
      </c>
      <c r="C3214" s="17" t="s">
        <v>800</v>
      </c>
      <c r="D3214" s="17" t="s">
        <v>801</v>
      </c>
      <c r="E3214" s="18">
        <v>3004390444038</v>
      </c>
      <c r="G3214" s="20" t="str">
        <f t="shared" si="150"/>
        <v xml:space="preserve"> BRACELETGREAT   </v>
      </c>
      <c r="H3214" s="20" t="str">
        <f t="shared" si="151"/>
        <v xml:space="preserve">YELL </v>
      </c>
      <c r="I3214" s="20" t="str">
        <f t="shared" si="152"/>
        <v xml:space="preserve">L    </v>
      </c>
    </row>
    <row r="3215" spans="1:9">
      <c r="A3215" s="17" t="s">
        <v>1444</v>
      </c>
      <c r="B3215" s="17" t="s">
        <v>825</v>
      </c>
      <c r="C3215" s="17" t="s">
        <v>800</v>
      </c>
      <c r="D3215" s="17" t="s">
        <v>801</v>
      </c>
      <c r="E3215" s="18">
        <v>8058983590553</v>
      </c>
      <c r="G3215" s="20" t="str">
        <f t="shared" si="150"/>
        <v xml:space="preserve"> BRACELETGREAT   </v>
      </c>
      <c r="H3215" s="20" t="str">
        <f t="shared" si="151"/>
        <v xml:space="preserve">YELL </v>
      </c>
      <c r="I3215" s="20" t="str">
        <f t="shared" si="152"/>
        <v xml:space="preserve">L    </v>
      </c>
    </row>
    <row r="3216" spans="1:9">
      <c r="A3216" s="17" t="s">
        <v>1444</v>
      </c>
      <c r="B3216" s="17" t="s">
        <v>825</v>
      </c>
      <c r="C3216" s="17" t="s">
        <v>802</v>
      </c>
      <c r="D3216" s="17" t="s">
        <v>801</v>
      </c>
      <c r="E3216" s="18">
        <v>8058983590560</v>
      </c>
      <c r="G3216" s="20" t="str">
        <f t="shared" si="150"/>
        <v xml:space="preserve"> BRACELETGREAT   </v>
      </c>
      <c r="H3216" s="20" t="str">
        <f t="shared" si="151"/>
        <v xml:space="preserve">YELL </v>
      </c>
      <c r="I3216" s="20" t="str">
        <f t="shared" si="152"/>
        <v xml:space="preserve">M    </v>
      </c>
    </row>
    <row r="3217" spans="1:9">
      <c r="A3217" s="17" t="s">
        <v>1444</v>
      </c>
      <c r="B3217" s="17" t="s">
        <v>825</v>
      </c>
      <c r="C3217" s="17" t="s">
        <v>802</v>
      </c>
      <c r="D3217" s="17" t="s">
        <v>801</v>
      </c>
      <c r="E3217" s="18">
        <v>3004390444021</v>
      </c>
      <c r="G3217" s="20" t="str">
        <f t="shared" si="150"/>
        <v xml:space="preserve"> BRACELETGREAT   </v>
      </c>
      <c r="H3217" s="20" t="str">
        <f t="shared" si="151"/>
        <v xml:space="preserve">YELL </v>
      </c>
      <c r="I3217" s="20" t="str">
        <f t="shared" si="152"/>
        <v xml:space="preserve">M    </v>
      </c>
    </row>
    <row r="3218" spans="1:9">
      <c r="A3218" s="17" t="s">
        <v>1444</v>
      </c>
      <c r="B3218" s="17" t="s">
        <v>825</v>
      </c>
      <c r="C3218" s="17" t="s">
        <v>803</v>
      </c>
      <c r="D3218" s="17" t="s">
        <v>801</v>
      </c>
      <c r="E3218" s="18">
        <v>8058983590577</v>
      </c>
      <c r="G3218" s="20" t="str">
        <f t="shared" si="150"/>
        <v xml:space="preserve"> BRACELETGREAT   </v>
      </c>
      <c r="H3218" s="20" t="str">
        <f t="shared" si="151"/>
        <v xml:space="preserve">YELL </v>
      </c>
      <c r="I3218" s="20" t="str">
        <f t="shared" si="152"/>
        <v xml:space="preserve">S    </v>
      </c>
    </row>
    <row r="3219" spans="1:9">
      <c r="A3219" s="17" t="s">
        <v>1444</v>
      </c>
      <c r="B3219" s="17" t="s">
        <v>825</v>
      </c>
      <c r="C3219" s="17" t="s">
        <v>803</v>
      </c>
      <c r="D3219" s="17" t="s">
        <v>801</v>
      </c>
      <c r="E3219" s="18">
        <v>3004390444014</v>
      </c>
      <c r="G3219" s="20" t="str">
        <f t="shared" si="150"/>
        <v xml:space="preserve"> BRACELETGREAT   </v>
      </c>
      <c r="H3219" s="20" t="str">
        <f t="shared" si="151"/>
        <v xml:space="preserve">YELL </v>
      </c>
      <c r="I3219" s="20" t="str">
        <f t="shared" si="152"/>
        <v xml:space="preserve">S    </v>
      </c>
    </row>
    <row r="3220" spans="1:9">
      <c r="A3220" s="17" t="s">
        <v>1444</v>
      </c>
      <c r="B3220" s="17" t="s">
        <v>825</v>
      </c>
      <c r="C3220" s="17" t="s">
        <v>804</v>
      </c>
      <c r="D3220" s="17" t="s">
        <v>801</v>
      </c>
      <c r="E3220" s="18">
        <v>3004390444045</v>
      </c>
      <c r="G3220" s="20" t="str">
        <f t="shared" si="150"/>
        <v xml:space="preserve"> BRACELETGREAT   </v>
      </c>
      <c r="H3220" s="20" t="str">
        <f t="shared" si="151"/>
        <v xml:space="preserve">YELL </v>
      </c>
      <c r="I3220" s="20" t="str">
        <f t="shared" si="152"/>
        <v xml:space="preserve">XL   </v>
      </c>
    </row>
    <row r="3221" spans="1:9">
      <c r="A3221" s="17" t="s">
        <v>1444</v>
      </c>
      <c r="B3221" s="17" t="s">
        <v>825</v>
      </c>
      <c r="C3221" s="17" t="s">
        <v>805</v>
      </c>
      <c r="D3221" s="17" t="s">
        <v>801</v>
      </c>
      <c r="E3221" s="18">
        <v>3004390444007</v>
      </c>
      <c r="G3221" s="20" t="str">
        <f t="shared" si="150"/>
        <v xml:space="preserve"> BRACELETGREAT   </v>
      </c>
      <c r="H3221" s="20" t="str">
        <f t="shared" si="151"/>
        <v xml:space="preserve">YELL </v>
      </c>
      <c r="I3221" s="20" t="str">
        <f t="shared" si="152"/>
        <v xml:space="preserve">XS   </v>
      </c>
    </row>
    <row r="3222" spans="1:9">
      <c r="A3222" s="17" t="s">
        <v>1445</v>
      </c>
      <c r="B3222" s="17" t="s">
        <v>810</v>
      </c>
      <c r="C3222" s="17" t="s">
        <v>800</v>
      </c>
      <c r="D3222" s="17" t="s">
        <v>801</v>
      </c>
      <c r="E3222" s="18">
        <v>3005820284033</v>
      </c>
      <c r="G3222" s="20" t="str">
        <f t="shared" si="150"/>
        <v xml:space="preserve"> BRACELETOPALINO </v>
      </c>
      <c r="H3222" s="20" t="str">
        <f t="shared" si="151"/>
        <v xml:space="preserve">BLUE </v>
      </c>
      <c r="I3222" s="20" t="str">
        <f t="shared" si="152"/>
        <v xml:space="preserve">L    </v>
      </c>
    </row>
    <row r="3223" spans="1:9">
      <c r="A3223" s="17" t="s">
        <v>1445</v>
      </c>
      <c r="B3223" s="17" t="s">
        <v>810</v>
      </c>
      <c r="C3223" s="17" t="s">
        <v>802</v>
      </c>
      <c r="D3223" s="17" t="s">
        <v>801</v>
      </c>
      <c r="E3223" s="18">
        <v>3005820284026</v>
      </c>
      <c r="G3223" s="20" t="str">
        <f t="shared" si="150"/>
        <v xml:space="preserve"> BRACELETOPALINO </v>
      </c>
      <c r="H3223" s="20" t="str">
        <f t="shared" si="151"/>
        <v xml:space="preserve">BLUE </v>
      </c>
      <c r="I3223" s="20" t="str">
        <f t="shared" si="152"/>
        <v xml:space="preserve">M    </v>
      </c>
    </row>
    <row r="3224" spans="1:9">
      <c r="A3224" s="17" t="s">
        <v>1445</v>
      </c>
      <c r="B3224" s="17" t="s">
        <v>810</v>
      </c>
      <c r="C3224" s="17" t="s">
        <v>803</v>
      </c>
      <c r="D3224" s="17" t="s">
        <v>801</v>
      </c>
      <c r="E3224" s="18">
        <v>3005820284019</v>
      </c>
      <c r="G3224" s="20" t="str">
        <f t="shared" si="150"/>
        <v xml:space="preserve"> BRACELETOPALINO </v>
      </c>
      <c r="H3224" s="20" t="str">
        <f t="shared" si="151"/>
        <v xml:space="preserve">BLUE </v>
      </c>
      <c r="I3224" s="20" t="str">
        <f t="shared" si="152"/>
        <v xml:space="preserve">S    </v>
      </c>
    </row>
    <row r="3225" spans="1:9">
      <c r="A3225" s="17" t="s">
        <v>1445</v>
      </c>
      <c r="B3225" s="17" t="s">
        <v>810</v>
      </c>
      <c r="C3225" s="17" t="s">
        <v>804</v>
      </c>
      <c r="D3225" s="17" t="s">
        <v>801</v>
      </c>
      <c r="E3225" s="18">
        <v>3005820284040</v>
      </c>
      <c r="G3225" s="20" t="str">
        <f t="shared" si="150"/>
        <v xml:space="preserve"> BRACELETOPALINO </v>
      </c>
      <c r="H3225" s="20" t="str">
        <f t="shared" si="151"/>
        <v xml:space="preserve">BLUE </v>
      </c>
      <c r="I3225" s="20" t="str">
        <f t="shared" si="152"/>
        <v xml:space="preserve">XL   </v>
      </c>
    </row>
    <row r="3226" spans="1:9">
      <c r="A3226" s="17" t="s">
        <v>1445</v>
      </c>
      <c r="B3226" s="17" t="s">
        <v>810</v>
      </c>
      <c r="C3226" s="17" t="s">
        <v>805</v>
      </c>
      <c r="D3226" s="17" t="s">
        <v>801</v>
      </c>
      <c r="E3226" s="18">
        <v>3005820284002</v>
      </c>
      <c r="G3226" s="20" t="str">
        <f t="shared" si="150"/>
        <v xml:space="preserve"> BRACELETOPALINO </v>
      </c>
      <c r="H3226" s="20" t="str">
        <f t="shared" si="151"/>
        <v xml:space="preserve">BLUE </v>
      </c>
      <c r="I3226" s="20" t="str">
        <f t="shared" si="152"/>
        <v xml:space="preserve">XS   </v>
      </c>
    </row>
    <row r="3227" spans="1:9">
      <c r="A3227" s="17" t="s">
        <v>1445</v>
      </c>
      <c r="B3227" s="17" t="s">
        <v>1446</v>
      </c>
      <c r="C3227" s="17" t="s">
        <v>800</v>
      </c>
      <c r="D3227" s="17" t="s">
        <v>801</v>
      </c>
      <c r="E3227" s="18">
        <v>8050846008946</v>
      </c>
      <c r="G3227" s="20" t="str">
        <f t="shared" si="150"/>
        <v xml:space="preserve"> BRACELETOPALINO </v>
      </c>
      <c r="H3227" s="20" t="str">
        <f t="shared" si="151"/>
        <v>CITRO</v>
      </c>
      <c r="I3227" s="20" t="str">
        <f t="shared" si="152"/>
        <v xml:space="preserve">L    </v>
      </c>
    </row>
    <row r="3228" spans="1:9">
      <c r="A3228" s="17" t="s">
        <v>1445</v>
      </c>
      <c r="B3228" s="17" t="s">
        <v>1446</v>
      </c>
      <c r="C3228" s="17" t="s">
        <v>800</v>
      </c>
      <c r="D3228" s="17" t="s">
        <v>801</v>
      </c>
      <c r="E3228" s="18">
        <v>3005821357033</v>
      </c>
      <c r="G3228" s="20" t="str">
        <f t="shared" si="150"/>
        <v xml:space="preserve"> BRACELETOPALINO </v>
      </c>
      <c r="H3228" s="20" t="str">
        <f t="shared" si="151"/>
        <v>CITRO</v>
      </c>
      <c r="I3228" s="20" t="str">
        <f t="shared" si="152"/>
        <v xml:space="preserve">L    </v>
      </c>
    </row>
    <row r="3229" spans="1:9">
      <c r="A3229" s="17" t="s">
        <v>1445</v>
      </c>
      <c r="B3229" s="17" t="s">
        <v>1446</v>
      </c>
      <c r="C3229" s="17" t="s">
        <v>802</v>
      </c>
      <c r="D3229" s="17" t="s">
        <v>801</v>
      </c>
      <c r="E3229" s="18">
        <v>8050846008939</v>
      </c>
      <c r="G3229" s="20" t="str">
        <f t="shared" si="150"/>
        <v xml:space="preserve"> BRACELETOPALINO </v>
      </c>
      <c r="H3229" s="20" t="str">
        <f t="shared" si="151"/>
        <v>CITRO</v>
      </c>
      <c r="I3229" s="20" t="str">
        <f t="shared" si="152"/>
        <v xml:space="preserve">M    </v>
      </c>
    </row>
    <row r="3230" spans="1:9">
      <c r="A3230" s="17" t="s">
        <v>1445</v>
      </c>
      <c r="B3230" s="17" t="s">
        <v>1446</v>
      </c>
      <c r="C3230" s="17" t="s">
        <v>802</v>
      </c>
      <c r="D3230" s="17" t="s">
        <v>801</v>
      </c>
      <c r="E3230" s="18">
        <v>3005821357026</v>
      </c>
      <c r="G3230" s="20" t="str">
        <f t="shared" si="150"/>
        <v xml:space="preserve"> BRACELETOPALINO </v>
      </c>
      <c r="H3230" s="20" t="str">
        <f t="shared" si="151"/>
        <v>CITRO</v>
      </c>
      <c r="I3230" s="20" t="str">
        <f t="shared" si="152"/>
        <v xml:space="preserve">M    </v>
      </c>
    </row>
    <row r="3231" spans="1:9">
      <c r="A3231" s="17" t="s">
        <v>1445</v>
      </c>
      <c r="B3231" s="17" t="s">
        <v>1446</v>
      </c>
      <c r="C3231" s="17" t="s">
        <v>803</v>
      </c>
      <c r="D3231" s="17" t="s">
        <v>801</v>
      </c>
      <c r="E3231" s="18">
        <v>8050846008922</v>
      </c>
      <c r="G3231" s="20" t="str">
        <f t="shared" si="150"/>
        <v xml:space="preserve"> BRACELETOPALINO </v>
      </c>
      <c r="H3231" s="20" t="str">
        <f t="shared" si="151"/>
        <v>CITRO</v>
      </c>
      <c r="I3231" s="20" t="str">
        <f t="shared" si="152"/>
        <v xml:space="preserve">S    </v>
      </c>
    </row>
    <row r="3232" spans="1:9">
      <c r="A3232" s="17" t="s">
        <v>1445</v>
      </c>
      <c r="B3232" s="17" t="s">
        <v>1446</v>
      </c>
      <c r="C3232" s="17" t="s">
        <v>803</v>
      </c>
      <c r="D3232" s="17" t="s">
        <v>801</v>
      </c>
      <c r="E3232" s="18">
        <v>3005821357019</v>
      </c>
      <c r="G3232" s="20" t="str">
        <f t="shared" si="150"/>
        <v xml:space="preserve"> BRACELETOPALINO </v>
      </c>
      <c r="H3232" s="20" t="str">
        <f t="shared" si="151"/>
        <v>CITRO</v>
      </c>
      <c r="I3232" s="20" t="str">
        <f t="shared" si="152"/>
        <v xml:space="preserve">S    </v>
      </c>
    </row>
    <row r="3233" spans="1:9">
      <c r="A3233" s="17" t="s">
        <v>1445</v>
      </c>
      <c r="B3233" s="17" t="s">
        <v>1446</v>
      </c>
      <c r="C3233" s="17" t="s">
        <v>804</v>
      </c>
      <c r="D3233" s="17" t="s">
        <v>801</v>
      </c>
      <c r="E3233" s="18">
        <v>3005821357040</v>
      </c>
      <c r="G3233" s="20" t="str">
        <f t="shared" si="150"/>
        <v xml:space="preserve"> BRACELETOPALINO </v>
      </c>
      <c r="H3233" s="20" t="str">
        <f t="shared" si="151"/>
        <v>CITRO</v>
      </c>
      <c r="I3233" s="20" t="str">
        <f t="shared" si="152"/>
        <v xml:space="preserve">XL   </v>
      </c>
    </row>
    <row r="3234" spans="1:9">
      <c r="A3234" s="17" t="s">
        <v>1445</v>
      </c>
      <c r="B3234" s="17" t="s">
        <v>1446</v>
      </c>
      <c r="C3234" s="17" t="s">
        <v>805</v>
      </c>
      <c r="D3234" s="17" t="s">
        <v>801</v>
      </c>
      <c r="E3234" s="18">
        <v>3005821357002</v>
      </c>
      <c r="G3234" s="20" t="str">
        <f t="shared" si="150"/>
        <v xml:space="preserve"> BRACELETOPALINO </v>
      </c>
      <c r="H3234" s="20" t="str">
        <f t="shared" si="151"/>
        <v>CITRO</v>
      </c>
      <c r="I3234" s="20" t="str">
        <f t="shared" si="152"/>
        <v xml:space="preserve">XS   </v>
      </c>
    </row>
    <row r="3235" spans="1:9">
      <c r="A3235" s="17" t="s">
        <v>1445</v>
      </c>
      <c r="B3235" s="17" t="s">
        <v>1447</v>
      </c>
      <c r="C3235" s="17" t="s">
        <v>800</v>
      </c>
      <c r="D3235" s="17" t="s">
        <v>801</v>
      </c>
      <c r="E3235" s="18">
        <v>8050846008854</v>
      </c>
      <c r="G3235" s="20" t="str">
        <f t="shared" si="150"/>
        <v xml:space="preserve"> BRACELETOPALINO </v>
      </c>
      <c r="H3235" s="20" t="str">
        <f t="shared" si="151"/>
        <v xml:space="preserve">FRAG </v>
      </c>
      <c r="I3235" s="20" t="str">
        <f t="shared" si="152"/>
        <v xml:space="preserve">L    </v>
      </c>
    </row>
    <row r="3236" spans="1:9">
      <c r="A3236" s="17" t="s">
        <v>1445</v>
      </c>
      <c r="B3236" s="17" t="s">
        <v>1447</v>
      </c>
      <c r="C3236" s="17" t="s">
        <v>800</v>
      </c>
      <c r="D3236" s="17" t="s">
        <v>801</v>
      </c>
      <c r="E3236" s="18">
        <v>3005820844039</v>
      </c>
      <c r="G3236" s="20" t="str">
        <f t="shared" si="150"/>
        <v xml:space="preserve"> BRACELETOPALINO </v>
      </c>
      <c r="H3236" s="20" t="str">
        <f t="shared" si="151"/>
        <v xml:space="preserve">FRAG </v>
      </c>
      <c r="I3236" s="20" t="str">
        <f t="shared" si="152"/>
        <v xml:space="preserve">L    </v>
      </c>
    </row>
    <row r="3237" spans="1:9">
      <c r="A3237" s="17" t="s">
        <v>1445</v>
      </c>
      <c r="B3237" s="17" t="s">
        <v>1447</v>
      </c>
      <c r="C3237" s="17" t="s">
        <v>802</v>
      </c>
      <c r="D3237" s="17" t="s">
        <v>801</v>
      </c>
      <c r="E3237" s="18">
        <v>8050846008847</v>
      </c>
      <c r="G3237" s="20" t="str">
        <f t="shared" si="150"/>
        <v xml:space="preserve"> BRACELETOPALINO </v>
      </c>
      <c r="H3237" s="20" t="str">
        <f t="shared" si="151"/>
        <v xml:space="preserve">FRAG </v>
      </c>
      <c r="I3237" s="20" t="str">
        <f t="shared" si="152"/>
        <v xml:space="preserve">M    </v>
      </c>
    </row>
    <row r="3238" spans="1:9">
      <c r="A3238" s="17" t="s">
        <v>1445</v>
      </c>
      <c r="B3238" s="17" t="s">
        <v>1447</v>
      </c>
      <c r="C3238" s="17" t="s">
        <v>802</v>
      </c>
      <c r="D3238" s="17" t="s">
        <v>801</v>
      </c>
      <c r="E3238" s="18">
        <v>3005820844022</v>
      </c>
      <c r="G3238" s="20" t="str">
        <f t="shared" si="150"/>
        <v xml:space="preserve"> BRACELETOPALINO </v>
      </c>
      <c r="H3238" s="20" t="str">
        <f t="shared" si="151"/>
        <v xml:space="preserve">FRAG </v>
      </c>
      <c r="I3238" s="20" t="str">
        <f t="shared" si="152"/>
        <v xml:space="preserve">M    </v>
      </c>
    </row>
    <row r="3239" spans="1:9">
      <c r="A3239" s="17" t="s">
        <v>1445</v>
      </c>
      <c r="B3239" s="17" t="s">
        <v>1447</v>
      </c>
      <c r="C3239" s="17" t="s">
        <v>803</v>
      </c>
      <c r="D3239" s="17" t="s">
        <v>801</v>
      </c>
      <c r="E3239" s="18">
        <v>8050846008830</v>
      </c>
      <c r="G3239" s="20" t="str">
        <f t="shared" si="150"/>
        <v xml:space="preserve"> BRACELETOPALINO </v>
      </c>
      <c r="H3239" s="20" t="str">
        <f t="shared" si="151"/>
        <v xml:space="preserve">FRAG </v>
      </c>
      <c r="I3239" s="20" t="str">
        <f t="shared" si="152"/>
        <v xml:space="preserve">S    </v>
      </c>
    </row>
    <row r="3240" spans="1:9">
      <c r="A3240" s="17" t="s">
        <v>1445</v>
      </c>
      <c r="B3240" s="17" t="s">
        <v>1447</v>
      </c>
      <c r="C3240" s="17" t="s">
        <v>803</v>
      </c>
      <c r="D3240" s="17" t="s">
        <v>801</v>
      </c>
      <c r="E3240" s="18">
        <v>3005820844015</v>
      </c>
      <c r="G3240" s="20" t="str">
        <f t="shared" si="150"/>
        <v xml:space="preserve"> BRACELETOPALINO </v>
      </c>
      <c r="H3240" s="20" t="str">
        <f t="shared" si="151"/>
        <v xml:space="preserve">FRAG </v>
      </c>
      <c r="I3240" s="20" t="str">
        <f t="shared" si="152"/>
        <v xml:space="preserve">S    </v>
      </c>
    </row>
    <row r="3241" spans="1:9">
      <c r="A3241" s="17" t="s">
        <v>1445</v>
      </c>
      <c r="B3241" s="17" t="s">
        <v>1447</v>
      </c>
      <c r="C3241" s="17" t="s">
        <v>804</v>
      </c>
      <c r="D3241" s="17" t="s">
        <v>801</v>
      </c>
      <c r="E3241" s="18">
        <v>3005820844046</v>
      </c>
      <c r="G3241" s="20" t="str">
        <f t="shared" si="150"/>
        <v xml:space="preserve"> BRACELETOPALINO </v>
      </c>
      <c r="H3241" s="20" t="str">
        <f t="shared" si="151"/>
        <v xml:space="preserve">FRAG </v>
      </c>
      <c r="I3241" s="20" t="str">
        <f t="shared" si="152"/>
        <v xml:space="preserve">XL   </v>
      </c>
    </row>
    <row r="3242" spans="1:9">
      <c r="A3242" s="17" t="s">
        <v>1445</v>
      </c>
      <c r="B3242" s="17" t="s">
        <v>1447</v>
      </c>
      <c r="C3242" s="17" t="s">
        <v>805</v>
      </c>
      <c r="D3242" s="17" t="s">
        <v>801</v>
      </c>
      <c r="E3242" s="18">
        <v>3005820844008</v>
      </c>
      <c r="G3242" s="20" t="str">
        <f t="shared" si="150"/>
        <v xml:space="preserve"> BRACELETOPALINO </v>
      </c>
      <c r="H3242" s="20" t="str">
        <f t="shared" si="151"/>
        <v xml:space="preserve">FRAG </v>
      </c>
      <c r="I3242" s="20" t="str">
        <f t="shared" si="152"/>
        <v xml:space="preserve">XS   </v>
      </c>
    </row>
    <row r="3243" spans="1:9">
      <c r="A3243" s="17" t="s">
        <v>1445</v>
      </c>
      <c r="B3243" s="17" t="s">
        <v>1448</v>
      </c>
      <c r="C3243" s="17" t="s">
        <v>800</v>
      </c>
      <c r="D3243" s="17" t="s">
        <v>801</v>
      </c>
      <c r="E3243" s="18">
        <v>8050846008915</v>
      </c>
      <c r="G3243" s="20" t="str">
        <f t="shared" si="150"/>
        <v xml:space="preserve"> BRACELETOPALINO </v>
      </c>
      <c r="H3243" s="20" t="str">
        <f t="shared" si="151"/>
        <v>MENTH</v>
      </c>
      <c r="I3243" s="20" t="str">
        <f t="shared" si="152"/>
        <v xml:space="preserve">L    </v>
      </c>
    </row>
    <row r="3244" spans="1:9">
      <c r="A3244" s="17" t="s">
        <v>1445</v>
      </c>
      <c r="B3244" s="17" t="s">
        <v>1448</v>
      </c>
      <c r="C3244" s="17" t="s">
        <v>800</v>
      </c>
      <c r="D3244" s="17" t="s">
        <v>801</v>
      </c>
      <c r="E3244" s="18">
        <v>3005821356036</v>
      </c>
      <c r="G3244" s="20" t="str">
        <f t="shared" si="150"/>
        <v xml:space="preserve"> BRACELETOPALINO </v>
      </c>
      <c r="H3244" s="20" t="str">
        <f t="shared" si="151"/>
        <v>MENTH</v>
      </c>
      <c r="I3244" s="20" t="str">
        <f t="shared" si="152"/>
        <v xml:space="preserve">L    </v>
      </c>
    </row>
    <row r="3245" spans="1:9">
      <c r="A3245" s="17" t="s">
        <v>1445</v>
      </c>
      <c r="B3245" s="17" t="s">
        <v>1448</v>
      </c>
      <c r="C3245" s="17" t="s">
        <v>802</v>
      </c>
      <c r="D3245" s="17" t="s">
        <v>801</v>
      </c>
      <c r="E3245" s="18">
        <v>8050846008908</v>
      </c>
      <c r="G3245" s="20" t="str">
        <f t="shared" si="150"/>
        <v xml:space="preserve"> BRACELETOPALINO </v>
      </c>
      <c r="H3245" s="20" t="str">
        <f t="shared" si="151"/>
        <v>MENTH</v>
      </c>
      <c r="I3245" s="20" t="str">
        <f t="shared" si="152"/>
        <v xml:space="preserve">M    </v>
      </c>
    </row>
    <row r="3246" spans="1:9">
      <c r="A3246" s="17" t="s">
        <v>1445</v>
      </c>
      <c r="B3246" s="17" t="s">
        <v>1448</v>
      </c>
      <c r="C3246" s="17" t="s">
        <v>802</v>
      </c>
      <c r="D3246" s="17" t="s">
        <v>801</v>
      </c>
      <c r="E3246" s="18">
        <v>3005821356029</v>
      </c>
      <c r="G3246" s="20" t="str">
        <f t="shared" si="150"/>
        <v xml:space="preserve"> BRACELETOPALINO </v>
      </c>
      <c r="H3246" s="20" t="str">
        <f t="shared" si="151"/>
        <v>MENTH</v>
      </c>
      <c r="I3246" s="20" t="str">
        <f t="shared" si="152"/>
        <v xml:space="preserve">M    </v>
      </c>
    </row>
    <row r="3247" spans="1:9">
      <c r="A3247" s="17" t="s">
        <v>1445</v>
      </c>
      <c r="B3247" s="17" t="s">
        <v>1448</v>
      </c>
      <c r="C3247" s="17" t="s">
        <v>803</v>
      </c>
      <c r="D3247" s="17" t="s">
        <v>801</v>
      </c>
      <c r="E3247" s="18">
        <v>8050846008892</v>
      </c>
      <c r="G3247" s="20" t="str">
        <f t="shared" si="150"/>
        <v xml:space="preserve"> BRACELETOPALINO </v>
      </c>
      <c r="H3247" s="20" t="str">
        <f t="shared" si="151"/>
        <v>MENTH</v>
      </c>
      <c r="I3247" s="20" t="str">
        <f t="shared" si="152"/>
        <v xml:space="preserve">S    </v>
      </c>
    </row>
    <row r="3248" spans="1:9">
      <c r="A3248" s="17" t="s">
        <v>1445</v>
      </c>
      <c r="B3248" s="17" t="s">
        <v>1448</v>
      </c>
      <c r="C3248" s="17" t="s">
        <v>803</v>
      </c>
      <c r="D3248" s="17" t="s">
        <v>801</v>
      </c>
      <c r="E3248" s="18">
        <v>3005821356012</v>
      </c>
      <c r="G3248" s="20" t="str">
        <f t="shared" si="150"/>
        <v xml:space="preserve"> BRACELETOPALINO </v>
      </c>
      <c r="H3248" s="20" t="str">
        <f t="shared" si="151"/>
        <v>MENTH</v>
      </c>
      <c r="I3248" s="20" t="str">
        <f t="shared" si="152"/>
        <v xml:space="preserve">S    </v>
      </c>
    </row>
    <row r="3249" spans="1:9">
      <c r="A3249" s="17" t="s">
        <v>1445</v>
      </c>
      <c r="B3249" s="17" t="s">
        <v>1448</v>
      </c>
      <c r="C3249" s="17" t="s">
        <v>804</v>
      </c>
      <c r="D3249" s="17" t="s">
        <v>801</v>
      </c>
      <c r="E3249" s="18">
        <v>3005821356043</v>
      </c>
      <c r="G3249" s="20" t="str">
        <f t="shared" si="150"/>
        <v xml:space="preserve"> BRACELETOPALINO </v>
      </c>
      <c r="H3249" s="20" t="str">
        <f t="shared" si="151"/>
        <v>MENTH</v>
      </c>
      <c r="I3249" s="20" t="str">
        <f t="shared" si="152"/>
        <v xml:space="preserve">XL   </v>
      </c>
    </row>
    <row r="3250" spans="1:9">
      <c r="A3250" s="17" t="s">
        <v>1445</v>
      </c>
      <c r="B3250" s="17" t="s">
        <v>1448</v>
      </c>
      <c r="C3250" s="17" t="s">
        <v>805</v>
      </c>
      <c r="D3250" s="17" t="s">
        <v>801</v>
      </c>
      <c r="E3250" s="18">
        <v>3005821356005</v>
      </c>
      <c r="G3250" s="20" t="str">
        <f t="shared" si="150"/>
        <v xml:space="preserve"> BRACELETOPALINO </v>
      </c>
      <c r="H3250" s="20" t="str">
        <f t="shared" si="151"/>
        <v>MENTH</v>
      </c>
      <c r="I3250" s="20" t="str">
        <f t="shared" si="152"/>
        <v xml:space="preserve">XS   </v>
      </c>
    </row>
    <row r="3251" spans="1:9">
      <c r="A3251" s="17" t="s">
        <v>1445</v>
      </c>
      <c r="B3251" s="17" t="s">
        <v>964</v>
      </c>
      <c r="C3251" s="17" t="s">
        <v>800</v>
      </c>
      <c r="D3251" s="17" t="s">
        <v>801</v>
      </c>
      <c r="E3251" s="18">
        <v>8050846008885</v>
      </c>
      <c r="G3251" s="20" t="str">
        <f t="shared" si="150"/>
        <v xml:space="preserve"> BRACELETOPALINO </v>
      </c>
      <c r="H3251" s="20" t="str">
        <f t="shared" si="151"/>
        <v>ORANG</v>
      </c>
      <c r="I3251" s="20" t="str">
        <f t="shared" si="152"/>
        <v xml:space="preserve">L    </v>
      </c>
    </row>
    <row r="3252" spans="1:9">
      <c r="A3252" s="17" t="s">
        <v>1445</v>
      </c>
      <c r="B3252" s="17" t="s">
        <v>964</v>
      </c>
      <c r="C3252" s="17" t="s">
        <v>800</v>
      </c>
      <c r="D3252" s="17" t="s">
        <v>801</v>
      </c>
      <c r="E3252" s="18">
        <v>3005820377032</v>
      </c>
      <c r="G3252" s="20" t="str">
        <f t="shared" si="150"/>
        <v xml:space="preserve"> BRACELETOPALINO </v>
      </c>
      <c r="H3252" s="20" t="str">
        <f t="shared" si="151"/>
        <v>ORANG</v>
      </c>
      <c r="I3252" s="20" t="str">
        <f t="shared" si="152"/>
        <v xml:space="preserve">L    </v>
      </c>
    </row>
    <row r="3253" spans="1:9">
      <c r="A3253" s="17" t="s">
        <v>1445</v>
      </c>
      <c r="B3253" s="17" t="s">
        <v>964</v>
      </c>
      <c r="C3253" s="17" t="s">
        <v>802</v>
      </c>
      <c r="D3253" s="17" t="s">
        <v>801</v>
      </c>
      <c r="E3253" s="18">
        <v>8050846008878</v>
      </c>
      <c r="G3253" s="20" t="str">
        <f t="shared" si="150"/>
        <v xml:space="preserve"> BRACELETOPALINO </v>
      </c>
      <c r="H3253" s="20" t="str">
        <f t="shared" si="151"/>
        <v>ORANG</v>
      </c>
      <c r="I3253" s="20" t="str">
        <f t="shared" si="152"/>
        <v xml:space="preserve">M    </v>
      </c>
    </row>
    <row r="3254" spans="1:9">
      <c r="A3254" s="17" t="s">
        <v>1445</v>
      </c>
      <c r="B3254" s="17" t="s">
        <v>964</v>
      </c>
      <c r="C3254" s="17" t="s">
        <v>802</v>
      </c>
      <c r="D3254" s="17" t="s">
        <v>801</v>
      </c>
      <c r="E3254" s="18">
        <v>3005820377025</v>
      </c>
      <c r="G3254" s="20" t="str">
        <f t="shared" si="150"/>
        <v xml:space="preserve"> BRACELETOPALINO </v>
      </c>
      <c r="H3254" s="20" t="str">
        <f t="shared" si="151"/>
        <v>ORANG</v>
      </c>
      <c r="I3254" s="20" t="str">
        <f t="shared" si="152"/>
        <v xml:space="preserve">M    </v>
      </c>
    </row>
    <row r="3255" spans="1:9">
      <c r="A3255" s="17" t="s">
        <v>1445</v>
      </c>
      <c r="B3255" s="17" t="s">
        <v>964</v>
      </c>
      <c r="C3255" s="17" t="s">
        <v>803</v>
      </c>
      <c r="D3255" s="17" t="s">
        <v>801</v>
      </c>
      <c r="E3255" s="18">
        <v>8050846008861</v>
      </c>
      <c r="G3255" s="20" t="str">
        <f t="shared" si="150"/>
        <v xml:space="preserve"> BRACELETOPALINO </v>
      </c>
      <c r="H3255" s="20" t="str">
        <f t="shared" si="151"/>
        <v>ORANG</v>
      </c>
      <c r="I3255" s="20" t="str">
        <f t="shared" si="152"/>
        <v xml:space="preserve">S    </v>
      </c>
    </row>
    <row r="3256" spans="1:9">
      <c r="A3256" s="17" t="s">
        <v>1445</v>
      </c>
      <c r="B3256" s="17" t="s">
        <v>964</v>
      </c>
      <c r="C3256" s="17" t="s">
        <v>803</v>
      </c>
      <c r="D3256" s="17" t="s">
        <v>801</v>
      </c>
      <c r="E3256" s="18">
        <v>3005820377018</v>
      </c>
      <c r="G3256" s="20" t="str">
        <f t="shared" si="150"/>
        <v xml:space="preserve"> BRACELETOPALINO </v>
      </c>
      <c r="H3256" s="20" t="str">
        <f t="shared" si="151"/>
        <v>ORANG</v>
      </c>
      <c r="I3256" s="20" t="str">
        <f t="shared" si="152"/>
        <v xml:space="preserve">S    </v>
      </c>
    </row>
    <row r="3257" spans="1:9">
      <c r="A3257" s="17" t="s">
        <v>1445</v>
      </c>
      <c r="B3257" s="17" t="s">
        <v>964</v>
      </c>
      <c r="C3257" s="17" t="s">
        <v>804</v>
      </c>
      <c r="D3257" s="17" t="s">
        <v>801</v>
      </c>
      <c r="E3257" s="18">
        <v>3005820377049</v>
      </c>
      <c r="G3257" s="20" t="str">
        <f t="shared" si="150"/>
        <v xml:space="preserve"> BRACELETOPALINO </v>
      </c>
      <c r="H3257" s="20" t="str">
        <f t="shared" si="151"/>
        <v>ORANG</v>
      </c>
      <c r="I3257" s="20" t="str">
        <f t="shared" si="152"/>
        <v xml:space="preserve">XL   </v>
      </c>
    </row>
    <row r="3258" spans="1:9">
      <c r="A3258" s="17" t="s">
        <v>1445</v>
      </c>
      <c r="B3258" s="17" t="s">
        <v>964</v>
      </c>
      <c r="C3258" s="17" t="s">
        <v>805</v>
      </c>
      <c r="D3258" s="17" t="s">
        <v>801</v>
      </c>
      <c r="E3258" s="18">
        <v>3005820377001</v>
      </c>
      <c r="G3258" s="20" t="str">
        <f t="shared" si="150"/>
        <v xml:space="preserve"> BRACELETOPALINO </v>
      </c>
      <c r="H3258" s="20" t="str">
        <f t="shared" si="151"/>
        <v>ORANG</v>
      </c>
      <c r="I3258" s="20" t="str">
        <f t="shared" si="152"/>
        <v xml:space="preserve">XS   </v>
      </c>
    </row>
    <row r="3259" spans="1:9">
      <c r="A3259" s="17" t="s">
        <v>1445</v>
      </c>
      <c r="B3259" s="17" t="s">
        <v>1449</v>
      </c>
      <c r="C3259" s="17" t="s">
        <v>800</v>
      </c>
      <c r="D3259" s="17" t="s">
        <v>801</v>
      </c>
      <c r="E3259" s="18">
        <v>8050846008977</v>
      </c>
      <c r="G3259" s="20" t="str">
        <f t="shared" si="150"/>
        <v xml:space="preserve"> BRACELETOPALINO </v>
      </c>
      <c r="H3259" s="20" t="str">
        <f t="shared" si="151"/>
        <v>PUFFO</v>
      </c>
      <c r="I3259" s="20" t="str">
        <f t="shared" si="152"/>
        <v xml:space="preserve">L    </v>
      </c>
    </row>
    <row r="3260" spans="1:9">
      <c r="A3260" s="17" t="s">
        <v>1445</v>
      </c>
      <c r="B3260" s="17" t="s">
        <v>1449</v>
      </c>
      <c r="C3260" s="17" t="s">
        <v>800</v>
      </c>
      <c r="D3260" s="17" t="s">
        <v>801</v>
      </c>
      <c r="E3260" s="18">
        <v>3005821358030</v>
      </c>
      <c r="G3260" s="20" t="str">
        <f t="shared" si="150"/>
        <v xml:space="preserve"> BRACELETOPALINO </v>
      </c>
      <c r="H3260" s="20" t="str">
        <f t="shared" si="151"/>
        <v>PUFFO</v>
      </c>
      <c r="I3260" s="20" t="str">
        <f t="shared" si="152"/>
        <v xml:space="preserve">L    </v>
      </c>
    </row>
    <row r="3261" spans="1:9">
      <c r="A3261" s="17" t="s">
        <v>1445</v>
      </c>
      <c r="B3261" s="17" t="s">
        <v>1449</v>
      </c>
      <c r="C3261" s="17" t="s">
        <v>802</v>
      </c>
      <c r="D3261" s="17" t="s">
        <v>801</v>
      </c>
      <c r="E3261" s="18">
        <v>8050846008960</v>
      </c>
      <c r="G3261" s="20" t="str">
        <f t="shared" si="150"/>
        <v xml:space="preserve"> BRACELETOPALINO </v>
      </c>
      <c r="H3261" s="20" t="str">
        <f t="shared" si="151"/>
        <v>PUFFO</v>
      </c>
      <c r="I3261" s="20" t="str">
        <f t="shared" si="152"/>
        <v xml:space="preserve">M    </v>
      </c>
    </row>
    <row r="3262" spans="1:9">
      <c r="A3262" s="17" t="s">
        <v>1445</v>
      </c>
      <c r="B3262" s="17" t="s">
        <v>1449</v>
      </c>
      <c r="C3262" s="17" t="s">
        <v>802</v>
      </c>
      <c r="D3262" s="17" t="s">
        <v>801</v>
      </c>
      <c r="E3262" s="18">
        <v>3005821358023</v>
      </c>
      <c r="G3262" s="20" t="str">
        <f t="shared" si="150"/>
        <v xml:space="preserve"> BRACELETOPALINO </v>
      </c>
      <c r="H3262" s="20" t="str">
        <f t="shared" si="151"/>
        <v>PUFFO</v>
      </c>
      <c r="I3262" s="20" t="str">
        <f t="shared" si="152"/>
        <v xml:space="preserve">M    </v>
      </c>
    </row>
    <row r="3263" spans="1:9">
      <c r="A3263" s="17" t="s">
        <v>1445</v>
      </c>
      <c r="B3263" s="17" t="s">
        <v>1449</v>
      </c>
      <c r="C3263" s="17" t="s">
        <v>803</v>
      </c>
      <c r="D3263" s="17" t="s">
        <v>801</v>
      </c>
      <c r="E3263" s="18">
        <v>8050846008953</v>
      </c>
      <c r="G3263" s="20" t="str">
        <f t="shared" si="150"/>
        <v xml:space="preserve"> BRACELETOPALINO </v>
      </c>
      <c r="H3263" s="20" t="str">
        <f t="shared" si="151"/>
        <v>PUFFO</v>
      </c>
      <c r="I3263" s="20" t="str">
        <f t="shared" si="152"/>
        <v xml:space="preserve">S    </v>
      </c>
    </row>
    <row r="3264" spans="1:9">
      <c r="A3264" s="17" t="s">
        <v>1445</v>
      </c>
      <c r="B3264" s="17" t="s">
        <v>1449</v>
      </c>
      <c r="C3264" s="17" t="s">
        <v>803</v>
      </c>
      <c r="D3264" s="17" t="s">
        <v>801</v>
      </c>
      <c r="E3264" s="18">
        <v>3005821358016</v>
      </c>
      <c r="G3264" s="20" t="str">
        <f t="shared" si="150"/>
        <v xml:space="preserve"> BRACELETOPALINO </v>
      </c>
      <c r="H3264" s="20" t="str">
        <f t="shared" si="151"/>
        <v>PUFFO</v>
      </c>
      <c r="I3264" s="20" t="str">
        <f t="shared" si="152"/>
        <v xml:space="preserve">S    </v>
      </c>
    </row>
    <row r="3265" spans="1:9">
      <c r="A3265" s="17" t="s">
        <v>1445</v>
      </c>
      <c r="B3265" s="17" t="s">
        <v>1449</v>
      </c>
      <c r="C3265" s="17" t="s">
        <v>804</v>
      </c>
      <c r="D3265" s="17" t="s">
        <v>801</v>
      </c>
      <c r="E3265" s="18">
        <v>3005821358047</v>
      </c>
      <c r="G3265" s="20" t="str">
        <f t="shared" si="150"/>
        <v xml:space="preserve"> BRACELETOPALINO </v>
      </c>
      <c r="H3265" s="20" t="str">
        <f t="shared" si="151"/>
        <v>PUFFO</v>
      </c>
      <c r="I3265" s="20" t="str">
        <f t="shared" si="152"/>
        <v xml:space="preserve">XL   </v>
      </c>
    </row>
    <row r="3266" spans="1:9">
      <c r="A3266" s="17" t="s">
        <v>1445</v>
      </c>
      <c r="B3266" s="17" t="s">
        <v>1449</v>
      </c>
      <c r="C3266" s="17" t="s">
        <v>805</v>
      </c>
      <c r="D3266" s="17" t="s">
        <v>801</v>
      </c>
      <c r="E3266" s="18">
        <v>3005821358009</v>
      </c>
      <c r="G3266" s="20" t="str">
        <f t="shared" si="150"/>
        <v xml:space="preserve"> BRACELETOPALINO </v>
      </c>
      <c r="H3266" s="20" t="str">
        <f t="shared" si="151"/>
        <v>PUFFO</v>
      </c>
      <c r="I3266" s="20" t="str">
        <f t="shared" si="152"/>
        <v xml:space="preserve">XS   </v>
      </c>
    </row>
    <row r="3267" spans="1:9">
      <c r="A3267" s="17" t="s">
        <v>1450</v>
      </c>
      <c r="B3267" s="17" t="s">
        <v>280</v>
      </c>
      <c r="C3267" s="17" t="s">
        <v>800</v>
      </c>
      <c r="D3267" s="17" t="s">
        <v>801</v>
      </c>
      <c r="E3267" s="18">
        <v>3004380276038</v>
      </c>
      <c r="G3267" s="20" t="str">
        <f t="shared" si="150"/>
        <v xml:space="preserve"> BRACELETWICKER  </v>
      </c>
      <c r="H3267" s="20" t="str">
        <f t="shared" si="151"/>
        <v>BLACK</v>
      </c>
      <c r="I3267" s="20" t="str">
        <f t="shared" si="152"/>
        <v xml:space="preserve">L    </v>
      </c>
    </row>
    <row r="3268" spans="1:9">
      <c r="A3268" s="17" t="s">
        <v>1450</v>
      </c>
      <c r="B3268" s="17" t="s">
        <v>280</v>
      </c>
      <c r="C3268" s="17" t="s">
        <v>800</v>
      </c>
      <c r="D3268" s="17" t="s">
        <v>801</v>
      </c>
      <c r="E3268" s="18">
        <v>8058983590249</v>
      </c>
      <c r="G3268" s="20" t="str">
        <f t="shared" si="150"/>
        <v xml:space="preserve"> BRACELETWICKER  </v>
      </c>
      <c r="H3268" s="20" t="str">
        <f t="shared" si="151"/>
        <v>BLACK</v>
      </c>
      <c r="I3268" s="20" t="str">
        <f t="shared" si="152"/>
        <v xml:space="preserve">L    </v>
      </c>
    </row>
    <row r="3269" spans="1:9">
      <c r="A3269" s="17" t="s">
        <v>1450</v>
      </c>
      <c r="B3269" s="17" t="s">
        <v>280</v>
      </c>
      <c r="C3269" s="17" t="s">
        <v>802</v>
      </c>
      <c r="D3269" s="17" t="s">
        <v>801</v>
      </c>
      <c r="E3269" s="18">
        <v>3004380276021</v>
      </c>
      <c r="G3269" s="20" t="str">
        <f t="shared" ref="G3269:G3332" si="153">A3269</f>
        <v xml:space="preserve"> BRACELETWICKER  </v>
      </c>
      <c r="H3269" s="20" t="str">
        <f t="shared" ref="H3269:H3332" si="154">B3269</f>
        <v>BLACK</v>
      </c>
      <c r="I3269" s="20" t="str">
        <f t="shared" ref="I3269:I3332" si="155">C3269</f>
        <v xml:space="preserve">M    </v>
      </c>
    </row>
    <row r="3270" spans="1:9">
      <c r="A3270" s="17" t="s">
        <v>1450</v>
      </c>
      <c r="B3270" s="17" t="s">
        <v>280</v>
      </c>
      <c r="C3270" s="17" t="s">
        <v>802</v>
      </c>
      <c r="D3270" s="17" t="s">
        <v>801</v>
      </c>
      <c r="E3270" s="18">
        <v>8058983590256</v>
      </c>
      <c r="G3270" s="20" t="str">
        <f t="shared" si="153"/>
        <v xml:space="preserve"> BRACELETWICKER  </v>
      </c>
      <c r="H3270" s="20" t="str">
        <f t="shared" si="154"/>
        <v>BLACK</v>
      </c>
      <c r="I3270" s="20" t="str">
        <f t="shared" si="155"/>
        <v xml:space="preserve">M    </v>
      </c>
    </row>
    <row r="3271" spans="1:9">
      <c r="A3271" s="17" t="s">
        <v>1450</v>
      </c>
      <c r="B3271" s="17" t="s">
        <v>280</v>
      </c>
      <c r="C3271" s="17" t="s">
        <v>803</v>
      </c>
      <c r="D3271" s="17" t="s">
        <v>801</v>
      </c>
      <c r="E3271" s="18">
        <v>3004380276014</v>
      </c>
      <c r="G3271" s="20" t="str">
        <f t="shared" si="153"/>
        <v xml:space="preserve"> BRACELETWICKER  </v>
      </c>
      <c r="H3271" s="20" t="str">
        <f t="shared" si="154"/>
        <v>BLACK</v>
      </c>
      <c r="I3271" s="20" t="str">
        <f t="shared" si="155"/>
        <v xml:space="preserve">S    </v>
      </c>
    </row>
    <row r="3272" spans="1:9">
      <c r="A3272" s="17" t="s">
        <v>1450</v>
      </c>
      <c r="B3272" s="17" t="s">
        <v>280</v>
      </c>
      <c r="C3272" s="17" t="s">
        <v>803</v>
      </c>
      <c r="D3272" s="17" t="s">
        <v>801</v>
      </c>
      <c r="E3272" s="18">
        <v>8058983590263</v>
      </c>
      <c r="G3272" s="20" t="str">
        <f t="shared" si="153"/>
        <v xml:space="preserve"> BRACELETWICKER  </v>
      </c>
      <c r="H3272" s="20" t="str">
        <f t="shared" si="154"/>
        <v>BLACK</v>
      </c>
      <c r="I3272" s="20" t="str">
        <f t="shared" si="155"/>
        <v xml:space="preserve">S    </v>
      </c>
    </row>
    <row r="3273" spans="1:9">
      <c r="A3273" s="17" t="s">
        <v>1450</v>
      </c>
      <c r="B3273" s="17" t="s">
        <v>280</v>
      </c>
      <c r="C3273" s="17" t="s">
        <v>804</v>
      </c>
      <c r="D3273" s="17" t="s">
        <v>801</v>
      </c>
      <c r="E3273" s="18">
        <v>3004380276045</v>
      </c>
      <c r="G3273" s="20" t="str">
        <f t="shared" si="153"/>
        <v xml:space="preserve"> BRACELETWICKER  </v>
      </c>
      <c r="H3273" s="20" t="str">
        <f t="shared" si="154"/>
        <v>BLACK</v>
      </c>
      <c r="I3273" s="20" t="str">
        <f t="shared" si="155"/>
        <v xml:space="preserve">XL   </v>
      </c>
    </row>
    <row r="3274" spans="1:9">
      <c r="A3274" s="17" t="s">
        <v>1450</v>
      </c>
      <c r="B3274" s="17" t="s">
        <v>280</v>
      </c>
      <c r="C3274" s="17" t="s">
        <v>805</v>
      </c>
      <c r="D3274" s="17" t="s">
        <v>801</v>
      </c>
      <c r="E3274" s="18">
        <v>3004380276007</v>
      </c>
      <c r="G3274" s="20" t="str">
        <f t="shared" si="153"/>
        <v xml:space="preserve"> BRACELETWICKER  </v>
      </c>
      <c r="H3274" s="20" t="str">
        <f t="shared" si="154"/>
        <v>BLACK</v>
      </c>
      <c r="I3274" s="20" t="str">
        <f t="shared" si="155"/>
        <v xml:space="preserve">XS   </v>
      </c>
    </row>
    <row r="3275" spans="1:9">
      <c r="A3275" s="17" t="s">
        <v>1450</v>
      </c>
      <c r="B3275" s="17" t="s">
        <v>869</v>
      </c>
      <c r="C3275" s="17" t="s">
        <v>800</v>
      </c>
      <c r="D3275" s="17" t="s">
        <v>801</v>
      </c>
      <c r="E3275" s="18">
        <v>3004380294032</v>
      </c>
      <c r="G3275" s="20" t="str">
        <f t="shared" si="153"/>
        <v xml:space="preserve"> BRACELETWICKER  </v>
      </c>
      <c r="H3275" s="20" t="str">
        <f t="shared" si="154"/>
        <v>BROWN</v>
      </c>
      <c r="I3275" s="20" t="str">
        <f t="shared" si="155"/>
        <v xml:space="preserve">L    </v>
      </c>
    </row>
    <row r="3276" spans="1:9">
      <c r="A3276" s="17" t="s">
        <v>1450</v>
      </c>
      <c r="B3276" s="17" t="s">
        <v>869</v>
      </c>
      <c r="C3276" s="17" t="s">
        <v>802</v>
      </c>
      <c r="D3276" s="17" t="s">
        <v>801</v>
      </c>
      <c r="E3276" s="18">
        <v>3004380294025</v>
      </c>
      <c r="G3276" s="20" t="str">
        <f t="shared" si="153"/>
        <v xml:space="preserve"> BRACELETWICKER  </v>
      </c>
      <c r="H3276" s="20" t="str">
        <f t="shared" si="154"/>
        <v>BROWN</v>
      </c>
      <c r="I3276" s="20" t="str">
        <f t="shared" si="155"/>
        <v xml:space="preserve">M    </v>
      </c>
    </row>
    <row r="3277" spans="1:9">
      <c r="A3277" s="17" t="s">
        <v>1450</v>
      </c>
      <c r="B3277" s="17" t="s">
        <v>869</v>
      </c>
      <c r="C3277" s="17" t="s">
        <v>803</v>
      </c>
      <c r="D3277" s="17" t="s">
        <v>801</v>
      </c>
      <c r="E3277" s="18">
        <v>3004380294018</v>
      </c>
      <c r="G3277" s="20" t="str">
        <f t="shared" si="153"/>
        <v xml:space="preserve"> BRACELETWICKER  </v>
      </c>
      <c r="H3277" s="20" t="str">
        <f t="shared" si="154"/>
        <v>BROWN</v>
      </c>
      <c r="I3277" s="20" t="str">
        <f t="shared" si="155"/>
        <v xml:space="preserve">S    </v>
      </c>
    </row>
    <row r="3278" spans="1:9">
      <c r="A3278" s="17" t="s">
        <v>1450</v>
      </c>
      <c r="B3278" s="17" t="s">
        <v>869</v>
      </c>
      <c r="C3278" s="17" t="s">
        <v>804</v>
      </c>
      <c r="D3278" s="17" t="s">
        <v>801</v>
      </c>
      <c r="E3278" s="18">
        <v>3004380294049</v>
      </c>
      <c r="G3278" s="20" t="str">
        <f t="shared" si="153"/>
        <v xml:space="preserve"> BRACELETWICKER  </v>
      </c>
      <c r="H3278" s="20" t="str">
        <f t="shared" si="154"/>
        <v>BROWN</v>
      </c>
      <c r="I3278" s="20" t="str">
        <f t="shared" si="155"/>
        <v xml:space="preserve">XL   </v>
      </c>
    </row>
    <row r="3279" spans="1:9">
      <c r="A3279" s="17" t="s">
        <v>1450</v>
      </c>
      <c r="B3279" s="17" t="s">
        <v>869</v>
      </c>
      <c r="C3279" s="17" t="s">
        <v>805</v>
      </c>
      <c r="D3279" s="17" t="s">
        <v>801</v>
      </c>
      <c r="E3279" s="18">
        <v>3004380294001</v>
      </c>
      <c r="G3279" s="20" t="str">
        <f t="shared" si="153"/>
        <v xml:space="preserve"> BRACELETWICKER  </v>
      </c>
      <c r="H3279" s="20" t="str">
        <f t="shared" si="154"/>
        <v>BROWN</v>
      </c>
      <c r="I3279" s="20" t="str">
        <f t="shared" si="155"/>
        <v xml:space="preserve">XS   </v>
      </c>
    </row>
    <row r="3280" spans="1:9">
      <c r="A3280" s="17" t="s">
        <v>1450</v>
      </c>
      <c r="B3280" s="17" t="s">
        <v>1104</v>
      </c>
      <c r="C3280" s="17" t="s">
        <v>800</v>
      </c>
      <c r="D3280" s="17" t="s">
        <v>801</v>
      </c>
      <c r="E3280" s="18">
        <v>3004380638034</v>
      </c>
      <c r="G3280" s="20" t="str">
        <f t="shared" si="153"/>
        <v xml:space="preserve"> BRACELETWICKER  </v>
      </c>
      <c r="H3280" s="20" t="str">
        <f t="shared" si="154"/>
        <v>MARRO</v>
      </c>
      <c r="I3280" s="20" t="str">
        <f t="shared" si="155"/>
        <v xml:space="preserve">L    </v>
      </c>
    </row>
    <row r="3281" spans="1:9">
      <c r="A3281" s="17" t="s">
        <v>1450</v>
      </c>
      <c r="B3281" s="17" t="s">
        <v>1104</v>
      </c>
      <c r="C3281" s="17" t="s">
        <v>802</v>
      </c>
      <c r="D3281" s="17" t="s">
        <v>801</v>
      </c>
      <c r="E3281" s="18">
        <v>3004380638027</v>
      </c>
      <c r="G3281" s="20" t="str">
        <f t="shared" si="153"/>
        <v xml:space="preserve"> BRACELETWICKER  </v>
      </c>
      <c r="H3281" s="20" t="str">
        <f t="shared" si="154"/>
        <v>MARRO</v>
      </c>
      <c r="I3281" s="20" t="str">
        <f t="shared" si="155"/>
        <v xml:space="preserve">M    </v>
      </c>
    </row>
    <row r="3282" spans="1:9">
      <c r="A3282" s="17" t="s">
        <v>1450</v>
      </c>
      <c r="B3282" s="17" t="s">
        <v>1104</v>
      </c>
      <c r="C3282" s="17" t="s">
        <v>803</v>
      </c>
      <c r="D3282" s="17" t="s">
        <v>801</v>
      </c>
      <c r="E3282" s="18">
        <v>3004380638010</v>
      </c>
      <c r="G3282" s="20" t="str">
        <f t="shared" si="153"/>
        <v xml:space="preserve"> BRACELETWICKER  </v>
      </c>
      <c r="H3282" s="20" t="str">
        <f t="shared" si="154"/>
        <v>MARRO</v>
      </c>
      <c r="I3282" s="20" t="str">
        <f t="shared" si="155"/>
        <v xml:space="preserve">S    </v>
      </c>
    </row>
    <row r="3283" spans="1:9">
      <c r="A3283" s="17" t="s">
        <v>1450</v>
      </c>
      <c r="B3283" s="17" t="s">
        <v>1104</v>
      </c>
      <c r="C3283" s="17" t="s">
        <v>804</v>
      </c>
      <c r="D3283" s="17" t="s">
        <v>801</v>
      </c>
      <c r="E3283" s="18">
        <v>3004380638041</v>
      </c>
      <c r="G3283" s="20" t="str">
        <f t="shared" si="153"/>
        <v xml:space="preserve"> BRACELETWICKER  </v>
      </c>
      <c r="H3283" s="20" t="str">
        <f t="shared" si="154"/>
        <v>MARRO</v>
      </c>
      <c r="I3283" s="20" t="str">
        <f t="shared" si="155"/>
        <v xml:space="preserve">XL   </v>
      </c>
    </row>
    <row r="3284" spans="1:9">
      <c r="A3284" s="17" t="s">
        <v>1450</v>
      </c>
      <c r="B3284" s="17" t="s">
        <v>1104</v>
      </c>
      <c r="C3284" s="17" t="s">
        <v>805</v>
      </c>
      <c r="D3284" s="17" t="s">
        <v>801</v>
      </c>
      <c r="E3284" s="18">
        <v>3004380638003</v>
      </c>
      <c r="G3284" s="20" t="str">
        <f t="shared" si="153"/>
        <v xml:space="preserve"> BRACELETWICKER  </v>
      </c>
      <c r="H3284" s="20" t="str">
        <f t="shared" si="154"/>
        <v>MARRO</v>
      </c>
      <c r="I3284" s="20" t="str">
        <f t="shared" si="155"/>
        <v xml:space="preserve">XS   </v>
      </c>
    </row>
    <row r="3285" spans="1:9">
      <c r="A3285" s="17" t="s">
        <v>1450</v>
      </c>
      <c r="B3285" s="17" t="s">
        <v>971</v>
      </c>
      <c r="C3285" s="17" t="s">
        <v>800</v>
      </c>
      <c r="D3285" s="17" t="s">
        <v>801</v>
      </c>
      <c r="E3285" s="18">
        <v>8058333586526</v>
      </c>
      <c r="G3285" s="20" t="str">
        <f t="shared" si="153"/>
        <v xml:space="preserve"> BRACELETWICKER  </v>
      </c>
      <c r="H3285" s="20" t="str">
        <f t="shared" si="154"/>
        <v>OTTAN</v>
      </c>
      <c r="I3285" s="20" t="str">
        <f t="shared" si="155"/>
        <v xml:space="preserve">L    </v>
      </c>
    </row>
    <row r="3286" spans="1:9">
      <c r="A3286" s="17" t="s">
        <v>1450</v>
      </c>
      <c r="B3286" s="17" t="s">
        <v>971</v>
      </c>
      <c r="C3286" s="17" t="s">
        <v>800</v>
      </c>
      <c r="D3286" s="17" t="s">
        <v>801</v>
      </c>
      <c r="E3286" s="18">
        <v>3004380689036</v>
      </c>
      <c r="G3286" s="20" t="str">
        <f t="shared" si="153"/>
        <v xml:space="preserve"> BRACELETWICKER  </v>
      </c>
      <c r="H3286" s="20" t="str">
        <f t="shared" si="154"/>
        <v>OTTAN</v>
      </c>
      <c r="I3286" s="20" t="str">
        <f t="shared" si="155"/>
        <v xml:space="preserve">L    </v>
      </c>
    </row>
    <row r="3287" spans="1:9">
      <c r="A3287" s="17" t="s">
        <v>1450</v>
      </c>
      <c r="B3287" s="17" t="s">
        <v>971</v>
      </c>
      <c r="C3287" s="17" t="s">
        <v>802</v>
      </c>
      <c r="D3287" s="17" t="s">
        <v>801</v>
      </c>
      <c r="E3287" s="18">
        <v>8058333586533</v>
      </c>
      <c r="G3287" s="20" t="str">
        <f t="shared" si="153"/>
        <v xml:space="preserve"> BRACELETWICKER  </v>
      </c>
      <c r="H3287" s="20" t="str">
        <f t="shared" si="154"/>
        <v>OTTAN</v>
      </c>
      <c r="I3287" s="20" t="str">
        <f t="shared" si="155"/>
        <v xml:space="preserve">M    </v>
      </c>
    </row>
    <row r="3288" spans="1:9">
      <c r="A3288" s="17" t="s">
        <v>1450</v>
      </c>
      <c r="B3288" s="17" t="s">
        <v>971</v>
      </c>
      <c r="C3288" s="17" t="s">
        <v>802</v>
      </c>
      <c r="D3288" s="17" t="s">
        <v>801</v>
      </c>
      <c r="E3288" s="18">
        <v>3004380689029</v>
      </c>
      <c r="G3288" s="20" t="str">
        <f t="shared" si="153"/>
        <v xml:space="preserve"> BRACELETWICKER  </v>
      </c>
      <c r="H3288" s="20" t="str">
        <f t="shared" si="154"/>
        <v>OTTAN</v>
      </c>
      <c r="I3288" s="20" t="str">
        <f t="shared" si="155"/>
        <v xml:space="preserve">M    </v>
      </c>
    </row>
    <row r="3289" spans="1:9">
      <c r="A3289" s="17" t="s">
        <v>1450</v>
      </c>
      <c r="B3289" s="17" t="s">
        <v>971</v>
      </c>
      <c r="C3289" s="17" t="s">
        <v>803</v>
      </c>
      <c r="D3289" s="17" t="s">
        <v>801</v>
      </c>
      <c r="E3289" s="18">
        <v>8058333586540</v>
      </c>
      <c r="G3289" s="20" t="str">
        <f t="shared" si="153"/>
        <v xml:space="preserve"> BRACELETWICKER  </v>
      </c>
      <c r="H3289" s="20" t="str">
        <f t="shared" si="154"/>
        <v>OTTAN</v>
      </c>
      <c r="I3289" s="20" t="str">
        <f t="shared" si="155"/>
        <v xml:space="preserve">S    </v>
      </c>
    </row>
    <row r="3290" spans="1:9">
      <c r="A3290" s="17" t="s">
        <v>1450</v>
      </c>
      <c r="B3290" s="17" t="s">
        <v>971</v>
      </c>
      <c r="C3290" s="17" t="s">
        <v>803</v>
      </c>
      <c r="D3290" s="17" t="s">
        <v>801</v>
      </c>
      <c r="E3290" s="18">
        <v>3004380689012</v>
      </c>
      <c r="G3290" s="20" t="str">
        <f t="shared" si="153"/>
        <v xml:space="preserve"> BRACELETWICKER  </v>
      </c>
      <c r="H3290" s="20" t="str">
        <f t="shared" si="154"/>
        <v>OTTAN</v>
      </c>
      <c r="I3290" s="20" t="str">
        <f t="shared" si="155"/>
        <v xml:space="preserve">S    </v>
      </c>
    </row>
    <row r="3291" spans="1:9">
      <c r="A3291" s="17" t="s">
        <v>1450</v>
      </c>
      <c r="B3291" s="17" t="s">
        <v>971</v>
      </c>
      <c r="C3291" s="17" t="s">
        <v>804</v>
      </c>
      <c r="D3291" s="17" t="s">
        <v>801</v>
      </c>
      <c r="E3291" s="18">
        <v>3004380689043</v>
      </c>
      <c r="G3291" s="20" t="str">
        <f t="shared" si="153"/>
        <v xml:space="preserve"> BRACELETWICKER  </v>
      </c>
      <c r="H3291" s="20" t="str">
        <f t="shared" si="154"/>
        <v>OTTAN</v>
      </c>
      <c r="I3291" s="20" t="str">
        <f t="shared" si="155"/>
        <v xml:space="preserve">XL   </v>
      </c>
    </row>
    <row r="3292" spans="1:9">
      <c r="A3292" s="17" t="s">
        <v>1450</v>
      </c>
      <c r="B3292" s="17" t="s">
        <v>971</v>
      </c>
      <c r="C3292" s="17" t="s">
        <v>805</v>
      </c>
      <c r="D3292" s="17" t="s">
        <v>801</v>
      </c>
      <c r="E3292" s="18">
        <v>3004380689005</v>
      </c>
      <c r="G3292" s="20" t="str">
        <f t="shared" si="153"/>
        <v xml:space="preserve"> BRACELETWICKER  </v>
      </c>
      <c r="H3292" s="20" t="str">
        <f t="shared" si="154"/>
        <v>OTTAN</v>
      </c>
      <c r="I3292" s="20" t="str">
        <f t="shared" si="155"/>
        <v xml:space="preserve">XS   </v>
      </c>
    </row>
    <row r="3293" spans="1:9">
      <c r="A3293" s="17" t="s">
        <v>1450</v>
      </c>
      <c r="B3293" s="17" t="s">
        <v>1438</v>
      </c>
      <c r="C3293" s="17" t="s">
        <v>800</v>
      </c>
      <c r="D3293" s="17" t="s">
        <v>801</v>
      </c>
      <c r="E3293" s="18">
        <v>8058333586571</v>
      </c>
      <c r="G3293" s="20" t="str">
        <f t="shared" si="153"/>
        <v xml:space="preserve"> BRACELETWICKER  </v>
      </c>
      <c r="H3293" s="20" t="str">
        <f t="shared" si="154"/>
        <v>POLVE</v>
      </c>
      <c r="I3293" s="20" t="str">
        <f t="shared" si="155"/>
        <v xml:space="preserve">L    </v>
      </c>
    </row>
    <row r="3294" spans="1:9">
      <c r="A3294" s="17" t="s">
        <v>1450</v>
      </c>
      <c r="B3294" s="17" t="s">
        <v>1438</v>
      </c>
      <c r="C3294" s="17" t="s">
        <v>800</v>
      </c>
      <c r="D3294" s="17" t="s">
        <v>801</v>
      </c>
      <c r="E3294" s="18">
        <v>3004380692036</v>
      </c>
      <c r="G3294" s="20" t="str">
        <f t="shared" si="153"/>
        <v xml:space="preserve"> BRACELETWICKER  </v>
      </c>
      <c r="H3294" s="20" t="str">
        <f t="shared" si="154"/>
        <v>POLVE</v>
      </c>
      <c r="I3294" s="20" t="str">
        <f t="shared" si="155"/>
        <v xml:space="preserve">L    </v>
      </c>
    </row>
    <row r="3295" spans="1:9">
      <c r="A3295" s="17" t="s">
        <v>1450</v>
      </c>
      <c r="B3295" s="17" t="s">
        <v>1438</v>
      </c>
      <c r="C3295" s="17" t="s">
        <v>802</v>
      </c>
      <c r="D3295" s="17" t="s">
        <v>801</v>
      </c>
      <c r="E3295" s="18">
        <v>8058333586588</v>
      </c>
      <c r="G3295" s="20" t="str">
        <f t="shared" si="153"/>
        <v xml:space="preserve"> BRACELETWICKER  </v>
      </c>
      <c r="H3295" s="20" t="str">
        <f t="shared" si="154"/>
        <v>POLVE</v>
      </c>
      <c r="I3295" s="20" t="str">
        <f t="shared" si="155"/>
        <v xml:space="preserve">M    </v>
      </c>
    </row>
    <row r="3296" spans="1:9">
      <c r="A3296" s="17" t="s">
        <v>1450</v>
      </c>
      <c r="B3296" s="17" t="s">
        <v>1438</v>
      </c>
      <c r="C3296" s="17" t="s">
        <v>802</v>
      </c>
      <c r="D3296" s="17" t="s">
        <v>801</v>
      </c>
      <c r="E3296" s="18">
        <v>3004380692029</v>
      </c>
      <c r="G3296" s="20" t="str">
        <f t="shared" si="153"/>
        <v xml:space="preserve"> BRACELETWICKER  </v>
      </c>
      <c r="H3296" s="20" t="str">
        <f t="shared" si="154"/>
        <v>POLVE</v>
      </c>
      <c r="I3296" s="20" t="str">
        <f t="shared" si="155"/>
        <v xml:space="preserve">M    </v>
      </c>
    </row>
    <row r="3297" spans="1:9">
      <c r="A3297" s="17" t="s">
        <v>1450</v>
      </c>
      <c r="B3297" s="17" t="s">
        <v>1438</v>
      </c>
      <c r="C3297" s="17" t="s">
        <v>803</v>
      </c>
      <c r="D3297" s="17" t="s">
        <v>801</v>
      </c>
      <c r="E3297" s="18">
        <v>8058333586595</v>
      </c>
      <c r="G3297" s="20" t="str">
        <f t="shared" si="153"/>
        <v xml:space="preserve"> BRACELETWICKER  </v>
      </c>
      <c r="H3297" s="20" t="str">
        <f t="shared" si="154"/>
        <v>POLVE</v>
      </c>
      <c r="I3297" s="20" t="str">
        <f t="shared" si="155"/>
        <v xml:space="preserve">S    </v>
      </c>
    </row>
    <row r="3298" spans="1:9">
      <c r="A3298" s="17" t="s">
        <v>1450</v>
      </c>
      <c r="B3298" s="17" t="s">
        <v>1438</v>
      </c>
      <c r="C3298" s="17" t="s">
        <v>803</v>
      </c>
      <c r="D3298" s="17" t="s">
        <v>801</v>
      </c>
      <c r="E3298" s="18">
        <v>3004380692012</v>
      </c>
      <c r="G3298" s="20" t="str">
        <f t="shared" si="153"/>
        <v xml:space="preserve"> BRACELETWICKER  </v>
      </c>
      <c r="H3298" s="20" t="str">
        <f t="shared" si="154"/>
        <v>POLVE</v>
      </c>
      <c r="I3298" s="20" t="str">
        <f t="shared" si="155"/>
        <v xml:space="preserve">S    </v>
      </c>
    </row>
    <row r="3299" spans="1:9">
      <c r="A3299" s="17" t="s">
        <v>1450</v>
      </c>
      <c r="B3299" s="17" t="s">
        <v>1438</v>
      </c>
      <c r="C3299" s="17" t="s">
        <v>804</v>
      </c>
      <c r="D3299" s="17" t="s">
        <v>801</v>
      </c>
      <c r="E3299" s="18">
        <v>3004380692043</v>
      </c>
      <c r="G3299" s="20" t="str">
        <f t="shared" si="153"/>
        <v xml:space="preserve"> BRACELETWICKER  </v>
      </c>
      <c r="H3299" s="20" t="str">
        <f t="shared" si="154"/>
        <v>POLVE</v>
      </c>
      <c r="I3299" s="20" t="str">
        <f t="shared" si="155"/>
        <v xml:space="preserve">XL   </v>
      </c>
    </row>
    <row r="3300" spans="1:9">
      <c r="A3300" s="17" t="s">
        <v>1450</v>
      </c>
      <c r="B3300" s="17" t="s">
        <v>1438</v>
      </c>
      <c r="C3300" s="17" t="s">
        <v>805</v>
      </c>
      <c r="D3300" s="17" t="s">
        <v>801</v>
      </c>
      <c r="E3300" s="18">
        <v>3004380692005</v>
      </c>
      <c r="G3300" s="20" t="str">
        <f t="shared" si="153"/>
        <v xml:space="preserve"> BRACELETWICKER  </v>
      </c>
      <c r="H3300" s="20" t="str">
        <f t="shared" si="154"/>
        <v>POLVE</v>
      </c>
      <c r="I3300" s="20" t="str">
        <f t="shared" si="155"/>
        <v xml:space="preserve">XS   </v>
      </c>
    </row>
    <row r="3301" spans="1:9">
      <c r="A3301" s="17" t="s">
        <v>1450</v>
      </c>
      <c r="B3301" s="17" t="s">
        <v>1237</v>
      </c>
      <c r="C3301" s="17" t="s">
        <v>800</v>
      </c>
      <c r="D3301" s="17" t="s">
        <v>801</v>
      </c>
      <c r="E3301" s="18">
        <v>3004380396033</v>
      </c>
      <c r="G3301" s="20" t="str">
        <f t="shared" si="153"/>
        <v xml:space="preserve"> BRACELETWICKER  </v>
      </c>
      <c r="H3301" s="20" t="str">
        <f t="shared" si="154"/>
        <v xml:space="preserve">ROCK </v>
      </c>
      <c r="I3301" s="20" t="str">
        <f t="shared" si="155"/>
        <v xml:space="preserve">L    </v>
      </c>
    </row>
    <row r="3302" spans="1:9">
      <c r="A3302" s="17" t="s">
        <v>1450</v>
      </c>
      <c r="B3302" s="17" t="s">
        <v>1237</v>
      </c>
      <c r="C3302" s="17" t="s">
        <v>800</v>
      </c>
      <c r="D3302" s="17" t="s">
        <v>801</v>
      </c>
      <c r="E3302" s="18">
        <v>8058983590287</v>
      </c>
      <c r="G3302" s="20" t="str">
        <f t="shared" si="153"/>
        <v xml:space="preserve"> BRACELETWICKER  </v>
      </c>
      <c r="H3302" s="20" t="str">
        <f t="shared" si="154"/>
        <v xml:space="preserve">ROCK </v>
      </c>
      <c r="I3302" s="20" t="str">
        <f t="shared" si="155"/>
        <v xml:space="preserve">L    </v>
      </c>
    </row>
    <row r="3303" spans="1:9">
      <c r="A3303" s="17" t="s">
        <v>1450</v>
      </c>
      <c r="B3303" s="17" t="s">
        <v>1237</v>
      </c>
      <c r="C3303" s="17" t="s">
        <v>802</v>
      </c>
      <c r="D3303" s="17" t="s">
        <v>801</v>
      </c>
      <c r="E3303" s="18">
        <v>3004380396026</v>
      </c>
      <c r="G3303" s="20" t="str">
        <f t="shared" si="153"/>
        <v xml:space="preserve"> BRACELETWICKER  </v>
      </c>
      <c r="H3303" s="20" t="str">
        <f t="shared" si="154"/>
        <v xml:space="preserve">ROCK </v>
      </c>
      <c r="I3303" s="20" t="str">
        <f t="shared" si="155"/>
        <v xml:space="preserve">M    </v>
      </c>
    </row>
    <row r="3304" spans="1:9">
      <c r="A3304" s="17" t="s">
        <v>1450</v>
      </c>
      <c r="B3304" s="17" t="s">
        <v>1237</v>
      </c>
      <c r="C3304" s="17" t="s">
        <v>802</v>
      </c>
      <c r="D3304" s="17" t="s">
        <v>801</v>
      </c>
      <c r="E3304" s="18">
        <v>8058983590294</v>
      </c>
      <c r="G3304" s="20" t="str">
        <f t="shared" si="153"/>
        <v xml:space="preserve"> BRACELETWICKER  </v>
      </c>
      <c r="H3304" s="20" t="str">
        <f t="shared" si="154"/>
        <v xml:space="preserve">ROCK </v>
      </c>
      <c r="I3304" s="20" t="str">
        <f t="shared" si="155"/>
        <v xml:space="preserve">M    </v>
      </c>
    </row>
    <row r="3305" spans="1:9">
      <c r="A3305" s="17" t="s">
        <v>1450</v>
      </c>
      <c r="B3305" s="17" t="s">
        <v>1237</v>
      </c>
      <c r="C3305" s="17" t="s">
        <v>803</v>
      </c>
      <c r="D3305" s="17" t="s">
        <v>801</v>
      </c>
      <c r="E3305" s="18">
        <v>3004380396019</v>
      </c>
      <c r="G3305" s="20" t="str">
        <f t="shared" si="153"/>
        <v xml:space="preserve"> BRACELETWICKER  </v>
      </c>
      <c r="H3305" s="20" t="str">
        <f t="shared" si="154"/>
        <v xml:space="preserve">ROCK </v>
      </c>
      <c r="I3305" s="20" t="str">
        <f t="shared" si="155"/>
        <v xml:space="preserve">S    </v>
      </c>
    </row>
    <row r="3306" spans="1:9">
      <c r="A3306" s="17" t="s">
        <v>1450</v>
      </c>
      <c r="B3306" s="17" t="s">
        <v>1237</v>
      </c>
      <c r="C3306" s="17" t="s">
        <v>803</v>
      </c>
      <c r="D3306" s="17" t="s">
        <v>801</v>
      </c>
      <c r="E3306" s="18">
        <v>8058983590300</v>
      </c>
      <c r="G3306" s="20" t="str">
        <f t="shared" si="153"/>
        <v xml:space="preserve"> BRACELETWICKER  </v>
      </c>
      <c r="H3306" s="20" t="str">
        <f t="shared" si="154"/>
        <v xml:space="preserve">ROCK </v>
      </c>
      <c r="I3306" s="20" t="str">
        <f t="shared" si="155"/>
        <v xml:space="preserve">S    </v>
      </c>
    </row>
    <row r="3307" spans="1:9">
      <c r="A3307" s="17" t="s">
        <v>1450</v>
      </c>
      <c r="B3307" s="17" t="s">
        <v>1237</v>
      </c>
      <c r="C3307" s="17" t="s">
        <v>804</v>
      </c>
      <c r="D3307" s="17" t="s">
        <v>801</v>
      </c>
      <c r="E3307" s="18">
        <v>3004380396040</v>
      </c>
      <c r="G3307" s="20" t="str">
        <f t="shared" si="153"/>
        <v xml:space="preserve"> BRACELETWICKER  </v>
      </c>
      <c r="H3307" s="20" t="str">
        <f t="shared" si="154"/>
        <v xml:space="preserve">ROCK </v>
      </c>
      <c r="I3307" s="20" t="str">
        <f t="shared" si="155"/>
        <v xml:space="preserve">XL   </v>
      </c>
    </row>
    <row r="3308" spans="1:9">
      <c r="A3308" s="17" t="s">
        <v>1450</v>
      </c>
      <c r="B3308" s="17" t="s">
        <v>1237</v>
      </c>
      <c r="C3308" s="17" t="s">
        <v>805</v>
      </c>
      <c r="D3308" s="17" t="s">
        <v>801</v>
      </c>
      <c r="E3308" s="18">
        <v>3004380396002</v>
      </c>
      <c r="G3308" s="20" t="str">
        <f t="shared" si="153"/>
        <v xml:space="preserve"> BRACELETWICKER  </v>
      </c>
      <c r="H3308" s="20" t="str">
        <f t="shared" si="154"/>
        <v xml:space="preserve">ROCK </v>
      </c>
      <c r="I3308" s="20" t="str">
        <f t="shared" si="155"/>
        <v xml:space="preserve">XS   </v>
      </c>
    </row>
    <row r="3309" spans="1:9">
      <c r="A3309" s="17" t="s">
        <v>1450</v>
      </c>
      <c r="B3309" s="17" t="s">
        <v>273</v>
      </c>
      <c r="C3309" s="17" t="s">
        <v>800</v>
      </c>
      <c r="D3309" s="17" t="s">
        <v>801</v>
      </c>
      <c r="E3309" s="18">
        <v>3005040005036</v>
      </c>
      <c r="G3309" s="20" t="str">
        <f t="shared" si="153"/>
        <v xml:space="preserve"> BRACELETWICKER  </v>
      </c>
      <c r="H3309" s="20" t="str">
        <f t="shared" si="154"/>
        <v>WHITE</v>
      </c>
      <c r="I3309" s="20" t="str">
        <f t="shared" si="155"/>
        <v xml:space="preserve">L    </v>
      </c>
    </row>
    <row r="3310" spans="1:9">
      <c r="A3310" s="17" t="s">
        <v>1450</v>
      </c>
      <c r="B3310" s="17" t="s">
        <v>273</v>
      </c>
      <c r="C3310" s="17" t="s">
        <v>800</v>
      </c>
      <c r="D3310" s="17" t="s">
        <v>801</v>
      </c>
      <c r="E3310" s="18">
        <v>8058983594698</v>
      </c>
      <c r="G3310" s="20" t="str">
        <f t="shared" si="153"/>
        <v xml:space="preserve"> BRACELETWICKER  </v>
      </c>
      <c r="H3310" s="20" t="str">
        <f t="shared" si="154"/>
        <v>WHITE</v>
      </c>
      <c r="I3310" s="20" t="str">
        <f t="shared" si="155"/>
        <v xml:space="preserve">L    </v>
      </c>
    </row>
    <row r="3311" spans="1:9">
      <c r="A3311" s="17" t="s">
        <v>1450</v>
      </c>
      <c r="B3311" s="17" t="s">
        <v>273</v>
      </c>
      <c r="C3311" s="17" t="s">
        <v>802</v>
      </c>
      <c r="D3311" s="17" t="s">
        <v>801</v>
      </c>
      <c r="E3311" s="18">
        <v>3005040005029</v>
      </c>
      <c r="G3311" s="20" t="str">
        <f t="shared" si="153"/>
        <v xml:space="preserve"> BRACELETWICKER  </v>
      </c>
      <c r="H3311" s="20" t="str">
        <f t="shared" si="154"/>
        <v>WHITE</v>
      </c>
      <c r="I3311" s="20" t="str">
        <f t="shared" si="155"/>
        <v xml:space="preserve">M    </v>
      </c>
    </row>
    <row r="3312" spans="1:9">
      <c r="A3312" s="17" t="s">
        <v>1450</v>
      </c>
      <c r="B3312" s="17" t="s">
        <v>273</v>
      </c>
      <c r="C3312" s="17" t="s">
        <v>802</v>
      </c>
      <c r="D3312" s="17" t="s">
        <v>801</v>
      </c>
      <c r="E3312" s="18">
        <v>8058983594704</v>
      </c>
      <c r="G3312" s="20" t="str">
        <f t="shared" si="153"/>
        <v xml:space="preserve"> BRACELETWICKER  </v>
      </c>
      <c r="H3312" s="20" t="str">
        <f t="shared" si="154"/>
        <v>WHITE</v>
      </c>
      <c r="I3312" s="20" t="str">
        <f t="shared" si="155"/>
        <v xml:space="preserve">M    </v>
      </c>
    </row>
    <row r="3313" spans="1:9">
      <c r="A3313" s="17" t="s">
        <v>1450</v>
      </c>
      <c r="B3313" s="17" t="s">
        <v>273</v>
      </c>
      <c r="C3313" s="17" t="s">
        <v>803</v>
      </c>
      <c r="D3313" s="17" t="s">
        <v>801</v>
      </c>
      <c r="E3313" s="18">
        <v>3005040005012</v>
      </c>
      <c r="G3313" s="20" t="str">
        <f t="shared" si="153"/>
        <v xml:space="preserve"> BRACELETWICKER  </v>
      </c>
      <c r="H3313" s="20" t="str">
        <f t="shared" si="154"/>
        <v>WHITE</v>
      </c>
      <c r="I3313" s="20" t="str">
        <f t="shared" si="155"/>
        <v xml:space="preserve">S    </v>
      </c>
    </row>
    <row r="3314" spans="1:9">
      <c r="A3314" s="17" t="s">
        <v>1450</v>
      </c>
      <c r="B3314" s="17" t="s">
        <v>273</v>
      </c>
      <c r="C3314" s="17" t="s">
        <v>803</v>
      </c>
      <c r="D3314" s="17" t="s">
        <v>801</v>
      </c>
      <c r="E3314" s="18">
        <v>8058983594711</v>
      </c>
      <c r="G3314" s="20" t="str">
        <f t="shared" si="153"/>
        <v xml:space="preserve"> BRACELETWICKER  </v>
      </c>
      <c r="H3314" s="20" t="str">
        <f t="shared" si="154"/>
        <v>WHITE</v>
      </c>
      <c r="I3314" s="20" t="str">
        <f t="shared" si="155"/>
        <v xml:space="preserve">S    </v>
      </c>
    </row>
    <row r="3315" spans="1:9">
      <c r="A3315" s="17" t="s">
        <v>1450</v>
      </c>
      <c r="B3315" s="17" t="s">
        <v>273</v>
      </c>
      <c r="C3315" s="17" t="s">
        <v>804</v>
      </c>
      <c r="D3315" s="17" t="s">
        <v>801</v>
      </c>
      <c r="E3315" s="18">
        <v>3005040005043</v>
      </c>
      <c r="G3315" s="20" t="str">
        <f t="shared" si="153"/>
        <v xml:space="preserve"> BRACELETWICKER  </v>
      </c>
      <c r="H3315" s="20" t="str">
        <f t="shared" si="154"/>
        <v>WHITE</v>
      </c>
      <c r="I3315" s="20" t="str">
        <f t="shared" si="155"/>
        <v xml:space="preserve">XL   </v>
      </c>
    </row>
    <row r="3316" spans="1:9">
      <c r="A3316" s="17" t="s">
        <v>1450</v>
      </c>
      <c r="B3316" s="17" t="s">
        <v>273</v>
      </c>
      <c r="C3316" s="17" t="s">
        <v>805</v>
      </c>
      <c r="D3316" s="17" t="s">
        <v>801</v>
      </c>
      <c r="E3316" s="18">
        <v>3005040005005</v>
      </c>
      <c r="G3316" s="20" t="str">
        <f t="shared" si="153"/>
        <v xml:space="preserve"> BRACELETWICKER  </v>
      </c>
      <c r="H3316" s="20" t="str">
        <f t="shared" si="154"/>
        <v>WHITE</v>
      </c>
      <c r="I3316" s="20" t="str">
        <f t="shared" si="155"/>
        <v xml:space="preserve">XS   </v>
      </c>
    </row>
    <row r="3317" spans="1:9">
      <c r="A3317" s="17" t="s">
        <v>1451</v>
      </c>
      <c r="B3317" s="17" t="s">
        <v>799</v>
      </c>
      <c r="C3317" s="17" t="s">
        <v>800</v>
      </c>
      <c r="D3317" s="17" t="s">
        <v>801</v>
      </c>
      <c r="E3317" s="18">
        <v>3005080000022</v>
      </c>
      <c r="G3317" s="20" t="str">
        <f t="shared" si="153"/>
        <v xml:space="preserve"> BRADAISYBIG     </v>
      </c>
      <c r="H3317" s="20" t="str">
        <f t="shared" si="154"/>
        <v xml:space="preserve">     </v>
      </c>
      <c r="I3317" s="20" t="str">
        <f t="shared" si="155"/>
        <v xml:space="preserve">L    </v>
      </c>
    </row>
    <row r="3318" spans="1:9">
      <c r="A3318" s="17" t="s">
        <v>1451</v>
      </c>
      <c r="B3318" s="17" t="s">
        <v>799</v>
      </c>
      <c r="C3318" s="17" t="s">
        <v>802</v>
      </c>
      <c r="D3318" s="17" t="s">
        <v>801</v>
      </c>
      <c r="E3318" s="18">
        <v>3005080000015</v>
      </c>
      <c r="G3318" s="20" t="str">
        <f t="shared" si="153"/>
        <v xml:space="preserve"> BRADAISYBIG     </v>
      </c>
      <c r="H3318" s="20" t="str">
        <f t="shared" si="154"/>
        <v xml:space="preserve">     </v>
      </c>
      <c r="I3318" s="20" t="str">
        <f t="shared" si="155"/>
        <v xml:space="preserve">M    </v>
      </c>
    </row>
    <row r="3319" spans="1:9">
      <c r="A3319" s="17" t="s">
        <v>1451</v>
      </c>
      <c r="B3319" s="17" t="s">
        <v>799</v>
      </c>
      <c r="C3319" s="17" t="s">
        <v>803</v>
      </c>
      <c r="D3319" s="17" t="s">
        <v>801</v>
      </c>
      <c r="E3319" s="18">
        <v>3005080000008</v>
      </c>
      <c r="G3319" s="20" t="str">
        <f t="shared" si="153"/>
        <v xml:space="preserve"> BRADAISYBIG     </v>
      </c>
      <c r="H3319" s="20" t="str">
        <f t="shared" si="154"/>
        <v xml:space="preserve">     </v>
      </c>
      <c r="I3319" s="20" t="str">
        <f t="shared" si="155"/>
        <v xml:space="preserve">S    </v>
      </c>
    </row>
    <row r="3320" spans="1:9">
      <c r="A3320" s="17" t="s">
        <v>1451</v>
      </c>
      <c r="B3320" s="17" t="s">
        <v>799</v>
      </c>
      <c r="C3320" s="17" t="s">
        <v>804</v>
      </c>
      <c r="D3320" s="17" t="s">
        <v>801</v>
      </c>
      <c r="E3320" s="18">
        <v>3005080000039</v>
      </c>
      <c r="G3320" s="20" t="str">
        <f t="shared" si="153"/>
        <v xml:space="preserve"> BRADAISYBIG     </v>
      </c>
      <c r="H3320" s="20" t="str">
        <f t="shared" si="154"/>
        <v xml:space="preserve">     </v>
      </c>
      <c r="I3320" s="20" t="str">
        <f t="shared" si="155"/>
        <v xml:space="preserve">XL   </v>
      </c>
    </row>
    <row r="3321" spans="1:9">
      <c r="A3321" s="17" t="s">
        <v>1452</v>
      </c>
      <c r="B3321" s="17" t="s">
        <v>1453</v>
      </c>
      <c r="C3321" s="17" t="s">
        <v>800</v>
      </c>
      <c r="D3321" s="17" t="s">
        <v>801</v>
      </c>
      <c r="E3321" s="18">
        <v>3003760133022</v>
      </c>
      <c r="G3321" s="20" t="str">
        <f t="shared" si="153"/>
        <v xml:space="preserve"> BRAFLEUR        </v>
      </c>
      <c r="H3321" s="20" t="str">
        <f t="shared" si="154"/>
        <v xml:space="preserve">UNI  </v>
      </c>
      <c r="I3321" s="20" t="str">
        <f t="shared" si="155"/>
        <v xml:space="preserve">L    </v>
      </c>
    </row>
    <row r="3322" spans="1:9">
      <c r="A3322" s="17" t="s">
        <v>1452</v>
      </c>
      <c r="B3322" s="17" t="s">
        <v>1453</v>
      </c>
      <c r="C3322" s="17" t="s">
        <v>802</v>
      </c>
      <c r="D3322" s="17" t="s">
        <v>801</v>
      </c>
      <c r="E3322" s="18">
        <v>3003760133015</v>
      </c>
      <c r="G3322" s="20" t="str">
        <f t="shared" si="153"/>
        <v xml:space="preserve"> BRAFLEUR        </v>
      </c>
      <c r="H3322" s="20" t="str">
        <f t="shared" si="154"/>
        <v xml:space="preserve">UNI  </v>
      </c>
      <c r="I3322" s="20" t="str">
        <f t="shared" si="155"/>
        <v xml:space="preserve">M    </v>
      </c>
    </row>
    <row r="3323" spans="1:9">
      <c r="A3323" s="17" t="s">
        <v>1452</v>
      </c>
      <c r="B3323" s="17" t="s">
        <v>1453</v>
      </c>
      <c r="C3323" s="17" t="s">
        <v>803</v>
      </c>
      <c r="D3323" s="17" t="s">
        <v>801</v>
      </c>
      <c r="E3323" s="18">
        <v>3003760133008</v>
      </c>
      <c r="G3323" s="20" t="str">
        <f t="shared" si="153"/>
        <v xml:space="preserve"> BRAFLEUR        </v>
      </c>
      <c r="H3323" s="20" t="str">
        <f t="shared" si="154"/>
        <v xml:space="preserve">UNI  </v>
      </c>
      <c r="I3323" s="20" t="str">
        <f t="shared" si="155"/>
        <v xml:space="preserve">S    </v>
      </c>
    </row>
    <row r="3324" spans="1:9">
      <c r="A3324" s="17" t="s">
        <v>1452</v>
      </c>
      <c r="B3324" s="17" t="s">
        <v>1453</v>
      </c>
      <c r="C3324" s="17" t="s">
        <v>804</v>
      </c>
      <c r="D3324" s="17" t="s">
        <v>801</v>
      </c>
      <c r="E3324" s="18">
        <v>3003760133039</v>
      </c>
      <c r="G3324" s="20" t="str">
        <f t="shared" si="153"/>
        <v xml:space="preserve"> BRAFLEUR        </v>
      </c>
      <c r="H3324" s="20" t="str">
        <f t="shared" si="154"/>
        <v xml:space="preserve">UNI  </v>
      </c>
      <c r="I3324" s="20" t="str">
        <f t="shared" si="155"/>
        <v xml:space="preserve">XL   </v>
      </c>
    </row>
    <row r="3325" spans="1:9">
      <c r="A3325" s="17" t="s">
        <v>1452</v>
      </c>
      <c r="B3325" s="17" t="s">
        <v>1453</v>
      </c>
      <c r="C3325" s="17" t="s">
        <v>805</v>
      </c>
      <c r="D3325" s="17" t="s">
        <v>801</v>
      </c>
      <c r="E3325" s="18">
        <v>3003760134005</v>
      </c>
      <c r="G3325" s="20" t="str">
        <f t="shared" si="153"/>
        <v xml:space="preserve"> BRAFLEUR        </v>
      </c>
      <c r="H3325" s="20" t="str">
        <f t="shared" si="154"/>
        <v xml:space="preserve">UNI  </v>
      </c>
      <c r="I3325" s="20" t="str">
        <f t="shared" si="155"/>
        <v xml:space="preserve">XS   </v>
      </c>
    </row>
    <row r="3326" spans="1:9">
      <c r="A3326" s="17" t="s">
        <v>1454</v>
      </c>
      <c r="B3326" s="17" t="s">
        <v>1453</v>
      </c>
      <c r="C3326" s="17" t="s">
        <v>800</v>
      </c>
      <c r="D3326" s="17" t="s">
        <v>801</v>
      </c>
      <c r="E3326" s="18">
        <v>3003750133025</v>
      </c>
      <c r="G3326" s="20" t="str">
        <f t="shared" si="153"/>
        <v xml:space="preserve"> BRAFLEURSL      </v>
      </c>
      <c r="H3326" s="20" t="str">
        <f t="shared" si="154"/>
        <v xml:space="preserve">UNI  </v>
      </c>
      <c r="I3326" s="20" t="str">
        <f t="shared" si="155"/>
        <v xml:space="preserve">L    </v>
      </c>
    </row>
    <row r="3327" spans="1:9">
      <c r="A3327" s="17" t="s">
        <v>1454</v>
      </c>
      <c r="B3327" s="17" t="s">
        <v>1453</v>
      </c>
      <c r="C3327" s="17" t="s">
        <v>802</v>
      </c>
      <c r="D3327" s="17" t="s">
        <v>801</v>
      </c>
      <c r="E3327" s="18">
        <v>3003750133018</v>
      </c>
      <c r="G3327" s="20" t="str">
        <f t="shared" si="153"/>
        <v xml:space="preserve"> BRAFLEURSL      </v>
      </c>
      <c r="H3327" s="20" t="str">
        <f t="shared" si="154"/>
        <v xml:space="preserve">UNI  </v>
      </c>
      <c r="I3327" s="20" t="str">
        <f t="shared" si="155"/>
        <v xml:space="preserve">M    </v>
      </c>
    </row>
    <row r="3328" spans="1:9">
      <c r="A3328" s="17" t="s">
        <v>1454</v>
      </c>
      <c r="B3328" s="17" t="s">
        <v>1453</v>
      </c>
      <c r="C3328" s="17" t="s">
        <v>803</v>
      </c>
      <c r="D3328" s="17" t="s">
        <v>801</v>
      </c>
      <c r="E3328" s="18">
        <v>3003750133001</v>
      </c>
      <c r="G3328" s="20" t="str">
        <f t="shared" si="153"/>
        <v xml:space="preserve"> BRAFLEURSL      </v>
      </c>
      <c r="H3328" s="20" t="str">
        <f t="shared" si="154"/>
        <v xml:space="preserve">UNI  </v>
      </c>
      <c r="I3328" s="20" t="str">
        <f t="shared" si="155"/>
        <v xml:space="preserve">S    </v>
      </c>
    </row>
    <row r="3329" spans="1:9">
      <c r="A3329" s="17" t="s">
        <v>1454</v>
      </c>
      <c r="B3329" s="17" t="s">
        <v>1453</v>
      </c>
      <c r="C3329" s="17" t="s">
        <v>804</v>
      </c>
      <c r="D3329" s="17" t="s">
        <v>801</v>
      </c>
      <c r="E3329" s="18">
        <v>3003750133032</v>
      </c>
      <c r="G3329" s="20" t="str">
        <f t="shared" si="153"/>
        <v xml:space="preserve"> BRAFLEURSL      </v>
      </c>
      <c r="H3329" s="20" t="str">
        <f t="shared" si="154"/>
        <v xml:space="preserve">UNI  </v>
      </c>
      <c r="I3329" s="20" t="str">
        <f t="shared" si="155"/>
        <v xml:space="preserve">XL   </v>
      </c>
    </row>
    <row r="3330" spans="1:9">
      <c r="A3330" s="17" t="s">
        <v>1454</v>
      </c>
      <c r="B3330" s="17" t="s">
        <v>1453</v>
      </c>
      <c r="C3330" s="17" t="s">
        <v>805</v>
      </c>
      <c r="D3330" s="17" t="s">
        <v>801</v>
      </c>
      <c r="E3330" s="18">
        <v>3003750134008</v>
      </c>
      <c r="G3330" s="20" t="str">
        <f t="shared" si="153"/>
        <v xml:space="preserve"> BRAFLEURSL      </v>
      </c>
      <c r="H3330" s="20" t="str">
        <f t="shared" si="154"/>
        <v xml:space="preserve">UNI  </v>
      </c>
      <c r="I3330" s="20" t="str">
        <f t="shared" si="155"/>
        <v xml:space="preserve">XS   </v>
      </c>
    </row>
    <row r="3331" spans="1:9">
      <c r="A3331" s="17" t="s">
        <v>1455</v>
      </c>
      <c r="B3331" s="17" t="s">
        <v>1453</v>
      </c>
      <c r="C3331" s="17" t="s">
        <v>800</v>
      </c>
      <c r="D3331" s="17" t="s">
        <v>801</v>
      </c>
      <c r="E3331" s="18">
        <v>3005070427020</v>
      </c>
      <c r="G3331" s="20" t="str">
        <f t="shared" si="153"/>
        <v xml:space="preserve"> BRAKNOTDOUBLE   </v>
      </c>
      <c r="H3331" s="20" t="str">
        <f t="shared" si="154"/>
        <v xml:space="preserve">UNI  </v>
      </c>
      <c r="I3331" s="20" t="str">
        <f t="shared" si="155"/>
        <v xml:space="preserve">L    </v>
      </c>
    </row>
    <row r="3332" spans="1:9">
      <c r="A3332" s="17" t="s">
        <v>1455</v>
      </c>
      <c r="B3332" s="17" t="s">
        <v>1453</v>
      </c>
      <c r="C3332" s="17" t="s">
        <v>800</v>
      </c>
      <c r="D3332" s="17" t="s">
        <v>801</v>
      </c>
      <c r="E3332" s="18">
        <v>3005070000025</v>
      </c>
      <c r="G3332" s="20" t="str">
        <f t="shared" si="153"/>
        <v xml:space="preserve"> BRAKNOTDOUBLE   </v>
      </c>
      <c r="H3332" s="20" t="str">
        <f t="shared" si="154"/>
        <v xml:space="preserve">UNI  </v>
      </c>
      <c r="I3332" s="20" t="str">
        <f t="shared" si="155"/>
        <v xml:space="preserve">L    </v>
      </c>
    </row>
    <row r="3333" spans="1:9">
      <c r="A3333" s="17" t="s">
        <v>1455</v>
      </c>
      <c r="B3333" s="17" t="s">
        <v>1453</v>
      </c>
      <c r="C3333" s="17" t="s">
        <v>802</v>
      </c>
      <c r="D3333" s="17" t="s">
        <v>801</v>
      </c>
      <c r="E3333" s="18">
        <v>3005070427013</v>
      </c>
      <c r="G3333" s="20" t="str">
        <f t="shared" ref="G3333:G3396" si="156">A3333</f>
        <v xml:space="preserve"> BRAKNOTDOUBLE   </v>
      </c>
      <c r="H3333" s="20" t="str">
        <f t="shared" ref="H3333:H3396" si="157">B3333</f>
        <v xml:space="preserve">UNI  </v>
      </c>
      <c r="I3333" s="20" t="str">
        <f t="shared" ref="I3333:I3396" si="158">C3333</f>
        <v xml:space="preserve">M    </v>
      </c>
    </row>
    <row r="3334" spans="1:9">
      <c r="A3334" s="17" t="s">
        <v>1455</v>
      </c>
      <c r="B3334" s="17" t="s">
        <v>1453</v>
      </c>
      <c r="C3334" s="17" t="s">
        <v>802</v>
      </c>
      <c r="D3334" s="17" t="s">
        <v>801</v>
      </c>
      <c r="E3334" s="18">
        <v>3005070000018</v>
      </c>
      <c r="G3334" s="20" t="str">
        <f t="shared" si="156"/>
        <v xml:space="preserve"> BRAKNOTDOUBLE   </v>
      </c>
      <c r="H3334" s="20" t="str">
        <f t="shared" si="157"/>
        <v xml:space="preserve">UNI  </v>
      </c>
      <c r="I3334" s="20" t="str">
        <f t="shared" si="158"/>
        <v xml:space="preserve">M    </v>
      </c>
    </row>
    <row r="3335" spans="1:9">
      <c r="A3335" s="17" t="s">
        <v>1455</v>
      </c>
      <c r="B3335" s="17" t="s">
        <v>1453</v>
      </c>
      <c r="C3335" s="17" t="s">
        <v>803</v>
      </c>
      <c r="D3335" s="17" t="s">
        <v>801</v>
      </c>
      <c r="E3335" s="18">
        <v>3005070427006</v>
      </c>
      <c r="G3335" s="20" t="str">
        <f t="shared" si="156"/>
        <v xml:space="preserve"> BRAKNOTDOUBLE   </v>
      </c>
      <c r="H3335" s="20" t="str">
        <f t="shared" si="157"/>
        <v xml:space="preserve">UNI  </v>
      </c>
      <c r="I3335" s="20" t="str">
        <f t="shared" si="158"/>
        <v xml:space="preserve">S    </v>
      </c>
    </row>
    <row r="3336" spans="1:9">
      <c r="A3336" s="17" t="s">
        <v>1455</v>
      </c>
      <c r="B3336" s="17" t="s">
        <v>1453</v>
      </c>
      <c r="C3336" s="17" t="s">
        <v>803</v>
      </c>
      <c r="D3336" s="17" t="s">
        <v>801</v>
      </c>
      <c r="E3336" s="18">
        <v>3005070000001</v>
      </c>
      <c r="G3336" s="20" t="str">
        <f t="shared" si="156"/>
        <v xml:space="preserve"> BRAKNOTDOUBLE   </v>
      </c>
      <c r="H3336" s="20" t="str">
        <f t="shared" si="157"/>
        <v xml:space="preserve">UNI  </v>
      </c>
      <c r="I3336" s="20" t="str">
        <f t="shared" si="158"/>
        <v xml:space="preserve">S    </v>
      </c>
    </row>
    <row r="3337" spans="1:9">
      <c r="A3337" s="17" t="s">
        <v>1455</v>
      </c>
      <c r="B3337" s="17" t="s">
        <v>1453</v>
      </c>
      <c r="C3337" s="17" t="s">
        <v>804</v>
      </c>
      <c r="D3337" s="17" t="s">
        <v>801</v>
      </c>
      <c r="E3337" s="18">
        <v>3005070427037</v>
      </c>
      <c r="G3337" s="20" t="str">
        <f t="shared" si="156"/>
        <v xml:space="preserve"> BRAKNOTDOUBLE   </v>
      </c>
      <c r="H3337" s="20" t="str">
        <f t="shared" si="157"/>
        <v xml:space="preserve">UNI  </v>
      </c>
      <c r="I3337" s="20" t="str">
        <f t="shared" si="158"/>
        <v xml:space="preserve">XL   </v>
      </c>
    </row>
    <row r="3338" spans="1:9">
      <c r="A3338" s="17" t="s">
        <v>1455</v>
      </c>
      <c r="B3338" s="17" t="s">
        <v>1453</v>
      </c>
      <c r="C3338" s="17" t="s">
        <v>804</v>
      </c>
      <c r="D3338" s="17" t="s">
        <v>801</v>
      </c>
      <c r="E3338" s="18">
        <v>3005070000032</v>
      </c>
      <c r="G3338" s="20" t="str">
        <f t="shared" si="156"/>
        <v xml:space="preserve"> BRAKNOTDOUBLE   </v>
      </c>
      <c r="H3338" s="20" t="str">
        <f t="shared" si="157"/>
        <v xml:space="preserve">UNI  </v>
      </c>
      <c r="I3338" s="20" t="str">
        <f t="shared" si="158"/>
        <v xml:space="preserve">XL   </v>
      </c>
    </row>
    <row r="3339" spans="1:9">
      <c r="A3339" s="17" t="s">
        <v>1456</v>
      </c>
      <c r="B3339" s="17" t="s">
        <v>799</v>
      </c>
      <c r="C3339" s="17" t="s">
        <v>804</v>
      </c>
      <c r="D3339" s="17" t="s">
        <v>801</v>
      </c>
      <c r="E3339" s="18">
        <v>3005060000035</v>
      </c>
      <c r="G3339" s="20" t="str">
        <f t="shared" si="156"/>
        <v xml:space="preserve"> BRAKNOTSINGLE   </v>
      </c>
      <c r="H3339" s="20" t="str">
        <f t="shared" si="157"/>
        <v xml:space="preserve">     </v>
      </c>
      <c r="I3339" s="20" t="str">
        <f t="shared" si="158"/>
        <v xml:space="preserve">XL   </v>
      </c>
    </row>
    <row r="3340" spans="1:9">
      <c r="A3340" s="17" t="s">
        <v>1456</v>
      </c>
      <c r="B3340" s="17" t="s">
        <v>1453</v>
      </c>
      <c r="C3340" s="17" t="s">
        <v>800</v>
      </c>
      <c r="D3340" s="17" t="s">
        <v>801</v>
      </c>
      <c r="E3340" s="18">
        <v>3005060000028</v>
      </c>
      <c r="G3340" s="20" t="str">
        <f t="shared" si="156"/>
        <v xml:space="preserve"> BRAKNOTSINGLE   </v>
      </c>
      <c r="H3340" s="20" t="str">
        <f t="shared" si="157"/>
        <v xml:space="preserve">UNI  </v>
      </c>
      <c r="I3340" s="20" t="str">
        <f t="shared" si="158"/>
        <v xml:space="preserve">L    </v>
      </c>
    </row>
    <row r="3341" spans="1:9">
      <c r="A3341" s="17" t="s">
        <v>1456</v>
      </c>
      <c r="B3341" s="17" t="s">
        <v>1453</v>
      </c>
      <c r="C3341" s="17" t="s">
        <v>802</v>
      </c>
      <c r="D3341" s="17" t="s">
        <v>801</v>
      </c>
      <c r="E3341" s="18">
        <v>3005060000011</v>
      </c>
      <c r="G3341" s="20" t="str">
        <f t="shared" si="156"/>
        <v xml:space="preserve"> BRAKNOTSINGLE   </v>
      </c>
      <c r="H3341" s="20" t="str">
        <f t="shared" si="157"/>
        <v xml:space="preserve">UNI  </v>
      </c>
      <c r="I3341" s="20" t="str">
        <f t="shared" si="158"/>
        <v xml:space="preserve">M    </v>
      </c>
    </row>
    <row r="3342" spans="1:9">
      <c r="A3342" s="17" t="s">
        <v>1456</v>
      </c>
      <c r="B3342" s="17" t="s">
        <v>1453</v>
      </c>
      <c r="C3342" s="17" t="s">
        <v>803</v>
      </c>
      <c r="D3342" s="17" t="s">
        <v>801</v>
      </c>
      <c r="E3342" s="18">
        <v>3005060000004</v>
      </c>
      <c r="G3342" s="20" t="str">
        <f t="shared" si="156"/>
        <v xml:space="preserve"> BRAKNOTSINGLE   </v>
      </c>
      <c r="H3342" s="20" t="str">
        <f t="shared" si="157"/>
        <v xml:space="preserve">UNI  </v>
      </c>
      <c r="I3342" s="20" t="str">
        <f t="shared" si="158"/>
        <v xml:space="preserve">S    </v>
      </c>
    </row>
    <row r="3343" spans="1:9">
      <c r="A3343" s="17" t="s">
        <v>1456</v>
      </c>
      <c r="B3343" s="17" t="s">
        <v>1453</v>
      </c>
      <c r="C3343" s="17" t="s">
        <v>804</v>
      </c>
      <c r="D3343" s="17" t="s">
        <v>801</v>
      </c>
      <c r="E3343" s="18">
        <v>3005060427030</v>
      </c>
      <c r="G3343" s="20" t="str">
        <f t="shared" si="156"/>
        <v xml:space="preserve"> BRAKNOTSINGLE   </v>
      </c>
      <c r="H3343" s="20" t="str">
        <f t="shared" si="157"/>
        <v xml:space="preserve">UNI  </v>
      </c>
      <c r="I3343" s="20" t="str">
        <f t="shared" si="158"/>
        <v xml:space="preserve">XL   </v>
      </c>
    </row>
    <row r="3344" spans="1:9">
      <c r="A3344" s="17" t="s">
        <v>1457</v>
      </c>
      <c r="B3344" s="17" t="s">
        <v>1453</v>
      </c>
      <c r="C3344" s="17">
        <v>0</v>
      </c>
      <c r="D3344" s="17" t="s">
        <v>801</v>
      </c>
      <c r="E3344" s="18">
        <v>3004100133009</v>
      </c>
      <c r="G3344" s="20" t="str">
        <f t="shared" si="156"/>
        <v xml:space="preserve"> BRAN            </v>
      </c>
      <c r="H3344" s="20" t="str">
        <f t="shared" si="157"/>
        <v xml:space="preserve">UNI  </v>
      </c>
      <c r="I3344" s="20">
        <f t="shared" si="158"/>
        <v>0</v>
      </c>
    </row>
    <row r="3345" spans="1:9">
      <c r="A3345" s="17" t="s">
        <v>1458</v>
      </c>
      <c r="B3345" s="17" t="s">
        <v>1453</v>
      </c>
      <c r="C3345" s="17">
        <v>0</v>
      </c>
      <c r="D3345" s="17" t="s">
        <v>801</v>
      </c>
      <c r="E3345" s="18">
        <v>3005150427001</v>
      </c>
      <c r="G3345" s="20" t="str">
        <f t="shared" si="156"/>
        <v xml:space="preserve"> BRAN/AVIATOR    </v>
      </c>
      <c r="H3345" s="20" t="str">
        <f t="shared" si="157"/>
        <v xml:space="preserve">UNI  </v>
      </c>
      <c r="I3345" s="20">
        <f t="shared" si="158"/>
        <v>0</v>
      </c>
    </row>
    <row r="3346" spans="1:9">
      <c r="A3346" s="17" t="s">
        <v>1459</v>
      </c>
      <c r="B3346" s="17" t="s">
        <v>1460</v>
      </c>
      <c r="C3346" s="17">
        <v>0</v>
      </c>
      <c r="D3346" s="17" t="s">
        <v>801</v>
      </c>
      <c r="E3346" s="18">
        <v>8058983598825</v>
      </c>
      <c r="G3346" s="20" t="str">
        <f t="shared" si="156"/>
        <v xml:space="preserve"> CANBASECO       </v>
      </c>
      <c r="H3346" s="20" t="str">
        <f t="shared" si="157"/>
        <v xml:space="preserve">ANIM </v>
      </c>
      <c r="I3346" s="20">
        <f t="shared" si="158"/>
        <v>0</v>
      </c>
    </row>
    <row r="3347" spans="1:9">
      <c r="A3347" s="17" t="s">
        <v>1459</v>
      </c>
      <c r="B3347" s="17" t="s">
        <v>1460</v>
      </c>
      <c r="C3347" s="17">
        <v>0</v>
      </c>
      <c r="D3347" s="17" t="s">
        <v>801</v>
      </c>
      <c r="E3347" s="18">
        <v>3004370615007</v>
      </c>
      <c r="G3347" s="20" t="str">
        <f t="shared" si="156"/>
        <v xml:space="preserve"> CANBASECO       </v>
      </c>
      <c r="H3347" s="20" t="str">
        <f t="shared" si="157"/>
        <v xml:space="preserve">ANIM </v>
      </c>
      <c r="I3347" s="20">
        <f t="shared" si="158"/>
        <v>0</v>
      </c>
    </row>
    <row r="3348" spans="1:9">
      <c r="A3348" s="17" t="s">
        <v>1459</v>
      </c>
      <c r="B3348" s="17" t="s">
        <v>280</v>
      </c>
      <c r="C3348" s="17">
        <v>0</v>
      </c>
      <c r="D3348" s="17" t="s">
        <v>801</v>
      </c>
      <c r="E3348" s="18">
        <v>3004370004009</v>
      </c>
      <c r="G3348" s="20" t="str">
        <f t="shared" si="156"/>
        <v xml:space="preserve"> CANBASECO       </v>
      </c>
      <c r="H3348" s="20" t="str">
        <f t="shared" si="157"/>
        <v>BLACK</v>
      </c>
      <c r="I3348" s="20">
        <f t="shared" si="158"/>
        <v>0</v>
      </c>
    </row>
    <row r="3349" spans="1:9">
      <c r="A3349" s="17" t="s">
        <v>1459</v>
      </c>
      <c r="B3349" s="17" t="s">
        <v>810</v>
      </c>
      <c r="C3349" s="17">
        <v>0</v>
      </c>
      <c r="D3349" s="17" t="s">
        <v>801</v>
      </c>
      <c r="E3349" s="18">
        <v>8058983598856</v>
      </c>
      <c r="G3349" s="20" t="str">
        <f t="shared" si="156"/>
        <v xml:space="preserve"> CANBASECO       </v>
      </c>
      <c r="H3349" s="20" t="str">
        <f t="shared" si="157"/>
        <v xml:space="preserve">BLUE </v>
      </c>
      <c r="I3349" s="20">
        <f t="shared" si="158"/>
        <v>0</v>
      </c>
    </row>
    <row r="3350" spans="1:9">
      <c r="A3350" s="17" t="s">
        <v>1459</v>
      </c>
      <c r="B3350" s="17" t="s">
        <v>810</v>
      </c>
      <c r="C3350" s="17">
        <v>0</v>
      </c>
      <c r="D3350" s="17" t="s">
        <v>801</v>
      </c>
      <c r="E3350" s="18">
        <v>3004370319004</v>
      </c>
      <c r="G3350" s="20" t="str">
        <f t="shared" si="156"/>
        <v xml:space="preserve"> CANBASECO       </v>
      </c>
      <c r="H3350" s="20" t="str">
        <f t="shared" si="157"/>
        <v xml:space="preserve">BLUE </v>
      </c>
      <c r="I3350" s="20">
        <f t="shared" si="158"/>
        <v>0</v>
      </c>
    </row>
    <row r="3351" spans="1:9">
      <c r="A3351" s="17" t="s">
        <v>1459</v>
      </c>
      <c r="B3351" s="17" t="s">
        <v>819</v>
      </c>
      <c r="C3351" s="17">
        <v>0</v>
      </c>
      <c r="D3351" s="17" t="s">
        <v>801</v>
      </c>
      <c r="E3351" s="18">
        <v>8058983598870</v>
      </c>
      <c r="G3351" s="20" t="str">
        <f t="shared" si="156"/>
        <v xml:space="preserve"> CANBASECO       </v>
      </c>
      <c r="H3351" s="20" t="str">
        <f t="shared" si="157"/>
        <v xml:space="preserve">DOVE </v>
      </c>
      <c r="I3351" s="20">
        <f t="shared" si="158"/>
        <v>0</v>
      </c>
    </row>
    <row r="3352" spans="1:9">
      <c r="A3352" s="17" t="s">
        <v>1459</v>
      </c>
      <c r="B3352" s="17" t="s">
        <v>819</v>
      </c>
      <c r="C3352" s="17">
        <v>0</v>
      </c>
      <c r="D3352" s="17" t="s">
        <v>801</v>
      </c>
      <c r="E3352" s="18">
        <v>3004370570009</v>
      </c>
      <c r="G3352" s="20" t="str">
        <f t="shared" si="156"/>
        <v xml:space="preserve"> CANBASECO       </v>
      </c>
      <c r="H3352" s="20" t="str">
        <f t="shared" si="157"/>
        <v xml:space="preserve">DOVE </v>
      </c>
      <c r="I3352" s="20">
        <f t="shared" si="158"/>
        <v>0</v>
      </c>
    </row>
    <row r="3353" spans="1:9">
      <c r="A3353" s="17" t="s">
        <v>1459</v>
      </c>
      <c r="B3353" s="17" t="s">
        <v>858</v>
      </c>
      <c r="C3353" s="17">
        <v>0</v>
      </c>
      <c r="D3353" s="17" t="s">
        <v>801</v>
      </c>
      <c r="E3353" s="18">
        <v>3004370002005</v>
      </c>
      <c r="G3353" s="20" t="str">
        <f t="shared" si="156"/>
        <v xml:space="preserve"> CANBASECO       </v>
      </c>
      <c r="H3353" s="20" t="str">
        <f t="shared" si="157"/>
        <v xml:space="preserve">GREY </v>
      </c>
      <c r="I3353" s="20">
        <f t="shared" si="158"/>
        <v>0</v>
      </c>
    </row>
    <row r="3354" spans="1:9">
      <c r="A3354" s="17" t="s">
        <v>1459</v>
      </c>
      <c r="B3354" s="17" t="s">
        <v>1430</v>
      </c>
      <c r="C3354" s="17">
        <v>0</v>
      </c>
      <c r="D3354" s="17" t="s">
        <v>801</v>
      </c>
      <c r="E3354" s="18">
        <v>8058983598764</v>
      </c>
      <c r="G3354" s="20" t="str">
        <f t="shared" si="156"/>
        <v xml:space="preserve"> CANBASECO       </v>
      </c>
      <c r="H3354" s="20" t="str">
        <f t="shared" si="157"/>
        <v xml:space="preserve">IRIS </v>
      </c>
      <c r="I3354" s="20">
        <f t="shared" si="158"/>
        <v>0</v>
      </c>
    </row>
    <row r="3355" spans="1:9">
      <c r="A3355" s="17" t="s">
        <v>1459</v>
      </c>
      <c r="B3355" s="17" t="s">
        <v>1430</v>
      </c>
      <c r="C3355" s="17">
        <v>0</v>
      </c>
      <c r="D3355" s="17" t="s">
        <v>801</v>
      </c>
      <c r="E3355" s="18">
        <v>3004370230002</v>
      </c>
      <c r="G3355" s="20" t="str">
        <f t="shared" si="156"/>
        <v xml:space="preserve"> CANBASECO       </v>
      </c>
      <c r="H3355" s="20" t="str">
        <f t="shared" si="157"/>
        <v xml:space="preserve">IRIS </v>
      </c>
      <c r="I3355" s="20">
        <f t="shared" si="158"/>
        <v>0</v>
      </c>
    </row>
    <row r="3356" spans="1:9">
      <c r="A3356" s="17" t="s">
        <v>1459</v>
      </c>
      <c r="B3356" s="17" t="s">
        <v>1461</v>
      </c>
      <c r="C3356" s="17">
        <v>0</v>
      </c>
      <c r="D3356" s="17" t="s">
        <v>801</v>
      </c>
      <c r="E3356" s="18">
        <v>3002431063002</v>
      </c>
      <c r="G3356" s="20" t="str">
        <f t="shared" si="156"/>
        <v xml:space="preserve"> CANBASECO       </v>
      </c>
      <c r="H3356" s="20" t="str">
        <f t="shared" si="157"/>
        <v>LAGRI</v>
      </c>
      <c r="I3356" s="20">
        <f t="shared" si="158"/>
        <v>0</v>
      </c>
    </row>
    <row r="3357" spans="1:9">
      <c r="A3357" s="17" t="s">
        <v>1459</v>
      </c>
      <c r="B3357" s="17" t="s">
        <v>1245</v>
      </c>
      <c r="C3357" s="17">
        <v>0</v>
      </c>
      <c r="D3357" s="17" t="s">
        <v>801</v>
      </c>
      <c r="E3357" s="18">
        <v>3002430535005</v>
      </c>
      <c r="G3357" s="20" t="str">
        <f t="shared" si="156"/>
        <v xml:space="preserve"> CANBASECO       </v>
      </c>
      <c r="H3357" s="20" t="str">
        <f t="shared" si="157"/>
        <v>LANOI</v>
      </c>
      <c r="I3357" s="20">
        <f t="shared" si="158"/>
        <v>0</v>
      </c>
    </row>
    <row r="3358" spans="1:9">
      <c r="A3358" s="17" t="s">
        <v>1459</v>
      </c>
      <c r="B3358" s="17" t="s">
        <v>1245</v>
      </c>
      <c r="C3358" s="17">
        <v>0</v>
      </c>
      <c r="D3358" s="17" t="s">
        <v>801</v>
      </c>
      <c r="E3358" s="18">
        <v>8050450218748</v>
      </c>
      <c r="G3358" s="20" t="str">
        <f t="shared" si="156"/>
        <v xml:space="preserve"> CANBASECO       </v>
      </c>
      <c r="H3358" s="20" t="str">
        <f t="shared" si="157"/>
        <v>LANOI</v>
      </c>
      <c r="I3358" s="20">
        <f t="shared" si="158"/>
        <v>0</v>
      </c>
    </row>
    <row r="3359" spans="1:9">
      <c r="A3359" s="17" t="s">
        <v>1459</v>
      </c>
      <c r="B3359" s="17" t="s">
        <v>1462</v>
      </c>
      <c r="C3359" s="17">
        <v>0</v>
      </c>
      <c r="D3359" s="17" t="s">
        <v>801</v>
      </c>
      <c r="E3359" s="18">
        <v>8058983598849</v>
      </c>
      <c r="G3359" s="20" t="str">
        <f t="shared" si="156"/>
        <v xml:space="preserve"> CANBASECO       </v>
      </c>
      <c r="H3359" s="20" t="str">
        <f t="shared" si="157"/>
        <v>LAPDO</v>
      </c>
      <c r="I3359" s="20">
        <f t="shared" si="158"/>
        <v>0</v>
      </c>
    </row>
    <row r="3360" spans="1:9">
      <c r="A3360" s="17" t="s">
        <v>1459</v>
      </c>
      <c r="B3360" s="17" t="s">
        <v>1462</v>
      </c>
      <c r="C3360" s="17">
        <v>0</v>
      </c>
      <c r="D3360" s="17" t="s">
        <v>801</v>
      </c>
      <c r="E3360" s="18">
        <v>3004370659001</v>
      </c>
      <c r="G3360" s="20" t="str">
        <f t="shared" si="156"/>
        <v xml:space="preserve"> CANBASECO       </v>
      </c>
      <c r="H3360" s="20" t="str">
        <f t="shared" si="157"/>
        <v>LAPDO</v>
      </c>
      <c r="I3360" s="20">
        <f t="shared" si="158"/>
        <v>0</v>
      </c>
    </row>
    <row r="3361" spans="1:9">
      <c r="A3361" s="17" t="s">
        <v>1459</v>
      </c>
      <c r="B3361" s="17" t="s">
        <v>1253</v>
      </c>
      <c r="C3361" s="17">
        <v>0</v>
      </c>
      <c r="D3361" s="17" t="s">
        <v>801</v>
      </c>
      <c r="E3361" s="18">
        <v>3002430616001</v>
      </c>
      <c r="G3361" s="20" t="str">
        <f t="shared" si="156"/>
        <v xml:space="preserve"> CANBASECO       </v>
      </c>
      <c r="H3361" s="20" t="str">
        <f t="shared" si="157"/>
        <v>LAPGR</v>
      </c>
      <c r="I3361" s="20">
        <f t="shared" si="158"/>
        <v>0</v>
      </c>
    </row>
    <row r="3362" spans="1:9">
      <c r="A3362" s="17" t="s">
        <v>1459</v>
      </c>
      <c r="B3362" s="17" t="s">
        <v>1463</v>
      </c>
      <c r="C3362" s="17">
        <v>0</v>
      </c>
      <c r="D3362" s="17" t="s">
        <v>801</v>
      </c>
      <c r="E3362" s="18">
        <v>3002430642000</v>
      </c>
      <c r="G3362" s="20" t="str">
        <f t="shared" si="156"/>
        <v xml:space="preserve"> CANBASECO       </v>
      </c>
      <c r="H3362" s="20" t="str">
        <f t="shared" si="157"/>
        <v>LAPNA</v>
      </c>
      <c r="I3362" s="20">
        <f t="shared" si="158"/>
        <v>0</v>
      </c>
    </row>
    <row r="3363" spans="1:9">
      <c r="A3363" s="17" t="s">
        <v>1459</v>
      </c>
      <c r="B3363" s="17" t="s">
        <v>859</v>
      </c>
      <c r="C3363" s="17">
        <v>0</v>
      </c>
      <c r="D3363" s="17" t="s">
        <v>801</v>
      </c>
      <c r="E3363" s="18">
        <v>3004370598003</v>
      </c>
      <c r="G3363" s="20" t="str">
        <f t="shared" si="156"/>
        <v xml:space="preserve"> CANBASECO       </v>
      </c>
      <c r="H3363" s="20" t="str">
        <f t="shared" si="157"/>
        <v>NATUR</v>
      </c>
      <c r="I3363" s="20">
        <f t="shared" si="158"/>
        <v>0</v>
      </c>
    </row>
    <row r="3364" spans="1:9">
      <c r="A3364" s="17" t="s">
        <v>1459</v>
      </c>
      <c r="B3364" s="17" t="s">
        <v>1464</v>
      </c>
      <c r="C3364" s="17">
        <v>0</v>
      </c>
      <c r="D3364" s="17" t="s">
        <v>801</v>
      </c>
      <c r="E3364" s="18">
        <v>8058983598771</v>
      </c>
      <c r="G3364" s="20" t="str">
        <f t="shared" si="156"/>
        <v xml:space="preserve"> CANBASECO       </v>
      </c>
      <c r="H3364" s="20" t="str">
        <f t="shared" si="157"/>
        <v xml:space="preserve">NOC  </v>
      </c>
      <c r="I3364" s="20">
        <f t="shared" si="158"/>
        <v>0</v>
      </c>
    </row>
    <row r="3365" spans="1:9">
      <c r="A3365" s="17" t="s">
        <v>1459</v>
      </c>
      <c r="B3365" s="17" t="s">
        <v>1464</v>
      </c>
      <c r="C3365" s="17">
        <v>0</v>
      </c>
      <c r="D3365" s="17" t="s">
        <v>801</v>
      </c>
      <c r="E3365" s="18">
        <v>3004370613003</v>
      </c>
      <c r="G3365" s="20" t="str">
        <f t="shared" si="156"/>
        <v xml:space="preserve"> CANBASECO       </v>
      </c>
      <c r="H3365" s="20" t="str">
        <f t="shared" si="157"/>
        <v xml:space="preserve">NOC  </v>
      </c>
      <c r="I3365" s="20">
        <f t="shared" si="158"/>
        <v>0</v>
      </c>
    </row>
    <row r="3366" spans="1:9">
      <c r="A3366" s="17" t="s">
        <v>1459</v>
      </c>
      <c r="B3366" s="17" t="s">
        <v>1097</v>
      </c>
      <c r="C3366" s="17">
        <v>0</v>
      </c>
      <c r="D3366" s="17" t="s">
        <v>801</v>
      </c>
      <c r="E3366" s="18">
        <v>8058983598788</v>
      </c>
      <c r="G3366" s="20" t="str">
        <f t="shared" si="156"/>
        <v xml:space="preserve"> CANBASECO       </v>
      </c>
      <c r="H3366" s="20" t="str">
        <f t="shared" si="157"/>
        <v xml:space="preserve">PORP </v>
      </c>
      <c r="I3366" s="20">
        <f t="shared" si="158"/>
        <v>0</v>
      </c>
    </row>
    <row r="3367" spans="1:9">
      <c r="A3367" s="17" t="s">
        <v>1459</v>
      </c>
      <c r="B3367" s="17" t="s">
        <v>1097</v>
      </c>
      <c r="C3367" s="17">
        <v>0</v>
      </c>
      <c r="D3367" s="17" t="s">
        <v>801</v>
      </c>
      <c r="E3367" s="18">
        <v>3004370540002</v>
      </c>
      <c r="G3367" s="20" t="str">
        <f t="shared" si="156"/>
        <v xml:space="preserve"> CANBASECO       </v>
      </c>
      <c r="H3367" s="20" t="str">
        <f t="shared" si="157"/>
        <v xml:space="preserve">PORP </v>
      </c>
      <c r="I3367" s="20">
        <f t="shared" si="158"/>
        <v>0</v>
      </c>
    </row>
    <row r="3368" spans="1:9">
      <c r="A3368" s="17" t="s">
        <v>1459</v>
      </c>
      <c r="B3368" s="17" t="s">
        <v>1465</v>
      </c>
      <c r="C3368" s="17">
        <v>0</v>
      </c>
      <c r="D3368" s="17" t="s">
        <v>801</v>
      </c>
      <c r="E3368" s="18">
        <v>3002430374000</v>
      </c>
      <c r="G3368" s="20" t="str">
        <f t="shared" si="156"/>
        <v xml:space="preserve"> CANBASECO       </v>
      </c>
      <c r="H3368" s="20" t="str">
        <f t="shared" si="157"/>
        <v xml:space="preserve">REBL </v>
      </c>
      <c r="I3368" s="20">
        <f t="shared" si="158"/>
        <v>0</v>
      </c>
    </row>
    <row r="3369" spans="1:9">
      <c r="A3369" s="17" t="s">
        <v>1459</v>
      </c>
      <c r="B3369" s="17" t="s">
        <v>1466</v>
      </c>
      <c r="C3369" s="17">
        <v>0</v>
      </c>
      <c r="D3369" s="17" t="s">
        <v>801</v>
      </c>
      <c r="E3369" s="18">
        <v>8058983598863</v>
      </c>
      <c r="G3369" s="20" t="str">
        <f t="shared" si="156"/>
        <v xml:space="preserve"> CANBASECO       </v>
      </c>
      <c r="H3369" s="20" t="str">
        <f t="shared" si="157"/>
        <v>REBOR</v>
      </c>
      <c r="I3369" s="20">
        <f t="shared" si="158"/>
        <v>0</v>
      </c>
    </row>
    <row r="3370" spans="1:9">
      <c r="A3370" s="17" t="s">
        <v>1459</v>
      </c>
      <c r="B3370" s="17" t="s">
        <v>1466</v>
      </c>
      <c r="C3370" s="17">
        <v>0</v>
      </c>
      <c r="D3370" s="17" t="s">
        <v>801</v>
      </c>
      <c r="E3370" s="18">
        <v>3004370614000</v>
      </c>
      <c r="G3370" s="20" t="str">
        <f t="shared" si="156"/>
        <v xml:space="preserve"> CANBASECO       </v>
      </c>
      <c r="H3370" s="20" t="str">
        <f t="shared" si="157"/>
        <v>REBOR</v>
      </c>
      <c r="I3370" s="20">
        <f t="shared" si="158"/>
        <v>0</v>
      </c>
    </row>
    <row r="3371" spans="1:9">
      <c r="A3371" s="17" t="s">
        <v>1459</v>
      </c>
      <c r="B3371" s="17" t="s">
        <v>1467</v>
      </c>
      <c r="C3371" s="17">
        <v>0</v>
      </c>
      <c r="D3371" s="17" t="s">
        <v>801</v>
      </c>
      <c r="E3371" s="18">
        <v>3004370374003</v>
      </c>
      <c r="G3371" s="20" t="str">
        <f t="shared" si="156"/>
        <v xml:space="preserve"> CANBASECO       </v>
      </c>
      <c r="H3371" s="20" t="str">
        <f t="shared" si="157"/>
        <v>REBOU</v>
      </c>
      <c r="I3371" s="20">
        <f t="shared" si="158"/>
        <v>0</v>
      </c>
    </row>
    <row r="3372" spans="1:9">
      <c r="A3372" s="17" t="s">
        <v>1459</v>
      </c>
      <c r="B3372" s="17" t="s">
        <v>1468</v>
      </c>
      <c r="C3372" s="17">
        <v>0</v>
      </c>
      <c r="D3372" s="17" t="s">
        <v>801</v>
      </c>
      <c r="E3372" s="18">
        <v>3002430931005</v>
      </c>
      <c r="G3372" s="20" t="str">
        <f t="shared" si="156"/>
        <v xml:space="preserve"> CANBASECO       </v>
      </c>
      <c r="H3372" s="20" t="str">
        <f t="shared" si="157"/>
        <v xml:space="preserve">REDO </v>
      </c>
      <c r="I3372" s="20">
        <f t="shared" si="158"/>
        <v>0</v>
      </c>
    </row>
    <row r="3373" spans="1:9">
      <c r="A3373" s="17" t="s">
        <v>1459</v>
      </c>
      <c r="B3373" s="17" t="s">
        <v>1468</v>
      </c>
      <c r="C3373" s="17">
        <v>0</v>
      </c>
      <c r="D3373" s="17" t="s">
        <v>801</v>
      </c>
      <c r="E3373" s="18">
        <v>8056300454106</v>
      </c>
      <c r="G3373" s="20" t="str">
        <f t="shared" si="156"/>
        <v xml:space="preserve"> CANBASECO       </v>
      </c>
      <c r="H3373" s="20" t="str">
        <f t="shared" si="157"/>
        <v xml:space="preserve">REDO </v>
      </c>
      <c r="I3373" s="20">
        <f t="shared" si="158"/>
        <v>0</v>
      </c>
    </row>
    <row r="3374" spans="1:9">
      <c r="A3374" s="17" t="s">
        <v>1459</v>
      </c>
      <c r="B3374" s="17" t="s">
        <v>1469</v>
      </c>
      <c r="C3374" s="17">
        <v>0</v>
      </c>
      <c r="D3374" s="17" t="s">
        <v>801</v>
      </c>
      <c r="E3374" s="18">
        <v>8058983598795</v>
      </c>
      <c r="G3374" s="20" t="str">
        <f t="shared" si="156"/>
        <v xml:space="preserve"> CANBASECO       </v>
      </c>
      <c r="H3374" s="20" t="str">
        <f t="shared" si="157"/>
        <v xml:space="preserve">REGR </v>
      </c>
      <c r="I3374" s="20">
        <f t="shared" si="158"/>
        <v>0</v>
      </c>
    </row>
    <row r="3375" spans="1:9">
      <c r="A3375" s="17" t="s">
        <v>1459</v>
      </c>
      <c r="B3375" s="17" t="s">
        <v>1469</v>
      </c>
      <c r="C3375" s="17">
        <v>0</v>
      </c>
      <c r="D3375" s="17" t="s">
        <v>801</v>
      </c>
      <c r="E3375" s="18">
        <v>3004370600003</v>
      </c>
      <c r="G3375" s="20" t="str">
        <f t="shared" si="156"/>
        <v xml:space="preserve"> CANBASECO       </v>
      </c>
      <c r="H3375" s="20" t="str">
        <f t="shared" si="157"/>
        <v xml:space="preserve">REGR </v>
      </c>
      <c r="I3375" s="20">
        <f t="shared" si="158"/>
        <v>0</v>
      </c>
    </row>
    <row r="3376" spans="1:9">
      <c r="A3376" s="17" t="s">
        <v>1459</v>
      </c>
      <c r="B3376" s="17" t="s">
        <v>1470</v>
      </c>
      <c r="C3376" s="17">
        <v>0</v>
      </c>
      <c r="D3376" s="17" t="s">
        <v>801</v>
      </c>
      <c r="E3376" s="18">
        <v>8058983598801</v>
      </c>
      <c r="G3376" s="20" t="str">
        <f t="shared" si="156"/>
        <v xml:space="preserve"> CANBASECO       </v>
      </c>
      <c r="H3376" s="20" t="str">
        <f t="shared" si="157"/>
        <v>RETES</v>
      </c>
      <c r="I3376" s="20">
        <f t="shared" si="158"/>
        <v>0</v>
      </c>
    </row>
    <row r="3377" spans="1:9">
      <c r="A3377" s="17" t="s">
        <v>1459</v>
      </c>
      <c r="B3377" s="17" t="s">
        <v>1470</v>
      </c>
      <c r="C3377" s="17">
        <v>0</v>
      </c>
      <c r="D3377" s="17" t="s">
        <v>801</v>
      </c>
      <c r="E3377" s="18">
        <v>3004370602007</v>
      </c>
      <c r="G3377" s="20" t="str">
        <f t="shared" si="156"/>
        <v xml:space="preserve"> CANBASECO       </v>
      </c>
      <c r="H3377" s="20" t="str">
        <f t="shared" si="157"/>
        <v>RETES</v>
      </c>
      <c r="I3377" s="20">
        <f t="shared" si="158"/>
        <v>0</v>
      </c>
    </row>
    <row r="3378" spans="1:9">
      <c r="A3378" s="17" t="s">
        <v>1459</v>
      </c>
      <c r="B3378" s="17" t="s">
        <v>1267</v>
      </c>
      <c r="C3378" s="17">
        <v>0</v>
      </c>
      <c r="D3378" s="17" t="s">
        <v>801</v>
      </c>
      <c r="E3378" s="18">
        <v>8058983598818</v>
      </c>
      <c r="G3378" s="20" t="str">
        <f t="shared" si="156"/>
        <v xml:space="preserve"> CANBASECO       </v>
      </c>
      <c r="H3378" s="20" t="str">
        <f t="shared" si="157"/>
        <v>REVIO</v>
      </c>
      <c r="I3378" s="20">
        <f t="shared" si="158"/>
        <v>0</v>
      </c>
    </row>
    <row r="3379" spans="1:9">
      <c r="A3379" s="17" t="s">
        <v>1471</v>
      </c>
      <c r="B3379" s="17" t="s">
        <v>1145</v>
      </c>
      <c r="C3379" s="17">
        <v>0</v>
      </c>
      <c r="D3379" s="17" t="s">
        <v>801</v>
      </c>
      <c r="E3379" s="18">
        <v>3004360542009</v>
      </c>
      <c r="G3379" s="20" t="str">
        <f t="shared" si="156"/>
        <v xml:space="preserve"> CANBASFOU       </v>
      </c>
      <c r="H3379" s="20" t="str">
        <f t="shared" si="157"/>
        <v>BEIGE</v>
      </c>
      <c r="I3379" s="20">
        <f t="shared" si="158"/>
        <v>0</v>
      </c>
    </row>
    <row r="3380" spans="1:9">
      <c r="A3380" s="17" t="s">
        <v>1471</v>
      </c>
      <c r="B3380" s="17" t="s">
        <v>280</v>
      </c>
      <c r="C3380" s="17">
        <v>0</v>
      </c>
      <c r="D3380" s="17" t="s">
        <v>801</v>
      </c>
      <c r="E3380" s="18">
        <v>3004360004002</v>
      </c>
      <c r="G3380" s="20" t="str">
        <f t="shared" si="156"/>
        <v xml:space="preserve"> CANBASFOU       </v>
      </c>
      <c r="H3380" s="20" t="str">
        <f t="shared" si="157"/>
        <v>BLACK</v>
      </c>
      <c r="I3380" s="20">
        <f t="shared" si="158"/>
        <v>0</v>
      </c>
    </row>
    <row r="3381" spans="1:9">
      <c r="A3381" s="17" t="s">
        <v>1471</v>
      </c>
      <c r="B3381" s="17" t="s">
        <v>1472</v>
      </c>
      <c r="C3381" s="17">
        <v>0</v>
      </c>
      <c r="D3381" s="17" t="s">
        <v>801</v>
      </c>
      <c r="E3381" s="18">
        <v>3004360555009</v>
      </c>
      <c r="G3381" s="20" t="str">
        <f t="shared" si="156"/>
        <v xml:space="preserve"> CANBASFOU       </v>
      </c>
      <c r="H3381" s="20" t="str">
        <f t="shared" si="157"/>
        <v>CAMOU</v>
      </c>
      <c r="I3381" s="20">
        <f t="shared" si="158"/>
        <v>0</v>
      </c>
    </row>
    <row r="3382" spans="1:9">
      <c r="A3382" s="17" t="s">
        <v>1471</v>
      </c>
      <c r="B3382" s="17" t="s">
        <v>1473</v>
      </c>
      <c r="C3382" s="17">
        <v>0</v>
      </c>
      <c r="D3382" s="17" t="s">
        <v>801</v>
      </c>
      <c r="E3382" s="18">
        <v>3004360261009</v>
      </c>
      <c r="G3382" s="20" t="str">
        <f t="shared" si="156"/>
        <v xml:space="preserve"> CANBASFOU       </v>
      </c>
      <c r="H3382" s="20" t="str">
        <f t="shared" si="157"/>
        <v xml:space="preserve">PDP  </v>
      </c>
      <c r="I3382" s="20">
        <f t="shared" si="158"/>
        <v>0</v>
      </c>
    </row>
    <row r="3383" spans="1:9">
      <c r="A3383" s="17" t="s">
        <v>1474</v>
      </c>
      <c r="B3383" s="17" t="s">
        <v>1475</v>
      </c>
      <c r="C3383" s="17">
        <v>0</v>
      </c>
      <c r="D3383" s="17" t="s">
        <v>801</v>
      </c>
      <c r="E3383" s="18">
        <v>8056099171338</v>
      </c>
      <c r="G3383" s="20" t="str">
        <f t="shared" si="156"/>
        <v xml:space="preserve"> CANOBASKET      </v>
      </c>
      <c r="H3383" s="20" t="str">
        <f t="shared" si="157"/>
        <v>AJNAT</v>
      </c>
      <c r="I3383" s="20">
        <f t="shared" si="158"/>
        <v>0</v>
      </c>
    </row>
    <row r="3384" spans="1:9">
      <c r="A3384" s="17" t="s">
        <v>1474</v>
      </c>
      <c r="B3384" s="17" t="s">
        <v>1475</v>
      </c>
      <c r="C3384" s="17">
        <v>0</v>
      </c>
      <c r="D3384" s="17" t="s">
        <v>801</v>
      </c>
      <c r="E3384" s="18">
        <v>3002451295001</v>
      </c>
      <c r="G3384" s="20" t="str">
        <f t="shared" si="156"/>
        <v xml:space="preserve"> CANOBASKET      </v>
      </c>
      <c r="H3384" s="20" t="str">
        <f t="shared" si="157"/>
        <v>AJNAT</v>
      </c>
      <c r="I3384" s="20">
        <f t="shared" si="158"/>
        <v>0</v>
      </c>
    </row>
    <row r="3385" spans="1:9">
      <c r="A3385" s="17" t="s">
        <v>1474</v>
      </c>
      <c r="B3385" s="17" t="s">
        <v>1476</v>
      </c>
      <c r="C3385" s="17">
        <v>0</v>
      </c>
      <c r="D3385" s="17" t="s">
        <v>801</v>
      </c>
      <c r="E3385" s="18">
        <v>3002451293007</v>
      </c>
      <c r="G3385" s="20" t="str">
        <f t="shared" si="156"/>
        <v xml:space="preserve"> CANOBASKET      </v>
      </c>
      <c r="H3385" s="20" t="str">
        <f t="shared" si="157"/>
        <v>AJWHI</v>
      </c>
      <c r="I3385" s="20">
        <f t="shared" si="158"/>
        <v>0</v>
      </c>
    </row>
    <row r="3386" spans="1:9">
      <c r="A3386" s="17" t="s">
        <v>1474</v>
      </c>
      <c r="B3386" s="17" t="s">
        <v>1476</v>
      </c>
      <c r="C3386" s="17">
        <v>0</v>
      </c>
      <c r="D3386" s="17" t="s">
        <v>801</v>
      </c>
      <c r="E3386" s="18">
        <v>8056099171321</v>
      </c>
      <c r="G3386" s="20" t="str">
        <f t="shared" si="156"/>
        <v xml:space="preserve"> CANOBASKET      </v>
      </c>
      <c r="H3386" s="20" t="str">
        <f t="shared" si="157"/>
        <v>AJWHI</v>
      </c>
      <c r="I3386" s="20">
        <f t="shared" si="158"/>
        <v>0</v>
      </c>
    </row>
    <row r="3387" spans="1:9">
      <c r="A3387" s="17" t="s">
        <v>1474</v>
      </c>
      <c r="B3387" s="17" t="s">
        <v>280</v>
      </c>
      <c r="C3387" s="17">
        <v>0</v>
      </c>
      <c r="D3387" s="17" t="s">
        <v>801</v>
      </c>
      <c r="E3387" s="18">
        <v>3004310004007</v>
      </c>
      <c r="G3387" s="20" t="str">
        <f t="shared" si="156"/>
        <v xml:space="preserve"> CANOBASKET      </v>
      </c>
      <c r="H3387" s="20" t="str">
        <f t="shared" si="157"/>
        <v>BLACK</v>
      </c>
      <c r="I3387" s="20">
        <f t="shared" si="158"/>
        <v>0</v>
      </c>
    </row>
    <row r="3388" spans="1:9">
      <c r="A3388" s="17" t="s">
        <v>1474</v>
      </c>
      <c r="B3388" s="17" t="s">
        <v>280</v>
      </c>
      <c r="C3388" s="17">
        <v>0</v>
      </c>
      <c r="D3388" s="17" t="s">
        <v>801</v>
      </c>
      <c r="E3388" s="18">
        <v>8050450218786</v>
      </c>
      <c r="G3388" s="20" t="str">
        <f t="shared" si="156"/>
        <v xml:space="preserve"> CANOBASKET      </v>
      </c>
      <c r="H3388" s="20" t="str">
        <f t="shared" si="157"/>
        <v>BLACK</v>
      </c>
      <c r="I3388" s="20">
        <f t="shared" si="158"/>
        <v>0</v>
      </c>
    </row>
    <row r="3389" spans="1:9">
      <c r="A3389" s="17" t="s">
        <v>1474</v>
      </c>
      <c r="B3389" s="17" t="s">
        <v>1330</v>
      </c>
      <c r="C3389" s="17">
        <v>0</v>
      </c>
      <c r="D3389" s="17" t="s">
        <v>801</v>
      </c>
      <c r="E3389" s="18">
        <v>8058983598719</v>
      </c>
      <c r="G3389" s="20" t="str">
        <f t="shared" si="156"/>
        <v xml:space="preserve"> CANOBASKET      </v>
      </c>
      <c r="H3389" s="20" t="str">
        <f t="shared" si="157"/>
        <v>BOUJA</v>
      </c>
      <c r="I3389" s="20">
        <f t="shared" si="158"/>
        <v>0</v>
      </c>
    </row>
    <row r="3390" spans="1:9">
      <c r="A3390" s="17" t="s">
        <v>1474</v>
      </c>
      <c r="B3390" s="17" t="s">
        <v>1330</v>
      </c>
      <c r="C3390" s="17">
        <v>0</v>
      </c>
      <c r="D3390" s="17" t="s">
        <v>801</v>
      </c>
      <c r="E3390" s="18">
        <v>3004310584004</v>
      </c>
      <c r="G3390" s="20" t="str">
        <f t="shared" si="156"/>
        <v xml:space="preserve"> CANOBASKET      </v>
      </c>
      <c r="H3390" s="20" t="str">
        <f t="shared" si="157"/>
        <v>BOUJA</v>
      </c>
      <c r="I3390" s="20">
        <f t="shared" si="158"/>
        <v>0</v>
      </c>
    </row>
    <row r="3391" spans="1:9">
      <c r="A3391" s="17" t="s">
        <v>1474</v>
      </c>
      <c r="B3391" s="17" t="s">
        <v>1477</v>
      </c>
      <c r="C3391" s="17">
        <v>0</v>
      </c>
      <c r="D3391" s="17" t="s">
        <v>801</v>
      </c>
      <c r="E3391" s="18">
        <v>8058983598726</v>
      </c>
      <c r="G3391" s="20" t="str">
        <f t="shared" si="156"/>
        <v xml:space="preserve"> CANOBASKET      </v>
      </c>
      <c r="H3391" s="20" t="str">
        <f t="shared" si="157"/>
        <v>BOUNO</v>
      </c>
      <c r="I3391" s="20">
        <f t="shared" si="158"/>
        <v>0</v>
      </c>
    </row>
    <row r="3392" spans="1:9">
      <c r="A3392" s="17" t="s">
        <v>1474</v>
      </c>
      <c r="B3392" s="17" t="s">
        <v>1477</v>
      </c>
      <c r="C3392" s="17">
        <v>0</v>
      </c>
      <c r="D3392" s="17" t="s">
        <v>801</v>
      </c>
      <c r="E3392" s="18">
        <v>3004310612004</v>
      </c>
      <c r="G3392" s="20" t="str">
        <f t="shared" si="156"/>
        <v xml:space="preserve"> CANOBASKET      </v>
      </c>
      <c r="H3392" s="20" t="str">
        <f t="shared" si="157"/>
        <v>BOUNO</v>
      </c>
      <c r="I3392" s="20">
        <f t="shared" si="158"/>
        <v>0</v>
      </c>
    </row>
    <row r="3393" spans="1:9">
      <c r="A3393" s="17" t="s">
        <v>1474</v>
      </c>
      <c r="B3393" s="17" t="s">
        <v>1331</v>
      </c>
      <c r="C3393" s="17">
        <v>0</v>
      </c>
      <c r="D3393" s="17" t="s">
        <v>801</v>
      </c>
      <c r="E3393" s="18">
        <v>8058983598702</v>
      </c>
      <c r="G3393" s="20" t="str">
        <f t="shared" si="156"/>
        <v xml:space="preserve"> CANOBASKET      </v>
      </c>
      <c r="H3393" s="20" t="str">
        <f t="shared" si="157"/>
        <v>BOUOR</v>
      </c>
      <c r="I3393" s="20">
        <f t="shared" si="158"/>
        <v>0</v>
      </c>
    </row>
    <row r="3394" spans="1:9">
      <c r="A3394" s="17" t="s">
        <v>1474</v>
      </c>
      <c r="B3394" s="17" t="s">
        <v>1331</v>
      </c>
      <c r="C3394" s="17">
        <v>0</v>
      </c>
      <c r="D3394" s="17" t="s">
        <v>801</v>
      </c>
      <c r="E3394" s="18">
        <v>3004310542004</v>
      </c>
      <c r="G3394" s="20" t="str">
        <f t="shared" si="156"/>
        <v xml:space="preserve"> CANOBASKET      </v>
      </c>
      <c r="H3394" s="20" t="str">
        <f t="shared" si="157"/>
        <v>BOUOR</v>
      </c>
      <c r="I3394" s="20">
        <f t="shared" si="158"/>
        <v>0</v>
      </c>
    </row>
    <row r="3395" spans="1:9">
      <c r="A3395" s="17" t="s">
        <v>1474</v>
      </c>
      <c r="B3395" s="17" t="s">
        <v>1335</v>
      </c>
      <c r="C3395" s="17">
        <v>0</v>
      </c>
      <c r="D3395" s="17" t="s">
        <v>801</v>
      </c>
      <c r="E3395" s="18">
        <v>3002450759009</v>
      </c>
      <c r="G3395" s="20" t="str">
        <f t="shared" si="156"/>
        <v xml:space="preserve"> CANOBASKET      </v>
      </c>
      <c r="H3395" s="20" t="str">
        <f t="shared" si="157"/>
        <v>CAMET</v>
      </c>
      <c r="I3395" s="20">
        <f t="shared" si="158"/>
        <v>0</v>
      </c>
    </row>
    <row r="3396" spans="1:9">
      <c r="A3396" s="17" t="s">
        <v>1474</v>
      </c>
      <c r="B3396" s="17" t="s">
        <v>1341</v>
      </c>
      <c r="C3396" s="17">
        <v>0</v>
      </c>
      <c r="D3396" s="17" t="s">
        <v>801</v>
      </c>
      <c r="E3396" s="18">
        <v>3004310671001</v>
      </c>
      <c r="G3396" s="20" t="str">
        <f t="shared" si="156"/>
        <v xml:space="preserve"> CANOBASKET      </v>
      </c>
      <c r="H3396" s="20" t="str">
        <f t="shared" si="157"/>
        <v>CHABI</v>
      </c>
      <c r="I3396" s="20">
        <f t="shared" si="158"/>
        <v>0</v>
      </c>
    </row>
    <row r="3397" spans="1:9">
      <c r="A3397" s="17" t="s">
        <v>1474</v>
      </c>
      <c r="B3397" s="17" t="s">
        <v>1292</v>
      </c>
      <c r="C3397" s="17">
        <v>0</v>
      </c>
      <c r="D3397" s="17" t="s">
        <v>801</v>
      </c>
      <c r="E3397" s="18">
        <v>3002451012004</v>
      </c>
      <c r="G3397" s="20" t="str">
        <f t="shared" ref="G3397:G3460" si="159">A3397</f>
        <v xml:space="preserve"> CANOBASKET      </v>
      </c>
      <c r="H3397" s="20" t="str">
        <f t="shared" ref="H3397:H3460" si="160">B3397</f>
        <v>CHABW</v>
      </c>
      <c r="I3397" s="20">
        <f t="shared" ref="I3397:I3460" si="161">C3397</f>
        <v>0</v>
      </c>
    </row>
    <row r="3398" spans="1:9">
      <c r="A3398" s="17" t="s">
        <v>1474</v>
      </c>
      <c r="B3398" s="17" t="s">
        <v>1292</v>
      </c>
      <c r="C3398" s="17">
        <v>0</v>
      </c>
      <c r="D3398" s="17" t="s">
        <v>801</v>
      </c>
      <c r="E3398" s="18">
        <v>8056300454052</v>
      </c>
      <c r="G3398" s="20" t="str">
        <f t="shared" si="159"/>
        <v xml:space="preserve"> CANOBASKET      </v>
      </c>
      <c r="H3398" s="20" t="str">
        <f t="shared" si="160"/>
        <v>CHABW</v>
      </c>
      <c r="I3398" s="20">
        <f t="shared" si="161"/>
        <v>0</v>
      </c>
    </row>
    <row r="3399" spans="1:9">
      <c r="A3399" s="17" t="s">
        <v>1474</v>
      </c>
      <c r="B3399" s="17" t="s">
        <v>938</v>
      </c>
      <c r="C3399" s="17">
        <v>0</v>
      </c>
      <c r="D3399" s="17" t="s">
        <v>801</v>
      </c>
      <c r="E3399" s="18">
        <v>3002451002005</v>
      </c>
      <c r="G3399" s="20" t="str">
        <f t="shared" si="159"/>
        <v xml:space="preserve"> CANOBASKET      </v>
      </c>
      <c r="H3399" s="20" t="str">
        <f t="shared" si="160"/>
        <v>CHADM</v>
      </c>
      <c r="I3399" s="20">
        <f t="shared" si="161"/>
        <v>0</v>
      </c>
    </row>
    <row r="3400" spans="1:9">
      <c r="A3400" s="17" t="s">
        <v>1474</v>
      </c>
      <c r="B3400" s="17" t="s">
        <v>939</v>
      </c>
      <c r="C3400" s="17">
        <v>0</v>
      </c>
      <c r="D3400" s="17" t="s">
        <v>801</v>
      </c>
      <c r="E3400" s="18">
        <v>3004310669008</v>
      </c>
      <c r="G3400" s="20" t="str">
        <f t="shared" si="159"/>
        <v xml:space="preserve"> CANOBASKET      </v>
      </c>
      <c r="H3400" s="20" t="str">
        <f t="shared" si="160"/>
        <v>CHAMU</v>
      </c>
      <c r="I3400" s="20">
        <f t="shared" si="161"/>
        <v>0</v>
      </c>
    </row>
    <row r="3401" spans="1:9">
      <c r="A3401" s="17" t="s">
        <v>1474</v>
      </c>
      <c r="B3401" s="17" t="s">
        <v>1061</v>
      </c>
      <c r="C3401" s="17">
        <v>0</v>
      </c>
      <c r="D3401" s="17" t="s">
        <v>801</v>
      </c>
      <c r="E3401" s="18">
        <v>3002450460004</v>
      </c>
      <c r="G3401" s="20" t="str">
        <f t="shared" si="159"/>
        <v xml:space="preserve"> CANOBASKET      </v>
      </c>
      <c r="H3401" s="20" t="str">
        <f t="shared" si="160"/>
        <v xml:space="preserve">E    </v>
      </c>
      <c r="I3401" s="20">
        <f t="shared" si="161"/>
        <v>0</v>
      </c>
    </row>
    <row r="3402" spans="1:9">
      <c r="A3402" s="17" t="s">
        <v>1474</v>
      </c>
      <c r="B3402" s="17" t="s">
        <v>1478</v>
      </c>
      <c r="C3402" s="17">
        <v>0</v>
      </c>
      <c r="D3402" s="17" t="s">
        <v>801</v>
      </c>
      <c r="E3402" s="18">
        <v>3004310213003</v>
      </c>
      <c r="G3402" s="20" t="str">
        <f t="shared" si="159"/>
        <v xml:space="preserve"> CANOBASKET      </v>
      </c>
      <c r="H3402" s="20" t="str">
        <f t="shared" si="160"/>
        <v xml:space="preserve">FAN  </v>
      </c>
      <c r="I3402" s="20">
        <f t="shared" si="161"/>
        <v>0</v>
      </c>
    </row>
    <row r="3403" spans="1:9">
      <c r="A3403" s="17" t="s">
        <v>1474</v>
      </c>
      <c r="B3403" s="17" t="s">
        <v>1479</v>
      </c>
      <c r="C3403" s="17">
        <v>0</v>
      </c>
      <c r="D3403" s="17" t="s">
        <v>801</v>
      </c>
      <c r="E3403" s="18">
        <v>3002450717009</v>
      </c>
      <c r="G3403" s="20" t="str">
        <f t="shared" si="159"/>
        <v xml:space="preserve"> CANOBASKET      </v>
      </c>
      <c r="H3403" s="20" t="str">
        <f t="shared" si="160"/>
        <v>FEUIL</v>
      </c>
      <c r="I3403" s="20">
        <f t="shared" si="161"/>
        <v>0</v>
      </c>
    </row>
    <row r="3404" spans="1:9">
      <c r="A3404" s="17" t="s">
        <v>1474</v>
      </c>
      <c r="B3404" s="17" t="s">
        <v>833</v>
      </c>
      <c r="C3404" s="17">
        <v>0</v>
      </c>
      <c r="D3404" s="17" t="s">
        <v>801</v>
      </c>
      <c r="E3404" s="18">
        <v>3002450700001</v>
      </c>
      <c r="G3404" s="20" t="str">
        <f t="shared" si="159"/>
        <v xml:space="preserve"> CANOBASKET      </v>
      </c>
      <c r="H3404" s="20" t="str">
        <f t="shared" si="160"/>
        <v>FLACQ</v>
      </c>
      <c r="I3404" s="20">
        <f t="shared" si="161"/>
        <v>0</v>
      </c>
    </row>
    <row r="3405" spans="1:9">
      <c r="A3405" s="17" t="s">
        <v>1474</v>
      </c>
      <c r="B3405" s="17" t="s">
        <v>1154</v>
      </c>
      <c r="C3405" s="17">
        <v>0</v>
      </c>
      <c r="D3405" s="17" t="s">
        <v>801</v>
      </c>
      <c r="E3405" s="18">
        <v>3004310200003</v>
      </c>
      <c r="G3405" s="20" t="str">
        <f t="shared" si="159"/>
        <v xml:space="preserve"> CANOBASKET      </v>
      </c>
      <c r="H3405" s="20" t="str">
        <f t="shared" si="160"/>
        <v xml:space="preserve">FLBL </v>
      </c>
      <c r="I3405" s="20">
        <f t="shared" si="161"/>
        <v>0</v>
      </c>
    </row>
    <row r="3406" spans="1:9">
      <c r="A3406" s="17" t="s">
        <v>1474</v>
      </c>
      <c r="B3406" s="17" t="s">
        <v>1154</v>
      </c>
      <c r="C3406" s="17">
        <v>0</v>
      </c>
      <c r="D3406" s="17" t="s">
        <v>801</v>
      </c>
      <c r="E3406" s="18">
        <v>3004310000009</v>
      </c>
      <c r="G3406" s="20" t="str">
        <f t="shared" si="159"/>
        <v xml:space="preserve"> CANOBASKET      </v>
      </c>
      <c r="H3406" s="20" t="str">
        <f t="shared" si="160"/>
        <v xml:space="preserve">FLBL </v>
      </c>
      <c r="I3406" s="20">
        <f t="shared" si="161"/>
        <v>0</v>
      </c>
    </row>
    <row r="3407" spans="1:9">
      <c r="A3407" s="17" t="s">
        <v>1474</v>
      </c>
      <c r="B3407" s="17" t="s">
        <v>1089</v>
      </c>
      <c r="C3407" s="17">
        <v>0</v>
      </c>
      <c r="D3407" s="17" t="s">
        <v>801</v>
      </c>
      <c r="E3407" s="18">
        <v>3002450461001</v>
      </c>
      <c r="G3407" s="20" t="str">
        <f t="shared" si="159"/>
        <v xml:space="preserve"> CANOBASKET      </v>
      </c>
      <c r="H3407" s="20" t="str">
        <f t="shared" si="160"/>
        <v xml:space="preserve">FLGR </v>
      </c>
      <c r="I3407" s="20">
        <f t="shared" si="161"/>
        <v>0</v>
      </c>
    </row>
    <row r="3408" spans="1:9">
      <c r="A3408" s="17" t="s">
        <v>1474</v>
      </c>
      <c r="B3408" s="17" t="s">
        <v>1089</v>
      </c>
      <c r="C3408" s="17">
        <v>0</v>
      </c>
      <c r="D3408" s="17" t="s">
        <v>801</v>
      </c>
      <c r="E3408" s="18">
        <v>3004310203004</v>
      </c>
      <c r="G3408" s="20" t="str">
        <f t="shared" si="159"/>
        <v xml:space="preserve"> CANOBASKET      </v>
      </c>
      <c r="H3408" s="20" t="str">
        <f t="shared" si="160"/>
        <v xml:space="preserve">FLGR </v>
      </c>
      <c r="I3408" s="20">
        <f t="shared" si="161"/>
        <v>0</v>
      </c>
    </row>
    <row r="3409" spans="1:9">
      <c r="A3409" s="17" t="s">
        <v>1474</v>
      </c>
      <c r="B3409" s="17" t="s">
        <v>1356</v>
      </c>
      <c r="C3409" s="17">
        <v>0</v>
      </c>
      <c r="D3409" s="17" t="s">
        <v>801</v>
      </c>
      <c r="E3409" s="18">
        <v>3002450761002</v>
      </c>
      <c r="G3409" s="20" t="str">
        <f t="shared" si="159"/>
        <v xml:space="preserve"> CANOBASKET      </v>
      </c>
      <c r="H3409" s="20" t="str">
        <f t="shared" si="160"/>
        <v>FLOWE</v>
      </c>
      <c r="I3409" s="20">
        <f t="shared" si="161"/>
        <v>0</v>
      </c>
    </row>
    <row r="3410" spans="1:9">
      <c r="A3410" s="17" t="s">
        <v>1474</v>
      </c>
      <c r="B3410" s="17" t="s">
        <v>1155</v>
      </c>
      <c r="C3410" s="17">
        <v>0</v>
      </c>
      <c r="D3410" s="17" t="s">
        <v>801</v>
      </c>
      <c r="E3410" s="18">
        <v>3002450331007</v>
      </c>
      <c r="G3410" s="20" t="str">
        <f t="shared" si="159"/>
        <v xml:space="preserve"> CANOBASKET      </v>
      </c>
      <c r="H3410" s="20" t="str">
        <f t="shared" si="160"/>
        <v>FLROS</v>
      </c>
      <c r="I3410" s="20">
        <f t="shared" si="161"/>
        <v>0</v>
      </c>
    </row>
    <row r="3411" spans="1:9">
      <c r="A3411" s="17" t="s">
        <v>1474</v>
      </c>
      <c r="B3411" s="17" t="s">
        <v>1155</v>
      </c>
      <c r="C3411" s="17">
        <v>0</v>
      </c>
      <c r="D3411" s="17" t="s">
        <v>801</v>
      </c>
      <c r="E3411" s="18">
        <v>3004310129007</v>
      </c>
      <c r="G3411" s="20" t="str">
        <f t="shared" si="159"/>
        <v xml:space="preserve"> CANOBASKET      </v>
      </c>
      <c r="H3411" s="20" t="str">
        <f t="shared" si="160"/>
        <v>FLROS</v>
      </c>
      <c r="I3411" s="20">
        <f t="shared" si="161"/>
        <v>0</v>
      </c>
    </row>
    <row r="3412" spans="1:9">
      <c r="A3412" s="17" t="s">
        <v>1474</v>
      </c>
      <c r="B3412" s="17" t="s">
        <v>1277</v>
      </c>
      <c r="C3412" s="17">
        <v>0</v>
      </c>
      <c r="D3412" s="17" t="s">
        <v>801</v>
      </c>
      <c r="E3412" s="18">
        <v>3002450718006</v>
      </c>
      <c r="G3412" s="20" t="str">
        <f t="shared" si="159"/>
        <v xml:space="preserve"> CANOBASKET      </v>
      </c>
      <c r="H3412" s="20" t="str">
        <f t="shared" si="160"/>
        <v>FOULA</v>
      </c>
      <c r="I3412" s="20">
        <f t="shared" si="161"/>
        <v>0</v>
      </c>
    </row>
    <row r="3413" spans="1:9">
      <c r="A3413" s="17" t="s">
        <v>1474</v>
      </c>
      <c r="B3413" s="17" t="s">
        <v>1277</v>
      </c>
      <c r="C3413" s="17">
        <v>0</v>
      </c>
      <c r="D3413" s="17" t="s">
        <v>801</v>
      </c>
      <c r="E3413" s="18">
        <v>8056095065334</v>
      </c>
      <c r="G3413" s="20" t="str">
        <f t="shared" si="159"/>
        <v xml:space="preserve"> CANOBASKET      </v>
      </c>
      <c r="H3413" s="20" t="str">
        <f t="shared" si="160"/>
        <v>FOULA</v>
      </c>
      <c r="I3413" s="20">
        <f t="shared" si="161"/>
        <v>0</v>
      </c>
    </row>
    <row r="3414" spans="1:9">
      <c r="A3414" s="17" t="s">
        <v>1474</v>
      </c>
      <c r="B3414" s="17" t="s">
        <v>1480</v>
      </c>
      <c r="C3414" s="17">
        <v>0</v>
      </c>
      <c r="D3414" s="17" t="s">
        <v>801</v>
      </c>
      <c r="E3414" s="18">
        <v>3002450885005</v>
      </c>
      <c r="G3414" s="20" t="str">
        <f t="shared" si="159"/>
        <v xml:space="preserve"> CANOBASKET      </v>
      </c>
      <c r="H3414" s="20" t="str">
        <f t="shared" si="160"/>
        <v>GRIBL</v>
      </c>
      <c r="I3414" s="20">
        <f t="shared" si="161"/>
        <v>0</v>
      </c>
    </row>
    <row r="3415" spans="1:9">
      <c r="A3415" s="17" t="s">
        <v>1474</v>
      </c>
      <c r="B3415" s="17" t="s">
        <v>1480</v>
      </c>
      <c r="C3415" s="17">
        <v>0</v>
      </c>
      <c r="D3415" s="17" t="s">
        <v>801</v>
      </c>
      <c r="E3415" s="18">
        <v>8058983598696</v>
      </c>
      <c r="G3415" s="20" t="str">
        <f t="shared" si="159"/>
        <v xml:space="preserve"> CANOBASKET      </v>
      </c>
      <c r="H3415" s="20" t="str">
        <f t="shared" si="160"/>
        <v>GRIBL</v>
      </c>
      <c r="I3415" s="20">
        <f t="shared" si="161"/>
        <v>0</v>
      </c>
    </row>
    <row r="3416" spans="1:9">
      <c r="A3416" s="17" t="s">
        <v>1474</v>
      </c>
      <c r="B3416" s="17" t="s">
        <v>1481</v>
      </c>
      <c r="C3416" s="17">
        <v>0</v>
      </c>
      <c r="D3416" s="17" t="s">
        <v>801</v>
      </c>
      <c r="E3416" s="18">
        <v>3004310524000</v>
      </c>
      <c r="G3416" s="20" t="str">
        <f t="shared" si="159"/>
        <v xml:space="preserve"> CANOBASKET      </v>
      </c>
      <c r="H3416" s="20" t="str">
        <f t="shared" si="160"/>
        <v xml:space="preserve">INDO </v>
      </c>
      <c r="I3416" s="20">
        <f t="shared" si="161"/>
        <v>0</v>
      </c>
    </row>
    <row r="3417" spans="1:9">
      <c r="A3417" s="17" t="s">
        <v>1474</v>
      </c>
      <c r="B3417" s="17" t="s">
        <v>1370</v>
      </c>
      <c r="C3417" s="17">
        <v>0</v>
      </c>
      <c r="D3417" s="17" t="s">
        <v>801</v>
      </c>
      <c r="E3417" s="18">
        <v>3002450780003</v>
      </c>
      <c r="G3417" s="20" t="str">
        <f t="shared" si="159"/>
        <v xml:space="preserve"> CANOBASKET      </v>
      </c>
      <c r="H3417" s="20" t="str">
        <f t="shared" si="160"/>
        <v>LINAZ</v>
      </c>
      <c r="I3417" s="20">
        <f t="shared" si="161"/>
        <v>0</v>
      </c>
    </row>
    <row r="3418" spans="1:9">
      <c r="A3418" s="17" t="s">
        <v>1474</v>
      </c>
      <c r="B3418" s="17" t="s">
        <v>1373</v>
      </c>
      <c r="C3418" s="17">
        <v>0</v>
      </c>
      <c r="D3418" s="17" t="s">
        <v>801</v>
      </c>
      <c r="E3418" s="18">
        <v>3002450782007</v>
      </c>
      <c r="G3418" s="20" t="str">
        <f t="shared" si="159"/>
        <v xml:space="preserve"> CANOBASKET      </v>
      </c>
      <c r="H3418" s="20" t="str">
        <f t="shared" si="160"/>
        <v>LINPO</v>
      </c>
      <c r="I3418" s="20">
        <f t="shared" si="161"/>
        <v>0</v>
      </c>
    </row>
    <row r="3419" spans="1:9">
      <c r="A3419" s="17" t="s">
        <v>1474</v>
      </c>
      <c r="B3419" s="17" t="s">
        <v>1482</v>
      </c>
      <c r="C3419" s="17">
        <v>0</v>
      </c>
      <c r="D3419" s="17" t="s">
        <v>801</v>
      </c>
      <c r="E3419" s="18">
        <v>3002451194007</v>
      </c>
      <c r="G3419" s="20" t="str">
        <f t="shared" si="159"/>
        <v xml:space="preserve"> CANOBASKET      </v>
      </c>
      <c r="H3419" s="20" t="str">
        <f t="shared" si="160"/>
        <v>LINPR</v>
      </c>
      <c r="I3419" s="20">
        <f t="shared" si="161"/>
        <v>0</v>
      </c>
    </row>
    <row r="3420" spans="1:9">
      <c r="A3420" s="17" t="s">
        <v>1474</v>
      </c>
      <c r="B3420" s="17" t="s">
        <v>1482</v>
      </c>
      <c r="C3420" s="17">
        <v>0</v>
      </c>
      <c r="D3420" s="17" t="s">
        <v>801</v>
      </c>
      <c r="E3420" s="18">
        <v>8056095064887</v>
      </c>
      <c r="G3420" s="20" t="str">
        <f t="shared" si="159"/>
        <v xml:space="preserve"> CANOBASKET      </v>
      </c>
      <c r="H3420" s="20" t="str">
        <f t="shared" si="160"/>
        <v>LINPR</v>
      </c>
      <c r="I3420" s="20">
        <f t="shared" si="161"/>
        <v>0</v>
      </c>
    </row>
    <row r="3421" spans="1:9">
      <c r="A3421" s="17" t="s">
        <v>1474</v>
      </c>
      <c r="B3421" s="17" t="s">
        <v>1483</v>
      </c>
      <c r="C3421" s="17">
        <v>0</v>
      </c>
      <c r="D3421" s="17" t="s">
        <v>801</v>
      </c>
      <c r="E3421" s="18">
        <v>3002451123007</v>
      </c>
      <c r="G3421" s="20" t="str">
        <f t="shared" si="159"/>
        <v xml:space="preserve"> CANOBASKET      </v>
      </c>
      <c r="H3421" s="20" t="str">
        <f t="shared" si="160"/>
        <v>LINTO</v>
      </c>
      <c r="I3421" s="20">
        <f t="shared" si="161"/>
        <v>0</v>
      </c>
    </row>
    <row r="3422" spans="1:9">
      <c r="A3422" s="17" t="s">
        <v>1474</v>
      </c>
      <c r="B3422" s="17" t="s">
        <v>1483</v>
      </c>
      <c r="C3422" s="17">
        <v>0</v>
      </c>
      <c r="D3422" s="17" t="s">
        <v>801</v>
      </c>
      <c r="E3422" s="18">
        <v>8056095064870</v>
      </c>
      <c r="G3422" s="20" t="str">
        <f t="shared" si="159"/>
        <v xml:space="preserve"> CANOBASKET      </v>
      </c>
      <c r="H3422" s="20" t="str">
        <f t="shared" si="160"/>
        <v>LINTO</v>
      </c>
      <c r="I3422" s="20">
        <f t="shared" si="161"/>
        <v>0</v>
      </c>
    </row>
    <row r="3423" spans="1:9">
      <c r="A3423" s="17" t="s">
        <v>1474</v>
      </c>
      <c r="B3423" s="17" t="s">
        <v>1374</v>
      </c>
      <c r="C3423" s="17">
        <v>0</v>
      </c>
      <c r="D3423" s="17" t="s">
        <v>801</v>
      </c>
      <c r="E3423" s="18">
        <v>3002450781000</v>
      </c>
      <c r="G3423" s="20" t="str">
        <f t="shared" si="159"/>
        <v xml:space="preserve"> CANOBASKET      </v>
      </c>
      <c r="H3423" s="20" t="str">
        <f t="shared" si="160"/>
        <v>LINYE</v>
      </c>
      <c r="I3423" s="20">
        <f t="shared" si="161"/>
        <v>0</v>
      </c>
    </row>
    <row r="3424" spans="1:9">
      <c r="A3424" s="17" t="s">
        <v>1474</v>
      </c>
      <c r="B3424" s="17" t="s">
        <v>1484</v>
      </c>
      <c r="C3424" s="17">
        <v>0</v>
      </c>
      <c r="D3424" s="17" t="s">
        <v>801</v>
      </c>
      <c r="E3424" s="18">
        <v>3002450696007</v>
      </c>
      <c r="G3424" s="20" t="str">
        <f t="shared" si="159"/>
        <v xml:space="preserve"> CANOBASKET      </v>
      </c>
      <c r="H3424" s="20" t="str">
        <f t="shared" si="160"/>
        <v>MAIBL</v>
      </c>
      <c r="I3424" s="20">
        <f t="shared" si="161"/>
        <v>0</v>
      </c>
    </row>
    <row r="3425" spans="1:9">
      <c r="A3425" s="17" t="s">
        <v>1474</v>
      </c>
      <c r="B3425" s="17" t="s">
        <v>1485</v>
      </c>
      <c r="C3425" s="17">
        <v>0</v>
      </c>
      <c r="D3425" s="17" t="s">
        <v>801</v>
      </c>
      <c r="E3425" s="18">
        <v>3002450697004</v>
      </c>
      <c r="G3425" s="20" t="str">
        <f t="shared" si="159"/>
        <v xml:space="preserve"> CANOBASKET      </v>
      </c>
      <c r="H3425" s="20" t="str">
        <f t="shared" si="160"/>
        <v>MAIGR</v>
      </c>
      <c r="I3425" s="20">
        <f t="shared" si="161"/>
        <v>0</v>
      </c>
    </row>
    <row r="3426" spans="1:9">
      <c r="A3426" s="17" t="s">
        <v>1474</v>
      </c>
      <c r="B3426" s="17" t="s">
        <v>1375</v>
      </c>
      <c r="C3426" s="17">
        <v>0</v>
      </c>
      <c r="D3426" s="17" t="s">
        <v>801</v>
      </c>
      <c r="E3426" s="18">
        <v>3002450507006</v>
      </c>
      <c r="G3426" s="20" t="str">
        <f t="shared" si="159"/>
        <v xml:space="preserve"> CANOBASKET      </v>
      </c>
      <c r="H3426" s="20" t="str">
        <f t="shared" si="160"/>
        <v xml:space="preserve">MATB </v>
      </c>
      <c r="I3426" s="20">
        <f t="shared" si="161"/>
        <v>0</v>
      </c>
    </row>
    <row r="3427" spans="1:9">
      <c r="A3427" s="17" t="s">
        <v>1474</v>
      </c>
      <c r="B3427" s="17" t="s">
        <v>1092</v>
      </c>
      <c r="C3427" s="17">
        <v>0</v>
      </c>
      <c r="D3427" s="17" t="s">
        <v>801</v>
      </c>
      <c r="E3427" s="18">
        <v>3004311004006</v>
      </c>
      <c r="G3427" s="20" t="str">
        <f t="shared" si="159"/>
        <v xml:space="preserve"> CANOBASKET      </v>
      </c>
      <c r="H3427" s="20" t="str">
        <f t="shared" si="160"/>
        <v>MULTI</v>
      </c>
      <c r="I3427" s="20">
        <f t="shared" si="161"/>
        <v>0</v>
      </c>
    </row>
    <row r="3428" spans="1:9">
      <c r="A3428" s="17" t="s">
        <v>1474</v>
      </c>
      <c r="B3428" s="17" t="s">
        <v>859</v>
      </c>
      <c r="C3428" s="17">
        <v>0</v>
      </c>
      <c r="D3428" s="17" t="s">
        <v>801</v>
      </c>
      <c r="E3428" s="18">
        <v>3004310597004</v>
      </c>
      <c r="G3428" s="20" t="str">
        <f t="shared" si="159"/>
        <v xml:space="preserve"> CANOBASKET      </v>
      </c>
      <c r="H3428" s="20" t="str">
        <f t="shared" si="160"/>
        <v>NATUR</v>
      </c>
      <c r="I3428" s="20">
        <f t="shared" si="161"/>
        <v>0</v>
      </c>
    </row>
    <row r="3429" spans="1:9">
      <c r="A3429" s="17" t="s">
        <v>1474</v>
      </c>
      <c r="B3429" s="17" t="s">
        <v>859</v>
      </c>
      <c r="C3429" s="17">
        <v>0</v>
      </c>
      <c r="D3429" s="17" t="s">
        <v>801</v>
      </c>
      <c r="E3429" s="18">
        <v>8050450218779</v>
      </c>
      <c r="G3429" s="20" t="str">
        <f t="shared" si="159"/>
        <v xml:space="preserve"> CANOBASKET      </v>
      </c>
      <c r="H3429" s="20" t="str">
        <f t="shared" si="160"/>
        <v>NATUR</v>
      </c>
      <c r="I3429" s="20">
        <f t="shared" si="161"/>
        <v>0</v>
      </c>
    </row>
    <row r="3430" spans="1:9">
      <c r="A3430" s="17" t="s">
        <v>1474</v>
      </c>
      <c r="B3430" s="17" t="s">
        <v>1486</v>
      </c>
      <c r="C3430" s="17">
        <v>0</v>
      </c>
      <c r="D3430" s="17" t="s">
        <v>801</v>
      </c>
      <c r="E3430" s="18">
        <v>3004310195002</v>
      </c>
      <c r="G3430" s="20" t="str">
        <f t="shared" si="159"/>
        <v xml:space="preserve"> CANOBASKET      </v>
      </c>
      <c r="H3430" s="20" t="str">
        <f t="shared" si="160"/>
        <v xml:space="preserve">ONDE </v>
      </c>
      <c r="I3430" s="20">
        <f t="shared" si="161"/>
        <v>0</v>
      </c>
    </row>
    <row r="3431" spans="1:9">
      <c r="A3431" s="17" t="s">
        <v>1474</v>
      </c>
      <c r="B3431" s="17" t="s">
        <v>1487</v>
      </c>
      <c r="C3431" s="17">
        <v>0</v>
      </c>
      <c r="D3431" s="17" t="s">
        <v>801</v>
      </c>
      <c r="E3431" s="18">
        <v>3004310672008</v>
      </c>
      <c r="G3431" s="20" t="str">
        <f t="shared" si="159"/>
        <v xml:space="preserve"> CANOBASKET      </v>
      </c>
      <c r="H3431" s="20" t="str">
        <f t="shared" si="160"/>
        <v>PDPBL</v>
      </c>
      <c r="I3431" s="20">
        <f t="shared" si="161"/>
        <v>0</v>
      </c>
    </row>
    <row r="3432" spans="1:9">
      <c r="A3432" s="17" t="s">
        <v>1474</v>
      </c>
      <c r="B3432" s="17" t="s">
        <v>1487</v>
      </c>
      <c r="C3432" s="17">
        <v>0</v>
      </c>
      <c r="D3432" s="17" t="s">
        <v>801</v>
      </c>
      <c r="E3432" s="18">
        <v>3002451013001</v>
      </c>
      <c r="G3432" s="20" t="str">
        <f t="shared" si="159"/>
        <v xml:space="preserve"> CANOBASKET      </v>
      </c>
      <c r="H3432" s="20" t="str">
        <f t="shared" si="160"/>
        <v>PDPBL</v>
      </c>
      <c r="I3432" s="20">
        <f t="shared" si="161"/>
        <v>0</v>
      </c>
    </row>
    <row r="3433" spans="1:9">
      <c r="A3433" s="17" t="s">
        <v>1474</v>
      </c>
      <c r="B3433" s="17" t="s">
        <v>1487</v>
      </c>
      <c r="C3433" s="17">
        <v>0</v>
      </c>
      <c r="D3433" s="17" t="s">
        <v>801</v>
      </c>
      <c r="E3433" s="18">
        <v>8056300454076</v>
      </c>
      <c r="G3433" s="20" t="str">
        <f t="shared" si="159"/>
        <v xml:space="preserve"> CANOBASKET      </v>
      </c>
      <c r="H3433" s="20" t="str">
        <f t="shared" si="160"/>
        <v>PDPBL</v>
      </c>
      <c r="I3433" s="20">
        <f t="shared" si="161"/>
        <v>0</v>
      </c>
    </row>
    <row r="3434" spans="1:9">
      <c r="A3434" s="17" t="s">
        <v>1474</v>
      </c>
      <c r="B3434" s="17" t="s">
        <v>1304</v>
      </c>
      <c r="C3434" s="17">
        <v>0</v>
      </c>
      <c r="D3434" s="17" t="s">
        <v>801</v>
      </c>
      <c r="E3434" s="18">
        <v>3004310673005</v>
      </c>
      <c r="G3434" s="20" t="str">
        <f t="shared" si="159"/>
        <v xml:space="preserve"> CANOBASKET      </v>
      </c>
      <c r="H3434" s="20" t="str">
        <f t="shared" si="160"/>
        <v>PDPRU</v>
      </c>
      <c r="I3434" s="20">
        <f t="shared" si="161"/>
        <v>0</v>
      </c>
    </row>
    <row r="3435" spans="1:9">
      <c r="A3435" s="17" t="s">
        <v>1474</v>
      </c>
      <c r="B3435" s="17" t="s">
        <v>1304</v>
      </c>
      <c r="C3435" s="17">
        <v>0</v>
      </c>
      <c r="D3435" s="17" t="s">
        <v>801</v>
      </c>
      <c r="E3435" s="18">
        <v>3002451014008</v>
      </c>
      <c r="G3435" s="20" t="str">
        <f t="shared" si="159"/>
        <v xml:space="preserve"> CANOBASKET      </v>
      </c>
      <c r="H3435" s="20" t="str">
        <f t="shared" si="160"/>
        <v>PDPRU</v>
      </c>
      <c r="I3435" s="20">
        <f t="shared" si="161"/>
        <v>0</v>
      </c>
    </row>
    <row r="3436" spans="1:9">
      <c r="A3436" s="17" t="s">
        <v>1474</v>
      </c>
      <c r="B3436" s="17" t="s">
        <v>1304</v>
      </c>
      <c r="C3436" s="17">
        <v>0</v>
      </c>
      <c r="D3436" s="17" t="s">
        <v>801</v>
      </c>
      <c r="E3436" s="18">
        <v>8056300454083</v>
      </c>
      <c r="G3436" s="20" t="str">
        <f t="shared" si="159"/>
        <v xml:space="preserve"> CANOBASKET      </v>
      </c>
      <c r="H3436" s="20" t="str">
        <f t="shared" si="160"/>
        <v>PDPRU</v>
      </c>
      <c r="I3436" s="20">
        <f t="shared" si="161"/>
        <v>0</v>
      </c>
    </row>
    <row r="3437" spans="1:9">
      <c r="A3437" s="17" t="s">
        <v>1474</v>
      </c>
      <c r="B3437" s="17" t="s">
        <v>1488</v>
      </c>
      <c r="C3437" s="17">
        <v>0</v>
      </c>
      <c r="D3437" s="17" t="s">
        <v>801</v>
      </c>
      <c r="E3437" s="18">
        <v>3004310186000</v>
      </c>
      <c r="G3437" s="20" t="str">
        <f t="shared" si="159"/>
        <v xml:space="preserve"> CANOBASKET      </v>
      </c>
      <c r="H3437" s="20" t="str">
        <f t="shared" si="160"/>
        <v>POISB</v>
      </c>
      <c r="I3437" s="20">
        <f t="shared" si="161"/>
        <v>0</v>
      </c>
    </row>
    <row r="3438" spans="1:9">
      <c r="A3438" s="17" t="s">
        <v>1474</v>
      </c>
      <c r="B3438" s="17" t="s">
        <v>1489</v>
      </c>
      <c r="C3438" s="17">
        <v>0</v>
      </c>
      <c r="D3438" s="17" t="s">
        <v>801</v>
      </c>
      <c r="E3438" s="18">
        <v>3004310143003</v>
      </c>
      <c r="G3438" s="20" t="str">
        <f t="shared" si="159"/>
        <v xml:space="preserve"> CANOBASKET      </v>
      </c>
      <c r="H3438" s="20" t="str">
        <f t="shared" si="160"/>
        <v>POISN</v>
      </c>
      <c r="I3438" s="20">
        <f t="shared" si="161"/>
        <v>0</v>
      </c>
    </row>
    <row r="3439" spans="1:9">
      <c r="A3439" s="17" t="s">
        <v>1474</v>
      </c>
      <c r="B3439" s="17" t="s">
        <v>1490</v>
      </c>
      <c r="C3439" s="17">
        <v>0</v>
      </c>
      <c r="D3439" s="17" t="s">
        <v>801</v>
      </c>
      <c r="E3439" s="18">
        <v>3004310144000</v>
      </c>
      <c r="G3439" s="20" t="str">
        <f t="shared" si="159"/>
        <v xml:space="preserve"> CANOBASKET      </v>
      </c>
      <c r="H3439" s="20" t="str">
        <f t="shared" si="160"/>
        <v>POISR</v>
      </c>
      <c r="I3439" s="20">
        <f t="shared" si="161"/>
        <v>0</v>
      </c>
    </row>
    <row r="3440" spans="1:9">
      <c r="A3440" s="17" t="s">
        <v>1474</v>
      </c>
      <c r="B3440" s="17" t="s">
        <v>1399</v>
      </c>
      <c r="C3440" s="17">
        <v>0</v>
      </c>
      <c r="D3440" s="17" t="s">
        <v>801</v>
      </c>
      <c r="E3440" s="18">
        <v>8056099171314</v>
      </c>
      <c r="G3440" s="20" t="str">
        <f t="shared" si="159"/>
        <v xml:space="preserve"> CANOBASKET      </v>
      </c>
      <c r="H3440" s="20" t="str">
        <f t="shared" si="160"/>
        <v>RIVBL</v>
      </c>
      <c r="I3440" s="20">
        <f t="shared" si="161"/>
        <v>0</v>
      </c>
    </row>
    <row r="3441" spans="1:9">
      <c r="A3441" s="17" t="s">
        <v>1474</v>
      </c>
      <c r="B3441" s="17" t="s">
        <v>1401</v>
      </c>
      <c r="C3441" s="17">
        <v>0</v>
      </c>
      <c r="D3441" s="17" t="s">
        <v>801</v>
      </c>
      <c r="E3441" s="18">
        <v>8056099171307</v>
      </c>
      <c r="G3441" s="20" t="str">
        <f t="shared" si="159"/>
        <v xml:space="preserve"> CANOBASKET      </v>
      </c>
      <c r="H3441" s="20" t="str">
        <f t="shared" si="160"/>
        <v>RIVRO</v>
      </c>
      <c r="I3441" s="20">
        <f t="shared" si="161"/>
        <v>0</v>
      </c>
    </row>
    <row r="3442" spans="1:9">
      <c r="A3442" s="17" t="s">
        <v>1474</v>
      </c>
      <c r="B3442" s="17" t="s">
        <v>1318</v>
      </c>
      <c r="C3442" s="17">
        <v>0</v>
      </c>
      <c r="D3442" s="17" t="s">
        <v>801</v>
      </c>
      <c r="E3442" s="18">
        <v>8056099171345</v>
      </c>
      <c r="G3442" s="20" t="str">
        <f t="shared" si="159"/>
        <v xml:space="preserve"> CANOBASKET      </v>
      </c>
      <c r="H3442" s="20" t="str">
        <f t="shared" si="160"/>
        <v>SOIOC</v>
      </c>
      <c r="I3442" s="20">
        <f t="shared" si="161"/>
        <v>0</v>
      </c>
    </row>
    <row r="3443" spans="1:9">
      <c r="A3443" s="17" t="s">
        <v>1474</v>
      </c>
      <c r="B3443" s="17" t="s">
        <v>1319</v>
      </c>
      <c r="C3443" s="17">
        <v>0</v>
      </c>
      <c r="D3443" s="17" t="s">
        <v>801</v>
      </c>
      <c r="E3443" s="18">
        <v>8056099171352</v>
      </c>
      <c r="G3443" s="20" t="str">
        <f t="shared" si="159"/>
        <v xml:space="preserve"> CANOBASKET      </v>
      </c>
      <c r="H3443" s="20" t="str">
        <f t="shared" si="160"/>
        <v>SOISI</v>
      </c>
      <c r="I3443" s="20">
        <f t="shared" si="161"/>
        <v>0</v>
      </c>
    </row>
    <row r="3444" spans="1:9">
      <c r="A3444" s="17" t="s">
        <v>1474</v>
      </c>
      <c r="B3444" s="17" t="s">
        <v>1491</v>
      </c>
      <c r="C3444" s="17">
        <v>0</v>
      </c>
      <c r="D3444" s="17" t="s">
        <v>801</v>
      </c>
      <c r="E3444" s="18">
        <v>3004310528008</v>
      </c>
      <c r="G3444" s="20" t="str">
        <f t="shared" si="159"/>
        <v xml:space="preserve"> CANOBASKET      </v>
      </c>
      <c r="H3444" s="20" t="str">
        <f t="shared" si="160"/>
        <v>TENAC</v>
      </c>
      <c r="I3444" s="20">
        <f t="shared" si="161"/>
        <v>0</v>
      </c>
    </row>
    <row r="3445" spans="1:9">
      <c r="A3445" s="17" t="s">
        <v>1474</v>
      </c>
      <c r="B3445" s="17" t="s">
        <v>1492</v>
      </c>
      <c r="C3445" s="17">
        <v>0</v>
      </c>
      <c r="D3445" s="17" t="s">
        <v>801</v>
      </c>
      <c r="E3445" s="18">
        <v>3002450643001</v>
      </c>
      <c r="G3445" s="20" t="str">
        <f t="shared" si="159"/>
        <v xml:space="preserve"> CANOBASKET      </v>
      </c>
      <c r="H3445" s="20" t="str">
        <f t="shared" si="160"/>
        <v>TENBL</v>
      </c>
      <c r="I3445" s="20">
        <f t="shared" si="161"/>
        <v>0</v>
      </c>
    </row>
    <row r="3446" spans="1:9">
      <c r="A3446" s="17" t="s">
        <v>1474</v>
      </c>
      <c r="B3446" s="17" t="s">
        <v>1493</v>
      </c>
      <c r="C3446" s="17">
        <v>0</v>
      </c>
      <c r="D3446" s="17" t="s">
        <v>801</v>
      </c>
      <c r="E3446" s="18">
        <v>3002450644008</v>
      </c>
      <c r="G3446" s="20" t="str">
        <f t="shared" si="159"/>
        <v xml:space="preserve"> CANOBASKET      </v>
      </c>
      <c r="H3446" s="20" t="str">
        <f t="shared" si="160"/>
        <v>TENGR</v>
      </c>
      <c r="I3446" s="20">
        <f t="shared" si="161"/>
        <v>0</v>
      </c>
    </row>
    <row r="3447" spans="1:9">
      <c r="A3447" s="17" t="s">
        <v>1474</v>
      </c>
      <c r="B3447" s="17" t="s">
        <v>1494</v>
      </c>
      <c r="C3447" s="17">
        <v>0</v>
      </c>
      <c r="D3447" s="17" t="s">
        <v>801</v>
      </c>
      <c r="E3447" s="18">
        <v>3002450645005</v>
      </c>
      <c r="G3447" s="20" t="str">
        <f t="shared" si="159"/>
        <v xml:space="preserve"> CANOBASKET      </v>
      </c>
      <c r="H3447" s="20" t="str">
        <f t="shared" si="160"/>
        <v>TENNA</v>
      </c>
      <c r="I3447" s="20">
        <f t="shared" si="161"/>
        <v>0</v>
      </c>
    </row>
    <row r="3448" spans="1:9">
      <c r="A3448" s="17" t="s">
        <v>1474</v>
      </c>
      <c r="B3448" s="17" t="s">
        <v>1415</v>
      </c>
      <c r="C3448" s="17">
        <v>0</v>
      </c>
      <c r="D3448" s="17" t="s">
        <v>801</v>
      </c>
      <c r="E3448" s="18">
        <v>3002450760005</v>
      </c>
      <c r="G3448" s="20" t="str">
        <f t="shared" si="159"/>
        <v xml:space="preserve"> CANOBASKET      </v>
      </c>
      <c r="H3448" s="20" t="str">
        <f t="shared" si="160"/>
        <v>TOUCA</v>
      </c>
      <c r="I3448" s="20">
        <f t="shared" si="161"/>
        <v>0</v>
      </c>
    </row>
    <row r="3449" spans="1:9">
      <c r="A3449" s="17" t="s">
        <v>1474</v>
      </c>
      <c r="B3449" s="17" t="s">
        <v>1495</v>
      </c>
      <c r="C3449" s="17">
        <v>0</v>
      </c>
      <c r="D3449" s="17" t="s">
        <v>801</v>
      </c>
      <c r="E3449" s="18">
        <v>3004310532005</v>
      </c>
      <c r="G3449" s="20" t="str">
        <f t="shared" si="159"/>
        <v xml:space="preserve"> CANOBASKET      </v>
      </c>
      <c r="H3449" s="20" t="str">
        <f t="shared" si="160"/>
        <v xml:space="preserve">TRAP </v>
      </c>
      <c r="I3449" s="20">
        <f t="shared" si="161"/>
        <v>0</v>
      </c>
    </row>
    <row r="3450" spans="1:9">
      <c r="A3450" s="17" t="s">
        <v>1474</v>
      </c>
      <c r="B3450" s="17" t="s">
        <v>1496</v>
      </c>
      <c r="C3450" s="17">
        <v>0</v>
      </c>
      <c r="D3450" s="17" t="s">
        <v>801</v>
      </c>
      <c r="E3450" s="18">
        <v>3004310156003</v>
      </c>
      <c r="G3450" s="20" t="str">
        <f t="shared" si="159"/>
        <v xml:space="preserve"> CANOBASKET      </v>
      </c>
      <c r="H3450" s="20" t="str">
        <f t="shared" si="160"/>
        <v xml:space="preserve">VEL  </v>
      </c>
      <c r="I3450" s="20">
        <f t="shared" si="161"/>
        <v>0</v>
      </c>
    </row>
    <row r="3451" spans="1:9">
      <c r="A3451" s="17" t="s">
        <v>1474</v>
      </c>
      <c r="B3451" s="17" t="s">
        <v>1497</v>
      </c>
      <c r="C3451" s="17">
        <v>0</v>
      </c>
      <c r="D3451" s="17" t="s">
        <v>801</v>
      </c>
      <c r="E3451" s="18">
        <v>3002450762009</v>
      </c>
      <c r="G3451" s="20" t="str">
        <f t="shared" si="159"/>
        <v xml:space="preserve"> CANOBASKET      </v>
      </c>
      <c r="H3451" s="20" t="str">
        <f t="shared" si="160"/>
        <v>ZEBRA</v>
      </c>
      <c r="I3451" s="20">
        <f t="shared" si="161"/>
        <v>0</v>
      </c>
    </row>
    <row r="3452" spans="1:9">
      <c r="A3452" s="17" t="s">
        <v>1498</v>
      </c>
      <c r="B3452" s="17" t="s">
        <v>1499</v>
      </c>
      <c r="C3452" s="17">
        <v>0</v>
      </c>
      <c r="D3452" s="17" t="s">
        <v>801</v>
      </c>
      <c r="E3452" s="18">
        <v>8056098539535</v>
      </c>
      <c r="G3452" s="20" t="str">
        <f t="shared" si="159"/>
        <v xml:space="preserve"> CANOBEACH       </v>
      </c>
      <c r="H3452" s="20" t="str">
        <f t="shared" si="160"/>
        <v>TRAPP</v>
      </c>
      <c r="I3452" s="20">
        <f t="shared" si="161"/>
        <v>0</v>
      </c>
    </row>
    <row r="3453" spans="1:9">
      <c r="A3453" s="17" t="s">
        <v>1498</v>
      </c>
      <c r="B3453" s="17" t="s">
        <v>1499</v>
      </c>
      <c r="C3453" s="17">
        <v>0</v>
      </c>
      <c r="D3453" s="17" t="s">
        <v>801</v>
      </c>
      <c r="E3453" s="18">
        <v>3005751338003</v>
      </c>
      <c r="G3453" s="20" t="str">
        <f t="shared" si="159"/>
        <v xml:space="preserve"> CANOBEACH       </v>
      </c>
      <c r="H3453" s="20" t="str">
        <f t="shared" si="160"/>
        <v>TRAPP</v>
      </c>
      <c r="I3453" s="20">
        <f t="shared" si="161"/>
        <v>0</v>
      </c>
    </row>
    <row r="3454" spans="1:9">
      <c r="A3454" s="17" t="s">
        <v>1498</v>
      </c>
      <c r="B3454" s="17" t="s">
        <v>1500</v>
      </c>
      <c r="C3454" s="17">
        <v>0</v>
      </c>
      <c r="D3454" s="17" t="s">
        <v>801</v>
      </c>
      <c r="E3454" s="18">
        <v>3005751342000</v>
      </c>
      <c r="G3454" s="20" t="str">
        <f t="shared" si="159"/>
        <v xml:space="preserve"> CANOBEACH       </v>
      </c>
      <c r="H3454" s="20" t="str">
        <f t="shared" si="160"/>
        <v>TRBBL</v>
      </c>
      <c r="I3454" s="20">
        <f t="shared" si="161"/>
        <v>0</v>
      </c>
    </row>
    <row r="3455" spans="1:9">
      <c r="A3455" s="17" t="s">
        <v>1498</v>
      </c>
      <c r="B3455" s="17" t="s">
        <v>1501</v>
      </c>
      <c r="C3455" s="17">
        <v>0</v>
      </c>
      <c r="D3455" s="17" t="s">
        <v>801</v>
      </c>
      <c r="E3455" s="18">
        <v>3005751335002</v>
      </c>
      <c r="G3455" s="20" t="str">
        <f t="shared" si="159"/>
        <v xml:space="preserve"> CANOBEACH       </v>
      </c>
      <c r="H3455" s="20" t="str">
        <f t="shared" si="160"/>
        <v>TRBLA</v>
      </c>
      <c r="I3455" s="20">
        <f t="shared" si="161"/>
        <v>0</v>
      </c>
    </row>
    <row r="3456" spans="1:9">
      <c r="A3456" s="17" t="s">
        <v>1498</v>
      </c>
      <c r="B3456" s="17" t="s">
        <v>1325</v>
      </c>
      <c r="C3456" s="17">
        <v>0</v>
      </c>
      <c r="D3456" s="17" t="s">
        <v>801</v>
      </c>
      <c r="E3456" s="18">
        <v>8056098539528</v>
      </c>
      <c r="G3456" s="20" t="str">
        <f t="shared" si="159"/>
        <v xml:space="preserve"> CANOBEACH       </v>
      </c>
      <c r="H3456" s="20" t="str">
        <f t="shared" si="160"/>
        <v>TRBLU</v>
      </c>
      <c r="I3456" s="20">
        <f t="shared" si="161"/>
        <v>0</v>
      </c>
    </row>
    <row r="3457" spans="1:9">
      <c r="A3457" s="17" t="s">
        <v>1498</v>
      </c>
      <c r="B3457" s="17" t="s">
        <v>1325</v>
      </c>
      <c r="C3457" s="17">
        <v>0</v>
      </c>
      <c r="D3457" s="17" t="s">
        <v>801</v>
      </c>
      <c r="E3457" s="18">
        <v>3005751126006</v>
      </c>
      <c r="G3457" s="20" t="str">
        <f t="shared" si="159"/>
        <v xml:space="preserve"> CANOBEACH       </v>
      </c>
      <c r="H3457" s="20" t="str">
        <f t="shared" si="160"/>
        <v>TRBLU</v>
      </c>
      <c r="I3457" s="20">
        <f t="shared" si="161"/>
        <v>0</v>
      </c>
    </row>
    <row r="3458" spans="1:9">
      <c r="A3458" s="17" t="s">
        <v>1498</v>
      </c>
      <c r="B3458" s="17" t="s">
        <v>1502</v>
      </c>
      <c r="C3458" s="17">
        <v>0</v>
      </c>
      <c r="D3458" s="17" t="s">
        <v>801</v>
      </c>
      <c r="E3458" s="18">
        <v>8056098539511</v>
      </c>
      <c r="G3458" s="20" t="str">
        <f t="shared" si="159"/>
        <v xml:space="preserve"> CANOBEACH       </v>
      </c>
      <c r="H3458" s="20" t="str">
        <f t="shared" si="160"/>
        <v>TRRED</v>
      </c>
      <c r="I3458" s="20">
        <f t="shared" si="161"/>
        <v>0</v>
      </c>
    </row>
    <row r="3459" spans="1:9">
      <c r="A3459" s="17" t="s">
        <v>1498</v>
      </c>
      <c r="B3459" s="17" t="s">
        <v>1502</v>
      </c>
      <c r="C3459" s="17">
        <v>0</v>
      </c>
      <c r="D3459" s="17" t="s">
        <v>801</v>
      </c>
      <c r="E3459" s="18">
        <v>3005751336009</v>
      </c>
      <c r="G3459" s="20" t="str">
        <f t="shared" si="159"/>
        <v xml:space="preserve"> CANOBEACH       </v>
      </c>
      <c r="H3459" s="20" t="str">
        <f t="shared" si="160"/>
        <v>TRRED</v>
      </c>
      <c r="I3459" s="20">
        <f t="shared" si="161"/>
        <v>0</v>
      </c>
    </row>
    <row r="3460" spans="1:9">
      <c r="A3460" s="17" t="s">
        <v>1498</v>
      </c>
      <c r="B3460" s="17" t="s">
        <v>1503</v>
      </c>
      <c r="C3460" s="17">
        <v>0</v>
      </c>
      <c r="D3460" s="17" t="s">
        <v>801</v>
      </c>
      <c r="E3460" s="18">
        <v>8056098539504</v>
      </c>
      <c r="G3460" s="20" t="str">
        <f t="shared" si="159"/>
        <v xml:space="preserve"> CANOBEACH       </v>
      </c>
      <c r="H3460" s="20" t="str">
        <f t="shared" si="160"/>
        <v>TRWHI</v>
      </c>
      <c r="I3460" s="20">
        <f t="shared" si="161"/>
        <v>0</v>
      </c>
    </row>
    <row r="3461" spans="1:9">
      <c r="A3461" s="17" t="s">
        <v>1498</v>
      </c>
      <c r="B3461" s="17" t="s">
        <v>1503</v>
      </c>
      <c r="C3461" s="17">
        <v>0</v>
      </c>
      <c r="D3461" s="17" t="s">
        <v>801</v>
      </c>
      <c r="E3461" s="18">
        <v>3005751337006</v>
      </c>
      <c r="G3461" s="20" t="str">
        <f t="shared" ref="G3461:G3524" si="162">A3461</f>
        <v xml:space="preserve"> CANOBEACH       </v>
      </c>
      <c r="H3461" s="20" t="str">
        <f t="shared" ref="H3461:H3524" si="163">B3461</f>
        <v>TRWHI</v>
      </c>
      <c r="I3461" s="20">
        <f t="shared" ref="I3461:I3524" si="164">C3461</f>
        <v>0</v>
      </c>
    </row>
    <row r="3462" spans="1:9">
      <c r="A3462" s="17" t="s">
        <v>1504</v>
      </c>
      <c r="B3462" s="17" t="s">
        <v>280</v>
      </c>
      <c r="C3462" s="17">
        <v>0</v>
      </c>
      <c r="D3462" s="17" t="s">
        <v>801</v>
      </c>
      <c r="E3462" s="18">
        <v>3004580004004</v>
      </c>
      <c r="G3462" s="20" t="str">
        <f t="shared" si="162"/>
        <v xml:space="preserve"> CANOCHIC        </v>
      </c>
      <c r="H3462" s="20" t="str">
        <f t="shared" si="163"/>
        <v>BLACK</v>
      </c>
      <c r="I3462" s="20">
        <f t="shared" si="164"/>
        <v>0</v>
      </c>
    </row>
    <row r="3463" spans="1:9">
      <c r="A3463" s="17" t="s">
        <v>1504</v>
      </c>
      <c r="B3463" s="17" t="s">
        <v>280</v>
      </c>
      <c r="C3463" s="17">
        <v>0</v>
      </c>
      <c r="D3463" s="17" t="s">
        <v>801</v>
      </c>
      <c r="E3463" s="18">
        <v>8058333583969</v>
      </c>
      <c r="G3463" s="20" t="str">
        <f t="shared" si="162"/>
        <v xml:space="preserve"> CANOCHIC        </v>
      </c>
      <c r="H3463" s="20" t="str">
        <f t="shared" si="163"/>
        <v>BLACK</v>
      </c>
      <c r="I3463" s="20">
        <f t="shared" si="164"/>
        <v>0</v>
      </c>
    </row>
    <row r="3464" spans="1:9">
      <c r="A3464" s="17" t="s">
        <v>1504</v>
      </c>
      <c r="B3464" s="17" t="s">
        <v>810</v>
      </c>
      <c r="C3464" s="17">
        <v>0</v>
      </c>
      <c r="D3464" s="17" t="s">
        <v>801</v>
      </c>
      <c r="E3464" s="18">
        <v>3004580319009</v>
      </c>
      <c r="G3464" s="20" t="str">
        <f t="shared" si="162"/>
        <v xml:space="preserve"> CANOCHIC        </v>
      </c>
      <c r="H3464" s="20" t="str">
        <f t="shared" si="163"/>
        <v xml:space="preserve">BLUE </v>
      </c>
      <c r="I3464" s="20">
        <f t="shared" si="164"/>
        <v>0</v>
      </c>
    </row>
    <row r="3465" spans="1:9">
      <c r="A3465" s="17" t="s">
        <v>1504</v>
      </c>
      <c r="B3465" s="17" t="s">
        <v>810</v>
      </c>
      <c r="C3465" s="17">
        <v>0</v>
      </c>
      <c r="D3465" s="17" t="s">
        <v>801</v>
      </c>
      <c r="E3465" s="18">
        <v>8058333583952</v>
      </c>
      <c r="G3465" s="20" t="str">
        <f t="shared" si="162"/>
        <v xml:space="preserve"> CANOCHIC        </v>
      </c>
      <c r="H3465" s="20" t="str">
        <f t="shared" si="163"/>
        <v xml:space="preserve">BLUE </v>
      </c>
      <c r="I3465" s="20">
        <f t="shared" si="164"/>
        <v>0</v>
      </c>
    </row>
    <row r="3466" spans="1:9">
      <c r="A3466" s="17" t="s">
        <v>1504</v>
      </c>
      <c r="B3466" s="17" t="s">
        <v>1274</v>
      </c>
      <c r="C3466" s="17">
        <v>0</v>
      </c>
      <c r="D3466" s="17" t="s">
        <v>801</v>
      </c>
      <c r="E3466" s="18">
        <v>8056095064542</v>
      </c>
      <c r="G3466" s="20" t="str">
        <f t="shared" si="162"/>
        <v xml:space="preserve"> CANOCHIC        </v>
      </c>
      <c r="H3466" s="20" t="str">
        <f t="shared" si="163"/>
        <v>BRODE</v>
      </c>
      <c r="I3466" s="20">
        <f t="shared" si="164"/>
        <v>0</v>
      </c>
    </row>
    <row r="3467" spans="1:9">
      <c r="A3467" s="17" t="s">
        <v>1504</v>
      </c>
      <c r="B3467" s="17" t="s">
        <v>1274</v>
      </c>
      <c r="C3467" s="17">
        <v>0</v>
      </c>
      <c r="D3467" s="17" t="s">
        <v>801</v>
      </c>
      <c r="E3467" s="18">
        <v>3003881113002</v>
      </c>
      <c r="G3467" s="20" t="str">
        <f t="shared" si="162"/>
        <v xml:space="preserve"> CANOCHIC        </v>
      </c>
      <c r="H3467" s="20" t="str">
        <f t="shared" si="163"/>
        <v>BRODE</v>
      </c>
      <c r="I3467" s="20">
        <f t="shared" si="164"/>
        <v>0</v>
      </c>
    </row>
    <row r="3468" spans="1:9">
      <c r="A3468" s="17" t="s">
        <v>1504</v>
      </c>
      <c r="B3468" s="17" t="s">
        <v>1505</v>
      </c>
      <c r="C3468" s="17">
        <v>0</v>
      </c>
      <c r="D3468" s="17" t="s">
        <v>801</v>
      </c>
      <c r="E3468" s="18">
        <v>3004580678007</v>
      </c>
      <c r="G3468" s="20" t="str">
        <f t="shared" si="162"/>
        <v xml:space="preserve"> CANOCHIC        </v>
      </c>
      <c r="H3468" s="20" t="str">
        <f t="shared" si="163"/>
        <v>CARBE</v>
      </c>
      <c r="I3468" s="20">
        <f t="shared" si="164"/>
        <v>0</v>
      </c>
    </row>
    <row r="3469" spans="1:9">
      <c r="A3469" s="17" t="s">
        <v>1504</v>
      </c>
      <c r="B3469" s="17" t="s">
        <v>1506</v>
      </c>
      <c r="C3469" s="17">
        <v>0</v>
      </c>
      <c r="D3469" s="17" t="s">
        <v>801</v>
      </c>
      <c r="E3469" s="18">
        <v>3004580677000</v>
      </c>
      <c r="G3469" s="20" t="str">
        <f t="shared" si="162"/>
        <v xml:space="preserve"> CANOCHIC        </v>
      </c>
      <c r="H3469" s="20" t="str">
        <f t="shared" si="163"/>
        <v>CARCH</v>
      </c>
      <c r="I3469" s="20">
        <f t="shared" si="164"/>
        <v>0</v>
      </c>
    </row>
    <row r="3470" spans="1:9">
      <c r="A3470" s="17" t="s">
        <v>1504</v>
      </c>
      <c r="B3470" s="17" t="s">
        <v>1082</v>
      </c>
      <c r="C3470" s="17">
        <v>0</v>
      </c>
      <c r="D3470" s="17" t="s">
        <v>801</v>
      </c>
      <c r="E3470" s="18">
        <v>3004580249009</v>
      </c>
      <c r="G3470" s="20" t="str">
        <f t="shared" si="162"/>
        <v xml:space="preserve"> CANOCHIC        </v>
      </c>
      <c r="H3470" s="20" t="str">
        <f t="shared" si="163"/>
        <v>CARGR</v>
      </c>
      <c r="I3470" s="20">
        <f t="shared" si="164"/>
        <v>0</v>
      </c>
    </row>
    <row r="3471" spans="1:9">
      <c r="A3471" s="17" t="s">
        <v>1504</v>
      </c>
      <c r="B3471" s="17" t="s">
        <v>984</v>
      </c>
      <c r="C3471" s="17">
        <v>0</v>
      </c>
      <c r="D3471" s="17" t="s">
        <v>801</v>
      </c>
      <c r="E3471" s="18">
        <v>3003880996002</v>
      </c>
      <c r="G3471" s="20" t="str">
        <f t="shared" si="162"/>
        <v xml:space="preserve"> CANOCHIC        </v>
      </c>
      <c r="H3471" s="20" t="str">
        <f t="shared" si="163"/>
        <v>COBLU</v>
      </c>
      <c r="I3471" s="20">
        <f t="shared" si="164"/>
        <v>0</v>
      </c>
    </row>
    <row r="3472" spans="1:9">
      <c r="A3472" s="17" t="s">
        <v>1504</v>
      </c>
      <c r="B3472" s="17" t="s">
        <v>984</v>
      </c>
      <c r="C3472" s="17">
        <v>0</v>
      </c>
      <c r="D3472" s="17" t="s">
        <v>801</v>
      </c>
      <c r="E3472" s="18">
        <v>8056300453925</v>
      </c>
      <c r="G3472" s="20" t="str">
        <f t="shared" si="162"/>
        <v xml:space="preserve"> CANOCHIC        </v>
      </c>
      <c r="H3472" s="20" t="str">
        <f t="shared" si="163"/>
        <v>COBLU</v>
      </c>
      <c r="I3472" s="20">
        <f t="shared" si="164"/>
        <v>0</v>
      </c>
    </row>
    <row r="3473" spans="1:9">
      <c r="A3473" s="17" t="s">
        <v>1504</v>
      </c>
      <c r="B3473" s="17" t="s">
        <v>1507</v>
      </c>
      <c r="C3473" s="17">
        <v>0</v>
      </c>
      <c r="D3473" s="17" t="s">
        <v>801</v>
      </c>
      <c r="E3473" s="18">
        <v>3003881035007</v>
      </c>
      <c r="G3473" s="20" t="str">
        <f t="shared" si="162"/>
        <v xml:space="preserve"> CANOCHIC        </v>
      </c>
      <c r="H3473" s="20" t="str">
        <f t="shared" si="163"/>
        <v>COTBO</v>
      </c>
      <c r="I3473" s="20">
        <f t="shared" si="164"/>
        <v>0</v>
      </c>
    </row>
    <row r="3474" spans="1:9">
      <c r="A3474" s="17" t="s">
        <v>1504</v>
      </c>
      <c r="B3474" s="17" t="s">
        <v>1508</v>
      </c>
      <c r="C3474" s="17">
        <v>0</v>
      </c>
      <c r="D3474" s="17" t="s">
        <v>801</v>
      </c>
      <c r="E3474" s="18">
        <v>3003881021000</v>
      </c>
      <c r="G3474" s="20" t="str">
        <f t="shared" si="162"/>
        <v xml:space="preserve"> CANOCHIC        </v>
      </c>
      <c r="H3474" s="20" t="str">
        <f t="shared" si="163"/>
        <v>COTGR</v>
      </c>
      <c r="I3474" s="20">
        <f t="shared" si="164"/>
        <v>0</v>
      </c>
    </row>
    <row r="3475" spans="1:9">
      <c r="A3475" s="17" t="s">
        <v>1504</v>
      </c>
      <c r="B3475" s="17" t="s">
        <v>1508</v>
      </c>
      <c r="C3475" s="17">
        <v>0</v>
      </c>
      <c r="D3475" s="17" t="s">
        <v>801</v>
      </c>
      <c r="E3475" s="18">
        <v>8056300453932</v>
      </c>
      <c r="G3475" s="20" t="str">
        <f t="shared" si="162"/>
        <v xml:space="preserve"> CANOCHIC        </v>
      </c>
      <c r="H3475" s="20" t="str">
        <f t="shared" si="163"/>
        <v>COTGR</v>
      </c>
      <c r="I3475" s="20">
        <f t="shared" si="164"/>
        <v>0</v>
      </c>
    </row>
    <row r="3476" spans="1:9">
      <c r="A3476" s="17" t="s">
        <v>1504</v>
      </c>
      <c r="B3476" s="17" t="s">
        <v>1509</v>
      </c>
      <c r="C3476" s="17">
        <v>0</v>
      </c>
      <c r="D3476" s="17" t="s">
        <v>801</v>
      </c>
      <c r="E3476" s="18">
        <v>3003881020003</v>
      </c>
      <c r="G3476" s="20" t="str">
        <f t="shared" si="162"/>
        <v xml:space="preserve"> CANOCHIC        </v>
      </c>
      <c r="H3476" s="20" t="str">
        <f t="shared" si="163"/>
        <v>ECBEI</v>
      </c>
      <c r="I3476" s="20">
        <f t="shared" si="164"/>
        <v>0</v>
      </c>
    </row>
    <row r="3477" spans="1:9">
      <c r="A3477" s="17" t="s">
        <v>1504</v>
      </c>
      <c r="B3477" s="17" t="s">
        <v>1509</v>
      </c>
      <c r="C3477" s="17">
        <v>0</v>
      </c>
      <c r="D3477" s="17" t="s">
        <v>801</v>
      </c>
      <c r="E3477" s="18">
        <v>8056300453888</v>
      </c>
      <c r="G3477" s="20" t="str">
        <f t="shared" si="162"/>
        <v xml:space="preserve"> CANOCHIC        </v>
      </c>
      <c r="H3477" s="20" t="str">
        <f t="shared" si="163"/>
        <v>ECBEI</v>
      </c>
      <c r="I3477" s="20">
        <f t="shared" si="164"/>
        <v>0</v>
      </c>
    </row>
    <row r="3478" spans="1:9">
      <c r="A3478" s="17" t="s">
        <v>1504</v>
      </c>
      <c r="B3478" s="17" t="s">
        <v>1510</v>
      </c>
      <c r="C3478" s="17">
        <v>0</v>
      </c>
      <c r="D3478" s="17" t="s">
        <v>801</v>
      </c>
      <c r="E3478" s="18">
        <v>3003881018000</v>
      </c>
      <c r="G3478" s="20" t="str">
        <f t="shared" si="162"/>
        <v xml:space="preserve"> CANOCHIC        </v>
      </c>
      <c r="H3478" s="20" t="str">
        <f t="shared" si="163"/>
        <v>ECCHO</v>
      </c>
      <c r="I3478" s="20">
        <f t="shared" si="164"/>
        <v>0</v>
      </c>
    </row>
    <row r="3479" spans="1:9">
      <c r="A3479" s="17" t="s">
        <v>1504</v>
      </c>
      <c r="B3479" s="17" t="s">
        <v>1510</v>
      </c>
      <c r="C3479" s="17">
        <v>0</v>
      </c>
      <c r="D3479" s="17" t="s">
        <v>801</v>
      </c>
      <c r="E3479" s="18">
        <v>8056300453895</v>
      </c>
      <c r="G3479" s="20" t="str">
        <f t="shared" si="162"/>
        <v xml:space="preserve"> CANOCHIC        </v>
      </c>
      <c r="H3479" s="20" t="str">
        <f t="shared" si="163"/>
        <v>ECCHO</v>
      </c>
      <c r="I3479" s="20">
        <f t="shared" si="164"/>
        <v>0</v>
      </c>
    </row>
    <row r="3480" spans="1:9">
      <c r="A3480" s="17" t="s">
        <v>1504</v>
      </c>
      <c r="B3480" s="17" t="s">
        <v>1511</v>
      </c>
      <c r="C3480" s="17">
        <v>0</v>
      </c>
      <c r="D3480" s="17" t="s">
        <v>801</v>
      </c>
      <c r="E3480" s="18">
        <v>3003881019007</v>
      </c>
      <c r="G3480" s="20" t="str">
        <f t="shared" si="162"/>
        <v xml:space="preserve"> CANOCHIC        </v>
      </c>
      <c r="H3480" s="20" t="str">
        <f t="shared" si="163"/>
        <v>ECGRI</v>
      </c>
      <c r="I3480" s="20">
        <f t="shared" si="164"/>
        <v>0</v>
      </c>
    </row>
    <row r="3481" spans="1:9">
      <c r="A3481" s="17" t="s">
        <v>1504</v>
      </c>
      <c r="B3481" s="17" t="s">
        <v>1511</v>
      </c>
      <c r="C3481" s="17">
        <v>0</v>
      </c>
      <c r="D3481" s="17" t="s">
        <v>801</v>
      </c>
      <c r="E3481" s="18">
        <v>8056300453901</v>
      </c>
      <c r="G3481" s="20" t="str">
        <f t="shared" si="162"/>
        <v xml:space="preserve"> CANOCHIC        </v>
      </c>
      <c r="H3481" s="20" t="str">
        <f t="shared" si="163"/>
        <v>ECGRI</v>
      </c>
      <c r="I3481" s="20">
        <f t="shared" si="164"/>
        <v>0</v>
      </c>
    </row>
    <row r="3482" spans="1:9">
      <c r="A3482" s="17" t="s">
        <v>1504</v>
      </c>
      <c r="B3482" s="17" t="s">
        <v>1108</v>
      </c>
      <c r="C3482" s="17">
        <v>0</v>
      </c>
      <c r="D3482" s="17" t="s">
        <v>801</v>
      </c>
      <c r="E3482" s="18">
        <v>3004580246008</v>
      </c>
      <c r="G3482" s="20" t="str">
        <f t="shared" si="162"/>
        <v xml:space="preserve"> CANOCHIC        </v>
      </c>
      <c r="H3482" s="20" t="str">
        <f t="shared" si="163"/>
        <v>FEUBL</v>
      </c>
      <c r="I3482" s="20">
        <f t="shared" si="164"/>
        <v>0</v>
      </c>
    </row>
    <row r="3483" spans="1:9">
      <c r="A3483" s="17" t="s">
        <v>1504</v>
      </c>
      <c r="B3483" s="17" t="s">
        <v>1512</v>
      </c>
      <c r="C3483" s="17">
        <v>0</v>
      </c>
      <c r="D3483" s="17" t="s">
        <v>801</v>
      </c>
      <c r="E3483" s="18">
        <v>3003880600008</v>
      </c>
      <c r="G3483" s="20" t="str">
        <f t="shared" si="162"/>
        <v xml:space="preserve"> CANOCHIC        </v>
      </c>
      <c r="H3483" s="20" t="str">
        <f t="shared" si="163"/>
        <v>FEUCE</v>
      </c>
      <c r="I3483" s="20">
        <f t="shared" si="164"/>
        <v>0</v>
      </c>
    </row>
    <row r="3484" spans="1:9">
      <c r="A3484" s="17" t="s">
        <v>1504</v>
      </c>
      <c r="B3484" s="17" t="s">
        <v>1086</v>
      </c>
      <c r="C3484" s="17">
        <v>0</v>
      </c>
      <c r="D3484" s="17" t="s">
        <v>801</v>
      </c>
      <c r="E3484" s="18">
        <v>3004580241003</v>
      </c>
      <c r="G3484" s="20" t="str">
        <f t="shared" si="162"/>
        <v xml:space="preserve"> CANOCHIC        </v>
      </c>
      <c r="H3484" s="20" t="str">
        <f t="shared" si="163"/>
        <v xml:space="preserve">FEUM </v>
      </c>
      <c r="I3484" s="20">
        <f t="shared" si="164"/>
        <v>0</v>
      </c>
    </row>
    <row r="3485" spans="1:9">
      <c r="A3485" s="17" t="s">
        <v>1504</v>
      </c>
      <c r="B3485" s="17" t="s">
        <v>1087</v>
      </c>
      <c r="C3485" s="17">
        <v>0</v>
      </c>
      <c r="D3485" s="17" t="s">
        <v>801</v>
      </c>
      <c r="E3485" s="18">
        <v>3004580243007</v>
      </c>
      <c r="G3485" s="20" t="str">
        <f t="shared" si="162"/>
        <v xml:space="preserve"> CANOCHIC        </v>
      </c>
      <c r="H3485" s="20" t="str">
        <f t="shared" si="163"/>
        <v>FEUPE</v>
      </c>
      <c r="I3485" s="20">
        <f t="shared" si="164"/>
        <v>0</v>
      </c>
    </row>
    <row r="3486" spans="1:9">
      <c r="A3486" s="17" t="s">
        <v>1504</v>
      </c>
      <c r="B3486" s="17" t="s">
        <v>1087</v>
      </c>
      <c r="C3486" s="17">
        <v>0</v>
      </c>
      <c r="D3486" s="17" t="s">
        <v>801</v>
      </c>
      <c r="E3486" s="18">
        <v>3003880512004</v>
      </c>
      <c r="G3486" s="20" t="str">
        <f t="shared" si="162"/>
        <v xml:space="preserve"> CANOCHIC        </v>
      </c>
      <c r="H3486" s="20" t="str">
        <f t="shared" si="163"/>
        <v>FEUPE</v>
      </c>
      <c r="I3486" s="20">
        <f t="shared" si="164"/>
        <v>0</v>
      </c>
    </row>
    <row r="3487" spans="1:9">
      <c r="A3487" s="17" t="s">
        <v>1504</v>
      </c>
      <c r="B3487" s="17" t="s">
        <v>1088</v>
      </c>
      <c r="C3487" s="17">
        <v>0</v>
      </c>
      <c r="D3487" s="17" t="s">
        <v>801</v>
      </c>
      <c r="E3487" s="18">
        <v>3004580242000</v>
      </c>
      <c r="G3487" s="20" t="str">
        <f t="shared" si="162"/>
        <v xml:space="preserve"> CANOCHIC        </v>
      </c>
      <c r="H3487" s="20" t="str">
        <f t="shared" si="163"/>
        <v xml:space="preserve">FEUR </v>
      </c>
      <c r="I3487" s="20">
        <f t="shared" si="164"/>
        <v>0</v>
      </c>
    </row>
    <row r="3488" spans="1:9">
      <c r="A3488" s="17" t="s">
        <v>1504</v>
      </c>
      <c r="B3488" s="17" t="s">
        <v>1513</v>
      </c>
      <c r="C3488" s="17">
        <v>0</v>
      </c>
      <c r="D3488" s="17" t="s">
        <v>801</v>
      </c>
      <c r="E3488" s="18">
        <v>3003881024001</v>
      </c>
      <c r="G3488" s="20" t="str">
        <f t="shared" si="162"/>
        <v xml:space="preserve"> CANOCHIC        </v>
      </c>
      <c r="H3488" s="20" t="str">
        <f t="shared" si="163"/>
        <v>FLABL</v>
      </c>
      <c r="I3488" s="20">
        <f t="shared" si="164"/>
        <v>0</v>
      </c>
    </row>
    <row r="3489" spans="1:9">
      <c r="A3489" s="17" t="s">
        <v>1504</v>
      </c>
      <c r="B3489" s="17" t="s">
        <v>1513</v>
      </c>
      <c r="C3489" s="17">
        <v>0</v>
      </c>
      <c r="D3489" s="17" t="s">
        <v>801</v>
      </c>
      <c r="E3489" s="18">
        <v>3004581024001</v>
      </c>
      <c r="G3489" s="20" t="str">
        <f t="shared" si="162"/>
        <v xml:space="preserve"> CANOCHIC        </v>
      </c>
      <c r="H3489" s="20" t="str">
        <f t="shared" si="163"/>
        <v>FLABL</v>
      </c>
      <c r="I3489" s="20">
        <f t="shared" si="164"/>
        <v>0</v>
      </c>
    </row>
    <row r="3490" spans="1:9">
      <c r="A3490" s="17" t="s">
        <v>1504</v>
      </c>
      <c r="B3490" s="17" t="s">
        <v>1514</v>
      </c>
      <c r="C3490" s="17">
        <v>0</v>
      </c>
      <c r="D3490" s="17" t="s">
        <v>801</v>
      </c>
      <c r="E3490" s="18">
        <v>3003881022007</v>
      </c>
      <c r="G3490" s="20" t="str">
        <f t="shared" si="162"/>
        <v xml:space="preserve"> CANOCHIC        </v>
      </c>
      <c r="H3490" s="20" t="str">
        <f t="shared" si="163"/>
        <v>FLABO</v>
      </c>
      <c r="I3490" s="20">
        <f t="shared" si="164"/>
        <v>0</v>
      </c>
    </row>
    <row r="3491" spans="1:9">
      <c r="A3491" s="17" t="s">
        <v>1504</v>
      </c>
      <c r="B3491" s="17" t="s">
        <v>1514</v>
      </c>
      <c r="C3491" s="17">
        <v>0</v>
      </c>
      <c r="D3491" s="17" t="s">
        <v>801</v>
      </c>
      <c r="E3491" s="18">
        <v>3004581022007</v>
      </c>
      <c r="G3491" s="20" t="str">
        <f t="shared" si="162"/>
        <v xml:space="preserve"> CANOCHIC        </v>
      </c>
      <c r="H3491" s="20" t="str">
        <f t="shared" si="163"/>
        <v>FLABO</v>
      </c>
      <c r="I3491" s="20">
        <f t="shared" si="164"/>
        <v>0</v>
      </c>
    </row>
    <row r="3492" spans="1:9">
      <c r="A3492" s="17" t="s">
        <v>1504</v>
      </c>
      <c r="B3492" s="17" t="s">
        <v>1353</v>
      </c>
      <c r="C3492" s="17">
        <v>0</v>
      </c>
      <c r="D3492" s="17" t="s">
        <v>801</v>
      </c>
      <c r="E3492" s="18">
        <v>3003881023004</v>
      </c>
      <c r="G3492" s="20" t="str">
        <f t="shared" si="162"/>
        <v xml:space="preserve"> CANOCHIC        </v>
      </c>
      <c r="H3492" s="20" t="str">
        <f t="shared" si="163"/>
        <v>FLAGR</v>
      </c>
      <c r="I3492" s="20">
        <f t="shared" si="164"/>
        <v>0</v>
      </c>
    </row>
    <row r="3493" spans="1:9">
      <c r="A3493" s="17" t="s">
        <v>1504</v>
      </c>
      <c r="B3493" s="17" t="s">
        <v>1353</v>
      </c>
      <c r="C3493" s="17">
        <v>0</v>
      </c>
      <c r="D3493" s="17" t="s">
        <v>801</v>
      </c>
      <c r="E3493" s="18">
        <v>3004581023004</v>
      </c>
      <c r="G3493" s="20" t="str">
        <f t="shared" si="162"/>
        <v xml:space="preserve"> CANOCHIC        </v>
      </c>
      <c r="H3493" s="20" t="str">
        <f t="shared" si="163"/>
        <v>FLAGR</v>
      </c>
      <c r="I3493" s="20">
        <f t="shared" si="164"/>
        <v>0</v>
      </c>
    </row>
    <row r="3494" spans="1:9">
      <c r="A3494" s="17" t="s">
        <v>1504</v>
      </c>
      <c r="B3494" s="17" t="s">
        <v>1356</v>
      </c>
      <c r="C3494" s="17">
        <v>0</v>
      </c>
      <c r="D3494" s="17" t="s">
        <v>801</v>
      </c>
      <c r="E3494" s="18">
        <v>3003880761006</v>
      </c>
      <c r="G3494" s="20" t="str">
        <f t="shared" si="162"/>
        <v xml:space="preserve"> CANOCHIC        </v>
      </c>
      <c r="H3494" s="20" t="str">
        <f t="shared" si="163"/>
        <v>FLOWE</v>
      </c>
      <c r="I3494" s="20">
        <f t="shared" si="164"/>
        <v>0</v>
      </c>
    </row>
    <row r="3495" spans="1:9">
      <c r="A3495" s="17" t="s">
        <v>1504</v>
      </c>
      <c r="B3495" s="17" t="s">
        <v>858</v>
      </c>
      <c r="C3495" s="17">
        <v>0</v>
      </c>
      <c r="D3495" s="17" t="s">
        <v>801</v>
      </c>
      <c r="E3495" s="18">
        <v>3004580002000</v>
      </c>
      <c r="G3495" s="20" t="str">
        <f t="shared" si="162"/>
        <v xml:space="preserve"> CANOCHIC        </v>
      </c>
      <c r="H3495" s="20" t="str">
        <f t="shared" si="163"/>
        <v xml:space="preserve">GREY </v>
      </c>
      <c r="I3495" s="20">
        <f t="shared" si="164"/>
        <v>0</v>
      </c>
    </row>
    <row r="3496" spans="1:9">
      <c r="A3496" s="17" t="s">
        <v>1504</v>
      </c>
      <c r="B3496" s="17" t="s">
        <v>1298</v>
      </c>
      <c r="C3496" s="17">
        <v>0</v>
      </c>
      <c r="D3496" s="17" t="s">
        <v>801</v>
      </c>
      <c r="E3496" s="18">
        <v>3004580679004</v>
      </c>
      <c r="G3496" s="20" t="str">
        <f t="shared" si="162"/>
        <v xml:space="preserve"> CANOCHIC        </v>
      </c>
      <c r="H3496" s="20" t="str">
        <f t="shared" si="163"/>
        <v>LAIAN</v>
      </c>
      <c r="I3496" s="20">
        <f t="shared" si="164"/>
        <v>0</v>
      </c>
    </row>
    <row r="3497" spans="1:9">
      <c r="A3497" s="17" t="s">
        <v>1504</v>
      </c>
      <c r="B3497" s="17" t="s">
        <v>1299</v>
      </c>
      <c r="C3497" s="17">
        <v>0</v>
      </c>
      <c r="D3497" s="17" t="s">
        <v>801</v>
      </c>
      <c r="E3497" s="18">
        <v>8058983598672</v>
      </c>
      <c r="G3497" s="20" t="str">
        <f t="shared" si="162"/>
        <v xml:space="preserve"> CANOCHIC        </v>
      </c>
      <c r="H3497" s="20" t="str">
        <f t="shared" si="163"/>
        <v>LAIBL</v>
      </c>
      <c r="I3497" s="20">
        <f t="shared" si="164"/>
        <v>0</v>
      </c>
    </row>
    <row r="3498" spans="1:9">
      <c r="A3498" s="17" t="s">
        <v>1504</v>
      </c>
      <c r="B3498" s="17" t="s">
        <v>1299</v>
      </c>
      <c r="C3498" s="17">
        <v>0</v>
      </c>
      <c r="D3498" s="17" t="s">
        <v>801</v>
      </c>
      <c r="E3498" s="18">
        <v>3004580343004</v>
      </c>
      <c r="G3498" s="20" t="str">
        <f t="shared" si="162"/>
        <v xml:space="preserve"> CANOCHIC        </v>
      </c>
      <c r="H3498" s="20" t="str">
        <f t="shared" si="163"/>
        <v>LAIBL</v>
      </c>
      <c r="I3498" s="20">
        <f t="shared" si="164"/>
        <v>0</v>
      </c>
    </row>
    <row r="3499" spans="1:9">
      <c r="A3499" s="17" t="s">
        <v>1504</v>
      </c>
      <c r="B3499" s="17" t="s">
        <v>1515</v>
      </c>
      <c r="C3499" s="17">
        <v>0</v>
      </c>
      <c r="D3499" s="17" t="s">
        <v>801</v>
      </c>
      <c r="E3499" s="18">
        <v>8058983598665</v>
      </c>
      <c r="G3499" s="20" t="str">
        <f t="shared" si="162"/>
        <v xml:space="preserve"> CANOCHIC        </v>
      </c>
      <c r="H3499" s="20" t="str">
        <f t="shared" si="163"/>
        <v>LAIBO</v>
      </c>
      <c r="I3499" s="20">
        <f t="shared" si="164"/>
        <v>0</v>
      </c>
    </row>
    <row r="3500" spans="1:9">
      <c r="A3500" s="17" t="s">
        <v>1504</v>
      </c>
      <c r="B3500" s="17" t="s">
        <v>1515</v>
      </c>
      <c r="C3500" s="17">
        <v>0</v>
      </c>
      <c r="D3500" s="17" t="s">
        <v>801</v>
      </c>
      <c r="E3500" s="18">
        <v>8056300453918</v>
      </c>
      <c r="G3500" s="20" t="str">
        <f t="shared" si="162"/>
        <v xml:space="preserve"> CANOCHIC        </v>
      </c>
      <c r="H3500" s="20" t="str">
        <f t="shared" si="163"/>
        <v>LAIBO</v>
      </c>
      <c r="I3500" s="20">
        <f t="shared" si="164"/>
        <v>0</v>
      </c>
    </row>
    <row r="3501" spans="1:9">
      <c r="A3501" s="17" t="s">
        <v>1504</v>
      </c>
      <c r="B3501" s="17" t="s">
        <v>1515</v>
      </c>
      <c r="C3501" s="17">
        <v>0</v>
      </c>
      <c r="D3501" s="17" t="s">
        <v>801</v>
      </c>
      <c r="E3501" s="18">
        <v>3004580565000</v>
      </c>
      <c r="G3501" s="20" t="str">
        <f t="shared" si="162"/>
        <v xml:space="preserve"> CANOCHIC        </v>
      </c>
      <c r="H3501" s="20" t="str">
        <f t="shared" si="163"/>
        <v>LAIBO</v>
      </c>
      <c r="I3501" s="20">
        <f t="shared" si="164"/>
        <v>0</v>
      </c>
    </row>
    <row r="3502" spans="1:9">
      <c r="A3502" s="17" t="s">
        <v>1504</v>
      </c>
      <c r="B3502" s="17" t="s">
        <v>1516</v>
      </c>
      <c r="C3502" s="17">
        <v>0</v>
      </c>
      <c r="D3502" s="17" t="s">
        <v>801</v>
      </c>
      <c r="E3502" s="18">
        <v>8058983598689</v>
      </c>
      <c r="G3502" s="20" t="str">
        <f t="shared" si="162"/>
        <v xml:space="preserve"> CANOCHIC        </v>
      </c>
      <c r="H3502" s="20" t="str">
        <f t="shared" si="163"/>
        <v>LAIGR</v>
      </c>
      <c r="I3502" s="20">
        <f t="shared" si="164"/>
        <v>0</v>
      </c>
    </row>
    <row r="3503" spans="1:9">
      <c r="A3503" s="17" t="s">
        <v>1504</v>
      </c>
      <c r="B3503" s="17" t="s">
        <v>1516</v>
      </c>
      <c r="C3503" s="17">
        <v>0</v>
      </c>
      <c r="D3503" s="17" t="s">
        <v>801</v>
      </c>
      <c r="E3503" s="18">
        <v>3004580344001</v>
      </c>
      <c r="G3503" s="20" t="str">
        <f t="shared" si="162"/>
        <v xml:space="preserve"> CANOCHIC        </v>
      </c>
      <c r="H3503" s="20" t="str">
        <f t="shared" si="163"/>
        <v>LAIGR</v>
      </c>
      <c r="I3503" s="20">
        <f t="shared" si="164"/>
        <v>0</v>
      </c>
    </row>
    <row r="3504" spans="1:9">
      <c r="A3504" s="17" t="s">
        <v>1504</v>
      </c>
      <c r="B3504" s="17" t="s">
        <v>1517</v>
      </c>
      <c r="C3504" s="17">
        <v>0</v>
      </c>
      <c r="D3504" s="17" t="s">
        <v>801</v>
      </c>
      <c r="E3504" s="18">
        <v>3003880701002</v>
      </c>
      <c r="G3504" s="20" t="str">
        <f t="shared" si="162"/>
        <v xml:space="preserve"> CANOCHIC        </v>
      </c>
      <c r="H3504" s="20" t="str">
        <f t="shared" si="163"/>
        <v>LAMAR</v>
      </c>
      <c r="I3504" s="20">
        <f t="shared" si="164"/>
        <v>0</v>
      </c>
    </row>
    <row r="3505" spans="1:9">
      <c r="A3505" s="17" t="s">
        <v>1504</v>
      </c>
      <c r="B3505" s="17" t="s">
        <v>1518</v>
      </c>
      <c r="C3505" s="17">
        <v>0</v>
      </c>
      <c r="D3505" s="17" t="s">
        <v>801</v>
      </c>
      <c r="E3505" s="18">
        <v>3003880702009</v>
      </c>
      <c r="G3505" s="20" t="str">
        <f t="shared" si="162"/>
        <v xml:space="preserve"> CANOCHIC        </v>
      </c>
      <c r="H3505" s="20" t="str">
        <f t="shared" si="163"/>
        <v>LAMBE</v>
      </c>
      <c r="I3505" s="20">
        <f t="shared" si="164"/>
        <v>0</v>
      </c>
    </row>
    <row r="3506" spans="1:9">
      <c r="A3506" s="17" t="s">
        <v>1504</v>
      </c>
      <c r="B3506" s="17" t="s">
        <v>1519</v>
      </c>
      <c r="C3506" s="17">
        <v>0</v>
      </c>
      <c r="D3506" s="17" t="s">
        <v>801</v>
      </c>
      <c r="E3506" s="18">
        <v>3003880703006</v>
      </c>
      <c r="G3506" s="20" t="str">
        <f t="shared" si="162"/>
        <v xml:space="preserve"> CANOCHIC        </v>
      </c>
      <c r="H3506" s="20" t="str">
        <f t="shared" si="163"/>
        <v>LAMBL</v>
      </c>
      <c r="I3506" s="20">
        <f t="shared" si="164"/>
        <v>0</v>
      </c>
    </row>
    <row r="3507" spans="1:9">
      <c r="A3507" s="17" t="s">
        <v>1504</v>
      </c>
      <c r="B3507" s="17" t="s">
        <v>1520</v>
      </c>
      <c r="C3507" s="17">
        <v>0</v>
      </c>
      <c r="D3507" s="17" t="s">
        <v>801</v>
      </c>
      <c r="E3507" s="18">
        <v>3003880704003</v>
      </c>
      <c r="G3507" s="20" t="str">
        <f t="shared" si="162"/>
        <v xml:space="preserve"> CANOCHIC        </v>
      </c>
      <c r="H3507" s="20" t="str">
        <f t="shared" si="163"/>
        <v>LAMRO</v>
      </c>
      <c r="I3507" s="20">
        <f t="shared" si="164"/>
        <v>0</v>
      </c>
    </row>
    <row r="3508" spans="1:9">
      <c r="A3508" s="17" t="s">
        <v>1504</v>
      </c>
      <c r="B3508" s="17" t="s">
        <v>1521</v>
      </c>
      <c r="C3508" s="17">
        <v>0</v>
      </c>
      <c r="D3508" s="17" t="s">
        <v>801</v>
      </c>
      <c r="E3508" s="18">
        <v>3003880705000</v>
      </c>
      <c r="G3508" s="20" t="str">
        <f t="shared" si="162"/>
        <v xml:space="preserve"> CANOCHIC        </v>
      </c>
      <c r="H3508" s="20" t="str">
        <f t="shared" si="163"/>
        <v>LAMVE</v>
      </c>
      <c r="I3508" s="20">
        <f t="shared" si="164"/>
        <v>0</v>
      </c>
    </row>
    <row r="3509" spans="1:9">
      <c r="A3509" s="17" t="s">
        <v>1504</v>
      </c>
      <c r="B3509" s="17" t="s">
        <v>1522</v>
      </c>
      <c r="C3509" s="17">
        <v>0</v>
      </c>
      <c r="D3509" s="17" t="s">
        <v>801</v>
      </c>
      <c r="E3509" s="18">
        <v>8058983598634</v>
      </c>
      <c r="G3509" s="20" t="str">
        <f t="shared" si="162"/>
        <v xml:space="preserve"> CANOCHIC        </v>
      </c>
      <c r="H3509" s="20" t="str">
        <f t="shared" si="163"/>
        <v>MICDK</v>
      </c>
      <c r="I3509" s="20">
        <f t="shared" si="164"/>
        <v>0</v>
      </c>
    </row>
    <row r="3510" spans="1:9">
      <c r="A3510" s="17" t="s">
        <v>1504</v>
      </c>
      <c r="B3510" s="17" t="s">
        <v>1522</v>
      </c>
      <c r="C3510" s="17">
        <v>0</v>
      </c>
      <c r="D3510" s="17" t="s">
        <v>801</v>
      </c>
      <c r="E3510" s="18">
        <v>3004580568001</v>
      </c>
      <c r="G3510" s="20" t="str">
        <f t="shared" si="162"/>
        <v xml:space="preserve"> CANOCHIC        </v>
      </c>
      <c r="H3510" s="20" t="str">
        <f t="shared" si="163"/>
        <v>MICDK</v>
      </c>
      <c r="I3510" s="20">
        <f t="shared" si="164"/>
        <v>0</v>
      </c>
    </row>
    <row r="3511" spans="1:9">
      <c r="A3511" s="17" t="s">
        <v>1504</v>
      </c>
      <c r="B3511" s="17" t="s">
        <v>1523</v>
      </c>
      <c r="C3511" s="17">
        <v>0</v>
      </c>
      <c r="D3511" s="17" t="s">
        <v>801</v>
      </c>
      <c r="E3511" s="18">
        <v>8058983598641</v>
      </c>
      <c r="G3511" s="20" t="str">
        <f t="shared" si="162"/>
        <v xml:space="preserve"> CANOCHIC        </v>
      </c>
      <c r="H3511" s="20" t="str">
        <f t="shared" si="163"/>
        <v>MICDO</v>
      </c>
      <c r="I3511" s="20">
        <f t="shared" si="164"/>
        <v>0</v>
      </c>
    </row>
    <row r="3512" spans="1:9">
      <c r="A3512" s="17" t="s">
        <v>1504</v>
      </c>
      <c r="B3512" s="17" t="s">
        <v>1523</v>
      </c>
      <c r="C3512" s="17">
        <v>0</v>
      </c>
      <c r="D3512" s="17" t="s">
        <v>801</v>
      </c>
      <c r="E3512" s="18">
        <v>3004580567004</v>
      </c>
      <c r="G3512" s="20" t="str">
        <f t="shared" si="162"/>
        <v xml:space="preserve"> CANOCHIC        </v>
      </c>
      <c r="H3512" s="20" t="str">
        <f t="shared" si="163"/>
        <v>MICDO</v>
      </c>
      <c r="I3512" s="20">
        <f t="shared" si="164"/>
        <v>0</v>
      </c>
    </row>
    <row r="3513" spans="1:9">
      <c r="A3513" s="17" t="s">
        <v>1504</v>
      </c>
      <c r="B3513" s="17" t="s">
        <v>1524</v>
      </c>
      <c r="C3513" s="17">
        <v>0</v>
      </c>
      <c r="D3513" s="17" t="s">
        <v>801</v>
      </c>
      <c r="E3513" s="18">
        <v>8058983598627</v>
      </c>
      <c r="G3513" s="20" t="str">
        <f t="shared" si="162"/>
        <v xml:space="preserve"> CANOCHIC        </v>
      </c>
      <c r="H3513" s="20" t="str">
        <f t="shared" si="163"/>
        <v>MICGR</v>
      </c>
      <c r="I3513" s="20">
        <f t="shared" si="164"/>
        <v>0</v>
      </c>
    </row>
    <row r="3514" spans="1:9">
      <c r="A3514" s="17" t="s">
        <v>1504</v>
      </c>
      <c r="B3514" s="17" t="s">
        <v>1524</v>
      </c>
      <c r="C3514" s="17">
        <v>0</v>
      </c>
      <c r="D3514" s="17" t="s">
        <v>801</v>
      </c>
      <c r="E3514" s="18">
        <v>3004580566007</v>
      </c>
      <c r="G3514" s="20" t="str">
        <f t="shared" si="162"/>
        <v xml:space="preserve"> CANOCHIC        </v>
      </c>
      <c r="H3514" s="20" t="str">
        <f t="shared" si="163"/>
        <v>MICGR</v>
      </c>
      <c r="I3514" s="20">
        <f t="shared" si="164"/>
        <v>0</v>
      </c>
    </row>
    <row r="3515" spans="1:9">
      <c r="A3515" s="17" t="s">
        <v>1504</v>
      </c>
      <c r="B3515" s="17" t="s">
        <v>859</v>
      </c>
      <c r="C3515" s="17">
        <v>0</v>
      </c>
      <c r="D3515" s="17" t="s">
        <v>801</v>
      </c>
      <c r="E3515" s="18">
        <v>3004580597001</v>
      </c>
      <c r="G3515" s="20" t="str">
        <f t="shared" si="162"/>
        <v xml:space="preserve"> CANOCHIC        </v>
      </c>
      <c r="H3515" s="20" t="str">
        <f t="shared" si="163"/>
        <v>NATUR</v>
      </c>
      <c r="I3515" s="20">
        <f t="shared" si="164"/>
        <v>0</v>
      </c>
    </row>
    <row r="3516" spans="1:9">
      <c r="A3516" s="17" t="s">
        <v>1504</v>
      </c>
      <c r="B3516" s="17" t="s">
        <v>859</v>
      </c>
      <c r="C3516" s="17">
        <v>0</v>
      </c>
      <c r="D3516" s="17" t="s">
        <v>801</v>
      </c>
      <c r="E3516" s="18">
        <v>8058333583945</v>
      </c>
      <c r="G3516" s="20" t="str">
        <f t="shared" si="162"/>
        <v xml:space="preserve"> CANOCHIC        </v>
      </c>
      <c r="H3516" s="20" t="str">
        <f t="shared" si="163"/>
        <v>NATUR</v>
      </c>
      <c r="I3516" s="20">
        <f t="shared" si="164"/>
        <v>0</v>
      </c>
    </row>
    <row r="3517" spans="1:9">
      <c r="A3517" s="17" t="s">
        <v>1504</v>
      </c>
      <c r="B3517" s="17" t="s">
        <v>1386</v>
      </c>
      <c r="C3517" s="17">
        <v>0</v>
      </c>
      <c r="D3517" s="17" t="s">
        <v>801</v>
      </c>
      <c r="E3517" s="18">
        <v>8056095063361</v>
      </c>
      <c r="G3517" s="20" t="str">
        <f t="shared" si="162"/>
        <v xml:space="preserve"> CANOCHIC        </v>
      </c>
      <c r="H3517" s="20" t="str">
        <f t="shared" si="163"/>
        <v>ODPSA</v>
      </c>
      <c r="I3517" s="20">
        <f t="shared" si="164"/>
        <v>0</v>
      </c>
    </row>
    <row r="3518" spans="1:9">
      <c r="A3518" s="17" t="s">
        <v>1504</v>
      </c>
      <c r="B3518" s="17" t="s">
        <v>1386</v>
      </c>
      <c r="C3518" s="17">
        <v>0</v>
      </c>
      <c r="D3518" s="17" t="s">
        <v>801</v>
      </c>
      <c r="E3518" s="18">
        <v>3003881107001</v>
      </c>
      <c r="G3518" s="20" t="str">
        <f t="shared" si="162"/>
        <v xml:space="preserve"> CANOCHIC        </v>
      </c>
      <c r="H3518" s="20" t="str">
        <f t="shared" si="163"/>
        <v>ODPSA</v>
      </c>
      <c r="I3518" s="20">
        <f t="shared" si="164"/>
        <v>0</v>
      </c>
    </row>
    <row r="3519" spans="1:9">
      <c r="A3519" s="17" t="s">
        <v>1504</v>
      </c>
      <c r="B3519" s="17" t="s">
        <v>953</v>
      </c>
      <c r="C3519" s="17">
        <v>0</v>
      </c>
      <c r="D3519" s="17" t="s">
        <v>801</v>
      </c>
      <c r="E3519" s="18">
        <v>8056095063385</v>
      </c>
      <c r="G3519" s="20" t="str">
        <f t="shared" si="162"/>
        <v xml:space="preserve"> CANOCHIC        </v>
      </c>
      <c r="H3519" s="20" t="str">
        <f t="shared" si="163"/>
        <v>ODPTO</v>
      </c>
      <c r="I3519" s="20">
        <f t="shared" si="164"/>
        <v>0</v>
      </c>
    </row>
    <row r="3520" spans="1:9">
      <c r="A3520" s="17" t="s">
        <v>1504</v>
      </c>
      <c r="B3520" s="17" t="s">
        <v>953</v>
      </c>
      <c r="C3520" s="17">
        <v>0</v>
      </c>
      <c r="D3520" s="17" t="s">
        <v>801</v>
      </c>
      <c r="E3520" s="18">
        <v>3003881106004</v>
      </c>
      <c r="G3520" s="20" t="str">
        <f t="shared" si="162"/>
        <v xml:space="preserve"> CANOCHIC        </v>
      </c>
      <c r="H3520" s="20" t="str">
        <f t="shared" si="163"/>
        <v>ODPTO</v>
      </c>
      <c r="I3520" s="20">
        <f t="shared" si="164"/>
        <v>0</v>
      </c>
    </row>
    <row r="3521" spans="1:9">
      <c r="A3521" s="17" t="s">
        <v>1504</v>
      </c>
      <c r="B3521" s="17" t="s">
        <v>954</v>
      </c>
      <c r="C3521" s="17">
        <v>0</v>
      </c>
      <c r="D3521" s="17" t="s">
        <v>801</v>
      </c>
      <c r="E3521" s="18">
        <v>8056095063378</v>
      </c>
      <c r="G3521" s="20" t="str">
        <f t="shared" si="162"/>
        <v xml:space="preserve"> CANOCHIC        </v>
      </c>
      <c r="H3521" s="20" t="str">
        <f t="shared" si="163"/>
        <v>ODPVE</v>
      </c>
      <c r="I3521" s="20">
        <f t="shared" si="164"/>
        <v>0</v>
      </c>
    </row>
    <row r="3522" spans="1:9">
      <c r="A3522" s="17" t="s">
        <v>1504</v>
      </c>
      <c r="B3522" s="17" t="s">
        <v>954</v>
      </c>
      <c r="C3522" s="17">
        <v>0</v>
      </c>
      <c r="D3522" s="17" t="s">
        <v>801</v>
      </c>
      <c r="E3522" s="18">
        <v>3003881134007</v>
      </c>
      <c r="G3522" s="20" t="str">
        <f t="shared" si="162"/>
        <v xml:space="preserve"> CANOCHIC        </v>
      </c>
      <c r="H3522" s="20" t="str">
        <f t="shared" si="163"/>
        <v>ODPVE</v>
      </c>
      <c r="I3522" s="20">
        <f t="shared" si="164"/>
        <v>0</v>
      </c>
    </row>
    <row r="3523" spans="1:9">
      <c r="A3523" s="17" t="s">
        <v>1504</v>
      </c>
      <c r="B3523" s="17" t="s">
        <v>971</v>
      </c>
      <c r="C3523" s="17">
        <v>0</v>
      </c>
      <c r="D3523" s="17" t="s">
        <v>801</v>
      </c>
      <c r="E3523" s="18">
        <v>3004580394006</v>
      </c>
      <c r="G3523" s="20" t="str">
        <f t="shared" si="162"/>
        <v xml:space="preserve"> CANOCHIC        </v>
      </c>
      <c r="H3523" s="20" t="str">
        <f t="shared" si="163"/>
        <v>OTTAN</v>
      </c>
      <c r="I3523" s="20">
        <f t="shared" si="164"/>
        <v>0</v>
      </c>
    </row>
    <row r="3524" spans="1:9">
      <c r="A3524" s="17" t="s">
        <v>1504</v>
      </c>
      <c r="B3524" s="17" t="s">
        <v>1525</v>
      </c>
      <c r="C3524" s="17">
        <v>0</v>
      </c>
      <c r="D3524" s="17" t="s">
        <v>801</v>
      </c>
      <c r="E3524" s="18">
        <v>8056099171277</v>
      </c>
      <c r="G3524" s="20" t="str">
        <f t="shared" si="162"/>
        <v xml:space="preserve"> CANOCHIC        </v>
      </c>
      <c r="H3524" s="20" t="str">
        <f t="shared" si="163"/>
        <v>OXBLA</v>
      </c>
      <c r="I3524" s="20">
        <f t="shared" si="164"/>
        <v>0</v>
      </c>
    </row>
    <row r="3525" spans="1:9">
      <c r="A3525" s="17" t="s">
        <v>1504</v>
      </c>
      <c r="B3525" s="17" t="s">
        <v>1526</v>
      </c>
      <c r="C3525" s="17">
        <v>0</v>
      </c>
      <c r="D3525" s="17" t="s">
        <v>801</v>
      </c>
      <c r="E3525" s="18">
        <v>8056099171260</v>
      </c>
      <c r="G3525" s="20" t="str">
        <f t="shared" ref="G3525:G3588" si="165">A3525</f>
        <v xml:space="preserve"> CANOCHIC        </v>
      </c>
      <c r="H3525" s="20" t="str">
        <f t="shared" ref="H3525:H3588" si="166">B3525</f>
        <v>OXRED</v>
      </c>
      <c r="I3525" s="20">
        <f t="shared" ref="I3525:I3588" si="167">C3525</f>
        <v>0</v>
      </c>
    </row>
    <row r="3526" spans="1:9">
      <c r="A3526" s="17" t="s">
        <v>1504</v>
      </c>
      <c r="B3526" s="17" t="s">
        <v>1527</v>
      </c>
      <c r="C3526" s="17">
        <v>0</v>
      </c>
      <c r="D3526" s="17" t="s">
        <v>801</v>
      </c>
      <c r="E3526" s="18">
        <v>8056099171253</v>
      </c>
      <c r="G3526" s="20" t="str">
        <f t="shared" si="165"/>
        <v xml:space="preserve"> CANOCHIC        </v>
      </c>
      <c r="H3526" s="20" t="str">
        <f t="shared" si="166"/>
        <v>SAKBL</v>
      </c>
      <c r="I3526" s="20">
        <f t="shared" si="167"/>
        <v>0</v>
      </c>
    </row>
    <row r="3527" spans="1:9">
      <c r="A3527" s="17" t="s">
        <v>1504</v>
      </c>
      <c r="B3527" s="17" t="s">
        <v>1034</v>
      </c>
      <c r="C3527" s="17">
        <v>0</v>
      </c>
      <c r="D3527" s="17" t="s">
        <v>801</v>
      </c>
      <c r="E3527" s="18">
        <v>3004580006008</v>
      </c>
      <c r="G3527" s="20" t="str">
        <f t="shared" si="165"/>
        <v xml:space="preserve"> CANOCHIC        </v>
      </c>
      <c r="H3527" s="20" t="str">
        <f t="shared" si="166"/>
        <v>TAUPE</v>
      </c>
      <c r="I3527" s="20">
        <f t="shared" si="167"/>
        <v>0</v>
      </c>
    </row>
    <row r="3528" spans="1:9">
      <c r="A3528" s="17" t="s">
        <v>1504</v>
      </c>
      <c r="B3528" s="17" t="s">
        <v>1415</v>
      </c>
      <c r="C3528" s="17">
        <v>0</v>
      </c>
      <c r="D3528" s="17" t="s">
        <v>801</v>
      </c>
      <c r="E3528" s="18">
        <v>3003880760009</v>
      </c>
      <c r="G3528" s="20" t="str">
        <f t="shared" si="165"/>
        <v xml:space="preserve"> CANOCHIC        </v>
      </c>
      <c r="H3528" s="20" t="str">
        <f t="shared" si="166"/>
        <v>TOUCA</v>
      </c>
      <c r="I3528" s="20">
        <f t="shared" si="167"/>
        <v>0</v>
      </c>
    </row>
    <row r="3529" spans="1:9">
      <c r="A3529" s="17" t="s">
        <v>1504</v>
      </c>
      <c r="B3529" s="17" t="s">
        <v>273</v>
      </c>
      <c r="C3529" s="17">
        <v>0</v>
      </c>
      <c r="D3529" s="17" t="s">
        <v>801</v>
      </c>
      <c r="E3529" s="18">
        <v>3004580005001</v>
      </c>
      <c r="G3529" s="20" t="str">
        <f t="shared" si="165"/>
        <v xml:space="preserve"> CANOCHIC        </v>
      </c>
      <c r="H3529" s="20" t="str">
        <f t="shared" si="166"/>
        <v>WHITE</v>
      </c>
      <c r="I3529" s="20">
        <f t="shared" si="167"/>
        <v>0</v>
      </c>
    </row>
    <row r="3530" spans="1:9">
      <c r="A3530" s="17" t="s">
        <v>1504</v>
      </c>
      <c r="B3530" s="17" t="s">
        <v>273</v>
      </c>
      <c r="C3530" s="17">
        <v>0</v>
      </c>
      <c r="D3530" s="17" t="s">
        <v>801</v>
      </c>
      <c r="E3530" s="18">
        <v>8058983598658</v>
      </c>
      <c r="G3530" s="20" t="str">
        <f t="shared" si="165"/>
        <v xml:space="preserve"> CANOCHIC        </v>
      </c>
      <c r="H3530" s="20" t="str">
        <f t="shared" si="166"/>
        <v>WHITE</v>
      </c>
      <c r="I3530" s="20">
        <f t="shared" si="167"/>
        <v>0</v>
      </c>
    </row>
    <row r="3531" spans="1:9">
      <c r="A3531" s="17" t="s">
        <v>1504</v>
      </c>
      <c r="B3531" s="17" t="s">
        <v>1497</v>
      </c>
      <c r="C3531" s="17">
        <v>0</v>
      </c>
      <c r="D3531" s="17" t="s">
        <v>801</v>
      </c>
      <c r="E3531" s="18">
        <v>3003880762003</v>
      </c>
      <c r="G3531" s="20" t="str">
        <f t="shared" si="165"/>
        <v xml:space="preserve"> CANOCHIC        </v>
      </c>
      <c r="H3531" s="20" t="str">
        <f t="shared" si="166"/>
        <v>ZEBRA</v>
      </c>
      <c r="I3531" s="20">
        <f t="shared" si="167"/>
        <v>0</v>
      </c>
    </row>
    <row r="3532" spans="1:9">
      <c r="A3532" s="17" t="s">
        <v>1528</v>
      </c>
      <c r="B3532" s="17" t="s">
        <v>969</v>
      </c>
      <c r="C3532" s="17">
        <v>0</v>
      </c>
      <c r="D3532" s="17" t="s">
        <v>801</v>
      </c>
      <c r="E3532" s="18">
        <v>8050538595068</v>
      </c>
      <c r="G3532" s="20" t="str">
        <f t="shared" si="165"/>
        <v xml:space="preserve"> CANOCITY        </v>
      </c>
      <c r="H3532" s="20" t="str">
        <f t="shared" si="166"/>
        <v>3DLAT</v>
      </c>
      <c r="I3532" s="20">
        <f t="shared" si="167"/>
        <v>0</v>
      </c>
    </row>
    <row r="3533" spans="1:9">
      <c r="A3533" s="17" t="s">
        <v>1528</v>
      </c>
      <c r="B3533" s="17" t="s">
        <v>1529</v>
      </c>
      <c r="C3533" s="17">
        <v>0</v>
      </c>
      <c r="D3533" s="17" t="s">
        <v>801</v>
      </c>
      <c r="E3533" s="18">
        <v>8056099171406</v>
      </c>
      <c r="G3533" s="20" t="str">
        <f t="shared" si="165"/>
        <v xml:space="preserve"> CANOCITY        </v>
      </c>
      <c r="H3533" s="20" t="str">
        <f t="shared" si="166"/>
        <v>AJCOG</v>
      </c>
      <c r="I3533" s="20">
        <f t="shared" si="167"/>
        <v>0</v>
      </c>
    </row>
    <row r="3534" spans="1:9">
      <c r="A3534" s="17" t="s">
        <v>1528</v>
      </c>
      <c r="B3534" s="17" t="s">
        <v>1529</v>
      </c>
      <c r="C3534" s="17">
        <v>0</v>
      </c>
      <c r="D3534" s="17" t="s">
        <v>801</v>
      </c>
      <c r="E3534" s="18">
        <v>3004631294002</v>
      </c>
      <c r="G3534" s="20" t="str">
        <f t="shared" si="165"/>
        <v xml:space="preserve"> CANOCITY        </v>
      </c>
      <c r="H3534" s="20" t="str">
        <f t="shared" si="166"/>
        <v>AJCOG</v>
      </c>
      <c r="I3534" s="20">
        <f t="shared" si="167"/>
        <v>0</v>
      </c>
    </row>
    <row r="3535" spans="1:9">
      <c r="A3535" s="17" t="s">
        <v>1528</v>
      </c>
      <c r="B3535" s="17" t="s">
        <v>1475</v>
      </c>
      <c r="C3535" s="17">
        <v>0</v>
      </c>
      <c r="D3535" s="17" t="s">
        <v>801</v>
      </c>
      <c r="E3535" s="18">
        <v>8056099171390</v>
      </c>
      <c r="G3535" s="20" t="str">
        <f t="shared" si="165"/>
        <v xml:space="preserve"> CANOCITY        </v>
      </c>
      <c r="H3535" s="20" t="str">
        <f t="shared" si="166"/>
        <v>AJNAT</v>
      </c>
      <c r="I3535" s="20">
        <f t="shared" si="167"/>
        <v>0</v>
      </c>
    </row>
    <row r="3536" spans="1:9">
      <c r="A3536" s="17" t="s">
        <v>1528</v>
      </c>
      <c r="B3536" s="17" t="s">
        <v>1475</v>
      </c>
      <c r="C3536" s="17">
        <v>0</v>
      </c>
      <c r="D3536" s="17" t="s">
        <v>801</v>
      </c>
      <c r="E3536" s="18">
        <v>3004631295009</v>
      </c>
      <c r="G3536" s="20" t="str">
        <f t="shared" si="165"/>
        <v xml:space="preserve"> CANOCITY        </v>
      </c>
      <c r="H3536" s="20" t="str">
        <f t="shared" si="166"/>
        <v>AJNAT</v>
      </c>
      <c r="I3536" s="20">
        <f t="shared" si="167"/>
        <v>0</v>
      </c>
    </row>
    <row r="3537" spans="1:9">
      <c r="A3537" s="17" t="s">
        <v>1528</v>
      </c>
      <c r="B3537" s="17" t="s">
        <v>1476</v>
      </c>
      <c r="C3537" s="17">
        <v>0</v>
      </c>
      <c r="D3537" s="17" t="s">
        <v>801</v>
      </c>
      <c r="E3537" s="18">
        <v>3004631293005</v>
      </c>
      <c r="G3537" s="20" t="str">
        <f t="shared" si="165"/>
        <v xml:space="preserve"> CANOCITY        </v>
      </c>
      <c r="H3537" s="20" t="str">
        <f t="shared" si="166"/>
        <v>AJWHI</v>
      </c>
      <c r="I3537" s="20">
        <f t="shared" si="167"/>
        <v>0</v>
      </c>
    </row>
    <row r="3538" spans="1:9">
      <c r="A3538" s="17" t="s">
        <v>1528</v>
      </c>
      <c r="B3538" s="17" t="s">
        <v>1530</v>
      </c>
      <c r="C3538" s="17">
        <v>0</v>
      </c>
      <c r="D3538" s="17" t="s">
        <v>801</v>
      </c>
      <c r="E3538" s="18">
        <v>3005291048004</v>
      </c>
      <c r="G3538" s="20" t="str">
        <f t="shared" si="165"/>
        <v xml:space="preserve"> CANOCITY        </v>
      </c>
      <c r="H3538" s="20" t="str">
        <f t="shared" si="166"/>
        <v>ANTRA</v>
      </c>
      <c r="I3538" s="20">
        <f t="shared" si="167"/>
        <v>0</v>
      </c>
    </row>
    <row r="3539" spans="1:9">
      <c r="A3539" s="17" t="s">
        <v>1528</v>
      </c>
      <c r="B3539" s="17" t="s">
        <v>1530</v>
      </c>
      <c r="C3539" s="17">
        <v>0</v>
      </c>
      <c r="D3539" s="17" t="s">
        <v>801</v>
      </c>
      <c r="E3539" s="18">
        <v>8056300450023</v>
      </c>
      <c r="G3539" s="20" t="str">
        <f t="shared" si="165"/>
        <v xml:space="preserve"> CANOCITY        </v>
      </c>
      <c r="H3539" s="20" t="str">
        <f t="shared" si="166"/>
        <v>ANTRA</v>
      </c>
      <c r="I3539" s="20">
        <f t="shared" si="167"/>
        <v>0</v>
      </c>
    </row>
    <row r="3540" spans="1:9">
      <c r="A3540" s="17" t="s">
        <v>1528</v>
      </c>
      <c r="B3540" s="17" t="s">
        <v>1530</v>
      </c>
      <c r="C3540" s="17">
        <v>0</v>
      </c>
      <c r="D3540" s="17" t="s">
        <v>801</v>
      </c>
      <c r="E3540" s="18">
        <v>3004631048001</v>
      </c>
      <c r="G3540" s="20" t="str">
        <f t="shared" si="165"/>
        <v xml:space="preserve"> CANOCITY        </v>
      </c>
      <c r="H3540" s="20" t="str">
        <f t="shared" si="166"/>
        <v>ANTRA</v>
      </c>
      <c r="I3540" s="20">
        <f t="shared" si="167"/>
        <v>0</v>
      </c>
    </row>
    <row r="3541" spans="1:9">
      <c r="A3541" s="17" t="s">
        <v>1528</v>
      </c>
      <c r="B3541" s="17" t="s">
        <v>1119</v>
      </c>
      <c r="C3541" s="17">
        <v>0</v>
      </c>
      <c r="D3541" s="17" t="s">
        <v>801</v>
      </c>
      <c r="E3541" s="18">
        <v>3004630751001</v>
      </c>
      <c r="G3541" s="20" t="str">
        <f t="shared" si="165"/>
        <v xml:space="preserve"> CANOCITY        </v>
      </c>
      <c r="H3541" s="20" t="str">
        <f t="shared" si="166"/>
        <v>ARANC</v>
      </c>
      <c r="I3541" s="20">
        <f t="shared" si="167"/>
        <v>0</v>
      </c>
    </row>
    <row r="3542" spans="1:9">
      <c r="A3542" s="17" t="s">
        <v>1528</v>
      </c>
      <c r="B3542" s="17" t="s">
        <v>1531</v>
      </c>
      <c r="C3542" s="17">
        <v>0</v>
      </c>
      <c r="D3542" s="17" t="s">
        <v>801</v>
      </c>
      <c r="E3542" s="18">
        <v>3004631517002</v>
      </c>
      <c r="G3542" s="20" t="str">
        <f t="shared" si="165"/>
        <v xml:space="preserve"> CANOCITY        </v>
      </c>
      <c r="H3542" s="20" t="str">
        <f t="shared" si="166"/>
        <v>ASTBL</v>
      </c>
      <c r="I3542" s="20">
        <f t="shared" si="167"/>
        <v>0</v>
      </c>
    </row>
    <row r="3543" spans="1:9">
      <c r="A3543" s="17" t="s">
        <v>1528</v>
      </c>
      <c r="B3543" s="17" t="s">
        <v>1531</v>
      </c>
      <c r="C3543" s="17">
        <v>0</v>
      </c>
      <c r="D3543" s="17" t="s">
        <v>801</v>
      </c>
      <c r="E3543" s="18">
        <v>8050846013407</v>
      </c>
      <c r="G3543" s="20" t="str">
        <f t="shared" si="165"/>
        <v xml:space="preserve"> CANOCITY        </v>
      </c>
      <c r="H3543" s="20" t="str">
        <f t="shared" si="166"/>
        <v>ASTBL</v>
      </c>
      <c r="I3543" s="20">
        <f t="shared" si="167"/>
        <v>0</v>
      </c>
    </row>
    <row r="3544" spans="1:9">
      <c r="A3544" s="17" t="s">
        <v>1528</v>
      </c>
      <c r="B3544" s="17" t="s">
        <v>810</v>
      </c>
      <c r="C3544" s="17">
        <v>0</v>
      </c>
      <c r="D3544" s="17" t="s">
        <v>801</v>
      </c>
      <c r="E3544" s="18">
        <v>3004630284004</v>
      </c>
      <c r="G3544" s="20" t="str">
        <f t="shared" si="165"/>
        <v xml:space="preserve"> CANOCITY        </v>
      </c>
      <c r="H3544" s="20" t="str">
        <f t="shared" si="166"/>
        <v xml:space="preserve">BLUE </v>
      </c>
      <c r="I3544" s="20">
        <f t="shared" si="167"/>
        <v>0</v>
      </c>
    </row>
    <row r="3545" spans="1:9">
      <c r="A3545" s="17" t="s">
        <v>1528</v>
      </c>
      <c r="B3545" s="17" t="s">
        <v>1532</v>
      </c>
      <c r="C3545" s="17">
        <v>0</v>
      </c>
      <c r="D3545" s="17" t="s">
        <v>801</v>
      </c>
      <c r="E3545" s="18">
        <v>8056099179068</v>
      </c>
      <c r="G3545" s="20" t="str">
        <f t="shared" si="165"/>
        <v xml:space="preserve"> CANOCITY        </v>
      </c>
      <c r="H3545" s="20" t="str">
        <f t="shared" si="166"/>
        <v>BOUAU</v>
      </c>
      <c r="I3545" s="20">
        <f t="shared" si="167"/>
        <v>0</v>
      </c>
    </row>
    <row r="3546" spans="1:9">
      <c r="A3546" s="17" t="s">
        <v>1528</v>
      </c>
      <c r="B3546" s="17" t="s">
        <v>1287</v>
      </c>
      <c r="C3546" s="17">
        <v>0</v>
      </c>
      <c r="D3546" s="17" t="s">
        <v>801</v>
      </c>
      <c r="E3546" s="18">
        <v>3005290641008</v>
      </c>
      <c r="G3546" s="20" t="str">
        <f t="shared" si="165"/>
        <v xml:space="preserve"> CANOCITY        </v>
      </c>
      <c r="H3546" s="20" t="str">
        <f t="shared" si="166"/>
        <v>BOUBL</v>
      </c>
      <c r="I3546" s="20">
        <f t="shared" si="167"/>
        <v>0</v>
      </c>
    </row>
    <row r="3547" spans="1:9">
      <c r="A3547" s="17" t="s">
        <v>1528</v>
      </c>
      <c r="B3547" s="17" t="s">
        <v>1287</v>
      </c>
      <c r="C3547" s="17">
        <v>0</v>
      </c>
      <c r="D3547" s="17" t="s">
        <v>801</v>
      </c>
      <c r="E3547" s="18">
        <v>3004630939003</v>
      </c>
      <c r="G3547" s="20" t="str">
        <f t="shared" si="165"/>
        <v xml:space="preserve"> CANOCITY        </v>
      </c>
      <c r="H3547" s="20" t="str">
        <f t="shared" si="166"/>
        <v>BOUBL</v>
      </c>
      <c r="I3547" s="20">
        <f t="shared" si="167"/>
        <v>0</v>
      </c>
    </row>
    <row r="3548" spans="1:9">
      <c r="A3548" s="17" t="s">
        <v>1528</v>
      </c>
      <c r="B3548" s="17" t="s">
        <v>1287</v>
      </c>
      <c r="C3548" s="17">
        <v>0</v>
      </c>
      <c r="D3548" s="17" t="s">
        <v>801</v>
      </c>
      <c r="E3548" s="18">
        <v>8056300454175</v>
      </c>
      <c r="G3548" s="20" t="str">
        <f t="shared" si="165"/>
        <v xml:space="preserve"> CANOCITY        </v>
      </c>
      <c r="H3548" s="20" t="str">
        <f t="shared" si="166"/>
        <v>BOUBL</v>
      </c>
      <c r="I3548" s="20">
        <f t="shared" si="167"/>
        <v>0</v>
      </c>
    </row>
    <row r="3549" spans="1:9">
      <c r="A3549" s="17" t="s">
        <v>1528</v>
      </c>
      <c r="B3549" s="17" t="s">
        <v>1288</v>
      </c>
      <c r="C3549" s="17">
        <v>0</v>
      </c>
      <c r="D3549" s="17" t="s">
        <v>801</v>
      </c>
      <c r="E3549" s="18">
        <v>8056099178153</v>
      </c>
      <c r="G3549" s="20" t="str">
        <f t="shared" si="165"/>
        <v xml:space="preserve"> CANOCITY        </v>
      </c>
      <c r="H3549" s="20" t="str">
        <f t="shared" si="166"/>
        <v>BOUBO</v>
      </c>
      <c r="I3549" s="20">
        <f t="shared" si="167"/>
        <v>0</v>
      </c>
    </row>
    <row r="3550" spans="1:9">
      <c r="A3550" s="17" t="s">
        <v>1528</v>
      </c>
      <c r="B3550" s="17" t="s">
        <v>1288</v>
      </c>
      <c r="C3550" s="17">
        <v>0</v>
      </c>
      <c r="D3550" s="17" t="s">
        <v>801</v>
      </c>
      <c r="E3550" s="18">
        <v>3004631046007</v>
      </c>
      <c r="G3550" s="20" t="str">
        <f t="shared" si="165"/>
        <v xml:space="preserve"> CANOCITY        </v>
      </c>
      <c r="H3550" s="20" t="str">
        <f t="shared" si="166"/>
        <v>BOUBO</v>
      </c>
      <c r="I3550" s="20">
        <f t="shared" si="167"/>
        <v>0</v>
      </c>
    </row>
    <row r="3551" spans="1:9">
      <c r="A3551" s="17" t="s">
        <v>1528</v>
      </c>
      <c r="B3551" s="17" t="s">
        <v>1288</v>
      </c>
      <c r="C3551" s="17">
        <v>0</v>
      </c>
      <c r="D3551" s="17" t="s">
        <v>801</v>
      </c>
      <c r="E3551" s="18">
        <v>8056300454182</v>
      </c>
      <c r="G3551" s="20" t="str">
        <f t="shared" si="165"/>
        <v xml:space="preserve"> CANOCITY        </v>
      </c>
      <c r="H3551" s="20" t="str">
        <f t="shared" si="166"/>
        <v>BOUBO</v>
      </c>
      <c r="I3551" s="20">
        <f t="shared" si="167"/>
        <v>0</v>
      </c>
    </row>
    <row r="3552" spans="1:9">
      <c r="A3552" s="17" t="s">
        <v>1528</v>
      </c>
      <c r="B3552" s="17" t="s">
        <v>1533</v>
      </c>
      <c r="C3552" s="17">
        <v>0</v>
      </c>
      <c r="D3552" s="17" t="s">
        <v>801</v>
      </c>
      <c r="E3552" s="18">
        <v>3005290709005</v>
      </c>
      <c r="G3552" s="20" t="str">
        <f t="shared" si="165"/>
        <v xml:space="preserve"> CANOCITY        </v>
      </c>
      <c r="H3552" s="20" t="str">
        <f t="shared" si="166"/>
        <v>BOUMU</v>
      </c>
      <c r="I3552" s="20">
        <f t="shared" si="167"/>
        <v>0</v>
      </c>
    </row>
    <row r="3553" spans="1:9">
      <c r="A3553" s="17" t="s">
        <v>1528</v>
      </c>
      <c r="B3553" s="17" t="s">
        <v>1332</v>
      </c>
      <c r="C3553" s="17">
        <v>0</v>
      </c>
      <c r="D3553" s="17" t="s">
        <v>801</v>
      </c>
      <c r="E3553" s="18">
        <v>8056099176920</v>
      </c>
      <c r="G3553" s="20" t="str">
        <f t="shared" si="165"/>
        <v xml:space="preserve"> CANOCITY        </v>
      </c>
      <c r="H3553" s="20" t="str">
        <f t="shared" si="166"/>
        <v>BOUTO</v>
      </c>
      <c r="I3553" s="20">
        <f t="shared" si="167"/>
        <v>0</v>
      </c>
    </row>
    <row r="3554" spans="1:9">
      <c r="A3554" s="17" t="s">
        <v>1528</v>
      </c>
      <c r="B3554" s="17" t="s">
        <v>1274</v>
      </c>
      <c r="C3554" s="17">
        <v>0</v>
      </c>
      <c r="D3554" s="17" t="s">
        <v>801</v>
      </c>
      <c r="E3554" s="18">
        <v>3004631113006</v>
      </c>
      <c r="G3554" s="20" t="str">
        <f t="shared" si="165"/>
        <v xml:space="preserve"> CANOCITY        </v>
      </c>
      <c r="H3554" s="20" t="str">
        <f t="shared" si="166"/>
        <v>BRODE</v>
      </c>
      <c r="I3554" s="20">
        <f t="shared" si="167"/>
        <v>0</v>
      </c>
    </row>
    <row r="3555" spans="1:9">
      <c r="A3555" s="17" t="s">
        <v>1528</v>
      </c>
      <c r="B3555" s="17" t="s">
        <v>1274</v>
      </c>
      <c r="C3555" s="17">
        <v>0</v>
      </c>
      <c r="D3555" s="17" t="s">
        <v>801</v>
      </c>
      <c r="E3555" s="18">
        <v>8056095066485</v>
      </c>
      <c r="G3555" s="20" t="str">
        <f t="shared" si="165"/>
        <v xml:space="preserve"> CANOCITY        </v>
      </c>
      <c r="H3555" s="20" t="str">
        <f t="shared" si="166"/>
        <v>BRODE</v>
      </c>
      <c r="I3555" s="20">
        <f t="shared" si="167"/>
        <v>0</v>
      </c>
    </row>
    <row r="3556" spans="1:9">
      <c r="A3556" s="17" t="s">
        <v>1528</v>
      </c>
      <c r="B3556" s="17" t="s">
        <v>1336</v>
      </c>
      <c r="C3556" s="17">
        <v>0</v>
      </c>
      <c r="D3556" s="17" t="s">
        <v>801</v>
      </c>
      <c r="E3556" s="18">
        <v>8056099171437</v>
      </c>
      <c r="G3556" s="20" t="str">
        <f t="shared" si="165"/>
        <v xml:space="preserve"> CANOCITY        </v>
      </c>
      <c r="H3556" s="20" t="str">
        <f t="shared" si="166"/>
        <v>CARBL</v>
      </c>
      <c r="I3556" s="20">
        <f t="shared" si="167"/>
        <v>0</v>
      </c>
    </row>
    <row r="3557" spans="1:9">
      <c r="A3557" s="17" t="s">
        <v>1528</v>
      </c>
      <c r="B3557" s="17" t="s">
        <v>1341</v>
      </c>
      <c r="C3557" s="17">
        <v>0</v>
      </c>
      <c r="D3557" s="17" t="s">
        <v>801</v>
      </c>
      <c r="E3557" s="18">
        <v>3005290671005</v>
      </c>
      <c r="G3557" s="20" t="str">
        <f t="shared" si="165"/>
        <v xml:space="preserve"> CANOCITY        </v>
      </c>
      <c r="H3557" s="20" t="str">
        <f t="shared" si="166"/>
        <v>CHABI</v>
      </c>
      <c r="I3557" s="20">
        <f t="shared" si="167"/>
        <v>0</v>
      </c>
    </row>
    <row r="3558" spans="1:9">
      <c r="A3558" s="17" t="s">
        <v>1528</v>
      </c>
      <c r="B3558" s="17" t="s">
        <v>1292</v>
      </c>
      <c r="C3558" s="17">
        <v>0</v>
      </c>
      <c r="D3558" s="17" t="s">
        <v>801</v>
      </c>
      <c r="E3558" s="18">
        <v>3004631012002</v>
      </c>
      <c r="G3558" s="20" t="str">
        <f t="shared" si="165"/>
        <v xml:space="preserve"> CANOCITY        </v>
      </c>
      <c r="H3558" s="20" t="str">
        <f t="shared" si="166"/>
        <v>CHABW</v>
      </c>
      <c r="I3558" s="20">
        <f t="shared" si="167"/>
        <v>0</v>
      </c>
    </row>
    <row r="3559" spans="1:9">
      <c r="A3559" s="17" t="s">
        <v>1528</v>
      </c>
      <c r="B3559" s="17" t="s">
        <v>1292</v>
      </c>
      <c r="C3559" s="17">
        <v>0</v>
      </c>
      <c r="D3559" s="17" t="s">
        <v>801</v>
      </c>
      <c r="E3559" s="18">
        <v>8056300454144</v>
      </c>
      <c r="G3559" s="20" t="str">
        <f t="shared" si="165"/>
        <v xml:space="preserve"> CANOCITY        </v>
      </c>
      <c r="H3559" s="20" t="str">
        <f t="shared" si="166"/>
        <v>CHABW</v>
      </c>
      <c r="I3559" s="20">
        <f t="shared" si="167"/>
        <v>0</v>
      </c>
    </row>
    <row r="3560" spans="1:9">
      <c r="A3560" s="17" t="s">
        <v>1528</v>
      </c>
      <c r="B3560" s="17" t="s">
        <v>1293</v>
      </c>
      <c r="C3560" s="17">
        <v>0</v>
      </c>
      <c r="D3560" s="17" t="s">
        <v>801</v>
      </c>
      <c r="E3560" s="18">
        <v>3005290553004</v>
      </c>
      <c r="G3560" s="20" t="str">
        <f t="shared" si="165"/>
        <v xml:space="preserve"> CANOCITY        </v>
      </c>
      <c r="H3560" s="20" t="str">
        <f t="shared" si="166"/>
        <v>CHANB</v>
      </c>
      <c r="I3560" s="20">
        <f t="shared" si="167"/>
        <v>0</v>
      </c>
    </row>
    <row r="3561" spans="1:9">
      <c r="A3561" s="17" t="s">
        <v>1528</v>
      </c>
      <c r="B3561" s="17" t="s">
        <v>1293</v>
      </c>
      <c r="C3561" s="17">
        <v>0</v>
      </c>
      <c r="D3561" s="17" t="s">
        <v>801</v>
      </c>
      <c r="E3561" s="18">
        <v>3004630845007</v>
      </c>
      <c r="G3561" s="20" t="str">
        <f t="shared" si="165"/>
        <v xml:space="preserve"> CANOCITY        </v>
      </c>
      <c r="H3561" s="20" t="str">
        <f t="shared" si="166"/>
        <v>CHANB</v>
      </c>
      <c r="I3561" s="20">
        <f t="shared" si="167"/>
        <v>0</v>
      </c>
    </row>
    <row r="3562" spans="1:9">
      <c r="A3562" s="17" t="s">
        <v>1528</v>
      </c>
      <c r="B3562" s="17" t="s">
        <v>1293</v>
      </c>
      <c r="C3562" s="17">
        <v>0</v>
      </c>
      <c r="D3562" s="17" t="s">
        <v>801</v>
      </c>
      <c r="E3562" s="18">
        <v>8056300454151</v>
      </c>
      <c r="G3562" s="20" t="str">
        <f t="shared" si="165"/>
        <v xml:space="preserve"> CANOCITY        </v>
      </c>
      <c r="H3562" s="20" t="str">
        <f t="shared" si="166"/>
        <v>CHANB</v>
      </c>
      <c r="I3562" s="20">
        <f t="shared" si="167"/>
        <v>0</v>
      </c>
    </row>
    <row r="3563" spans="1:9">
      <c r="A3563" s="17" t="s">
        <v>1528</v>
      </c>
      <c r="B3563" s="17" t="s">
        <v>1534</v>
      </c>
      <c r="C3563" s="17">
        <v>0</v>
      </c>
      <c r="D3563" s="17" t="s">
        <v>801</v>
      </c>
      <c r="E3563" s="18">
        <v>3004631047004</v>
      </c>
      <c r="G3563" s="20" t="str">
        <f t="shared" si="165"/>
        <v xml:space="preserve"> CANOCITY        </v>
      </c>
      <c r="H3563" s="20" t="str">
        <f t="shared" si="166"/>
        <v>CHAPU</v>
      </c>
      <c r="I3563" s="20">
        <f t="shared" si="167"/>
        <v>0</v>
      </c>
    </row>
    <row r="3564" spans="1:9">
      <c r="A3564" s="17" t="s">
        <v>1528</v>
      </c>
      <c r="B3564" s="17" t="s">
        <v>1534</v>
      </c>
      <c r="C3564" s="17">
        <v>0</v>
      </c>
      <c r="D3564" s="17" t="s">
        <v>801</v>
      </c>
      <c r="E3564" s="18">
        <v>8056300454168</v>
      </c>
      <c r="G3564" s="20" t="str">
        <f t="shared" si="165"/>
        <v xml:space="preserve"> CANOCITY        </v>
      </c>
      <c r="H3564" s="20" t="str">
        <f t="shared" si="166"/>
        <v>CHAPU</v>
      </c>
      <c r="I3564" s="20">
        <f t="shared" si="167"/>
        <v>0</v>
      </c>
    </row>
    <row r="3565" spans="1:9">
      <c r="A3565" s="17" t="s">
        <v>1528</v>
      </c>
      <c r="B3565" s="17" t="s">
        <v>1294</v>
      </c>
      <c r="C3565" s="17">
        <v>0</v>
      </c>
      <c r="D3565" s="17" t="s">
        <v>801</v>
      </c>
      <c r="E3565" s="18">
        <v>3005290552007</v>
      </c>
      <c r="G3565" s="20" t="str">
        <f t="shared" si="165"/>
        <v xml:space="preserve"> CANOCITY        </v>
      </c>
      <c r="H3565" s="20" t="str">
        <f t="shared" si="166"/>
        <v>CHARO</v>
      </c>
      <c r="I3565" s="20">
        <f t="shared" si="167"/>
        <v>0</v>
      </c>
    </row>
    <row r="3566" spans="1:9">
      <c r="A3566" s="17" t="s">
        <v>1528</v>
      </c>
      <c r="B3566" s="17" t="s">
        <v>1535</v>
      </c>
      <c r="C3566" s="17">
        <v>0</v>
      </c>
      <c r="D3566" s="17" t="s">
        <v>801</v>
      </c>
      <c r="E3566" s="18">
        <v>3005291072009</v>
      </c>
      <c r="G3566" s="20" t="str">
        <f t="shared" si="165"/>
        <v xml:space="preserve"> CANOCITY        </v>
      </c>
      <c r="H3566" s="20" t="str">
        <f t="shared" si="166"/>
        <v>COANT</v>
      </c>
      <c r="I3566" s="20">
        <f t="shared" si="167"/>
        <v>0</v>
      </c>
    </row>
    <row r="3567" spans="1:9">
      <c r="A3567" s="17" t="s">
        <v>1528</v>
      </c>
      <c r="B3567" s="17" t="s">
        <v>1535</v>
      </c>
      <c r="C3567" s="17">
        <v>0</v>
      </c>
      <c r="D3567" s="17" t="s">
        <v>801</v>
      </c>
      <c r="E3567" s="18">
        <v>3004631072006</v>
      </c>
      <c r="G3567" s="20" t="str">
        <f t="shared" si="165"/>
        <v xml:space="preserve"> CANOCITY        </v>
      </c>
      <c r="H3567" s="20" t="str">
        <f t="shared" si="166"/>
        <v>COANT</v>
      </c>
      <c r="I3567" s="20">
        <f t="shared" si="167"/>
        <v>0</v>
      </c>
    </row>
    <row r="3568" spans="1:9">
      <c r="A3568" s="17" t="s">
        <v>1528</v>
      </c>
      <c r="B3568" s="17" t="s">
        <v>1536</v>
      </c>
      <c r="C3568" s="17">
        <v>0</v>
      </c>
      <c r="D3568" s="17" t="s">
        <v>801</v>
      </c>
      <c r="E3568" s="18">
        <v>8056095064221</v>
      </c>
      <c r="G3568" s="20" t="str">
        <f t="shared" si="165"/>
        <v xml:space="preserve"> CANOCITY        </v>
      </c>
      <c r="H3568" s="20" t="str">
        <f t="shared" si="166"/>
        <v>COCIE</v>
      </c>
      <c r="I3568" s="20">
        <f t="shared" si="167"/>
        <v>0</v>
      </c>
    </row>
    <row r="3569" spans="1:9">
      <c r="A3569" s="17" t="s">
        <v>1528</v>
      </c>
      <c r="B3569" s="17" t="s">
        <v>1536</v>
      </c>
      <c r="C3569" s="17">
        <v>0</v>
      </c>
      <c r="D3569" s="17" t="s">
        <v>801</v>
      </c>
      <c r="E3569" s="18">
        <v>3004631138009</v>
      </c>
      <c r="G3569" s="20" t="str">
        <f t="shared" si="165"/>
        <v xml:space="preserve"> CANOCITY        </v>
      </c>
      <c r="H3569" s="20" t="str">
        <f t="shared" si="166"/>
        <v>COCIE</v>
      </c>
      <c r="I3569" s="20">
        <f t="shared" si="167"/>
        <v>0</v>
      </c>
    </row>
    <row r="3570" spans="1:9">
      <c r="A3570" s="17" t="s">
        <v>1528</v>
      </c>
      <c r="B3570" s="17" t="s">
        <v>1537</v>
      </c>
      <c r="C3570" s="17">
        <v>0</v>
      </c>
      <c r="D3570" s="17" t="s">
        <v>801</v>
      </c>
      <c r="E3570" s="18">
        <v>3005290710001</v>
      </c>
      <c r="G3570" s="20" t="str">
        <f t="shared" si="165"/>
        <v xml:space="preserve"> CANOCITY        </v>
      </c>
      <c r="H3570" s="20" t="str">
        <f t="shared" si="166"/>
        <v>CORAN</v>
      </c>
      <c r="I3570" s="20">
        <f t="shared" si="167"/>
        <v>0</v>
      </c>
    </row>
    <row r="3571" spans="1:9">
      <c r="A3571" s="17" t="s">
        <v>1528</v>
      </c>
      <c r="B3571" s="17" t="s">
        <v>1538</v>
      </c>
      <c r="C3571" s="17">
        <v>0</v>
      </c>
      <c r="D3571" s="17" t="s">
        <v>801</v>
      </c>
      <c r="E3571" s="18">
        <v>3004631196009</v>
      </c>
      <c r="G3571" s="20" t="str">
        <f t="shared" si="165"/>
        <v xml:space="preserve"> CANOCITY        </v>
      </c>
      <c r="H3571" s="20" t="str">
        <f t="shared" si="166"/>
        <v>CORNA</v>
      </c>
      <c r="I3571" s="20">
        <f t="shared" si="167"/>
        <v>0</v>
      </c>
    </row>
    <row r="3572" spans="1:9">
      <c r="A3572" s="17" t="s">
        <v>1528</v>
      </c>
      <c r="B3572" s="17" t="s">
        <v>1539</v>
      </c>
      <c r="C3572" s="17">
        <v>0</v>
      </c>
      <c r="D3572" s="17" t="s">
        <v>801</v>
      </c>
      <c r="E3572" s="18">
        <v>8056095064238</v>
      </c>
      <c r="G3572" s="20" t="str">
        <f t="shared" si="165"/>
        <v xml:space="preserve"> CANOCITY        </v>
      </c>
      <c r="H3572" s="20" t="str">
        <f t="shared" si="166"/>
        <v>COTOR</v>
      </c>
      <c r="I3572" s="20">
        <f t="shared" si="167"/>
        <v>0</v>
      </c>
    </row>
    <row r="3573" spans="1:9">
      <c r="A3573" s="17" t="s">
        <v>1528</v>
      </c>
      <c r="B3573" s="17" t="s">
        <v>1539</v>
      </c>
      <c r="C3573" s="17">
        <v>0</v>
      </c>
      <c r="D3573" s="17" t="s">
        <v>801</v>
      </c>
      <c r="E3573" s="18">
        <v>3004631139006</v>
      </c>
      <c r="G3573" s="20" t="str">
        <f t="shared" si="165"/>
        <v xml:space="preserve"> CANOCITY        </v>
      </c>
      <c r="H3573" s="20" t="str">
        <f t="shared" si="166"/>
        <v>COTOR</v>
      </c>
      <c r="I3573" s="20">
        <f t="shared" si="167"/>
        <v>0</v>
      </c>
    </row>
    <row r="3574" spans="1:9">
      <c r="A3574" s="17" t="s">
        <v>1528</v>
      </c>
      <c r="B3574" s="17" t="s">
        <v>1540</v>
      </c>
      <c r="C3574" s="17">
        <v>0</v>
      </c>
      <c r="D3574" s="17" t="s">
        <v>801</v>
      </c>
      <c r="E3574" s="18">
        <v>8056095064450</v>
      </c>
      <c r="G3574" s="20" t="str">
        <f t="shared" si="165"/>
        <v xml:space="preserve"> CANOCITY        </v>
      </c>
      <c r="H3574" s="20" t="str">
        <f t="shared" si="166"/>
        <v>DENBL</v>
      </c>
      <c r="I3574" s="20">
        <f t="shared" si="167"/>
        <v>0</v>
      </c>
    </row>
    <row r="3575" spans="1:9">
      <c r="A3575" s="17" t="s">
        <v>1528</v>
      </c>
      <c r="B3575" s="17" t="s">
        <v>1540</v>
      </c>
      <c r="C3575" s="17">
        <v>0</v>
      </c>
      <c r="D3575" s="17" t="s">
        <v>801</v>
      </c>
      <c r="E3575" s="18">
        <v>3004631141009</v>
      </c>
      <c r="G3575" s="20" t="str">
        <f t="shared" si="165"/>
        <v xml:space="preserve"> CANOCITY        </v>
      </c>
      <c r="H3575" s="20" t="str">
        <f t="shared" si="166"/>
        <v>DENBL</v>
      </c>
      <c r="I3575" s="20">
        <f t="shared" si="167"/>
        <v>0</v>
      </c>
    </row>
    <row r="3576" spans="1:9">
      <c r="A3576" s="17" t="s">
        <v>1528</v>
      </c>
      <c r="B3576" s="17" t="s">
        <v>1541</v>
      </c>
      <c r="C3576" s="17">
        <v>0</v>
      </c>
      <c r="D3576" s="17" t="s">
        <v>801</v>
      </c>
      <c r="E3576" s="18">
        <v>8056095064467</v>
      </c>
      <c r="G3576" s="20" t="str">
        <f t="shared" si="165"/>
        <v xml:space="preserve"> CANOCITY        </v>
      </c>
      <c r="H3576" s="20" t="str">
        <f t="shared" si="166"/>
        <v>DENIV</v>
      </c>
      <c r="I3576" s="20">
        <f t="shared" si="167"/>
        <v>0</v>
      </c>
    </row>
    <row r="3577" spans="1:9">
      <c r="A3577" s="17" t="s">
        <v>1528</v>
      </c>
      <c r="B3577" s="17" t="s">
        <v>1541</v>
      </c>
      <c r="C3577" s="17">
        <v>0</v>
      </c>
      <c r="D3577" s="17" t="s">
        <v>801</v>
      </c>
      <c r="E3577" s="18">
        <v>3004631140002</v>
      </c>
      <c r="G3577" s="20" t="str">
        <f t="shared" si="165"/>
        <v xml:space="preserve"> CANOCITY        </v>
      </c>
      <c r="H3577" s="20" t="str">
        <f t="shared" si="166"/>
        <v>DENIV</v>
      </c>
      <c r="I3577" s="20">
        <f t="shared" si="167"/>
        <v>0</v>
      </c>
    </row>
    <row r="3578" spans="1:9">
      <c r="A3578" s="17" t="s">
        <v>1528</v>
      </c>
      <c r="B3578" s="17" t="s">
        <v>1513</v>
      </c>
      <c r="C3578" s="17">
        <v>0</v>
      </c>
      <c r="D3578" s="17" t="s">
        <v>801</v>
      </c>
      <c r="E3578" s="18">
        <v>3005290682001</v>
      </c>
      <c r="G3578" s="20" t="str">
        <f t="shared" si="165"/>
        <v xml:space="preserve"> CANOCITY        </v>
      </c>
      <c r="H3578" s="20" t="str">
        <f t="shared" si="166"/>
        <v>FLABL</v>
      </c>
      <c r="I3578" s="20">
        <f t="shared" si="167"/>
        <v>0</v>
      </c>
    </row>
    <row r="3579" spans="1:9">
      <c r="A3579" s="17" t="s">
        <v>1528</v>
      </c>
      <c r="B3579" s="17" t="s">
        <v>1513</v>
      </c>
      <c r="C3579" s="17">
        <v>0</v>
      </c>
      <c r="D3579" s="17" t="s">
        <v>801</v>
      </c>
      <c r="E3579" s="18">
        <v>3004631024005</v>
      </c>
      <c r="G3579" s="20" t="str">
        <f t="shared" si="165"/>
        <v xml:space="preserve"> CANOCITY        </v>
      </c>
      <c r="H3579" s="20" t="str">
        <f t="shared" si="166"/>
        <v>FLABL</v>
      </c>
      <c r="I3579" s="20">
        <f t="shared" si="167"/>
        <v>0</v>
      </c>
    </row>
    <row r="3580" spans="1:9">
      <c r="A3580" s="17" t="s">
        <v>1528</v>
      </c>
      <c r="B3580" s="17" t="s">
        <v>1513</v>
      </c>
      <c r="C3580" s="17">
        <v>0</v>
      </c>
      <c r="D3580" s="17" t="s">
        <v>801</v>
      </c>
      <c r="E3580" s="18">
        <v>8056300454205</v>
      </c>
      <c r="G3580" s="20" t="str">
        <f t="shared" si="165"/>
        <v xml:space="preserve"> CANOCITY        </v>
      </c>
      <c r="H3580" s="20" t="str">
        <f t="shared" si="166"/>
        <v>FLABL</v>
      </c>
      <c r="I3580" s="20">
        <f t="shared" si="167"/>
        <v>0</v>
      </c>
    </row>
    <row r="3581" spans="1:9">
      <c r="A3581" s="17" t="s">
        <v>1528</v>
      </c>
      <c r="B3581" s="17" t="s">
        <v>1514</v>
      </c>
      <c r="C3581" s="17">
        <v>0</v>
      </c>
      <c r="D3581" s="17" t="s">
        <v>801</v>
      </c>
      <c r="E3581" s="18">
        <v>3004631022001</v>
      </c>
      <c r="G3581" s="20" t="str">
        <f t="shared" si="165"/>
        <v xml:space="preserve"> CANOCITY        </v>
      </c>
      <c r="H3581" s="20" t="str">
        <f t="shared" si="166"/>
        <v>FLABO</v>
      </c>
      <c r="I3581" s="20">
        <f t="shared" si="167"/>
        <v>0</v>
      </c>
    </row>
    <row r="3582" spans="1:9">
      <c r="A3582" s="17" t="s">
        <v>1528</v>
      </c>
      <c r="B3582" s="17" t="s">
        <v>1514</v>
      </c>
      <c r="C3582" s="17">
        <v>0</v>
      </c>
      <c r="D3582" s="17" t="s">
        <v>801</v>
      </c>
      <c r="E3582" s="18">
        <v>8056300454199</v>
      </c>
      <c r="G3582" s="20" t="str">
        <f t="shared" si="165"/>
        <v xml:space="preserve"> CANOCITY        </v>
      </c>
      <c r="H3582" s="20" t="str">
        <f t="shared" si="166"/>
        <v>FLABO</v>
      </c>
      <c r="I3582" s="20">
        <f t="shared" si="167"/>
        <v>0</v>
      </c>
    </row>
    <row r="3583" spans="1:9">
      <c r="A3583" s="17" t="s">
        <v>1528</v>
      </c>
      <c r="B3583" s="17" t="s">
        <v>1514</v>
      </c>
      <c r="C3583" s="17">
        <v>0</v>
      </c>
      <c r="D3583" s="17" t="s">
        <v>801</v>
      </c>
      <c r="E3583" s="18">
        <v>3005290681004</v>
      </c>
      <c r="G3583" s="20" t="str">
        <f t="shared" si="165"/>
        <v xml:space="preserve"> CANOCITY        </v>
      </c>
      <c r="H3583" s="20" t="str">
        <f t="shared" si="166"/>
        <v>FLABO</v>
      </c>
      <c r="I3583" s="20">
        <f t="shared" si="167"/>
        <v>0</v>
      </c>
    </row>
    <row r="3584" spans="1:9">
      <c r="A3584" s="17" t="s">
        <v>1528</v>
      </c>
      <c r="B3584" s="17" t="s">
        <v>1514</v>
      </c>
      <c r="C3584" s="17">
        <v>0</v>
      </c>
      <c r="D3584" s="17" t="s">
        <v>801</v>
      </c>
      <c r="E3584" s="18">
        <v>8056099177323</v>
      </c>
      <c r="G3584" s="20" t="str">
        <f t="shared" si="165"/>
        <v xml:space="preserve"> CANOCITY        </v>
      </c>
      <c r="H3584" s="20" t="str">
        <f t="shared" si="166"/>
        <v>FLABO</v>
      </c>
      <c r="I3584" s="20">
        <f t="shared" si="167"/>
        <v>0</v>
      </c>
    </row>
    <row r="3585" spans="1:9">
      <c r="A3585" s="17" t="s">
        <v>1528</v>
      </c>
      <c r="B3585" s="17" t="s">
        <v>1542</v>
      </c>
      <c r="C3585" s="17">
        <v>0</v>
      </c>
      <c r="D3585" s="17" t="s">
        <v>801</v>
      </c>
      <c r="E3585" s="18">
        <v>8050538591282</v>
      </c>
      <c r="G3585" s="20" t="str">
        <f t="shared" si="165"/>
        <v xml:space="preserve"> CANOCITY        </v>
      </c>
      <c r="H3585" s="20" t="str">
        <f t="shared" si="166"/>
        <v>FLADO</v>
      </c>
      <c r="I3585" s="20">
        <f t="shared" si="167"/>
        <v>0</v>
      </c>
    </row>
    <row r="3586" spans="1:9">
      <c r="A3586" s="17" t="s">
        <v>1528</v>
      </c>
      <c r="B3586" s="17" t="s">
        <v>1543</v>
      </c>
      <c r="C3586" s="17">
        <v>0</v>
      </c>
      <c r="D3586" s="17" t="s">
        <v>801</v>
      </c>
      <c r="E3586" s="18">
        <v>3004631049008</v>
      </c>
      <c r="G3586" s="20" t="str">
        <f t="shared" si="165"/>
        <v xml:space="preserve"> CANOCITY        </v>
      </c>
      <c r="H3586" s="20" t="str">
        <f t="shared" si="166"/>
        <v>FLANE</v>
      </c>
      <c r="I3586" s="20">
        <f t="shared" si="167"/>
        <v>0</v>
      </c>
    </row>
    <row r="3587" spans="1:9">
      <c r="A3587" s="17" t="s">
        <v>1528</v>
      </c>
      <c r="B3587" s="17" t="s">
        <v>1543</v>
      </c>
      <c r="C3587" s="17">
        <v>0</v>
      </c>
      <c r="D3587" s="17" t="s">
        <v>801</v>
      </c>
      <c r="E3587" s="18">
        <v>8056300454212</v>
      </c>
      <c r="G3587" s="20" t="str">
        <f t="shared" si="165"/>
        <v xml:space="preserve"> CANOCITY        </v>
      </c>
      <c r="H3587" s="20" t="str">
        <f t="shared" si="166"/>
        <v>FLANE</v>
      </c>
      <c r="I3587" s="20">
        <f t="shared" si="167"/>
        <v>0</v>
      </c>
    </row>
    <row r="3588" spans="1:9">
      <c r="A3588" s="17" t="s">
        <v>1528</v>
      </c>
      <c r="B3588" s="17" t="s">
        <v>1544</v>
      </c>
      <c r="C3588" s="17">
        <v>0</v>
      </c>
      <c r="D3588" s="17" t="s">
        <v>801</v>
      </c>
      <c r="E3588" s="18">
        <v>3005290711008</v>
      </c>
      <c r="G3588" s="20" t="str">
        <f t="shared" si="165"/>
        <v xml:space="preserve"> CANOCITY        </v>
      </c>
      <c r="H3588" s="20" t="str">
        <f t="shared" si="166"/>
        <v>FLANO</v>
      </c>
      <c r="I3588" s="20">
        <f t="shared" si="167"/>
        <v>0</v>
      </c>
    </row>
    <row r="3589" spans="1:9">
      <c r="A3589" s="17" t="s">
        <v>1528</v>
      </c>
      <c r="B3589" s="17" t="s">
        <v>1545</v>
      </c>
      <c r="C3589" s="17">
        <v>0</v>
      </c>
      <c r="D3589" s="17" t="s">
        <v>801</v>
      </c>
      <c r="E3589" s="18">
        <v>8056099177842</v>
      </c>
      <c r="G3589" s="20" t="str">
        <f t="shared" ref="G3589:G3652" si="168">A3589</f>
        <v xml:space="preserve"> CANOCITY        </v>
      </c>
      <c r="H3589" s="20" t="str">
        <f t="shared" ref="H3589:H3652" si="169">B3589</f>
        <v>FLAOT</v>
      </c>
      <c r="I3589" s="20">
        <f t="shared" ref="I3589:I3652" si="170">C3589</f>
        <v>0</v>
      </c>
    </row>
    <row r="3590" spans="1:9">
      <c r="A3590" s="17" t="s">
        <v>1528</v>
      </c>
      <c r="B3590" s="17" t="s">
        <v>1546</v>
      </c>
      <c r="C3590" s="17">
        <v>0</v>
      </c>
      <c r="D3590" s="17" t="s">
        <v>801</v>
      </c>
      <c r="E3590" s="18">
        <v>8050538595365</v>
      </c>
      <c r="G3590" s="20" t="str">
        <f t="shared" si="168"/>
        <v xml:space="preserve"> CANOCITY        </v>
      </c>
      <c r="H3590" s="20" t="str">
        <f t="shared" si="169"/>
        <v>FLSAN</v>
      </c>
      <c r="I3590" s="20">
        <f t="shared" si="170"/>
        <v>0</v>
      </c>
    </row>
    <row r="3591" spans="1:9">
      <c r="A3591" s="17" t="s">
        <v>1528</v>
      </c>
      <c r="B3591" s="17" t="s">
        <v>1277</v>
      </c>
      <c r="C3591" s="17">
        <v>0</v>
      </c>
      <c r="D3591" s="17" t="s">
        <v>801</v>
      </c>
      <c r="E3591" s="18">
        <v>3005290429002</v>
      </c>
      <c r="G3591" s="20" t="str">
        <f t="shared" si="168"/>
        <v xml:space="preserve"> CANOCITY        </v>
      </c>
      <c r="H3591" s="20" t="str">
        <f t="shared" si="169"/>
        <v>FOULA</v>
      </c>
      <c r="I3591" s="20">
        <f t="shared" si="170"/>
        <v>0</v>
      </c>
    </row>
    <row r="3592" spans="1:9">
      <c r="A3592" s="17" t="s">
        <v>1528</v>
      </c>
      <c r="B3592" s="17" t="s">
        <v>1277</v>
      </c>
      <c r="C3592" s="17">
        <v>0</v>
      </c>
      <c r="D3592" s="17" t="s">
        <v>801</v>
      </c>
      <c r="E3592" s="18">
        <v>8056095065280</v>
      </c>
      <c r="G3592" s="20" t="str">
        <f t="shared" si="168"/>
        <v xml:space="preserve"> CANOCITY        </v>
      </c>
      <c r="H3592" s="20" t="str">
        <f t="shared" si="169"/>
        <v>FOULA</v>
      </c>
      <c r="I3592" s="20">
        <f t="shared" si="170"/>
        <v>0</v>
      </c>
    </row>
    <row r="3593" spans="1:9">
      <c r="A3593" s="17" t="s">
        <v>1528</v>
      </c>
      <c r="B3593" s="17" t="s">
        <v>1430</v>
      </c>
      <c r="C3593" s="17">
        <v>0</v>
      </c>
      <c r="D3593" s="17" t="s">
        <v>801</v>
      </c>
      <c r="E3593" s="18">
        <v>3004630498005</v>
      </c>
      <c r="G3593" s="20" t="str">
        <f t="shared" si="168"/>
        <v xml:space="preserve"> CANOCITY        </v>
      </c>
      <c r="H3593" s="20" t="str">
        <f t="shared" si="169"/>
        <v xml:space="preserve">IRIS </v>
      </c>
      <c r="I3593" s="20">
        <f t="shared" si="170"/>
        <v>0</v>
      </c>
    </row>
    <row r="3594" spans="1:9">
      <c r="A3594" s="17" t="s">
        <v>1528</v>
      </c>
      <c r="B3594" s="17" t="s">
        <v>1372</v>
      </c>
      <c r="C3594" s="17">
        <v>0</v>
      </c>
      <c r="D3594" s="17" t="s">
        <v>801</v>
      </c>
      <c r="E3594" s="18">
        <v>8056095064931</v>
      </c>
      <c r="G3594" s="20" t="str">
        <f t="shared" si="168"/>
        <v xml:space="preserve"> CANOCITY        </v>
      </c>
      <c r="H3594" s="20" t="str">
        <f t="shared" si="169"/>
        <v>LINPH</v>
      </c>
      <c r="I3594" s="20">
        <f t="shared" si="170"/>
        <v>0</v>
      </c>
    </row>
    <row r="3595" spans="1:9">
      <c r="A3595" s="17" t="s">
        <v>1528</v>
      </c>
      <c r="B3595" s="17" t="s">
        <v>1372</v>
      </c>
      <c r="C3595" s="17">
        <v>0</v>
      </c>
      <c r="D3595" s="17" t="s">
        <v>801</v>
      </c>
      <c r="E3595" s="18">
        <v>3004631114003</v>
      </c>
      <c r="G3595" s="20" t="str">
        <f t="shared" si="168"/>
        <v xml:space="preserve"> CANOCITY        </v>
      </c>
      <c r="H3595" s="20" t="str">
        <f t="shared" si="169"/>
        <v>LINPH</v>
      </c>
      <c r="I3595" s="20">
        <f t="shared" si="170"/>
        <v>0</v>
      </c>
    </row>
    <row r="3596" spans="1:9">
      <c r="A3596" s="17" t="s">
        <v>1528</v>
      </c>
      <c r="B3596" s="17" t="s">
        <v>1483</v>
      </c>
      <c r="C3596" s="17">
        <v>0</v>
      </c>
      <c r="D3596" s="17" t="s">
        <v>801</v>
      </c>
      <c r="E3596" s="18">
        <v>8056095064948</v>
      </c>
      <c r="G3596" s="20" t="str">
        <f t="shared" si="168"/>
        <v xml:space="preserve"> CANOCITY        </v>
      </c>
      <c r="H3596" s="20" t="str">
        <f t="shared" si="169"/>
        <v>LINTO</v>
      </c>
      <c r="I3596" s="20">
        <f t="shared" si="170"/>
        <v>0</v>
      </c>
    </row>
    <row r="3597" spans="1:9">
      <c r="A3597" s="17" t="s">
        <v>1528</v>
      </c>
      <c r="B3597" s="17" t="s">
        <v>1483</v>
      </c>
      <c r="C3597" s="17">
        <v>0</v>
      </c>
      <c r="D3597" s="17" t="s">
        <v>801</v>
      </c>
      <c r="E3597" s="18">
        <v>3004631123005</v>
      </c>
      <c r="G3597" s="20" t="str">
        <f t="shared" si="168"/>
        <v xml:space="preserve"> CANOCITY        </v>
      </c>
      <c r="H3597" s="20" t="str">
        <f t="shared" si="169"/>
        <v>LINTO</v>
      </c>
      <c r="I3597" s="20">
        <f t="shared" si="170"/>
        <v>0</v>
      </c>
    </row>
    <row r="3598" spans="1:9">
      <c r="A3598" s="17" t="s">
        <v>1528</v>
      </c>
      <c r="B3598" s="17" t="s">
        <v>1547</v>
      </c>
      <c r="C3598" s="17">
        <v>0</v>
      </c>
      <c r="D3598" s="17" t="s">
        <v>801</v>
      </c>
      <c r="E3598" s="18">
        <v>8056095064955</v>
      </c>
      <c r="G3598" s="20" t="str">
        <f t="shared" si="168"/>
        <v xml:space="preserve"> CANOCITY        </v>
      </c>
      <c r="H3598" s="20" t="str">
        <f t="shared" si="169"/>
        <v>LINVE</v>
      </c>
      <c r="I3598" s="20">
        <f t="shared" si="170"/>
        <v>0</v>
      </c>
    </row>
    <row r="3599" spans="1:9">
      <c r="A3599" s="17" t="s">
        <v>1528</v>
      </c>
      <c r="B3599" s="17" t="s">
        <v>1547</v>
      </c>
      <c r="C3599" s="17">
        <v>0</v>
      </c>
      <c r="D3599" s="17" t="s">
        <v>801</v>
      </c>
      <c r="E3599" s="18">
        <v>3004631142006</v>
      </c>
      <c r="G3599" s="20" t="str">
        <f t="shared" si="168"/>
        <v xml:space="preserve"> CANOCITY        </v>
      </c>
      <c r="H3599" s="20" t="str">
        <f t="shared" si="169"/>
        <v>LINVE</v>
      </c>
      <c r="I3599" s="20">
        <f t="shared" si="170"/>
        <v>0</v>
      </c>
    </row>
    <row r="3600" spans="1:9">
      <c r="A3600" s="17" t="s">
        <v>1528</v>
      </c>
      <c r="B3600" s="17" t="s">
        <v>1376</v>
      </c>
      <c r="C3600" s="17">
        <v>0</v>
      </c>
      <c r="D3600" s="17" t="s">
        <v>801</v>
      </c>
      <c r="E3600" s="18">
        <v>3004631521009</v>
      </c>
      <c r="G3600" s="20" t="str">
        <f t="shared" si="168"/>
        <v xml:space="preserve"> CANOCITY        </v>
      </c>
      <c r="H3600" s="20" t="str">
        <f t="shared" si="169"/>
        <v>MATBD</v>
      </c>
      <c r="I3600" s="20">
        <f t="shared" si="170"/>
        <v>0</v>
      </c>
    </row>
    <row r="3601" spans="1:9">
      <c r="A3601" s="17" t="s">
        <v>1528</v>
      </c>
      <c r="B3601" s="17" t="s">
        <v>1376</v>
      </c>
      <c r="C3601" s="17">
        <v>0</v>
      </c>
      <c r="D3601" s="17" t="s">
        <v>801</v>
      </c>
      <c r="E3601" s="18">
        <v>8050846012578</v>
      </c>
      <c r="G3601" s="20" t="str">
        <f t="shared" si="168"/>
        <v xml:space="preserve"> CANOCITY        </v>
      </c>
      <c r="H3601" s="20" t="str">
        <f t="shared" si="169"/>
        <v>MATBD</v>
      </c>
      <c r="I3601" s="20">
        <f t="shared" si="170"/>
        <v>0</v>
      </c>
    </row>
    <row r="3602" spans="1:9">
      <c r="A3602" s="17" t="s">
        <v>1528</v>
      </c>
      <c r="B3602" s="17" t="s">
        <v>1377</v>
      </c>
      <c r="C3602" s="17">
        <v>0</v>
      </c>
      <c r="D3602" s="17" t="s">
        <v>801</v>
      </c>
      <c r="E3602" s="18">
        <v>8050538591039</v>
      </c>
      <c r="G3602" s="20" t="str">
        <f t="shared" si="168"/>
        <v xml:space="preserve"> CANOCITY        </v>
      </c>
      <c r="H3602" s="20" t="str">
        <f t="shared" si="169"/>
        <v>MATBL</v>
      </c>
      <c r="I3602" s="20">
        <f t="shared" si="170"/>
        <v>0</v>
      </c>
    </row>
    <row r="3603" spans="1:9">
      <c r="A3603" s="17" t="s">
        <v>1528</v>
      </c>
      <c r="B3603" s="17" t="s">
        <v>1378</v>
      </c>
      <c r="C3603" s="17">
        <v>0</v>
      </c>
      <c r="D3603" s="17" t="s">
        <v>801</v>
      </c>
      <c r="E3603" s="18">
        <v>8056099178672</v>
      </c>
      <c r="G3603" s="20" t="str">
        <f t="shared" si="168"/>
        <v xml:space="preserve"> CANOCITY        </v>
      </c>
      <c r="H3603" s="20" t="str">
        <f t="shared" si="169"/>
        <v>MATGR</v>
      </c>
      <c r="I3603" s="20">
        <f t="shared" si="170"/>
        <v>0</v>
      </c>
    </row>
    <row r="3604" spans="1:9">
      <c r="A3604" s="17" t="s">
        <v>1528</v>
      </c>
      <c r="B3604" s="17" t="s">
        <v>1382</v>
      </c>
      <c r="C3604" s="17">
        <v>0</v>
      </c>
      <c r="D3604" s="17" t="s">
        <v>801</v>
      </c>
      <c r="E3604" s="18">
        <v>3004631520002</v>
      </c>
      <c r="G3604" s="20" t="str">
        <f t="shared" si="168"/>
        <v xml:space="preserve"> CANOCITY        </v>
      </c>
      <c r="H3604" s="20" t="str">
        <f t="shared" si="169"/>
        <v>MATNO</v>
      </c>
      <c r="I3604" s="20">
        <f t="shared" si="170"/>
        <v>0</v>
      </c>
    </row>
    <row r="3605" spans="1:9">
      <c r="A3605" s="17" t="s">
        <v>1528</v>
      </c>
      <c r="B3605" s="17" t="s">
        <v>1382</v>
      </c>
      <c r="C3605" s="17">
        <v>0</v>
      </c>
      <c r="D3605" s="17" t="s">
        <v>801</v>
      </c>
      <c r="E3605" s="18">
        <v>8050846012585</v>
      </c>
      <c r="G3605" s="20" t="str">
        <f t="shared" si="168"/>
        <v xml:space="preserve"> CANOCITY        </v>
      </c>
      <c r="H3605" s="20" t="str">
        <f t="shared" si="169"/>
        <v>MATNO</v>
      </c>
      <c r="I3605" s="20">
        <f t="shared" si="170"/>
        <v>0</v>
      </c>
    </row>
    <row r="3606" spans="1:9">
      <c r="A3606" s="17" t="s">
        <v>1528</v>
      </c>
      <c r="B3606" s="17" t="s">
        <v>1548</v>
      </c>
      <c r="C3606" s="17">
        <v>0</v>
      </c>
      <c r="D3606" s="17" t="s">
        <v>801</v>
      </c>
      <c r="E3606" s="18">
        <v>8050538590346</v>
      </c>
      <c r="G3606" s="20" t="str">
        <f t="shared" si="168"/>
        <v xml:space="preserve"> CANOCITY        </v>
      </c>
      <c r="H3606" s="20" t="str">
        <f t="shared" si="169"/>
        <v>MATPH</v>
      </c>
      <c r="I3606" s="20">
        <f t="shared" si="170"/>
        <v>0</v>
      </c>
    </row>
    <row r="3607" spans="1:9">
      <c r="A3607" s="17" t="s">
        <v>1528</v>
      </c>
      <c r="B3607" s="17" t="s">
        <v>1549</v>
      </c>
      <c r="C3607" s="17">
        <v>0</v>
      </c>
      <c r="D3607" s="17" t="s">
        <v>801</v>
      </c>
      <c r="E3607" s="18">
        <v>3005290905001</v>
      </c>
      <c r="G3607" s="20" t="str">
        <f t="shared" si="168"/>
        <v xml:space="preserve"> CANOCITY        </v>
      </c>
      <c r="H3607" s="20" t="str">
        <f t="shared" si="169"/>
        <v>MICBL</v>
      </c>
      <c r="I3607" s="20">
        <f t="shared" si="170"/>
        <v>0</v>
      </c>
    </row>
    <row r="3608" spans="1:9">
      <c r="A3608" s="17" t="s">
        <v>1528</v>
      </c>
      <c r="B3608" s="17" t="s">
        <v>1549</v>
      </c>
      <c r="C3608" s="17">
        <v>0</v>
      </c>
      <c r="D3608" s="17" t="s">
        <v>801</v>
      </c>
      <c r="E3608" s="18">
        <v>8050538595358</v>
      </c>
      <c r="G3608" s="20" t="str">
        <f t="shared" si="168"/>
        <v xml:space="preserve"> CANOCITY        </v>
      </c>
      <c r="H3608" s="20" t="str">
        <f t="shared" si="169"/>
        <v>MICBL</v>
      </c>
      <c r="I3608" s="20">
        <f t="shared" si="170"/>
        <v>0</v>
      </c>
    </row>
    <row r="3609" spans="1:9">
      <c r="A3609" s="17" t="s">
        <v>1528</v>
      </c>
      <c r="B3609" s="17" t="s">
        <v>1523</v>
      </c>
      <c r="C3609" s="17">
        <v>0</v>
      </c>
      <c r="D3609" s="17" t="s">
        <v>801</v>
      </c>
      <c r="E3609" s="18">
        <v>3005290567001</v>
      </c>
      <c r="G3609" s="20" t="str">
        <f t="shared" si="168"/>
        <v xml:space="preserve"> CANOCITY        </v>
      </c>
      <c r="H3609" s="20" t="str">
        <f t="shared" si="169"/>
        <v>MICDO</v>
      </c>
      <c r="I3609" s="20">
        <f t="shared" si="170"/>
        <v>0</v>
      </c>
    </row>
    <row r="3610" spans="1:9">
      <c r="A3610" s="17" t="s">
        <v>1528</v>
      </c>
      <c r="B3610" s="17" t="s">
        <v>1550</v>
      </c>
      <c r="C3610" s="17">
        <v>0</v>
      </c>
      <c r="D3610" s="17" t="s">
        <v>801</v>
      </c>
      <c r="E3610" s="18">
        <v>8058983598917</v>
      </c>
      <c r="G3610" s="20" t="str">
        <f t="shared" si="168"/>
        <v xml:space="preserve"> CANOCITY        </v>
      </c>
      <c r="H3610" s="20" t="str">
        <f t="shared" si="169"/>
        <v>MICNA</v>
      </c>
      <c r="I3610" s="20">
        <f t="shared" si="170"/>
        <v>0</v>
      </c>
    </row>
    <row r="3611" spans="1:9">
      <c r="A3611" s="17" t="s">
        <v>1528</v>
      </c>
      <c r="B3611" s="17" t="s">
        <v>1550</v>
      </c>
      <c r="C3611" s="17">
        <v>0</v>
      </c>
      <c r="D3611" s="17" t="s">
        <v>801</v>
      </c>
      <c r="E3611" s="18">
        <v>3005290653001</v>
      </c>
      <c r="G3611" s="20" t="str">
        <f t="shared" si="168"/>
        <v xml:space="preserve"> CANOCITY        </v>
      </c>
      <c r="H3611" s="20" t="str">
        <f t="shared" si="169"/>
        <v>MICNA</v>
      </c>
      <c r="I3611" s="20">
        <f t="shared" si="170"/>
        <v>0</v>
      </c>
    </row>
    <row r="3612" spans="1:9">
      <c r="A3612" s="17" t="s">
        <v>1528</v>
      </c>
      <c r="B3612" s="17" t="s">
        <v>1551</v>
      </c>
      <c r="C3612" s="17">
        <v>0</v>
      </c>
      <c r="D3612" s="17" t="s">
        <v>801</v>
      </c>
      <c r="E3612" s="18">
        <v>8058983598924</v>
      </c>
      <c r="G3612" s="20" t="str">
        <f t="shared" si="168"/>
        <v xml:space="preserve"> CANOCITY        </v>
      </c>
      <c r="H3612" s="20" t="str">
        <f t="shared" si="169"/>
        <v>MICOT</v>
      </c>
      <c r="I3612" s="20">
        <f t="shared" si="170"/>
        <v>0</v>
      </c>
    </row>
    <row r="3613" spans="1:9">
      <c r="A3613" s="17" t="s">
        <v>1528</v>
      </c>
      <c r="B3613" s="17" t="s">
        <v>1551</v>
      </c>
      <c r="C3613" s="17">
        <v>0</v>
      </c>
      <c r="D3613" s="17" t="s">
        <v>801</v>
      </c>
      <c r="E3613" s="18">
        <v>3005290654008</v>
      </c>
      <c r="G3613" s="20" t="str">
        <f t="shared" si="168"/>
        <v xml:space="preserve"> CANOCITY        </v>
      </c>
      <c r="H3613" s="20" t="str">
        <f t="shared" si="169"/>
        <v>MICOT</v>
      </c>
      <c r="I3613" s="20">
        <f t="shared" si="170"/>
        <v>0</v>
      </c>
    </row>
    <row r="3614" spans="1:9">
      <c r="A3614" s="17" t="s">
        <v>1528</v>
      </c>
      <c r="B3614" s="17" t="s">
        <v>1551</v>
      </c>
      <c r="C3614" s="17">
        <v>0</v>
      </c>
      <c r="D3614" s="17" t="s">
        <v>801</v>
      </c>
      <c r="E3614" s="18">
        <v>8050538595341</v>
      </c>
      <c r="G3614" s="20" t="str">
        <f t="shared" si="168"/>
        <v xml:space="preserve"> CANOCITY        </v>
      </c>
      <c r="H3614" s="20" t="str">
        <f t="shared" si="169"/>
        <v>MICOT</v>
      </c>
      <c r="I3614" s="20">
        <f t="shared" si="170"/>
        <v>0</v>
      </c>
    </row>
    <row r="3615" spans="1:9">
      <c r="A3615" s="17" t="s">
        <v>1528</v>
      </c>
      <c r="B3615" s="17" t="s">
        <v>1552</v>
      </c>
      <c r="C3615" s="17">
        <v>0</v>
      </c>
      <c r="D3615" s="17" t="s">
        <v>801</v>
      </c>
      <c r="E3615" s="18">
        <v>8058983598931</v>
      </c>
      <c r="G3615" s="20" t="str">
        <f t="shared" si="168"/>
        <v xml:space="preserve"> CANOCITY        </v>
      </c>
      <c r="H3615" s="20" t="str">
        <f t="shared" si="169"/>
        <v>MICVE</v>
      </c>
      <c r="I3615" s="20">
        <f t="shared" si="170"/>
        <v>0</v>
      </c>
    </row>
    <row r="3616" spans="1:9">
      <c r="A3616" s="17" t="s">
        <v>1528</v>
      </c>
      <c r="B3616" s="17" t="s">
        <v>1552</v>
      </c>
      <c r="C3616" s="17">
        <v>0</v>
      </c>
      <c r="D3616" s="17" t="s">
        <v>801</v>
      </c>
      <c r="E3616" s="18">
        <v>3005290655005</v>
      </c>
      <c r="G3616" s="20" t="str">
        <f t="shared" si="168"/>
        <v xml:space="preserve"> CANOCITY        </v>
      </c>
      <c r="H3616" s="20" t="str">
        <f t="shared" si="169"/>
        <v>MICVE</v>
      </c>
      <c r="I3616" s="20">
        <f t="shared" si="170"/>
        <v>0</v>
      </c>
    </row>
    <row r="3617" spans="1:9">
      <c r="A3617" s="17" t="s">
        <v>1528</v>
      </c>
      <c r="B3617" s="17" t="s">
        <v>1553</v>
      </c>
      <c r="C3617" s="17">
        <v>0</v>
      </c>
      <c r="D3617" s="17" t="s">
        <v>801</v>
      </c>
      <c r="E3617" s="18">
        <v>8058983598948</v>
      </c>
      <c r="G3617" s="20" t="str">
        <f t="shared" si="168"/>
        <v xml:space="preserve"> CANOCITY        </v>
      </c>
      <c r="H3617" s="20" t="str">
        <f t="shared" si="169"/>
        <v>MICVI</v>
      </c>
      <c r="I3617" s="20">
        <f t="shared" si="170"/>
        <v>0</v>
      </c>
    </row>
    <row r="3618" spans="1:9">
      <c r="A3618" s="17" t="s">
        <v>1528</v>
      </c>
      <c r="B3618" s="17" t="s">
        <v>1553</v>
      </c>
      <c r="C3618" s="17">
        <v>0</v>
      </c>
      <c r="D3618" s="17" t="s">
        <v>801</v>
      </c>
      <c r="E3618" s="18">
        <v>3005290656002</v>
      </c>
      <c r="G3618" s="20" t="str">
        <f t="shared" si="168"/>
        <v xml:space="preserve"> CANOCITY        </v>
      </c>
      <c r="H3618" s="20" t="str">
        <f t="shared" si="169"/>
        <v>MICVI</v>
      </c>
      <c r="I3618" s="20">
        <f t="shared" si="170"/>
        <v>0</v>
      </c>
    </row>
    <row r="3619" spans="1:9">
      <c r="A3619" s="17" t="s">
        <v>1528</v>
      </c>
      <c r="B3619" s="17" t="s">
        <v>1554</v>
      </c>
      <c r="C3619" s="17">
        <v>0</v>
      </c>
      <c r="D3619" s="17" t="s">
        <v>801</v>
      </c>
      <c r="E3619" s="18">
        <v>8056099171420</v>
      </c>
      <c r="G3619" s="20" t="str">
        <f t="shared" si="168"/>
        <v xml:space="preserve"> CANOCITY        </v>
      </c>
      <c r="H3619" s="20" t="str">
        <f t="shared" si="169"/>
        <v>MOMBL</v>
      </c>
      <c r="I3619" s="20">
        <f t="shared" si="170"/>
        <v>0</v>
      </c>
    </row>
    <row r="3620" spans="1:9">
      <c r="A3620" s="17" t="s">
        <v>1528</v>
      </c>
      <c r="B3620" s="17" t="s">
        <v>859</v>
      </c>
      <c r="C3620" s="17">
        <v>0</v>
      </c>
      <c r="D3620" s="17" t="s">
        <v>801</v>
      </c>
      <c r="E3620" s="18">
        <v>3005290598005</v>
      </c>
      <c r="G3620" s="20" t="str">
        <f t="shared" si="168"/>
        <v xml:space="preserve"> CANOCITY        </v>
      </c>
      <c r="H3620" s="20" t="str">
        <f t="shared" si="169"/>
        <v>NATUR</v>
      </c>
      <c r="I3620" s="20">
        <f t="shared" si="170"/>
        <v>0</v>
      </c>
    </row>
    <row r="3621" spans="1:9">
      <c r="A3621" s="17" t="s">
        <v>1528</v>
      </c>
      <c r="B3621" s="17" t="s">
        <v>1387</v>
      </c>
      <c r="C3621" s="17">
        <v>0</v>
      </c>
      <c r="D3621" s="17" t="s">
        <v>801</v>
      </c>
      <c r="E3621" s="18">
        <v>8050538595044</v>
      </c>
      <c r="G3621" s="20" t="str">
        <f t="shared" si="168"/>
        <v xml:space="preserve"> CANOCITY        </v>
      </c>
      <c r="H3621" s="20" t="str">
        <f t="shared" si="169"/>
        <v>ONDBL</v>
      </c>
      <c r="I3621" s="20">
        <f t="shared" si="170"/>
        <v>0</v>
      </c>
    </row>
    <row r="3622" spans="1:9">
      <c r="A3622" s="17" t="s">
        <v>1528</v>
      </c>
      <c r="B3622" s="17" t="s">
        <v>1555</v>
      </c>
      <c r="C3622" s="17">
        <v>0</v>
      </c>
      <c r="D3622" s="17" t="s">
        <v>801</v>
      </c>
      <c r="E3622" s="18">
        <v>3004630907002</v>
      </c>
      <c r="G3622" s="20" t="str">
        <f t="shared" si="168"/>
        <v xml:space="preserve"> CANOCITY        </v>
      </c>
      <c r="H3622" s="20" t="str">
        <f t="shared" si="169"/>
        <v>PERFC</v>
      </c>
      <c r="I3622" s="20">
        <f t="shared" si="170"/>
        <v>0</v>
      </c>
    </row>
    <row r="3623" spans="1:9">
      <c r="A3623" s="17" t="s">
        <v>1528</v>
      </c>
      <c r="B3623" s="17" t="s">
        <v>1556</v>
      </c>
      <c r="C3623" s="17">
        <v>0</v>
      </c>
      <c r="D3623" s="17" t="s">
        <v>801</v>
      </c>
      <c r="E3623" s="18">
        <v>3004630908009</v>
      </c>
      <c r="G3623" s="20" t="str">
        <f t="shared" si="168"/>
        <v xml:space="preserve"> CANOCITY        </v>
      </c>
      <c r="H3623" s="20" t="str">
        <f t="shared" si="169"/>
        <v>PERFN</v>
      </c>
      <c r="I3623" s="20">
        <f t="shared" si="170"/>
        <v>0</v>
      </c>
    </row>
    <row r="3624" spans="1:9">
      <c r="A3624" s="17" t="s">
        <v>1528</v>
      </c>
      <c r="B3624" s="17" t="s">
        <v>1490</v>
      </c>
      <c r="C3624" s="17">
        <v>0</v>
      </c>
      <c r="D3624" s="17" t="s">
        <v>801</v>
      </c>
      <c r="E3624" s="18">
        <v>8050538591176</v>
      </c>
      <c r="G3624" s="20" t="str">
        <f t="shared" si="168"/>
        <v xml:space="preserve"> CANOCITY        </v>
      </c>
      <c r="H3624" s="20" t="str">
        <f t="shared" si="169"/>
        <v>POISR</v>
      </c>
      <c r="I3624" s="20">
        <f t="shared" si="170"/>
        <v>0</v>
      </c>
    </row>
    <row r="3625" spans="1:9">
      <c r="A3625" s="17" t="s">
        <v>1528</v>
      </c>
      <c r="B3625" s="17" t="s">
        <v>1399</v>
      </c>
      <c r="C3625" s="17">
        <v>0</v>
      </c>
      <c r="D3625" s="17" t="s">
        <v>801</v>
      </c>
      <c r="E3625" s="18">
        <v>8056099171383</v>
      </c>
      <c r="G3625" s="20" t="str">
        <f t="shared" si="168"/>
        <v xml:space="preserve"> CANOCITY        </v>
      </c>
      <c r="H3625" s="20" t="str">
        <f t="shared" si="169"/>
        <v>RIVBL</v>
      </c>
      <c r="I3625" s="20">
        <f t="shared" si="170"/>
        <v>0</v>
      </c>
    </row>
    <row r="3626" spans="1:9">
      <c r="A3626" s="17" t="s">
        <v>1528</v>
      </c>
      <c r="B3626" s="17" t="s">
        <v>1400</v>
      </c>
      <c r="C3626" s="17">
        <v>0</v>
      </c>
      <c r="D3626" s="17" t="s">
        <v>801</v>
      </c>
      <c r="E3626" s="18">
        <v>8056099171369</v>
      </c>
      <c r="G3626" s="20" t="str">
        <f t="shared" si="168"/>
        <v xml:space="preserve"> CANOCITY        </v>
      </c>
      <c r="H3626" s="20" t="str">
        <f t="shared" si="169"/>
        <v>RIVJA</v>
      </c>
      <c r="I3626" s="20">
        <f t="shared" si="170"/>
        <v>0</v>
      </c>
    </row>
    <row r="3627" spans="1:9">
      <c r="A3627" s="17" t="s">
        <v>1528</v>
      </c>
      <c r="B3627" s="17" t="s">
        <v>1401</v>
      </c>
      <c r="C3627" s="17">
        <v>0</v>
      </c>
      <c r="D3627" s="17" t="s">
        <v>801</v>
      </c>
      <c r="E3627" s="18">
        <v>8056099171376</v>
      </c>
      <c r="G3627" s="20" t="str">
        <f t="shared" si="168"/>
        <v xml:space="preserve"> CANOCITY        </v>
      </c>
      <c r="H3627" s="20" t="str">
        <f t="shared" si="169"/>
        <v>RIVRO</v>
      </c>
      <c r="I3627" s="20">
        <f t="shared" si="170"/>
        <v>0</v>
      </c>
    </row>
    <row r="3628" spans="1:9">
      <c r="A3628" s="17" t="s">
        <v>1528</v>
      </c>
      <c r="B3628" s="17" t="s">
        <v>839</v>
      </c>
      <c r="C3628" s="17">
        <v>0</v>
      </c>
      <c r="D3628" s="17" t="s">
        <v>801</v>
      </c>
      <c r="E3628" s="18">
        <v>3004630397001</v>
      </c>
      <c r="G3628" s="20" t="str">
        <f t="shared" si="168"/>
        <v xml:space="preserve"> CANOCITY        </v>
      </c>
      <c r="H3628" s="20" t="str">
        <f t="shared" si="169"/>
        <v xml:space="preserve">ROSA </v>
      </c>
      <c r="I3628" s="20">
        <f t="shared" si="170"/>
        <v>0</v>
      </c>
    </row>
    <row r="3629" spans="1:9">
      <c r="A3629" s="17" t="s">
        <v>1528</v>
      </c>
      <c r="B3629" s="17" t="s">
        <v>1557</v>
      </c>
      <c r="C3629" s="17">
        <v>0</v>
      </c>
      <c r="D3629" s="17" t="s">
        <v>801</v>
      </c>
      <c r="E3629" s="18">
        <v>3005290636004</v>
      </c>
      <c r="G3629" s="20" t="str">
        <f t="shared" si="168"/>
        <v xml:space="preserve"> CANOCITY        </v>
      </c>
      <c r="H3629" s="20" t="str">
        <f t="shared" si="169"/>
        <v>SAFOT</v>
      </c>
      <c r="I3629" s="20">
        <f t="shared" si="170"/>
        <v>0</v>
      </c>
    </row>
    <row r="3630" spans="1:9">
      <c r="A3630" s="17" t="s">
        <v>1528</v>
      </c>
      <c r="B3630" s="17" t="s">
        <v>1557</v>
      </c>
      <c r="C3630" s="17">
        <v>0</v>
      </c>
      <c r="D3630" s="17" t="s">
        <v>801</v>
      </c>
      <c r="E3630" s="18">
        <v>8058983598955</v>
      </c>
      <c r="G3630" s="20" t="str">
        <f t="shared" si="168"/>
        <v xml:space="preserve"> CANOCITY        </v>
      </c>
      <c r="H3630" s="20" t="str">
        <f t="shared" si="169"/>
        <v>SAFOT</v>
      </c>
      <c r="I3630" s="20">
        <f t="shared" si="170"/>
        <v>0</v>
      </c>
    </row>
    <row r="3631" spans="1:9">
      <c r="A3631" s="17" t="s">
        <v>1528</v>
      </c>
      <c r="B3631" s="17" t="s">
        <v>1558</v>
      </c>
      <c r="C3631" s="17">
        <v>0</v>
      </c>
      <c r="D3631" s="17" t="s">
        <v>801</v>
      </c>
      <c r="E3631" s="18">
        <v>3005290637001</v>
      </c>
      <c r="G3631" s="20" t="str">
        <f t="shared" si="168"/>
        <v xml:space="preserve"> CANOCITY        </v>
      </c>
      <c r="H3631" s="20" t="str">
        <f t="shared" si="169"/>
        <v>SAFTE</v>
      </c>
      <c r="I3631" s="20">
        <f t="shared" si="170"/>
        <v>0</v>
      </c>
    </row>
    <row r="3632" spans="1:9">
      <c r="A3632" s="17" t="s">
        <v>1528</v>
      </c>
      <c r="B3632" s="17" t="s">
        <v>1558</v>
      </c>
      <c r="C3632" s="17">
        <v>0</v>
      </c>
      <c r="D3632" s="17" t="s">
        <v>801</v>
      </c>
      <c r="E3632" s="18">
        <v>8058983598962</v>
      </c>
      <c r="G3632" s="20" t="str">
        <f t="shared" si="168"/>
        <v xml:space="preserve"> CANOCITY        </v>
      </c>
      <c r="H3632" s="20" t="str">
        <f t="shared" si="169"/>
        <v>SAFTE</v>
      </c>
      <c r="I3632" s="20">
        <f t="shared" si="170"/>
        <v>0</v>
      </c>
    </row>
    <row r="3633" spans="1:9">
      <c r="A3633" s="17" t="s">
        <v>1528</v>
      </c>
      <c r="B3633" s="17" t="s">
        <v>1559</v>
      </c>
      <c r="C3633" s="17">
        <v>0</v>
      </c>
      <c r="D3633" s="17" t="s">
        <v>801</v>
      </c>
      <c r="E3633" s="18">
        <v>3005290638008</v>
      </c>
      <c r="G3633" s="20" t="str">
        <f t="shared" si="168"/>
        <v xml:space="preserve"> CANOCITY        </v>
      </c>
      <c r="H3633" s="20" t="str">
        <f t="shared" si="169"/>
        <v>SAFVE</v>
      </c>
      <c r="I3633" s="20">
        <f t="shared" si="170"/>
        <v>0</v>
      </c>
    </row>
    <row r="3634" spans="1:9">
      <c r="A3634" s="17" t="s">
        <v>1528</v>
      </c>
      <c r="B3634" s="17" t="s">
        <v>1559</v>
      </c>
      <c r="C3634" s="17">
        <v>0</v>
      </c>
      <c r="D3634" s="17" t="s">
        <v>801</v>
      </c>
      <c r="E3634" s="18">
        <v>8058983598979</v>
      </c>
      <c r="G3634" s="20" t="str">
        <f t="shared" si="168"/>
        <v xml:space="preserve"> CANOCITY        </v>
      </c>
      <c r="H3634" s="20" t="str">
        <f t="shared" si="169"/>
        <v>SAFVE</v>
      </c>
      <c r="I3634" s="20">
        <f t="shared" si="170"/>
        <v>0</v>
      </c>
    </row>
    <row r="3635" spans="1:9">
      <c r="A3635" s="17" t="s">
        <v>1528</v>
      </c>
      <c r="B3635" s="17" t="s">
        <v>1560</v>
      </c>
      <c r="C3635" s="17">
        <v>0</v>
      </c>
      <c r="D3635" s="17" t="s">
        <v>801</v>
      </c>
      <c r="E3635" s="18">
        <v>3005290663000</v>
      </c>
      <c r="G3635" s="20" t="str">
        <f t="shared" si="168"/>
        <v xml:space="preserve"> CANOCITY        </v>
      </c>
      <c r="H3635" s="20" t="str">
        <f t="shared" si="169"/>
        <v>SAFVI</v>
      </c>
      <c r="I3635" s="20">
        <f t="shared" si="170"/>
        <v>0</v>
      </c>
    </row>
    <row r="3636" spans="1:9">
      <c r="A3636" s="17" t="s">
        <v>1528</v>
      </c>
      <c r="B3636" s="17" t="s">
        <v>1560</v>
      </c>
      <c r="C3636" s="17">
        <v>0</v>
      </c>
      <c r="D3636" s="17" t="s">
        <v>801</v>
      </c>
      <c r="E3636" s="18">
        <v>8058983598986</v>
      </c>
      <c r="G3636" s="20" t="str">
        <f t="shared" si="168"/>
        <v xml:space="preserve"> CANOCITY        </v>
      </c>
      <c r="H3636" s="20" t="str">
        <f t="shared" si="169"/>
        <v>SAFVI</v>
      </c>
      <c r="I3636" s="20">
        <f t="shared" si="170"/>
        <v>0</v>
      </c>
    </row>
    <row r="3637" spans="1:9">
      <c r="A3637" s="17" t="s">
        <v>1528</v>
      </c>
      <c r="B3637" s="17" t="s">
        <v>1527</v>
      </c>
      <c r="C3637" s="17">
        <v>0</v>
      </c>
      <c r="D3637" s="17" t="s">
        <v>801</v>
      </c>
      <c r="E3637" s="18">
        <v>8056099171413</v>
      </c>
      <c r="G3637" s="20" t="str">
        <f t="shared" si="168"/>
        <v xml:space="preserve"> CANOCITY        </v>
      </c>
      <c r="H3637" s="20" t="str">
        <f t="shared" si="169"/>
        <v>SAKBL</v>
      </c>
      <c r="I3637" s="20">
        <f t="shared" si="170"/>
        <v>0</v>
      </c>
    </row>
    <row r="3638" spans="1:9">
      <c r="A3638" s="17" t="s">
        <v>1528</v>
      </c>
      <c r="B3638" s="17" t="s">
        <v>1125</v>
      </c>
      <c r="C3638" s="17">
        <v>0</v>
      </c>
      <c r="D3638" s="17" t="s">
        <v>801</v>
      </c>
      <c r="E3638" s="18">
        <v>3004630750004</v>
      </c>
      <c r="G3638" s="20" t="str">
        <f t="shared" si="168"/>
        <v xml:space="preserve"> CANOCITY        </v>
      </c>
      <c r="H3638" s="20" t="str">
        <f t="shared" si="169"/>
        <v>SAROU</v>
      </c>
      <c r="I3638" s="20">
        <f t="shared" si="170"/>
        <v>0</v>
      </c>
    </row>
    <row r="3639" spans="1:9">
      <c r="A3639" s="17" t="s">
        <v>1528</v>
      </c>
      <c r="B3639" s="17" t="s">
        <v>1129</v>
      </c>
      <c r="C3639" s="17">
        <v>0</v>
      </c>
      <c r="D3639" s="17" t="s">
        <v>801</v>
      </c>
      <c r="E3639" s="18">
        <v>3004630746007</v>
      </c>
      <c r="G3639" s="20" t="str">
        <f t="shared" si="168"/>
        <v xml:space="preserve"> CANOCITY        </v>
      </c>
      <c r="H3639" s="20" t="str">
        <f t="shared" si="169"/>
        <v>SUNAT</v>
      </c>
      <c r="I3639" s="20">
        <f t="shared" si="170"/>
        <v>0</v>
      </c>
    </row>
    <row r="3640" spans="1:9">
      <c r="A3640" s="17" t="s">
        <v>1528</v>
      </c>
      <c r="B3640" s="17" t="s">
        <v>1411</v>
      </c>
      <c r="C3640" s="17">
        <v>0</v>
      </c>
      <c r="D3640" s="17" t="s">
        <v>801</v>
      </c>
      <c r="E3640" s="18">
        <v>3005290884009</v>
      </c>
      <c r="G3640" s="20" t="str">
        <f t="shared" si="168"/>
        <v xml:space="preserve"> CANOCITY        </v>
      </c>
      <c r="H3640" s="20" t="str">
        <f t="shared" si="169"/>
        <v>SWING</v>
      </c>
      <c r="I3640" s="20">
        <f t="shared" si="170"/>
        <v>0</v>
      </c>
    </row>
    <row r="3641" spans="1:9">
      <c r="A3641" s="17" t="s">
        <v>1528</v>
      </c>
      <c r="B3641" s="17" t="s">
        <v>1561</v>
      </c>
      <c r="C3641" s="17">
        <v>0</v>
      </c>
      <c r="D3641" s="17" t="s">
        <v>801</v>
      </c>
      <c r="E3641" s="18">
        <v>8056095063583</v>
      </c>
      <c r="G3641" s="20" t="str">
        <f t="shared" si="168"/>
        <v xml:space="preserve"> CANOCITY        </v>
      </c>
      <c r="H3641" s="20" t="str">
        <f t="shared" si="169"/>
        <v>TREBL</v>
      </c>
      <c r="I3641" s="20">
        <f t="shared" si="170"/>
        <v>0</v>
      </c>
    </row>
    <row r="3642" spans="1:9">
      <c r="A3642" s="17" t="s">
        <v>1528</v>
      </c>
      <c r="B3642" s="17" t="s">
        <v>1561</v>
      </c>
      <c r="C3642" s="17">
        <v>0</v>
      </c>
      <c r="D3642" s="17" t="s">
        <v>801</v>
      </c>
      <c r="E3642" s="18">
        <v>3004631137002</v>
      </c>
      <c r="G3642" s="20" t="str">
        <f t="shared" si="168"/>
        <v xml:space="preserve"> CANOCITY        </v>
      </c>
      <c r="H3642" s="20" t="str">
        <f t="shared" si="169"/>
        <v>TREBL</v>
      </c>
      <c r="I3642" s="20">
        <f t="shared" si="170"/>
        <v>0</v>
      </c>
    </row>
    <row r="3643" spans="1:9">
      <c r="A3643" s="17" t="s">
        <v>1528</v>
      </c>
      <c r="B3643" s="17" t="s">
        <v>1279</v>
      </c>
      <c r="C3643" s="17">
        <v>0</v>
      </c>
      <c r="D3643" s="17" t="s">
        <v>801</v>
      </c>
      <c r="E3643" s="18">
        <v>8056095063590</v>
      </c>
      <c r="G3643" s="20" t="str">
        <f t="shared" si="168"/>
        <v xml:space="preserve"> CANOCITY        </v>
      </c>
      <c r="H3643" s="20" t="str">
        <f t="shared" si="169"/>
        <v>TRESA</v>
      </c>
      <c r="I3643" s="20">
        <f t="shared" si="170"/>
        <v>0</v>
      </c>
    </row>
    <row r="3644" spans="1:9">
      <c r="A3644" s="17" t="s">
        <v>1528</v>
      </c>
      <c r="B3644" s="17" t="s">
        <v>1279</v>
      </c>
      <c r="C3644" s="17">
        <v>0</v>
      </c>
      <c r="D3644" s="17" t="s">
        <v>801</v>
      </c>
      <c r="E3644" s="18">
        <v>3004631045000</v>
      </c>
      <c r="G3644" s="20" t="str">
        <f t="shared" si="168"/>
        <v xml:space="preserve"> CANOCITY        </v>
      </c>
      <c r="H3644" s="20" t="str">
        <f t="shared" si="169"/>
        <v>TRESA</v>
      </c>
      <c r="I3644" s="20">
        <f t="shared" si="170"/>
        <v>0</v>
      </c>
    </row>
    <row r="3645" spans="1:9">
      <c r="A3645" s="17" t="s">
        <v>1528</v>
      </c>
      <c r="B3645" s="17" t="s">
        <v>1562</v>
      </c>
      <c r="C3645" s="17">
        <v>0</v>
      </c>
      <c r="D3645" s="17" t="s">
        <v>801</v>
      </c>
      <c r="E3645" s="18">
        <v>8056095063576</v>
      </c>
      <c r="G3645" s="20" t="str">
        <f t="shared" si="168"/>
        <v xml:space="preserve"> CANOCITY        </v>
      </c>
      <c r="H3645" s="20" t="str">
        <f t="shared" si="169"/>
        <v>TRETO</v>
      </c>
      <c r="I3645" s="20">
        <f t="shared" si="170"/>
        <v>0</v>
      </c>
    </row>
    <row r="3646" spans="1:9">
      <c r="A3646" s="17" t="s">
        <v>1528</v>
      </c>
      <c r="B3646" s="17" t="s">
        <v>1562</v>
      </c>
      <c r="C3646" s="17">
        <v>0</v>
      </c>
      <c r="D3646" s="17" t="s">
        <v>801</v>
      </c>
      <c r="E3646" s="18">
        <v>3004631136005</v>
      </c>
      <c r="G3646" s="20" t="str">
        <f t="shared" si="168"/>
        <v xml:space="preserve"> CANOCITY        </v>
      </c>
      <c r="H3646" s="20" t="str">
        <f t="shared" si="169"/>
        <v>TRETO</v>
      </c>
      <c r="I3646" s="20">
        <f t="shared" si="170"/>
        <v>0</v>
      </c>
    </row>
    <row r="3647" spans="1:9">
      <c r="A3647" s="17" t="s">
        <v>1528</v>
      </c>
      <c r="B3647" s="17" t="s">
        <v>1280</v>
      </c>
      <c r="C3647" s="17">
        <v>0</v>
      </c>
      <c r="D3647" s="17" t="s">
        <v>801</v>
      </c>
      <c r="E3647" s="18">
        <v>3005291124005</v>
      </c>
      <c r="G3647" s="20" t="str">
        <f t="shared" si="168"/>
        <v xml:space="preserve"> CANOCITY        </v>
      </c>
      <c r="H3647" s="20" t="str">
        <f t="shared" si="169"/>
        <v>TRSAL</v>
      </c>
      <c r="I3647" s="20">
        <f t="shared" si="170"/>
        <v>0</v>
      </c>
    </row>
    <row r="3648" spans="1:9">
      <c r="A3648" s="17" t="s">
        <v>1528</v>
      </c>
      <c r="B3648" s="17" t="s">
        <v>1280</v>
      </c>
      <c r="C3648" s="17">
        <v>0</v>
      </c>
      <c r="D3648" s="17" t="s">
        <v>801</v>
      </c>
      <c r="E3648" s="18">
        <v>3004631124002</v>
      </c>
      <c r="G3648" s="20" t="str">
        <f t="shared" si="168"/>
        <v xml:space="preserve"> CANOCITY        </v>
      </c>
      <c r="H3648" s="20" t="str">
        <f t="shared" si="169"/>
        <v>TRSAL</v>
      </c>
      <c r="I3648" s="20">
        <f t="shared" si="170"/>
        <v>0</v>
      </c>
    </row>
    <row r="3649" spans="1:9">
      <c r="A3649" s="17" t="s">
        <v>1528</v>
      </c>
      <c r="B3649" s="17" t="s">
        <v>1043</v>
      </c>
      <c r="C3649" s="17">
        <v>0</v>
      </c>
      <c r="D3649" s="17" t="s">
        <v>801</v>
      </c>
      <c r="E3649" s="18">
        <v>3004631060003</v>
      </c>
      <c r="G3649" s="20" t="str">
        <f t="shared" si="168"/>
        <v xml:space="preserve"> CANOCITY        </v>
      </c>
      <c r="H3649" s="20" t="str">
        <f t="shared" si="169"/>
        <v>VELBL</v>
      </c>
      <c r="I3649" s="20">
        <f t="shared" si="170"/>
        <v>0</v>
      </c>
    </row>
    <row r="3650" spans="1:9">
      <c r="A3650" s="17" t="s">
        <v>1528</v>
      </c>
      <c r="B3650" s="17" t="s">
        <v>1043</v>
      </c>
      <c r="C3650" s="17">
        <v>0</v>
      </c>
      <c r="D3650" s="17" t="s">
        <v>801</v>
      </c>
      <c r="E3650" s="18">
        <v>8056099176906</v>
      </c>
      <c r="G3650" s="20" t="str">
        <f t="shared" si="168"/>
        <v xml:space="preserve"> CANOCITY        </v>
      </c>
      <c r="H3650" s="20" t="str">
        <f t="shared" si="169"/>
        <v>VELBL</v>
      </c>
      <c r="I3650" s="20">
        <f t="shared" si="170"/>
        <v>0</v>
      </c>
    </row>
    <row r="3651" spans="1:9">
      <c r="A3651" s="17" t="s">
        <v>1563</v>
      </c>
      <c r="B3651" s="17" t="s">
        <v>280</v>
      </c>
      <c r="C3651" s="17">
        <v>0</v>
      </c>
      <c r="D3651" s="17" t="s">
        <v>801</v>
      </c>
      <c r="E3651" s="18">
        <v>3005150557005</v>
      </c>
      <c r="G3651" s="20" t="str">
        <f t="shared" si="168"/>
        <v xml:space="preserve"> CANOFIFTY       </v>
      </c>
      <c r="H3651" s="20" t="str">
        <f t="shared" si="169"/>
        <v>BLACK</v>
      </c>
      <c r="I3651" s="20">
        <f t="shared" si="170"/>
        <v>0</v>
      </c>
    </row>
    <row r="3652" spans="1:9">
      <c r="A3652" s="17" t="s">
        <v>1563</v>
      </c>
      <c r="B3652" s="17" t="s">
        <v>280</v>
      </c>
      <c r="C3652" s="17">
        <v>0</v>
      </c>
      <c r="D3652" s="17" t="s">
        <v>801</v>
      </c>
      <c r="E3652" s="18">
        <v>3005150558002</v>
      </c>
      <c r="G3652" s="20" t="str">
        <f t="shared" si="168"/>
        <v xml:space="preserve"> CANOFIFTY       </v>
      </c>
      <c r="H3652" s="20" t="str">
        <f t="shared" si="169"/>
        <v>BLACK</v>
      </c>
      <c r="I3652" s="20">
        <f t="shared" si="170"/>
        <v>0</v>
      </c>
    </row>
    <row r="3653" spans="1:9">
      <c r="A3653" s="17" t="s">
        <v>1563</v>
      </c>
      <c r="B3653" s="17" t="s">
        <v>280</v>
      </c>
      <c r="C3653" s="17">
        <v>0</v>
      </c>
      <c r="D3653" s="17" t="s">
        <v>801</v>
      </c>
      <c r="E3653" s="18">
        <v>8058333588926</v>
      </c>
      <c r="G3653" s="20" t="str">
        <f t="shared" ref="G3653:G3716" si="171">A3653</f>
        <v xml:space="preserve"> CANOFIFTY       </v>
      </c>
      <c r="H3653" s="20" t="str">
        <f t="shared" ref="H3653:H3716" si="172">B3653</f>
        <v>BLACK</v>
      </c>
      <c r="I3653" s="20">
        <f t="shared" ref="I3653:I3716" si="173">C3653</f>
        <v>0</v>
      </c>
    </row>
    <row r="3654" spans="1:9">
      <c r="A3654" s="17" t="s">
        <v>1563</v>
      </c>
      <c r="B3654" s="17" t="s">
        <v>930</v>
      </c>
      <c r="C3654" s="17">
        <v>0</v>
      </c>
      <c r="D3654" s="17" t="s">
        <v>801</v>
      </c>
      <c r="E3654" s="18">
        <v>3004490557003</v>
      </c>
      <c r="G3654" s="20" t="str">
        <f t="shared" si="171"/>
        <v xml:space="preserve"> CANOFIFTY       </v>
      </c>
      <c r="H3654" s="20" t="str">
        <f t="shared" si="172"/>
        <v xml:space="preserve">BLK  </v>
      </c>
      <c r="I3654" s="20">
        <f t="shared" si="173"/>
        <v>0</v>
      </c>
    </row>
    <row r="3655" spans="1:9">
      <c r="A3655" s="17" t="s">
        <v>1563</v>
      </c>
      <c r="B3655" s="17" t="s">
        <v>1274</v>
      </c>
      <c r="C3655" s="17">
        <v>0</v>
      </c>
      <c r="D3655" s="17" t="s">
        <v>801</v>
      </c>
      <c r="E3655" s="18">
        <v>3005150816003</v>
      </c>
      <c r="G3655" s="20" t="str">
        <f t="shared" si="171"/>
        <v xml:space="preserve"> CANOFIFTY       </v>
      </c>
      <c r="H3655" s="20" t="str">
        <f t="shared" si="172"/>
        <v>BRODE</v>
      </c>
      <c r="I3655" s="20">
        <f t="shared" si="173"/>
        <v>0</v>
      </c>
    </row>
    <row r="3656" spans="1:9">
      <c r="A3656" s="17" t="s">
        <v>1563</v>
      </c>
      <c r="B3656" s="17" t="s">
        <v>1335</v>
      </c>
      <c r="C3656" s="17">
        <v>0</v>
      </c>
      <c r="D3656" s="17" t="s">
        <v>801</v>
      </c>
      <c r="E3656" s="18">
        <v>3004490759001</v>
      </c>
      <c r="G3656" s="20" t="str">
        <f t="shared" si="171"/>
        <v xml:space="preserve"> CANOFIFTY       </v>
      </c>
      <c r="H3656" s="20" t="str">
        <f t="shared" si="172"/>
        <v>CAMET</v>
      </c>
      <c r="I3656" s="20">
        <f t="shared" si="173"/>
        <v>0</v>
      </c>
    </row>
    <row r="3657" spans="1:9">
      <c r="A3657" s="17" t="s">
        <v>1563</v>
      </c>
      <c r="B3657" s="17" t="s">
        <v>1276</v>
      </c>
      <c r="C3657" s="17">
        <v>0</v>
      </c>
      <c r="D3657" s="17" t="s">
        <v>801</v>
      </c>
      <c r="E3657" s="18">
        <v>3005150821007</v>
      </c>
      <c r="G3657" s="20" t="str">
        <f t="shared" si="171"/>
        <v xml:space="preserve"> CANOFIFTY       </v>
      </c>
      <c r="H3657" s="20" t="str">
        <f t="shared" si="172"/>
        <v>CANFR</v>
      </c>
      <c r="I3657" s="20">
        <f t="shared" si="173"/>
        <v>0</v>
      </c>
    </row>
    <row r="3658" spans="1:9">
      <c r="A3658" s="17" t="s">
        <v>1563</v>
      </c>
      <c r="B3658" s="17" t="s">
        <v>1276</v>
      </c>
      <c r="C3658" s="17">
        <v>0</v>
      </c>
      <c r="D3658" s="17" t="s">
        <v>801</v>
      </c>
      <c r="E3658" s="18">
        <v>8056095064641</v>
      </c>
      <c r="G3658" s="20" t="str">
        <f t="shared" si="171"/>
        <v xml:space="preserve"> CANOFIFTY       </v>
      </c>
      <c r="H3658" s="20" t="str">
        <f t="shared" si="172"/>
        <v>CANFR</v>
      </c>
      <c r="I3658" s="20">
        <f t="shared" si="173"/>
        <v>0</v>
      </c>
    </row>
    <row r="3659" spans="1:9">
      <c r="A3659" s="17" t="s">
        <v>1563</v>
      </c>
      <c r="B3659" s="17" t="s">
        <v>1564</v>
      </c>
      <c r="C3659" s="17">
        <v>0</v>
      </c>
      <c r="D3659" s="17" t="s">
        <v>801</v>
      </c>
      <c r="E3659" s="18">
        <v>3005150822004</v>
      </c>
      <c r="G3659" s="20" t="str">
        <f t="shared" si="171"/>
        <v xml:space="preserve"> CANOFIFTY       </v>
      </c>
      <c r="H3659" s="20" t="str">
        <f t="shared" si="172"/>
        <v>CANIV</v>
      </c>
      <c r="I3659" s="20">
        <f t="shared" si="173"/>
        <v>0</v>
      </c>
    </row>
    <row r="3660" spans="1:9">
      <c r="A3660" s="17" t="s">
        <v>1563</v>
      </c>
      <c r="B3660" s="17" t="s">
        <v>1564</v>
      </c>
      <c r="C3660" s="17">
        <v>0</v>
      </c>
      <c r="D3660" s="17" t="s">
        <v>801</v>
      </c>
      <c r="E3660" s="18">
        <v>8056095064634</v>
      </c>
      <c r="G3660" s="20" t="str">
        <f t="shared" si="171"/>
        <v xml:space="preserve"> CANOFIFTY       </v>
      </c>
      <c r="H3660" s="20" t="str">
        <f t="shared" si="172"/>
        <v>CANIV</v>
      </c>
      <c r="I3660" s="20">
        <f t="shared" si="173"/>
        <v>0</v>
      </c>
    </row>
    <row r="3661" spans="1:9">
      <c r="A3661" s="17" t="s">
        <v>1563</v>
      </c>
      <c r="B3661" s="17" t="s">
        <v>1356</v>
      </c>
      <c r="C3661" s="17">
        <v>0</v>
      </c>
      <c r="D3661" s="17" t="s">
        <v>801</v>
      </c>
      <c r="E3661" s="18">
        <v>3004490761004</v>
      </c>
      <c r="G3661" s="20" t="str">
        <f t="shared" si="171"/>
        <v xml:space="preserve"> CANOFIFTY       </v>
      </c>
      <c r="H3661" s="20" t="str">
        <f t="shared" si="172"/>
        <v>FLOWE</v>
      </c>
      <c r="I3661" s="20">
        <f t="shared" si="173"/>
        <v>0</v>
      </c>
    </row>
    <row r="3662" spans="1:9">
      <c r="A3662" s="17" t="s">
        <v>1563</v>
      </c>
      <c r="B3662" s="17" t="s">
        <v>1277</v>
      </c>
      <c r="C3662" s="17">
        <v>0</v>
      </c>
      <c r="D3662" s="17" t="s">
        <v>801</v>
      </c>
      <c r="E3662" s="18">
        <v>3005150429005</v>
      </c>
      <c r="G3662" s="20" t="str">
        <f t="shared" si="171"/>
        <v xml:space="preserve"> CANOFIFTY       </v>
      </c>
      <c r="H3662" s="20" t="str">
        <f t="shared" si="172"/>
        <v>FOULA</v>
      </c>
      <c r="I3662" s="20">
        <f t="shared" si="173"/>
        <v>0</v>
      </c>
    </row>
    <row r="3663" spans="1:9">
      <c r="A3663" s="17" t="s">
        <v>1563</v>
      </c>
      <c r="B3663" s="17" t="s">
        <v>1277</v>
      </c>
      <c r="C3663" s="17">
        <v>0</v>
      </c>
      <c r="D3663" s="17" t="s">
        <v>801</v>
      </c>
      <c r="E3663" s="18">
        <v>8056095065365</v>
      </c>
      <c r="G3663" s="20" t="str">
        <f t="shared" si="171"/>
        <v xml:space="preserve"> CANOFIFTY       </v>
      </c>
      <c r="H3663" s="20" t="str">
        <f t="shared" si="172"/>
        <v>FOULA</v>
      </c>
      <c r="I3663" s="20">
        <f t="shared" si="173"/>
        <v>0</v>
      </c>
    </row>
    <row r="3664" spans="1:9">
      <c r="A3664" s="17" t="s">
        <v>1563</v>
      </c>
      <c r="B3664" s="17" t="s">
        <v>1111</v>
      </c>
      <c r="C3664" s="17">
        <v>0</v>
      </c>
      <c r="D3664" s="17" t="s">
        <v>801</v>
      </c>
      <c r="E3664" s="18">
        <v>8056095063392</v>
      </c>
      <c r="G3664" s="20" t="str">
        <f t="shared" si="171"/>
        <v xml:space="preserve"> CANOFIFTY       </v>
      </c>
      <c r="H3664" s="20" t="str">
        <f t="shared" si="172"/>
        <v>GRBLU</v>
      </c>
      <c r="I3664" s="20">
        <f t="shared" si="173"/>
        <v>0</v>
      </c>
    </row>
    <row r="3665" spans="1:9">
      <c r="A3665" s="17" t="s">
        <v>1563</v>
      </c>
      <c r="B3665" s="17" t="s">
        <v>1111</v>
      </c>
      <c r="C3665" s="17">
        <v>0</v>
      </c>
      <c r="D3665" s="17" t="s">
        <v>801</v>
      </c>
      <c r="E3665" s="18">
        <v>3004491101007</v>
      </c>
      <c r="G3665" s="20" t="str">
        <f t="shared" si="171"/>
        <v xml:space="preserve"> CANOFIFTY       </v>
      </c>
      <c r="H3665" s="20" t="str">
        <f t="shared" si="172"/>
        <v>GRBLU</v>
      </c>
      <c r="I3665" s="20">
        <f t="shared" si="173"/>
        <v>0</v>
      </c>
    </row>
    <row r="3666" spans="1:9">
      <c r="A3666" s="17" t="s">
        <v>1563</v>
      </c>
      <c r="B3666" s="17" t="s">
        <v>858</v>
      </c>
      <c r="C3666" s="17">
        <v>0</v>
      </c>
      <c r="D3666" s="17" t="s">
        <v>801</v>
      </c>
      <c r="E3666" s="18">
        <v>3004490341008</v>
      </c>
      <c r="G3666" s="20" t="str">
        <f t="shared" si="171"/>
        <v xml:space="preserve"> CANOFIFTY       </v>
      </c>
      <c r="H3666" s="20" t="str">
        <f t="shared" si="172"/>
        <v xml:space="preserve">GREY </v>
      </c>
      <c r="I3666" s="20">
        <f t="shared" si="173"/>
        <v>0</v>
      </c>
    </row>
    <row r="3667" spans="1:9">
      <c r="A3667" s="17" t="s">
        <v>1563</v>
      </c>
      <c r="B3667" s="17" t="s">
        <v>858</v>
      </c>
      <c r="C3667" s="17">
        <v>0</v>
      </c>
      <c r="D3667" s="17" t="s">
        <v>801</v>
      </c>
      <c r="E3667" s="18">
        <v>8058333588919</v>
      </c>
      <c r="G3667" s="20" t="str">
        <f t="shared" si="171"/>
        <v xml:space="preserve"> CANOFIFTY       </v>
      </c>
      <c r="H3667" s="20" t="str">
        <f t="shared" si="172"/>
        <v xml:space="preserve">GREY </v>
      </c>
      <c r="I3667" s="20">
        <f t="shared" si="173"/>
        <v>0</v>
      </c>
    </row>
    <row r="3668" spans="1:9">
      <c r="A3668" s="17" t="s">
        <v>1563</v>
      </c>
      <c r="B3668" s="17" t="s">
        <v>1565</v>
      </c>
      <c r="C3668" s="17">
        <v>0</v>
      </c>
      <c r="D3668" s="17" t="s">
        <v>801</v>
      </c>
      <c r="E3668" s="18">
        <v>8056095063408</v>
      </c>
      <c r="G3668" s="20" t="str">
        <f t="shared" si="171"/>
        <v xml:space="preserve"> CANOFIFTY       </v>
      </c>
      <c r="H3668" s="20" t="str">
        <f t="shared" si="172"/>
        <v>GRTOR</v>
      </c>
      <c r="I3668" s="20">
        <f t="shared" si="173"/>
        <v>0</v>
      </c>
    </row>
    <row r="3669" spans="1:9">
      <c r="A3669" s="17" t="s">
        <v>1563</v>
      </c>
      <c r="B3669" s="17" t="s">
        <v>1565</v>
      </c>
      <c r="C3669" s="17">
        <v>0</v>
      </c>
      <c r="D3669" s="17" t="s">
        <v>801</v>
      </c>
      <c r="E3669" s="18">
        <v>3004491132001</v>
      </c>
      <c r="G3669" s="20" t="str">
        <f t="shared" si="171"/>
        <v xml:space="preserve"> CANOFIFTY       </v>
      </c>
      <c r="H3669" s="20" t="str">
        <f t="shared" si="172"/>
        <v>GRTOR</v>
      </c>
      <c r="I3669" s="20">
        <f t="shared" si="173"/>
        <v>0</v>
      </c>
    </row>
    <row r="3670" spans="1:9">
      <c r="A3670" s="17" t="s">
        <v>1563</v>
      </c>
      <c r="B3670" s="17" t="s">
        <v>1566</v>
      </c>
      <c r="C3670" s="17">
        <v>0</v>
      </c>
      <c r="D3670" s="17" t="s">
        <v>801</v>
      </c>
      <c r="E3670" s="18">
        <v>8056095063415</v>
      </c>
      <c r="G3670" s="20" t="str">
        <f t="shared" si="171"/>
        <v xml:space="preserve"> CANOFIFTY       </v>
      </c>
      <c r="H3670" s="20" t="str">
        <f t="shared" si="172"/>
        <v>GRVER</v>
      </c>
      <c r="I3670" s="20">
        <f t="shared" si="173"/>
        <v>0</v>
      </c>
    </row>
    <row r="3671" spans="1:9">
      <c r="A3671" s="17" t="s">
        <v>1563</v>
      </c>
      <c r="B3671" s="17" t="s">
        <v>1566</v>
      </c>
      <c r="C3671" s="17">
        <v>0</v>
      </c>
      <c r="D3671" s="17" t="s">
        <v>801</v>
      </c>
      <c r="E3671" s="18">
        <v>3004491116001</v>
      </c>
      <c r="G3671" s="20" t="str">
        <f t="shared" si="171"/>
        <v xml:space="preserve"> CANOFIFTY       </v>
      </c>
      <c r="H3671" s="20" t="str">
        <f t="shared" si="172"/>
        <v>GRVER</v>
      </c>
      <c r="I3671" s="20">
        <f t="shared" si="173"/>
        <v>0</v>
      </c>
    </row>
    <row r="3672" spans="1:9">
      <c r="A3672" s="17" t="s">
        <v>1563</v>
      </c>
      <c r="B3672" s="17" t="s">
        <v>1484</v>
      </c>
      <c r="C3672" s="17">
        <v>0</v>
      </c>
      <c r="D3672" s="17" t="s">
        <v>801</v>
      </c>
      <c r="E3672" s="18">
        <v>3004490696009</v>
      </c>
      <c r="G3672" s="20" t="str">
        <f t="shared" si="171"/>
        <v xml:space="preserve"> CANOFIFTY       </v>
      </c>
      <c r="H3672" s="20" t="str">
        <f t="shared" si="172"/>
        <v>MAIBL</v>
      </c>
      <c r="I3672" s="20">
        <f t="shared" si="173"/>
        <v>0</v>
      </c>
    </row>
    <row r="3673" spans="1:9">
      <c r="A3673" s="17" t="s">
        <v>1563</v>
      </c>
      <c r="B3673" s="17" t="s">
        <v>1485</v>
      </c>
      <c r="C3673" s="17">
        <v>0</v>
      </c>
      <c r="D3673" s="17" t="s">
        <v>801</v>
      </c>
      <c r="E3673" s="18">
        <v>3004490697006</v>
      </c>
      <c r="G3673" s="20" t="str">
        <f t="shared" si="171"/>
        <v xml:space="preserve"> CANOFIFTY       </v>
      </c>
      <c r="H3673" s="20" t="str">
        <f t="shared" si="172"/>
        <v>MAIGR</v>
      </c>
      <c r="I3673" s="20">
        <f t="shared" si="173"/>
        <v>0</v>
      </c>
    </row>
    <row r="3674" spans="1:9">
      <c r="A3674" s="17" t="s">
        <v>1563</v>
      </c>
      <c r="B3674" s="17" t="s">
        <v>1567</v>
      </c>
      <c r="C3674" s="17">
        <v>0</v>
      </c>
      <c r="D3674" s="17" t="s">
        <v>801</v>
      </c>
      <c r="E3674" s="18">
        <v>3004491071003</v>
      </c>
      <c r="G3674" s="20" t="str">
        <f t="shared" si="171"/>
        <v xml:space="preserve"> CANOFIFTY       </v>
      </c>
      <c r="H3674" s="20" t="str">
        <f t="shared" si="172"/>
        <v>OXFBL</v>
      </c>
      <c r="I3674" s="20">
        <f t="shared" si="173"/>
        <v>0</v>
      </c>
    </row>
    <row r="3675" spans="1:9">
      <c r="A3675" s="17" t="s">
        <v>1563</v>
      </c>
      <c r="B3675" s="17" t="s">
        <v>1567</v>
      </c>
      <c r="C3675" s="17">
        <v>0</v>
      </c>
      <c r="D3675" s="17" t="s">
        <v>801</v>
      </c>
      <c r="E3675" s="18">
        <v>8056099171291</v>
      </c>
      <c r="G3675" s="20" t="str">
        <f t="shared" si="171"/>
        <v xml:space="preserve"> CANOFIFTY       </v>
      </c>
      <c r="H3675" s="20" t="str">
        <f t="shared" si="172"/>
        <v>OXFBL</v>
      </c>
      <c r="I3675" s="20">
        <f t="shared" si="173"/>
        <v>0</v>
      </c>
    </row>
    <row r="3676" spans="1:9">
      <c r="A3676" s="17" t="s">
        <v>1563</v>
      </c>
      <c r="B3676" s="17" t="s">
        <v>1526</v>
      </c>
      <c r="C3676" s="17">
        <v>0</v>
      </c>
      <c r="D3676" s="17" t="s">
        <v>801</v>
      </c>
      <c r="E3676" s="18">
        <v>3004491256004</v>
      </c>
      <c r="G3676" s="20" t="str">
        <f t="shared" si="171"/>
        <v xml:space="preserve"> CANOFIFTY       </v>
      </c>
      <c r="H3676" s="20" t="str">
        <f t="shared" si="172"/>
        <v>OXRED</v>
      </c>
      <c r="I3676" s="20">
        <f t="shared" si="173"/>
        <v>0</v>
      </c>
    </row>
    <row r="3677" spans="1:9">
      <c r="A3677" s="17" t="s">
        <v>1563</v>
      </c>
      <c r="B3677" s="17" t="s">
        <v>1526</v>
      </c>
      <c r="C3677" s="17">
        <v>0</v>
      </c>
      <c r="D3677" s="17" t="s">
        <v>801</v>
      </c>
      <c r="E3677" s="18">
        <v>8056099171284</v>
      </c>
      <c r="G3677" s="20" t="str">
        <f t="shared" si="171"/>
        <v xml:space="preserve"> CANOFIFTY       </v>
      </c>
      <c r="H3677" s="20" t="str">
        <f t="shared" si="172"/>
        <v>OXRED</v>
      </c>
      <c r="I3677" s="20">
        <f t="shared" si="173"/>
        <v>0</v>
      </c>
    </row>
    <row r="3678" spans="1:9">
      <c r="A3678" s="17" t="s">
        <v>1563</v>
      </c>
      <c r="B3678" s="17" t="s">
        <v>1527</v>
      </c>
      <c r="C3678" s="17">
        <v>0</v>
      </c>
      <c r="D3678" s="17" t="s">
        <v>801</v>
      </c>
      <c r="E3678" s="18">
        <v>3004491273001</v>
      </c>
      <c r="G3678" s="20" t="str">
        <f t="shared" si="171"/>
        <v xml:space="preserve"> CANOFIFTY       </v>
      </c>
      <c r="H3678" s="20" t="str">
        <f t="shared" si="172"/>
        <v>SAKBL</v>
      </c>
      <c r="I3678" s="20">
        <f t="shared" si="173"/>
        <v>0</v>
      </c>
    </row>
    <row r="3679" spans="1:9">
      <c r="A3679" s="17" t="s">
        <v>1563</v>
      </c>
      <c r="B3679" s="17" t="s">
        <v>1411</v>
      </c>
      <c r="C3679" s="17">
        <v>0</v>
      </c>
      <c r="D3679" s="17" t="s">
        <v>801</v>
      </c>
      <c r="E3679" s="18">
        <v>3005150884002</v>
      </c>
      <c r="G3679" s="20" t="str">
        <f t="shared" si="171"/>
        <v xml:space="preserve"> CANOFIFTY       </v>
      </c>
      <c r="H3679" s="20" t="str">
        <f t="shared" si="172"/>
        <v>SWING</v>
      </c>
      <c r="I3679" s="20">
        <f t="shared" si="173"/>
        <v>0</v>
      </c>
    </row>
    <row r="3680" spans="1:9">
      <c r="A3680" s="17" t="s">
        <v>1563</v>
      </c>
      <c r="B3680" s="17" t="s">
        <v>919</v>
      </c>
      <c r="C3680" s="17">
        <v>0</v>
      </c>
      <c r="D3680" s="17" t="s">
        <v>801</v>
      </c>
      <c r="E3680" s="18">
        <v>3005151178001</v>
      </c>
      <c r="G3680" s="20" t="str">
        <f t="shared" si="171"/>
        <v xml:space="preserve"> CANOFIFTY       </v>
      </c>
      <c r="H3680" s="20" t="str">
        <f t="shared" si="172"/>
        <v>TESTA</v>
      </c>
      <c r="I3680" s="20">
        <f t="shared" si="173"/>
        <v>0</v>
      </c>
    </row>
    <row r="3681" spans="1:9">
      <c r="A3681" s="17" t="s">
        <v>1563</v>
      </c>
      <c r="B3681" s="17" t="s">
        <v>919</v>
      </c>
      <c r="C3681" s="17">
        <v>0</v>
      </c>
      <c r="D3681" s="17" t="s">
        <v>801</v>
      </c>
      <c r="E3681" s="18">
        <v>8058333588933</v>
      </c>
      <c r="G3681" s="20" t="str">
        <f t="shared" si="171"/>
        <v xml:space="preserve"> CANOFIFTY       </v>
      </c>
      <c r="H3681" s="20" t="str">
        <f t="shared" si="172"/>
        <v>TESTA</v>
      </c>
      <c r="I3681" s="20">
        <f t="shared" si="173"/>
        <v>0</v>
      </c>
    </row>
    <row r="3682" spans="1:9">
      <c r="A3682" s="17" t="s">
        <v>1563</v>
      </c>
      <c r="B3682" s="17" t="s">
        <v>1415</v>
      </c>
      <c r="C3682" s="17">
        <v>0</v>
      </c>
      <c r="D3682" s="17" t="s">
        <v>801</v>
      </c>
      <c r="E3682" s="18">
        <v>3004490760007</v>
      </c>
      <c r="G3682" s="20" t="str">
        <f t="shared" si="171"/>
        <v xml:space="preserve"> CANOFIFTY       </v>
      </c>
      <c r="H3682" s="20" t="str">
        <f t="shared" si="172"/>
        <v>TOUCA</v>
      </c>
      <c r="I3682" s="20">
        <f t="shared" si="173"/>
        <v>0</v>
      </c>
    </row>
    <row r="3683" spans="1:9">
      <c r="A3683" s="17" t="s">
        <v>1563</v>
      </c>
      <c r="B3683" s="17" t="s">
        <v>273</v>
      </c>
      <c r="C3683" s="17">
        <v>0</v>
      </c>
      <c r="D3683" s="17" t="s">
        <v>801</v>
      </c>
      <c r="E3683" s="18">
        <v>3005150005001</v>
      </c>
      <c r="G3683" s="20" t="str">
        <f t="shared" si="171"/>
        <v xml:space="preserve"> CANOFIFTY       </v>
      </c>
      <c r="H3683" s="20" t="str">
        <f t="shared" si="172"/>
        <v>WHITE</v>
      </c>
      <c r="I3683" s="20">
        <f t="shared" si="173"/>
        <v>0</v>
      </c>
    </row>
    <row r="3684" spans="1:9">
      <c r="A3684" s="17" t="s">
        <v>1568</v>
      </c>
      <c r="B3684" s="17" t="s">
        <v>280</v>
      </c>
      <c r="C3684" s="17">
        <v>0</v>
      </c>
      <c r="D3684" s="17" t="s">
        <v>801</v>
      </c>
      <c r="E3684" s="18">
        <v>8050450219417</v>
      </c>
      <c r="G3684" s="20" t="str">
        <f t="shared" si="171"/>
        <v xml:space="preserve"> CANOFOLDER      </v>
      </c>
      <c r="H3684" s="20" t="str">
        <f t="shared" si="172"/>
        <v>BLACK</v>
      </c>
      <c r="I3684" s="20">
        <f t="shared" si="173"/>
        <v>0</v>
      </c>
    </row>
    <row r="3685" spans="1:9">
      <c r="A3685" s="17" t="s">
        <v>1568</v>
      </c>
      <c r="B3685" s="17" t="s">
        <v>280</v>
      </c>
      <c r="C3685" s="17">
        <v>0</v>
      </c>
      <c r="D3685" s="17" t="s">
        <v>801</v>
      </c>
      <c r="E3685" s="18">
        <v>3003960276000</v>
      </c>
      <c r="G3685" s="20" t="str">
        <f t="shared" si="171"/>
        <v xml:space="preserve"> CANOFOLDER      </v>
      </c>
      <c r="H3685" s="20" t="str">
        <f t="shared" si="172"/>
        <v>BLACK</v>
      </c>
      <c r="I3685" s="20">
        <f t="shared" si="173"/>
        <v>0</v>
      </c>
    </row>
    <row r="3686" spans="1:9">
      <c r="A3686" s="17" t="s">
        <v>1568</v>
      </c>
      <c r="B3686" s="17" t="s">
        <v>280</v>
      </c>
      <c r="C3686" s="17">
        <v>0</v>
      </c>
      <c r="D3686" s="17" t="s">
        <v>801</v>
      </c>
      <c r="E3686" s="18">
        <v>3004660004009</v>
      </c>
      <c r="G3686" s="20" t="str">
        <f t="shared" si="171"/>
        <v xml:space="preserve"> CANOFOLDER      </v>
      </c>
      <c r="H3686" s="20" t="str">
        <f t="shared" si="172"/>
        <v>BLACK</v>
      </c>
      <c r="I3686" s="20">
        <f t="shared" si="173"/>
        <v>0</v>
      </c>
    </row>
    <row r="3687" spans="1:9">
      <c r="A3687" s="17" t="s">
        <v>1568</v>
      </c>
      <c r="B3687" s="17" t="s">
        <v>1423</v>
      </c>
      <c r="C3687" s="17">
        <v>0</v>
      </c>
      <c r="D3687" s="17" t="s">
        <v>801</v>
      </c>
      <c r="E3687" s="18">
        <v>3004660544000</v>
      </c>
      <c r="G3687" s="20" t="str">
        <f t="shared" si="171"/>
        <v xml:space="preserve"> CANOFOLDER      </v>
      </c>
      <c r="H3687" s="20" t="str">
        <f t="shared" si="172"/>
        <v xml:space="preserve">BLG  </v>
      </c>
      <c r="I3687" s="20">
        <f t="shared" si="173"/>
        <v>0</v>
      </c>
    </row>
    <row r="3688" spans="1:9">
      <c r="A3688" s="17" t="s">
        <v>1568</v>
      </c>
      <c r="B3688" s="17" t="s">
        <v>1423</v>
      </c>
      <c r="C3688" s="17">
        <v>0</v>
      </c>
      <c r="D3688" s="17" t="s">
        <v>801</v>
      </c>
      <c r="E3688" s="18">
        <v>8058333589947</v>
      </c>
      <c r="G3688" s="20" t="str">
        <f t="shared" si="171"/>
        <v xml:space="preserve"> CANOFOLDER      </v>
      </c>
      <c r="H3688" s="20" t="str">
        <f t="shared" si="172"/>
        <v xml:space="preserve">BLG  </v>
      </c>
      <c r="I3688" s="20">
        <f t="shared" si="173"/>
        <v>0</v>
      </c>
    </row>
    <row r="3689" spans="1:9">
      <c r="A3689" s="17" t="s">
        <v>1568</v>
      </c>
      <c r="B3689" s="17" t="s">
        <v>858</v>
      </c>
      <c r="C3689" s="17">
        <v>0</v>
      </c>
      <c r="D3689" s="17" t="s">
        <v>801</v>
      </c>
      <c r="E3689" s="18">
        <v>3004660002005</v>
      </c>
      <c r="G3689" s="20" t="str">
        <f t="shared" si="171"/>
        <v xml:space="preserve"> CANOFOLDER      </v>
      </c>
      <c r="H3689" s="20" t="str">
        <f t="shared" si="172"/>
        <v xml:space="preserve">GREY </v>
      </c>
      <c r="I3689" s="20">
        <f t="shared" si="173"/>
        <v>0</v>
      </c>
    </row>
    <row r="3690" spans="1:9">
      <c r="A3690" s="17" t="s">
        <v>1568</v>
      </c>
      <c r="B3690" s="17" t="s">
        <v>859</v>
      </c>
      <c r="C3690" s="17">
        <v>0</v>
      </c>
      <c r="D3690" s="17" t="s">
        <v>801</v>
      </c>
      <c r="E3690" s="18">
        <v>8050450219400</v>
      </c>
      <c r="G3690" s="20" t="str">
        <f t="shared" si="171"/>
        <v xml:space="preserve"> CANOFOLDER      </v>
      </c>
      <c r="H3690" s="20" t="str">
        <f t="shared" si="172"/>
        <v>NATUR</v>
      </c>
      <c r="I3690" s="20">
        <f t="shared" si="173"/>
        <v>0</v>
      </c>
    </row>
    <row r="3691" spans="1:9">
      <c r="A3691" s="17" t="s">
        <v>1568</v>
      </c>
      <c r="B3691" s="17" t="s">
        <v>859</v>
      </c>
      <c r="C3691" s="17">
        <v>0</v>
      </c>
      <c r="D3691" s="17" t="s">
        <v>801</v>
      </c>
      <c r="E3691" s="18">
        <v>3003960370005</v>
      </c>
      <c r="G3691" s="20" t="str">
        <f t="shared" si="171"/>
        <v xml:space="preserve"> CANOFOLDER      </v>
      </c>
      <c r="H3691" s="20" t="str">
        <f t="shared" si="172"/>
        <v>NATUR</v>
      </c>
      <c r="I3691" s="20">
        <f t="shared" si="173"/>
        <v>0</v>
      </c>
    </row>
    <row r="3692" spans="1:9">
      <c r="A3692" s="17" t="s">
        <v>1568</v>
      </c>
      <c r="B3692" s="17" t="s">
        <v>859</v>
      </c>
      <c r="C3692" s="17">
        <v>0</v>
      </c>
      <c r="D3692" s="17" t="s">
        <v>801</v>
      </c>
      <c r="E3692" s="18">
        <v>3004660597006</v>
      </c>
      <c r="G3692" s="20" t="str">
        <f t="shared" si="171"/>
        <v xml:space="preserve"> CANOFOLDER      </v>
      </c>
      <c r="H3692" s="20" t="str">
        <f t="shared" si="172"/>
        <v>NATUR</v>
      </c>
      <c r="I3692" s="20">
        <f t="shared" si="173"/>
        <v>0</v>
      </c>
    </row>
    <row r="3693" spans="1:9">
      <c r="A3693" s="17" t="s">
        <v>1569</v>
      </c>
      <c r="B3693" s="17" t="s">
        <v>1145</v>
      </c>
      <c r="C3693" s="17">
        <v>0</v>
      </c>
      <c r="D3693" s="17" t="s">
        <v>801</v>
      </c>
      <c r="E3693" s="18">
        <v>3005730274001</v>
      </c>
      <c r="G3693" s="20" t="str">
        <f t="shared" si="171"/>
        <v xml:space="preserve"> CANOMINIFOLDER  </v>
      </c>
      <c r="H3693" s="20" t="str">
        <f t="shared" si="172"/>
        <v>BEIGE</v>
      </c>
      <c r="I3693" s="20">
        <f t="shared" si="173"/>
        <v>0</v>
      </c>
    </row>
    <row r="3694" spans="1:9">
      <c r="A3694" s="17" t="s">
        <v>1569</v>
      </c>
      <c r="B3694" s="17" t="s">
        <v>1145</v>
      </c>
      <c r="C3694" s="17">
        <v>0</v>
      </c>
      <c r="D3694" s="17" t="s">
        <v>801</v>
      </c>
      <c r="E3694" s="18">
        <v>8056099171451</v>
      </c>
      <c r="G3694" s="20" t="str">
        <f t="shared" si="171"/>
        <v xml:space="preserve"> CANOMINIFOLDER  </v>
      </c>
      <c r="H3694" s="20" t="str">
        <f t="shared" si="172"/>
        <v>BEIGE</v>
      </c>
      <c r="I3694" s="20">
        <f t="shared" si="173"/>
        <v>0</v>
      </c>
    </row>
    <row r="3695" spans="1:9">
      <c r="A3695" s="17" t="s">
        <v>1569</v>
      </c>
      <c r="B3695" s="17" t="s">
        <v>1145</v>
      </c>
      <c r="C3695" s="17">
        <v>0</v>
      </c>
      <c r="D3695" s="17" t="s">
        <v>801</v>
      </c>
      <c r="E3695" s="18">
        <v>8056099171475</v>
      </c>
      <c r="G3695" s="20" t="str">
        <f t="shared" si="171"/>
        <v xml:space="preserve"> CANOMINIFOLDER  </v>
      </c>
      <c r="H3695" s="20" t="str">
        <f t="shared" si="172"/>
        <v>BEIGE</v>
      </c>
      <c r="I3695" s="20">
        <f t="shared" si="173"/>
        <v>0</v>
      </c>
    </row>
    <row r="3696" spans="1:9">
      <c r="A3696" s="17" t="s">
        <v>1569</v>
      </c>
      <c r="B3696" s="17" t="s">
        <v>280</v>
      </c>
      <c r="C3696" s="17">
        <v>0</v>
      </c>
      <c r="D3696" s="17" t="s">
        <v>801</v>
      </c>
      <c r="E3696" s="18">
        <v>3005730276005</v>
      </c>
      <c r="G3696" s="20" t="str">
        <f t="shared" si="171"/>
        <v xml:space="preserve"> CANOMINIFOLDER  </v>
      </c>
      <c r="H3696" s="20" t="str">
        <f t="shared" si="172"/>
        <v>BLACK</v>
      </c>
      <c r="I3696" s="20">
        <f t="shared" si="173"/>
        <v>0</v>
      </c>
    </row>
    <row r="3697" spans="1:9">
      <c r="A3697" s="17" t="s">
        <v>1569</v>
      </c>
      <c r="B3697" s="17" t="s">
        <v>280</v>
      </c>
      <c r="C3697" s="17">
        <v>0</v>
      </c>
      <c r="D3697" s="17" t="s">
        <v>801</v>
      </c>
      <c r="E3697" s="18">
        <v>8056099171499</v>
      </c>
      <c r="G3697" s="20" t="str">
        <f t="shared" si="171"/>
        <v xml:space="preserve"> CANOMINIFOLDER  </v>
      </c>
      <c r="H3697" s="20" t="str">
        <f t="shared" si="172"/>
        <v>BLACK</v>
      </c>
      <c r="I3697" s="20">
        <f t="shared" si="173"/>
        <v>0</v>
      </c>
    </row>
    <row r="3698" spans="1:9">
      <c r="A3698" s="17" t="s">
        <v>1569</v>
      </c>
      <c r="B3698" s="17" t="s">
        <v>1101</v>
      </c>
      <c r="C3698" s="17">
        <v>0</v>
      </c>
      <c r="D3698" s="17" t="s">
        <v>801</v>
      </c>
      <c r="E3698" s="18">
        <v>8056099177002</v>
      </c>
      <c r="G3698" s="20" t="str">
        <f t="shared" si="171"/>
        <v xml:space="preserve"> CANOMINIFOLDER  </v>
      </c>
      <c r="H3698" s="20" t="str">
        <f t="shared" si="172"/>
        <v xml:space="preserve">BOR  </v>
      </c>
      <c r="I3698" s="20">
        <f t="shared" si="173"/>
        <v>0</v>
      </c>
    </row>
    <row r="3699" spans="1:9">
      <c r="A3699" s="17" t="s">
        <v>1569</v>
      </c>
      <c r="B3699" s="17" t="s">
        <v>971</v>
      </c>
      <c r="C3699" s="17">
        <v>0</v>
      </c>
      <c r="D3699" s="17" t="s">
        <v>801</v>
      </c>
      <c r="E3699" s="18">
        <v>8056099179105</v>
      </c>
      <c r="G3699" s="20" t="str">
        <f t="shared" si="171"/>
        <v xml:space="preserve"> CANOMINIFOLDER  </v>
      </c>
      <c r="H3699" s="20" t="str">
        <f t="shared" si="172"/>
        <v>OTTAN</v>
      </c>
      <c r="I3699" s="20">
        <f t="shared" si="173"/>
        <v>0</v>
      </c>
    </row>
    <row r="3700" spans="1:9">
      <c r="A3700" s="17" t="s">
        <v>1569</v>
      </c>
      <c r="B3700" s="17" t="s">
        <v>867</v>
      </c>
      <c r="C3700" s="17">
        <v>0</v>
      </c>
      <c r="D3700" s="17" t="s">
        <v>801</v>
      </c>
      <c r="E3700" s="18">
        <v>3005731032006</v>
      </c>
      <c r="G3700" s="20" t="str">
        <f t="shared" si="171"/>
        <v xml:space="preserve"> CANOMINIFOLDER  </v>
      </c>
      <c r="H3700" s="20" t="str">
        <f t="shared" si="172"/>
        <v>VERTF</v>
      </c>
      <c r="I3700" s="20">
        <f t="shared" si="173"/>
        <v>0</v>
      </c>
    </row>
    <row r="3701" spans="1:9">
      <c r="A3701" s="17" t="s">
        <v>1569</v>
      </c>
      <c r="B3701" s="17" t="s">
        <v>867</v>
      </c>
      <c r="C3701" s="17">
        <v>0</v>
      </c>
      <c r="D3701" s="17" t="s">
        <v>801</v>
      </c>
      <c r="E3701" s="18">
        <v>8056099171482</v>
      </c>
      <c r="G3701" s="20" t="str">
        <f t="shared" si="171"/>
        <v xml:space="preserve"> CANOMINIFOLDER  </v>
      </c>
      <c r="H3701" s="20" t="str">
        <f t="shared" si="172"/>
        <v>VERTF</v>
      </c>
      <c r="I3701" s="20">
        <f t="shared" si="173"/>
        <v>0</v>
      </c>
    </row>
    <row r="3702" spans="1:9">
      <c r="A3702" s="17" t="s">
        <v>1570</v>
      </c>
      <c r="B3702" s="17" t="s">
        <v>1101</v>
      </c>
      <c r="C3702" s="17">
        <v>0</v>
      </c>
      <c r="D3702" s="17" t="s">
        <v>801</v>
      </c>
      <c r="E3702" s="18">
        <v>3005460590006</v>
      </c>
      <c r="G3702" s="20" t="str">
        <f t="shared" si="171"/>
        <v xml:space="preserve"> CANOMOON        </v>
      </c>
      <c r="H3702" s="20" t="str">
        <f t="shared" si="172"/>
        <v xml:space="preserve">BOR  </v>
      </c>
      <c r="I3702" s="20">
        <f t="shared" si="173"/>
        <v>0</v>
      </c>
    </row>
    <row r="3703" spans="1:9">
      <c r="A3703" s="17" t="s">
        <v>1570</v>
      </c>
      <c r="B3703" s="17" t="s">
        <v>1101</v>
      </c>
      <c r="C3703" s="17">
        <v>0</v>
      </c>
      <c r="D3703" s="17" t="s">
        <v>801</v>
      </c>
      <c r="E3703" s="18">
        <v>8056099171536</v>
      </c>
      <c r="G3703" s="20" t="str">
        <f t="shared" si="171"/>
        <v xml:space="preserve"> CANOMOON        </v>
      </c>
      <c r="H3703" s="20" t="str">
        <f t="shared" si="172"/>
        <v xml:space="preserve">BOR  </v>
      </c>
      <c r="I3703" s="20">
        <f t="shared" si="173"/>
        <v>0</v>
      </c>
    </row>
    <row r="3704" spans="1:9">
      <c r="A3704" s="17" t="s">
        <v>1570</v>
      </c>
      <c r="B3704" s="17" t="s">
        <v>1571</v>
      </c>
      <c r="C3704" s="17">
        <v>0</v>
      </c>
      <c r="D3704" s="17" t="s">
        <v>801</v>
      </c>
      <c r="E3704" s="18">
        <v>3005461513004</v>
      </c>
      <c r="G3704" s="20" t="str">
        <f t="shared" si="171"/>
        <v xml:space="preserve"> CANOMOON        </v>
      </c>
      <c r="H3704" s="20" t="str">
        <f t="shared" si="172"/>
        <v>CONOI</v>
      </c>
      <c r="I3704" s="20">
        <f t="shared" si="173"/>
        <v>0</v>
      </c>
    </row>
    <row r="3705" spans="1:9">
      <c r="A3705" s="17" t="s">
        <v>1570</v>
      </c>
      <c r="B3705" s="17" t="s">
        <v>1571</v>
      </c>
      <c r="C3705" s="17">
        <v>0</v>
      </c>
      <c r="D3705" s="17" t="s">
        <v>801</v>
      </c>
      <c r="E3705" s="18">
        <v>8050846008274</v>
      </c>
      <c r="G3705" s="20" t="str">
        <f t="shared" si="171"/>
        <v xml:space="preserve"> CANOMOON        </v>
      </c>
      <c r="H3705" s="20" t="str">
        <f t="shared" si="172"/>
        <v>CONOI</v>
      </c>
      <c r="I3705" s="20">
        <f t="shared" si="173"/>
        <v>0</v>
      </c>
    </row>
    <row r="3706" spans="1:9">
      <c r="A3706" s="17" t="s">
        <v>1570</v>
      </c>
      <c r="B3706" s="17" t="s">
        <v>1572</v>
      </c>
      <c r="C3706" s="17">
        <v>0</v>
      </c>
      <c r="D3706" s="17" t="s">
        <v>801</v>
      </c>
      <c r="E3706" s="18">
        <v>8050846002326</v>
      </c>
      <c r="G3706" s="20" t="str">
        <f t="shared" si="171"/>
        <v xml:space="preserve"> CANOMOON        </v>
      </c>
      <c r="H3706" s="20" t="str">
        <f t="shared" si="172"/>
        <v>COWHI</v>
      </c>
      <c r="I3706" s="20">
        <f t="shared" si="173"/>
        <v>0</v>
      </c>
    </row>
    <row r="3707" spans="1:9">
      <c r="A3707" s="17" t="s">
        <v>1570</v>
      </c>
      <c r="B3707" s="17" t="s">
        <v>1514</v>
      </c>
      <c r="C3707" s="17">
        <v>0</v>
      </c>
      <c r="D3707" s="17" t="s">
        <v>801</v>
      </c>
      <c r="E3707" s="18">
        <v>8056099179921</v>
      </c>
      <c r="G3707" s="20" t="str">
        <f t="shared" si="171"/>
        <v xml:space="preserve"> CANOMOON        </v>
      </c>
      <c r="H3707" s="20" t="str">
        <f t="shared" si="172"/>
        <v>FLABO</v>
      </c>
      <c r="I3707" s="20">
        <f t="shared" si="173"/>
        <v>0</v>
      </c>
    </row>
    <row r="3708" spans="1:9">
      <c r="A3708" s="17" t="s">
        <v>1570</v>
      </c>
      <c r="B3708" s="17" t="s">
        <v>1544</v>
      </c>
      <c r="C3708" s="17">
        <v>0</v>
      </c>
      <c r="D3708" s="17" t="s">
        <v>801</v>
      </c>
      <c r="E3708" s="18">
        <v>3005461180008</v>
      </c>
      <c r="G3708" s="20" t="str">
        <f t="shared" si="171"/>
        <v xml:space="preserve"> CANOMOON        </v>
      </c>
      <c r="H3708" s="20" t="str">
        <f t="shared" si="172"/>
        <v>FLANO</v>
      </c>
      <c r="I3708" s="20">
        <f t="shared" si="173"/>
        <v>0</v>
      </c>
    </row>
    <row r="3709" spans="1:9">
      <c r="A3709" s="17" t="s">
        <v>1570</v>
      </c>
      <c r="B3709" s="17" t="s">
        <v>1544</v>
      </c>
      <c r="C3709" s="17">
        <v>0</v>
      </c>
      <c r="D3709" s="17" t="s">
        <v>801</v>
      </c>
      <c r="E3709" s="18">
        <v>8050846013469</v>
      </c>
      <c r="G3709" s="20" t="str">
        <f t="shared" si="171"/>
        <v xml:space="preserve"> CANOMOON        </v>
      </c>
      <c r="H3709" s="20" t="str">
        <f t="shared" si="172"/>
        <v>FLANO</v>
      </c>
      <c r="I3709" s="20">
        <f t="shared" si="173"/>
        <v>0</v>
      </c>
    </row>
    <row r="3710" spans="1:9">
      <c r="A3710" s="17" t="s">
        <v>1570</v>
      </c>
      <c r="B3710" s="17" t="s">
        <v>1545</v>
      </c>
      <c r="C3710" s="17">
        <v>0</v>
      </c>
      <c r="D3710" s="17" t="s">
        <v>801</v>
      </c>
      <c r="E3710" s="18">
        <v>8056099179297</v>
      </c>
      <c r="G3710" s="20" t="str">
        <f t="shared" si="171"/>
        <v xml:space="preserve"> CANOMOON        </v>
      </c>
      <c r="H3710" s="20" t="str">
        <f t="shared" si="172"/>
        <v>FLAOT</v>
      </c>
      <c r="I3710" s="20">
        <f t="shared" si="173"/>
        <v>0</v>
      </c>
    </row>
    <row r="3711" spans="1:9">
      <c r="A3711" s="17" t="s">
        <v>1570</v>
      </c>
      <c r="B3711" s="17" t="s">
        <v>1545</v>
      </c>
      <c r="C3711" s="17">
        <v>0</v>
      </c>
      <c r="D3711" s="17" t="s">
        <v>801</v>
      </c>
      <c r="E3711" s="18">
        <v>8050846013537</v>
      </c>
      <c r="G3711" s="20" t="str">
        <f t="shared" si="171"/>
        <v xml:space="preserve"> CANOMOON        </v>
      </c>
      <c r="H3711" s="20" t="str">
        <f t="shared" si="172"/>
        <v>FLAOT</v>
      </c>
      <c r="I3711" s="20">
        <f t="shared" si="173"/>
        <v>0</v>
      </c>
    </row>
    <row r="3712" spans="1:9">
      <c r="A3712" s="17" t="s">
        <v>1570</v>
      </c>
      <c r="B3712" s="17" t="s">
        <v>1573</v>
      </c>
      <c r="C3712" s="17">
        <v>0</v>
      </c>
      <c r="D3712" s="17" t="s">
        <v>801</v>
      </c>
      <c r="E3712" s="18">
        <v>8056099177569</v>
      </c>
      <c r="G3712" s="20" t="str">
        <f t="shared" si="171"/>
        <v xml:space="preserve"> CANOMOON        </v>
      </c>
      <c r="H3712" s="20" t="str">
        <f t="shared" si="172"/>
        <v>FLATO</v>
      </c>
      <c r="I3712" s="20">
        <f t="shared" si="173"/>
        <v>0</v>
      </c>
    </row>
    <row r="3713" spans="1:9">
      <c r="A3713" s="17" t="s">
        <v>1570</v>
      </c>
      <c r="B3713" s="17" t="s">
        <v>1546</v>
      </c>
      <c r="C3713" s="17">
        <v>0</v>
      </c>
      <c r="D3713" s="17" t="s">
        <v>801</v>
      </c>
      <c r="E3713" s="18">
        <v>3005461512007</v>
      </c>
      <c r="G3713" s="20" t="str">
        <f t="shared" si="171"/>
        <v xml:space="preserve"> CANOMOON        </v>
      </c>
      <c r="H3713" s="20" t="str">
        <f t="shared" si="172"/>
        <v>FLSAN</v>
      </c>
      <c r="I3713" s="20">
        <f t="shared" si="173"/>
        <v>0</v>
      </c>
    </row>
    <row r="3714" spans="1:9">
      <c r="A3714" s="17" t="s">
        <v>1570</v>
      </c>
      <c r="B3714" s="17" t="s">
        <v>1546</v>
      </c>
      <c r="C3714" s="17">
        <v>0</v>
      </c>
      <c r="D3714" s="17" t="s">
        <v>801</v>
      </c>
      <c r="E3714" s="18">
        <v>8050846013452</v>
      </c>
      <c r="G3714" s="20" t="str">
        <f t="shared" si="171"/>
        <v xml:space="preserve"> CANOMOON        </v>
      </c>
      <c r="H3714" s="20" t="str">
        <f t="shared" si="172"/>
        <v>FLSAN</v>
      </c>
      <c r="I3714" s="20">
        <f t="shared" si="173"/>
        <v>0</v>
      </c>
    </row>
    <row r="3715" spans="1:9">
      <c r="A3715" s="17" t="s">
        <v>1570</v>
      </c>
      <c r="B3715" s="17" t="s">
        <v>1549</v>
      </c>
      <c r="C3715" s="17">
        <v>0</v>
      </c>
      <c r="D3715" s="17" t="s">
        <v>801</v>
      </c>
      <c r="E3715" s="18">
        <v>3005461186000</v>
      </c>
      <c r="G3715" s="20" t="str">
        <f t="shared" si="171"/>
        <v xml:space="preserve"> CANOMOON        </v>
      </c>
      <c r="H3715" s="20" t="str">
        <f t="shared" si="172"/>
        <v>MICBL</v>
      </c>
      <c r="I3715" s="20">
        <f t="shared" si="173"/>
        <v>0</v>
      </c>
    </row>
    <row r="3716" spans="1:9">
      <c r="A3716" s="17" t="s">
        <v>1570</v>
      </c>
      <c r="B3716" s="17" t="s">
        <v>1549</v>
      </c>
      <c r="C3716" s="17">
        <v>0</v>
      </c>
      <c r="D3716" s="17" t="s">
        <v>801</v>
      </c>
      <c r="E3716" s="18">
        <v>8050846013544</v>
      </c>
      <c r="G3716" s="20" t="str">
        <f t="shared" si="171"/>
        <v xml:space="preserve"> CANOMOON        </v>
      </c>
      <c r="H3716" s="20" t="str">
        <f t="shared" si="172"/>
        <v>MICBL</v>
      </c>
      <c r="I3716" s="20">
        <f t="shared" si="173"/>
        <v>0</v>
      </c>
    </row>
    <row r="3717" spans="1:9">
      <c r="A3717" s="17" t="s">
        <v>1570</v>
      </c>
      <c r="B3717" s="17" t="s">
        <v>1551</v>
      </c>
      <c r="C3717" s="17">
        <v>0</v>
      </c>
      <c r="D3717" s="17" t="s">
        <v>801</v>
      </c>
      <c r="E3717" s="18">
        <v>3005460953009</v>
      </c>
      <c r="G3717" s="20" t="str">
        <f t="shared" ref="G3717:G3780" si="174">A3717</f>
        <v xml:space="preserve"> CANOMOON        </v>
      </c>
      <c r="H3717" s="20" t="str">
        <f t="shared" ref="H3717:H3780" si="175">B3717</f>
        <v>MICOT</v>
      </c>
      <c r="I3717" s="20">
        <f t="shared" ref="I3717:I3780" si="176">C3717</f>
        <v>0</v>
      </c>
    </row>
    <row r="3718" spans="1:9">
      <c r="A3718" s="17" t="s">
        <v>1570</v>
      </c>
      <c r="B3718" s="17" t="s">
        <v>1200</v>
      </c>
      <c r="C3718" s="17">
        <v>0</v>
      </c>
      <c r="D3718" s="17" t="s">
        <v>801</v>
      </c>
      <c r="E3718" s="18">
        <v>3005461319002</v>
      </c>
      <c r="G3718" s="20" t="str">
        <f t="shared" si="174"/>
        <v xml:space="preserve"> CANOMOON        </v>
      </c>
      <c r="H3718" s="20" t="str">
        <f t="shared" si="175"/>
        <v>RAYBL</v>
      </c>
      <c r="I3718" s="20">
        <f t="shared" si="176"/>
        <v>0</v>
      </c>
    </row>
    <row r="3719" spans="1:9">
      <c r="A3719" s="17" t="s">
        <v>1570</v>
      </c>
      <c r="B3719" s="17" t="s">
        <v>1201</v>
      </c>
      <c r="C3719" s="17">
        <v>0</v>
      </c>
      <c r="D3719" s="17" t="s">
        <v>801</v>
      </c>
      <c r="E3719" s="18">
        <v>3005461331004</v>
      </c>
      <c r="G3719" s="20" t="str">
        <f t="shared" si="174"/>
        <v xml:space="preserve"> CANOMOON        </v>
      </c>
      <c r="H3719" s="20" t="str">
        <f t="shared" si="175"/>
        <v>RAYIV</v>
      </c>
      <c r="I3719" s="20">
        <f t="shared" si="176"/>
        <v>0</v>
      </c>
    </row>
    <row r="3720" spans="1:9">
      <c r="A3720" s="17" t="s">
        <v>1570</v>
      </c>
      <c r="B3720" s="17" t="s">
        <v>1239</v>
      </c>
      <c r="C3720" s="17">
        <v>0</v>
      </c>
      <c r="D3720" s="17" t="s">
        <v>801</v>
      </c>
      <c r="E3720" s="18">
        <v>3005460400008</v>
      </c>
      <c r="G3720" s="20" t="str">
        <f t="shared" si="174"/>
        <v xml:space="preserve"> CANOMOON        </v>
      </c>
      <c r="H3720" s="20" t="str">
        <f t="shared" si="175"/>
        <v xml:space="preserve">SAND </v>
      </c>
      <c r="I3720" s="20">
        <f t="shared" si="176"/>
        <v>0</v>
      </c>
    </row>
    <row r="3721" spans="1:9">
      <c r="A3721" s="17" t="s">
        <v>1570</v>
      </c>
      <c r="B3721" s="17" t="s">
        <v>1239</v>
      </c>
      <c r="C3721" s="17">
        <v>0</v>
      </c>
      <c r="D3721" s="17" t="s">
        <v>801</v>
      </c>
      <c r="E3721" s="18">
        <v>8056099171529</v>
      </c>
      <c r="G3721" s="20" t="str">
        <f t="shared" si="174"/>
        <v xml:space="preserve"> CANOMOON        </v>
      </c>
      <c r="H3721" s="20" t="str">
        <f t="shared" si="175"/>
        <v xml:space="preserve">SAND </v>
      </c>
      <c r="I3721" s="20">
        <f t="shared" si="176"/>
        <v>0</v>
      </c>
    </row>
    <row r="3722" spans="1:9">
      <c r="A3722" s="17" t="s">
        <v>1570</v>
      </c>
      <c r="B3722" s="17" t="s">
        <v>1574</v>
      </c>
      <c r="C3722" s="17">
        <v>0</v>
      </c>
      <c r="D3722" s="17" t="s">
        <v>801</v>
      </c>
      <c r="E3722" s="18">
        <v>3005461197006</v>
      </c>
      <c r="G3722" s="20" t="str">
        <f t="shared" si="174"/>
        <v xml:space="preserve"> CANOMOON        </v>
      </c>
      <c r="H3722" s="20" t="str">
        <f t="shared" si="175"/>
        <v>SSILV</v>
      </c>
      <c r="I3722" s="20">
        <f t="shared" si="176"/>
        <v>0</v>
      </c>
    </row>
    <row r="3723" spans="1:9">
      <c r="A3723" s="17" t="s">
        <v>1570</v>
      </c>
      <c r="B3723" s="17" t="s">
        <v>1574</v>
      </c>
      <c r="C3723" s="17">
        <v>0</v>
      </c>
      <c r="D3723" s="17" t="s">
        <v>801</v>
      </c>
      <c r="E3723" s="18">
        <v>8056099171512</v>
      </c>
      <c r="G3723" s="20" t="str">
        <f t="shared" si="174"/>
        <v xml:space="preserve"> CANOMOON        </v>
      </c>
      <c r="H3723" s="20" t="str">
        <f t="shared" si="175"/>
        <v>SSILV</v>
      </c>
      <c r="I3723" s="20">
        <f t="shared" si="176"/>
        <v>0</v>
      </c>
    </row>
    <row r="3724" spans="1:9">
      <c r="A3724" s="17" t="s">
        <v>1570</v>
      </c>
      <c r="B3724" s="17" t="s">
        <v>1575</v>
      </c>
      <c r="C3724" s="17">
        <v>0</v>
      </c>
      <c r="D3724" s="17" t="s">
        <v>801</v>
      </c>
      <c r="E3724" s="18">
        <v>3005461198003</v>
      </c>
      <c r="G3724" s="20" t="str">
        <f t="shared" si="174"/>
        <v xml:space="preserve"> CANOMOON        </v>
      </c>
      <c r="H3724" s="20" t="str">
        <f t="shared" si="175"/>
        <v>SWHIT</v>
      </c>
      <c r="I3724" s="20">
        <f t="shared" si="176"/>
        <v>0</v>
      </c>
    </row>
    <row r="3725" spans="1:9">
      <c r="A3725" s="17" t="s">
        <v>1570</v>
      </c>
      <c r="B3725" s="17" t="s">
        <v>1575</v>
      </c>
      <c r="C3725" s="17">
        <v>0</v>
      </c>
      <c r="D3725" s="17" t="s">
        <v>801</v>
      </c>
      <c r="E3725" s="18">
        <v>8056099171505</v>
      </c>
      <c r="G3725" s="20" t="str">
        <f t="shared" si="174"/>
        <v xml:space="preserve"> CANOMOON        </v>
      </c>
      <c r="H3725" s="20" t="str">
        <f t="shared" si="175"/>
        <v>SWHIT</v>
      </c>
      <c r="I3725" s="20">
        <f t="shared" si="176"/>
        <v>0</v>
      </c>
    </row>
    <row r="3726" spans="1:9">
      <c r="A3726" s="17" t="s">
        <v>1570</v>
      </c>
      <c r="B3726" s="17" t="s">
        <v>1114</v>
      </c>
      <c r="C3726" s="17">
        <v>0</v>
      </c>
      <c r="D3726" s="17" t="s">
        <v>801</v>
      </c>
      <c r="E3726" s="18">
        <v>8050846012615</v>
      </c>
      <c r="G3726" s="20" t="str">
        <f t="shared" si="174"/>
        <v xml:space="preserve"> CANOMOON        </v>
      </c>
      <c r="H3726" s="20" t="str">
        <f t="shared" si="175"/>
        <v>VELBO</v>
      </c>
      <c r="I3726" s="20">
        <f t="shared" si="176"/>
        <v>0</v>
      </c>
    </row>
    <row r="3727" spans="1:9">
      <c r="A3727" s="17" t="s">
        <v>1570</v>
      </c>
      <c r="B3727" s="17" t="s">
        <v>1115</v>
      </c>
      <c r="C3727" s="17">
        <v>0</v>
      </c>
      <c r="D3727" s="17" t="s">
        <v>801</v>
      </c>
      <c r="E3727" s="18">
        <v>8050846012622</v>
      </c>
      <c r="G3727" s="20" t="str">
        <f t="shared" si="174"/>
        <v xml:space="preserve"> CANOMOON        </v>
      </c>
      <c r="H3727" s="20" t="str">
        <f t="shared" si="175"/>
        <v>VELNE</v>
      </c>
      <c r="I3727" s="20">
        <f t="shared" si="176"/>
        <v>0</v>
      </c>
    </row>
    <row r="3728" spans="1:9">
      <c r="A3728" s="17" t="s">
        <v>1570</v>
      </c>
      <c r="B3728" s="17" t="s">
        <v>1115</v>
      </c>
      <c r="C3728" s="17">
        <v>0</v>
      </c>
      <c r="D3728" s="17" t="s">
        <v>801</v>
      </c>
      <c r="E3728" s="18">
        <v>8050538595877</v>
      </c>
      <c r="G3728" s="20" t="str">
        <f t="shared" si="174"/>
        <v xml:space="preserve"> CANOMOON        </v>
      </c>
      <c r="H3728" s="20" t="str">
        <f t="shared" si="175"/>
        <v>VELNE</v>
      </c>
      <c r="I3728" s="20">
        <f t="shared" si="176"/>
        <v>0</v>
      </c>
    </row>
    <row r="3729" spans="1:9">
      <c r="A3729" s="17" t="s">
        <v>1570</v>
      </c>
      <c r="B3729" s="17" t="s">
        <v>1576</v>
      </c>
      <c r="C3729" s="17">
        <v>0</v>
      </c>
      <c r="D3729" s="17" t="s">
        <v>801</v>
      </c>
      <c r="E3729" s="18">
        <v>3005461176001</v>
      </c>
      <c r="G3729" s="20" t="str">
        <f t="shared" si="174"/>
        <v xml:space="preserve"> CANOMOON        </v>
      </c>
      <c r="H3729" s="20" t="str">
        <f t="shared" si="175"/>
        <v>VELRO</v>
      </c>
      <c r="I3729" s="20">
        <f t="shared" si="176"/>
        <v>0</v>
      </c>
    </row>
    <row r="3730" spans="1:9">
      <c r="A3730" s="17" t="s">
        <v>1570</v>
      </c>
      <c r="B3730" s="17" t="s">
        <v>867</v>
      </c>
      <c r="C3730" s="17">
        <v>0</v>
      </c>
      <c r="D3730" s="17" t="s">
        <v>801</v>
      </c>
      <c r="E3730" s="18">
        <v>3005461032000</v>
      </c>
      <c r="G3730" s="20" t="str">
        <f t="shared" si="174"/>
        <v xml:space="preserve"> CANOMOON        </v>
      </c>
      <c r="H3730" s="20" t="str">
        <f t="shared" si="175"/>
        <v>VERTF</v>
      </c>
      <c r="I3730" s="20">
        <f t="shared" si="176"/>
        <v>0</v>
      </c>
    </row>
    <row r="3731" spans="1:9">
      <c r="A3731" s="17" t="s">
        <v>1570</v>
      </c>
      <c r="B3731" s="17" t="s">
        <v>867</v>
      </c>
      <c r="C3731" s="17">
        <v>0</v>
      </c>
      <c r="D3731" s="17" t="s">
        <v>801</v>
      </c>
      <c r="E3731" s="18">
        <v>8056099171543</v>
      </c>
      <c r="G3731" s="20" t="str">
        <f t="shared" si="174"/>
        <v xml:space="preserve"> CANOMOON        </v>
      </c>
      <c r="H3731" s="20" t="str">
        <f t="shared" si="175"/>
        <v>VERTF</v>
      </c>
      <c r="I3731" s="20">
        <f t="shared" si="176"/>
        <v>0</v>
      </c>
    </row>
    <row r="3732" spans="1:9">
      <c r="A3732" s="17" t="s">
        <v>1577</v>
      </c>
      <c r="B3732" s="17" t="s">
        <v>1578</v>
      </c>
      <c r="C3732" s="17">
        <v>0</v>
      </c>
      <c r="D3732" s="17" t="s">
        <v>801</v>
      </c>
      <c r="E3732" s="18">
        <v>3005471524007</v>
      </c>
      <c r="G3732" s="20" t="str">
        <f t="shared" si="174"/>
        <v xml:space="preserve"> CANOMOONLIGHT   </v>
      </c>
      <c r="H3732" s="20" t="str">
        <f t="shared" si="175"/>
        <v>CHEBD</v>
      </c>
      <c r="I3732" s="20">
        <f t="shared" si="176"/>
        <v>0</v>
      </c>
    </row>
    <row r="3733" spans="1:9">
      <c r="A3733" s="17" t="s">
        <v>1577</v>
      </c>
      <c r="B3733" s="17" t="s">
        <v>1579</v>
      </c>
      <c r="C3733" s="17">
        <v>0</v>
      </c>
      <c r="D3733" s="17" t="s">
        <v>801</v>
      </c>
      <c r="E3733" s="18">
        <v>3005471523000</v>
      </c>
      <c r="G3733" s="20" t="str">
        <f t="shared" si="174"/>
        <v xml:space="preserve"> CANOMOONLIGHT   </v>
      </c>
      <c r="H3733" s="20" t="str">
        <f t="shared" si="175"/>
        <v>CHENO</v>
      </c>
      <c r="I3733" s="20">
        <f t="shared" si="176"/>
        <v>0</v>
      </c>
    </row>
    <row r="3734" spans="1:9">
      <c r="A3734" s="17" t="s">
        <v>1577</v>
      </c>
      <c r="B3734" s="17" t="s">
        <v>1571</v>
      </c>
      <c r="C3734" s="17">
        <v>0</v>
      </c>
      <c r="D3734" s="17" t="s">
        <v>801</v>
      </c>
      <c r="E3734" s="18">
        <v>3005471513001</v>
      </c>
      <c r="G3734" s="20" t="str">
        <f t="shared" si="174"/>
        <v xml:space="preserve"> CANOMOONLIGHT   </v>
      </c>
      <c r="H3734" s="20" t="str">
        <f t="shared" si="175"/>
        <v>CONOI</v>
      </c>
      <c r="I3734" s="20">
        <f t="shared" si="176"/>
        <v>0</v>
      </c>
    </row>
    <row r="3735" spans="1:9">
      <c r="A3735" s="17" t="s">
        <v>1577</v>
      </c>
      <c r="B3735" s="17" t="s">
        <v>1571</v>
      </c>
      <c r="C3735" s="17">
        <v>0</v>
      </c>
      <c r="D3735" s="17" t="s">
        <v>801</v>
      </c>
      <c r="E3735" s="18">
        <v>8050846008281</v>
      </c>
      <c r="G3735" s="20" t="str">
        <f t="shared" si="174"/>
        <v xml:space="preserve"> CANOMOONLIGHT   </v>
      </c>
      <c r="H3735" s="20" t="str">
        <f t="shared" si="175"/>
        <v>CONOI</v>
      </c>
      <c r="I3735" s="20">
        <f t="shared" si="176"/>
        <v>0</v>
      </c>
    </row>
    <row r="3736" spans="1:9">
      <c r="A3736" s="17" t="s">
        <v>1577</v>
      </c>
      <c r="B3736" s="17" t="s">
        <v>1038</v>
      </c>
      <c r="C3736" s="17">
        <v>0</v>
      </c>
      <c r="D3736" s="17" t="s">
        <v>801</v>
      </c>
      <c r="E3736" s="18">
        <v>8050538595082</v>
      </c>
      <c r="G3736" s="20" t="str">
        <f t="shared" si="174"/>
        <v xml:space="preserve"> CANOMOONLIGHT   </v>
      </c>
      <c r="H3736" s="20" t="str">
        <f t="shared" si="175"/>
        <v>DIABL</v>
      </c>
      <c r="I3736" s="20">
        <f t="shared" si="176"/>
        <v>0</v>
      </c>
    </row>
    <row r="3737" spans="1:9">
      <c r="A3737" s="17" t="s">
        <v>1577</v>
      </c>
      <c r="B3737" s="17" t="s">
        <v>1038</v>
      </c>
      <c r="C3737" s="17">
        <v>0</v>
      </c>
      <c r="D3737" s="17" t="s">
        <v>801</v>
      </c>
      <c r="E3737" s="18">
        <v>8050846020184</v>
      </c>
      <c r="G3737" s="20" t="str">
        <f t="shared" si="174"/>
        <v xml:space="preserve"> CANOMOONLIGHT   </v>
      </c>
      <c r="H3737" s="20" t="str">
        <f t="shared" si="175"/>
        <v>DIABL</v>
      </c>
      <c r="I3737" s="20">
        <f t="shared" si="176"/>
        <v>0</v>
      </c>
    </row>
    <row r="3738" spans="1:9">
      <c r="A3738" s="17" t="s">
        <v>1577</v>
      </c>
      <c r="B3738" s="17" t="s">
        <v>1514</v>
      </c>
      <c r="C3738" s="17">
        <v>0</v>
      </c>
      <c r="D3738" s="17" t="s">
        <v>801</v>
      </c>
      <c r="E3738" s="18">
        <v>8056099176913</v>
      </c>
      <c r="G3738" s="20" t="str">
        <f t="shared" si="174"/>
        <v xml:space="preserve"> CANOMOONLIGHT   </v>
      </c>
      <c r="H3738" s="20" t="str">
        <f t="shared" si="175"/>
        <v>FLABO</v>
      </c>
      <c r="I3738" s="20">
        <f t="shared" si="176"/>
        <v>0</v>
      </c>
    </row>
    <row r="3739" spans="1:9">
      <c r="A3739" s="17" t="s">
        <v>1577</v>
      </c>
      <c r="B3739" s="17" t="s">
        <v>1544</v>
      </c>
      <c r="C3739" s="17">
        <v>0</v>
      </c>
      <c r="D3739" s="17" t="s">
        <v>801</v>
      </c>
      <c r="E3739" s="18">
        <v>3005471180005</v>
      </c>
      <c r="G3739" s="20" t="str">
        <f t="shared" si="174"/>
        <v xml:space="preserve"> CANOMOONLIGHT   </v>
      </c>
      <c r="H3739" s="20" t="str">
        <f t="shared" si="175"/>
        <v>FLANO</v>
      </c>
      <c r="I3739" s="20">
        <f t="shared" si="176"/>
        <v>0</v>
      </c>
    </row>
    <row r="3740" spans="1:9">
      <c r="A3740" s="17" t="s">
        <v>1577</v>
      </c>
      <c r="B3740" s="17" t="s">
        <v>1544</v>
      </c>
      <c r="C3740" s="17">
        <v>0</v>
      </c>
      <c r="D3740" s="17" t="s">
        <v>801</v>
      </c>
      <c r="E3740" s="18">
        <v>8050846013483</v>
      </c>
      <c r="G3740" s="20" t="str">
        <f t="shared" si="174"/>
        <v xml:space="preserve"> CANOMOONLIGHT   </v>
      </c>
      <c r="H3740" s="20" t="str">
        <f t="shared" si="175"/>
        <v>FLANO</v>
      </c>
      <c r="I3740" s="20">
        <f t="shared" si="176"/>
        <v>0</v>
      </c>
    </row>
    <row r="3741" spans="1:9">
      <c r="A3741" s="17" t="s">
        <v>1577</v>
      </c>
      <c r="B3741" s="17" t="s">
        <v>1545</v>
      </c>
      <c r="C3741" s="17">
        <v>0</v>
      </c>
      <c r="D3741" s="17" t="s">
        <v>801</v>
      </c>
      <c r="E3741" s="18">
        <v>8056099179013</v>
      </c>
      <c r="G3741" s="20" t="str">
        <f t="shared" si="174"/>
        <v xml:space="preserve"> CANOMOONLIGHT   </v>
      </c>
      <c r="H3741" s="20" t="str">
        <f t="shared" si="175"/>
        <v>FLAOT</v>
      </c>
      <c r="I3741" s="20">
        <f t="shared" si="176"/>
        <v>0</v>
      </c>
    </row>
    <row r="3742" spans="1:9">
      <c r="A3742" s="17" t="s">
        <v>1577</v>
      </c>
      <c r="B3742" s="17" t="s">
        <v>1573</v>
      </c>
      <c r="C3742" s="17">
        <v>0</v>
      </c>
      <c r="D3742" s="17" t="s">
        <v>801</v>
      </c>
      <c r="E3742" s="18">
        <v>8056099177491</v>
      </c>
      <c r="G3742" s="20" t="str">
        <f t="shared" si="174"/>
        <v xml:space="preserve"> CANOMOONLIGHT   </v>
      </c>
      <c r="H3742" s="20" t="str">
        <f t="shared" si="175"/>
        <v>FLATO</v>
      </c>
      <c r="I3742" s="20">
        <f t="shared" si="176"/>
        <v>0</v>
      </c>
    </row>
    <row r="3743" spans="1:9">
      <c r="A3743" s="17" t="s">
        <v>1577</v>
      </c>
      <c r="B3743" s="17" t="s">
        <v>1546</v>
      </c>
      <c r="C3743" s="17">
        <v>0</v>
      </c>
      <c r="D3743" s="17" t="s">
        <v>801</v>
      </c>
      <c r="E3743" s="18">
        <v>3005471512004</v>
      </c>
      <c r="G3743" s="20" t="str">
        <f t="shared" si="174"/>
        <v xml:space="preserve"> CANOMOONLIGHT   </v>
      </c>
      <c r="H3743" s="20" t="str">
        <f t="shared" si="175"/>
        <v>FLSAN</v>
      </c>
      <c r="I3743" s="20">
        <f t="shared" si="176"/>
        <v>0</v>
      </c>
    </row>
    <row r="3744" spans="1:9">
      <c r="A3744" s="17" t="s">
        <v>1577</v>
      </c>
      <c r="B3744" s="17" t="s">
        <v>1546</v>
      </c>
      <c r="C3744" s="17">
        <v>0</v>
      </c>
      <c r="D3744" s="17" t="s">
        <v>801</v>
      </c>
      <c r="E3744" s="18">
        <v>8050846013476</v>
      </c>
      <c r="G3744" s="20" t="str">
        <f t="shared" si="174"/>
        <v xml:space="preserve"> CANOMOONLIGHT   </v>
      </c>
      <c r="H3744" s="20" t="str">
        <f t="shared" si="175"/>
        <v>FLSAN</v>
      </c>
      <c r="I3744" s="20">
        <f t="shared" si="176"/>
        <v>0</v>
      </c>
    </row>
    <row r="3745" spans="1:9">
      <c r="A3745" s="17" t="s">
        <v>1577</v>
      </c>
      <c r="B3745" s="17" t="s">
        <v>858</v>
      </c>
      <c r="C3745" s="17">
        <v>0</v>
      </c>
      <c r="D3745" s="17" t="s">
        <v>801</v>
      </c>
      <c r="E3745" s="18">
        <v>3005470341001</v>
      </c>
      <c r="G3745" s="20" t="str">
        <f t="shared" si="174"/>
        <v xml:space="preserve"> CANOMOONLIGHT   </v>
      </c>
      <c r="H3745" s="20" t="str">
        <f t="shared" si="175"/>
        <v xml:space="preserve">GREY </v>
      </c>
      <c r="I3745" s="20">
        <f t="shared" si="176"/>
        <v>0</v>
      </c>
    </row>
    <row r="3746" spans="1:9">
      <c r="A3746" s="17" t="s">
        <v>1577</v>
      </c>
      <c r="B3746" s="17" t="s">
        <v>858</v>
      </c>
      <c r="C3746" s="17">
        <v>0</v>
      </c>
      <c r="D3746" s="17" t="s">
        <v>801</v>
      </c>
      <c r="E3746" s="18">
        <v>8056099171598</v>
      </c>
      <c r="G3746" s="20" t="str">
        <f t="shared" si="174"/>
        <v xml:space="preserve"> CANOMOONLIGHT   </v>
      </c>
      <c r="H3746" s="20" t="str">
        <f t="shared" si="175"/>
        <v xml:space="preserve">GREY </v>
      </c>
      <c r="I3746" s="20">
        <f t="shared" si="176"/>
        <v>0</v>
      </c>
    </row>
    <row r="3747" spans="1:9">
      <c r="A3747" s="17" t="s">
        <v>1577</v>
      </c>
      <c r="B3747" s="17" t="s">
        <v>1377</v>
      </c>
      <c r="C3747" s="17">
        <v>0</v>
      </c>
      <c r="D3747" s="17" t="s">
        <v>801</v>
      </c>
      <c r="E3747" s="18">
        <v>8056099177880</v>
      </c>
      <c r="G3747" s="20" t="str">
        <f t="shared" si="174"/>
        <v xml:space="preserve"> CANOMOONLIGHT   </v>
      </c>
      <c r="H3747" s="20" t="str">
        <f t="shared" si="175"/>
        <v>MATBL</v>
      </c>
      <c r="I3747" s="20">
        <f t="shared" si="176"/>
        <v>0</v>
      </c>
    </row>
    <row r="3748" spans="1:9">
      <c r="A3748" s="17" t="s">
        <v>1577</v>
      </c>
      <c r="B3748" s="17" t="s">
        <v>1548</v>
      </c>
      <c r="C3748" s="17">
        <v>0</v>
      </c>
      <c r="D3748" s="17" t="s">
        <v>801</v>
      </c>
      <c r="E3748" s="18">
        <v>8050538590063</v>
      </c>
      <c r="G3748" s="20" t="str">
        <f t="shared" si="174"/>
        <v xml:space="preserve"> CANOMOONLIGHT   </v>
      </c>
      <c r="H3748" s="20" t="str">
        <f t="shared" si="175"/>
        <v>MATPH</v>
      </c>
      <c r="I3748" s="20">
        <f t="shared" si="176"/>
        <v>0</v>
      </c>
    </row>
    <row r="3749" spans="1:9">
      <c r="A3749" s="17" t="s">
        <v>1577</v>
      </c>
      <c r="B3749" s="17" t="s">
        <v>1549</v>
      </c>
      <c r="C3749" s="17">
        <v>0</v>
      </c>
      <c r="D3749" s="17" t="s">
        <v>801</v>
      </c>
      <c r="E3749" s="18">
        <v>3005471186007</v>
      </c>
      <c r="G3749" s="20" t="str">
        <f t="shared" si="174"/>
        <v xml:space="preserve"> CANOMOONLIGHT   </v>
      </c>
      <c r="H3749" s="20" t="str">
        <f t="shared" si="175"/>
        <v>MICBL</v>
      </c>
      <c r="I3749" s="20">
        <f t="shared" si="176"/>
        <v>0</v>
      </c>
    </row>
    <row r="3750" spans="1:9">
      <c r="A3750" s="17" t="s">
        <v>1577</v>
      </c>
      <c r="B3750" s="17" t="s">
        <v>1549</v>
      </c>
      <c r="C3750" s="17">
        <v>0</v>
      </c>
      <c r="D3750" s="17" t="s">
        <v>801</v>
      </c>
      <c r="E3750" s="18">
        <v>8050846013568</v>
      </c>
      <c r="G3750" s="20" t="str">
        <f t="shared" si="174"/>
        <v xml:space="preserve"> CANOMOONLIGHT   </v>
      </c>
      <c r="H3750" s="20" t="str">
        <f t="shared" si="175"/>
        <v>MICBL</v>
      </c>
      <c r="I3750" s="20">
        <f t="shared" si="176"/>
        <v>0</v>
      </c>
    </row>
    <row r="3751" spans="1:9">
      <c r="A3751" s="17" t="s">
        <v>1577</v>
      </c>
      <c r="B3751" s="17" t="s">
        <v>1551</v>
      </c>
      <c r="C3751" s="17">
        <v>0</v>
      </c>
      <c r="D3751" s="17" t="s">
        <v>801</v>
      </c>
      <c r="E3751" s="18">
        <v>3005470953006</v>
      </c>
      <c r="G3751" s="20" t="str">
        <f t="shared" si="174"/>
        <v xml:space="preserve"> CANOMOONLIGHT   </v>
      </c>
      <c r="H3751" s="20" t="str">
        <f t="shared" si="175"/>
        <v>MICOT</v>
      </c>
      <c r="I3751" s="20">
        <f t="shared" si="176"/>
        <v>0</v>
      </c>
    </row>
    <row r="3752" spans="1:9">
      <c r="A3752" s="17" t="s">
        <v>1577</v>
      </c>
      <c r="B3752" s="17" t="s">
        <v>1551</v>
      </c>
      <c r="C3752" s="17">
        <v>0</v>
      </c>
      <c r="D3752" s="17" t="s">
        <v>801</v>
      </c>
      <c r="E3752" s="18">
        <v>8050846013551</v>
      </c>
      <c r="G3752" s="20" t="str">
        <f t="shared" si="174"/>
        <v xml:space="preserve"> CANOMOONLIGHT   </v>
      </c>
      <c r="H3752" s="20" t="str">
        <f t="shared" si="175"/>
        <v>MICOT</v>
      </c>
      <c r="I3752" s="20">
        <f t="shared" si="176"/>
        <v>0</v>
      </c>
    </row>
    <row r="3753" spans="1:9">
      <c r="A3753" s="17" t="s">
        <v>1577</v>
      </c>
      <c r="B3753" s="17" t="s">
        <v>1387</v>
      </c>
      <c r="C3753" s="17">
        <v>0</v>
      </c>
      <c r="D3753" s="17" t="s">
        <v>801</v>
      </c>
      <c r="E3753" s="18">
        <v>8050538595051</v>
      </c>
      <c r="G3753" s="20" t="str">
        <f t="shared" si="174"/>
        <v xml:space="preserve"> CANOMOONLIGHT   </v>
      </c>
      <c r="H3753" s="20" t="str">
        <f t="shared" si="175"/>
        <v>ONDBL</v>
      </c>
      <c r="I3753" s="20">
        <f t="shared" si="176"/>
        <v>0</v>
      </c>
    </row>
    <row r="3754" spans="1:9">
      <c r="A3754" s="17" t="s">
        <v>1577</v>
      </c>
      <c r="B3754" s="17" t="s">
        <v>1387</v>
      </c>
      <c r="C3754" s="17">
        <v>0</v>
      </c>
      <c r="D3754" s="17" t="s">
        <v>801</v>
      </c>
      <c r="E3754" s="18">
        <v>8050846020177</v>
      </c>
      <c r="G3754" s="20" t="str">
        <f t="shared" si="174"/>
        <v xml:space="preserve"> CANOMOONLIGHT   </v>
      </c>
      <c r="H3754" s="20" t="str">
        <f t="shared" si="175"/>
        <v>ONDBL</v>
      </c>
      <c r="I3754" s="20">
        <f t="shared" si="176"/>
        <v>0</v>
      </c>
    </row>
    <row r="3755" spans="1:9">
      <c r="A3755" s="17" t="s">
        <v>1577</v>
      </c>
      <c r="B3755" s="17" t="s">
        <v>964</v>
      </c>
      <c r="C3755" s="17">
        <v>0</v>
      </c>
      <c r="D3755" s="17" t="s">
        <v>801</v>
      </c>
      <c r="E3755" s="18">
        <v>3005470377000</v>
      </c>
      <c r="G3755" s="20" t="str">
        <f t="shared" si="174"/>
        <v xml:space="preserve"> CANOMOONLIGHT   </v>
      </c>
      <c r="H3755" s="20" t="str">
        <f t="shared" si="175"/>
        <v>ORANG</v>
      </c>
      <c r="I3755" s="20">
        <f t="shared" si="176"/>
        <v>0</v>
      </c>
    </row>
    <row r="3756" spans="1:9">
      <c r="A3756" s="17" t="s">
        <v>1577</v>
      </c>
      <c r="B3756" s="17" t="s">
        <v>964</v>
      </c>
      <c r="C3756" s="17">
        <v>0</v>
      </c>
      <c r="D3756" s="17" t="s">
        <v>801</v>
      </c>
      <c r="E3756" s="18">
        <v>8056099171581</v>
      </c>
      <c r="G3756" s="20" t="str">
        <f t="shared" si="174"/>
        <v xml:space="preserve"> CANOMOONLIGHT   </v>
      </c>
      <c r="H3756" s="20" t="str">
        <f t="shared" si="175"/>
        <v>ORANG</v>
      </c>
      <c r="I3756" s="20">
        <f t="shared" si="176"/>
        <v>0</v>
      </c>
    </row>
    <row r="3757" spans="1:9">
      <c r="A3757" s="17" t="s">
        <v>1577</v>
      </c>
      <c r="B3757" s="17" t="s">
        <v>1200</v>
      </c>
      <c r="C3757" s="17">
        <v>0</v>
      </c>
      <c r="D3757" s="17" t="s">
        <v>801</v>
      </c>
      <c r="E3757" s="18">
        <v>3005471319009</v>
      </c>
      <c r="G3757" s="20" t="str">
        <f t="shared" si="174"/>
        <v xml:space="preserve"> CANOMOONLIGHT   </v>
      </c>
      <c r="H3757" s="20" t="str">
        <f t="shared" si="175"/>
        <v>RAYBL</v>
      </c>
      <c r="I3757" s="20">
        <f t="shared" si="176"/>
        <v>0</v>
      </c>
    </row>
    <row r="3758" spans="1:9">
      <c r="A3758" s="17" t="s">
        <v>1577</v>
      </c>
      <c r="B3758" s="17" t="s">
        <v>1580</v>
      </c>
      <c r="C3758" s="17">
        <v>0</v>
      </c>
      <c r="D3758" s="17" t="s">
        <v>801</v>
      </c>
      <c r="E3758" s="18">
        <v>3005471355007</v>
      </c>
      <c r="G3758" s="20" t="str">
        <f t="shared" si="174"/>
        <v xml:space="preserve"> CANOMOONLIGHT   </v>
      </c>
      <c r="H3758" s="20" t="str">
        <f t="shared" si="175"/>
        <v>RAYFL</v>
      </c>
      <c r="I3758" s="20">
        <f t="shared" si="176"/>
        <v>0</v>
      </c>
    </row>
    <row r="3759" spans="1:9">
      <c r="A3759" s="17" t="s">
        <v>1577</v>
      </c>
      <c r="B3759" s="17" t="s">
        <v>1580</v>
      </c>
      <c r="C3759" s="17">
        <v>0</v>
      </c>
      <c r="D3759" s="17" t="s">
        <v>801</v>
      </c>
      <c r="E3759" s="18">
        <v>8050846001374</v>
      </c>
      <c r="G3759" s="20" t="str">
        <f t="shared" si="174"/>
        <v xml:space="preserve"> CANOMOONLIGHT   </v>
      </c>
      <c r="H3759" s="20" t="str">
        <f t="shared" si="175"/>
        <v>RAYFL</v>
      </c>
      <c r="I3759" s="20">
        <f t="shared" si="176"/>
        <v>0</v>
      </c>
    </row>
    <row r="3760" spans="1:9">
      <c r="A3760" s="17" t="s">
        <v>1577</v>
      </c>
      <c r="B3760" s="17" t="s">
        <v>1201</v>
      </c>
      <c r="C3760" s="17">
        <v>0</v>
      </c>
      <c r="D3760" s="17" t="s">
        <v>801</v>
      </c>
      <c r="E3760" s="18">
        <v>3005471331001</v>
      </c>
      <c r="G3760" s="20" t="str">
        <f t="shared" si="174"/>
        <v xml:space="preserve"> CANOMOONLIGHT   </v>
      </c>
      <c r="H3760" s="20" t="str">
        <f t="shared" si="175"/>
        <v>RAYIV</v>
      </c>
      <c r="I3760" s="20">
        <f t="shared" si="176"/>
        <v>0</v>
      </c>
    </row>
    <row r="3761" spans="1:9">
      <c r="A3761" s="17" t="s">
        <v>1577</v>
      </c>
      <c r="B3761" s="17" t="s">
        <v>1239</v>
      </c>
      <c r="C3761" s="17">
        <v>0</v>
      </c>
      <c r="D3761" s="17" t="s">
        <v>801</v>
      </c>
      <c r="E3761" s="18">
        <v>3005470400005</v>
      </c>
      <c r="G3761" s="20" t="str">
        <f t="shared" si="174"/>
        <v xml:space="preserve"> CANOMOONLIGHT   </v>
      </c>
      <c r="H3761" s="20" t="str">
        <f t="shared" si="175"/>
        <v xml:space="preserve">SAND </v>
      </c>
      <c r="I3761" s="20">
        <f t="shared" si="176"/>
        <v>0</v>
      </c>
    </row>
    <row r="3762" spans="1:9">
      <c r="A3762" s="17" t="s">
        <v>1577</v>
      </c>
      <c r="B3762" s="17" t="s">
        <v>1239</v>
      </c>
      <c r="C3762" s="17">
        <v>0</v>
      </c>
      <c r="D3762" s="17" t="s">
        <v>801</v>
      </c>
      <c r="E3762" s="18">
        <v>8056099171574</v>
      </c>
      <c r="G3762" s="20" t="str">
        <f t="shared" si="174"/>
        <v xml:space="preserve"> CANOMOONLIGHT   </v>
      </c>
      <c r="H3762" s="20" t="str">
        <f t="shared" si="175"/>
        <v xml:space="preserve">SAND </v>
      </c>
      <c r="I3762" s="20">
        <f t="shared" si="176"/>
        <v>0</v>
      </c>
    </row>
    <row r="3763" spans="1:9">
      <c r="A3763" s="17" t="s">
        <v>1577</v>
      </c>
      <c r="B3763" s="17" t="s">
        <v>1581</v>
      </c>
      <c r="C3763" s="17">
        <v>0</v>
      </c>
      <c r="D3763" s="17" t="s">
        <v>801</v>
      </c>
      <c r="E3763" s="18">
        <v>3005471199007</v>
      </c>
      <c r="G3763" s="20" t="str">
        <f t="shared" si="174"/>
        <v xml:space="preserve"> CANOMOONLIGHT   </v>
      </c>
      <c r="H3763" s="20" t="str">
        <f t="shared" si="175"/>
        <v>SNAVY</v>
      </c>
      <c r="I3763" s="20">
        <f t="shared" si="176"/>
        <v>0</v>
      </c>
    </row>
    <row r="3764" spans="1:9">
      <c r="A3764" s="17" t="s">
        <v>1577</v>
      </c>
      <c r="B3764" s="17" t="s">
        <v>1581</v>
      </c>
      <c r="C3764" s="17">
        <v>0</v>
      </c>
      <c r="D3764" s="17" t="s">
        <v>801</v>
      </c>
      <c r="E3764" s="18">
        <v>8056099171567</v>
      </c>
      <c r="G3764" s="20" t="str">
        <f t="shared" si="174"/>
        <v xml:space="preserve"> CANOMOONLIGHT   </v>
      </c>
      <c r="H3764" s="20" t="str">
        <f t="shared" si="175"/>
        <v>SNAVY</v>
      </c>
      <c r="I3764" s="20">
        <f t="shared" si="176"/>
        <v>0</v>
      </c>
    </row>
    <row r="3765" spans="1:9">
      <c r="A3765" s="17" t="s">
        <v>1577</v>
      </c>
      <c r="B3765" s="17" t="s">
        <v>1575</v>
      </c>
      <c r="C3765" s="17">
        <v>0</v>
      </c>
      <c r="D3765" s="17" t="s">
        <v>801</v>
      </c>
      <c r="E3765" s="18">
        <v>3005471198000</v>
      </c>
      <c r="G3765" s="20" t="str">
        <f t="shared" si="174"/>
        <v xml:space="preserve"> CANOMOONLIGHT   </v>
      </c>
      <c r="H3765" s="20" t="str">
        <f t="shared" si="175"/>
        <v>SWHIT</v>
      </c>
      <c r="I3765" s="20">
        <f t="shared" si="176"/>
        <v>0</v>
      </c>
    </row>
    <row r="3766" spans="1:9">
      <c r="A3766" s="17" t="s">
        <v>1577</v>
      </c>
      <c r="B3766" s="17" t="s">
        <v>1575</v>
      </c>
      <c r="C3766" s="17">
        <v>0</v>
      </c>
      <c r="D3766" s="17" t="s">
        <v>801</v>
      </c>
      <c r="E3766" s="18">
        <v>8056099171550</v>
      </c>
      <c r="G3766" s="20" t="str">
        <f t="shared" si="174"/>
        <v xml:space="preserve"> CANOMOONLIGHT   </v>
      </c>
      <c r="H3766" s="20" t="str">
        <f t="shared" si="175"/>
        <v>SWHIT</v>
      </c>
      <c r="I3766" s="20">
        <f t="shared" si="176"/>
        <v>0</v>
      </c>
    </row>
    <row r="3767" spans="1:9">
      <c r="A3767" s="17" t="s">
        <v>1577</v>
      </c>
      <c r="B3767" s="17" t="s">
        <v>1176</v>
      </c>
      <c r="C3767" s="17">
        <v>0</v>
      </c>
      <c r="D3767" s="17" t="s">
        <v>801</v>
      </c>
      <c r="E3767" s="18">
        <v>3005471522003</v>
      </c>
      <c r="G3767" s="20" t="str">
        <f t="shared" si="174"/>
        <v xml:space="preserve"> CANOMOONLIGHT   </v>
      </c>
      <c r="H3767" s="20" t="str">
        <f t="shared" si="175"/>
        <v>VELBD</v>
      </c>
      <c r="I3767" s="20">
        <f t="shared" si="176"/>
        <v>0</v>
      </c>
    </row>
    <row r="3768" spans="1:9">
      <c r="A3768" s="17" t="s">
        <v>1577</v>
      </c>
      <c r="B3768" s="17" t="s">
        <v>1176</v>
      </c>
      <c r="C3768" s="17">
        <v>0</v>
      </c>
      <c r="D3768" s="17" t="s">
        <v>801</v>
      </c>
      <c r="E3768" s="18">
        <v>8050846012639</v>
      </c>
      <c r="G3768" s="20" t="str">
        <f t="shared" si="174"/>
        <v xml:space="preserve"> CANOMOONLIGHT   </v>
      </c>
      <c r="H3768" s="20" t="str">
        <f t="shared" si="175"/>
        <v>VELBD</v>
      </c>
      <c r="I3768" s="20">
        <f t="shared" si="176"/>
        <v>0</v>
      </c>
    </row>
    <row r="3769" spans="1:9">
      <c r="A3769" s="17" t="s">
        <v>1577</v>
      </c>
      <c r="B3769" s="17" t="s">
        <v>1177</v>
      </c>
      <c r="C3769" s="17">
        <v>0</v>
      </c>
      <c r="D3769" s="17" t="s">
        <v>801</v>
      </c>
      <c r="E3769" s="18">
        <v>3005471175001</v>
      </c>
      <c r="G3769" s="20" t="str">
        <f t="shared" si="174"/>
        <v xml:space="preserve"> CANOMOONLIGHT   </v>
      </c>
      <c r="H3769" s="20" t="str">
        <f t="shared" si="175"/>
        <v>VELNO</v>
      </c>
      <c r="I3769" s="20">
        <f t="shared" si="176"/>
        <v>0</v>
      </c>
    </row>
    <row r="3770" spans="1:9">
      <c r="A3770" s="17" t="s">
        <v>1577</v>
      </c>
      <c r="B3770" s="17" t="s">
        <v>1177</v>
      </c>
      <c r="C3770" s="17">
        <v>0</v>
      </c>
      <c r="D3770" s="17" t="s">
        <v>801</v>
      </c>
      <c r="E3770" s="18">
        <v>8050846012646</v>
      </c>
      <c r="G3770" s="20" t="str">
        <f t="shared" si="174"/>
        <v xml:space="preserve"> CANOMOONLIGHT   </v>
      </c>
      <c r="H3770" s="20" t="str">
        <f t="shared" si="175"/>
        <v>VELNO</v>
      </c>
      <c r="I3770" s="20">
        <f t="shared" si="176"/>
        <v>0</v>
      </c>
    </row>
    <row r="3771" spans="1:9">
      <c r="A3771" s="17" t="s">
        <v>1582</v>
      </c>
      <c r="B3771" s="17" t="s">
        <v>280</v>
      </c>
      <c r="C3771" s="17">
        <v>0</v>
      </c>
      <c r="D3771" s="17" t="s">
        <v>801</v>
      </c>
      <c r="E3771" s="18">
        <v>3004320004004</v>
      </c>
      <c r="G3771" s="20" t="str">
        <f t="shared" si="174"/>
        <v xml:space="preserve"> CANOPOCKET      </v>
      </c>
      <c r="H3771" s="20" t="str">
        <f t="shared" si="175"/>
        <v>BLACK</v>
      </c>
      <c r="I3771" s="20">
        <f t="shared" si="176"/>
        <v>0</v>
      </c>
    </row>
    <row r="3772" spans="1:9">
      <c r="A3772" s="17" t="s">
        <v>1582</v>
      </c>
      <c r="B3772" s="17" t="s">
        <v>838</v>
      </c>
      <c r="C3772" s="17">
        <v>0</v>
      </c>
      <c r="D3772" s="17" t="s">
        <v>801</v>
      </c>
      <c r="E3772" s="18">
        <v>3004320000006</v>
      </c>
      <c r="G3772" s="20" t="str">
        <f t="shared" si="174"/>
        <v xml:space="preserve"> CANOPOCKET      </v>
      </c>
      <c r="H3772" s="20" t="str">
        <f t="shared" si="175"/>
        <v>IVOIR</v>
      </c>
      <c r="I3772" s="20">
        <f t="shared" si="176"/>
        <v>0</v>
      </c>
    </row>
    <row r="3773" spans="1:9">
      <c r="A3773" s="17" t="s">
        <v>1582</v>
      </c>
      <c r="B3773" s="17" t="s">
        <v>838</v>
      </c>
      <c r="C3773" s="17">
        <v>0</v>
      </c>
      <c r="D3773" s="17" t="s">
        <v>801</v>
      </c>
      <c r="E3773" s="18">
        <v>3004320167006</v>
      </c>
      <c r="G3773" s="20" t="str">
        <f t="shared" si="174"/>
        <v xml:space="preserve"> CANOPOCKET      </v>
      </c>
      <c r="H3773" s="20" t="str">
        <f t="shared" si="175"/>
        <v>IVOIR</v>
      </c>
      <c r="I3773" s="20">
        <f t="shared" si="176"/>
        <v>0</v>
      </c>
    </row>
    <row r="3774" spans="1:9">
      <c r="A3774" s="17" t="s">
        <v>1582</v>
      </c>
      <c r="B3774" s="17" t="s">
        <v>859</v>
      </c>
      <c r="C3774" s="17">
        <v>0</v>
      </c>
      <c r="D3774" s="17" t="s">
        <v>801</v>
      </c>
      <c r="E3774" s="18">
        <v>3004320597001</v>
      </c>
      <c r="G3774" s="20" t="str">
        <f t="shared" si="174"/>
        <v xml:space="preserve"> CANOPOCKET      </v>
      </c>
      <c r="H3774" s="20" t="str">
        <f t="shared" si="175"/>
        <v>NATUR</v>
      </c>
      <c r="I3774" s="20">
        <f t="shared" si="176"/>
        <v>0</v>
      </c>
    </row>
    <row r="3775" spans="1:9">
      <c r="A3775" s="17" t="s">
        <v>1583</v>
      </c>
      <c r="B3775" s="17" t="s">
        <v>809</v>
      </c>
      <c r="C3775" s="17">
        <v>0</v>
      </c>
      <c r="D3775" s="17" t="s">
        <v>801</v>
      </c>
      <c r="E3775" s="18">
        <v>8050538591374</v>
      </c>
      <c r="G3775" s="20" t="str">
        <f t="shared" si="174"/>
        <v xml:space="preserve"> CANOSQUARE      </v>
      </c>
      <c r="H3775" s="20" t="str">
        <f t="shared" si="175"/>
        <v>AUBER</v>
      </c>
      <c r="I3775" s="20">
        <f t="shared" si="176"/>
        <v>0</v>
      </c>
    </row>
    <row r="3776" spans="1:9">
      <c r="A3776" s="17" t="s">
        <v>1583</v>
      </c>
      <c r="B3776" s="17" t="s">
        <v>280</v>
      </c>
      <c r="C3776" s="17">
        <v>0</v>
      </c>
      <c r="D3776" s="17" t="s">
        <v>801</v>
      </c>
      <c r="E3776" s="18">
        <v>3005250004003</v>
      </c>
      <c r="G3776" s="20" t="str">
        <f t="shared" si="174"/>
        <v xml:space="preserve"> CANOSQUARE      </v>
      </c>
      <c r="H3776" s="20" t="str">
        <f t="shared" si="175"/>
        <v>BLACK</v>
      </c>
      <c r="I3776" s="20">
        <f t="shared" si="176"/>
        <v>0</v>
      </c>
    </row>
    <row r="3777" spans="1:9">
      <c r="A3777" s="17" t="s">
        <v>1583</v>
      </c>
      <c r="B3777" s="17" t="s">
        <v>930</v>
      </c>
      <c r="C3777" s="17" t="s">
        <v>799</v>
      </c>
      <c r="D3777" s="17" t="s">
        <v>801</v>
      </c>
      <c r="E3777" s="18">
        <v>8056099171635</v>
      </c>
      <c r="G3777" s="20" t="str">
        <f t="shared" si="174"/>
        <v xml:space="preserve"> CANOSQUARE      </v>
      </c>
      <c r="H3777" s="20" t="str">
        <f t="shared" si="175"/>
        <v xml:space="preserve">BLK  </v>
      </c>
      <c r="I3777" s="20" t="str">
        <f t="shared" si="176"/>
        <v xml:space="preserve">     </v>
      </c>
    </row>
    <row r="3778" spans="1:9">
      <c r="A3778" s="17" t="s">
        <v>1583</v>
      </c>
      <c r="B3778" s="17" t="s">
        <v>930</v>
      </c>
      <c r="C3778" s="17">
        <v>0</v>
      </c>
      <c r="D3778" s="17" t="s">
        <v>801</v>
      </c>
      <c r="E3778" s="18">
        <v>3005250557004</v>
      </c>
      <c r="G3778" s="20" t="str">
        <f t="shared" si="174"/>
        <v xml:space="preserve"> CANOSQUARE      </v>
      </c>
      <c r="H3778" s="20" t="str">
        <f t="shared" si="175"/>
        <v xml:space="preserve">BLK  </v>
      </c>
      <c r="I3778" s="20">
        <f t="shared" si="176"/>
        <v>0</v>
      </c>
    </row>
    <row r="3779" spans="1:9">
      <c r="A3779" s="17" t="s">
        <v>1583</v>
      </c>
      <c r="B3779" s="17" t="s">
        <v>1584</v>
      </c>
      <c r="C3779" s="17" t="s">
        <v>799</v>
      </c>
      <c r="D3779" s="17" t="s">
        <v>801</v>
      </c>
      <c r="E3779" s="18">
        <v>8056099171666</v>
      </c>
      <c r="G3779" s="20" t="str">
        <f t="shared" si="174"/>
        <v xml:space="preserve"> CANOSQUARE      </v>
      </c>
      <c r="H3779" s="20" t="str">
        <f t="shared" si="175"/>
        <v>BLKCA</v>
      </c>
      <c r="I3779" s="20" t="str">
        <f t="shared" si="176"/>
        <v xml:space="preserve">     </v>
      </c>
    </row>
    <row r="3780" spans="1:9">
      <c r="A3780" s="17" t="s">
        <v>1583</v>
      </c>
      <c r="B3780" s="17" t="s">
        <v>1584</v>
      </c>
      <c r="C3780" s="17">
        <v>0</v>
      </c>
      <c r="D3780" s="17" t="s">
        <v>801</v>
      </c>
      <c r="E3780" s="18">
        <v>3005251077006</v>
      </c>
      <c r="G3780" s="20" t="str">
        <f t="shared" si="174"/>
        <v xml:space="preserve"> CANOSQUARE      </v>
      </c>
      <c r="H3780" s="20" t="str">
        <f t="shared" si="175"/>
        <v>BLKCA</v>
      </c>
      <c r="I3780" s="20">
        <f t="shared" si="176"/>
        <v>0</v>
      </c>
    </row>
    <row r="3781" spans="1:9">
      <c r="A3781" s="17" t="s">
        <v>1583</v>
      </c>
      <c r="B3781" s="17" t="s">
        <v>810</v>
      </c>
      <c r="C3781" s="17">
        <v>0</v>
      </c>
      <c r="D3781" s="17" t="s">
        <v>801</v>
      </c>
      <c r="E3781" s="18">
        <v>3005250319008</v>
      </c>
      <c r="G3781" s="20" t="str">
        <f t="shared" ref="G3781:G3844" si="177">A3781</f>
        <v xml:space="preserve"> CANOSQUARE      </v>
      </c>
      <c r="H3781" s="20" t="str">
        <f t="shared" ref="H3781:H3844" si="178">B3781</f>
        <v xml:space="preserve">BLUE </v>
      </c>
      <c r="I3781" s="20">
        <f t="shared" ref="I3781:I3844" si="179">C3781</f>
        <v>0</v>
      </c>
    </row>
    <row r="3782" spans="1:9">
      <c r="A3782" s="17" t="s">
        <v>1583</v>
      </c>
      <c r="B3782" s="17" t="s">
        <v>857</v>
      </c>
      <c r="C3782" s="17" t="s">
        <v>799</v>
      </c>
      <c r="D3782" s="17" t="s">
        <v>801</v>
      </c>
      <c r="E3782" s="18">
        <v>8056099171628</v>
      </c>
      <c r="G3782" s="20" t="str">
        <f t="shared" si="177"/>
        <v xml:space="preserve"> CANOSQUARE      </v>
      </c>
      <c r="H3782" s="20" t="str">
        <f t="shared" si="178"/>
        <v>BLUET</v>
      </c>
      <c r="I3782" s="20" t="str">
        <f t="shared" si="179"/>
        <v xml:space="preserve">     </v>
      </c>
    </row>
    <row r="3783" spans="1:9">
      <c r="A3783" s="17" t="s">
        <v>1583</v>
      </c>
      <c r="B3783" s="17" t="s">
        <v>857</v>
      </c>
      <c r="C3783" s="17">
        <v>0</v>
      </c>
      <c r="D3783" s="17" t="s">
        <v>801</v>
      </c>
      <c r="E3783" s="18">
        <v>3005251075002</v>
      </c>
      <c r="G3783" s="20" t="str">
        <f t="shared" si="177"/>
        <v xml:space="preserve"> CANOSQUARE      </v>
      </c>
      <c r="H3783" s="20" t="str">
        <f t="shared" si="178"/>
        <v>BLUET</v>
      </c>
      <c r="I3783" s="20">
        <f t="shared" si="179"/>
        <v>0</v>
      </c>
    </row>
    <row r="3784" spans="1:9">
      <c r="A3784" s="17" t="s">
        <v>1583</v>
      </c>
      <c r="B3784" s="17" t="s">
        <v>1101</v>
      </c>
      <c r="C3784" s="17">
        <v>0</v>
      </c>
      <c r="D3784" s="17" t="s">
        <v>801</v>
      </c>
      <c r="E3784" s="18">
        <v>8056099178443</v>
      </c>
      <c r="G3784" s="20" t="str">
        <f t="shared" si="177"/>
        <v xml:space="preserve"> CANOSQUARE      </v>
      </c>
      <c r="H3784" s="20" t="str">
        <f t="shared" si="178"/>
        <v xml:space="preserve">BOR  </v>
      </c>
      <c r="I3784" s="20">
        <f t="shared" si="179"/>
        <v>0</v>
      </c>
    </row>
    <row r="3785" spans="1:9">
      <c r="A3785" s="17" t="s">
        <v>1583</v>
      </c>
      <c r="B3785" s="17" t="s">
        <v>1585</v>
      </c>
      <c r="C3785" s="17" t="s">
        <v>799</v>
      </c>
      <c r="D3785" s="17" t="s">
        <v>801</v>
      </c>
      <c r="E3785" s="18">
        <v>8056099171642</v>
      </c>
      <c r="G3785" s="20" t="str">
        <f t="shared" si="177"/>
        <v xml:space="preserve"> CANOSQUARE      </v>
      </c>
      <c r="H3785" s="20" t="str">
        <f t="shared" si="178"/>
        <v>NATCA</v>
      </c>
      <c r="I3785" s="20" t="str">
        <f t="shared" si="179"/>
        <v xml:space="preserve">     </v>
      </c>
    </row>
    <row r="3786" spans="1:9">
      <c r="A3786" s="17" t="s">
        <v>1583</v>
      </c>
      <c r="B3786" s="17" t="s">
        <v>1585</v>
      </c>
      <c r="C3786" s="17">
        <v>0</v>
      </c>
      <c r="D3786" s="17" t="s">
        <v>801</v>
      </c>
      <c r="E3786" s="18">
        <v>3005251076009</v>
      </c>
      <c r="G3786" s="20" t="str">
        <f t="shared" si="177"/>
        <v xml:space="preserve"> CANOSQUARE      </v>
      </c>
      <c r="H3786" s="20" t="str">
        <f t="shared" si="178"/>
        <v>NATCA</v>
      </c>
      <c r="I3786" s="20">
        <f t="shared" si="179"/>
        <v>0</v>
      </c>
    </row>
    <row r="3787" spans="1:9">
      <c r="A3787" s="17" t="s">
        <v>1583</v>
      </c>
      <c r="B3787" s="17" t="s">
        <v>859</v>
      </c>
      <c r="C3787" s="17" t="s">
        <v>799</v>
      </c>
      <c r="D3787" s="17" t="s">
        <v>801</v>
      </c>
      <c r="E3787" s="18">
        <v>8056099171604</v>
      </c>
      <c r="G3787" s="20" t="str">
        <f t="shared" si="177"/>
        <v xml:space="preserve"> CANOSQUARE      </v>
      </c>
      <c r="H3787" s="20" t="str">
        <f t="shared" si="178"/>
        <v>NATUR</v>
      </c>
      <c r="I3787" s="20" t="str">
        <f t="shared" si="179"/>
        <v xml:space="preserve">     </v>
      </c>
    </row>
    <row r="3788" spans="1:9">
      <c r="A3788" s="17" t="s">
        <v>1583</v>
      </c>
      <c r="B3788" s="17" t="s">
        <v>859</v>
      </c>
      <c r="C3788" s="17">
        <v>0</v>
      </c>
      <c r="D3788" s="17" t="s">
        <v>801</v>
      </c>
      <c r="E3788" s="18">
        <v>3005250371006</v>
      </c>
      <c r="G3788" s="20" t="str">
        <f t="shared" si="177"/>
        <v xml:space="preserve"> CANOSQUARE      </v>
      </c>
      <c r="H3788" s="20" t="str">
        <f t="shared" si="178"/>
        <v>NATUR</v>
      </c>
      <c r="I3788" s="20">
        <f t="shared" si="179"/>
        <v>0</v>
      </c>
    </row>
    <row r="3789" spans="1:9">
      <c r="A3789" s="17" t="s">
        <v>1583</v>
      </c>
      <c r="B3789" s="17" t="s">
        <v>1078</v>
      </c>
      <c r="C3789" s="17" t="s">
        <v>799</v>
      </c>
      <c r="D3789" s="17" t="s">
        <v>801</v>
      </c>
      <c r="E3789" s="18">
        <v>8056099171659</v>
      </c>
      <c r="G3789" s="20" t="str">
        <f t="shared" si="177"/>
        <v xml:space="preserve"> CANOSQUARE      </v>
      </c>
      <c r="H3789" s="20" t="str">
        <f t="shared" si="178"/>
        <v xml:space="preserve">NAVY </v>
      </c>
      <c r="I3789" s="20" t="str">
        <f t="shared" si="179"/>
        <v xml:space="preserve">     </v>
      </c>
    </row>
    <row r="3790" spans="1:9">
      <c r="A3790" s="17" t="s">
        <v>1583</v>
      </c>
      <c r="B3790" s="17" t="s">
        <v>1078</v>
      </c>
      <c r="C3790" s="17">
        <v>0</v>
      </c>
      <c r="D3790" s="17" t="s">
        <v>801</v>
      </c>
      <c r="E3790" s="18">
        <v>3005250494002</v>
      </c>
      <c r="G3790" s="20" t="str">
        <f t="shared" si="177"/>
        <v xml:space="preserve"> CANOSQUARE      </v>
      </c>
      <c r="H3790" s="20" t="str">
        <f t="shared" si="178"/>
        <v xml:space="preserve">NAVY </v>
      </c>
      <c r="I3790" s="20">
        <f t="shared" si="179"/>
        <v>0</v>
      </c>
    </row>
    <row r="3791" spans="1:9">
      <c r="A3791" s="17" t="s">
        <v>1583</v>
      </c>
      <c r="B3791" s="17" t="s">
        <v>971</v>
      </c>
      <c r="C3791" s="17">
        <v>0</v>
      </c>
      <c r="D3791" s="17" t="s">
        <v>801</v>
      </c>
      <c r="E3791" s="18">
        <v>8056099178733</v>
      </c>
      <c r="G3791" s="20" t="str">
        <f t="shared" si="177"/>
        <v xml:space="preserve"> CANOSQUARE      </v>
      </c>
      <c r="H3791" s="20" t="str">
        <f t="shared" si="178"/>
        <v>OTTAN</v>
      </c>
      <c r="I3791" s="20">
        <f t="shared" si="179"/>
        <v>0</v>
      </c>
    </row>
    <row r="3792" spans="1:9">
      <c r="A3792" s="17" t="s">
        <v>1583</v>
      </c>
      <c r="B3792" s="17" t="s">
        <v>867</v>
      </c>
      <c r="C3792" s="17" t="s">
        <v>799</v>
      </c>
      <c r="D3792" s="17" t="s">
        <v>801</v>
      </c>
      <c r="E3792" s="18">
        <v>8056099171611</v>
      </c>
      <c r="G3792" s="20" t="str">
        <f t="shared" si="177"/>
        <v xml:space="preserve"> CANOSQUARE      </v>
      </c>
      <c r="H3792" s="20" t="str">
        <f t="shared" si="178"/>
        <v>VERTF</v>
      </c>
      <c r="I3792" s="20" t="str">
        <f t="shared" si="179"/>
        <v xml:space="preserve">     </v>
      </c>
    </row>
    <row r="3793" spans="1:9">
      <c r="A3793" s="17" t="s">
        <v>1583</v>
      </c>
      <c r="B3793" s="17" t="s">
        <v>867</v>
      </c>
      <c r="C3793" s="17">
        <v>0</v>
      </c>
      <c r="D3793" s="17" t="s">
        <v>801</v>
      </c>
      <c r="E3793" s="18">
        <v>3005251032005</v>
      </c>
      <c r="G3793" s="20" t="str">
        <f t="shared" si="177"/>
        <v xml:space="preserve"> CANOSQUARE      </v>
      </c>
      <c r="H3793" s="20" t="str">
        <f t="shared" si="178"/>
        <v>VERTF</v>
      </c>
      <c r="I3793" s="20">
        <f t="shared" si="179"/>
        <v>0</v>
      </c>
    </row>
    <row r="3794" spans="1:9">
      <c r="A3794" s="17" t="s">
        <v>1583</v>
      </c>
      <c r="B3794" s="17" t="s">
        <v>1586</v>
      </c>
      <c r="C3794" s="17">
        <v>0</v>
      </c>
      <c r="D3794" s="17" t="s">
        <v>801</v>
      </c>
      <c r="E3794" s="18">
        <v>3005250799008</v>
      </c>
      <c r="G3794" s="20" t="str">
        <f t="shared" si="177"/>
        <v xml:space="preserve"> CANOSQUARE      </v>
      </c>
      <c r="H3794" s="20" t="str">
        <f t="shared" si="178"/>
        <v>ZIPNA</v>
      </c>
      <c r="I3794" s="20">
        <f t="shared" si="179"/>
        <v>0</v>
      </c>
    </row>
    <row r="3795" spans="1:9">
      <c r="A3795" s="17" t="s">
        <v>1583</v>
      </c>
      <c r="B3795" s="17" t="s">
        <v>1587</v>
      </c>
      <c r="C3795" s="17">
        <v>0</v>
      </c>
      <c r="D3795" s="17" t="s">
        <v>801</v>
      </c>
      <c r="E3795" s="18">
        <v>3005250801008</v>
      </c>
      <c r="G3795" s="20" t="str">
        <f t="shared" si="177"/>
        <v xml:space="preserve"> CANOSQUARE      </v>
      </c>
      <c r="H3795" s="20" t="str">
        <f t="shared" si="178"/>
        <v>ZIPNO</v>
      </c>
      <c r="I3795" s="20">
        <f t="shared" si="179"/>
        <v>0</v>
      </c>
    </row>
    <row r="3796" spans="1:9">
      <c r="A3796" s="17" t="s">
        <v>1583</v>
      </c>
      <c r="B3796" s="17" t="s">
        <v>1421</v>
      </c>
      <c r="C3796" s="17">
        <v>0</v>
      </c>
      <c r="D3796" s="17" t="s">
        <v>801</v>
      </c>
      <c r="E3796" s="18">
        <v>3005250791002</v>
      </c>
      <c r="G3796" s="20" t="str">
        <f t="shared" si="177"/>
        <v xml:space="preserve"> CANOSQUARE      </v>
      </c>
      <c r="H3796" s="20" t="str">
        <f t="shared" si="178"/>
        <v>ZIPVE</v>
      </c>
      <c r="I3796" s="20">
        <f t="shared" si="179"/>
        <v>0</v>
      </c>
    </row>
    <row r="3797" spans="1:9">
      <c r="A3797" s="17" t="s">
        <v>1588</v>
      </c>
      <c r="B3797" s="17" t="s">
        <v>280</v>
      </c>
      <c r="C3797" s="17">
        <v>0</v>
      </c>
      <c r="D3797" s="17" t="s">
        <v>801</v>
      </c>
      <c r="E3797" s="18">
        <v>3005700276004</v>
      </c>
      <c r="G3797" s="20" t="str">
        <f t="shared" si="177"/>
        <v xml:space="preserve"> CANOSWING       </v>
      </c>
      <c r="H3797" s="20" t="str">
        <f t="shared" si="178"/>
        <v>BLACK</v>
      </c>
      <c r="I3797" s="20">
        <f t="shared" si="179"/>
        <v>0</v>
      </c>
    </row>
    <row r="3798" spans="1:9">
      <c r="A3798" s="17" t="s">
        <v>1588</v>
      </c>
      <c r="B3798" s="17" t="s">
        <v>1210</v>
      </c>
      <c r="C3798" s="17">
        <v>0</v>
      </c>
      <c r="D3798" s="17" t="s">
        <v>801</v>
      </c>
      <c r="E3798" s="18">
        <v>3005701315009</v>
      </c>
      <c r="G3798" s="20" t="str">
        <f t="shared" si="177"/>
        <v xml:space="preserve"> CANOSWING       </v>
      </c>
      <c r="H3798" s="20" t="str">
        <f t="shared" si="178"/>
        <v>ETBLU</v>
      </c>
      <c r="I3798" s="20">
        <f t="shared" si="179"/>
        <v>0</v>
      </c>
    </row>
    <row r="3799" spans="1:9">
      <c r="A3799" s="17" t="s">
        <v>1588</v>
      </c>
      <c r="B3799" s="17" t="s">
        <v>1211</v>
      </c>
      <c r="C3799" s="17">
        <v>0</v>
      </c>
      <c r="D3799" s="17" t="s">
        <v>801</v>
      </c>
      <c r="E3799" s="18">
        <v>3005701317003</v>
      </c>
      <c r="G3799" s="20" t="str">
        <f t="shared" si="177"/>
        <v xml:space="preserve"> CANOSWING       </v>
      </c>
      <c r="H3799" s="20" t="str">
        <f t="shared" si="178"/>
        <v>ETLAI</v>
      </c>
      <c r="I3799" s="20">
        <f t="shared" si="179"/>
        <v>0</v>
      </c>
    </row>
    <row r="3800" spans="1:9">
      <c r="A3800" s="17" t="s">
        <v>1588</v>
      </c>
      <c r="B3800" s="17" t="s">
        <v>1212</v>
      </c>
      <c r="C3800" s="17">
        <v>0</v>
      </c>
      <c r="D3800" s="17" t="s">
        <v>801</v>
      </c>
      <c r="E3800" s="18">
        <v>3005701316006</v>
      </c>
      <c r="G3800" s="20" t="str">
        <f t="shared" si="177"/>
        <v xml:space="preserve"> CANOSWING       </v>
      </c>
      <c r="H3800" s="20" t="str">
        <f t="shared" si="178"/>
        <v>ETRED</v>
      </c>
      <c r="I3800" s="20">
        <f t="shared" si="179"/>
        <v>0</v>
      </c>
    </row>
    <row r="3801" spans="1:9">
      <c r="A3801" s="17" t="s">
        <v>1588</v>
      </c>
      <c r="B3801" s="17" t="s">
        <v>859</v>
      </c>
      <c r="C3801" s="17">
        <v>0</v>
      </c>
      <c r="D3801" s="17" t="s">
        <v>801</v>
      </c>
      <c r="E3801" s="18">
        <v>3005700371006</v>
      </c>
      <c r="G3801" s="20" t="str">
        <f t="shared" si="177"/>
        <v xml:space="preserve"> CANOSWING       </v>
      </c>
      <c r="H3801" s="20" t="str">
        <f t="shared" si="178"/>
        <v>NATUR</v>
      </c>
      <c r="I3801" s="20">
        <f t="shared" si="179"/>
        <v>0</v>
      </c>
    </row>
    <row r="3802" spans="1:9">
      <c r="A3802" s="17" t="s">
        <v>1588</v>
      </c>
      <c r="B3802" s="17" t="s">
        <v>1589</v>
      </c>
      <c r="C3802" s="17">
        <v>0</v>
      </c>
      <c r="D3802" s="17" t="s">
        <v>801</v>
      </c>
      <c r="E3802" s="18">
        <v>3005701320003</v>
      </c>
      <c r="G3802" s="20" t="str">
        <f t="shared" si="177"/>
        <v xml:space="preserve"> CANOSWING       </v>
      </c>
      <c r="H3802" s="20" t="str">
        <f t="shared" si="178"/>
        <v>OPTVI</v>
      </c>
      <c r="I3802" s="20">
        <f t="shared" si="179"/>
        <v>0</v>
      </c>
    </row>
    <row r="3803" spans="1:9">
      <c r="A3803" s="17" t="s">
        <v>1588</v>
      </c>
      <c r="B3803" s="17" t="s">
        <v>1200</v>
      </c>
      <c r="C3803" s="17">
        <v>0</v>
      </c>
      <c r="D3803" s="17" t="s">
        <v>801</v>
      </c>
      <c r="E3803" s="18">
        <v>3005701319007</v>
      </c>
      <c r="G3803" s="20" t="str">
        <f t="shared" si="177"/>
        <v xml:space="preserve"> CANOSWING       </v>
      </c>
      <c r="H3803" s="20" t="str">
        <f t="shared" si="178"/>
        <v>RAYBL</v>
      </c>
      <c r="I3803" s="20">
        <f t="shared" si="179"/>
        <v>0</v>
      </c>
    </row>
    <row r="3804" spans="1:9">
      <c r="A3804" s="17" t="s">
        <v>1588</v>
      </c>
      <c r="B3804" s="17" t="s">
        <v>1590</v>
      </c>
      <c r="C3804" s="17">
        <v>0</v>
      </c>
      <c r="D3804" s="17" t="s">
        <v>801</v>
      </c>
      <c r="E3804" s="18">
        <v>3005701318000</v>
      </c>
      <c r="G3804" s="20" t="str">
        <f t="shared" si="177"/>
        <v xml:space="preserve"> CANOSWING       </v>
      </c>
      <c r="H3804" s="20" t="str">
        <f t="shared" si="178"/>
        <v>RAYBO</v>
      </c>
      <c r="I3804" s="20">
        <f t="shared" si="179"/>
        <v>0</v>
      </c>
    </row>
    <row r="3805" spans="1:9">
      <c r="A3805" s="17" t="s">
        <v>1591</v>
      </c>
      <c r="B3805" s="17" t="s">
        <v>799</v>
      </c>
      <c r="C3805" s="17">
        <v>0</v>
      </c>
      <c r="D3805" s="17" t="s">
        <v>801</v>
      </c>
      <c r="E3805" s="18">
        <v>3002470458005</v>
      </c>
      <c r="G3805" s="20" t="str">
        <f t="shared" si="177"/>
        <v xml:space="preserve"> CANVAS          </v>
      </c>
      <c r="H3805" s="20" t="str">
        <f t="shared" si="178"/>
        <v xml:space="preserve">     </v>
      </c>
      <c r="I3805" s="20">
        <f t="shared" si="179"/>
        <v>0</v>
      </c>
    </row>
    <row r="3806" spans="1:9">
      <c r="A3806" s="17" t="s">
        <v>1591</v>
      </c>
      <c r="B3806" s="17" t="s">
        <v>969</v>
      </c>
      <c r="C3806" s="17">
        <v>0</v>
      </c>
      <c r="D3806" s="17" t="s">
        <v>801</v>
      </c>
      <c r="E3806" s="18">
        <v>3002471497003</v>
      </c>
      <c r="G3806" s="20" t="str">
        <f t="shared" si="177"/>
        <v xml:space="preserve"> CANVAS          </v>
      </c>
      <c r="H3806" s="20" t="str">
        <f t="shared" si="178"/>
        <v>3DLAT</v>
      </c>
      <c r="I3806" s="20">
        <f t="shared" si="179"/>
        <v>0</v>
      </c>
    </row>
    <row r="3807" spans="1:9">
      <c r="A3807" s="17" t="s">
        <v>1591</v>
      </c>
      <c r="B3807" s="17" t="s">
        <v>969</v>
      </c>
      <c r="C3807" s="17">
        <v>0</v>
      </c>
      <c r="D3807" s="17" t="s">
        <v>801</v>
      </c>
      <c r="E3807" s="18">
        <v>8050846012226</v>
      </c>
      <c r="G3807" s="20" t="str">
        <f t="shared" si="177"/>
        <v xml:space="preserve"> CANVAS          </v>
      </c>
      <c r="H3807" s="20" t="str">
        <f t="shared" si="178"/>
        <v>3DLAT</v>
      </c>
      <c r="I3807" s="20">
        <f t="shared" si="179"/>
        <v>0</v>
      </c>
    </row>
    <row r="3808" spans="1:9">
      <c r="A3808" s="17" t="s">
        <v>1591</v>
      </c>
      <c r="B3808" s="17" t="s">
        <v>1592</v>
      </c>
      <c r="C3808" s="17">
        <v>0</v>
      </c>
      <c r="D3808" s="17" t="s">
        <v>801</v>
      </c>
      <c r="E3808" s="18">
        <v>3020410113005</v>
      </c>
      <c r="G3808" s="20" t="str">
        <f t="shared" si="177"/>
        <v xml:space="preserve"> CANVAS          </v>
      </c>
      <c r="H3808" s="20" t="str">
        <f t="shared" si="178"/>
        <v xml:space="preserve">AMER </v>
      </c>
      <c r="I3808" s="20">
        <f t="shared" si="179"/>
        <v>0</v>
      </c>
    </row>
    <row r="3809" spans="1:9">
      <c r="A3809" s="17" t="s">
        <v>1591</v>
      </c>
      <c r="B3809" s="17" t="s">
        <v>280</v>
      </c>
      <c r="C3809" s="17">
        <v>0</v>
      </c>
      <c r="D3809" s="17" t="s">
        <v>801</v>
      </c>
      <c r="E3809" s="18">
        <v>8051770308829</v>
      </c>
      <c r="G3809" s="20" t="str">
        <f t="shared" si="177"/>
        <v xml:space="preserve"> CANVAS          </v>
      </c>
      <c r="H3809" s="20" t="str">
        <f t="shared" si="178"/>
        <v>BLACK</v>
      </c>
      <c r="I3809" s="20">
        <f t="shared" si="179"/>
        <v>0</v>
      </c>
    </row>
    <row r="3810" spans="1:9">
      <c r="A3810" s="17" t="s">
        <v>1591</v>
      </c>
      <c r="B3810" s="17" t="s">
        <v>280</v>
      </c>
      <c r="C3810" s="17">
        <v>0</v>
      </c>
      <c r="D3810" s="17" t="s">
        <v>801</v>
      </c>
      <c r="E3810" s="18">
        <v>3003200001003</v>
      </c>
      <c r="G3810" s="20" t="str">
        <f t="shared" si="177"/>
        <v xml:space="preserve"> CANVAS          </v>
      </c>
      <c r="H3810" s="20" t="str">
        <f t="shared" si="178"/>
        <v>BLACK</v>
      </c>
      <c r="I3810" s="20">
        <f t="shared" si="179"/>
        <v>0</v>
      </c>
    </row>
    <row r="3811" spans="1:9">
      <c r="A3811" s="17" t="s">
        <v>1591</v>
      </c>
      <c r="B3811" s="17" t="s">
        <v>810</v>
      </c>
      <c r="C3811" s="17">
        <v>0</v>
      </c>
      <c r="D3811" s="17" t="s">
        <v>801</v>
      </c>
      <c r="E3811" s="18">
        <v>8058983598467</v>
      </c>
      <c r="G3811" s="20" t="str">
        <f t="shared" si="177"/>
        <v xml:space="preserve"> CANVAS          </v>
      </c>
      <c r="H3811" s="20" t="str">
        <f t="shared" si="178"/>
        <v xml:space="preserve">BLUE </v>
      </c>
      <c r="I3811" s="20">
        <f t="shared" si="179"/>
        <v>0</v>
      </c>
    </row>
    <row r="3812" spans="1:9">
      <c r="A3812" s="17" t="s">
        <v>1591</v>
      </c>
      <c r="B3812" s="17" t="s">
        <v>810</v>
      </c>
      <c r="C3812" s="17">
        <v>0</v>
      </c>
      <c r="D3812" s="17" t="s">
        <v>801</v>
      </c>
      <c r="E3812" s="18">
        <v>3002470284000</v>
      </c>
      <c r="G3812" s="20" t="str">
        <f t="shared" si="177"/>
        <v xml:space="preserve"> CANVAS          </v>
      </c>
      <c r="H3812" s="20" t="str">
        <f t="shared" si="178"/>
        <v xml:space="preserve">BLUE </v>
      </c>
      <c r="I3812" s="20">
        <f t="shared" si="179"/>
        <v>0</v>
      </c>
    </row>
    <row r="3813" spans="1:9">
      <c r="A3813" s="17" t="s">
        <v>1591</v>
      </c>
      <c r="B3813" s="17" t="s">
        <v>1532</v>
      </c>
      <c r="C3813" s="17">
        <v>0</v>
      </c>
      <c r="D3813" s="17" t="s">
        <v>801</v>
      </c>
      <c r="E3813" s="18">
        <v>8056099179334</v>
      </c>
      <c r="G3813" s="20" t="str">
        <f t="shared" si="177"/>
        <v xml:space="preserve"> CANVAS          </v>
      </c>
      <c r="H3813" s="20" t="str">
        <f t="shared" si="178"/>
        <v>BOUAU</v>
      </c>
      <c r="I3813" s="20">
        <f t="shared" si="179"/>
        <v>0</v>
      </c>
    </row>
    <row r="3814" spans="1:9">
      <c r="A3814" s="17" t="s">
        <v>1591</v>
      </c>
      <c r="B3814" s="17" t="s">
        <v>1274</v>
      </c>
      <c r="C3814" s="17">
        <v>0</v>
      </c>
      <c r="D3814" s="17" t="s">
        <v>801</v>
      </c>
      <c r="E3814" s="18">
        <v>3002471113002</v>
      </c>
      <c r="G3814" s="20" t="str">
        <f t="shared" si="177"/>
        <v xml:space="preserve"> CANVAS          </v>
      </c>
      <c r="H3814" s="20" t="str">
        <f t="shared" si="178"/>
        <v>BRODE</v>
      </c>
      <c r="I3814" s="20">
        <f t="shared" si="179"/>
        <v>0</v>
      </c>
    </row>
    <row r="3815" spans="1:9">
      <c r="A3815" s="17" t="s">
        <v>1591</v>
      </c>
      <c r="B3815" s="17" t="s">
        <v>1274</v>
      </c>
      <c r="C3815" s="17">
        <v>0</v>
      </c>
      <c r="D3815" s="17" t="s">
        <v>801</v>
      </c>
      <c r="E3815" s="18">
        <v>8056095064535</v>
      </c>
      <c r="G3815" s="20" t="str">
        <f t="shared" si="177"/>
        <v xml:space="preserve"> CANVAS          </v>
      </c>
      <c r="H3815" s="20" t="str">
        <f t="shared" si="178"/>
        <v>BRODE</v>
      </c>
      <c r="I3815" s="20">
        <f t="shared" si="179"/>
        <v>0</v>
      </c>
    </row>
    <row r="3816" spans="1:9">
      <c r="A3816" s="17" t="s">
        <v>1591</v>
      </c>
      <c r="B3816" s="17" t="s">
        <v>1333</v>
      </c>
      <c r="C3816" s="17">
        <v>0</v>
      </c>
      <c r="D3816" s="17" t="s">
        <v>801</v>
      </c>
      <c r="E3816" s="18">
        <v>3002471112005</v>
      </c>
      <c r="G3816" s="20" t="str">
        <f t="shared" si="177"/>
        <v xml:space="preserve"> CANVAS          </v>
      </c>
      <c r="H3816" s="20" t="str">
        <f t="shared" si="178"/>
        <v>BROGR</v>
      </c>
      <c r="I3816" s="20">
        <f t="shared" si="179"/>
        <v>0</v>
      </c>
    </row>
    <row r="3817" spans="1:9">
      <c r="A3817" s="17" t="s">
        <v>1591</v>
      </c>
      <c r="B3817" s="17" t="s">
        <v>1333</v>
      </c>
      <c r="C3817" s="17">
        <v>0</v>
      </c>
      <c r="D3817" s="17" t="s">
        <v>801</v>
      </c>
      <c r="E3817" s="18">
        <v>8056095064795</v>
      </c>
      <c r="G3817" s="20" t="str">
        <f t="shared" si="177"/>
        <v xml:space="preserve"> CANVAS          </v>
      </c>
      <c r="H3817" s="20" t="str">
        <f t="shared" si="178"/>
        <v>BROGR</v>
      </c>
      <c r="I3817" s="20">
        <f t="shared" si="179"/>
        <v>0</v>
      </c>
    </row>
    <row r="3818" spans="1:9">
      <c r="A3818" s="17" t="s">
        <v>1591</v>
      </c>
      <c r="B3818" s="17" t="s">
        <v>1275</v>
      </c>
      <c r="C3818" s="17">
        <v>0</v>
      </c>
      <c r="D3818" s="17" t="s">
        <v>801</v>
      </c>
      <c r="E3818" s="18">
        <v>3002471111008</v>
      </c>
      <c r="G3818" s="20" t="str">
        <f t="shared" si="177"/>
        <v xml:space="preserve"> CANVAS          </v>
      </c>
      <c r="H3818" s="20" t="str">
        <f t="shared" si="178"/>
        <v>BROIV</v>
      </c>
      <c r="I3818" s="20">
        <f t="shared" si="179"/>
        <v>0</v>
      </c>
    </row>
    <row r="3819" spans="1:9">
      <c r="A3819" s="17" t="s">
        <v>1591</v>
      </c>
      <c r="B3819" s="17" t="s">
        <v>1275</v>
      </c>
      <c r="C3819" s="17">
        <v>0</v>
      </c>
      <c r="D3819" s="17" t="s">
        <v>801</v>
      </c>
      <c r="E3819" s="18">
        <v>8056095064788</v>
      </c>
      <c r="G3819" s="20" t="str">
        <f t="shared" si="177"/>
        <v xml:space="preserve"> CANVAS          </v>
      </c>
      <c r="H3819" s="20" t="str">
        <f t="shared" si="178"/>
        <v>BROIV</v>
      </c>
      <c r="I3819" s="20">
        <f t="shared" si="179"/>
        <v>0</v>
      </c>
    </row>
    <row r="3820" spans="1:9">
      <c r="A3820" s="17" t="s">
        <v>1591</v>
      </c>
      <c r="B3820" s="17" t="s">
        <v>1593</v>
      </c>
      <c r="C3820" s="17">
        <v>0</v>
      </c>
      <c r="D3820" s="17" t="s">
        <v>801</v>
      </c>
      <c r="E3820" s="18">
        <v>3020411122006</v>
      </c>
      <c r="G3820" s="20" t="str">
        <f t="shared" si="177"/>
        <v xml:space="preserve"> CANVAS          </v>
      </c>
      <c r="H3820" s="20" t="str">
        <f t="shared" si="178"/>
        <v>BRORO</v>
      </c>
      <c r="I3820" s="20">
        <f t="shared" si="179"/>
        <v>0</v>
      </c>
    </row>
    <row r="3821" spans="1:9">
      <c r="A3821" s="17" t="s">
        <v>1591</v>
      </c>
      <c r="B3821" s="17" t="s">
        <v>1593</v>
      </c>
      <c r="C3821" s="17">
        <v>0</v>
      </c>
      <c r="D3821" s="17" t="s">
        <v>801</v>
      </c>
      <c r="E3821" s="18">
        <v>3002471122004</v>
      </c>
      <c r="G3821" s="20" t="str">
        <f t="shared" si="177"/>
        <v xml:space="preserve"> CANVAS          </v>
      </c>
      <c r="H3821" s="20" t="str">
        <f t="shared" si="178"/>
        <v>BRORO</v>
      </c>
      <c r="I3821" s="20">
        <f t="shared" si="179"/>
        <v>0</v>
      </c>
    </row>
    <row r="3822" spans="1:9">
      <c r="A3822" s="17" t="s">
        <v>1591</v>
      </c>
      <c r="B3822" s="17" t="s">
        <v>1290</v>
      </c>
      <c r="C3822" s="17">
        <v>0</v>
      </c>
      <c r="D3822" s="17" t="s">
        <v>801</v>
      </c>
      <c r="E3822" s="18">
        <v>3002470621003</v>
      </c>
      <c r="G3822" s="20" t="str">
        <f t="shared" si="177"/>
        <v xml:space="preserve"> CANVAS          </v>
      </c>
      <c r="H3822" s="20" t="str">
        <f t="shared" si="178"/>
        <v>CACHG</v>
      </c>
      <c r="I3822" s="20">
        <f t="shared" si="179"/>
        <v>0</v>
      </c>
    </row>
    <row r="3823" spans="1:9">
      <c r="A3823" s="17" t="s">
        <v>1591</v>
      </c>
      <c r="B3823" s="17" t="s">
        <v>1335</v>
      </c>
      <c r="C3823" s="17">
        <v>0</v>
      </c>
      <c r="D3823" s="17" t="s">
        <v>801</v>
      </c>
      <c r="E3823" s="18">
        <v>3002470759003</v>
      </c>
      <c r="G3823" s="20" t="str">
        <f t="shared" si="177"/>
        <v xml:space="preserve"> CANVAS          </v>
      </c>
      <c r="H3823" s="20" t="str">
        <f t="shared" si="178"/>
        <v>CAMET</v>
      </c>
      <c r="I3823" s="20">
        <f t="shared" si="179"/>
        <v>0</v>
      </c>
    </row>
    <row r="3824" spans="1:9">
      <c r="A3824" s="17" t="s">
        <v>1591</v>
      </c>
      <c r="B3824" s="17" t="s">
        <v>1594</v>
      </c>
      <c r="C3824" s="17">
        <v>0</v>
      </c>
      <c r="D3824" s="17" t="s">
        <v>801</v>
      </c>
      <c r="E3824" s="18">
        <v>3002470297000</v>
      </c>
      <c r="G3824" s="20" t="str">
        <f t="shared" si="177"/>
        <v xml:space="preserve"> CANVAS          </v>
      </c>
      <c r="H3824" s="20" t="str">
        <f t="shared" si="178"/>
        <v>CAMGR</v>
      </c>
      <c r="I3824" s="20">
        <f t="shared" si="179"/>
        <v>0</v>
      </c>
    </row>
    <row r="3825" spans="1:9">
      <c r="A3825" s="17" t="s">
        <v>1591</v>
      </c>
      <c r="B3825" s="17" t="s">
        <v>1472</v>
      </c>
      <c r="C3825" s="17">
        <v>0</v>
      </c>
      <c r="D3825" s="17" t="s">
        <v>801</v>
      </c>
      <c r="E3825" s="18">
        <v>3002470295006</v>
      </c>
      <c r="G3825" s="20" t="str">
        <f t="shared" si="177"/>
        <v xml:space="preserve"> CANVAS          </v>
      </c>
      <c r="H3825" s="20" t="str">
        <f t="shared" si="178"/>
        <v>CAMOU</v>
      </c>
      <c r="I3825" s="20">
        <f t="shared" si="179"/>
        <v>0</v>
      </c>
    </row>
    <row r="3826" spans="1:9">
      <c r="A3826" s="17" t="s">
        <v>1591</v>
      </c>
      <c r="B3826" s="17" t="s">
        <v>1505</v>
      </c>
      <c r="C3826" s="17">
        <v>0</v>
      </c>
      <c r="D3826" s="17" t="s">
        <v>801</v>
      </c>
      <c r="E3826" s="18">
        <v>3020410678009</v>
      </c>
      <c r="G3826" s="20" t="str">
        <f t="shared" si="177"/>
        <v xml:space="preserve"> CANVAS          </v>
      </c>
      <c r="H3826" s="20" t="str">
        <f t="shared" si="178"/>
        <v>CARBE</v>
      </c>
      <c r="I3826" s="20">
        <f t="shared" si="179"/>
        <v>0</v>
      </c>
    </row>
    <row r="3827" spans="1:9">
      <c r="A3827" s="17" t="s">
        <v>1591</v>
      </c>
      <c r="B3827" s="17" t="s">
        <v>1506</v>
      </c>
      <c r="C3827" s="17">
        <v>0</v>
      </c>
      <c r="D3827" s="17" t="s">
        <v>801</v>
      </c>
      <c r="E3827" s="18">
        <v>3020410677002</v>
      </c>
      <c r="G3827" s="20" t="str">
        <f t="shared" si="177"/>
        <v xml:space="preserve"> CANVAS          </v>
      </c>
      <c r="H3827" s="20" t="str">
        <f t="shared" si="178"/>
        <v>CARCH</v>
      </c>
      <c r="I3827" s="20">
        <f t="shared" si="179"/>
        <v>0</v>
      </c>
    </row>
    <row r="3828" spans="1:9">
      <c r="A3828" s="17" t="s">
        <v>1591</v>
      </c>
      <c r="B3828" s="17" t="s">
        <v>1082</v>
      </c>
      <c r="C3828" s="17">
        <v>0</v>
      </c>
      <c r="D3828" s="17" t="s">
        <v>801</v>
      </c>
      <c r="E3828" s="18">
        <v>3020410249001</v>
      </c>
      <c r="G3828" s="20" t="str">
        <f t="shared" si="177"/>
        <v xml:space="preserve"> CANVAS          </v>
      </c>
      <c r="H3828" s="20" t="str">
        <f t="shared" si="178"/>
        <v>CARGR</v>
      </c>
      <c r="I3828" s="20">
        <f t="shared" si="179"/>
        <v>0</v>
      </c>
    </row>
    <row r="3829" spans="1:9">
      <c r="A3829" s="17" t="s">
        <v>1591</v>
      </c>
      <c r="B3829" s="17" t="s">
        <v>938</v>
      </c>
      <c r="C3829" s="17">
        <v>0</v>
      </c>
      <c r="D3829" s="17" t="s">
        <v>801</v>
      </c>
      <c r="E3829" s="18">
        <v>3002471002009</v>
      </c>
      <c r="G3829" s="20" t="str">
        <f t="shared" si="177"/>
        <v xml:space="preserve"> CANVAS          </v>
      </c>
      <c r="H3829" s="20" t="str">
        <f t="shared" si="178"/>
        <v>CHADM</v>
      </c>
      <c r="I3829" s="20">
        <f t="shared" si="179"/>
        <v>0</v>
      </c>
    </row>
    <row r="3830" spans="1:9">
      <c r="A3830" s="17" t="s">
        <v>1591</v>
      </c>
      <c r="B3830" s="17" t="s">
        <v>938</v>
      </c>
      <c r="C3830" s="17">
        <v>0</v>
      </c>
      <c r="D3830" s="17" t="s">
        <v>801</v>
      </c>
      <c r="E3830" s="18">
        <v>8056300453505</v>
      </c>
      <c r="G3830" s="20" t="str">
        <f t="shared" si="177"/>
        <v xml:space="preserve"> CANVAS          </v>
      </c>
      <c r="H3830" s="20" t="str">
        <f t="shared" si="178"/>
        <v>CHADM</v>
      </c>
      <c r="I3830" s="20">
        <f t="shared" si="179"/>
        <v>0</v>
      </c>
    </row>
    <row r="3831" spans="1:9">
      <c r="A3831" s="17" t="s">
        <v>1591</v>
      </c>
      <c r="B3831" s="17" t="s">
        <v>939</v>
      </c>
      <c r="C3831" s="17">
        <v>0</v>
      </c>
      <c r="D3831" s="17" t="s">
        <v>801</v>
      </c>
      <c r="E3831" s="18">
        <v>3020410669007</v>
      </c>
      <c r="G3831" s="20" t="str">
        <f t="shared" si="177"/>
        <v xml:space="preserve"> CANVAS          </v>
      </c>
      <c r="H3831" s="20" t="str">
        <f t="shared" si="178"/>
        <v>CHAMU</v>
      </c>
      <c r="I3831" s="20">
        <f t="shared" si="179"/>
        <v>0</v>
      </c>
    </row>
    <row r="3832" spans="1:9">
      <c r="A3832" s="17" t="s">
        <v>1591</v>
      </c>
      <c r="B3832" s="17" t="s">
        <v>1595</v>
      </c>
      <c r="C3832" s="17">
        <v>0</v>
      </c>
      <c r="D3832" s="17" t="s">
        <v>801</v>
      </c>
      <c r="E3832" s="18">
        <v>3002471565009</v>
      </c>
      <c r="G3832" s="20" t="str">
        <f t="shared" si="177"/>
        <v xml:space="preserve"> CANVAS          </v>
      </c>
      <c r="H3832" s="20" t="str">
        <f t="shared" si="178"/>
        <v>CHEVR</v>
      </c>
      <c r="I3832" s="20">
        <f t="shared" si="179"/>
        <v>0</v>
      </c>
    </row>
    <row r="3833" spans="1:9">
      <c r="A3833" s="17" t="s">
        <v>1591</v>
      </c>
      <c r="B3833" s="17" t="s">
        <v>1595</v>
      </c>
      <c r="C3833" s="17">
        <v>0</v>
      </c>
      <c r="D3833" s="17" t="s">
        <v>801</v>
      </c>
      <c r="E3833" s="18">
        <v>8050450218052</v>
      </c>
      <c r="G3833" s="20" t="str">
        <f t="shared" si="177"/>
        <v xml:space="preserve"> CANVAS          </v>
      </c>
      <c r="H3833" s="20" t="str">
        <f t="shared" si="178"/>
        <v>CHEVR</v>
      </c>
      <c r="I3833" s="20">
        <f t="shared" si="179"/>
        <v>0</v>
      </c>
    </row>
    <row r="3834" spans="1:9">
      <c r="A3834" s="17" t="s">
        <v>1591</v>
      </c>
      <c r="B3834" s="17" t="s">
        <v>1596</v>
      </c>
      <c r="C3834" s="17">
        <v>0</v>
      </c>
      <c r="D3834" s="17" t="s">
        <v>801</v>
      </c>
      <c r="E3834" s="18">
        <v>3002470764007</v>
      </c>
      <c r="G3834" s="20" t="str">
        <f t="shared" si="177"/>
        <v xml:space="preserve"> CANVAS          </v>
      </c>
      <c r="H3834" s="20" t="str">
        <f t="shared" si="178"/>
        <v>COIRI</v>
      </c>
      <c r="I3834" s="20">
        <f t="shared" si="179"/>
        <v>0</v>
      </c>
    </row>
    <row r="3835" spans="1:9">
      <c r="A3835" s="17" t="s">
        <v>1591</v>
      </c>
      <c r="B3835" s="17" t="s">
        <v>1597</v>
      </c>
      <c r="C3835" s="17">
        <v>0</v>
      </c>
      <c r="D3835" s="17" t="s">
        <v>801</v>
      </c>
      <c r="E3835" s="18">
        <v>3002470763000</v>
      </c>
      <c r="G3835" s="20" t="str">
        <f t="shared" si="177"/>
        <v xml:space="preserve"> CANVAS          </v>
      </c>
      <c r="H3835" s="20" t="str">
        <f t="shared" si="178"/>
        <v>COYEL</v>
      </c>
      <c r="I3835" s="20">
        <f t="shared" si="179"/>
        <v>0</v>
      </c>
    </row>
    <row r="3836" spans="1:9">
      <c r="A3836" s="17" t="s">
        <v>1591</v>
      </c>
      <c r="B3836" s="17" t="s">
        <v>1598</v>
      </c>
      <c r="C3836" s="17">
        <v>0</v>
      </c>
      <c r="D3836" s="17" t="s">
        <v>801</v>
      </c>
      <c r="E3836" s="18">
        <v>3002470765004</v>
      </c>
      <c r="G3836" s="20" t="str">
        <f t="shared" si="177"/>
        <v xml:space="preserve"> CANVAS          </v>
      </c>
      <c r="H3836" s="20" t="str">
        <f t="shared" si="178"/>
        <v>COZEB</v>
      </c>
      <c r="I3836" s="20">
        <f t="shared" si="179"/>
        <v>0</v>
      </c>
    </row>
    <row r="3837" spans="1:9">
      <c r="A3837" s="17" t="s">
        <v>1591</v>
      </c>
      <c r="B3837" s="17" t="s">
        <v>1038</v>
      </c>
      <c r="C3837" s="17">
        <v>0</v>
      </c>
      <c r="D3837" s="17" t="s">
        <v>801</v>
      </c>
      <c r="E3837" s="18">
        <v>8050846013247</v>
      </c>
      <c r="G3837" s="20" t="str">
        <f t="shared" si="177"/>
        <v xml:space="preserve"> CANVAS          </v>
      </c>
      <c r="H3837" s="20" t="str">
        <f t="shared" si="178"/>
        <v>DIABL</v>
      </c>
      <c r="I3837" s="20">
        <f t="shared" si="179"/>
        <v>0</v>
      </c>
    </row>
    <row r="3838" spans="1:9">
      <c r="A3838" s="17" t="s">
        <v>1591</v>
      </c>
      <c r="B3838" s="17" t="s">
        <v>1509</v>
      </c>
      <c r="C3838" s="17">
        <v>0</v>
      </c>
      <c r="D3838" s="17" t="s">
        <v>801</v>
      </c>
      <c r="E3838" s="18">
        <v>3002471020003</v>
      </c>
      <c r="G3838" s="20" t="str">
        <f t="shared" si="177"/>
        <v xml:space="preserve"> CANVAS          </v>
      </c>
      <c r="H3838" s="20" t="str">
        <f t="shared" si="178"/>
        <v>ECBEI</v>
      </c>
      <c r="I3838" s="20">
        <f t="shared" si="179"/>
        <v>0</v>
      </c>
    </row>
    <row r="3839" spans="1:9">
      <c r="A3839" s="17" t="s">
        <v>1591</v>
      </c>
      <c r="B3839" s="17" t="s">
        <v>1509</v>
      </c>
      <c r="C3839" s="17">
        <v>0</v>
      </c>
      <c r="D3839" s="17" t="s">
        <v>801</v>
      </c>
      <c r="E3839" s="18">
        <v>3020411020005</v>
      </c>
      <c r="G3839" s="20" t="str">
        <f t="shared" si="177"/>
        <v xml:space="preserve"> CANVAS          </v>
      </c>
      <c r="H3839" s="20" t="str">
        <f t="shared" si="178"/>
        <v>ECBEI</v>
      </c>
      <c r="I3839" s="20">
        <f t="shared" si="179"/>
        <v>0</v>
      </c>
    </row>
    <row r="3840" spans="1:9">
      <c r="A3840" s="17" t="s">
        <v>1591</v>
      </c>
      <c r="B3840" s="17" t="s">
        <v>1510</v>
      </c>
      <c r="C3840" s="17">
        <v>0</v>
      </c>
      <c r="D3840" s="17" t="s">
        <v>801</v>
      </c>
      <c r="E3840" s="18">
        <v>3002471018000</v>
      </c>
      <c r="G3840" s="20" t="str">
        <f t="shared" si="177"/>
        <v xml:space="preserve"> CANVAS          </v>
      </c>
      <c r="H3840" s="20" t="str">
        <f t="shared" si="178"/>
        <v>ECCHO</v>
      </c>
      <c r="I3840" s="20">
        <f t="shared" si="179"/>
        <v>0</v>
      </c>
    </row>
    <row r="3841" spans="1:9">
      <c r="A3841" s="17" t="s">
        <v>1591</v>
      </c>
      <c r="B3841" s="17" t="s">
        <v>1510</v>
      </c>
      <c r="C3841" s="17">
        <v>0</v>
      </c>
      <c r="D3841" s="17" t="s">
        <v>801</v>
      </c>
      <c r="E3841" s="18">
        <v>3020411018002</v>
      </c>
      <c r="G3841" s="20" t="str">
        <f t="shared" si="177"/>
        <v xml:space="preserve"> CANVAS          </v>
      </c>
      <c r="H3841" s="20" t="str">
        <f t="shared" si="178"/>
        <v>ECCHO</v>
      </c>
      <c r="I3841" s="20">
        <f t="shared" si="179"/>
        <v>0</v>
      </c>
    </row>
    <row r="3842" spans="1:9">
      <c r="A3842" s="17" t="s">
        <v>1591</v>
      </c>
      <c r="B3842" s="17" t="s">
        <v>1511</v>
      </c>
      <c r="C3842" s="17">
        <v>0</v>
      </c>
      <c r="D3842" s="17" t="s">
        <v>801</v>
      </c>
      <c r="E3842" s="18">
        <v>3002471019007</v>
      </c>
      <c r="G3842" s="20" t="str">
        <f t="shared" si="177"/>
        <v xml:space="preserve"> CANVAS          </v>
      </c>
      <c r="H3842" s="20" t="str">
        <f t="shared" si="178"/>
        <v>ECGRI</v>
      </c>
      <c r="I3842" s="20">
        <f t="shared" si="179"/>
        <v>0</v>
      </c>
    </row>
    <row r="3843" spans="1:9">
      <c r="A3843" s="17" t="s">
        <v>1591</v>
      </c>
      <c r="B3843" s="17" t="s">
        <v>1511</v>
      </c>
      <c r="C3843" s="17">
        <v>0</v>
      </c>
      <c r="D3843" s="17" t="s">
        <v>801</v>
      </c>
      <c r="E3843" s="18">
        <v>3020411019009</v>
      </c>
      <c r="G3843" s="20" t="str">
        <f t="shared" si="177"/>
        <v xml:space="preserve"> CANVAS          </v>
      </c>
      <c r="H3843" s="20" t="str">
        <f t="shared" si="178"/>
        <v>ECGRI</v>
      </c>
      <c r="I3843" s="20">
        <f t="shared" si="179"/>
        <v>0</v>
      </c>
    </row>
    <row r="3844" spans="1:9">
      <c r="A3844" s="17" t="s">
        <v>1591</v>
      </c>
      <c r="B3844" s="17" t="s">
        <v>1599</v>
      </c>
      <c r="C3844" s="17">
        <v>0</v>
      </c>
      <c r="D3844" s="17" t="s">
        <v>801</v>
      </c>
      <c r="E3844" s="18">
        <v>3020410117003</v>
      </c>
      <c r="G3844" s="20" t="str">
        <f t="shared" si="177"/>
        <v xml:space="preserve"> CANVAS          </v>
      </c>
      <c r="H3844" s="20" t="str">
        <f t="shared" si="178"/>
        <v>FABLE</v>
      </c>
      <c r="I3844" s="20">
        <f t="shared" si="179"/>
        <v>0</v>
      </c>
    </row>
    <row r="3845" spans="1:9">
      <c r="A3845" s="17" t="s">
        <v>1591</v>
      </c>
      <c r="B3845" s="17" t="s">
        <v>1600</v>
      </c>
      <c r="C3845" s="17">
        <v>0</v>
      </c>
      <c r="D3845" s="17" t="s">
        <v>801</v>
      </c>
      <c r="E3845" s="18">
        <v>3020410114002</v>
      </c>
      <c r="G3845" s="20" t="str">
        <f t="shared" ref="G3845:G3908" si="180">A3845</f>
        <v xml:space="preserve"> CANVAS          </v>
      </c>
      <c r="H3845" s="20" t="str">
        <f t="shared" ref="H3845:H3908" si="181">B3845</f>
        <v>FAMAR</v>
      </c>
      <c r="I3845" s="20">
        <f t="shared" ref="I3845:I3908" si="182">C3845</f>
        <v>0</v>
      </c>
    </row>
    <row r="3846" spans="1:9">
      <c r="A3846" s="17" t="s">
        <v>1591</v>
      </c>
      <c r="B3846" s="17" t="s">
        <v>1601</v>
      </c>
      <c r="C3846" s="17">
        <v>0</v>
      </c>
      <c r="D3846" s="17" t="s">
        <v>801</v>
      </c>
      <c r="E3846" s="18">
        <v>3020410115009</v>
      </c>
      <c r="G3846" s="20" t="str">
        <f t="shared" si="180"/>
        <v xml:space="preserve"> CANVAS          </v>
      </c>
      <c r="H3846" s="20" t="str">
        <f t="shared" si="181"/>
        <v xml:space="preserve">FARO </v>
      </c>
      <c r="I3846" s="20">
        <f t="shared" si="182"/>
        <v>0</v>
      </c>
    </row>
    <row r="3847" spans="1:9">
      <c r="A3847" s="17" t="s">
        <v>1591</v>
      </c>
      <c r="B3847" s="17" t="s">
        <v>1602</v>
      </c>
      <c r="C3847" s="17">
        <v>0</v>
      </c>
      <c r="D3847" s="17" t="s">
        <v>801</v>
      </c>
      <c r="E3847" s="18">
        <v>3020410116006</v>
      </c>
      <c r="G3847" s="20" t="str">
        <f t="shared" si="180"/>
        <v xml:space="preserve"> CANVAS          </v>
      </c>
      <c r="H3847" s="20" t="str">
        <f t="shared" si="181"/>
        <v>FAVER</v>
      </c>
      <c r="I3847" s="20">
        <f t="shared" si="182"/>
        <v>0</v>
      </c>
    </row>
    <row r="3848" spans="1:9">
      <c r="A3848" s="17" t="s">
        <v>1591</v>
      </c>
      <c r="B3848" s="17" t="s">
        <v>1603</v>
      </c>
      <c r="C3848" s="17">
        <v>0</v>
      </c>
      <c r="D3848" s="17" t="s">
        <v>801</v>
      </c>
      <c r="E3848" s="18">
        <v>3002471067008</v>
      </c>
      <c r="G3848" s="20" t="str">
        <f t="shared" si="180"/>
        <v xml:space="preserve"> CANVAS          </v>
      </c>
      <c r="H3848" s="20" t="str">
        <f t="shared" si="181"/>
        <v>FEUAU</v>
      </c>
      <c r="I3848" s="20">
        <f t="shared" si="182"/>
        <v>0</v>
      </c>
    </row>
    <row r="3849" spans="1:9">
      <c r="A3849" s="17" t="s">
        <v>1591</v>
      </c>
      <c r="B3849" s="17" t="s">
        <v>1603</v>
      </c>
      <c r="C3849" s="17">
        <v>0</v>
      </c>
      <c r="D3849" s="17" t="s">
        <v>801</v>
      </c>
      <c r="E3849" s="18">
        <v>8058983592885</v>
      </c>
      <c r="G3849" s="20" t="str">
        <f t="shared" si="180"/>
        <v xml:space="preserve"> CANVAS          </v>
      </c>
      <c r="H3849" s="20" t="str">
        <f t="shared" si="181"/>
        <v>FEUAU</v>
      </c>
      <c r="I3849" s="20">
        <f t="shared" si="182"/>
        <v>0</v>
      </c>
    </row>
    <row r="3850" spans="1:9">
      <c r="A3850" s="17" t="s">
        <v>1591</v>
      </c>
      <c r="B3850" s="17" t="s">
        <v>1604</v>
      </c>
      <c r="C3850" s="17">
        <v>0</v>
      </c>
      <c r="D3850" s="17" t="s">
        <v>801</v>
      </c>
      <c r="E3850" s="18">
        <v>3002470632009</v>
      </c>
      <c r="G3850" s="20" t="str">
        <f t="shared" si="180"/>
        <v xml:space="preserve"> CANVAS          </v>
      </c>
      <c r="H3850" s="20" t="str">
        <f t="shared" si="181"/>
        <v>FEUDO</v>
      </c>
      <c r="I3850" s="20">
        <f t="shared" si="182"/>
        <v>0</v>
      </c>
    </row>
    <row r="3851" spans="1:9">
      <c r="A3851" s="17" t="s">
        <v>1591</v>
      </c>
      <c r="B3851" s="17" t="s">
        <v>1605</v>
      </c>
      <c r="C3851" s="17">
        <v>0</v>
      </c>
      <c r="D3851" s="17" t="s">
        <v>801</v>
      </c>
      <c r="E3851" s="18">
        <v>3002470631002</v>
      </c>
      <c r="G3851" s="20" t="str">
        <f t="shared" si="180"/>
        <v xml:space="preserve"> CANVAS          </v>
      </c>
      <c r="H3851" s="20" t="str">
        <f t="shared" si="181"/>
        <v>FEUGR</v>
      </c>
      <c r="I3851" s="20">
        <f t="shared" si="182"/>
        <v>0</v>
      </c>
    </row>
    <row r="3852" spans="1:9">
      <c r="A3852" s="17" t="s">
        <v>1591</v>
      </c>
      <c r="B3852" s="17" t="s">
        <v>1352</v>
      </c>
      <c r="C3852" s="17">
        <v>0</v>
      </c>
      <c r="D3852" s="17" t="s">
        <v>801</v>
      </c>
      <c r="E3852" s="18">
        <v>3002470633006</v>
      </c>
      <c r="G3852" s="20" t="str">
        <f t="shared" si="180"/>
        <v xml:space="preserve"> CANVAS          </v>
      </c>
      <c r="H3852" s="20" t="str">
        <f t="shared" si="181"/>
        <v>FEUVE</v>
      </c>
      <c r="I3852" s="20">
        <f t="shared" si="182"/>
        <v>0</v>
      </c>
    </row>
    <row r="3853" spans="1:9">
      <c r="A3853" s="17" t="s">
        <v>1591</v>
      </c>
      <c r="B3853" s="17" t="s">
        <v>1513</v>
      </c>
      <c r="C3853" s="17">
        <v>0</v>
      </c>
      <c r="D3853" s="17" t="s">
        <v>801</v>
      </c>
      <c r="E3853" s="18">
        <v>3020410682006</v>
      </c>
      <c r="G3853" s="20" t="str">
        <f t="shared" si="180"/>
        <v xml:space="preserve"> CANVAS          </v>
      </c>
      <c r="H3853" s="20" t="str">
        <f t="shared" si="181"/>
        <v>FLABL</v>
      </c>
      <c r="I3853" s="20">
        <f t="shared" si="182"/>
        <v>0</v>
      </c>
    </row>
    <row r="3854" spans="1:9">
      <c r="A3854" s="17" t="s">
        <v>1591</v>
      </c>
      <c r="B3854" s="17" t="s">
        <v>1514</v>
      </c>
      <c r="C3854" s="17">
        <v>0</v>
      </c>
      <c r="D3854" s="17" t="s">
        <v>801</v>
      </c>
      <c r="E3854" s="18">
        <v>3020410681009</v>
      </c>
      <c r="G3854" s="20" t="str">
        <f t="shared" si="180"/>
        <v xml:space="preserve"> CANVAS          </v>
      </c>
      <c r="H3854" s="20" t="str">
        <f t="shared" si="181"/>
        <v>FLABO</v>
      </c>
      <c r="I3854" s="20">
        <f t="shared" si="182"/>
        <v>0</v>
      </c>
    </row>
    <row r="3855" spans="1:9">
      <c r="A3855" s="17" t="s">
        <v>1591</v>
      </c>
      <c r="B3855" s="17" t="s">
        <v>1514</v>
      </c>
      <c r="C3855" s="17">
        <v>0</v>
      </c>
      <c r="D3855" s="17" t="s">
        <v>801</v>
      </c>
      <c r="E3855" s="18">
        <v>8056099176890</v>
      </c>
      <c r="G3855" s="20" t="str">
        <f t="shared" si="180"/>
        <v xml:space="preserve"> CANVAS          </v>
      </c>
      <c r="H3855" s="20" t="str">
        <f t="shared" si="181"/>
        <v>FLABO</v>
      </c>
      <c r="I3855" s="20">
        <f t="shared" si="182"/>
        <v>0</v>
      </c>
    </row>
    <row r="3856" spans="1:9">
      <c r="A3856" s="17" t="s">
        <v>1591</v>
      </c>
      <c r="B3856" s="17" t="s">
        <v>1542</v>
      </c>
      <c r="C3856" s="17">
        <v>0</v>
      </c>
      <c r="D3856" s="17" t="s">
        <v>801</v>
      </c>
      <c r="E3856" s="18">
        <v>8056099177828</v>
      </c>
      <c r="G3856" s="20" t="str">
        <f t="shared" si="180"/>
        <v xml:space="preserve"> CANVAS          </v>
      </c>
      <c r="H3856" s="20" t="str">
        <f t="shared" si="181"/>
        <v>FLADO</v>
      </c>
      <c r="I3856" s="20">
        <f t="shared" si="182"/>
        <v>0</v>
      </c>
    </row>
    <row r="3857" spans="1:9">
      <c r="A3857" s="17" t="s">
        <v>1591</v>
      </c>
      <c r="B3857" s="17" t="s">
        <v>1353</v>
      </c>
      <c r="C3857" s="17">
        <v>0</v>
      </c>
      <c r="D3857" s="17" t="s">
        <v>801</v>
      </c>
      <c r="E3857" s="18">
        <v>3020410680002</v>
      </c>
      <c r="G3857" s="20" t="str">
        <f t="shared" si="180"/>
        <v xml:space="preserve"> CANVAS          </v>
      </c>
      <c r="H3857" s="20" t="str">
        <f t="shared" si="181"/>
        <v>FLAGR</v>
      </c>
      <c r="I3857" s="20">
        <f t="shared" si="182"/>
        <v>0</v>
      </c>
    </row>
    <row r="3858" spans="1:9">
      <c r="A3858" s="17" t="s">
        <v>1591</v>
      </c>
      <c r="B3858" s="17" t="s">
        <v>1544</v>
      </c>
      <c r="C3858" s="17">
        <v>0</v>
      </c>
      <c r="D3858" s="17" t="s">
        <v>801</v>
      </c>
      <c r="E3858" s="18">
        <v>8050846013421</v>
      </c>
      <c r="G3858" s="20" t="str">
        <f t="shared" si="180"/>
        <v xml:space="preserve"> CANVAS          </v>
      </c>
      <c r="H3858" s="20" t="str">
        <f t="shared" si="181"/>
        <v>FLANO</v>
      </c>
      <c r="I3858" s="20">
        <f t="shared" si="182"/>
        <v>0</v>
      </c>
    </row>
    <row r="3859" spans="1:9">
      <c r="A3859" s="17" t="s">
        <v>1591</v>
      </c>
      <c r="B3859" s="17" t="s">
        <v>1545</v>
      </c>
      <c r="C3859" s="17">
        <v>0</v>
      </c>
      <c r="D3859" s="17" t="s">
        <v>801</v>
      </c>
      <c r="E3859" s="18">
        <v>8050538591138</v>
      </c>
      <c r="G3859" s="20" t="str">
        <f t="shared" si="180"/>
        <v xml:space="preserve"> CANVAS          </v>
      </c>
      <c r="H3859" s="20" t="str">
        <f t="shared" si="181"/>
        <v>FLAOT</v>
      </c>
      <c r="I3859" s="20">
        <f t="shared" si="182"/>
        <v>0</v>
      </c>
    </row>
    <row r="3860" spans="1:9">
      <c r="A3860" s="17" t="s">
        <v>1591</v>
      </c>
      <c r="B3860" s="17" t="s">
        <v>1606</v>
      </c>
      <c r="C3860" s="17">
        <v>0</v>
      </c>
      <c r="D3860" s="17" t="s">
        <v>801</v>
      </c>
      <c r="E3860" s="18">
        <v>3002471453009</v>
      </c>
      <c r="G3860" s="20" t="str">
        <f t="shared" si="180"/>
        <v xml:space="preserve"> CANVAS          </v>
      </c>
      <c r="H3860" s="20" t="str">
        <f t="shared" si="181"/>
        <v>FLBLA</v>
      </c>
      <c r="I3860" s="20">
        <f t="shared" si="182"/>
        <v>0</v>
      </c>
    </row>
    <row r="3861" spans="1:9">
      <c r="A3861" s="17" t="s">
        <v>1591</v>
      </c>
      <c r="B3861" s="17" t="s">
        <v>1607</v>
      </c>
      <c r="C3861" s="17">
        <v>0</v>
      </c>
      <c r="D3861" s="17" t="s">
        <v>801</v>
      </c>
      <c r="E3861" s="18">
        <v>3020411104002</v>
      </c>
      <c r="G3861" s="20" t="str">
        <f t="shared" si="180"/>
        <v xml:space="preserve"> CANVAS          </v>
      </c>
      <c r="H3861" s="20" t="str">
        <f t="shared" si="181"/>
        <v>FLEUR</v>
      </c>
      <c r="I3861" s="20">
        <f t="shared" si="182"/>
        <v>0</v>
      </c>
    </row>
    <row r="3862" spans="1:9">
      <c r="A3862" s="17" t="s">
        <v>1591</v>
      </c>
      <c r="B3862" s="17" t="s">
        <v>1089</v>
      </c>
      <c r="C3862" s="17">
        <v>0</v>
      </c>
      <c r="D3862" s="17" t="s">
        <v>801</v>
      </c>
      <c r="E3862" s="18">
        <v>3020410203003</v>
      </c>
      <c r="G3862" s="20" t="str">
        <f t="shared" si="180"/>
        <v xml:space="preserve"> CANVAS          </v>
      </c>
      <c r="H3862" s="20" t="str">
        <f t="shared" si="181"/>
        <v xml:space="preserve">FLGR </v>
      </c>
      <c r="I3862" s="20">
        <f t="shared" si="182"/>
        <v>0</v>
      </c>
    </row>
    <row r="3863" spans="1:9">
      <c r="A3863" s="17" t="s">
        <v>1591</v>
      </c>
      <c r="B3863" s="17" t="s">
        <v>1608</v>
      </c>
      <c r="C3863" s="17">
        <v>0</v>
      </c>
      <c r="D3863" s="17" t="s">
        <v>801</v>
      </c>
      <c r="E3863" s="18">
        <v>3002470330004</v>
      </c>
      <c r="G3863" s="20" t="str">
        <f t="shared" si="180"/>
        <v xml:space="preserve"> CANVAS          </v>
      </c>
      <c r="H3863" s="20" t="str">
        <f t="shared" si="181"/>
        <v xml:space="preserve">FLO3 </v>
      </c>
      <c r="I3863" s="20">
        <f t="shared" si="182"/>
        <v>0</v>
      </c>
    </row>
    <row r="3864" spans="1:9">
      <c r="A3864" s="17" t="s">
        <v>1591</v>
      </c>
      <c r="B3864" s="17" t="s">
        <v>1090</v>
      </c>
      <c r="C3864" s="17">
        <v>0</v>
      </c>
      <c r="D3864" s="17" t="s">
        <v>801</v>
      </c>
      <c r="E3864" s="18">
        <v>3020410199009</v>
      </c>
      <c r="G3864" s="20" t="str">
        <f t="shared" si="180"/>
        <v xml:space="preserve"> CANVAS          </v>
      </c>
      <c r="H3864" s="20" t="str">
        <f t="shared" si="181"/>
        <v>FLORA</v>
      </c>
      <c r="I3864" s="20">
        <f t="shared" si="182"/>
        <v>0</v>
      </c>
    </row>
    <row r="3865" spans="1:9">
      <c r="A3865" s="17" t="s">
        <v>1591</v>
      </c>
      <c r="B3865" s="17" t="s">
        <v>1356</v>
      </c>
      <c r="C3865" s="17">
        <v>0</v>
      </c>
      <c r="D3865" s="17" t="s">
        <v>801</v>
      </c>
      <c r="E3865" s="18">
        <v>3002470761006</v>
      </c>
      <c r="G3865" s="20" t="str">
        <f t="shared" si="180"/>
        <v xml:space="preserve"> CANVAS          </v>
      </c>
      <c r="H3865" s="20" t="str">
        <f t="shared" si="181"/>
        <v>FLOWE</v>
      </c>
      <c r="I3865" s="20">
        <f t="shared" si="182"/>
        <v>0</v>
      </c>
    </row>
    <row r="3866" spans="1:9">
      <c r="A3866" s="17" t="s">
        <v>1591</v>
      </c>
      <c r="B3866" s="17" t="s">
        <v>1546</v>
      </c>
      <c r="C3866" s="17">
        <v>0</v>
      </c>
      <c r="D3866" s="17" t="s">
        <v>801</v>
      </c>
      <c r="E3866" s="18">
        <v>8050846019188</v>
      </c>
      <c r="G3866" s="20" t="str">
        <f t="shared" si="180"/>
        <v xml:space="preserve"> CANVAS          </v>
      </c>
      <c r="H3866" s="20" t="str">
        <f t="shared" si="181"/>
        <v>FLSAN</v>
      </c>
      <c r="I3866" s="20">
        <f t="shared" si="182"/>
        <v>0</v>
      </c>
    </row>
    <row r="3867" spans="1:9">
      <c r="A3867" s="17" t="s">
        <v>1591</v>
      </c>
      <c r="B3867" s="17" t="s">
        <v>1277</v>
      </c>
      <c r="C3867" s="17">
        <v>0</v>
      </c>
      <c r="D3867" s="17" t="s">
        <v>801</v>
      </c>
      <c r="E3867" s="18">
        <v>3020410429007</v>
      </c>
      <c r="G3867" s="20" t="str">
        <f t="shared" si="180"/>
        <v xml:space="preserve"> CANVAS          </v>
      </c>
      <c r="H3867" s="20" t="str">
        <f t="shared" si="181"/>
        <v>FOULA</v>
      </c>
      <c r="I3867" s="20">
        <f t="shared" si="182"/>
        <v>0</v>
      </c>
    </row>
    <row r="3868" spans="1:9">
      <c r="A3868" s="17" t="s">
        <v>1591</v>
      </c>
      <c r="B3868" s="17" t="s">
        <v>1277</v>
      </c>
      <c r="C3868" s="17">
        <v>0</v>
      </c>
      <c r="D3868" s="17" t="s">
        <v>801</v>
      </c>
      <c r="E3868" s="18">
        <v>8056095065273</v>
      </c>
      <c r="G3868" s="20" t="str">
        <f t="shared" si="180"/>
        <v xml:space="preserve"> CANVAS          </v>
      </c>
      <c r="H3868" s="20" t="str">
        <f t="shared" si="181"/>
        <v>FOULA</v>
      </c>
      <c r="I3868" s="20">
        <f t="shared" si="182"/>
        <v>0</v>
      </c>
    </row>
    <row r="3869" spans="1:9">
      <c r="A3869" s="17" t="s">
        <v>1591</v>
      </c>
      <c r="B3869" s="17" t="s">
        <v>1111</v>
      </c>
      <c r="C3869" s="17">
        <v>0</v>
      </c>
      <c r="D3869" s="17" t="s">
        <v>801</v>
      </c>
      <c r="E3869" s="18">
        <v>8056095063224</v>
      </c>
      <c r="G3869" s="20" t="str">
        <f t="shared" si="180"/>
        <v xml:space="preserve"> CANVAS          </v>
      </c>
      <c r="H3869" s="20" t="str">
        <f t="shared" si="181"/>
        <v>GRBLU</v>
      </c>
      <c r="I3869" s="20">
        <f t="shared" si="182"/>
        <v>0</v>
      </c>
    </row>
    <row r="3870" spans="1:9">
      <c r="A3870" s="17" t="s">
        <v>1591</v>
      </c>
      <c r="B3870" s="17" t="s">
        <v>1111</v>
      </c>
      <c r="C3870" s="17">
        <v>0</v>
      </c>
      <c r="D3870" s="17" t="s">
        <v>801</v>
      </c>
      <c r="E3870" s="18">
        <v>3002471101009</v>
      </c>
      <c r="G3870" s="20" t="str">
        <f t="shared" si="180"/>
        <v xml:space="preserve"> CANVAS          </v>
      </c>
      <c r="H3870" s="20" t="str">
        <f t="shared" si="181"/>
        <v>GRBLU</v>
      </c>
      <c r="I3870" s="20">
        <f t="shared" si="182"/>
        <v>0</v>
      </c>
    </row>
    <row r="3871" spans="1:9">
      <c r="A3871" s="17" t="s">
        <v>1591</v>
      </c>
      <c r="B3871" s="17" t="s">
        <v>858</v>
      </c>
      <c r="C3871" s="17">
        <v>0</v>
      </c>
      <c r="D3871" s="17" t="s">
        <v>801</v>
      </c>
      <c r="E3871" s="18">
        <v>8051770308836</v>
      </c>
      <c r="G3871" s="20" t="str">
        <f t="shared" si="180"/>
        <v xml:space="preserve"> CANVAS          </v>
      </c>
      <c r="H3871" s="20" t="str">
        <f t="shared" si="181"/>
        <v xml:space="preserve">GREY </v>
      </c>
      <c r="I3871" s="20">
        <f t="shared" si="182"/>
        <v>0</v>
      </c>
    </row>
    <row r="3872" spans="1:9">
      <c r="A3872" s="17" t="s">
        <v>1591</v>
      </c>
      <c r="B3872" s="17" t="s">
        <v>858</v>
      </c>
      <c r="C3872" s="17">
        <v>0</v>
      </c>
      <c r="D3872" s="17" t="s">
        <v>801</v>
      </c>
      <c r="E3872" s="18">
        <v>3003200003007</v>
      </c>
      <c r="G3872" s="20" t="str">
        <f t="shared" si="180"/>
        <v xml:space="preserve"> CANVAS          </v>
      </c>
      <c r="H3872" s="20" t="str">
        <f t="shared" si="181"/>
        <v xml:space="preserve">GREY </v>
      </c>
      <c r="I3872" s="20">
        <f t="shared" si="182"/>
        <v>0</v>
      </c>
    </row>
    <row r="3873" spans="1:9">
      <c r="A3873" s="17" t="s">
        <v>1591</v>
      </c>
      <c r="B3873" s="17" t="s">
        <v>1609</v>
      </c>
      <c r="C3873" s="17">
        <v>0</v>
      </c>
      <c r="D3873" s="17" t="s">
        <v>801</v>
      </c>
      <c r="E3873" s="18">
        <v>8056095063248</v>
      </c>
      <c r="G3873" s="20" t="str">
        <f t="shared" si="180"/>
        <v xml:space="preserve"> CANVAS          </v>
      </c>
      <c r="H3873" s="20" t="str">
        <f t="shared" si="181"/>
        <v>GRSAL</v>
      </c>
      <c r="I3873" s="20">
        <f t="shared" si="182"/>
        <v>0</v>
      </c>
    </row>
    <row r="3874" spans="1:9">
      <c r="A3874" s="17" t="s">
        <v>1591</v>
      </c>
      <c r="B3874" s="17" t="s">
        <v>1609</v>
      </c>
      <c r="C3874" s="17">
        <v>0</v>
      </c>
      <c r="D3874" s="17" t="s">
        <v>801</v>
      </c>
      <c r="E3874" s="18">
        <v>3002471117000</v>
      </c>
      <c r="G3874" s="20" t="str">
        <f t="shared" si="180"/>
        <v xml:space="preserve"> CANVAS          </v>
      </c>
      <c r="H3874" s="20" t="str">
        <f t="shared" si="181"/>
        <v>GRSAL</v>
      </c>
      <c r="I3874" s="20">
        <f t="shared" si="182"/>
        <v>0</v>
      </c>
    </row>
    <row r="3875" spans="1:9">
      <c r="A3875" s="17" t="s">
        <v>1591</v>
      </c>
      <c r="B3875" s="17" t="s">
        <v>1565</v>
      </c>
      <c r="C3875" s="17">
        <v>0</v>
      </c>
      <c r="D3875" s="17" t="s">
        <v>801</v>
      </c>
      <c r="E3875" s="18">
        <v>8056095063231</v>
      </c>
      <c r="G3875" s="20" t="str">
        <f t="shared" si="180"/>
        <v xml:space="preserve"> CANVAS          </v>
      </c>
      <c r="H3875" s="20" t="str">
        <f t="shared" si="181"/>
        <v>GRTOR</v>
      </c>
      <c r="I3875" s="20">
        <f t="shared" si="182"/>
        <v>0</v>
      </c>
    </row>
    <row r="3876" spans="1:9">
      <c r="A3876" s="17" t="s">
        <v>1591</v>
      </c>
      <c r="B3876" s="17" t="s">
        <v>1565</v>
      </c>
      <c r="C3876" s="17">
        <v>0</v>
      </c>
      <c r="D3876" s="17" t="s">
        <v>801</v>
      </c>
      <c r="E3876" s="18">
        <v>3002471132003</v>
      </c>
      <c r="G3876" s="20" t="str">
        <f t="shared" si="180"/>
        <v xml:space="preserve"> CANVAS          </v>
      </c>
      <c r="H3876" s="20" t="str">
        <f t="shared" si="181"/>
        <v>GRTOR</v>
      </c>
      <c r="I3876" s="20">
        <f t="shared" si="182"/>
        <v>0</v>
      </c>
    </row>
    <row r="3877" spans="1:9">
      <c r="A3877" s="17" t="s">
        <v>1591</v>
      </c>
      <c r="B3877" s="17" t="s">
        <v>1481</v>
      </c>
      <c r="C3877" s="17">
        <v>0</v>
      </c>
      <c r="D3877" s="17" t="s">
        <v>801</v>
      </c>
      <c r="E3877" s="18">
        <v>3020410218007</v>
      </c>
      <c r="G3877" s="20" t="str">
        <f t="shared" si="180"/>
        <v xml:space="preserve"> CANVAS          </v>
      </c>
      <c r="H3877" s="20" t="str">
        <f t="shared" si="181"/>
        <v xml:space="preserve">INDO </v>
      </c>
      <c r="I3877" s="20">
        <f t="shared" si="182"/>
        <v>0</v>
      </c>
    </row>
    <row r="3878" spans="1:9">
      <c r="A3878" s="17" t="s">
        <v>1591</v>
      </c>
      <c r="B3878" s="17" t="s">
        <v>1481</v>
      </c>
      <c r="C3878" s="17">
        <v>0</v>
      </c>
      <c r="D3878" s="17" t="s">
        <v>801</v>
      </c>
      <c r="E3878" s="18">
        <v>3002470464006</v>
      </c>
      <c r="G3878" s="20" t="str">
        <f t="shared" si="180"/>
        <v xml:space="preserve"> CANVAS          </v>
      </c>
      <c r="H3878" s="20" t="str">
        <f t="shared" si="181"/>
        <v xml:space="preserve">INDO </v>
      </c>
      <c r="I3878" s="20">
        <f t="shared" si="182"/>
        <v>0</v>
      </c>
    </row>
    <row r="3879" spans="1:9">
      <c r="A3879" s="17" t="s">
        <v>1591</v>
      </c>
      <c r="B3879" s="17" t="s">
        <v>1299</v>
      </c>
      <c r="C3879" s="17">
        <v>0</v>
      </c>
      <c r="D3879" s="17" t="s">
        <v>801</v>
      </c>
      <c r="E3879" s="18">
        <v>8058983598443</v>
      </c>
      <c r="G3879" s="20" t="str">
        <f t="shared" si="180"/>
        <v xml:space="preserve"> CANVAS          </v>
      </c>
      <c r="H3879" s="20" t="str">
        <f t="shared" si="181"/>
        <v>LAIBL</v>
      </c>
      <c r="I3879" s="20">
        <f t="shared" si="182"/>
        <v>0</v>
      </c>
    </row>
    <row r="3880" spans="1:9">
      <c r="A3880" s="17" t="s">
        <v>1591</v>
      </c>
      <c r="B3880" s="17" t="s">
        <v>1299</v>
      </c>
      <c r="C3880" s="17">
        <v>0</v>
      </c>
      <c r="D3880" s="17" t="s">
        <v>801</v>
      </c>
      <c r="E3880" s="18">
        <v>3020410343006</v>
      </c>
      <c r="G3880" s="20" t="str">
        <f t="shared" si="180"/>
        <v xml:space="preserve"> CANVAS          </v>
      </c>
      <c r="H3880" s="20" t="str">
        <f t="shared" si="181"/>
        <v>LAIBL</v>
      </c>
      <c r="I3880" s="20">
        <f t="shared" si="182"/>
        <v>0</v>
      </c>
    </row>
    <row r="3881" spans="1:9">
      <c r="A3881" s="17" t="s">
        <v>1591</v>
      </c>
      <c r="B3881" s="17" t="s">
        <v>1515</v>
      </c>
      <c r="C3881" s="17">
        <v>0</v>
      </c>
      <c r="D3881" s="17" t="s">
        <v>801</v>
      </c>
      <c r="E3881" s="18">
        <v>8056099179228</v>
      </c>
      <c r="G3881" s="20" t="str">
        <f t="shared" si="180"/>
        <v xml:space="preserve"> CANVAS          </v>
      </c>
      <c r="H3881" s="20" t="str">
        <f t="shared" si="181"/>
        <v>LAIBO</v>
      </c>
      <c r="I3881" s="20">
        <f t="shared" si="182"/>
        <v>0</v>
      </c>
    </row>
    <row r="3882" spans="1:9">
      <c r="A3882" s="17" t="s">
        <v>1591</v>
      </c>
      <c r="B3882" s="17" t="s">
        <v>1515</v>
      </c>
      <c r="C3882" s="17">
        <v>0</v>
      </c>
      <c r="D3882" s="17" t="s">
        <v>801</v>
      </c>
      <c r="E3882" s="18">
        <v>3020410565002</v>
      </c>
      <c r="G3882" s="20" t="str">
        <f t="shared" si="180"/>
        <v xml:space="preserve"> CANVAS          </v>
      </c>
      <c r="H3882" s="20" t="str">
        <f t="shared" si="181"/>
        <v>LAIBO</v>
      </c>
      <c r="I3882" s="20">
        <f t="shared" si="182"/>
        <v>0</v>
      </c>
    </row>
    <row r="3883" spans="1:9">
      <c r="A3883" s="17" t="s">
        <v>1591</v>
      </c>
      <c r="B3883" s="17" t="s">
        <v>1515</v>
      </c>
      <c r="C3883" s="17">
        <v>0</v>
      </c>
      <c r="D3883" s="17" t="s">
        <v>801</v>
      </c>
      <c r="E3883" s="18">
        <v>8058983598436</v>
      </c>
      <c r="G3883" s="20" t="str">
        <f t="shared" si="180"/>
        <v xml:space="preserve"> CANVAS          </v>
      </c>
      <c r="H3883" s="20" t="str">
        <f t="shared" si="181"/>
        <v>LAIBO</v>
      </c>
      <c r="I3883" s="20">
        <f t="shared" si="182"/>
        <v>0</v>
      </c>
    </row>
    <row r="3884" spans="1:9">
      <c r="A3884" s="17" t="s">
        <v>1591</v>
      </c>
      <c r="B3884" s="17" t="s">
        <v>1516</v>
      </c>
      <c r="C3884" s="17">
        <v>0</v>
      </c>
      <c r="D3884" s="17" t="s">
        <v>801</v>
      </c>
      <c r="E3884" s="18">
        <v>8058983598450</v>
      </c>
      <c r="G3884" s="20" t="str">
        <f t="shared" si="180"/>
        <v xml:space="preserve"> CANVAS          </v>
      </c>
      <c r="H3884" s="20" t="str">
        <f t="shared" si="181"/>
        <v>LAIGR</v>
      </c>
      <c r="I3884" s="20">
        <f t="shared" si="182"/>
        <v>0</v>
      </c>
    </row>
    <row r="3885" spans="1:9">
      <c r="A3885" s="17" t="s">
        <v>1591</v>
      </c>
      <c r="B3885" s="17" t="s">
        <v>1516</v>
      </c>
      <c r="C3885" s="17">
        <v>0</v>
      </c>
      <c r="D3885" s="17" t="s">
        <v>801</v>
      </c>
      <c r="E3885" s="18">
        <v>3020410344003</v>
      </c>
      <c r="G3885" s="20" t="str">
        <f t="shared" si="180"/>
        <v xml:space="preserve"> CANVAS          </v>
      </c>
      <c r="H3885" s="20" t="str">
        <f t="shared" si="181"/>
        <v>LAIGR</v>
      </c>
      <c r="I3885" s="20">
        <f t="shared" si="182"/>
        <v>0</v>
      </c>
    </row>
    <row r="3886" spans="1:9">
      <c r="A3886" s="17" t="s">
        <v>1591</v>
      </c>
      <c r="B3886" s="17" t="s">
        <v>1322</v>
      </c>
      <c r="C3886" s="17">
        <v>0</v>
      </c>
      <c r="D3886" s="17" t="s">
        <v>801</v>
      </c>
      <c r="E3886" s="18">
        <v>8050538590216</v>
      </c>
      <c r="G3886" s="20" t="str">
        <f t="shared" si="180"/>
        <v xml:space="preserve"> CANVAS          </v>
      </c>
      <c r="H3886" s="20" t="str">
        <f t="shared" si="181"/>
        <v>LAINO</v>
      </c>
      <c r="I3886" s="20">
        <f t="shared" si="182"/>
        <v>0</v>
      </c>
    </row>
    <row r="3887" spans="1:9">
      <c r="A3887" s="17" t="s">
        <v>1591</v>
      </c>
      <c r="B3887" s="17" t="s">
        <v>1301</v>
      </c>
      <c r="C3887" s="17">
        <v>0</v>
      </c>
      <c r="D3887" s="17" t="s">
        <v>801</v>
      </c>
      <c r="E3887" s="18">
        <v>8050538591190</v>
      </c>
      <c r="G3887" s="20" t="str">
        <f t="shared" si="180"/>
        <v xml:space="preserve"> CANVAS          </v>
      </c>
      <c r="H3887" s="20" t="str">
        <f t="shared" si="181"/>
        <v>LAIOT</v>
      </c>
      <c r="I3887" s="20">
        <f t="shared" si="182"/>
        <v>0</v>
      </c>
    </row>
    <row r="3888" spans="1:9">
      <c r="A3888" s="17" t="s">
        <v>1591</v>
      </c>
      <c r="B3888" s="17" t="s">
        <v>1368</v>
      </c>
      <c r="C3888" s="17">
        <v>0</v>
      </c>
      <c r="D3888" s="17" t="s">
        <v>801</v>
      </c>
      <c r="E3888" s="18">
        <v>3002471516001</v>
      </c>
      <c r="G3888" s="20" t="str">
        <f t="shared" si="180"/>
        <v xml:space="preserve"> CANVAS          </v>
      </c>
      <c r="H3888" s="20" t="str">
        <f t="shared" si="181"/>
        <v>LAIPH</v>
      </c>
      <c r="I3888" s="20">
        <f t="shared" si="182"/>
        <v>0</v>
      </c>
    </row>
    <row r="3889" spans="1:9">
      <c r="A3889" s="17" t="s">
        <v>1591</v>
      </c>
      <c r="B3889" s="17" t="s">
        <v>1610</v>
      </c>
      <c r="C3889" s="17">
        <v>0</v>
      </c>
      <c r="D3889" s="17" t="s">
        <v>801</v>
      </c>
      <c r="E3889" s="18">
        <v>8056099178825</v>
      </c>
      <c r="G3889" s="20" t="str">
        <f t="shared" si="180"/>
        <v xml:space="preserve"> CANVAS          </v>
      </c>
      <c r="H3889" s="20" t="str">
        <f t="shared" si="181"/>
        <v>LAMAU</v>
      </c>
      <c r="I3889" s="20">
        <f t="shared" si="182"/>
        <v>0</v>
      </c>
    </row>
    <row r="3890" spans="1:9">
      <c r="A3890" s="17" t="s">
        <v>1591</v>
      </c>
      <c r="B3890" s="17" t="s">
        <v>1371</v>
      </c>
      <c r="C3890" s="17">
        <v>0</v>
      </c>
      <c r="D3890" s="17" t="s">
        <v>801</v>
      </c>
      <c r="E3890" s="18">
        <v>3002471115006</v>
      </c>
      <c r="G3890" s="20" t="str">
        <f t="shared" si="180"/>
        <v xml:space="preserve"> CANVAS          </v>
      </c>
      <c r="H3890" s="20" t="str">
        <f t="shared" si="181"/>
        <v>LINBL</v>
      </c>
      <c r="I3890" s="20">
        <f t="shared" si="182"/>
        <v>0</v>
      </c>
    </row>
    <row r="3891" spans="1:9">
      <c r="A3891" s="17" t="s">
        <v>1591</v>
      </c>
      <c r="B3891" s="17" t="s">
        <v>1371</v>
      </c>
      <c r="C3891" s="17">
        <v>0</v>
      </c>
      <c r="D3891" s="17" t="s">
        <v>801</v>
      </c>
      <c r="E3891" s="18">
        <v>3020410858005</v>
      </c>
      <c r="G3891" s="20" t="str">
        <f t="shared" si="180"/>
        <v xml:space="preserve"> CANVAS          </v>
      </c>
      <c r="H3891" s="20" t="str">
        <f t="shared" si="181"/>
        <v>LINBL</v>
      </c>
      <c r="I3891" s="20">
        <f t="shared" si="182"/>
        <v>0</v>
      </c>
    </row>
    <row r="3892" spans="1:9">
      <c r="A3892" s="17" t="s">
        <v>1591</v>
      </c>
      <c r="B3892" s="17" t="s">
        <v>1371</v>
      </c>
      <c r="C3892" s="17">
        <v>0</v>
      </c>
      <c r="D3892" s="17" t="s">
        <v>801</v>
      </c>
      <c r="E3892" s="18">
        <v>8056095064832</v>
      </c>
      <c r="G3892" s="20" t="str">
        <f t="shared" si="180"/>
        <v xml:space="preserve"> CANVAS          </v>
      </c>
      <c r="H3892" s="20" t="str">
        <f t="shared" si="181"/>
        <v>LINBL</v>
      </c>
      <c r="I3892" s="20">
        <f t="shared" si="182"/>
        <v>0</v>
      </c>
    </row>
    <row r="3893" spans="1:9">
      <c r="A3893" s="17" t="s">
        <v>1591</v>
      </c>
      <c r="B3893" s="17" t="s">
        <v>1611</v>
      </c>
      <c r="C3893" s="17">
        <v>0</v>
      </c>
      <c r="D3893" s="17" t="s">
        <v>801</v>
      </c>
      <c r="E3893" s="18">
        <v>3020411064009</v>
      </c>
      <c r="G3893" s="20" t="str">
        <f t="shared" si="180"/>
        <v xml:space="preserve"> CANVAS          </v>
      </c>
      <c r="H3893" s="20" t="str">
        <f t="shared" si="181"/>
        <v>LINEE</v>
      </c>
      <c r="I3893" s="20">
        <f t="shared" si="182"/>
        <v>0</v>
      </c>
    </row>
    <row r="3894" spans="1:9">
      <c r="A3894" s="17" t="s">
        <v>1591</v>
      </c>
      <c r="B3894" s="17" t="s">
        <v>1611</v>
      </c>
      <c r="C3894" s="17">
        <v>0</v>
      </c>
      <c r="D3894" s="17" t="s">
        <v>801</v>
      </c>
      <c r="E3894" s="18">
        <v>3002471064007</v>
      </c>
      <c r="G3894" s="20" t="str">
        <f t="shared" si="180"/>
        <v xml:space="preserve"> CANVAS          </v>
      </c>
      <c r="H3894" s="20" t="str">
        <f t="shared" si="181"/>
        <v>LINEE</v>
      </c>
      <c r="I3894" s="20">
        <f t="shared" si="182"/>
        <v>0</v>
      </c>
    </row>
    <row r="3895" spans="1:9">
      <c r="A3895" s="17" t="s">
        <v>1591</v>
      </c>
      <c r="B3895" s="17" t="s">
        <v>1612</v>
      </c>
      <c r="C3895" s="17">
        <v>0</v>
      </c>
      <c r="D3895" s="17" t="s">
        <v>801</v>
      </c>
      <c r="E3895" s="18">
        <v>3020411133002</v>
      </c>
      <c r="G3895" s="20" t="str">
        <f t="shared" si="180"/>
        <v xml:space="preserve"> CANVAS          </v>
      </c>
      <c r="H3895" s="20" t="str">
        <f t="shared" si="181"/>
        <v>LINIV</v>
      </c>
      <c r="I3895" s="20">
        <f t="shared" si="182"/>
        <v>0</v>
      </c>
    </row>
    <row r="3896" spans="1:9">
      <c r="A3896" s="17" t="s">
        <v>1591</v>
      </c>
      <c r="B3896" s="17" t="s">
        <v>1612</v>
      </c>
      <c r="C3896" s="17">
        <v>0</v>
      </c>
      <c r="D3896" s="17" t="s">
        <v>801</v>
      </c>
      <c r="E3896" s="18">
        <v>3002471133000</v>
      </c>
      <c r="G3896" s="20" t="str">
        <f t="shared" si="180"/>
        <v xml:space="preserve"> CANVAS          </v>
      </c>
      <c r="H3896" s="20" t="str">
        <f t="shared" si="181"/>
        <v>LINIV</v>
      </c>
      <c r="I3896" s="20">
        <f t="shared" si="182"/>
        <v>0</v>
      </c>
    </row>
    <row r="3897" spans="1:9">
      <c r="A3897" s="17" t="s">
        <v>1591</v>
      </c>
      <c r="B3897" s="17" t="s">
        <v>1372</v>
      </c>
      <c r="C3897" s="17">
        <v>0</v>
      </c>
      <c r="D3897" s="17" t="s">
        <v>801</v>
      </c>
      <c r="E3897" s="18">
        <v>8056095064825</v>
      </c>
      <c r="G3897" s="20" t="str">
        <f t="shared" si="180"/>
        <v xml:space="preserve"> CANVAS          </v>
      </c>
      <c r="H3897" s="20" t="str">
        <f t="shared" si="181"/>
        <v>LINPH</v>
      </c>
      <c r="I3897" s="20">
        <f t="shared" si="182"/>
        <v>0</v>
      </c>
    </row>
    <row r="3898" spans="1:9">
      <c r="A3898" s="17" t="s">
        <v>1591</v>
      </c>
      <c r="B3898" s="17" t="s">
        <v>1372</v>
      </c>
      <c r="C3898" s="17">
        <v>0</v>
      </c>
      <c r="D3898" s="17" t="s">
        <v>801</v>
      </c>
      <c r="E3898" s="18">
        <v>3002471114009</v>
      </c>
      <c r="G3898" s="20" t="str">
        <f t="shared" si="180"/>
        <v xml:space="preserve"> CANVAS          </v>
      </c>
      <c r="H3898" s="20" t="str">
        <f t="shared" si="181"/>
        <v>LINPH</v>
      </c>
      <c r="I3898" s="20">
        <f t="shared" si="182"/>
        <v>0</v>
      </c>
    </row>
    <row r="3899" spans="1:9">
      <c r="A3899" s="17" t="s">
        <v>1591</v>
      </c>
      <c r="B3899" s="17" t="s">
        <v>1483</v>
      </c>
      <c r="C3899" s="17">
        <v>0</v>
      </c>
      <c r="D3899" s="17" t="s">
        <v>801</v>
      </c>
      <c r="E3899" s="18">
        <v>8056095064849</v>
      </c>
      <c r="G3899" s="20" t="str">
        <f t="shared" si="180"/>
        <v xml:space="preserve"> CANVAS          </v>
      </c>
      <c r="H3899" s="20" t="str">
        <f t="shared" si="181"/>
        <v>LINTO</v>
      </c>
      <c r="I3899" s="20">
        <f t="shared" si="182"/>
        <v>0</v>
      </c>
    </row>
    <row r="3900" spans="1:9">
      <c r="A3900" s="17" t="s">
        <v>1591</v>
      </c>
      <c r="B3900" s="17" t="s">
        <v>1483</v>
      </c>
      <c r="C3900" s="17">
        <v>0</v>
      </c>
      <c r="D3900" s="17" t="s">
        <v>801</v>
      </c>
      <c r="E3900" s="18">
        <v>3002471123001</v>
      </c>
      <c r="G3900" s="20" t="str">
        <f t="shared" si="180"/>
        <v xml:space="preserve"> CANVAS          </v>
      </c>
      <c r="H3900" s="20" t="str">
        <f t="shared" si="181"/>
        <v>LINTO</v>
      </c>
      <c r="I3900" s="20">
        <f t="shared" si="182"/>
        <v>0</v>
      </c>
    </row>
    <row r="3901" spans="1:9">
      <c r="A3901" s="17" t="s">
        <v>1591</v>
      </c>
      <c r="B3901" s="17" t="s">
        <v>1484</v>
      </c>
      <c r="C3901" s="17">
        <v>0</v>
      </c>
      <c r="D3901" s="17" t="s">
        <v>801</v>
      </c>
      <c r="E3901" s="18">
        <v>3002470696001</v>
      </c>
      <c r="G3901" s="20" t="str">
        <f t="shared" si="180"/>
        <v xml:space="preserve"> CANVAS          </v>
      </c>
      <c r="H3901" s="20" t="str">
        <f t="shared" si="181"/>
        <v>MAIBL</v>
      </c>
      <c r="I3901" s="20">
        <f t="shared" si="182"/>
        <v>0</v>
      </c>
    </row>
    <row r="3902" spans="1:9">
      <c r="A3902" s="17" t="s">
        <v>1591</v>
      </c>
      <c r="B3902" s="17" t="s">
        <v>1485</v>
      </c>
      <c r="C3902" s="17">
        <v>0</v>
      </c>
      <c r="D3902" s="17" t="s">
        <v>801</v>
      </c>
      <c r="E3902" s="18">
        <v>3002470697008</v>
      </c>
      <c r="G3902" s="20" t="str">
        <f t="shared" si="180"/>
        <v xml:space="preserve"> CANVAS          </v>
      </c>
      <c r="H3902" s="20" t="str">
        <f t="shared" si="181"/>
        <v>MAIGR</v>
      </c>
      <c r="I3902" s="20">
        <f t="shared" si="182"/>
        <v>0</v>
      </c>
    </row>
    <row r="3903" spans="1:9">
      <c r="A3903" s="17" t="s">
        <v>1591</v>
      </c>
      <c r="B3903" s="17" t="s">
        <v>1057</v>
      </c>
      <c r="C3903" s="17">
        <v>0</v>
      </c>
      <c r="D3903" s="17" t="s">
        <v>801</v>
      </c>
      <c r="E3903" s="18">
        <v>3020411007006</v>
      </c>
      <c r="G3903" s="20" t="str">
        <f t="shared" si="180"/>
        <v xml:space="preserve"> CANVAS          </v>
      </c>
      <c r="H3903" s="20" t="str">
        <f t="shared" si="181"/>
        <v xml:space="preserve">MAR  </v>
      </c>
      <c r="I3903" s="20">
        <f t="shared" si="182"/>
        <v>0</v>
      </c>
    </row>
    <row r="3904" spans="1:9">
      <c r="A3904" s="17" t="s">
        <v>1591</v>
      </c>
      <c r="B3904" s="17" t="s">
        <v>1105</v>
      </c>
      <c r="C3904" s="17">
        <v>0</v>
      </c>
      <c r="D3904" s="17" t="s">
        <v>801</v>
      </c>
      <c r="E3904" s="18">
        <v>3020410667003</v>
      </c>
      <c r="G3904" s="20" t="str">
        <f t="shared" si="180"/>
        <v xml:space="preserve"> CANVAS          </v>
      </c>
      <c r="H3904" s="20" t="str">
        <f t="shared" si="181"/>
        <v>MARSA</v>
      </c>
      <c r="I3904" s="20">
        <f t="shared" si="182"/>
        <v>0</v>
      </c>
    </row>
    <row r="3905" spans="1:9">
      <c r="A3905" s="17" t="s">
        <v>1591</v>
      </c>
      <c r="B3905" s="17" t="s">
        <v>1066</v>
      </c>
      <c r="C3905" s="17">
        <v>0</v>
      </c>
      <c r="D3905" s="17" t="s">
        <v>801</v>
      </c>
      <c r="E3905" s="18">
        <v>8050846013506</v>
      </c>
      <c r="G3905" s="20" t="str">
        <f t="shared" si="180"/>
        <v xml:space="preserve"> CANVAS          </v>
      </c>
      <c r="H3905" s="20" t="str">
        <f t="shared" si="181"/>
        <v>MIBLU</v>
      </c>
      <c r="I3905" s="20">
        <f t="shared" si="182"/>
        <v>0</v>
      </c>
    </row>
    <row r="3906" spans="1:9">
      <c r="A3906" s="17" t="s">
        <v>1591</v>
      </c>
      <c r="B3906" s="17" t="s">
        <v>1549</v>
      </c>
      <c r="C3906" s="17">
        <v>0</v>
      </c>
      <c r="D3906" s="17" t="s">
        <v>801</v>
      </c>
      <c r="E3906" s="18">
        <v>3002471186006</v>
      </c>
      <c r="G3906" s="20" t="str">
        <f t="shared" si="180"/>
        <v xml:space="preserve"> CANVAS          </v>
      </c>
      <c r="H3906" s="20" t="str">
        <f t="shared" si="181"/>
        <v>MICBL</v>
      </c>
      <c r="I3906" s="20">
        <f t="shared" si="182"/>
        <v>0</v>
      </c>
    </row>
    <row r="3907" spans="1:9">
      <c r="A3907" s="17" t="s">
        <v>1591</v>
      </c>
      <c r="B3907" s="17" t="s">
        <v>1522</v>
      </c>
      <c r="C3907" s="17">
        <v>0</v>
      </c>
      <c r="D3907" s="17" t="s">
        <v>801</v>
      </c>
      <c r="E3907" s="18">
        <v>3020410568003</v>
      </c>
      <c r="G3907" s="20" t="str">
        <f t="shared" si="180"/>
        <v xml:space="preserve"> CANVAS          </v>
      </c>
      <c r="H3907" s="20" t="str">
        <f t="shared" si="181"/>
        <v>MICDK</v>
      </c>
      <c r="I3907" s="20">
        <f t="shared" si="182"/>
        <v>0</v>
      </c>
    </row>
    <row r="3908" spans="1:9">
      <c r="A3908" s="17" t="s">
        <v>1591</v>
      </c>
      <c r="B3908" s="17" t="s">
        <v>1522</v>
      </c>
      <c r="C3908" s="17">
        <v>0</v>
      </c>
      <c r="D3908" s="17" t="s">
        <v>801</v>
      </c>
      <c r="E3908" s="18">
        <v>8058983598412</v>
      </c>
      <c r="G3908" s="20" t="str">
        <f t="shared" si="180"/>
        <v xml:space="preserve"> CANVAS          </v>
      </c>
      <c r="H3908" s="20" t="str">
        <f t="shared" si="181"/>
        <v>MICDK</v>
      </c>
      <c r="I3908" s="20">
        <f t="shared" si="182"/>
        <v>0</v>
      </c>
    </row>
    <row r="3909" spans="1:9">
      <c r="A3909" s="17" t="s">
        <v>1591</v>
      </c>
      <c r="B3909" s="17" t="s">
        <v>1523</v>
      </c>
      <c r="C3909" s="17">
        <v>0</v>
      </c>
      <c r="D3909" s="17" t="s">
        <v>801</v>
      </c>
      <c r="E3909" s="18">
        <v>3020410567006</v>
      </c>
      <c r="G3909" s="20" t="str">
        <f t="shared" ref="G3909:G3972" si="183">A3909</f>
        <v xml:space="preserve"> CANVAS          </v>
      </c>
      <c r="H3909" s="20" t="str">
        <f t="shared" ref="H3909:H3972" si="184">B3909</f>
        <v>MICDO</v>
      </c>
      <c r="I3909" s="20">
        <f t="shared" ref="I3909:I3972" si="185">C3909</f>
        <v>0</v>
      </c>
    </row>
    <row r="3910" spans="1:9">
      <c r="A3910" s="17" t="s">
        <v>1591</v>
      </c>
      <c r="B3910" s="17" t="s">
        <v>1523</v>
      </c>
      <c r="C3910" s="17">
        <v>0</v>
      </c>
      <c r="D3910" s="17" t="s">
        <v>801</v>
      </c>
      <c r="E3910" s="18">
        <v>8058983598429</v>
      </c>
      <c r="G3910" s="20" t="str">
        <f t="shared" si="183"/>
        <v xml:space="preserve"> CANVAS          </v>
      </c>
      <c r="H3910" s="20" t="str">
        <f t="shared" si="184"/>
        <v>MICDO</v>
      </c>
      <c r="I3910" s="20">
        <f t="shared" si="185"/>
        <v>0</v>
      </c>
    </row>
    <row r="3911" spans="1:9">
      <c r="A3911" s="17" t="s">
        <v>1591</v>
      </c>
      <c r="B3911" s="17" t="s">
        <v>1524</v>
      </c>
      <c r="C3911" s="17">
        <v>0</v>
      </c>
      <c r="D3911" s="17" t="s">
        <v>801</v>
      </c>
      <c r="E3911" s="18">
        <v>3020410566009</v>
      </c>
      <c r="G3911" s="20" t="str">
        <f t="shared" si="183"/>
        <v xml:space="preserve"> CANVAS          </v>
      </c>
      <c r="H3911" s="20" t="str">
        <f t="shared" si="184"/>
        <v>MICGR</v>
      </c>
      <c r="I3911" s="20">
        <f t="shared" si="185"/>
        <v>0</v>
      </c>
    </row>
    <row r="3912" spans="1:9">
      <c r="A3912" s="17" t="s">
        <v>1591</v>
      </c>
      <c r="B3912" s="17" t="s">
        <v>1524</v>
      </c>
      <c r="C3912" s="17">
        <v>0</v>
      </c>
      <c r="D3912" s="17" t="s">
        <v>801</v>
      </c>
      <c r="E3912" s="18">
        <v>8058983598405</v>
      </c>
      <c r="G3912" s="20" t="str">
        <f t="shared" si="183"/>
        <v xml:space="preserve"> CANVAS          </v>
      </c>
      <c r="H3912" s="20" t="str">
        <f t="shared" si="184"/>
        <v>MICGR</v>
      </c>
      <c r="I3912" s="20">
        <f t="shared" si="185"/>
        <v>0</v>
      </c>
    </row>
    <row r="3913" spans="1:9">
      <c r="A3913" s="17" t="s">
        <v>1591</v>
      </c>
      <c r="B3913" s="17" t="s">
        <v>1613</v>
      </c>
      <c r="C3913" s="17">
        <v>0</v>
      </c>
      <c r="D3913" s="17" t="s">
        <v>801</v>
      </c>
      <c r="E3913" s="18">
        <v>8050846013490</v>
      </c>
      <c r="G3913" s="20" t="str">
        <f t="shared" si="183"/>
        <v xml:space="preserve"> CANVAS          </v>
      </c>
      <c r="H3913" s="20" t="str">
        <f t="shared" si="184"/>
        <v>MIOTT</v>
      </c>
      <c r="I3913" s="20">
        <f t="shared" si="185"/>
        <v>0</v>
      </c>
    </row>
    <row r="3914" spans="1:9">
      <c r="A3914" s="17" t="s">
        <v>1591</v>
      </c>
      <c r="B3914" s="17" t="s">
        <v>1554</v>
      </c>
      <c r="C3914" s="17">
        <v>0</v>
      </c>
      <c r="D3914" s="17" t="s">
        <v>801</v>
      </c>
      <c r="E3914" s="18">
        <v>8056099171161</v>
      </c>
      <c r="G3914" s="20" t="str">
        <f t="shared" si="183"/>
        <v xml:space="preserve"> CANVAS          </v>
      </c>
      <c r="H3914" s="20" t="str">
        <f t="shared" si="184"/>
        <v>MOMBL</v>
      </c>
      <c r="I3914" s="20">
        <f t="shared" si="185"/>
        <v>0</v>
      </c>
    </row>
    <row r="3915" spans="1:9">
      <c r="A3915" s="17" t="s">
        <v>1591</v>
      </c>
      <c r="B3915" s="17" t="s">
        <v>1614</v>
      </c>
      <c r="C3915" s="17">
        <v>0</v>
      </c>
      <c r="D3915" s="17" t="s">
        <v>801</v>
      </c>
      <c r="E3915" s="18">
        <v>8056099171178</v>
      </c>
      <c r="G3915" s="20" t="str">
        <f t="shared" si="183"/>
        <v xml:space="preserve"> CANVAS          </v>
      </c>
      <c r="H3915" s="20" t="str">
        <f t="shared" si="184"/>
        <v>MOMGR</v>
      </c>
      <c r="I3915" s="20">
        <f t="shared" si="185"/>
        <v>0</v>
      </c>
    </row>
    <row r="3916" spans="1:9">
      <c r="A3916" s="17" t="s">
        <v>1591</v>
      </c>
      <c r="B3916" s="17" t="s">
        <v>1092</v>
      </c>
      <c r="C3916" s="17">
        <v>0</v>
      </c>
      <c r="D3916" s="17" t="s">
        <v>801</v>
      </c>
      <c r="E3916" s="18">
        <v>3020411004005</v>
      </c>
      <c r="G3916" s="20" t="str">
        <f t="shared" si="183"/>
        <v xml:space="preserve"> CANVAS          </v>
      </c>
      <c r="H3916" s="20" t="str">
        <f t="shared" si="184"/>
        <v>MULTI</v>
      </c>
      <c r="I3916" s="20">
        <f t="shared" si="185"/>
        <v>0</v>
      </c>
    </row>
    <row r="3917" spans="1:9">
      <c r="A3917" s="17" t="s">
        <v>1591</v>
      </c>
      <c r="B3917" s="17" t="s">
        <v>859</v>
      </c>
      <c r="C3917" s="17">
        <v>0</v>
      </c>
      <c r="D3917" s="17" t="s">
        <v>801</v>
      </c>
      <c r="E3917" s="18">
        <v>8051770308805</v>
      </c>
      <c r="G3917" s="20" t="str">
        <f t="shared" si="183"/>
        <v xml:space="preserve"> CANVAS          </v>
      </c>
      <c r="H3917" s="20" t="str">
        <f t="shared" si="184"/>
        <v>NATUR</v>
      </c>
      <c r="I3917" s="20">
        <f t="shared" si="185"/>
        <v>0</v>
      </c>
    </row>
    <row r="3918" spans="1:9">
      <c r="A3918" s="17" t="s">
        <v>1591</v>
      </c>
      <c r="B3918" s="17" t="s">
        <v>859</v>
      </c>
      <c r="C3918" s="17">
        <v>0</v>
      </c>
      <c r="D3918" s="17" t="s">
        <v>801</v>
      </c>
      <c r="E3918" s="18">
        <v>3003200002000</v>
      </c>
      <c r="G3918" s="20" t="str">
        <f t="shared" si="183"/>
        <v xml:space="preserve"> CANVAS          </v>
      </c>
      <c r="H3918" s="20" t="str">
        <f t="shared" si="184"/>
        <v>NATUR</v>
      </c>
      <c r="I3918" s="20">
        <f t="shared" si="185"/>
        <v>0</v>
      </c>
    </row>
    <row r="3919" spans="1:9">
      <c r="A3919" s="17" t="s">
        <v>1591</v>
      </c>
      <c r="B3919" s="17" t="s">
        <v>952</v>
      </c>
      <c r="C3919" s="17">
        <v>0</v>
      </c>
      <c r="D3919" s="17" t="s">
        <v>801</v>
      </c>
      <c r="E3919" s="18">
        <v>3020411105009</v>
      </c>
      <c r="G3919" s="20" t="str">
        <f t="shared" si="183"/>
        <v xml:space="preserve"> CANVAS          </v>
      </c>
      <c r="H3919" s="20" t="str">
        <f t="shared" si="184"/>
        <v>ODPBL</v>
      </c>
      <c r="I3919" s="20">
        <f t="shared" si="185"/>
        <v>0</v>
      </c>
    </row>
    <row r="3920" spans="1:9">
      <c r="A3920" s="17" t="s">
        <v>1591</v>
      </c>
      <c r="B3920" s="17" t="s">
        <v>952</v>
      </c>
      <c r="C3920" s="17">
        <v>0</v>
      </c>
      <c r="D3920" s="17" t="s">
        <v>801</v>
      </c>
      <c r="E3920" s="18">
        <v>3002471105007</v>
      </c>
      <c r="G3920" s="20" t="str">
        <f t="shared" si="183"/>
        <v xml:space="preserve"> CANVAS          </v>
      </c>
      <c r="H3920" s="20" t="str">
        <f t="shared" si="184"/>
        <v>ODPBL</v>
      </c>
      <c r="I3920" s="20">
        <f t="shared" si="185"/>
        <v>0</v>
      </c>
    </row>
    <row r="3921" spans="1:9">
      <c r="A3921" s="17" t="s">
        <v>1591</v>
      </c>
      <c r="B3921" s="17" t="s">
        <v>1386</v>
      </c>
      <c r="C3921" s="17">
        <v>0</v>
      </c>
      <c r="D3921" s="17" t="s">
        <v>801</v>
      </c>
      <c r="E3921" s="18">
        <v>3020411107003</v>
      </c>
      <c r="G3921" s="20" t="str">
        <f t="shared" si="183"/>
        <v xml:space="preserve"> CANVAS          </v>
      </c>
      <c r="H3921" s="20" t="str">
        <f t="shared" si="184"/>
        <v>ODPSA</v>
      </c>
      <c r="I3921" s="20">
        <f t="shared" si="185"/>
        <v>0</v>
      </c>
    </row>
    <row r="3922" spans="1:9">
      <c r="A3922" s="17" t="s">
        <v>1591</v>
      </c>
      <c r="B3922" s="17" t="s">
        <v>1386</v>
      </c>
      <c r="C3922" s="17">
        <v>0</v>
      </c>
      <c r="D3922" s="17" t="s">
        <v>801</v>
      </c>
      <c r="E3922" s="18">
        <v>3002471107001</v>
      </c>
      <c r="G3922" s="20" t="str">
        <f t="shared" si="183"/>
        <v xml:space="preserve"> CANVAS          </v>
      </c>
      <c r="H3922" s="20" t="str">
        <f t="shared" si="184"/>
        <v>ODPSA</v>
      </c>
      <c r="I3922" s="20">
        <f t="shared" si="185"/>
        <v>0</v>
      </c>
    </row>
    <row r="3923" spans="1:9">
      <c r="A3923" s="17" t="s">
        <v>1591</v>
      </c>
      <c r="B3923" s="17" t="s">
        <v>954</v>
      </c>
      <c r="C3923" s="17">
        <v>0</v>
      </c>
      <c r="D3923" s="17" t="s">
        <v>801</v>
      </c>
      <c r="E3923" s="18">
        <v>3020411134009</v>
      </c>
      <c r="G3923" s="20" t="str">
        <f t="shared" si="183"/>
        <v xml:space="preserve"> CANVAS          </v>
      </c>
      <c r="H3923" s="20" t="str">
        <f t="shared" si="184"/>
        <v>ODPVE</v>
      </c>
      <c r="I3923" s="20">
        <f t="shared" si="185"/>
        <v>0</v>
      </c>
    </row>
    <row r="3924" spans="1:9">
      <c r="A3924" s="17" t="s">
        <v>1591</v>
      </c>
      <c r="B3924" s="17" t="s">
        <v>954</v>
      </c>
      <c r="C3924" s="17">
        <v>0</v>
      </c>
      <c r="D3924" s="17" t="s">
        <v>801</v>
      </c>
      <c r="E3924" s="18">
        <v>3002471134007</v>
      </c>
      <c r="G3924" s="20" t="str">
        <f t="shared" si="183"/>
        <v xml:space="preserve"> CANVAS          </v>
      </c>
      <c r="H3924" s="20" t="str">
        <f t="shared" si="184"/>
        <v>ODPVE</v>
      </c>
      <c r="I3924" s="20">
        <f t="shared" si="185"/>
        <v>0</v>
      </c>
    </row>
    <row r="3925" spans="1:9">
      <c r="A3925" s="17" t="s">
        <v>1591</v>
      </c>
      <c r="B3925" s="17" t="s">
        <v>1486</v>
      </c>
      <c r="C3925" s="17">
        <v>0</v>
      </c>
      <c r="D3925" s="17" t="s">
        <v>801</v>
      </c>
      <c r="E3925" s="18">
        <v>3020410195001</v>
      </c>
      <c r="G3925" s="20" t="str">
        <f t="shared" si="183"/>
        <v xml:space="preserve"> CANVAS          </v>
      </c>
      <c r="H3925" s="20" t="str">
        <f t="shared" si="184"/>
        <v xml:space="preserve">ONDE </v>
      </c>
      <c r="I3925" s="20">
        <f t="shared" si="185"/>
        <v>0</v>
      </c>
    </row>
    <row r="3926" spans="1:9">
      <c r="A3926" s="17" t="s">
        <v>1591</v>
      </c>
      <c r="B3926" s="17" t="s">
        <v>815</v>
      </c>
      <c r="C3926" s="17">
        <v>0</v>
      </c>
      <c r="D3926" s="17" t="s">
        <v>801</v>
      </c>
      <c r="E3926" s="18">
        <v>8056099179051</v>
      </c>
      <c r="G3926" s="20" t="str">
        <f t="shared" si="183"/>
        <v xml:space="preserve"> CANVAS          </v>
      </c>
      <c r="H3926" s="20" t="str">
        <f t="shared" si="184"/>
        <v>OPTWH</v>
      </c>
      <c r="I3926" s="20">
        <f t="shared" si="185"/>
        <v>0</v>
      </c>
    </row>
    <row r="3927" spans="1:9">
      <c r="A3927" s="17" t="s">
        <v>1591</v>
      </c>
      <c r="B3927" s="17" t="s">
        <v>1388</v>
      </c>
      <c r="C3927" s="17">
        <v>0</v>
      </c>
      <c r="D3927" s="17" t="s">
        <v>801</v>
      </c>
      <c r="E3927" s="18">
        <v>8050846012516</v>
      </c>
      <c r="G3927" s="20" t="str">
        <f t="shared" si="183"/>
        <v xml:space="preserve"> CANVAS          </v>
      </c>
      <c r="H3927" s="20" t="str">
        <f t="shared" si="184"/>
        <v>ORIBL</v>
      </c>
      <c r="I3927" s="20">
        <f t="shared" si="185"/>
        <v>0</v>
      </c>
    </row>
    <row r="3928" spans="1:9">
      <c r="A3928" s="17" t="s">
        <v>1591</v>
      </c>
      <c r="B3928" s="17" t="s">
        <v>1388</v>
      </c>
      <c r="C3928" s="17">
        <v>0</v>
      </c>
      <c r="D3928" s="17" t="s">
        <v>801</v>
      </c>
      <c r="E3928" s="18">
        <v>3002471515004</v>
      </c>
      <c r="G3928" s="20" t="str">
        <f t="shared" si="183"/>
        <v xml:space="preserve"> CANVAS          </v>
      </c>
      <c r="H3928" s="20" t="str">
        <f t="shared" si="184"/>
        <v>ORIBL</v>
      </c>
      <c r="I3928" s="20">
        <f t="shared" si="185"/>
        <v>0</v>
      </c>
    </row>
    <row r="3929" spans="1:9">
      <c r="A3929" s="17" t="s">
        <v>1591</v>
      </c>
      <c r="B3929" s="17" t="s">
        <v>1615</v>
      </c>
      <c r="C3929" s="17">
        <v>0</v>
      </c>
      <c r="D3929" s="17" t="s">
        <v>801</v>
      </c>
      <c r="E3929" s="18">
        <v>8056099171192</v>
      </c>
      <c r="G3929" s="20" t="str">
        <f t="shared" si="183"/>
        <v xml:space="preserve"> CANVAS          </v>
      </c>
      <c r="H3929" s="20" t="str">
        <f t="shared" si="184"/>
        <v>OXBLU</v>
      </c>
      <c r="I3929" s="20">
        <f t="shared" si="185"/>
        <v>0</v>
      </c>
    </row>
    <row r="3930" spans="1:9">
      <c r="A3930" s="17" t="s">
        <v>1591</v>
      </c>
      <c r="B3930" s="17" t="s">
        <v>1567</v>
      </c>
      <c r="C3930" s="17">
        <v>0</v>
      </c>
      <c r="D3930" s="17" t="s">
        <v>801</v>
      </c>
      <c r="E3930" s="18">
        <v>3002471071005</v>
      </c>
      <c r="G3930" s="20" t="str">
        <f t="shared" si="183"/>
        <v xml:space="preserve"> CANVAS          </v>
      </c>
      <c r="H3930" s="20" t="str">
        <f t="shared" si="184"/>
        <v>OXFBL</v>
      </c>
      <c r="I3930" s="20">
        <f t="shared" si="185"/>
        <v>0</v>
      </c>
    </row>
    <row r="3931" spans="1:9">
      <c r="A3931" s="17" t="s">
        <v>1591</v>
      </c>
      <c r="B3931" s="17" t="s">
        <v>1567</v>
      </c>
      <c r="C3931" s="17">
        <v>0</v>
      </c>
      <c r="D3931" s="17" t="s">
        <v>801</v>
      </c>
      <c r="E3931" s="18">
        <v>8058983598382</v>
      </c>
      <c r="G3931" s="20" t="str">
        <f t="shared" si="183"/>
        <v xml:space="preserve"> CANVAS          </v>
      </c>
      <c r="H3931" s="20" t="str">
        <f t="shared" si="184"/>
        <v>OXFBL</v>
      </c>
      <c r="I3931" s="20">
        <f t="shared" si="185"/>
        <v>0</v>
      </c>
    </row>
    <row r="3932" spans="1:9">
      <c r="A3932" s="17" t="s">
        <v>1591</v>
      </c>
      <c r="B3932" s="17" t="s">
        <v>1616</v>
      </c>
      <c r="C3932" s="17">
        <v>0</v>
      </c>
      <c r="D3932" s="17" t="s">
        <v>801</v>
      </c>
      <c r="E3932" s="18">
        <v>3020410979007</v>
      </c>
      <c r="G3932" s="20" t="str">
        <f t="shared" si="183"/>
        <v xml:space="preserve"> CANVAS          </v>
      </c>
      <c r="H3932" s="20" t="str">
        <f t="shared" si="184"/>
        <v>OXFGR</v>
      </c>
      <c r="I3932" s="20">
        <f t="shared" si="185"/>
        <v>0</v>
      </c>
    </row>
    <row r="3933" spans="1:9">
      <c r="A3933" s="17" t="s">
        <v>1591</v>
      </c>
      <c r="B3933" s="17" t="s">
        <v>1616</v>
      </c>
      <c r="C3933" s="17">
        <v>0</v>
      </c>
      <c r="D3933" s="17" t="s">
        <v>801</v>
      </c>
      <c r="E3933" s="18">
        <v>3002470979005</v>
      </c>
      <c r="G3933" s="20" t="str">
        <f t="shared" si="183"/>
        <v xml:space="preserve"> CANVAS          </v>
      </c>
      <c r="H3933" s="20" t="str">
        <f t="shared" si="184"/>
        <v>OXFGR</v>
      </c>
      <c r="I3933" s="20">
        <f t="shared" si="185"/>
        <v>0</v>
      </c>
    </row>
    <row r="3934" spans="1:9">
      <c r="A3934" s="17" t="s">
        <v>1591</v>
      </c>
      <c r="B3934" s="17" t="s">
        <v>1617</v>
      </c>
      <c r="C3934" s="17">
        <v>0</v>
      </c>
      <c r="D3934" s="17" t="s">
        <v>801</v>
      </c>
      <c r="E3934" s="18">
        <v>3020410683003</v>
      </c>
      <c r="G3934" s="20" t="str">
        <f t="shared" si="183"/>
        <v xml:space="preserve"> CANVAS          </v>
      </c>
      <c r="H3934" s="20" t="str">
        <f t="shared" si="184"/>
        <v xml:space="preserve">OXGR </v>
      </c>
      <c r="I3934" s="20">
        <f t="shared" si="185"/>
        <v>0</v>
      </c>
    </row>
    <row r="3935" spans="1:9">
      <c r="A3935" s="17" t="s">
        <v>1591</v>
      </c>
      <c r="B3935" s="17" t="s">
        <v>1526</v>
      </c>
      <c r="C3935" s="17">
        <v>0</v>
      </c>
      <c r="D3935" s="17" t="s">
        <v>801</v>
      </c>
      <c r="E3935" s="18">
        <v>8056099171185</v>
      </c>
      <c r="G3935" s="20" t="str">
        <f t="shared" si="183"/>
        <v xml:space="preserve"> CANVAS          </v>
      </c>
      <c r="H3935" s="20" t="str">
        <f t="shared" si="184"/>
        <v>OXRED</v>
      </c>
      <c r="I3935" s="20">
        <f t="shared" si="185"/>
        <v>0</v>
      </c>
    </row>
    <row r="3936" spans="1:9">
      <c r="A3936" s="17" t="s">
        <v>1591</v>
      </c>
      <c r="B3936" s="17" t="s">
        <v>1618</v>
      </c>
      <c r="C3936" s="17">
        <v>0</v>
      </c>
      <c r="D3936" s="17" t="s">
        <v>801</v>
      </c>
      <c r="E3936" s="18">
        <v>3020410984001</v>
      </c>
      <c r="G3936" s="20" t="str">
        <f t="shared" si="183"/>
        <v xml:space="preserve"> CANVAS          </v>
      </c>
      <c r="H3936" s="20" t="str">
        <f t="shared" si="184"/>
        <v>PAISL</v>
      </c>
      <c r="I3936" s="20">
        <f t="shared" si="185"/>
        <v>0</v>
      </c>
    </row>
    <row r="3937" spans="1:9">
      <c r="A3937" s="17" t="s">
        <v>1591</v>
      </c>
      <c r="B3937" s="17" t="s">
        <v>1618</v>
      </c>
      <c r="C3937" s="17">
        <v>0</v>
      </c>
      <c r="D3937" s="17" t="s">
        <v>801</v>
      </c>
      <c r="E3937" s="18">
        <v>3002470984009</v>
      </c>
      <c r="G3937" s="20" t="str">
        <f t="shared" si="183"/>
        <v xml:space="preserve"> CANVAS          </v>
      </c>
      <c r="H3937" s="20" t="str">
        <f t="shared" si="184"/>
        <v>PAISL</v>
      </c>
      <c r="I3937" s="20">
        <f t="shared" si="185"/>
        <v>0</v>
      </c>
    </row>
    <row r="3938" spans="1:9">
      <c r="A3938" s="17" t="s">
        <v>1591</v>
      </c>
      <c r="B3938" s="17" t="s">
        <v>1619</v>
      </c>
      <c r="C3938" s="17">
        <v>0</v>
      </c>
      <c r="D3938" s="17" t="s">
        <v>801</v>
      </c>
      <c r="E3938" s="18">
        <v>3020410698007</v>
      </c>
      <c r="G3938" s="20" t="str">
        <f t="shared" si="183"/>
        <v xml:space="preserve"> CANVAS          </v>
      </c>
      <c r="H3938" s="20" t="str">
        <f t="shared" si="184"/>
        <v>POIMA</v>
      </c>
      <c r="I3938" s="20">
        <f t="shared" si="185"/>
        <v>0</v>
      </c>
    </row>
    <row r="3939" spans="1:9">
      <c r="A3939" s="17" t="s">
        <v>1591</v>
      </c>
      <c r="B3939" s="17" t="s">
        <v>1620</v>
      </c>
      <c r="C3939" s="17">
        <v>0</v>
      </c>
      <c r="D3939" s="17" t="s">
        <v>801</v>
      </c>
      <c r="E3939" s="18">
        <v>3020410699004</v>
      </c>
      <c r="G3939" s="20" t="str">
        <f t="shared" si="183"/>
        <v xml:space="preserve"> CANVAS          </v>
      </c>
      <c r="H3939" s="20" t="str">
        <f t="shared" si="184"/>
        <v>POINO</v>
      </c>
      <c r="I3939" s="20">
        <f t="shared" si="185"/>
        <v>0</v>
      </c>
    </row>
    <row r="3940" spans="1:9">
      <c r="A3940" s="17" t="s">
        <v>1591</v>
      </c>
      <c r="B3940" s="17" t="s">
        <v>1394</v>
      </c>
      <c r="C3940" s="17">
        <v>0</v>
      </c>
      <c r="D3940" s="17" t="s">
        <v>801</v>
      </c>
      <c r="E3940" s="18">
        <v>3020410151007</v>
      </c>
      <c r="G3940" s="20" t="str">
        <f t="shared" si="183"/>
        <v xml:space="preserve"> CANVAS          </v>
      </c>
      <c r="H3940" s="20" t="str">
        <f t="shared" si="184"/>
        <v xml:space="preserve">POIS </v>
      </c>
      <c r="I3940" s="20">
        <f t="shared" si="185"/>
        <v>0</v>
      </c>
    </row>
    <row r="3941" spans="1:9">
      <c r="A3941" s="17" t="s">
        <v>1591</v>
      </c>
      <c r="B3941" s="17" t="s">
        <v>1621</v>
      </c>
      <c r="C3941" s="17">
        <v>0</v>
      </c>
      <c r="D3941" s="17" t="s">
        <v>801</v>
      </c>
      <c r="E3941" s="18">
        <v>3002470819004</v>
      </c>
      <c r="G3941" s="20" t="str">
        <f t="shared" si="183"/>
        <v xml:space="preserve"> CANVAS          </v>
      </c>
      <c r="H3941" s="20" t="str">
        <f t="shared" si="184"/>
        <v>PORPO</v>
      </c>
      <c r="I3941" s="20">
        <f t="shared" si="185"/>
        <v>0</v>
      </c>
    </row>
    <row r="3942" spans="1:9">
      <c r="A3942" s="17" t="s">
        <v>1591</v>
      </c>
      <c r="B3942" s="17" t="s">
        <v>1622</v>
      </c>
      <c r="C3942" s="17">
        <v>0</v>
      </c>
      <c r="D3942" s="17" t="s">
        <v>801</v>
      </c>
      <c r="E3942" s="18">
        <v>8058983598481</v>
      </c>
      <c r="G3942" s="20" t="str">
        <f t="shared" si="183"/>
        <v xml:space="preserve"> CANVAS          </v>
      </c>
      <c r="H3942" s="20" t="str">
        <f t="shared" si="184"/>
        <v>PUBEM</v>
      </c>
      <c r="I3942" s="20">
        <f t="shared" si="185"/>
        <v>0</v>
      </c>
    </row>
    <row r="3943" spans="1:9">
      <c r="A3943" s="17" t="s">
        <v>1591</v>
      </c>
      <c r="B3943" s="17" t="s">
        <v>1622</v>
      </c>
      <c r="C3943" s="17">
        <v>0</v>
      </c>
      <c r="D3943" s="17" t="s">
        <v>801</v>
      </c>
      <c r="E3943" s="18">
        <v>3002470993001</v>
      </c>
      <c r="G3943" s="20" t="str">
        <f t="shared" si="183"/>
        <v xml:space="preserve"> CANVAS          </v>
      </c>
      <c r="H3943" s="20" t="str">
        <f t="shared" si="184"/>
        <v>PUBEM</v>
      </c>
      <c r="I3943" s="20">
        <f t="shared" si="185"/>
        <v>0</v>
      </c>
    </row>
    <row r="3944" spans="1:9">
      <c r="A3944" s="17" t="s">
        <v>1591</v>
      </c>
      <c r="B3944" s="17" t="s">
        <v>1623</v>
      </c>
      <c r="C3944" s="17">
        <v>0</v>
      </c>
      <c r="D3944" s="17" t="s">
        <v>801</v>
      </c>
      <c r="E3944" s="18">
        <v>8058983598474</v>
      </c>
      <c r="G3944" s="20" t="str">
        <f t="shared" si="183"/>
        <v xml:space="preserve"> CANVAS          </v>
      </c>
      <c r="H3944" s="20" t="str">
        <f t="shared" si="184"/>
        <v>PUGBL</v>
      </c>
      <c r="I3944" s="20">
        <f t="shared" si="185"/>
        <v>0</v>
      </c>
    </row>
    <row r="3945" spans="1:9">
      <c r="A3945" s="17" t="s">
        <v>1591</v>
      </c>
      <c r="B3945" s="17" t="s">
        <v>1623</v>
      </c>
      <c r="C3945" s="17">
        <v>0</v>
      </c>
      <c r="D3945" s="17" t="s">
        <v>801</v>
      </c>
      <c r="E3945" s="18">
        <v>3002471009008</v>
      </c>
      <c r="G3945" s="20" t="str">
        <f t="shared" si="183"/>
        <v xml:space="preserve"> CANVAS          </v>
      </c>
      <c r="H3945" s="20" t="str">
        <f t="shared" si="184"/>
        <v>PUGBL</v>
      </c>
      <c r="I3945" s="20">
        <f t="shared" si="185"/>
        <v>0</v>
      </c>
    </row>
    <row r="3946" spans="1:9">
      <c r="A3946" s="17" t="s">
        <v>1591</v>
      </c>
      <c r="B3946" s="17" t="s">
        <v>1624</v>
      </c>
      <c r="C3946" s="17">
        <v>0</v>
      </c>
      <c r="D3946" s="17" t="s">
        <v>801</v>
      </c>
      <c r="E3946" s="18">
        <v>3002471536009</v>
      </c>
      <c r="G3946" s="20" t="str">
        <f t="shared" si="183"/>
        <v xml:space="preserve"> CANVAS          </v>
      </c>
      <c r="H3946" s="20" t="str">
        <f t="shared" si="184"/>
        <v>PUNRO</v>
      </c>
      <c r="I3946" s="20">
        <f t="shared" si="185"/>
        <v>0</v>
      </c>
    </row>
    <row r="3947" spans="1:9">
      <c r="A3947" s="17" t="s">
        <v>1591</v>
      </c>
      <c r="B3947" s="17" t="s">
        <v>1624</v>
      </c>
      <c r="C3947" s="17">
        <v>0</v>
      </c>
      <c r="D3947" s="17" t="s">
        <v>801</v>
      </c>
      <c r="E3947" s="18">
        <v>8058983598498</v>
      </c>
      <c r="G3947" s="20" t="str">
        <f t="shared" si="183"/>
        <v xml:space="preserve"> CANVAS          </v>
      </c>
      <c r="H3947" s="20" t="str">
        <f t="shared" si="184"/>
        <v>PUNRO</v>
      </c>
      <c r="I3947" s="20">
        <f t="shared" si="185"/>
        <v>0</v>
      </c>
    </row>
    <row r="3948" spans="1:9">
      <c r="A3948" s="17" t="s">
        <v>1591</v>
      </c>
      <c r="B3948" s="17" t="s">
        <v>1093</v>
      </c>
      <c r="C3948" s="17">
        <v>0</v>
      </c>
      <c r="D3948" s="17" t="s">
        <v>801</v>
      </c>
      <c r="E3948" s="18">
        <v>3002470462002</v>
      </c>
      <c r="G3948" s="20" t="str">
        <f t="shared" si="183"/>
        <v xml:space="preserve"> CANVAS          </v>
      </c>
      <c r="H3948" s="20" t="str">
        <f t="shared" si="184"/>
        <v>RAIBL</v>
      </c>
      <c r="I3948" s="20">
        <f t="shared" si="185"/>
        <v>0</v>
      </c>
    </row>
    <row r="3949" spans="1:9">
      <c r="A3949" s="17" t="s">
        <v>1591</v>
      </c>
      <c r="B3949" s="17" t="s">
        <v>1093</v>
      </c>
      <c r="C3949" s="17">
        <v>0</v>
      </c>
      <c r="D3949" s="17" t="s">
        <v>801</v>
      </c>
      <c r="E3949" s="18">
        <v>3020410204000</v>
      </c>
      <c r="G3949" s="20" t="str">
        <f t="shared" si="183"/>
        <v xml:space="preserve"> CANVAS          </v>
      </c>
      <c r="H3949" s="20" t="str">
        <f t="shared" si="184"/>
        <v>RAIBL</v>
      </c>
      <c r="I3949" s="20">
        <f t="shared" si="185"/>
        <v>0</v>
      </c>
    </row>
    <row r="3950" spans="1:9">
      <c r="A3950" s="17" t="s">
        <v>1591</v>
      </c>
      <c r="B3950" s="17" t="s">
        <v>1094</v>
      </c>
      <c r="C3950" s="17">
        <v>0</v>
      </c>
      <c r="D3950" s="17" t="s">
        <v>801</v>
      </c>
      <c r="E3950" s="18">
        <v>3020410202006</v>
      </c>
      <c r="G3950" s="20" t="str">
        <f t="shared" si="183"/>
        <v xml:space="preserve"> CANVAS          </v>
      </c>
      <c r="H3950" s="20" t="str">
        <f t="shared" si="184"/>
        <v>RAIRO</v>
      </c>
      <c r="I3950" s="20">
        <f t="shared" si="185"/>
        <v>0</v>
      </c>
    </row>
    <row r="3951" spans="1:9">
      <c r="A3951" s="17" t="s">
        <v>1591</v>
      </c>
      <c r="B3951" s="17" t="s">
        <v>839</v>
      </c>
      <c r="C3951" s="17">
        <v>0</v>
      </c>
      <c r="D3951" s="17" t="s">
        <v>801</v>
      </c>
      <c r="E3951" s="18">
        <v>3002470397007</v>
      </c>
      <c r="G3951" s="20" t="str">
        <f t="shared" si="183"/>
        <v xml:space="preserve"> CANVAS          </v>
      </c>
      <c r="H3951" s="20" t="str">
        <f t="shared" si="184"/>
        <v xml:space="preserve">ROSA </v>
      </c>
      <c r="I3951" s="20">
        <f t="shared" si="185"/>
        <v>0</v>
      </c>
    </row>
    <row r="3952" spans="1:9">
      <c r="A3952" s="17" t="s">
        <v>1591</v>
      </c>
      <c r="B3952" s="17" t="s">
        <v>1411</v>
      </c>
      <c r="C3952" s="17">
        <v>0</v>
      </c>
      <c r="D3952" s="17" t="s">
        <v>801</v>
      </c>
      <c r="E3952" s="18">
        <v>3020410884004</v>
      </c>
      <c r="G3952" s="20" t="str">
        <f t="shared" si="183"/>
        <v xml:space="preserve"> CANVAS          </v>
      </c>
      <c r="H3952" s="20" t="str">
        <f t="shared" si="184"/>
        <v>SWING</v>
      </c>
      <c r="I3952" s="20">
        <f t="shared" si="185"/>
        <v>0</v>
      </c>
    </row>
    <row r="3953" spans="1:9">
      <c r="A3953" s="17" t="s">
        <v>1591</v>
      </c>
      <c r="B3953" s="17" t="s">
        <v>1625</v>
      </c>
      <c r="C3953" s="17">
        <v>0</v>
      </c>
      <c r="D3953" s="17" t="s">
        <v>801</v>
      </c>
      <c r="E3953" s="18">
        <v>3002470623007</v>
      </c>
      <c r="G3953" s="20" t="str">
        <f t="shared" si="183"/>
        <v xml:space="preserve"> CANVAS          </v>
      </c>
      <c r="H3953" s="20" t="str">
        <f t="shared" si="184"/>
        <v>TARTB</v>
      </c>
      <c r="I3953" s="20">
        <f t="shared" si="185"/>
        <v>0</v>
      </c>
    </row>
    <row r="3954" spans="1:9">
      <c r="A3954" s="17" t="s">
        <v>1591</v>
      </c>
      <c r="B3954" s="17" t="s">
        <v>1626</v>
      </c>
      <c r="C3954" s="17">
        <v>0</v>
      </c>
      <c r="D3954" s="17" t="s">
        <v>801</v>
      </c>
      <c r="E3954" s="18">
        <v>3002470627005</v>
      </c>
      <c r="G3954" s="20" t="str">
        <f t="shared" si="183"/>
        <v xml:space="preserve"> CANVAS          </v>
      </c>
      <c r="H3954" s="20" t="str">
        <f t="shared" si="184"/>
        <v>TARTD</v>
      </c>
      <c r="I3954" s="20">
        <f t="shared" si="185"/>
        <v>0</v>
      </c>
    </row>
    <row r="3955" spans="1:9">
      <c r="A3955" s="17" t="s">
        <v>1591</v>
      </c>
      <c r="B3955" s="17" t="s">
        <v>1627</v>
      </c>
      <c r="C3955" s="17">
        <v>0</v>
      </c>
      <c r="D3955" s="17" t="s">
        <v>801</v>
      </c>
      <c r="E3955" s="18">
        <v>3002470626008</v>
      </c>
      <c r="G3955" s="20" t="str">
        <f t="shared" si="183"/>
        <v xml:space="preserve"> CANVAS          </v>
      </c>
      <c r="H3955" s="20" t="str">
        <f t="shared" si="184"/>
        <v>TARTR</v>
      </c>
      <c r="I3955" s="20">
        <f t="shared" si="185"/>
        <v>0</v>
      </c>
    </row>
    <row r="3956" spans="1:9">
      <c r="A3956" s="17" t="s">
        <v>1591</v>
      </c>
      <c r="B3956" s="17" t="s">
        <v>1627</v>
      </c>
      <c r="C3956" s="17">
        <v>0</v>
      </c>
      <c r="D3956" s="17" t="s">
        <v>801</v>
      </c>
      <c r="E3956" s="18">
        <v>8058983590096</v>
      </c>
      <c r="G3956" s="20" t="str">
        <f t="shared" si="183"/>
        <v xml:space="preserve"> CANVAS          </v>
      </c>
      <c r="H3956" s="20" t="str">
        <f t="shared" si="184"/>
        <v>TARTR</v>
      </c>
      <c r="I3956" s="20">
        <f t="shared" si="185"/>
        <v>0</v>
      </c>
    </row>
    <row r="3957" spans="1:9">
      <c r="A3957" s="17" t="s">
        <v>1591</v>
      </c>
      <c r="B3957" s="17" t="s">
        <v>1628</v>
      </c>
      <c r="C3957" s="17">
        <v>0</v>
      </c>
      <c r="D3957" s="17" t="s">
        <v>801</v>
      </c>
      <c r="E3957" s="18">
        <v>3002470628002</v>
      </c>
      <c r="G3957" s="20" t="str">
        <f t="shared" si="183"/>
        <v xml:space="preserve"> CANVAS          </v>
      </c>
      <c r="H3957" s="20" t="str">
        <f t="shared" si="184"/>
        <v>TARTV</v>
      </c>
      <c r="I3957" s="20">
        <f t="shared" si="185"/>
        <v>0</v>
      </c>
    </row>
    <row r="3958" spans="1:9">
      <c r="A3958" s="17" t="s">
        <v>1591</v>
      </c>
      <c r="B3958" s="17" t="s">
        <v>1415</v>
      </c>
      <c r="C3958" s="17">
        <v>0</v>
      </c>
      <c r="D3958" s="17" t="s">
        <v>801</v>
      </c>
      <c r="E3958" s="18">
        <v>3002470760009</v>
      </c>
      <c r="G3958" s="20" t="str">
        <f t="shared" si="183"/>
        <v xml:space="preserve"> CANVAS          </v>
      </c>
      <c r="H3958" s="20" t="str">
        <f t="shared" si="184"/>
        <v>TOUCA</v>
      </c>
      <c r="I3958" s="20">
        <f t="shared" si="185"/>
        <v>0</v>
      </c>
    </row>
    <row r="3959" spans="1:9">
      <c r="A3959" s="17" t="s">
        <v>1591</v>
      </c>
      <c r="B3959" s="17" t="s">
        <v>1167</v>
      </c>
      <c r="C3959" s="17">
        <v>0</v>
      </c>
      <c r="D3959" s="17" t="s">
        <v>801</v>
      </c>
      <c r="E3959" s="18">
        <v>3020410554006</v>
      </c>
      <c r="G3959" s="20" t="str">
        <f t="shared" si="183"/>
        <v xml:space="preserve"> CANVAS          </v>
      </c>
      <c r="H3959" s="20" t="str">
        <f t="shared" si="184"/>
        <v>TWEGR</v>
      </c>
      <c r="I3959" s="20">
        <f t="shared" si="185"/>
        <v>0</v>
      </c>
    </row>
    <row r="3960" spans="1:9">
      <c r="A3960" s="17" t="s">
        <v>1591</v>
      </c>
      <c r="B3960" s="17" t="s">
        <v>1167</v>
      </c>
      <c r="C3960" s="17">
        <v>0</v>
      </c>
      <c r="D3960" s="17" t="s">
        <v>801</v>
      </c>
      <c r="E3960" s="18">
        <v>8058983598351</v>
      </c>
      <c r="G3960" s="20" t="str">
        <f t="shared" si="183"/>
        <v xml:space="preserve"> CANVAS          </v>
      </c>
      <c r="H3960" s="20" t="str">
        <f t="shared" si="184"/>
        <v>TWEGR</v>
      </c>
      <c r="I3960" s="20">
        <f t="shared" si="185"/>
        <v>0</v>
      </c>
    </row>
    <row r="3961" spans="1:9">
      <c r="A3961" s="17" t="s">
        <v>1591</v>
      </c>
      <c r="B3961" s="17" t="s">
        <v>1168</v>
      </c>
      <c r="C3961" s="17">
        <v>0</v>
      </c>
      <c r="D3961" s="17" t="s">
        <v>801</v>
      </c>
      <c r="E3961" s="18">
        <v>3020410555003</v>
      </c>
      <c r="G3961" s="20" t="str">
        <f t="shared" si="183"/>
        <v xml:space="preserve"> CANVAS          </v>
      </c>
      <c r="H3961" s="20" t="str">
        <f t="shared" si="184"/>
        <v>TWENO</v>
      </c>
      <c r="I3961" s="20">
        <f t="shared" si="185"/>
        <v>0</v>
      </c>
    </row>
    <row r="3962" spans="1:9">
      <c r="A3962" s="17" t="s">
        <v>1591</v>
      </c>
      <c r="B3962" s="17" t="s">
        <v>1168</v>
      </c>
      <c r="C3962" s="17">
        <v>0</v>
      </c>
      <c r="D3962" s="17" t="s">
        <v>801</v>
      </c>
      <c r="E3962" s="18">
        <v>8058983598368</v>
      </c>
      <c r="G3962" s="20" t="str">
        <f t="shared" si="183"/>
        <v xml:space="preserve"> CANVAS          </v>
      </c>
      <c r="H3962" s="20" t="str">
        <f t="shared" si="184"/>
        <v>TWENO</v>
      </c>
      <c r="I3962" s="20">
        <f t="shared" si="185"/>
        <v>0</v>
      </c>
    </row>
    <row r="3963" spans="1:9">
      <c r="A3963" s="17" t="s">
        <v>1591</v>
      </c>
      <c r="B3963" s="17" t="s">
        <v>1416</v>
      </c>
      <c r="C3963" s="17">
        <v>0</v>
      </c>
      <c r="D3963" s="17" t="s">
        <v>801</v>
      </c>
      <c r="E3963" s="18">
        <v>3020410153001</v>
      </c>
      <c r="G3963" s="20" t="str">
        <f t="shared" si="183"/>
        <v xml:space="preserve"> CANVAS          </v>
      </c>
      <c r="H3963" s="20" t="str">
        <f t="shared" si="184"/>
        <v>TWILL</v>
      </c>
      <c r="I3963" s="20">
        <f t="shared" si="185"/>
        <v>0</v>
      </c>
    </row>
    <row r="3964" spans="1:9">
      <c r="A3964" s="17" t="s">
        <v>1591</v>
      </c>
      <c r="B3964" s="17" t="s">
        <v>1629</v>
      </c>
      <c r="C3964" s="17">
        <v>0</v>
      </c>
      <c r="D3964" s="17" t="s">
        <v>801</v>
      </c>
      <c r="E3964" s="18">
        <v>3002470428008</v>
      </c>
      <c r="G3964" s="20" t="str">
        <f t="shared" si="183"/>
        <v xml:space="preserve"> CANVAS          </v>
      </c>
      <c r="H3964" s="20" t="str">
        <f t="shared" si="184"/>
        <v xml:space="preserve">VAG  </v>
      </c>
      <c r="I3964" s="20">
        <f t="shared" si="185"/>
        <v>0</v>
      </c>
    </row>
    <row r="3965" spans="1:9">
      <c r="A3965" s="17" t="s">
        <v>1591</v>
      </c>
      <c r="B3965" s="17" t="s">
        <v>1173</v>
      </c>
      <c r="C3965" s="17">
        <v>0</v>
      </c>
      <c r="D3965" s="17" t="s">
        <v>801</v>
      </c>
      <c r="E3965" s="18">
        <v>8050538591275</v>
      </c>
      <c r="G3965" s="20" t="str">
        <f t="shared" si="183"/>
        <v xml:space="preserve"> CANVAS          </v>
      </c>
      <c r="H3965" s="20" t="str">
        <f t="shared" si="184"/>
        <v>VEBLU</v>
      </c>
      <c r="I3965" s="20">
        <f t="shared" si="185"/>
        <v>0</v>
      </c>
    </row>
    <row r="3966" spans="1:9">
      <c r="A3966" s="17" t="s">
        <v>1591</v>
      </c>
      <c r="B3966" s="17" t="s">
        <v>1630</v>
      </c>
      <c r="C3966" s="17">
        <v>0</v>
      </c>
      <c r="D3966" s="17" t="s">
        <v>801</v>
      </c>
      <c r="E3966" s="18">
        <v>8056099178832</v>
      </c>
      <c r="G3966" s="20" t="str">
        <f t="shared" si="183"/>
        <v xml:space="preserve"> CANVAS          </v>
      </c>
      <c r="H3966" s="20" t="str">
        <f t="shared" si="184"/>
        <v>VEGRE</v>
      </c>
      <c r="I3966" s="20">
        <f t="shared" si="185"/>
        <v>0</v>
      </c>
    </row>
    <row r="3967" spans="1:9">
      <c r="A3967" s="17" t="s">
        <v>1591</v>
      </c>
      <c r="B3967" s="17" t="s">
        <v>1496</v>
      </c>
      <c r="C3967" s="17" t="s">
        <v>799</v>
      </c>
      <c r="D3967" s="17" t="s">
        <v>801</v>
      </c>
      <c r="E3967" s="18">
        <v>3020410000008</v>
      </c>
      <c r="G3967" s="20" t="str">
        <f t="shared" si="183"/>
        <v xml:space="preserve"> CANVAS          </v>
      </c>
      <c r="H3967" s="20" t="str">
        <f t="shared" si="184"/>
        <v xml:space="preserve">VEL  </v>
      </c>
      <c r="I3967" s="20" t="str">
        <f t="shared" si="185"/>
        <v xml:space="preserve">     </v>
      </c>
    </row>
    <row r="3968" spans="1:9">
      <c r="A3968" s="17" t="s">
        <v>1591</v>
      </c>
      <c r="B3968" s="17" t="s">
        <v>1496</v>
      </c>
      <c r="C3968" s="17">
        <v>0</v>
      </c>
      <c r="D3968" s="17" t="s">
        <v>801</v>
      </c>
      <c r="E3968" s="18">
        <v>3020410156002</v>
      </c>
      <c r="G3968" s="20" t="str">
        <f t="shared" si="183"/>
        <v xml:space="preserve"> CANVAS          </v>
      </c>
      <c r="H3968" s="20" t="str">
        <f t="shared" si="184"/>
        <v xml:space="preserve">VEL  </v>
      </c>
      <c r="I3968" s="20">
        <f t="shared" si="185"/>
        <v>0</v>
      </c>
    </row>
    <row r="3969" spans="1:9">
      <c r="A3969" s="17" t="s">
        <v>1591</v>
      </c>
      <c r="B3969" s="17" t="s">
        <v>1176</v>
      </c>
      <c r="C3969" s="17">
        <v>0</v>
      </c>
      <c r="D3969" s="17" t="s">
        <v>801</v>
      </c>
      <c r="E3969" s="18">
        <v>3002471522002</v>
      </c>
      <c r="G3969" s="20" t="str">
        <f t="shared" si="183"/>
        <v xml:space="preserve"> CANVAS          </v>
      </c>
      <c r="H3969" s="20" t="str">
        <f t="shared" si="184"/>
        <v>VELBD</v>
      </c>
      <c r="I3969" s="20">
        <f t="shared" si="185"/>
        <v>0</v>
      </c>
    </row>
    <row r="3970" spans="1:9">
      <c r="A3970" s="17" t="s">
        <v>1591</v>
      </c>
      <c r="B3970" s="17" t="s">
        <v>1176</v>
      </c>
      <c r="C3970" s="17">
        <v>0</v>
      </c>
      <c r="D3970" s="17" t="s">
        <v>801</v>
      </c>
      <c r="E3970" s="18">
        <v>8050846012493</v>
      </c>
      <c r="G3970" s="20" t="str">
        <f t="shared" si="183"/>
        <v xml:space="preserve"> CANVAS          </v>
      </c>
      <c r="H3970" s="20" t="str">
        <f t="shared" si="184"/>
        <v>VELBD</v>
      </c>
      <c r="I3970" s="20">
        <f t="shared" si="185"/>
        <v>0</v>
      </c>
    </row>
    <row r="3971" spans="1:9">
      <c r="A3971" s="17" t="s">
        <v>1591</v>
      </c>
      <c r="B3971" s="17" t="s">
        <v>1114</v>
      </c>
      <c r="C3971" s="17">
        <v>0</v>
      </c>
      <c r="D3971" s="17" t="s">
        <v>801</v>
      </c>
      <c r="E3971" s="18">
        <v>3002471059003</v>
      </c>
      <c r="G3971" s="20" t="str">
        <f t="shared" si="183"/>
        <v xml:space="preserve"> CANVAS          </v>
      </c>
      <c r="H3971" s="20" t="str">
        <f t="shared" si="184"/>
        <v>VELBO</v>
      </c>
      <c r="I3971" s="20">
        <f t="shared" si="185"/>
        <v>0</v>
      </c>
    </row>
    <row r="3972" spans="1:9">
      <c r="A3972" s="17" t="s">
        <v>1591</v>
      </c>
      <c r="B3972" s="17" t="s">
        <v>1114</v>
      </c>
      <c r="C3972" s="17">
        <v>0</v>
      </c>
      <c r="D3972" s="17" t="s">
        <v>801</v>
      </c>
      <c r="E3972" s="18">
        <v>8056099173523</v>
      </c>
      <c r="G3972" s="20" t="str">
        <f t="shared" si="183"/>
        <v xml:space="preserve"> CANVAS          </v>
      </c>
      <c r="H3972" s="20" t="str">
        <f t="shared" si="184"/>
        <v>VELBO</v>
      </c>
      <c r="I3972" s="20">
        <f t="shared" si="185"/>
        <v>0</v>
      </c>
    </row>
    <row r="3973" spans="1:9">
      <c r="A3973" s="17" t="s">
        <v>1591</v>
      </c>
      <c r="B3973" s="17" t="s">
        <v>1114</v>
      </c>
      <c r="C3973" s="17">
        <v>0</v>
      </c>
      <c r="D3973" s="17" t="s">
        <v>801</v>
      </c>
      <c r="E3973" s="18">
        <v>3020410795003</v>
      </c>
      <c r="G3973" s="20" t="str">
        <f t="shared" ref="G3973:G4036" si="186">A3973</f>
        <v xml:space="preserve"> CANVAS          </v>
      </c>
      <c r="H3973" s="20" t="str">
        <f t="shared" ref="H3973:H4036" si="187">B3973</f>
        <v>VELBO</v>
      </c>
      <c r="I3973" s="20">
        <f t="shared" ref="I3973:I4036" si="188">C3973</f>
        <v>0</v>
      </c>
    </row>
    <row r="3974" spans="1:9">
      <c r="A3974" s="17" t="s">
        <v>1591</v>
      </c>
      <c r="B3974" s="17" t="s">
        <v>1115</v>
      </c>
      <c r="C3974" s="17">
        <v>0</v>
      </c>
      <c r="D3974" s="17" t="s">
        <v>801</v>
      </c>
      <c r="E3974" s="18">
        <v>3002471060009</v>
      </c>
      <c r="G3974" s="20" t="str">
        <f t="shared" si="186"/>
        <v xml:space="preserve"> CANVAS          </v>
      </c>
      <c r="H3974" s="20" t="str">
        <f t="shared" si="187"/>
        <v>VELNE</v>
      </c>
      <c r="I3974" s="20">
        <f t="shared" si="188"/>
        <v>0</v>
      </c>
    </row>
    <row r="3975" spans="1:9">
      <c r="A3975" s="17" t="s">
        <v>1591</v>
      </c>
      <c r="B3975" s="17" t="s">
        <v>1115</v>
      </c>
      <c r="C3975" s="17">
        <v>0</v>
      </c>
      <c r="D3975" s="17" t="s">
        <v>801</v>
      </c>
      <c r="E3975" s="18">
        <v>8056099173646</v>
      </c>
      <c r="G3975" s="20" t="str">
        <f t="shared" si="186"/>
        <v xml:space="preserve"> CANVAS          </v>
      </c>
      <c r="H3975" s="20" t="str">
        <f t="shared" si="187"/>
        <v>VELNE</v>
      </c>
      <c r="I3975" s="20">
        <f t="shared" si="188"/>
        <v>0</v>
      </c>
    </row>
    <row r="3976" spans="1:9">
      <c r="A3976" s="17" t="s">
        <v>1591</v>
      </c>
      <c r="B3976" s="17" t="s">
        <v>1177</v>
      </c>
      <c r="C3976" s="17">
        <v>0</v>
      </c>
      <c r="D3976" s="17" t="s">
        <v>801</v>
      </c>
      <c r="E3976" s="18">
        <v>3020410796000</v>
      </c>
      <c r="G3976" s="20" t="str">
        <f t="shared" si="186"/>
        <v xml:space="preserve"> CANVAS          </v>
      </c>
      <c r="H3976" s="20" t="str">
        <f t="shared" si="187"/>
        <v>VELNO</v>
      </c>
      <c r="I3976" s="20">
        <f t="shared" si="188"/>
        <v>0</v>
      </c>
    </row>
    <row r="3977" spans="1:9">
      <c r="A3977" s="17" t="s">
        <v>1591</v>
      </c>
      <c r="B3977" s="17" t="s">
        <v>1177</v>
      </c>
      <c r="C3977" s="17">
        <v>0</v>
      </c>
      <c r="D3977" s="17" t="s">
        <v>801</v>
      </c>
      <c r="E3977" s="18">
        <v>8050846012509</v>
      </c>
      <c r="G3977" s="20" t="str">
        <f t="shared" si="186"/>
        <v xml:space="preserve"> CANVAS          </v>
      </c>
      <c r="H3977" s="20" t="str">
        <f t="shared" si="187"/>
        <v>VELNO</v>
      </c>
      <c r="I3977" s="20">
        <f t="shared" si="188"/>
        <v>0</v>
      </c>
    </row>
    <row r="3978" spans="1:9">
      <c r="A3978" s="17" t="s">
        <v>1591</v>
      </c>
      <c r="B3978" s="17" t="s">
        <v>1178</v>
      </c>
      <c r="C3978" s="17">
        <v>0</v>
      </c>
      <c r="D3978" s="17" t="s">
        <v>801</v>
      </c>
      <c r="E3978" s="18">
        <v>8056099178993</v>
      </c>
      <c r="G3978" s="20" t="str">
        <f t="shared" si="186"/>
        <v xml:space="preserve"> CANVAS          </v>
      </c>
      <c r="H3978" s="20" t="str">
        <f t="shared" si="187"/>
        <v>VELPH</v>
      </c>
      <c r="I3978" s="20">
        <f t="shared" si="188"/>
        <v>0</v>
      </c>
    </row>
    <row r="3979" spans="1:9">
      <c r="A3979" s="17" t="s">
        <v>1591</v>
      </c>
      <c r="B3979" s="17" t="s">
        <v>1631</v>
      </c>
      <c r="C3979" s="17">
        <v>0</v>
      </c>
      <c r="D3979" s="17" t="s">
        <v>801</v>
      </c>
      <c r="E3979" s="18">
        <v>8050846020078</v>
      </c>
      <c r="G3979" s="20" t="str">
        <f t="shared" si="186"/>
        <v xml:space="preserve"> CANVAS          </v>
      </c>
      <c r="H3979" s="20" t="str">
        <f t="shared" si="187"/>
        <v>VELRE</v>
      </c>
      <c r="I3979" s="20">
        <f t="shared" si="188"/>
        <v>0</v>
      </c>
    </row>
    <row r="3980" spans="1:9">
      <c r="A3980" s="17" t="s">
        <v>1591</v>
      </c>
      <c r="B3980" s="17" t="s">
        <v>1576</v>
      </c>
      <c r="C3980" s="17">
        <v>0</v>
      </c>
      <c r="D3980" s="17" t="s">
        <v>801</v>
      </c>
      <c r="E3980" s="18">
        <v>3020410797007</v>
      </c>
      <c r="G3980" s="20" t="str">
        <f t="shared" si="186"/>
        <v xml:space="preserve"> CANVAS          </v>
      </c>
      <c r="H3980" s="20" t="str">
        <f t="shared" si="187"/>
        <v>VELRO</v>
      </c>
      <c r="I3980" s="20">
        <f t="shared" si="188"/>
        <v>0</v>
      </c>
    </row>
    <row r="3981" spans="1:9">
      <c r="A3981" s="17" t="s">
        <v>1591</v>
      </c>
      <c r="B3981" s="17" t="s">
        <v>1116</v>
      </c>
      <c r="C3981" s="17">
        <v>0</v>
      </c>
      <c r="D3981" s="17" t="s">
        <v>801</v>
      </c>
      <c r="E3981" s="18">
        <v>3002471061006</v>
      </c>
      <c r="G3981" s="20" t="str">
        <f t="shared" si="186"/>
        <v xml:space="preserve"> CANVAS          </v>
      </c>
      <c r="H3981" s="20" t="str">
        <f t="shared" si="187"/>
        <v>VELSK</v>
      </c>
      <c r="I3981" s="20">
        <f t="shared" si="188"/>
        <v>0</v>
      </c>
    </row>
    <row r="3982" spans="1:9">
      <c r="A3982" s="17" t="s">
        <v>1591</v>
      </c>
      <c r="B3982" s="17" t="s">
        <v>1116</v>
      </c>
      <c r="C3982" s="17">
        <v>0</v>
      </c>
      <c r="D3982" s="17" t="s">
        <v>801</v>
      </c>
      <c r="E3982" s="18">
        <v>8056099173516</v>
      </c>
      <c r="G3982" s="20" t="str">
        <f t="shared" si="186"/>
        <v xml:space="preserve"> CANVAS          </v>
      </c>
      <c r="H3982" s="20" t="str">
        <f t="shared" si="187"/>
        <v>VELSK</v>
      </c>
      <c r="I3982" s="20">
        <f t="shared" si="188"/>
        <v>0</v>
      </c>
    </row>
    <row r="3983" spans="1:9">
      <c r="A3983" s="17" t="s">
        <v>1591</v>
      </c>
      <c r="B3983" s="17" t="s">
        <v>811</v>
      </c>
      <c r="C3983" s="17">
        <v>0</v>
      </c>
      <c r="D3983" s="17" t="s">
        <v>801</v>
      </c>
      <c r="E3983" s="18">
        <v>3002470431008</v>
      </c>
      <c r="G3983" s="20" t="str">
        <f t="shared" si="186"/>
        <v xml:space="preserve"> CANVAS          </v>
      </c>
      <c r="H3983" s="20" t="str">
        <f t="shared" si="187"/>
        <v xml:space="preserve">VERT </v>
      </c>
      <c r="I3983" s="20">
        <f t="shared" si="188"/>
        <v>0</v>
      </c>
    </row>
    <row r="3984" spans="1:9">
      <c r="A3984" s="17" t="s">
        <v>1591</v>
      </c>
      <c r="B3984" s="17" t="s">
        <v>1418</v>
      </c>
      <c r="C3984" s="17">
        <v>0</v>
      </c>
      <c r="D3984" s="17" t="s">
        <v>801</v>
      </c>
      <c r="E3984" s="18">
        <v>3020410152004</v>
      </c>
      <c r="G3984" s="20" t="str">
        <f t="shared" si="186"/>
        <v xml:space="preserve"> CANVAS          </v>
      </c>
      <c r="H3984" s="20" t="str">
        <f t="shared" si="187"/>
        <v xml:space="preserve">VINT </v>
      </c>
      <c r="I3984" s="20">
        <f t="shared" si="188"/>
        <v>0</v>
      </c>
    </row>
    <row r="3985" spans="1:9">
      <c r="A3985" s="17" t="s">
        <v>1591</v>
      </c>
      <c r="B3985" s="17" t="s">
        <v>1024</v>
      </c>
      <c r="C3985" s="17">
        <v>0</v>
      </c>
      <c r="D3985" s="17" t="s">
        <v>801</v>
      </c>
      <c r="E3985" s="18">
        <v>3002470435006</v>
      </c>
      <c r="G3985" s="20" t="str">
        <f t="shared" si="186"/>
        <v xml:space="preserve"> CANVAS          </v>
      </c>
      <c r="H3985" s="20" t="str">
        <f t="shared" si="187"/>
        <v xml:space="preserve">VIOL </v>
      </c>
      <c r="I3985" s="20">
        <f t="shared" si="188"/>
        <v>0</v>
      </c>
    </row>
    <row r="3986" spans="1:9">
      <c r="A3986" s="17" t="s">
        <v>1591</v>
      </c>
      <c r="B3986" s="17" t="s">
        <v>928</v>
      </c>
      <c r="C3986" s="17">
        <v>0</v>
      </c>
      <c r="D3986" s="17" t="s">
        <v>801</v>
      </c>
      <c r="E3986" s="18">
        <v>3020410629001</v>
      </c>
      <c r="G3986" s="20" t="str">
        <f t="shared" si="186"/>
        <v xml:space="preserve"> CANVAS          </v>
      </c>
      <c r="H3986" s="20" t="str">
        <f t="shared" si="187"/>
        <v>WBLUE</v>
      </c>
      <c r="I3986" s="20">
        <f t="shared" si="188"/>
        <v>0</v>
      </c>
    </row>
    <row r="3987" spans="1:9">
      <c r="A3987" s="17" t="s">
        <v>1591</v>
      </c>
      <c r="B3987" s="17" t="s">
        <v>273</v>
      </c>
      <c r="C3987" s="17">
        <v>0</v>
      </c>
      <c r="D3987" s="17" t="s">
        <v>801</v>
      </c>
      <c r="E3987" s="18">
        <v>8051770308812</v>
      </c>
      <c r="G3987" s="20" t="str">
        <f t="shared" si="186"/>
        <v xml:space="preserve"> CANVAS          </v>
      </c>
      <c r="H3987" s="20" t="str">
        <f t="shared" si="187"/>
        <v>WHITE</v>
      </c>
      <c r="I3987" s="20">
        <f t="shared" si="188"/>
        <v>0</v>
      </c>
    </row>
    <row r="3988" spans="1:9">
      <c r="A3988" s="17" t="s">
        <v>1591</v>
      </c>
      <c r="B3988" s="17" t="s">
        <v>273</v>
      </c>
      <c r="C3988" s="17">
        <v>0</v>
      </c>
      <c r="D3988" s="17" t="s">
        <v>801</v>
      </c>
      <c r="E3988" s="18">
        <v>3003200004004</v>
      </c>
      <c r="G3988" s="20" t="str">
        <f t="shared" si="186"/>
        <v xml:space="preserve"> CANVAS          </v>
      </c>
      <c r="H3988" s="20" t="str">
        <f t="shared" si="187"/>
        <v>WHITE</v>
      </c>
      <c r="I3988" s="20">
        <f t="shared" si="188"/>
        <v>0</v>
      </c>
    </row>
    <row r="3989" spans="1:9">
      <c r="A3989" s="17" t="s">
        <v>1632</v>
      </c>
      <c r="B3989" s="17" t="s">
        <v>1633</v>
      </c>
      <c r="C3989" s="17">
        <v>0</v>
      </c>
      <c r="D3989" s="17" t="s">
        <v>801</v>
      </c>
      <c r="E3989" s="18">
        <v>3004540216003</v>
      </c>
      <c r="G3989" s="20" t="str">
        <f t="shared" si="186"/>
        <v xml:space="preserve"> CANVASZIP       </v>
      </c>
      <c r="H3989" s="20" t="str">
        <f t="shared" si="187"/>
        <v>BDENI</v>
      </c>
      <c r="I3989" s="20">
        <f t="shared" si="188"/>
        <v>0</v>
      </c>
    </row>
    <row r="3990" spans="1:9">
      <c r="A3990" s="17" t="s">
        <v>1632</v>
      </c>
      <c r="B3990" s="17" t="s">
        <v>280</v>
      </c>
      <c r="C3990" s="17">
        <v>0</v>
      </c>
      <c r="D3990" s="17" t="s">
        <v>801</v>
      </c>
      <c r="E3990" s="18">
        <v>3003830276000</v>
      </c>
      <c r="G3990" s="20" t="str">
        <f t="shared" si="186"/>
        <v xml:space="preserve"> CANVASZIP       </v>
      </c>
      <c r="H3990" s="20" t="str">
        <f t="shared" si="187"/>
        <v>BLACK</v>
      </c>
      <c r="I3990" s="20">
        <f t="shared" si="188"/>
        <v>0</v>
      </c>
    </row>
    <row r="3991" spans="1:9">
      <c r="A3991" s="17" t="s">
        <v>1632</v>
      </c>
      <c r="B3991" s="17" t="s">
        <v>1634</v>
      </c>
      <c r="C3991" s="17">
        <v>0</v>
      </c>
      <c r="D3991" s="17" t="s">
        <v>801</v>
      </c>
      <c r="E3991" s="18">
        <v>3004540217000</v>
      </c>
      <c r="G3991" s="20" t="str">
        <f t="shared" si="186"/>
        <v xml:space="preserve"> CANVASZIP       </v>
      </c>
      <c r="H3991" s="20" t="str">
        <f t="shared" si="187"/>
        <v>BLDEN</v>
      </c>
      <c r="I3991" s="20">
        <f t="shared" si="188"/>
        <v>0</v>
      </c>
    </row>
    <row r="3992" spans="1:9">
      <c r="A3992" s="17" t="s">
        <v>1632</v>
      </c>
      <c r="B3992" s="17" t="s">
        <v>1084</v>
      </c>
      <c r="C3992" s="17">
        <v>0</v>
      </c>
      <c r="D3992" s="17" t="s">
        <v>801</v>
      </c>
      <c r="E3992" s="18">
        <v>3003830457003</v>
      </c>
      <c r="G3992" s="20" t="str">
        <f t="shared" si="186"/>
        <v xml:space="preserve"> CANVASZIP       </v>
      </c>
      <c r="H3992" s="20" t="str">
        <f t="shared" si="187"/>
        <v xml:space="preserve">DEN  </v>
      </c>
      <c r="I3992" s="20">
        <f t="shared" si="188"/>
        <v>0</v>
      </c>
    </row>
    <row r="3993" spans="1:9">
      <c r="A3993" s="17" t="s">
        <v>1632</v>
      </c>
      <c r="B3993" s="17" t="s">
        <v>859</v>
      </c>
      <c r="C3993" s="17">
        <v>0</v>
      </c>
      <c r="D3993" s="17" t="s">
        <v>801</v>
      </c>
      <c r="E3993" s="18">
        <v>3004540597003</v>
      </c>
      <c r="G3993" s="20" t="str">
        <f t="shared" si="186"/>
        <v xml:space="preserve"> CANVASZIP       </v>
      </c>
      <c r="H3993" s="20" t="str">
        <f t="shared" si="187"/>
        <v>NATUR</v>
      </c>
      <c r="I3993" s="20">
        <f t="shared" si="188"/>
        <v>0</v>
      </c>
    </row>
    <row r="3994" spans="1:9">
      <c r="A3994" s="17" t="s">
        <v>1632</v>
      </c>
      <c r="B3994" s="17" t="s">
        <v>859</v>
      </c>
      <c r="C3994" s="17">
        <v>0</v>
      </c>
      <c r="D3994" s="17" t="s">
        <v>801</v>
      </c>
      <c r="E3994" s="18">
        <v>3003830370005</v>
      </c>
      <c r="G3994" s="20" t="str">
        <f t="shared" si="186"/>
        <v xml:space="preserve"> CANVASZIP       </v>
      </c>
      <c r="H3994" s="20" t="str">
        <f t="shared" si="187"/>
        <v>NATUR</v>
      </c>
      <c r="I3994" s="20">
        <f t="shared" si="188"/>
        <v>0</v>
      </c>
    </row>
    <row r="3995" spans="1:9">
      <c r="A3995" s="17" t="s">
        <v>1635</v>
      </c>
      <c r="B3995" s="17" t="s">
        <v>1145</v>
      </c>
      <c r="C3995" s="17">
        <v>0</v>
      </c>
      <c r="D3995" s="17" t="s">
        <v>801</v>
      </c>
      <c r="E3995" s="18">
        <v>3003650098004</v>
      </c>
      <c r="G3995" s="20" t="str">
        <f t="shared" si="186"/>
        <v xml:space="preserve"> CAPUCHELAPIN    </v>
      </c>
      <c r="H3995" s="20" t="str">
        <f t="shared" si="187"/>
        <v>BEIGE</v>
      </c>
      <c r="I3995" s="20">
        <f t="shared" si="188"/>
        <v>0</v>
      </c>
    </row>
    <row r="3996" spans="1:9">
      <c r="A3996" s="17" t="s">
        <v>1635</v>
      </c>
      <c r="B3996" s="17" t="s">
        <v>280</v>
      </c>
      <c r="C3996" s="17">
        <v>0</v>
      </c>
      <c r="D3996" s="17" t="s">
        <v>801</v>
      </c>
      <c r="E3996" s="18">
        <v>3003650001004</v>
      </c>
      <c r="G3996" s="20" t="str">
        <f t="shared" si="186"/>
        <v xml:space="preserve"> CAPUCHELAPIN    </v>
      </c>
      <c r="H3996" s="20" t="str">
        <f t="shared" si="187"/>
        <v>BLACK</v>
      </c>
      <c r="I3996" s="20">
        <f t="shared" si="188"/>
        <v>0</v>
      </c>
    </row>
    <row r="3997" spans="1:9">
      <c r="A3997" s="17" t="s">
        <v>1635</v>
      </c>
      <c r="B3997" s="17" t="s">
        <v>1472</v>
      </c>
      <c r="C3997" s="17">
        <v>0</v>
      </c>
      <c r="D3997" s="17" t="s">
        <v>801</v>
      </c>
      <c r="E3997" s="18">
        <v>3003650097007</v>
      </c>
      <c r="G3997" s="20" t="str">
        <f t="shared" si="186"/>
        <v xml:space="preserve"> CAPUCHELAPIN    </v>
      </c>
      <c r="H3997" s="20" t="str">
        <f t="shared" si="187"/>
        <v>CAMOU</v>
      </c>
      <c r="I3997" s="20">
        <f t="shared" si="188"/>
        <v>0</v>
      </c>
    </row>
    <row r="3998" spans="1:9">
      <c r="A3998" s="17" t="s">
        <v>1635</v>
      </c>
      <c r="B3998" s="17" t="s">
        <v>891</v>
      </c>
      <c r="C3998" s="17">
        <v>0</v>
      </c>
      <c r="D3998" s="17" t="s">
        <v>801</v>
      </c>
      <c r="E3998" s="18">
        <v>3003650063002</v>
      </c>
      <c r="G3998" s="20" t="str">
        <f t="shared" si="186"/>
        <v xml:space="preserve"> CAPUCHELAPIN    </v>
      </c>
      <c r="H3998" s="20" t="str">
        <f t="shared" si="187"/>
        <v>GREEN</v>
      </c>
      <c r="I3998" s="20">
        <f t="shared" si="188"/>
        <v>0</v>
      </c>
    </row>
    <row r="3999" spans="1:9">
      <c r="A3999" s="17" t="s">
        <v>1635</v>
      </c>
      <c r="B3999" s="17" t="s">
        <v>858</v>
      </c>
      <c r="C3999" s="17">
        <v>0</v>
      </c>
      <c r="D3999" s="17" t="s">
        <v>801</v>
      </c>
      <c r="E3999" s="18">
        <v>3003650003008</v>
      </c>
      <c r="G3999" s="20" t="str">
        <f t="shared" si="186"/>
        <v xml:space="preserve"> CAPUCHELAPIN    </v>
      </c>
      <c r="H3999" s="20" t="str">
        <f t="shared" si="187"/>
        <v xml:space="preserve">GREY </v>
      </c>
      <c r="I3999" s="20">
        <f t="shared" si="188"/>
        <v>0</v>
      </c>
    </row>
    <row r="4000" spans="1:9">
      <c r="A4000" s="17" t="s">
        <v>1635</v>
      </c>
      <c r="B4000" s="17" t="s">
        <v>1636</v>
      </c>
      <c r="C4000" s="17">
        <v>0</v>
      </c>
      <c r="D4000" s="17" t="s">
        <v>801</v>
      </c>
      <c r="E4000" s="18">
        <v>3003650072004</v>
      </c>
      <c r="G4000" s="20" t="str">
        <f t="shared" si="186"/>
        <v xml:space="preserve"> CAPUCHELAPIN    </v>
      </c>
      <c r="H4000" s="20" t="str">
        <f t="shared" si="187"/>
        <v xml:space="preserve">SPOT </v>
      </c>
      <c r="I4000" s="20">
        <f t="shared" si="188"/>
        <v>0</v>
      </c>
    </row>
    <row r="4001" spans="1:9">
      <c r="A4001" s="17" t="s">
        <v>1637</v>
      </c>
      <c r="B4001" s="17" t="s">
        <v>853</v>
      </c>
      <c r="C4001" s="17">
        <v>0</v>
      </c>
      <c r="D4001" s="17" t="s">
        <v>801</v>
      </c>
      <c r="E4001" s="18">
        <v>3004830255002</v>
      </c>
      <c r="G4001" s="20" t="str">
        <f t="shared" si="186"/>
        <v xml:space="preserve"> CHAINE          </v>
      </c>
      <c r="H4001" s="20" t="str">
        <f t="shared" si="187"/>
        <v>BRONZ</v>
      </c>
      <c r="I4001" s="20">
        <f t="shared" si="188"/>
        <v>0</v>
      </c>
    </row>
    <row r="4002" spans="1:9">
      <c r="A4002" s="17" t="s">
        <v>1637</v>
      </c>
      <c r="B4002" s="17" t="s">
        <v>853</v>
      </c>
      <c r="C4002" s="17">
        <v>0</v>
      </c>
      <c r="D4002" s="17" t="s">
        <v>801</v>
      </c>
      <c r="E4002" s="18">
        <v>8050450211282</v>
      </c>
      <c r="G4002" s="20" t="str">
        <f t="shared" si="186"/>
        <v xml:space="preserve"> CHAINE          </v>
      </c>
      <c r="H4002" s="20" t="str">
        <f t="shared" si="187"/>
        <v>BRONZ</v>
      </c>
      <c r="I4002" s="20">
        <f t="shared" si="188"/>
        <v>0</v>
      </c>
    </row>
    <row r="4003" spans="1:9">
      <c r="A4003" s="17" t="s">
        <v>1637</v>
      </c>
      <c r="B4003" s="17" t="s">
        <v>1638</v>
      </c>
      <c r="C4003" s="17">
        <v>0</v>
      </c>
      <c r="D4003" s="17" t="s">
        <v>801</v>
      </c>
      <c r="E4003" s="18">
        <v>8058983597040</v>
      </c>
      <c r="G4003" s="20" t="str">
        <f t="shared" si="186"/>
        <v xml:space="preserve"> CHAINE          </v>
      </c>
      <c r="H4003" s="20" t="str">
        <f t="shared" si="187"/>
        <v>CANNA</v>
      </c>
      <c r="I4003" s="20">
        <f t="shared" si="188"/>
        <v>0</v>
      </c>
    </row>
    <row r="4004" spans="1:9">
      <c r="A4004" s="17" t="s">
        <v>1637</v>
      </c>
      <c r="B4004" s="17" t="s">
        <v>1638</v>
      </c>
      <c r="C4004" s="17">
        <v>0</v>
      </c>
      <c r="D4004" s="17" t="s">
        <v>801</v>
      </c>
      <c r="E4004" s="18">
        <v>3004830543000</v>
      </c>
      <c r="G4004" s="20" t="str">
        <f t="shared" si="186"/>
        <v xml:space="preserve"> CHAINE          </v>
      </c>
      <c r="H4004" s="20" t="str">
        <f t="shared" si="187"/>
        <v>CANNA</v>
      </c>
      <c r="I4004" s="20">
        <f t="shared" si="188"/>
        <v>0</v>
      </c>
    </row>
    <row r="4005" spans="1:9">
      <c r="A4005" s="17" t="s">
        <v>1637</v>
      </c>
      <c r="B4005" s="17" t="s">
        <v>890</v>
      </c>
      <c r="C4005" s="17">
        <v>0</v>
      </c>
      <c r="D4005" s="17" t="s">
        <v>801</v>
      </c>
      <c r="E4005" s="18">
        <v>3004830522005</v>
      </c>
      <c r="G4005" s="20" t="str">
        <f t="shared" si="186"/>
        <v xml:space="preserve"> CHAINE          </v>
      </c>
      <c r="H4005" s="20" t="str">
        <f t="shared" si="187"/>
        <v xml:space="preserve">GOLD </v>
      </c>
      <c r="I4005" s="20">
        <f t="shared" si="188"/>
        <v>0</v>
      </c>
    </row>
    <row r="4006" spans="1:9">
      <c r="A4006" s="17" t="s">
        <v>1637</v>
      </c>
      <c r="B4006" s="17" t="s">
        <v>890</v>
      </c>
      <c r="C4006" s="17">
        <v>0</v>
      </c>
      <c r="D4006" s="17" t="s">
        <v>801</v>
      </c>
      <c r="E4006" s="18">
        <v>8050450211275</v>
      </c>
      <c r="G4006" s="20" t="str">
        <f t="shared" si="186"/>
        <v xml:space="preserve"> CHAINE          </v>
      </c>
      <c r="H4006" s="20" t="str">
        <f t="shared" si="187"/>
        <v xml:space="preserve">GOLD </v>
      </c>
      <c r="I4006" s="20">
        <f t="shared" si="188"/>
        <v>0</v>
      </c>
    </row>
    <row r="4007" spans="1:9">
      <c r="A4007" s="17" t="s">
        <v>1637</v>
      </c>
      <c r="B4007" s="17" t="s">
        <v>855</v>
      </c>
      <c r="C4007" s="17">
        <v>0</v>
      </c>
      <c r="D4007" s="17" t="s">
        <v>801</v>
      </c>
      <c r="E4007" s="18">
        <v>3004830617008</v>
      </c>
      <c r="G4007" s="20" t="str">
        <f t="shared" si="186"/>
        <v xml:space="preserve"> CHAINE          </v>
      </c>
      <c r="H4007" s="20" t="str">
        <f t="shared" si="187"/>
        <v>SILVE</v>
      </c>
      <c r="I4007" s="20">
        <f t="shared" si="188"/>
        <v>0</v>
      </c>
    </row>
    <row r="4008" spans="1:9">
      <c r="A4008" s="17" t="s">
        <v>1637</v>
      </c>
      <c r="B4008" s="17" t="s">
        <v>855</v>
      </c>
      <c r="C4008" s="17">
        <v>0</v>
      </c>
      <c r="D4008" s="17" t="s">
        <v>801</v>
      </c>
      <c r="E4008" s="18">
        <v>8050450211268</v>
      </c>
      <c r="G4008" s="20" t="str">
        <f t="shared" si="186"/>
        <v xml:space="preserve"> CHAINE          </v>
      </c>
      <c r="H4008" s="20" t="str">
        <f t="shared" si="187"/>
        <v>SILVE</v>
      </c>
      <c r="I4008" s="20">
        <f t="shared" si="188"/>
        <v>0</v>
      </c>
    </row>
    <row r="4009" spans="1:9">
      <c r="A4009" s="17" t="s">
        <v>1639</v>
      </c>
      <c r="B4009" s="17" t="s">
        <v>1640</v>
      </c>
      <c r="C4009" s="17">
        <v>0</v>
      </c>
      <c r="D4009" s="17" t="s">
        <v>801</v>
      </c>
      <c r="E4009" s="18">
        <v>3004430786005</v>
      </c>
      <c r="G4009" s="20" t="str">
        <f t="shared" si="186"/>
        <v xml:space="preserve"> CHARM           </v>
      </c>
      <c r="H4009" s="20" t="str">
        <f t="shared" si="187"/>
        <v>ANIMA</v>
      </c>
      <c r="I4009" s="20">
        <f t="shared" si="188"/>
        <v>0</v>
      </c>
    </row>
    <row r="4010" spans="1:9">
      <c r="A4010" s="17" t="s">
        <v>1639</v>
      </c>
      <c r="B4010" s="17" t="s">
        <v>1641</v>
      </c>
      <c r="C4010" s="17">
        <v>0</v>
      </c>
      <c r="D4010" s="17" t="s">
        <v>801</v>
      </c>
      <c r="E4010" s="18">
        <v>3004430721006</v>
      </c>
      <c r="G4010" s="20" t="str">
        <f t="shared" si="186"/>
        <v xml:space="preserve"> CHARM           </v>
      </c>
      <c r="H4010" s="20" t="str">
        <f t="shared" si="187"/>
        <v>BOLLE</v>
      </c>
      <c r="I4010" s="20">
        <f t="shared" si="188"/>
        <v>0</v>
      </c>
    </row>
    <row r="4011" spans="1:9">
      <c r="A4011" s="17" t="s">
        <v>1639</v>
      </c>
      <c r="B4011" s="17" t="s">
        <v>1642</v>
      </c>
      <c r="C4011" s="17">
        <v>0</v>
      </c>
      <c r="D4011" s="17" t="s">
        <v>801</v>
      </c>
      <c r="E4011" s="18">
        <v>3004430720009</v>
      </c>
      <c r="G4011" s="20" t="str">
        <f t="shared" si="186"/>
        <v xml:space="preserve"> CHARM           </v>
      </c>
      <c r="H4011" s="20" t="str">
        <f t="shared" si="187"/>
        <v>FIORI</v>
      </c>
      <c r="I4011" s="20">
        <f t="shared" si="188"/>
        <v>0</v>
      </c>
    </row>
    <row r="4012" spans="1:9">
      <c r="A4012" s="17" t="s">
        <v>1639</v>
      </c>
      <c r="B4012" s="17" t="s">
        <v>1277</v>
      </c>
      <c r="C4012" s="17">
        <v>0</v>
      </c>
      <c r="D4012" s="17" t="s">
        <v>801</v>
      </c>
      <c r="E4012" s="18">
        <v>3004430718006</v>
      </c>
      <c r="G4012" s="20" t="str">
        <f t="shared" si="186"/>
        <v xml:space="preserve"> CHARM           </v>
      </c>
      <c r="H4012" s="20" t="str">
        <f t="shared" si="187"/>
        <v>FOULA</v>
      </c>
      <c r="I4012" s="20">
        <f t="shared" si="188"/>
        <v>0</v>
      </c>
    </row>
    <row r="4013" spans="1:9">
      <c r="A4013" s="17" t="s">
        <v>1639</v>
      </c>
      <c r="B4013" s="17" t="s">
        <v>1643</v>
      </c>
      <c r="C4013" s="17">
        <v>0</v>
      </c>
      <c r="D4013" s="17" t="s">
        <v>801</v>
      </c>
      <c r="E4013" s="18">
        <v>3004430719003</v>
      </c>
      <c r="G4013" s="20" t="str">
        <f t="shared" si="186"/>
        <v xml:space="preserve"> CHARM           </v>
      </c>
      <c r="H4013" s="20" t="str">
        <f t="shared" si="187"/>
        <v>FRUTT</v>
      </c>
      <c r="I4013" s="20">
        <f t="shared" si="188"/>
        <v>0</v>
      </c>
    </row>
    <row r="4014" spans="1:9">
      <c r="A4014" s="17" t="s">
        <v>1639</v>
      </c>
      <c r="B4014" s="17" t="s">
        <v>890</v>
      </c>
      <c r="C4014" s="17">
        <v>0</v>
      </c>
      <c r="D4014" s="17" t="s">
        <v>801</v>
      </c>
      <c r="E4014" s="18">
        <v>8058983591987</v>
      </c>
      <c r="G4014" s="20" t="str">
        <f t="shared" si="186"/>
        <v xml:space="preserve"> CHARM           </v>
      </c>
      <c r="H4014" s="20" t="str">
        <f t="shared" si="187"/>
        <v xml:space="preserve">GOLD </v>
      </c>
      <c r="I4014" s="20">
        <f t="shared" si="188"/>
        <v>0</v>
      </c>
    </row>
    <row r="4015" spans="1:9">
      <c r="A4015" s="17" t="s">
        <v>1639</v>
      </c>
      <c r="B4015" s="17" t="s">
        <v>890</v>
      </c>
      <c r="C4015" s="17">
        <v>0</v>
      </c>
      <c r="D4015" s="17" t="s">
        <v>801</v>
      </c>
      <c r="E4015" s="18">
        <v>3005080522005</v>
      </c>
      <c r="G4015" s="20" t="str">
        <f t="shared" si="186"/>
        <v xml:space="preserve"> CHARM           </v>
      </c>
      <c r="H4015" s="20" t="str">
        <f t="shared" si="187"/>
        <v xml:space="preserve">GOLD </v>
      </c>
      <c r="I4015" s="20">
        <f t="shared" si="188"/>
        <v>0</v>
      </c>
    </row>
    <row r="4016" spans="1:9">
      <c r="A4016" s="17" t="s">
        <v>1639</v>
      </c>
      <c r="B4016" s="17" t="s">
        <v>855</v>
      </c>
      <c r="C4016" s="17">
        <v>0</v>
      </c>
      <c r="D4016" s="17" t="s">
        <v>801</v>
      </c>
      <c r="E4016" s="18">
        <v>8058983591994</v>
      </c>
      <c r="G4016" s="20" t="str">
        <f t="shared" si="186"/>
        <v xml:space="preserve"> CHARM           </v>
      </c>
      <c r="H4016" s="20" t="str">
        <f t="shared" si="187"/>
        <v>SILVE</v>
      </c>
      <c r="I4016" s="20">
        <f t="shared" si="188"/>
        <v>0</v>
      </c>
    </row>
    <row r="4017" spans="1:9">
      <c r="A4017" s="17" t="s">
        <v>1639</v>
      </c>
      <c r="B4017" s="17" t="s">
        <v>855</v>
      </c>
      <c r="C4017" s="17">
        <v>0</v>
      </c>
      <c r="D4017" s="17" t="s">
        <v>801</v>
      </c>
      <c r="E4017" s="18">
        <v>3005080617008</v>
      </c>
      <c r="G4017" s="20" t="str">
        <f t="shared" si="186"/>
        <v xml:space="preserve"> CHARM           </v>
      </c>
      <c r="H4017" s="20" t="str">
        <f t="shared" si="187"/>
        <v>SILVE</v>
      </c>
      <c r="I4017" s="20">
        <f t="shared" si="188"/>
        <v>0</v>
      </c>
    </row>
    <row r="4018" spans="1:9">
      <c r="A4018" s="17" t="s">
        <v>1644</v>
      </c>
      <c r="B4018" s="17" t="s">
        <v>819</v>
      </c>
      <c r="C4018" s="17">
        <v>0</v>
      </c>
      <c r="D4018" s="17" t="s">
        <v>801</v>
      </c>
      <c r="E4018" s="18">
        <v>3005090570003</v>
      </c>
      <c r="G4018" s="20" t="str">
        <f t="shared" si="186"/>
        <v xml:space="preserve"> CHARMCERCLE     </v>
      </c>
      <c r="H4018" s="20" t="str">
        <f t="shared" si="187"/>
        <v xml:space="preserve">DOVE </v>
      </c>
      <c r="I4018" s="20">
        <f t="shared" si="188"/>
        <v>0</v>
      </c>
    </row>
    <row r="4019" spans="1:9">
      <c r="A4019" s="17" t="s">
        <v>1644</v>
      </c>
      <c r="B4019" s="17" t="s">
        <v>1645</v>
      </c>
      <c r="C4019" s="17">
        <v>0</v>
      </c>
      <c r="D4019" s="17" t="s">
        <v>801</v>
      </c>
      <c r="E4019" s="18">
        <v>3004440698008</v>
      </c>
      <c r="G4019" s="20" t="str">
        <f t="shared" si="186"/>
        <v xml:space="preserve"> CHARMCERCLE     </v>
      </c>
      <c r="H4019" s="20" t="str">
        <f t="shared" si="187"/>
        <v>ETNSA</v>
      </c>
      <c r="I4019" s="20">
        <f t="shared" si="188"/>
        <v>0</v>
      </c>
    </row>
    <row r="4020" spans="1:9">
      <c r="A4020" s="17" t="s">
        <v>1644</v>
      </c>
      <c r="B4020" s="17" t="s">
        <v>1646</v>
      </c>
      <c r="C4020" s="17">
        <v>0</v>
      </c>
      <c r="D4020" s="17" t="s">
        <v>801</v>
      </c>
      <c r="E4020" s="18">
        <v>3004440699005</v>
      </c>
      <c r="G4020" s="20" t="str">
        <f t="shared" si="186"/>
        <v xml:space="preserve"> CHARMCERCLE     </v>
      </c>
      <c r="H4020" s="20" t="str">
        <f t="shared" si="187"/>
        <v>ETNVE</v>
      </c>
      <c r="I4020" s="20">
        <f t="shared" si="188"/>
        <v>0</v>
      </c>
    </row>
    <row r="4021" spans="1:9">
      <c r="A4021" s="17" t="s">
        <v>1644</v>
      </c>
      <c r="B4021" s="17" t="s">
        <v>833</v>
      </c>
      <c r="C4021" s="17">
        <v>0</v>
      </c>
      <c r="D4021" s="17" t="s">
        <v>801</v>
      </c>
      <c r="E4021" s="18">
        <v>3004440700008</v>
      </c>
      <c r="G4021" s="20" t="str">
        <f t="shared" si="186"/>
        <v xml:space="preserve"> CHARMCERCLE     </v>
      </c>
      <c r="H4021" s="20" t="str">
        <f t="shared" si="187"/>
        <v>FLACQ</v>
      </c>
      <c r="I4021" s="20">
        <f t="shared" si="188"/>
        <v>0</v>
      </c>
    </row>
    <row r="4022" spans="1:9">
      <c r="A4022" s="17" t="s">
        <v>1644</v>
      </c>
      <c r="B4022" s="17" t="s">
        <v>891</v>
      </c>
      <c r="C4022" s="17">
        <v>0</v>
      </c>
      <c r="D4022" s="17" t="s">
        <v>801</v>
      </c>
      <c r="E4022" s="18">
        <v>3005090581009</v>
      </c>
      <c r="G4022" s="20" t="str">
        <f t="shared" si="186"/>
        <v xml:space="preserve"> CHARMCERCLE     </v>
      </c>
      <c r="H4022" s="20" t="str">
        <f t="shared" si="187"/>
        <v>GREEN</v>
      </c>
      <c r="I4022" s="20">
        <f t="shared" si="188"/>
        <v>0</v>
      </c>
    </row>
    <row r="4023" spans="1:9">
      <c r="A4023" s="17" t="s">
        <v>1644</v>
      </c>
      <c r="B4023" s="17" t="s">
        <v>858</v>
      </c>
      <c r="C4023" s="17">
        <v>0</v>
      </c>
      <c r="D4023" s="17" t="s">
        <v>801</v>
      </c>
      <c r="E4023" s="18">
        <v>3005090002009</v>
      </c>
      <c r="G4023" s="20" t="str">
        <f t="shared" si="186"/>
        <v xml:space="preserve"> CHARMCERCLE     </v>
      </c>
      <c r="H4023" s="20" t="str">
        <f t="shared" si="187"/>
        <v xml:space="preserve">GREY </v>
      </c>
      <c r="I4023" s="20">
        <f t="shared" si="188"/>
        <v>0</v>
      </c>
    </row>
    <row r="4024" spans="1:9">
      <c r="A4024" s="17" t="s">
        <v>1644</v>
      </c>
      <c r="B4024" s="17" t="s">
        <v>1484</v>
      </c>
      <c r="C4024" s="17">
        <v>0</v>
      </c>
      <c r="D4024" s="17" t="s">
        <v>801</v>
      </c>
      <c r="E4024" s="18">
        <v>3004440696004</v>
      </c>
      <c r="G4024" s="20" t="str">
        <f t="shared" si="186"/>
        <v xml:space="preserve"> CHARMCERCLE     </v>
      </c>
      <c r="H4024" s="20" t="str">
        <f t="shared" si="187"/>
        <v>MAIBL</v>
      </c>
      <c r="I4024" s="20">
        <f t="shared" si="188"/>
        <v>0</v>
      </c>
    </row>
    <row r="4025" spans="1:9">
      <c r="A4025" s="17" t="s">
        <v>1644</v>
      </c>
      <c r="B4025" s="17" t="s">
        <v>1485</v>
      </c>
      <c r="C4025" s="17">
        <v>0</v>
      </c>
      <c r="D4025" s="17" t="s">
        <v>801</v>
      </c>
      <c r="E4025" s="18">
        <v>3004440697001</v>
      </c>
      <c r="G4025" s="20" t="str">
        <f t="shared" si="186"/>
        <v xml:space="preserve"> CHARMCERCLE     </v>
      </c>
      <c r="H4025" s="20" t="str">
        <f t="shared" si="187"/>
        <v>MAIGR</v>
      </c>
      <c r="I4025" s="20">
        <f t="shared" si="188"/>
        <v>0</v>
      </c>
    </row>
    <row r="4026" spans="1:9">
      <c r="A4026" s="17" t="s">
        <v>1644</v>
      </c>
      <c r="B4026" s="17" t="s">
        <v>1057</v>
      </c>
      <c r="C4026" s="17">
        <v>0</v>
      </c>
      <c r="D4026" s="17" t="s">
        <v>801</v>
      </c>
      <c r="E4026" s="18">
        <v>3005091007003</v>
      </c>
      <c r="G4026" s="20" t="str">
        <f t="shared" si="186"/>
        <v xml:space="preserve"> CHARMCERCLE     </v>
      </c>
      <c r="H4026" s="20" t="str">
        <f t="shared" si="187"/>
        <v xml:space="preserve">MAR  </v>
      </c>
      <c r="I4026" s="20">
        <f t="shared" si="188"/>
        <v>0</v>
      </c>
    </row>
    <row r="4027" spans="1:9">
      <c r="A4027" s="17" t="s">
        <v>1644</v>
      </c>
      <c r="B4027" s="17" t="s">
        <v>1024</v>
      </c>
      <c r="C4027" s="17">
        <v>0</v>
      </c>
      <c r="D4027" s="17" t="s">
        <v>801</v>
      </c>
      <c r="E4027" s="18">
        <v>3005090628001</v>
      </c>
      <c r="G4027" s="20" t="str">
        <f t="shared" si="186"/>
        <v xml:space="preserve"> CHARMCERCLE     </v>
      </c>
      <c r="H4027" s="20" t="str">
        <f t="shared" si="187"/>
        <v xml:space="preserve">VIOL </v>
      </c>
      <c r="I4027" s="20">
        <f t="shared" si="188"/>
        <v>0</v>
      </c>
    </row>
    <row r="4028" spans="1:9">
      <c r="A4028" s="17" t="s">
        <v>1647</v>
      </c>
      <c r="B4028" s="17" t="s">
        <v>879</v>
      </c>
      <c r="C4028" s="17">
        <v>0</v>
      </c>
      <c r="D4028" s="17" t="s">
        <v>801</v>
      </c>
      <c r="E4028" s="18">
        <v>3005110181004</v>
      </c>
      <c r="G4028" s="20" t="str">
        <f t="shared" si="186"/>
        <v xml:space="preserve"> CHARMPOMPON     </v>
      </c>
      <c r="H4028" s="20" t="str">
        <f t="shared" si="187"/>
        <v xml:space="preserve">AZUR </v>
      </c>
      <c r="I4028" s="20">
        <f t="shared" si="188"/>
        <v>0</v>
      </c>
    </row>
    <row r="4029" spans="1:9">
      <c r="A4029" s="17" t="s">
        <v>1647</v>
      </c>
      <c r="B4029" s="17" t="s">
        <v>280</v>
      </c>
      <c r="C4029" s="17">
        <v>0</v>
      </c>
      <c r="D4029" s="17" t="s">
        <v>801</v>
      </c>
      <c r="E4029" s="18">
        <v>3005110004006</v>
      </c>
      <c r="G4029" s="20" t="str">
        <f t="shared" si="186"/>
        <v xml:space="preserve"> CHARMPOMPON     </v>
      </c>
      <c r="H4029" s="20" t="str">
        <f t="shared" si="187"/>
        <v>BLACK</v>
      </c>
      <c r="I4029" s="20">
        <f t="shared" si="188"/>
        <v>0</v>
      </c>
    </row>
    <row r="4030" spans="1:9">
      <c r="A4030" s="17" t="s">
        <v>1647</v>
      </c>
      <c r="B4030" s="17" t="s">
        <v>810</v>
      </c>
      <c r="C4030" s="17">
        <v>0</v>
      </c>
      <c r="D4030" s="17" t="s">
        <v>801</v>
      </c>
      <c r="E4030" s="18">
        <v>3004450284000</v>
      </c>
      <c r="G4030" s="20" t="str">
        <f t="shared" si="186"/>
        <v xml:space="preserve"> CHARMPOMPON     </v>
      </c>
      <c r="H4030" s="20" t="str">
        <f t="shared" si="187"/>
        <v xml:space="preserve">BLUE </v>
      </c>
      <c r="I4030" s="20">
        <f t="shared" si="188"/>
        <v>0</v>
      </c>
    </row>
    <row r="4031" spans="1:9">
      <c r="A4031" s="17" t="s">
        <v>1647</v>
      </c>
      <c r="B4031" s="17" t="s">
        <v>891</v>
      </c>
      <c r="C4031" s="17">
        <v>0</v>
      </c>
      <c r="D4031" s="17" t="s">
        <v>801</v>
      </c>
      <c r="E4031" s="18">
        <v>3004450340003</v>
      </c>
      <c r="G4031" s="20" t="str">
        <f t="shared" si="186"/>
        <v xml:space="preserve"> CHARMPOMPON     </v>
      </c>
      <c r="H4031" s="20" t="str">
        <f t="shared" si="187"/>
        <v>GREEN</v>
      </c>
      <c r="I4031" s="20">
        <f t="shared" si="188"/>
        <v>0</v>
      </c>
    </row>
    <row r="4032" spans="1:9">
      <c r="A4032" s="17" t="s">
        <v>1647</v>
      </c>
      <c r="B4032" s="17" t="s">
        <v>1057</v>
      </c>
      <c r="C4032" s="17">
        <v>0</v>
      </c>
      <c r="D4032" s="17" t="s">
        <v>801</v>
      </c>
      <c r="E4032" s="18">
        <v>3005111007006</v>
      </c>
      <c r="G4032" s="20" t="str">
        <f t="shared" si="186"/>
        <v xml:space="preserve"> CHARMPOMPON     </v>
      </c>
      <c r="H4032" s="20" t="str">
        <f t="shared" si="187"/>
        <v xml:space="preserve">MAR  </v>
      </c>
      <c r="I4032" s="20">
        <f t="shared" si="188"/>
        <v>0</v>
      </c>
    </row>
    <row r="4033" spans="1:9">
      <c r="A4033" s="17" t="s">
        <v>1647</v>
      </c>
      <c r="B4033" s="17" t="s">
        <v>1105</v>
      </c>
      <c r="C4033" s="17">
        <v>0</v>
      </c>
      <c r="D4033" s="17" t="s">
        <v>801</v>
      </c>
      <c r="E4033" s="18">
        <v>3005110667003</v>
      </c>
      <c r="G4033" s="20" t="str">
        <f t="shared" si="186"/>
        <v xml:space="preserve"> CHARMPOMPON     </v>
      </c>
      <c r="H4033" s="20" t="str">
        <f t="shared" si="187"/>
        <v>MARSA</v>
      </c>
      <c r="I4033" s="20">
        <f t="shared" si="188"/>
        <v>0</v>
      </c>
    </row>
    <row r="4034" spans="1:9">
      <c r="A4034" s="17" t="s">
        <v>1647</v>
      </c>
      <c r="B4034" s="17" t="s">
        <v>839</v>
      </c>
      <c r="C4034" s="17">
        <v>0</v>
      </c>
      <c r="D4034" s="17" t="s">
        <v>801</v>
      </c>
      <c r="E4034" s="18">
        <v>3004450397007</v>
      </c>
      <c r="G4034" s="20" t="str">
        <f t="shared" si="186"/>
        <v xml:space="preserve"> CHARMPOMPON     </v>
      </c>
      <c r="H4034" s="20" t="str">
        <f t="shared" si="187"/>
        <v xml:space="preserve">ROSA </v>
      </c>
      <c r="I4034" s="20">
        <f t="shared" si="188"/>
        <v>0</v>
      </c>
    </row>
    <row r="4035" spans="1:9">
      <c r="A4035" s="17" t="s">
        <v>1647</v>
      </c>
      <c r="B4035" s="17" t="s">
        <v>1648</v>
      </c>
      <c r="C4035" s="17">
        <v>0</v>
      </c>
      <c r="D4035" s="17" t="s">
        <v>801</v>
      </c>
      <c r="E4035" s="18">
        <v>3005111152003</v>
      </c>
      <c r="G4035" s="20" t="str">
        <f t="shared" si="186"/>
        <v xml:space="preserve"> CHARMPOMPON     </v>
      </c>
      <c r="H4035" s="20" t="str">
        <f t="shared" si="187"/>
        <v xml:space="preserve">TAU  </v>
      </c>
      <c r="I4035" s="20">
        <f t="shared" si="188"/>
        <v>0</v>
      </c>
    </row>
    <row r="4036" spans="1:9">
      <c r="A4036" s="17" t="s">
        <v>1647</v>
      </c>
      <c r="B4036" s="17" t="s">
        <v>1024</v>
      </c>
      <c r="C4036" s="17">
        <v>0</v>
      </c>
      <c r="D4036" s="17" t="s">
        <v>801</v>
      </c>
      <c r="E4036" s="18">
        <v>3004450435006</v>
      </c>
      <c r="G4036" s="20" t="str">
        <f t="shared" si="186"/>
        <v xml:space="preserve"> CHARMPOMPON     </v>
      </c>
      <c r="H4036" s="20" t="str">
        <f t="shared" si="187"/>
        <v xml:space="preserve">VIOL </v>
      </c>
      <c r="I4036" s="20">
        <f t="shared" si="188"/>
        <v>0</v>
      </c>
    </row>
    <row r="4037" spans="1:9">
      <c r="A4037" s="17" t="s">
        <v>1649</v>
      </c>
      <c r="B4037" s="17" t="s">
        <v>280</v>
      </c>
      <c r="C4037" s="17">
        <v>0</v>
      </c>
      <c r="D4037" s="17" t="s">
        <v>801</v>
      </c>
      <c r="E4037" s="18">
        <v>3004750004001</v>
      </c>
      <c r="G4037" s="20" t="str">
        <f t="shared" ref="G4037:G4100" si="189">A4037</f>
        <v xml:space="preserve"> CHEVRE          </v>
      </c>
      <c r="H4037" s="20" t="str">
        <f t="shared" ref="H4037:H4100" si="190">B4037</f>
        <v>BLACK</v>
      </c>
      <c r="I4037" s="20">
        <f t="shared" ref="I4037:I4100" si="191">C4037</f>
        <v>0</v>
      </c>
    </row>
    <row r="4038" spans="1:9">
      <c r="A4038" s="17" t="s">
        <v>1649</v>
      </c>
      <c r="B4038" s="17" t="s">
        <v>1239</v>
      </c>
      <c r="C4038" s="17">
        <v>0</v>
      </c>
      <c r="D4038" s="17" t="s">
        <v>801</v>
      </c>
      <c r="E4038" s="18">
        <v>3004750337000</v>
      </c>
      <c r="G4038" s="20" t="str">
        <f t="shared" si="189"/>
        <v xml:space="preserve"> CHEVRE          </v>
      </c>
      <c r="H4038" s="20" t="str">
        <f t="shared" si="190"/>
        <v xml:space="preserve">SAND </v>
      </c>
      <c r="I4038" s="20">
        <f t="shared" si="191"/>
        <v>0</v>
      </c>
    </row>
    <row r="4039" spans="1:9">
      <c r="A4039" s="17" t="s">
        <v>1649</v>
      </c>
      <c r="B4039" s="17" t="s">
        <v>273</v>
      </c>
      <c r="C4039" s="17">
        <v>0</v>
      </c>
      <c r="D4039" s="17" t="s">
        <v>801</v>
      </c>
      <c r="E4039" s="18">
        <v>3004750005008</v>
      </c>
      <c r="G4039" s="20" t="str">
        <f t="shared" si="189"/>
        <v xml:space="preserve"> CHEVRE          </v>
      </c>
      <c r="H4039" s="20" t="str">
        <f t="shared" si="190"/>
        <v>WHITE</v>
      </c>
      <c r="I4039" s="20">
        <f t="shared" si="191"/>
        <v>0</v>
      </c>
    </row>
    <row r="4040" spans="1:9">
      <c r="A4040" s="17" t="s">
        <v>1650</v>
      </c>
      <c r="B4040" s="17" t="s">
        <v>799</v>
      </c>
      <c r="C4040" s="17">
        <v>0</v>
      </c>
      <c r="D4040" s="17" t="s">
        <v>801</v>
      </c>
      <c r="E4040" s="18">
        <v>3004560000002</v>
      </c>
      <c r="G4040" s="20" t="str">
        <f t="shared" si="189"/>
        <v xml:space="preserve"> CHQCAD          </v>
      </c>
      <c r="H4040" s="20" t="str">
        <f t="shared" si="190"/>
        <v xml:space="preserve">     </v>
      </c>
      <c r="I4040" s="20">
        <f t="shared" si="191"/>
        <v>0</v>
      </c>
    </row>
    <row r="4041" spans="1:9">
      <c r="A4041" s="17" t="s">
        <v>1651</v>
      </c>
      <c r="B4041" s="17" t="s">
        <v>799</v>
      </c>
      <c r="C4041" s="17">
        <v>0</v>
      </c>
      <c r="D4041" s="17" t="s">
        <v>801</v>
      </c>
      <c r="E4041" s="18">
        <v>3004590000003</v>
      </c>
      <c r="G4041" s="20" t="str">
        <f t="shared" si="189"/>
        <v xml:space="preserve"> CHQKAD          </v>
      </c>
      <c r="H4041" s="20" t="str">
        <f t="shared" si="190"/>
        <v xml:space="preserve">     </v>
      </c>
      <c r="I4041" s="20">
        <f t="shared" si="191"/>
        <v>0</v>
      </c>
    </row>
    <row r="4042" spans="1:9">
      <c r="A4042" s="17" t="s">
        <v>1652</v>
      </c>
      <c r="B4042" s="17" t="s">
        <v>809</v>
      </c>
      <c r="C4042" s="17">
        <v>0</v>
      </c>
      <c r="D4042" s="17" t="s">
        <v>801</v>
      </c>
      <c r="E4042" s="18">
        <v>8050538591916</v>
      </c>
      <c r="G4042" s="20" t="str">
        <f t="shared" si="189"/>
        <v xml:space="preserve"> CLIP            </v>
      </c>
      <c r="H4042" s="20" t="str">
        <f t="shared" si="190"/>
        <v>AUBER</v>
      </c>
      <c r="I4042" s="20">
        <f t="shared" si="191"/>
        <v>0</v>
      </c>
    </row>
    <row r="4043" spans="1:9">
      <c r="A4043" s="17" t="s">
        <v>1652</v>
      </c>
      <c r="B4043" s="17" t="s">
        <v>280</v>
      </c>
      <c r="C4043" s="17">
        <v>0</v>
      </c>
      <c r="D4043" s="17" t="s">
        <v>801</v>
      </c>
      <c r="E4043" s="18">
        <v>3223970004008</v>
      </c>
      <c r="G4043" s="20" t="str">
        <f t="shared" si="189"/>
        <v xml:space="preserve"> CLIP            </v>
      </c>
      <c r="H4043" s="20" t="str">
        <f t="shared" si="190"/>
        <v>BLACK</v>
      </c>
      <c r="I4043" s="20">
        <f t="shared" si="191"/>
        <v>0</v>
      </c>
    </row>
    <row r="4044" spans="1:9">
      <c r="A4044" s="17" t="s">
        <v>1652</v>
      </c>
      <c r="B4044" s="17" t="s">
        <v>810</v>
      </c>
      <c r="C4044" s="17">
        <v>0</v>
      </c>
      <c r="D4044" s="17" t="s">
        <v>801</v>
      </c>
      <c r="E4044" s="18">
        <v>3004170284007</v>
      </c>
      <c r="G4044" s="20" t="str">
        <f t="shared" si="189"/>
        <v xml:space="preserve"> CLIP            </v>
      </c>
      <c r="H4044" s="20" t="str">
        <f t="shared" si="190"/>
        <v xml:space="preserve">BLUE </v>
      </c>
      <c r="I4044" s="20">
        <f t="shared" si="191"/>
        <v>0</v>
      </c>
    </row>
    <row r="4045" spans="1:9">
      <c r="A4045" s="17" t="s">
        <v>1652</v>
      </c>
      <c r="B4045" s="17" t="s">
        <v>810</v>
      </c>
      <c r="C4045" s="17">
        <v>0</v>
      </c>
      <c r="D4045" s="17" t="s">
        <v>801</v>
      </c>
      <c r="E4045" s="18">
        <v>8056095063941</v>
      </c>
      <c r="G4045" s="20" t="str">
        <f t="shared" si="189"/>
        <v xml:space="preserve"> CLIP            </v>
      </c>
      <c r="H4045" s="20" t="str">
        <f t="shared" si="190"/>
        <v xml:space="preserve">BLUE </v>
      </c>
      <c r="I4045" s="20">
        <f t="shared" si="191"/>
        <v>0</v>
      </c>
    </row>
    <row r="4046" spans="1:9">
      <c r="A4046" s="17" t="s">
        <v>1652</v>
      </c>
      <c r="B4046" s="17" t="s">
        <v>810</v>
      </c>
      <c r="C4046" s="17">
        <v>0</v>
      </c>
      <c r="D4046" s="17" t="s">
        <v>801</v>
      </c>
      <c r="E4046" s="18">
        <v>8056099170508</v>
      </c>
      <c r="G4046" s="20" t="str">
        <f t="shared" si="189"/>
        <v xml:space="preserve"> CLIP            </v>
      </c>
      <c r="H4046" s="20" t="str">
        <f t="shared" si="190"/>
        <v xml:space="preserve">BLUE </v>
      </c>
      <c r="I4046" s="20">
        <f t="shared" si="191"/>
        <v>0</v>
      </c>
    </row>
    <row r="4047" spans="1:9">
      <c r="A4047" s="17" t="s">
        <v>1652</v>
      </c>
      <c r="B4047" s="17" t="s">
        <v>991</v>
      </c>
      <c r="C4047" s="17">
        <v>0</v>
      </c>
      <c r="D4047" s="17" t="s">
        <v>801</v>
      </c>
      <c r="E4047" s="18">
        <v>8058983597170</v>
      </c>
      <c r="G4047" s="20" t="str">
        <f t="shared" si="189"/>
        <v xml:space="preserve"> CLIP            </v>
      </c>
      <c r="H4047" s="20" t="str">
        <f t="shared" si="190"/>
        <v>CROBL</v>
      </c>
      <c r="I4047" s="20">
        <f t="shared" si="191"/>
        <v>0</v>
      </c>
    </row>
    <row r="4048" spans="1:9">
      <c r="A4048" s="17" t="s">
        <v>1652</v>
      </c>
      <c r="B4048" s="17" t="s">
        <v>991</v>
      </c>
      <c r="C4048" s="17">
        <v>0</v>
      </c>
      <c r="D4048" s="17" t="s">
        <v>801</v>
      </c>
      <c r="E4048" s="18">
        <v>3223970571005</v>
      </c>
      <c r="G4048" s="20" t="str">
        <f t="shared" si="189"/>
        <v xml:space="preserve"> CLIP            </v>
      </c>
      <c r="H4048" s="20" t="str">
        <f t="shared" si="190"/>
        <v>CROBL</v>
      </c>
      <c r="I4048" s="20">
        <f t="shared" si="191"/>
        <v>0</v>
      </c>
    </row>
    <row r="4049" spans="1:9">
      <c r="A4049" s="17" t="s">
        <v>1652</v>
      </c>
      <c r="B4049" s="17" t="s">
        <v>992</v>
      </c>
      <c r="C4049" s="17">
        <v>0</v>
      </c>
      <c r="D4049" s="17" t="s">
        <v>801</v>
      </c>
      <c r="E4049" s="18">
        <v>8058983597187</v>
      </c>
      <c r="G4049" s="20" t="str">
        <f t="shared" si="189"/>
        <v xml:space="preserve"> CLIP            </v>
      </c>
      <c r="H4049" s="20" t="str">
        <f t="shared" si="190"/>
        <v>CROBR</v>
      </c>
      <c r="I4049" s="20">
        <f t="shared" si="191"/>
        <v>0</v>
      </c>
    </row>
    <row r="4050" spans="1:9">
      <c r="A4050" s="17" t="s">
        <v>1652</v>
      </c>
      <c r="B4050" s="17" t="s">
        <v>992</v>
      </c>
      <c r="C4050" s="17">
        <v>0</v>
      </c>
      <c r="D4050" s="17" t="s">
        <v>801</v>
      </c>
      <c r="E4050" s="18">
        <v>3223970572002</v>
      </c>
      <c r="G4050" s="20" t="str">
        <f t="shared" si="189"/>
        <v xml:space="preserve"> CLIP            </v>
      </c>
      <c r="H4050" s="20" t="str">
        <f t="shared" si="190"/>
        <v>CROBR</v>
      </c>
      <c r="I4050" s="20">
        <f t="shared" si="191"/>
        <v>0</v>
      </c>
    </row>
    <row r="4051" spans="1:9">
      <c r="A4051" s="17" t="s">
        <v>1652</v>
      </c>
      <c r="B4051" s="17" t="s">
        <v>1653</v>
      </c>
      <c r="C4051" s="17">
        <v>0</v>
      </c>
      <c r="D4051" s="17" t="s">
        <v>801</v>
      </c>
      <c r="E4051" s="18">
        <v>3004171083005</v>
      </c>
      <c r="G4051" s="20" t="str">
        <f t="shared" si="189"/>
        <v xml:space="preserve"> CLIP            </v>
      </c>
      <c r="H4051" s="20" t="str">
        <f t="shared" si="190"/>
        <v>GIALL</v>
      </c>
      <c r="I4051" s="20">
        <f t="shared" si="191"/>
        <v>0</v>
      </c>
    </row>
    <row r="4052" spans="1:9">
      <c r="A4052" s="17" t="s">
        <v>1652</v>
      </c>
      <c r="B4052" s="17" t="s">
        <v>834</v>
      </c>
      <c r="C4052" s="17">
        <v>0</v>
      </c>
      <c r="D4052" s="17" t="s">
        <v>801</v>
      </c>
      <c r="E4052" s="18">
        <v>3223970498005</v>
      </c>
      <c r="G4052" s="20" t="str">
        <f t="shared" si="189"/>
        <v xml:space="preserve"> CLIP            </v>
      </c>
      <c r="H4052" s="20" t="str">
        <f t="shared" si="190"/>
        <v>GOACQ</v>
      </c>
      <c r="I4052" s="20">
        <f t="shared" si="191"/>
        <v>0</v>
      </c>
    </row>
    <row r="4053" spans="1:9">
      <c r="A4053" s="17" t="s">
        <v>1652</v>
      </c>
      <c r="B4053" s="17" t="s">
        <v>835</v>
      </c>
      <c r="C4053" s="17">
        <v>0</v>
      </c>
      <c r="D4053" s="17" t="s">
        <v>801</v>
      </c>
      <c r="E4053" s="18">
        <v>3223970501002</v>
      </c>
      <c r="G4053" s="20" t="str">
        <f t="shared" si="189"/>
        <v xml:space="preserve"> CLIP            </v>
      </c>
      <c r="H4053" s="20" t="str">
        <f t="shared" si="190"/>
        <v>GOICE</v>
      </c>
      <c r="I4053" s="20">
        <f t="shared" si="191"/>
        <v>0</v>
      </c>
    </row>
    <row r="4054" spans="1:9">
      <c r="A4054" s="17" t="s">
        <v>1652</v>
      </c>
      <c r="B4054" s="17" t="s">
        <v>836</v>
      </c>
      <c r="C4054" s="17">
        <v>0</v>
      </c>
      <c r="D4054" s="17" t="s">
        <v>801</v>
      </c>
      <c r="E4054" s="18">
        <v>3223970502009</v>
      </c>
      <c r="G4054" s="20" t="str">
        <f t="shared" si="189"/>
        <v xml:space="preserve"> CLIP            </v>
      </c>
      <c r="H4054" s="20" t="str">
        <f t="shared" si="190"/>
        <v>GOIRI</v>
      </c>
      <c r="I4054" s="20">
        <f t="shared" si="191"/>
        <v>0</v>
      </c>
    </row>
    <row r="4055" spans="1:9">
      <c r="A4055" s="17" t="s">
        <v>1652</v>
      </c>
      <c r="B4055" s="17" t="s">
        <v>837</v>
      </c>
      <c r="C4055" s="17">
        <v>0</v>
      </c>
      <c r="D4055" s="17" t="s">
        <v>801</v>
      </c>
      <c r="E4055" s="18">
        <v>3223970504003</v>
      </c>
      <c r="G4055" s="20" t="str">
        <f t="shared" si="189"/>
        <v xml:space="preserve"> CLIP            </v>
      </c>
      <c r="H4055" s="20" t="str">
        <f t="shared" si="190"/>
        <v>GOMAG</v>
      </c>
      <c r="I4055" s="20">
        <f t="shared" si="191"/>
        <v>0</v>
      </c>
    </row>
    <row r="4056" spans="1:9">
      <c r="A4056" s="17" t="s">
        <v>1652</v>
      </c>
      <c r="B4056" s="17" t="s">
        <v>978</v>
      </c>
      <c r="C4056" s="17">
        <v>0</v>
      </c>
      <c r="D4056" s="17" t="s">
        <v>801</v>
      </c>
      <c r="E4056" s="18">
        <v>3004171000002</v>
      </c>
      <c r="G4056" s="20" t="str">
        <f t="shared" si="189"/>
        <v xml:space="preserve"> CLIP            </v>
      </c>
      <c r="H4056" s="20" t="str">
        <f t="shared" si="190"/>
        <v>GRIGI</v>
      </c>
      <c r="I4056" s="20">
        <f t="shared" si="191"/>
        <v>0</v>
      </c>
    </row>
    <row r="4057" spans="1:9">
      <c r="A4057" s="17" t="s">
        <v>1652</v>
      </c>
      <c r="B4057" s="17" t="s">
        <v>978</v>
      </c>
      <c r="C4057" s="17">
        <v>0</v>
      </c>
      <c r="D4057" s="17" t="s">
        <v>801</v>
      </c>
      <c r="E4057" s="18">
        <v>8056095063958</v>
      </c>
      <c r="G4057" s="20" t="str">
        <f t="shared" si="189"/>
        <v xml:space="preserve"> CLIP            </v>
      </c>
      <c r="H4057" s="20" t="str">
        <f t="shared" si="190"/>
        <v>GRIGI</v>
      </c>
      <c r="I4057" s="20">
        <f t="shared" si="191"/>
        <v>0</v>
      </c>
    </row>
    <row r="4058" spans="1:9">
      <c r="A4058" s="17" t="s">
        <v>1652</v>
      </c>
      <c r="B4058" s="17" t="s">
        <v>859</v>
      </c>
      <c r="C4058" s="17">
        <v>0</v>
      </c>
      <c r="D4058" s="17" t="s">
        <v>801</v>
      </c>
      <c r="E4058" s="18">
        <v>3223970597005</v>
      </c>
      <c r="G4058" s="20" t="str">
        <f t="shared" si="189"/>
        <v xml:space="preserve"> CLIP            </v>
      </c>
      <c r="H4058" s="20" t="str">
        <f t="shared" si="190"/>
        <v>NATUR</v>
      </c>
      <c r="I4058" s="20">
        <f t="shared" si="191"/>
        <v>0</v>
      </c>
    </row>
    <row r="4059" spans="1:9">
      <c r="A4059" s="17" t="s">
        <v>1652</v>
      </c>
      <c r="B4059" s="17" t="s">
        <v>971</v>
      </c>
      <c r="C4059" s="17">
        <v>0</v>
      </c>
      <c r="D4059" s="17" t="s">
        <v>801</v>
      </c>
      <c r="E4059" s="18">
        <v>8050538591923</v>
      </c>
      <c r="G4059" s="20" t="str">
        <f t="shared" si="189"/>
        <v xml:space="preserve"> CLIP            </v>
      </c>
      <c r="H4059" s="20" t="str">
        <f t="shared" si="190"/>
        <v>OTTAN</v>
      </c>
      <c r="I4059" s="20">
        <f t="shared" si="191"/>
        <v>0</v>
      </c>
    </row>
    <row r="4060" spans="1:9">
      <c r="A4060" s="17" t="s">
        <v>1652</v>
      </c>
      <c r="B4060" s="17" t="s">
        <v>816</v>
      </c>
      <c r="C4060" s="17">
        <v>0</v>
      </c>
      <c r="D4060" s="17" t="s">
        <v>801</v>
      </c>
      <c r="E4060" s="18">
        <v>3004170395000</v>
      </c>
      <c r="G4060" s="20" t="str">
        <f t="shared" si="189"/>
        <v xml:space="preserve"> CLIP            </v>
      </c>
      <c r="H4060" s="20" t="str">
        <f t="shared" si="190"/>
        <v xml:space="preserve">RED  </v>
      </c>
      <c r="I4060" s="20">
        <f t="shared" si="191"/>
        <v>0</v>
      </c>
    </row>
    <row r="4061" spans="1:9">
      <c r="A4061" s="17" t="s">
        <v>1652</v>
      </c>
      <c r="B4061" s="17" t="s">
        <v>872</v>
      </c>
      <c r="C4061" s="17">
        <v>0</v>
      </c>
      <c r="D4061" s="17" t="s">
        <v>801</v>
      </c>
      <c r="E4061" s="18">
        <v>3004170408007</v>
      </c>
      <c r="G4061" s="20" t="str">
        <f t="shared" si="189"/>
        <v xml:space="preserve"> CLIP            </v>
      </c>
      <c r="H4061" s="20" t="str">
        <f t="shared" si="190"/>
        <v xml:space="preserve">SKB  </v>
      </c>
      <c r="I4061" s="20">
        <f t="shared" si="191"/>
        <v>0</v>
      </c>
    </row>
    <row r="4062" spans="1:9">
      <c r="A4062" s="17" t="s">
        <v>1652</v>
      </c>
      <c r="B4062" s="17" t="s">
        <v>872</v>
      </c>
      <c r="C4062" s="17">
        <v>0</v>
      </c>
      <c r="D4062" s="17" t="s">
        <v>801</v>
      </c>
      <c r="E4062" s="18">
        <v>8056095066027</v>
      </c>
      <c r="G4062" s="20" t="str">
        <f t="shared" si="189"/>
        <v xml:space="preserve"> CLIP            </v>
      </c>
      <c r="H4062" s="20" t="str">
        <f t="shared" si="190"/>
        <v xml:space="preserve">SKB  </v>
      </c>
      <c r="I4062" s="20">
        <f t="shared" si="191"/>
        <v>0</v>
      </c>
    </row>
    <row r="4063" spans="1:9">
      <c r="A4063" s="17" t="s">
        <v>1652</v>
      </c>
      <c r="B4063" s="17" t="s">
        <v>1080</v>
      </c>
      <c r="C4063" s="17">
        <v>0</v>
      </c>
      <c r="D4063" s="17" t="s">
        <v>801</v>
      </c>
      <c r="E4063" s="18">
        <v>3004171074003</v>
      </c>
      <c r="G4063" s="20" t="str">
        <f t="shared" si="189"/>
        <v xml:space="preserve"> CLIP            </v>
      </c>
      <c r="H4063" s="20" t="str">
        <f t="shared" si="190"/>
        <v>TERRA</v>
      </c>
      <c r="I4063" s="20">
        <f t="shared" si="191"/>
        <v>0</v>
      </c>
    </row>
    <row r="4064" spans="1:9">
      <c r="A4064" s="17" t="s">
        <v>1652</v>
      </c>
      <c r="B4064" s="17" t="s">
        <v>1080</v>
      </c>
      <c r="C4064" s="17">
        <v>0</v>
      </c>
      <c r="D4064" s="17" t="s">
        <v>801</v>
      </c>
      <c r="E4064" s="18">
        <v>8056095063965</v>
      </c>
      <c r="G4064" s="20" t="str">
        <f t="shared" si="189"/>
        <v xml:space="preserve"> CLIP            </v>
      </c>
      <c r="H4064" s="20" t="str">
        <f t="shared" si="190"/>
        <v>TERRA</v>
      </c>
      <c r="I4064" s="20">
        <f t="shared" si="191"/>
        <v>0</v>
      </c>
    </row>
    <row r="4065" spans="1:9">
      <c r="A4065" s="17" t="s">
        <v>1652</v>
      </c>
      <c r="B4065" s="17" t="s">
        <v>841</v>
      </c>
      <c r="C4065" s="17">
        <v>0</v>
      </c>
      <c r="D4065" s="17" t="s">
        <v>801</v>
      </c>
      <c r="E4065" s="18">
        <v>3223970677004</v>
      </c>
      <c r="G4065" s="20" t="str">
        <f t="shared" si="189"/>
        <v xml:space="preserve"> CLIP            </v>
      </c>
      <c r="H4065" s="20" t="str">
        <f t="shared" si="190"/>
        <v xml:space="preserve">TEST </v>
      </c>
      <c r="I4065" s="20">
        <f t="shared" si="191"/>
        <v>0</v>
      </c>
    </row>
    <row r="4066" spans="1:9">
      <c r="A4066" s="17" t="s">
        <v>1652</v>
      </c>
      <c r="B4066" s="17" t="s">
        <v>922</v>
      </c>
      <c r="C4066" s="17">
        <v>0</v>
      </c>
      <c r="D4066" s="17" t="s">
        <v>801</v>
      </c>
      <c r="E4066" s="18">
        <v>3223970626002</v>
      </c>
      <c r="G4066" s="20" t="str">
        <f t="shared" si="189"/>
        <v xml:space="preserve"> CLIP            </v>
      </c>
      <c r="H4066" s="20" t="str">
        <f t="shared" si="190"/>
        <v>VERNO</v>
      </c>
      <c r="I4066" s="20">
        <f t="shared" si="191"/>
        <v>0</v>
      </c>
    </row>
    <row r="4067" spans="1:9">
      <c r="A4067" s="17" t="s">
        <v>1652</v>
      </c>
      <c r="B4067" s="17" t="s">
        <v>1036</v>
      </c>
      <c r="C4067" s="17">
        <v>0</v>
      </c>
      <c r="D4067" s="17" t="s">
        <v>801</v>
      </c>
      <c r="E4067" s="18">
        <v>8050538591930</v>
      </c>
      <c r="G4067" s="20" t="str">
        <f t="shared" si="189"/>
        <v xml:space="preserve"> CLIP            </v>
      </c>
      <c r="H4067" s="20" t="str">
        <f t="shared" si="190"/>
        <v>VOLCA</v>
      </c>
      <c r="I4067" s="20">
        <f t="shared" si="191"/>
        <v>0</v>
      </c>
    </row>
    <row r="4068" spans="1:9">
      <c r="A4068" s="17" t="s">
        <v>1652</v>
      </c>
      <c r="B4068" s="17" t="s">
        <v>825</v>
      </c>
      <c r="C4068" s="17">
        <v>0</v>
      </c>
      <c r="D4068" s="17" t="s">
        <v>801</v>
      </c>
      <c r="E4068" s="18">
        <v>8056099170492</v>
      </c>
      <c r="G4068" s="20" t="str">
        <f t="shared" si="189"/>
        <v xml:space="preserve"> CLIP            </v>
      </c>
      <c r="H4068" s="20" t="str">
        <f t="shared" si="190"/>
        <v xml:space="preserve">YELL </v>
      </c>
      <c r="I4068" s="20">
        <f t="shared" si="191"/>
        <v>0</v>
      </c>
    </row>
    <row r="4069" spans="1:9">
      <c r="A4069" s="17" t="s">
        <v>1654</v>
      </c>
      <c r="B4069" s="17" t="s">
        <v>1063</v>
      </c>
      <c r="C4069" s="17">
        <v>0</v>
      </c>
      <c r="D4069" s="17" t="s">
        <v>801</v>
      </c>
      <c r="E4069" s="18">
        <v>3004470787000</v>
      </c>
      <c r="G4069" s="20" t="str">
        <f t="shared" si="189"/>
        <v xml:space="preserve"> COLLIER         </v>
      </c>
      <c r="H4069" s="20" t="str">
        <f t="shared" si="190"/>
        <v>GOCOL</v>
      </c>
      <c r="I4069" s="20">
        <f t="shared" si="191"/>
        <v>0</v>
      </c>
    </row>
    <row r="4070" spans="1:9">
      <c r="A4070" s="17" t="s">
        <v>1654</v>
      </c>
      <c r="B4070" s="17" t="s">
        <v>890</v>
      </c>
      <c r="C4070" s="17">
        <v>0</v>
      </c>
      <c r="D4070" s="17" t="s">
        <v>801</v>
      </c>
      <c r="E4070" s="18">
        <v>8058983592014</v>
      </c>
      <c r="G4070" s="20" t="str">
        <f t="shared" si="189"/>
        <v xml:space="preserve"> COLLIER         </v>
      </c>
      <c r="H4070" s="20" t="str">
        <f t="shared" si="190"/>
        <v xml:space="preserve">GOLD </v>
      </c>
      <c r="I4070" s="20">
        <f t="shared" si="191"/>
        <v>0</v>
      </c>
    </row>
    <row r="4071" spans="1:9">
      <c r="A4071" s="17" t="s">
        <v>1654</v>
      </c>
      <c r="B4071" s="17" t="s">
        <v>890</v>
      </c>
      <c r="C4071" s="17">
        <v>0</v>
      </c>
      <c r="D4071" s="17" t="s">
        <v>801</v>
      </c>
      <c r="E4071" s="18">
        <v>3005130522009</v>
      </c>
      <c r="G4071" s="20" t="str">
        <f t="shared" si="189"/>
        <v xml:space="preserve"> COLLIER         </v>
      </c>
      <c r="H4071" s="20" t="str">
        <f t="shared" si="190"/>
        <v xml:space="preserve">GOLD </v>
      </c>
      <c r="I4071" s="20">
        <f t="shared" si="191"/>
        <v>0</v>
      </c>
    </row>
    <row r="4072" spans="1:9">
      <c r="A4072" s="17" t="s">
        <v>1654</v>
      </c>
      <c r="B4072" s="17" t="s">
        <v>855</v>
      </c>
      <c r="C4072" s="17">
        <v>0</v>
      </c>
      <c r="D4072" s="17" t="s">
        <v>801</v>
      </c>
      <c r="E4072" s="18">
        <v>8058983592007</v>
      </c>
      <c r="G4072" s="20" t="str">
        <f t="shared" si="189"/>
        <v xml:space="preserve"> COLLIER         </v>
      </c>
      <c r="H4072" s="20" t="str">
        <f t="shared" si="190"/>
        <v>SILVE</v>
      </c>
      <c r="I4072" s="20">
        <f t="shared" si="191"/>
        <v>0</v>
      </c>
    </row>
    <row r="4073" spans="1:9">
      <c r="A4073" s="17" t="s">
        <v>1654</v>
      </c>
      <c r="B4073" s="17" t="s">
        <v>855</v>
      </c>
      <c r="C4073" s="17">
        <v>0</v>
      </c>
      <c r="D4073" s="17" t="s">
        <v>801</v>
      </c>
      <c r="E4073" s="18">
        <v>3005130617002</v>
      </c>
      <c r="G4073" s="20" t="str">
        <f t="shared" si="189"/>
        <v xml:space="preserve"> COLLIER         </v>
      </c>
      <c r="H4073" s="20" t="str">
        <f t="shared" si="190"/>
        <v>SILVE</v>
      </c>
      <c r="I4073" s="20">
        <f t="shared" si="191"/>
        <v>0</v>
      </c>
    </row>
    <row r="4074" spans="1:9">
      <c r="A4074" s="17" t="s">
        <v>1655</v>
      </c>
      <c r="B4074" s="17" t="s">
        <v>818</v>
      </c>
      <c r="C4074" s="17">
        <v>0</v>
      </c>
      <c r="D4074" s="17" t="s">
        <v>801</v>
      </c>
      <c r="E4074" s="18">
        <v>3003510019002</v>
      </c>
      <c r="G4074" s="20" t="str">
        <f t="shared" si="189"/>
        <v xml:space="preserve"> COQUEOCHIVE     </v>
      </c>
      <c r="H4074" s="20" t="str">
        <f t="shared" si="190"/>
        <v xml:space="preserve">BDX  </v>
      </c>
      <c r="I4074" s="20">
        <f t="shared" si="191"/>
        <v>0</v>
      </c>
    </row>
    <row r="4075" spans="1:9">
      <c r="A4075" s="17" t="s">
        <v>1655</v>
      </c>
      <c r="B4075" s="17" t="s">
        <v>280</v>
      </c>
      <c r="C4075" s="17">
        <v>0</v>
      </c>
      <c r="D4075" s="17" t="s">
        <v>801</v>
      </c>
      <c r="E4075" s="18">
        <v>3003510001007</v>
      </c>
      <c r="G4075" s="20" t="str">
        <f t="shared" si="189"/>
        <v xml:space="preserve"> COQUEOCHIVE     </v>
      </c>
      <c r="H4075" s="20" t="str">
        <f t="shared" si="190"/>
        <v>BLACK</v>
      </c>
      <c r="I4075" s="20">
        <f t="shared" si="191"/>
        <v>0</v>
      </c>
    </row>
    <row r="4076" spans="1:9">
      <c r="A4076" s="17" t="s">
        <v>1655</v>
      </c>
      <c r="B4076" s="17" t="s">
        <v>1656</v>
      </c>
      <c r="C4076" s="17">
        <v>0</v>
      </c>
      <c r="D4076" s="17" t="s">
        <v>801</v>
      </c>
      <c r="E4076" s="18">
        <v>3020430556004</v>
      </c>
      <c r="G4076" s="20" t="str">
        <f t="shared" si="189"/>
        <v xml:space="preserve"> COQUEOCHIVE     </v>
      </c>
      <c r="H4076" s="20" t="str">
        <f t="shared" si="190"/>
        <v>CAMCR</v>
      </c>
      <c r="I4076" s="20">
        <f t="shared" si="191"/>
        <v>0</v>
      </c>
    </row>
    <row r="4077" spans="1:9">
      <c r="A4077" s="17" t="s">
        <v>1655</v>
      </c>
      <c r="B4077" s="17" t="s">
        <v>1472</v>
      </c>
      <c r="C4077" s="17">
        <v>0</v>
      </c>
      <c r="D4077" s="17" t="s">
        <v>801</v>
      </c>
      <c r="E4077" s="18">
        <v>3020430148001</v>
      </c>
      <c r="G4077" s="20" t="str">
        <f t="shared" si="189"/>
        <v xml:space="preserve"> COQUEOCHIVE     </v>
      </c>
      <c r="H4077" s="20" t="str">
        <f t="shared" si="190"/>
        <v>CAMOU</v>
      </c>
      <c r="I4077" s="20">
        <f t="shared" si="191"/>
        <v>0</v>
      </c>
    </row>
    <row r="4078" spans="1:9">
      <c r="A4078" s="17" t="s">
        <v>1655</v>
      </c>
      <c r="B4078" s="17" t="s">
        <v>1657</v>
      </c>
      <c r="C4078" s="17">
        <v>0</v>
      </c>
      <c r="D4078" s="17" t="s">
        <v>801</v>
      </c>
      <c r="E4078" s="18">
        <v>3003510061001</v>
      </c>
      <c r="G4078" s="20" t="str">
        <f t="shared" si="189"/>
        <v xml:space="preserve"> COQUEOCHIVE     </v>
      </c>
      <c r="H4078" s="20" t="str">
        <f t="shared" si="190"/>
        <v>CREAM</v>
      </c>
      <c r="I4078" s="20">
        <f t="shared" si="191"/>
        <v>0</v>
      </c>
    </row>
    <row r="4079" spans="1:9">
      <c r="A4079" s="17" t="s">
        <v>1655</v>
      </c>
      <c r="B4079" s="17" t="s">
        <v>1658</v>
      </c>
      <c r="C4079" s="17">
        <v>0</v>
      </c>
      <c r="D4079" s="17" t="s">
        <v>801</v>
      </c>
      <c r="E4079" s="18">
        <v>3003510062008</v>
      </c>
      <c r="G4079" s="20" t="str">
        <f t="shared" si="189"/>
        <v xml:space="preserve"> COQUEOCHIVE     </v>
      </c>
      <c r="H4079" s="20" t="str">
        <f t="shared" si="190"/>
        <v>DARKB</v>
      </c>
      <c r="I4079" s="20">
        <f t="shared" si="191"/>
        <v>0</v>
      </c>
    </row>
    <row r="4080" spans="1:9">
      <c r="A4080" s="17" t="s">
        <v>1655</v>
      </c>
      <c r="B4080" s="17" t="s">
        <v>1426</v>
      </c>
      <c r="C4080" s="17">
        <v>0</v>
      </c>
      <c r="D4080" s="17" t="s">
        <v>801</v>
      </c>
      <c r="E4080" s="18">
        <v>3003510038003</v>
      </c>
      <c r="G4080" s="20" t="str">
        <f t="shared" si="189"/>
        <v xml:space="preserve"> COQUEOCHIVE     </v>
      </c>
      <c r="H4080" s="20" t="str">
        <f t="shared" si="190"/>
        <v>FLUOG</v>
      </c>
      <c r="I4080" s="20">
        <f t="shared" si="191"/>
        <v>0</v>
      </c>
    </row>
    <row r="4081" spans="1:9">
      <c r="A4081" s="17" t="s">
        <v>1655</v>
      </c>
      <c r="B4081" s="17" t="s">
        <v>1427</v>
      </c>
      <c r="C4081" s="17">
        <v>0</v>
      </c>
      <c r="D4081" s="17" t="s">
        <v>801</v>
      </c>
      <c r="E4081" s="18">
        <v>3003510039000</v>
      </c>
      <c r="G4081" s="20" t="str">
        <f t="shared" si="189"/>
        <v xml:space="preserve"> COQUEOCHIVE     </v>
      </c>
      <c r="H4081" s="20" t="str">
        <f t="shared" si="190"/>
        <v>FLUOP</v>
      </c>
      <c r="I4081" s="20">
        <f t="shared" si="191"/>
        <v>0</v>
      </c>
    </row>
    <row r="4082" spans="1:9">
      <c r="A4082" s="17" t="s">
        <v>1655</v>
      </c>
      <c r="B4082" s="17" t="s">
        <v>1428</v>
      </c>
      <c r="C4082" s="17">
        <v>0</v>
      </c>
      <c r="D4082" s="17" t="s">
        <v>801</v>
      </c>
      <c r="E4082" s="18">
        <v>3003510037006</v>
      </c>
      <c r="G4082" s="20" t="str">
        <f t="shared" si="189"/>
        <v xml:space="preserve"> COQUEOCHIVE     </v>
      </c>
      <c r="H4082" s="20" t="str">
        <f t="shared" si="190"/>
        <v>FLUOY</v>
      </c>
      <c r="I4082" s="20">
        <f t="shared" si="191"/>
        <v>0</v>
      </c>
    </row>
    <row r="4083" spans="1:9">
      <c r="A4083" s="17" t="s">
        <v>1655</v>
      </c>
      <c r="B4083" s="17" t="s">
        <v>891</v>
      </c>
      <c r="C4083" s="17">
        <v>0</v>
      </c>
      <c r="D4083" s="17" t="s">
        <v>801</v>
      </c>
      <c r="E4083" s="18">
        <v>3003510063005</v>
      </c>
      <c r="G4083" s="20" t="str">
        <f t="shared" si="189"/>
        <v xml:space="preserve"> COQUEOCHIVE     </v>
      </c>
      <c r="H4083" s="20" t="str">
        <f t="shared" si="190"/>
        <v>GREEN</v>
      </c>
      <c r="I4083" s="20">
        <f t="shared" si="191"/>
        <v>0</v>
      </c>
    </row>
    <row r="4084" spans="1:9">
      <c r="A4084" s="17" t="s">
        <v>1655</v>
      </c>
      <c r="B4084" s="17" t="s">
        <v>858</v>
      </c>
      <c r="C4084" s="17">
        <v>0</v>
      </c>
      <c r="D4084" s="17" t="s">
        <v>801</v>
      </c>
      <c r="E4084" s="18">
        <v>3003510003001</v>
      </c>
      <c r="G4084" s="20" t="str">
        <f t="shared" si="189"/>
        <v xml:space="preserve"> COQUEOCHIVE     </v>
      </c>
      <c r="H4084" s="20" t="str">
        <f t="shared" si="190"/>
        <v xml:space="preserve">GREY </v>
      </c>
      <c r="I4084" s="20">
        <f t="shared" si="191"/>
        <v>0</v>
      </c>
    </row>
    <row r="4085" spans="1:9">
      <c r="A4085" s="17" t="s">
        <v>1655</v>
      </c>
      <c r="B4085" s="17" t="s">
        <v>1431</v>
      </c>
      <c r="C4085" s="17">
        <v>0</v>
      </c>
      <c r="D4085" s="17" t="s">
        <v>801</v>
      </c>
      <c r="E4085" s="18">
        <v>3003510034005</v>
      </c>
      <c r="G4085" s="20" t="str">
        <f t="shared" si="189"/>
        <v xml:space="preserve"> COQUEOCHIVE     </v>
      </c>
      <c r="H4085" s="20" t="str">
        <f t="shared" si="190"/>
        <v>LIGHT</v>
      </c>
      <c r="I4085" s="20">
        <f t="shared" si="191"/>
        <v>0</v>
      </c>
    </row>
    <row r="4086" spans="1:9">
      <c r="A4086" s="17" t="s">
        <v>1655</v>
      </c>
      <c r="B4086" s="17" t="s">
        <v>1389</v>
      </c>
      <c r="C4086" s="17">
        <v>0</v>
      </c>
      <c r="D4086" s="17" t="s">
        <v>801</v>
      </c>
      <c r="E4086" s="18">
        <v>3003510064002</v>
      </c>
      <c r="G4086" s="20" t="str">
        <f t="shared" si="189"/>
        <v xml:space="preserve"> COQUEOCHIVE     </v>
      </c>
      <c r="H4086" s="20" t="str">
        <f t="shared" si="190"/>
        <v xml:space="preserve">PINK </v>
      </c>
      <c r="I4086" s="20">
        <f t="shared" si="191"/>
        <v>0</v>
      </c>
    </row>
    <row r="4087" spans="1:9">
      <c r="A4087" s="17" t="s">
        <v>1655</v>
      </c>
      <c r="B4087" s="17" t="s">
        <v>816</v>
      </c>
      <c r="C4087" s="17">
        <v>0</v>
      </c>
      <c r="D4087" s="17" t="s">
        <v>801</v>
      </c>
      <c r="E4087" s="18">
        <v>3003510010009</v>
      </c>
      <c r="G4087" s="20" t="str">
        <f t="shared" si="189"/>
        <v xml:space="preserve"> COQUEOCHIVE     </v>
      </c>
      <c r="H4087" s="20" t="str">
        <f t="shared" si="190"/>
        <v xml:space="preserve">RED  </v>
      </c>
      <c r="I4087" s="20">
        <f t="shared" si="191"/>
        <v>0</v>
      </c>
    </row>
    <row r="4088" spans="1:9">
      <c r="A4088" s="17" t="s">
        <v>1655</v>
      </c>
      <c r="B4088" s="17" t="s">
        <v>825</v>
      </c>
      <c r="C4088" s="17">
        <v>0</v>
      </c>
      <c r="D4088" s="17" t="s">
        <v>801</v>
      </c>
      <c r="E4088" s="18">
        <v>3003510011006</v>
      </c>
      <c r="G4088" s="20" t="str">
        <f t="shared" si="189"/>
        <v xml:space="preserve"> COQUEOCHIVE     </v>
      </c>
      <c r="H4088" s="20" t="str">
        <f t="shared" si="190"/>
        <v xml:space="preserve">YELL </v>
      </c>
      <c r="I4088" s="20">
        <f t="shared" si="191"/>
        <v>0</v>
      </c>
    </row>
    <row r="4089" spans="1:9">
      <c r="A4089" s="17" t="s">
        <v>1659</v>
      </c>
      <c r="B4089" s="17" t="s">
        <v>875</v>
      </c>
      <c r="C4089" s="17">
        <v>0</v>
      </c>
      <c r="D4089" s="17" t="s">
        <v>801</v>
      </c>
      <c r="E4089" s="18">
        <v>3004550112005</v>
      </c>
      <c r="G4089" s="20" t="str">
        <f t="shared" si="189"/>
        <v xml:space="preserve"> COQUEZIPMIX     </v>
      </c>
      <c r="H4089" s="20" t="str">
        <f t="shared" si="190"/>
        <v xml:space="preserve">ABRI </v>
      </c>
      <c r="I4089" s="20">
        <f t="shared" si="191"/>
        <v>0</v>
      </c>
    </row>
    <row r="4090" spans="1:9">
      <c r="A4090" s="17" t="s">
        <v>1659</v>
      </c>
      <c r="B4090" s="17" t="s">
        <v>875</v>
      </c>
      <c r="C4090" s="17">
        <v>0</v>
      </c>
      <c r="D4090" s="17" t="s">
        <v>801</v>
      </c>
      <c r="E4090" s="18">
        <v>3003820255008</v>
      </c>
      <c r="G4090" s="20" t="str">
        <f t="shared" si="189"/>
        <v xml:space="preserve"> COQUEZIPMIX     </v>
      </c>
      <c r="H4090" s="20" t="str">
        <f t="shared" si="190"/>
        <v xml:space="preserve">ABRI </v>
      </c>
      <c r="I4090" s="20">
        <f t="shared" si="191"/>
        <v>0</v>
      </c>
    </row>
    <row r="4091" spans="1:9">
      <c r="A4091" s="17" t="s">
        <v>1659</v>
      </c>
      <c r="B4091" s="17" t="s">
        <v>298</v>
      </c>
      <c r="C4091" s="17">
        <v>0</v>
      </c>
      <c r="D4091" s="17" t="s">
        <v>801</v>
      </c>
      <c r="E4091" s="18">
        <v>3003820267001</v>
      </c>
      <c r="G4091" s="20" t="str">
        <f t="shared" si="189"/>
        <v xml:space="preserve"> COQUEZIPMIX     </v>
      </c>
      <c r="H4091" s="20" t="str">
        <f t="shared" si="190"/>
        <v>APPLE</v>
      </c>
      <c r="I4091" s="20">
        <f t="shared" si="191"/>
        <v>0</v>
      </c>
    </row>
    <row r="4092" spans="1:9">
      <c r="A4092" s="17" t="s">
        <v>1659</v>
      </c>
      <c r="B4092" s="17" t="s">
        <v>893</v>
      </c>
      <c r="C4092" s="17">
        <v>0</v>
      </c>
      <c r="D4092" s="17" t="s">
        <v>801</v>
      </c>
      <c r="E4092" s="18">
        <v>3004550589005</v>
      </c>
      <c r="G4092" s="20" t="str">
        <f t="shared" si="189"/>
        <v xml:space="preserve"> COQUEZIPMIX     </v>
      </c>
      <c r="H4092" s="20" t="str">
        <f t="shared" si="190"/>
        <v xml:space="preserve">MAG  </v>
      </c>
      <c r="I4092" s="20">
        <f t="shared" si="191"/>
        <v>0</v>
      </c>
    </row>
    <row r="4093" spans="1:9">
      <c r="A4093" s="17" t="s">
        <v>1659</v>
      </c>
      <c r="B4093" s="17" t="s">
        <v>893</v>
      </c>
      <c r="C4093" s="17">
        <v>0</v>
      </c>
      <c r="D4093" s="17" t="s">
        <v>801</v>
      </c>
      <c r="E4093" s="18">
        <v>3003820356002</v>
      </c>
      <c r="G4093" s="20" t="str">
        <f t="shared" si="189"/>
        <v xml:space="preserve"> COQUEZIPMIX     </v>
      </c>
      <c r="H4093" s="20" t="str">
        <f t="shared" si="190"/>
        <v xml:space="preserve">MAG  </v>
      </c>
      <c r="I4093" s="20">
        <f t="shared" si="191"/>
        <v>0</v>
      </c>
    </row>
    <row r="4094" spans="1:9">
      <c r="A4094" s="17" t="s">
        <v>1659</v>
      </c>
      <c r="B4094" s="17" t="s">
        <v>1433</v>
      </c>
      <c r="C4094" s="17">
        <v>0</v>
      </c>
      <c r="D4094" s="17" t="s">
        <v>801</v>
      </c>
      <c r="E4094" s="18">
        <v>3004550594009</v>
      </c>
      <c r="G4094" s="20" t="str">
        <f t="shared" si="189"/>
        <v xml:space="preserve"> COQUEZIPMIX     </v>
      </c>
      <c r="H4094" s="20" t="str">
        <f t="shared" si="190"/>
        <v>MONTG</v>
      </c>
      <c r="I4094" s="20">
        <f t="shared" si="191"/>
        <v>0</v>
      </c>
    </row>
    <row r="4095" spans="1:9">
      <c r="A4095" s="17" t="s">
        <v>1659</v>
      </c>
      <c r="B4095" s="17" t="s">
        <v>1433</v>
      </c>
      <c r="C4095" s="17">
        <v>0</v>
      </c>
      <c r="D4095" s="17" t="s">
        <v>801</v>
      </c>
      <c r="E4095" s="18">
        <v>3003820365004</v>
      </c>
      <c r="G4095" s="20" t="str">
        <f t="shared" si="189"/>
        <v xml:space="preserve"> COQUEZIPMIX     </v>
      </c>
      <c r="H4095" s="20" t="str">
        <f t="shared" si="190"/>
        <v>MONTG</v>
      </c>
      <c r="I4095" s="20">
        <f t="shared" si="191"/>
        <v>0</v>
      </c>
    </row>
    <row r="4096" spans="1:9">
      <c r="A4096" s="17" t="s">
        <v>1659</v>
      </c>
      <c r="B4096" s="17" t="s">
        <v>1233</v>
      </c>
      <c r="C4096" s="17">
        <v>0</v>
      </c>
      <c r="D4096" s="17" t="s">
        <v>801</v>
      </c>
      <c r="E4096" s="18">
        <v>3004550601004</v>
      </c>
      <c r="G4096" s="20" t="str">
        <f t="shared" si="189"/>
        <v xml:space="preserve"> COQUEZIPMIX     </v>
      </c>
      <c r="H4096" s="20" t="str">
        <f t="shared" si="190"/>
        <v>OCEAN</v>
      </c>
      <c r="I4096" s="20">
        <f t="shared" si="191"/>
        <v>0</v>
      </c>
    </row>
    <row r="4097" spans="1:9">
      <c r="A4097" s="17" t="s">
        <v>1659</v>
      </c>
      <c r="B4097" s="17" t="s">
        <v>1233</v>
      </c>
      <c r="C4097" s="17">
        <v>0</v>
      </c>
      <c r="D4097" s="17" t="s">
        <v>801</v>
      </c>
      <c r="E4097" s="18">
        <v>3003820374006</v>
      </c>
      <c r="G4097" s="20" t="str">
        <f t="shared" si="189"/>
        <v xml:space="preserve"> COQUEZIPMIX     </v>
      </c>
      <c r="H4097" s="20" t="str">
        <f t="shared" si="190"/>
        <v>OCEAN</v>
      </c>
      <c r="I4097" s="20">
        <f t="shared" si="191"/>
        <v>0</v>
      </c>
    </row>
    <row r="4098" spans="1:9">
      <c r="A4098" s="17" t="s">
        <v>1659</v>
      </c>
      <c r="B4098" s="17" t="s">
        <v>1234</v>
      </c>
      <c r="C4098" s="17">
        <v>0</v>
      </c>
      <c r="D4098" s="17" t="s">
        <v>801</v>
      </c>
      <c r="E4098" s="18">
        <v>3004550602001</v>
      </c>
      <c r="G4098" s="20" t="str">
        <f t="shared" si="189"/>
        <v xml:space="preserve"> COQUEZIPMIX     </v>
      </c>
      <c r="H4098" s="20" t="str">
        <f t="shared" si="190"/>
        <v>OLIVE</v>
      </c>
      <c r="I4098" s="20">
        <f t="shared" si="191"/>
        <v>0</v>
      </c>
    </row>
    <row r="4099" spans="1:9">
      <c r="A4099" s="17" t="s">
        <v>1659</v>
      </c>
      <c r="B4099" s="17" t="s">
        <v>1234</v>
      </c>
      <c r="C4099" s="17">
        <v>0</v>
      </c>
      <c r="D4099" s="17" t="s">
        <v>801</v>
      </c>
      <c r="E4099" s="18">
        <v>3003820375003</v>
      </c>
      <c r="G4099" s="20" t="str">
        <f t="shared" si="189"/>
        <v xml:space="preserve"> COQUEZIPMIX     </v>
      </c>
      <c r="H4099" s="20" t="str">
        <f t="shared" si="190"/>
        <v>OLIVE</v>
      </c>
      <c r="I4099" s="20">
        <f t="shared" si="191"/>
        <v>0</v>
      </c>
    </row>
    <row r="4100" spans="1:9">
      <c r="A4100" s="17" t="s">
        <v>1659</v>
      </c>
      <c r="B4100" s="17" t="s">
        <v>816</v>
      </c>
      <c r="C4100" s="17">
        <v>0</v>
      </c>
      <c r="D4100" s="17" t="s">
        <v>801</v>
      </c>
      <c r="E4100" s="18">
        <v>3004550394005</v>
      </c>
      <c r="G4100" s="20" t="str">
        <f t="shared" si="189"/>
        <v xml:space="preserve"> COQUEZIPMIX     </v>
      </c>
      <c r="H4100" s="20" t="str">
        <f t="shared" si="190"/>
        <v xml:space="preserve">RED  </v>
      </c>
      <c r="I4100" s="20">
        <f t="shared" si="191"/>
        <v>0</v>
      </c>
    </row>
    <row r="4101" spans="1:9">
      <c r="A4101" s="17" t="s">
        <v>1659</v>
      </c>
      <c r="B4101" s="17" t="s">
        <v>816</v>
      </c>
      <c r="C4101" s="17">
        <v>0</v>
      </c>
      <c r="D4101" s="17" t="s">
        <v>801</v>
      </c>
      <c r="E4101" s="18">
        <v>3003820395001</v>
      </c>
      <c r="G4101" s="20" t="str">
        <f t="shared" ref="G4101:G4164" si="192">A4101</f>
        <v xml:space="preserve"> COQUEZIPMIX     </v>
      </c>
      <c r="H4101" s="20" t="str">
        <f t="shared" ref="H4101:H4164" si="193">B4101</f>
        <v xml:space="preserve">RED  </v>
      </c>
      <c r="I4101" s="20">
        <f t="shared" ref="I4101:I4164" si="194">C4101</f>
        <v>0</v>
      </c>
    </row>
    <row r="4102" spans="1:9">
      <c r="A4102" s="17" t="s">
        <v>1659</v>
      </c>
      <c r="B4102" s="17" t="s">
        <v>1237</v>
      </c>
      <c r="C4102" s="17">
        <v>0</v>
      </c>
      <c r="D4102" s="17" t="s">
        <v>801</v>
      </c>
      <c r="E4102" s="18">
        <v>3004550612000</v>
      </c>
      <c r="G4102" s="20" t="str">
        <f t="shared" si="192"/>
        <v xml:space="preserve"> COQUEZIPMIX     </v>
      </c>
      <c r="H4102" s="20" t="str">
        <f t="shared" si="193"/>
        <v xml:space="preserve">ROCK </v>
      </c>
      <c r="I4102" s="20">
        <f t="shared" si="194"/>
        <v>0</v>
      </c>
    </row>
    <row r="4103" spans="1:9">
      <c r="A4103" s="17" t="s">
        <v>1659</v>
      </c>
      <c r="B4103" s="17" t="s">
        <v>1237</v>
      </c>
      <c r="C4103" s="17">
        <v>0</v>
      </c>
      <c r="D4103" s="17" t="s">
        <v>801</v>
      </c>
      <c r="E4103" s="18">
        <v>3003820396008</v>
      </c>
      <c r="G4103" s="20" t="str">
        <f t="shared" si="192"/>
        <v xml:space="preserve"> COQUEZIPMIX     </v>
      </c>
      <c r="H4103" s="20" t="str">
        <f t="shared" si="193"/>
        <v xml:space="preserve">ROCK </v>
      </c>
      <c r="I4103" s="20">
        <f t="shared" si="194"/>
        <v>0</v>
      </c>
    </row>
    <row r="4104" spans="1:9">
      <c r="A4104" s="17" t="s">
        <v>1659</v>
      </c>
      <c r="B4104" s="17" t="s">
        <v>1239</v>
      </c>
      <c r="C4104" s="17">
        <v>0</v>
      </c>
      <c r="D4104" s="17" t="s">
        <v>801</v>
      </c>
      <c r="E4104" s="18">
        <v>3004550337002</v>
      </c>
      <c r="G4104" s="20" t="str">
        <f t="shared" si="192"/>
        <v xml:space="preserve"> COQUEZIPMIX     </v>
      </c>
      <c r="H4104" s="20" t="str">
        <f t="shared" si="193"/>
        <v xml:space="preserve">SAND </v>
      </c>
      <c r="I4104" s="20">
        <f t="shared" si="194"/>
        <v>0</v>
      </c>
    </row>
    <row r="4105" spans="1:9">
      <c r="A4105" s="17" t="s">
        <v>1659</v>
      </c>
      <c r="B4105" s="17" t="s">
        <v>1239</v>
      </c>
      <c r="C4105" s="17">
        <v>0</v>
      </c>
      <c r="D4105" s="17" t="s">
        <v>801</v>
      </c>
      <c r="E4105" s="18">
        <v>3003820400002</v>
      </c>
      <c r="G4105" s="20" t="str">
        <f t="shared" si="192"/>
        <v xml:space="preserve"> COQUEZIPMIX     </v>
      </c>
      <c r="H4105" s="20" t="str">
        <f t="shared" si="193"/>
        <v xml:space="preserve">SAND </v>
      </c>
      <c r="I4105" s="20">
        <f t="shared" si="194"/>
        <v>0</v>
      </c>
    </row>
    <row r="4106" spans="1:9">
      <c r="A4106" s="17" t="s">
        <v>1659</v>
      </c>
      <c r="B4106" s="17" t="s">
        <v>273</v>
      </c>
      <c r="C4106" s="17">
        <v>0</v>
      </c>
      <c r="D4106" s="17" t="s">
        <v>801</v>
      </c>
      <c r="E4106" s="18">
        <v>3004550005000</v>
      </c>
      <c r="G4106" s="20" t="str">
        <f t="shared" si="192"/>
        <v xml:space="preserve"> COQUEZIPMIX     </v>
      </c>
      <c r="H4106" s="20" t="str">
        <f t="shared" si="193"/>
        <v>WHITE</v>
      </c>
      <c r="I4106" s="20">
        <f t="shared" si="194"/>
        <v>0</v>
      </c>
    </row>
    <row r="4107" spans="1:9">
      <c r="A4107" s="17" t="s">
        <v>1659</v>
      </c>
      <c r="B4107" s="17" t="s">
        <v>273</v>
      </c>
      <c r="C4107" s="17">
        <v>0</v>
      </c>
      <c r="D4107" s="17" t="s">
        <v>801</v>
      </c>
      <c r="E4107" s="18">
        <v>3003820440008</v>
      </c>
      <c r="G4107" s="20" t="str">
        <f t="shared" si="192"/>
        <v xml:space="preserve"> COQUEZIPMIX     </v>
      </c>
      <c r="H4107" s="20" t="str">
        <f t="shared" si="193"/>
        <v>WHITE</v>
      </c>
      <c r="I4107" s="20">
        <f t="shared" si="194"/>
        <v>0</v>
      </c>
    </row>
    <row r="4108" spans="1:9">
      <c r="A4108" s="17" t="s">
        <v>1659</v>
      </c>
      <c r="B4108" s="17" t="s">
        <v>825</v>
      </c>
      <c r="C4108" s="17">
        <v>0</v>
      </c>
      <c r="D4108" s="17" t="s">
        <v>801</v>
      </c>
      <c r="E4108" s="18">
        <v>3004550632008</v>
      </c>
      <c r="G4108" s="20" t="str">
        <f t="shared" si="192"/>
        <v xml:space="preserve"> COQUEZIPMIX     </v>
      </c>
      <c r="H4108" s="20" t="str">
        <f t="shared" si="193"/>
        <v xml:space="preserve">YELL </v>
      </c>
      <c r="I4108" s="20">
        <f t="shared" si="194"/>
        <v>0</v>
      </c>
    </row>
    <row r="4109" spans="1:9">
      <c r="A4109" s="17" t="s">
        <v>1659</v>
      </c>
      <c r="B4109" s="17" t="s">
        <v>825</v>
      </c>
      <c r="C4109" s="17">
        <v>0</v>
      </c>
      <c r="D4109" s="17" t="s">
        <v>801</v>
      </c>
      <c r="E4109" s="18">
        <v>3003820444006</v>
      </c>
      <c r="G4109" s="20" t="str">
        <f t="shared" si="192"/>
        <v xml:space="preserve"> COQUEZIPMIX     </v>
      </c>
      <c r="H4109" s="20" t="str">
        <f t="shared" si="193"/>
        <v xml:space="preserve">YELL </v>
      </c>
      <c r="I4109" s="20">
        <f t="shared" si="194"/>
        <v>0</v>
      </c>
    </row>
    <row r="4110" spans="1:9">
      <c r="A4110" s="17" t="s">
        <v>1660</v>
      </c>
      <c r="B4110" s="17" t="s">
        <v>809</v>
      </c>
      <c r="C4110" s="17">
        <v>0</v>
      </c>
      <c r="D4110" s="17" t="s">
        <v>801</v>
      </c>
      <c r="E4110" s="18">
        <v>8056099179730</v>
      </c>
      <c r="G4110" s="20" t="str">
        <f t="shared" si="192"/>
        <v xml:space="preserve"> COQUOPOCKET     </v>
      </c>
      <c r="H4110" s="20" t="str">
        <f t="shared" si="193"/>
        <v>AUBER</v>
      </c>
      <c r="I4110" s="20">
        <f t="shared" si="194"/>
        <v>0</v>
      </c>
    </row>
    <row r="4111" spans="1:9">
      <c r="A4111" s="17" t="s">
        <v>1660</v>
      </c>
      <c r="B4111" s="17" t="s">
        <v>879</v>
      </c>
      <c r="C4111" s="17">
        <v>0</v>
      </c>
      <c r="D4111" s="17" t="s">
        <v>801</v>
      </c>
      <c r="E4111" s="18">
        <v>3005360269002</v>
      </c>
      <c r="G4111" s="20" t="str">
        <f t="shared" si="192"/>
        <v xml:space="preserve"> COQUOPOCKET     </v>
      </c>
      <c r="H4111" s="20" t="str">
        <f t="shared" si="193"/>
        <v xml:space="preserve">AZUR </v>
      </c>
      <c r="I4111" s="20">
        <f t="shared" si="194"/>
        <v>0</v>
      </c>
    </row>
    <row r="4112" spans="1:9">
      <c r="A4112" s="17" t="s">
        <v>1660</v>
      </c>
      <c r="B4112" s="17" t="s">
        <v>879</v>
      </c>
      <c r="C4112" s="17">
        <v>0</v>
      </c>
      <c r="D4112" s="17" t="s">
        <v>801</v>
      </c>
      <c r="E4112" s="18">
        <v>3004700269009</v>
      </c>
      <c r="G4112" s="20" t="str">
        <f t="shared" si="192"/>
        <v xml:space="preserve"> COQUOPOCKET     </v>
      </c>
      <c r="H4112" s="20" t="str">
        <f t="shared" si="193"/>
        <v xml:space="preserve">AZUR </v>
      </c>
      <c r="I4112" s="20">
        <f t="shared" si="194"/>
        <v>0</v>
      </c>
    </row>
    <row r="4113" spans="1:9">
      <c r="A4113" s="17" t="s">
        <v>1660</v>
      </c>
      <c r="B4113" s="17" t="s">
        <v>1077</v>
      </c>
      <c r="C4113" s="17">
        <v>0</v>
      </c>
      <c r="D4113" s="17" t="s">
        <v>801</v>
      </c>
      <c r="E4113" s="18">
        <v>8056099177750</v>
      </c>
      <c r="G4113" s="20" t="str">
        <f t="shared" si="192"/>
        <v xml:space="preserve"> COQUOPOCKET     </v>
      </c>
      <c r="H4113" s="20" t="str">
        <f t="shared" si="193"/>
        <v>BISCO</v>
      </c>
      <c r="I4113" s="20">
        <f t="shared" si="194"/>
        <v>0</v>
      </c>
    </row>
    <row r="4114" spans="1:9">
      <c r="A4114" s="17" t="s">
        <v>1660</v>
      </c>
      <c r="B4114" s="17" t="s">
        <v>280</v>
      </c>
      <c r="C4114" s="17">
        <v>0</v>
      </c>
      <c r="D4114" s="17" t="s">
        <v>801</v>
      </c>
      <c r="E4114" s="18">
        <v>3005360557000</v>
      </c>
      <c r="G4114" s="20" t="str">
        <f t="shared" si="192"/>
        <v xml:space="preserve"> COQUOPOCKET     </v>
      </c>
      <c r="H4114" s="20" t="str">
        <f t="shared" si="193"/>
        <v>BLACK</v>
      </c>
      <c r="I4114" s="20">
        <f t="shared" si="194"/>
        <v>0</v>
      </c>
    </row>
    <row r="4115" spans="1:9">
      <c r="A4115" s="17" t="s">
        <v>1660</v>
      </c>
      <c r="B4115" s="17" t="s">
        <v>280</v>
      </c>
      <c r="C4115" s="17">
        <v>0</v>
      </c>
      <c r="D4115" s="17" t="s">
        <v>801</v>
      </c>
      <c r="E4115" s="18">
        <v>3005360558007</v>
      </c>
      <c r="G4115" s="20" t="str">
        <f t="shared" si="192"/>
        <v xml:space="preserve"> COQUOPOCKET     </v>
      </c>
      <c r="H4115" s="20" t="str">
        <f t="shared" si="193"/>
        <v>BLACK</v>
      </c>
      <c r="I4115" s="20">
        <f t="shared" si="194"/>
        <v>0</v>
      </c>
    </row>
    <row r="4116" spans="1:9">
      <c r="A4116" s="17" t="s">
        <v>1660</v>
      </c>
      <c r="B4116" s="17" t="s">
        <v>930</v>
      </c>
      <c r="C4116" s="17">
        <v>0</v>
      </c>
      <c r="D4116" s="17" t="s">
        <v>801</v>
      </c>
      <c r="E4116" s="18">
        <v>3004700557007</v>
      </c>
      <c r="G4116" s="20" t="str">
        <f t="shared" si="192"/>
        <v xml:space="preserve"> COQUOPOCKET     </v>
      </c>
      <c r="H4116" s="20" t="str">
        <f t="shared" si="193"/>
        <v xml:space="preserve">BLK  </v>
      </c>
      <c r="I4116" s="20">
        <f t="shared" si="194"/>
        <v>0</v>
      </c>
    </row>
    <row r="4117" spans="1:9">
      <c r="A4117" s="17" t="s">
        <v>1660</v>
      </c>
      <c r="B4117" s="17" t="s">
        <v>1026</v>
      </c>
      <c r="C4117" s="17">
        <v>0</v>
      </c>
      <c r="D4117" s="17" t="s">
        <v>801</v>
      </c>
      <c r="E4117" s="18">
        <v>3005360546004</v>
      </c>
      <c r="G4117" s="20" t="str">
        <f t="shared" si="192"/>
        <v xml:space="preserve"> COQUOPOCKET     </v>
      </c>
      <c r="H4117" s="20" t="str">
        <f t="shared" si="193"/>
        <v>BLUAV</v>
      </c>
      <c r="I4117" s="20">
        <f t="shared" si="194"/>
        <v>0</v>
      </c>
    </row>
    <row r="4118" spans="1:9">
      <c r="A4118" s="17" t="s">
        <v>1660</v>
      </c>
      <c r="B4118" s="17" t="s">
        <v>1101</v>
      </c>
      <c r="C4118" s="17">
        <v>0</v>
      </c>
      <c r="D4118" s="17" t="s">
        <v>801</v>
      </c>
      <c r="E4118" s="18">
        <v>8050538590919</v>
      </c>
      <c r="G4118" s="20" t="str">
        <f t="shared" si="192"/>
        <v xml:space="preserve"> COQUOPOCKET     </v>
      </c>
      <c r="H4118" s="20" t="str">
        <f t="shared" si="193"/>
        <v xml:space="preserve">BOR  </v>
      </c>
      <c r="I4118" s="20">
        <f t="shared" si="194"/>
        <v>0</v>
      </c>
    </row>
    <row r="4119" spans="1:9">
      <c r="A4119" s="17" t="s">
        <v>1660</v>
      </c>
      <c r="B4119" s="17" t="s">
        <v>853</v>
      </c>
      <c r="C4119" s="17">
        <v>0</v>
      </c>
      <c r="D4119" s="17" t="s">
        <v>801</v>
      </c>
      <c r="E4119" s="18">
        <v>3004700499000</v>
      </c>
      <c r="G4119" s="20" t="str">
        <f t="shared" si="192"/>
        <v xml:space="preserve"> COQUOPOCKET     </v>
      </c>
      <c r="H4119" s="20" t="str">
        <f t="shared" si="193"/>
        <v>BRONZ</v>
      </c>
      <c r="I4119" s="20">
        <f t="shared" si="194"/>
        <v>0</v>
      </c>
    </row>
    <row r="4120" spans="1:9">
      <c r="A4120" s="17" t="s">
        <v>1660</v>
      </c>
      <c r="B4120" s="17" t="s">
        <v>1661</v>
      </c>
      <c r="C4120" s="17">
        <v>0</v>
      </c>
      <c r="D4120" s="17" t="s">
        <v>801</v>
      </c>
      <c r="E4120" s="18">
        <v>8056099178764</v>
      </c>
      <c r="G4120" s="20" t="str">
        <f t="shared" si="192"/>
        <v xml:space="preserve"> COQUOPOCKET     </v>
      </c>
      <c r="H4120" s="20" t="str">
        <f t="shared" si="193"/>
        <v>GRAFI</v>
      </c>
      <c r="I4120" s="20">
        <f t="shared" si="194"/>
        <v>0</v>
      </c>
    </row>
    <row r="4121" spans="1:9">
      <c r="A4121" s="17" t="s">
        <v>1660</v>
      </c>
      <c r="B4121" s="17" t="s">
        <v>1661</v>
      </c>
      <c r="C4121" s="17">
        <v>0</v>
      </c>
      <c r="D4121" s="17" t="s">
        <v>801</v>
      </c>
      <c r="E4121" s="18">
        <v>3005360320000</v>
      </c>
      <c r="G4121" s="20" t="str">
        <f t="shared" si="192"/>
        <v xml:space="preserve"> COQUOPOCKET     </v>
      </c>
      <c r="H4121" s="20" t="str">
        <f t="shared" si="193"/>
        <v>GRAFI</v>
      </c>
      <c r="I4121" s="20">
        <f t="shared" si="194"/>
        <v>0</v>
      </c>
    </row>
    <row r="4122" spans="1:9">
      <c r="A4122" s="17" t="s">
        <v>1660</v>
      </c>
      <c r="B4122" s="17" t="s">
        <v>1430</v>
      </c>
      <c r="C4122" s="17">
        <v>0</v>
      </c>
      <c r="D4122" s="17" t="s">
        <v>801</v>
      </c>
      <c r="E4122" s="18">
        <v>3005360498006</v>
      </c>
      <c r="G4122" s="20" t="str">
        <f t="shared" si="192"/>
        <v xml:space="preserve"> COQUOPOCKET     </v>
      </c>
      <c r="H4122" s="20" t="str">
        <f t="shared" si="193"/>
        <v xml:space="preserve">IRIS </v>
      </c>
      <c r="I4122" s="20">
        <f t="shared" si="194"/>
        <v>0</v>
      </c>
    </row>
    <row r="4123" spans="1:9">
      <c r="A4123" s="17" t="s">
        <v>1660</v>
      </c>
      <c r="B4123" s="17" t="s">
        <v>1430</v>
      </c>
      <c r="C4123" s="17">
        <v>0</v>
      </c>
      <c r="D4123" s="17" t="s">
        <v>801</v>
      </c>
      <c r="E4123" s="18">
        <v>3004700498003</v>
      </c>
      <c r="G4123" s="20" t="str">
        <f t="shared" si="192"/>
        <v xml:space="preserve"> COQUOPOCKET     </v>
      </c>
      <c r="H4123" s="20" t="str">
        <f t="shared" si="193"/>
        <v xml:space="preserve">IRIS </v>
      </c>
      <c r="I4123" s="20">
        <f t="shared" si="194"/>
        <v>0</v>
      </c>
    </row>
    <row r="4124" spans="1:9">
      <c r="A4124" s="17" t="s">
        <v>1660</v>
      </c>
      <c r="B4124" s="17" t="s">
        <v>838</v>
      </c>
      <c r="C4124" s="17">
        <v>0</v>
      </c>
      <c r="D4124" s="17" t="s">
        <v>801</v>
      </c>
      <c r="E4124" s="18">
        <v>3005361023009</v>
      </c>
      <c r="G4124" s="20" t="str">
        <f t="shared" si="192"/>
        <v xml:space="preserve"> COQUOPOCKET     </v>
      </c>
      <c r="H4124" s="20" t="str">
        <f t="shared" si="193"/>
        <v>IVOIR</v>
      </c>
      <c r="I4124" s="20">
        <f t="shared" si="194"/>
        <v>0</v>
      </c>
    </row>
    <row r="4125" spans="1:9">
      <c r="A4125" s="17" t="s">
        <v>1660</v>
      </c>
      <c r="B4125" s="17" t="s">
        <v>1662</v>
      </c>
      <c r="C4125" s="17">
        <v>0</v>
      </c>
      <c r="D4125" s="17" t="s">
        <v>801</v>
      </c>
      <c r="E4125" s="18">
        <v>3004701402009</v>
      </c>
      <c r="G4125" s="20" t="str">
        <f t="shared" si="192"/>
        <v xml:space="preserve"> COQUOPOCKET     </v>
      </c>
      <c r="H4125" s="20" t="str">
        <f t="shared" si="193"/>
        <v>LATTE</v>
      </c>
      <c r="I4125" s="20">
        <f t="shared" si="194"/>
        <v>0</v>
      </c>
    </row>
    <row r="4126" spans="1:9">
      <c r="A4126" s="17" t="s">
        <v>1660</v>
      </c>
      <c r="B4126" s="17" t="s">
        <v>1434</v>
      </c>
      <c r="C4126" s="17">
        <v>0</v>
      </c>
      <c r="D4126" s="17" t="s">
        <v>801</v>
      </c>
      <c r="E4126" s="18">
        <v>8050538590230</v>
      </c>
      <c r="G4126" s="20" t="str">
        <f t="shared" si="192"/>
        <v xml:space="preserve"> COQUOPOCKET     </v>
      </c>
      <c r="H4126" s="20" t="str">
        <f t="shared" si="193"/>
        <v xml:space="preserve">NAR  </v>
      </c>
      <c r="I4126" s="20">
        <f t="shared" si="194"/>
        <v>0</v>
      </c>
    </row>
    <row r="4127" spans="1:9">
      <c r="A4127" s="17" t="s">
        <v>1660</v>
      </c>
      <c r="B4127" s="17" t="s">
        <v>1078</v>
      </c>
      <c r="C4127" s="17">
        <v>0</v>
      </c>
      <c r="D4127" s="17" t="s">
        <v>801</v>
      </c>
      <c r="E4127" s="18">
        <v>3004700494005</v>
      </c>
      <c r="G4127" s="20" t="str">
        <f t="shared" si="192"/>
        <v xml:space="preserve"> COQUOPOCKET     </v>
      </c>
      <c r="H4127" s="20" t="str">
        <f t="shared" si="193"/>
        <v xml:space="preserve">NAVY </v>
      </c>
      <c r="I4127" s="20">
        <f t="shared" si="194"/>
        <v>0</v>
      </c>
    </row>
    <row r="4128" spans="1:9">
      <c r="A4128" s="17" t="s">
        <v>1660</v>
      </c>
      <c r="B4128" s="17" t="s">
        <v>971</v>
      </c>
      <c r="C4128" s="17">
        <v>0</v>
      </c>
      <c r="D4128" s="17" t="s">
        <v>801</v>
      </c>
      <c r="E4128" s="18">
        <v>8056099177552</v>
      </c>
      <c r="G4128" s="20" t="str">
        <f t="shared" si="192"/>
        <v xml:space="preserve"> COQUOPOCKET     </v>
      </c>
      <c r="H4128" s="20" t="str">
        <f t="shared" si="193"/>
        <v>OTTAN</v>
      </c>
      <c r="I4128" s="20">
        <f t="shared" si="194"/>
        <v>0</v>
      </c>
    </row>
    <row r="4129" spans="1:9">
      <c r="A4129" s="17" t="s">
        <v>1660</v>
      </c>
      <c r="B4129" s="17" t="s">
        <v>1235</v>
      </c>
      <c r="C4129" s="17">
        <v>0</v>
      </c>
      <c r="D4129" s="17" t="s">
        <v>801</v>
      </c>
      <c r="E4129" s="18">
        <v>3005360559004</v>
      </c>
      <c r="G4129" s="20" t="str">
        <f t="shared" si="192"/>
        <v xml:space="preserve"> COQUOPOCKET     </v>
      </c>
      <c r="H4129" s="20" t="str">
        <f t="shared" si="193"/>
        <v>PAPAY</v>
      </c>
      <c r="I4129" s="20">
        <f t="shared" si="194"/>
        <v>0</v>
      </c>
    </row>
    <row r="4130" spans="1:9">
      <c r="A4130" s="17" t="s">
        <v>1660</v>
      </c>
      <c r="B4130" s="17" t="s">
        <v>1235</v>
      </c>
      <c r="C4130" s="17">
        <v>0</v>
      </c>
      <c r="D4130" s="17" t="s">
        <v>801</v>
      </c>
      <c r="E4130" s="18">
        <v>3004700559001</v>
      </c>
      <c r="G4130" s="20" t="str">
        <f t="shared" si="192"/>
        <v xml:space="preserve"> COQUOPOCKET     </v>
      </c>
      <c r="H4130" s="20" t="str">
        <f t="shared" si="193"/>
        <v>PAPAY</v>
      </c>
      <c r="I4130" s="20">
        <f t="shared" si="194"/>
        <v>0</v>
      </c>
    </row>
    <row r="4131" spans="1:9">
      <c r="A4131" s="17" t="s">
        <v>1660</v>
      </c>
      <c r="B4131" s="17" t="s">
        <v>283</v>
      </c>
      <c r="C4131" s="17">
        <v>0</v>
      </c>
      <c r="D4131" s="17" t="s">
        <v>801</v>
      </c>
      <c r="E4131" s="18">
        <v>8050538591428</v>
      </c>
      <c r="G4131" s="20" t="str">
        <f t="shared" si="192"/>
        <v xml:space="preserve"> COQUOPOCKET     </v>
      </c>
      <c r="H4131" s="20" t="str">
        <f t="shared" si="193"/>
        <v>PHARD</v>
      </c>
      <c r="I4131" s="20">
        <f t="shared" si="194"/>
        <v>0</v>
      </c>
    </row>
    <row r="4132" spans="1:9">
      <c r="A4132" s="17" t="s">
        <v>1660</v>
      </c>
      <c r="B4132" s="17" t="s">
        <v>283</v>
      </c>
      <c r="C4132" s="17">
        <v>0</v>
      </c>
      <c r="D4132" s="17" t="s">
        <v>801</v>
      </c>
      <c r="E4132" s="18">
        <v>8056095069745</v>
      </c>
      <c r="G4132" s="20" t="str">
        <f t="shared" si="192"/>
        <v xml:space="preserve"> COQUOPOCKET     </v>
      </c>
      <c r="H4132" s="20" t="str">
        <f t="shared" si="193"/>
        <v>PHARD</v>
      </c>
      <c r="I4132" s="20">
        <f t="shared" si="194"/>
        <v>0</v>
      </c>
    </row>
    <row r="4133" spans="1:9">
      <c r="A4133" s="17" t="s">
        <v>1660</v>
      </c>
      <c r="B4133" s="17" t="s">
        <v>283</v>
      </c>
      <c r="C4133" s="17">
        <v>0</v>
      </c>
      <c r="D4133" s="17" t="s">
        <v>801</v>
      </c>
      <c r="E4133" s="18">
        <v>3004700871004</v>
      </c>
      <c r="G4133" s="20" t="str">
        <f t="shared" si="192"/>
        <v xml:space="preserve"> COQUOPOCKET     </v>
      </c>
      <c r="H4133" s="20" t="str">
        <f t="shared" si="193"/>
        <v>PHARD</v>
      </c>
      <c r="I4133" s="20">
        <f t="shared" si="194"/>
        <v>0</v>
      </c>
    </row>
    <row r="4134" spans="1:9">
      <c r="A4134" s="17" t="s">
        <v>1660</v>
      </c>
      <c r="B4134" s="17" t="s">
        <v>283</v>
      </c>
      <c r="C4134" s="17">
        <v>70560</v>
      </c>
      <c r="D4134" s="17" t="s">
        <v>801</v>
      </c>
      <c r="E4134" s="18">
        <v>7056027069745</v>
      </c>
      <c r="G4134" s="20" t="str">
        <f t="shared" si="192"/>
        <v xml:space="preserve"> COQUOPOCKET     </v>
      </c>
      <c r="H4134" s="20" t="str">
        <f t="shared" si="193"/>
        <v>PHARD</v>
      </c>
      <c r="I4134" s="20">
        <f t="shared" si="194"/>
        <v>70560</v>
      </c>
    </row>
    <row r="4135" spans="1:9">
      <c r="A4135" s="17" t="s">
        <v>1660</v>
      </c>
      <c r="B4135" s="17" t="s">
        <v>1438</v>
      </c>
      <c r="C4135" s="17">
        <v>0</v>
      </c>
      <c r="D4135" s="17" t="s">
        <v>801</v>
      </c>
      <c r="E4135" s="18">
        <v>3005360692008</v>
      </c>
      <c r="G4135" s="20" t="str">
        <f t="shared" si="192"/>
        <v xml:space="preserve"> COQUOPOCKET     </v>
      </c>
      <c r="H4135" s="20" t="str">
        <f t="shared" si="193"/>
        <v>POLVE</v>
      </c>
      <c r="I4135" s="20">
        <f t="shared" si="194"/>
        <v>0</v>
      </c>
    </row>
    <row r="4136" spans="1:9">
      <c r="A4136" s="17" t="s">
        <v>1660</v>
      </c>
      <c r="B4136" s="17" t="s">
        <v>1438</v>
      </c>
      <c r="C4136" s="17">
        <v>0</v>
      </c>
      <c r="D4136" s="17" t="s">
        <v>801</v>
      </c>
      <c r="E4136" s="18">
        <v>3004700692005</v>
      </c>
      <c r="G4136" s="20" t="str">
        <f t="shared" si="192"/>
        <v xml:space="preserve"> COQUOPOCKET     </v>
      </c>
      <c r="H4136" s="20" t="str">
        <f t="shared" si="193"/>
        <v>POLVE</v>
      </c>
      <c r="I4136" s="20">
        <f t="shared" si="194"/>
        <v>0</v>
      </c>
    </row>
    <row r="4137" spans="1:9">
      <c r="A4137" s="17" t="s">
        <v>1660</v>
      </c>
      <c r="B4137" s="17" t="s">
        <v>1097</v>
      </c>
      <c r="C4137" s="17">
        <v>0</v>
      </c>
      <c r="D4137" s="17" t="s">
        <v>801</v>
      </c>
      <c r="E4137" s="18">
        <v>3004700838007</v>
      </c>
      <c r="G4137" s="20" t="str">
        <f t="shared" si="192"/>
        <v xml:space="preserve"> COQUOPOCKET     </v>
      </c>
      <c r="H4137" s="20" t="str">
        <f t="shared" si="193"/>
        <v xml:space="preserve">PORP </v>
      </c>
      <c r="I4137" s="20">
        <f t="shared" si="194"/>
        <v>0</v>
      </c>
    </row>
    <row r="4138" spans="1:9">
      <c r="A4138" s="17" t="s">
        <v>1660</v>
      </c>
      <c r="B4138" s="17" t="s">
        <v>816</v>
      </c>
      <c r="C4138" s="17">
        <v>0</v>
      </c>
      <c r="D4138" s="17" t="s">
        <v>801</v>
      </c>
      <c r="E4138" s="18">
        <v>8056099178863</v>
      </c>
      <c r="G4138" s="20" t="str">
        <f t="shared" si="192"/>
        <v xml:space="preserve"> COQUOPOCKET     </v>
      </c>
      <c r="H4138" s="20" t="str">
        <f t="shared" si="193"/>
        <v xml:space="preserve">RED  </v>
      </c>
      <c r="I4138" s="20">
        <f t="shared" si="194"/>
        <v>0</v>
      </c>
    </row>
    <row r="4139" spans="1:9">
      <c r="A4139" s="17" t="s">
        <v>1660</v>
      </c>
      <c r="B4139" s="17" t="s">
        <v>1237</v>
      </c>
      <c r="C4139" s="17">
        <v>0</v>
      </c>
      <c r="D4139" s="17" t="s">
        <v>801</v>
      </c>
      <c r="E4139" s="18">
        <v>3004700396002</v>
      </c>
      <c r="G4139" s="20" t="str">
        <f t="shared" si="192"/>
        <v xml:space="preserve"> COQUOPOCKET     </v>
      </c>
      <c r="H4139" s="20" t="str">
        <f t="shared" si="193"/>
        <v xml:space="preserve">ROCK </v>
      </c>
      <c r="I4139" s="20">
        <f t="shared" si="194"/>
        <v>0</v>
      </c>
    </row>
    <row r="4140" spans="1:9">
      <c r="A4140" s="17" t="s">
        <v>1660</v>
      </c>
      <c r="B4140" s="17" t="s">
        <v>1237</v>
      </c>
      <c r="C4140" s="17">
        <v>0</v>
      </c>
      <c r="D4140" s="17" t="s">
        <v>801</v>
      </c>
      <c r="E4140" s="18">
        <v>8051770309673</v>
      </c>
      <c r="G4140" s="20" t="str">
        <f t="shared" si="192"/>
        <v xml:space="preserve"> COQUOPOCKET     </v>
      </c>
      <c r="H4140" s="20" t="str">
        <f t="shared" si="193"/>
        <v xml:space="preserve">ROCK </v>
      </c>
      <c r="I4140" s="20">
        <f t="shared" si="194"/>
        <v>0</v>
      </c>
    </row>
    <row r="4141" spans="1:9">
      <c r="A4141" s="17" t="s">
        <v>1660</v>
      </c>
      <c r="B4141" s="17" t="s">
        <v>1238</v>
      </c>
      <c r="C4141" s="17">
        <v>0</v>
      </c>
      <c r="D4141" s="17" t="s">
        <v>801</v>
      </c>
      <c r="E4141" s="18">
        <v>3005360479005</v>
      </c>
      <c r="G4141" s="20" t="str">
        <f t="shared" si="192"/>
        <v xml:space="preserve"> COQUOPOCKET     </v>
      </c>
      <c r="H4141" s="20" t="str">
        <f t="shared" si="193"/>
        <v>ROSMO</v>
      </c>
      <c r="I4141" s="20">
        <f t="shared" si="194"/>
        <v>0</v>
      </c>
    </row>
    <row r="4142" spans="1:9">
      <c r="A4142" s="17" t="s">
        <v>1660</v>
      </c>
      <c r="B4142" s="17" t="s">
        <v>1238</v>
      </c>
      <c r="C4142" s="17">
        <v>0</v>
      </c>
      <c r="D4142" s="17" t="s">
        <v>801</v>
      </c>
      <c r="E4142" s="18">
        <v>3004700479002</v>
      </c>
      <c r="G4142" s="20" t="str">
        <f t="shared" si="192"/>
        <v xml:space="preserve"> COQUOPOCKET     </v>
      </c>
      <c r="H4142" s="20" t="str">
        <f t="shared" si="193"/>
        <v>ROSMO</v>
      </c>
      <c r="I4142" s="20">
        <f t="shared" si="194"/>
        <v>0</v>
      </c>
    </row>
    <row r="4143" spans="1:9">
      <c r="A4143" s="17" t="s">
        <v>1660</v>
      </c>
      <c r="B4143" s="17" t="s">
        <v>1239</v>
      </c>
      <c r="C4143" s="17">
        <v>0</v>
      </c>
      <c r="D4143" s="17" t="s">
        <v>801</v>
      </c>
      <c r="E4143" s="18">
        <v>3005360400009</v>
      </c>
      <c r="G4143" s="20" t="str">
        <f t="shared" si="192"/>
        <v xml:space="preserve"> COQUOPOCKET     </v>
      </c>
      <c r="H4143" s="20" t="str">
        <f t="shared" si="193"/>
        <v xml:space="preserve">SAND </v>
      </c>
      <c r="I4143" s="20">
        <f t="shared" si="194"/>
        <v>0</v>
      </c>
    </row>
    <row r="4144" spans="1:9">
      <c r="A4144" s="17" t="s">
        <v>1660</v>
      </c>
      <c r="B4144" s="17" t="s">
        <v>1239</v>
      </c>
      <c r="C4144" s="17">
        <v>0</v>
      </c>
      <c r="D4144" s="17" t="s">
        <v>801</v>
      </c>
      <c r="E4144" s="18">
        <v>3004700400006</v>
      </c>
      <c r="G4144" s="20" t="str">
        <f t="shared" si="192"/>
        <v xml:space="preserve"> COQUOPOCKET     </v>
      </c>
      <c r="H4144" s="20" t="str">
        <f t="shared" si="193"/>
        <v xml:space="preserve">SAND </v>
      </c>
      <c r="I4144" s="20">
        <f t="shared" si="194"/>
        <v>0</v>
      </c>
    </row>
    <row r="4145" spans="1:9">
      <c r="A4145" s="17" t="s">
        <v>1660</v>
      </c>
      <c r="B4145" s="17" t="s">
        <v>1663</v>
      </c>
      <c r="C4145" s="17">
        <v>0</v>
      </c>
      <c r="D4145" s="17" t="s">
        <v>801</v>
      </c>
      <c r="E4145" s="18">
        <v>3004701313008</v>
      </c>
      <c r="G4145" s="20" t="str">
        <f t="shared" si="192"/>
        <v xml:space="preserve"> COQUOPOCKET     </v>
      </c>
      <c r="H4145" s="20" t="str">
        <f t="shared" si="193"/>
        <v>SANGR</v>
      </c>
      <c r="I4145" s="20">
        <f t="shared" si="194"/>
        <v>0</v>
      </c>
    </row>
    <row r="4146" spans="1:9">
      <c r="A4146" s="17" t="s">
        <v>1660</v>
      </c>
      <c r="B4146" s="17" t="s">
        <v>840</v>
      </c>
      <c r="C4146" s="17">
        <v>0</v>
      </c>
      <c r="D4146" s="17" t="s">
        <v>801</v>
      </c>
      <c r="E4146" s="18">
        <v>3004700403007</v>
      </c>
      <c r="G4146" s="20" t="str">
        <f t="shared" si="192"/>
        <v xml:space="preserve"> COQUOPOCKET     </v>
      </c>
      <c r="H4146" s="20" t="str">
        <f t="shared" si="193"/>
        <v>SAUGE</v>
      </c>
      <c r="I4146" s="20">
        <f t="shared" si="194"/>
        <v>0</v>
      </c>
    </row>
    <row r="4147" spans="1:9">
      <c r="A4147" s="17" t="s">
        <v>1660</v>
      </c>
      <c r="B4147" s="17" t="s">
        <v>1079</v>
      </c>
      <c r="C4147" s="17">
        <v>0</v>
      </c>
      <c r="D4147" s="17" t="s">
        <v>801</v>
      </c>
      <c r="E4147" s="18">
        <v>8056095069240</v>
      </c>
      <c r="G4147" s="20" t="str">
        <f t="shared" si="192"/>
        <v xml:space="preserve"> COQUOPOCKET     </v>
      </c>
      <c r="H4147" s="20" t="str">
        <f t="shared" si="193"/>
        <v xml:space="preserve">SLVG </v>
      </c>
      <c r="I4147" s="20">
        <f t="shared" si="194"/>
        <v>0</v>
      </c>
    </row>
    <row r="4148" spans="1:9">
      <c r="A4148" s="17" t="s">
        <v>1660</v>
      </c>
      <c r="B4148" s="17" t="s">
        <v>1079</v>
      </c>
      <c r="C4148" s="17">
        <v>0</v>
      </c>
      <c r="D4148" s="17" t="s">
        <v>801</v>
      </c>
      <c r="E4148" s="18">
        <v>3004700410005</v>
      </c>
      <c r="G4148" s="20" t="str">
        <f t="shared" si="192"/>
        <v xml:space="preserve"> COQUOPOCKET     </v>
      </c>
      <c r="H4148" s="20" t="str">
        <f t="shared" si="193"/>
        <v xml:space="preserve">SLVG </v>
      </c>
      <c r="I4148" s="20">
        <f t="shared" si="194"/>
        <v>0</v>
      </c>
    </row>
    <row r="4149" spans="1:9">
      <c r="A4149" s="17" t="s">
        <v>1660</v>
      </c>
      <c r="B4149" s="17" t="s">
        <v>919</v>
      </c>
      <c r="C4149" s="17">
        <v>0</v>
      </c>
      <c r="D4149" s="17" t="s">
        <v>801</v>
      </c>
      <c r="E4149" s="18">
        <v>3004700690001</v>
      </c>
      <c r="G4149" s="20" t="str">
        <f t="shared" si="192"/>
        <v xml:space="preserve"> COQUOPOCKET     </v>
      </c>
      <c r="H4149" s="20" t="str">
        <f t="shared" si="193"/>
        <v>TESTA</v>
      </c>
      <c r="I4149" s="20">
        <f t="shared" si="194"/>
        <v>0</v>
      </c>
    </row>
    <row r="4150" spans="1:9">
      <c r="A4150" s="17" t="s">
        <v>1660</v>
      </c>
      <c r="B4150" s="17" t="s">
        <v>1013</v>
      </c>
      <c r="C4150" s="17">
        <v>0</v>
      </c>
      <c r="D4150" s="17" t="s">
        <v>801</v>
      </c>
      <c r="E4150" s="18">
        <v>3004700625003</v>
      </c>
      <c r="G4150" s="20" t="str">
        <f t="shared" si="192"/>
        <v xml:space="preserve"> COQUOPOCKET     </v>
      </c>
      <c r="H4150" s="20" t="str">
        <f t="shared" si="193"/>
        <v xml:space="preserve">TURQ </v>
      </c>
      <c r="I4150" s="20">
        <f t="shared" si="194"/>
        <v>0</v>
      </c>
    </row>
    <row r="4151" spans="1:9">
      <c r="A4151" s="17" t="s">
        <v>1660</v>
      </c>
      <c r="B4151" s="17" t="s">
        <v>1664</v>
      </c>
      <c r="C4151" s="17">
        <v>0</v>
      </c>
      <c r="D4151" s="17" t="s">
        <v>801</v>
      </c>
      <c r="E4151" s="18">
        <v>8056095069226</v>
      </c>
      <c r="G4151" s="20" t="str">
        <f t="shared" si="192"/>
        <v xml:space="preserve"> COQUOPOCKET     </v>
      </c>
      <c r="H4151" s="20" t="str">
        <f t="shared" si="193"/>
        <v>VERAN</v>
      </c>
      <c r="I4151" s="20">
        <f t="shared" si="194"/>
        <v>0</v>
      </c>
    </row>
    <row r="4152" spans="1:9">
      <c r="A4152" s="17" t="s">
        <v>1660</v>
      </c>
      <c r="B4152" s="17" t="s">
        <v>1664</v>
      </c>
      <c r="C4152" s="17">
        <v>0</v>
      </c>
      <c r="D4152" s="17" t="s">
        <v>801</v>
      </c>
      <c r="E4152" s="18">
        <v>3004701079003</v>
      </c>
      <c r="G4152" s="20" t="str">
        <f t="shared" si="192"/>
        <v xml:space="preserve"> COQUOPOCKET     </v>
      </c>
      <c r="H4152" s="20" t="str">
        <f t="shared" si="193"/>
        <v>VERAN</v>
      </c>
      <c r="I4152" s="20">
        <f t="shared" si="194"/>
        <v>0</v>
      </c>
    </row>
    <row r="4153" spans="1:9">
      <c r="A4153" s="17" t="s">
        <v>1660</v>
      </c>
      <c r="B4153" s="17" t="s">
        <v>811</v>
      </c>
      <c r="C4153" s="17">
        <v>0</v>
      </c>
      <c r="D4153" s="17" t="s">
        <v>801</v>
      </c>
      <c r="E4153" s="18">
        <v>3004700659008</v>
      </c>
      <c r="G4153" s="20" t="str">
        <f t="shared" si="192"/>
        <v xml:space="preserve"> COQUOPOCKET     </v>
      </c>
      <c r="H4153" s="20" t="str">
        <f t="shared" si="193"/>
        <v xml:space="preserve">VERT </v>
      </c>
      <c r="I4153" s="20">
        <f t="shared" si="194"/>
        <v>0</v>
      </c>
    </row>
    <row r="4154" spans="1:9">
      <c r="A4154" s="17" t="s">
        <v>1660</v>
      </c>
      <c r="B4154" s="17" t="s">
        <v>867</v>
      </c>
      <c r="C4154" s="17">
        <v>0</v>
      </c>
      <c r="D4154" s="17" t="s">
        <v>801</v>
      </c>
      <c r="E4154" s="18">
        <v>8056095069233</v>
      </c>
      <c r="G4154" s="20" t="str">
        <f t="shared" si="192"/>
        <v xml:space="preserve"> COQUOPOCKET     </v>
      </c>
      <c r="H4154" s="20" t="str">
        <f t="shared" si="193"/>
        <v>VERTF</v>
      </c>
      <c r="I4154" s="20">
        <f t="shared" si="194"/>
        <v>0</v>
      </c>
    </row>
    <row r="4155" spans="1:9">
      <c r="A4155" s="17" t="s">
        <v>1660</v>
      </c>
      <c r="B4155" s="17" t="s">
        <v>867</v>
      </c>
      <c r="C4155" s="17">
        <v>0</v>
      </c>
      <c r="D4155" s="17" t="s">
        <v>801</v>
      </c>
      <c r="E4155" s="18">
        <v>3004701032008</v>
      </c>
      <c r="G4155" s="20" t="str">
        <f t="shared" si="192"/>
        <v xml:space="preserve"> COQUOPOCKET     </v>
      </c>
      <c r="H4155" s="20" t="str">
        <f t="shared" si="193"/>
        <v>VERTF</v>
      </c>
      <c r="I4155" s="20">
        <f t="shared" si="194"/>
        <v>0</v>
      </c>
    </row>
    <row r="4156" spans="1:9">
      <c r="A4156" s="17" t="s">
        <v>1660</v>
      </c>
      <c r="B4156" s="17" t="s">
        <v>1442</v>
      </c>
      <c r="C4156" s="17">
        <v>0</v>
      </c>
      <c r="D4156" s="17" t="s">
        <v>801</v>
      </c>
      <c r="E4156" s="18">
        <v>3005360489004</v>
      </c>
      <c r="G4156" s="20" t="str">
        <f t="shared" si="192"/>
        <v xml:space="preserve"> COQUOPOCKET     </v>
      </c>
      <c r="H4156" s="20" t="str">
        <f t="shared" si="193"/>
        <v>VIODE</v>
      </c>
      <c r="I4156" s="20">
        <f t="shared" si="194"/>
        <v>0</v>
      </c>
    </row>
    <row r="4157" spans="1:9">
      <c r="A4157" s="17" t="s">
        <v>1660</v>
      </c>
      <c r="B4157" s="17" t="s">
        <v>1442</v>
      </c>
      <c r="C4157" s="17">
        <v>0</v>
      </c>
      <c r="D4157" s="17" t="s">
        <v>801</v>
      </c>
      <c r="E4157" s="18">
        <v>3004700489001</v>
      </c>
      <c r="G4157" s="20" t="str">
        <f t="shared" si="192"/>
        <v xml:space="preserve"> COQUOPOCKET     </v>
      </c>
      <c r="H4157" s="20" t="str">
        <f t="shared" si="193"/>
        <v>VIODE</v>
      </c>
      <c r="I4157" s="20">
        <f t="shared" si="194"/>
        <v>0</v>
      </c>
    </row>
    <row r="4158" spans="1:9">
      <c r="A4158" s="17" t="s">
        <v>1660</v>
      </c>
      <c r="B4158" s="17" t="s">
        <v>927</v>
      </c>
      <c r="C4158" s="17">
        <v>0</v>
      </c>
      <c r="D4158" s="17" t="s">
        <v>801</v>
      </c>
      <c r="E4158" s="18">
        <v>3004700437002</v>
      </c>
      <c r="G4158" s="20" t="str">
        <f t="shared" si="192"/>
        <v xml:space="preserve"> COQUOPOCKET     </v>
      </c>
      <c r="H4158" s="20" t="str">
        <f t="shared" si="193"/>
        <v xml:space="preserve">VOLC </v>
      </c>
      <c r="I4158" s="20">
        <f t="shared" si="194"/>
        <v>0</v>
      </c>
    </row>
    <row r="4159" spans="1:9">
      <c r="A4159" s="17" t="s">
        <v>1660</v>
      </c>
      <c r="B4159" s="17" t="s">
        <v>273</v>
      </c>
      <c r="C4159" s="17">
        <v>0</v>
      </c>
      <c r="D4159" s="17" t="s">
        <v>801</v>
      </c>
      <c r="E4159" s="18">
        <v>3004700440002</v>
      </c>
      <c r="G4159" s="20" t="str">
        <f t="shared" si="192"/>
        <v xml:space="preserve"> COQUOPOCKET     </v>
      </c>
      <c r="H4159" s="20" t="str">
        <f t="shared" si="193"/>
        <v>WHITE</v>
      </c>
      <c r="I4159" s="20">
        <f t="shared" si="194"/>
        <v>0</v>
      </c>
    </row>
    <row r="4160" spans="1:9">
      <c r="A4160" s="17" t="s">
        <v>1660</v>
      </c>
      <c r="B4160" s="17" t="s">
        <v>273</v>
      </c>
      <c r="C4160" s="17">
        <v>0</v>
      </c>
      <c r="D4160" s="17" t="s">
        <v>801</v>
      </c>
      <c r="E4160" s="18">
        <v>3005360440005</v>
      </c>
      <c r="G4160" s="20" t="str">
        <f t="shared" si="192"/>
        <v xml:space="preserve"> COQUOPOCKET     </v>
      </c>
      <c r="H4160" s="20" t="str">
        <f t="shared" si="193"/>
        <v>WHITE</v>
      </c>
      <c r="I4160" s="20">
        <f t="shared" si="194"/>
        <v>0</v>
      </c>
    </row>
    <row r="4161" spans="1:9">
      <c r="A4161" s="17" t="s">
        <v>1665</v>
      </c>
      <c r="B4161" s="17" t="s">
        <v>808</v>
      </c>
      <c r="C4161" s="17">
        <v>0</v>
      </c>
      <c r="D4161" s="17" t="s">
        <v>801</v>
      </c>
      <c r="E4161" s="18">
        <v>8050846028463</v>
      </c>
      <c r="G4161" s="20" t="str">
        <f t="shared" si="192"/>
        <v xml:space="preserve"> COUVECOFOUR     </v>
      </c>
      <c r="H4161" s="20" t="str">
        <f t="shared" si="193"/>
        <v>ANTHR</v>
      </c>
      <c r="I4161" s="20">
        <f t="shared" si="194"/>
        <v>0</v>
      </c>
    </row>
    <row r="4162" spans="1:9">
      <c r="A4162" s="17" t="s">
        <v>1665</v>
      </c>
      <c r="B4162" s="17" t="s">
        <v>809</v>
      </c>
      <c r="C4162" s="17">
        <v>0</v>
      </c>
      <c r="D4162" s="17" t="s">
        <v>801</v>
      </c>
      <c r="E4162" s="18">
        <v>8050846028432</v>
      </c>
      <c r="G4162" s="20" t="str">
        <f t="shared" si="192"/>
        <v xml:space="preserve"> COUVECOFOUR     </v>
      </c>
      <c r="H4162" s="20" t="str">
        <f t="shared" si="193"/>
        <v>AUBER</v>
      </c>
      <c r="I4162" s="20">
        <f t="shared" si="194"/>
        <v>0</v>
      </c>
    </row>
    <row r="4163" spans="1:9">
      <c r="A4163" s="17" t="s">
        <v>1665</v>
      </c>
      <c r="B4163" s="17" t="s">
        <v>818</v>
      </c>
      <c r="C4163" s="17">
        <v>0</v>
      </c>
      <c r="D4163" s="17" t="s">
        <v>801</v>
      </c>
      <c r="E4163" s="18">
        <v>8050846028425</v>
      </c>
      <c r="G4163" s="20" t="str">
        <f t="shared" si="192"/>
        <v xml:space="preserve"> COUVECOFOUR     </v>
      </c>
      <c r="H4163" s="20" t="str">
        <f t="shared" si="193"/>
        <v xml:space="preserve">BDX  </v>
      </c>
      <c r="I4163" s="20">
        <f t="shared" si="194"/>
        <v>0</v>
      </c>
    </row>
    <row r="4164" spans="1:9">
      <c r="A4164" s="17" t="s">
        <v>1665</v>
      </c>
      <c r="B4164" s="17" t="s">
        <v>280</v>
      </c>
      <c r="C4164" s="17">
        <v>0</v>
      </c>
      <c r="D4164" s="17" t="s">
        <v>801</v>
      </c>
      <c r="E4164" s="18">
        <v>8050846028456</v>
      </c>
      <c r="G4164" s="20" t="str">
        <f t="shared" si="192"/>
        <v xml:space="preserve"> COUVECOFOUR     </v>
      </c>
      <c r="H4164" s="20" t="str">
        <f t="shared" si="193"/>
        <v>BLACK</v>
      </c>
      <c r="I4164" s="20">
        <f t="shared" si="194"/>
        <v>0</v>
      </c>
    </row>
    <row r="4165" spans="1:9">
      <c r="A4165" s="17" t="s">
        <v>1665</v>
      </c>
      <c r="B4165" s="17" t="s">
        <v>1078</v>
      </c>
      <c r="C4165" s="17">
        <v>0</v>
      </c>
      <c r="D4165" s="17" t="s">
        <v>801</v>
      </c>
      <c r="E4165" s="18">
        <v>8050846028470</v>
      </c>
      <c r="G4165" s="20" t="str">
        <f t="shared" ref="G4165:G4228" si="195">A4165</f>
        <v xml:space="preserve"> COUVECOFOUR     </v>
      </c>
      <c r="H4165" s="20" t="str">
        <f t="shared" ref="H4165:H4228" si="196">B4165</f>
        <v xml:space="preserve">NAVY </v>
      </c>
      <c r="I4165" s="20">
        <f t="shared" ref="I4165:I4228" si="197">C4165</f>
        <v>0</v>
      </c>
    </row>
    <row r="4166" spans="1:9">
      <c r="A4166" s="17" t="s">
        <v>1665</v>
      </c>
      <c r="B4166" s="17" t="s">
        <v>283</v>
      </c>
      <c r="C4166" s="17">
        <v>0</v>
      </c>
      <c r="D4166" s="17" t="s">
        <v>801</v>
      </c>
      <c r="E4166" s="18">
        <v>8050846028487</v>
      </c>
      <c r="G4166" s="20" t="str">
        <f t="shared" si="195"/>
        <v xml:space="preserve"> COUVECOFOUR     </v>
      </c>
      <c r="H4166" s="20" t="str">
        <f t="shared" si="196"/>
        <v>PHARD</v>
      </c>
      <c r="I4166" s="20">
        <f t="shared" si="197"/>
        <v>0</v>
      </c>
    </row>
    <row r="4167" spans="1:9">
      <c r="A4167" s="17" t="s">
        <v>1665</v>
      </c>
      <c r="B4167" s="17" t="s">
        <v>273</v>
      </c>
      <c r="C4167" s="17">
        <v>0</v>
      </c>
      <c r="D4167" s="17" t="s">
        <v>801</v>
      </c>
      <c r="E4167" s="18">
        <v>8050846028449</v>
      </c>
      <c r="G4167" s="20" t="str">
        <f t="shared" si="195"/>
        <v xml:space="preserve"> COUVECOFOUR     </v>
      </c>
      <c r="H4167" s="20" t="str">
        <f t="shared" si="196"/>
        <v>WHITE</v>
      </c>
      <c r="I4167" s="20">
        <f t="shared" si="197"/>
        <v>0</v>
      </c>
    </row>
    <row r="4168" spans="1:9">
      <c r="A4168" s="17" t="s">
        <v>1666</v>
      </c>
      <c r="B4168" s="17" t="s">
        <v>859</v>
      </c>
      <c r="C4168" s="17">
        <v>0</v>
      </c>
      <c r="D4168" s="17" t="s">
        <v>801</v>
      </c>
      <c r="E4168" s="18">
        <v>3004800597002</v>
      </c>
      <c r="G4168" s="20" t="str">
        <f t="shared" si="195"/>
        <v xml:space="preserve"> COYOTE          </v>
      </c>
      <c r="H4168" s="20" t="str">
        <f t="shared" si="196"/>
        <v>NATUR</v>
      </c>
      <c r="I4168" s="20">
        <f t="shared" si="197"/>
        <v>0</v>
      </c>
    </row>
    <row r="4169" spans="1:9">
      <c r="A4169" s="17" t="s">
        <v>1667</v>
      </c>
      <c r="B4169" s="17" t="s">
        <v>1453</v>
      </c>
      <c r="C4169" s="17">
        <v>0</v>
      </c>
      <c r="D4169" s="17" t="s">
        <v>801</v>
      </c>
      <c r="E4169" s="18">
        <v>3005840427007</v>
      </c>
      <c r="G4169" s="20" t="str">
        <f t="shared" si="195"/>
        <v xml:space="preserve"> DECOSHOES       </v>
      </c>
      <c r="H4169" s="20" t="str">
        <f t="shared" si="196"/>
        <v xml:space="preserve">UNI  </v>
      </c>
      <c r="I4169" s="20">
        <f t="shared" si="197"/>
        <v>0</v>
      </c>
    </row>
    <row r="4170" spans="1:9">
      <c r="A4170" s="17" t="s">
        <v>1668</v>
      </c>
      <c r="B4170" s="17" t="s">
        <v>280</v>
      </c>
      <c r="C4170" s="17">
        <v>0</v>
      </c>
      <c r="D4170" s="17" t="s">
        <v>801</v>
      </c>
      <c r="E4170" s="18">
        <v>3003660001001</v>
      </c>
      <c r="G4170" s="20" t="str">
        <f t="shared" si="195"/>
        <v xml:space="preserve"> ECOCAPUCHE      </v>
      </c>
      <c r="H4170" s="20" t="str">
        <f t="shared" si="196"/>
        <v>BLACK</v>
      </c>
      <c r="I4170" s="20">
        <f t="shared" si="197"/>
        <v>0</v>
      </c>
    </row>
    <row r="4171" spans="1:9">
      <c r="A4171" s="17" t="s">
        <v>1668</v>
      </c>
      <c r="B4171" s="17" t="s">
        <v>858</v>
      </c>
      <c r="C4171" s="17">
        <v>0</v>
      </c>
      <c r="D4171" s="17" t="s">
        <v>801</v>
      </c>
      <c r="E4171" s="18">
        <v>3003660003005</v>
      </c>
      <c r="G4171" s="20" t="str">
        <f t="shared" si="195"/>
        <v xml:space="preserve"> ECOCAPUCHE      </v>
      </c>
      <c r="H4171" s="20" t="str">
        <f t="shared" si="196"/>
        <v xml:space="preserve">GREY </v>
      </c>
      <c r="I4171" s="20">
        <f t="shared" si="197"/>
        <v>0</v>
      </c>
    </row>
    <row r="4172" spans="1:9">
      <c r="A4172" s="17" t="s">
        <v>1668</v>
      </c>
      <c r="B4172" s="17" t="s">
        <v>273</v>
      </c>
      <c r="C4172" s="17">
        <v>0</v>
      </c>
      <c r="D4172" s="17" t="s">
        <v>801</v>
      </c>
      <c r="E4172" s="18">
        <v>3020440005004</v>
      </c>
      <c r="G4172" s="20" t="str">
        <f t="shared" si="195"/>
        <v xml:space="preserve"> ECOCAPUCHE      </v>
      </c>
      <c r="H4172" s="20" t="str">
        <f t="shared" si="196"/>
        <v>WHITE</v>
      </c>
      <c r="I4172" s="20">
        <f t="shared" si="197"/>
        <v>0</v>
      </c>
    </row>
    <row r="4173" spans="1:9">
      <c r="A4173" s="17" t="s">
        <v>1669</v>
      </c>
      <c r="B4173" s="17" t="s">
        <v>799</v>
      </c>
      <c r="C4173" s="17">
        <v>0</v>
      </c>
      <c r="D4173" s="17" t="s">
        <v>801</v>
      </c>
      <c r="E4173" s="18">
        <v>3002510458002</v>
      </c>
      <c r="G4173" s="20" t="str">
        <f t="shared" si="195"/>
        <v xml:space="preserve"> ECOFOURRURE     </v>
      </c>
      <c r="H4173" s="20" t="str">
        <f t="shared" si="196"/>
        <v xml:space="preserve">     </v>
      </c>
      <c r="I4173" s="20">
        <f t="shared" si="197"/>
        <v>0</v>
      </c>
    </row>
    <row r="4174" spans="1:9">
      <c r="A4174" s="17" t="s">
        <v>1669</v>
      </c>
      <c r="B4174" s="17" t="s">
        <v>1460</v>
      </c>
      <c r="C4174" s="17">
        <v>0</v>
      </c>
      <c r="D4174" s="17" t="s">
        <v>801</v>
      </c>
      <c r="E4174" s="18">
        <v>3020450615002</v>
      </c>
      <c r="G4174" s="20" t="str">
        <f t="shared" si="195"/>
        <v xml:space="preserve"> ECOFOURRURE     </v>
      </c>
      <c r="H4174" s="20" t="str">
        <f t="shared" si="196"/>
        <v xml:space="preserve">ANIM </v>
      </c>
      <c r="I4174" s="20">
        <f t="shared" si="197"/>
        <v>0</v>
      </c>
    </row>
    <row r="4175" spans="1:9">
      <c r="A4175" s="17" t="s">
        <v>1669</v>
      </c>
      <c r="B4175" s="17" t="s">
        <v>1460</v>
      </c>
      <c r="C4175" s="17">
        <v>0</v>
      </c>
      <c r="D4175" s="17" t="s">
        <v>801</v>
      </c>
      <c r="E4175" s="18">
        <v>8058983597521</v>
      </c>
      <c r="G4175" s="20" t="str">
        <f t="shared" si="195"/>
        <v xml:space="preserve"> ECOFOURRURE     </v>
      </c>
      <c r="H4175" s="20" t="str">
        <f t="shared" si="196"/>
        <v xml:space="preserve">ANIM </v>
      </c>
      <c r="I4175" s="20">
        <f t="shared" si="197"/>
        <v>0</v>
      </c>
    </row>
    <row r="4176" spans="1:9">
      <c r="A4176" s="17" t="s">
        <v>1669</v>
      </c>
      <c r="B4176" s="17" t="s">
        <v>1531</v>
      </c>
      <c r="C4176" s="17">
        <v>0</v>
      </c>
      <c r="D4176" s="17" t="s">
        <v>801</v>
      </c>
      <c r="E4176" s="18">
        <v>3002511517005</v>
      </c>
      <c r="G4176" s="20" t="str">
        <f t="shared" si="195"/>
        <v xml:space="preserve"> ECOFOURRURE     </v>
      </c>
      <c r="H4176" s="20" t="str">
        <f t="shared" si="196"/>
        <v>ASTBL</v>
      </c>
      <c r="I4176" s="20">
        <f t="shared" si="197"/>
        <v>0</v>
      </c>
    </row>
    <row r="4177" spans="1:9">
      <c r="A4177" s="17" t="s">
        <v>1669</v>
      </c>
      <c r="B4177" s="17" t="s">
        <v>1531</v>
      </c>
      <c r="C4177" s="17">
        <v>0</v>
      </c>
      <c r="D4177" s="17" t="s">
        <v>801</v>
      </c>
      <c r="E4177" s="18">
        <v>8050846013384</v>
      </c>
      <c r="G4177" s="20" t="str">
        <f t="shared" si="195"/>
        <v xml:space="preserve"> ECOFOURRURE     </v>
      </c>
      <c r="H4177" s="20" t="str">
        <f t="shared" si="196"/>
        <v>ASTBL</v>
      </c>
      <c r="I4177" s="20">
        <f t="shared" si="197"/>
        <v>0</v>
      </c>
    </row>
    <row r="4178" spans="1:9">
      <c r="A4178" s="17" t="s">
        <v>1669</v>
      </c>
      <c r="B4178" s="17" t="s">
        <v>1670</v>
      </c>
      <c r="C4178" s="17">
        <v>0</v>
      </c>
      <c r="D4178" s="17" t="s">
        <v>801</v>
      </c>
      <c r="E4178" s="18">
        <v>3003580074000</v>
      </c>
      <c r="G4178" s="20" t="str">
        <f t="shared" si="195"/>
        <v xml:space="preserve"> ECOFOURRURE     </v>
      </c>
      <c r="H4178" s="20" t="str">
        <f t="shared" si="196"/>
        <v>BEMAR</v>
      </c>
      <c r="I4178" s="20">
        <f t="shared" si="197"/>
        <v>0</v>
      </c>
    </row>
    <row r="4179" spans="1:9">
      <c r="A4179" s="17" t="s">
        <v>1669</v>
      </c>
      <c r="B4179" s="17" t="s">
        <v>1671</v>
      </c>
      <c r="C4179" s="17">
        <v>0</v>
      </c>
      <c r="D4179" s="17" t="s">
        <v>801</v>
      </c>
      <c r="E4179" s="18">
        <v>3020450660002</v>
      </c>
      <c r="G4179" s="20" t="str">
        <f t="shared" si="195"/>
        <v xml:space="preserve"> ECOFOURRURE     </v>
      </c>
      <c r="H4179" s="20" t="str">
        <f t="shared" si="196"/>
        <v>BICBP</v>
      </c>
      <c r="I4179" s="20">
        <f t="shared" si="197"/>
        <v>0</v>
      </c>
    </row>
    <row r="4180" spans="1:9">
      <c r="A4180" s="17" t="s">
        <v>1669</v>
      </c>
      <c r="B4180" s="17" t="s">
        <v>1671</v>
      </c>
      <c r="C4180" s="17">
        <v>0</v>
      </c>
      <c r="D4180" s="17" t="s">
        <v>801</v>
      </c>
      <c r="E4180" s="18">
        <v>8058983597538</v>
      </c>
      <c r="G4180" s="20" t="str">
        <f t="shared" si="195"/>
        <v xml:space="preserve"> ECOFOURRURE     </v>
      </c>
      <c r="H4180" s="20" t="str">
        <f t="shared" si="196"/>
        <v>BICBP</v>
      </c>
      <c r="I4180" s="20">
        <f t="shared" si="197"/>
        <v>0</v>
      </c>
    </row>
    <row r="4181" spans="1:9">
      <c r="A4181" s="17" t="s">
        <v>1669</v>
      </c>
      <c r="B4181" s="17" t="s">
        <v>1672</v>
      </c>
      <c r="C4181" s="17">
        <v>0</v>
      </c>
      <c r="D4181" s="17" t="s">
        <v>801</v>
      </c>
      <c r="E4181" s="18">
        <v>3020450661009</v>
      </c>
      <c r="G4181" s="20" t="str">
        <f t="shared" si="195"/>
        <v xml:space="preserve"> ECOFOURRURE     </v>
      </c>
      <c r="H4181" s="20" t="str">
        <f t="shared" si="196"/>
        <v>BICNE</v>
      </c>
      <c r="I4181" s="20">
        <f t="shared" si="197"/>
        <v>0</v>
      </c>
    </row>
    <row r="4182" spans="1:9">
      <c r="A4182" s="17" t="s">
        <v>1669</v>
      </c>
      <c r="B4182" s="17" t="s">
        <v>1672</v>
      </c>
      <c r="C4182" s="17">
        <v>0</v>
      </c>
      <c r="D4182" s="17" t="s">
        <v>801</v>
      </c>
      <c r="E4182" s="18">
        <v>8058983597545</v>
      </c>
      <c r="G4182" s="20" t="str">
        <f t="shared" si="195"/>
        <v xml:space="preserve"> ECOFOURRURE     </v>
      </c>
      <c r="H4182" s="20" t="str">
        <f t="shared" si="196"/>
        <v>BICNE</v>
      </c>
      <c r="I4182" s="20">
        <f t="shared" si="197"/>
        <v>0</v>
      </c>
    </row>
    <row r="4183" spans="1:9">
      <c r="A4183" s="17" t="s">
        <v>1669</v>
      </c>
      <c r="B4183" s="17" t="s">
        <v>1673</v>
      </c>
      <c r="C4183" s="17">
        <v>0</v>
      </c>
      <c r="D4183" s="17" t="s">
        <v>801</v>
      </c>
      <c r="E4183" s="18">
        <v>3020450662006</v>
      </c>
      <c r="G4183" s="20" t="str">
        <f t="shared" si="195"/>
        <v xml:space="preserve"> ECOFOURRURE     </v>
      </c>
      <c r="H4183" s="20" t="str">
        <f t="shared" si="196"/>
        <v>BICVN</v>
      </c>
      <c r="I4183" s="20">
        <f t="shared" si="197"/>
        <v>0</v>
      </c>
    </row>
    <row r="4184" spans="1:9">
      <c r="A4184" s="17" t="s">
        <v>1669</v>
      </c>
      <c r="B4184" s="17" t="s">
        <v>1673</v>
      </c>
      <c r="C4184" s="17">
        <v>0</v>
      </c>
      <c r="D4184" s="17" t="s">
        <v>801</v>
      </c>
      <c r="E4184" s="18">
        <v>8058983597552</v>
      </c>
      <c r="G4184" s="20" t="str">
        <f t="shared" si="195"/>
        <v xml:space="preserve"> ECOFOURRURE     </v>
      </c>
      <c r="H4184" s="20" t="str">
        <f t="shared" si="196"/>
        <v>BICVN</v>
      </c>
      <c r="I4184" s="20">
        <f t="shared" si="197"/>
        <v>0</v>
      </c>
    </row>
    <row r="4185" spans="1:9">
      <c r="A4185" s="17" t="s">
        <v>1669</v>
      </c>
      <c r="B4185" s="17" t="s">
        <v>1673</v>
      </c>
      <c r="C4185" s="17">
        <v>0</v>
      </c>
      <c r="D4185" s="17" t="s">
        <v>801</v>
      </c>
      <c r="E4185" s="18">
        <v>8056300456384</v>
      </c>
      <c r="G4185" s="20" t="str">
        <f t="shared" si="195"/>
        <v xml:space="preserve"> ECOFOURRURE     </v>
      </c>
      <c r="H4185" s="20" t="str">
        <f t="shared" si="196"/>
        <v>BICVN</v>
      </c>
      <c r="I4185" s="20">
        <f t="shared" si="197"/>
        <v>0</v>
      </c>
    </row>
    <row r="4186" spans="1:9">
      <c r="A4186" s="17" t="s">
        <v>1669</v>
      </c>
      <c r="B4186" s="17" t="s">
        <v>1674</v>
      </c>
      <c r="C4186" s="17">
        <v>0</v>
      </c>
      <c r="D4186" s="17" t="s">
        <v>801</v>
      </c>
      <c r="E4186" s="18">
        <v>3003580073003</v>
      </c>
      <c r="G4186" s="20" t="str">
        <f t="shared" si="195"/>
        <v xml:space="preserve"> ECOFOURRURE     </v>
      </c>
      <c r="H4186" s="20" t="str">
        <f t="shared" si="196"/>
        <v>BLMAR</v>
      </c>
      <c r="I4186" s="20">
        <f t="shared" si="197"/>
        <v>0</v>
      </c>
    </row>
    <row r="4187" spans="1:9">
      <c r="A4187" s="17" t="s">
        <v>1669</v>
      </c>
      <c r="B4187" s="17" t="s">
        <v>1675</v>
      </c>
      <c r="C4187" s="17">
        <v>0</v>
      </c>
      <c r="D4187" s="17" t="s">
        <v>801</v>
      </c>
      <c r="E4187" s="18">
        <v>3003480077002</v>
      </c>
      <c r="G4187" s="20" t="str">
        <f t="shared" si="195"/>
        <v xml:space="preserve"> ECOFOURRURE     </v>
      </c>
      <c r="H4187" s="20" t="str">
        <f t="shared" si="196"/>
        <v>BMINK</v>
      </c>
      <c r="I4187" s="20">
        <f t="shared" si="197"/>
        <v>0</v>
      </c>
    </row>
    <row r="4188" spans="1:9">
      <c r="A4188" s="17" t="s">
        <v>1669</v>
      </c>
      <c r="B4188" s="17" t="s">
        <v>1676</v>
      </c>
      <c r="C4188" s="17">
        <v>0</v>
      </c>
      <c r="D4188" s="17" t="s">
        <v>801</v>
      </c>
      <c r="E4188" s="18">
        <v>3003480093002</v>
      </c>
      <c r="G4188" s="20" t="str">
        <f t="shared" si="195"/>
        <v xml:space="preserve"> ECOFOURRURE     </v>
      </c>
      <c r="H4188" s="20" t="str">
        <f t="shared" si="196"/>
        <v xml:space="preserve">CINB </v>
      </c>
      <c r="I4188" s="20">
        <f t="shared" si="197"/>
        <v>0</v>
      </c>
    </row>
    <row r="4189" spans="1:9">
      <c r="A4189" s="17" t="s">
        <v>1669</v>
      </c>
      <c r="B4189" s="17" t="s">
        <v>1677</v>
      </c>
      <c r="C4189" s="17">
        <v>0</v>
      </c>
      <c r="D4189" s="17" t="s">
        <v>801</v>
      </c>
      <c r="E4189" s="18">
        <v>3003480089005</v>
      </c>
      <c r="G4189" s="20" t="str">
        <f t="shared" si="195"/>
        <v xml:space="preserve"> ECOFOURRURE     </v>
      </c>
      <c r="H4189" s="20" t="str">
        <f t="shared" si="196"/>
        <v>CINCI</v>
      </c>
      <c r="I4189" s="20">
        <f t="shared" si="197"/>
        <v>0</v>
      </c>
    </row>
    <row r="4190" spans="1:9">
      <c r="A4190" s="17" t="s">
        <v>1669</v>
      </c>
      <c r="B4190" s="17" t="s">
        <v>1678</v>
      </c>
      <c r="C4190" s="17">
        <v>0</v>
      </c>
      <c r="D4190" s="17" t="s">
        <v>801</v>
      </c>
      <c r="E4190" s="18">
        <v>3002510970009</v>
      </c>
      <c r="G4190" s="20" t="str">
        <f t="shared" si="195"/>
        <v xml:space="preserve"> ECOFOURRURE     </v>
      </c>
      <c r="H4190" s="20" t="str">
        <f t="shared" si="196"/>
        <v>CINNA</v>
      </c>
      <c r="I4190" s="20">
        <f t="shared" si="197"/>
        <v>0</v>
      </c>
    </row>
    <row r="4191" spans="1:9">
      <c r="A4191" s="17" t="s">
        <v>1669</v>
      </c>
      <c r="B4191" s="17" t="s">
        <v>1678</v>
      </c>
      <c r="C4191" s="17">
        <v>0</v>
      </c>
      <c r="D4191" s="17" t="s">
        <v>801</v>
      </c>
      <c r="E4191" s="18">
        <v>8058983597422</v>
      </c>
      <c r="G4191" s="20" t="str">
        <f t="shared" si="195"/>
        <v xml:space="preserve"> ECOFOURRURE     </v>
      </c>
      <c r="H4191" s="20" t="str">
        <f t="shared" si="196"/>
        <v>CINNA</v>
      </c>
      <c r="I4191" s="20">
        <f t="shared" si="197"/>
        <v>0</v>
      </c>
    </row>
    <row r="4192" spans="1:9">
      <c r="A4192" s="17" t="s">
        <v>1669</v>
      </c>
      <c r="B4192" s="17" t="s">
        <v>1679</v>
      </c>
      <c r="C4192" s="17">
        <v>0</v>
      </c>
      <c r="D4192" s="17" t="s">
        <v>801</v>
      </c>
      <c r="E4192" s="18">
        <v>3003480078009</v>
      </c>
      <c r="G4192" s="20" t="str">
        <f t="shared" si="195"/>
        <v xml:space="preserve"> ECOFOURRURE     </v>
      </c>
      <c r="H4192" s="20" t="str">
        <f t="shared" si="196"/>
        <v xml:space="preserve">DMAR </v>
      </c>
      <c r="I4192" s="20">
        <f t="shared" si="197"/>
        <v>0</v>
      </c>
    </row>
    <row r="4193" spans="1:9">
      <c r="A4193" s="17" t="s">
        <v>1669</v>
      </c>
      <c r="B4193" s="17" t="s">
        <v>1680</v>
      </c>
      <c r="C4193" s="17">
        <v>0</v>
      </c>
      <c r="D4193" s="17" t="s">
        <v>801</v>
      </c>
      <c r="E4193" s="18">
        <v>3003480075008</v>
      </c>
      <c r="G4193" s="20" t="str">
        <f t="shared" si="195"/>
        <v xml:space="preserve"> ECOFOURRURE     </v>
      </c>
      <c r="H4193" s="20" t="str">
        <f t="shared" si="196"/>
        <v>DMINK</v>
      </c>
      <c r="I4193" s="20">
        <f t="shared" si="197"/>
        <v>0</v>
      </c>
    </row>
    <row r="4194" spans="1:9">
      <c r="A4194" s="17" t="s">
        <v>1669</v>
      </c>
      <c r="B4194" s="17" t="s">
        <v>1681</v>
      </c>
      <c r="C4194" s="17">
        <v>0</v>
      </c>
      <c r="D4194" s="17" t="s">
        <v>801</v>
      </c>
      <c r="E4194" s="18">
        <v>3003480094009</v>
      </c>
      <c r="G4194" s="20" t="str">
        <f t="shared" si="195"/>
        <v xml:space="preserve"> ECOFOURRURE     </v>
      </c>
      <c r="H4194" s="20" t="str">
        <f t="shared" si="196"/>
        <v xml:space="preserve">GMAR </v>
      </c>
      <c r="I4194" s="20">
        <f t="shared" si="197"/>
        <v>0</v>
      </c>
    </row>
    <row r="4195" spans="1:9">
      <c r="A4195" s="17" t="s">
        <v>1669</v>
      </c>
      <c r="B4195" s="17" t="s">
        <v>1682</v>
      </c>
      <c r="C4195" s="17">
        <v>0</v>
      </c>
      <c r="D4195" s="17" t="s">
        <v>801</v>
      </c>
      <c r="E4195" s="18">
        <v>3003480076005</v>
      </c>
      <c r="G4195" s="20" t="str">
        <f t="shared" si="195"/>
        <v xml:space="preserve"> ECOFOURRURE     </v>
      </c>
      <c r="H4195" s="20" t="str">
        <f t="shared" si="196"/>
        <v>GMINK</v>
      </c>
      <c r="I4195" s="20">
        <f t="shared" si="197"/>
        <v>0</v>
      </c>
    </row>
    <row r="4196" spans="1:9">
      <c r="A4196" s="17" t="s">
        <v>1669</v>
      </c>
      <c r="B4196" s="17" t="s">
        <v>1683</v>
      </c>
      <c r="C4196" s="17">
        <v>0</v>
      </c>
      <c r="D4196" s="17" t="s">
        <v>801</v>
      </c>
      <c r="E4196" s="18">
        <v>3002510593000</v>
      </c>
      <c r="G4196" s="20" t="str">
        <f t="shared" si="195"/>
        <v xml:space="preserve"> ECOFOURRURE     </v>
      </c>
      <c r="H4196" s="20" t="str">
        <f t="shared" si="196"/>
        <v>GPETI</v>
      </c>
      <c r="I4196" s="20">
        <f t="shared" si="197"/>
        <v>0</v>
      </c>
    </row>
    <row r="4197" spans="1:9">
      <c r="A4197" s="17" t="s">
        <v>1669</v>
      </c>
      <c r="B4197" s="17" t="s">
        <v>858</v>
      </c>
      <c r="C4197" s="17">
        <v>0</v>
      </c>
      <c r="D4197" s="17" t="s">
        <v>801</v>
      </c>
      <c r="E4197" s="18">
        <v>3003580003000</v>
      </c>
      <c r="G4197" s="20" t="str">
        <f t="shared" si="195"/>
        <v xml:space="preserve"> ECOFOURRURE     </v>
      </c>
      <c r="H4197" s="20" t="str">
        <f t="shared" si="196"/>
        <v xml:space="preserve">GREY </v>
      </c>
      <c r="I4197" s="20">
        <f t="shared" si="197"/>
        <v>0</v>
      </c>
    </row>
    <row r="4198" spans="1:9">
      <c r="A4198" s="17" t="s">
        <v>1669</v>
      </c>
      <c r="B4198" s="17" t="s">
        <v>1684</v>
      </c>
      <c r="C4198" s="17">
        <v>0</v>
      </c>
      <c r="D4198" s="17" t="s">
        <v>801</v>
      </c>
      <c r="E4198" s="18">
        <v>3003480092005</v>
      </c>
      <c r="G4198" s="20" t="str">
        <f t="shared" si="195"/>
        <v xml:space="preserve"> ECOFOURRURE     </v>
      </c>
      <c r="H4198" s="20" t="str">
        <f t="shared" si="196"/>
        <v>GVOLP</v>
      </c>
      <c r="I4198" s="20">
        <f t="shared" si="197"/>
        <v>0</v>
      </c>
    </row>
    <row r="4199" spans="1:9">
      <c r="A4199" s="17" t="s">
        <v>1669</v>
      </c>
      <c r="B4199" s="17" t="s">
        <v>1685</v>
      </c>
      <c r="C4199" s="17">
        <v>0</v>
      </c>
      <c r="D4199" s="17" t="s">
        <v>801</v>
      </c>
      <c r="E4199" s="18">
        <v>3020450626008</v>
      </c>
      <c r="G4199" s="20" t="str">
        <f t="shared" si="195"/>
        <v xml:space="preserve"> ECOFOURRURE     </v>
      </c>
      <c r="H4199" s="20" t="str">
        <f t="shared" si="196"/>
        <v>INTDO</v>
      </c>
      <c r="I4199" s="20">
        <f t="shared" si="197"/>
        <v>0</v>
      </c>
    </row>
    <row r="4200" spans="1:9">
      <c r="A4200" s="17" t="s">
        <v>1669</v>
      </c>
      <c r="B4200" s="17" t="s">
        <v>1685</v>
      </c>
      <c r="C4200" s="17">
        <v>0</v>
      </c>
      <c r="D4200" s="17" t="s">
        <v>801</v>
      </c>
      <c r="E4200" s="18">
        <v>8058983597477</v>
      </c>
      <c r="G4200" s="20" t="str">
        <f t="shared" si="195"/>
        <v xml:space="preserve"> ECOFOURRURE     </v>
      </c>
      <c r="H4200" s="20" t="str">
        <f t="shared" si="196"/>
        <v>INTDO</v>
      </c>
      <c r="I4200" s="20">
        <f t="shared" si="197"/>
        <v>0</v>
      </c>
    </row>
    <row r="4201" spans="1:9">
      <c r="A4201" s="17" t="s">
        <v>1669</v>
      </c>
      <c r="B4201" s="17" t="s">
        <v>1686</v>
      </c>
      <c r="C4201" s="17">
        <v>0</v>
      </c>
      <c r="D4201" s="17" t="s">
        <v>801</v>
      </c>
      <c r="E4201" s="18">
        <v>3020450623007</v>
      </c>
      <c r="G4201" s="20" t="str">
        <f t="shared" si="195"/>
        <v xml:space="preserve"> ECOFOURRURE     </v>
      </c>
      <c r="H4201" s="20" t="str">
        <f t="shared" si="196"/>
        <v>INTGR</v>
      </c>
      <c r="I4201" s="20">
        <f t="shared" si="197"/>
        <v>0</v>
      </c>
    </row>
    <row r="4202" spans="1:9">
      <c r="A4202" s="17" t="s">
        <v>1669</v>
      </c>
      <c r="B4202" s="17" t="s">
        <v>1686</v>
      </c>
      <c r="C4202" s="17">
        <v>0</v>
      </c>
      <c r="D4202" s="17" t="s">
        <v>801</v>
      </c>
      <c r="E4202" s="18">
        <v>8058983597460</v>
      </c>
      <c r="G4202" s="20" t="str">
        <f t="shared" si="195"/>
        <v xml:space="preserve"> ECOFOURRURE     </v>
      </c>
      <c r="H4202" s="20" t="str">
        <f t="shared" si="196"/>
        <v>INTGR</v>
      </c>
      <c r="I4202" s="20">
        <f t="shared" si="197"/>
        <v>0</v>
      </c>
    </row>
    <row r="4203" spans="1:9">
      <c r="A4203" s="17" t="s">
        <v>1669</v>
      </c>
      <c r="B4203" s="17" t="s">
        <v>1687</v>
      </c>
      <c r="C4203" s="17">
        <v>0</v>
      </c>
      <c r="D4203" s="17" t="s">
        <v>801</v>
      </c>
      <c r="E4203" s="18">
        <v>8056300456728</v>
      </c>
      <c r="G4203" s="20" t="str">
        <f t="shared" si="195"/>
        <v xml:space="preserve"> ECOFOURRURE     </v>
      </c>
      <c r="H4203" s="20" t="str">
        <f t="shared" si="196"/>
        <v>LABLA</v>
      </c>
      <c r="I4203" s="20">
        <f t="shared" si="197"/>
        <v>0</v>
      </c>
    </row>
    <row r="4204" spans="1:9">
      <c r="A4204" s="17" t="s">
        <v>1669</v>
      </c>
      <c r="B4204" s="17" t="s">
        <v>1687</v>
      </c>
      <c r="C4204" s="17">
        <v>0</v>
      </c>
      <c r="D4204" s="17" t="s">
        <v>801</v>
      </c>
      <c r="E4204" s="18">
        <v>3020450634003</v>
      </c>
      <c r="G4204" s="20" t="str">
        <f t="shared" si="195"/>
        <v xml:space="preserve"> ECOFOURRURE     </v>
      </c>
      <c r="H4204" s="20" t="str">
        <f t="shared" si="196"/>
        <v>LABLA</v>
      </c>
      <c r="I4204" s="20">
        <f t="shared" si="197"/>
        <v>0</v>
      </c>
    </row>
    <row r="4205" spans="1:9">
      <c r="A4205" s="17" t="s">
        <v>1669</v>
      </c>
      <c r="B4205" s="17" t="s">
        <v>1687</v>
      </c>
      <c r="C4205" s="17">
        <v>0</v>
      </c>
      <c r="D4205" s="17" t="s">
        <v>801</v>
      </c>
      <c r="E4205" s="18">
        <v>8050450213415</v>
      </c>
      <c r="G4205" s="20" t="str">
        <f t="shared" si="195"/>
        <v xml:space="preserve"> ECOFOURRURE     </v>
      </c>
      <c r="H4205" s="20" t="str">
        <f t="shared" si="196"/>
        <v>LABLA</v>
      </c>
      <c r="I4205" s="20">
        <f t="shared" si="197"/>
        <v>0</v>
      </c>
    </row>
    <row r="4206" spans="1:9">
      <c r="A4206" s="17" t="s">
        <v>1669</v>
      </c>
      <c r="B4206" s="17" t="s">
        <v>1688</v>
      </c>
      <c r="C4206" s="17">
        <v>0</v>
      </c>
      <c r="D4206" s="17" t="s">
        <v>801</v>
      </c>
      <c r="E4206" s="18">
        <v>3002511045003</v>
      </c>
      <c r="G4206" s="20" t="str">
        <f t="shared" si="195"/>
        <v xml:space="preserve"> ECOFOURRURE     </v>
      </c>
      <c r="H4206" s="20" t="str">
        <f t="shared" si="196"/>
        <v>LABLE</v>
      </c>
      <c r="I4206" s="20">
        <f t="shared" si="197"/>
        <v>0</v>
      </c>
    </row>
    <row r="4207" spans="1:9">
      <c r="A4207" s="17" t="s">
        <v>1669</v>
      </c>
      <c r="B4207" s="17" t="s">
        <v>1688</v>
      </c>
      <c r="C4207" s="17">
        <v>0</v>
      </c>
      <c r="D4207" s="17" t="s">
        <v>801</v>
      </c>
      <c r="E4207" s="18">
        <v>8058983595404</v>
      </c>
      <c r="G4207" s="20" t="str">
        <f t="shared" si="195"/>
        <v xml:space="preserve"> ECOFOURRURE     </v>
      </c>
      <c r="H4207" s="20" t="str">
        <f t="shared" si="196"/>
        <v>LABLE</v>
      </c>
      <c r="I4207" s="20">
        <f t="shared" si="197"/>
        <v>0</v>
      </c>
    </row>
    <row r="4208" spans="1:9">
      <c r="A4208" s="17" t="s">
        <v>1669</v>
      </c>
      <c r="B4208" s="17" t="s">
        <v>1250</v>
      </c>
      <c r="C4208" s="17">
        <v>0</v>
      </c>
      <c r="D4208" s="17" t="s">
        <v>801</v>
      </c>
      <c r="E4208" s="18">
        <v>8056099178146</v>
      </c>
      <c r="G4208" s="20" t="str">
        <f t="shared" si="195"/>
        <v xml:space="preserve"> ECOFOURRURE     </v>
      </c>
      <c r="H4208" s="20" t="str">
        <f t="shared" si="196"/>
        <v>LAPAU</v>
      </c>
      <c r="I4208" s="20">
        <f t="shared" si="197"/>
        <v>0</v>
      </c>
    </row>
    <row r="4209" spans="1:9">
      <c r="A4209" s="17" t="s">
        <v>1669</v>
      </c>
      <c r="B4209" s="17" t="s">
        <v>1689</v>
      </c>
      <c r="C4209" s="17">
        <v>0</v>
      </c>
      <c r="D4209" s="17" t="s">
        <v>801</v>
      </c>
      <c r="E4209" s="18">
        <v>8056099176876</v>
      </c>
      <c r="G4209" s="20" t="str">
        <f t="shared" si="195"/>
        <v xml:space="preserve"> ECOFOURRURE     </v>
      </c>
      <c r="H4209" s="20" t="str">
        <f t="shared" si="196"/>
        <v>LAPAV</v>
      </c>
      <c r="I4209" s="20">
        <f t="shared" si="197"/>
        <v>0</v>
      </c>
    </row>
    <row r="4210" spans="1:9">
      <c r="A4210" s="17" t="s">
        <v>1669</v>
      </c>
      <c r="B4210" s="17" t="s">
        <v>1690</v>
      </c>
      <c r="C4210" s="17">
        <v>0</v>
      </c>
      <c r="D4210" s="17" t="s">
        <v>801</v>
      </c>
      <c r="E4210" s="18">
        <v>3020450633006</v>
      </c>
      <c r="G4210" s="20" t="str">
        <f t="shared" si="195"/>
        <v xml:space="preserve"> ECOFOURRURE     </v>
      </c>
      <c r="H4210" s="20" t="str">
        <f t="shared" si="196"/>
        <v>LAPBE</v>
      </c>
      <c r="I4210" s="20">
        <f t="shared" si="197"/>
        <v>0</v>
      </c>
    </row>
    <row r="4211" spans="1:9">
      <c r="A4211" s="17" t="s">
        <v>1669</v>
      </c>
      <c r="B4211" s="17" t="s">
        <v>1690</v>
      </c>
      <c r="C4211" s="17">
        <v>0</v>
      </c>
      <c r="D4211" s="17" t="s">
        <v>801</v>
      </c>
      <c r="E4211" s="18">
        <v>8058983597514</v>
      </c>
      <c r="G4211" s="20" t="str">
        <f t="shared" si="195"/>
        <v xml:space="preserve"> ECOFOURRURE     </v>
      </c>
      <c r="H4211" s="20" t="str">
        <f t="shared" si="196"/>
        <v>LAPBE</v>
      </c>
      <c r="I4211" s="20">
        <f t="shared" si="197"/>
        <v>0</v>
      </c>
    </row>
    <row r="4212" spans="1:9">
      <c r="A4212" s="17" t="s">
        <v>1669</v>
      </c>
      <c r="B4212" s="17" t="s">
        <v>1251</v>
      </c>
      <c r="C4212" s="17">
        <v>0</v>
      </c>
      <c r="D4212" s="17" t="s">
        <v>801</v>
      </c>
      <c r="E4212" s="18">
        <v>3020450387008</v>
      </c>
      <c r="G4212" s="20" t="str">
        <f t="shared" si="195"/>
        <v xml:space="preserve"> ECOFOURRURE     </v>
      </c>
      <c r="H4212" s="20" t="str">
        <f t="shared" si="196"/>
        <v>LAPBL</v>
      </c>
      <c r="I4212" s="20">
        <f t="shared" si="197"/>
        <v>0</v>
      </c>
    </row>
    <row r="4213" spans="1:9">
      <c r="A4213" s="17" t="s">
        <v>1669</v>
      </c>
      <c r="B4213" s="17" t="s">
        <v>1252</v>
      </c>
      <c r="C4213" s="17">
        <v>0</v>
      </c>
      <c r="D4213" s="17" t="s">
        <v>801</v>
      </c>
      <c r="E4213" s="18">
        <v>8056300456407</v>
      </c>
      <c r="G4213" s="20" t="str">
        <f t="shared" si="195"/>
        <v xml:space="preserve"> ECOFOURRURE     </v>
      </c>
      <c r="H4213" s="20" t="str">
        <f t="shared" si="196"/>
        <v>LAPBO</v>
      </c>
      <c r="I4213" s="20">
        <f t="shared" si="197"/>
        <v>0</v>
      </c>
    </row>
    <row r="4214" spans="1:9">
      <c r="A4214" s="17" t="s">
        <v>1669</v>
      </c>
      <c r="B4214" s="17" t="s">
        <v>1253</v>
      </c>
      <c r="C4214" s="17">
        <v>0</v>
      </c>
      <c r="D4214" s="17" t="s">
        <v>801</v>
      </c>
      <c r="E4214" s="18">
        <v>3020450346005</v>
      </c>
      <c r="G4214" s="20" t="str">
        <f t="shared" si="195"/>
        <v xml:space="preserve"> ECOFOURRURE     </v>
      </c>
      <c r="H4214" s="20" t="str">
        <f t="shared" si="196"/>
        <v>LAPGR</v>
      </c>
      <c r="I4214" s="20">
        <f t="shared" si="197"/>
        <v>0</v>
      </c>
    </row>
    <row r="4215" spans="1:9">
      <c r="A4215" s="17" t="s">
        <v>1669</v>
      </c>
      <c r="B4215" s="17" t="s">
        <v>1253</v>
      </c>
      <c r="C4215" s="17">
        <v>0</v>
      </c>
      <c r="D4215" s="17" t="s">
        <v>801</v>
      </c>
      <c r="E4215" s="18">
        <v>3002510616006</v>
      </c>
      <c r="G4215" s="20" t="str">
        <f t="shared" si="195"/>
        <v xml:space="preserve"> ECOFOURRURE     </v>
      </c>
      <c r="H4215" s="20" t="str">
        <f t="shared" si="196"/>
        <v>LAPGR</v>
      </c>
      <c r="I4215" s="20">
        <f t="shared" si="197"/>
        <v>0</v>
      </c>
    </row>
    <row r="4216" spans="1:9">
      <c r="A4216" s="17" t="s">
        <v>1669</v>
      </c>
      <c r="B4216" s="17" t="s">
        <v>1253</v>
      </c>
      <c r="C4216" s="17">
        <v>0</v>
      </c>
      <c r="D4216" s="17" t="s">
        <v>801</v>
      </c>
      <c r="E4216" s="18">
        <v>8050846001299</v>
      </c>
      <c r="G4216" s="20" t="str">
        <f t="shared" si="195"/>
        <v xml:space="preserve"> ECOFOURRURE     </v>
      </c>
      <c r="H4216" s="20" t="str">
        <f t="shared" si="196"/>
        <v>LAPGR</v>
      </c>
      <c r="I4216" s="20">
        <f t="shared" si="197"/>
        <v>0</v>
      </c>
    </row>
    <row r="4217" spans="1:9">
      <c r="A4217" s="17" t="s">
        <v>1669</v>
      </c>
      <c r="B4217" s="17" t="s">
        <v>1691</v>
      </c>
      <c r="C4217" s="17">
        <v>0</v>
      </c>
      <c r="D4217" s="17" t="s">
        <v>801</v>
      </c>
      <c r="E4217" s="18">
        <v>8050538590360</v>
      </c>
      <c r="G4217" s="20" t="str">
        <f t="shared" si="195"/>
        <v xml:space="preserve"> ECOFOURRURE     </v>
      </c>
      <c r="H4217" s="20" t="str">
        <f t="shared" si="196"/>
        <v>LAPHA</v>
      </c>
      <c r="I4217" s="20">
        <f t="shared" si="197"/>
        <v>0</v>
      </c>
    </row>
    <row r="4218" spans="1:9">
      <c r="A4218" s="17" t="s">
        <v>1669</v>
      </c>
      <c r="B4218" s="17" t="s">
        <v>1692</v>
      </c>
      <c r="C4218" s="17">
        <v>0</v>
      </c>
      <c r="D4218" s="17" t="s">
        <v>801</v>
      </c>
      <c r="E4218" s="18">
        <v>3020450620006</v>
      </c>
      <c r="G4218" s="20" t="str">
        <f t="shared" si="195"/>
        <v xml:space="preserve"> ECOFOURRURE     </v>
      </c>
      <c r="H4218" s="20" t="str">
        <f t="shared" si="196"/>
        <v>LAPIR</v>
      </c>
      <c r="I4218" s="20">
        <f t="shared" si="197"/>
        <v>0</v>
      </c>
    </row>
    <row r="4219" spans="1:9">
      <c r="A4219" s="17" t="s">
        <v>1669</v>
      </c>
      <c r="B4219" s="17" t="s">
        <v>1692</v>
      </c>
      <c r="C4219" s="17">
        <v>0</v>
      </c>
      <c r="D4219" s="17" t="s">
        <v>801</v>
      </c>
      <c r="E4219" s="18">
        <v>8058983597378</v>
      </c>
      <c r="G4219" s="20" t="str">
        <f t="shared" si="195"/>
        <v xml:space="preserve"> ECOFOURRURE     </v>
      </c>
      <c r="H4219" s="20" t="str">
        <f t="shared" si="196"/>
        <v>LAPIR</v>
      </c>
      <c r="I4219" s="20">
        <f t="shared" si="197"/>
        <v>0</v>
      </c>
    </row>
    <row r="4220" spans="1:9">
      <c r="A4220" s="17" t="s">
        <v>1669</v>
      </c>
      <c r="B4220" s="17" t="s">
        <v>1463</v>
      </c>
      <c r="C4220" s="17">
        <v>0</v>
      </c>
      <c r="D4220" s="17" t="s">
        <v>801</v>
      </c>
      <c r="E4220" s="18">
        <v>3020450347002</v>
      </c>
      <c r="G4220" s="20" t="str">
        <f t="shared" si="195"/>
        <v xml:space="preserve"> ECOFOURRURE     </v>
      </c>
      <c r="H4220" s="20" t="str">
        <f t="shared" si="196"/>
        <v>LAPNA</v>
      </c>
      <c r="I4220" s="20">
        <f t="shared" si="197"/>
        <v>0</v>
      </c>
    </row>
    <row r="4221" spans="1:9">
      <c r="A4221" s="17" t="s">
        <v>1669</v>
      </c>
      <c r="B4221" s="17" t="s">
        <v>1693</v>
      </c>
      <c r="C4221" s="17">
        <v>0</v>
      </c>
      <c r="D4221" s="17" t="s">
        <v>801</v>
      </c>
      <c r="E4221" s="18">
        <v>3020450621003</v>
      </c>
      <c r="G4221" s="20" t="str">
        <f t="shared" si="195"/>
        <v xml:space="preserve"> ECOFOURRURE     </v>
      </c>
      <c r="H4221" s="20" t="str">
        <f t="shared" si="196"/>
        <v>LAPNO</v>
      </c>
      <c r="I4221" s="20">
        <f t="shared" si="197"/>
        <v>0</v>
      </c>
    </row>
    <row r="4222" spans="1:9">
      <c r="A4222" s="17" t="s">
        <v>1669</v>
      </c>
      <c r="B4222" s="17" t="s">
        <v>1693</v>
      </c>
      <c r="C4222" s="17">
        <v>0</v>
      </c>
      <c r="D4222" s="17" t="s">
        <v>801</v>
      </c>
      <c r="E4222" s="18">
        <v>8058983597385</v>
      </c>
      <c r="G4222" s="20" t="str">
        <f t="shared" si="195"/>
        <v xml:space="preserve"> ECOFOURRURE     </v>
      </c>
      <c r="H4222" s="20" t="str">
        <f t="shared" si="196"/>
        <v>LAPNO</v>
      </c>
      <c r="I4222" s="20">
        <f t="shared" si="197"/>
        <v>0</v>
      </c>
    </row>
    <row r="4223" spans="1:9">
      <c r="A4223" s="17" t="s">
        <v>1669</v>
      </c>
      <c r="B4223" s="17" t="s">
        <v>1694</v>
      </c>
      <c r="C4223" s="17">
        <v>0</v>
      </c>
      <c r="D4223" s="17" t="s">
        <v>801</v>
      </c>
      <c r="E4223" s="18">
        <v>3020450625001</v>
      </c>
      <c r="G4223" s="20" t="str">
        <f t="shared" si="195"/>
        <v xml:space="preserve"> ECOFOURRURE     </v>
      </c>
      <c r="H4223" s="20" t="str">
        <f t="shared" si="196"/>
        <v>LAPNP</v>
      </c>
      <c r="I4223" s="20">
        <f t="shared" si="197"/>
        <v>0</v>
      </c>
    </row>
    <row r="4224" spans="1:9">
      <c r="A4224" s="17" t="s">
        <v>1669</v>
      </c>
      <c r="B4224" s="17" t="s">
        <v>1694</v>
      </c>
      <c r="C4224" s="17">
        <v>0</v>
      </c>
      <c r="D4224" s="17" t="s">
        <v>801</v>
      </c>
      <c r="E4224" s="18">
        <v>8058983597453</v>
      </c>
      <c r="G4224" s="20" t="str">
        <f t="shared" si="195"/>
        <v xml:space="preserve"> ECOFOURRURE     </v>
      </c>
      <c r="H4224" s="20" t="str">
        <f t="shared" si="196"/>
        <v>LAPNP</v>
      </c>
      <c r="I4224" s="20">
        <f t="shared" si="197"/>
        <v>0</v>
      </c>
    </row>
    <row r="4225" spans="1:9">
      <c r="A4225" s="17" t="s">
        <v>1669</v>
      </c>
      <c r="B4225" s="17" t="s">
        <v>1255</v>
      </c>
      <c r="C4225" s="17">
        <v>0</v>
      </c>
      <c r="D4225" s="17" t="s">
        <v>801</v>
      </c>
      <c r="E4225" s="18">
        <v>3020450386001</v>
      </c>
      <c r="G4225" s="20" t="str">
        <f t="shared" si="195"/>
        <v xml:space="preserve"> ECOFOURRURE     </v>
      </c>
      <c r="H4225" s="20" t="str">
        <f t="shared" si="196"/>
        <v>LAPOR</v>
      </c>
      <c r="I4225" s="20">
        <f t="shared" si="197"/>
        <v>0</v>
      </c>
    </row>
    <row r="4226" spans="1:9">
      <c r="A4226" s="17" t="s">
        <v>1669</v>
      </c>
      <c r="B4226" s="17" t="s">
        <v>1695</v>
      </c>
      <c r="C4226" s="17">
        <v>0</v>
      </c>
      <c r="D4226" s="17" t="s">
        <v>801</v>
      </c>
      <c r="E4226" s="18">
        <v>3020450622000</v>
      </c>
      <c r="G4226" s="20" t="str">
        <f t="shared" si="195"/>
        <v xml:space="preserve"> ECOFOURRURE     </v>
      </c>
      <c r="H4226" s="20" t="str">
        <f t="shared" si="196"/>
        <v>LAPOU</v>
      </c>
      <c r="I4226" s="20">
        <f t="shared" si="197"/>
        <v>0</v>
      </c>
    </row>
    <row r="4227" spans="1:9">
      <c r="A4227" s="17" t="s">
        <v>1669</v>
      </c>
      <c r="B4227" s="17" t="s">
        <v>1695</v>
      </c>
      <c r="C4227" s="17">
        <v>0</v>
      </c>
      <c r="D4227" s="17" t="s">
        <v>801</v>
      </c>
      <c r="E4227" s="18">
        <v>8058983597392</v>
      </c>
      <c r="G4227" s="20" t="str">
        <f t="shared" si="195"/>
        <v xml:space="preserve"> ECOFOURRURE     </v>
      </c>
      <c r="H4227" s="20" t="str">
        <f t="shared" si="196"/>
        <v>LAPOU</v>
      </c>
      <c r="I4227" s="20">
        <f t="shared" si="197"/>
        <v>0</v>
      </c>
    </row>
    <row r="4228" spans="1:9">
      <c r="A4228" s="17" t="s">
        <v>1669</v>
      </c>
      <c r="B4228" s="17" t="s">
        <v>1696</v>
      </c>
      <c r="C4228" s="17">
        <v>0</v>
      </c>
      <c r="D4228" s="17" t="s">
        <v>801</v>
      </c>
      <c r="E4228" s="18">
        <v>3020450632009</v>
      </c>
      <c r="G4228" s="20" t="str">
        <f t="shared" si="195"/>
        <v xml:space="preserve"> ECOFOURRURE     </v>
      </c>
      <c r="H4228" s="20" t="str">
        <f t="shared" si="196"/>
        <v>LAPRE</v>
      </c>
      <c r="I4228" s="20">
        <f t="shared" si="197"/>
        <v>0</v>
      </c>
    </row>
    <row r="4229" spans="1:9">
      <c r="A4229" s="17" t="s">
        <v>1669</v>
      </c>
      <c r="B4229" s="17" t="s">
        <v>1696</v>
      </c>
      <c r="C4229" s="17">
        <v>0</v>
      </c>
      <c r="D4229" s="17" t="s">
        <v>801</v>
      </c>
      <c r="E4229" s="18">
        <v>8058983597491</v>
      </c>
      <c r="G4229" s="20" t="str">
        <f t="shared" ref="G4229:G4292" si="198">A4229</f>
        <v xml:space="preserve"> ECOFOURRURE     </v>
      </c>
      <c r="H4229" s="20" t="str">
        <f t="shared" ref="H4229:H4292" si="199">B4229</f>
        <v>LAPRE</v>
      </c>
      <c r="I4229" s="20">
        <f t="shared" ref="I4229:I4292" si="200">C4229</f>
        <v>0</v>
      </c>
    </row>
    <row r="4230" spans="1:9">
      <c r="A4230" s="17" t="s">
        <v>1669</v>
      </c>
      <c r="B4230" s="17" t="s">
        <v>1257</v>
      </c>
      <c r="C4230" s="17">
        <v>0</v>
      </c>
      <c r="D4230" s="17" t="s">
        <v>801</v>
      </c>
      <c r="E4230" s="18">
        <v>3020450389002</v>
      </c>
      <c r="G4230" s="20" t="str">
        <f t="shared" si="198"/>
        <v xml:space="preserve"> ECOFOURRURE     </v>
      </c>
      <c r="H4230" s="20" t="str">
        <f t="shared" si="199"/>
        <v>LAPRO</v>
      </c>
      <c r="I4230" s="20">
        <f t="shared" si="200"/>
        <v>0</v>
      </c>
    </row>
    <row r="4231" spans="1:9">
      <c r="A4231" s="17" t="s">
        <v>1669</v>
      </c>
      <c r="B4231" s="17" t="s">
        <v>1697</v>
      </c>
      <c r="C4231" s="17">
        <v>0</v>
      </c>
      <c r="D4231" s="17" t="s">
        <v>801</v>
      </c>
      <c r="E4231" s="18">
        <v>3020450388005</v>
      </c>
      <c r="G4231" s="20" t="str">
        <f t="shared" si="198"/>
        <v xml:space="preserve"> ECOFOURRURE     </v>
      </c>
      <c r="H4231" s="20" t="str">
        <f t="shared" si="199"/>
        <v>LAPSE</v>
      </c>
      <c r="I4231" s="20">
        <f t="shared" si="200"/>
        <v>0</v>
      </c>
    </row>
    <row r="4232" spans="1:9">
      <c r="A4232" s="17" t="s">
        <v>1669</v>
      </c>
      <c r="B4232" s="17" t="s">
        <v>1261</v>
      </c>
      <c r="C4232" s="17">
        <v>0</v>
      </c>
      <c r="D4232" s="17" t="s">
        <v>801</v>
      </c>
      <c r="E4232" s="18">
        <v>3020450373001</v>
      </c>
      <c r="G4232" s="20" t="str">
        <f t="shared" si="198"/>
        <v xml:space="preserve"> ECOFOURRURE     </v>
      </c>
      <c r="H4232" s="20" t="str">
        <f t="shared" si="199"/>
        <v>LAPVE</v>
      </c>
      <c r="I4232" s="20">
        <f t="shared" si="200"/>
        <v>0</v>
      </c>
    </row>
    <row r="4233" spans="1:9">
      <c r="A4233" s="17" t="s">
        <v>1669</v>
      </c>
      <c r="B4233" s="17" t="s">
        <v>1698</v>
      </c>
      <c r="C4233" s="17">
        <v>0</v>
      </c>
      <c r="D4233" s="17" t="s">
        <v>801</v>
      </c>
      <c r="E4233" s="18">
        <v>3020450624004</v>
      </c>
      <c r="G4233" s="20" t="str">
        <f t="shared" si="198"/>
        <v xml:space="preserve"> ECOFOURRURE     </v>
      </c>
      <c r="H4233" s="20" t="str">
        <f t="shared" si="199"/>
        <v>LAPVI</v>
      </c>
      <c r="I4233" s="20">
        <f t="shared" si="200"/>
        <v>0</v>
      </c>
    </row>
    <row r="4234" spans="1:9">
      <c r="A4234" s="17" t="s">
        <v>1669</v>
      </c>
      <c r="B4234" s="17" t="s">
        <v>1698</v>
      </c>
      <c r="C4234" s="17">
        <v>0</v>
      </c>
      <c r="D4234" s="17" t="s">
        <v>801</v>
      </c>
      <c r="E4234" s="18">
        <v>8058983597446</v>
      </c>
      <c r="G4234" s="20" t="str">
        <f t="shared" si="198"/>
        <v xml:space="preserve"> ECOFOURRURE     </v>
      </c>
      <c r="H4234" s="20" t="str">
        <f t="shared" si="199"/>
        <v>LAPVI</v>
      </c>
      <c r="I4234" s="20">
        <f t="shared" si="200"/>
        <v>0</v>
      </c>
    </row>
    <row r="4235" spans="1:9">
      <c r="A4235" s="17" t="s">
        <v>1669</v>
      </c>
      <c r="B4235" s="17" t="s">
        <v>1699</v>
      </c>
      <c r="C4235" s="17">
        <v>0</v>
      </c>
      <c r="D4235" s="17" t="s">
        <v>801</v>
      </c>
      <c r="E4235" s="18">
        <v>3002510613005</v>
      </c>
      <c r="G4235" s="20" t="str">
        <f t="shared" si="198"/>
        <v xml:space="preserve"> ECOFOURRURE     </v>
      </c>
      <c r="H4235" s="20" t="str">
        <f t="shared" si="199"/>
        <v>LAPVP</v>
      </c>
      <c r="I4235" s="20">
        <f t="shared" si="200"/>
        <v>0</v>
      </c>
    </row>
    <row r="4236" spans="1:9">
      <c r="A4236" s="17" t="s">
        <v>1669</v>
      </c>
      <c r="B4236" s="17" t="s">
        <v>1700</v>
      </c>
      <c r="C4236" s="17">
        <v>0</v>
      </c>
      <c r="D4236" s="17" t="s">
        <v>801</v>
      </c>
      <c r="E4236" s="18">
        <v>3002511046000</v>
      </c>
      <c r="G4236" s="20" t="str">
        <f t="shared" si="198"/>
        <v xml:space="preserve"> ECOFOURRURE     </v>
      </c>
      <c r="H4236" s="20" t="str">
        <f t="shared" si="199"/>
        <v xml:space="preserve">LAUB </v>
      </c>
      <c r="I4236" s="20">
        <f t="shared" si="200"/>
        <v>0</v>
      </c>
    </row>
    <row r="4237" spans="1:9">
      <c r="A4237" s="17" t="s">
        <v>1669</v>
      </c>
      <c r="B4237" s="17" t="s">
        <v>1701</v>
      </c>
      <c r="C4237" s="17">
        <v>0</v>
      </c>
      <c r="D4237" s="17" t="s">
        <v>801</v>
      </c>
      <c r="E4237" s="18">
        <v>3020450305002</v>
      </c>
      <c r="G4237" s="20" t="str">
        <f t="shared" si="198"/>
        <v xml:space="preserve"> ECOFOURRURE     </v>
      </c>
      <c r="H4237" s="20" t="str">
        <f t="shared" si="199"/>
        <v xml:space="preserve">LOUB </v>
      </c>
      <c r="I4237" s="20">
        <f t="shared" si="200"/>
        <v>0</v>
      </c>
    </row>
    <row r="4238" spans="1:9">
      <c r="A4238" s="17" t="s">
        <v>1669</v>
      </c>
      <c r="B4238" s="17" t="s">
        <v>1702</v>
      </c>
      <c r="C4238" s="17">
        <v>0</v>
      </c>
      <c r="D4238" s="17" t="s">
        <v>801</v>
      </c>
      <c r="E4238" s="18">
        <v>3020450691006</v>
      </c>
      <c r="G4238" s="20" t="str">
        <f t="shared" si="198"/>
        <v xml:space="preserve"> ECOFOURRURE     </v>
      </c>
      <c r="H4238" s="20" t="str">
        <f t="shared" si="199"/>
        <v>MARBL</v>
      </c>
      <c r="I4238" s="20">
        <f t="shared" si="200"/>
        <v>0</v>
      </c>
    </row>
    <row r="4239" spans="1:9">
      <c r="A4239" s="17" t="s">
        <v>1669</v>
      </c>
      <c r="B4239" s="17" t="s">
        <v>1702</v>
      </c>
      <c r="C4239" s="17">
        <v>0</v>
      </c>
      <c r="D4239" s="17" t="s">
        <v>801</v>
      </c>
      <c r="E4239" s="18">
        <v>8058983597583</v>
      </c>
      <c r="G4239" s="20" t="str">
        <f t="shared" si="198"/>
        <v xml:space="preserve"> ECOFOURRURE     </v>
      </c>
      <c r="H4239" s="20" t="str">
        <f t="shared" si="199"/>
        <v>MARBL</v>
      </c>
      <c r="I4239" s="20">
        <f t="shared" si="200"/>
        <v>0</v>
      </c>
    </row>
    <row r="4240" spans="1:9">
      <c r="A4240" s="17" t="s">
        <v>1669</v>
      </c>
      <c r="B4240" s="17" t="s">
        <v>1703</v>
      </c>
      <c r="C4240" s="17">
        <v>0</v>
      </c>
      <c r="D4240" s="17" t="s">
        <v>801</v>
      </c>
      <c r="E4240" s="18">
        <v>8056099176937</v>
      </c>
      <c r="G4240" s="20" t="str">
        <f t="shared" si="198"/>
        <v xml:space="preserve"> ECOFOURRURE     </v>
      </c>
      <c r="H4240" s="20" t="str">
        <f t="shared" si="199"/>
        <v>MARGR</v>
      </c>
      <c r="I4240" s="20">
        <f t="shared" si="200"/>
        <v>0</v>
      </c>
    </row>
    <row r="4241" spans="1:9">
      <c r="A4241" s="17" t="s">
        <v>1669</v>
      </c>
      <c r="B4241" s="17" t="s">
        <v>1704</v>
      </c>
      <c r="C4241" s="17">
        <v>0</v>
      </c>
      <c r="D4241" s="17" t="s">
        <v>801</v>
      </c>
      <c r="E4241" s="18">
        <v>3020450627005</v>
      </c>
      <c r="G4241" s="20" t="str">
        <f t="shared" si="198"/>
        <v xml:space="preserve"> ECOFOURRURE     </v>
      </c>
      <c r="H4241" s="20" t="str">
        <f t="shared" si="199"/>
        <v>MARMU</v>
      </c>
      <c r="I4241" s="20">
        <f t="shared" si="200"/>
        <v>0</v>
      </c>
    </row>
    <row r="4242" spans="1:9">
      <c r="A4242" s="17" t="s">
        <v>1669</v>
      </c>
      <c r="B4242" s="17" t="s">
        <v>1704</v>
      </c>
      <c r="C4242" s="17">
        <v>0</v>
      </c>
      <c r="D4242" s="17" t="s">
        <v>801</v>
      </c>
      <c r="E4242" s="18">
        <v>8058983597590</v>
      </c>
      <c r="G4242" s="20" t="str">
        <f t="shared" si="198"/>
        <v xml:space="preserve"> ECOFOURRURE     </v>
      </c>
      <c r="H4242" s="20" t="str">
        <f t="shared" si="199"/>
        <v>MARMU</v>
      </c>
      <c r="I4242" s="20">
        <f t="shared" si="200"/>
        <v>0</v>
      </c>
    </row>
    <row r="4243" spans="1:9">
      <c r="A4243" s="17" t="s">
        <v>1669</v>
      </c>
      <c r="B4243" s="17" t="s">
        <v>1705</v>
      </c>
      <c r="C4243" s="17">
        <v>0</v>
      </c>
      <c r="D4243" s="17" t="s">
        <v>801</v>
      </c>
      <c r="E4243" s="18">
        <v>3002510971006</v>
      </c>
      <c r="G4243" s="20" t="str">
        <f t="shared" si="198"/>
        <v xml:space="preserve"> ECOFOURRURE     </v>
      </c>
      <c r="H4243" s="20" t="str">
        <f t="shared" si="199"/>
        <v>MARNE</v>
      </c>
      <c r="I4243" s="20">
        <f t="shared" si="200"/>
        <v>0</v>
      </c>
    </row>
    <row r="4244" spans="1:9">
      <c r="A4244" s="17" t="s">
        <v>1669</v>
      </c>
      <c r="B4244" s="17" t="s">
        <v>1706</v>
      </c>
      <c r="C4244" s="17">
        <v>0</v>
      </c>
      <c r="D4244" s="17" t="s">
        <v>801</v>
      </c>
      <c r="E4244" s="18">
        <v>3002520560009</v>
      </c>
      <c r="G4244" s="20" t="str">
        <f t="shared" si="198"/>
        <v xml:space="preserve"> ECOFOURRURE     </v>
      </c>
      <c r="H4244" s="20" t="str">
        <f t="shared" si="199"/>
        <v>MEMAR</v>
      </c>
      <c r="I4244" s="20">
        <f t="shared" si="200"/>
        <v>0</v>
      </c>
    </row>
    <row r="4245" spans="1:9">
      <c r="A4245" s="17" t="s">
        <v>1669</v>
      </c>
      <c r="B4245" s="17" t="s">
        <v>1707</v>
      </c>
      <c r="C4245" s="17">
        <v>0</v>
      </c>
      <c r="D4245" s="17" t="s">
        <v>801</v>
      </c>
      <c r="E4245" s="18">
        <v>3020450174004</v>
      </c>
      <c r="G4245" s="20" t="str">
        <f t="shared" si="198"/>
        <v xml:space="preserve"> ECOFOURRURE     </v>
      </c>
      <c r="H4245" s="20" t="str">
        <f t="shared" si="199"/>
        <v xml:space="preserve">MOUB </v>
      </c>
      <c r="I4245" s="20">
        <f t="shared" si="200"/>
        <v>0</v>
      </c>
    </row>
    <row r="4246" spans="1:9">
      <c r="A4246" s="17" t="s">
        <v>1669</v>
      </c>
      <c r="B4246" s="17" t="s">
        <v>1708</v>
      </c>
      <c r="C4246" s="17">
        <v>0</v>
      </c>
      <c r="D4246" s="17" t="s">
        <v>801</v>
      </c>
      <c r="E4246" s="18">
        <v>8050538595600</v>
      </c>
      <c r="G4246" s="20" t="str">
        <f t="shared" si="198"/>
        <v xml:space="preserve"> ECOFOURRURE     </v>
      </c>
      <c r="H4246" s="20" t="str">
        <f t="shared" si="199"/>
        <v>MOUMU</v>
      </c>
      <c r="I4246" s="20">
        <f t="shared" si="200"/>
        <v>0</v>
      </c>
    </row>
    <row r="4247" spans="1:9">
      <c r="A4247" s="17" t="s">
        <v>1669</v>
      </c>
      <c r="B4247" s="17" t="s">
        <v>1709</v>
      </c>
      <c r="C4247" s="17">
        <v>0</v>
      </c>
      <c r="D4247" s="17" t="s">
        <v>801</v>
      </c>
      <c r="E4247" s="18">
        <v>3003480079006</v>
      </c>
      <c r="G4247" s="20" t="str">
        <f t="shared" si="198"/>
        <v xml:space="preserve"> ECOFOURRURE     </v>
      </c>
      <c r="H4247" s="20" t="str">
        <f t="shared" si="199"/>
        <v xml:space="preserve">NMAR </v>
      </c>
      <c r="I4247" s="20">
        <f t="shared" si="200"/>
        <v>0</v>
      </c>
    </row>
    <row r="4248" spans="1:9">
      <c r="A4248" s="17" t="s">
        <v>1669</v>
      </c>
      <c r="B4248" s="17" t="s">
        <v>1710</v>
      </c>
      <c r="C4248" s="17">
        <v>0</v>
      </c>
      <c r="D4248" s="17" t="s">
        <v>801</v>
      </c>
      <c r="E4248" s="18">
        <v>3020450631002</v>
      </c>
      <c r="G4248" s="20" t="str">
        <f t="shared" si="198"/>
        <v xml:space="preserve"> ECOFOURRURE     </v>
      </c>
      <c r="H4248" s="20" t="str">
        <f t="shared" si="199"/>
        <v>RACBL</v>
      </c>
      <c r="I4248" s="20">
        <f t="shared" si="200"/>
        <v>0</v>
      </c>
    </row>
    <row r="4249" spans="1:9">
      <c r="A4249" s="17" t="s">
        <v>1669</v>
      </c>
      <c r="B4249" s="17" t="s">
        <v>1711</v>
      </c>
      <c r="C4249" s="17">
        <v>0</v>
      </c>
      <c r="D4249" s="17" t="s">
        <v>801</v>
      </c>
      <c r="E4249" s="18">
        <v>3020450630005</v>
      </c>
      <c r="G4249" s="20" t="str">
        <f t="shared" si="198"/>
        <v xml:space="preserve"> ECOFOURRURE     </v>
      </c>
      <c r="H4249" s="20" t="str">
        <f t="shared" si="199"/>
        <v>RACNA</v>
      </c>
      <c r="I4249" s="20">
        <f t="shared" si="200"/>
        <v>0</v>
      </c>
    </row>
    <row r="4250" spans="1:9">
      <c r="A4250" s="17" t="s">
        <v>1669</v>
      </c>
      <c r="B4250" s="17" t="s">
        <v>1711</v>
      </c>
      <c r="C4250" s="17">
        <v>0</v>
      </c>
      <c r="D4250" s="17" t="s">
        <v>801</v>
      </c>
      <c r="E4250" s="18">
        <v>8058983597439</v>
      </c>
      <c r="G4250" s="20" t="str">
        <f t="shared" si="198"/>
        <v xml:space="preserve"> ECOFOURRURE     </v>
      </c>
      <c r="H4250" s="20" t="str">
        <f t="shared" si="199"/>
        <v>RACNA</v>
      </c>
      <c r="I4250" s="20">
        <f t="shared" si="200"/>
        <v>0</v>
      </c>
    </row>
    <row r="4251" spans="1:9">
      <c r="A4251" s="17" t="s">
        <v>1669</v>
      </c>
      <c r="B4251" s="17" t="s">
        <v>1712</v>
      </c>
      <c r="C4251" s="17">
        <v>0</v>
      </c>
      <c r="D4251" s="17" t="s">
        <v>801</v>
      </c>
      <c r="E4251" s="18">
        <v>3002511518002</v>
      </c>
      <c r="G4251" s="20" t="str">
        <f t="shared" si="198"/>
        <v xml:space="preserve"> ECOFOURRURE     </v>
      </c>
      <c r="H4251" s="20" t="str">
        <f t="shared" si="199"/>
        <v>RASGR</v>
      </c>
      <c r="I4251" s="20">
        <f t="shared" si="200"/>
        <v>0</v>
      </c>
    </row>
    <row r="4252" spans="1:9">
      <c r="A4252" s="17" t="s">
        <v>1669</v>
      </c>
      <c r="B4252" s="17" t="s">
        <v>1712</v>
      </c>
      <c r="C4252" s="17">
        <v>0</v>
      </c>
      <c r="D4252" s="17" t="s">
        <v>801</v>
      </c>
      <c r="E4252" s="18">
        <v>8050846012691</v>
      </c>
      <c r="G4252" s="20" t="str">
        <f t="shared" si="198"/>
        <v xml:space="preserve"> ECOFOURRURE     </v>
      </c>
      <c r="H4252" s="20" t="str">
        <f t="shared" si="199"/>
        <v>RASGR</v>
      </c>
      <c r="I4252" s="20">
        <f t="shared" si="200"/>
        <v>0</v>
      </c>
    </row>
    <row r="4253" spans="1:9">
      <c r="A4253" s="17" t="s">
        <v>1669</v>
      </c>
      <c r="B4253" s="17" t="s">
        <v>1713</v>
      </c>
      <c r="C4253" s="17">
        <v>0</v>
      </c>
      <c r="D4253" s="17" t="s">
        <v>801</v>
      </c>
      <c r="E4253" s="18">
        <v>3002511519009</v>
      </c>
      <c r="G4253" s="20" t="str">
        <f t="shared" si="198"/>
        <v xml:space="preserve"> ECOFOURRURE     </v>
      </c>
      <c r="H4253" s="20" t="str">
        <f t="shared" si="199"/>
        <v>RASPH</v>
      </c>
      <c r="I4253" s="20">
        <f t="shared" si="200"/>
        <v>0</v>
      </c>
    </row>
    <row r="4254" spans="1:9">
      <c r="A4254" s="17" t="s">
        <v>1669</v>
      </c>
      <c r="B4254" s="17" t="s">
        <v>1713</v>
      </c>
      <c r="C4254" s="17">
        <v>0</v>
      </c>
      <c r="D4254" s="17" t="s">
        <v>801</v>
      </c>
      <c r="E4254" s="18">
        <v>8050846012684</v>
      </c>
      <c r="G4254" s="20" t="str">
        <f t="shared" si="198"/>
        <v xml:space="preserve"> ECOFOURRURE     </v>
      </c>
      <c r="H4254" s="20" t="str">
        <f t="shared" si="199"/>
        <v>RASPH</v>
      </c>
      <c r="I4254" s="20">
        <f t="shared" si="200"/>
        <v>0</v>
      </c>
    </row>
    <row r="4255" spans="1:9">
      <c r="A4255" s="17" t="s">
        <v>1669</v>
      </c>
      <c r="B4255" s="17" t="s">
        <v>1714</v>
      </c>
      <c r="C4255" s="17">
        <v>0</v>
      </c>
      <c r="D4255" s="17" t="s">
        <v>801</v>
      </c>
      <c r="E4255" s="18">
        <v>3020450619000</v>
      </c>
      <c r="G4255" s="20" t="str">
        <f t="shared" si="198"/>
        <v xml:space="preserve"> ECOFOURRURE     </v>
      </c>
      <c r="H4255" s="20" t="str">
        <f t="shared" si="199"/>
        <v xml:space="preserve">REAR </v>
      </c>
      <c r="I4255" s="20">
        <f t="shared" si="200"/>
        <v>0</v>
      </c>
    </row>
    <row r="4256" spans="1:9">
      <c r="A4256" s="17" t="s">
        <v>1669</v>
      </c>
      <c r="B4256" s="17" t="s">
        <v>1714</v>
      </c>
      <c r="C4256" s="17">
        <v>0</v>
      </c>
      <c r="D4256" s="17" t="s">
        <v>801</v>
      </c>
      <c r="E4256" s="18">
        <v>8050538591954</v>
      </c>
      <c r="G4256" s="20" t="str">
        <f t="shared" si="198"/>
        <v xml:space="preserve"> ECOFOURRURE     </v>
      </c>
      <c r="H4256" s="20" t="str">
        <f t="shared" si="199"/>
        <v xml:space="preserve">REAR </v>
      </c>
      <c r="I4256" s="20">
        <f t="shared" si="200"/>
        <v>0</v>
      </c>
    </row>
    <row r="4257" spans="1:9">
      <c r="A4257" s="17" t="s">
        <v>1669</v>
      </c>
      <c r="B4257" s="17" t="s">
        <v>1714</v>
      </c>
      <c r="C4257" s="17">
        <v>0</v>
      </c>
      <c r="D4257" s="17" t="s">
        <v>801</v>
      </c>
      <c r="E4257" s="18">
        <v>8050450217826</v>
      </c>
      <c r="G4257" s="20" t="str">
        <f t="shared" si="198"/>
        <v xml:space="preserve"> ECOFOURRURE     </v>
      </c>
      <c r="H4257" s="20" t="str">
        <f t="shared" si="199"/>
        <v xml:space="preserve">REAR </v>
      </c>
      <c r="I4257" s="20">
        <f t="shared" si="200"/>
        <v>0</v>
      </c>
    </row>
    <row r="4258" spans="1:9">
      <c r="A4258" s="17" t="s">
        <v>1669</v>
      </c>
      <c r="B4258" s="17" t="s">
        <v>1715</v>
      </c>
      <c r="C4258" s="17">
        <v>0</v>
      </c>
      <c r="D4258" s="17" t="s">
        <v>801</v>
      </c>
      <c r="E4258" s="18">
        <v>8056099177330</v>
      </c>
      <c r="G4258" s="20" t="str">
        <f t="shared" si="198"/>
        <v xml:space="preserve"> ECOFOURRURE     </v>
      </c>
      <c r="H4258" s="20" t="str">
        <f t="shared" si="199"/>
        <v>REARA</v>
      </c>
      <c r="I4258" s="20">
        <f t="shared" si="200"/>
        <v>0</v>
      </c>
    </row>
    <row r="4259" spans="1:9">
      <c r="A4259" s="17" t="s">
        <v>1669</v>
      </c>
      <c r="B4259" s="17" t="s">
        <v>1716</v>
      </c>
      <c r="C4259" s="17">
        <v>0</v>
      </c>
      <c r="D4259" s="17" t="s">
        <v>801</v>
      </c>
      <c r="E4259" s="18">
        <v>8056099178184</v>
      </c>
      <c r="G4259" s="20" t="str">
        <f t="shared" si="198"/>
        <v xml:space="preserve"> ECOFOURRURE     </v>
      </c>
      <c r="H4259" s="20" t="str">
        <f t="shared" si="199"/>
        <v>REARO</v>
      </c>
      <c r="I4259" s="20">
        <f t="shared" si="200"/>
        <v>0</v>
      </c>
    </row>
    <row r="4260" spans="1:9">
      <c r="A4260" s="17" t="s">
        <v>1669</v>
      </c>
      <c r="B4260" s="17" t="s">
        <v>1717</v>
      </c>
      <c r="C4260" s="17">
        <v>0</v>
      </c>
      <c r="D4260" s="17" t="s">
        <v>801</v>
      </c>
      <c r="E4260" s="18">
        <v>3002511047007</v>
      </c>
      <c r="G4260" s="20" t="str">
        <f t="shared" si="198"/>
        <v xml:space="preserve"> ECOFOURRURE     </v>
      </c>
      <c r="H4260" s="20" t="str">
        <f t="shared" si="199"/>
        <v>REB17</v>
      </c>
      <c r="I4260" s="20">
        <f t="shared" si="200"/>
        <v>0</v>
      </c>
    </row>
    <row r="4261" spans="1:9">
      <c r="A4261" s="17" t="s">
        <v>1669</v>
      </c>
      <c r="B4261" s="17" t="s">
        <v>1718</v>
      </c>
      <c r="C4261" s="17">
        <v>0</v>
      </c>
      <c r="D4261" s="17" t="s">
        <v>801</v>
      </c>
      <c r="E4261" s="18">
        <v>3020450628002</v>
      </c>
      <c r="G4261" s="20" t="str">
        <f t="shared" si="198"/>
        <v xml:space="preserve"> ECOFOURRURE     </v>
      </c>
      <c r="H4261" s="20" t="str">
        <f t="shared" si="199"/>
        <v>REBIC</v>
      </c>
      <c r="I4261" s="20">
        <f t="shared" si="200"/>
        <v>0</v>
      </c>
    </row>
    <row r="4262" spans="1:9">
      <c r="A4262" s="17" t="s">
        <v>1669</v>
      </c>
      <c r="B4262" s="17" t="s">
        <v>1465</v>
      </c>
      <c r="C4262" s="17">
        <v>0</v>
      </c>
      <c r="D4262" s="17" t="s">
        <v>801</v>
      </c>
      <c r="E4262" s="18">
        <v>3020450374008</v>
      </c>
      <c r="G4262" s="20" t="str">
        <f t="shared" si="198"/>
        <v xml:space="preserve"> ECOFOURRURE     </v>
      </c>
      <c r="H4262" s="20" t="str">
        <f t="shared" si="199"/>
        <v xml:space="preserve">REBL </v>
      </c>
      <c r="I4262" s="20">
        <f t="shared" si="200"/>
        <v>0</v>
      </c>
    </row>
    <row r="4263" spans="1:9">
      <c r="A4263" s="17" t="s">
        <v>1669</v>
      </c>
      <c r="B4263" s="17" t="s">
        <v>1719</v>
      </c>
      <c r="C4263" s="17">
        <v>0</v>
      </c>
      <c r="D4263" s="17" t="s">
        <v>801</v>
      </c>
      <c r="E4263" s="18">
        <v>8050450211930</v>
      </c>
      <c r="G4263" s="20" t="str">
        <f t="shared" si="198"/>
        <v xml:space="preserve"> ECOFOURRURE     </v>
      </c>
      <c r="H4263" s="20" t="str">
        <f t="shared" si="199"/>
        <v>REBLE</v>
      </c>
      <c r="I4263" s="20">
        <f t="shared" si="200"/>
        <v>0</v>
      </c>
    </row>
    <row r="4264" spans="1:9">
      <c r="A4264" s="17" t="s">
        <v>1669</v>
      </c>
      <c r="B4264" s="17" t="s">
        <v>1719</v>
      </c>
      <c r="C4264" s="17">
        <v>0</v>
      </c>
      <c r="D4264" s="17" t="s">
        <v>801</v>
      </c>
      <c r="E4264" s="18">
        <v>8050538590391</v>
      </c>
      <c r="G4264" s="20" t="str">
        <f t="shared" si="198"/>
        <v xml:space="preserve"> ECOFOURRURE     </v>
      </c>
      <c r="H4264" s="20" t="str">
        <f t="shared" si="199"/>
        <v>REBLE</v>
      </c>
      <c r="I4264" s="20">
        <f t="shared" si="200"/>
        <v>0</v>
      </c>
    </row>
    <row r="4265" spans="1:9">
      <c r="A4265" s="17" t="s">
        <v>1669</v>
      </c>
      <c r="B4265" s="17" t="s">
        <v>1720</v>
      </c>
      <c r="C4265" s="17">
        <v>0</v>
      </c>
      <c r="D4265" s="17" t="s">
        <v>801</v>
      </c>
      <c r="E4265" s="18">
        <v>8050538591008</v>
      </c>
      <c r="G4265" s="20" t="str">
        <f t="shared" si="198"/>
        <v xml:space="preserve"> ECOFOURRURE     </v>
      </c>
      <c r="H4265" s="20" t="str">
        <f t="shared" si="199"/>
        <v>REBLW</v>
      </c>
      <c r="I4265" s="20">
        <f t="shared" si="200"/>
        <v>0</v>
      </c>
    </row>
    <row r="4266" spans="1:9">
      <c r="A4266" s="17" t="s">
        <v>1669</v>
      </c>
      <c r="B4266" s="17" t="s">
        <v>1466</v>
      </c>
      <c r="C4266" s="17">
        <v>0</v>
      </c>
      <c r="D4266" s="17" t="s">
        <v>801</v>
      </c>
      <c r="E4266" s="18">
        <v>3020450614005</v>
      </c>
      <c r="G4266" s="20" t="str">
        <f t="shared" si="198"/>
        <v xml:space="preserve"> ECOFOURRURE     </v>
      </c>
      <c r="H4266" s="20" t="str">
        <f t="shared" si="199"/>
        <v>REBOR</v>
      </c>
      <c r="I4266" s="20">
        <f t="shared" si="200"/>
        <v>0</v>
      </c>
    </row>
    <row r="4267" spans="1:9">
      <c r="A4267" s="17" t="s">
        <v>1669</v>
      </c>
      <c r="B4267" s="17" t="s">
        <v>1466</v>
      </c>
      <c r="C4267" s="17">
        <v>0</v>
      </c>
      <c r="D4267" s="17" t="s">
        <v>801</v>
      </c>
      <c r="E4267" s="18">
        <v>8058983597415</v>
      </c>
      <c r="G4267" s="20" t="str">
        <f t="shared" si="198"/>
        <v xml:space="preserve"> ECOFOURRURE     </v>
      </c>
      <c r="H4267" s="20" t="str">
        <f t="shared" si="199"/>
        <v>REBOR</v>
      </c>
      <c r="I4267" s="20">
        <f t="shared" si="200"/>
        <v>0</v>
      </c>
    </row>
    <row r="4268" spans="1:9">
      <c r="A4268" s="17" t="s">
        <v>1669</v>
      </c>
      <c r="B4268" s="17" t="s">
        <v>1466</v>
      </c>
      <c r="C4268" s="17">
        <v>0</v>
      </c>
      <c r="D4268" s="17" t="s">
        <v>801</v>
      </c>
      <c r="E4268" s="18">
        <v>8056099179549</v>
      </c>
      <c r="G4268" s="20" t="str">
        <f t="shared" si="198"/>
        <v xml:space="preserve"> ECOFOURRURE     </v>
      </c>
      <c r="H4268" s="20" t="str">
        <f t="shared" si="199"/>
        <v>REBOR</v>
      </c>
      <c r="I4268" s="20">
        <f t="shared" si="200"/>
        <v>0</v>
      </c>
    </row>
    <row r="4269" spans="1:9">
      <c r="A4269" s="17" t="s">
        <v>1669</v>
      </c>
      <c r="B4269" s="17" t="s">
        <v>1467</v>
      </c>
      <c r="C4269" s="17">
        <v>0</v>
      </c>
      <c r="D4269" s="17" t="s">
        <v>801</v>
      </c>
      <c r="E4269" s="18">
        <v>3002510614002</v>
      </c>
      <c r="G4269" s="20" t="str">
        <f t="shared" si="198"/>
        <v xml:space="preserve"> ECOFOURRURE     </v>
      </c>
      <c r="H4269" s="20" t="str">
        <f t="shared" si="199"/>
        <v>REBOU</v>
      </c>
      <c r="I4269" s="20">
        <f t="shared" si="200"/>
        <v>0</v>
      </c>
    </row>
    <row r="4270" spans="1:9">
      <c r="A4270" s="17" t="s">
        <v>1669</v>
      </c>
      <c r="B4270" s="17" t="s">
        <v>1467</v>
      </c>
      <c r="C4270" s="17">
        <v>0</v>
      </c>
      <c r="D4270" s="17" t="s">
        <v>801</v>
      </c>
      <c r="E4270" s="18">
        <v>3020450376002</v>
      </c>
      <c r="G4270" s="20" t="str">
        <f t="shared" si="198"/>
        <v xml:space="preserve"> ECOFOURRURE     </v>
      </c>
      <c r="H4270" s="20" t="str">
        <f t="shared" si="199"/>
        <v>REBOU</v>
      </c>
      <c r="I4270" s="20">
        <f t="shared" si="200"/>
        <v>0</v>
      </c>
    </row>
    <row r="4271" spans="1:9">
      <c r="A4271" s="17" t="s">
        <v>1669</v>
      </c>
      <c r="B4271" s="17" t="s">
        <v>1468</v>
      </c>
      <c r="C4271" s="17">
        <v>0</v>
      </c>
      <c r="D4271" s="17" t="s">
        <v>801</v>
      </c>
      <c r="E4271" s="18">
        <v>3020450618003</v>
      </c>
      <c r="G4271" s="20" t="str">
        <f t="shared" si="198"/>
        <v xml:space="preserve"> ECOFOURRURE     </v>
      </c>
      <c r="H4271" s="20" t="str">
        <f t="shared" si="199"/>
        <v xml:space="preserve">REDO </v>
      </c>
      <c r="I4271" s="20">
        <f t="shared" si="200"/>
        <v>0</v>
      </c>
    </row>
    <row r="4272" spans="1:9">
      <c r="A4272" s="17" t="s">
        <v>1669</v>
      </c>
      <c r="B4272" s="17" t="s">
        <v>1468</v>
      </c>
      <c r="C4272" s="17">
        <v>0</v>
      </c>
      <c r="D4272" s="17" t="s">
        <v>801</v>
      </c>
      <c r="E4272" s="18">
        <v>8058983597408</v>
      </c>
      <c r="G4272" s="20" t="str">
        <f t="shared" si="198"/>
        <v xml:space="preserve"> ECOFOURRURE     </v>
      </c>
      <c r="H4272" s="20" t="str">
        <f t="shared" si="199"/>
        <v xml:space="preserve">REDO </v>
      </c>
      <c r="I4272" s="20">
        <f t="shared" si="200"/>
        <v>0</v>
      </c>
    </row>
    <row r="4273" spans="1:9">
      <c r="A4273" s="17" t="s">
        <v>1669</v>
      </c>
      <c r="B4273" s="17" t="s">
        <v>1469</v>
      </c>
      <c r="C4273" s="17">
        <v>0</v>
      </c>
      <c r="D4273" s="17" t="s">
        <v>801</v>
      </c>
      <c r="E4273" s="18">
        <v>3020450600008</v>
      </c>
      <c r="G4273" s="20" t="str">
        <f t="shared" si="198"/>
        <v xml:space="preserve"> ECOFOURRURE     </v>
      </c>
      <c r="H4273" s="20" t="str">
        <f t="shared" si="199"/>
        <v xml:space="preserve">REGR </v>
      </c>
      <c r="I4273" s="20">
        <f t="shared" si="200"/>
        <v>0</v>
      </c>
    </row>
    <row r="4274" spans="1:9">
      <c r="A4274" s="17" t="s">
        <v>1669</v>
      </c>
      <c r="B4274" s="17" t="s">
        <v>1469</v>
      </c>
      <c r="C4274" s="17">
        <v>0</v>
      </c>
      <c r="D4274" s="17" t="s">
        <v>801</v>
      </c>
      <c r="E4274" s="18">
        <v>8050450213446</v>
      </c>
      <c r="G4274" s="20" t="str">
        <f t="shared" si="198"/>
        <v xml:space="preserve"> ECOFOURRURE     </v>
      </c>
      <c r="H4274" s="20" t="str">
        <f t="shared" si="199"/>
        <v xml:space="preserve">REGR </v>
      </c>
      <c r="I4274" s="20">
        <f t="shared" si="200"/>
        <v>0</v>
      </c>
    </row>
    <row r="4275" spans="1:9">
      <c r="A4275" s="17" t="s">
        <v>1669</v>
      </c>
      <c r="B4275" s="17" t="s">
        <v>1721</v>
      </c>
      <c r="C4275" s="17">
        <v>0</v>
      </c>
      <c r="D4275" s="17" t="s">
        <v>801</v>
      </c>
      <c r="E4275" s="18">
        <v>3002510615009</v>
      </c>
      <c r="G4275" s="20" t="str">
        <f t="shared" si="198"/>
        <v xml:space="preserve"> ECOFOURRURE     </v>
      </c>
      <c r="H4275" s="20" t="str">
        <f t="shared" si="199"/>
        <v>RELIL</v>
      </c>
      <c r="I4275" s="20">
        <f t="shared" si="200"/>
        <v>0</v>
      </c>
    </row>
    <row r="4276" spans="1:9">
      <c r="A4276" s="17" t="s">
        <v>1669</v>
      </c>
      <c r="B4276" s="17" t="s">
        <v>1722</v>
      </c>
      <c r="C4276" s="17">
        <v>0</v>
      </c>
      <c r="D4276" s="17" t="s">
        <v>801</v>
      </c>
      <c r="E4276" s="18">
        <v>8058983595596</v>
      </c>
      <c r="G4276" s="20" t="str">
        <f t="shared" si="198"/>
        <v xml:space="preserve"> ECOFOURRURE     </v>
      </c>
      <c r="H4276" s="20" t="str">
        <f t="shared" si="199"/>
        <v>RENOI</v>
      </c>
      <c r="I4276" s="20">
        <f t="shared" si="200"/>
        <v>0</v>
      </c>
    </row>
    <row r="4277" spans="1:9">
      <c r="A4277" s="17" t="s">
        <v>1669</v>
      </c>
      <c r="B4277" s="17" t="s">
        <v>1722</v>
      </c>
      <c r="C4277" s="17">
        <v>0</v>
      </c>
      <c r="D4277" s="17" t="s">
        <v>801</v>
      </c>
      <c r="E4277" s="18">
        <v>3020450617006</v>
      </c>
      <c r="G4277" s="20" t="str">
        <f t="shared" si="198"/>
        <v xml:space="preserve"> ECOFOURRURE     </v>
      </c>
      <c r="H4277" s="20" t="str">
        <f t="shared" si="199"/>
        <v>RENOI</v>
      </c>
      <c r="I4277" s="20">
        <f t="shared" si="200"/>
        <v>0</v>
      </c>
    </row>
    <row r="4278" spans="1:9">
      <c r="A4278" s="17" t="s">
        <v>1669</v>
      </c>
      <c r="B4278" s="17" t="s">
        <v>1723</v>
      </c>
      <c r="C4278" s="17">
        <v>0</v>
      </c>
      <c r="D4278" s="17" t="s">
        <v>801</v>
      </c>
      <c r="E4278" s="18">
        <v>3020450629009</v>
      </c>
      <c r="G4278" s="20" t="str">
        <f t="shared" si="198"/>
        <v xml:space="preserve"> ECOFOURRURE     </v>
      </c>
      <c r="H4278" s="20" t="str">
        <f t="shared" si="199"/>
        <v>RESAU</v>
      </c>
      <c r="I4278" s="20">
        <f t="shared" si="200"/>
        <v>0</v>
      </c>
    </row>
    <row r="4279" spans="1:9">
      <c r="A4279" s="17" t="s">
        <v>1669</v>
      </c>
      <c r="B4279" s="17" t="s">
        <v>1723</v>
      </c>
      <c r="C4279" s="17">
        <v>0</v>
      </c>
      <c r="D4279" s="17" t="s">
        <v>801</v>
      </c>
      <c r="E4279" s="18">
        <v>8058983597576</v>
      </c>
      <c r="G4279" s="20" t="str">
        <f t="shared" si="198"/>
        <v xml:space="preserve"> ECOFOURRURE     </v>
      </c>
      <c r="H4279" s="20" t="str">
        <f t="shared" si="199"/>
        <v>RESAU</v>
      </c>
      <c r="I4279" s="20">
        <f t="shared" si="200"/>
        <v>0</v>
      </c>
    </row>
    <row r="4280" spans="1:9">
      <c r="A4280" s="17" t="s">
        <v>1669</v>
      </c>
      <c r="B4280" s="17" t="s">
        <v>1724</v>
      </c>
      <c r="C4280" s="17">
        <v>0</v>
      </c>
      <c r="D4280" s="17" t="s">
        <v>801</v>
      </c>
      <c r="E4280" s="18">
        <v>3002510999000</v>
      </c>
      <c r="G4280" s="20" t="str">
        <f t="shared" si="198"/>
        <v xml:space="preserve"> ECOFOURRURE     </v>
      </c>
      <c r="H4280" s="20" t="str">
        <f t="shared" si="199"/>
        <v>RETER</v>
      </c>
      <c r="I4280" s="20">
        <f t="shared" si="200"/>
        <v>0</v>
      </c>
    </row>
    <row r="4281" spans="1:9">
      <c r="A4281" s="17" t="s">
        <v>1669</v>
      </c>
      <c r="B4281" s="17" t="s">
        <v>1267</v>
      </c>
      <c r="C4281" s="17">
        <v>0</v>
      </c>
      <c r="D4281" s="17" t="s">
        <v>801</v>
      </c>
      <c r="E4281" s="18">
        <v>3020450375005</v>
      </c>
      <c r="G4281" s="20" t="str">
        <f t="shared" si="198"/>
        <v xml:space="preserve"> ECOFOURRURE     </v>
      </c>
      <c r="H4281" s="20" t="str">
        <f t="shared" si="199"/>
        <v>REVIO</v>
      </c>
      <c r="I4281" s="20">
        <f t="shared" si="200"/>
        <v>0</v>
      </c>
    </row>
    <row r="4282" spans="1:9">
      <c r="A4282" s="17" t="s">
        <v>1669</v>
      </c>
      <c r="B4282" s="17" t="s">
        <v>1725</v>
      </c>
      <c r="C4282" s="17">
        <v>0</v>
      </c>
      <c r="D4282" s="17" t="s">
        <v>801</v>
      </c>
      <c r="E4282" s="18">
        <v>3020450616009</v>
      </c>
      <c r="G4282" s="20" t="str">
        <f t="shared" si="198"/>
        <v xml:space="preserve"> ECOFOURRURE     </v>
      </c>
      <c r="H4282" s="20" t="str">
        <f t="shared" si="199"/>
        <v xml:space="preserve">REWH </v>
      </c>
      <c r="I4282" s="20">
        <f t="shared" si="200"/>
        <v>0</v>
      </c>
    </row>
    <row r="4283" spans="1:9">
      <c r="A4283" s="17" t="s">
        <v>1669</v>
      </c>
      <c r="B4283" s="17" t="s">
        <v>1725</v>
      </c>
      <c r="C4283" s="17">
        <v>0</v>
      </c>
      <c r="D4283" s="17" t="s">
        <v>801</v>
      </c>
      <c r="E4283" s="18">
        <v>8050450217673</v>
      </c>
      <c r="G4283" s="20" t="str">
        <f t="shared" si="198"/>
        <v xml:space="preserve"> ECOFOURRURE     </v>
      </c>
      <c r="H4283" s="20" t="str">
        <f t="shared" si="199"/>
        <v xml:space="preserve">REWH </v>
      </c>
      <c r="I4283" s="20">
        <f t="shared" si="200"/>
        <v>0</v>
      </c>
    </row>
    <row r="4284" spans="1:9">
      <c r="A4284" s="17" t="s">
        <v>1669</v>
      </c>
      <c r="B4284" s="17" t="s">
        <v>1726</v>
      </c>
      <c r="C4284" s="17">
        <v>0</v>
      </c>
      <c r="D4284" s="17" t="s">
        <v>801</v>
      </c>
      <c r="E4284" s="18">
        <v>8056099177583</v>
      </c>
      <c r="G4284" s="20" t="str">
        <f t="shared" si="198"/>
        <v xml:space="preserve"> ECOFOURRURE     </v>
      </c>
      <c r="H4284" s="20" t="str">
        <f t="shared" si="199"/>
        <v>REWHG</v>
      </c>
      <c r="I4284" s="20">
        <f t="shared" si="200"/>
        <v>0</v>
      </c>
    </row>
    <row r="4285" spans="1:9">
      <c r="A4285" s="17" t="s">
        <v>1669</v>
      </c>
      <c r="B4285" s="17" t="s">
        <v>1727</v>
      </c>
      <c r="C4285" s="17">
        <v>0</v>
      </c>
      <c r="D4285" s="17" t="s">
        <v>801</v>
      </c>
      <c r="E4285" s="18">
        <v>3002510798009</v>
      </c>
      <c r="G4285" s="20" t="str">
        <f t="shared" si="198"/>
        <v xml:space="preserve"> ECOFOURRURE     </v>
      </c>
      <c r="H4285" s="20" t="str">
        <f t="shared" si="199"/>
        <v>RICCI</v>
      </c>
      <c r="I4285" s="20">
        <f t="shared" si="200"/>
        <v>0</v>
      </c>
    </row>
    <row r="4286" spans="1:9">
      <c r="A4286" s="17" t="s">
        <v>1669</v>
      </c>
      <c r="B4286" s="17" t="s">
        <v>1728</v>
      </c>
      <c r="C4286" s="17">
        <v>0</v>
      </c>
      <c r="D4286" s="17" t="s">
        <v>801</v>
      </c>
      <c r="E4286" s="18">
        <v>8050538594986</v>
      </c>
      <c r="G4286" s="20" t="str">
        <f t="shared" si="198"/>
        <v xml:space="preserve"> ECOFOURRURE     </v>
      </c>
      <c r="H4286" s="20" t="str">
        <f t="shared" si="199"/>
        <v>SLANT</v>
      </c>
      <c r="I4286" s="20">
        <f t="shared" si="200"/>
        <v>0</v>
      </c>
    </row>
    <row r="4287" spans="1:9">
      <c r="A4287" s="17" t="s">
        <v>1669</v>
      </c>
      <c r="B4287" s="17" t="s">
        <v>1071</v>
      </c>
      <c r="C4287" s="17">
        <v>0</v>
      </c>
      <c r="D4287" s="17" t="s">
        <v>801</v>
      </c>
      <c r="E4287" s="18">
        <v>8050538595006</v>
      </c>
      <c r="G4287" s="20" t="str">
        <f t="shared" si="198"/>
        <v xml:space="preserve"> ECOFOURRURE     </v>
      </c>
      <c r="H4287" s="20" t="str">
        <f t="shared" si="199"/>
        <v>SLBLU</v>
      </c>
      <c r="I4287" s="20">
        <f t="shared" si="200"/>
        <v>0</v>
      </c>
    </row>
    <row r="4288" spans="1:9">
      <c r="A4288" s="17" t="s">
        <v>1669</v>
      </c>
      <c r="B4288" s="17" t="s">
        <v>1729</v>
      </c>
      <c r="C4288" s="17">
        <v>0</v>
      </c>
      <c r="D4288" s="17" t="s">
        <v>801</v>
      </c>
      <c r="E4288" s="18">
        <v>3002511525000</v>
      </c>
      <c r="G4288" s="20" t="str">
        <f t="shared" si="198"/>
        <v xml:space="preserve"> ECOFOURRURE     </v>
      </c>
      <c r="H4288" s="20" t="str">
        <f t="shared" si="199"/>
        <v>SLMUL</v>
      </c>
      <c r="I4288" s="20">
        <f t="shared" si="200"/>
        <v>0</v>
      </c>
    </row>
    <row r="4289" spans="1:9">
      <c r="A4289" s="17" t="s">
        <v>1669</v>
      </c>
      <c r="B4289" s="17" t="s">
        <v>1729</v>
      </c>
      <c r="C4289" s="17">
        <v>0</v>
      </c>
      <c r="D4289" s="17" t="s">
        <v>801</v>
      </c>
      <c r="E4289" s="18">
        <v>8050846012677</v>
      </c>
      <c r="G4289" s="20" t="str">
        <f t="shared" si="198"/>
        <v xml:space="preserve"> ECOFOURRURE     </v>
      </c>
      <c r="H4289" s="20" t="str">
        <f t="shared" si="199"/>
        <v>SLMUL</v>
      </c>
      <c r="I4289" s="20">
        <f t="shared" si="200"/>
        <v>0</v>
      </c>
    </row>
    <row r="4290" spans="1:9">
      <c r="A4290" s="17" t="s">
        <v>1669</v>
      </c>
      <c r="B4290" s="17" t="s">
        <v>1730</v>
      </c>
      <c r="C4290" s="17">
        <v>0</v>
      </c>
      <c r="D4290" s="17" t="s">
        <v>801</v>
      </c>
      <c r="E4290" s="18">
        <v>8050538594993</v>
      </c>
      <c r="G4290" s="20" t="str">
        <f t="shared" si="198"/>
        <v xml:space="preserve"> ECOFOURRURE     </v>
      </c>
      <c r="H4290" s="20" t="str">
        <f t="shared" si="199"/>
        <v>SLSAN</v>
      </c>
      <c r="I4290" s="20">
        <f t="shared" si="200"/>
        <v>0</v>
      </c>
    </row>
    <row r="4291" spans="1:9">
      <c r="A4291" s="17" t="s">
        <v>1669</v>
      </c>
      <c r="B4291" s="17" t="s">
        <v>1730</v>
      </c>
      <c r="C4291" s="17">
        <v>0</v>
      </c>
      <c r="D4291" s="17" t="s">
        <v>801</v>
      </c>
      <c r="E4291" s="18">
        <v>8050846012288</v>
      </c>
      <c r="G4291" s="20" t="str">
        <f t="shared" si="198"/>
        <v xml:space="preserve"> ECOFOURRURE     </v>
      </c>
      <c r="H4291" s="20" t="str">
        <f t="shared" si="199"/>
        <v>SLSAN</v>
      </c>
      <c r="I4291" s="20">
        <f t="shared" si="200"/>
        <v>0</v>
      </c>
    </row>
    <row r="4292" spans="1:9">
      <c r="A4292" s="17" t="s">
        <v>1669</v>
      </c>
      <c r="B4292" s="17" t="s">
        <v>1636</v>
      </c>
      <c r="C4292" s="17">
        <v>0</v>
      </c>
      <c r="D4292" s="17" t="s">
        <v>801</v>
      </c>
      <c r="E4292" s="18">
        <v>3003480072007</v>
      </c>
      <c r="G4292" s="20" t="str">
        <f t="shared" si="198"/>
        <v xml:space="preserve"> ECOFOURRURE     </v>
      </c>
      <c r="H4292" s="20" t="str">
        <f t="shared" si="199"/>
        <v xml:space="preserve">SPOT </v>
      </c>
      <c r="I4292" s="20">
        <f t="shared" si="200"/>
        <v>0</v>
      </c>
    </row>
    <row r="4293" spans="1:9">
      <c r="A4293" s="17" t="s">
        <v>1669</v>
      </c>
      <c r="B4293" s="17" t="s">
        <v>273</v>
      </c>
      <c r="C4293" s="17">
        <v>0</v>
      </c>
      <c r="D4293" s="17" t="s">
        <v>801</v>
      </c>
      <c r="E4293" s="18">
        <v>3003580004007</v>
      </c>
      <c r="G4293" s="20" t="str">
        <f t="shared" ref="G4293:G4356" si="201">A4293</f>
        <v xml:space="preserve"> ECOFOURRURE     </v>
      </c>
      <c r="H4293" s="20" t="str">
        <f t="shared" ref="H4293:H4356" si="202">B4293</f>
        <v>WHITE</v>
      </c>
      <c r="I4293" s="20">
        <f t="shared" ref="I4293:I4356" si="203">C4293</f>
        <v>0</v>
      </c>
    </row>
    <row r="4294" spans="1:9">
      <c r="A4294" s="17" t="s">
        <v>1669</v>
      </c>
      <c r="B4294" s="17" t="s">
        <v>1731</v>
      </c>
      <c r="C4294" s="17">
        <v>0</v>
      </c>
      <c r="D4294" s="17" t="s">
        <v>801</v>
      </c>
      <c r="E4294" s="18">
        <v>3002510592003</v>
      </c>
      <c r="G4294" s="20" t="str">
        <f t="shared" si="201"/>
        <v xml:space="preserve"> ECOFOURRURE     </v>
      </c>
      <c r="H4294" s="20" t="str">
        <f t="shared" si="202"/>
        <v>WLOUP</v>
      </c>
      <c r="I4294" s="20">
        <f t="shared" si="203"/>
        <v>0</v>
      </c>
    </row>
    <row r="4295" spans="1:9">
      <c r="A4295" s="17" t="s">
        <v>1669</v>
      </c>
      <c r="B4295" s="17" t="s">
        <v>1732</v>
      </c>
      <c r="C4295" s="17">
        <v>0</v>
      </c>
      <c r="D4295" s="17" t="s">
        <v>801</v>
      </c>
      <c r="E4295" s="18">
        <v>3003480106009</v>
      </c>
      <c r="G4295" s="20" t="str">
        <f t="shared" si="201"/>
        <v xml:space="preserve"> ECOFOURRURE     </v>
      </c>
      <c r="H4295" s="20" t="str">
        <f t="shared" si="202"/>
        <v xml:space="preserve">WMAR </v>
      </c>
      <c r="I4295" s="20">
        <f t="shared" si="203"/>
        <v>0</v>
      </c>
    </row>
    <row r="4296" spans="1:9">
      <c r="A4296" s="17" t="s">
        <v>1733</v>
      </c>
      <c r="B4296" s="17" t="s">
        <v>280</v>
      </c>
      <c r="C4296" s="17">
        <v>0</v>
      </c>
      <c r="D4296" s="17" t="s">
        <v>801</v>
      </c>
      <c r="E4296" s="18">
        <v>8056095064092</v>
      </c>
      <c r="G4296" s="20" t="str">
        <f t="shared" si="201"/>
        <v xml:space="preserve"> ETUILUNETTES    </v>
      </c>
      <c r="H4296" s="20" t="str">
        <f t="shared" si="202"/>
        <v>BLACK</v>
      </c>
      <c r="I4296" s="20">
        <f t="shared" si="203"/>
        <v>0</v>
      </c>
    </row>
    <row r="4297" spans="1:9">
      <c r="A4297" s="17" t="s">
        <v>1733</v>
      </c>
      <c r="B4297" s="17" t="s">
        <v>930</v>
      </c>
      <c r="C4297" s="17">
        <v>0</v>
      </c>
      <c r="D4297" s="17" t="s">
        <v>801</v>
      </c>
      <c r="E4297" s="18">
        <v>3005260557001</v>
      </c>
      <c r="G4297" s="20" t="str">
        <f t="shared" si="201"/>
        <v xml:space="preserve"> ETUILUNETTES    </v>
      </c>
      <c r="H4297" s="20" t="str">
        <f t="shared" si="202"/>
        <v xml:space="preserve">BLK  </v>
      </c>
      <c r="I4297" s="20">
        <f t="shared" si="203"/>
        <v>0</v>
      </c>
    </row>
    <row r="4298" spans="1:9">
      <c r="A4298" s="17" t="s">
        <v>1733</v>
      </c>
      <c r="B4298" s="17" t="s">
        <v>810</v>
      </c>
      <c r="C4298" s="17">
        <v>0</v>
      </c>
      <c r="D4298" s="17" t="s">
        <v>801</v>
      </c>
      <c r="E4298" s="18">
        <v>8056099172953</v>
      </c>
      <c r="G4298" s="20" t="str">
        <f t="shared" si="201"/>
        <v xml:space="preserve"> ETUILUNETTES    </v>
      </c>
      <c r="H4298" s="20" t="str">
        <f t="shared" si="202"/>
        <v xml:space="preserve">BLUE </v>
      </c>
      <c r="I4298" s="20">
        <f t="shared" si="203"/>
        <v>0</v>
      </c>
    </row>
    <row r="4299" spans="1:9">
      <c r="A4299" s="17" t="s">
        <v>1733</v>
      </c>
      <c r="B4299" s="17" t="s">
        <v>810</v>
      </c>
      <c r="C4299" s="17">
        <v>0</v>
      </c>
      <c r="D4299" s="17" t="s">
        <v>801</v>
      </c>
      <c r="E4299" s="18">
        <v>3005260284006</v>
      </c>
      <c r="G4299" s="20" t="str">
        <f t="shared" si="201"/>
        <v xml:space="preserve"> ETUILUNETTES    </v>
      </c>
      <c r="H4299" s="20" t="str">
        <f t="shared" si="202"/>
        <v xml:space="preserve">BLUE </v>
      </c>
      <c r="I4299" s="20">
        <f t="shared" si="203"/>
        <v>0</v>
      </c>
    </row>
    <row r="4300" spans="1:9">
      <c r="A4300" s="17" t="s">
        <v>1733</v>
      </c>
      <c r="B4300" s="17" t="s">
        <v>1734</v>
      </c>
      <c r="C4300" s="17">
        <v>0</v>
      </c>
      <c r="D4300" s="17" t="s">
        <v>801</v>
      </c>
      <c r="E4300" s="18">
        <v>3005261081000</v>
      </c>
      <c r="G4300" s="20" t="str">
        <f t="shared" si="201"/>
        <v xml:space="preserve"> ETUILUNETTES    </v>
      </c>
      <c r="H4300" s="20" t="str">
        <f t="shared" si="202"/>
        <v xml:space="preserve">CUIO </v>
      </c>
      <c r="I4300" s="20">
        <f t="shared" si="203"/>
        <v>0</v>
      </c>
    </row>
    <row r="4301" spans="1:9">
      <c r="A4301" s="17" t="s">
        <v>1733</v>
      </c>
      <c r="B4301" s="17" t="s">
        <v>1734</v>
      </c>
      <c r="C4301" s="17">
        <v>0</v>
      </c>
      <c r="D4301" s="17" t="s">
        <v>801</v>
      </c>
      <c r="E4301" s="18">
        <v>8056095064085</v>
      </c>
      <c r="G4301" s="20" t="str">
        <f t="shared" si="201"/>
        <v xml:space="preserve"> ETUILUNETTES    </v>
      </c>
      <c r="H4301" s="20" t="str">
        <f t="shared" si="202"/>
        <v xml:space="preserve">CUIO </v>
      </c>
      <c r="I4301" s="20">
        <f t="shared" si="203"/>
        <v>0</v>
      </c>
    </row>
    <row r="4302" spans="1:9">
      <c r="A4302" s="17" t="s">
        <v>1733</v>
      </c>
      <c r="B4302" s="17" t="s">
        <v>1653</v>
      </c>
      <c r="C4302" s="17">
        <v>0</v>
      </c>
      <c r="D4302" s="17" t="s">
        <v>801</v>
      </c>
      <c r="E4302" s="18">
        <v>3005261083004</v>
      </c>
      <c r="G4302" s="20" t="str">
        <f t="shared" si="201"/>
        <v xml:space="preserve"> ETUILUNETTES    </v>
      </c>
      <c r="H4302" s="20" t="str">
        <f t="shared" si="202"/>
        <v>GIALL</v>
      </c>
      <c r="I4302" s="20">
        <f t="shared" si="203"/>
        <v>0</v>
      </c>
    </row>
    <row r="4303" spans="1:9">
      <c r="A4303" s="17" t="s">
        <v>1733</v>
      </c>
      <c r="B4303" s="17" t="s">
        <v>858</v>
      </c>
      <c r="C4303" s="17">
        <v>0</v>
      </c>
      <c r="D4303" s="17" t="s">
        <v>801</v>
      </c>
      <c r="E4303" s="18">
        <v>3005260341006</v>
      </c>
      <c r="G4303" s="20" t="str">
        <f t="shared" si="201"/>
        <v xml:space="preserve"> ETUILUNETTES    </v>
      </c>
      <c r="H4303" s="20" t="str">
        <f t="shared" si="202"/>
        <v xml:space="preserve">GREY </v>
      </c>
      <c r="I4303" s="20">
        <f t="shared" si="203"/>
        <v>0</v>
      </c>
    </row>
    <row r="4304" spans="1:9">
      <c r="A4304" s="17" t="s">
        <v>1733</v>
      </c>
      <c r="B4304" s="17" t="s">
        <v>858</v>
      </c>
      <c r="C4304" s="17">
        <v>0</v>
      </c>
      <c r="D4304" s="17" t="s">
        <v>801</v>
      </c>
      <c r="E4304" s="18">
        <v>8056095064122</v>
      </c>
      <c r="G4304" s="20" t="str">
        <f t="shared" si="201"/>
        <v xml:space="preserve"> ETUILUNETTES    </v>
      </c>
      <c r="H4304" s="20" t="str">
        <f t="shared" si="202"/>
        <v xml:space="preserve">GREY </v>
      </c>
      <c r="I4304" s="20">
        <f t="shared" si="203"/>
        <v>0</v>
      </c>
    </row>
    <row r="4305" spans="1:9">
      <c r="A4305" s="17" t="s">
        <v>1733</v>
      </c>
      <c r="B4305" s="17" t="s">
        <v>283</v>
      </c>
      <c r="C4305" s="17">
        <v>0</v>
      </c>
      <c r="D4305" s="17" t="s">
        <v>801</v>
      </c>
      <c r="E4305" s="18">
        <v>3005260871008</v>
      </c>
      <c r="G4305" s="20" t="str">
        <f t="shared" si="201"/>
        <v xml:space="preserve"> ETUILUNETTES    </v>
      </c>
      <c r="H4305" s="20" t="str">
        <f t="shared" si="202"/>
        <v>PHARD</v>
      </c>
      <c r="I4305" s="20">
        <f t="shared" si="203"/>
        <v>0</v>
      </c>
    </row>
    <row r="4306" spans="1:9">
      <c r="A4306" s="17" t="s">
        <v>1733</v>
      </c>
      <c r="B4306" s="17" t="s">
        <v>283</v>
      </c>
      <c r="C4306" s="17">
        <v>0</v>
      </c>
      <c r="D4306" s="17" t="s">
        <v>801</v>
      </c>
      <c r="E4306" s="18">
        <v>8056095064115</v>
      </c>
      <c r="G4306" s="20" t="str">
        <f t="shared" si="201"/>
        <v xml:space="preserve"> ETUILUNETTES    </v>
      </c>
      <c r="H4306" s="20" t="str">
        <f t="shared" si="202"/>
        <v>PHARD</v>
      </c>
      <c r="I4306" s="20">
        <f t="shared" si="203"/>
        <v>0</v>
      </c>
    </row>
    <row r="4307" spans="1:9">
      <c r="A4307" s="17" t="s">
        <v>1733</v>
      </c>
      <c r="B4307" s="17" t="s">
        <v>979</v>
      </c>
      <c r="C4307" s="17">
        <v>0</v>
      </c>
      <c r="D4307" s="17" t="s">
        <v>801</v>
      </c>
      <c r="E4307" s="18">
        <v>3005261082007</v>
      </c>
      <c r="G4307" s="20" t="str">
        <f t="shared" si="201"/>
        <v xml:space="preserve"> ETUILUNETTES    </v>
      </c>
      <c r="H4307" s="20" t="str">
        <f t="shared" si="202"/>
        <v>PRAIR</v>
      </c>
      <c r="I4307" s="20">
        <f t="shared" si="203"/>
        <v>0</v>
      </c>
    </row>
    <row r="4308" spans="1:9">
      <c r="A4308" s="17" t="s">
        <v>1733</v>
      </c>
      <c r="B4308" s="17" t="s">
        <v>979</v>
      </c>
      <c r="C4308" s="17">
        <v>0</v>
      </c>
      <c r="D4308" s="17" t="s">
        <v>801</v>
      </c>
      <c r="E4308" s="18">
        <v>8056095064139</v>
      </c>
      <c r="G4308" s="20" t="str">
        <f t="shared" si="201"/>
        <v xml:space="preserve"> ETUILUNETTES    </v>
      </c>
      <c r="H4308" s="20" t="str">
        <f t="shared" si="202"/>
        <v>PRAIR</v>
      </c>
      <c r="I4308" s="20">
        <f t="shared" si="203"/>
        <v>0</v>
      </c>
    </row>
    <row r="4309" spans="1:9">
      <c r="A4309" s="17" t="s">
        <v>1733</v>
      </c>
      <c r="B4309" s="17" t="s">
        <v>816</v>
      </c>
      <c r="C4309" s="17">
        <v>0</v>
      </c>
      <c r="D4309" s="17" t="s">
        <v>801</v>
      </c>
      <c r="E4309" s="18">
        <v>3005260395009</v>
      </c>
      <c r="G4309" s="20" t="str">
        <f t="shared" si="201"/>
        <v xml:space="preserve"> ETUILUNETTES    </v>
      </c>
      <c r="H4309" s="20" t="str">
        <f t="shared" si="202"/>
        <v xml:space="preserve">RED  </v>
      </c>
      <c r="I4309" s="20">
        <f t="shared" si="203"/>
        <v>0</v>
      </c>
    </row>
    <row r="4310" spans="1:9">
      <c r="A4310" s="17" t="s">
        <v>1733</v>
      </c>
      <c r="B4310" s="17" t="s">
        <v>816</v>
      </c>
      <c r="C4310" s="17">
        <v>0</v>
      </c>
      <c r="D4310" s="17" t="s">
        <v>801</v>
      </c>
      <c r="E4310" s="18">
        <v>8056099172939</v>
      </c>
      <c r="G4310" s="20" t="str">
        <f t="shared" si="201"/>
        <v xml:space="preserve"> ETUILUNETTES    </v>
      </c>
      <c r="H4310" s="20" t="str">
        <f t="shared" si="202"/>
        <v xml:space="preserve">RED  </v>
      </c>
      <c r="I4310" s="20">
        <f t="shared" si="203"/>
        <v>0</v>
      </c>
    </row>
    <row r="4311" spans="1:9">
      <c r="A4311" s="17" t="s">
        <v>1733</v>
      </c>
      <c r="B4311" s="17" t="s">
        <v>1080</v>
      </c>
      <c r="C4311" s="17">
        <v>0</v>
      </c>
      <c r="D4311" s="17" t="s">
        <v>801</v>
      </c>
      <c r="E4311" s="18">
        <v>3005261074002</v>
      </c>
      <c r="G4311" s="20" t="str">
        <f t="shared" si="201"/>
        <v xml:space="preserve"> ETUILUNETTES    </v>
      </c>
      <c r="H4311" s="20" t="str">
        <f t="shared" si="202"/>
        <v>TERRA</v>
      </c>
      <c r="I4311" s="20">
        <f t="shared" si="203"/>
        <v>0</v>
      </c>
    </row>
    <row r="4312" spans="1:9">
      <c r="A4312" s="17" t="s">
        <v>1733</v>
      </c>
      <c r="B4312" s="17" t="s">
        <v>1080</v>
      </c>
      <c r="C4312" s="17">
        <v>0</v>
      </c>
      <c r="D4312" s="17" t="s">
        <v>801</v>
      </c>
      <c r="E4312" s="18">
        <v>8056095064108</v>
      </c>
      <c r="G4312" s="20" t="str">
        <f t="shared" si="201"/>
        <v xml:space="preserve"> ETUILUNETTES    </v>
      </c>
      <c r="H4312" s="20" t="str">
        <f t="shared" si="202"/>
        <v>TERRA</v>
      </c>
      <c r="I4312" s="20">
        <f t="shared" si="203"/>
        <v>0</v>
      </c>
    </row>
    <row r="4313" spans="1:9">
      <c r="A4313" s="17" t="s">
        <v>1733</v>
      </c>
      <c r="B4313" s="17" t="s">
        <v>825</v>
      </c>
      <c r="C4313" s="17">
        <v>0</v>
      </c>
      <c r="D4313" s="17" t="s">
        <v>801</v>
      </c>
      <c r="E4313" s="18">
        <v>8056099172922</v>
      </c>
      <c r="G4313" s="20" t="str">
        <f t="shared" si="201"/>
        <v xml:space="preserve"> ETUILUNETTES    </v>
      </c>
      <c r="H4313" s="20" t="str">
        <f t="shared" si="202"/>
        <v xml:space="preserve">YELL </v>
      </c>
      <c r="I4313" s="20">
        <f t="shared" si="203"/>
        <v>0</v>
      </c>
    </row>
    <row r="4314" spans="1:9">
      <c r="A4314" s="17" t="s">
        <v>1735</v>
      </c>
      <c r="B4314" s="17" t="s">
        <v>853</v>
      </c>
      <c r="C4314" s="17">
        <v>0</v>
      </c>
      <c r="D4314" s="17" t="s">
        <v>801</v>
      </c>
      <c r="E4314" s="18">
        <v>3005010499001</v>
      </c>
      <c r="G4314" s="20" t="str">
        <f t="shared" si="201"/>
        <v xml:space="preserve"> EXTENSIONCHAINE </v>
      </c>
      <c r="H4314" s="20" t="str">
        <f t="shared" si="202"/>
        <v>BRONZ</v>
      </c>
      <c r="I4314" s="20">
        <f t="shared" si="203"/>
        <v>0</v>
      </c>
    </row>
    <row r="4315" spans="1:9">
      <c r="A4315" s="17" t="s">
        <v>1735</v>
      </c>
      <c r="B4315" s="17" t="s">
        <v>890</v>
      </c>
      <c r="C4315" s="17">
        <v>0</v>
      </c>
      <c r="D4315" s="17" t="s">
        <v>801</v>
      </c>
      <c r="E4315" s="18">
        <v>3005010339000</v>
      </c>
      <c r="G4315" s="20" t="str">
        <f t="shared" si="201"/>
        <v xml:space="preserve"> EXTENSIONCHAINE </v>
      </c>
      <c r="H4315" s="20" t="str">
        <f t="shared" si="202"/>
        <v xml:space="preserve">GOLD </v>
      </c>
      <c r="I4315" s="20">
        <f t="shared" si="203"/>
        <v>0</v>
      </c>
    </row>
    <row r="4316" spans="1:9">
      <c r="A4316" s="17" t="s">
        <v>1735</v>
      </c>
      <c r="B4316" s="17" t="s">
        <v>855</v>
      </c>
      <c r="C4316" s="17">
        <v>0</v>
      </c>
      <c r="D4316" s="17" t="s">
        <v>801</v>
      </c>
      <c r="E4316" s="18">
        <v>3005010567007</v>
      </c>
      <c r="G4316" s="20" t="str">
        <f t="shared" si="201"/>
        <v xml:space="preserve"> EXTENSIONCHAINE </v>
      </c>
      <c r="H4316" s="20" t="str">
        <f t="shared" si="202"/>
        <v>SILVE</v>
      </c>
      <c r="I4316" s="20">
        <f t="shared" si="203"/>
        <v>0</v>
      </c>
    </row>
    <row r="4317" spans="1:9">
      <c r="A4317" s="17" t="s">
        <v>1736</v>
      </c>
      <c r="B4317" s="17" t="s">
        <v>1529</v>
      </c>
      <c r="C4317" s="17">
        <v>0</v>
      </c>
      <c r="D4317" s="17" t="s">
        <v>801</v>
      </c>
      <c r="E4317" s="18">
        <v>3004121294000</v>
      </c>
      <c r="G4317" s="20" t="str">
        <f t="shared" si="201"/>
        <v xml:space="preserve"> FERMETURE       </v>
      </c>
      <c r="H4317" s="20" t="str">
        <f t="shared" si="202"/>
        <v>AJCOG</v>
      </c>
      <c r="I4317" s="20">
        <f t="shared" si="203"/>
        <v>0</v>
      </c>
    </row>
    <row r="4318" spans="1:9">
      <c r="A4318" s="17" t="s">
        <v>1736</v>
      </c>
      <c r="B4318" s="17" t="s">
        <v>1529</v>
      </c>
      <c r="C4318" s="17">
        <v>0</v>
      </c>
      <c r="D4318" s="17" t="s">
        <v>801</v>
      </c>
      <c r="E4318" s="18">
        <v>8056099171130</v>
      </c>
      <c r="G4318" s="20" t="str">
        <f t="shared" si="201"/>
        <v xml:space="preserve"> FERMETURE       </v>
      </c>
      <c r="H4318" s="20" t="str">
        <f t="shared" si="202"/>
        <v>AJCOG</v>
      </c>
      <c r="I4318" s="20">
        <f t="shared" si="203"/>
        <v>0</v>
      </c>
    </row>
    <row r="4319" spans="1:9">
      <c r="A4319" s="17" t="s">
        <v>1736</v>
      </c>
      <c r="B4319" s="17" t="s">
        <v>1476</v>
      </c>
      <c r="C4319" s="17">
        <v>0</v>
      </c>
      <c r="D4319" s="17" t="s">
        <v>801</v>
      </c>
      <c r="E4319" s="18">
        <v>3004121293003</v>
      </c>
      <c r="G4319" s="20" t="str">
        <f t="shared" si="201"/>
        <v xml:space="preserve"> FERMETURE       </v>
      </c>
      <c r="H4319" s="20" t="str">
        <f t="shared" si="202"/>
        <v>AJWHI</v>
      </c>
      <c r="I4319" s="20">
        <f t="shared" si="203"/>
        <v>0</v>
      </c>
    </row>
    <row r="4320" spans="1:9">
      <c r="A4320" s="17" t="s">
        <v>1736</v>
      </c>
      <c r="B4320" s="17" t="s">
        <v>1476</v>
      </c>
      <c r="C4320" s="17">
        <v>0</v>
      </c>
      <c r="D4320" s="17" t="s">
        <v>801</v>
      </c>
      <c r="E4320" s="18">
        <v>8056099171123</v>
      </c>
      <c r="G4320" s="20" t="str">
        <f t="shared" si="201"/>
        <v xml:space="preserve"> FERMETURE       </v>
      </c>
      <c r="H4320" s="20" t="str">
        <f t="shared" si="202"/>
        <v>AJWHI</v>
      </c>
      <c r="I4320" s="20">
        <f t="shared" si="203"/>
        <v>0</v>
      </c>
    </row>
    <row r="4321" spans="1:9">
      <c r="A4321" s="17" t="s">
        <v>1736</v>
      </c>
      <c r="B4321" s="17" t="s">
        <v>1082</v>
      </c>
      <c r="C4321" s="17">
        <v>0</v>
      </c>
      <c r="D4321" s="17" t="s">
        <v>801</v>
      </c>
      <c r="E4321" s="18">
        <v>3004820249004</v>
      </c>
      <c r="G4321" s="20" t="str">
        <f t="shared" si="201"/>
        <v xml:space="preserve"> FERMETURE       </v>
      </c>
      <c r="H4321" s="20" t="str">
        <f t="shared" si="202"/>
        <v>CARGR</v>
      </c>
      <c r="I4321" s="20">
        <f t="shared" si="203"/>
        <v>0</v>
      </c>
    </row>
    <row r="4322" spans="1:9">
      <c r="A4322" s="17" t="s">
        <v>1736</v>
      </c>
      <c r="B4322" s="17" t="s">
        <v>1083</v>
      </c>
      <c r="C4322" s="17">
        <v>0</v>
      </c>
      <c r="D4322" s="17" t="s">
        <v>801</v>
      </c>
      <c r="E4322" s="18">
        <v>3004820247000</v>
      </c>
      <c r="G4322" s="20" t="str">
        <f t="shared" si="201"/>
        <v xml:space="preserve"> FERMETURE       </v>
      </c>
      <c r="H4322" s="20" t="str">
        <f t="shared" si="202"/>
        <v>CARRO</v>
      </c>
      <c r="I4322" s="20">
        <f t="shared" si="203"/>
        <v>0</v>
      </c>
    </row>
    <row r="4323" spans="1:9">
      <c r="A4323" s="17" t="s">
        <v>1736</v>
      </c>
      <c r="B4323" s="17" t="s">
        <v>1338</v>
      </c>
      <c r="C4323" s="17">
        <v>0</v>
      </c>
      <c r="D4323" s="17" t="s">
        <v>801</v>
      </c>
      <c r="E4323" s="18">
        <v>3004820250000</v>
      </c>
      <c r="G4323" s="20" t="str">
        <f t="shared" si="201"/>
        <v xml:space="preserve"> FERMETURE       </v>
      </c>
      <c r="H4323" s="20" t="str">
        <f t="shared" si="202"/>
        <v>CARVE</v>
      </c>
      <c r="I4323" s="20">
        <f t="shared" si="203"/>
        <v>0</v>
      </c>
    </row>
    <row r="4324" spans="1:9">
      <c r="A4324" s="17" t="s">
        <v>1736</v>
      </c>
      <c r="B4324" s="17" t="s">
        <v>880</v>
      </c>
      <c r="C4324" s="17">
        <v>0</v>
      </c>
      <c r="D4324" s="17" t="s">
        <v>801</v>
      </c>
      <c r="E4324" s="18">
        <v>3004120475004</v>
      </c>
      <c r="G4324" s="20" t="str">
        <f t="shared" si="201"/>
        <v xml:space="preserve"> FERMETURE       </v>
      </c>
      <c r="H4324" s="20" t="str">
        <f t="shared" si="202"/>
        <v xml:space="preserve">CBBL </v>
      </c>
      <c r="I4324" s="20">
        <f t="shared" si="203"/>
        <v>0</v>
      </c>
    </row>
    <row r="4325" spans="1:9">
      <c r="A4325" s="17" t="s">
        <v>1736</v>
      </c>
      <c r="B4325" s="17" t="s">
        <v>831</v>
      </c>
      <c r="C4325" s="17">
        <v>0</v>
      </c>
      <c r="D4325" s="17" t="s">
        <v>801</v>
      </c>
      <c r="E4325" s="18">
        <v>3004120467009</v>
      </c>
      <c r="G4325" s="20" t="str">
        <f t="shared" si="201"/>
        <v xml:space="preserve"> FERMETURE       </v>
      </c>
      <c r="H4325" s="20" t="str">
        <f t="shared" si="202"/>
        <v>CBNAT</v>
      </c>
      <c r="I4325" s="20">
        <f t="shared" si="203"/>
        <v>0</v>
      </c>
    </row>
    <row r="4326" spans="1:9">
      <c r="A4326" s="17" t="s">
        <v>1736</v>
      </c>
      <c r="B4326" s="17" t="s">
        <v>832</v>
      </c>
      <c r="C4326" s="17">
        <v>0</v>
      </c>
      <c r="D4326" s="17" t="s">
        <v>801</v>
      </c>
      <c r="E4326" s="18">
        <v>3004120756004</v>
      </c>
      <c r="G4326" s="20" t="str">
        <f t="shared" si="201"/>
        <v xml:space="preserve"> FERMETURE       </v>
      </c>
      <c r="H4326" s="20" t="str">
        <f t="shared" si="202"/>
        <v>CBNAV</v>
      </c>
      <c r="I4326" s="20">
        <f t="shared" si="203"/>
        <v>0</v>
      </c>
    </row>
    <row r="4327" spans="1:9">
      <c r="A4327" s="17" t="s">
        <v>1736</v>
      </c>
      <c r="B4327" s="17" t="s">
        <v>983</v>
      </c>
      <c r="C4327" s="17">
        <v>0</v>
      </c>
      <c r="D4327" s="17" t="s">
        <v>801</v>
      </c>
      <c r="E4327" s="18">
        <v>3004120755007</v>
      </c>
      <c r="G4327" s="20" t="str">
        <f t="shared" si="201"/>
        <v xml:space="preserve"> FERMETURE       </v>
      </c>
      <c r="H4327" s="20" t="str">
        <f t="shared" si="202"/>
        <v>CBWHI</v>
      </c>
      <c r="I4327" s="20">
        <f t="shared" si="203"/>
        <v>0</v>
      </c>
    </row>
    <row r="4328" spans="1:9">
      <c r="A4328" s="17" t="s">
        <v>1736</v>
      </c>
      <c r="B4328" s="17" t="s">
        <v>1047</v>
      </c>
      <c r="C4328" s="17">
        <v>0</v>
      </c>
      <c r="D4328" s="17" t="s">
        <v>801</v>
      </c>
      <c r="E4328" s="18">
        <v>3004820252004</v>
      </c>
      <c r="G4328" s="20" t="str">
        <f t="shared" si="201"/>
        <v xml:space="preserve"> FERMETURE       </v>
      </c>
      <c r="H4328" s="20" t="str">
        <f t="shared" si="202"/>
        <v>CUIMA</v>
      </c>
      <c r="I4328" s="20">
        <f t="shared" si="203"/>
        <v>0</v>
      </c>
    </row>
    <row r="4329" spans="1:9">
      <c r="A4329" s="17" t="s">
        <v>1736</v>
      </c>
      <c r="B4329" s="17" t="s">
        <v>1048</v>
      </c>
      <c r="C4329" s="17">
        <v>0</v>
      </c>
      <c r="D4329" s="17" t="s">
        <v>801</v>
      </c>
      <c r="E4329" s="18">
        <v>3004820235007</v>
      </c>
      <c r="G4329" s="20" t="str">
        <f t="shared" si="201"/>
        <v xml:space="preserve"> FERMETURE       </v>
      </c>
      <c r="H4329" s="20" t="str">
        <f t="shared" si="202"/>
        <v>CUINO</v>
      </c>
      <c r="I4329" s="20">
        <f t="shared" si="203"/>
        <v>0</v>
      </c>
    </row>
    <row r="4330" spans="1:9">
      <c r="A4330" s="17" t="s">
        <v>1736</v>
      </c>
      <c r="B4330" s="17" t="s">
        <v>1737</v>
      </c>
      <c r="C4330" s="17">
        <v>0</v>
      </c>
      <c r="D4330" s="17" t="s">
        <v>801</v>
      </c>
      <c r="E4330" s="18">
        <v>8056099179594</v>
      </c>
      <c r="G4330" s="20" t="str">
        <f t="shared" si="201"/>
        <v xml:space="preserve"> FERMETURE       </v>
      </c>
      <c r="H4330" s="20" t="str">
        <f t="shared" si="202"/>
        <v xml:space="preserve">ECBL </v>
      </c>
      <c r="I4330" s="20">
        <f t="shared" si="203"/>
        <v>0</v>
      </c>
    </row>
    <row r="4331" spans="1:9">
      <c r="A4331" s="17" t="s">
        <v>1736</v>
      </c>
      <c r="B4331" s="17" t="s">
        <v>1738</v>
      </c>
      <c r="C4331" s="17">
        <v>0</v>
      </c>
      <c r="D4331" s="17" t="s">
        <v>801</v>
      </c>
      <c r="E4331" s="18">
        <v>8056099177095</v>
      </c>
      <c r="G4331" s="20" t="str">
        <f t="shared" si="201"/>
        <v xml:space="preserve"> FERMETURE       </v>
      </c>
      <c r="H4331" s="20" t="str">
        <f t="shared" si="202"/>
        <v xml:space="preserve">ECPH </v>
      </c>
      <c r="I4331" s="20">
        <f t="shared" si="203"/>
        <v>0</v>
      </c>
    </row>
    <row r="4332" spans="1:9">
      <c r="A4332" s="17" t="s">
        <v>1736</v>
      </c>
      <c r="B4332" s="17" t="s">
        <v>1645</v>
      </c>
      <c r="C4332" s="17">
        <v>0</v>
      </c>
      <c r="D4332" s="17" t="s">
        <v>801</v>
      </c>
      <c r="E4332" s="18">
        <v>3004120698007</v>
      </c>
      <c r="G4332" s="20" t="str">
        <f t="shared" si="201"/>
        <v xml:space="preserve"> FERMETURE       </v>
      </c>
      <c r="H4332" s="20" t="str">
        <f t="shared" si="202"/>
        <v>ETNSA</v>
      </c>
      <c r="I4332" s="20">
        <f t="shared" si="203"/>
        <v>0</v>
      </c>
    </row>
    <row r="4333" spans="1:9">
      <c r="A4333" s="17" t="s">
        <v>1736</v>
      </c>
      <c r="B4333" s="17" t="s">
        <v>1646</v>
      </c>
      <c r="C4333" s="17">
        <v>0</v>
      </c>
      <c r="D4333" s="17" t="s">
        <v>801</v>
      </c>
      <c r="E4333" s="18">
        <v>3004120699004</v>
      </c>
      <c r="G4333" s="20" t="str">
        <f t="shared" si="201"/>
        <v xml:space="preserve"> FERMETURE       </v>
      </c>
      <c r="H4333" s="20" t="str">
        <f t="shared" si="202"/>
        <v>ETNVE</v>
      </c>
      <c r="I4333" s="20">
        <f t="shared" si="203"/>
        <v>0</v>
      </c>
    </row>
    <row r="4334" spans="1:9">
      <c r="A4334" s="17" t="s">
        <v>1736</v>
      </c>
      <c r="B4334" s="17" t="s">
        <v>1088</v>
      </c>
      <c r="C4334" s="17">
        <v>0</v>
      </c>
      <c r="D4334" s="17" t="s">
        <v>801</v>
      </c>
      <c r="E4334" s="18">
        <v>3004120242002</v>
      </c>
      <c r="G4334" s="20" t="str">
        <f t="shared" si="201"/>
        <v xml:space="preserve"> FERMETURE       </v>
      </c>
      <c r="H4334" s="20" t="str">
        <f t="shared" si="202"/>
        <v xml:space="preserve">FEUR </v>
      </c>
      <c r="I4334" s="20">
        <f t="shared" si="203"/>
        <v>0</v>
      </c>
    </row>
    <row r="4335" spans="1:9">
      <c r="A4335" s="17" t="s">
        <v>1736</v>
      </c>
      <c r="B4335" s="17" t="s">
        <v>833</v>
      </c>
      <c r="C4335" s="17">
        <v>0</v>
      </c>
      <c r="D4335" s="17" t="s">
        <v>801</v>
      </c>
      <c r="E4335" s="18">
        <v>3004120700007</v>
      </c>
      <c r="G4335" s="20" t="str">
        <f t="shared" si="201"/>
        <v xml:space="preserve"> FERMETURE       </v>
      </c>
      <c r="H4335" s="20" t="str">
        <f t="shared" si="202"/>
        <v>FLACQ</v>
      </c>
      <c r="I4335" s="20">
        <f t="shared" si="203"/>
        <v>0</v>
      </c>
    </row>
    <row r="4336" spans="1:9">
      <c r="A4336" s="17" t="s">
        <v>1736</v>
      </c>
      <c r="B4336" s="17" t="s">
        <v>1369</v>
      </c>
      <c r="C4336" s="17">
        <v>0</v>
      </c>
      <c r="D4336" s="17" t="s">
        <v>801</v>
      </c>
      <c r="E4336" s="18">
        <v>3004121153000</v>
      </c>
      <c r="G4336" s="20" t="str">
        <f t="shared" si="201"/>
        <v xml:space="preserve"> FERMETURE       </v>
      </c>
      <c r="H4336" s="20" t="str">
        <f t="shared" si="202"/>
        <v>LIEDE</v>
      </c>
      <c r="I4336" s="20">
        <f t="shared" si="203"/>
        <v>0</v>
      </c>
    </row>
    <row r="4337" spans="1:9">
      <c r="A4337" s="17" t="s">
        <v>1736</v>
      </c>
      <c r="B4337" s="17" t="s">
        <v>1369</v>
      </c>
      <c r="C4337" s="17">
        <v>0</v>
      </c>
      <c r="D4337" s="17" t="s">
        <v>801</v>
      </c>
      <c r="E4337" s="18">
        <v>8056095064412</v>
      </c>
      <c r="G4337" s="20" t="str">
        <f t="shared" si="201"/>
        <v xml:space="preserve"> FERMETURE       </v>
      </c>
      <c r="H4337" s="20" t="str">
        <f t="shared" si="202"/>
        <v>LIEDE</v>
      </c>
      <c r="I4337" s="20">
        <f t="shared" si="203"/>
        <v>0</v>
      </c>
    </row>
    <row r="4338" spans="1:9">
      <c r="A4338" s="17" t="s">
        <v>1736</v>
      </c>
      <c r="B4338" s="17" t="s">
        <v>1484</v>
      </c>
      <c r="C4338" s="17">
        <v>0</v>
      </c>
      <c r="D4338" s="17" t="s">
        <v>801</v>
      </c>
      <c r="E4338" s="18">
        <v>3004120696003</v>
      </c>
      <c r="G4338" s="20" t="str">
        <f t="shared" si="201"/>
        <v xml:space="preserve"> FERMETURE       </v>
      </c>
      <c r="H4338" s="20" t="str">
        <f t="shared" si="202"/>
        <v>MAIBL</v>
      </c>
      <c r="I4338" s="20">
        <f t="shared" si="203"/>
        <v>0</v>
      </c>
    </row>
    <row r="4339" spans="1:9">
      <c r="A4339" s="17" t="s">
        <v>1736</v>
      </c>
      <c r="B4339" s="17" t="s">
        <v>1485</v>
      </c>
      <c r="C4339" s="17">
        <v>0</v>
      </c>
      <c r="D4339" s="17" t="s">
        <v>801</v>
      </c>
      <c r="E4339" s="18">
        <v>3004120697000</v>
      </c>
      <c r="G4339" s="20" t="str">
        <f t="shared" si="201"/>
        <v xml:space="preserve"> FERMETURE       </v>
      </c>
      <c r="H4339" s="20" t="str">
        <f t="shared" si="202"/>
        <v>MAIGR</v>
      </c>
      <c r="I4339" s="20">
        <f t="shared" si="203"/>
        <v>0</v>
      </c>
    </row>
    <row r="4340" spans="1:9">
      <c r="A4340" s="17" t="s">
        <v>1736</v>
      </c>
      <c r="B4340" s="17" t="s">
        <v>1487</v>
      </c>
      <c r="C4340" s="17">
        <v>0</v>
      </c>
      <c r="D4340" s="17" t="s">
        <v>801</v>
      </c>
      <c r="E4340" s="18">
        <v>8056300454878</v>
      </c>
      <c r="G4340" s="20" t="str">
        <f t="shared" si="201"/>
        <v xml:space="preserve"> FERMETURE       </v>
      </c>
      <c r="H4340" s="20" t="str">
        <f t="shared" si="202"/>
        <v>PDPBL</v>
      </c>
      <c r="I4340" s="20">
        <f t="shared" si="203"/>
        <v>0</v>
      </c>
    </row>
    <row r="4341" spans="1:9">
      <c r="A4341" s="17" t="s">
        <v>1736</v>
      </c>
      <c r="B4341" s="17" t="s">
        <v>1487</v>
      </c>
      <c r="C4341" s="17">
        <v>0</v>
      </c>
      <c r="D4341" s="17" t="s">
        <v>801</v>
      </c>
      <c r="E4341" s="18">
        <v>3004121013007</v>
      </c>
      <c r="G4341" s="20" t="str">
        <f t="shared" si="201"/>
        <v xml:space="preserve"> FERMETURE       </v>
      </c>
      <c r="H4341" s="20" t="str">
        <f t="shared" si="202"/>
        <v>PDPBL</v>
      </c>
      <c r="I4341" s="20">
        <f t="shared" si="203"/>
        <v>0</v>
      </c>
    </row>
    <row r="4342" spans="1:9">
      <c r="A4342" s="17" t="s">
        <v>1736</v>
      </c>
      <c r="B4342" s="17" t="s">
        <v>1304</v>
      </c>
      <c r="C4342" s="17">
        <v>0</v>
      </c>
      <c r="D4342" s="17" t="s">
        <v>801</v>
      </c>
      <c r="E4342" s="18">
        <v>8056300454885</v>
      </c>
      <c r="G4342" s="20" t="str">
        <f t="shared" si="201"/>
        <v xml:space="preserve"> FERMETURE       </v>
      </c>
      <c r="H4342" s="20" t="str">
        <f t="shared" si="202"/>
        <v>PDPRU</v>
      </c>
      <c r="I4342" s="20">
        <f t="shared" si="203"/>
        <v>0</v>
      </c>
    </row>
    <row r="4343" spans="1:9">
      <c r="A4343" s="17" t="s">
        <v>1736</v>
      </c>
      <c r="B4343" s="17" t="s">
        <v>1304</v>
      </c>
      <c r="C4343" s="17">
        <v>0</v>
      </c>
      <c r="D4343" s="17" t="s">
        <v>801</v>
      </c>
      <c r="E4343" s="18">
        <v>3004121014004</v>
      </c>
      <c r="G4343" s="20" t="str">
        <f t="shared" si="201"/>
        <v xml:space="preserve"> FERMETURE       </v>
      </c>
      <c r="H4343" s="20" t="str">
        <f t="shared" si="202"/>
        <v>PDPRU</v>
      </c>
      <c r="I4343" s="20">
        <f t="shared" si="203"/>
        <v>0</v>
      </c>
    </row>
    <row r="4344" spans="1:9">
      <c r="A4344" s="17" t="s">
        <v>1736</v>
      </c>
      <c r="B4344" s="17" t="s">
        <v>1739</v>
      </c>
      <c r="C4344" s="17">
        <v>0</v>
      </c>
      <c r="D4344" s="17" t="s">
        <v>801</v>
      </c>
      <c r="E4344" s="18">
        <v>3004120788005</v>
      </c>
      <c r="G4344" s="20" t="str">
        <f t="shared" si="201"/>
        <v xml:space="preserve"> FERMETURE       </v>
      </c>
      <c r="H4344" s="20" t="str">
        <f t="shared" si="202"/>
        <v>RAFAC</v>
      </c>
      <c r="I4344" s="20">
        <f t="shared" si="203"/>
        <v>0</v>
      </c>
    </row>
    <row r="4345" spans="1:9">
      <c r="A4345" s="17" t="s">
        <v>1736</v>
      </c>
      <c r="B4345" s="17" t="s">
        <v>1740</v>
      </c>
      <c r="C4345" s="17">
        <v>0</v>
      </c>
      <c r="D4345" s="17" t="s">
        <v>801</v>
      </c>
      <c r="E4345" s="18">
        <v>3004120790008</v>
      </c>
      <c r="G4345" s="20" t="str">
        <f t="shared" si="201"/>
        <v xml:space="preserve"> FERMETURE       </v>
      </c>
      <c r="H4345" s="20" t="str">
        <f t="shared" si="202"/>
        <v>RAFLI</v>
      </c>
      <c r="I4345" s="20">
        <f t="shared" si="203"/>
        <v>0</v>
      </c>
    </row>
    <row r="4346" spans="1:9">
      <c r="A4346" s="17" t="s">
        <v>1736</v>
      </c>
      <c r="B4346" s="17" t="s">
        <v>1741</v>
      </c>
      <c r="C4346" s="17">
        <v>0</v>
      </c>
      <c r="D4346" s="17" t="s">
        <v>801</v>
      </c>
      <c r="E4346" s="18">
        <v>3004120757001</v>
      </c>
      <c r="G4346" s="20" t="str">
        <f t="shared" si="201"/>
        <v xml:space="preserve"> FERMETURE       </v>
      </c>
      <c r="H4346" s="20" t="str">
        <f t="shared" si="202"/>
        <v>RAFMU</v>
      </c>
      <c r="I4346" s="20">
        <f t="shared" si="203"/>
        <v>0</v>
      </c>
    </row>
    <row r="4347" spans="1:9">
      <c r="A4347" s="17" t="s">
        <v>1736</v>
      </c>
      <c r="B4347" s="17" t="s">
        <v>1742</v>
      </c>
      <c r="C4347" s="17">
        <v>0</v>
      </c>
      <c r="D4347" s="17" t="s">
        <v>801</v>
      </c>
      <c r="E4347" s="18">
        <v>3004120789002</v>
      </c>
      <c r="G4347" s="20" t="str">
        <f t="shared" si="201"/>
        <v xml:space="preserve"> FERMETURE       </v>
      </c>
      <c r="H4347" s="20" t="str">
        <f t="shared" si="202"/>
        <v>RAFPA</v>
      </c>
      <c r="I4347" s="20">
        <f t="shared" si="203"/>
        <v>0</v>
      </c>
    </row>
    <row r="4348" spans="1:9">
      <c r="A4348" s="17" t="s">
        <v>1736</v>
      </c>
      <c r="B4348" s="17" t="s">
        <v>1036</v>
      </c>
      <c r="C4348" s="17">
        <v>0</v>
      </c>
      <c r="D4348" s="17" t="s">
        <v>801</v>
      </c>
      <c r="E4348" s="18">
        <v>8056099178207</v>
      </c>
      <c r="G4348" s="20" t="str">
        <f t="shared" si="201"/>
        <v xml:space="preserve"> FERMETURE       </v>
      </c>
      <c r="H4348" s="20" t="str">
        <f t="shared" si="202"/>
        <v>VOLCA</v>
      </c>
      <c r="I4348" s="20">
        <f t="shared" si="203"/>
        <v>0</v>
      </c>
    </row>
    <row r="4349" spans="1:9">
      <c r="A4349" s="17" t="s">
        <v>1743</v>
      </c>
      <c r="B4349" s="17" t="s">
        <v>810</v>
      </c>
      <c r="C4349" s="17">
        <v>0</v>
      </c>
      <c r="D4349" s="17" t="s">
        <v>801</v>
      </c>
      <c r="E4349" s="18">
        <v>3005450319006</v>
      </c>
      <c r="G4349" s="20" t="str">
        <f t="shared" si="201"/>
        <v xml:space="preserve"> FERMETUREPOCHE  </v>
      </c>
      <c r="H4349" s="20" t="str">
        <f t="shared" si="202"/>
        <v xml:space="preserve">BLUE </v>
      </c>
      <c r="I4349" s="20">
        <f t="shared" si="203"/>
        <v>0</v>
      </c>
    </row>
    <row r="4350" spans="1:9">
      <c r="A4350" s="17" t="s">
        <v>1743</v>
      </c>
      <c r="B4350" s="17" t="s">
        <v>810</v>
      </c>
      <c r="C4350" s="17">
        <v>0</v>
      </c>
      <c r="D4350" s="17" t="s">
        <v>801</v>
      </c>
      <c r="E4350" s="18">
        <v>8058983598306</v>
      </c>
      <c r="G4350" s="20" t="str">
        <f t="shared" si="201"/>
        <v xml:space="preserve"> FERMETUREPOCHE  </v>
      </c>
      <c r="H4350" s="20" t="str">
        <f t="shared" si="202"/>
        <v xml:space="preserve">BLUE </v>
      </c>
      <c r="I4350" s="20">
        <f t="shared" si="203"/>
        <v>0</v>
      </c>
    </row>
    <row r="4351" spans="1:9">
      <c r="A4351" s="17" t="s">
        <v>1743</v>
      </c>
      <c r="B4351" s="17" t="s">
        <v>1101</v>
      </c>
      <c r="C4351" s="17">
        <v>0</v>
      </c>
      <c r="D4351" s="17" t="s">
        <v>801</v>
      </c>
      <c r="E4351" s="18">
        <v>3005450308000</v>
      </c>
      <c r="G4351" s="20" t="str">
        <f t="shared" si="201"/>
        <v xml:space="preserve"> FERMETUREPOCHE  </v>
      </c>
      <c r="H4351" s="20" t="str">
        <f t="shared" si="202"/>
        <v xml:space="preserve">BOR  </v>
      </c>
      <c r="I4351" s="20">
        <f t="shared" si="203"/>
        <v>0</v>
      </c>
    </row>
    <row r="4352" spans="1:9">
      <c r="A4352" s="17" t="s">
        <v>1743</v>
      </c>
      <c r="B4352" s="17" t="s">
        <v>1101</v>
      </c>
      <c r="C4352" s="17">
        <v>0</v>
      </c>
      <c r="D4352" s="17" t="s">
        <v>801</v>
      </c>
      <c r="E4352" s="18">
        <v>8058983598290</v>
      </c>
      <c r="G4352" s="20" t="str">
        <f t="shared" si="201"/>
        <v xml:space="preserve"> FERMETUREPOCHE  </v>
      </c>
      <c r="H4352" s="20" t="str">
        <f t="shared" si="202"/>
        <v xml:space="preserve">BOR  </v>
      </c>
      <c r="I4352" s="20">
        <f t="shared" si="203"/>
        <v>0</v>
      </c>
    </row>
    <row r="4353" spans="1:9">
      <c r="A4353" s="17" t="s">
        <v>1743</v>
      </c>
      <c r="B4353" s="17" t="s">
        <v>1041</v>
      </c>
      <c r="C4353" s="17">
        <v>0</v>
      </c>
      <c r="D4353" s="17" t="s">
        <v>801</v>
      </c>
      <c r="E4353" s="18">
        <v>8050538595273</v>
      </c>
      <c r="G4353" s="20" t="str">
        <f t="shared" si="201"/>
        <v xml:space="preserve"> FERMETUREPOCHE  </v>
      </c>
      <c r="H4353" s="20" t="str">
        <f t="shared" si="202"/>
        <v>LIGBL</v>
      </c>
      <c r="I4353" s="20">
        <f t="shared" si="203"/>
        <v>0</v>
      </c>
    </row>
    <row r="4354" spans="1:9">
      <c r="A4354" s="17" t="s">
        <v>1743</v>
      </c>
      <c r="B4354" s="17" t="s">
        <v>1042</v>
      </c>
      <c r="C4354" s="17">
        <v>0</v>
      </c>
      <c r="D4354" s="17" t="s">
        <v>801</v>
      </c>
      <c r="E4354" s="18">
        <v>8050538595266</v>
      </c>
      <c r="G4354" s="20" t="str">
        <f t="shared" si="201"/>
        <v xml:space="preserve"> FERMETUREPOCHE  </v>
      </c>
      <c r="H4354" s="20" t="str">
        <f t="shared" si="202"/>
        <v>LIGRO</v>
      </c>
      <c r="I4354" s="20">
        <f t="shared" si="203"/>
        <v>0</v>
      </c>
    </row>
    <row r="4355" spans="1:9">
      <c r="A4355" s="17" t="s">
        <v>1743</v>
      </c>
      <c r="B4355" s="17" t="s">
        <v>1744</v>
      </c>
      <c r="C4355" s="17">
        <v>0</v>
      </c>
      <c r="D4355" s="17" t="s">
        <v>801</v>
      </c>
      <c r="E4355" s="18">
        <v>3005450154003</v>
      </c>
      <c r="G4355" s="20" t="str">
        <f t="shared" si="201"/>
        <v xml:space="preserve"> FERMETUREPOCHE  </v>
      </c>
      <c r="H4355" s="20" t="str">
        <f t="shared" si="202"/>
        <v>MATTO</v>
      </c>
      <c r="I4355" s="20">
        <f t="shared" si="203"/>
        <v>0</v>
      </c>
    </row>
    <row r="4356" spans="1:9">
      <c r="A4356" s="17" t="s">
        <v>1743</v>
      </c>
      <c r="B4356" s="17" t="s">
        <v>1744</v>
      </c>
      <c r="C4356" s="17">
        <v>0</v>
      </c>
      <c r="D4356" s="17" t="s">
        <v>801</v>
      </c>
      <c r="E4356" s="18">
        <v>8058983598320</v>
      </c>
      <c r="G4356" s="20" t="str">
        <f t="shared" si="201"/>
        <v xml:space="preserve"> FERMETUREPOCHE  </v>
      </c>
      <c r="H4356" s="20" t="str">
        <f t="shared" si="202"/>
        <v>MATTO</v>
      </c>
      <c r="I4356" s="20">
        <f t="shared" si="203"/>
        <v>0</v>
      </c>
    </row>
    <row r="4357" spans="1:9">
      <c r="A4357" s="17" t="s">
        <v>1743</v>
      </c>
      <c r="B4357" s="17" t="s">
        <v>1036</v>
      </c>
      <c r="C4357" s="17">
        <v>0</v>
      </c>
      <c r="D4357" s="17" t="s">
        <v>801</v>
      </c>
      <c r="E4357" s="18">
        <v>3004791442008</v>
      </c>
      <c r="G4357" s="20" t="str">
        <f t="shared" ref="G4357:G4420" si="204">A4357</f>
        <v xml:space="preserve"> FERMETUREPOCHE  </v>
      </c>
      <c r="H4357" s="20" t="str">
        <f t="shared" ref="H4357:H4420" si="205">B4357</f>
        <v>VOLCA</v>
      </c>
      <c r="I4357" s="20">
        <f t="shared" ref="I4357:I4420" si="206">C4357</f>
        <v>0</v>
      </c>
    </row>
    <row r="4358" spans="1:9">
      <c r="A4358" s="17" t="s">
        <v>1743</v>
      </c>
      <c r="B4358" s="17" t="s">
        <v>825</v>
      </c>
      <c r="C4358" s="17">
        <v>0</v>
      </c>
      <c r="D4358" s="17" t="s">
        <v>801</v>
      </c>
      <c r="E4358" s="18">
        <v>3005450632006</v>
      </c>
      <c r="G4358" s="20" t="str">
        <f t="shared" si="204"/>
        <v xml:space="preserve"> FERMETUREPOCHE  </v>
      </c>
      <c r="H4358" s="20" t="str">
        <f t="shared" si="205"/>
        <v xml:space="preserve">YELL </v>
      </c>
      <c r="I4358" s="20">
        <f t="shared" si="206"/>
        <v>0</v>
      </c>
    </row>
    <row r="4359" spans="1:9">
      <c r="A4359" s="17" t="s">
        <v>1743</v>
      </c>
      <c r="B4359" s="17" t="s">
        <v>825</v>
      </c>
      <c r="C4359" s="17">
        <v>0</v>
      </c>
      <c r="D4359" s="17" t="s">
        <v>801</v>
      </c>
      <c r="E4359" s="18">
        <v>8058983598313</v>
      </c>
      <c r="G4359" s="20" t="str">
        <f t="shared" si="204"/>
        <v xml:space="preserve"> FERMETUREPOCHE  </v>
      </c>
      <c r="H4359" s="20" t="str">
        <f t="shared" si="205"/>
        <v xml:space="preserve">YELL </v>
      </c>
      <c r="I4359" s="20">
        <f t="shared" si="206"/>
        <v>0</v>
      </c>
    </row>
    <row r="4360" spans="1:9">
      <c r="A4360" s="17" t="s">
        <v>1745</v>
      </c>
      <c r="B4360" s="17" t="s">
        <v>891</v>
      </c>
      <c r="C4360" s="17">
        <v>0</v>
      </c>
      <c r="D4360" s="17" t="s">
        <v>801</v>
      </c>
      <c r="E4360" s="18">
        <v>3005530581002</v>
      </c>
      <c r="G4360" s="20" t="str">
        <f t="shared" si="204"/>
        <v xml:space="preserve"> FERMOCITY       </v>
      </c>
      <c r="H4360" s="20" t="str">
        <f t="shared" si="205"/>
        <v>GREEN</v>
      </c>
      <c r="I4360" s="20">
        <f t="shared" si="206"/>
        <v>0</v>
      </c>
    </row>
    <row r="4361" spans="1:9">
      <c r="A4361" s="17" t="s">
        <v>1745</v>
      </c>
      <c r="B4361" s="17" t="s">
        <v>891</v>
      </c>
      <c r="C4361" s="17">
        <v>0</v>
      </c>
      <c r="D4361" s="17" t="s">
        <v>801</v>
      </c>
      <c r="E4361" s="18">
        <v>8058983598283</v>
      </c>
      <c r="G4361" s="20" t="str">
        <f t="shared" si="204"/>
        <v xml:space="preserve"> FERMOCITY       </v>
      </c>
      <c r="H4361" s="20" t="str">
        <f t="shared" si="205"/>
        <v>GREEN</v>
      </c>
      <c r="I4361" s="20">
        <f t="shared" si="206"/>
        <v>0</v>
      </c>
    </row>
    <row r="4362" spans="1:9">
      <c r="A4362" s="17" t="s">
        <v>1745</v>
      </c>
      <c r="B4362" s="17" t="s">
        <v>971</v>
      </c>
      <c r="C4362" s="17">
        <v>0</v>
      </c>
      <c r="D4362" s="17" t="s">
        <v>801</v>
      </c>
      <c r="E4362" s="18">
        <v>3005530394008</v>
      </c>
      <c r="G4362" s="20" t="str">
        <f t="shared" si="204"/>
        <v xml:space="preserve"> FERMOCITY       </v>
      </c>
      <c r="H4362" s="20" t="str">
        <f t="shared" si="205"/>
        <v>OTTAN</v>
      </c>
      <c r="I4362" s="20">
        <f t="shared" si="206"/>
        <v>0</v>
      </c>
    </row>
    <row r="4363" spans="1:9">
      <c r="A4363" s="17" t="s">
        <v>1745</v>
      </c>
      <c r="B4363" s="17" t="s">
        <v>971</v>
      </c>
      <c r="C4363" s="17">
        <v>0</v>
      </c>
      <c r="D4363" s="17" t="s">
        <v>801</v>
      </c>
      <c r="E4363" s="18">
        <v>8058983598252</v>
      </c>
      <c r="G4363" s="20" t="str">
        <f t="shared" si="204"/>
        <v xml:space="preserve"> FERMOCITY       </v>
      </c>
      <c r="H4363" s="20" t="str">
        <f t="shared" si="205"/>
        <v>OTTAN</v>
      </c>
      <c r="I4363" s="20">
        <f t="shared" si="206"/>
        <v>0</v>
      </c>
    </row>
    <row r="4364" spans="1:9">
      <c r="A4364" s="17" t="s">
        <v>1745</v>
      </c>
      <c r="B4364" s="17" t="s">
        <v>1097</v>
      </c>
      <c r="C4364" s="17">
        <v>0</v>
      </c>
      <c r="D4364" s="17" t="s">
        <v>801</v>
      </c>
      <c r="E4364" s="18">
        <v>3005530540009</v>
      </c>
      <c r="G4364" s="20" t="str">
        <f t="shared" si="204"/>
        <v xml:space="preserve"> FERMOCITY       </v>
      </c>
      <c r="H4364" s="20" t="str">
        <f t="shared" si="205"/>
        <v xml:space="preserve">PORP </v>
      </c>
      <c r="I4364" s="20">
        <f t="shared" si="206"/>
        <v>0</v>
      </c>
    </row>
    <row r="4365" spans="1:9">
      <c r="A4365" s="17" t="s">
        <v>1745</v>
      </c>
      <c r="B4365" s="17" t="s">
        <v>1097</v>
      </c>
      <c r="C4365" s="17">
        <v>0</v>
      </c>
      <c r="D4365" s="17" t="s">
        <v>801</v>
      </c>
      <c r="E4365" s="18">
        <v>8058983598269</v>
      </c>
      <c r="G4365" s="20" t="str">
        <f t="shared" si="204"/>
        <v xml:space="preserve"> FERMOCITY       </v>
      </c>
      <c r="H4365" s="20" t="str">
        <f t="shared" si="205"/>
        <v xml:space="preserve">PORP </v>
      </c>
      <c r="I4365" s="20">
        <f t="shared" si="206"/>
        <v>0</v>
      </c>
    </row>
    <row r="4366" spans="1:9">
      <c r="A4366" s="17" t="s">
        <v>1745</v>
      </c>
      <c r="B4366" s="17" t="s">
        <v>919</v>
      </c>
      <c r="C4366" s="17">
        <v>0</v>
      </c>
      <c r="D4366" s="17" t="s">
        <v>801</v>
      </c>
      <c r="E4366" s="18">
        <v>3005531178003</v>
      </c>
      <c r="G4366" s="20" t="str">
        <f t="shared" si="204"/>
        <v xml:space="preserve"> FERMOCITY       </v>
      </c>
      <c r="H4366" s="20" t="str">
        <f t="shared" si="205"/>
        <v>TESTA</v>
      </c>
      <c r="I4366" s="20">
        <f t="shared" si="206"/>
        <v>0</v>
      </c>
    </row>
    <row r="4367" spans="1:9">
      <c r="A4367" s="17" t="s">
        <v>1746</v>
      </c>
      <c r="B4367" s="17" t="s">
        <v>280</v>
      </c>
      <c r="C4367" s="17">
        <v>0</v>
      </c>
      <c r="D4367" s="17" t="s">
        <v>801</v>
      </c>
      <c r="E4367" s="18">
        <v>3004870004004</v>
      </c>
      <c r="G4367" s="20" t="str">
        <f t="shared" si="204"/>
        <v xml:space="preserve"> FILET           </v>
      </c>
      <c r="H4367" s="20" t="str">
        <f t="shared" si="205"/>
        <v>BLACK</v>
      </c>
      <c r="I4367" s="20">
        <f t="shared" si="206"/>
        <v>0</v>
      </c>
    </row>
    <row r="4368" spans="1:9">
      <c r="A4368" s="17" t="s">
        <v>1746</v>
      </c>
      <c r="B4368" s="17" t="s">
        <v>810</v>
      </c>
      <c r="C4368" s="17">
        <v>0</v>
      </c>
      <c r="D4368" s="17" t="s">
        <v>801</v>
      </c>
      <c r="E4368" s="18">
        <v>3004870319009</v>
      </c>
      <c r="G4368" s="20" t="str">
        <f t="shared" si="204"/>
        <v xml:space="preserve"> FILET           </v>
      </c>
      <c r="H4368" s="20" t="str">
        <f t="shared" si="205"/>
        <v xml:space="preserve">BLUE </v>
      </c>
      <c r="I4368" s="20">
        <f t="shared" si="206"/>
        <v>0</v>
      </c>
    </row>
    <row r="4369" spans="1:9">
      <c r="A4369" s="17" t="s">
        <v>1746</v>
      </c>
      <c r="B4369" s="17" t="s">
        <v>810</v>
      </c>
      <c r="C4369" s="17">
        <v>0</v>
      </c>
      <c r="D4369" s="17" t="s">
        <v>801</v>
      </c>
      <c r="E4369" s="18">
        <v>3004180284004</v>
      </c>
      <c r="G4369" s="20" t="str">
        <f t="shared" si="204"/>
        <v xml:space="preserve"> FILET           </v>
      </c>
      <c r="H4369" s="20" t="str">
        <f t="shared" si="205"/>
        <v xml:space="preserve">BLUE </v>
      </c>
      <c r="I4369" s="20">
        <f t="shared" si="206"/>
        <v>0</v>
      </c>
    </row>
    <row r="4370" spans="1:9">
      <c r="A4370" s="17" t="s">
        <v>1746</v>
      </c>
      <c r="B4370" s="17" t="s">
        <v>1101</v>
      </c>
      <c r="C4370" s="17">
        <v>0</v>
      </c>
      <c r="D4370" s="17" t="s">
        <v>801</v>
      </c>
      <c r="E4370" s="18">
        <v>3004870308003</v>
      </c>
      <c r="G4370" s="20" t="str">
        <f t="shared" si="204"/>
        <v xml:space="preserve"> FILET           </v>
      </c>
      <c r="H4370" s="20" t="str">
        <f t="shared" si="205"/>
        <v xml:space="preserve">BOR  </v>
      </c>
      <c r="I4370" s="20">
        <f t="shared" si="206"/>
        <v>0</v>
      </c>
    </row>
    <row r="4371" spans="1:9">
      <c r="A4371" s="17" t="s">
        <v>1746</v>
      </c>
      <c r="B4371" s="17" t="s">
        <v>853</v>
      </c>
      <c r="C4371" s="17">
        <v>0</v>
      </c>
      <c r="D4371" s="17" t="s">
        <v>801</v>
      </c>
      <c r="E4371" s="18">
        <v>3004870255000</v>
      </c>
      <c r="G4371" s="20" t="str">
        <f t="shared" si="204"/>
        <v xml:space="preserve"> FILET           </v>
      </c>
      <c r="H4371" s="20" t="str">
        <f t="shared" si="205"/>
        <v>BRONZ</v>
      </c>
      <c r="I4371" s="20">
        <f t="shared" si="206"/>
        <v>0</v>
      </c>
    </row>
    <row r="4372" spans="1:9">
      <c r="A4372" s="17" t="s">
        <v>1746</v>
      </c>
      <c r="B4372" s="17" t="s">
        <v>869</v>
      </c>
      <c r="C4372" s="17">
        <v>0</v>
      </c>
      <c r="D4372" s="17" t="s">
        <v>801</v>
      </c>
      <c r="E4372" s="18">
        <v>3004870554004</v>
      </c>
      <c r="G4372" s="20" t="str">
        <f t="shared" si="204"/>
        <v xml:space="preserve"> FILET           </v>
      </c>
      <c r="H4372" s="20" t="str">
        <f t="shared" si="205"/>
        <v>BROWN</v>
      </c>
      <c r="I4372" s="20">
        <f t="shared" si="206"/>
        <v>0</v>
      </c>
    </row>
    <row r="4373" spans="1:9">
      <c r="A4373" s="17" t="s">
        <v>1746</v>
      </c>
      <c r="B4373" s="17" t="s">
        <v>858</v>
      </c>
      <c r="C4373" s="17">
        <v>0</v>
      </c>
      <c r="D4373" s="17" t="s">
        <v>801</v>
      </c>
      <c r="E4373" s="18">
        <v>3004870002000</v>
      </c>
      <c r="G4373" s="20" t="str">
        <f t="shared" si="204"/>
        <v xml:space="preserve"> FILET           </v>
      </c>
      <c r="H4373" s="20" t="str">
        <f t="shared" si="205"/>
        <v xml:space="preserve">GREY </v>
      </c>
      <c r="I4373" s="20">
        <f t="shared" si="206"/>
        <v>0</v>
      </c>
    </row>
    <row r="4374" spans="1:9">
      <c r="A4374" s="17" t="s">
        <v>1746</v>
      </c>
      <c r="B4374" s="17" t="s">
        <v>1105</v>
      </c>
      <c r="C4374" s="17">
        <v>0</v>
      </c>
      <c r="D4374" s="17" t="s">
        <v>801</v>
      </c>
      <c r="E4374" s="18">
        <v>3004180565004</v>
      </c>
      <c r="G4374" s="20" t="str">
        <f t="shared" si="204"/>
        <v xml:space="preserve"> FILET           </v>
      </c>
      <c r="H4374" s="20" t="str">
        <f t="shared" si="205"/>
        <v>MARSA</v>
      </c>
      <c r="I4374" s="20">
        <f t="shared" si="206"/>
        <v>0</v>
      </c>
    </row>
    <row r="4375" spans="1:9">
      <c r="A4375" s="17" t="s">
        <v>1746</v>
      </c>
      <c r="B4375" s="17" t="s">
        <v>855</v>
      </c>
      <c r="C4375" s="17">
        <v>0</v>
      </c>
      <c r="D4375" s="17" t="s">
        <v>801</v>
      </c>
      <c r="E4375" s="18">
        <v>3004870617006</v>
      </c>
      <c r="G4375" s="20" t="str">
        <f t="shared" si="204"/>
        <v xml:space="preserve"> FILET           </v>
      </c>
      <c r="H4375" s="20" t="str">
        <f t="shared" si="205"/>
        <v>SILVE</v>
      </c>
      <c r="I4375" s="20">
        <f t="shared" si="206"/>
        <v>0</v>
      </c>
    </row>
    <row r="4376" spans="1:9">
      <c r="A4376" s="17" t="s">
        <v>1746</v>
      </c>
      <c r="B4376" s="17" t="s">
        <v>841</v>
      </c>
      <c r="C4376" s="17">
        <v>0</v>
      </c>
      <c r="D4376" s="17" t="s">
        <v>801</v>
      </c>
      <c r="E4376" s="18">
        <v>3004870309000</v>
      </c>
      <c r="G4376" s="20" t="str">
        <f t="shared" si="204"/>
        <v xml:space="preserve"> FILET           </v>
      </c>
      <c r="H4376" s="20" t="str">
        <f t="shared" si="205"/>
        <v xml:space="preserve">TEST </v>
      </c>
      <c r="I4376" s="20">
        <f t="shared" si="206"/>
        <v>0</v>
      </c>
    </row>
    <row r="4377" spans="1:9">
      <c r="A4377" s="17" t="s">
        <v>1747</v>
      </c>
      <c r="B4377" s="17" t="s">
        <v>799</v>
      </c>
      <c r="C4377" s="17">
        <v>0</v>
      </c>
      <c r="D4377" s="17" t="s">
        <v>801</v>
      </c>
      <c r="E4377" s="18">
        <v>8056098539597</v>
      </c>
      <c r="G4377" s="20" t="str">
        <f t="shared" si="204"/>
        <v xml:space="preserve"> FLAP            </v>
      </c>
      <c r="H4377" s="20" t="str">
        <f t="shared" si="205"/>
        <v xml:space="preserve">     </v>
      </c>
      <c r="I4377" s="20">
        <f t="shared" si="206"/>
        <v>0</v>
      </c>
    </row>
    <row r="4378" spans="1:9">
      <c r="A4378" s="17" t="s">
        <v>1747</v>
      </c>
      <c r="B4378" s="17" t="s">
        <v>799</v>
      </c>
      <c r="C4378" s="17">
        <v>0</v>
      </c>
      <c r="D4378" s="17" t="s">
        <v>801</v>
      </c>
      <c r="E4378" s="18">
        <v>3003730312006</v>
      </c>
      <c r="G4378" s="20" t="str">
        <f t="shared" si="204"/>
        <v xml:space="preserve"> FLAP            </v>
      </c>
      <c r="H4378" s="20" t="str">
        <f t="shared" si="205"/>
        <v xml:space="preserve">     </v>
      </c>
      <c r="I4378" s="20">
        <f t="shared" si="206"/>
        <v>0</v>
      </c>
    </row>
    <row r="4379" spans="1:9">
      <c r="A4379" s="17" t="s">
        <v>1747</v>
      </c>
      <c r="B4379" s="17" t="s">
        <v>969</v>
      </c>
      <c r="C4379" s="17">
        <v>0</v>
      </c>
      <c r="D4379" s="17" t="s">
        <v>801</v>
      </c>
      <c r="E4379" s="18">
        <v>8050538595105</v>
      </c>
      <c r="G4379" s="20" t="str">
        <f t="shared" si="204"/>
        <v xml:space="preserve"> FLAP            </v>
      </c>
      <c r="H4379" s="20" t="str">
        <f t="shared" si="205"/>
        <v>3DLAT</v>
      </c>
      <c r="I4379" s="20">
        <f t="shared" si="206"/>
        <v>0</v>
      </c>
    </row>
    <row r="4380" spans="1:9">
      <c r="A4380" s="17" t="s">
        <v>1747</v>
      </c>
      <c r="B4380" s="17" t="s">
        <v>1748</v>
      </c>
      <c r="C4380" s="17">
        <v>0</v>
      </c>
      <c r="D4380" s="17" t="s">
        <v>801</v>
      </c>
      <c r="E4380" s="18">
        <v>8056098539580</v>
      </c>
      <c r="G4380" s="20" t="str">
        <f t="shared" si="204"/>
        <v xml:space="preserve"> FLAP            </v>
      </c>
      <c r="H4380" s="20" t="str">
        <f t="shared" si="205"/>
        <v>ACARA</v>
      </c>
      <c r="I4380" s="20">
        <f t="shared" si="206"/>
        <v>0</v>
      </c>
    </row>
    <row r="4381" spans="1:9">
      <c r="A4381" s="17" t="s">
        <v>1747</v>
      </c>
      <c r="B4381" s="17" t="s">
        <v>1748</v>
      </c>
      <c r="C4381" s="17">
        <v>0</v>
      </c>
      <c r="D4381" s="17" t="s">
        <v>801</v>
      </c>
      <c r="E4381" s="18">
        <v>3002531333005</v>
      </c>
      <c r="G4381" s="20" t="str">
        <f t="shared" si="204"/>
        <v xml:space="preserve"> FLAP            </v>
      </c>
      <c r="H4381" s="20" t="str">
        <f t="shared" si="205"/>
        <v>ACARA</v>
      </c>
      <c r="I4381" s="20">
        <f t="shared" si="206"/>
        <v>0</v>
      </c>
    </row>
    <row r="4382" spans="1:9">
      <c r="A4382" s="17" t="s">
        <v>1747</v>
      </c>
      <c r="B4382" s="17" t="s">
        <v>1749</v>
      </c>
      <c r="C4382" s="17">
        <v>0</v>
      </c>
      <c r="D4382" s="17" t="s">
        <v>801</v>
      </c>
      <c r="E4382" s="18">
        <v>3002531334002</v>
      </c>
      <c r="G4382" s="20" t="str">
        <f t="shared" si="204"/>
        <v xml:space="preserve"> FLAP            </v>
      </c>
      <c r="H4382" s="20" t="str">
        <f t="shared" si="205"/>
        <v>ACBLU</v>
      </c>
      <c r="I4382" s="20">
        <f t="shared" si="206"/>
        <v>0</v>
      </c>
    </row>
    <row r="4383" spans="1:9">
      <c r="A4383" s="17" t="s">
        <v>1747</v>
      </c>
      <c r="B4383" s="17" t="s">
        <v>1750</v>
      </c>
      <c r="C4383" s="17">
        <v>0</v>
      </c>
      <c r="D4383" s="17" t="s">
        <v>801</v>
      </c>
      <c r="E4383" s="18">
        <v>8056098539603</v>
      </c>
      <c r="G4383" s="20" t="str">
        <f t="shared" si="204"/>
        <v xml:space="preserve"> FLAP            </v>
      </c>
      <c r="H4383" s="20" t="str">
        <f t="shared" si="205"/>
        <v>ACGRE</v>
      </c>
      <c r="I4383" s="20">
        <f t="shared" si="206"/>
        <v>0</v>
      </c>
    </row>
    <row r="4384" spans="1:9">
      <c r="A4384" s="17" t="s">
        <v>1747</v>
      </c>
      <c r="B4384" s="17" t="s">
        <v>1750</v>
      </c>
      <c r="C4384" s="17">
        <v>0</v>
      </c>
      <c r="D4384" s="17" t="s">
        <v>801</v>
      </c>
      <c r="E4384" s="18">
        <v>3002531332008</v>
      </c>
      <c r="G4384" s="20" t="str">
        <f t="shared" si="204"/>
        <v xml:space="preserve"> FLAP            </v>
      </c>
      <c r="H4384" s="20" t="str">
        <f t="shared" si="205"/>
        <v>ACGRE</v>
      </c>
      <c r="I4384" s="20">
        <f t="shared" si="206"/>
        <v>0</v>
      </c>
    </row>
    <row r="4385" spans="1:9">
      <c r="A4385" s="17" t="s">
        <v>1747</v>
      </c>
      <c r="B4385" s="17" t="s">
        <v>1751</v>
      </c>
      <c r="C4385" s="17">
        <v>0</v>
      </c>
      <c r="D4385" s="17" t="s">
        <v>801</v>
      </c>
      <c r="E4385" s="18">
        <v>3003730136008</v>
      </c>
      <c r="G4385" s="20" t="str">
        <f t="shared" si="204"/>
        <v xml:space="preserve"> FLAP            </v>
      </c>
      <c r="H4385" s="20" t="str">
        <f t="shared" si="205"/>
        <v xml:space="preserve">AFRI </v>
      </c>
      <c r="I4385" s="20">
        <f t="shared" si="206"/>
        <v>0</v>
      </c>
    </row>
    <row r="4386" spans="1:9">
      <c r="A4386" s="17" t="s">
        <v>1747</v>
      </c>
      <c r="B4386" s="17" t="s">
        <v>1752</v>
      </c>
      <c r="C4386" s="17">
        <v>0</v>
      </c>
      <c r="D4386" s="17" t="s">
        <v>801</v>
      </c>
      <c r="E4386" s="18">
        <v>3003730166005</v>
      </c>
      <c r="G4386" s="20" t="str">
        <f t="shared" si="204"/>
        <v xml:space="preserve"> FLAP            </v>
      </c>
      <c r="H4386" s="20" t="str">
        <f t="shared" si="205"/>
        <v>AFRIB</v>
      </c>
      <c r="I4386" s="20">
        <f t="shared" si="206"/>
        <v>0</v>
      </c>
    </row>
    <row r="4387" spans="1:9">
      <c r="A4387" s="17" t="s">
        <v>1747</v>
      </c>
      <c r="B4387" s="17" t="s">
        <v>1753</v>
      </c>
      <c r="C4387" s="17">
        <v>0</v>
      </c>
      <c r="D4387" s="17" t="s">
        <v>801</v>
      </c>
      <c r="E4387" s="18">
        <v>3002531311003</v>
      </c>
      <c r="G4387" s="20" t="str">
        <f t="shared" si="204"/>
        <v xml:space="preserve"> FLAP            </v>
      </c>
      <c r="H4387" s="20" t="str">
        <f t="shared" si="205"/>
        <v>AJOCR</v>
      </c>
      <c r="I4387" s="20">
        <f t="shared" si="206"/>
        <v>0</v>
      </c>
    </row>
    <row r="4388" spans="1:9">
      <c r="A4388" s="17" t="s">
        <v>1747</v>
      </c>
      <c r="B4388" s="17" t="s">
        <v>1753</v>
      </c>
      <c r="C4388" s="17">
        <v>0</v>
      </c>
      <c r="D4388" s="17" t="s">
        <v>801</v>
      </c>
      <c r="E4388" s="18">
        <v>8056099171710</v>
      </c>
      <c r="G4388" s="20" t="str">
        <f t="shared" si="204"/>
        <v xml:space="preserve"> FLAP            </v>
      </c>
      <c r="H4388" s="20" t="str">
        <f t="shared" si="205"/>
        <v>AJOCR</v>
      </c>
      <c r="I4388" s="20">
        <f t="shared" si="206"/>
        <v>0</v>
      </c>
    </row>
    <row r="4389" spans="1:9">
      <c r="A4389" s="17" t="s">
        <v>1747</v>
      </c>
      <c r="B4389" s="17" t="s">
        <v>1476</v>
      </c>
      <c r="C4389" s="17">
        <v>0</v>
      </c>
      <c r="D4389" s="17" t="s">
        <v>801</v>
      </c>
      <c r="E4389" s="18">
        <v>8056099171703</v>
      </c>
      <c r="G4389" s="20" t="str">
        <f t="shared" si="204"/>
        <v xml:space="preserve"> FLAP            </v>
      </c>
      <c r="H4389" s="20" t="str">
        <f t="shared" si="205"/>
        <v>AJWHI</v>
      </c>
      <c r="I4389" s="20">
        <f t="shared" si="206"/>
        <v>0</v>
      </c>
    </row>
    <row r="4390" spans="1:9">
      <c r="A4390" s="17" t="s">
        <v>1747</v>
      </c>
      <c r="B4390" s="17" t="s">
        <v>1476</v>
      </c>
      <c r="C4390" s="17">
        <v>0</v>
      </c>
      <c r="D4390" s="17" t="s">
        <v>801</v>
      </c>
      <c r="E4390" s="18">
        <v>3002531293002</v>
      </c>
      <c r="G4390" s="20" t="str">
        <f t="shared" si="204"/>
        <v xml:space="preserve"> FLAP            </v>
      </c>
      <c r="H4390" s="20" t="str">
        <f t="shared" si="205"/>
        <v>AJWHI</v>
      </c>
      <c r="I4390" s="20">
        <f t="shared" si="206"/>
        <v>0</v>
      </c>
    </row>
    <row r="4391" spans="1:9">
      <c r="A4391" s="17" t="s">
        <v>1747</v>
      </c>
      <c r="B4391" s="17" t="s">
        <v>1592</v>
      </c>
      <c r="C4391" s="17">
        <v>0</v>
      </c>
      <c r="D4391" s="17" t="s">
        <v>801</v>
      </c>
      <c r="E4391" s="18">
        <v>3003730113009</v>
      </c>
      <c r="G4391" s="20" t="str">
        <f t="shared" si="204"/>
        <v xml:space="preserve"> FLAP            </v>
      </c>
      <c r="H4391" s="20" t="str">
        <f t="shared" si="205"/>
        <v xml:space="preserve">AMER </v>
      </c>
      <c r="I4391" s="20">
        <f t="shared" si="206"/>
        <v>0</v>
      </c>
    </row>
    <row r="4392" spans="1:9">
      <c r="A4392" s="17" t="s">
        <v>1747</v>
      </c>
      <c r="B4392" s="17" t="s">
        <v>1531</v>
      </c>
      <c r="C4392" s="17">
        <v>0</v>
      </c>
      <c r="D4392" s="17" t="s">
        <v>801</v>
      </c>
      <c r="E4392" s="18">
        <v>8050846013414</v>
      </c>
      <c r="G4392" s="20" t="str">
        <f t="shared" si="204"/>
        <v xml:space="preserve"> FLAP            </v>
      </c>
      <c r="H4392" s="20" t="str">
        <f t="shared" si="205"/>
        <v>ASTBL</v>
      </c>
      <c r="I4392" s="20">
        <f t="shared" si="206"/>
        <v>0</v>
      </c>
    </row>
    <row r="4393" spans="1:9">
      <c r="A4393" s="17" t="s">
        <v>1747</v>
      </c>
      <c r="B4393" s="17" t="s">
        <v>1754</v>
      </c>
      <c r="C4393" s="17">
        <v>0</v>
      </c>
      <c r="D4393" s="17" t="s">
        <v>801</v>
      </c>
      <c r="E4393" s="18">
        <v>3003730277008</v>
      </c>
      <c r="G4393" s="20" t="str">
        <f t="shared" si="204"/>
        <v xml:space="preserve"> FLAP            </v>
      </c>
      <c r="H4393" s="20" t="str">
        <f t="shared" si="205"/>
        <v>ASTRA</v>
      </c>
      <c r="I4393" s="20">
        <f t="shared" si="206"/>
        <v>0</v>
      </c>
    </row>
    <row r="4394" spans="1:9">
      <c r="A4394" s="17" t="s">
        <v>1747</v>
      </c>
      <c r="B4394" s="17" t="s">
        <v>1755</v>
      </c>
      <c r="C4394" s="17">
        <v>0</v>
      </c>
      <c r="D4394" s="17" t="s">
        <v>801</v>
      </c>
      <c r="E4394" s="18">
        <v>8056095064153</v>
      </c>
      <c r="G4394" s="20" t="str">
        <f t="shared" si="204"/>
        <v xml:space="preserve"> FLAP            </v>
      </c>
      <c r="H4394" s="20" t="str">
        <f t="shared" si="205"/>
        <v>BICIE</v>
      </c>
      <c r="I4394" s="20">
        <f t="shared" si="206"/>
        <v>0</v>
      </c>
    </row>
    <row r="4395" spans="1:9">
      <c r="A4395" s="17" t="s">
        <v>1747</v>
      </c>
      <c r="B4395" s="17" t="s">
        <v>1755</v>
      </c>
      <c r="C4395" s="17">
        <v>0</v>
      </c>
      <c r="D4395" s="17" t="s">
        <v>801</v>
      </c>
      <c r="E4395" s="18">
        <v>3002531147008</v>
      </c>
      <c r="G4395" s="20" t="str">
        <f t="shared" si="204"/>
        <v xml:space="preserve"> FLAP            </v>
      </c>
      <c r="H4395" s="20" t="str">
        <f t="shared" si="205"/>
        <v>BICIE</v>
      </c>
      <c r="I4395" s="20">
        <f t="shared" si="206"/>
        <v>0</v>
      </c>
    </row>
    <row r="4396" spans="1:9">
      <c r="A4396" s="17" t="s">
        <v>1747</v>
      </c>
      <c r="B4396" s="17" t="s">
        <v>1756</v>
      </c>
      <c r="C4396" s="17">
        <v>0</v>
      </c>
      <c r="D4396" s="17" t="s">
        <v>801</v>
      </c>
      <c r="E4396" s="18">
        <v>8056095064146</v>
      </c>
      <c r="G4396" s="20" t="str">
        <f t="shared" si="204"/>
        <v xml:space="preserve"> FLAP            </v>
      </c>
      <c r="H4396" s="20" t="str">
        <f t="shared" si="205"/>
        <v>BIGLI</v>
      </c>
      <c r="I4396" s="20">
        <f t="shared" si="206"/>
        <v>0</v>
      </c>
    </row>
    <row r="4397" spans="1:9">
      <c r="A4397" s="17" t="s">
        <v>1747</v>
      </c>
      <c r="B4397" s="17" t="s">
        <v>1756</v>
      </c>
      <c r="C4397" s="17">
        <v>0</v>
      </c>
      <c r="D4397" s="17" t="s">
        <v>801</v>
      </c>
      <c r="E4397" s="18">
        <v>3002531146001</v>
      </c>
      <c r="G4397" s="20" t="str">
        <f t="shared" si="204"/>
        <v xml:space="preserve"> FLAP            </v>
      </c>
      <c r="H4397" s="20" t="str">
        <f t="shared" si="205"/>
        <v>BIGLI</v>
      </c>
      <c r="I4397" s="20">
        <f t="shared" si="206"/>
        <v>0</v>
      </c>
    </row>
    <row r="4398" spans="1:9">
      <c r="A4398" s="17" t="s">
        <v>1747</v>
      </c>
      <c r="B4398" s="17" t="s">
        <v>1027</v>
      </c>
      <c r="C4398" s="17">
        <v>0</v>
      </c>
      <c r="D4398" s="17" t="s">
        <v>801</v>
      </c>
      <c r="E4398" s="18">
        <v>8056095065068</v>
      </c>
      <c r="G4398" s="20" t="str">
        <f t="shared" si="204"/>
        <v xml:space="preserve"> FLAP            </v>
      </c>
      <c r="H4398" s="20" t="str">
        <f t="shared" si="205"/>
        <v>BNIVO</v>
      </c>
      <c r="I4398" s="20">
        <f t="shared" si="206"/>
        <v>0</v>
      </c>
    </row>
    <row r="4399" spans="1:9">
      <c r="A4399" s="17" t="s">
        <v>1747</v>
      </c>
      <c r="B4399" s="17" t="s">
        <v>1027</v>
      </c>
      <c r="C4399" s="17">
        <v>0</v>
      </c>
      <c r="D4399" s="17" t="s">
        <v>801</v>
      </c>
      <c r="E4399" s="18">
        <v>3002531151005</v>
      </c>
      <c r="G4399" s="20" t="str">
        <f t="shared" si="204"/>
        <v xml:space="preserve"> FLAP            </v>
      </c>
      <c r="H4399" s="20" t="str">
        <f t="shared" si="205"/>
        <v>BNIVO</v>
      </c>
      <c r="I4399" s="20">
        <f t="shared" si="206"/>
        <v>0</v>
      </c>
    </row>
    <row r="4400" spans="1:9">
      <c r="A4400" s="17" t="s">
        <v>1747</v>
      </c>
      <c r="B4400" s="17" t="s">
        <v>1181</v>
      </c>
      <c r="C4400" s="17">
        <v>0</v>
      </c>
      <c r="D4400" s="17" t="s">
        <v>801</v>
      </c>
      <c r="E4400" s="18">
        <v>8056095065075</v>
      </c>
      <c r="G4400" s="20" t="str">
        <f t="shared" si="204"/>
        <v xml:space="preserve"> FLAP            </v>
      </c>
      <c r="H4400" s="20" t="str">
        <f t="shared" si="205"/>
        <v>BNTAU</v>
      </c>
      <c r="I4400" s="20">
        <f t="shared" si="206"/>
        <v>0</v>
      </c>
    </row>
    <row r="4401" spans="1:9">
      <c r="A4401" s="17" t="s">
        <v>1747</v>
      </c>
      <c r="B4401" s="17" t="s">
        <v>1181</v>
      </c>
      <c r="C4401" s="17">
        <v>0</v>
      </c>
      <c r="D4401" s="17" t="s">
        <v>801</v>
      </c>
      <c r="E4401" s="18">
        <v>3002531152002</v>
      </c>
      <c r="G4401" s="20" t="str">
        <f t="shared" si="204"/>
        <v xml:space="preserve"> FLAP            </v>
      </c>
      <c r="H4401" s="20" t="str">
        <f t="shared" si="205"/>
        <v>BNTAU</v>
      </c>
      <c r="I4401" s="20">
        <f t="shared" si="206"/>
        <v>0</v>
      </c>
    </row>
    <row r="4402" spans="1:9">
      <c r="A4402" s="17" t="s">
        <v>1747</v>
      </c>
      <c r="B4402" s="17" t="s">
        <v>1287</v>
      </c>
      <c r="C4402" s="17">
        <v>0</v>
      </c>
      <c r="D4402" s="17" t="s">
        <v>801</v>
      </c>
      <c r="E4402" s="18">
        <v>3003730641007</v>
      </c>
      <c r="G4402" s="20" t="str">
        <f t="shared" si="204"/>
        <v xml:space="preserve"> FLAP            </v>
      </c>
      <c r="H4402" s="20" t="str">
        <f t="shared" si="205"/>
        <v>BOUBL</v>
      </c>
      <c r="I4402" s="20">
        <f t="shared" si="206"/>
        <v>0</v>
      </c>
    </row>
    <row r="4403" spans="1:9">
      <c r="A4403" s="17" t="s">
        <v>1747</v>
      </c>
      <c r="B4403" s="17" t="s">
        <v>1276</v>
      </c>
      <c r="C4403" s="17">
        <v>0</v>
      </c>
      <c r="D4403" s="17" t="s">
        <v>801</v>
      </c>
      <c r="E4403" s="18">
        <v>3003730821003</v>
      </c>
      <c r="G4403" s="20" t="str">
        <f t="shared" si="204"/>
        <v xml:space="preserve"> FLAP            </v>
      </c>
      <c r="H4403" s="20" t="str">
        <f t="shared" si="205"/>
        <v>CANFR</v>
      </c>
      <c r="I4403" s="20">
        <f t="shared" si="206"/>
        <v>0</v>
      </c>
    </row>
    <row r="4404" spans="1:9">
      <c r="A4404" s="17" t="s">
        <v>1747</v>
      </c>
      <c r="B4404" s="17" t="s">
        <v>1757</v>
      </c>
      <c r="C4404" s="17">
        <v>0</v>
      </c>
      <c r="D4404" s="17" t="s">
        <v>801</v>
      </c>
      <c r="E4404" s="18">
        <v>3003730274007</v>
      </c>
      <c r="G4404" s="20" t="str">
        <f t="shared" si="204"/>
        <v xml:space="preserve"> FLAP            </v>
      </c>
      <c r="H4404" s="20" t="str">
        <f t="shared" si="205"/>
        <v>CANGR</v>
      </c>
      <c r="I4404" s="20">
        <f t="shared" si="206"/>
        <v>0</v>
      </c>
    </row>
    <row r="4405" spans="1:9">
      <c r="A4405" s="17" t="s">
        <v>1747</v>
      </c>
      <c r="B4405" s="17" t="s">
        <v>1564</v>
      </c>
      <c r="C4405" s="17">
        <v>0</v>
      </c>
      <c r="D4405" s="17" t="s">
        <v>801</v>
      </c>
      <c r="E4405" s="18">
        <v>3002531118008</v>
      </c>
      <c r="G4405" s="20" t="str">
        <f t="shared" si="204"/>
        <v xml:space="preserve"> FLAP            </v>
      </c>
      <c r="H4405" s="20" t="str">
        <f t="shared" si="205"/>
        <v>CANIV</v>
      </c>
      <c r="I4405" s="20">
        <f t="shared" si="206"/>
        <v>0</v>
      </c>
    </row>
    <row r="4406" spans="1:9">
      <c r="A4406" s="17" t="s">
        <v>1747</v>
      </c>
      <c r="B4406" s="17" t="s">
        <v>1564</v>
      </c>
      <c r="C4406" s="17">
        <v>0</v>
      </c>
      <c r="D4406" s="17" t="s">
        <v>801</v>
      </c>
      <c r="E4406" s="18">
        <v>8056095064597</v>
      </c>
      <c r="G4406" s="20" t="str">
        <f t="shared" si="204"/>
        <v xml:space="preserve"> FLAP            </v>
      </c>
      <c r="H4406" s="20" t="str">
        <f t="shared" si="205"/>
        <v>CANIV</v>
      </c>
      <c r="I4406" s="20">
        <f t="shared" si="206"/>
        <v>0</v>
      </c>
    </row>
    <row r="4407" spans="1:9">
      <c r="A4407" s="17" t="s">
        <v>1747</v>
      </c>
      <c r="B4407" s="17" t="s">
        <v>1337</v>
      </c>
      <c r="C4407" s="17">
        <v>0</v>
      </c>
      <c r="D4407" s="17" t="s">
        <v>801</v>
      </c>
      <c r="E4407" s="18">
        <v>8056099179631</v>
      </c>
      <c r="G4407" s="20" t="str">
        <f t="shared" si="204"/>
        <v xml:space="preserve"> FLAP            </v>
      </c>
      <c r="H4407" s="20" t="str">
        <f t="shared" si="205"/>
        <v>CARBW</v>
      </c>
      <c r="I4407" s="20">
        <f t="shared" si="206"/>
        <v>0</v>
      </c>
    </row>
    <row r="4408" spans="1:9">
      <c r="A4408" s="17" t="s">
        <v>1747</v>
      </c>
      <c r="B4408" s="17" t="s">
        <v>1082</v>
      </c>
      <c r="C4408" s="17">
        <v>0</v>
      </c>
      <c r="D4408" s="17" t="s">
        <v>801</v>
      </c>
      <c r="E4408" s="18">
        <v>3002530517000</v>
      </c>
      <c r="G4408" s="20" t="str">
        <f t="shared" si="204"/>
        <v xml:space="preserve"> FLAP            </v>
      </c>
      <c r="H4408" s="20" t="str">
        <f t="shared" si="205"/>
        <v>CARGR</v>
      </c>
      <c r="I4408" s="20">
        <f t="shared" si="206"/>
        <v>0</v>
      </c>
    </row>
    <row r="4409" spans="1:9">
      <c r="A4409" s="17" t="s">
        <v>1747</v>
      </c>
      <c r="B4409" s="17" t="s">
        <v>1082</v>
      </c>
      <c r="C4409" s="17">
        <v>0</v>
      </c>
      <c r="D4409" s="17" t="s">
        <v>801</v>
      </c>
      <c r="E4409" s="18">
        <v>3003730249005</v>
      </c>
      <c r="G4409" s="20" t="str">
        <f t="shared" si="204"/>
        <v xml:space="preserve"> FLAP            </v>
      </c>
      <c r="H4409" s="20" t="str">
        <f t="shared" si="205"/>
        <v>CARGR</v>
      </c>
      <c r="I4409" s="20">
        <f t="shared" si="206"/>
        <v>0</v>
      </c>
    </row>
    <row r="4410" spans="1:9">
      <c r="A4410" s="17" t="s">
        <v>1747</v>
      </c>
      <c r="B4410" s="17" t="s">
        <v>1083</v>
      </c>
      <c r="C4410" s="17">
        <v>0</v>
      </c>
      <c r="D4410" s="17" t="s">
        <v>801</v>
      </c>
      <c r="E4410" s="18">
        <v>3002530518007</v>
      </c>
      <c r="G4410" s="20" t="str">
        <f t="shared" si="204"/>
        <v xml:space="preserve"> FLAP            </v>
      </c>
      <c r="H4410" s="20" t="str">
        <f t="shared" si="205"/>
        <v>CARRO</v>
      </c>
      <c r="I4410" s="20">
        <f t="shared" si="206"/>
        <v>0</v>
      </c>
    </row>
    <row r="4411" spans="1:9">
      <c r="A4411" s="17" t="s">
        <v>1747</v>
      </c>
      <c r="B4411" s="17" t="s">
        <v>1083</v>
      </c>
      <c r="C4411" s="17">
        <v>0</v>
      </c>
      <c r="D4411" s="17" t="s">
        <v>801</v>
      </c>
      <c r="E4411" s="18">
        <v>3003730247001</v>
      </c>
      <c r="G4411" s="20" t="str">
        <f t="shared" si="204"/>
        <v xml:space="preserve"> FLAP            </v>
      </c>
      <c r="H4411" s="20" t="str">
        <f t="shared" si="205"/>
        <v>CARRO</v>
      </c>
      <c r="I4411" s="20">
        <f t="shared" si="206"/>
        <v>0</v>
      </c>
    </row>
    <row r="4412" spans="1:9">
      <c r="A4412" s="17" t="s">
        <v>1747</v>
      </c>
      <c r="B4412" s="17" t="s">
        <v>831</v>
      </c>
      <c r="C4412" s="17">
        <v>0</v>
      </c>
      <c r="D4412" s="17" t="s">
        <v>801</v>
      </c>
      <c r="E4412" s="18">
        <v>3002530467008</v>
      </c>
      <c r="G4412" s="20" t="str">
        <f t="shared" si="204"/>
        <v xml:space="preserve"> FLAP            </v>
      </c>
      <c r="H4412" s="20" t="str">
        <f t="shared" si="205"/>
        <v>CBNAT</v>
      </c>
      <c r="I4412" s="20">
        <f t="shared" si="206"/>
        <v>0</v>
      </c>
    </row>
    <row r="4413" spans="1:9">
      <c r="A4413" s="17" t="s">
        <v>1747</v>
      </c>
      <c r="B4413" s="17" t="s">
        <v>832</v>
      </c>
      <c r="C4413" s="17">
        <v>0</v>
      </c>
      <c r="D4413" s="17" t="s">
        <v>801</v>
      </c>
      <c r="E4413" s="18">
        <v>3002530756003</v>
      </c>
      <c r="G4413" s="20" t="str">
        <f t="shared" si="204"/>
        <v xml:space="preserve"> FLAP            </v>
      </c>
      <c r="H4413" s="20" t="str">
        <f t="shared" si="205"/>
        <v>CBNAV</v>
      </c>
      <c r="I4413" s="20">
        <f t="shared" si="206"/>
        <v>0</v>
      </c>
    </row>
    <row r="4414" spans="1:9">
      <c r="A4414" s="17" t="s">
        <v>1747</v>
      </c>
      <c r="B4414" s="17" t="s">
        <v>1341</v>
      </c>
      <c r="C4414" s="17">
        <v>0</v>
      </c>
      <c r="D4414" s="17" t="s">
        <v>801</v>
      </c>
      <c r="E4414" s="18">
        <v>3003730671004</v>
      </c>
      <c r="G4414" s="20" t="str">
        <f t="shared" si="204"/>
        <v xml:space="preserve"> FLAP            </v>
      </c>
      <c r="H4414" s="20" t="str">
        <f t="shared" si="205"/>
        <v>CHABI</v>
      </c>
      <c r="I4414" s="20">
        <f t="shared" si="206"/>
        <v>0</v>
      </c>
    </row>
    <row r="4415" spans="1:9">
      <c r="A4415" s="17" t="s">
        <v>1747</v>
      </c>
      <c r="B4415" s="17" t="s">
        <v>1758</v>
      </c>
      <c r="C4415" s="17">
        <v>0</v>
      </c>
      <c r="D4415" s="17" t="s">
        <v>801</v>
      </c>
      <c r="E4415" s="18">
        <v>8056300453956</v>
      </c>
      <c r="G4415" s="20" t="str">
        <f t="shared" si="204"/>
        <v xml:space="preserve"> FLAP            </v>
      </c>
      <c r="H4415" s="20" t="str">
        <f t="shared" si="205"/>
        <v>CHACM</v>
      </c>
      <c r="I4415" s="20">
        <f t="shared" si="206"/>
        <v>0</v>
      </c>
    </row>
    <row r="4416" spans="1:9">
      <c r="A4416" s="17" t="s">
        <v>1747</v>
      </c>
      <c r="B4416" s="17" t="s">
        <v>1758</v>
      </c>
      <c r="C4416" s="17">
        <v>0</v>
      </c>
      <c r="D4416" s="17" t="s">
        <v>801</v>
      </c>
      <c r="E4416" s="18">
        <v>3002531003007</v>
      </c>
      <c r="G4416" s="20" t="str">
        <f t="shared" si="204"/>
        <v xml:space="preserve"> FLAP            </v>
      </c>
      <c r="H4416" s="20" t="str">
        <f t="shared" si="205"/>
        <v>CHACM</v>
      </c>
      <c r="I4416" s="20">
        <f t="shared" si="206"/>
        <v>0</v>
      </c>
    </row>
    <row r="4417" spans="1:9">
      <c r="A4417" s="17" t="s">
        <v>1747</v>
      </c>
      <c r="B4417" s="17" t="s">
        <v>938</v>
      </c>
      <c r="C4417" s="17">
        <v>0</v>
      </c>
      <c r="D4417" s="17" t="s">
        <v>801</v>
      </c>
      <c r="E4417" s="18">
        <v>8056300453949</v>
      </c>
      <c r="G4417" s="20" t="str">
        <f t="shared" si="204"/>
        <v xml:space="preserve"> FLAP            </v>
      </c>
      <c r="H4417" s="20" t="str">
        <f t="shared" si="205"/>
        <v>CHADM</v>
      </c>
      <c r="I4417" s="20">
        <f t="shared" si="206"/>
        <v>0</v>
      </c>
    </row>
    <row r="4418" spans="1:9">
      <c r="A4418" s="17" t="s">
        <v>1747</v>
      </c>
      <c r="B4418" s="17" t="s">
        <v>938</v>
      </c>
      <c r="C4418" s="17">
        <v>0</v>
      </c>
      <c r="D4418" s="17" t="s">
        <v>801</v>
      </c>
      <c r="E4418" s="18">
        <v>3002531002000</v>
      </c>
      <c r="G4418" s="20" t="str">
        <f t="shared" si="204"/>
        <v xml:space="preserve"> FLAP            </v>
      </c>
      <c r="H4418" s="20" t="str">
        <f t="shared" si="205"/>
        <v>CHADM</v>
      </c>
      <c r="I4418" s="20">
        <f t="shared" si="206"/>
        <v>0</v>
      </c>
    </row>
    <row r="4419" spans="1:9">
      <c r="A4419" s="17" t="s">
        <v>1747</v>
      </c>
      <c r="B4419" s="17" t="s">
        <v>939</v>
      </c>
      <c r="C4419" s="17">
        <v>0</v>
      </c>
      <c r="D4419" s="17" t="s">
        <v>801</v>
      </c>
      <c r="E4419" s="18">
        <v>3003730669001</v>
      </c>
      <c r="G4419" s="20" t="str">
        <f t="shared" si="204"/>
        <v xml:space="preserve"> FLAP            </v>
      </c>
      <c r="H4419" s="20" t="str">
        <f t="shared" si="205"/>
        <v>CHAMU</v>
      </c>
      <c r="I4419" s="20">
        <f t="shared" si="206"/>
        <v>0</v>
      </c>
    </row>
    <row r="4420" spans="1:9">
      <c r="A4420" s="17" t="s">
        <v>1747</v>
      </c>
      <c r="B4420" s="17" t="s">
        <v>1293</v>
      </c>
      <c r="C4420" s="17">
        <v>0</v>
      </c>
      <c r="D4420" s="17" t="s">
        <v>801</v>
      </c>
      <c r="E4420" s="18">
        <v>8058983598993</v>
      </c>
      <c r="G4420" s="20" t="str">
        <f t="shared" si="204"/>
        <v xml:space="preserve"> FLAP            </v>
      </c>
      <c r="H4420" s="20" t="str">
        <f t="shared" si="205"/>
        <v>CHANB</v>
      </c>
      <c r="I4420" s="20">
        <f t="shared" si="206"/>
        <v>0</v>
      </c>
    </row>
    <row r="4421" spans="1:9">
      <c r="A4421" s="17" t="s">
        <v>1747</v>
      </c>
      <c r="B4421" s="17" t="s">
        <v>1293</v>
      </c>
      <c r="C4421" s="17">
        <v>0</v>
      </c>
      <c r="D4421" s="17" t="s">
        <v>801</v>
      </c>
      <c r="E4421" s="18">
        <v>3003730553003</v>
      </c>
      <c r="G4421" s="20" t="str">
        <f t="shared" ref="G4421:G4484" si="207">A4421</f>
        <v xml:space="preserve"> FLAP            </v>
      </c>
      <c r="H4421" s="20" t="str">
        <f t="shared" ref="H4421:H4484" si="208">B4421</f>
        <v>CHANB</v>
      </c>
      <c r="I4421" s="20">
        <f t="shared" ref="I4421:I4484" si="209">C4421</f>
        <v>0</v>
      </c>
    </row>
    <row r="4422" spans="1:9">
      <c r="A4422" s="17" t="s">
        <v>1747</v>
      </c>
      <c r="B4422" s="17" t="s">
        <v>1294</v>
      </c>
      <c r="C4422" s="17">
        <v>0</v>
      </c>
      <c r="D4422" s="17" t="s">
        <v>801</v>
      </c>
      <c r="E4422" s="18">
        <v>8058983599006</v>
      </c>
      <c r="G4422" s="20" t="str">
        <f t="shared" si="207"/>
        <v xml:space="preserve"> FLAP            </v>
      </c>
      <c r="H4422" s="20" t="str">
        <f t="shared" si="208"/>
        <v>CHARO</v>
      </c>
      <c r="I4422" s="20">
        <f t="shared" si="209"/>
        <v>0</v>
      </c>
    </row>
    <row r="4423" spans="1:9">
      <c r="A4423" s="17" t="s">
        <v>1747</v>
      </c>
      <c r="B4423" s="17" t="s">
        <v>1294</v>
      </c>
      <c r="C4423" s="17">
        <v>0</v>
      </c>
      <c r="D4423" s="17" t="s">
        <v>801</v>
      </c>
      <c r="E4423" s="18">
        <v>3003730552006</v>
      </c>
      <c r="G4423" s="20" t="str">
        <f t="shared" si="207"/>
        <v xml:space="preserve"> FLAP            </v>
      </c>
      <c r="H4423" s="20" t="str">
        <f t="shared" si="208"/>
        <v>CHARO</v>
      </c>
      <c r="I4423" s="20">
        <f t="shared" si="209"/>
        <v>0</v>
      </c>
    </row>
    <row r="4424" spans="1:9">
      <c r="A4424" s="17" t="s">
        <v>1747</v>
      </c>
      <c r="B4424" s="17" t="s">
        <v>1759</v>
      </c>
      <c r="C4424" s="17">
        <v>0</v>
      </c>
      <c r="D4424" s="17" t="s">
        <v>801</v>
      </c>
      <c r="E4424" s="18">
        <v>3003730530004</v>
      </c>
      <c r="G4424" s="20" t="str">
        <f t="shared" si="207"/>
        <v xml:space="preserve"> FLAP            </v>
      </c>
      <c r="H4424" s="20" t="str">
        <f t="shared" si="208"/>
        <v>CHRIS</v>
      </c>
      <c r="I4424" s="20">
        <f t="shared" si="209"/>
        <v>0</v>
      </c>
    </row>
    <row r="4425" spans="1:9">
      <c r="A4425" s="17" t="s">
        <v>1747</v>
      </c>
      <c r="B4425" s="17" t="s">
        <v>1760</v>
      </c>
      <c r="C4425" s="17">
        <v>0</v>
      </c>
      <c r="D4425" s="17" t="s">
        <v>801</v>
      </c>
      <c r="E4425" s="18">
        <v>3003730302007</v>
      </c>
      <c r="G4425" s="20" t="str">
        <f t="shared" si="207"/>
        <v xml:space="preserve"> FLAP            </v>
      </c>
      <c r="H4425" s="20" t="str">
        <f t="shared" si="208"/>
        <v xml:space="preserve">COYO </v>
      </c>
      <c r="I4425" s="20">
        <f t="shared" si="209"/>
        <v>0</v>
      </c>
    </row>
    <row r="4426" spans="1:9">
      <c r="A4426" s="17" t="s">
        <v>1747</v>
      </c>
      <c r="B4426" s="17" t="s">
        <v>1761</v>
      </c>
      <c r="C4426" s="17">
        <v>0</v>
      </c>
      <c r="D4426" s="17" t="s">
        <v>801</v>
      </c>
      <c r="E4426" s="18">
        <v>3003730292001</v>
      </c>
      <c r="G4426" s="20" t="str">
        <f t="shared" si="207"/>
        <v xml:space="preserve"> FLAP            </v>
      </c>
      <c r="H4426" s="20" t="str">
        <f t="shared" si="208"/>
        <v>CRBEI</v>
      </c>
      <c r="I4426" s="20">
        <f t="shared" si="209"/>
        <v>0</v>
      </c>
    </row>
    <row r="4427" spans="1:9">
      <c r="A4427" s="17" t="s">
        <v>1747</v>
      </c>
      <c r="B4427" s="17" t="s">
        <v>1047</v>
      </c>
      <c r="C4427" s="17">
        <v>0</v>
      </c>
      <c r="D4427" s="17" t="s">
        <v>801</v>
      </c>
      <c r="E4427" s="18">
        <v>3003730236005</v>
      </c>
      <c r="G4427" s="20" t="str">
        <f t="shared" si="207"/>
        <v xml:space="preserve"> FLAP            </v>
      </c>
      <c r="H4427" s="20" t="str">
        <f t="shared" si="208"/>
        <v>CUIMA</v>
      </c>
      <c r="I4427" s="20">
        <f t="shared" si="209"/>
        <v>0</v>
      </c>
    </row>
    <row r="4428" spans="1:9">
      <c r="A4428" s="17" t="s">
        <v>1747</v>
      </c>
      <c r="B4428" s="17" t="s">
        <v>1345</v>
      </c>
      <c r="C4428" s="17">
        <v>0</v>
      </c>
      <c r="D4428" s="17" t="s">
        <v>801</v>
      </c>
      <c r="E4428" s="18">
        <v>3002531025009</v>
      </c>
      <c r="G4428" s="20" t="str">
        <f t="shared" si="207"/>
        <v xml:space="preserve"> FLAP            </v>
      </c>
      <c r="H4428" s="20" t="str">
        <f t="shared" si="208"/>
        <v>DAMBA</v>
      </c>
      <c r="I4428" s="20">
        <f t="shared" si="209"/>
        <v>0</v>
      </c>
    </row>
    <row r="4429" spans="1:9">
      <c r="A4429" s="17" t="s">
        <v>1747</v>
      </c>
      <c r="B4429" s="17" t="s">
        <v>1345</v>
      </c>
      <c r="C4429" s="17">
        <v>0</v>
      </c>
      <c r="D4429" s="17" t="s">
        <v>801</v>
      </c>
      <c r="E4429" s="18">
        <v>8056300454014</v>
      </c>
      <c r="G4429" s="20" t="str">
        <f t="shared" si="207"/>
        <v xml:space="preserve"> FLAP            </v>
      </c>
      <c r="H4429" s="20" t="str">
        <f t="shared" si="208"/>
        <v>DAMBA</v>
      </c>
      <c r="I4429" s="20">
        <f t="shared" si="209"/>
        <v>0</v>
      </c>
    </row>
    <row r="4430" spans="1:9">
      <c r="A4430" s="17" t="s">
        <v>1747</v>
      </c>
      <c r="B4430" s="17" t="s">
        <v>1347</v>
      </c>
      <c r="C4430" s="17">
        <v>0</v>
      </c>
      <c r="D4430" s="17" t="s">
        <v>801</v>
      </c>
      <c r="E4430" s="18">
        <v>8056300454007</v>
      </c>
      <c r="G4430" s="20" t="str">
        <f t="shared" si="207"/>
        <v xml:space="preserve"> FLAP            </v>
      </c>
      <c r="H4430" s="20" t="str">
        <f t="shared" si="208"/>
        <v>DAMIV</v>
      </c>
      <c r="I4430" s="20">
        <f t="shared" si="209"/>
        <v>0</v>
      </c>
    </row>
    <row r="4431" spans="1:9">
      <c r="A4431" s="17" t="s">
        <v>1747</v>
      </c>
      <c r="B4431" s="17" t="s">
        <v>1347</v>
      </c>
      <c r="C4431" s="17">
        <v>0</v>
      </c>
      <c r="D4431" s="17" t="s">
        <v>801</v>
      </c>
      <c r="E4431" s="18">
        <v>3002531008002</v>
      </c>
      <c r="G4431" s="20" t="str">
        <f t="shared" si="207"/>
        <v xml:space="preserve"> FLAP            </v>
      </c>
      <c r="H4431" s="20" t="str">
        <f t="shared" si="208"/>
        <v>DAMIV</v>
      </c>
      <c r="I4431" s="20">
        <f t="shared" si="209"/>
        <v>0</v>
      </c>
    </row>
    <row r="4432" spans="1:9">
      <c r="A4432" s="17" t="s">
        <v>1747</v>
      </c>
      <c r="B4432" s="17" t="s">
        <v>1038</v>
      </c>
      <c r="C4432" s="17">
        <v>0</v>
      </c>
      <c r="D4432" s="17" t="s">
        <v>801</v>
      </c>
      <c r="E4432" s="18">
        <v>8050538595112</v>
      </c>
      <c r="G4432" s="20" t="str">
        <f t="shared" si="207"/>
        <v xml:space="preserve"> FLAP            </v>
      </c>
      <c r="H4432" s="20" t="str">
        <f t="shared" si="208"/>
        <v>DIABL</v>
      </c>
      <c r="I4432" s="20">
        <f t="shared" si="209"/>
        <v>0</v>
      </c>
    </row>
    <row r="4433" spans="1:9">
      <c r="A4433" s="17" t="s">
        <v>1747</v>
      </c>
      <c r="B4433" s="17" t="s">
        <v>1645</v>
      </c>
      <c r="C4433" s="17">
        <v>0</v>
      </c>
      <c r="D4433" s="17" t="s">
        <v>801</v>
      </c>
      <c r="E4433" s="18">
        <v>3002530698006</v>
      </c>
      <c r="G4433" s="20" t="str">
        <f t="shared" si="207"/>
        <v xml:space="preserve"> FLAP            </v>
      </c>
      <c r="H4433" s="20" t="str">
        <f t="shared" si="208"/>
        <v>ETNSA</v>
      </c>
      <c r="I4433" s="20">
        <f t="shared" si="209"/>
        <v>0</v>
      </c>
    </row>
    <row r="4434" spans="1:9">
      <c r="A4434" s="17" t="s">
        <v>1747</v>
      </c>
      <c r="B4434" s="17" t="s">
        <v>1646</v>
      </c>
      <c r="C4434" s="17">
        <v>0</v>
      </c>
      <c r="D4434" s="17" t="s">
        <v>801</v>
      </c>
      <c r="E4434" s="18">
        <v>3002530699003</v>
      </c>
      <c r="G4434" s="20" t="str">
        <f t="shared" si="207"/>
        <v xml:space="preserve"> FLAP            </v>
      </c>
      <c r="H4434" s="20" t="str">
        <f t="shared" si="208"/>
        <v>ETNVE</v>
      </c>
      <c r="I4434" s="20">
        <f t="shared" si="209"/>
        <v>0</v>
      </c>
    </row>
    <row r="4435" spans="1:9">
      <c r="A4435" s="17" t="s">
        <v>1747</v>
      </c>
      <c r="B4435" s="17" t="s">
        <v>1599</v>
      </c>
      <c r="C4435" s="17">
        <v>0</v>
      </c>
      <c r="D4435" s="17" t="s">
        <v>801</v>
      </c>
      <c r="E4435" s="18">
        <v>3003730117007</v>
      </c>
      <c r="G4435" s="20" t="str">
        <f t="shared" si="207"/>
        <v xml:space="preserve"> FLAP            </v>
      </c>
      <c r="H4435" s="20" t="str">
        <f t="shared" si="208"/>
        <v>FABLE</v>
      </c>
      <c r="I4435" s="20">
        <f t="shared" si="209"/>
        <v>0</v>
      </c>
    </row>
    <row r="4436" spans="1:9">
      <c r="A4436" s="17" t="s">
        <v>1747</v>
      </c>
      <c r="B4436" s="17" t="s">
        <v>1107</v>
      </c>
      <c r="C4436" s="17">
        <v>0</v>
      </c>
      <c r="D4436" s="17" t="s">
        <v>801</v>
      </c>
      <c r="E4436" s="18">
        <v>8058983599099</v>
      </c>
      <c r="G4436" s="20" t="str">
        <f t="shared" si="207"/>
        <v xml:space="preserve"> FLAP            </v>
      </c>
      <c r="H4436" s="20" t="str">
        <f t="shared" si="208"/>
        <v>FEUBE</v>
      </c>
      <c r="I4436" s="20">
        <f t="shared" si="209"/>
        <v>0</v>
      </c>
    </row>
    <row r="4437" spans="1:9">
      <c r="A4437" s="17" t="s">
        <v>1747</v>
      </c>
      <c r="B4437" s="17" t="s">
        <v>1107</v>
      </c>
      <c r="C4437" s="17">
        <v>0</v>
      </c>
      <c r="D4437" s="17" t="s">
        <v>801</v>
      </c>
      <c r="E4437" s="18">
        <v>3003730588005</v>
      </c>
      <c r="G4437" s="20" t="str">
        <f t="shared" si="207"/>
        <v xml:space="preserve"> FLAP            </v>
      </c>
      <c r="H4437" s="20" t="str">
        <f t="shared" si="208"/>
        <v>FEUBE</v>
      </c>
      <c r="I4437" s="20">
        <f t="shared" si="209"/>
        <v>0</v>
      </c>
    </row>
    <row r="4438" spans="1:9">
      <c r="A4438" s="17" t="s">
        <v>1747</v>
      </c>
      <c r="B4438" s="17" t="s">
        <v>1108</v>
      </c>
      <c r="C4438" s="17">
        <v>0</v>
      </c>
      <c r="D4438" s="17" t="s">
        <v>801</v>
      </c>
      <c r="E4438" s="18">
        <v>8058983599105</v>
      </c>
      <c r="G4438" s="20" t="str">
        <f t="shared" si="207"/>
        <v xml:space="preserve"> FLAP            </v>
      </c>
      <c r="H4438" s="20" t="str">
        <f t="shared" si="208"/>
        <v>FEUBL</v>
      </c>
      <c r="I4438" s="20">
        <f t="shared" si="209"/>
        <v>0</v>
      </c>
    </row>
    <row r="4439" spans="1:9">
      <c r="A4439" s="17" t="s">
        <v>1747</v>
      </c>
      <c r="B4439" s="17" t="s">
        <v>1108</v>
      </c>
      <c r="C4439" s="17">
        <v>0</v>
      </c>
      <c r="D4439" s="17" t="s">
        <v>801</v>
      </c>
      <c r="E4439" s="18">
        <v>3003730246004</v>
      </c>
      <c r="G4439" s="20" t="str">
        <f t="shared" si="207"/>
        <v xml:space="preserve"> FLAP            </v>
      </c>
      <c r="H4439" s="20" t="str">
        <f t="shared" si="208"/>
        <v>FEUBL</v>
      </c>
      <c r="I4439" s="20">
        <f t="shared" si="209"/>
        <v>0</v>
      </c>
    </row>
    <row r="4440" spans="1:9">
      <c r="A4440" s="17" t="s">
        <v>1747</v>
      </c>
      <c r="B4440" s="17" t="s">
        <v>1762</v>
      </c>
      <c r="C4440" s="17">
        <v>0</v>
      </c>
      <c r="D4440" s="17" t="s">
        <v>801</v>
      </c>
      <c r="E4440" s="18">
        <v>3003730712004</v>
      </c>
      <c r="G4440" s="20" t="str">
        <f t="shared" si="207"/>
        <v xml:space="preserve"> FLAP            </v>
      </c>
      <c r="H4440" s="20" t="str">
        <f t="shared" si="208"/>
        <v>FEUIV</v>
      </c>
      <c r="I4440" s="20">
        <f t="shared" si="209"/>
        <v>0</v>
      </c>
    </row>
    <row r="4441" spans="1:9">
      <c r="A4441" s="17" t="s">
        <v>1747</v>
      </c>
      <c r="B4441" s="17" t="s">
        <v>1109</v>
      </c>
      <c r="C4441" s="17">
        <v>0</v>
      </c>
      <c r="D4441" s="17" t="s">
        <v>801</v>
      </c>
      <c r="E4441" s="18">
        <v>8058983599082</v>
      </c>
      <c r="G4441" s="20" t="str">
        <f t="shared" si="207"/>
        <v xml:space="preserve"> FLAP            </v>
      </c>
      <c r="H4441" s="20" t="str">
        <f t="shared" si="208"/>
        <v>FEUJA</v>
      </c>
      <c r="I4441" s="20">
        <f t="shared" si="209"/>
        <v>0</v>
      </c>
    </row>
    <row r="4442" spans="1:9">
      <c r="A4442" s="17" t="s">
        <v>1747</v>
      </c>
      <c r="B4442" s="17" t="s">
        <v>1109</v>
      </c>
      <c r="C4442" s="17">
        <v>0</v>
      </c>
      <c r="D4442" s="17" t="s">
        <v>801</v>
      </c>
      <c r="E4442" s="18">
        <v>3003730589002</v>
      </c>
      <c r="G4442" s="20" t="str">
        <f t="shared" si="207"/>
        <v xml:space="preserve"> FLAP            </v>
      </c>
      <c r="H4442" s="20" t="str">
        <f t="shared" si="208"/>
        <v>FEUJA</v>
      </c>
      <c r="I4442" s="20">
        <f t="shared" si="209"/>
        <v>0</v>
      </c>
    </row>
    <row r="4443" spans="1:9">
      <c r="A4443" s="17" t="s">
        <v>1747</v>
      </c>
      <c r="B4443" s="17" t="s">
        <v>1088</v>
      </c>
      <c r="C4443" s="17">
        <v>0</v>
      </c>
      <c r="D4443" s="17" t="s">
        <v>801</v>
      </c>
      <c r="E4443" s="18">
        <v>8058983599013</v>
      </c>
      <c r="G4443" s="20" t="str">
        <f t="shared" si="207"/>
        <v xml:space="preserve"> FLAP            </v>
      </c>
      <c r="H4443" s="20" t="str">
        <f t="shared" si="208"/>
        <v xml:space="preserve">FEUR </v>
      </c>
      <c r="I4443" s="20">
        <f t="shared" si="209"/>
        <v>0</v>
      </c>
    </row>
    <row r="4444" spans="1:9">
      <c r="A4444" s="17" t="s">
        <v>1747</v>
      </c>
      <c r="B4444" s="17" t="s">
        <v>1088</v>
      </c>
      <c r="C4444" s="17">
        <v>0</v>
      </c>
      <c r="D4444" s="17" t="s">
        <v>801</v>
      </c>
      <c r="E4444" s="18">
        <v>3003730242006</v>
      </c>
      <c r="G4444" s="20" t="str">
        <f t="shared" si="207"/>
        <v xml:space="preserve"> FLAP            </v>
      </c>
      <c r="H4444" s="20" t="str">
        <f t="shared" si="208"/>
        <v xml:space="preserve">FEUR </v>
      </c>
      <c r="I4444" s="20">
        <f t="shared" si="209"/>
        <v>0</v>
      </c>
    </row>
    <row r="4445" spans="1:9">
      <c r="A4445" s="17" t="s">
        <v>1747</v>
      </c>
      <c r="B4445" s="17" t="s">
        <v>1763</v>
      </c>
      <c r="C4445" s="17">
        <v>0</v>
      </c>
      <c r="D4445" s="17" t="s">
        <v>801</v>
      </c>
      <c r="E4445" s="18">
        <v>3003730128003</v>
      </c>
      <c r="G4445" s="20" t="str">
        <f t="shared" si="207"/>
        <v xml:space="preserve"> FLAP            </v>
      </c>
      <c r="H4445" s="20" t="str">
        <f t="shared" si="208"/>
        <v>FLBLU</v>
      </c>
      <c r="I4445" s="20">
        <f t="shared" si="209"/>
        <v>0</v>
      </c>
    </row>
    <row r="4446" spans="1:9">
      <c r="A4446" s="17" t="s">
        <v>1747</v>
      </c>
      <c r="B4446" s="17" t="s">
        <v>1764</v>
      </c>
      <c r="C4446" s="17">
        <v>0</v>
      </c>
      <c r="D4446" s="17" t="s">
        <v>801</v>
      </c>
      <c r="E4446" s="18">
        <v>3003730135001</v>
      </c>
      <c r="G4446" s="20" t="str">
        <f t="shared" si="207"/>
        <v xml:space="preserve"> FLAP            </v>
      </c>
      <c r="H4446" s="20" t="str">
        <f t="shared" si="208"/>
        <v>FLNOI</v>
      </c>
      <c r="I4446" s="20">
        <f t="shared" si="209"/>
        <v>0</v>
      </c>
    </row>
    <row r="4447" spans="1:9">
      <c r="A4447" s="17" t="s">
        <v>1747</v>
      </c>
      <c r="B4447" s="17" t="s">
        <v>1765</v>
      </c>
      <c r="C4447" s="17">
        <v>0</v>
      </c>
      <c r="D4447" s="17" t="s">
        <v>801</v>
      </c>
      <c r="E4447" s="18">
        <v>3002530004005</v>
      </c>
      <c r="G4447" s="20" t="str">
        <f t="shared" si="207"/>
        <v xml:space="preserve"> FLAP            </v>
      </c>
      <c r="H4447" s="20" t="str">
        <f t="shared" si="208"/>
        <v>FLOBR</v>
      </c>
      <c r="I4447" s="20">
        <f t="shared" si="209"/>
        <v>0</v>
      </c>
    </row>
    <row r="4448" spans="1:9">
      <c r="A4448" s="17" t="s">
        <v>1747</v>
      </c>
      <c r="B4448" s="17" t="s">
        <v>1766</v>
      </c>
      <c r="C4448" s="17">
        <v>0</v>
      </c>
      <c r="D4448" s="17" t="s">
        <v>801</v>
      </c>
      <c r="E4448" s="18">
        <v>3002530003008</v>
      </c>
      <c r="G4448" s="20" t="str">
        <f t="shared" si="207"/>
        <v xml:space="preserve"> FLAP            </v>
      </c>
      <c r="H4448" s="20" t="str">
        <f t="shared" si="208"/>
        <v>FLOCB</v>
      </c>
      <c r="I4448" s="20">
        <f t="shared" si="209"/>
        <v>0</v>
      </c>
    </row>
    <row r="4449" spans="1:9">
      <c r="A4449" s="17" t="s">
        <v>1747</v>
      </c>
      <c r="B4449" s="17" t="s">
        <v>1155</v>
      </c>
      <c r="C4449" s="17">
        <v>0</v>
      </c>
      <c r="D4449" s="17" t="s">
        <v>801</v>
      </c>
      <c r="E4449" s="18">
        <v>3003730129000</v>
      </c>
      <c r="G4449" s="20" t="str">
        <f t="shared" si="207"/>
        <v xml:space="preserve"> FLAP            </v>
      </c>
      <c r="H4449" s="20" t="str">
        <f t="shared" si="208"/>
        <v>FLROS</v>
      </c>
      <c r="I4449" s="20">
        <f t="shared" si="209"/>
        <v>0</v>
      </c>
    </row>
    <row r="4450" spans="1:9">
      <c r="A4450" s="17" t="s">
        <v>1747</v>
      </c>
      <c r="B4450" s="17" t="s">
        <v>1767</v>
      </c>
      <c r="C4450" s="17">
        <v>0</v>
      </c>
      <c r="D4450" s="17" t="s">
        <v>801</v>
      </c>
      <c r="E4450" s="18">
        <v>8056099178221</v>
      </c>
      <c r="G4450" s="20" t="str">
        <f t="shared" si="207"/>
        <v xml:space="preserve"> FLAP            </v>
      </c>
      <c r="H4450" s="20" t="str">
        <f t="shared" si="208"/>
        <v>FOLCB</v>
      </c>
      <c r="I4450" s="20">
        <f t="shared" si="209"/>
        <v>0</v>
      </c>
    </row>
    <row r="4451" spans="1:9">
      <c r="A4451" s="17" t="s">
        <v>1747</v>
      </c>
      <c r="B4451" s="17" t="s">
        <v>1768</v>
      </c>
      <c r="C4451" s="17">
        <v>0</v>
      </c>
      <c r="D4451" s="17" t="s">
        <v>801</v>
      </c>
      <c r="E4451" s="18">
        <v>8056099176845</v>
      </c>
      <c r="G4451" s="20" t="str">
        <f t="shared" si="207"/>
        <v xml:space="preserve"> FLAP            </v>
      </c>
      <c r="H4451" s="20" t="str">
        <f t="shared" si="208"/>
        <v>FOLCD</v>
      </c>
      <c r="I4451" s="20">
        <f t="shared" si="209"/>
        <v>0</v>
      </c>
    </row>
    <row r="4452" spans="1:9">
      <c r="A4452" s="17" t="s">
        <v>1747</v>
      </c>
      <c r="B4452" s="17" t="s">
        <v>1769</v>
      </c>
      <c r="C4452" s="17">
        <v>0</v>
      </c>
      <c r="D4452" s="17" t="s">
        <v>801</v>
      </c>
      <c r="E4452" s="18">
        <v>8056099177347</v>
      </c>
      <c r="G4452" s="20" t="str">
        <f t="shared" si="207"/>
        <v xml:space="preserve"> FLAP            </v>
      </c>
      <c r="H4452" s="20" t="str">
        <f t="shared" si="208"/>
        <v>FOLCO</v>
      </c>
      <c r="I4452" s="20">
        <f t="shared" si="209"/>
        <v>0</v>
      </c>
    </row>
    <row r="4453" spans="1:9">
      <c r="A4453" s="17" t="s">
        <v>1747</v>
      </c>
      <c r="B4453" s="17" t="s">
        <v>945</v>
      </c>
      <c r="C4453" s="17">
        <v>0</v>
      </c>
      <c r="D4453" s="17" t="s">
        <v>801</v>
      </c>
      <c r="E4453" s="18">
        <v>8050538590032</v>
      </c>
      <c r="G4453" s="20" t="str">
        <f t="shared" si="207"/>
        <v xml:space="preserve"> FLAP            </v>
      </c>
      <c r="H4453" s="20" t="str">
        <f t="shared" si="208"/>
        <v>FOLKB</v>
      </c>
      <c r="I4453" s="20">
        <f t="shared" si="209"/>
        <v>0</v>
      </c>
    </row>
    <row r="4454" spans="1:9">
      <c r="A4454" s="17" t="s">
        <v>1747</v>
      </c>
      <c r="B4454" s="17" t="s">
        <v>967</v>
      </c>
      <c r="C4454" s="17">
        <v>0</v>
      </c>
      <c r="D4454" s="17" t="s">
        <v>801</v>
      </c>
      <c r="E4454" s="18">
        <v>8056099179761</v>
      </c>
      <c r="G4454" s="20" t="str">
        <f t="shared" si="207"/>
        <v xml:space="preserve"> FLAP            </v>
      </c>
      <c r="H4454" s="20" t="str">
        <f t="shared" si="208"/>
        <v>FOLKO</v>
      </c>
      <c r="I4454" s="20">
        <f t="shared" si="209"/>
        <v>0</v>
      </c>
    </row>
    <row r="4455" spans="1:9">
      <c r="A4455" s="17" t="s">
        <v>1747</v>
      </c>
      <c r="B4455" s="17" t="s">
        <v>1770</v>
      </c>
      <c r="C4455" s="17">
        <v>0</v>
      </c>
      <c r="D4455" s="17" t="s">
        <v>801</v>
      </c>
      <c r="E4455" s="18">
        <v>3002530646007</v>
      </c>
      <c r="G4455" s="20" t="str">
        <f t="shared" si="207"/>
        <v xml:space="preserve"> FLAP            </v>
      </c>
      <c r="H4455" s="20" t="str">
        <f t="shared" si="208"/>
        <v>FRANB</v>
      </c>
      <c r="I4455" s="20">
        <f t="shared" si="209"/>
        <v>0</v>
      </c>
    </row>
    <row r="4456" spans="1:9">
      <c r="A4456" s="17" t="s">
        <v>1747</v>
      </c>
      <c r="B4456" s="17" t="s">
        <v>1771</v>
      </c>
      <c r="C4456" s="17">
        <v>0</v>
      </c>
      <c r="D4456" s="17" t="s">
        <v>801</v>
      </c>
      <c r="E4456" s="18">
        <v>3002530647004</v>
      </c>
      <c r="G4456" s="20" t="str">
        <f t="shared" si="207"/>
        <v xml:space="preserve"> FLAP            </v>
      </c>
      <c r="H4456" s="20" t="str">
        <f t="shared" si="208"/>
        <v>FRATA</v>
      </c>
      <c r="I4456" s="20">
        <f t="shared" si="209"/>
        <v>0</v>
      </c>
    </row>
    <row r="4457" spans="1:9">
      <c r="A4457" s="17" t="s">
        <v>1747</v>
      </c>
      <c r="B4457" s="17" t="s">
        <v>1772</v>
      </c>
      <c r="C4457" s="17">
        <v>0</v>
      </c>
      <c r="D4457" s="17" t="s">
        <v>801</v>
      </c>
      <c r="E4457" s="18">
        <v>3002531143000</v>
      </c>
      <c r="G4457" s="20" t="str">
        <f t="shared" si="207"/>
        <v xml:space="preserve"> FLAP            </v>
      </c>
      <c r="H4457" s="20" t="str">
        <f t="shared" si="208"/>
        <v>GDCBL</v>
      </c>
      <c r="I4457" s="20">
        <f t="shared" si="209"/>
        <v>0</v>
      </c>
    </row>
    <row r="4458" spans="1:9">
      <c r="A4458" s="17" t="s">
        <v>1747</v>
      </c>
      <c r="B4458" s="17" t="s">
        <v>1772</v>
      </c>
      <c r="C4458" s="17">
        <v>0</v>
      </c>
      <c r="D4458" s="17" t="s">
        <v>801</v>
      </c>
      <c r="E4458" s="18">
        <v>8056095063330</v>
      </c>
      <c r="G4458" s="20" t="str">
        <f t="shared" si="207"/>
        <v xml:space="preserve"> FLAP            </v>
      </c>
      <c r="H4458" s="20" t="str">
        <f t="shared" si="208"/>
        <v>GDCBL</v>
      </c>
      <c r="I4458" s="20">
        <f t="shared" si="209"/>
        <v>0</v>
      </c>
    </row>
    <row r="4459" spans="1:9">
      <c r="A4459" s="17" t="s">
        <v>1747</v>
      </c>
      <c r="B4459" s="17" t="s">
        <v>1773</v>
      </c>
      <c r="C4459" s="17">
        <v>0</v>
      </c>
      <c r="D4459" s="17" t="s">
        <v>801</v>
      </c>
      <c r="E4459" s="18">
        <v>3002531145004</v>
      </c>
      <c r="G4459" s="20" t="str">
        <f t="shared" si="207"/>
        <v xml:space="preserve"> FLAP            </v>
      </c>
      <c r="H4459" s="20" t="str">
        <f t="shared" si="208"/>
        <v>GDCSA</v>
      </c>
      <c r="I4459" s="20">
        <f t="shared" si="209"/>
        <v>0</v>
      </c>
    </row>
    <row r="4460" spans="1:9">
      <c r="A4460" s="17" t="s">
        <v>1747</v>
      </c>
      <c r="B4460" s="17" t="s">
        <v>1773</v>
      </c>
      <c r="C4460" s="17">
        <v>0</v>
      </c>
      <c r="D4460" s="17" t="s">
        <v>801</v>
      </c>
      <c r="E4460" s="18">
        <v>8056095063354</v>
      </c>
      <c r="G4460" s="20" t="str">
        <f t="shared" si="207"/>
        <v xml:space="preserve"> FLAP            </v>
      </c>
      <c r="H4460" s="20" t="str">
        <f t="shared" si="208"/>
        <v>GDCSA</v>
      </c>
      <c r="I4460" s="20">
        <f t="shared" si="209"/>
        <v>0</v>
      </c>
    </row>
    <row r="4461" spans="1:9">
      <c r="A4461" s="17" t="s">
        <v>1747</v>
      </c>
      <c r="B4461" s="17" t="s">
        <v>1774</v>
      </c>
      <c r="C4461" s="17">
        <v>0</v>
      </c>
      <c r="D4461" s="17" t="s">
        <v>801</v>
      </c>
      <c r="E4461" s="18">
        <v>3002531144007</v>
      </c>
      <c r="G4461" s="20" t="str">
        <f t="shared" si="207"/>
        <v xml:space="preserve"> FLAP            </v>
      </c>
      <c r="H4461" s="20" t="str">
        <f t="shared" si="208"/>
        <v>GDCVE</v>
      </c>
      <c r="I4461" s="20">
        <f t="shared" si="209"/>
        <v>0</v>
      </c>
    </row>
    <row r="4462" spans="1:9">
      <c r="A4462" s="17" t="s">
        <v>1747</v>
      </c>
      <c r="B4462" s="17" t="s">
        <v>1774</v>
      </c>
      <c r="C4462" s="17">
        <v>0</v>
      </c>
      <c r="D4462" s="17" t="s">
        <v>801</v>
      </c>
      <c r="E4462" s="18">
        <v>8056095063347</v>
      </c>
      <c r="G4462" s="20" t="str">
        <f t="shared" si="207"/>
        <v xml:space="preserve"> FLAP            </v>
      </c>
      <c r="H4462" s="20" t="str">
        <f t="shared" si="208"/>
        <v>GDCVE</v>
      </c>
      <c r="I4462" s="20">
        <f t="shared" si="209"/>
        <v>0</v>
      </c>
    </row>
    <row r="4463" spans="1:9">
      <c r="A4463" s="17" t="s">
        <v>1747</v>
      </c>
      <c r="B4463" s="17" t="s">
        <v>1028</v>
      </c>
      <c r="C4463" s="17">
        <v>0</v>
      </c>
      <c r="D4463" s="17" t="s">
        <v>801</v>
      </c>
      <c r="E4463" s="18">
        <v>8056300453987</v>
      </c>
      <c r="G4463" s="20" t="str">
        <f t="shared" si="207"/>
        <v xml:space="preserve"> FLAP            </v>
      </c>
      <c r="H4463" s="20" t="str">
        <f t="shared" si="208"/>
        <v>GEBLU</v>
      </c>
      <c r="I4463" s="20">
        <f t="shared" si="209"/>
        <v>0</v>
      </c>
    </row>
    <row r="4464" spans="1:9">
      <c r="A4464" s="17" t="s">
        <v>1747</v>
      </c>
      <c r="B4464" s="17" t="s">
        <v>1028</v>
      </c>
      <c r="C4464" s="17">
        <v>0</v>
      </c>
      <c r="D4464" s="17" t="s">
        <v>801</v>
      </c>
      <c r="E4464" s="18">
        <v>3002531006008</v>
      </c>
      <c r="G4464" s="20" t="str">
        <f t="shared" si="207"/>
        <v xml:space="preserve"> FLAP            </v>
      </c>
      <c r="H4464" s="20" t="str">
        <f t="shared" si="208"/>
        <v>GEBLU</v>
      </c>
      <c r="I4464" s="20">
        <f t="shared" si="209"/>
        <v>0</v>
      </c>
    </row>
    <row r="4465" spans="1:9">
      <c r="A4465" s="17" t="s">
        <v>1747</v>
      </c>
      <c r="B4465" s="17" t="s">
        <v>1029</v>
      </c>
      <c r="C4465" s="17">
        <v>0</v>
      </c>
      <c r="D4465" s="17" t="s">
        <v>801</v>
      </c>
      <c r="E4465" s="18">
        <v>8056300453994</v>
      </c>
      <c r="G4465" s="20" t="str">
        <f t="shared" si="207"/>
        <v xml:space="preserve"> FLAP            </v>
      </c>
      <c r="H4465" s="20" t="str">
        <f t="shared" si="208"/>
        <v>GEOBL</v>
      </c>
      <c r="I4465" s="20">
        <f t="shared" si="209"/>
        <v>0</v>
      </c>
    </row>
    <row r="4466" spans="1:9">
      <c r="A4466" s="17" t="s">
        <v>1747</v>
      </c>
      <c r="B4466" s="17" t="s">
        <v>1029</v>
      </c>
      <c r="C4466" s="17">
        <v>0</v>
      </c>
      <c r="D4466" s="17" t="s">
        <v>801</v>
      </c>
      <c r="E4466" s="18">
        <v>3002531004004</v>
      </c>
      <c r="G4466" s="20" t="str">
        <f t="shared" si="207"/>
        <v xml:space="preserve"> FLAP            </v>
      </c>
      <c r="H4466" s="20" t="str">
        <f t="shared" si="208"/>
        <v>GEOBL</v>
      </c>
      <c r="I4466" s="20">
        <f t="shared" si="209"/>
        <v>0</v>
      </c>
    </row>
    <row r="4467" spans="1:9">
      <c r="A4467" s="17" t="s">
        <v>1747</v>
      </c>
      <c r="B4467" s="17" t="s">
        <v>835</v>
      </c>
      <c r="C4467" s="17">
        <v>0</v>
      </c>
      <c r="D4467" s="17" t="s">
        <v>801</v>
      </c>
      <c r="E4467" s="18">
        <v>3002530796009</v>
      </c>
      <c r="G4467" s="20" t="str">
        <f t="shared" si="207"/>
        <v xml:space="preserve"> FLAP            </v>
      </c>
      <c r="H4467" s="20" t="str">
        <f t="shared" si="208"/>
        <v>GOICE</v>
      </c>
      <c r="I4467" s="20">
        <f t="shared" si="209"/>
        <v>0</v>
      </c>
    </row>
    <row r="4468" spans="1:9">
      <c r="A4468" s="17" t="s">
        <v>1747</v>
      </c>
      <c r="B4468" s="17" t="s">
        <v>836</v>
      </c>
      <c r="C4468" s="17">
        <v>0</v>
      </c>
      <c r="D4468" s="17" t="s">
        <v>801</v>
      </c>
      <c r="E4468" s="18">
        <v>3002530795002</v>
      </c>
      <c r="G4468" s="20" t="str">
        <f t="shared" si="207"/>
        <v xml:space="preserve"> FLAP            </v>
      </c>
      <c r="H4468" s="20" t="str">
        <f t="shared" si="208"/>
        <v>GOIRI</v>
      </c>
      <c r="I4468" s="20">
        <f t="shared" si="209"/>
        <v>0</v>
      </c>
    </row>
    <row r="4469" spans="1:9">
      <c r="A4469" s="17" t="s">
        <v>1747</v>
      </c>
      <c r="B4469" s="17" t="s">
        <v>837</v>
      </c>
      <c r="C4469" s="17">
        <v>0</v>
      </c>
      <c r="D4469" s="17" t="s">
        <v>801</v>
      </c>
      <c r="E4469" s="18">
        <v>3002530800003</v>
      </c>
      <c r="G4469" s="20" t="str">
        <f t="shared" si="207"/>
        <v xml:space="preserve"> FLAP            </v>
      </c>
      <c r="H4469" s="20" t="str">
        <f t="shared" si="208"/>
        <v>GOMAG</v>
      </c>
      <c r="I4469" s="20">
        <f t="shared" si="209"/>
        <v>0</v>
      </c>
    </row>
    <row r="4470" spans="1:9">
      <c r="A4470" s="17" t="s">
        <v>1747</v>
      </c>
      <c r="B4470" s="17" t="s">
        <v>1091</v>
      </c>
      <c r="C4470" s="17">
        <v>0</v>
      </c>
      <c r="D4470" s="17" t="s">
        <v>801</v>
      </c>
      <c r="E4470" s="18">
        <v>3003730190000</v>
      </c>
      <c r="G4470" s="20" t="str">
        <f t="shared" si="207"/>
        <v xml:space="preserve"> FLAP            </v>
      </c>
      <c r="H4470" s="20" t="str">
        <f t="shared" si="208"/>
        <v>HAWAI</v>
      </c>
      <c r="I4470" s="20">
        <f t="shared" si="209"/>
        <v>0</v>
      </c>
    </row>
    <row r="4471" spans="1:9">
      <c r="A4471" s="17" t="s">
        <v>1747</v>
      </c>
      <c r="B4471" s="17" t="s">
        <v>1039</v>
      </c>
      <c r="C4471" s="17">
        <v>0</v>
      </c>
      <c r="D4471" s="17" t="s">
        <v>801</v>
      </c>
      <c r="E4471" s="18">
        <v>8056099178016</v>
      </c>
      <c r="G4471" s="20" t="str">
        <f t="shared" si="207"/>
        <v xml:space="preserve"> FLAP            </v>
      </c>
      <c r="H4471" s="20" t="str">
        <f t="shared" si="208"/>
        <v>JACBL</v>
      </c>
      <c r="I4471" s="20">
        <f t="shared" si="209"/>
        <v>0</v>
      </c>
    </row>
    <row r="4472" spans="1:9">
      <c r="A4472" s="17" t="s">
        <v>1747</v>
      </c>
      <c r="B4472" s="17" t="s">
        <v>1040</v>
      </c>
      <c r="C4472" s="17">
        <v>0</v>
      </c>
      <c r="D4472" s="17" t="s">
        <v>801</v>
      </c>
      <c r="E4472" s="18">
        <v>8050538590155</v>
      </c>
      <c r="G4472" s="20" t="str">
        <f t="shared" si="207"/>
        <v xml:space="preserve"> FLAP            </v>
      </c>
      <c r="H4472" s="20" t="str">
        <f t="shared" si="208"/>
        <v>JACRO</v>
      </c>
      <c r="I4472" s="20">
        <f t="shared" si="209"/>
        <v>0</v>
      </c>
    </row>
    <row r="4473" spans="1:9">
      <c r="A4473" s="17" t="s">
        <v>1747</v>
      </c>
      <c r="B4473" s="17" t="s">
        <v>1359</v>
      </c>
      <c r="C4473" s="17">
        <v>0</v>
      </c>
      <c r="D4473" s="17" t="s">
        <v>801</v>
      </c>
      <c r="E4473" s="18">
        <v>3002530709009</v>
      </c>
      <c r="G4473" s="20" t="str">
        <f t="shared" si="207"/>
        <v xml:space="preserve"> FLAP            </v>
      </c>
      <c r="H4473" s="20" t="str">
        <f t="shared" si="208"/>
        <v>JUBLU</v>
      </c>
      <c r="I4473" s="20">
        <f t="shared" si="209"/>
        <v>0</v>
      </c>
    </row>
    <row r="4474" spans="1:9">
      <c r="A4474" s="17" t="s">
        <v>1747</v>
      </c>
      <c r="B4474" s="17" t="s">
        <v>1361</v>
      </c>
      <c r="C4474" s="17">
        <v>0</v>
      </c>
      <c r="D4474" s="17" t="s">
        <v>801</v>
      </c>
      <c r="E4474" s="18">
        <v>3002530706008</v>
      </c>
      <c r="G4474" s="20" t="str">
        <f t="shared" si="207"/>
        <v xml:space="preserve"> FLAP            </v>
      </c>
      <c r="H4474" s="20" t="str">
        <f t="shared" si="208"/>
        <v>JUNAT</v>
      </c>
      <c r="I4474" s="20">
        <f t="shared" si="209"/>
        <v>0</v>
      </c>
    </row>
    <row r="4475" spans="1:9">
      <c r="A4475" s="17" t="s">
        <v>1747</v>
      </c>
      <c r="B4475" s="17" t="s">
        <v>1362</v>
      </c>
      <c r="C4475" s="17">
        <v>0</v>
      </c>
      <c r="D4475" s="17" t="s">
        <v>801</v>
      </c>
      <c r="E4475" s="18">
        <v>3002530707005</v>
      </c>
      <c r="G4475" s="20" t="str">
        <f t="shared" si="207"/>
        <v xml:space="preserve"> FLAP            </v>
      </c>
      <c r="H4475" s="20" t="str">
        <f t="shared" si="208"/>
        <v>JUNOI</v>
      </c>
      <c r="I4475" s="20">
        <f t="shared" si="209"/>
        <v>0</v>
      </c>
    </row>
    <row r="4476" spans="1:9">
      <c r="A4476" s="17" t="s">
        <v>1747</v>
      </c>
      <c r="B4476" s="17" t="s">
        <v>1364</v>
      </c>
      <c r="C4476" s="17">
        <v>0</v>
      </c>
      <c r="D4476" s="17" t="s">
        <v>801</v>
      </c>
      <c r="E4476" s="18">
        <v>3002530708002</v>
      </c>
      <c r="G4476" s="20" t="str">
        <f t="shared" si="207"/>
        <v xml:space="preserve"> FLAP            </v>
      </c>
      <c r="H4476" s="20" t="str">
        <f t="shared" si="208"/>
        <v>JUWHI</v>
      </c>
      <c r="I4476" s="20">
        <f t="shared" si="209"/>
        <v>0</v>
      </c>
    </row>
    <row r="4477" spans="1:9">
      <c r="A4477" s="17" t="s">
        <v>1747</v>
      </c>
      <c r="B4477" s="17" t="s">
        <v>1365</v>
      </c>
      <c r="C4477" s="17">
        <v>0</v>
      </c>
      <c r="D4477" s="17" t="s">
        <v>801</v>
      </c>
      <c r="E4477" s="18">
        <v>8050538595419</v>
      </c>
      <c r="G4477" s="20" t="str">
        <f t="shared" si="207"/>
        <v xml:space="preserve"> FLAP            </v>
      </c>
      <c r="H4477" s="20" t="str">
        <f t="shared" si="208"/>
        <v>KALAU</v>
      </c>
      <c r="I4477" s="20">
        <f t="shared" si="209"/>
        <v>0</v>
      </c>
    </row>
    <row r="4478" spans="1:9">
      <c r="A4478" s="17" t="s">
        <v>1747</v>
      </c>
      <c r="B4478" s="17" t="s">
        <v>1366</v>
      </c>
      <c r="C4478" s="17">
        <v>0</v>
      </c>
      <c r="D4478" s="17" t="s">
        <v>801</v>
      </c>
      <c r="E4478" s="18">
        <v>8050538595426</v>
      </c>
      <c r="G4478" s="20" t="str">
        <f t="shared" si="207"/>
        <v xml:space="preserve"> FLAP            </v>
      </c>
      <c r="H4478" s="20" t="str">
        <f t="shared" si="208"/>
        <v>KALOT</v>
      </c>
      <c r="I4478" s="20">
        <f t="shared" si="209"/>
        <v>0</v>
      </c>
    </row>
    <row r="4479" spans="1:9">
      <c r="A4479" s="17" t="s">
        <v>1747</v>
      </c>
      <c r="B4479" s="17" t="s">
        <v>1775</v>
      </c>
      <c r="C4479" s="17">
        <v>0</v>
      </c>
      <c r="D4479" s="17" t="s">
        <v>801</v>
      </c>
      <c r="E4479" s="18">
        <v>3003730300003</v>
      </c>
      <c r="G4479" s="20" t="str">
        <f t="shared" si="207"/>
        <v xml:space="preserve"> FLAP            </v>
      </c>
      <c r="H4479" s="20" t="str">
        <f t="shared" si="208"/>
        <v xml:space="preserve">KANG </v>
      </c>
      <c r="I4479" s="20">
        <f t="shared" si="209"/>
        <v>0</v>
      </c>
    </row>
    <row r="4480" spans="1:9">
      <c r="A4480" s="17" t="s">
        <v>1747</v>
      </c>
      <c r="B4480" s="17" t="s">
        <v>1367</v>
      </c>
      <c r="C4480" s="17">
        <v>0</v>
      </c>
      <c r="D4480" s="17" t="s">
        <v>801</v>
      </c>
      <c r="E4480" s="18">
        <v>3003730163004</v>
      </c>
      <c r="G4480" s="20" t="str">
        <f t="shared" si="207"/>
        <v xml:space="preserve"> FLAP            </v>
      </c>
      <c r="H4480" s="20" t="str">
        <f t="shared" si="208"/>
        <v>LAINB</v>
      </c>
      <c r="I4480" s="20">
        <f t="shared" si="209"/>
        <v>0</v>
      </c>
    </row>
    <row r="4481" spans="1:9">
      <c r="A4481" s="17" t="s">
        <v>1747</v>
      </c>
      <c r="B4481" s="17" t="s">
        <v>1776</v>
      </c>
      <c r="C4481" s="17">
        <v>0</v>
      </c>
      <c r="D4481" s="17" t="s">
        <v>801</v>
      </c>
      <c r="E4481" s="18">
        <v>3003730164001</v>
      </c>
      <c r="G4481" s="20" t="str">
        <f t="shared" si="207"/>
        <v xml:space="preserve"> FLAP            </v>
      </c>
      <c r="H4481" s="20" t="str">
        <f t="shared" si="208"/>
        <v>LAING</v>
      </c>
      <c r="I4481" s="20">
        <f t="shared" si="209"/>
        <v>0</v>
      </c>
    </row>
    <row r="4482" spans="1:9">
      <c r="A4482" s="17" t="s">
        <v>1747</v>
      </c>
      <c r="B4482" s="17" t="s">
        <v>1300</v>
      </c>
      <c r="C4482" s="17">
        <v>0</v>
      </c>
      <c r="D4482" s="17" t="s">
        <v>801</v>
      </c>
      <c r="E4482" s="18">
        <v>3003730165008</v>
      </c>
      <c r="G4482" s="20" t="str">
        <f t="shared" si="207"/>
        <v xml:space="preserve"> FLAP            </v>
      </c>
      <c r="H4482" s="20" t="str">
        <f t="shared" si="208"/>
        <v>LAINN</v>
      </c>
      <c r="I4482" s="20">
        <f t="shared" si="209"/>
        <v>0</v>
      </c>
    </row>
    <row r="4483" spans="1:9">
      <c r="A4483" s="17" t="s">
        <v>1747</v>
      </c>
      <c r="B4483" s="17" t="s">
        <v>1368</v>
      </c>
      <c r="C4483" s="17">
        <v>0</v>
      </c>
      <c r="D4483" s="17" t="s">
        <v>801</v>
      </c>
      <c r="E4483" s="18">
        <v>8050846012486</v>
      </c>
      <c r="G4483" s="20" t="str">
        <f t="shared" si="207"/>
        <v xml:space="preserve"> FLAP            </v>
      </c>
      <c r="H4483" s="20" t="str">
        <f t="shared" si="208"/>
        <v>LAIPH</v>
      </c>
      <c r="I4483" s="20">
        <f t="shared" si="209"/>
        <v>0</v>
      </c>
    </row>
    <row r="4484" spans="1:9">
      <c r="A4484" s="17" t="s">
        <v>1747</v>
      </c>
      <c r="B4484" s="17" t="s">
        <v>1777</v>
      </c>
      <c r="C4484" s="17">
        <v>0</v>
      </c>
      <c r="D4484" s="17" t="s">
        <v>801</v>
      </c>
      <c r="E4484" s="18">
        <v>3003730957009</v>
      </c>
      <c r="G4484" s="20" t="str">
        <f t="shared" si="207"/>
        <v xml:space="preserve"> FLAP            </v>
      </c>
      <c r="H4484" s="20" t="str">
        <f t="shared" si="208"/>
        <v>LAIPO</v>
      </c>
      <c r="I4484" s="20">
        <f t="shared" si="209"/>
        <v>0</v>
      </c>
    </row>
    <row r="4485" spans="1:9">
      <c r="A4485" s="17" t="s">
        <v>1747</v>
      </c>
      <c r="B4485" s="17" t="s">
        <v>1777</v>
      </c>
      <c r="C4485" s="17">
        <v>0</v>
      </c>
      <c r="D4485" s="17" t="s">
        <v>801</v>
      </c>
      <c r="E4485" s="18">
        <v>3002530957004</v>
      </c>
      <c r="G4485" s="20" t="str">
        <f t="shared" ref="G4485:G4548" si="210">A4485</f>
        <v xml:space="preserve"> FLAP            </v>
      </c>
      <c r="H4485" s="20" t="str">
        <f t="shared" ref="H4485:H4548" si="211">B4485</f>
        <v>LAIPO</v>
      </c>
      <c r="I4485" s="20">
        <f t="shared" ref="I4485:I4548" si="212">C4485</f>
        <v>0</v>
      </c>
    </row>
    <row r="4486" spans="1:9">
      <c r="A4486" s="17" t="s">
        <v>1747</v>
      </c>
      <c r="B4486" s="17" t="s">
        <v>1778</v>
      </c>
      <c r="C4486" s="17">
        <v>0</v>
      </c>
      <c r="D4486" s="17" t="s">
        <v>801</v>
      </c>
      <c r="E4486" s="18">
        <v>8056300453963</v>
      </c>
      <c r="G4486" s="20" t="str">
        <f t="shared" si="210"/>
        <v xml:space="preserve"> FLAP            </v>
      </c>
      <c r="H4486" s="20" t="str">
        <f t="shared" si="211"/>
        <v>LAPDP</v>
      </c>
      <c r="I4486" s="20">
        <f t="shared" si="212"/>
        <v>0</v>
      </c>
    </row>
    <row r="4487" spans="1:9">
      <c r="A4487" s="17" t="s">
        <v>1747</v>
      </c>
      <c r="B4487" s="17" t="s">
        <v>1778</v>
      </c>
      <c r="C4487" s="17">
        <v>0</v>
      </c>
      <c r="D4487" s="17" t="s">
        <v>801</v>
      </c>
      <c r="E4487" s="18">
        <v>3002531007005</v>
      </c>
      <c r="G4487" s="20" t="str">
        <f t="shared" si="210"/>
        <v xml:space="preserve"> FLAP            </v>
      </c>
      <c r="H4487" s="20" t="str">
        <f t="shared" si="211"/>
        <v>LAPDP</v>
      </c>
      <c r="I4487" s="20">
        <f t="shared" si="212"/>
        <v>0</v>
      </c>
    </row>
    <row r="4488" spans="1:9">
      <c r="A4488" s="17" t="s">
        <v>1747</v>
      </c>
      <c r="B4488" s="17" t="s">
        <v>1369</v>
      </c>
      <c r="C4488" s="17">
        <v>0</v>
      </c>
      <c r="D4488" s="17" t="s">
        <v>801</v>
      </c>
      <c r="E4488" s="18">
        <v>3002531153009</v>
      </c>
      <c r="G4488" s="20" t="str">
        <f t="shared" si="210"/>
        <v xml:space="preserve"> FLAP            </v>
      </c>
      <c r="H4488" s="20" t="str">
        <f t="shared" si="211"/>
        <v>LIEDE</v>
      </c>
      <c r="I4488" s="20">
        <f t="shared" si="212"/>
        <v>0</v>
      </c>
    </row>
    <row r="4489" spans="1:9">
      <c r="A4489" s="17" t="s">
        <v>1747</v>
      </c>
      <c r="B4489" s="17" t="s">
        <v>1369</v>
      </c>
      <c r="C4489" s="17">
        <v>0</v>
      </c>
      <c r="D4489" s="17" t="s">
        <v>801</v>
      </c>
      <c r="E4489" s="18">
        <v>8056095064504</v>
      </c>
      <c r="G4489" s="20" t="str">
        <f t="shared" si="210"/>
        <v xml:space="preserve"> FLAP            </v>
      </c>
      <c r="H4489" s="20" t="str">
        <f t="shared" si="211"/>
        <v>LIEDE</v>
      </c>
      <c r="I4489" s="20">
        <f t="shared" si="212"/>
        <v>0</v>
      </c>
    </row>
    <row r="4490" spans="1:9">
      <c r="A4490" s="17" t="s">
        <v>1747</v>
      </c>
      <c r="B4490" s="17" t="s">
        <v>1138</v>
      </c>
      <c r="C4490" s="17">
        <v>0</v>
      </c>
      <c r="D4490" s="17" t="s">
        <v>801</v>
      </c>
      <c r="E4490" s="18">
        <v>3002531096009</v>
      </c>
      <c r="G4490" s="20" t="str">
        <f t="shared" si="210"/>
        <v xml:space="preserve"> FLAP            </v>
      </c>
      <c r="H4490" s="20" t="str">
        <f t="shared" si="211"/>
        <v>LIEIV</v>
      </c>
      <c r="I4490" s="20">
        <f t="shared" si="212"/>
        <v>0</v>
      </c>
    </row>
    <row r="4491" spans="1:9">
      <c r="A4491" s="17" t="s">
        <v>1747</v>
      </c>
      <c r="B4491" s="17" t="s">
        <v>1138</v>
      </c>
      <c r="C4491" s="17">
        <v>0</v>
      </c>
      <c r="D4491" s="17" t="s">
        <v>801</v>
      </c>
      <c r="E4491" s="18">
        <v>8056095064498</v>
      </c>
      <c r="G4491" s="20" t="str">
        <f t="shared" si="210"/>
        <v xml:space="preserve"> FLAP            </v>
      </c>
      <c r="H4491" s="20" t="str">
        <f t="shared" si="211"/>
        <v>LIEIV</v>
      </c>
      <c r="I4491" s="20">
        <f t="shared" si="212"/>
        <v>0</v>
      </c>
    </row>
    <row r="4492" spans="1:9">
      <c r="A4492" s="17" t="s">
        <v>1747</v>
      </c>
      <c r="B4492" s="17" t="s">
        <v>1041</v>
      </c>
      <c r="C4492" s="17">
        <v>0</v>
      </c>
      <c r="D4492" s="17" t="s">
        <v>801</v>
      </c>
      <c r="E4492" s="18">
        <v>8050538595402</v>
      </c>
      <c r="G4492" s="20" t="str">
        <f t="shared" si="210"/>
        <v xml:space="preserve"> FLAP            </v>
      </c>
      <c r="H4492" s="20" t="str">
        <f t="shared" si="211"/>
        <v>LIGBL</v>
      </c>
      <c r="I4492" s="20">
        <f t="shared" si="212"/>
        <v>0</v>
      </c>
    </row>
    <row r="4493" spans="1:9">
      <c r="A4493" s="17" t="s">
        <v>1747</v>
      </c>
      <c r="B4493" s="17" t="s">
        <v>1042</v>
      </c>
      <c r="C4493" s="17">
        <v>0</v>
      </c>
      <c r="D4493" s="17" t="s">
        <v>801</v>
      </c>
      <c r="E4493" s="18">
        <v>8050538595396</v>
      </c>
      <c r="G4493" s="20" t="str">
        <f t="shared" si="210"/>
        <v xml:space="preserve"> FLAP            </v>
      </c>
      <c r="H4493" s="20" t="str">
        <f t="shared" si="211"/>
        <v>LIGRO</v>
      </c>
      <c r="I4493" s="20">
        <f t="shared" si="212"/>
        <v>0</v>
      </c>
    </row>
    <row r="4494" spans="1:9">
      <c r="A4494" s="17" t="s">
        <v>1747</v>
      </c>
      <c r="B4494" s="17" t="s">
        <v>1370</v>
      </c>
      <c r="C4494" s="17">
        <v>0</v>
      </c>
      <c r="D4494" s="17" t="s">
        <v>801</v>
      </c>
      <c r="E4494" s="18">
        <v>3002530780008</v>
      </c>
      <c r="G4494" s="20" t="str">
        <f t="shared" si="210"/>
        <v xml:space="preserve"> FLAP            </v>
      </c>
      <c r="H4494" s="20" t="str">
        <f t="shared" si="211"/>
        <v>LINAZ</v>
      </c>
      <c r="I4494" s="20">
        <f t="shared" si="212"/>
        <v>0</v>
      </c>
    </row>
    <row r="4495" spans="1:9">
      <c r="A4495" s="17" t="s">
        <v>1747</v>
      </c>
      <c r="B4495" s="17" t="s">
        <v>1373</v>
      </c>
      <c r="C4495" s="17">
        <v>0</v>
      </c>
      <c r="D4495" s="17" t="s">
        <v>801</v>
      </c>
      <c r="E4495" s="18">
        <v>3002530782002</v>
      </c>
      <c r="G4495" s="20" t="str">
        <f t="shared" si="210"/>
        <v xml:space="preserve"> FLAP            </v>
      </c>
      <c r="H4495" s="20" t="str">
        <f t="shared" si="211"/>
        <v>LINPO</v>
      </c>
      <c r="I4495" s="20">
        <f t="shared" si="212"/>
        <v>0</v>
      </c>
    </row>
    <row r="4496" spans="1:9">
      <c r="A4496" s="17" t="s">
        <v>1747</v>
      </c>
      <c r="B4496" s="17" t="s">
        <v>1374</v>
      </c>
      <c r="C4496" s="17">
        <v>0</v>
      </c>
      <c r="D4496" s="17" t="s">
        <v>801</v>
      </c>
      <c r="E4496" s="18">
        <v>3002530781005</v>
      </c>
      <c r="G4496" s="20" t="str">
        <f t="shared" si="210"/>
        <v xml:space="preserve"> FLAP            </v>
      </c>
      <c r="H4496" s="20" t="str">
        <f t="shared" si="211"/>
        <v>LINYE</v>
      </c>
      <c r="I4496" s="20">
        <f t="shared" si="212"/>
        <v>0</v>
      </c>
    </row>
    <row r="4497" spans="1:9">
      <c r="A4497" s="17" t="s">
        <v>1747</v>
      </c>
      <c r="B4497" s="17" t="s">
        <v>1377</v>
      </c>
      <c r="C4497" s="17">
        <v>0</v>
      </c>
      <c r="D4497" s="17" t="s">
        <v>801</v>
      </c>
      <c r="E4497" s="18">
        <v>8056099179686</v>
      </c>
      <c r="G4497" s="20" t="str">
        <f t="shared" si="210"/>
        <v xml:space="preserve"> FLAP            </v>
      </c>
      <c r="H4497" s="20" t="str">
        <f t="shared" si="211"/>
        <v>MATBL</v>
      </c>
      <c r="I4497" s="20">
        <f t="shared" si="212"/>
        <v>0</v>
      </c>
    </row>
    <row r="4498" spans="1:9">
      <c r="A4498" s="17" t="s">
        <v>1747</v>
      </c>
      <c r="B4498" s="17" t="s">
        <v>1378</v>
      </c>
      <c r="C4498" s="17">
        <v>0</v>
      </c>
      <c r="D4498" s="17" t="s">
        <v>801</v>
      </c>
      <c r="E4498" s="18">
        <v>8050538591077</v>
      </c>
      <c r="G4498" s="20" t="str">
        <f t="shared" si="210"/>
        <v xml:space="preserve"> FLAP            </v>
      </c>
      <c r="H4498" s="20" t="str">
        <f t="shared" si="211"/>
        <v>MATGR</v>
      </c>
      <c r="I4498" s="20">
        <f t="shared" si="212"/>
        <v>0</v>
      </c>
    </row>
    <row r="4499" spans="1:9">
      <c r="A4499" s="17" t="s">
        <v>1747</v>
      </c>
      <c r="B4499" s="17" t="s">
        <v>1548</v>
      </c>
      <c r="C4499" s="17">
        <v>0</v>
      </c>
      <c r="D4499" s="17" t="s">
        <v>801</v>
      </c>
      <c r="E4499" s="18">
        <v>8056099178887</v>
      </c>
      <c r="G4499" s="20" t="str">
        <f t="shared" si="210"/>
        <v xml:space="preserve"> FLAP            </v>
      </c>
      <c r="H4499" s="20" t="str">
        <f t="shared" si="211"/>
        <v>MATPH</v>
      </c>
      <c r="I4499" s="20">
        <f t="shared" si="212"/>
        <v>0</v>
      </c>
    </row>
    <row r="4500" spans="1:9">
      <c r="A4500" s="17" t="s">
        <v>1747</v>
      </c>
      <c r="B4500" s="17" t="s">
        <v>1385</v>
      </c>
      <c r="C4500" s="17">
        <v>0</v>
      </c>
      <c r="D4500" s="17" t="s">
        <v>801</v>
      </c>
      <c r="E4500" s="18">
        <v>3003730196002</v>
      </c>
      <c r="G4500" s="20" t="str">
        <f t="shared" si="210"/>
        <v xml:space="preserve"> FLAP            </v>
      </c>
      <c r="H4500" s="20" t="str">
        <f t="shared" si="211"/>
        <v xml:space="preserve">MEX  </v>
      </c>
      <c r="I4500" s="20">
        <f t="shared" si="212"/>
        <v>0</v>
      </c>
    </row>
    <row r="4501" spans="1:9">
      <c r="A4501" s="17" t="s">
        <v>1747</v>
      </c>
      <c r="B4501" s="17" t="s">
        <v>1779</v>
      </c>
      <c r="C4501" s="17">
        <v>0</v>
      </c>
      <c r="D4501" s="17" t="s">
        <v>801</v>
      </c>
      <c r="E4501" s="18">
        <v>3002530562000</v>
      </c>
      <c r="G4501" s="20" t="str">
        <f t="shared" si="210"/>
        <v xml:space="preserve"> FLAP            </v>
      </c>
      <c r="H4501" s="20" t="str">
        <f t="shared" si="211"/>
        <v>MIBEI</v>
      </c>
      <c r="I4501" s="20">
        <f t="shared" si="212"/>
        <v>0</v>
      </c>
    </row>
    <row r="4502" spans="1:9">
      <c r="A4502" s="17" t="s">
        <v>1747</v>
      </c>
      <c r="B4502" s="17" t="s">
        <v>1780</v>
      </c>
      <c r="C4502" s="17">
        <v>0</v>
      </c>
      <c r="D4502" s="17" t="s">
        <v>801</v>
      </c>
      <c r="E4502" s="18">
        <v>3003730657008</v>
      </c>
      <c r="G4502" s="20" t="str">
        <f t="shared" si="210"/>
        <v xml:space="preserve"> FLAP            </v>
      </c>
      <c r="H4502" s="20" t="str">
        <f t="shared" si="211"/>
        <v xml:space="preserve">MICA </v>
      </c>
      <c r="I4502" s="20">
        <f t="shared" si="212"/>
        <v>0</v>
      </c>
    </row>
    <row r="4503" spans="1:9">
      <c r="A4503" s="17" t="s">
        <v>1747</v>
      </c>
      <c r="B4503" s="17" t="s">
        <v>1780</v>
      </c>
      <c r="C4503" s="17">
        <v>0</v>
      </c>
      <c r="D4503" s="17" t="s">
        <v>801</v>
      </c>
      <c r="E4503" s="18">
        <v>8058983599051</v>
      </c>
      <c r="G4503" s="20" t="str">
        <f t="shared" si="210"/>
        <v xml:space="preserve"> FLAP            </v>
      </c>
      <c r="H4503" s="20" t="str">
        <f t="shared" si="211"/>
        <v xml:space="preserve">MICA </v>
      </c>
      <c r="I4503" s="20">
        <f t="shared" si="212"/>
        <v>0</v>
      </c>
    </row>
    <row r="4504" spans="1:9">
      <c r="A4504" s="17" t="s">
        <v>1747</v>
      </c>
      <c r="B4504" s="17" t="s">
        <v>1524</v>
      </c>
      <c r="C4504" s="17">
        <v>0</v>
      </c>
      <c r="D4504" s="17" t="s">
        <v>801</v>
      </c>
      <c r="E4504" s="18">
        <v>3002530566008</v>
      </c>
      <c r="G4504" s="20" t="str">
        <f t="shared" si="210"/>
        <v xml:space="preserve"> FLAP            </v>
      </c>
      <c r="H4504" s="20" t="str">
        <f t="shared" si="211"/>
        <v>MICGR</v>
      </c>
      <c r="I4504" s="20">
        <f t="shared" si="212"/>
        <v>0</v>
      </c>
    </row>
    <row r="4505" spans="1:9">
      <c r="A4505" s="17" t="s">
        <v>1747</v>
      </c>
      <c r="B4505" s="17" t="s">
        <v>1781</v>
      </c>
      <c r="C4505" s="17">
        <v>0</v>
      </c>
      <c r="D4505" s="17" t="s">
        <v>801</v>
      </c>
      <c r="E4505" s="18">
        <v>8058983599068</v>
      </c>
      <c r="G4505" s="20" t="str">
        <f t="shared" si="210"/>
        <v xml:space="preserve"> FLAP            </v>
      </c>
      <c r="H4505" s="20" t="str">
        <f t="shared" si="211"/>
        <v>MIDOV</v>
      </c>
      <c r="I4505" s="20">
        <f t="shared" si="212"/>
        <v>0</v>
      </c>
    </row>
    <row r="4506" spans="1:9">
      <c r="A4506" s="17" t="s">
        <v>1747</v>
      </c>
      <c r="B4506" s="17" t="s">
        <v>1781</v>
      </c>
      <c r="C4506" s="17">
        <v>0</v>
      </c>
      <c r="D4506" s="17" t="s">
        <v>801</v>
      </c>
      <c r="E4506" s="18">
        <v>3003730640000</v>
      </c>
      <c r="G4506" s="20" t="str">
        <f t="shared" si="210"/>
        <v xml:space="preserve"> FLAP            </v>
      </c>
      <c r="H4506" s="20" t="str">
        <f t="shared" si="211"/>
        <v>MIDOV</v>
      </c>
      <c r="I4506" s="20">
        <f t="shared" si="212"/>
        <v>0</v>
      </c>
    </row>
    <row r="4507" spans="1:9">
      <c r="A4507" s="17" t="s">
        <v>1747</v>
      </c>
      <c r="B4507" s="17" t="s">
        <v>1782</v>
      </c>
      <c r="C4507" s="17">
        <v>0</v>
      </c>
      <c r="D4507" s="17" t="s">
        <v>801</v>
      </c>
      <c r="E4507" s="18">
        <v>8058983599044</v>
      </c>
      <c r="G4507" s="20" t="str">
        <f t="shared" si="210"/>
        <v xml:space="preserve"> FLAP            </v>
      </c>
      <c r="H4507" s="20" t="str">
        <f t="shared" si="211"/>
        <v xml:space="preserve">MIGR </v>
      </c>
      <c r="I4507" s="20">
        <f t="shared" si="212"/>
        <v>0</v>
      </c>
    </row>
    <row r="4508" spans="1:9">
      <c r="A4508" s="17" t="s">
        <v>1747</v>
      </c>
      <c r="B4508" s="17" t="s">
        <v>1782</v>
      </c>
      <c r="C4508" s="17">
        <v>0</v>
      </c>
      <c r="D4508" s="17" t="s">
        <v>801</v>
      </c>
      <c r="E4508" s="18">
        <v>3003730639004</v>
      </c>
      <c r="G4508" s="20" t="str">
        <f t="shared" si="210"/>
        <v xml:space="preserve"> FLAP            </v>
      </c>
      <c r="H4508" s="20" t="str">
        <f t="shared" si="211"/>
        <v xml:space="preserve">MIGR </v>
      </c>
      <c r="I4508" s="20">
        <f t="shared" si="212"/>
        <v>0</v>
      </c>
    </row>
    <row r="4509" spans="1:9">
      <c r="A4509" s="17" t="s">
        <v>1747</v>
      </c>
      <c r="B4509" s="17" t="s">
        <v>1783</v>
      </c>
      <c r="C4509" s="17">
        <v>0</v>
      </c>
      <c r="D4509" s="17" t="s">
        <v>801</v>
      </c>
      <c r="E4509" s="18">
        <v>3003730198006</v>
      </c>
      <c r="G4509" s="20" t="str">
        <f t="shared" si="210"/>
        <v xml:space="preserve"> FLAP            </v>
      </c>
      <c r="H4509" s="20" t="str">
        <f t="shared" si="211"/>
        <v xml:space="preserve">MIL  </v>
      </c>
      <c r="I4509" s="20">
        <f t="shared" si="212"/>
        <v>0</v>
      </c>
    </row>
    <row r="4510" spans="1:9">
      <c r="A4510" s="17" t="s">
        <v>1747</v>
      </c>
      <c r="B4510" s="17" t="s">
        <v>1784</v>
      </c>
      <c r="C4510" s="17">
        <v>0</v>
      </c>
      <c r="D4510" s="17" t="s">
        <v>801</v>
      </c>
      <c r="E4510" s="18">
        <v>3002530563007</v>
      </c>
      <c r="G4510" s="20" t="str">
        <f t="shared" si="210"/>
        <v xml:space="preserve"> FLAP            </v>
      </c>
      <c r="H4510" s="20" t="str">
        <f t="shared" si="211"/>
        <v xml:space="preserve">MIMA </v>
      </c>
      <c r="I4510" s="20">
        <f t="shared" si="212"/>
        <v>0</v>
      </c>
    </row>
    <row r="4511" spans="1:9">
      <c r="A4511" s="17" t="s">
        <v>1747</v>
      </c>
      <c r="B4511" s="17" t="s">
        <v>1554</v>
      </c>
      <c r="C4511" s="17">
        <v>0</v>
      </c>
      <c r="D4511" s="17" t="s">
        <v>801</v>
      </c>
      <c r="E4511" s="18">
        <v>3002530936009</v>
      </c>
      <c r="G4511" s="20" t="str">
        <f t="shared" si="210"/>
        <v xml:space="preserve"> FLAP            </v>
      </c>
      <c r="H4511" s="20" t="str">
        <f t="shared" si="211"/>
        <v>MOMBL</v>
      </c>
      <c r="I4511" s="20">
        <f t="shared" si="212"/>
        <v>0</v>
      </c>
    </row>
    <row r="4512" spans="1:9">
      <c r="A4512" s="17" t="s">
        <v>1747</v>
      </c>
      <c r="B4512" s="17" t="s">
        <v>1005</v>
      </c>
      <c r="C4512" s="17">
        <v>0</v>
      </c>
      <c r="D4512" s="17" t="s">
        <v>801</v>
      </c>
      <c r="E4512" s="18">
        <v>3002530916001</v>
      </c>
      <c r="G4512" s="20" t="str">
        <f t="shared" si="210"/>
        <v xml:space="preserve"> FLAP            </v>
      </c>
      <c r="H4512" s="20" t="str">
        <f t="shared" si="211"/>
        <v>MOMOR</v>
      </c>
      <c r="I4512" s="20">
        <f t="shared" si="212"/>
        <v>0</v>
      </c>
    </row>
    <row r="4513" spans="1:9">
      <c r="A4513" s="17" t="s">
        <v>1747</v>
      </c>
      <c r="B4513" s="17" t="s">
        <v>1785</v>
      </c>
      <c r="C4513" s="17">
        <v>0</v>
      </c>
      <c r="D4513" s="17" t="s">
        <v>801</v>
      </c>
      <c r="E4513" s="18">
        <v>8056099171734</v>
      </c>
      <c r="G4513" s="20" t="str">
        <f t="shared" si="210"/>
        <v xml:space="preserve"> FLAP            </v>
      </c>
      <c r="H4513" s="20" t="str">
        <f t="shared" si="211"/>
        <v>MOMRE</v>
      </c>
      <c r="I4513" s="20">
        <f t="shared" si="212"/>
        <v>0</v>
      </c>
    </row>
    <row r="4514" spans="1:9">
      <c r="A4514" s="17" t="s">
        <v>1747</v>
      </c>
      <c r="B4514" s="17" t="s">
        <v>1786</v>
      </c>
      <c r="C4514" s="17">
        <v>0</v>
      </c>
      <c r="D4514" s="17" t="s">
        <v>801</v>
      </c>
      <c r="E4514" s="18">
        <v>8056099171741</v>
      </c>
      <c r="G4514" s="20" t="str">
        <f t="shared" si="210"/>
        <v xml:space="preserve"> FLAP            </v>
      </c>
      <c r="H4514" s="20" t="str">
        <f t="shared" si="211"/>
        <v>MOMYE</v>
      </c>
      <c r="I4514" s="20">
        <f t="shared" si="212"/>
        <v>0</v>
      </c>
    </row>
    <row r="4515" spans="1:9">
      <c r="A4515" s="17" t="s">
        <v>1747</v>
      </c>
      <c r="B4515" s="17" t="s">
        <v>1787</v>
      </c>
      <c r="C4515" s="17">
        <v>0</v>
      </c>
      <c r="D4515" s="17" t="s">
        <v>801</v>
      </c>
      <c r="E4515" s="18">
        <v>3003730150004</v>
      </c>
      <c r="G4515" s="20" t="str">
        <f t="shared" si="210"/>
        <v xml:space="preserve"> FLAP            </v>
      </c>
      <c r="H4515" s="20" t="str">
        <f t="shared" si="211"/>
        <v xml:space="preserve">MOU  </v>
      </c>
      <c r="I4515" s="20">
        <f t="shared" si="212"/>
        <v>0</v>
      </c>
    </row>
    <row r="4516" spans="1:9">
      <c r="A4516" s="17" t="s">
        <v>1747</v>
      </c>
      <c r="B4516" s="17" t="s">
        <v>1788</v>
      </c>
      <c r="C4516" s="17">
        <v>0</v>
      </c>
      <c r="D4516" s="17" t="s">
        <v>801</v>
      </c>
      <c r="E4516" s="18">
        <v>3003730301000</v>
      </c>
      <c r="G4516" s="20" t="str">
        <f t="shared" si="210"/>
        <v xml:space="preserve"> FLAP            </v>
      </c>
      <c r="H4516" s="20" t="str">
        <f t="shared" si="211"/>
        <v>MOUTO</v>
      </c>
      <c r="I4516" s="20">
        <f t="shared" si="212"/>
        <v>0</v>
      </c>
    </row>
    <row r="4517" spans="1:9">
      <c r="A4517" s="17" t="s">
        <v>1747</v>
      </c>
      <c r="B4517" s="17" t="s">
        <v>859</v>
      </c>
      <c r="C4517" s="17">
        <v>0</v>
      </c>
      <c r="D4517" s="17" t="s">
        <v>801</v>
      </c>
      <c r="E4517" s="18">
        <v>3003730313003</v>
      </c>
      <c r="G4517" s="20" t="str">
        <f t="shared" si="210"/>
        <v xml:space="preserve"> FLAP            </v>
      </c>
      <c r="H4517" s="20" t="str">
        <f t="shared" si="211"/>
        <v>NATUR</v>
      </c>
      <c r="I4517" s="20">
        <f t="shared" si="212"/>
        <v>0</v>
      </c>
    </row>
    <row r="4518" spans="1:9">
      <c r="A4518" s="17" t="s">
        <v>1747</v>
      </c>
      <c r="B4518" s="17" t="s">
        <v>1789</v>
      </c>
      <c r="C4518" s="17">
        <v>0</v>
      </c>
      <c r="D4518" s="17" t="s">
        <v>801</v>
      </c>
      <c r="E4518" s="18">
        <v>3002531017004</v>
      </c>
      <c r="G4518" s="20" t="str">
        <f t="shared" si="210"/>
        <v xml:space="preserve"> FLAP            </v>
      </c>
      <c r="H4518" s="20" t="str">
        <f t="shared" si="211"/>
        <v>NOEBL</v>
      </c>
      <c r="I4518" s="20">
        <f t="shared" si="212"/>
        <v>0</v>
      </c>
    </row>
    <row r="4519" spans="1:9">
      <c r="A4519" s="17" t="s">
        <v>1747</v>
      </c>
      <c r="B4519" s="17" t="s">
        <v>1790</v>
      </c>
      <c r="C4519" s="17">
        <v>0</v>
      </c>
      <c r="D4519" s="17" t="s">
        <v>801</v>
      </c>
      <c r="E4519" s="18">
        <v>3002531018001</v>
      </c>
      <c r="G4519" s="20" t="str">
        <f t="shared" si="210"/>
        <v xml:space="preserve"> FLAP            </v>
      </c>
      <c r="H4519" s="20" t="str">
        <f t="shared" si="211"/>
        <v>NOEGR</v>
      </c>
      <c r="I4519" s="20">
        <f t="shared" si="212"/>
        <v>0</v>
      </c>
    </row>
    <row r="4520" spans="1:9">
      <c r="A4520" s="17" t="s">
        <v>1747</v>
      </c>
      <c r="B4520" s="17" t="s">
        <v>1791</v>
      </c>
      <c r="C4520" s="17">
        <v>0</v>
      </c>
      <c r="D4520" s="17" t="s">
        <v>801</v>
      </c>
      <c r="E4520" s="18">
        <v>3002531016007</v>
      </c>
      <c r="G4520" s="20" t="str">
        <f t="shared" si="210"/>
        <v xml:space="preserve"> FLAP            </v>
      </c>
      <c r="H4520" s="20" t="str">
        <f t="shared" si="211"/>
        <v>NOEOR</v>
      </c>
      <c r="I4520" s="20">
        <f t="shared" si="212"/>
        <v>0</v>
      </c>
    </row>
    <row r="4521" spans="1:9">
      <c r="A4521" s="17" t="s">
        <v>1747</v>
      </c>
      <c r="B4521" s="17" t="s">
        <v>1792</v>
      </c>
      <c r="C4521" s="17">
        <v>0</v>
      </c>
      <c r="D4521" s="17" t="s">
        <v>801</v>
      </c>
      <c r="E4521" s="18">
        <v>8056099171758</v>
      </c>
      <c r="G4521" s="20" t="str">
        <f t="shared" si="210"/>
        <v xml:space="preserve"> FLAP            </v>
      </c>
      <c r="H4521" s="20" t="str">
        <f t="shared" si="211"/>
        <v>NOEUD</v>
      </c>
      <c r="I4521" s="20">
        <f t="shared" si="212"/>
        <v>0</v>
      </c>
    </row>
    <row r="4522" spans="1:9">
      <c r="A4522" s="17" t="s">
        <v>1747</v>
      </c>
      <c r="B4522" s="17" t="s">
        <v>1792</v>
      </c>
      <c r="C4522" s="17">
        <v>0</v>
      </c>
      <c r="D4522" s="17" t="s">
        <v>801</v>
      </c>
      <c r="E4522" s="18">
        <v>8056099171765</v>
      </c>
      <c r="G4522" s="20" t="str">
        <f t="shared" si="210"/>
        <v xml:space="preserve"> FLAP            </v>
      </c>
      <c r="H4522" s="20" t="str">
        <f t="shared" si="211"/>
        <v>NOEUD</v>
      </c>
      <c r="I4522" s="20">
        <f t="shared" si="212"/>
        <v>0</v>
      </c>
    </row>
    <row r="4523" spans="1:9">
      <c r="A4523" s="17" t="s">
        <v>1747</v>
      </c>
      <c r="B4523" s="17" t="s">
        <v>1792</v>
      </c>
      <c r="C4523" s="17">
        <v>0</v>
      </c>
      <c r="D4523" s="17" t="s">
        <v>801</v>
      </c>
      <c r="E4523" s="18">
        <v>8056099171772</v>
      </c>
      <c r="G4523" s="20" t="str">
        <f t="shared" si="210"/>
        <v xml:space="preserve"> FLAP            </v>
      </c>
      <c r="H4523" s="20" t="str">
        <f t="shared" si="211"/>
        <v>NOEUD</v>
      </c>
      <c r="I4523" s="20">
        <f t="shared" si="212"/>
        <v>0</v>
      </c>
    </row>
    <row r="4524" spans="1:9">
      <c r="A4524" s="17" t="s">
        <v>1747</v>
      </c>
      <c r="B4524" s="17" t="s">
        <v>1386</v>
      </c>
      <c r="C4524" s="17">
        <v>0</v>
      </c>
      <c r="D4524" s="17" t="s">
        <v>801</v>
      </c>
      <c r="E4524" s="18">
        <v>3002530869000</v>
      </c>
      <c r="G4524" s="20" t="str">
        <f t="shared" si="210"/>
        <v xml:space="preserve"> FLAP            </v>
      </c>
      <c r="H4524" s="20" t="str">
        <f t="shared" si="211"/>
        <v>ODPSA</v>
      </c>
      <c r="I4524" s="20">
        <f t="shared" si="212"/>
        <v>0</v>
      </c>
    </row>
    <row r="4525" spans="1:9">
      <c r="A4525" s="17" t="s">
        <v>1747</v>
      </c>
      <c r="B4525" s="17" t="s">
        <v>1387</v>
      </c>
      <c r="C4525" s="17">
        <v>0</v>
      </c>
      <c r="D4525" s="17" t="s">
        <v>801</v>
      </c>
      <c r="E4525" s="18">
        <v>8050538595099</v>
      </c>
      <c r="G4525" s="20" t="str">
        <f t="shared" si="210"/>
        <v xml:space="preserve"> FLAP            </v>
      </c>
      <c r="H4525" s="20" t="str">
        <f t="shared" si="211"/>
        <v>ONDBL</v>
      </c>
      <c r="I4525" s="20">
        <f t="shared" si="212"/>
        <v>0</v>
      </c>
    </row>
    <row r="4526" spans="1:9">
      <c r="A4526" s="17" t="s">
        <v>1747</v>
      </c>
      <c r="B4526" s="17" t="s">
        <v>815</v>
      </c>
      <c r="C4526" s="17">
        <v>0</v>
      </c>
      <c r="D4526" s="17" t="s">
        <v>801</v>
      </c>
      <c r="E4526" s="18">
        <v>8056099179471</v>
      </c>
      <c r="G4526" s="20" t="str">
        <f t="shared" si="210"/>
        <v xml:space="preserve"> FLAP            </v>
      </c>
      <c r="H4526" s="20" t="str">
        <f t="shared" si="211"/>
        <v>OPTWH</v>
      </c>
      <c r="I4526" s="20">
        <f t="shared" si="212"/>
        <v>0</v>
      </c>
    </row>
    <row r="4527" spans="1:9">
      <c r="A4527" s="17" t="s">
        <v>1747</v>
      </c>
      <c r="B4527" s="17" t="s">
        <v>1388</v>
      </c>
      <c r="C4527" s="17">
        <v>0</v>
      </c>
      <c r="D4527" s="17" t="s">
        <v>801</v>
      </c>
      <c r="E4527" s="18">
        <v>8050846012479</v>
      </c>
      <c r="G4527" s="20" t="str">
        <f t="shared" si="210"/>
        <v xml:space="preserve"> FLAP            </v>
      </c>
      <c r="H4527" s="20" t="str">
        <f t="shared" si="211"/>
        <v>ORIBL</v>
      </c>
      <c r="I4527" s="20">
        <f t="shared" si="212"/>
        <v>0</v>
      </c>
    </row>
    <row r="4528" spans="1:9">
      <c r="A4528" s="17" t="s">
        <v>1747</v>
      </c>
      <c r="B4528" s="17" t="s">
        <v>1793</v>
      </c>
      <c r="C4528" s="17">
        <v>0</v>
      </c>
      <c r="D4528" s="17" t="s">
        <v>801</v>
      </c>
      <c r="E4528" s="18">
        <v>3002530829004</v>
      </c>
      <c r="G4528" s="20" t="str">
        <f t="shared" si="210"/>
        <v xml:space="preserve"> FLAP            </v>
      </c>
      <c r="H4528" s="20" t="str">
        <f t="shared" si="211"/>
        <v>PABLA</v>
      </c>
      <c r="I4528" s="20">
        <f t="shared" si="212"/>
        <v>0</v>
      </c>
    </row>
    <row r="4529" spans="1:9">
      <c r="A4529" s="17" t="s">
        <v>1747</v>
      </c>
      <c r="B4529" s="17" t="s">
        <v>1794</v>
      </c>
      <c r="C4529" s="17">
        <v>0</v>
      </c>
      <c r="D4529" s="17" t="s">
        <v>801</v>
      </c>
      <c r="E4529" s="18">
        <v>3003730903006</v>
      </c>
      <c r="G4529" s="20" t="str">
        <f t="shared" si="210"/>
        <v xml:space="preserve"> FLAP            </v>
      </c>
      <c r="H4529" s="20" t="str">
        <f t="shared" si="211"/>
        <v>PABLE</v>
      </c>
      <c r="I4529" s="20">
        <f t="shared" si="212"/>
        <v>0</v>
      </c>
    </row>
    <row r="4530" spans="1:9">
      <c r="A4530" s="17" t="s">
        <v>1747</v>
      </c>
      <c r="B4530" s="17" t="s">
        <v>1794</v>
      </c>
      <c r="C4530" s="17">
        <v>0</v>
      </c>
      <c r="D4530" s="17" t="s">
        <v>801</v>
      </c>
      <c r="E4530" s="18">
        <v>8056098530136</v>
      </c>
      <c r="G4530" s="20" t="str">
        <f t="shared" si="210"/>
        <v xml:space="preserve"> FLAP            </v>
      </c>
      <c r="H4530" s="20" t="str">
        <f t="shared" si="211"/>
        <v>PABLE</v>
      </c>
      <c r="I4530" s="20">
        <f t="shared" si="212"/>
        <v>0</v>
      </c>
    </row>
    <row r="4531" spans="1:9">
      <c r="A4531" s="17" t="s">
        <v>1747</v>
      </c>
      <c r="B4531" s="17" t="s">
        <v>1795</v>
      </c>
      <c r="C4531" s="17">
        <v>0</v>
      </c>
      <c r="D4531" s="17" t="s">
        <v>801</v>
      </c>
      <c r="E4531" s="18">
        <v>3003730901002</v>
      </c>
      <c r="G4531" s="20" t="str">
        <f t="shared" si="210"/>
        <v xml:space="preserve"> FLAP            </v>
      </c>
      <c r="H4531" s="20" t="str">
        <f t="shared" si="211"/>
        <v>PABOR</v>
      </c>
      <c r="I4531" s="20">
        <f t="shared" si="212"/>
        <v>0</v>
      </c>
    </row>
    <row r="4532" spans="1:9">
      <c r="A4532" s="17" t="s">
        <v>1747</v>
      </c>
      <c r="B4532" s="17" t="s">
        <v>1487</v>
      </c>
      <c r="C4532" s="17">
        <v>0</v>
      </c>
      <c r="D4532" s="17" t="s">
        <v>801</v>
      </c>
      <c r="E4532" s="18">
        <v>3003730672001</v>
      </c>
      <c r="G4532" s="20" t="str">
        <f t="shared" si="210"/>
        <v xml:space="preserve"> FLAP            </v>
      </c>
      <c r="H4532" s="20" t="str">
        <f t="shared" si="211"/>
        <v>PDPBL</v>
      </c>
      <c r="I4532" s="20">
        <f t="shared" si="212"/>
        <v>0</v>
      </c>
    </row>
    <row r="4533" spans="1:9">
      <c r="A4533" s="17" t="s">
        <v>1747</v>
      </c>
      <c r="B4533" s="17" t="s">
        <v>1304</v>
      </c>
      <c r="C4533" s="17">
        <v>0</v>
      </c>
      <c r="D4533" s="17" t="s">
        <v>801</v>
      </c>
      <c r="E4533" s="18">
        <v>3003730673008</v>
      </c>
      <c r="G4533" s="20" t="str">
        <f t="shared" si="210"/>
        <v xml:space="preserve"> FLAP            </v>
      </c>
      <c r="H4533" s="20" t="str">
        <f t="shared" si="211"/>
        <v>PDPRU</v>
      </c>
      <c r="I4533" s="20">
        <f t="shared" si="212"/>
        <v>0</v>
      </c>
    </row>
    <row r="4534" spans="1:9">
      <c r="A4534" s="17" t="s">
        <v>1747</v>
      </c>
      <c r="B4534" s="17" t="s">
        <v>1304</v>
      </c>
      <c r="C4534" s="17">
        <v>0</v>
      </c>
      <c r="D4534" s="17" t="s">
        <v>801</v>
      </c>
      <c r="E4534" s="18">
        <v>3002531014003</v>
      </c>
      <c r="G4534" s="20" t="str">
        <f t="shared" si="210"/>
        <v xml:space="preserve"> FLAP            </v>
      </c>
      <c r="H4534" s="20" t="str">
        <f t="shared" si="211"/>
        <v>PDPRU</v>
      </c>
      <c r="I4534" s="20">
        <f t="shared" si="212"/>
        <v>0</v>
      </c>
    </row>
    <row r="4535" spans="1:9">
      <c r="A4535" s="17" t="s">
        <v>1747</v>
      </c>
      <c r="B4535" s="17" t="s">
        <v>1304</v>
      </c>
      <c r="C4535" s="17">
        <v>0</v>
      </c>
      <c r="D4535" s="17" t="s">
        <v>801</v>
      </c>
      <c r="E4535" s="18">
        <v>8056300453970</v>
      </c>
      <c r="G4535" s="20" t="str">
        <f t="shared" si="210"/>
        <v xml:space="preserve"> FLAP            </v>
      </c>
      <c r="H4535" s="20" t="str">
        <f t="shared" si="211"/>
        <v>PDPRU</v>
      </c>
      <c r="I4535" s="20">
        <f t="shared" si="212"/>
        <v>0</v>
      </c>
    </row>
    <row r="4536" spans="1:9">
      <c r="A4536" s="17" t="s">
        <v>1747</v>
      </c>
      <c r="B4536" s="17" t="s">
        <v>1796</v>
      </c>
      <c r="C4536" s="17">
        <v>0</v>
      </c>
      <c r="D4536" s="17" t="s">
        <v>801</v>
      </c>
      <c r="E4536" s="18">
        <v>3002530906002</v>
      </c>
      <c r="G4536" s="20" t="str">
        <f t="shared" si="210"/>
        <v xml:space="preserve"> FLAP            </v>
      </c>
      <c r="H4536" s="20" t="str">
        <f t="shared" si="211"/>
        <v>PERFW</v>
      </c>
      <c r="I4536" s="20">
        <f t="shared" si="212"/>
        <v>0</v>
      </c>
    </row>
    <row r="4537" spans="1:9">
      <c r="A4537" s="17" t="s">
        <v>1747</v>
      </c>
      <c r="B4537" s="17" t="s">
        <v>1394</v>
      </c>
      <c r="C4537" s="17">
        <v>0</v>
      </c>
      <c r="D4537" s="17" t="s">
        <v>801</v>
      </c>
      <c r="E4537" s="18">
        <v>3003730151001</v>
      </c>
      <c r="G4537" s="20" t="str">
        <f t="shared" si="210"/>
        <v xml:space="preserve"> FLAP            </v>
      </c>
      <c r="H4537" s="20" t="str">
        <f t="shared" si="211"/>
        <v xml:space="preserve">POIS </v>
      </c>
      <c r="I4537" s="20">
        <f t="shared" si="212"/>
        <v>0</v>
      </c>
    </row>
    <row r="4538" spans="1:9">
      <c r="A4538" s="17" t="s">
        <v>1747</v>
      </c>
      <c r="B4538" s="17" t="s">
        <v>1490</v>
      </c>
      <c r="C4538" s="17">
        <v>0</v>
      </c>
      <c r="D4538" s="17" t="s">
        <v>801</v>
      </c>
      <c r="E4538" s="18">
        <v>8056099179570</v>
      </c>
      <c r="G4538" s="20" t="str">
        <f t="shared" si="210"/>
        <v xml:space="preserve"> FLAP            </v>
      </c>
      <c r="H4538" s="20" t="str">
        <f t="shared" si="211"/>
        <v>POISR</v>
      </c>
      <c r="I4538" s="20">
        <f t="shared" si="212"/>
        <v>0</v>
      </c>
    </row>
    <row r="4539" spans="1:9">
      <c r="A4539" s="17" t="s">
        <v>1747</v>
      </c>
      <c r="B4539" s="17" t="s">
        <v>1397</v>
      </c>
      <c r="C4539" s="17">
        <v>0</v>
      </c>
      <c r="D4539" s="17" t="s">
        <v>801</v>
      </c>
      <c r="E4539" s="18">
        <v>3003730188007</v>
      </c>
      <c r="G4539" s="20" t="str">
        <f t="shared" si="210"/>
        <v xml:space="preserve"> FLAP            </v>
      </c>
      <c r="H4539" s="20" t="str">
        <f t="shared" si="211"/>
        <v xml:space="preserve">RAF  </v>
      </c>
      <c r="I4539" s="20">
        <f t="shared" si="212"/>
        <v>0</v>
      </c>
    </row>
    <row r="4540" spans="1:9">
      <c r="A4540" s="17" t="s">
        <v>1747</v>
      </c>
      <c r="B4540" s="17" t="s">
        <v>1739</v>
      </c>
      <c r="C4540" s="17">
        <v>0</v>
      </c>
      <c r="D4540" s="17" t="s">
        <v>801</v>
      </c>
      <c r="E4540" s="18">
        <v>3002530788004</v>
      </c>
      <c r="G4540" s="20" t="str">
        <f t="shared" si="210"/>
        <v xml:space="preserve"> FLAP            </v>
      </c>
      <c r="H4540" s="20" t="str">
        <f t="shared" si="211"/>
        <v>RAFAC</v>
      </c>
      <c r="I4540" s="20">
        <f t="shared" si="212"/>
        <v>0</v>
      </c>
    </row>
    <row r="4541" spans="1:9">
      <c r="A4541" s="17" t="s">
        <v>1747</v>
      </c>
      <c r="B4541" s="17" t="s">
        <v>1278</v>
      </c>
      <c r="C4541" s="17">
        <v>0</v>
      </c>
      <c r="D4541" s="17" t="s">
        <v>801</v>
      </c>
      <c r="E4541" s="18">
        <v>3002530758007</v>
      </c>
      <c r="G4541" s="20" t="str">
        <f t="shared" si="210"/>
        <v xml:space="preserve"> FLAP            </v>
      </c>
      <c r="H4541" s="20" t="str">
        <f t="shared" si="211"/>
        <v>RAFBR</v>
      </c>
      <c r="I4541" s="20">
        <f t="shared" si="212"/>
        <v>0</v>
      </c>
    </row>
    <row r="4542" spans="1:9">
      <c r="A4542" s="17" t="s">
        <v>1747</v>
      </c>
      <c r="B4542" s="17" t="s">
        <v>1742</v>
      </c>
      <c r="C4542" s="17">
        <v>0</v>
      </c>
      <c r="D4542" s="17" t="s">
        <v>801</v>
      </c>
      <c r="E4542" s="18">
        <v>3002530789001</v>
      </c>
      <c r="G4542" s="20" t="str">
        <f t="shared" si="210"/>
        <v xml:space="preserve"> FLAP            </v>
      </c>
      <c r="H4542" s="20" t="str">
        <f t="shared" si="211"/>
        <v>RAFPA</v>
      </c>
      <c r="I4542" s="20">
        <f t="shared" si="212"/>
        <v>0</v>
      </c>
    </row>
    <row r="4543" spans="1:9">
      <c r="A4543" s="17" t="s">
        <v>1747</v>
      </c>
      <c r="B4543" s="17" t="s">
        <v>1399</v>
      </c>
      <c r="C4543" s="17">
        <v>0</v>
      </c>
      <c r="D4543" s="17" t="s">
        <v>801</v>
      </c>
      <c r="E4543" s="18">
        <v>8056099171697</v>
      </c>
      <c r="G4543" s="20" t="str">
        <f t="shared" si="210"/>
        <v xml:space="preserve"> FLAP            </v>
      </c>
      <c r="H4543" s="20" t="str">
        <f t="shared" si="211"/>
        <v>RIVBL</v>
      </c>
      <c r="I4543" s="20">
        <f t="shared" si="212"/>
        <v>0</v>
      </c>
    </row>
    <row r="4544" spans="1:9">
      <c r="A4544" s="17" t="s">
        <v>1747</v>
      </c>
      <c r="B4544" s="17" t="s">
        <v>1399</v>
      </c>
      <c r="C4544" s="17">
        <v>0</v>
      </c>
      <c r="D4544" s="17" t="s">
        <v>801</v>
      </c>
      <c r="E4544" s="18">
        <v>3002531207009</v>
      </c>
      <c r="G4544" s="20" t="str">
        <f t="shared" si="210"/>
        <v xml:space="preserve"> FLAP            </v>
      </c>
      <c r="H4544" s="20" t="str">
        <f t="shared" si="211"/>
        <v>RIVBL</v>
      </c>
      <c r="I4544" s="20">
        <f t="shared" si="212"/>
        <v>0</v>
      </c>
    </row>
    <row r="4545" spans="1:9">
      <c r="A4545" s="17" t="s">
        <v>1747</v>
      </c>
      <c r="B4545" s="17" t="s">
        <v>1400</v>
      </c>
      <c r="C4545" s="17">
        <v>0</v>
      </c>
      <c r="D4545" s="17" t="s">
        <v>801</v>
      </c>
      <c r="E4545" s="18">
        <v>8056099171673</v>
      </c>
      <c r="G4545" s="20" t="str">
        <f t="shared" si="210"/>
        <v xml:space="preserve"> FLAP            </v>
      </c>
      <c r="H4545" s="20" t="str">
        <f t="shared" si="211"/>
        <v>RIVJA</v>
      </c>
      <c r="I4545" s="20">
        <f t="shared" si="212"/>
        <v>0</v>
      </c>
    </row>
    <row r="4546" spans="1:9">
      <c r="A4546" s="17" t="s">
        <v>1747</v>
      </c>
      <c r="B4546" s="17" t="s">
        <v>1401</v>
      </c>
      <c r="C4546" s="17">
        <v>0</v>
      </c>
      <c r="D4546" s="17" t="s">
        <v>801</v>
      </c>
      <c r="E4546" s="18">
        <v>8056099171680</v>
      </c>
      <c r="G4546" s="20" t="str">
        <f t="shared" si="210"/>
        <v xml:space="preserve"> FLAP            </v>
      </c>
      <c r="H4546" s="20" t="str">
        <f t="shared" si="211"/>
        <v>RIVRO</v>
      </c>
      <c r="I4546" s="20">
        <f t="shared" si="212"/>
        <v>0</v>
      </c>
    </row>
    <row r="4547" spans="1:9">
      <c r="A4547" s="17" t="s">
        <v>1747</v>
      </c>
      <c r="B4547" s="17" t="s">
        <v>1401</v>
      </c>
      <c r="C4547" s="17">
        <v>0</v>
      </c>
      <c r="D4547" s="17" t="s">
        <v>801</v>
      </c>
      <c r="E4547" s="18">
        <v>3002531205005</v>
      </c>
      <c r="G4547" s="20" t="str">
        <f t="shared" si="210"/>
        <v xml:space="preserve"> FLAP            </v>
      </c>
      <c r="H4547" s="20" t="str">
        <f t="shared" si="211"/>
        <v>RIVRO</v>
      </c>
      <c r="I4547" s="20">
        <f t="shared" si="212"/>
        <v>0</v>
      </c>
    </row>
    <row r="4548" spans="1:9">
      <c r="A4548" s="17" t="s">
        <v>1747</v>
      </c>
      <c r="B4548" s="17" t="s">
        <v>1797</v>
      </c>
      <c r="C4548" s="17">
        <v>0</v>
      </c>
      <c r="D4548" s="17" t="s">
        <v>801</v>
      </c>
      <c r="E4548" s="18">
        <v>8056099171727</v>
      </c>
      <c r="G4548" s="20" t="str">
        <f t="shared" si="210"/>
        <v xml:space="preserve"> FLAP            </v>
      </c>
      <c r="H4548" s="20" t="str">
        <f t="shared" si="211"/>
        <v>SAKAC</v>
      </c>
      <c r="I4548" s="20">
        <f t="shared" si="212"/>
        <v>0</v>
      </c>
    </row>
    <row r="4549" spans="1:9">
      <c r="A4549" s="17" t="s">
        <v>1747</v>
      </c>
      <c r="B4549" s="17" t="s">
        <v>1798</v>
      </c>
      <c r="C4549" s="17">
        <v>0</v>
      </c>
      <c r="D4549" s="17" t="s">
        <v>801</v>
      </c>
      <c r="E4549" s="18">
        <v>3002531150008</v>
      </c>
      <c r="G4549" s="20" t="str">
        <f t="shared" ref="G4549:G4612" si="213">A4549</f>
        <v xml:space="preserve"> FLAP            </v>
      </c>
      <c r="H4549" s="20" t="str">
        <f t="shared" ref="H4549:H4612" si="214">B4549</f>
        <v>SLIBL</v>
      </c>
      <c r="I4549" s="20">
        <f t="shared" ref="I4549:I4612" si="215">C4549</f>
        <v>0</v>
      </c>
    </row>
    <row r="4550" spans="1:9">
      <c r="A4550" s="17" t="s">
        <v>1747</v>
      </c>
      <c r="B4550" s="17" t="s">
        <v>1798</v>
      </c>
      <c r="C4550" s="17">
        <v>0</v>
      </c>
      <c r="D4550" s="17" t="s">
        <v>801</v>
      </c>
      <c r="E4550" s="18">
        <v>8056095064320</v>
      </c>
      <c r="G4550" s="20" t="str">
        <f t="shared" si="213"/>
        <v xml:space="preserve"> FLAP            </v>
      </c>
      <c r="H4550" s="20" t="str">
        <f t="shared" si="214"/>
        <v>SLIBL</v>
      </c>
      <c r="I4550" s="20">
        <f t="shared" si="215"/>
        <v>0</v>
      </c>
    </row>
    <row r="4551" spans="1:9">
      <c r="A4551" s="17" t="s">
        <v>1747</v>
      </c>
      <c r="B4551" s="17" t="s">
        <v>1799</v>
      </c>
      <c r="C4551" s="17">
        <v>0</v>
      </c>
      <c r="D4551" s="17" t="s">
        <v>801</v>
      </c>
      <c r="E4551" s="18">
        <v>3002531149002</v>
      </c>
      <c r="G4551" s="20" t="str">
        <f t="shared" si="213"/>
        <v xml:space="preserve"> FLAP            </v>
      </c>
      <c r="H4551" s="20" t="str">
        <f t="shared" si="214"/>
        <v>SLIGL</v>
      </c>
      <c r="I4551" s="20">
        <f t="shared" si="215"/>
        <v>0</v>
      </c>
    </row>
    <row r="4552" spans="1:9">
      <c r="A4552" s="17" t="s">
        <v>1747</v>
      </c>
      <c r="B4552" s="17" t="s">
        <v>1799</v>
      </c>
      <c r="C4552" s="17">
        <v>0</v>
      </c>
      <c r="D4552" s="17" t="s">
        <v>801</v>
      </c>
      <c r="E4552" s="18">
        <v>8056095064313</v>
      </c>
      <c r="G4552" s="20" t="str">
        <f t="shared" si="213"/>
        <v xml:space="preserve"> FLAP            </v>
      </c>
      <c r="H4552" s="20" t="str">
        <f t="shared" si="214"/>
        <v>SLIGL</v>
      </c>
      <c r="I4552" s="20">
        <f t="shared" si="215"/>
        <v>0</v>
      </c>
    </row>
    <row r="4553" spans="1:9">
      <c r="A4553" s="17" t="s">
        <v>1747</v>
      </c>
      <c r="B4553" s="17" t="s">
        <v>1800</v>
      </c>
      <c r="C4553" s="17">
        <v>0</v>
      </c>
      <c r="D4553" s="17" t="s">
        <v>801</v>
      </c>
      <c r="E4553" s="18">
        <v>3002531148005</v>
      </c>
      <c r="G4553" s="20" t="str">
        <f t="shared" si="213"/>
        <v xml:space="preserve"> FLAP            </v>
      </c>
      <c r="H4553" s="20" t="str">
        <f t="shared" si="214"/>
        <v>SLISA</v>
      </c>
      <c r="I4553" s="20">
        <f t="shared" si="215"/>
        <v>0</v>
      </c>
    </row>
    <row r="4554" spans="1:9">
      <c r="A4554" s="17" t="s">
        <v>1747</v>
      </c>
      <c r="B4554" s="17" t="s">
        <v>1800</v>
      </c>
      <c r="C4554" s="17">
        <v>0</v>
      </c>
      <c r="D4554" s="17" t="s">
        <v>801</v>
      </c>
      <c r="E4554" s="18">
        <v>8056095064306</v>
      </c>
      <c r="G4554" s="20" t="str">
        <f t="shared" si="213"/>
        <v xml:space="preserve"> FLAP            </v>
      </c>
      <c r="H4554" s="20" t="str">
        <f t="shared" si="214"/>
        <v>SLISA</v>
      </c>
      <c r="I4554" s="20">
        <f t="shared" si="215"/>
        <v>0</v>
      </c>
    </row>
    <row r="4555" spans="1:9">
      <c r="A4555" s="17" t="s">
        <v>1747</v>
      </c>
      <c r="B4555" s="17" t="s">
        <v>957</v>
      </c>
      <c r="C4555" s="17">
        <v>0</v>
      </c>
      <c r="D4555" s="17" t="s">
        <v>801</v>
      </c>
      <c r="E4555" s="18">
        <v>3002530354001</v>
      </c>
      <c r="G4555" s="20" t="str">
        <f t="shared" si="213"/>
        <v xml:space="preserve"> FLAP            </v>
      </c>
      <c r="H4555" s="20" t="str">
        <f t="shared" si="214"/>
        <v>SUEDO</v>
      </c>
      <c r="I4555" s="20">
        <f t="shared" si="215"/>
        <v>0</v>
      </c>
    </row>
    <row r="4556" spans="1:9">
      <c r="A4556" s="17" t="s">
        <v>1747</v>
      </c>
      <c r="B4556" s="17" t="s">
        <v>1408</v>
      </c>
      <c r="C4556" s="17">
        <v>0</v>
      </c>
      <c r="D4556" s="17" t="s">
        <v>801</v>
      </c>
      <c r="E4556" s="18">
        <v>3002530372005</v>
      </c>
      <c r="G4556" s="20" t="str">
        <f t="shared" si="213"/>
        <v xml:space="preserve"> FLAP            </v>
      </c>
      <c r="H4556" s="20" t="str">
        <f t="shared" si="214"/>
        <v>SUENA</v>
      </c>
      <c r="I4556" s="20">
        <f t="shared" si="215"/>
        <v>0</v>
      </c>
    </row>
    <row r="4557" spans="1:9">
      <c r="A4557" s="17" t="s">
        <v>1747</v>
      </c>
      <c r="B4557" s="17" t="s">
        <v>1411</v>
      </c>
      <c r="C4557" s="17">
        <v>0</v>
      </c>
      <c r="D4557" s="17" t="s">
        <v>801</v>
      </c>
      <c r="E4557" s="18">
        <v>3002531110002</v>
      </c>
      <c r="G4557" s="20" t="str">
        <f t="shared" si="213"/>
        <v xml:space="preserve"> FLAP            </v>
      </c>
      <c r="H4557" s="20" t="str">
        <f t="shared" si="214"/>
        <v>SWING</v>
      </c>
      <c r="I4557" s="20">
        <f t="shared" si="215"/>
        <v>0</v>
      </c>
    </row>
    <row r="4558" spans="1:9">
      <c r="A4558" s="17" t="s">
        <v>1747</v>
      </c>
      <c r="B4558" s="17" t="s">
        <v>1411</v>
      </c>
      <c r="C4558" s="17">
        <v>0</v>
      </c>
      <c r="D4558" s="17" t="s">
        <v>801</v>
      </c>
      <c r="E4558" s="18">
        <v>8056095064023</v>
      </c>
      <c r="G4558" s="20" t="str">
        <f t="shared" si="213"/>
        <v xml:space="preserve"> FLAP            </v>
      </c>
      <c r="H4558" s="20" t="str">
        <f t="shared" si="214"/>
        <v>SWING</v>
      </c>
      <c r="I4558" s="20">
        <f t="shared" si="215"/>
        <v>0</v>
      </c>
    </row>
    <row r="4559" spans="1:9">
      <c r="A4559" s="17" t="s">
        <v>1747</v>
      </c>
      <c r="B4559" s="17" t="s">
        <v>1412</v>
      </c>
      <c r="C4559" s="17">
        <v>0</v>
      </c>
      <c r="D4559" s="17" t="s">
        <v>801</v>
      </c>
      <c r="E4559" s="18">
        <v>3003730222008</v>
      </c>
      <c r="G4559" s="20" t="str">
        <f t="shared" si="213"/>
        <v xml:space="preserve"> FLAP            </v>
      </c>
      <c r="H4559" s="20" t="str">
        <f t="shared" si="214"/>
        <v>TOIBL</v>
      </c>
      <c r="I4559" s="20">
        <f t="shared" si="215"/>
        <v>0</v>
      </c>
    </row>
    <row r="4560" spans="1:9">
      <c r="A4560" s="17" t="s">
        <v>1747</v>
      </c>
      <c r="B4560" s="17" t="s">
        <v>1413</v>
      </c>
      <c r="C4560" s="17">
        <v>0</v>
      </c>
      <c r="D4560" s="17" t="s">
        <v>801</v>
      </c>
      <c r="E4560" s="18">
        <v>3003730223005</v>
      </c>
      <c r="G4560" s="20" t="str">
        <f t="shared" si="213"/>
        <v xml:space="preserve"> FLAP            </v>
      </c>
      <c r="H4560" s="20" t="str">
        <f t="shared" si="214"/>
        <v>TOIFR</v>
      </c>
      <c r="I4560" s="20">
        <f t="shared" si="215"/>
        <v>0</v>
      </c>
    </row>
    <row r="4561" spans="1:9">
      <c r="A4561" s="17" t="s">
        <v>1747</v>
      </c>
      <c r="B4561" s="17" t="s">
        <v>1414</v>
      </c>
      <c r="C4561" s="17">
        <v>0</v>
      </c>
      <c r="D4561" s="17" t="s">
        <v>801</v>
      </c>
      <c r="E4561" s="18">
        <v>3003730224002</v>
      </c>
      <c r="G4561" s="20" t="str">
        <f t="shared" si="213"/>
        <v xml:space="preserve"> FLAP            </v>
      </c>
      <c r="H4561" s="20" t="str">
        <f t="shared" si="214"/>
        <v>TOISO</v>
      </c>
      <c r="I4561" s="20">
        <f t="shared" si="215"/>
        <v>0</v>
      </c>
    </row>
    <row r="4562" spans="1:9">
      <c r="A4562" s="17" t="s">
        <v>1747</v>
      </c>
      <c r="B4562" s="17" t="s">
        <v>1801</v>
      </c>
      <c r="C4562" s="17">
        <v>0</v>
      </c>
      <c r="D4562" s="17" t="s">
        <v>801</v>
      </c>
      <c r="E4562" s="18">
        <v>3003730189004</v>
      </c>
      <c r="G4562" s="20" t="str">
        <f t="shared" si="213"/>
        <v xml:space="preserve"> FLAP            </v>
      </c>
      <c r="H4562" s="20" t="str">
        <f t="shared" si="214"/>
        <v xml:space="preserve">TRES </v>
      </c>
      <c r="I4562" s="20">
        <f t="shared" si="215"/>
        <v>0</v>
      </c>
    </row>
    <row r="4563" spans="1:9">
      <c r="A4563" s="17" t="s">
        <v>1747</v>
      </c>
      <c r="B4563" s="17" t="s">
        <v>1167</v>
      </c>
      <c r="C4563" s="17">
        <v>0</v>
      </c>
      <c r="D4563" s="17" t="s">
        <v>801</v>
      </c>
      <c r="E4563" s="18">
        <v>8058983599037</v>
      </c>
      <c r="G4563" s="20" t="str">
        <f t="shared" si="213"/>
        <v xml:space="preserve"> FLAP            </v>
      </c>
      <c r="H4563" s="20" t="str">
        <f t="shared" si="214"/>
        <v>TWEGR</v>
      </c>
      <c r="I4563" s="20">
        <f t="shared" si="215"/>
        <v>0</v>
      </c>
    </row>
    <row r="4564" spans="1:9">
      <c r="A4564" s="17" t="s">
        <v>1747</v>
      </c>
      <c r="B4564" s="17" t="s">
        <v>1167</v>
      </c>
      <c r="C4564" s="17">
        <v>0</v>
      </c>
      <c r="D4564" s="17" t="s">
        <v>801</v>
      </c>
      <c r="E4564" s="18">
        <v>3003730554000</v>
      </c>
      <c r="G4564" s="20" t="str">
        <f t="shared" si="213"/>
        <v xml:space="preserve"> FLAP            </v>
      </c>
      <c r="H4564" s="20" t="str">
        <f t="shared" si="214"/>
        <v>TWEGR</v>
      </c>
      <c r="I4564" s="20">
        <f t="shared" si="215"/>
        <v>0</v>
      </c>
    </row>
    <row r="4565" spans="1:9">
      <c r="A4565" s="17" t="s">
        <v>1747</v>
      </c>
      <c r="B4565" s="17" t="s">
        <v>1802</v>
      </c>
      <c r="C4565" s="17">
        <v>0</v>
      </c>
      <c r="D4565" s="17" t="s">
        <v>801</v>
      </c>
      <c r="E4565" s="18">
        <v>8058983599020</v>
      </c>
      <c r="G4565" s="20" t="str">
        <f t="shared" si="213"/>
        <v xml:space="preserve"> FLAP            </v>
      </c>
      <c r="H4565" s="20" t="str">
        <f t="shared" si="214"/>
        <v>TWEVE</v>
      </c>
      <c r="I4565" s="20">
        <f t="shared" si="215"/>
        <v>0</v>
      </c>
    </row>
    <row r="4566" spans="1:9">
      <c r="A4566" s="17" t="s">
        <v>1747</v>
      </c>
      <c r="B4566" s="17" t="s">
        <v>1802</v>
      </c>
      <c r="C4566" s="17">
        <v>0</v>
      </c>
      <c r="D4566" s="17" t="s">
        <v>801</v>
      </c>
      <c r="E4566" s="18">
        <v>3003730642004</v>
      </c>
      <c r="G4566" s="20" t="str">
        <f t="shared" si="213"/>
        <v xml:space="preserve"> FLAP            </v>
      </c>
      <c r="H4566" s="20" t="str">
        <f t="shared" si="214"/>
        <v>TWEVE</v>
      </c>
      <c r="I4566" s="20">
        <f t="shared" si="215"/>
        <v>0</v>
      </c>
    </row>
    <row r="4567" spans="1:9">
      <c r="A4567" s="17" t="s">
        <v>1747</v>
      </c>
      <c r="B4567" s="17" t="s">
        <v>1416</v>
      </c>
      <c r="C4567" s="17">
        <v>0</v>
      </c>
      <c r="D4567" s="17" t="s">
        <v>801</v>
      </c>
      <c r="E4567" s="18">
        <v>3003730153005</v>
      </c>
      <c r="G4567" s="20" t="str">
        <f t="shared" si="213"/>
        <v xml:space="preserve"> FLAP            </v>
      </c>
      <c r="H4567" s="20" t="str">
        <f t="shared" si="214"/>
        <v>TWILL</v>
      </c>
      <c r="I4567" s="20">
        <f t="shared" si="215"/>
        <v>0</v>
      </c>
    </row>
    <row r="4568" spans="1:9">
      <c r="A4568" s="17" t="s">
        <v>1747</v>
      </c>
      <c r="B4568" s="17" t="s">
        <v>1629</v>
      </c>
      <c r="C4568" s="17">
        <v>0</v>
      </c>
      <c r="D4568" s="17" t="s">
        <v>801</v>
      </c>
      <c r="E4568" s="18">
        <v>3003730187000</v>
      </c>
      <c r="G4568" s="20" t="str">
        <f t="shared" si="213"/>
        <v xml:space="preserve"> FLAP            </v>
      </c>
      <c r="H4568" s="20" t="str">
        <f t="shared" si="214"/>
        <v xml:space="preserve">VAG  </v>
      </c>
      <c r="I4568" s="20">
        <f t="shared" si="215"/>
        <v>0</v>
      </c>
    </row>
    <row r="4569" spans="1:9">
      <c r="A4569" s="17" t="s">
        <v>1747</v>
      </c>
      <c r="B4569" s="17" t="s">
        <v>1496</v>
      </c>
      <c r="C4569" s="17">
        <v>0</v>
      </c>
      <c r="D4569" s="17" t="s">
        <v>801</v>
      </c>
      <c r="E4569" s="18">
        <v>3003730156006</v>
      </c>
      <c r="G4569" s="20" t="str">
        <f t="shared" si="213"/>
        <v xml:space="preserve"> FLAP            </v>
      </c>
      <c r="H4569" s="20" t="str">
        <f t="shared" si="214"/>
        <v xml:space="preserve">VEL  </v>
      </c>
      <c r="I4569" s="20">
        <f t="shared" si="215"/>
        <v>0</v>
      </c>
    </row>
    <row r="4570" spans="1:9">
      <c r="A4570" s="17" t="s">
        <v>1747</v>
      </c>
      <c r="B4570" s="17" t="s">
        <v>1417</v>
      </c>
      <c r="C4570" s="17">
        <v>0</v>
      </c>
      <c r="D4570" s="17" t="s">
        <v>801</v>
      </c>
      <c r="E4570" s="18">
        <v>8056099177620</v>
      </c>
      <c r="G4570" s="20" t="str">
        <f t="shared" si="213"/>
        <v xml:space="preserve"> FLAP            </v>
      </c>
      <c r="H4570" s="20" t="str">
        <f t="shared" si="214"/>
        <v>VELAI</v>
      </c>
      <c r="I4570" s="20">
        <f t="shared" si="215"/>
        <v>0</v>
      </c>
    </row>
    <row r="4571" spans="1:9">
      <c r="A4571" s="17" t="s">
        <v>1747</v>
      </c>
      <c r="B4571" s="17" t="s">
        <v>1043</v>
      </c>
      <c r="C4571" s="17">
        <v>0</v>
      </c>
      <c r="D4571" s="17" t="s">
        <v>801</v>
      </c>
      <c r="E4571" s="18">
        <v>8056099177675</v>
      </c>
      <c r="G4571" s="20" t="str">
        <f t="shared" si="213"/>
        <v xml:space="preserve"> FLAP            </v>
      </c>
      <c r="H4571" s="20" t="str">
        <f t="shared" si="214"/>
        <v>VELBL</v>
      </c>
      <c r="I4571" s="20">
        <f t="shared" si="215"/>
        <v>0</v>
      </c>
    </row>
    <row r="4572" spans="1:9">
      <c r="A4572" s="17" t="s">
        <v>1747</v>
      </c>
      <c r="B4572" s="17" t="s">
        <v>920</v>
      </c>
      <c r="C4572" s="17">
        <v>0</v>
      </c>
      <c r="D4572" s="17" t="s">
        <v>801</v>
      </c>
      <c r="E4572" s="18">
        <v>3003730220004</v>
      </c>
      <c r="G4572" s="20" t="str">
        <f t="shared" si="213"/>
        <v xml:space="preserve"> FLAP            </v>
      </c>
      <c r="H4572" s="20" t="str">
        <f t="shared" si="214"/>
        <v>VERBL</v>
      </c>
      <c r="I4572" s="20">
        <f t="shared" si="215"/>
        <v>0</v>
      </c>
    </row>
    <row r="4573" spans="1:9">
      <c r="A4573" s="17" t="s">
        <v>1747</v>
      </c>
      <c r="B4573" s="17" t="s">
        <v>844</v>
      </c>
      <c r="C4573" s="17">
        <v>0</v>
      </c>
      <c r="D4573" s="17" t="s">
        <v>801</v>
      </c>
      <c r="E4573" s="18">
        <v>3002530715000</v>
      </c>
      <c r="G4573" s="20" t="str">
        <f t="shared" si="213"/>
        <v xml:space="preserve"> FLAP            </v>
      </c>
      <c r="H4573" s="20" t="str">
        <f t="shared" si="214"/>
        <v>VERCI</v>
      </c>
      <c r="I4573" s="20">
        <f t="shared" si="215"/>
        <v>0</v>
      </c>
    </row>
    <row r="4574" spans="1:9">
      <c r="A4574" s="17" t="s">
        <v>1747</v>
      </c>
      <c r="B4574" s="17" t="s">
        <v>922</v>
      </c>
      <c r="C4574" s="17">
        <v>0</v>
      </c>
      <c r="D4574" s="17" t="s">
        <v>801</v>
      </c>
      <c r="E4574" s="18">
        <v>3003730367006</v>
      </c>
      <c r="G4574" s="20" t="str">
        <f t="shared" si="213"/>
        <v xml:space="preserve"> FLAP            </v>
      </c>
      <c r="H4574" s="20" t="str">
        <f t="shared" si="214"/>
        <v>VERNO</v>
      </c>
      <c r="I4574" s="20">
        <f t="shared" si="215"/>
        <v>0</v>
      </c>
    </row>
    <row r="4575" spans="1:9">
      <c r="A4575" s="17" t="s">
        <v>1747</v>
      </c>
      <c r="B4575" s="17" t="s">
        <v>845</v>
      </c>
      <c r="C4575" s="17">
        <v>0</v>
      </c>
      <c r="D4575" s="17" t="s">
        <v>801</v>
      </c>
      <c r="E4575" s="18">
        <v>3002530714003</v>
      </c>
      <c r="G4575" s="20" t="str">
        <f t="shared" si="213"/>
        <v xml:space="preserve"> FLAP            </v>
      </c>
      <c r="H4575" s="20" t="str">
        <f t="shared" si="214"/>
        <v>VERRO</v>
      </c>
      <c r="I4575" s="20">
        <f t="shared" si="215"/>
        <v>0</v>
      </c>
    </row>
    <row r="4576" spans="1:9">
      <c r="A4576" s="17" t="s">
        <v>1747</v>
      </c>
      <c r="B4576" s="17" t="s">
        <v>1418</v>
      </c>
      <c r="C4576" s="17">
        <v>0</v>
      </c>
      <c r="D4576" s="17" t="s">
        <v>801</v>
      </c>
      <c r="E4576" s="18">
        <v>3003730152008</v>
      </c>
      <c r="G4576" s="20" t="str">
        <f t="shared" si="213"/>
        <v xml:space="preserve"> FLAP            </v>
      </c>
      <c r="H4576" s="20" t="str">
        <f t="shared" si="214"/>
        <v xml:space="preserve">VINT </v>
      </c>
      <c r="I4576" s="20">
        <f t="shared" si="215"/>
        <v>0</v>
      </c>
    </row>
    <row r="4577" spans="1:9">
      <c r="A4577" s="17" t="s">
        <v>1803</v>
      </c>
      <c r="B4577" s="17" t="s">
        <v>1804</v>
      </c>
      <c r="C4577" s="17">
        <v>0</v>
      </c>
      <c r="D4577" s="17" t="s">
        <v>801</v>
      </c>
      <c r="E4577" s="18">
        <v>8050846019041</v>
      </c>
      <c r="G4577" s="20" t="str">
        <f t="shared" si="213"/>
        <v xml:space="preserve"> FLAPDISNEY      </v>
      </c>
      <c r="H4577" s="20" t="str">
        <f t="shared" si="214"/>
        <v>BLDOT</v>
      </c>
      <c r="I4577" s="20">
        <f t="shared" si="215"/>
        <v>0</v>
      </c>
    </row>
    <row r="4578" spans="1:9">
      <c r="A4578" s="17" t="s">
        <v>1803</v>
      </c>
      <c r="B4578" s="17" t="s">
        <v>1805</v>
      </c>
      <c r="C4578" s="17">
        <v>0</v>
      </c>
      <c r="D4578" s="17" t="s">
        <v>801</v>
      </c>
      <c r="E4578" s="18">
        <v>3005961480004</v>
      </c>
      <c r="G4578" s="20" t="str">
        <f t="shared" si="213"/>
        <v xml:space="preserve"> FLAPDISNEY      </v>
      </c>
      <c r="H4578" s="20" t="str">
        <f t="shared" si="214"/>
        <v>DAIAZ</v>
      </c>
      <c r="I4578" s="20">
        <f t="shared" si="215"/>
        <v>0</v>
      </c>
    </row>
    <row r="4579" spans="1:9">
      <c r="A4579" s="17" t="s">
        <v>1803</v>
      </c>
      <c r="B4579" s="17" t="s">
        <v>1805</v>
      </c>
      <c r="C4579" s="17">
        <v>0</v>
      </c>
      <c r="D4579" s="17" t="s">
        <v>801</v>
      </c>
      <c r="E4579" s="18">
        <v>8050846007529</v>
      </c>
      <c r="G4579" s="20" t="str">
        <f t="shared" si="213"/>
        <v xml:space="preserve"> FLAPDISNEY      </v>
      </c>
      <c r="H4579" s="20" t="str">
        <f t="shared" si="214"/>
        <v>DAIAZ</v>
      </c>
      <c r="I4579" s="20">
        <f t="shared" si="215"/>
        <v>0</v>
      </c>
    </row>
    <row r="4580" spans="1:9">
      <c r="A4580" s="17" t="s">
        <v>1803</v>
      </c>
      <c r="B4580" s="17" t="s">
        <v>1806</v>
      </c>
      <c r="C4580" s="17">
        <v>0</v>
      </c>
      <c r="D4580" s="17" t="s">
        <v>801</v>
      </c>
      <c r="E4580" s="18">
        <v>3005961474003</v>
      </c>
      <c r="G4580" s="20" t="str">
        <f t="shared" si="213"/>
        <v xml:space="preserve"> FLAPDISNEY      </v>
      </c>
      <c r="H4580" s="20" t="str">
        <f t="shared" si="214"/>
        <v>DAIRA</v>
      </c>
      <c r="I4580" s="20">
        <f t="shared" si="215"/>
        <v>0</v>
      </c>
    </row>
    <row r="4581" spans="1:9">
      <c r="A4581" s="17" t="s">
        <v>1803</v>
      </c>
      <c r="B4581" s="17" t="s">
        <v>1806</v>
      </c>
      <c r="C4581" s="17">
        <v>0</v>
      </c>
      <c r="D4581" s="17" t="s">
        <v>801</v>
      </c>
      <c r="E4581" s="18">
        <v>8050846007444</v>
      </c>
      <c r="G4581" s="20" t="str">
        <f t="shared" si="213"/>
        <v xml:space="preserve"> FLAPDISNEY      </v>
      </c>
      <c r="H4581" s="20" t="str">
        <f t="shared" si="214"/>
        <v>DAIRA</v>
      </c>
      <c r="I4581" s="20">
        <f t="shared" si="215"/>
        <v>0</v>
      </c>
    </row>
    <row r="4582" spans="1:9">
      <c r="A4582" s="17" t="s">
        <v>1803</v>
      </c>
      <c r="B4582" s="17" t="s">
        <v>1807</v>
      </c>
      <c r="C4582" s="17">
        <v>0</v>
      </c>
      <c r="D4582" s="17" t="s">
        <v>801</v>
      </c>
      <c r="E4582" s="18">
        <v>3005961481001</v>
      </c>
      <c r="G4582" s="20" t="str">
        <f t="shared" si="213"/>
        <v xml:space="preserve"> FLAPDISNEY      </v>
      </c>
      <c r="H4582" s="20" t="str">
        <f t="shared" si="214"/>
        <v>DAIRO</v>
      </c>
      <c r="I4582" s="20">
        <f t="shared" si="215"/>
        <v>0</v>
      </c>
    </row>
    <row r="4583" spans="1:9">
      <c r="A4583" s="17" t="s">
        <v>1803</v>
      </c>
      <c r="B4583" s="17" t="s">
        <v>1807</v>
      </c>
      <c r="C4583" s="17">
        <v>0</v>
      </c>
      <c r="D4583" s="17" t="s">
        <v>801</v>
      </c>
      <c r="E4583" s="18">
        <v>8050846007499</v>
      </c>
      <c r="G4583" s="20" t="str">
        <f t="shared" si="213"/>
        <v xml:space="preserve"> FLAPDISNEY      </v>
      </c>
      <c r="H4583" s="20" t="str">
        <f t="shared" si="214"/>
        <v>DAIRO</v>
      </c>
      <c r="I4583" s="20">
        <f t="shared" si="215"/>
        <v>0</v>
      </c>
    </row>
    <row r="4584" spans="1:9">
      <c r="A4584" s="17" t="s">
        <v>1803</v>
      </c>
      <c r="B4584" s="17" t="s">
        <v>1808</v>
      </c>
      <c r="C4584" s="17">
        <v>0</v>
      </c>
      <c r="D4584" s="17" t="s">
        <v>801</v>
      </c>
      <c r="E4584" s="18">
        <v>8050846019034</v>
      </c>
      <c r="G4584" s="20" t="str">
        <f t="shared" si="213"/>
        <v xml:space="preserve"> FLAPDISNEY      </v>
      </c>
      <c r="H4584" s="20" t="str">
        <f t="shared" si="214"/>
        <v>ECOMI</v>
      </c>
      <c r="I4584" s="20">
        <f t="shared" si="215"/>
        <v>0</v>
      </c>
    </row>
    <row r="4585" spans="1:9">
      <c r="A4585" s="17" t="s">
        <v>1803</v>
      </c>
      <c r="B4585" s="17" t="s">
        <v>1056</v>
      </c>
      <c r="C4585" s="17">
        <v>0</v>
      </c>
      <c r="D4585" s="17" t="s">
        <v>801</v>
      </c>
      <c r="E4585" s="18">
        <v>8050846019065</v>
      </c>
      <c r="G4585" s="20" t="str">
        <f t="shared" si="213"/>
        <v xml:space="preserve"> FLAPDISNEY      </v>
      </c>
      <c r="H4585" s="20" t="str">
        <f t="shared" si="214"/>
        <v>ECONO</v>
      </c>
      <c r="I4585" s="20">
        <f t="shared" si="215"/>
        <v>0</v>
      </c>
    </row>
    <row r="4586" spans="1:9">
      <c r="A4586" s="17" t="s">
        <v>1803</v>
      </c>
      <c r="B4586" s="17" t="s">
        <v>1809</v>
      </c>
      <c r="C4586" s="17">
        <v>0</v>
      </c>
      <c r="D4586" s="17" t="s">
        <v>801</v>
      </c>
      <c r="E4586" s="18">
        <v>3005961479008</v>
      </c>
      <c r="G4586" s="20" t="str">
        <f t="shared" si="213"/>
        <v xml:space="preserve"> FLAPDISNEY      </v>
      </c>
      <c r="H4586" s="20" t="str">
        <f t="shared" si="214"/>
        <v>MINAV</v>
      </c>
      <c r="I4586" s="20">
        <f t="shared" si="215"/>
        <v>0</v>
      </c>
    </row>
    <row r="4587" spans="1:9">
      <c r="A4587" s="17" t="s">
        <v>1803</v>
      </c>
      <c r="B4587" s="17" t="s">
        <v>1809</v>
      </c>
      <c r="C4587" s="17">
        <v>0</v>
      </c>
      <c r="D4587" s="17" t="s">
        <v>801</v>
      </c>
      <c r="E4587" s="18">
        <v>8050846007512</v>
      </c>
      <c r="G4587" s="20" t="str">
        <f t="shared" si="213"/>
        <v xml:space="preserve"> FLAPDISNEY      </v>
      </c>
      <c r="H4587" s="20" t="str">
        <f t="shared" si="214"/>
        <v>MINAV</v>
      </c>
      <c r="I4587" s="20">
        <f t="shared" si="215"/>
        <v>0</v>
      </c>
    </row>
    <row r="4588" spans="1:9">
      <c r="A4588" s="17" t="s">
        <v>1803</v>
      </c>
      <c r="B4588" s="17" t="s">
        <v>1810</v>
      </c>
      <c r="C4588" s="17">
        <v>0</v>
      </c>
      <c r="D4588" s="17" t="s">
        <v>801</v>
      </c>
      <c r="E4588" s="18">
        <v>3005961486006</v>
      </c>
      <c r="G4588" s="20" t="str">
        <f t="shared" si="213"/>
        <v xml:space="preserve"> FLAPDISNEY      </v>
      </c>
      <c r="H4588" s="20" t="str">
        <f t="shared" si="214"/>
        <v>MINBL</v>
      </c>
      <c r="I4588" s="20">
        <f t="shared" si="215"/>
        <v>0</v>
      </c>
    </row>
    <row r="4589" spans="1:9">
      <c r="A4589" s="17" t="s">
        <v>1803</v>
      </c>
      <c r="B4589" s="17" t="s">
        <v>1811</v>
      </c>
      <c r="C4589" s="17">
        <v>0</v>
      </c>
      <c r="D4589" s="17" t="s">
        <v>801</v>
      </c>
      <c r="E4589" s="18">
        <v>3005961482008</v>
      </c>
      <c r="G4589" s="20" t="str">
        <f t="shared" si="213"/>
        <v xml:space="preserve"> FLAPDISNEY      </v>
      </c>
      <c r="H4589" s="20" t="str">
        <f t="shared" si="214"/>
        <v>MINJA</v>
      </c>
      <c r="I4589" s="20">
        <f t="shared" si="215"/>
        <v>0</v>
      </c>
    </row>
    <row r="4590" spans="1:9">
      <c r="A4590" s="17" t="s">
        <v>1803</v>
      </c>
      <c r="B4590" s="17" t="s">
        <v>1811</v>
      </c>
      <c r="C4590" s="17">
        <v>0</v>
      </c>
      <c r="D4590" s="17" t="s">
        <v>801</v>
      </c>
      <c r="E4590" s="18">
        <v>8050846007505</v>
      </c>
      <c r="G4590" s="20" t="str">
        <f t="shared" si="213"/>
        <v xml:space="preserve"> FLAPDISNEY      </v>
      </c>
      <c r="H4590" s="20" t="str">
        <f t="shared" si="214"/>
        <v>MINJA</v>
      </c>
      <c r="I4590" s="20">
        <f t="shared" si="215"/>
        <v>0</v>
      </c>
    </row>
    <row r="4591" spans="1:9">
      <c r="A4591" s="17" t="s">
        <v>1803</v>
      </c>
      <c r="B4591" s="17" t="s">
        <v>1812</v>
      </c>
      <c r="C4591" s="17">
        <v>0</v>
      </c>
      <c r="D4591" s="17" t="s">
        <v>801</v>
      </c>
      <c r="E4591" s="18">
        <v>8050846019072</v>
      </c>
      <c r="G4591" s="20" t="str">
        <f t="shared" si="213"/>
        <v xml:space="preserve"> FLAPDISNEY      </v>
      </c>
      <c r="H4591" s="20" t="str">
        <f t="shared" si="214"/>
        <v>MINNE</v>
      </c>
      <c r="I4591" s="20">
        <f t="shared" si="215"/>
        <v>0</v>
      </c>
    </row>
    <row r="4592" spans="1:9">
      <c r="A4592" s="17" t="s">
        <v>1803</v>
      </c>
      <c r="B4592" s="17" t="s">
        <v>1813</v>
      </c>
      <c r="C4592" s="17">
        <v>0</v>
      </c>
      <c r="D4592" s="17" t="s">
        <v>801</v>
      </c>
      <c r="E4592" s="18">
        <v>3005961475000</v>
      </c>
      <c r="G4592" s="20" t="str">
        <f t="shared" si="213"/>
        <v xml:space="preserve"> FLAPDISNEY      </v>
      </c>
      <c r="H4592" s="20" t="str">
        <f t="shared" si="214"/>
        <v>MINRA</v>
      </c>
      <c r="I4592" s="20">
        <f t="shared" si="215"/>
        <v>0</v>
      </c>
    </row>
    <row r="4593" spans="1:9">
      <c r="A4593" s="17" t="s">
        <v>1803</v>
      </c>
      <c r="B4593" s="17" t="s">
        <v>1813</v>
      </c>
      <c r="C4593" s="17">
        <v>0</v>
      </c>
      <c r="D4593" s="17" t="s">
        <v>801</v>
      </c>
      <c r="E4593" s="18">
        <v>8050846007451</v>
      </c>
      <c r="G4593" s="20" t="str">
        <f t="shared" si="213"/>
        <v xml:space="preserve"> FLAPDISNEY      </v>
      </c>
      <c r="H4593" s="20" t="str">
        <f t="shared" si="214"/>
        <v>MINRA</v>
      </c>
      <c r="I4593" s="20">
        <f t="shared" si="215"/>
        <v>0</v>
      </c>
    </row>
    <row r="4594" spans="1:9">
      <c r="A4594" s="17" t="s">
        <v>1803</v>
      </c>
      <c r="B4594" s="17" t="s">
        <v>1814</v>
      </c>
      <c r="C4594" s="17">
        <v>0</v>
      </c>
      <c r="D4594" s="17" t="s">
        <v>801</v>
      </c>
      <c r="E4594" s="18">
        <v>8050846019089</v>
      </c>
      <c r="G4594" s="20" t="str">
        <f t="shared" si="213"/>
        <v xml:space="preserve"> FLAPDISNEY      </v>
      </c>
      <c r="H4594" s="20" t="str">
        <f t="shared" si="214"/>
        <v>MINRE</v>
      </c>
      <c r="I4594" s="20">
        <f t="shared" si="215"/>
        <v>0</v>
      </c>
    </row>
    <row r="4595" spans="1:9">
      <c r="A4595" s="17" t="s">
        <v>1803</v>
      </c>
      <c r="B4595" s="17" t="s">
        <v>1815</v>
      </c>
      <c r="C4595" s="17">
        <v>0</v>
      </c>
      <c r="D4595" s="17" t="s">
        <v>801</v>
      </c>
      <c r="E4595" s="18">
        <v>3005961477004</v>
      </c>
      <c r="G4595" s="20" t="str">
        <f t="shared" si="213"/>
        <v xml:space="preserve"> FLAPDISNEY      </v>
      </c>
      <c r="H4595" s="20" t="str">
        <f t="shared" si="214"/>
        <v>NOROS</v>
      </c>
      <c r="I4595" s="20">
        <f t="shared" si="215"/>
        <v>0</v>
      </c>
    </row>
    <row r="4596" spans="1:9">
      <c r="A4596" s="17" t="s">
        <v>1803</v>
      </c>
      <c r="B4596" s="17" t="s">
        <v>1815</v>
      </c>
      <c r="C4596" s="17">
        <v>0</v>
      </c>
      <c r="D4596" s="17" t="s">
        <v>801</v>
      </c>
      <c r="E4596" s="18">
        <v>8050846007475</v>
      </c>
      <c r="G4596" s="20" t="str">
        <f t="shared" si="213"/>
        <v xml:space="preserve"> FLAPDISNEY      </v>
      </c>
      <c r="H4596" s="20" t="str">
        <f t="shared" si="214"/>
        <v>NOROS</v>
      </c>
      <c r="I4596" s="20">
        <f t="shared" si="215"/>
        <v>0</v>
      </c>
    </row>
    <row r="4597" spans="1:9">
      <c r="A4597" s="17" t="s">
        <v>1803</v>
      </c>
      <c r="B4597" s="17" t="s">
        <v>1816</v>
      </c>
      <c r="C4597" s="17">
        <v>0</v>
      </c>
      <c r="D4597" s="17" t="s">
        <v>801</v>
      </c>
      <c r="E4597" s="18">
        <v>8050846019058</v>
      </c>
      <c r="G4597" s="20" t="str">
        <f t="shared" si="213"/>
        <v xml:space="preserve"> FLAPDISNEY      </v>
      </c>
      <c r="H4597" s="20" t="str">
        <f t="shared" si="214"/>
        <v>POIBL</v>
      </c>
      <c r="I4597" s="20">
        <f t="shared" si="215"/>
        <v>0</v>
      </c>
    </row>
    <row r="4598" spans="1:9">
      <c r="A4598" s="17" t="s">
        <v>1803</v>
      </c>
      <c r="B4598" s="17" t="s">
        <v>1817</v>
      </c>
      <c r="C4598" s="17">
        <v>0</v>
      </c>
      <c r="D4598" s="17" t="s">
        <v>801</v>
      </c>
      <c r="E4598" s="18">
        <v>3005961478001</v>
      </c>
      <c r="G4598" s="20" t="str">
        <f t="shared" si="213"/>
        <v xml:space="preserve"> FLAPDISNEY      </v>
      </c>
      <c r="H4598" s="20" t="str">
        <f t="shared" si="214"/>
        <v>POIRO</v>
      </c>
      <c r="I4598" s="20">
        <f t="shared" si="215"/>
        <v>0</v>
      </c>
    </row>
    <row r="4599" spans="1:9">
      <c r="A4599" s="17" t="s">
        <v>1803</v>
      </c>
      <c r="B4599" s="17" t="s">
        <v>1817</v>
      </c>
      <c r="C4599" s="17">
        <v>0</v>
      </c>
      <c r="D4599" s="17" t="s">
        <v>801</v>
      </c>
      <c r="E4599" s="18">
        <v>8050846007482</v>
      </c>
      <c r="G4599" s="20" t="str">
        <f t="shared" si="213"/>
        <v xml:space="preserve"> FLAPDISNEY      </v>
      </c>
      <c r="H4599" s="20" t="str">
        <f t="shared" si="214"/>
        <v>POIRO</v>
      </c>
      <c r="I4599" s="20">
        <f t="shared" si="215"/>
        <v>0</v>
      </c>
    </row>
    <row r="4600" spans="1:9">
      <c r="A4600" s="17" t="s">
        <v>1803</v>
      </c>
      <c r="B4600" s="17" t="s">
        <v>1818</v>
      </c>
      <c r="C4600" s="17">
        <v>0</v>
      </c>
      <c r="D4600" s="17" t="s">
        <v>801</v>
      </c>
      <c r="E4600" s="18">
        <v>8050846019027</v>
      </c>
      <c r="G4600" s="20" t="str">
        <f t="shared" si="213"/>
        <v xml:space="preserve"> FLAPDISNEY      </v>
      </c>
      <c r="H4600" s="20" t="str">
        <f t="shared" si="214"/>
        <v>RAIEB</v>
      </c>
      <c r="I4600" s="20">
        <f t="shared" si="215"/>
        <v>0</v>
      </c>
    </row>
    <row r="4601" spans="1:9">
      <c r="A4601" s="17" t="s">
        <v>1803</v>
      </c>
      <c r="B4601" s="17" t="s">
        <v>1819</v>
      </c>
      <c r="C4601" s="17">
        <v>0</v>
      </c>
      <c r="D4601" s="17" t="s">
        <v>801</v>
      </c>
      <c r="E4601" s="18">
        <v>3005961476007</v>
      </c>
      <c r="G4601" s="20" t="str">
        <f t="shared" si="213"/>
        <v xml:space="preserve"> FLAPDISNEY      </v>
      </c>
      <c r="H4601" s="20" t="str">
        <f t="shared" si="214"/>
        <v>TEXRO</v>
      </c>
      <c r="I4601" s="20">
        <f t="shared" si="215"/>
        <v>0</v>
      </c>
    </row>
    <row r="4602" spans="1:9">
      <c r="A4602" s="17" t="s">
        <v>1803</v>
      </c>
      <c r="B4602" s="17" t="s">
        <v>1819</v>
      </c>
      <c r="C4602" s="17">
        <v>0</v>
      </c>
      <c r="D4602" s="17" t="s">
        <v>801</v>
      </c>
      <c r="E4602" s="18">
        <v>8050846007468</v>
      </c>
      <c r="G4602" s="20" t="str">
        <f t="shared" si="213"/>
        <v xml:space="preserve"> FLAPDISNEY      </v>
      </c>
      <c r="H4602" s="20" t="str">
        <f t="shared" si="214"/>
        <v>TEXRO</v>
      </c>
      <c r="I4602" s="20">
        <f t="shared" si="215"/>
        <v>0</v>
      </c>
    </row>
    <row r="4603" spans="1:9">
      <c r="A4603" s="17" t="s">
        <v>1820</v>
      </c>
      <c r="B4603" s="17" t="s">
        <v>1248</v>
      </c>
      <c r="C4603" s="17">
        <v>0</v>
      </c>
      <c r="D4603" s="17" t="s">
        <v>801</v>
      </c>
      <c r="E4603" s="18">
        <v>8058983599150</v>
      </c>
      <c r="G4603" s="20" t="str">
        <f t="shared" si="213"/>
        <v xml:space="preserve"> FLAPECO         </v>
      </c>
      <c r="H4603" s="20" t="str">
        <f t="shared" si="214"/>
        <v>LANIB</v>
      </c>
      <c r="I4603" s="20">
        <f t="shared" si="215"/>
        <v>0</v>
      </c>
    </row>
    <row r="4604" spans="1:9">
      <c r="A4604" s="17" t="s">
        <v>1820</v>
      </c>
      <c r="B4604" s="17" t="s">
        <v>1248</v>
      </c>
      <c r="C4604" s="17">
        <v>0</v>
      </c>
      <c r="D4604" s="17" t="s">
        <v>801</v>
      </c>
      <c r="E4604" s="18">
        <v>3005030854002</v>
      </c>
      <c r="G4604" s="20" t="str">
        <f t="shared" si="213"/>
        <v xml:space="preserve"> FLAPECO         </v>
      </c>
      <c r="H4604" s="20" t="str">
        <f t="shared" si="214"/>
        <v>LANIB</v>
      </c>
      <c r="I4604" s="20">
        <f t="shared" si="215"/>
        <v>0</v>
      </c>
    </row>
    <row r="4605" spans="1:9">
      <c r="A4605" s="17" t="s">
        <v>1820</v>
      </c>
      <c r="B4605" s="17" t="s">
        <v>1249</v>
      </c>
      <c r="C4605" s="17">
        <v>0</v>
      </c>
      <c r="D4605" s="17" t="s">
        <v>801</v>
      </c>
      <c r="E4605" s="18">
        <v>3005030855009</v>
      </c>
      <c r="G4605" s="20" t="str">
        <f t="shared" si="213"/>
        <v xml:space="preserve"> FLAPECO         </v>
      </c>
      <c r="H4605" s="20" t="str">
        <f t="shared" si="214"/>
        <v>LANIG</v>
      </c>
      <c r="I4605" s="20">
        <f t="shared" si="215"/>
        <v>0</v>
      </c>
    </row>
    <row r="4606" spans="1:9">
      <c r="A4606" s="17" t="s">
        <v>1820</v>
      </c>
      <c r="B4606" s="17" t="s">
        <v>1249</v>
      </c>
      <c r="C4606" s="17">
        <v>0</v>
      </c>
      <c r="D4606" s="17" t="s">
        <v>801</v>
      </c>
      <c r="E4606" s="18">
        <v>8058983599167</v>
      </c>
      <c r="G4606" s="20" t="str">
        <f t="shared" si="213"/>
        <v xml:space="preserve"> FLAPECO         </v>
      </c>
      <c r="H4606" s="20" t="str">
        <f t="shared" si="214"/>
        <v>LANIG</v>
      </c>
      <c r="I4606" s="20">
        <f t="shared" si="215"/>
        <v>0</v>
      </c>
    </row>
    <row r="4607" spans="1:9">
      <c r="A4607" s="17" t="s">
        <v>1820</v>
      </c>
      <c r="B4607" s="17" t="s">
        <v>1821</v>
      </c>
      <c r="C4607" s="17">
        <v>0</v>
      </c>
      <c r="D4607" s="17" t="s">
        <v>801</v>
      </c>
      <c r="E4607" s="18">
        <v>3005031062000</v>
      </c>
      <c r="G4607" s="20" t="str">
        <f t="shared" si="213"/>
        <v xml:space="preserve"> FLAPECO         </v>
      </c>
      <c r="H4607" s="20" t="str">
        <f t="shared" si="214"/>
        <v>LANOC</v>
      </c>
      <c r="I4607" s="20">
        <f t="shared" si="215"/>
        <v>0</v>
      </c>
    </row>
    <row r="4608" spans="1:9">
      <c r="A4608" s="17" t="s">
        <v>1820</v>
      </c>
      <c r="B4608" s="17" t="s">
        <v>1821</v>
      </c>
      <c r="C4608" s="17">
        <v>0</v>
      </c>
      <c r="D4608" s="17" t="s">
        <v>801</v>
      </c>
      <c r="E4608" s="18">
        <v>8058983599228</v>
      </c>
      <c r="G4608" s="20" t="str">
        <f t="shared" si="213"/>
        <v xml:space="preserve"> FLAPECO         </v>
      </c>
      <c r="H4608" s="20" t="str">
        <f t="shared" si="214"/>
        <v>LANOC</v>
      </c>
      <c r="I4608" s="20">
        <f t="shared" si="215"/>
        <v>0</v>
      </c>
    </row>
    <row r="4609" spans="1:9">
      <c r="A4609" s="17" t="s">
        <v>1820</v>
      </c>
      <c r="B4609" s="17" t="s">
        <v>1822</v>
      </c>
      <c r="C4609" s="17">
        <v>0</v>
      </c>
      <c r="D4609" s="17" t="s">
        <v>801</v>
      </c>
      <c r="E4609" s="18">
        <v>8058983599112</v>
      </c>
      <c r="G4609" s="20" t="str">
        <f t="shared" si="213"/>
        <v xml:space="preserve"> FLAPECO         </v>
      </c>
      <c r="H4609" s="20" t="str">
        <f t="shared" si="214"/>
        <v>LAPAN</v>
      </c>
      <c r="I4609" s="20">
        <f t="shared" si="215"/>
        <v>0</v>
      </c>
    </row>
    <row r="4610" spans="1:9">
      <c r="A4610" s="17" t="s">
        <v>1820</v>
      </c>
      <c r="B4610" s="17" t="s">
        <v>1822</v>
      </c>
      <c r="C4610" s="17">
        <v>0</v>
      </c>
      <c r="D4610" s="17" t="s">
        <v>801</v>
      </c>
      <c r="E4610" s="18">
        <v>3005031005007</v>
      </c>
      <c r="G4610" s="20" t="str">
        <f t="shared" si="213"/>
        <v xml:space="preserve"> FLAPECO         </v>
      </c>
      <c r="H4610" s="20" t="str">
        <f t="shared" si="214"/>
        <v>LAPAN</v>
      </c>
      <c r="I4610" s="20">
        <f t="shared" si="215"/>
        <v>0</v>
      </c>
    </row>
    <row r="4611" spans="1:9">
      <c r="A4611" s="17" t="s">
        <v>1820</v>
      </c>
      <c r="B4611" s="17" t="s">
        <v>1251</v>
      </c>
      <c r="C4611" s="17">
        <v>0</v>
      </c>
      <c r="D4611" s="17" t="s">
        <v>801</v>
      </c>
      <c r="E4611" s="18">
        <v>8058983599204</v>
      </c>
      <c r="G4611" s="20" t="str">
        <f t="shared" si="213"/>
        <v xml:space="preserve"> FLAPECO         </v>
      </c>
      <c r="H4611" s="20" t="str">
        <f t="shared" si="214"/>
        <v>LAPBL</v>
      </c>
      <c r="I4611" s="20">
        <f t="shared" si="215"/>
        <v>0</v>
      </c>
    </row>
    <row r="4612" spans="1:9">
      <c r="A4612" s="17" t="s">
        <v>1820</v>
      </c>
      <c r="B4612" s="17" t="s">
        <v>1251</v>
      </c>
      <c r="C4612" s="17">
        <v>0</v>
      </c>
      <c r="D4612" s="17" t="s">
        <v>801</v>
      </c>
      <c r="E4612" s="18">
        <v>3005030681004</v>
      </c>
      <c r="G4612" s="20" t="str">
        <f t="shared" si="213"/>
        <v xml:space="preserve"> FLAPECO         </v>
      </c>
      <c r="H4612" s="20" t="str">
        <f t="shared" si="214"/>
        <v>LAPBL</v>
      </c>
      <c r="I4612" s="20">
        <f t="shared" si="215"/>
        <v>0</v>
      </c>
    </row>
    <row r="4613" spans="1:9">
      <c r="A4613" s="17" t="s">
        <v>1820</v>
      </c>
      <c r="B4613" s="17" t="s">
        <v>1823</v>
      </c>
      <c r="C4613" s="17">
        <v>0</v>
      </c>
      <c r="D4613" s="17" t="s">
        <v>801</v>
      </c>
      <c r="E4613" s="18">
        <v>3005031054005</v>
      </c>
      <c r="G4613" s="20" t="str">
        <f t="shared" ref="G4613:G4676" si="216">A4613</f>
        <v xml:space="preserve"> FLAPECO         </v>
      </c>
      <c r="H4613" s="20" t="str">
        <f t="shared" ref="H4613:H4676" si="217">B4613</f>
        <v>LAPCA</v>
      </c>
      <c r="I4613" s="20">
        <f t="shared" ref="I4613:I4676" si="218">C4613</f>
        <v>0</v>
      </c>
    </row>
    <row r="4614" spans="1:9">
      <c r="A4614" s="17" t="s">
        <v>1820</v>
      </c>
      <c r="B4614" s="17" t="s">
        <v>1254</v>
      </c>
      <c r="C4614" s="17">
        <v>0</v>
      </c>
      <c r="D4614" s="17" t="s">
        <v>801</v>
      </c>
      <c r="E4614" s="18">
        <v>8058983599129</v>
      </c>
      <c r="G4614" s="20" t="str">
        <f t="shared" si="216"/>
        <v xml:space="preserve"> FLAPECO         </v>
      </c>
      <c r="H4614" s="20" t="str">
        <f t="shared" si="217"/>
        <v>LAPIV</v>
      </c>
      <c r="I4614" s="20">
        <f t="shared" si="218"/>
        <v>0</v>
      </c>
    </row>
    <row r="4615" spans="1:9">
      <c r="A4615" s="17" t="s">
        <v>1820</v>
      </c>
      <c r="B4615" s="17" t="s">
        <v>1254</v>
      </c>
      <c r="C4615" s="17">
        <v>0</v>
      </c>
      <c r="D4615" s="17" t="s">
        <v>801</v>
      </c>
      <c r="E4615" s="18">
        <v>3005030856006</v>
      </c>
      <c r="G4615" s="20" t="str">
        <f t="shared" si="216"/>
        <v xml:space="preserve"> FLAPECO         </v>
      </c>
      <c r="H4615" s="20" t="str">
        <f t="shared" si="217"/>
        <v>LAPIV</v>
      </c>
      <c r="I4615" s="20">
        <f t="shared" si="218"/>
        <v>0</v>
      </c>
    </row>
    <row r="4616" spans="1:9">
      <c r="A4616" s="17" t="s">
        <v>1820</v>
      </c>
      <c r="B4616" s="17" t="s">
        <v>1824</v>
      </c>
      <c r="C4616" s="17">
        <v>0</v>
      </c>
      <c r="D4616" s="17" t="s">
        <v>801</v>
      </c>
      <c r="E4616" s="18">
        <v>3005031058003</v>
      </c>
      <c r="G4616" s="20" t="str">
        <f t="shared" si="216"/>
        <v xml:space="preserve"> FLAPECO         </v>
      </c>
      <c r="H4616" s="20" t="str">
        <f t="shared" si="217"/>
        <v>LAPSI</v>
      </c>
      <c r="I4616" s="20">
        <f t="shared" si="218"/>
        <v>0</v>
      </c>
    </row>
    <row r="4617" spans="1:9">
      <c r="A4617" s="17" t="s">
        <v>1820</v>
      </c>
      <c r="B4617" s="17" t="s">
        <v>1698</v>
      </c>
      <c r="C4617" s="17">
        <v>0</v>
      </c>
      <c r="D4617" s="17" t="s">
        <v>801</v>
      </c>
      <c r="E4617" s="18">
        <v>8058983599198</v>
      </c>
      <c r="G4617" s="20" t="str">
        <f t="shared" si="216"/>
        <v xml:space="preserve"> FLAPECO         </v>
      </c>
      <c r="H4617" s="20" t="str">
        <f t="shared" si="217"/>
        <v>LAPVI</v>
      </c>
      <c r="I4617" s="20">
        <f t="shared" si="218"/>
        <v>0</v>
      </c>
    </row>
    <row r="4618" spans="1:9">
      <c r="A4618" s="17" t="s">
        <v>1820</v>
      </c>
      <c r="B4618" s="17" t="s">
        <v>1698</v>
      </c>
      <c r="C4618" s="17">
        <v>0</v>
      </c>
      <c r="D4618" s="17" t="s">
        <v>801</v>
      </c>
      <c r="E4618" s="18">
        <v>3005030924002</v>
      </c>
      <c r="G4618" s="20" t="str">
        <f t="shared" si="216"/>
        <v xml:space="preserve"> FLAPECO         </v>
      </c>
      <c r="H4618" s="20" t="str">
        <f t="shared" si="217"/>
        <v>LAPVI</v>
      </c>
      <c r="I4618" s="20">
        <f t="shared" si="218"/>
        <v>0</v>
      </c>
    </row>
    <row r="4619" spans="1:9">
      <c r="A4619" s="17" t="s">
        <v>1820</v>
      </c>
      <c r="B4619" s="17" t="s">
        <v>1825</v>
      </c>
      <c r="C4619" s="17">
        <v>0</v>
      </c>
      <c r="D4619" s="17" t="s">
        <v>801</v>
      </c>
      <c r="E4619" s="18">
        <v>3005030983009</v>
      </c>
      <c r="G4619" s="20" t="str">
        <f t="shared" si="216"/>
        <v xml:space="preserve"> FLAPECO         </v>
      </c>
      <c r="H4619" s="20" t="str">
        <f t="shared" si="217"/>
        <v>NABLT</v>
      </c>
      <c r="I4619" s="20">
        <f t="shared" si="218"/>
        <v>0</v>
      </c>
    </row>
    <row r="4620" spans="1:9">
      <c r="A4620" s="17" t="s">
        <v>1826</v>
      </c>
      <c r="B4620" s="17" t="s">
        <v>1827</v>
      </c>
      <c r="C4620" s="17">
        <v>0</v>
      </c>
      <c r="D4620" s="17" t="s">
        <v>801</v>
      </c>
      <c r="E4620" s="18">
        <v>3005930665005</v>
      </c>
      <c r="G4620" s="20" t="str">
        <f t="shared" si="216"/>
        <v xml:space="preserve"> FLAPECOFOU      </v>
      </c>
      <c r="H4620" s="20" t="str">
        <f t="shared" si="217"/>
        <v>ANIMB</v>
      </c>
      <c r="I4620" s="20">
        <f t="shared" si="218"/>
        <v>0</v>
      </c>
    </row>
    <row r="4621" spans="1:9">
      <c r="A4621" s="17" t="s">
        <v>1826</v>
      </c>
      <c r="B4621" s="17" t="s">
        <v>1828</v>
      </c>
      <c r="C4621" s="17">
        <v>0</v>
      </c>
      <c r="D4621" s="17" t="s">
        <v>801</v>
      </c>
      <c r="E4621" s="18">
        <v>3005930666002</v>
      </c>
      <c r="G4621" s="20" t="str">
        <f t="shared" si="216"/>
        <v xml:space="preserve"> FLAPECOFOU      </v>
      </c>
      <c r="H4621" s="20" t="str">
        <f t="shared" si="217"/>
        <v>ANIMG</v>
      </c>
      <c r="I4621" s="20">
        <f t="shared" si="218"/>
        <v>0</v>
      </c>
    </row>
    <row r="4622" spans="1:9">
      <c r="A4622" s="17" t="s">
        <v>1826</v>
      </c>
      <c r="B4622" s="17" t="s">
        <v>280</v>
      </c>
      <c r="C4622" s="17">
        <v>0</v>
      </c>
      <c r="D4622" s="17" t="s">
        <v>801</v>
      </c>
      <c r="E4622" s="18">
        <v>3005930276003</v>
      </c>
      <c r="G4622" s="20" t="str">
        <f t="shared" si="216"/>
        <v xml:space="preserve"> FLAPECOFOU      </v>
      </c>
      <c r="H4622" s="20" t="str">
        <f t="shared" si="217"/>
        <v>BLACK</v>
      </c>
      <c r="I4622" s="20">
        <f t="shared" si="218"/>
        <v>0</v>
      </c>
    </row>
    <row r="4623" spans="1:9">
      <c r="A4623" s="17" t="s">
        <v>1826</v>
      </c>
      <c r="B4623" s="17" t="s">
        <v>814</v>
      </c>
      <c r="C4623" s="17">
        <v>0</v>
      </c>
      <c r="D4623" s="17" t="s">
        <v>801</v>
      </c>
      <c r="E4623" s="18">
        <v>8056099179402</v>
      </c>
      <c r="G4623" s="20" t="str">
        <f t="shared" si="216"/>
        <v xml:space="preserve"> FLAPECOFOU      </v>
      </c>
      <c r="H4623" s="20" t="str">
        <f t="shared" si="217"/>
        <v>BLUAC</v>
      </c>
      <c r="I4623" s="20">
        <f t="shared" si="218"/>
        <v>0</v>
      </c>
    </row>
    <row r="4624" spans="1:9">
      <c r="A4624" s="17" t="s">
        <v>1826</v>
      </c>
      <c r="B4624" s="17" t="s">
        <v>810</v>
      </c>
      <c r="C4624" s="17">
        <v>0</v>
      </c>
      <c r="D4624" s="17" t="s">
        <v>801</v>
      </c>
      <c r="E4624" s="18">
        <v>3005930319007</v>
      </c>
      <c r="G4624" s="20" t="str">
        <f t="shared" si="216"/>
        <v xml:space="preserve"> FLAPECOFOU      </v>
      </c>
      <c r="H4624" s="20" t="str">
        <f t="shared" si="217"/>
        <v xml:space="preserve">BLUE </v>
      </c>
      <c r="I4624" s="20">
        <f t="shared" si="218"/>
        <v>0</v>
      </c>
    </row>
    <row r="4625" spans="1:9">
      <c r="A4625" s="17" t="s">
        <v>1826</v>
      </c>
      <c r="B4625" s="17" t="s">
        <v>1829</v>
      </c>
      <c r="C4625" s="17">
        <v>0</v>
      </c>
      <c r="D4625" s="17" t="s">
        <v>801</v>
      </c>
      <c r="E4625" s="18">
        <v>3005930583002</v>
      </c>
      <c r="G4625" s="20" t="str">
        <f t="shared" si="216"/>
        <v xml:space="preserve"> FLAPECOFOU      </v>
      </c>
      <c r="H4625" s="20" t="str">
        <f t="shared" si="217"/>
        <v>CAMEL</v>
      </c>
      <c r="I4625" s="20">
        <f t="shared" si="218"/>
        <v>0</v>
      </c>
    </row>
    <row r="4626" spans="1:9">
      <c r="A4626" s="17" t="s">
        <v>1826</v>
      </c>
      <c r="B4626" s="17" t="s">
        <v>858</v>
      </c>
      <c r="C4626" s="17">
        <v>0</v>
      </c>
      <c r="D4626" s="17" t="s">
        <v>801</v>
      </c>
      <c r="E4626" s="18">
        <v>3005930002008</v>
      </c>
      <c r="G4626" s="20" t="str">
        <f t="shared" si="216"/>
        <v xml:space="preserve"> FLAPECOFOU      </v>
      </c>
      <c r="H4626" s="20" t="str">
        <f t="shared" si="217"/>
        <v xml:space="preserve">GREY </v>
      </c>
      <c r="I4626" s="20">
        <f t="shared" si="218"/>
        <v>0</v>
      </c>
    </row>
    <row r="4627" spans="1:9">
      <c r="A4627" s="17" t="s">
        <v>1826</v>
      </c>
      <c r="B4627" s="17" t="s">
        <v>838</v>
      </c>
      <c r="C4627" s="17">
        <v>0</v>
      </c>
      <c r="D4627" s="17" t="s">
        <v>801</v>
      </c>
      <c r="E4627" s="18">
        <v>3005931023002</v>
      </c>
      <c r="G4627" s="20" t="str">
        <f t="shared" si="216"/>
        <v xml:space="preserve"> FLAPECOFOU      </v>
      </c>
      <c r="H4627" s="20" t="str">
        <f t="shared" si="217"/>
        <v>IVOIR</v>
      </c>
      <c r="I4627" s="20">
        <f t="shared" si="218"/>
        <v>0</v>
      </c>
    </row>
    <row r="4628" spans="1:9">
      <c r="A4628" s="17" t="s">
        <v>1826</v>
      </c>
      <c r="B4628" s="17" t="s">
        <v>1830</v>
      </c>
      <c r="C4628" s="17">
        <v>0</v>
      </c>
      <c r="D4628" s="17" t="s">
        <v>801</v>
      </c>
      <c r="E4628" s="18">
        <v>8056300456698</v>
      </c>
      <c r="G4628" s="20" t="str">
        <f t="shared" si="216"/>
        <v xml:space="preserve"> FLAPECOFOU      </v>
      </c>
      <c r="H4628" s="20" t="str">
        <f t="shared" si="217"/>
        <v>LABOR</v>
      </c>
      <c r="I4628" s="20">
        <f t="shared" si="218"/>
        <v>0</v>
      </c>
    </row>
    <row r="4629" spans="1:9">
      <c r="A4629" s="17" t="s">
        <v>1826</v>
      </c>
      <c r="B4629" s="17" t="s">
        <v>1245</v>
      </c>
      <c r="C4629" s="17">
        <v>0</v>
      </c>
      <c r="D4629" s="17" t="s">
        <v>801</v>
      </c>
      <c r="E4629" s="18">
        <v>8050538590490</v>
      </c>
      <c r="G4629" s="20" t="str">
        <f t="shared" si="216"/>
        <v xml:space="preserve"> FLAPECOFOU      </v>
      </c>
      <c r="H4629" s="20" t="str">
        <f t="shared" si="217"/>
        <v>LANOI</v>
      </c>
      <c r="I4629" s="20">
        <f t="shared" si="218"/>
        <v>0</v>
      </c>
    </row>
    <row r="4630" spans="1:9">
      <c r="A4630" s="17" t="s">
        <v>1826</v>
      </c>
      <c r="B4630" s="17" t="s">
        <v>1250</v>
      </c>
      <c r="C4630" s="17">
        <v>0</v>
      </c>
      <c r="D4630" s="17" t="s">
        <v>801</v>
      </c>
      <c r="E4630" s="18">
        <v>8056099176821</v>
      </c>
      <c r="G4630" s="20" t="str">
        <f t="shared" si="216"/>
        <v xml:space="preserve"> FLAPECOFOU      </v>
      </c>
      <c r="H4630" s="20" t="str">
        <f t="shared" si="217"/>
        <v>LAPAU</v>
      </c>
      <c r="I4630" s="20">
        <f t="shared" si="218"/>
        <v>0</v>
      </c>
    </row>
    <row r="4631" spans="1:9">
      <c r="A4631" s="17" t="s">
        <v>1826</v>
      </c>
      <c r="B4631" s="17" t="s">
        <v>1251</v>
      </c>
      <c r="C4631" s="17">
        <v>0</v>
      </c>
      <c r="D4631" s="17" t="s">
        <v>801</v>
      </c>
      <c r="E4631" s="18">
        <v>8056300456674</v>
      </c>
      <c r="G4631" s="20" t="str">
        <f t="shared" si="216"/>
        <v xml:space="preserve"> FLAPECOFOU      </v>
      </c>
      <c r="H4631" s="20" t="str">
        <f t="shared" si="217"/>
        <v>LAPBL</v>
      </c>
      <c r="I4631" s="20">
        <f t="shared" si="218"/>
        <v>0</v>
      </c>
    </row>
    <row r="4632" spans="1:9">
      <c r="A4632" s="17" t="s">
        <v>1826</v>
      </c>
      <c r="B4632" s="17" t="s">
        <v>1831</v>
      </c>
      <c r="C4632" s="17">
        <v>0</v>
      </c>
      <c r="D4632" s="17" t="s">
        <v>801</v>
      </c>
      <c r="E4632" s="18">
        <v>8056099177682</v>
      </c>
      <c r="G4632" s="20" t="str">
        <f t="shared" si="216"/>
        <v xml:space="preserve"> FLAPECOFOU      </v>
      </c>
      <c r="H4632" s="20" t="str">
        <f t="shared" si="217"/>
        <v>LAPDE</v>
      </c>
      <c r="I4632" s="20">
        <f t="shared" si="218"/>
        <v>0</v>
      </c>
    </row>
    <row r="4633" spans="1:9">
      <c r="A4633" s="17" t="s">
        <v>1826</v>
      </c>
      <c r="B4633" s="17" t="s">
        <v>1691</v>
      </c>
      <c r="C4633" s="17">
        <v>0</v>
      </c>
      <c r="D4633" s="17" t="s">
        <v>801</v>
      </c>
      <c r="E4633" s="18">
        <v>8056099177545</v>
      </c>
      <c r="G4633" s="20" t="str">
        <f t="shared" si="216"/>
        <v xml:space="preserve"> FLAPECOFOU      </v>
      </c>
      <c r="H4633" s="20" t="str">
        <f t="shared" si="217"/>
        <v>LAPHA</v>
      </c>
      <c r="I4633" s="20">
        <f t="shared" si="218"/>
        <v>0</v>
      </c>
    </row>
    <row r="4634" spans="1:9">
      <c r="A4634" s="17" t="s">
        <v>1826</v>
      </c>
      <c r="B4634" s="17" t="s">
        <v>1693</v>
      </c>
      <c r="C4634" s="17">
        <v>0</v>
      </c>
      <c r="D4634" s="17" t="s">
        <v>801</v>
      </c>
      <c r="E4634" s="18">
        <v>3005930621001</v>
      </c>
      <c r="G4634" s="20" t="str">
        <f t="shared" si="216"/>
        <v xml:space="preserve"> FLAPECOFOU      </v>
      </c>
      <c r="H4634" s="20" t="str">
        <f t="shared" si="217"/>
        <v>LAPNO</v>
      </c>
      <c r="I4634" s="20">
        <f t="shared" si="218"/>
        <v>0</v>
      </c>
    </row>
    <row r="4635" spans="1:9">
      <c r="A4635" s="17" t="s">
        <v>1826</v>
      </c>
      <c r="B4635" s="17" t="s">
        <v>1832</v>
      </c>
      <c r="C4635" s="17">
        <v>0</v>
      </c>
      <c r="D4635" s="17" t="s">
        <v>801</v>
      </c>
      <c r="E4635" s="18">
        <v>8050538595136</v>
      </c>
      <c r="G4635" s="20" t="str">
        <f t="shared" si="216"/>
        <v xml:space="preserve"> FLAPECOFOU      </v>
      </c>
      <c r="H4635" s="20" t="str">
        <f t="shared" si="217"/>
        <v>LASAU</v>
      </c>
      <c r="I4635" s="20">
        <f t="shared" si="218"/>
        <v>0</v>
      </c>
    </row>
    <row r="4636" spans="1:9">
      <c r="A4636" s="17" t="s">
        <v>1826</v>
      </c>
      <c r="B4636" s="17" t="s">
        <v>1833</v>
      </c>
      <c r="C4636" s="17">
        <v>0</v>
      </c>
      <c r="D4636" s="17" t="s">
        <v>801</v>
      </c>
      <c r="E4636" s="18">
        <v>3005930899004</v>
      </c>
      <c r="G4636" s="20" t="str">
        <f t="shared" si="216"/>
        <v xml:space="preserve"> FLAPECOFOU      </v>
      </c>
      <c r="H4636" s="20" t="str">
        <f t="shared" si="217"/>
        <v>LASBL</v>
      </c>
      <c r="I4636" s="20">
        <f t="shared" si="218"/>
        <v>0</v>
      </c>
    </row>
    <row r="4637" spans="1:9">
      <c r="A4637" s="17" t="s">
        <v>1826</v>
      </c>
      <c r="B4637" s="17" t="s">
        <v>1834</v>
      </c>
      <c r="C4637" s="17">
        <v>0</v>
      </c>
      <c r="D4637" s="17" t="s">
        <v>801</v>
      </c>
      <c r="E4637" s="18">
        <v>8050538595129</v>
      </c>
      <c r="G4637" s="20" t="str">
        <f t="shared" si="216"/>
        <v xml:space="preserve"> FLAPECOFOU      </v>
      </c>
      <c r="H4637" s="20" t="str">
        <f t="shared" si="217"/>
        <v>LASNO</v>
      </c>
      <c r="I4637" s="20">
        <f t="shared" si="218"/>
        <v>0</v>
      </c>
    </row>
    <row r="4638" spans="1:9">
      <c r="A4638" s="17" t="s">
        <v>1826</v>
      </c>
      <c r="B4638" s="17" t="s">
        <v>1835</v>
      </c>
      <c r="C4638" s="17">
        <v>0</v>
      </c>
      <c r="D4638" s="17" t="s">
        <v>801</v>
      </c>
      <c r="E4638" s="18">
        <v>8050846012462</v>
      </c>
      <c r="G4638" s="20" t="str">
        <f t="shared" si="216"/>
        <v xml:space="preserve"> FLAPECOFOU      </v>
      </c>
      <c r="H4638" s="20" t="str">
        <f t="shared" si="217"/>
        <v>LASTO</v>
      </c>
      <c r="I4638" s="20">
        <f t="shared" si="218"/>
        <v>0</v>
      </c>
    </row>
    <row r="4639" spans="1:9">
      <c r="A4639" s="17" t="s">
        <v>1826</v>
      </c>
      <c r="B4639" s="17" t="s">
        <v>1708</v>
      </c>
      <c r="C4639" s="17">
        <v>0</v>
      </c>
      <c r="D4639" s="17" t="s">
        <v>801</v>
      </c>
      <c r="E4639" s="18">
        <v>8050538595624</v>
      </c>
      <c r="G4639" s="20" t="str">
        <f t="shared" si="216"/>
        <v xml:space="preserve"> FLAPECOFOU      </v>
      </c>
      <c r="H4639" s="20" t="str">
        <f t="shared" si="217"/>
        <v>MOUMU</v>
      </c>
      <c r="I4639" s="20">
        <f t="shared" si="218"/>
        <v>0</v>
      </c>
    </row>
    <row r="4640" spans="1:9">
      <c r="A4640" s="17" t="s">
        <v>1826</v>
      </c>
      <c r="B4640" s="17" t="s">
        <v>1836</v>
      </c>
      <c r="C4640" s="17">
        <v>0</v>
      </c>
      <c r="D4640" s="17" t="s">
        <v>801</v>
      </c>
      <c r="E4640" s="18">
        <v>3005930667009</v>
      </c>
      <c r="G4640" s="20" t="str">
        <f t="shared" si="216"/>
        <v xml:space="preserve"> FLAPECOFOU      </v>
      </c>
      <c r="H4640" s="20" t="str">
        <f t="shared" si="217"/>
        <v>NOCCE</v>
      </c>
      <c r="I4640" s="20">
        <f t="shared" si="218"/>
        <v>0</v>
      </c>
    </row>
    <row r="4641" spans="1:9">
      <c r="A4641" s="17" t="s">
        <v>1826</v>
      </c>
      <c r="B4641" s="17" t="s">
        <v>1438</v>
      </c>
      <c r="C4641" s="17">
        <v>0</v>
      </c>
      <c r="D4641" s="17" t="s">
        <v>801</v>
      </c>
      <c r="E4641" s="18">
        <v>3005930396008</v>
      </c>
      <c r="G4641" s="20" t="str">
        <f t="shared" si="216"/>
        <v xml:space="preserve"> FLAPECOFOU      </v>
      </c>
      <c r="H4641" s="20" t="str">
        <f t="shared" si="217"/>
        <v>POLVE</v>
      </c>
      <c r="I4641" s="20">
        <f t="shared" si="218"/>
        <v>0</v>
      </c>
    </row>
    <row r="4642" spans="1:9">
      <c r="A4642" s="17" t="s">
        <v>1826</v>
      </c>
      <c r="B4642" s="17" t="s">
        <v>1837</v>
      </c>
      <c r="C4642" s="17">
        <v>0</v>
      </c>
      <c r="D4642" s="17" t="s">
        <v>801</v>
      </c>
      <c r="E4642" s="18">
        <v>8050538590001</v>
      </c>
      <c r="G4642" s="20" t="str">
        <f t="shared" si="216"/>
        <v xml:space="preserve"> FLAPECOFOU      </v>
      </c>
      <c r="H4642" s="20" t="str">
        <f t="shared" si="217"/>
        <v>REMUL</v>
      </c>
      <c r="I4642" s="20">
        <f t="shared" si="218"/>
        <v>0</v>
      </c>
    </row>
    <row r="4643" spans="1:9">
      <c r="A4643" s="17" t="s">
        <v>1826</v>
      </c>
      <c r="B4643" s="17" t="s">
        <v>1838</v>
      </c>
      <c r="C4643" s="17">
        <v>0</v>
      </c>
      <c r="D4643" s="17" t="s">
        <v>801</v>
      </c>
      <c r="E4643" s="18">
        <v>3005930668006</v>
      </c>
      <c r="G4643" s="20" t="str">
        <f t="shared" si="216"/>
        <v xml:space="preserve"> FLAPECOFOU      </v>
      </c>
      <c r="H4643" s="20" t="str">
        <f t="shared" si="217"/>
        <v>RENAB</v>
      </c>
      <c r="I4643" s="20">
        <f t="shared" si="218"/>
        <v>0</v>
      </c>
    </row>
    <row r="4644" spans="1:9">
      <c r="A4644" s="17" t="s">
        <v>1826</v>
      </c>
      <c r="B4644" s="17" t="s">
        <v>1238</v>
      </c>
      <c r="C4644" s="17">
        <v>0</v>
      </c>
      <c r="D4644" s="17" t="s">
        <v>801</v>
      </c>
      <c r="E4644" s="18">
        <v>3005930215002</v>
      </c>
      <c r="G4644" s="20" t="str">
        <f t="shared" si="216"/>
        <v xml:space="preserve"> FLAPECOFOU      </v>
      </c>
      <c r="H4644" s="20" t="str">
        <f t="shared" si="217"/>
        <v>ROSMO</v>
      </c>
      <c r="I4644" s="20">
        <f t="shared" si="218"/>
        <v>0</v>
      </c>
    </row>
    <row r="4645" spans="1:9">
      <c r="A4645" s="17" t="s">
        <v>1839</v>
      </c>
      <c r="B4645" s="17" t="s">
        <v>1754</v>
      </c>
      <c r="C4645" s="17">
        <v>0</v>
      </c>
      <c r="D4645" s="17" t="s">
        <v>801</v>
      </c>
      <c r="E4645" s="18">
        <v>3002540000004</v>
      </c>
      <c r="G4645" s="20" t="str">
        <f t="shared" si="216"/>
        <v xml:space="preserve"> FLAPLAPI        </v>
      </c>
      <c r="H4645" s="20" t="str">
        <f t="shared" si="217"/>
        <v>ASTRA</v>
      </c>
      <c r="I4645" s="20">
        <f t="shared" si="218"/>
        <v>0</v>
      </c>
    </row>
    <row r="4646" spans="1:9">
      <c r="A4646" s="17" t="s">
        <v>1840</v>
      </c>
      <c r="B4646" s="17" t="s">
        <v>1754</v>
      </c>
      <c r="C4646" s="17">
        <v>0</v>
      </c>
      <c r="D4646" s="17" t="s">
        <v>801</v>
      </c>
      <c r="E4646" s="18">
        <v>3004180277006</v>
      </c>
      <c r="G4646" s="20" t="str">
        <f t="shared" si="216"/>
        <v xml:space="preserve"> FLAPLAPIN       </v>
      </c>
      <c r="H4646" s="20" t="str">
        <f t="shared" si="217"/>
        <v>ASTRA</v>
      </c>
      <c r="I4646" s="20">
        <f t="shared" si="218"/>
        <v>0</v>
      </c>
    </row>
    <row r="4647" spans="1:9">
      <c r="A4647" s="17" t="s">
        <v>1840</v>
      </c>
      <c r="B4647" s="17" t="s">
        <v>858</v>
      </c>
      <c r="C4647" s="17">
        <v>0</v>
      </c>
      <c r="D4647" s="17" t="s">
        <v>801</v>
      </c>
      <c r="E4647" s="18">
        <v>3004180002004</v>
      </c>
      <c r="G4647" s="20" t="str">
        <f t="shared" si="216"/>
        <v xml:space="preserve"> FLAPLAPIN       </v>
      </c>
      <c r="H4647" s="20" t="str">
        <f t="shared" si="217"/>
        <v xml:space="preserve">GREY </v>
      </c>
      <c r="I4647" s="20">
        <f t="shared" si="218"/>
        <v>0</v>
      </c>
    </row>
    <row r="4648" spans="1:9">
      <c r="A4648" s="17" t="s">
        <v>1840</v>
      </c>
      <c r="B4648" s="17" t="s">
        <v>1430</v>
      </c>
      <c r="C4648" s="17">
        <v>0</v>
      </c>
      <c r="D4648" s="17" t="s">
        <v>801</v>
      </c>
      <c r="E4648" s="18">
        <v>3004180230001</v>
      </c>
      <c r="G4648" s="20" t="str">
        <f t="shared" si="216"/>
        <v xml:space="preserve"> FLAPLAPIN       </v>
      </c>
      <c r="H4648" s="20" t="str">
        <f t="shared" si="217"/>
        <v xml:space="preserve">IRIS </v>
      </c>
      <c r="I4648" s="20">
        <f t="shared" si="218"/>
        <v>0</v>
      </c>
    </row>
    <row r="4649" spans="1:9">
      <c r="A4649" s="17" t="s">
        <v>1840</v>
      </c>
      <c r="B4649" s="17" t="s">
        <v>1775</v>
      </c>
      <c r="C4649" s="17">
        <v>0</v>
      </c>
      <c r="D4649" s="17" t="s">
        <v>801</v>
      </c>
      <c r="E4649" s="18">
        <v>3004180300001</v>
      </c>
      <c r="G4649" s="20" t="str">
        <f t="shared" si="216"/>
        <v xml:space="preserve"> FLAPLAPIN       </v>
      </c>
      <c r="H4649" s="20" t="str">
        <f t="shared" si="217"/>
        <v xml:space="preserve">KANG </v>
      </c>
      <c r="I4649" s="20">
        <f t="shared" si="218"/>
        <v>0</v>
      </c>
    </row>
    <row r="4650" spans="1:9">
      <c r="A4650" s="17" t="s">
        <v>1840</v>
      </c>
      <c r="B4650" s="17" t="s">
        <v>892</v>
      </c>
      <c r="C4650" s="17">
        <v>0</v>
      </c>
      <c r="D4650" s="17" t="s">
        <v>801</v>
      </c>
      <c r="E4650" s="18">
        <v>3004180214001</v>
      </c>
      <c r="G4650" s="20" t="str">
        <f t="shared" si="216"/>
        <v xml:space="preserve"> FLAPLAPIN       </v>
      </c>
      <c r="H4650" s="20" t="str">
        <f t="shared" si="217"/>
        <v xml:space="preserve">LIME </v>
      </c>
      <c r="I4650" s="20">
        <f t="shared" si="218"/>
        <v>0</v>
      </c>
    </row>
    <row r="4651" spans="1:9">
      <c r="A4651" s="17" t="s">
        <v>1840</v>
      </c>
      <c r="B4651" s="17" t="s">
        <v>1105</v>
      </c>
      <c r="C4651" s="17">
        <v>0</v>
      </c>
      <c r="D4651" s="17" t="s">
        <v>801</v>
      </c>
      <c r="E4651" s="18">
        <v>3004180667005</v>
      </c>
      <c r="G4651" s="20" t="str">
        <f t="shared" si="216"/>
        <v xml:space="preserve"> FLAPLAPIN       </v>
      </c>
      <c r="H4651" s="20" t="str">
        <f t="shared" si="217"/>
        <v>MARSA</v>
      </c>
      <c r="I4651" s="20">
        <f t="shared" si="218"/>
        <v>0</v>
      </c>
    </row>
    <row r="4652" spans="1:9">
      <c r="A4652" s="17" t="s">
        <v>1840</v>
      </c>
      <c r="B4652" s="17" t="s">
        <v>1788</v>
      </c>
      <c r="C4652" s="17">
        <v>0</v>
      </c>
      <c r="D4652" s="17" t="s">
        <v>801</v>
      </c>
      <c r="E4652" s="18">
        <v>3002540588007</v>
      </c>
      <c r="G4652" s="20" t="str">
        <f t="shared" si="216"/>
        <v xml:space="preserve"> FLAPLAPIN       </v>
      </c>
      <c r="H4652" s="20" t="str">
        <f t="shared" si="217"/>
        <v>MOUTO</v>
      </c>
      <c r="I4652" s="20">
        <f t="shared" si="218"/>
        <v>0</v>
      </c>
    </row>
    <row r="4653" spans="1:9">
      <c r="A4653" s="17" t="s">
        <v>1840</v>
      </c>
      <c r="B4653" s="17" t="s">
        <v>859</v>
      </c>
      <c r="C4653" s="17">
        <v>0</v>
      </c>
      <c r="D4653" s="17" t="s">
        <v>801</v>
      </c>
      <c r="E4653" s="18">
        <v>3004180598002</v>
      </c>
      <c r="G4653" s="20" t="str">
        <f t="shared" si="216"/>
        <v xml:space="preserve"> FLAPLAPIN       </v>
      </c>
      <c r="H4653" s="20" t="str">
        <f t="shared" si="217"/>
        <v>NATUR</v>
      </c>
      <c r="I4653" s="20">
        <f t="shared" si="218"/>
        <v>0</v>
      </c>
    </row>
    <row r="4654" spans="1:9">
      <c r="A4654" s="17" t="s">
        <v>1840</v>
      </c>
      <c r="B4654" s="17" t="s">
        <v>1473</v>
      </c>
      <c r="C4654" s="17">
        <v>0</v>
      </c>
      <c r="D4654" s="17" t="s">
        <v>801</v>
      </c>
      <c r="E4654" s="18">
        <v>3004180261005</v>
      </c>
      <c r="G4654" s="20" t="str">
        <f t="shared" si="216"/>
        <v xml:space="preserve"> FLAPLAPIN       </v>
      </c>
      <c r="H4654" s="20" t="str">
        <f t="shared" si="217"/>
        <v xml:space="preserve">PDP  </v>
      </c>
      <c r="I4654" s="20">
        <f t="shared" si="218"/>
        <v>0</v>
      </c>
    </row>
    <row r="4655" spans="1:9">
      <c r="A4655" s="17" t="s">
        <v>1840</v>
      </c>
      <c r="B4655" s="17" t="s">
        <v>1238</v>
      </c>
      <c r="C4655" s="17">
        <v>0</v>
      </c>
      <c r="D4655" s="17" t="s">
        <v>801</v>
      </c>
      <c r="E4655" s="18">
        <v>8058983599143</v>
      </c>
      <c r="G4655" s="20" t="str">
        <f t="shared" si="216"/>
        <v xml:space="preserve"> FLAPLAPIN       </v>
      </c>
      <c r="H4655" s="20" t="str">
        <f t="shared" si="217"/>
        <v>ROSMO</v>
      </c>
      <c r="I4655" s="20">
        <f t="shared" si="218"/>
        <v>0</v>
      </c>
    </row>
    <row r="4656" spans="1:9">
      <c r="A4656" s="17" t="s">
        <v>1840</v>
      </c>
      <c r="B4656" s="17" t="s">
        <v>1238</v>
      </c>
      <c r="C4656" s="17">
        <v>0</v>
      </c>
      <c r="D4656" s="17" t="s">
        <v>801</v>
      </c>
      <c r="E4656" s="18">
        <v>3004180215008</v>
      </c>
      <c r="G4656" s="20" t="str">
        <f t="shared" si="216"/>
        <v xml:space="preserve"> FLAPLAPIN       </v>
      </c>
      <c r="H4656" s="20" t="str">
        <f t="shared" si="217"/>
        <v>ROSMO</v>
      </c>
      <c r="I4656" s="20">
        <f t="shared" si="218"/>
        <v>0</v>
      </c>
    </row>
    <row r="4657" spans="1:9">
      <c r="A4657" s="17" t="s">
        <v>1841</v>
      </c>
      <c r="B4657" s="17" t="s">
        <v>1753</v>
      </c>
      <c r="C4657" s="17">
        <v>0</v>
      </c>
      <c r="D4657" s="17" t="s">
        <v>801</v>
      </c>
      <c r="E4657" s="18">
        <v>3005321311009</v>
      </c>
      <c r="G4657" s="20" t="str">
        <f t="shared" si="216"/>
        <v xml:space="preserve"> FLAPMINIOFOLDER </v>
      </c>
      <c r="H4657" s="20" t="str">
        <f t="shared" si="217"/>
        <v>AJOCR</v>
      </c>
      <c r="I4657" s="20">
        <f t="shared" si="218"/>
        <v>0</v>
      </c>
    </row>
    <row r="4658" spans="1:9">
      <c r="A4658" s="17" t="s">
        <v>1841</v>
      </c>
      <c r="B4658" s="17" t="s">
        <v>1753</v>
      </c>
      <c r="C4658" s="17">
        <v>0</v>
      </c>
      <c r="D4658" s="17" t="s">
        <v>801</v>
      </c>
      <c r="E4658" s="18">
        <v>8056099171796</v>
      </c>
      <c r="G4658" s="20" t="str">
        <f t="shared" si="216"/>
        <v xml:space="preserve"> FLAPMINIOFOLDER </v>
      </c>
      <c r="H4658" s="20" t="str">
        <f t="shared" si="217"/>
        <v>AJOCR</v>
      </c>
      <c r="I4658" s="20">
        <f t="shared" si="218"/>
        <v>0</v>
      </c>
    </row>
    <row r="4659" spans="1:9">
      <c r="A4659" s="17" t="s">
        <v>1841</v>
      </c>
      <c r="B4659" s="17" t="s">
        <v>1476</v>
      </c>
      <c r="C4659" s="17">
        <v>0</v>
      </c>
      <c r="D4659" s="17" t="s">
        <v>801</v>
      </c>
      <c r="E4659" s="18">
        <v>8056099171789</v>
      </c>
      <c r="G4659" s="20" t="str">
        <f t="shared" si="216"/>
        <v xml:space="preserve"> FLAPMINIOFOLDER </v>
      </c>
      <c r="H4659" s="20" t="str">
        <f t="shared" si="217"/>
        <v>AJWHI</v>
      </c>
      <c r="I4659" s="20">
        <f t="shared" si="218"/>
        <v>0</v>
      </c>
    </row>
    <row r="4660" spans="1:9">
      <c r="A4660" s="17" t="s">
        <v>1841</v>
      </c>
      <c r="B4660" s="17" t="s">
        <v>1476</v>
      </c>
      <c r="C4660" s="17">
        <v>0</v>
      </c>
      <c r="D4660" s="17" t="s">
        <v>801</v>
      </c>
      <c r="E4660" s="18">
        <v>3005321293008</v>
      </c>
      <c r="G4660" s="20" t="str">
        <f t="shared" si="216"/>
        <v xml:space="preserve"> FLAPMINIOFOLDER </v>
      </c>
      <c r="H4660" s="20" t="str">
        <f t="shared" si="217"/>
        <v>AJWHI</v>
      </c>
      <c r="I4660" s="20">
        <f t="shared" si="218"/>
        <v>0</v>
      </c>
    </row>
    <row r="4661" spans="1:9">
      <c r="A4661" s="17" t="s">
        <v>1841</v>
      </c>
      <c r="B4661" s="17" t="s">
        <v>857</v>
      </c>
      <c r="C4661" s="17">
        <v>0</v>
      </c>
      <c r="D4661" s="17" t="s">
        <v>801</v>
      </c>
      <c r="E4661" s="18">
        <v>8056099171826</v>
      </c>
      <c r="G4661" s="20" t="str">
        <f t="shared" si="216"/>
        <v xml:space="preserve"> FLAPMINIOFOLDER </v>
      </c>
      <c r="H4661" s="20" t="str">
        <f t="shared" si="217"/>
        <v>BLUET</v>
      </c>
      <c r="I4661" s="20">
        <f t="shared" si="218"/>
        <v>0</v>
      </c>
    </row>
    <row r="4662" spans="1:9">
      <c r="A4662" s="17" t="s">
        <v>1841</v>
      </c>
      <c r="B4662" s="17" t="s">
        <v>1276</v>
      </c>
      <c r="C4662" s="17">
        <v>0</v>
      </c>
      <c r="D4662" s="17" t="s">
        <v>801</v>
      </c>
      <c r="E4662" s="18">
        <v>3005321119001</v>
      </c>
      <c r="G4662" s="20" t="str">
        <f t="shared" si="216"/>
        <v xml:space="preserve"> FLAPMINIOFOLDER </v>
      </c>
      <c r="H4662" s="20" t="str">
        <f t="shared" si="217"/>
        <v>CANFR</v>
      </c>
      <c r="I4662" s="20">
        <f t="shared" si="218"/>
        <v>0</v>
      </c>
    </row>
    <row r="4663" spans="1:9">
      <c r="A4663" s="17" t="s">
        <v>1841</v>
      </c>
      <c r="B4663" s="17" t="s">
        <v>1276</v>
      </c>
      <c r="C4663" s="17">
        <v>0</v>
      </c>
      <c r="D4663" s="17" t="s">
        <v>801</v>
      </c>
      <c r="E4663" s="18">
        <v>8056095064658</v>
      </c>
      <c r="G4663" s="20" t="str">
        <f t="shared" si="216"/>
        <v xml:space="preserve"> FLAPMINIOFOLDER </v>
      </c>
      <c r="H4663" s="20" t="str">
        <f t="shared" si="217"/>
        <v>CANFR</v>
      </c>
      <c r="I4663" s="20">
        <f t="shared" si="218"/>
        <v>0</v>
      </c>
    </row>
    <row r="4664" spans="1:9">
      <c r="A4664" s="17" t="s">
        <v>1841</v>
      </c>
      <c r="B4664" s="17" t="s">
        <v>1337</v>
      </c>
      <c r="C4664" s="17">
        <v>0</v>
      </c>
      <c r="D4664" s="17" t="s">
        <v>801</v>
      </c>
      <c r="E4664" s="18">
        <v>8056099178320</v>
      </c>
      <c r="G4664" s="20" t="str">
        <f t="shared" si="216"/>
        <v xml:space="preserve"> FLAPMINIOFOLDER </v>
      </c>
      <c r="H4664" s="20" t="str">
        <f t="shared" si="217"/>
        <v>CARBW</v>
      </c>
      <c r="I4664" s="20">
        <f t="shared" si="218"/>
        <v>0</v>
      </c>
    </row>
    <row r="4665" spans="1:9">
      <c r="A4665" s="17" t="s">
        <v>1841</v>
      </c>
      <c r="B4665" s="17" t="s">
        <v>1061</v>
      </c>
      <c r="C4665" s="17">
        <v>0</v>
      </c>
      <c r="D4665" s="17" t="s">
        <v>801</v>
      </c>
      <c r="E4665" s="18">
        <v>3005320460005</v>
      </c>
      <c r="G4665" s="20" t="str">
        <f t="shared" si="216"/>
        <v xml:space="preserve"> FLAPMINIOFOLDER </v>
      </c>
      <c r="H4665" s="20" t="str">
        <f t="shared" si="217"/>
        <v xml:space="preserve">E    </v>
      </c>
      <c r="I4665" s="20">
        <f t="shared" si="218"/>
        <v>0</v>
      </c>
    </row>
    <row r="4666" spans="1:9">
      <c r="A4666" s="17" t="s">
        <v>1841</v>
      </c>
      <c r="B4666" s="17" t="s">
        <v>1203</v>
      </c>
      <c r="C4666" s="17">
        <v>0</v>
      </c>
      <c r="D4666" s="17" t="s">
        <v>801</v>
      </c>
      <c r="E4666" s="18">
        <v>8056099179815</v>
      </c>
      <c r="G4666" s="20" t="str">
        <f t="shared" si="216"/>
        <v xml:space="preserve"> FLAPMINIOFOLDER </v>
      </c>
      <c r="H4666" s="20" t="str">
        <f t="shared" si="217"/>
        <v>ECOAU</v>
      </c>
      <c r="I4666" s="20">
        <f t="shared" si="218"/>
        <v>0</v>
      </c>
    </row>
    <row r="4667" spans="1:9">
      <c r="A4667" s="17" t="s">
        <v>1841</v>
      </c>
      <c r="B4667" s="17" t="s">
        <v>1204</v>
      </c>
      <c r="C4667" s="17">
        <v>0</v>
      </c>
      <c r="D4667" s="17" t="s">
        <v>801</v>
      </c>
      <c r="E4667" s="18">
        <v>8056099178696</v>
      </c>
      <c r="G4667" s="20" t="str">
        <f t="shared" si="216"/>
        <v xml:space="preserve"> FLAPMINIOFOLDER </v>
      </c>
      <c r="H4667" s="20" t="str">
        <f t="shared" si="217"/>
        <v>ECOOT</v>
      </c>
      <c r="I4667" s="20">
        <f t="shared" si="218"/>
        <v>0</v>
      </c>
    </row>
    <row r="4668" spans="1:9">
      <c r="A4668" s="17" t="s">
        <v>1841</v>
      </c>
      <c r="B4668" s="17" t="s">
        <v>1205</v>
      </c>
      <c r="C4668" s="17">
        <v>0</v>
      </c>
      <c r="D4668" s="17" t="s">
        <v>801</v>
      </c>
      <c r="E4668" s="18">
        <v>3005321467003</v>
      </c>
      <c r="G4668" s="20" t="str">
        <f t="shared" si="216"/>
        <v xml:space="preserve"> FLAPMINIOFOLDER </v>
      </c>
      <c r="H4668" s="20" t="str">
        <f t="shared" si="217"/>
        <v>ECOVO</v>
      </c>
      <c r="I4668" s="20">
        <f t="shared" si="218"/>
        <v>0</v>
      </c>
    </row>
    <row r="4669" spans="1:9">
      <c r="A4669" s="17" t="s">
        <v>1841</v>
      </c>
      <c r="B4669" s="17" t="s">
        <v>1205</v>
      </c>
      <c r="C4669" s="17">
        <v>0</v>
      </c>
      <c r="D4669" s="17" t="s">
        <v>801</v>
      </c>
      <c r="E4669" s="18">
        <v>8050538590308</v>
      </c>
      <c r="G4669" s="20" t="str">
        <f t="shared" si="216"/>
        <v xml:space="preserve"> FLAPMINIOFOLDER </v>
      </c>
      <c r="H4669" s="20" t="str">
        <f t="shared" si="217"/>
        <v>ECOVO</v>
      </c>
      <c r="I4669" s="20">
        <f t="shared" si="218"/>
        <v>0</v>
      </c>
    </row>
    <row r="4670" spans="1:9">
      <c r="A4670" s="17" t="s">
        <v>1841</v>
      </c>
      <c r="B4670" s="17" t="s">
        <v>1277</v>
      </c>
      <c r="C4670" s="17">
        <v>0</v>
      </c>
      <c r="D4670" s="17" t="s">
        <v>801</v>
      </c>
      <c r="E4670" s="18">
        <v>3005320718007</v>
      </c>
      <c r="G4670" s="20" t="str">
        <f t="shared" si="216"/>
        <v xml:space="preserve"> FLAPMINIOFOLDER </v>
      </c>
      <c r="H4670" s="20" t="str">
        <f t="shared" si="217"/>
        <v>FOULA</v>
      </c>
      <c r="I4670" s="20">
        <f t="shared" si="218"/>
        <v>0</v>
      </c>
    </row>
    <row r="4671" spans="1:9">
      <c r="A4671" s="17" t="s">
        <v>1841</v>
      </c>
      <c r="B4671" s="17" t="s">
        <v>1277</v>
      </c>
      <c r="C4671" s="17">
        <v>0</v>
      </c>
      <c r="D4671" s="17" t="s">
        <v>801</v>
      </c>
      <c r="E4671" s="18">
        <v>8056095065303</v>
      </c>
      <c r="G4671" s="20" t="str">
        <f t="shared" si="216"/>
        <v xml:space="preserve"> FLAPMINIOFOLDER </v>
      </c>
      <c r="H4671" s="20" t="str">
        <f t="shared" si="217"/>
        <v>FOULA</v>
      </c>
      <c r="I4671" s="20">
        <f t="shared" si="218"/>
        <v>0</v>
      </c>
    </row>
    <row r="4672" spans="1:9">
      <c r="A4672" s="17" t="s">
        <v>1841</v>
      </c>
      <c r="B4672" s="17" t="s">
        <v>1040</v>
      </c>
      <c r="C4672" s="17">
        <v>0</v>
      </c>
      <c r="D4672" s="17" t="s">
        <v>801</v>
      </c>
      <c r="E4672" s="18">
        <v>8050538590872</v>
      </c>
      <c r="G4672" s="20" t="str">
        <f t="shared" si="216"/>
        <v xml:space="preserve"> FLAPMINIOFOLDER </v>
      </c>
      <c r="H4672" s="20" t="str">
        <f t="shared" si="217"/>
        <v>JACRO</v>
      </c>
      <c r="I4672" s="20">
        <f t="shared" si="218"/>
        <v>0</v>
      </c>
    </row>
    <row r="4673" spans="1:9">
      <c r="A4673" s="17" t="s">
        <v>1841</v>
      </c>
      <c r="B4673" s="17" t="s">
        <v>1191</v>
      </c>
      <c r="C4673" s="17">
        <v>0</v>
      </c>
      <c r="D4673" s="17" t="s">
        <v>801</v>
      </c>
      <c r="E4673" s="18">
        <v>8056099171819</v>
      </c>
      <c r="G4673" s="20" t="str">
        <f t="shared" si="216"/>
        <v xml:space="preserve"> FLAPMINIOFOLDER </v>
      </c>
      <c r="H4673" s="20" t="str">
        <f t="shared" si="217"/>
        <v xml:space="preserve">KIWI </v>
      </c>
      <c r="I4673" s="20">
        <f t="shared" si="218"/>
        <v>0</v>
      </c>
    </row>
    <row r="4674" spans="1:9">
      <c r="A4674" s="17" t="s">
        <v>1841</v>
      </c>
      <c r="B4674" s="17" t="s">
        <v>1377</v>
      </c>
      <c r="C4674" s="17">
        <v>0</v>
      </c>
      <c r="D4674" s="17" t="s">
        <v>801</v>
      </c>
      <c r="E4674" s="18">
        <v>8050538590674</v>
      </c>
      <c r="G4674" s="20" t="str">
        <f t="shared" si="216"/>
        <v xml:space="preserve"> FLAPMINIOFOLDER </v>
      </c>
      <c r="H4674" s="20" t="str">
        <f t="shared" si="217"/>
        <v>MATBL</v>
      </c>
      <c r="I4674" s="20">
        <f t="shared" si="218"/>
        <v>0</v>
      </c>
    </row>
    <row r="4675" spans="1:9">
      <c r="A4675" s="17" t="s">
        <v>1841</v>
      </c>
      <c r="B4675" s="17" t="s">
        <v>1378</v>
      </c>
      <c r="C4675" s="17">
        <v>0</v>
      </c>
      <c r="D4675" s="17" t="s">
        <v>801</v>
      </c>
      <c r="E4675" s="18">
        <v>8056099176838</v>
      </c>
      <c r="G4675" s="20" t="str">
        <f t="shared" si="216"/>
        <v xml:space="preserve"> FLAPMINIOFOLDER </v>
      </c>
      <c r="H4675" s="20" t="str">
        <f t="shared" si="217"/>
        <v>MATGR</v>
      </c>
      <c r="I4675" s="20">
        <f t="shared" si="218"/>
        <v>0</v>
      </c>
    </row>
    <row r="4676" spans="1:9">
      <c r="A4676" s="17" t="s">
        <v>1841</v>
      </c>
      <c r="B4676" s="17" t="s">
        <v>1548</v>
      </c>
      <c r="C4676" s="17">
        <v>0</v>
      </c>
      <c r="D4676" s="17" t="s">
        <v>801</v>
      </c>
      <c r="E4676" s="18">
        <v>8056099178719</v>
      </c>
      <c r="G4676" s="20" t="str">
        <f t="shared" si="216"/>
        <v xml:space="preserve"> FLAPMINIOFOLDER </v>
      </c>
      <c r="H4676" s="20" t="str">
        <f t="shared" si="217"/>
        <v>MATPH</v>
      </c>
      <c r="I4676" s="20">
        <f t="shared" si="218"/>
        <v>0</v>
      </c>
    </row>
    <row r="4677" spans="1:9">
      <c r="A4677" s="17" t="s">
        <v>1841</v>
      </c>
      <c r="B4677" s="17" t="s">
        <v>1554</v>
      </c>
      <c r="C4677" s="17">
        <v>0</v>
      </c>
      <c r="D4677" s="17" t="s">
        <v>801</v>
      </c>
      <c r="E4677" s="18">
        <v>3005321209009</v>
      </c>
      <c r="G4677" s="20" t="str">
        <f t="shared" ref="G4677:G4740" si="219">A4677</f>
        <v xml:space="preserve"> FLAPMINIOFOLDER </v>
      </c>
      <c r="H4677" s="20" t="str">
        <f t="shared" ref="H4677:H4740" si="220">B4677</f>
        <v>MOMBL</v>
      </c>
      <c r="I4677" s="20">
        <f t="shared" ref="I4677:I4740" si="221">C4677</f>
        <v>0</v>
      </c>
    </row>
    <row r="4678" spans="1:9">
      <c r="A4678" s="17" t="s">
        <v>1841</v>
      </c>
      <c r="B4678" s="17" t="s">
        <v>1842</v>
      </c>
      <c r="C4678" s="17">
        <v>0</v>
      </c>
      <c r="D4678" s="17" t="s">
        <v>801</v>
      </c>
      <c r="E4678" s="18">
        <v>3005321210005</v>
      </c>
      <c r="G4678" s="20" t="str">
        <f t="shared" si="219"/>
        <v xml:space="preserve"> FLAPMINIOFOLDER </v>
      </c>
      <c r="H4678" s="20" t="str">
        <f t="shared" si="220"/>
        <v>MOMPR</v>
      </c>
      <c r="I4678" s="20">
        <f t="shared" si="221"/>
        <v>0</v>
      </c>
    </row>
    <row r="4679" spans="1:9">
      <c r="A4679" s="17" t="s">
        <v>1841</v>
      </c>
      <c r="B4679" s="17" t="s">
        <v>815</v>
      </c>
      <c r="C4679" s="17">
        <v>0</v>
      </c>
      <c r="D4679" s="17" t="s">
        <v>801</v>
      </c>
      <c r="E4679" s="18">
        <v>8056099179099</v>
      </c>
      <c r="G4679" s="20" t="str">
        <f t="shared" si="219"/>
        <v xml:space="preserve"> FLAPMINIOFOLDER </v>
      </c>
      <c r="H4679" s="20" t="str">
        <f t="shared" si="220"/>
        <v>OPTWH</v>
      </c>
      <c r="I4679" s="20">
        <f t="shared" si="221"/>
        <v>0</v>
      </c>
    </row>
    <row r="4680" spans="1:9">
      <c r="A4680" s="17" t="s">
        <v>1841</v>
      </c>
      <c r="B4680" s="17" t="s">
        <v>1843</v>
      </c>
      <c r="C4680" s="17">
        <v>0</v>
      </c>
      <c r="D4680" s="17" t="s">
        <v>801</v>
      </c>
      <c r="E4680" s="18">
        <v>3005321208002</v>
      </c>
      <c r="G4680" s="20" t="str">
        <f t="shared" si="219"/>
        <v xml:space="preserve"> FLAPMINIOFOLDER </v>
      </c>
      <c r="H4680" s="20" t="str">
        <f t="shared" si="220"/>
        <v>SATER</v>
      </c>
      <c r="I4680" s="20">
        <f t="shared" si="221"/>
        <v>0</v>
      </c>
    </row>
    <row r="4681" spans="1:9">
      <c r="A4681" s="17" t="s">
        <v>1841</v>
      </c>
      <c r="B4681" s="17" t="s">
        <v>840</v>
      </c>
      <c r="C4681" s="17">
        <v>0</v>
      </c>
      <c r="D4681" s="17" t="s">
        <v>801</v>
      </c>
      <c r="E4681" s="18">
        <v>8056095064184</v>
      </c>
      <c r="G4681" s="20" t="str">
        <f t="shared" si="219"/>
        <v xml:space="preserve"> FLAPMINIOFOLDER </v>
      </c>
      <c r="H4681" s="20" t="str">
        <f t="shared" si="220"/>
        <v>SAUGE</v>
      </c>
      <c r="I4681" s="20">
        <f t="shared" si="221"/>
        <v>0</v>
      </c>
    </row>
    <row r="4682" spans="1:9">
      <c r="A4682" s="17" t="s">
        <v>1841</v>
      </c>
      <c r="B4682" s="17" t="s">
        <v>840</v>
      </c>
      <c r="C4682" s="17">
        <v>0</v>
      </c>
      <c r="D4682" s="17" t="s">
        <v>801</v>
      </c>
      <c r="E4682" s="18">
        <v>3005320403002</v>
      </c>
      <c r="G4682" s="20" t="str">
        <f t="shared" si="219"/>
        <v xml:space="preserve"> FLAPMINIOFOLDER </v>
      </c>
      <c r="H4682" s="20" t="str">
        <f t="shared" si="220"/>
        <v>SAUGE</v>
      </c>
      <c r="I4682" s="20">
        <f t="shared" si="221"/>
        <v>0</v>
      </c>
    </row>
    <row r="4683" spans="1:9">
      <c r="A4683" s="17" t="s">
        <v>1841</v>
      </c>
      <c r="B4683" s="17" t="s">
        <v>1080</v>
      </c>
      <c r="C4683" s="17">
        <v>0</v>
      </c>
      <c r="D4683" s="17" t="s">
        <v>801</v>
      </c>
      <c r="E4683" s="18">
        <v>8056099171802</v>
      </c>
      <c r="G4683" s="20" t="str">
        <f t="shared" si="219"/>
        <v xml:space="preserve"> FLAPMINIOFOLDER </v>
      </c>
      <c r="H4683" s="20" t="str">
        <f t="shared" si="220"/>
        <v>TERRA</v>
      </c>
      <c r="I4683" s="20">
        <f t="shared" si="221"/>
        <v>0</v>
      </c>
    </row>
    <row r="4684" spans="1:9">
      <c r="A4684" s="17" t="s">
        <v>1841</v>
      </c>
      <c r="B4684" s="17" t="s">
        <v>873</v>
      </c>
      <c r="C4684" s="17">
        <v>0</v>
      </c>
      <c r="D4684" s="17" t="s">
        <v>801</v>
      </c>
      <c r="E4684" s="18">
        <v>8056095064191</v>
      </c>
      <c r="G4684" s="20" t="str">
        <f t="shared" si="219"/>
        <v xml:space="preserve"> FLAPMINIOFOLDER </v>
      </c>
      <c r="H4684" s="20" t="str">
        <f t="shared" si="220"/>
        <v>TORTO</v>
      </c>
      <c r="I4684" s="20">
        <f t="shared" si="221"/>
        <v>0</v>
      </c>
    </row>
    <row r="4685" spans="1:9">
      <c r="A4685" s="17" t="s">
        <v>1841</v>
      </c>
      <c r="B4685" s="17" t="s">
        <v>873</v>
      </c>
      <c r="C4685" s="17">
        <v>0</v>
      </c>
      <c r="D4685" s="17" t="s">
        <v>801</v>
      </c>
      <c r="E4685" s="18">
        <v>3005321100009</v>
      </c>
      <c r="G4685" s="20" t="str">
        <f t="shared" si="219"/>
        <v xml:space="preserve"> FLAPMINIOFOLDER </v>
      </c>
      <c r="H4685" s="20" t="str">
        <f t="shared" si="220"/>
        <v>TORTO</v>
      </c>
      <c r="I4685" s="20">
        <f t="shared" si="221"/>
        <v>0</v>
      </c>
    </row>
    <row r="4686" spans="1:9">
      <c r="A4686" s="17" t="s">
        <v>1841</v>
      </c>
      <c r="B4686" s="17" t="s">
        <v>1417</v>
      </c>
      <c r="C4686" s="17">
        <v>0</v>
      </c>
      <c r="D4686" s="17" t="s">
        <v>801</v>
      </c>
      <c r="E4686" s="18">
        <v>8050538591336</v>
      </c>
      <c r="G4686" s="20" t="str">
        <f t="shared" si="219"/>
        <v xml:space="preserve"> FLAPMINIOFOLDER </v>
      </c>
      <c r="H4686" s="20" t="str">
        <f t="shared" si="220"/>
        <v>VELAI</v>
      </c>
      <c r="I4686" s="20">
        <f t="shared" si="221"/>
        <v>0</v>
      </c>
    </row>
    <row r="4687" spans="1:9">
      <c r="A4687" s="17" t="s">
        <v>1844</v>
      </c>
      <c r="B4687" s="17" t="s">
        <v>809</v>
      </c>
      <c r="C4687" s="17">
        <v>0</v>
      </c>
      <c r="D4687" s="17" t="s">
        <v>801</v>
      </c>
      <c r="E4687" s="18">
        <v>8050846013346</v>
      </c>
      <c r="G4687" s="20" t="str">
        <f t="shared" si="219"/>
        <v xml:space="preserve"> FLAPNOEL2017    </v>
      </c>
      <c r="H4687" s="20" t="str">
        <f t="shared" si="220"/>
        <v>AUBER</v>
      </c>
      <c r="I4687" s="20">
        <f t="shared" si="221"/>
        <v>0</v>
      </c>
    </row>
    <row r="4688" spans="1:9">
      <c r="A4688" s="17" t="s">
        <v>1844</v>
      </c>
      <c r="B4688" s="17" t="s">
        <v>818</v>
      </c>
      <c r="C4688" s="17">
        <v>0</v>
      </c>
      <c r="D4688" s="17" t="s">
        <v>801</v>
      </c>
      <c r="E4688" s="18">
        <v>8050846013339</v>
      </c>
      <c r="G4688" s="20" t="str">
        <f t="shared" si="219"/>
        <v xml:space="preserve"> FLAPNOEL2017    </v>
      </c>
      <c r="H4688" s="20" t="str">
        <f t="shared" si="220"/>
        <v xml:space="preserve">BDX  </v>
      </c>
      <c r="I4688" s="20">
        <f t="shared" si="221"/>
        <v>0</v>
      </c>
    </row>
    <row r="4689" spans="1:9">
      <c r="A4689" s="17" t="s">
        <v>1844</v>
      </c>
      <c r="B4689" s="17" t="s">
        <v>280</v>
      </c>
      <c r="C4689" s="17">
        <v>0</v>
      </c>
      <c r="D4689" s="17" t="s">
        <v>801</v>
      </c>
      <c r="E4689" s="18">
        <v>8050846013353</v>
      </c>
      <c r="G4689" s="20" t="str">
        <f t="shared" si="219"/>
        <v xml:space="preserve"> FLAPNOEL2017    </v>
      </c>
      <c r="H4689" s="20" t="str">
        <f t="shared" si="220"/>
        <v>BLACK</v>
      </c>
      <c r="I4689" s="20">
        <f t="shared" si="221"/>
        <v>0</v>
      </c>
    </row>
    <row r="4690" spans="1:9">
      <c r="A4690" s="17" t="s">
        <v>1844</v>
      </c>
      <c r="B4690" s="17" t="s">
        <v>1026</v>
      </c>
      <c r="C4690" s="17">
        <v>0</v>
      </c>
      <c r="D4690" s="17" t="s">
        <v>801</v>
      </c>
      <c r="E4690" s="18">
        <v>8050846013377</v>
      </c>
      <c r="G4690" s="20" t="str">
        <f t="shared" si="219"/>
        <v xml:space="preserve"> FLAPNOEL2017    </v>
      </c>
      <c r="H4690" s="20" t="str">
        <f t="shared" si="220"/>
        <v>BLUAV</v>
      </c>
      <c r="I4690" s="20">
        <f t="shared" si="221"/>
        <v>0</v>
      </c>
    </row>
    <row r="4691" spans="1:9">
      <c r="A4691" s="17" t="s">
        <v>1844</v>
      </c>
      <c r="B4691" s="17" t="s">
        <v>857</v>
      </c>
      <c r="C4691" s="17">
        <v>0</v>
      </c>
      <c r="D4691" s="17" t="s">
        <v>801</v>
      </c>
      <c r="E4691" s="18">
        <v>8050846013360</v>
      </c>
      <c r="G4691" s="20" t="str">
        <f t="shared" si="219"/>
        <v xml:space="preserve"> FLAPNOEL2017    </v>
      </c>
      <c r="H4691" s="20" t="str">
        <f t="shared" si="220"/>
        <v>BLUET</v>
      </c>
      <c r="I4691" s="20">
        <f t="shared" si="221"/>
        <v>0</v>
      </c>
    </row>
    <row r="4692" spans="1:9">
      <c r="A4692" s="17" t="s">
        <v>1844</v>
      </c>
      <c r="B4692" s="17" t="s">
        <v>283</v>
      </c>
      <c r="C4692" s="17">
        <v>0</v>
      </c>
      <c r="D4692" s="17" t="s">
        <v>801</v>
      </c>
      <c r="E4692" s="18">
        <v>8050846013322</v>
      </c>
      <c r="G4692" s="20" t="str">
        <f t="shared" si="219"/>
        <v xml:space="preserve"> FLAPNOEL2017    </v>
      </c>
      <c r="H4692" s="20" t="str">
        <f t="shared" si="220"/>
        <v>PHARD</v>
      </c>
      <c r="I4692" s="20">
        <f t="shared" si="221"/>
        <v>0</v>
      </c>
    </row>
    <row r="4693" spans="1:9">
      <c r="A4693" s="17" t="s">
        <v>1845</v>
      </c>
      <c r="B4693" s="17" t="s">
        <v>280</v>
      </c>
      <c r="C4693" s="17">
        <v>0</v>
      </c>
      <c r="D4693" s="17" t="s">
        <v>801</v>
      </c>
      <c r="E4693" s="18">
        <v>8050450219424</v>
      </c>
      <c r="G4693" s="20" t="str">
        <f t="shared" si="219"/>
        <v xml:space="preserve"> FLAPOFOLDER     </v>
      </c>
      <c r="H4693" s="20" t="str">
        <f t="shared" si="220"/>
        <v>BLACK</v>
      </c>
      <c r="I4693" s="20">
        <f t="shared" si="221"/>
        <v>0</v>
      </c>
    </row>
    <row r="4694" spans="1:9">
      <c r="A4694" s="17" t="s">
        <v>1845</v>
      </c>
      <c r="B4694" s="17" t="s">
        <v>280</v>
      </c>
      <c r="C4694" s="17">
        <v>0</v>
      </c>
      <c r="D4694" s="17" t="s">
        <v>801</v>
      </c>
      <c r="E4694" s="18">
        <v>3004030557005</v>
      </c>
      <c r="G4694" s="20" t="str">
        <f t="shared" si="219"/>
        <v xml:space="preserve"> FLAPOFOLDER     </v>
      </c>
      <c r="H4694" s="20" t="str">
        <f t="shared" si="220"/>
        <v>BLACK</v>
      </c>
      <c r="I4694" s="20">
        <f t="shared" si="221"/>
        <v>0</v>
      </c>
    </row>
    <row r="4695" spans="1:9">
      <c r="A4695" s="17" t="s">
        <v>1845</v>
      </c>
      <c r="B4695" s="17" t="s">
        <v>1757</v>
      </c>
      <c r="C4695" s="17">
        <v>0</v>
      </c>
      <c r="D4695" s="17" t="s">
        <v>801</v>
      </c>
      <c r="E4695" s="18">
        <v>3004730274004</v>
      </c>
      <c r="G4695" s="20" t="str">
        <f t="shared" si="219"/>
        <v xml:space="preserve"> FLAPOFOLDER     </v>
      </c>
      <c r="H4695" s="20" t="str">
        <f t="shared" si="220"/>
        <v>CANGR</v>
      </c>
      <c r="I4695" s="20">
        <f t="shared" si="221"/>
        <v>0</v>
      </c>
    </row>
    <row r="4696" spans="1:9">
      <c r="A4696" s="17" t="s">
        <v>1845</v>
      </c>
      <c r="B4696" s="17" t="s">
        <v>880</v>
      </c>
      <c r="C4696" s="17">
        <v>0</v>
      </c>
      <c r="D4696" s="17" t="s">
        <v>801</v>
      </c>
      <c r="E4696" s="18">
        <v>3004030558002</v>
      </c>
      <c r="G4696" s="20" t="str">
        <f t="shared" si="219"/>
        <v xml:space="preserve"> FLAPOFOLDER     </v>
      </c>
      <c r="H4696" s="20" t="str">
        <f t="shared" si="220"/>
        <v xml:space="preserve">CBBL </v>
      </c>
      <c r="I4696" s="20">
        <f t="shared" si="221"/>
        <v>0</v>
      </c>
    </row>
    <row r="4697" spans="1:9">
      <c r="A4697" s="17" t="s">
        <v>1845</v>
      </c>
      <c r="B4697" s="17" t="s">
        <v>880</v>
      </c>
      <c r="C4697" s="17">
        <v>0</v>
      </c>
      <c r="D4697" s="17" t="s">
        <v>801</v>
      </c>
      <c r="E4697" s="18">
        <v>3004730207002</v>
      </c>
      <c r="G4697" s="20" t="str">
        <f t="shared" si="219"/>
        <v xml:space="preserve"> FLAPOFOLDER     </v>
      </c>
      <c r="H4697" s="20" t="str">
        <f t="shared" si="220"/>
        <v xml:space="preserve">CBBL </v>
      </c>
      <c r="I4697" s="20">
        <f t="shared" si="221"/>
        <v>0</v>
      </c>
    </row>
    <row r="4698" spans="1:9">
      <c r="A4698" s="17" t="s">
        <v>1845</v>
      </c>
      <c r="B4698" s="17" t="s">
        <v>1761</v>
      </c>
      <c r="C4698" s="17">
        <v>0</v>
      </c>
      <c r="D4698" s="17" t="s">
        <v>801</v>
      </c>
      <c r="E4698" s="18">
        <v>3004730292008</v>
      </c>
      <c r="G4698" s="20" t="str">
        <f t="shared" si="219"/>
        <v xml:space="preserve"> FLAPOFOLDER     </v>
      </c>
      <c r="H4698" s="20" t="str">
        <f t="shared" si="220"/>
        <v>CRBEI</v>
      </c>
      <c r="I4698" s="20">
        <f t="shared" si="221"/>
        <v>0</v>
      </c>
    </row>
    <row r="4699" spans="1:9">
      <c r="A4699" s="17" t="s">
        <v>1845</v>
      </c>
      <c r="B4699" s="17" t="s">
        <v>1761</v>
      </c>
      <c r="C4699" s="17">
        <v>0</v>
      </c>
      <c r="D4699" s="17" t="s">
        <v>801</v>
      </c>
      <c r="E4699" s="18">
        <v>3004670233000</v>
      </c>
      <c r="G4699" s="20" t="str">
        <f t="shared" si="219"/>
        <v xml:space="preserve"> FLAPOFOLDER     </v>
      </c>
      <c r="H4699" s="20" t="str">
        <f t="shared" si="220"/>
        <v>CRBEI</v>
      </c>
      <c r="I4699" s="20">
        <f t="shared" si="221"/>
        <v>0</v>
      </c>
    </row>
    <row r="4700" spans="1:9">
      <c r="A4700" s="17" t="s">
        <v>1845</v>
      </c>
      <c r="B4700" s="17" t="s">
        <v>1153</v>
      </c>
      <c r="C4700" s="17">
        <v>0</v>
      </c>
      <c r="D4700" s="17" t="s">
        <v>801</v>
      </c>
      <c r="E4700" s="18">
        <v>3004730251005</v>
      </c>
      <c r="G4700" s="20" t="str">
        <f t="shared" si="219"/>
        <v xml:space="preserve"> FLAPOFOLDER     </v>
      </c>
      <c r="H4700" s="20" t="str">
        <f t="shared" si="220"/>
        <v xml:space="preserve">CUIB </v>
      </c>
      <c r="I4700" s="20">
        <f t="shared" si="221"/>
        <v>0</v>
      </c>
    </row>
    <row r="4701" spans="1:9">
      <c r="A4701" s="17" t="s">
        <v>1845</v>
      </c>
      <c r="B4701" s="17" t="s">
        <v>1046</v>
      </c>
      <c r="C4701" s="17">
        <v>0</v>
      </c>
      <c r="D4701" s="17" t="s">
        <v>801</v>
      </c>
      <c r="E4701" s="18">
        <v>3004030504009</v>
      </c>
      <c r="G4701" s="20" t="str">
        <f t="shared" si="219"/>
        <v xml:space="preserve"> FLAPOFOLDER     </v>
      </c>
      <c r="H4701" s="20" t="str">
        <f t="shared" si="220"/>
        <v>CUIBL</v>
      </c>
      <c r="I4701" s="20">
        <f t="shared" si="221"/>
        <v>0</v>
      </c>
    </row>
    <row r="4702" spans="1:9">
      <c r="A4702" s="17" t="s">
        <v>1845</v>
      </c>
      <c r="B4702" s="17" t="s">
        <v>1046</v>
      </c>
      <c r="C4702" s="17">
        <v>0</v>
      </c>
      <c r="D4702" s="17" t="s">
        <v>801</v>
      </c>
      <c r="E4702" s="18">
        <v>8058983590157</v>
      </c>
      <c r="G4702" s="20" t="str">
        <f t="shared" si="219"/>
        <v xml:space="preserve"> FLAPOFOLDER     </v>
      </c>
      <c r="H4702" s="20" t="str">
        <f t="shared" si="220"/>
        <v>CUIBL</v>
      </c>
      <c r="I4702" s="20">
        <f t="shared" si="221"/>
        <v>0</v>
      </c>
    </row>
    <row r="4703" spans="1:9">
      <c r="A4703" s="17" t="s">
        <v>1845</v>
      </c>
      <c r="B4703" s="17" t="s">
        <v>1846</v>
      </c>
      <c r="C4703" s="17">
        <v>0</v>
      </c>
      <c r="D4703" s="17" t="s">
        <v>801</v>
      </c>
      <c r="E4703" s="18">
        <v>3004730232004</v>
      </c>
      <c r="G4703" s="20" t="str">
        <f t="shared" si="219"/>
        <v xml:space="preserve"> FLAPOFOLDER     </v>
      </c>
      <c r="H4703" s="20" t="str">
        <f t="shared" si="220"/>
        <v xml:space="preserve">CUIG </v>
      </c>
      <c r="I4703" s="20">
        <f t="shared" si="221"/>
        <v>0</v>
      </c>
    </row>
    <row r="4704" spans="1:9">
      <c r="A4704" s="17" t="s">
        <v>1845</v>
      </c>
      <c r="B4704" s="17" t="s">
        <v>1846</v>
      </c>
      <c r="C4704" s="17">
        <v>0</v>
      </c>
      <c r="D4704" s="17" t="s">
        <v>801</v>
      </c>
      <c r="E4704" s="18">
        <v>3004670232003</v>
      </c>
      <c r="G4704" s="20" t="str">
        <f t="shared" si="219"/>
        <v xml:space="preserve"> FLAPOFOLDER     </v>
      </c>
      <c r="H4704" s="20" t="str">
        <f t="shared" si="220"/>
        <v xml:space="preserve">CUIG </v>
      </c>
      <c r="I4704" s="20">
        <f t="shared" si="221"/>
        <v>0</v>
      </c>
    </row>
    <row r="4705" spans="1:9">
      <c r="A4705" s="17" t="s">
        <v>1845</v>
      </c>
      <c r="B4705" s="17" t="s">
        <v>1047</v>
      </c>
      <c r="C4705" s="17">
        <v>0</v>
      </c>
      <c r="D4705" s="17" t="s">
        <v>801</v>
      </c>
      <c r="E4705" s="18">
        <v>8058983590850</v>
      </c>
      <c r="G4705" s="20" t="str">
        <f t="shared" si="219"/>
        <v xml:space="preserve"> FLAPOFOLDER     </v>
      </c>
      <c r="H4705" s="20" t="str">
        <f t="shared" si="220"/>
        <v>CUIMA</v>
      </c>
      <c r="I4705" s="20">
        <f t="shared" si="221"/>
        <v>0</v>
      </c>
    </row>
    <row r="4706" spans="1:9">
      <c r="A4706" s="17" t="s">
        <v>1845</v>
      </c>
      <c r="B4706" s="17" t="s">
        <v>1047</v>
      </c>
      <c r="C4706" s="17">
        <v>0</v>
      </c>
      <c r="D4706" s="17" t="s">
        <v>801</v>
      </c>
      <c r="E4706" s="18">
        <v>3004730236002</v>
      </c>
      <c r="G4706" s="20" t="str">
        <f t="shared" si="219"/>
        <v xml:space="preserve"> FLAPOFOLDER     </v>
      </c>
      <c r="H4706" s="20" t="str">
        <f t="shared" si="220"/>
        <v>CUIMA</v>
      </c>
      <c r="I4706" s="20">
        <f t="shared" si="221"/>
        <v>0</v>
      </c>
    </row>
    <row r="4707" spans="1:9">
      <c r="A4707" s="17" t="s">
        <v>1845</v>
      </c>
      <c r="B4707" s="17" t="s">
        <v>1096</v>
      </c>
      <c r="C4707" s="17">
        <v>0</v>
      </c>
      <c r="D4707" s="17" t="s">
        <v>801</v>
      </c>
      <c r="E4707" s="18">
        <v>3004730385007</v>
      </c>
      <c r="G4707" s="20" t="str">
        <f t="shared" si="219"/>
        <v xml:space="preserve"> FLAPOFOLDER     </v>
      </c>
      <c r="H4707" s="20" t="str">
        <f t="shared" si="220"/>
        <v>CUINA</v>
      </c>
      <c r="I4707" s="20">
        <f t="shared" si="221"/>
        <v>0</v>
      </c>
    </row>
    <row r="4708" spans="1:9">
      <c r="A4708" s="17" t="s">
        <v>1845</v>
      </c>
      <c r="B4708" s="17" t="s">
        <v>1847</v>
      </c>
      <c r="C4708" s="17">
        <v>0</v>
      </c>
      <c r="D4708" s="17" t="s">
        <v>801</v>
      </c>
      <c r="E4708" s="18">
        <v>3004030604006</v>
      </c>
      <c r="G4708" s="20" t="str">
        <f t="shared" si="219"/>
        <v xml:space="preserve"> FLAPOFOLDER     </v>
      </c>
      <c r="H4708" s="20" t="str">
        <f t="shared" si="220"/>
        <v>CUITE</v>
      </c>
      <c r="I4708" s="20">
        <f t="shared" si="221"/>
        <v>0</v>
      </c>
    </row>
    <row r="4709" spans="1:9">
      <c r="A4709" s="17" t="s">
        <v>1845</v>
      </c>
      <c r="B4709" s="17" t="s">
        <v>1847</v>
      </c>
      <c r="C4709" s="17">
        <v>0</v>
      </c>
      <c r="D4709" s="17" t="s">
        <v>801</v>
      </c>
      <c r="E4709" s="18">
        <v>8050450213156</v>
      </c>
      <c r="G4709" s="20" t="str">
        <f t="shared" si="219"/>
        <v xml:space="preserve"> FLAPOFOLDER     </v>
      </c>
      <c r="H4709" s="20" t="str">
        <f t="shared" si="220"/>
        <v>CUITE</v>
      </c>
      <c r="I4709" s="20">
        <f t="shared" si="221"/>
        <v>0</v>
      </c>
    </row>
    <row r="4710" spans="1:9">
      <c r="A4710" s="17" t="s">
        <v>1845</v>
      </c>
      <c r="B4710" s="17" t="s">
        <v>1183</v>
      </c>
      <c r="C4710" s="17">
        <v>0</v>
      </c>
      <c r="D4710" s="17" t="s">
        <v>801</v>
      </c>
      <c r="E4710" s="18">
        <v>3004030712008</v>
      </c>
      <c r="G4710" s="20" t="str">
        <f t="shared" si="219"/>
        <v xml:space="preserve"> FLAPOFOLDER     </v>
      </c>
      <c r="H4710" s="20" t="str">
        <f t="shared" si="220"/>
        <v>CUIVE</v>
      </c>
      <c r="I4710" s="20">
        <f t="shared" si="221"/>
        <v>0</v>
      </c>
    </row>
    <row r="4711" spans="1:9">
      <c r="A4711" s="17" t="s">
        <v>1845</v>
      </c>
      <c r="B4711" s="17" t="s">
        <v>1183</v>
      </c>
      <c r="C4711" s="17">
        <v>0</v>
      </c>
      <c r="D4711" s="17" t="s">
        <v>801</v>
      </c>
      <c r="E4711" s="18">
        <v>8058983590126</v>
      </c>
      <c r="G4711" s="20" t="str">
        <f t="shared" si="219"/>
        <v xml:space="preserve"> FLAPOFOLDER     </v>
      </c>
      <c r="H4711" s="20" t="str">
        <f t="shared" si="220"/>
        <v>CUIVE</v>
      </c>
      <c r="I4711" s="20">
        <f t="shared" si="221"/>
        <v>0</v>
      </c>
    </row>
    <row r="4712" spans="1:9">
      <c r="A4712" s="17" t="s">
        <v>1845</v>
      </c>
      <c r="B4712" s="17" t="s">
        <v>1049</v>
      </c>
      <c r="C4712" s="17">
        <v>0</v>
      </c>
      <c r="D4712" s="17" t="s">
        <v>801</v>
      </c>
      <c r="E4712" s="18">
        <v>3004030603009</v>
      </c>
      <c r="G4712" s="20" t="str">
        <f t="shared" si="219"/>
        <v xml:space="preserve"> FLAPOFOLDER     </v>
      </c>
      <c r="H4712" s="20" t="str">
        <f t="shared" si="220"/>
        <v>CUIVI</v>
      </c>
      <c r="I4712" s="20">
        <f t="shared" si="221"/>
        <v>0</v>
      </c>
    </row>
    <row r="4713" spans="1:9">
      <c r="A4713" s="17" t="s">
        <v>1845</v>
      </c>
      <c r="B4713" s="17" t="s">
        <v>1049</v>
      </c>
      <c r="C4713" s="17">
        <v>0</v>
      </c>
      <c r="D4713" s="17" t="s">
        <v>801</v>
      </c>
      <c r="E4713" s="18">
        <v>8050450213149</v>
      </c>
      <c r="G4713" s="20" t="str">
        <f t="shared" si="219"/>
        <v xml:space="preserve"> FLAPOFOLDER     </v>
      </c>
      <c r="H4713" s="20" t="str">
        <f t="shared" si="220"/>
        <v>CUIVI</v>
      </c>
      <c r="I4713" s="20">
        <f t="shared" si="221"/>
        <v>0</v>
      </c>
    </row>
    <row r="4714" spans="1:9">
      <c r="A4714" s="17" t="s">
        <v>1845</v>
      </c>
      <c r="B4714" s="17" t="s">
        <v>1051</v>
      </c>
      <c r="C4714" s="17">
        <v>0</v>
      </c>
      <c r="D4714" s="17" t="s">
        <v>801</v>
      </c>
      <c r="E4714" s="18">
        <v>3004730208009</v>
      </c>
      <c r="G4714" s="20" t="str">
        <f t="shared" si="219"/>
        <v xml:space="preserve"> FLAPOFOLDER     </v>
      </c>
      <c r="H4714" s="20" t="str">
        <f t="shared" si="220"/>
        <v>ECBBR</v>
      </c>
      <c r="I4714" s="20">
        <f t="shared" si="221"/>
        <v>0</v>
      </c>
    </row>
    <row r="4715" spans="1:9">
      <c r="A4715" s="17" t="s">
        <v>1845</v>
      </c>
      <c r="B4715" s="17" t="s">
        <v>1848</v>
      </c>
      <c r="C4715" s="17">
        <v>0</v>
      </c>
      <c r="D4715" s="17" t="s">
        <v>801</v>
      </c>
      <c r="E4715" s="18">
        <v>3004730275001</v>
      </c>
      <c r="G4715" s="20" t="str">
        <f t="shared" si="219"/>
        <v xml:space="preserve"> FLAPOFOLDER     </v>
      </c>
      <c r="H4715" s="20" t="str">
        <f t="shared" si="220"/>
        <v>ECOCB</v>
      </c>
      <c r="I4715" s="20">
        <f t="shared" si="221"/>
        <v>0</v>
      </c>
    </row>
    <row r="4716" spans="1:9">
      <c r="A4716" s="17" t="s">
        <v>1845</v>
      </c>
      <c r="B4716" s="17" t="s">
        <v>1055</v>
      </c>
      <c r="C4716" s="17">
        <v>0</v>
      </c>
      <c r="D4716" s="17" t="s">
        <v>801</v>
      </c>
      <c r="E4716" s="18">
        <v>3004730205008</v>
      </c>
      <c r="G4716" s="20" t="str">
        <f t="shared" si="219"/>
        <v xml:space="preserve"> FLAPOFOLDER     </v>
      </c>
      <c r="H4716" s="20" t="str">
        <f t="shared" si="220"/>
        <v>ECONA</v>
      </c>
      <c r="I4716" s="20">
        <f t="shared" si="221"/>
        <v>0</v>
      </c>
    </row>
    <row r="4717" spans="1:9">
      <c r="A4717" s="17" t="s">
        <v>1845</v>
      </c>
      <c r="B4717" s="17" t="s">
        <v>1849</v>
      </c>
      <c r="C4717" s="17">
        <v>0</v>
      </c>
      <c r="D4717" s="17" t="s">
        <v>801</v>
      </c>
      <c r="E4717" s="18">
        <v>3004030710004</v>
      </c>
      <c r="G4717" s="20" t="str">
        <f t="shared" si="219"/>
        <v xml:space="preserve"> FLAPOFOLDER     </v>
      </c>
      <c r="H4717" s="20" t="str">
        <f t="shared" si="220"/>
        <v>GHINA</v>
      </c>
      <c r="I4717" s="20">
        <f t="shared" si="221"/>
        <v>0</v>
      </c>
    </row>
    <row r="4718" spans="1:9">
      <c r="A4718" s="17" t="s">
        <v>1845</v>
      </c>
      <c r="B4718" s="17" t="s">
        <v>834</v>
      </c>
      <c r="C4718" s="17">
        <v>0</v>
      </c>
      <c r="D4718" s="17" t="s">
        <v>801</v>
      </c>
      <c r="E4718" s="18">
        <v>3004030794004</v>
      </c>
      <c r="G4718" s="20" t="str">
        <f t="shared" si="219"/>
        <v xml:space="preserve"> FLAPOFOLDER     </v>
      </c>
      <c r="H4718" s="20" t="str">
        <f t="shared" si="220"/>
        <v>GOACQ</v>
      </c>
      <c r="I4718" s="20">
        <f t="shared" si="221"/>
        <v>0</v>
      </c>
    </row>
    <row r="4719" spans="1:9">
      <c r="A4719" s="17" t="s">
        <v>1845</v>
      </c>
      <c r="B4719" s="17" t="s">
        <v>1062</v>
      </c>
      <c r="C4719" s="17">
        <v>0</v>
      </c>
      <c r="D4719" s="17" t="s">
        <v>801</v>
      </c>
      <c r="E4719" s="18">
        <v>3004030798002</v>
      </c>
      <c r="G4719" s="20" t="str">
        <f t="shared" si="219"/>
        <v xml:space="preserve"> FLAPOFOLDER     </v>
      </c>
      <c r="H4719" s="20" t="str">
        <f t="shared" si="220"/>
        <v>GOBLA</v>
      </c>
      <c r="I4719" s="20">
        <f t="shared" si="221"/>
        <v>0</v>
      </c>
    </row>
    <row r="4720" spans="1:9">
      <c r="A4720" s="17" t="s">
        <v>1845</v>
      </c>
      <c r="B4720" s="17" t="s">
        <v>1064</v>
      </c>
      <c r="C4720" s="17">
        <v>0</v>
      </c>
      <c r="D4720" s="17" t="s">
        <v>801</v>
      </c>
      <c r="E4720" s="18">
        <v>3004030797005</v>
      </c>
      <c r="G4720" s="20" t="str">
        <f t="shared" si="219"/>
        <v xml:space="preserve"> FLAPOFOLDER     </v>
      </c>
      <c r="H4720" s="20" t="str">
        <f t="shared" si="220"/>
        <v>GOGRE</v>
      </c>
      <c r="I4720" s="20">
        <f t="shared" si="221"/>
        <v>0</v>
      </c>
    </row>
    <row r="4721" spans="1:9">
      <c r="A4721" s="17" t="s">
        <v>1845</v>
      </c>
      <c r="B4721" s="17" t="s">
        <v>835</v>
      </c>
      <c r="C4721" s="17">
        <v>0</v>
      </c>
      <c r="D4721" s="17" t="s">
        <v>801</v>
      </c>
      <c r="E4721" s="18">
        <v>3004030796008</v>
      </c>
      <c r="G4721" s="20" t="str">
        <f t="shared" si="219"/>
        <v xml:space="preserve"> FLAPOFOLDER     </v>
      </c>
      <c r="H4721" s="20" t="str">
        <f t="shared" si="220"/>
        <v>GOICE</v>
      </c>
      <c r="I4721" s="20">
        <f t="shared" si="221"/>
        <v>0</v>
      </c>
    </row>
    <row r="4722" spans="1:9">
      <c r="A4722" s="17" t="s">
        <v>1845</v>
      </c>
      <c r="B4722" s="17" t="s">
        <v>836</v>
      </c>
      <c r="C4722" s="17">
        <v>0</v>
      </c>
      <c r="D4722" s="17" t="s">
        <v>801</v>
      </c>
      <c r="E4722" s="18">
        <v>3004030795001</v>
      </c>
      <c r="G4722" s="20" t="str">
        <f t="shared" si="219"/>
        <v xml:space="preserve"> FLAPOFOLDER     </v>
      </c>
      <c r="H4722" s="20" t="str">
        <f t="shared" si="220"/>
        <v>GOIRI</v>
      </c>
      <c r="I4722" s="20">
        <f t="shared" si="221"/>
        <v>0</v>
      </c>
    </row>
    <row r="4723" spans="1:9">
      <c r="A4723" s="17" t="s">
        <v>1845</v>
      </c>
      <c r="B4723" s="17" t="s">
        <v>1065</v>
      </c>
      <c r="C4723" s="17">
        <v>0</v>
      </c>
      <c r="D4723" s="17" t="s">
        <v>801</v>
      </c>
      <c r="E4723" s="18">
        <v>3004030799009</v>
      </c>
      <c r="G4723" s="20" t="str">
        <f t="shared" si="219"/>
        <v xml:space="preserve"> FLAPOFOLDER     </v>
      </c>
      <c r="H4723" s="20" t="str">
        <f t="shared" si="220"/>
        <v>GOTES</v>
      </c>
      <c r="I4723" s="20">
        <f t="shared" si="221"/>
        <v>0</v>
      </c>
    </row>
    <row r="4724" spans="1:9">
      <c r="A4724" s="17" t="s">
        <v>1845</v>
      </c>
      <c r="B4724" s="17" t="s">
        <v>1850</v>
      </c>
      <c r="C4724" s="17">
        <v>0</v>
      </c>
      <c r="D4724" s="17" t="s">
        <v>801</v>
      </c>
      <c r="E4724" s="18">
        <v>3004030711001</v>
      </c>
      <c r="G4724" s="20" t="str">
        <f t="shared" si="219"/>
        <v xml:space="preserve"> FLAPOFOLDER     </v>
      </c>
      <c r="H4724" s="20" t="str">
        <f t="shared" si="220"/>
        <v>GRINA</v>
      </c>
      <c r="I4724" s="20">
        <f t="shared" si="221"/>
        <v>0</v>
      </c>
    </row>
    <row r="4725" spans="1:9">
      <c r="A4725" s="17" t="s">
        <v>1845</v>
      </c>
      <c r="B4725" s="17" t="s">
        <v>1779</v>
      </c>
      <c r="C4725" s="17">
        <v>0</v>
      </c>
      <c r="D4725" s="17" t="s">
        <v>801</v>
      </c>
      <c r="E4725" s="18">
        <v>3004030562009</v>
      </c>
      <c r="G4725" s="20" t="str">
        <f t="shared" si="219"/>
        <v xml:space="preserve"> FLAPOFOLDER     </v>
      </c>
      <c r="H4725" s="20" t="str">
        <f t="shared" si="220"/>
        <v>MIBEI</v>
      </c>
      <c r="I4725" s="20">
        <f t="shared" si="221"/>
        <v>0</v>
      </c>
    </row>
    <row r="4726" spans="1:9">
      <c r="A4726" s="17" t="s">
        <v>1845</v>
      </c>
      <c r="B4726" s="17" t="s">
        <v>1549</v>
      </c>
      <c r="C4726" s="17">
        <v>0</v>
      </c>
      <c r="D4726" s="17" t="s">
        <v>801</v>
      </c>
      <c r="E4726" s="18">
        <v>3004031186006</v>
      </c>
      <c r="G4726" s="20" t="str">
        <f t="shared" si="219"/>
        <v xml:space="preserve"> FLAPOFOLDER     </v>
      </c>
      <c r="H4726" s="20" t="str">
        <f t="shared" si="220"/>
        <v>MICBL</v>
      </c>
      <c r="I4726" s="20">
        <f t="shared" si="221"/>
        <v>0</v>
      </c>
    </row>
    <row r="4727" spans="1:9">
      <c r="A4727" s="17" t="s">
        <v>1845</v>
      </c>
      <c r="B4727" s="17" t="s">
        <v>1549</v>
      </c>
      <c r="C4727" s="17">
        <v>0</v>
      </c>
      <c r="D4727" s="17" t="s">
        <v>801</v>
      </c>
      <c r="E4727" s="18">
        <v>8056095063514</v>
      </c>
      <c r="G4727" s="20" t="str">
        <f t="shared" si="219"/>
        <v xml:space="preserve"> FLAPOFOLDER     </v>
      </c>
      <c r="H4727" s="20" t="str">
        <f t="shared" si="220"/>
        <v>MICBL</v>
      </c>
      <c r="I4727" s="20">
        <f t="shared" si="221"/>
        <v>0</v>
      </c>
    </row>
    <row r="4728" spans="1:9">
      <c r="A4728" s="17" t="s">
        <v>1845</v>
      </c>
      <c r="B4728" s="17" t="s">
        <v>1851</v>
      </c>
      <c r="C4728" s="17">
        <v>0</v>
      </c>
      <c r="D4728" s="17" t="s">
        <v>801</v>
      </c>
      <c r="E4728" s="18">
        <v>3004031187003</v>
      </c>
      <c r="G4728" s="20" t="str">
        <f t="shared" si="219"/>
        <v xml:space="preserve"> FLAPOFOLDER     </v>
      </c>
      <c r="H4728" s="20" t="str">
        <f t="shared" si="220"/>
        <v xml:space="preserve">MICT </v>
      </c>
      <c r="I4728" s="20">
        <f t="shared" si="221"/>
        <v>0</v>
      </c>
    </row>
    <row r="4729" spans="1:9">
      <c r="A4729" s="17" t="s">
        <v>1845</v>
      </c>
      <c r="B4729" s="17" t="s">
        <v>1851</v>
      </c>
      <c r="C4729" s="17">
        <v>0</v>
      </c>
      <c r="D4729" s="17" t="s">
        <v>801</v>
      </c>
      <c r="E4729" s="18">
        <v>8056095063538</v>
      </c>
      <c r="G4729" s="20" t="str">
        <f t="shared" si="219"/>
        <v xml:space="preserve"> FLAPOFOLDER     </v>
      </c>
      <c r="H4729" s="20" t="str">
        <f t="shared" si="220"/>
        <v xml:space="preserve">MICT </v>
      </c>
      <c r="I4729" s="20">
        <f t="shared" si="221"/>
        <v>0</v>
      </c>
    </row>
    <row r="4730" spans="1:9">
      <c r="A4730" s="17" t="s">
        <v>1845</v>
      </c>
      <c r="B4730" s="17" t="s">
        <v>1552</v>
      </c>
      <c r="C4730" s="17">
        <v>0</v>
      </c>
      <c r="D4730" s="17" t="s">
        <v>801</v>
      </c>
      <c r="E4730" s="18">
        <v>3004030954002</v>
      </c>
      <c r="G4730" s="20" t="str">
        <f t="shared" si="219"/>
        <v xml:space="preserve"> FLAPOFOLDER     </v>
      </c>
      <c r="H4730" s="20" t="str">
        <f t="shared" si="220"/>
        <v>MICVE</v>
      </c>
      <c r="I4730" s="20">
        <f t="shared" si="221"/>
        <v>0</v>
      </c>
    </row>
    <row r="4731" spans="1:9">
      <c r="A4731" s="17" t="s">
        <v>1845</v>
      </c>
      <c r="B4731" s="17" t="s">
        <v>1552</v>
      </c>
      <c r="C4731" s="17">
        <v>0</v>
      </c>
      <c r="D4731" s="17" t="s">
        <v>801</v>
      </c>
      <c r="E4731" s="18">
        <v>8056095063521</v>
      </c>
      <c r="G4731" s="20" t="str">
        <f t="shared" si="219"/>
        <v xml:space="preserve"> FLAPOFOLDER     </v>
      </c>
      <c r="H4731" s="20" t="str">
        <f t="shared" si="220"/>
        <v>MICVE</v>
      </c>
      <c r="I4731" s="20">
        <f t="shared" si="221"/>
        <v>0</v>
      </c>
    </row>
    <row r="4732" spans="1:9">
      <c r="A4732" s="17" t="s">
        <v>1845</v>
      </c>
      <c r="B4732" s="17" t="s">
        <v>1113</v>
      </c>
      <c r="C4732" s="17">
        <v>0</v>
      </c>
      <c r="D4732" s="17" t="s">
        <v>801</v>
      </c>
      <c r="E4732" s="18">
        <v>3004030672005</v>
      </c>
      <c r="G4732" s="20" t="str">
        <f t="shared" si="219"/>
        <v xml:space="preserve"> FLAPOFOLDER     </v>
      </c>
      <c r="H4732" s="20" t="str">
        <f t="shared" si="220"/>
        <v>MIGRI</v>
      </c>
      <c r="I4732" s="20">
        <f t="shared" si="221"/>
        <v>0</v>
      </c>
    </row>
    <row r="4733" spans="1:9">
      <c r="A4733" s="17" t="s">
        <v>1845</v>
      </c>
      <c r="B4733" s="17" t="s">
        <v>1852</v>
      </c>
      <c r="C4733" s="17">
        <v>0</v>
      </c>
      <c r="D4733" s="17" t="s">
        <v>801</v>
      </c>
      <c r="E4733" s="18">
        <v>3004031065004</v>
      </c>
      <c r="G4733" s="20" t="str">
        <f t="shared" si="219"/>
        <v xml:space="preserve"> FLAPOFOLDER     </v>
      </c>
      <c r="H4733" s="20" t="str">
        <f t="shared" si="220"/>
        <v>PATTE</v>
      </c>
      <c r="I4733" s="20">
        <f t="shared" si="221"/>
        <v>0</v>
      </c>
    </row>
    <row r="4734" spans="1:9">
      <c r="A4734" s="17" t="s">
        <v>1845</v>
      </c>
      <c r="B4734" s="17" t="s">
        <v>1852</v>
      </c>
      <c r="C4734" s="17">
        <v>0</v>
      </c>
      <c r="D4734" s="17" t="s">
        <v>801</v>
      </c>
      <c r="E4734" s="18">
        <v>8058983599297</v>
      </c>
      <c r="G4734" s="20" t="str">
        <f t="shared" si="219"/>
        <v xml:space="preserve"> FLAPOFOLDER     </v>
      </c>
      <c r="H4734" s="20" t="str">
        <f t="shared" si="220"/>
        <v>PATTE</v>
      </c>
      <c r="I4734" s="20">
        <f t="shared" si="221"/>
        <v>0</v>
      </c>
    </row>
    <row r="4735" spans="1:9">
      <c r="A4735" s="17" t="s">
        <v>1845</v>
      </c>
      <c r="B4735" s="17" t="s">
        <v>1853</v>
      </c>
      <c r="C4735" s="17">
        <v>0</v>
      </c>
      <c r="D4735" s="17" t="s">
        <v>801</v>
      </c>
      <c r="E4735" s="18">
        <v>3004030674009</v>
      </c>
      <c r="G4735" s="20" t="str">
        <f t="shared" si="219"/>
        <v xml:space="preserve"> FLAPOFOLDER     </v>
      </c>
      <c r="H4735" s="20" t="str">
        <f t="shared" si="220"/>
        <v>SERMA</v>
      </c>
      <c r="I4735" s="20">
        <f t="shared" si="221"/>
        <v>0</v>
      </c>
    </row>
    <row r="4736" spans="1:9">
      <c r="A4736" s="17" t="s">
        <v>1845</v>
      </c>
      <c r="B4736" s="17" t="s">
        <v>1854</v>
      </c>
      <c r="C4736" s="17">
        <v>0</v>
      </c>
      <c r="D4736" s="17" t="s">
        <v>801</v>
      </c>
      <c r="E4736" s="18">
        <v>3004030673002</v>
      </c>
      <c r="G4736" s="20" t="str">
        <f t="shared" si="219"/>
        <v xml:space="preserve"> FLAPOFOLDER     </v>
      </c>
      <c r="H4736" s="20" t="str">
        <f t="shared" si="220"/>
        <v>SERNO</v>
      </c>
      <c r="I4736" s="20">
        <f t="shared" si="221"/>
        <v>0</v>
      </c>
    </row>
    <row r="4737" spans="1:9">
      <c r="A4737" s="17" t="s">
        <v>1845</v>
      </c>
      <c r="B4737" s="17" t="s">
        <v>1855</v>
      </c>
      <c r="C4737" s="17">
        <v>0</v>
      </c>
      <c r="D4737" s="17" t="s">
        <v>801</v>
      </c>
      <c r="E4737" s="18">
        <v>3004670231006</v>
      </c>
      <c r="G4737" s="20" t="str">
        <f t="shared" si="219"/>
        <v xml:space="preserve"> FLAPOFOLDER     </v>
      </c>
      <c r="H4737" s="20" t="str">
        <f t="shared" si="220"/>
        <v xml:space="preserve">TISG </v>
      </c>
      <c r="I4737" s="20">
        <f t="shared" si="221"/>
        <v>0</v>
      </c>
    </row>
    <row r="4738" spans="1:9">
      <c r="A4738" s="17" t="s">
        <v>1845</v>
      </c>
      <c r="B4738" s="17" t="s">
        <v>1167</v>
      </c>
      <c r="C4738" s="17">
        <v>0</v>
      </c>
      <c r="D4738" s="17" t="s">
        <v>801</v>
      </c>
      <c r="E4738" s="18">
        <v>3004030852001</v>
      </c>
      <c r="G4738" s="20" t="str">
        <f t="shared" si="219"/>
        <v xml:space="preserve"> FLAPOFOLDER     </v>
      </c>
      <c r="H4738" s="20" t="str">
        <f t="shared" si="220"/>
        <v>TWEGR</v>
      </c>
      <c r="I4738" s="20">
        <f t="shared" si="221"/>
        <v>0</v>
      </c>
    </row>
    <row r="4739" spans="1:9">
      <c r="A4739" s="17" t="s">
        <v>1845</v>
      </c>
      <c r="B4739" s="17" t="s">
        <v>1167</v>
      </c>
      <c r="C4739" s="17">
        <v>0</v>
      </c>
      <c r="D4739" s="17" t="s">
        <v>801</v>
      </c>
      <c r="E4739" s="18">
        <v>8058983599259</v>
      </c>
      <c r="G4739" s="20" t="str">
        <f t="shared" si="219"/>
        <v xml:space="preserve"> FLAPOFOLDER     </v>
      </c>
      <c r="H4739" s="20" t="str">
        <f t="shared" si="220"/>
        <v>TWEGR</v>
      </c>
      <c r="I4739" s="20">
        <f t="shared" si="221"/>
        <v>0</v>
      </c>
    </row>
    <row r="4740" spans="1:9">
      <c r="A4740" s="17" t="s">
        <v>1856</v>
      </c>
      <c r="B4740" s="17" t="s">
        <v>963</v>
      </c>
      <c r="C4740" s="17">
        <v>0</v>
      </c>
      <c r="D4740" s="17" t="s">
        <v>801</v>
      </c>
      <c r="E4740" s="18">
        <v>3006130395006</v>
      </c>
      <c r="G4740" s="20" t="str">
        <f t="shared" si="219"/>
        <v xml:space="preserve"> FLAPOHUG        </v>
      </c>
      <c r="H4740" s="20" t="str">
        <f t="shared" si="220"/>
        <v>AMARA</v>
      </c>
      <c r="I4740" s="20">
        <f t="shared" si="221"/>
        <v>0</v>
      </c>
    </row>
    <row r="4741" spans="1:9">
      <c r="A4741" s="17" t="s">
        <v>1856</v>
      </c>
      <c r="B4741" s="17" t="s">
        <v>963</v>
      </c>
      <c r="C4741" s="17">
        <v>0</v>
      </c>
      <c r="D4741" s="17" t="s">
        <v>801</v>
      </c>
      <c r="E4741" s="18">
        <v>3005410395002</v>
      </c>
      <c r="G4741" s="20" t="str">
        <f t="shared" ref="G4741:G4804" si="222">A4741</f>
        <v xml:space="preserve"> FLAPOHUG        </v>
      </c>
      <c r="H4741" s="20" t="str">
        <f t="shared" ref="H4741:H4804" si="223">B4741</f>
        <v>AMARA</v>
      </c>
      <c r="I4741" s="20">
        <f t="shared" ref="I4741:I4804" si="224">C4741</f>
        <v>0</v>
      </c>
    </row>
    <row r="4742" spans="1:9">
      <c r="A4742" s="17" t="s">
        <v>1856</v>
      </c>
      <c r="B4742" s="17" t="s">
        <v>1077</v>
      </c>
      <c r="C4742" s="17">
        <v>0</v>
      </c>
      <c r="D4742" s="17" t="s">
        <v>801</v>
      </c>
      <c r="E4742" s="18">
        <v>3005411073008</v>
      </c>
      <c r="G4742" s="20" t="str">
        <f t="shared" si="222"/>
        <v xml:space="preserve"> FLAPOHUG        </v>
      </c>
      <c r="H4742" s="20" t="str">
        <f t="shared" si="223"/>
        <v>BISCO</v>
      </c>
      <c r="I4742" s="20">
        <f t="shared" si="224"/>
        <v>0</v>
      </c>
    </row>
    <row r="4743" spans="1:9">
      <c r="A4743" s="17" t="s">
        <v>1856</v>
      </c>
      <c r="B4743" s="17" t="s">
        <v>1077</v>
      </c>
      <c r="C4743" s="17">
        <v>0</v>
      </c>
      <c r="D4743" s="17" t="s">
        <v>801</v>
      </c>
      <c r="E4743" s="18">
        <v>8056095065471</v>
      </c>
      <c r="G4743" s="20" t="str">
        <f t="shared" si="222"/>
        <v xml:space="preserve"> FLAPOHUG        </v>
      </c>
      <c r="H4743" s="20" t="str">
        <f t="shared" si="223"/>
        <v>BISCO</v>
      </c>
      <c r="I4743" s="20">
        <f t="shared" si="224"/>
        <v>0</v>
      </c>
    </row>
    <row r="4744" spans="1:9">
      <c r="A4744" s="17" t="s">
        <v>1856</v>
      </c>
      <c r="B4744" s="17" t="s">
        <v>280</v>
      </c>
      <c r="C4744" s="17">
        <v>0</v>
      </c>
      <c r="D4744" s="17" t="s">
        <v>801</v>
      </c>
      <c r="E4744" s="18">
        <v>8056095069912</v>
      </c>
      <c r="G4744" s="20" t="str">
        <f t="shared" si="222"/>
        <v xml:space="preserve"> FLAPOHUG        </v>
      </c>
      <c r="H4744" s="20" t="str">
        <f t="shared" si="223"/>
        <v>BLACK</v>
      </c>
      <c r="I4744" s="20">
        <f t="shared" si="224"/>
        <v>0</v>
      </c>
    </row>
    <row r="4745" spans="1:9">
      <c r="A4745" s="17" t="s">
        <v>1856</v>
      </c>
      <c r="B4745" s="17" t="s">
        <v>280</v>
      </c>
      <c r="C4745" s="17">
        <v>0</v>
      </c>
      <c r="D4745" s="17" t="s">
        <v>801</v>
      </c>
      <c r="E4745" s="18">
        <v>7056027069912</v>
      </c>
      <c r="G4745" s="20" t="str">
        <f t="shared" si="222"/>
        <v xml:space="preserve"> FLAPOHUG        </v>
      </c>
      <c r="H4745" s="20" t="str">
        <f t="shared" si="223"/>
        <v>BLACK</v>
      </c>
      <c r="I4745" s="20">
        <f t="shared" si="224"/>
        <v>0</v>
      </c>
    </row>
    <row r="4746" spans="1:9">
      <c r="A4746" s="17" t="s">
        <v>1856</v>
      </c>
      <c r="B4746" s="17" t="s">
        <v>280</v>
      </c>
      <c r="C4746" s="17">
        <v>0</v>
      </c>
      <c r="D4746" s="17" t="s">
        <v>801</v>
      </c>
      <c r="E4746" s="18">
        <v>3006130004007</v>
      </c>
      <c r="G4746" s="20" t="str">
        <f t="shared" si="222"/>
        <v xml:space="preserve"> FLAPOHUG        </v>
      </c>
      <c r="H4746" s="20" t="str">
        <f t="shared" si="223"/>
        <v>BLACK</v>
      </c>
      <c r="I4746" s="20">
        <f t="shared" si="224"/>
        <v>0</v>
      </c>
    </row>
    <row r="4747" spans="1:9">
      <c r="A4747" s="17" t="s">
        <v>1856</v>
      </c>
      <c r="B4747" s="17" t="s">
        <v>857</v>
      </c>
      <c r="C4747" s="17">
        <v>0</v>
      </c>
      <c r="D4747" s="17" t="s">
        <v>801</v>
      </c>
      <c r="E4747" s="18">
        <v>8056099173073</v>
      </c>
      <c r="G4747" s="20" t="str">
        <f t="shared" si="222"/>
        <v xml:space="preserve"> FLAPOHUG        </v>
      </c>
      <c r="H4747" s="20" t="str">
        <f t="shared" si="223"/>
        <v>BLUET</v>
      </c>
      <c r="I4747" s="20">
        <f t="shared" si="224"/>
        <v>0</v>
      </c>
    </row>
    <row r="4748" spans="1:9">
      <c r="A4748" s="17" t="s">
        <v>1856</v>
      </c>
      <c r="B4748" s="17" t="s">
        <v>1447</v>
      </c>
      <c r="C4748" s="17">
        <v>0</v>
      </c>
      <c r="D4748" s="17" t="s">
        <v>801</v>
      </c>
      <c r="E4748" s="18">
        <v>8056300459231</v>
      </c>
      <c r="G4748" s="20" t="str">
        <f t="shared" si="222"/>
        <v xml:space="preserve"> FLAPOHUG        </v>
      </c>
      <c r="H4748" s="20" t="str">
        <f t="shared" si="223"/>
        <v xml:space="preserve">FRAG </v>
      </c>
      <c r="I4748" s="20">
        <f t="shared" si="224"/>
        <v>0</v>
      </c>
    </row>
    <row r="4749" spans="1:9">
      <c r="A4749" s="17" t="s">
        <v>1856</v>
      </c>
      <c r="B4749" s="17" t="s">
        <v>1857</v>
      </c>
      <c r="C4749" s="17">
        <v>0</v>
      </c>
      <c r="D4749" s="17" t="s">
        <v>801</v>
      </c>
      <c r="E4749" s="18">
        <v>7056027065488</v>
      </c>
      <c r="G4749" s="20" t="str">
        <f t="shared" si="222"/>
        <v xml:space="preserve"> FLAPOHUG        </v>
      </c>
      <c r="H4749" s="20" t="str">
        <f t="shared" si="223"/>
        <v>GBISC</v>
      </c>
      <c r="I4749" s="20">
        <f t="shared" si="224"/>
        <v>0</v>
      </c>
    </row>
    <row r="4750" spans="1:9">
      <c r="A4750" s="17" t="s">
        <v>1856</v>
      </c>
      <c r="B4750" s="17" t="s">
        <v>1858</v>
      </c>
      <c r="C4750" s="17">
        <v>0</v>
      </c>
      <c r="D4750" s="17" t="s">
        <v>801</v>
      </c>
      <c r="E4750" s="18">
        <v>7056027066508</v>
      </c>
      <c r="G4750" s="20" t="str">
        <f t="shared" si="222"/>
        <v xml:space="preserve"> FLAPOHUG        </v>
      </c>
      <c r="H4750" s="20" t="str">
        <f t="shared" si="223"/>
        <v>GBLAC</v>
      </c>
      <c r="I4750" s="20">
        <f t="shared" si="224"/>
        <v>0</v>
      </c>
    </row>
    <row r="4751" spans="1:9">
      <c r="A4751" s="17" t="s">
        <v>1856</v>
      </c>
      <c r="B4751" s="17" t="s">
        <v>1858</v>
      </c>
      <c r="C4751" s="17">
        <v>0</v>
      </c>
      <c r="D4751" s="17" t="s">
        <v>801</v>
      </c>
      <c r="E4751" s="18">
        <v>8056095066508</v>
      </c>
      <c r="G4751" s="20" t="str">
        <f t="shared" si="222"/>
        <v xml:space="preserve"> FLAPOHUG        </v>
      </c>
      <c r="H4751" s="20" t="str">
        <f t="shared" si="223"/>
        <v>GBLAC</v>
      </c>
      <c r="I4751" s="20">
        <f t="shared" si="224"/>
        <v>0</v>
      </c>
    </row>
    <row r="4752" spans="1:9">
      <c r="A4752" s="17" t="s">
        <v>1856</v>
      </c>
      <c r="B4752" s="17" t="s">
        <v>1859</v>
      </c>
      <c r="C4752" s="17">
        <v>0</v>
      </c>
      <c r="D4752" s="17" t="s">
        <v>801</v>
      </c>
      <c r="E4752" s="18">
        <v>8056099173066</v>
      </c>
      <c r="G4752" s="20" t="str">
        <f t="shared" si="222"/>
        <v xml:space="preserve"> FLAPOHUG        </v>
      </c>
      <c r="H4752" s="20" t="str">
        <f t="shared" si="223"/>
        <v>GBLUE</v>
      </c>
      <c r="I4752" s="20">
        <f t="shared" si="224"/>
        <v>0</v>
      </c>
    </row>
    <row r="4753" spans="1:9">
      <c r="A4753" s="17" t="s">
        <v>1856</v>
      </c>
      <c r="B4753" s="17" t="s">
        <v>1860</v>
      </c>
      <c r="C4753" s="17">
        <v>0</v>
      </c>
      <c r="D4753" s="17" t="s">
        <v>801</v>
      </c>
      <c r="E4753" s="18">
        <v>8056095069998</v>
      </c>
      <c r="G4753" s="20" t="str">
        <f t="shared" si="222"/>
        <v xml:space="preserve"> FLAPOHUG        </v>
      </c>
      <c r="H4753" s="20" t="str">
        <f t="shared" si="223"/>
        <v>GFRAG</v>
      </c>
      <c r="I4753" s="20">
        <f t="shared" si="224"/>
        <v>0</v>
      </c>
    </row>
    <row r="4754" spans="1:9">
      <c r="A4754" s="17" t="s">
        <v>1856</v>
      </c>
      <c r="B4754" s="17" t="s">
        <v>1861</v>
      </c>
      <c r="C4754" s="17">
        <v>0</v>
      </c>
      <c r="D4754" s="17" t="s">
        <v>801</v>
      </c>
      <c r="E4754" s="18">
        <v>8056300459163</v>
      </c>
      <c r="G4754" s="20" t="str">
        <f t="shared" si="222"/>
        <v xml:space="preserve"> FLAPOHUG        </v>
      </c>
      <c r="H4754" s="20" t="str">
        <f t="shared" si="223"/>
        <v>GGREY</v>
      </c>
      <c r="I4754" s="20">
        <f t="shared" si="224"/>
        <v>0</v>
      </c>
    </row>
    <row r="4755" spans="1:9">
      <c r="A4755" s="17" t="s">
        <v>1856</v>
      </c>
      <c r="B4755" s="17" t="s">
        <v>1861</v>
      </c>
      <c r="C4755" s="17">
        <v>0</v>
      </c>
      <c r="D4755" s="17" t="s">
        <v>801</v>
      </c>
      <c r="E4755" s="18">
        <v>8056095065464</v>
      </c>
      <c r="G4755" s="20" t="str">
        <f t="shared" si="222"/>
        <v xml:space="preserve"> FLAPOHUG        </v>
      </c>
      <c r="H4755" s="20" t="str">
        <f t="shared" si="223"/>
        <v>GGREY</v>
      </c>
      <c r="I4755" s="20">
        <f t="shared" si="224"/>
        <v>0</v>
      </c>
    </row>
    <row r="4756" spans="1:9">
      <c r="A4756" s="17" t="s">
        <v>1856</v>
      </c>
      <c r="B4756" s="17" t="s">
        <v>1862</v>
      </c>
      <c r="C4756" s="17">
        <v>0</v>
      </c>
      <c r="D4756" s="17" t="s">
        <v>801</v>
      </c>
      <c r="E4756" s="18">
        <v>3005411470005</v>
      </c>
      <c r="G4756" s="20" t="str">
        <f t="shared" si="222"/>
        <v xml:space="preserve"> FLAPOHUG        </v>
      </c>
      <c r="H4756" s="20" t="str">
        <f t="shared" si="223"/>
        <v>GNARC</v>
      </c>
      <c r="I4756" s="20">
        <f t="shared" si="224"/>
        <v>0</v>
      </c>
    </row>
    <row r="4757" spans="1:9">
      <c r="A4757" s="17" t="s">
        <v>1856</v>
      </c>
      <c r="B4757" s="17" t="s">
        <v>1863</v>
      </c>
      <c r="C4757" s="17">
        <v>0</v>
      </c>
      <c r="D4757" s="17" t="s">
        <v>801</v>
      </c>
      <c r="E4757" s="18">
        <v>7056027065389</v>
      </c>
      <c r="G4757" s="20" t="str">
        <f t="shared" si="222"/>
        <v xml:space="preserve"> FLAPOHUG        </v>
      </c>
      <c r="H4757" s="20" t="str">
        <f t="shared" si="223"/>
        <v>GNAVY</v>
      </c>
      <c r="I4757" s="20">
        <f t="shared" si="224"/>
        <v>0</v>
      </c>
    </row>
    <row r="4758" spans="1:9">
      <c r="A4758" s="17" t="s">
        <v>1856</v>
      </c>
      <c r="B4758" s="17" t="s">
        <v>1863</v>
      </c>
      <c r="C4758" s="17">
        <v>0</v>
      </c>
      <c r="D4758" s="17" t="s">
        <v>801</v>
      </c>
      <c r="E4758" s="18">
        <v>8056095065389</v>
      </c>
      <c r="G4758" s="20" t="str">
        <f t="shared" si="222"/>
        <v xml:space="preserve"> FLAPOHUG        </v>
      </c>
      <c r="H4758" s="20" t="str">
        <f t="shared" si="223"/>
        <v>GNAVY</v>
      </c>
      <c r="I4758" s="20">
        <f t="shared" si="224"/>
        <v>0</v>
      </c>
    </row>
    <row r="4759" spans="1:9">
      <c r="A4759" s="17" t="s">
        <v>1856</v>
      </c>
      <c r="B4759" s="17" t="s">
        <v>1864</v>
      </c>
      <c r="C4759" s="17">
        <v>0</v>
      </c>
      <c r="D4759" s="17" t="s">
        <v>801</v>
      </c>
      <c r="E4759" s="18">
        <v>3005411562007</v>
      </c>
      <c r="G4759" s="20" t="str">
        <f t="shared" si="222"/>
        <v xml:space="preserve"> FLAPOHUG        </v>
      </c>
      <c r="H4759" s="20" t="str">
        <f t="shared" si="223"/>
        <v>GOTTA</v>
      </c>
      <c r="I4759" s="20">
        <f t="shared" si="224"/>
        <v>0</v>
      </c>
    </row>
    <row r="4760" spans="1:9">
      <c r="A4760" s="17" t="s">
        <v>1856</v>
      </c>
      <c r="B4760" s="17" t="s">
        <v>1864</v>
      </c>
      <c r="C4760" s="17">
        <v>0</v>
      </c>
      <c r="D4760" s="17" t="s">
        <v>801</v>
      </c>
      <c r="E4760" s="18">
        <v>8056099176746</v>
      </c>
      <c r="G4760" s="20" t="str">
        <f t="shared" si="222"/>
        <v xml:space="preserve"> FLAPOHUG        </v>
      </c>
      <c r="H4760" s="20" t="str">
        <f t="shared" si="223"/>
        <v>GOTTA</v>
      </c>
      <c r="I4760" s="20">
        <f t="shared" si="224"/>
        <v>0</v>
      </c>
    </row>
    <row r="4761" spans="1:9">
      <c r="A4761" s="17" t="s">
        <v>1856</v>
      </c>
      <c r="B4761" s="17" t="s">
        <v>1865</v>
      </c>
      <c r="C4761" s="17">
        <v>0</v>
      </c>
      <c r="D4761" s="17" t="s">
        <v>801</v>
      </c>
      <c r="E4761" s="18">
        <v>8056095069936</v>
      </c>
      <c r="G4761" s="20" t="str">
        <f t="shared" si="222"/>
        <v xml:space="preserve"> FLAPOHUG        </v>
      </c>
      <c r="H4761" s="20" t="str">
        <f t="shared" si="223"/>
        <v>GPORP</v>
      </c>
      <c r="I4761" s="20">
        <f t="shared" si="224"/>
        <v>0</v>
      </c>
    </row>
    <row r="4762" spans="1:9">
      <c r="A4762" s="17" t="s">
        <v>1856</v>
      </c>
      <c r="B4762" s="17" t="s">
        <v>1866</v>
      </c>
      <c r="C4762" s="17">
        <v>0</v>
      </c>
      <c r="D4762" s="17" t="s">
        <v>801</v>
      </c>
      <c r="E4762" s="18">
        <v>3005411529000</v>
      </c>
      <c r="G4762" s="20" t="str">
        <f t="shared" si="222"/>
        <v xml:space="preserve"> FLAPOHUG        </v>
      </c>
      <c r="H4762" s="20" t="str">
        <f t="shared" si="223"/>
        <v xml:space="preserve">GRED </v>
      </c>
      <c r="I4762" s="20">
        <f t="shared" si="224"/>
        <v>0</v>
      </c>
    </row>
    <row r="4763" spans="1:9">
      <c r="A4763" s="17" t="s">
        <v>1856</v>
      </c>
      <c r="B4763" s="17" t="s">
        <v>1866</v>
      </c>
      <c r="C4763" s="17">
        <v>0</v>
      </c>
      <c r="D4763" s="17" t="s">
        <v>801</v>
      </c>
      <c r="E4763" s="18">
        <v>8056099178269</v>
      </c>
      <c r="G4763" s="20" t="str">
        <f t="shared" si="222"/>
        <v xml:space="preserve"> FLAPOHUG        </v>
      </c>
      <c r="H4763" s="20" t="str">
        <f t="shared" si="223"/>
        <v xml:space="preserve">GRED </v>
      </c>
      <c r="I4763" s="20">
        <f t="shared" si="224"/>
        <v>0</v>
      </c>
    </row>
    <row r="4764" spans="1:9">
      <c r="A4764" s="17" t="s">
        <v>1856</v>
      </c>
      <c r="B4764" s="17" t="s">
        <v>1867</v>
      </c>
      <c r="C4764" s="17">
        <v>0</v>
      </c>
      <c r="D4764" s="17" t="s">
        <v>801</v>
      </c>
      <c r="E4764" s="18">
        <v>3005411528003</v>
      </c>
      <c r="G4764" s="20" t="str">
        <f t="shared" si="222"/>
        <v xml:space="preserve"> FLAPOHUG        </v>
      </c>
      <c r="H4764" s="20" t="str">
        <f t="shared" si="223"/>
        <v>GROCK</v>
      </c>
      <c r="I4764" s="20">
        <f t="shared" si="224"/>
        <v>0</v>
      </c>
    </row>
    <row r="4765" spans="1:9">
      <c r="A4765" s="17" t="s">
        <v>1856</v>
      </c>
      <c r="B4765" s="17" t="s">
        <v>1867</v>
      </c>
      <c r="C4765" s="17">
        <v>0</v>
      </c>
      <c r="D4765" s="17" t="s">
        <v>801</v>
      </c>
      <c r="E4765" s="18">
        <v>8056095066515</v>
      </c>
      <c r="G4765" s="20" t="str">
        <f t="shared" si="222"/>
        <v xml:space="preserve"> FLAPOHUG        </v>
      </c>
      <c r="H4765" s="20" t="str">
        <f t="shared" si="223"/>
        <v>GROCK</v>
      </c>
      <c r="I4765" s="20">
        <f t="shared" si="224"/>
        <v>0</v>
      </c>
    </row>
    <row r="4766" spans="1:9">
      <c r="A4766" s="17" t="s">
        <v>1856</v>
      </c>
      <c r="B4766" s="17" t="s">
        <v>1868</v>
      </c>
      <c r="C4766" s="17">
        <v>0</v>
      </c>
      <c r="D4766" s="17" t="s">
        <v>801</v>
      </c>
      <c r="E4766" s="18">
        <v>3005411563004</v>
      </c>
      <c r="G4766" s="20" t="str">
        <f t="shared" si="222"/>
        <v xml:space="preserve"> FLAPOHUG        </v>
      </c>
      <c r="H4766" s="20" t="str">
        <f t="shared" si="223"/>
        <v>GSANG</v>
      </c>
      <c r="I4766" s="20">
        <f t="shared" si="224"/>
        <v>0</v>
      </c>
    </row>
    <row r="4767" spans="1:9">
      <c r="A4767" s="17" t="s">
        <v>1856</v>
      </c>
      <c r="B4767" s="17" t="s">
        <v>1869</v>
      </c>
      <c r="C4767" s="17">
        <v>0</v>
      </c>
      <c r="D4767" s="17" t="s">
        <v>801</v>
      </c>
      <c r="E4767" s="18">
        <v>8056095065426</v>
      </c>
      <c r="G4767" s="20" t="str">
        <f t="shared" si="222"/>
        <v xml:space="preserve"> FLAPOHUG        </v>
      </c>
      <c r="H4767" s="20" t="str">
        <f t="shared" si="223"/>
        <v>GTERR</v>
      </c>
      <c r="I4767" s="20">
        <f t="shared" si="224"/>
        <v>0</v>
      </c>
    </row>
    <row r="4768" spans="1:9">
      <c r="A4768" s="17" t="s">
        <v>1856</v>
      </c>
      <c r="B4768" s="17" t="s">
        <v>1870</v>
      </c>
      <c r="C4768" s="17">
        <v>0</v>
      </c>
      <c r="D4768" s="17" t="s">
        <v>801</v>
      </c>
      <c r="E4768" s="18">
        <v>8056099173042</v>
      </c>
      <c r="G4768" s="20" t="str">
        <f t="shared" si="222"/>
        <v xml:space="preserve"> FLAPOHUG        </v>
      </c>
      <c r="H4768" s="20" t="str">
        <f t="shared" si="223"/>
        <v>GVERA</v>
      </c>
      <c r="I4768" s="20">
        <f t="shared" si="224"/>
        <v>0</v>
      </c>
    </row>
    <row r="4769" spans="1:9">
      <c r="A4769" s="17" t="s">
        <v>1856</v>
      </c>
      <c r="B4769" s="17" t="s">
        <v>1870</v>
      </c>
      <c r="C4769" s="17">
        <v>0</v>
      </c>
      <c r="D4769" s="17" t="s">
        <v>801</v>
      </c>
      <c r="E4769" s="18">
        <v>8056095065402</v>
      </c>
      <c r="G4769" s="20" t="str">
        <f t="shared" si="222"/>
        <v xml:space="preserve"> FLAPOHUG        </v>
      </c>
      <c r="H4769" s="20" t="str">
        <f t="shared" si="223"/>
        <v>GVERA</v>
      </c>
      <c r="I4769" s="20">
        <f t="shared" si="224"/>
        <v>0</v>
      </c>
    </row>
    <row r="4770" spans="1:9">
      <c r="A4770" s="17" t="s">
        <v>1856</v>
      </c>
      <c r="B4770" s="17" t="s">
        <v>1871</v>
      </c>
      <c r="C4770" s="17">
        <v>0</v>
      </c>
      <c r="D4770" s="17" t="s">
        <v>801</v>
      </c>
      <c r="E4770" s="18">
        <v>3005411312008</v>
      </c>
      <c r="G4770" s="20" t="str">
        <f t="shared" si="222"/>
        <v xml:space="preserve"> FLAPOHUG        </v>
      </c>
      <c r="H4770" s="20" t="str">
        <f t="shared" si="223"/>
        <v>GVIOL</v>
      </c>
      <c r="I4770" s="20">
        <f t="shared" si="224"/>
        <v>0</v>
      </c>
    </row>
    <row r="4771" spans="1:9">
      <c r="A4771" s="17" t="s">
        <v>1856</v>
      </c>
      <c r="B4771" s="17" t="s">
        <v>1430</v>
      </c>
      <c r="C4771" s="17">
        <v>0</v>
      </c>
      <c r="D4771" s="17" t="s">
        <v>801</v>
      </c>
      <c r="E4771" s="18">
        <v>3005410498000</v>
      </c>
      <c r="G4771" s="20" t="str">
        <f t="shared" si="222"/>
        <v xml:space="preserve"> FLAPOHUG        </v>
      </c>
      <c r="H4771" s="20" t="str">
        <f t="shared" si="223"/>
        <v xml:space="preserve">IRIS </v>
      </c>
      <c r="I4771" s="20">
        <f t="shared" si="224"/>
        <v>0</v>
      </c>
    </row>
    <row r="4772" spans="1:9">
      <c r="A4772" s="17" t="s">
        <v>1856</v>
      </c>
      <c r="B4772" s="17" t="s">
        <v>838</v>
      </c>
      <c r="C4772" s="17">
        <v>0</v>
      </c>
      <c r="D4772" s="17" t="s">
        <v>801</v>
      </c>
      <c r="E4772" s="18">
        <v>3006131023007</v>
      </c>
      <c r="G4772" s="20" t="str">
        <f t="shared" si="222"/>
        <v xml:space="preserve"> FLAPOHUG        </v>
      </c>
      <c r="H4772" s="20" t="str">
        <f t="shared" si="223"/>
        <v>IVOIR</v>
      </c>
      <c r="I4772" s="20">
        <f t="shared" si="224"/>
        <v>0</v>
      </c>
    </row>
    <row r="4773" spans="1:9">
      <c r="A4773" s="17" t="s">
        <v>1856</v>
      </c>
      <c r="B4773" s="17" t="s">
        <v>1078</v>
      </c>
      <c r="C4773" s="17">
        <v>0</v>
      </c>
      <c r="D4773" s="17" t="s">
        <v>801</v>
      </c>
      <c r="E4773" s="18">
        <v>8056095065372</v>
      </c>
      <c r="G4773" s="20" t="str">
        <f t="shared" si="222"/>
        <v xml:space="preserve"> FLAPOHUG        </v>
      </c>
      <c r="H4773" s="20" t="str">
        <f t="shared" si="223"/>
        <v xml:space="preserve">NAVY </v>
      </c>
      <c r="I4773" s="20">
        <f t="shared" si="224"/>
        <v>0</v>
      </c>
    </row>
    <row r="4774" spans="1:9">
      <c r="A4774" s="17" t="s">
        <v>1856</v>
      </c>
      <c r="B4774" s="17" t="s">
        <v>1438</v>
      </c>
      <c r="C4774" s="17">
        <v>0</v>
      </c>
      <c r="D4774" s="17" t="s">
        <v>801</v>
      </c>
      <c r="E4774" s="18">
        <v>3005410692002</v>
      </c>
      <c r="G4774" s="20" t="str">
        <f t="shared" si="222"/>
        <v xml:space="preserve"> FLAPOHUG        </v>
      </c>
      <c r="H4774" s="20" t="str">
        <f t="shared" si="223"/>
        <v>POLVE</v>
      </c>
      <c r="I4774" s="20">
        <f t="shared" si="224"/>
        <v>0</v>
      </c>
    </row>
    <row r="4775" spans="1:9">
      <c r="A4775" s="17" t="s">
        <v>1856</v>
      </c>
      <c r="B4775" s="17" t="s">
        <v>914</v>
      </c>
      <c r="C4775" s="17">
        <v>0</v>
      </c>
      <c r="D4775" s="17" t="s">
        <v>801</v>
      </c>
      <c r="E4775" s="18">
        <v>8056300459170</v>
      </c>
      <c r="G4775" s="20" t="str">
        <f t="shared" si="222"/>
        <v xml:space="preserve"> FLAPOHUG        </v>
      </c>
      <c r="H4775" s="20" t="str">
        <f t="shared" si="223"/>
        <v xml:space="preserve">PURP </v>
      </c>
      <c r="I4775" s="20">
        <f t="shared" si="224"/>
        <v>0</v>
      </c>
    </row>
    <row r="4776" spans="1:9">
      <c r="A4776" s="17" t="s">
        <v>1856</v>
      </c>
      <c r="B4776" s="17" t="s">
        <v>1238</v>
      </c>
      <c r="C4776" s="17">
        <v>0</v>
      </c>
      <c r="D4776" s="17" t="s">
        <v>801</v>
      </c>
      <c r="E4776" s="18">
        <v>3005410479009</v>
      </c>
      <c r="G4776" s="20" t="str">
        <f t="shared" si="222"/>
        <v xml:space="preserve"> FLAPOHUG        </v>
      </c>
      <c r="H4776" s="20" t="str">
        <f t="shared" si="223"/>
        <v>ROSMO</v>
      </c>
      <c r="I4776" s="20">
        <f t="shared" si="224"/>
        <v>0</v>
      </c>
    </row>
    <row r="4777" spans="1:9">
      <c r="A4777" s="17" t="s">
        <v>1856</v>
      </c>
      <c r="B4777" s="17" t="s">
        <v>1079</v>
      </c>
      <c r="C4777" s="17">
        <v>0</v>
      </c>
      <c r="D4777" s="17" t="s">
        <v>801</v>
      </c>
      <c r="E4777" s="18">
        <v>3005410410002</v>
      </c>
      <c r="G4777" s="20" t="str">
        <f t="shared" si="222"/>
        <v xml:space="preserve"> FLAPOHUG        </v>
      </c>
      <c r="H4777" s="20" t="str">
        <f t="shared" si="223"/>
        <v xml:space="preserve">SLVG </v>
      </c>
      <c r="I4777" s="20">
        <f t="shared" si="224"/>
        <v>0</v>
      </c>
    </row>
    <row r="4778" spans="1:9">
      <c r="A4778" s="17" t="s">
        <v>1856</v>
      </c>
      <c r="B4778" s="17" t="s">
        <v>1079</v>
      </c>
      <c r="C4778" s="17">
        <v>0</v>
      </c>
      <c r="D4778" s="17" t="s">
        <v>801</v>
      </c>
      <c r="E4778" s="18">
        <v>8056095065457</v>
      </c>
      <c r="G4778" s="20" t="str">
        <f t="shared" si="222"/>
        <v xml:space="preserve"> FLAPOHUG        </v>
      </c>
      <c r="H4778" s="20" t="str">
        <f t="shared" si="223"/>
        <v xml:space="preserve">SLVG </v>
      </c>
      <c r="I4778" s="20">
        <f t="shared" si="224"/>
        <v>0</v>
      </c>
    </row>
    <row r="4779" spans="1:9">
      <c r="A4779" s="17" t="s">
        <v>1856</v>
      </c>
      <c r="B4779" s="17" t="s">
        <v>1080</v>
      </c>
      <c r="C4779" s="17">
        <v>0</v>
      </c>
      <c r="D4779" s="17" t="s">
        <v>801</v>
      </c>
      <c r="E4779" s="18">
        <v>3005411074005</v>
      </c>
      <c r="G4779" s="20" t="str">
        <f t="shared" si="222"/>
        <v xml:space="preserve"> FLAPOHUG        </v>
      </c>
      <c r="H4779" s="20" t="str">
        <f t="shared" si="223"/>
        <v>TERRA</v>
      </c>
      <c r="I4779" s="20">
        <f t="shared" si="224"/>
        <v>0</v>
      </c>
    </row>
    <row r="4780" spans="1:9">
      <c r="A4780" s="17" t="s">
        <v>1856</v>
      </c>
      <c r="B4780" s="17" t="s">
        <v>1080</v>
      </c>
      <c r="C4780" s="17">
        <v>0</v>
      </c>
      <c r="D4780" s="17" t="s">
        <v>801</v>
      </c>
      <c r="E4780" s="18">
        <v>8056095065419</v>
      </c>
      <c r="G4780" s="20" t="str">
        <f t="shared" si="222"/>
        <v xml:space="preserve"> FLAPOHUG        </v>
      </c>
      <c r="H4780" s="20" t="str">
        <f t="shared" si="223"/>
        <v>TERRA</v>
      </c>
      <c r="I4780" s="20">
        <f t="shared" si="224"/>
        <v>0</v>
      </c>
    </row>
    <row r="4781" spans="1:9">
      <c r="A4781" s="17" t="s">
        <v>1856</v>
      </c>
      <c r="B4781" s="17" t="s">
        <v>919</v>
      </c>
      <c r="C4781" s="17">
        <v>0</v>
      </c>
      <c r="D4781" s="17" t="s">
        <v>801</v>
      </c>
      <c r="E4781" s="18">
        <v>3005410690008</v>
      </c>
      <c r="G4781" s="20" t="str">
        <f t="shared" si="222"/>
        <v xml:space="preserve"> FLAPOHUG        </v>
      </c>
      <c r="H4781" s="20" t="str">
        <f t="shared" si="223"/>
        <v>TESTA</v>
      </c>
      <c r="I4781" s="20">
        <f t="shared" si="224"/>
        <v>0</v>
      </c>
    </row>
    <row r="4782" spans="1:9">
      <c r="A4782" s="17" t="s">
        <v>1856</v>
      </c>
      <c r="B4782" s="17" t="s">
        <v>1664</v>
      </c>
      <c r="C4782" s="17">
        <v>0</v>
      </c>
      <c r="D4782" s="17" t="s">
        <v>801</v>
      </c>
      <c r="E4782" s="18">
        <v>3005411079000</v>
      </c>
      <c r="G4782" s="20" t="str">
        <f t="shared" si="222"/>
        <v xml:space="preserve"> FLAPOHUG        </v>
      </c>
      <c r="H4782" s="20" t="str">
        <f t="shared" si="223"/>
        <v>VERAN</v>
      </c>
      <c r="I4782" s="20">
        <f t="shared" si="224"/>
        <v>0</v>
      </c>
    </row>
    <row r="4783" spans="1:9">
      <c r="A4783" s="17" t="s">
        <v>1856</v>
      </c>
      <c r="B4783" s="17" t="s">
        <v>1664</v>
      </c>
      <c r="C4783" s="17">
        <v>0</v>
      </c>
      <c r="D4783" s="17" t="s">
        <v>801</v>
      </c>
      <c r="E4783" s="18">
        <v>8056095065396</v>
      </c>
      <c r="G4783" s="20" t="str">
        <f t="shared" si="222"/>
        <v xml:space="preserve"> FLAPOHUG        </v>
      </c>
      <c r="H4783" s="20" t="str">
        <f t="shared" si="223"/>
        <v>VERAN</v>
      </c>
      <c r="I4783" s="20">
        <f t="shared" si="224"/>
        <v>0</v>
      </c>
    </row>
    <row r="4784" spans="1:9">
      <c r="A4784" s="17" t="s">
        <v>1856</v>
      </c>
      <c r="B4784" s="17" t="s">
        <v>1872</v>
      </c>
      <c r="C4784" s="17">
        <v>0</v>
      </c>
      <c r="D4784" s="17" t="s">
        <v>801</v>
      </c>
      <c r="E4784" s="18">
        <v>3005410566006</v>
      </c>
      <c r="G4784" s="20" t="str">
        <f t="shared" si="222"/>
        <v xml:space="preserve"> FLAPOHUG        </v>
      </c>
      <c r="H4784" s="20" t="str">
        <f t="shared" si="223"/>
        <v>VIOLE</v>
      </c>
      <c r="I4784" s="20">
        <f t="shared" si="224"/>
        <v>0</v>
      </c>
    </row>
    <row r="4785" spans="1:9">
      <c r="A4785" s="17" t="s">
        <v>1873</v>
      </c>
      <c r="B4785" s="17" t="s">
        <v>1874</v>
      </c>
      <c r="C4785" s="17">
        <v>0</v>
      </c>
      <c r="D4785" s="17" t="s">
        <v>801</v>
      </c>
      <c r="E4785" s="18">
        <v>8056095065495</v>
      </c>
      <c r="G4785" s="20" t="str">
        <f t="shared" si="222"/>
        <v xml:space="preserve"> FLAPOHUGMEN     </v>
      </c>
      <c r="H4785" s="20" t="str">
        <f t="shared" si="223"/>
        <v xml:space="preserve">BIS1 </v>
      </c>
      <c r="I4785" s="20">
        <f t="shared" si="224"/>
        <v>0</v>
      </c>
    </row>
    <row r="4786" spans="1:9">
      <c r="A4786" s="17" t="s">
        <v>1873</v>
      </c>
      <c r="B4786" s="17" t="s">
        <v>1875</v>
      </c>
      <c r="C4786" s="17">
        <v>0</v>
      </c>
      <c r="D4786" s="17" t="s">
        <v>801</v>
      </c>
      <c r="E4786" s="18">
        <v>8056095065501</v>
      </c>
      <c r="G4786" s="20" t="str">
        <f t="shared" si="222"/>
        <v xml:space="preserve"> FLAPOHUGMEN     </v>
      </c>
      <c r="H4786" s="20" t="str">
        <f t="shared" si="223"/>
        <v xml:space="preserve">BIS2 </v>
      </c>
      <c r="I4786" s="20">
        <f t="shared" si="224"/>
        <v>0</v>
      </c>
    </row>
    <row r="4787" spans="1:9">
      <c r="A4787" s="17" t="s">
        <v>1873</v>
      </c>
      <c r="B4787" s="17" t="s">
        <v>280</v>
      </c>
      <c r="C4787" s="17">
        <v>0</v>
      </c>
      <c r="D4787" s="17" t="s">
        <v>801</v>
      </c>
      <c r="E4787" s="18">
        <v>8056095066577</v>
      </c>
      <c r="G4787" s="20" t="str">
        <f t="shared" si="222"/>
        <v xml:space="preserve"> FLAPOHUGMEN     </v>
      </c>
      <c r="H4787" s="20" t="str">
        <f t="shared" si="223"/>
        <v>BLACK</v>
      </c>
      <c r="I4787" s="20">
        <f t="shared" si="224"/>
        <v>0</v>
      </c>
    </row>
    <row r="4788" spans="1:9">
      <c r="A4788" s="17" t="s">
        <v>1873</v>
      </c>
      <c r="B4788" s="17" t="s">
        <v>280</v>
      </c>
      <c r="C4788" s="17">
        <v>0</v>
      </c>
      <c r="D4788" s="17" t="s">
        <v>801</v>
      </c>
      <c r="E4788" s="18">
        <v>8056300459378</v>
      </c>
      <c r="G4788" s="20" t="str">
        <f t="shared" si="222"/>
        <v xml:space="preserve"> FLAPOHUGMEN     </v>
      </c>
      <c r="H4788" s="20" t="str">
        <f t="shared" si="223"/>
        <v>BLACK</v>
      </c>
      <c r="I4788" s="20">
        <f t="shared" si="224"/>
        <v>0</v>
      </c>
    </row>
    <row r="4789" spans="1:9">
      <c r="A4789" s="17" t="s">
        <v>1873</v>
      </c>
      <c r="B4789" s="17" t="s">
        <v>1876</v>
      </c>
      <c r="C4789" s="17">
        <v>0</v>
      </c>
      <c r="D4789" s="17" t="s">
        <v>801</v>
      </c>
      <c r="E4789" s="18">
        <v>8056099173134</v>
      </c>
      <c r="G4789" s="20" t="str">
        <f t="shared" si="222"/>
        <v xml:space="preserve"> FLAPOHUGMEN     </v>
      </c>
      <c r="H4789" s="20" t="str">
        <f t="shared" si="223"/>
        <v>BLUE1</v>
      </c>
      <c r="I4789" s="20">
        <f t="shared" si="224"/>
        <v>0</v>
      </c>
    </row>
    <row r="4790" spans="1:9">
      <c r="A4790" s="17" t="s">
        <v>1873</v>
      </c>
      <c r="B4790" s="17" t="s">
        <v>1877</v>
      </c>
      <c r="C4790" s="17">
        <v>0</v>
      </c>
      <c r="D4790" s="17" t="s">
        <v>801</v>
      </c>
      <c r="E4790" s="18">
        <v>8056099173141</v>
      </c>
      <c r="G4790" s="20" t="str">
        <f t="shared" si="222"/>
        <v xml:space="preserve"> FLAPOHUGMEN     </v>
      </c>
      <c r="H4790" s="20" t="str">
        <f t="shared" si="223"/>
        <v>BLUE2</v>
      </c>
      <c r="I4790" s="20">
        <f t="shared" si="224"/>
        <v>0</v>
      </c>
    </row>
    <row r="4791" spans="1:9">
      <c r="A4791" s="17" t="s">
        <v>1873</v>
      </c>
      <c r="B4791" s="17" t="s">
        <v>1878</v>
      </c>
      <c r="C4791" s="17">
        <v>0</v>
      </c>
      <c r="D4791" s="17" t="s">
        <v>801</v>
      </c>
      <c r="E4791" s="18">
        <v>8056095065532</v>
      </c>
      <c r="G4791" s="20" t="str">
        <f t="shared" si="222"/>
        <v xml:space="preserve"> FLAPOHUGMEN     </v>
      </c>
      <c r="H4791" s="20" t="str">
        <f t="shared" si="223"/>
        <v xml:space="preserve">GR1  </v>
      </c>
      <c r="I4791" s="20">
        <f t="shared" si="224"/>
        <v>0</v>
      </c>
    </row>
    <row r="4792" spans="1:9">
      <c r="A4792" s="17" t="s">
        <v>1873</v>
      </c>
      <c r="B4792" s="17" t="s">
        <v>1879</v>
      </c>
      <c r="C4792" s="17">
        <v>0</v>
      </c>
      <c r="D4792" s="17" t="s">
        <v>801</v>
      </c>
      <c r="E4792" s="18">
        <v>8056095065549</v>
      </c>
      <c r="G4792" s="20" t="str">
        <f t="shared" si="222"/>
        <v xml:space="preserve"> FLAPOHUGMEN     </v>
      </c>
      <c r="H4792" s="20" t="str">
        <f t="shared" si="223"/>
        <v xml:space="preserve">GR2  </v>
      </c>
      <c r="I4792" s="20">
        <f t="shared" si="224"/>
        <v>0</v>
      </c>
    </row>
    <row r="4793" spans="1:9">
      <c r="A4793" s="17" t="s">
        <v>1873</v>
      </c>
      <c r="B4793" s="17" t="s">
        <v>1880</v>
      </c>
      <c r="C4793" s="17">
        <v>0</v>
      </c>
      <c r="D4793" s="17" t="s">
        <v>801</v>
      </c>
      <c r="E4793" s="18">
        <v>8056095066591</v>
      </c>
      <c r="G4793" s="20" t="str">
        <f t="shared" si="222"/>
        <v xml:space="preserve"> FLAPOHUGMEN     </v>
      </c>
      <c r="H4793" s="20" t="str">
        <f t="shared" si="223"/>
        <v>NAVY1</v>
      </c>
      <c r="I4793" s="20">
        <f t="shared" si="224"/>
        <v>0</v>
      </c>
    </row>
    <row r="4794" spans="1:9">
      <c r="A4794" s="17" t="s">
        <v>1873</v>
      </c>
      <c r="B4794" s="17" t="s">
        <v>1881</v>
      </c>
      <c r="C4794" s="17">
        <v>0</v>
      </c>
      <c r="D4794" s="17" t="s">
        <v>801</v>
      </c>
      <c r="E4794" s="18">
        <v>8056300459392</v>
      </c>
      <c r="G4794" s="20" t="str">
        <f t="shared" si="222"/>
        <v xml:space="preserve"> FLAPOHUGMEN     </v>
      </c>
      <c r="H4794" s="20" t="str">
        <f t="shared" si="223"/>
        <v>NAVY2</v>
      </c>
      <c r="I4794" s="20">
        <f t="shared" si="224"/>
        <v>0</v>
      </c>
    </row>
    <row r="4795" spans="1:9">
      <c r="A4795" s="17" t="s">
        <v>1873</v>
      </c>
      <c r="B4795" s="17" t="s">
        <v>1237</v>
      </c>
      <c r="C4795" s="17">
        <v>0</v>
      </c>
      <c r="D4795" s="17" t="s">
        <v>801</v>
      </c>
      <c r="E4795" s="18">
        <v>3005520396005</v>
      </c>
      <c r="G4795" s="20" t="str">
        <f t="shared" si="222"/>
        <v xml:space="preserve"> FLAPOHUGMEN     </v>
      </c>
      <c r="H4795" s="20" t="str">
        <f t="shared" si="223"/>
        <v xml:space="preserve">ROCK </v>
      </c>
      <c r="I4795" s="20">
        <f t="shared" si="224"/>
        <v>0</v>
      </c>
    </row>
    <row r="4796" spans="1:9">
      <c r="A4796" s="17" t="s">
        <v>1873</v>
      </c>
      <c r="B4796" s="17" t="s">
        <v>1882</v>
      </c>
      <c r="C4796" s="17">
        <v>0</v>
      </c>
      <c r="D4796" s="17" t="s">
        <v>801</v>
      </c>
      <c r="E4796" s="18">
        <v>8056095065556</v>
      </c>
      <c r="G4796" s="20" t="str">
        <f t="shared" si="222"/>
        <v xml:space="preserve"> FLAPOHUGMEN     </v>
      </c>
      <c r="H4796" s="20" t="str">
        <f t="shared" si="223"/>
        <v>ROCK1</v>
      </c>
      <c r="I4796" s="20">
        <f t="shared" si="224"/>
        <v>0</v>
      </c>
    </row>
    <row r="4797" spans="1:9">
      <c r="A4797" s="17" t="s">
        <v>1873</v>
      </c>
      <c r="B4797" s="17" t="s">
        <v>1882</v>
      </c>
      <c r="C4797" s="17">
        <v>0</v>
      </c>
      <c r="D4797" s="17" t="s">
        <v>801</v>
      </c>
      <c r="E4797" s="18">
        <v>7056027065556</v>
      </c>
      <c r="G4797" s="20" t="str">
        <f t="shared" si="222"/>
        <v xml:space="preserve"> FLAPOHUGMEN     </v>
      </c>
      <c r="H4797" s="20" t="str">
        <f t="shared" si="223"/>
        <v>ROCK1</v>
      </c>
      <c r="I4797" s="20">
        <f t="shared" si="224"/>
        <v>0</v>
      </c>
    </row>
    <row r="4798" spans="1:9">
      <c r="A4798" s="17" t="s">
        <v>1873</v>
      </c>
      <c r="B4798" s="17" t="s">
        <v>1883</v>
      </c>
      <c r="C4798" s="17">
        <v>0</v>
      </c>
      <c r="D4798" s="17" t="s">
        <v>801</v>
      </c>
      <c r="E4798" s="18">
        <v>8056095066430</v>
      </c>
      <c r="G4798" s="20" t="str">
        <f t="shared" si="222"/>
        <v xml:space="preserve"> FLAPOHUGMEN     </v>
      </c>
      <c r="H4798" s="20" t="str">
        <f t="shared" si="223"/>
        <v>ROCK2</v>
      </c>
      <c r="I4798" s="20">
        <f t="shared" si="224"/>
        <v>0</v>
      </c>
    </row>
    <row r="4799" spans="1:9">
      <c r="A4799" s="17" t="s">
        <v>1873</v>
      </c>
      <c r="B4799" s="17" t="s">
        <v>1883</v>
      </c>
      <c r="C4799" s="17">
        <v>0</v>
      </c>
      <c r="D4799" s="17" t="s">
        <v>801</v>
      </c>
      <c r="E4799" s="18">
        <v>7056027066430</v>
      </c>
      <c r="G4799" s="20" t="str">
        <f t="shared" si="222"/>
        <v xml:space="preserve"> FLAPOHUGMEN     </v>
      </c>
      <c r="H4799" s="20" t="str">
        <f t="shared" si="223"/>
        <v>ROCK2</v>
      </c>
      <c r="I4799" s="20">
        <f t="shared" si="224"/>
        <v>0</v>
      </c>
    </row>
    <row r="4800" spans="1:9">
      <c r="A4800" s="17" t="s">
        <v>1873</v>
      </c>
      <c r="B4800" s="17" t="s">
        <v>1080</v>
      </c>
      <c r="C4800" s="17">
        <v>0</v>
      </c>
      <c r="D4800" s="17" t="s">
        <v>801</v>
      </c>
      <c r="E4800" s="18">
        <v>8056095065518</v>
      </c>
      <c r="G4800" s="20" t="str">
        <f t="shared" si="222"/>
        <v xml:space="preserve"> FLAPOHUGMEN     </v>
      </c>
      <c r="H4800" s="20" t="str">
        <f t="shared" si="223"/>
        <v>TERRA</v>
      </c>
      <c r="I4800" s="20">
        <f t="shared" si="224"/>
        <v>0</v>
      </c>
    </row>
    <row r="4801" spans="1:9">
      <c r="A4801" s="17" t="s">
        <v>1873</v>
      </c>
      <c r="B4801" s="17" t="s">
        <v>1080</v>
      </c>
      <c r="C4801" s="17">
        <v>0</v>
      </c>
      <c r="D4801" s="17" t="s">
        <v>801</v>
      </c>
      <c r="E4801" s="18">
        <v>8056095065525</v>
      </c>
      <c r="G4801" s="20" t="str">
        <f t="shared" si="222"/>
        <v xml:space="preserve"> FLAPOHUGMEN     </v>
      </c>
      <c r="H4801" s="20" t="str">
        <f t="shared" si="223"/>
        <v>TERRA</v>
      </c>
      <c r="I4801" s="20">
        <f t="shared" si="224"/>
        <v>0</v>
      </c>
    </row>
    <row r="4802" spans="1:9">
      <c r="A4802" s="17" t="s">
        <v>1873</v>
      </c>
      <c r="B4802" s="17" t="s">
        <v>919</v>
      </c>
      <c r="C4802" s="17">
        <v>0</v>
      </c>
      <c r="D4802" s="17" t="s">
        <v>801</v>
      </c>
      <c r="E4802" s="18">
        <v>8056095066584</v>
      </c>
      <c r="G4802" s="20" t="str">
        <f t="shared" si="222"/>
        <v xml:space="preserve"> FLAPOHUGMEN     </v>
      </c>
      <c r="H4802" s="20" t="str">
        <f t="shared" si="223"/>
        <v>TESTA</v>
      </c>
      <c r="I4802" s="20">
        <f t="shared" si="224"/>
        <v>0</v>
      </c>
    </row>
    <row r="4803" spans="1:9">
      <c r="A4803" s="17" t="s">
        <v>1873</v>
      </c>
      <c r="B4803" s="17" t="s">
        <v>919</v>
      </c>
      <c r="C4803" s="17">
        <v>0</v>
      </c>
      <c r="D4803" s="17" t="s">
        <v>801</v>
      </c>
      <c r="E4803" s="18">
        <v>8056300459385</v>
      </c>
      <c r="G4803" s="20" t="str">
        <f t="shared" si="222"/>
        <v xml:space="preserve"> FLAPOHUGMEN     </v>
      </c>
      <c r="H4803" s="20" t="str">
        <f t="shared" si="223"/>
        <v>TESTA</v>
      </c>
      <c r="I4803" s="20">
        <f t="shared" si="224"/>
        <v>0</v>
      </c>
    </row>
    <row r="4804" spans="1:9">
      <c r="A4804" s="17" t="s">
        <v>1873</v>
      </c>
      <c r="B4804" s="17" t="s">
        <v>1884</v>
      </c>
      <c r="C4804" s="17">
        <v>0</v>
      </c>
      <c r="D4804" s="17" t="s">
        <v>801</v>
      </c>
      <c r="E4804" s="18">
        <v>8056095066614</v>
      </c>
      <c r="G4804" s="20" t="str">
        <f t="shared" si="222"/>
        <v xml:space="preserve"> FLAPOHUGMEN     </v>
      </c>
      <c r="H4804" s="20" t="str">
        <f t="shared" si="223"/>
        <v>VERT1</v>
      </c>
      <c r="I4804" s="20">
        <f t="shared" si="224"/>
        <v>0</v>
      </c>
    </row>
    <row r="4805" spans="1:9">
      <c r="A4805" s="17" t="s">
        <v>1873</v>
      </c>
      <c r="B4805" s="17" t="s">
        <v>1885</v>
      </c>
      <c r="C4805" s="17">
        <v>0</v>
      </c>
      <c r="D4805" s="17" t="s">
        <v>801</v>
      </c>
      <c r="E4805" s="18">
        <v>8056300459415</v>
      </c>
      <c r="G4805" s="20" t="str">
        <f t="shared" ref="G4805:G4868" si="225">A4805</f>
        <v xml:space="preserve"> FLAPOHUGMEN     </v>
      </c>
      <c r="H4805" s="20" t="str">
        <f t="shared" ref="H4805:H4868" si="226">B4805</f>
        <v>VERT2</v>
      </c>
      <c r="I4805" s="20">
        <f t="shared" ref="I4805:I4868" si="227">C4805</f>
        <v>0</v>
      </c>
    </row>
    <row r="4806" spans="1:9">
      <c r="A4806" s="17" t="s">
        <v>1886</v>
      </c>
      <c r="B4806" s="17">
        <v>0</v>
      </c>
      <c r="C4806" s="17">
        <v>0</v>
      </c>
      <c r="D4806" s="17" t="s">
        <v>801</v>
      </c>
      <c r="E4806" s="18">
        <v>3005800254001</v>
      </c>
      <c r="G4806" s="20" t="str">
        <f t="shared" si="225"/>
        <v xml:space="preserve"> FLEUR           </v>
      </c>
      <c r="H4806" s="20">
        <f t="shared" si="226"/>
        <v>0</v>
      </c>
      <c r="I4806" s="20">
        <f t="shared" si="227"/>
        <v>0</v>
      </c>
    </row>
    <row r="4807" spans="1:9">
      <c r="A4807" s="17" t="s">
        <v>1886</v>
      </c>
      <c r="B4807" s="17">
        <v>0</v>
      </c>
      <c r="C4807" s="17" t="s">
        <v>800</v>
      </c>
      <c r="D4807" s="17" t="s">
        <v>801</v>
      </c>
      <c r="E4807" s="18">
        <v>3005800254032</v>
      </c>
      <c r="G4807" s="20" t="str">
        <f t="shared" si="225"/>
        <v xml:space="preserve"> FLEUR           </v>
      </c>
      <c r="H4807" s="20">
        <f t="shared" si="226"/>
        <v>0</v>
      </c>
      <c r="I4807" s="20" t="str">
        <f t="shared" si="227"/>
        <v xml:space="preserve">L    </v>
      </c>
    </row>
    <row r="4808" spans="1:9">
      <c r="A4808" s="17" t="s">
        <v>1886</v>
      </c>
      <c r="B4808" s="17">
        <v>0</v>
      </c>
      <c r="C4808" s="17" t="s">
        <v>802</v>
      </c>
      <c r="D4808" s="17" t="s">
        <v>801</v>
      </c>
      <c r="E4808" s="18">
        <v>3005800254025</v>
      </c>
      <c r="G4808" s="20" t="str">
        <f t="shared" si="225"/>
        <v xml:space="preserve"> FLEUR           </v>
      </c>
      <c r="H4808" s="20">
        <f t="shared" si="226"/>
        <v>0</v>
      </c>
      <c r="I4808" s="20" t="str">
        <f t="shared" si="227"/>
        <v xml:space="preserve">M    </v>
      </c>
    </row>
    <row r="4809" spans="1:9">
      <c r="A4809" s="17" t="s">
        <v>1886</v>
      </c>
      <c r="B4809" s="17">
        <v>0</v>
      </c>
      <c r="C4809" s="17" t="s">
        <v>803</v>
      </c>
      <c r="D4809" s="17" t="s">
        <v>801</v>
      </c>
      <c r="E4809" s="18">
        <v>3005800254018</v>
      </c>
      <c r="G4809" s="20" t="str">
        <f t="shared" si="225"/>
        <v xml:space="preserve"> FLEUR           </v>
      </c>
      <c r="H4809" s="20">
        <f t="shared" si="226"/>
        <v>0</v>
      </c>
      <c r="I4809" s="20" t="str">
        <f t="shared" si="227"/>
        <v xml:space="preserve">S    </v>
      </c>
    </row>
    <row r="4810" spans="1:9">
      <c r="A4810" s="17" t="s">
        <v>1886</v>
      </c>
      <c r="B4810" s="17">
        <v>0</v>
      </c>
      <c r="C4810" s="17" t="s">
        <v>804</v>
      </c>
      <c r="D4810" s="17" t="s">
        <v>801</v>
      </c>
      <c r="E4810" s="18">
        <v>3005800254049</v>
      </c>
      <c r="G4810" s="20" t="str">
        <f t="shared" si="225"/>
        <v xml:space="preserve"> FLEUR           </v>
      </c>
      <c r="H4810" s="20">
        <f t="shared" si="226"/>
        <v>0</v>
      </c>
      <c r="I4810" s="20" t="str">
        <f t="shared" si="227"/>
        <v xml:space="preserve">XL   </v>
      </c>
    </row>
    <row r="4811" spans="1:9">
      <c r="A4811" s="17" t="s">
        <v>1886</v>
      </c>
      <c r="B4811" s="17" t="s">
        <v>1453</v>
      </c>
      <c r="C4811" s="17">
        <v>0</v>
      </c>
      <c r="D4811" s="17" t="s">
        <v>801</v>
      </c>
      <c r="E4811" s="18">
        <v>3005800427009</v>
      </c>
      <c r="G4811" s="20" t="str">
        <f t="shared" si="225"/>
        <v xml:space="preserve"> FLEUR           </v>
      </c>
      <c r="H4811" s="20" t="str">
        <f t="shared" si="226"/>
        <v xml:space="preserve">UNI  </v>
      </c>
      <c r="I4811" s="20">
        <f t="shared" si="227"/>
        <v>0</v>
      </c>
    </row>
    <row r="4812" spans="1:9">
      <c r="A4812" s="17" t="s">
        <v>1886</v>
      </c>
      <c r="B4812" s="17" t="s">
        <v>1453</v>
      </c>
      <c r="C4812" s="17">
        <v>0</v>
      </c>
      <c r="D4812" s="17" t="s">
        <v>801</v>
      </c>
      <c r="E4812" s="18">
        <v>8050846000858</v>
      </c>
      <c r="G4812" s="20" t="str">
        <f t="shared" si="225"/>
        <v xml:space="preserve"> FLEUR           </v>
      </c>
      <c r="H4812" s="20" t="str">
        <f t="shared" si="226"/>
        <v xml:space="preserve">UNI  </v>
      </c>
      <c r="I4812" s="20">
        <f t="shared" si="227"/>
        <v>0</v>
      </c>
    </row>
    <row r="4813" spans="1:9">
      <c r="A4813" s="17" t="s">
        <v>1887</v>
      </c>
      <c r="B4813" s="17" t="s">
        <v>1888</v>
      </c>
      <c r="C4813" s="17">
        <v>0</v>
      </c>
      <c r="D4813" s="17" t="s">
        <v>1889</v>
      </c>
      <c r="E4813" s="18">
        <v>3242960393007</v>
      </c>
      <c r="G4813" s="20" t="str">
        <f t="shared" si="225"/>
        <v xml:space="preserve"> FLEURDELUNE     </v>
      </c>
      <c r="H4813" s="20" t="str">
        <f t="shared" si="226"/>
        <v xml:space="preserve">GRIS </v>
      </c>
      <c r="I4813" s="20">
        <f t="shared" si="227"/>
        <v>0</v>
      </c>
    </row>
    <row r="4814" spans="1:9">
      <c r="A4814" s="17" t="s">
        <v>1887</v>
      </c>
      <c r="B4814" s="17" t="s">
        <v>1890</v>
      </c>
      <c r="C4814" s="17">
        <v>0</v>
      </c>
      <c r="D4814" s="17" t="s">
        <v>1889</v>
      </c>
      <c r="E4814" s="18">
        <v>3242961337000</v>
      </c>
      <c r="G4814" s="20" t="str">
        <f t="shared" si="225"/>
        <v xml:space="preserve"> FLEURDELUNE     </v>
      </c>
      <c r="H4814" s="20" t="str">
        <f t="shared" si="226"/>
        <v>GRISF</v>
      </c>
      <c r="I4814" s="20">
        <f t="shared" si="227"/>
        <v>0</v>
      </c>
    </row>
    <row r="4815" spans="1:9">
      <c r="A4815" s="17" t="s">
        <v>1887</v>
      </c>
      <c r="B4815" s="17" t="s">
        <v>1891</v>
      </c>
      <c r="C4815" s="17">
        <v>0</v>
      </c>
      <c r="D4815" s="17" t="s">
        <v>1889</v>
      </c>
      <c r="E4815" s="18">
        <v>3242960323004</v>
      </c>
      <c r="G4815" s="20" t="str">
        <f t="shared" si="225"/>
        <v xml:space="preserve"> FLEURDELUNE     </v>
      </c>
      <c r="H4815" s="20" t="str">
        <f t="shared" si="226"/>
        <v>MARIN</v>
      </c>
      <c r="I4815" s="20">
        <f t="shared" si="227"/>
        <v>0</v>
      </c>
    </row>
    <row r="4816" spans="1:9">
      <c r="A4816" s="17" t="s">
        <v>1887</v>
      </c>
      <c r="B4816" s="17" t="s">
        <v>859</v>
      </c>
      <c r="C4816" s="17">
        <v>0</v>
      </c>
      <c r="D4816" s="17" t="s">
        <v>1889</v>
      </c>
      <c r="E4816" s="18">
        <v>3242960598006</v>
      </c>
      <c r="G4816" s="20" t="str">
        <f t="shared" si="225"/>
        <v xml:space="preserve"> FLEURDELUNE     </v>
      </c>
      <c r="H4816" s="20" t="str">
        <f t="shared" si="226"/>
        <v>NATUR</v>
      </c>
      <c r="I4816" s="20">
        <f t="shared" si="227"/>
        <v>0</v>
      </c>
    </row>
    <row r="4817" spans="1:9">
      <c r="A4817" s="17" t="s">
        <v>1887</v>
      </c>
      <c r="B4817" s="17" t="s">
        <v>964</v>
      </c>
      <c r="C4817" s="17">
        <v>0</v>
      </c>
      <c r="D4817" s="17" t="s">
        <v>1889</v>
      </c>
      <c r="E4817" s="18">
        <v>3242960163006</v>
      </c>
      <c r="G4817" s="20" t="str">
        <f t="shared" si="225"/>
        <v xml:space="preserve"> FLEURDELUNE     </v>
      </c>
      <c r="H4817" s="20" t="str">
        <f t="shared" si="226"/>
        <v>ORANG</v>
      </c>
      <c r="I4817" s="20">
        <f t="shared" si="227"/>
        <v>0</v>
      </c>
    </row>
    <row r="4818" spans="1:9">
      <c r="A4818" s="17" t="s">
        <v>1887</v>
      </c>
      <c r="B4818" s="17" t="s">
        <v>1892</v>
      </c>
      <c r="C4818" s="17">
        <v>0</v>
      </c>
      <c r="D4818" s="17" t="s">
        <v>1889</v>
      </c>
      <c r="E4818" s="18">
        <v>3242960652005</v>
      </c>
      <c r="G4818" s="20" t="str">
        <f t="shared" si="225"/>
        <v xml:space="preserve"> FLEURDELUNE     </v>
      </c>
      <c r="H4818" s="20" t="str">
        <f t="shared" si="226"/>
        <v xml:space="preserve">ROSE </v>
      </c>
      <c r="I4818" s="20">
        <f t="shared" si="227"/>
        <v>0</v>
      </c>
    </row>
    <row r="4819" spans="1:9">
      <c r="A4819" s="17" t="s">
        <v>1887</v>
      </c>
      <c r="B4819" s="17" t="s">
        <v>1013</v>
      </c>
      <c r="C4819" s="17">
        <v>0</v>
      </c>
      <c r="D4819" s="17" t="s">
        <v>1889</v>
      </c>
      <c r="E4819" s="18">
        <v>3242960625009</v>
      </c>
      <c r="G4819" s="20" t="str">
        <f t="shared" si="225"/>
        <v xml:space="preserve"> FLEURDELUNE     </v>
      </c>
      <c r="H4819" s="20" t="str">
        <f t="shared" si="226"/>
        <v xml:space="preserve">TURQ </v>
      </c>
      <c r="I4819" s="20">
        <f t="shared" si="227"/>
        <v>0</v>
      </c>
    </row>
    <row r="4820" spans="1:9">
      <c r="A4820" s="17" t="s">
        <v>1887</v>
      </c>
      <c r="B4820" s="17" t="s">
        <v>811</v>
      </c>
      <c r="C4820" s="17">
        <v>0</v>
      </c>
      <c r="D4820" s="17" t="s">
        <v>1889</v>
      </c>
      <c r="E4820" s="18">
        <v>3242960659004</v>
      </c>
      <c r="G4820" s="20" t="str">
        <f t="shared" si="225"/>
        <v xml:space="preserve"> FLEURDELUNE     </v>
      </c>
      <c r="H4820" s="20" t="str">
        <f t="shared" si="226"/>
        <v xml:space="preserve">VERT </v>
      </c>
      <c r="I4820" s="20">
        <f t="shared" si="227"/>
        <v>0</v>
      </c>
    </row>
    <row r="4821" spans="1:9">
      <c r="A4821" s="17" t="s">
        <v>1893</v>
      </c>
      <c r="B4821" s="17" t="s">
        <v>1453</v>
      </c>
      <c r="C4821" s="17">
        <v>0</v>
      </c>
      <c r="D4821" s="17" t="s">
        <v>801</v>
      </c>
      <c r="E4821" s="18">
        <v>3005810427006</v>
      </c>
      <c r="G4821" s="20" t="str">
        <f t="shared" si="225"/>
        <v xml:space="preserve"> FLOWER          </v>
      </c>
      <c r="H4821" s="20" t="str">
        <f t="shared" si="226"/>
        <v xml:space="preserve">UNI  </v>
      </c>
      <c r="I4821" s="20">
        <f t="shared" si="227"/>
        <v>0</v>
      </c>
    </row>
    <row r="4822" spans="1:9">
      <c r="A4822" s="17" t="s">
        <v>1894</v>
      </c>
      <c r="B4822" s="17" t="s">
        <v>1670</v>
      </c>
      <c r="C4822" s="17">
        <v>0</v>
      </c>
      <c r="D4822" s="17" t="s">
        <v>801</v>
      </c>
      <c r="E4822" s="18">
        <v>3003270074006</v>
      </c>
      <c r="G4822" s="20" t="str">
        <f t="shared" si="225"/>
        <v xml:space="preserve"> FOURRURE        </v>
      </c>
      <c r="H4822" s="20" t="str">
        <f t="shared" si="226"/>
        <v>BEMAR</v>
      </c>
      <c r="I4822" s="20">
        <f t="shared" si="227"/>
        <v>0</v>
      </c>
    </row>
    <row r="4823" spans="1:9">
      <c r="A4823" s="17" t="s">
        <v>1894</v>
      </c>
      <c r="B4823" s="17" t="s">
        <v>1895</v>
      </c>
      <c r="C4823" s="17">
        <v>0</v>
      </c>
      <c r="D4823" s="17" t="s">
        <v>801</v>
      </c>
      <c r="E4823" s="18">
        <v>3003270015009</v>
      </c>
      <c r="G4823" s="20" t="str">
        <f t="shared" si="225"/>
        <v xml:space="preserve"> FOURRURE        </v>
      </c>
      <c r="H4823" s="20" t="str">
        <f t="shared" si="226"/>
        <v xml:space="preserve">BLGM </v>
      </c>
      <c r="I4823" s="20">
        <f t="shared" si="227"/>
        <v>0</v>
      </c>
    </row>
    <row r="4824" spans="1:9">
      <c r="A4824" s="17" t="s">
        <v>1894</v>
      </c>
      <c r="B4824" s="17" t="s">
        <v>1896</v>
      </c>
      <c r="C4824" s="17">
        <v>0</v>
      </c>
      <c r="D4824" s="17" t="s">
        <v>801</v>
      </c>
      <c r="E4824" s="18">
        <v>3003270013005</v>
      </c>
      <c r="G4824" s="20" t="str">
        <f t="shared" si="225"/>
        <v xml:space="preserve"> FOURRURE        </v>
      </c>
      <c r="H4824" s="20" t="str">
        <f t="shared" si="226"/>
        <v xml:space="preserve">BLM  </v>
      </c>
      <c r="I4824" s="20">
        <f t="shared" si="227"/>
        <v>0</v>
      </c>
    </row>
    <row r="4825" spans="1:9">
      <c r="A4825" s="17" t="s">
        <v>1894</v>
      </c>
      <c r="B4825" s="17" t="s">
        <v>1674</v>
      </c>
      <c r="C4825" s="17">
        <v>0</v>
      </c>
      <c r="D4825" s="17" t="s">
        <v>801</v>
      </c>
      <c r="E4825" s="18">
        <v>3003270073009</v>
      </c>
      <c r="G4825" s="20" t="str">
        <f t="shared" si="225"/>
        <v xml:space="preserve"> FOURRURE        </v>
      </c>
      <c r="H4825" s="20" t="str">
        <f t="shared" si="226"/>
        <v>BLMAR</v>
      </c>
      <c r="I4825" s="20">
        <f t="shared" si="227"/>
        <v>0</v>
      </c>
    </row>
    <row r="4826" spans="1:9">
      <c r="A4826" s="17" t="s">
        <v>1894</v>
      </c>
      <c r="B4826" s="17" t="s">
        <v>1897</v>
      </c>
      <c r="C4826" s="17">
        <v>0</v>
      </c>
      <c r="D4826" s="17" t="s">
        <v>801</v>
      </c>
      <c r="E4826" s="18">
        <v>3003270014002</v>
      </c>
      <c r="G4826" s="20" t="str">
        <f t="shared" si="225"/>
        <v xml:space="preserve"> FOURRURE        </v>
      </c>
      <c r="H4826" s="20" t="str">
        <f t="shared" si="226"/>
        <v xml:space="preserve">BRM  </v>
      </c>
      <c r="I4826" s="20">
        <f t="shared" si="227"/>
        <v>0</v>
      </c>
    </row>
    <row r="4827" spans="1:9">
      <c r="A4827" s="17" t="s">
        <v>1898</v>
      </c>
      <c r="B4827" s="17" t="s">
        <v>1899</v>
      </c>
      <c r="C4827" s="17">
        <v>0</v>
      </c>
      <c r="D4827" s="17" t="s">
        <v>801</v>
      </c>
      <c r="E4827" s="18">
        <v>3003280016003</v>
      </c>
      <c r="G4827" s="20" t="str">
        <f t="shared" si="225"/>
        <v xml:space="preserve"> FOURRURE/FOX    </v>
      </c>
      <c r="H4827" s="20" t="str">
        <f t="shared" si="226"/>
        <v xml:space="preserve">DARK </v>
      </c>
      <c r="I4827" s="20">
        <f t="shared" si="227"/>
        <v>0</v>
      </c>
    </row>
    <row r="4828" spans="1:9">
      <c r="A4828" s="17" t="s">
        <v>1898</v>
      </c>
      <c r="B4828" s="17" t="s">
        <v>859</v>
      </c>
      <c r="C4828" s="17">
        <v>0</v>
      </c>
      <c r="D4828" s="17" t="s">
        <v>801</v>
      </c>
      <c r="E4828" s="18">
        <v>3003280002006</v>
      </c>
      <c r="G4828" s="20" t="str">
        <f t="shared" si="225"/>
        <v xml:space="preserve"> FOURRURE/FOX    </v>
      </c>
      <c r="H4828" s="20" t="str">
        <f t="shared" si="226"/>
        <v>NATUR</v>
      </c>
      <c r="I4828" s="20">
        <f t="shared" si="227"/>
        <v>0</v>
      </c>
    </row>
    <row r="4829" spans="1:9">
      <c r="A4829" s="17" t="s">
        <v>1900</v>
      </c>
      <c r="B4829" s="17" t="s">
        <v>1895</v>
      </c>
      <c r="C4829" s="17">
        <v>0</v>
      </c>
      <c r="D4829" s="17" t="s">
        <v>801</v>
      </c>
      <c r="E4829" s="18">
        <v>3003570015006</v>
      </c>
      <c r="G4829" s="20" t="str">
        <f t="shared" si="225"/>
        <v xml:space="preserve"> FOURRURE2       </v>
      </c>
      <c r="H4829" s="20" t="str">
        <f t="shared" si="226"/>
        <v xml:space="preserve">BLGM </v>
      </c>
      <c r="I4829" s="20">
        <f t="shared" si="227"/>
        <v>0</v>
      </c>
    </row>
    <row r="4830" spans="1:9">
      <c r="A4830" s="17" t="s">
        <v>1900</v>
      </c>
      <c r="B4830" s="17" t="s">
        <v>1896</v>
      </c>
      <c r="C4830" s="17">
        <v>0</v>
      </c>
      <c r="D4830" s="17" t="s">
        <v>801</v>
      </c>
      <c r="E4830" s="18">
        <v>3003570013002</v>
      </c>
      <c r="G4830" s="20" t="str">
        <f t="shared" si="225"/>
        <v xml:space="preserve"> FOURRURE2       </v>
      </c>
      <c r="H4830" s="20" t="str">
        <f t="shared" si="226"/>
        <v xml:space="preserve">BLM  </v>
      </c>
      <c r="I4830" s="20">
        <f t="shared" si="227"/>
        <v>0</v>
      </c>
    </row>
    <row r="4831" spans="1:9">
      <c r="A4831" s="17" t="s">
        <v>1900</v>
      </c>
      <c r="B4831" s="17" t="s">
        <v>810</v>
      </c>
      <c r="C4831" s="17">
        <v>0</v>
      </c>
      <c r="D4831" s="17" t="s">
        <v>801</v>
      </c>
      <c r="E4831" s="18">
        <v>3003570012005</v>
      </c>
      <c r="G4831" s="20" t="str">
        <f t="shared" si="225"/>
        <v xml:space="preserve"> FOURRURE2       </v>
      </c>
      <c r="H4831" s="20" t="str">
        <f t="shared" si="226"/>
        <v xml:space="preserve">BLUE </v>
      </c>
      <c r="I4831" s="20">
        <f t="shared" si="227"/>
        <v>0</v>
      </c>
    </row>
    <row r="4832" spans="1:9">
      <c r="A4832" s="17" t="s">
        <v>1900</v>
      </c>
      <c r="B4832" s="17" t="s">
        <v>891</v>
      </c>
      <c r="C4832" s="17">
        <v>0</v>
      </c>
      <c r="D4832" s="17" t="s">
        <v>801</v>
      </c>
      <c r="E4832" s="18">
        <v>3003570063007</v>
      </c>
      <c r="G4832" s="20" t="str">
        <f t="shared" si="225"/>
        <v xml:space="preserve"> FOURRURE2       </v>
      </c>
      <c r="H4832" s="20" t="str">
        <f t="shared" si="226"/>
        <v>GREEN</v>
      </c>
      <c r="I4832" s="20">
        <f t="shared" si="227"/>
        <v>0</v>
      </c>
    </row>
    <row r="4833" spans="1:9">
      <c r="A4833" s="17" t="s">
        <v>1901</v>
      </c>
      <c r="B4833" s="17" t="s">
        <v>891</v>
      </c>
      <c r="C4833" s="17">
        <v>0</v>
      </c>
      <c r="D4833" s="17" t="s">
        <v>801</v>
      </c>
      <c r="E4833" s="18">
        <v>3003270063000</v>
      </c>
      <c r="G4833" s="20" t="str">
        <f t="shared" si="225"/>
        <v xml:space="preserve"> FOURRURE3       </v>
      </c>
      <c r="H4833" s="20" t="str">
        <f t="shared" si="226"/>
        <v>GREEN</v>
      </c>
      <c r="I4833" s="20">
        <f t="shared" si="227"/>
        <v>0</v>
      </c>
    </row>
    <row r="4834" spans="1:9">
      <c r="A4834" s="17" t="s">
        <v>1902</v>
      </c>
      <c r="B4834" s="17" t="s">
        <v>799</v>
      </c>
      <c r="C4834" s="17" t="s">
        <v>800</v>
      </c>
      <c r="D4834" s="17" t="s">
        <v>801</v>
      </c>
      <c r="E4834" s="18">
        <v>3004650000035</v>
      </c>
      <c r="G4834" s="20" t="str">
        <f t="shared" si="225"/>
        <v xml:space="preserve"> FRAISPORT       </v>
      </c>
      <c r="H4834" s="20" t="str">
        <f t="shared" si="226"/>
        <v xml:space="preserve">     </v>
      </c>
      <c r="I4834" s="20" t="str">
        <f t="shared" si="227"/>
        <v xml:space="preserve">L    </v>
      </c>
    </row>
    <row r="4835" spans="1:9">
      <c r="A4835" s="17" t="s">
        <v>1902</v>
      </c>
      <c r="B4835" s="17" t="s">
        <v>799</v>
      </c>
      <c r="C4835" s="17" t="s">
        <v>802</v>
      </c>
      <c r="D4835" s="17" t="s">
        <v>801</v>
      </c>
      <c r="E4835" s="18">
        <v>3004650000028</v>
      </c>
      <c r="G4835" s="20" t="str">
        <f t="shared" si="225"/>
        <v xml:space="preserve"> FRAISPORT       </v>
      </c>
      <c r="H4835" s="20" t="str">
        <f t="shared" si="226"/>
        <v xml:space="preserve">     </v>
      </c>
      <c r="I4835" s="20" t="str">
        <f t="shared" si="227"/>
        <v xml:space="preserve">M    </v>
      </c>
    </row>
    <row r="4836" spans="1:9">
      <c r="A4836" s="17" t="s">
        <v>1902</v>
      </c>
      <c r="B4836" s="17" t="s">
        <v>799</v>
      </c>
      <c r="C4836" s="17" t="s">
        <v>803</v>
      </c>
      <c r="D4836" s="17" t="s">
        <v>801</v>
      </c>
      <c r="E4836" s="18">
        <v>3004650000011</v>
      </c>
      <c r="G4836" s="20" t="str">
        <f t="shared" si="225"/>
        <v xml:space="preserve"> FRAISPORT       </v>
      </c>
      <c r="H4836" s="20" t="str">
        <f t="shared" si="226"/>
        <v xml:space="preserve">     </v>
      </c>
      <c r="I4836" s="20" t="str">
        <f t="shared" si="227"/>
        <v xml:space="preserve">S    </v>
      </c>
    </row>
    <row r="4837" spans="1:9">
      <c r="A4837" s="17" t="s">
        <v>1902</v>
      </c>
      <c r="B4837" s="17" t="s">
        <v>799</v>
      </c>
      <c r="C4837" s="17" t="s">
        <v>804</v>
      </c>
      <c r="D4837" s="17" t="s">
        <v>801</v>
      </c>
      <c r="E4837" s="18">
        <v>3004650000042</v>
      </c>
      <c r="G4837" s="20" t="str">
        <f t="shared" si="225"/>
        <v xml:space="preserve"> FRAISPORT       </v>
      </c>
      <c r="H4837" s="20" t="str">
        <f t="shared" si="226"/>
        <v xml:space="preserve">     </v>
      </c>
      <c r="I4837" s="20" t="str">
        <f t="shared" si="227"/>
        <v xml:space="preserve">XL   </v>
      </c>
    </row>
    <row r="4838" spans="1:9">
      <c r="A4838" s="17" t="s">
        <v>1902</v>
      </c>
      <c r="B4838" s="17" t="s">
        <v>799</v>
      </c>
      <c r="C4838" s="17" t="s">
        <v>805</v>
      </c>
      <c r="D4838" s="17" t="s">
        <v>801</v>
      </c>
      <c r="E4838" s="18">
        <v>3004650000004</v>
      </c>
      <c r="G4838" s="20" t="str">
        <f t="shared" si="225"/>
        <v xml:space="preserve"> FRAISPORT       </v>
      </c>
      <c r="H4838" s="20" t="str">
        <f t="shared" si="226"/>
        <v xml:space="preserve">     </v>
      </c>
      <c r="I4838" s="20" t="str">
        <f t="shared" si="227"/>
        <v xml:space="preserve">XS   </v>
      </c>
    </row>
    <row r="4839" spans="1:9">
      <c r="A4839" s="17" t="s">
        <v>1902</v>
      </c>
      <c r="B4839" s="17" t="s">
        <v>1453</v>
      </c>
      <c r="C4839" s="17" t="s">
        <v>800</v>
      </c>
      <c r="D4839" s="17" t="s">
        <v>801</v>
      </c>
      <c r="E4839" s="18">
        <v>3004650427030</v>
      </c>
      <c r="G4839" s="20" t="str">
        <f t="shared" si="225"/>
        <v xml:space="preserve"> FRAISPORT       </v>
      </c>
      <c r="H4839" s="20" t="str">
        <f t="shared" si="226"/>
        <v xml:space="preserve">UNI  </v>
      </c>
      <c r="I4839" s="20" t="str">
        <f t="shared" si="227"/>
        <v xml:space="preserve">L    </v>
      </c>
    </row>
    <row r="4840" spans="1:9">
      <c r="A4840" s="17" t="s">
        <v>1902</v>
      </c>
      <c r="B4840" s="17" t="s">
        <v>1453</v>
      </c>
      <c r="C4840" s="17" t="s">
        <v>802</v>
      </c>
      <c r="D4840" s="17" t="s">
        <v>801</v>
      </c>
      <c r="E4840" s="18">
        <v>3004650427023</v>
      </c>
      <c r="G4840" s="20" t="str">
        <f t="shared" si="225"/>
        <v xml:space="preserve"> FRAISPORT       </v>
      </c>
      <c r="H4840" s="20" t="str">
        <f t="shared" si="226"/>
        <v xml:space="preserve">UNI  </v>
      </c>
      <c r="I4840" s="20" t="str">
        <f t="shared" si="227"/>
        <v xml:space="preserve">M    </v>
      </c>
    </row>
    <row r="4841" spans="1:9">
      <c r="A4841" s="17" t="s">
        <v>1902</v>
      </c>
      <c r="B4841" s="17" t="s">
        <v>1453</v>
      </c>
      <c r="C4841" s="17" t="s">
        <v>803</v>
      </c>
      <c r="D4841" s="17" t="s">
        <v>801</v>
      </c>
      <c r="E4841" s="18">
        <v>3004650427016</v>
      </c>
      <c r="G4841" s="20" t="str">
        <f t="shared" si="225"/>
        <v xml:space="preserve"> FRAISPORT       </v>
      </c>
      <c r="H4841" s="20" t="str">
        <f t="shared" si="226"/>
        <v xml:space="preserve">UNI  </v>
      </c>
      <c r="I4841" s="20" t="str">
        <f t="shared" si="227"/>
        <v xml:space="preserve">S    </v>
      </c>
    </row>
    <row r="4842" spans="1:9">
      <c r="A4842" s="17" t="s">
        <v>1902</v>
      </c>
      <c r="B4842" s="17" t="s">
        <v>1453</v>
      </c>
      <c r="C4842" s="17" t="s">
        <v>804</v>
      </c>
      <c r="D4842" s="17" t="s">
        <v>801</v>
      </c>
      <c r="E4842" s="18">
        <v>3004650427047</v>
      </c>
      <c r="G4842" s="20" t="str">
        <f t="shared" si="225"/>
        <v xml:space="preserve"> FRAISPORT       </v>
      </c>
      <c r="H4842" s="20" t="str">
        <f t="shared" si="226"/>
        <v xml:space="preserve">UNI  </v>
      </c>
      <c r="I4842" s="20" t="str">
        <f t="shared" si="227"/>
        <v xml:space="preserve">XL   </v>
      </c>
    </row>
    <row r="4843" spans="1:9">
      <c r="A4843" s="17" t="s">
        <v>1902</v>
      </c>
      <c r="B4843" s="17" t="s">
        <v>1453</v>
      </c>
      <c r="C4843" s="17" t="s">
        <v>805</v>
      </c>
      <c r="D4843" s="17" t="s">
        <v>801</v>
      </c>
      <c r="E4843" s="18">
        <v>3004650427009</v>
      </c>
      <c r="G4843" s="20" t="str">
        <f t="shared" si="225"/>
        <v xml:space="preserve"> FRAISPORT       </v>
      </c>
      <c r="H4843" s="20" t="str">
        <f t="shared" si="226"/>
        <v xml:space="preserve">UNI  </v>
      </c>
      <c r="I4843" s="20" t="str">
        <f t="shared" si="227"/>
        <v xml:space="preserve">XS   </v>
      </c>
    </row>
    <row r="4844" spans="1:9">
      <c r="A4844" s="17" t="s">
        <v>1903</v>
      </c>
      <c r="B4844" s="17" t="s">
        <v>820</v>
      </c>
      <c r="C4844" s="17">
        <v>0</v>
      </c>
      <c r="D4844" s="17" t="s">
        <v>801</v>
      </c>
      <c r="E4844" s="18">
        <v>8056300454816</v>
      </c>
      <c r="G4844" s="20" t="str">
        <f t="shared" si="225"/>
        <v xml:space="preserve"> FRANGES/ANSES   </v>
      </c>
      <c r="H4844" s="20" t="str">
        <f t="shared" si="226"/>
        <v>ECBLA</v>
      </c>
      <c r="I4844" s="20">
        <f t="shared" si="227"/>
        <v>0</v>
      </c>
    </row>
    <row r="4845" spans="1:9">
      <c r="A4845" s="17" t="s">
        <v>1903</v>
      </c>
      <c r="B4845" s="17" t="s">
        <v>820</v>
      </c>
      <c r="C4845" s="17">
        <v>0</v>
      </c>
      <c r="D4845" s="17" t="s">
        <v>801</v>
      </c>
      <c r="E4845" s="18">
        <v>3005090744008</v>
      </c>
      <c r="G4845" s="20" t="str">
        <f t="shared" si="225"/>
        <v xml:space="preserve"> FRANGES/ANSES   </v>
      </c>
      <c r="H4845" s="20" t="str">
        <f t="shared" si="226"/>
        <v>ECBLA</v>
      </c>
      <c r="I4845" s="20">
        <f t="shared" si="227"/>
        <v>0</v>
      </c>
    </row>
    <row r="4846" spans="1:9">
      <c r="A4846" s="17" t="s">
        <v>1903</v>
      </c>
      <c r="B4846" s="17" t="s">
        <v>821</v>
      </c>
      <c r="C4846" s="17">
        <v>0</v>
      </c>
      <c r="D4846" s="17" t="s">
        <v>801</v>
      </c>
      <c r="E4846" s="18">
        <v>8056300454830</v>
      </c>
      <c r="G4846" s="20" t="str">
        <f t="shared" si="225"/>
        <v xml:space="preserve"> FRANGES/ANSES   </v>
      </c>
      <c r="H4846" s="20" t="str">
        <f t="shared" si="226"/>
        <v>ECNAT</v>
      </c>
      <c r="I4846" s="20">
        <f t="shared" si="227"/>
        <v>0</v>
      </c>
    </row>
    <row r="4847" spans="1:9">
      <c r="A4847" s="17" t="s">
        <v>1903</v>
      </c>
      <c r="B4847" s="17" t="s">
        <v>821</v>
      </c>
      <c r="C4847" s="17">
        <v>0</v>
      </c>
      <c r="D4847" s="17" t="s">
        <v>801</v>
      </c>
      <c r="E4847" s="18">
        <v>3005090743001</v>
      </c>
      <c r="G4847" s="20" t="str">
        <f t="shared" si="225"/>
        <v xml:space="preserve"> FRANGES/ANSES   </v>
      </c>
      <c r="H4847" s="20" t="str">
        <f t="shared" si="226"/>
        <v>ECNAT</v>
      </c>
      <c r="I4847" s="20">
        <f t="shared" si="227"/>
        <v>0</v>
      </c>
    </row>
    <row r="4848" spans="1:9">
      <c r="A4848" s="17" t="s">
        <v>1903</v>
      </c>
      <c r="B4848" s="17" t="s">
        <v>822</v>
      </c>
      <c r="C4848" s="17">
        <v>0</v>
      </c>
      <c r="D4848" s="17" t="s">
        <v>801</v>
      </c>
      <c r="E4848" s="18">
        <v>8056300454823</v>
      </c>
      <c r="G4848" s="20" t="str">
        <f t="shared" si="225"/>
        <v xml:space="preserve"> FRANGES/ANSES   </v>
      </c>
      <c r="H4848" s="20" t="str">
        <f t="shared" si="226"/>
        <v>ECTES</v>
      </c>
      <c r="I4848" s="20">
        <f t="shared" si="227"/>
        <v>0</v>
      </c>
    </row>
    <row r="4849" spans="1:9">
      <c r="A4849" s="17" t="s">
        <v>1903</v>
      </c>
      <c r="B4849" s="17" t="s">
        <v>822</v>
      </c>
      <c r="C4849" s="17">
        <v>0</v>
      </c>
      <c r="D4849" s="17" t="s">
        <v>801</v>
      </c>
      <c r="E4849" s="18">
        <v>3005090745005</v>
      </c>
      <c r="G4849" s="20" t="str">
        <f t="shared" si="225"/>
        <v xml:space="preserve"> FRANGES/ANSES   </v>
      </c>
      <c r="H4849" s="20" t="str">
        <f t="shared" si="226"/>
        <v>ECTES</v>
      </c>
      <c r="I4849" s="20">
        <f t="shared" si="227"/>
        <v>0</v>
      </c>
    </row>
    <row r="4850" spans="1:9">
      <c r="A4850" s="17" t="s">
        <v>1904</v>
      </c>
      <c r="B4850" s="17" t="s">
        <v>280</v>
      </c>
      <c r="C4850" s="17">
        <v>0</v>
      </c>
      <c r="D4850" s="17" t="s">
        <v>801</v>
      </c>
      <c r="E4850" s="18">
        <v>3003600001009</v>
      </c>
      <c r="G4850" s="20" t="str">
        <f t="shared" si="225"/>
        <v xml:space="preserve"> KITAB           </v>
      </c>
      <c r="H4850" s="20" t="str">
        <f t="shared" si="226"/>
        <v>BLACK</v>
      </c>
      <c r="I4850" s="20">
        <f t="shared" si="227"/>
        <v>0</v>
      </c>
    </row>
    <row r="4851" spans="1:9">
      <c r="A4851" s="17" t="s">
        <v>1905</v>
      </c>
      <c r="B4851" s="17" t="s">
        <v>1530</v>
      </c>
      <c r="C4851" s="17">
        <v>0</v>
      </c>
      <c r="D4851" s="17" t="s">
        <v>801</v>
      </c>
      <c r="E4851" s="18">
        <v>3005221048005</v>
      </c>
      <c r="G4851" s="20" t="str">
        <f t="shared" si="225"/>
        <v xml:space="preserve"> KITONE          </v>
      </c>
      <c r="H4851" s="20" t="str">
        <f t="shared" si="226"/>
        <v>ANTRA</v>
      </c>
      <c r="I4851" s="20">
        <f t="shared" si="227"/>
        <v>0</v>
      </c>
    </row>
    <row r="4852" spans="1:9">
      <c r="A4852" s="17" t="s">
        <v>1905</v>
      </c>
      <c r="B4852" s="17" t="s">
        <v>1530</v>
      </c>
      <c r="C4852" s="17">
        <v>0</v>
      </c>
      <c r="D4852" s="17" t="s">
        <v>801</v>
      </c>
      <c r="E4852" s="18">
        <v>8056095069875</v>
      </c>
      <c r="G4852" s="20" t="str">
        <f t="shared" si="225"/>
        <v xml:space="preserve"> KITONE          </v>
      </c>
      <c r="H4852" s="20" t="str">
        <f t="shared" si="226"/>
        <v>ANTRA</v>
      </c>
      <c r="I4852" s="20">
        <f t="shared" si="227"/>
        <v>0</v>
      </c>
    </row>
    <row r="4853" spans="1:9">
      <c r="A4853" s="17" t="s">
        <v>1905</v>
      </c>
      <c r="B4853" s="17" t="s">
        <v>818</v>
      </c>
      <c r="C4853" s="17">
        <v>0</v>
      </c>
      <c r="D4853" s="17" t="s">
        <v>801</v>
      </c>
      <c r="E4853" s="18">
        <v>3005220273002</v>
      </c>
      <c r="G4853" s="20" t="str">
        <f t="shared" si="225"/>
        <v xml:space="preserve"> KITONE          </v>
      </c>
      <c r="H4853" s="20" t="str">
        <f t="shared" si="226"/>
        <v xml:space="preserve">BDX  </v>
      </c>
      <c r="I4853" s="20">
        <f t="shared" si="227"/>
        <v>0</v>
      </c>
    </row>
    <row r="4854" spans="1:9">
      <c r="A4854" s="17" t="s">
        <v>1905</v>
      </c>
      <c r="B4854" s="17" t="s">
        <v>818</v>
      </c>
      <c r="C4854" s="17">
        <v>0</v>
      </c>
      <c r="D4854" s="17" t="s">
        <v>801</v>
      </c>
      <c r="E4854" s="18">
        <v>8056095069905</v>
      </c>
      <c r="G4854" s="20" t="str">
        <f t="shared" si="225"/>
        <v xml:space="preserve"> KITONE          </v>
      </c>
      <c r="H4854" s="20" t="str">
        <f t="shared" si="226"/>
        <v xml:space="preserve">BDX  </v>
      </c>
      <c r="I4854" s="20">
        <f t="shared" si="227"/>
        <v>0</v>
      </c>
    </row>
    <row r="4855" spans="1:9">
      <c r="A4855" s="17" t="s">
        <v>1905</v>
      </c>
      <c r="B4855" s="17" t="s">
        <v>930</v>
      </c>
      <c r="C4855" s="17">
        <v>0</v>
      </c>
      <c r="D4855" s="17" t="s">
        <v>801</v>
      </c>
      <c r="E4855" s="18">
        <v>3005220557003</v>
      </c>
      <c r="G4855" s="20" t="str">
        <f t="shared" si="225"/>
        <v xml:space="preserve"> KITONE          </v>
      </c>
      <c r="H4855" s="20" t="str">
        <f t="shared" si="226"/>
        <v xml:space="preserve">BLK  </v>
      </c>
      <c r="I4855" s="20">
        <f t="shared" si="227"/>
        <v>0</v>
      </c>
    </row>
    <row r="4856" spans="1:9">
      <c r="A4856" s="17" t="s">
        <v>1905</v>
      </c>
      <c r="B4856" s="17" t="s">
        <v>930</v>
      </c>
      <c r="C4856" s="17">
        <v>0</v>
      </c>
      <c r="D4856" s="17" t="s">
        <v>801</v>
      </c>
      <c r="E4856" s="18">
        <v>8056095069882</v>
      </c>
      <c r="G4856" s="20" t="str">
        <f t="shared" si="225"/>
        <v xml:space="preserve"> KITONE          </v>
      </c>
      <c r="H4856" s="20" t="str">
        <f t="shared" si="226"/>
        <v xml:space="preserve">BLK  </v>
      </c>
      <c r="I4856" s="20">
        <f t="shared" si="227"/>
        <v>0</v>
      </c>
    </row>
    <row r="4857" spans="1:9">
      <c r="A4857" s="17" t="s">
        <v>1905</v>
      </c>
      <c r="B4857" s="17" t="s">
        <v>978</v>
      </c>
      <c r="C4857" s="17">
        <v>0</v>
      </c>
      <c r="D4857" s="17" t="s">
        <v>801</v>
      </c>
      <c r="E4857" s="18">
        <v>3005221000003</v>
      </c>
      <c r="G4857" s="20" t="str">
        <f t="shared" si="225"/>
        <v xml:space="preserve"> KITONE          </v>
      </c>
      <c r="H4857" s="20" t="str">
        <f t="shared" si="226"/>
        <v>GRIGI</v>
      </c>
      <c r="I4857" s="20">
        <f t="shared" si="227"/>
        <v>0</v>
      </c>
    </row>
    <row r="4858" spans="1:9">
      <c r="A4858" s="17" t="s">
        <v>1905</v>
      </c>
      <c r="B4858" s="17" t="s">
        <v>978</v>
      </c>
      <c r="C4858" s="17">
        <v>0</v>
      </c>
      <c r="D4858" s="17" t="s">
        <v>801</v>
      </c>
      <c r="E4858" s="18">
        <v>8056098534257</v>
      </c>
      <c r="G4858" s="20" t="str">
        <f t="shared" si="225"/>
        <v xml:space="preserve"> KITONE          </v>
      </c>
      <c r="H4858" s="20" t="str">
        <f t="shared" si="226"/>
        <v>GRIGI</v>
      </c>
      <c r="I4858" s="20">
        <f t="shared" si="227"/>
        <v>0</v>
      </c>
    </row>
    <row r="4859" spans="1:9">
      <c r="A4859" s="17" t="s">
        <v>1905</v>
      </c>
      <c r="B4859" s="17" t="s">
        <v>1078</v>
      </c>
      <c r="C4859" s="17">
        <v>0</v>
      </c>
      <c r="D4859" s="17" t="s">
        <v>801</v>
      </c>
      <c r="E4859" s="18">
        <v>3005220494001</v>
      </c>
      <c r="G4859" s="20" t="str">
        <f t="shared" si="225"/>
        <v xml:space="preserve"> KITONE          </v>
      </c>
      <c r="H4859" s="20" t="str">
        <f t="shared" si="226"/>
        <v xml:space="preserve">NAVY </v>
      </c>
      <c r="I4859" s="20">
        <f t="shared" si="227"/>
        <v>0</v>
      </c>
    </row>
    <row r="4860" spans="1:9">
      <c r="A4860" s="17" t="s">
        <v>1905</v>
      </c>
      <c r="B4860" s="17" t="s">
        <v>1078</v>
      </c>
      <c r="C4860" s="17">
        <v>0</v>
      </c>
      <c r="D4860" s="17" t="s">
        <v>801</v>
      </c>
      <c r="E4860" s="18">
        <v>8056098534240</v>
      </c>
      <c r="G4860" s="20" t="str">
        <f t="shared" si="225"/>
        <v xml:space="preserve"> KITONE          </v>
      </c>
      <c r="H4860" s="20" t="str">
        <f t="shared" si="226"/>
        <v xml:space="preserve">NAVY </v>
      </c>
      <c r="I4860" s="20">
        <f t="shared" si="227"/>
        <v>0</v>
      </c>
    </row>
    <row r="4861" spans="1:9">
      <c r="A4861" s="17" t="s">
        <v>1906</v>
      </c>
      <c r="B4861" s="17" t="s">
        <v>930</v>
      </c>
      <c r="C4861" s="17">
        <v>0</v>
      </c>
      <c r="D4861" s="17" t="s">
        <v>801</v>
      </c>
      <c r="E4861" s="18">
        <v>3005040557009</v>
      </c>
      <c r="G4861" s="20" t="str">
        <f t="shared" si="225"/>
        <v xml:space="preserve"> KITZAINO        </v>
      </c>
      <c r="H4861" s="20" t="str">
        <f t="shared" si="226"/>
        <v xml:space="preserve">BLK  </v>
      </c>
      <c r="I4861" s="20">
        <f t="shared" si="227"/>
        <v>0</v>
      </c>
    </row>
    <row r="4862" spans="1:9">
      <c r="A4862" s="17" t="s">
        <v>1906</v>
      </c>
      <c r="B4862" s="17" t="s">
        <v>810</v>
      </c>
      <c r="C4862" s="17">
        <v>0</v>
      </c>
      <c r="D4862" s="17" t="s">
        <v>801</v>
      </c>
      <c r="E4862" s="18">
        <v>3005040284004</v>
      </c>
      <c r="G4862" s="20" t="str">
        <f t="shared" si="225"/>
        <v xml:space="preserve"> KITZAINO        </v>
      </c>
      <c r="H4862" s="20" t="str">
        <f t="shared" si="226"/>
        <v xml:space="preserve">BLUE </v>
      </c>
      <c r="I4862" s="20">
        <f t="shared" si="227"/>
        <v>0</v>
      </c>
    </row>
    <row r="4863" spans="1:9">
      <c r="A4863" s="17" t="s">
        <v>1906</v>
      </c>
      <c r="B4863" s="17" t="s">
        <v>810</v>
      </c>
      <c r="C4863" s="17">
        <v>0</v>
      </c>
      <c r="D4863" s="17" t="s">
        <v>801</v>
      </c>
      <c r="E4863" s="18">
        <v>8056300455332</v>
      </c>
      <c r="G4863" s="20" t="str">
        <f t="shared" si="225"/>
        <v xml:space="preserve"> KITZAINO        </v>
      </c>
      <c r="H4863" s="20" t="str">
        <f t="shared" si="226"/>
        <v xml:space="preserve">BLUE </v>
      </c>
      <c r="I4863" s="20">
        <f t="shared" si="227"/>
        <v>0</v>
      </c>
    </row>
    <row r="4864" spans="1:9">
      <c r="A4864" s="17" t="s">
        <v>1906</v>
      </c>
      <c r="B4864" s="17" t="s">
        <v>976</v>
      </c>
      <c r="C4864" s="17">
        <v>0</v>
      </c>
      <c r="D4864" s="17" t="s">
        <v>801</v>
      </c>
      <c r="E4864" s="18">
        <v>8056095065099</v>
      </c>
      <c r="G4864" s="20" t="str">
        <f t="shared" si="225"/>
        <v xml:space="preserve"> KITZAINO        </v>
      </c>
      <c r="H4864" s="20" t="str">
        <f t="shared" si="226"/>
        <v>BNGRI</v>
      </c>
      <c r="I4864" s="20">
        <f t="shared" si="227"/>
        <v>0</v>
      </c>
    </row>
    <row r="4865" spans="1:9">
      <c r="A4865" s="17" t="s">
        <v>1906</v>
      </c>
      <c r="B4865" s="17" t="s">
        <v>976</v>
      </c>
      <c r="C4865" s="17">
        <v>0</v>
      </c>
      <c r="D4865" s="17" t="s">
        <v>801</v>
      </c>
      <c r="E4865" s="18">
        <v>3005041098006</v>
      </c>
      <c r="G4865" s="20" t="str">
        <f t="shared" si="225"/>
        <v xml:space="preserve"> KITZAINO        </v>
      </c>
      <c r="H4865" s="20" t="str">
        <f t="shared" si="226"/>
        <v>BNGRI</v>
      </c>
      <c r="I4865" s="20">
        <f t="shared" si="227"/>
        <v>0</v>
      </c>
    </row>
    <row r="4866" spans="1:9">
      <c r="A4866" s="17" t="s">
        <v>1906</v>
      </c>
      <c r="B4866" s="17" t="s">
        <v>1181</v>
      </c>
      <c r="C4866" s="17">
        <v>0</v>
      </c>
      <c r="D4866" s="17" t="s">
        <v>801</v>
      </c>
      <c r="E4866" s="18">
        <v>8056095065082</v>
      </c>
      <c r="G4866" s="20" t="str">
        <f t="shared" si="225"/>
        <v xml:space="preserve"> KITZAINO        </v>
      </c>
      <c r="H4866" s="20" t="str">
        <f t="shared" si="226"/>
        <v>BNTAU</v>
      </c>
      <c r="I4866" s="20">
        <f t="shared" si="227"/>
        <v>0</v>
      </c>
    </row>
    <row r="4867" spans="1:9">
      <c r="A4867" s="17" t="s">
        <v>1906</v>
      </c>
      <c r="B4867" s="17" t="s">
        <v>1181</v>
      </c>
      <c r="C4867" s="17">
        <v>0</v>
      </c>
      <c r="D4867" s="17" t="s">
        <v>801</v>
      </c>
      <c r="E4867" s="18">
        <v>3005041152005</v>
      </c>
      <c r="G4867" s="20" t="str">
        <f t="shared" si="225"/>
        <v xml:space="preserve"> KITZAINO        </v>
      </c>
      <c r="H4867" s="20" t="str">
        <f t="shared" si="226"/>
        <v>BNTAU</v>
      </c>
      <c r="I4867" s="20">
        <f t="shared" si="227"/>
        <v>0</v>
      </c>
    </row>
    <row r="4868" spans="1:9">
      <c r="A4868" s="17" t="s">
        <v>1906</v>
      </c>
      <c r="B4868" s="17" t="s">
        <v>1101</v>
      </c>
      <c r="C4868" s="17">
        <v>0</v>
      </c>
      <c r="D4868" s="17" t="s">
        <v>801</v>
      </c>
      <c r="E4868" s="18">
        <v>3005040590006</v>
      </c>
      <c r="G4868" s="20" t="str">
        <f t="shared" si="225"/>
        <v xml:space="preserve"> KITZAINO        </v>
      </c>
      <c r="H4868" s="20" t="str">
        <f t="shared" si="226"/>
        <v xml:space="preserve">BOR  </v>
      </c>
      <c r="I4868" s="20">
        <f t="shared" si="227"/>
        <v>0</v>
      </c>
    </row>
    <row r="4869" spans="1:9">
      <c r="A4869" s="17" t="s">
        <v>1906</v>
      </c>
      <c r="B4869" s="17" t="s">
        <v>1101</v>
      </c>
      <c r="C4869" s="17">
        <v>0</v>
      </c>
      <c r="D4869" s="17" t="s">
        <v>801</v>
      </c>
      <c r="E4869" s="18">
        <v>8056300455325</v>
      </c>
      <c r="G4869" s="20" t="str">
        <f t="shared" ref="G4869:G4932" si="228">A4869</f>
        <v xml:space="preserve"> KITZAINO        </v>
      </c>
      <c r="H4869" s="20" t="str">
        <f t="shared" ref="H4869:H4932" si="229">B4869</f>
        <v xml:space="preserve">BOR  </v>
      </c>
      <c r="I4869" s="20">
        <f t="shared" ref="I4869:I4932" si="230">C4869</f>
        <v>0</v>
      </c>
    </row>
    <row r="4870" spans="1:9">
      <c r="A4870" s="17" t="s">
        <v>1906</v>
      </c>
      <c r="B4870" s="17" t="s">
        <v>1141</v>
      </c>
      <c r="C4870" s="17">
        <v>0</v>
      </c>
      <c r="D4870" s="17" t="s">
        <v>801</v>
      </c>
      <c r="E4870" s="18">
        <v>3005040994002</v>
      </c>
      <c r="G4870" s="20" t="str">
        <f t="shared" si="228"/>
        <v xml:space="preserve"> KITZAINO        </v>
      </c>
      <c r="H4870" s="20" t="str">
        <f t="shared" si="229"/>
        <v>BRUCI</v>
      </c>
      <c r="I4870" s="20">
        <f t="shared" si="230"/>
        <v>0</v>
      </c>
    </row>
    <row r="4871" spans="1:9">
      <c r="A4871" s="17" t="s">
        <v>1906</v>
      </c>
      <c r="B4871" s="17" t="s">
        <v>1772</v>
      </c>
      <c r="C4871" s="17">
        <v>0</v>
      </c>
      <c r="D4871" s="17" t="s">
        <v>801</v>
      </c>
      <c r="E4871" s="18">
        <v>8056095063422</v>
      </c>
      <c r="G4871" s="20" t="str">
        <f t="shared" si="228"/>
        <v xml:space="preserve"> KITZAINO        </v>
      </c>
      <c r="H4871" s="20" t="str">
        <f t="shared" si="229"/>
        <v>GDCBL</v>
      </c>
      <c r="I4871" s="20">
        <f t="shared" si="230"/>
        <v>0</v>
      </c>
    </row>
    <row r="4872" spans="1:9">
      <c r="A4872" s="17" t="s">
        <v>1906</v>
      </c>
      <c r="B4872" s="17" t="s">
        <v>1772</v>
      </c>
      <c r="C4872" s="17">
        <v>0</v>
      </c>
      <c r="D4872" s="17" t="s">
        <v>801</v>
      </c>
      <c r="E4872" s="18">
        <v>3005041143003</v>
      </c>
      <c r="G4872" s="20" t="str">
        <f t="shared" si="228"/>
        <v xml:space="preserve"> KITZAINO        </v>
      </c>
      <c r="H4872" s="20" t="str">
        <f t="shared" si="229"/>
        <v>GDCBL</v>
      </c>
      <c r="I4872" s="20">
        <f t="shared" si="230"/>
        <v>0</v>
      </c>
    </row>
    <row r="4873" spans="1:9">
      <c r="A4873" s="17" t="s">
        <v>1906</v>
      </c>
      <c r="B4873" s="17" t="s">
        <v>1907</v>
      </c>
      <c r="C4873" s="17">
        <v>0</v>
      </c>
      <c r="D4873" s="17" t="s">
        <v>801</v>
      </c>
      <c r="E4873" s="18">
        <v>8056095063439</v>
      </c>
      <c r="G4873" s="20" t="str">
        <f t="shared" si="228"/>
        <v xml:space="preserve"> KITZAINO        </v>
      </c>
      <c r="H4873" s="20" t="str">
        <f t="shared" si="229"/>
        <v>GDCGR</v>
      </c>
      <c r="I4873" s="20">
        <f t="shared" si="230"/>
        <v>0</v>
      </c>
    </row>
    <row r="4874" spans="1:9">
      <c r="A4874" s="17" t="s">
        <v>1906</v>
      </c>
      <c r="B4874" s="17" t="s">
        <v>1907</v>
      </c>
      <c r="C4874" s="17">
        <v>0</v>
      </c>
      <c r="D4874" s="17" t="s">
        <v>801</v>
      </c>
      <c r="E4874" s="18">
        <v>3005041157000</v>
      </c>
      <c r="G4874" s="20" t="str">
        <f t="shared" si="228"/>
        <v xml:space="preserve"> KITZAINO        </v>
      </c>
      <c r="H4874" s="20" t="str">
        <f t="shared" si="229"/>
        <v>GDCGR</v>
      </c>
      <c r="I4874" s="20">
        <f t="shared" si="230"/>
        <v>0</v>
      </c>
    </row>
    <row r="4875" spans="1:9">
      <c r="A4875" s="17" t="s">
        <v>1906</v>
      </c>
      <c r="B4875" s="17" t="s">
        <v>1774</v>
      </c>
      <c r="C4875" s="17">
        <v>0</v>
      </c>
      <c r="D4875" s="17" t="s">
        <v>801</v>
      </c>
      <c r="E4875" s="18">
        <v>8056095063446</v>
      </c>
      <c r="G4875" s="20" t="str">
        <f t="shared" si="228"/>
        <v xml:space="preserve"> KITZAINO        </v>
      </c>
      <c r="H4875" s="20" t="str">
        <f t="shared" si="229"/>
        <v>GDCVE</v>
      </c>
      <c r="I4875" s="20">
        <f t="shared" si="230"/>
        <v>0</v>
      </c>
    </row>
    <row r="4876" spans="1:9">
      <c r="A4876" s="17" t="s">
        <v>1906</v>
      </c>
      <c r="B4876" s="17" t="s">
        <v>1774</v>
      </c>
      <c r="C4876" s="17">
        <v>0</v>
      </c>
      <c r="D4876" s="17" t="s">
        <v>801</v>
      </c>
      <c r="E4876" s="18">
        <v>3005041144000</v>
      </c>
      <c r="G4876" s="20" t="str">
        <f t="shared" si="228"/>
        <v xml:space="preserve"> KITZAINO        </v>
      </c>
      <c r="H4876" s="20" t="str">
        <f t="shared" si="229"/>
        <v>GDCVE</v>
      </c>
      <c r="I4876" s="20">
        <f t="shared" si="230"/>
        <v>0</v>
      </c>
    </row>
    <row r="4877" spans="1:9">
      <c r="A4877" s="17" t="s">
        <v>1906</v>
      </c>
      <c r="B4877" s="17" t="s">
        <v>919</v>
      </c>
      <c r="C4877" s="17">
        <v>0</v>
      </c>
      <c r="D4877" s="17" t="s">
        <v>801</v>
      </c>
      <c r="E4877" s="18">
        <v>3005040690003</v>
      </c>
      <c r="G4877" s="20" t="str">
        <f t="shared" si="228"/>
        <v xml:space="preserve"> KITZAINO        </v>
      </c>
      <c r="H4877" s="20" t="str">
        <f t="shared" si="229"/>
        <v>TESTA</v>
      </c>
      <c r="I4877" s="20">
        <f t="shared" si="230"/>
        <v>0</v>
      </c>
    </row>
    <row r="4878" spans="1:9">
      <c r="A4878" s="17" t="s">
        <v>1906</v>
      </c>
      <c r="B4878" s="17" t="s">
        <v>811</v>
      </c>
      <c r="C4878" s="17">
        <v>0</v>
      </c>
      <c r="D4878" s="17" t="s">
        <v>801</v>
      </c>
      <c r="E4878" s="18">
        <v>3005040431002</v>
      </c>
      <c r="G4878" s="20" t="str">
        <f t="shared" si="228"/>
        <v xml:space="preserve"> KITZAINO        </v>
      </c>
      <c r="H4878" s="20" t="str">
        <f t="shared" si="229"/>
        <v xml:space="preserve">VERT </v>
      </c>
      <c r="I4878" s="20">
        <f t="shared" si="230"/>
        <v>0</v>
      </c>
    </row>
    <row r="4879" spans="1:9">
      <c r="A4879" s="17" t="s">
        <v>1906</v>
      </c>
      <c r="B4879" s="17" t="s">
        <v>811</v>
      </c>
      <c r="C4879" s="17">
        <v>0</v>
      </c>
      <c r="D4879" s="17" t="s">
        <v>801</v>
      </c>
      <c r="E4879" s="18">
        <v>8056300455349</v>
      </c>
      <c r="G4879" s="20" t="str">
        <f t="shared" si="228"/>
        <v xml:space="preserve"> KITZAINO        </v>
      </c>
      <c r="H4879" s="20" t="str">
        <f t="shared" si="229"/>
        <v xml:space="preserve">VERT </v>
      </c>
      <c r="I4879" s="20">
        <f t="shared" si="230"/>
        <v>0</v>
      </c>
    </row>
    <row r="4880" spans="1:9">
      <c r="A4880" s="17" t="s">
        <v>1908</v>
      </c>
      <c r="B4880" s="17" t="s">
        <v>1909</v>
      </c>
      <c r="C4880" s="17">
        <v>0</v>
      </c>
      <c r="D4880" s="17" t="s">
        <v>801</v>
      </c>
      <c r="E4880" s="18">
        <v>3020520262006</v>
      </c>
      <c r="G4880" s="20" t="str">
        <f t="shared" si="228"/>
        <v xml:space="preserve"> LAPIN           </v>
      </c>
      <c r="H4880" s="20" t="str">
        <f t="shared" si="229"/>
        <v xml:space="preserve">ANIB </v>
      </c>
      <c r="I4880" s="20">
        <f t="shared" si="230"/>
        <v>0</v>
      </c>
    </row>
    <row r="4881" spans="1:9">
      <c r="A4881" s="17" t="s">
        <v>1908</v>
      </c>
      <c r="B4881" s="17" t="s">
        <v>1910</v>
      </c>
      <c r="C4881" s="17">
        <v>0</v>
      </c>
      <c r="D4881" s="17" t="s">
        <v>801</v>
      </c>
      <c r="E4881" s="18">
        <v>3020520263003</v>
      </c>
      <c r="G4881" s="20" t="str">
        <f t="shared" si="228"/>
        <v xml:space="preserve"> LAPIN           </v>
      </c>
      <c r="H4881" s="20" t="str">
        <f t="shared" si="229"/>
        <v>ANINO</v>
      </c>
      <c r="I4881" s="20">
        <f t="shared" si="230"/>
        <v>0</v>
      </c>
    </row>
    <row r="4882" spans="1:9">
      <c r="A4882" s="17" t="s">
        <v>1908</v>
      </c>
      <c r="B4882" s="17" t="s">
        <v>1754</v>
      </c>
      <c r="C4882" s="17">
        <v>0</v>
      </c>
      <c r="D4882" s="17" t="s">
        <v>801</v>
      </c>
      <c r="E4882" s="18">
        <v>3020520277000</v>
      </c>
      <c r="G4882" s="20" t="str">
        <f t="shared" si="228"/>
        <v xml:space="preserve"> LAPIN           </v>
      </c>
      <c r="H4882" s="20" t="str">
        <f t="shared" si="229"/>
        <v>ASTRA</v>
      </c>
      <c r="I4882" s="20">
        <f t="shared" si="230"/>
        <v>0</v>
      </c>
    </row>
    <row r="4883" spans="1:9">
      <c r="A4883" s="17" t="s">
        <v>1908</v>
      </c>
      <c r="B4883" s="17" t="s">
        <v>818</v>
      </c>
      <c r="C4883" s="17">
        <v>0</v>
      </c>
      <c r="D4883" s="17" t="s">
        <v>801</v>
      </c>
      <c r="E4883" s="18">
        <v>3020520541002</v>
      </c>
      <c r="G4883" s="20" t="str">
        <f t="shared" si="228"/>
        <v xml:space="preserve"> LAPIN           </v>
      </c>
      <c r="H4883" s="20" t="str">
        <f t="shared" si="229"/>
        <v xml:space="preserve">BDX  </v>
      </c>
      <c r="I4883" s="20">
        <f t="shared" si="230"/>
        <v>0</v>
      </c>
    </row>
    <row r="4884" spans="1:9">
      <c r="A4884" s="17" t="s">
        <v>1908</v>
      </c>
      <c r="B4884" s="17" t="s">
        <v>280</v>
      </c>
      <c r="C4884" s="17">
        <v>0</v>
      </c>
      <c r="D4884" s="17" t="s">
        <v>801</v>
      </c>
      <c r="E4884" s="18">
        <v>3003490001004</v>
      </c>
      <c r="G4884" s="20" t="str">
        <f t="shared" si="228"/>
        <v xml:space="preserve"> LAPIN           </v>
      </c>
      <c r="H4884" s="20" t="str">
        <f t="shared" si="229"/>
        <v>BLACK</v>
      </c>
      <c r="I4884" s="20">
        <f t="shared" si="230"/>
        <v>0</v>
      </c>
    </row>
    <row r="4885" spans="1:9">
      <c r="A4885" s="17" t="s">
        <v>1908</v>
      </c>
      <c r="B4885" s="17" t="s">
        <v>869</v>
      </c>
      <c r="C4885" s="17">
        <v>0</v>
      </c>
      <c r="D4885" s="17" t="s">
        <v>801</v>
      </c>
      <c r="E4885" s="18">
        <v>3003490005002</v>
      </c>
      <c r="G4885" s="20" t="str">
        <f t="shared" si="228"/>
        <v xml:space="preserve"> LAPIN           </v>
      </c>
      <c r="H4885" s="20" t="str">
        <f t="shared" si="229"/>
        <v>BROWN</v>
      </c>
      <c r="I4885" s="20">
        <f t="shared" si="230"/>
        <v>0</v>
      </c>
    </row>
    <row r="4886" spans="1:9">
      <c r="A4886" s="17" t="s">
        <v>1908</v>
      </c>
      <c r="B4886" s="17" t="s">
        <v>1472</v>
      </c>
      <c r="C4886" s="17">
        <v>0</v>
      </c>
      <c r="D4886" s="17" t="s">
        <v>801</v>
      </c>
      <c r="E4886" s="18">
        <v>3020520148003</v>
      </c>
      <c r="G4886" s="20" t="str">
        <f t="shared" si="228"/>
        <v xml:space="preserve"> LAPIN           </v>
      </c>
      <c r="H4886" s="20" t="str">
        <f t="shared" si="229"/>
        <v>CAMOU</v>
      </c>
      <c r="I4886" s="20">
        <f t="shared" si="230"/>
        <v>0</v>
      </c>
    </row>
    <row r="4887" spans="1:9">
      <c r="A4887" s="17" t="s">
        <v>1908</v>
      </c>
      <c r="B4887" s="17" t="s">
        <v>1911</v>
      </c>
      <c r="C4887" s="17">
        <v>0</v>
      </c>
      <c r="D4887" s="17" t="s">
        <v>801</v>
      </c>
      <c r="E4887" s="18">
        <v>3020520307004</v>
      </c>
      <c r="G4887" s="20" t="str">
        <f t="shared" si="228"/>
        <v xml:space="preserve"> LAPIN           </v>
      </c>
      <c r="H4887" s="20" t="str">
        <f t="shared" si="229"/>
        <v xml:space="preserve">CUIV </v>
      </c>
      <c r="I4887" s="20">
        <f t="shared" si="230"/>
        <v>0</v>
      </c>
    </row>
    <row r="4888" spans="1:9">
      <c r="A4888" s="17" t="s">
        <v>1908</v>
      </c>
      <c r="B4888" s="17" t="s">
        <v>858</v>
      </c>
      <c r="C4888" s="17">
        <v>0</v>
      </c>
      <c r="D4888" s="17" t="s">
        <v>801</v>
      </c>
      <c r="E4888" s="18">
        <v>3003490003008</v>
      </c>
      <c r="G4888" s="20" t="str">
        <f t="shared" si="228"/>
        <v xml:space="preserve"> LAPIN           </v>
      </c>
      <c r="H4888" s="20" t="str">
        <f t="shared" si="229"/>
        <v xml:space="preserve">GREY </v>
      </c>
      <c r="I4888" s="20">
        <f t="shared" si="230"/>
        <v>0</v>
      </c>
    </row>
    <row r="4889" spans="1:9">
      <c r="A4889" s="17" t="s">
        <v>1908</v>
      </c>
      <c r="B4889" s="17" t="s">
        <v>1912</v>
      </c>
      <c r="C4889" s="17">
        <v>0</v>
      </c>
      <c r="D4889" s="17" t="s">
        <v>801</v>
      </c>
      <c r="E4889" s="18">
        <v>3020520287009</v>
      </c>
      <c r="G4889" s="20" t="str">
        <f t="shared" si="228"/>
        <v xml:space="preserve"> LAPIN           </v>
      </c>
      <c r="H4889" s="20" t="str">
        <f t="shared" si="229"/>
        <v xml:space="preserve">MAT  </v>
      </c>
      <c r="I4889" s="20">
        <f t="shared" si="230"/>
        <v>0</v>
      </c>
    </row>
    <row r="4890" spans="1:9">
      <c r="A4890" s="17" t="s">
        <v>1908</v>
      </c>
      <c r="B4890" s="17" t="s">
        <v>859</v>
      </c>
      <c r="C4890" s="17">
        <v>0</v>
      </c>
      <c r="D4890" s="17" t="s">
        <v>801</v>
      </c>
      <c r="E4890" s="18">
        <v>3003490002001</v>
      </c>
      <c r="G4890" s="20" t="str">
        <f t="shared" si="228"/>
        <v xml:space="preserve"> LAPIN           </v>
      </c>
      <c r="H4890" s="20" t="str">
        <f t="shared" si="229"/>
        <v>NATUR</v>
      </c>
      <c r="I4890" s="20">
        <f t="shared" si="230"/>
        <v>0</v>
      </c>
    </row>
    <row r="4891" spans="1:9">
      <c r="A4891" s="17" t="s">
        <v>1908</v>
      </c>
      <c r="B4891" s="17" t="s">
        <v>1913</v>
      </c>
      <c r="C4891" s="17">
        <v>0</v>
      </c>
      <c r="D4891" s="17" t="s">
        <v>801</v>
      </c>
      <c r="E4891" s="18">
        <v>3020520228002</v>
      </c>
      <c r="G4891" s="20" t="str">
        <f t="shared" si="228"/>
        <v xml:space="preserve"> LAPIN           </v>
      </c>
      <c r="H4891" s="20" t="str">
        <f t="shared" si="229"/>
        <v>NEIGE</v>
      </c>
      <c r="I4891" s="20">
        <f t="shared" si="230"/>
        <v>0</v>
      </c>
    </row>
    <row r="4892" spans="1:9">
      <c r="A4892" s="17" t="s">
        <v>1908</v>
      </c>
      <c r="B4892" s="17" t="s">
        <v>971</v>
      </c>
      <c r="C4892" s="17">
        <v>0</v>
      </c>
      <c r="D4892" s="17" t="s">
        <v>801</v>
      </c>
      <c r="E4892" s="18">
        <v>3020520394004</v>
      </c>
      <c r="G4892" s="20" t="str">
        <f t="shared" si="228"/>
        <v xml:space="preserve"> LAPIN           </v>
      </c>
      <c r="H4892" s="20" t="str">
        <f t="shared" si="229"/>
        <v>OTTAN</v>
      </c>
      <c r="I4892" s="20">
        <f t="shared" si="230"/>
        <v>0</v>
      </c>
    </row>
    <row r="4893" spans="1:9">
      <c r="A4893" s="17" t="s">
        <v>1908</v>
      </c>
      <c r="B4893" s="17" t="s">
        <v>912</v>
      </c>
      <c r="C4893" s="17">
        <v>0</v>
      </c>
      <c r="D4893" s="17" t="s">
        <v>801</v>
      </c>
      <c r="E4893" s="18">
        <v>3020521008009</v>
      </c>
      <c r="G4893" s="20" t="str">
        <f t="shared" si="228"/>
        <v xml:space="preserve"> LAPIN           </v>
      </c>
      <c r="H4893" s="20" t="str">
        <f t="shared" si="229"/>
        <v>PETRO</v>
      </c>
      <c r="I4893" s="20">
        <f t="shared" si="230"/>
        <v>0</v>
      </c>
    </row>
    <row r="4894" spans="1:9">
      <c r="A4894" s="17" t="s">
        <v>1908</v>
      </c>
      <c r="B4894" s="17" t="s">
        <v>1892</v>
      </c>
      <c r="C4894" s="17">
        <v>0</v>
      </c>
      <c r="D4894" s="17" t="s">
        <v>801</v>
      </c>
      <c r="E4894" s="18">
        <v>3020520652005</v>
      </c>
      <c r="G4894" s="20" t="str">
        <f t="shared" si="228"/>
        <v xml:space="preserve"> LAPIN           </v>
      </c>
      <c r="H4894" s="20" t="str">
        <f t="shared" si="229"/>
        <v xml:space="preserve">ROSE </v>
      </c>
      <c r="I4894" s="20">
        <f t="shared" si="230"/>
        <v>0</v>
      </c>
    </row>
    <row r="4895" spans="1:9">
      <c r="A4895" s="17" t="s">
        <v>1908</v>
      </c>
      <c r="B4895" s="17" t="s">
        <v>1636</v>
      </c>
      <c r="C4895" s="17">
        <v>0</v>
      </c>
      <c r="D4895" s="17" t="s">
        <v>801</v>
      </c>
      <c r="E4895" s="18">
        <v>3003490072004</v>
      </c>
      <c r="G4895" s="20" t="str">
        <f t="shared" si="228"/>
        <v xml:space="preserve"> LAPIN           </v>
      </c>
      <c r="H4895" s="20" t="str">
        <f t="shared" si="229"/>
        <v xml:space="preserve">SPOT </v>
      </c>
      <c r="I4895" s="20">
        <f t="shared" si="230"/>
        <v>0</v>
      </c>
    </row>
    <row r="4896" spans="1:9">
      <c r="A4896" s="17" t="s">
        <v>1914</v>
      </c>
      <c r="B4896" s="17" t="s">
        <v>818</v>
      </c>
      <c r="C4896" s="17">
        <v>0</v>
      </c>
      <c r="D4896" s="17" t="s">
        <v>801</v>
      </c>
      <c r="E4896" s="18">
        <v>3003560019007</v>
      </c>
      <c r="G4896" s="20" t="str">
        <f t="shared" si="228"/>
        <v xml:space="preserve"> LAPIN2          </v>
      </c>
      <c r="H4896" s="20" t="str">
        <f t="shared" si="229"/>
        <v xml:space="preserve">BDX  </v>
      </c>
      <c r="I4896" s="20">
        <f t="shared" si="230"/>
        <v>0</v>
      </c>
    </row>
    <row r="4897" spans="1:9">
      <c r="A4897" s="17" t="s">
        <v>1914</v>
      </c>
      <c r="B4897" s="17" t="s">
        <v>280</v>
      </c>
      <c r="C4897" s="17">
        <v>0</v>
      </c>
      <c r="D4897" s="17" t="s">
        <v>801</v>
      </c>
      <c r="E4897" s="18">
        <v>3003560001002</v>
      </c>
      <c r="G4897" s="20" t="str">
        <f t="shared" si="228"/>
        <v xml:space="preserve"> LAPIN2          </v>
      </c>
      <c r="H4897" s="20" t="str">
        <f t="shared" si="229"/>
        <v>BLACK</v>
      </c>
      <c r="I4897" s="20">
        <f t="shared" si="230"/>
        <v>0</v>
      </c>
    </row>
    <row r="4898" spans="1:9">
      <c r="A4898" s="17" t="s">
        <v>1914</v>
      </c>
      <c r="B4898" s="17" t="s">
        <v>810</v>
      </c>
      <c r="C4898" s="17">
        <v>0</v>
      </c>
      <c r="D4898" s="17" t="s">
        <v>801</v>
      </c>
      <c r="E4898" s="18">
        <v>3020530319004</v>
      </c>
      <c r="G4898" s="20" t="str">
        <f t="shared" si="228"/>
        <v xml:space="preserve"> LAPIN2          </v>
      </c>
      <c r="H4898" s="20" t="str">
        <f t="shared" si="229"/>
        <v xml:space="preserve">BLUE </v>
      </c>
      <c r="I4898" s="20">
        <f t="shared" si="230"/>
        <v>0</v>
      </c>
    </row>
    <row r="4899" spans="1:9">
      <c r="A4899" s="17" t="s">
        <v>1914</v>
      </c>
      <c r="B4899" s="17" t="s">
        <v>869</v>
      </c>
      <c r="C4899" s="17">
        <v>0</v>
      </c>
      <c r="D4899" s="17" t="s">
        <v>801</v>
      </c>
      <c r="E4899" s="18">
        <v>3020530554009</v>
      </c>
      <c r="G4899" s="20" t="str">
        <f t="shared" si="228"/>
        <v xml:space="preserve"> LAPIN2          </v>
      </c>
      <c r="H4899" s="20" t="str">
        <f t="shared" si="229"/>
        <v>BROWN</v>
      </c>
      <c r="I4899" s="20">
        <f t="shared" si="230"/>
        <v>0</v>
      </c>
    </row>
    <row r="4900" spans="1:9">
      <c r="A4900" s="17" t="s">
        <v>1914</v>
      </c>
      <c r="B4900" s="17" t="s">
        <v>1472</v>
      </c>
      <c r="C4900" s="17">
        <v>0</v>
      </c>
      <c r="D4900" s="17" t="s">
        <v>801</v>
      </c>
      <c r="E4900" s="18">
        <v>3003560097005</v>
      </c>
      <c r="G4900" s="20" t="str">
        <f t="shared" si="228"/>
        <v xml:space="preserve"> LAPIN2          </v>
      </c>
      <c r="H4900" s="20" t="str">
        <f t="shared" si="229"/>
        <v>CAMOU</v>
      </c>
      <c r="I4900" s="20">
        <f t="shared" si="230"/>
        <v>0</v>
      </c>
    </row>
    <row r="4901" spans="1:9">
      <c r="A4901" s="17" t="s">
        <v>1914</v>
      </c>
      <c r="B4901" s="17" t="s">
        <v>891</v>
      </c>
      <c r="C4901" s="17">
        <v>0</v>
      </c>
      <c r="D4901" s="17" t="s">
        <v>801</v>
      </c>
      <c r="E4901" s="18">
        <v>3003560063000</v>
      </c>
      <c r="G4901" s="20" t="str">
        <f t="shared" si="228"/>
        <v xml:space="preserve"> LAPIN2          </v>
      </c>
      <c r="H4901" s="20" t="str">
        <f t="shared" si="229"/>
        <v>GREEN</v>
      </c>
      <c r="I4901" s="20">
        <f t="shared" si="230"/>
        <v>0</v>
      </c>
    </row>
    <row r="4902" spans="1:9">
      <c r="A4902" s="17" t="s">
        <v>1914</v>
      </c>
      <c r="B4902" s="17" t="s">
        <v>858</v>
      </c>
      <c r="C4902" s="17">
        <v>0</v>
      </c>
      <c r="D4902" s="17" t="s">
        <v>801</v>
      </c>
      <c r="E4902" s="18">
        <v>3003560003006</v>
      </c>
      <c r="G4902" s="20" t="str">
        <f t="shared" si="228"/>
        <v xml:space="preserve"> LAPIN2          </v>
      </c>
      <c r="H4902" s="20" t="str">
        <f t="shared" si="229"/>
        <v xml:space="preserve">GREY </v>
      </c>
      <c r="I4902" s="20">
        <f t="shared" si="230"/>
        <v>0</v>
      </c>
    </row>
    <row r="4903" spans="1:9">
      <c r="A4903" s="17" t="s">
        <v>1914</v>
      </c>
      <c r="B4903" s="17" t="s">
        <v>859</v>
      </c>
      <c r="C4903" s="17">
        <v>0</v>
      </c>
      <c r="D4903" s="17" t="s">
        <v>801</v>
      </c>
      <c r="E4903" s="18">
        <v>3003560002009</v>
      </c>
      <c r="G4903" s="20" t="str">
        <f t="shared" si="228"/>
        <v xml:space="preserve"> LAPIN2          </v>
      </c>
      <c r="H4903" s="20" t="str">
        <f t="shared" si="229"/>
        <v>NATUR</v>
      </c>
      <c r="I4903" s="20">
        <f t="shared" si="230"/>
        <v>0</v>
      </c>
    </row>
    <row r="4904" spans="1:9">
      <c r="A4904" s="17" t="s">
        <v>1914</v>
      </c>
      <c r="B4904" s="17" t="s">
        <v>859</v>
      </c>
      <c r="C4904" s="17">
        <v>0</v>
      </c>
      <c r="D4904" s="17" t="s">
        <v>801</v>
      </c>
      <c r="E4904" s="18">
        <v>3003560088003</v>
      </c>
      <c r="G4904" s="20" t="str">
        <f t="shared" si="228"/>
        <v xml:space="preserve"> LAPIN2          </v>
      </c>
      <c r="H4904" s="20" t="str">
        <f t="shared" si="229"/>
        <v>NATUR</v>
      </c>
      <c r="I4904" s="20">
        <f t="shared" si="230"/>
        <v>0</v>
      </c>
    </row>
    <row r="4905" spans="1:9">
      <c r="A4905" s="17" t="s">
        <v>1914</v>
      </c>
      <c r="B4905" s="17" t="s">
        <v>964</v>
      </c>
      <c r="C4905" s="17">
        <v>0</v>
      </c>
      <c r="D4905" s="17" t="s">
        <v>801</v>
      </c>
      <c r="E4905" s="18">
        <v>3003560009008</v>
      </c>
      <c r="G4905" s="20" t="str">
        <f t="shared" si="228"/>
        <v xml:space="preserve"> LAPIN2          </v>
      </c>
      <c r="H4905" s="20" t="str">
        <f t="shared" si="229"/>
        <v>ORANG</v>
      </c>
      <c r="I4905" s="20">
        <f t="shared" si="230"/>
        <v>0</v>
      </c>
    </row>
    <row r="4906" spans="1:9">
      <c r="A4906" s="17" t="s">
        <v>1914</v>
      </c>
      <c r="B4906" s="17" t="s">
        <v>1636</v>
      </c>
      <c r="C4906" s="17">
        <v>0</v>
      </c>
      <c r="D4906" s="17" t="s">
        <v>801</v>
      </c>
      <c r="E4906" s="18">
        <v>3003560072002</v>
      </c>
      <c r="G4906" s="20" t="str">
        <f t="shared" si="228"/>
        <v xml:space="preserve"> LAPIN2          </v>
      </c>
      <c r="H4906" s="20" t="str">
        <f t="shared" si="229"/>
        <v xml:space="preserve">SPOT </v>
      </c>
      <c r="I4906" s="20">
        <f t="shared" si="230"/>
        <v>0</v>
      </c>
    </row>
    <row r="4907" spans="1:9">
      <c r="A4907" s="17" t="s">
        <v>1915</v>
      </c>
      <c r="B4907" s="17" t="s">
        <v>1105</v>
      </c>
      <c r="C4907" s="17">
        <v>0</v>
      </c>
      <c r="D4907" s="17" t="s">
        <v>801</v>
      </c>
      <c r="E4907" s="18">
        <v>3004130565009</v>
      </c>
      <c r="G4907" s="20" t="str">
        <f t="shared" si="228"/>
        <v xml:space="preserve"> LOUP            </v>
      </c>
      <c r="H4907" s="20" t="str">
        <f t="shared" si="229"/>
        <v>MARSA</v>
      </c>
      <c r="I4907" s="20">
        <f t="shared" si="230"/>
        <v>0</v>
      </c>
    </row>
    <row r="4908" spans="1:9">
      <c r="A4908" s="17" t="s">
        <v>1915</v>
      </c>
      <c r="B4908" s="17" t="s">
        <v>1916</v>
      </c>
      <c r="C4908" s="17">
        <v>0</v>
      </c>
      <c r="D4908" s="17" t="s">
        <v>801</v>
      </c>
      <c r="E4908" s="18">
        <v>3004130564002</v>
      </c>
      <c r="G4908" s="20" t="str">
        <f t="shared" si="228"/>
        <v xml:space="preserve"> LOUP            </v>
      </c>
      <c r="H4908" s="20" t="str">
        <f t="shared" si="229"/>
        <v>MELAN</v>
      </c>
      <c r="I4908" s="20">
        <f t="shared" si="230"/>
        <v>0</v>
      </c>
    </row>
    <row r="4909" spans="1:9">
      <c r="A4909" s="17" t="s">
        <v>1915</v>
      </c>
      <c r="B4909" s="17" t="s">
        <v>1917</v>
      </c>
      <c r="C4909" s="17">
        <v>0</v>
      </c>
      <c r="D4909" s="17" t="s">
        <v>801</v>
      </c>
      <c r="E4909" s="18">
        <v>3004850295002</v>
      </c>
      <c r="G4909" s="20" t="str">
        <f t="shared" si="228"/>
        <v xml:space="preserve"> LOUP            </v>
      </c>
      <c r="H4909" s="20" t="str">
        <f t="shared" si="229"/>
        <v>PATNE</v>
      </c>
      <c r="I4909" s="20">
        <f t="shared" si="230"/>
        <v>0</v>
      </c>
    </row>
    <row r="4910" spans="1:9">
      <c r="A4910" s="17" t="s">
        <v>1915</v>
      </c>
      <c r="B4910" s="17" t="s">
        <v>855</v>
      </c>
      <c r="C4910" s="17">
        <v>0</v>
      </c>
      <c r="D4910" s="17" t="s">
        <v>801</v>
      </c>
      <c r="E4910" s="18">
        <v>3004850617002</v>
      </c>
      <c r="G4910" s="20" t="str">
        <f t="shared" si="228"/>
        <v xml:space="preserve"> LOUP            </v>
      </c>
      <c r="H4910" s="20" t="str">
        <f t="shared" si="229"/>
        <v>SILVE</v>
      </c>
      <c r="I4910" s="20">
        <f t="shared" si="230"/>
        <v>0</v>
      </c>
    </row>
    <row r="4911" spans="1:9">
      <c r="A4911" s="17" t="s">
        <v>1915</v>
      </c>
      <c r="B4911" s="17" t="s">
        <v>855</v>
      </c>
      <c r="C4911" s="17">
        <v>0</v>
      </c>
      <c r="D4911" s="17" t="s">
        <v>801</v>
      </c>
      <c r="E4911" s="18">
        <v>3004130567003</v>
      </c>
      <c r="G4911" s="20" t="str">
        <f t="shared" si="228"/>
        <v xml:space="preserve"> LOUP            </v>
      </c>
      <c r="H4911" s="20" t="str">
        <f t="shared" si="229"/>
        <v>SILVE</v>
      </c>
      <c r="I4911" s="20">
        <f t="shared" si="230"/>
        <v>0</v>
      </c>
    </row>
    <row r="4912" spans="1:9">
      <c r="A4912" s="17" t="s">
        <v>1915</v>
      </c>
      <c r="B4912" s="17" t="s">
        <v>1024</v>
      </c>
      <c r="C4912" s="17">
        <v>0</v>
      </c>
      <c r="D4912" s="17" t="s">
        <v>801</v>
      </c>
      <c r="E4912" s="18">
        <v>3004130000005</v>
      </c>
      <c r="G4912" s="20" t="str">
        <f t="shared" si="228"/>
        <v xml:space="preserve"> LOUP            </v>
      </c>
      <c r="H4912" s="20" t="str">
        <f t="shared" si="229"/>
        <v xml:space="preserve">VIOL </v>
      </c>
      <c r="I4912" s="20">
        <f t="shared" si="230"/>
        <v>0</v>
      </c>
    </row>
    <row r="4913" spans="1:9">
      <c r="A4913" s="17" t="s">
        <v>1915</v>
      </c>
      <c r="B4913" s="17" t="s">
        <v>1024</v>
      </c>
      <c r="C4913" s="17">
        <v>0</v>
      </c>
      <c r="D4913" s="17" t="s">
        <v>801</v>
      </c>
      <c r="E4913" s="18">
        <v>3004850628008</v>
      </c>
      <c r="G4913" s="20" t="str">
        <f t="shared" si="228"/>
        <v xml:space="preserve"> LOUP            </v>
      </c>
      <c r="H4913" s="20" t="str">
        <f t="shared" si="229"/>
        <v xml:space="preserve">VIOL </v>
      </c>
      <c r="I4913" s="20">
        <f t="shared" si="230"/>
        <v>0</v>
      </c>
    </row>
    <row r="4914" spans="1:9">
      <c r="A4914" s="17" t="s">
        <v>1915</v>
      </c>
      <c r="B4914" s="17" t="s">
        <v>1024</v>
      </c>
      <c r="C4914" s="17">
        <v>0</v>
      </c>
      <c r="D4914" s="17" t="s">
        <v>801</v>
      </c>
      <c r="E4914" s="18">
        <v>3004130566006</v>
      </c>
      <c r="G4914" s="20" t="str">
        <f t="shared" si="228"/>
        <v xml:space="preserve"> LOUP            </v>
      </c>
      <c r="H4914" s="20" t="str">
        <f t="shared" si="229"/>
        <v xml:space="preserve">VIOL </v>
      </c>
      <c r="I4914" s="20">
        <f t="shared" si="230"/>
        <v>0</v>
      </c>
    </row>
    <row r="4915" spans="1:9">
      <c r="A4915" s="17" t="s">
        <v>1915</v>
      </c>
      <c r="B4915" s="17" t="s">
        <v>273</v>
      </c>
      <c r="C4915" s="17">
        <v>0</v>
      </c>
      <c r="D4915" s="17" t="s">
        <v>801</v>
      </c>
      <c r="E4915" s="18">
        <v>3004850005007</v>
      </c>
      <c r="G4915" s="20" t="str">
        <f t="shared" si="228"/>
        <v xml:space="preserve"> LOUP            </v>
      </c>
      <c r="H4915" s="20" t="str">
        <f t="shared" si="229"/>
        <v>WHITE</v>
      </c>
      <c r="I4915" s="20">
        <f t="shared" si="230"/>
        <v>0</v>
      </c>
    </row>
    <row r="4916" spans="1:9">
      <c r="A4916" s="17" t="s">
        <v>1918</v>
      </c>
      <c r="B4916" s="17" t="s">
        <v>280</v>
      </c>
      <c r="C4916" s="17">
        <v>0</v>
      </c>
      <c r="D4916" s="17" t="s">
        <v>801</v>
      </c>
      <c r="E4916" s="18">
        <v>3003640001007</v>
      </c>
      <c r="G4916" s="20" t="str">
        <f t="shared" si="228"/>
        <v xml:space="preserve"> MARMOTTE        </v>
      </c>
      <c r="H4916" s="20" t="str">
        <f t="shared" si="229"/>
        <v>BLACK</v>
      </c>
      <c r="I4916" s="20">
        <f t="shared" si="230"/>
        <v>0</v>
      </c>
    </row>
    <row r="4917" spans="1:9">
      <c r="A4917" s="17" t="s">
        <v>1918</v>
      </c>
      <c r="B4917" s="17" t="s">
        <v>858</v>
      </c>
      <c r="C4917" s="17">
        <v>0</v>
      </c>
      <c r="D4917" s="17" t="s">
        <v>801</v>
      </c>
      <c r="E4917" s="18">
        <v>3003640003001</v>
      </c>
      <c r="G4917" s="20" t="str">
        <f t="shared" si="228"/>
        <v xml:space="preserve"> MARMOTTE        </v>
      </c>
      <c r="H4917" s="20" t="str">
        <f t="shared" si="229"/>
        <v xml:space="preserve">GREY </v>
      </c>
      <c r="I4917" s="20">
        <f t="shared" si="230"/>
        <v>0</v>
      </c>
    </row>
    <row r="4918" spans="1:9">
      <c r="A4918" s="17" t="s">
        <v>1918</v>
      </c>
      <c r="B4918" s="17" t="s">
        <v>1105</v>
      </c>
      <c r="C4918" s="17">
        <v>0</v>
      </c>
      <c r="D4918" s="17" t="s">
        <v>801</v>
      </c>
      <c r="E4918" s="18">
        <v>3002620565003</v>
      </c>
      <c r="G4918" s="20" t="str">
        <f t="shared" si="228"/>
        <v xml:space="preserve"> MARMOTTE        </v>
      </c>
      <c r="H4918" s="20" t="str">
        <f t="shared" si="229"/>
        <v>MARSA</v>
      </c>
      <c r="I4918" s="20">
        <f t="shared" si="230"/>
        <v>0</v>
      </c>
    </row>
    <row r="4919" spans="1:9">
      <c r="A4919" s="17" t="s">
        <v>1918</v>
      </c>
      <c r="B4919" s="17" t="s">
        <v>1105</v>
      </c>
      <c r="C4919" s="17">
        <v>0</v>
      </c>
      <c r="D4919" s="17" t="s">
        <v>801</v>
      </c>
      <c r="E4919" s="18">
        <v>3020540667003</v>
      </c>
      <c r="G4919" s="20" t="str">
        <f t="shared" si="228"/>
        <v xml:space="preserve"> MARMOTTE        </v>
      </c>
      <c r="H4919" s="20" t="str">
        <f t="shared" si="229"/>
        <v>MARSA</v>
      </c>
      <c r="I4919" s="20">
        <f t="shared" si="230"/>
        <v>0</v>
      </c>
    </row>
    <row r="4920" spans="1:9">
      <c r="A4920" s="17" t="s">
        <v>1918</v>
      </c>
      <c r="B4920" s="17" t="s">
        <v>859</v>
      </c>
      <c r="C4920" s="17">
        <v>0</v>
      </c>
      <c r="D4920" s="17" t="s">
        <v>801</v>
      </c>
      <c r="E4920" s="18">
        <v>3003640002004</v>
      </c>
      <c r="G4920" s="20" t="str">
        <f t="shared" si="228"/>
        <v xml:space="preserve"> MARMOTTE        </v>
      </c>
      <c r="H4920" s="20" t="str">
        <f t="shared" si="229"/>
        <v>NATUR</v>
      </c>
      <c r="I4920" s="20">
        <f t="shared" si="230"/>
        <v>0</v>
      </c>
    </row>
    <row r="4921" spans="1:9">
      <c r="A4921" s="17" t="s">
        <v>1918</v>
      </c>
      <c r="B4921" s="17" t="s">
        <v>816</v>
      </c>
      <c r="C4921" s="17">
        <v>0</v>
      </c>
      <c r="D4921" s="17" t="s">
        <v>801</v>
      </c>
      <c r="E4921" s="18">
        <v>3003640010009</v>
      </c>
      <c r="G4921" s="20" t="str">
        <f t="shared" si="228"/>
        <v xml:space="preserve"> MARMOTTE        </v>
      </c>
      <c r="H4921" s="20" t="str">
        <f t="shared" si="229"/>
        <v xml:space="preserve">RED  </v>
      </c>
      <c r="I4921" s="20">
        <f t="shared" si="230"/>
        <v>0</v>
      </c>
    </row>
    <row r="4922" spans="1:9">
      <c r="A4922" s="17" t="s">
        <v>1918</v>
      </c>
      <c r="B4922" s="17" t="s">
        <v>1013</v>
      </c>
      <c r="C4922" s="17">
        <v>0</v>
      </c>
      <c r="D4922" s="17" t="s">
        <v>801</v>
      </c>
      <c r="E4922" s="18">
        <v>3003640026000</v>
      </c>
      <c r="G4922" s="20" t="str">
        <f t="shared" si="228"/>
        <v xml:space="preserve"> MARMOTTE        </v>
      </c>
      <c r="H4922" s="20" t="str">
        <f t="shared" si="229"/>
        <v xml:space="preserve">TURQ </v>
      </c>
      <c r="I4922" s="20">
        <f t="shared" si="230"/>
        <v>0</v>
      </c>
    </row>
    <row r="4923" spans="1:9">
      <c r="A4923" s="17" t="s">
        <v>1918</v>
      </c>
      <c r="B4923" s="17" t="s">
        <v>273</v>
      </c>
      <c r="C4923" s="17">
        <v>0</v>
      </c>
      <c r="D4923" s="17" t="s">
        <v>801</v>
      </c>
      <c r="E4923" s="18">
        <v>3020540006000</v>
      </c>
      <c r="G4923" s="20" t="str">
        <f t="shared" si="228"/>
        <v xml:space="preserve"> MARMOTTE        </v>
      </c>
      <c r="H4923" s="20" t="str">
        <f t="shared" si="229"/>
        <v>WHITE</v>
      </c>
      <c r="I4923" s="20">
        <f t="shared" si="230"/>
        <v>0</v>
      </c>
    </row>
    <row r="4924" spans="1:9">
      <c r="A4924" s="17" t="s">
        <v>1919</v>
      </c>
      <c r="B4924" s="17" t="s">
        <v>280</v>
      </c>
      <c r="C4924" s="17">
        <v>0</v>
      </c>
      <c r="D4924" s="17" t="s">
        <v>801</v>
      </c>
      <c r="E4924" s="18">
        <v>3006230276007</v>
      </c>
      <c r="G4924" s="20" t="str">
        <f t="shared" si="228"/>
        <v xml:space="preserve"> MINIBODYCRYSTMAT</v>
      </c>
      <c r="H4924" s="20" t="str">
        <f t="shared" si="229"/>
        <v>BLACK</v>
      </c>
      <c r="I4924" s="20">
        <f t="shared" si="230"/>
        <v>0</v>
      </c>
    </row>
    <row r="4925" spans="1:9">
      <c r="A4925" s="17" t="s">
        <v>1919</v>
      </c>
      <c r="B4925" s="17" t="s">
        <v>280</v>
      </c>
      <c r="C4925" s="17">
        <v>0</v>
      </c>
      <c r="D4925" s="17" t="s">
        <v>801</v>
      </c>
      <c r="E4925" s="18">
        <v>8050846019652</v>
      </c>
      <c r="G4925" s="20" t="str">
        <f t="shared" si="228"/>
        <v xml:space="preserve"> MINIBODYCRYSTMAT</v>
      </c>
      <c r="H4925" s="20" t="str">
        <f t="shared" si="229"/>
        <v>BLACK</v>
      </c>
      <c r="I4925" s="20">
        <f t="shared" si="230"/>
        <v>0</v>
      </c>
    </row>
    <row r="4926" spans="1:9">
      <c r="A4926" s="17" t="s">
        <v>1919</v>
      </c>
      <c r="B4926" s="17" t="s">
        <v>816</v>
      </c>
      <c r="C4926" s="17">
        <v>0</v>
      </c>
      <c r="D4926" s="17" t="s">
        <v>801</v>
      </c>
      <c r="E4926" s="18">
        <v>3006230395005</v>
      </c>
      <c r="G4926" s="20" t="str">
        <f t="shared" si="228"/>
        <v xml:space="preserve"> MINIBODYCRYSTMAT</v>
      </c>
      <c r="H4926" s="20" t="str">
        <f t="shared" si="229"/>
        <v xml:space="preserve">RED  </v>
      </c>
      <c r="I4926" s="20">
        <f t="shared" si="230"/>
        <v>0</v>
      </c>
    </row>
    <row r="4927" spans="1:9">
      <c r="A4927" s="17" t="s">
        <v>1919</v>
      </c>
      <c r="B4927" s="17" t="s">
        <v>816</v>
      </c>
      <c r="C4927" s="17">
        <v>0</v>
      </c>
      <c r="D4927" s="17" t="s">
        <v>801</v>
      </c>
      <c r="E4927" s="18">
        <v>8050846019676</v>
      </c>
      <c r="G4927" s="20" t="str">
        <f t="shared" si="228"/>
        <v xml:space="preserve"> MINIBODYCRYSTMAT</v>
      </c>
      <c r="H4927" s="20" t="str">
        <f t="shared" si="229"/>
        <v xml:space="preserve">RED  </v>
      </c>
      <c r="I4927" s="20">
        <f t="shared" si="230"/>
        <v>0</v>
      </c>
    </row>
    <row r="4928" spans="1:9">
      <c r="A4928" s="17" t="s">
        <v>1919</v>
      </c>
      <c r="B4928" s="17" t="s">
        <v>273</v>
      </c>
      <c r="C4928" s="17">
        <v>0</v>
      </c>
      <c r="D4928" s="17" t="s">
        <v>801</v>
      </c>
      <c r="E4928" s="18">
        <v>3006230440002</v>
      </c>
      <c r="G4928" s="20" t="str">
        <f t="shared" si="228"/>
        <v xml:space="preserve"> MINIBODYCRYSTMAT</v>
      </c>
      <c r="H4928" s="20" t="str">
        <f t="shared" si="229"/>
        <v>WHITE</v>
      </c>
      <c r="I4928" s="20">
        <f t="shared" si="230"/>
        <v>0</v>
      </c>
    </row>
    <row r="4929" spans="1:9">
      <c r="A4929" s="17" t="s">
        <v>1919</v>
      </c>
      <c r="B4929" s="17" t="s">
        <v>273</v>
      </c>
      <c r="C4929" s="17">
        <v>0</v>
      </c>
      <c r="D4929" s="17" t="s">
        <v>801</v>
      </c>
      <c r="E4929" s="18">
        <v>8050846019669</v>
      </c>
      <c r="G4929" s="20" t="str">
        <f t="shared" si="228"/>
        <v xml:space="preserve"> MINIBODYCRYSTMAT</v>
      </c>
      <c r="H4929" s="20" t="str">
        <f t="shared" si="229"/>
        <v>WHITE</v>
      </c>
      <c r="I4929" s="20">
        <f t="shared" si="230"/>
        <v>0</v>
      </c>
    </row>
    <row r="4930" spans="1:9">
      <c r="A4930" s="17" t="s">
        <v>1920</v>
      </c>
      <c r="B4930" s="17" t="s">
        <v>969</v>
      </c>
      <c r="C4930" s="17">
        <v>0</v>
      </c>
      <c r="D4930" s="17" t="s">
        <v>801</v>
      </c>
      <c r="E4930" s="18">
        <v>8050538594962</v>
      </c>
      <c r="G4930" s="20" t="str">
        <f t="shared" si="228"/>
        <v xml:space="preserve"> MINIBOR         </v>
      </c>
      <c r="H4930" s="20" t="str">
        <f t="shared" si="229"/>
        <v>3DLAT</v>
      </c>
      <c r="I4930" s="20">
        <f t="shared" si="230"/>
        <v>0</v>
      </c>
    </row>
    <row r="4931" spans="1:9">
      <c r="A4931" s="17" t="s">
        <v>1920</v>
      </c>
      <c r="B4931" s="17" t="s">
        <v>280</v>
      </c>
      <c r="C4931" s="17">
        <v>0</v>
      </c>
      <c r="D4931" s="17" t="s">
        <v>801</v>
      </c>
      <c r="E4931" s="18">
        <v>3004270004000</v>
      </c>
      <c r="G4931" s="20" t="str">
        <f t="shared" si="228"/>
        <v xml:space="preserve"> MINIBOR         </v>
      </c>
      <c r="H4931" s="20" t="str">
        <f t="shared" si="229"/>
        <v>BLACK</v>
      </c>
      <c r="I4931" s="20">
        <f t="shared" si="230"/>
        <v>0</v>
      </c>
    </row>
    <row r="4932" spans="1:9">
      <c r="A4932" s="17" t="s">
        <v>1920</v>
      </c>
      <c r="B4932" s="17" t="s">
        <v>1921</v>
      </c>
      <c r="C4932" s="17">
        <v>0</v>
      </c>
      <c r="D4932" s="17" t="s">
        <v>801</v>
      </c>
      <c r="E4932" s="18">
        <v>3004270586001</v>
      </c>
      <c r="G4932" s="20" t="str">
        <f t="shared" si="228"/>
        <v xml:space="preserve"> MINIBOR         </v>
      </c>
      <c r="H4932" s="20" t="str">
        <f t="shared" si="229"/>
        <v>BOUAC</v>
      </c>
      <c r="I4932" s="20">
        <f t="shared" si="230"/>
        <v>0</v>
      </c>
    </row>
    <row r="4933" spans="1:9">
      <c r="A4933" s="17" t="s">
        <v>1920</v>
      </c>
      <c r="B4933" s="17" t="s">
        <v>1921</v>
      </c>
      <c r="C4933" s="17">
        <v>0</v>
      </c>
      <c r="D4933" s="17" t="s">
        <v>801</v>
      </c>
      <c r="E4933" s="18">
        <v>8058983597606</v>
      </c>
      <c r="G4933" s="20" t="str">
        <f t="shared" ref="G4933:G4996" si="231">A4933</f>
        <v xml:space="preserve"> MINIBOR         </v>
      </c>
      <c r="H4933" s="20" t="str">
        <f t="shared" ref="H4933:H4996" si="232">B4933</f>
        <v>BOUAC</v>
      </c>
      <c r="I4933" s="20">
        <f t="shared" ref="I4933:I4996" si="233">C4933</f>
        <v>0</v>
      </c>
    </row>
    <row r="4934" spans="1:9">
      <c r="A4934" s="17" t="s">
        <v>1920</v>
      </c>
      <c r="B4934" s="17" t="s">
        <v>1331</v>
      </c>
      <c r="C4934" s="17">
        <v>0</v>
      </c>
      <c r="D4934" s="17" t="s">
        <v>801</v>
      </c>
      <c r="E4934" s="18">
        <v>3004270542007</v>
      </c>
      <c r="G4934" s="20" t="str">
        <f t="shared" si="231"/>
        <v xml:space="preserve"> MINIBOR         </v>
      </c>
      <c r="H4934" s="20" t="str">
        <f t="shared" si="232"/>
        <v>BOUOR</v>
      </c>
      <c r="I4934" s="20">
        <f t="shared" si="233"/>
        <v>0</v>
      </c>
    </row>
    <row r="4935" spans="1:9">
      <c r="A4935" s="17" t="s">
        <v>1920</v>
      </c>
      <c r="B4935" s="17" t="s">
        <v>1331</v>
      </c>
      <c r="C4935" s="17">
        <v>0</v>
      </c>
      <c r="D4935" s="17" t="s">
        <v>801</v>
      </c>
      <c r="E4935" s="18">
        <v>8058983597613</v>
      </c>
      <c r="G4935" s="20" t="str">
        <f t="shared" si="231"/>
        <v xml:space="preserve"> MINIBOR         </v>
      </c>
      <c r="H4935" s="20" t="str">
        <f t="shared" si="232"/>
        <v>BOUOR</v>
      </c>
      <c r="I4935" s="20">
        <f t="shared" si="233"/>
        <v>0</v>
      </c>
    </row>
    <row r="4936" spans="1:9">
      <c r="A4936" s="17" t="s">
        <v>1920</v>
      </c>
      <c r="B4936" s="17" t="s">
        <v>1332</v>
      </c>
      <c r="C4936" s="17">
        <v>0</v>
      </c>
      <c r="D4936" s="17" t="s">
        <v>801</v>
      </c>
      <c r="E4936" s="18">
        <v>3002631059003</v>
      </c>
      <c r="G4936" s="20" t="str">
        <f t="shared" si="231"/>
        <v xml:space="preserve"> MINIBOR         </v>
      </c>
      <c r="H4936" s="20" t="str">
        <f t="shared" si="232"/>
        <v>BOUTO</v>
      </c>
      <c r="I4936" s="20">
        <f t="shared" si="233"/>
        <v>0</v>
      </c>
    </row>
    <row r="4937" spans="1:9">
      <c r="A4937" s="17" t="s">
        <v>1920</v>
      </c>
      <c r="B4937" s="17" t="s">
        <v>1922</v>
      </c>
      <c r="C4937" s="17">
        <v>0</v>
      </c>
      <c r="D4937" s="17" t="s">
        <v>801</v>
      </c>
      <c r="E4937" s="18">
        <v>3004270531001</v>
      </c>
      <c r="G4937" s="20" t="str">
        <f t="shared" si="231"/>
        <v xml:space="preserve"> MINIBOR         </v>
      </c>
      <c r="H4937" s="20" t="str">
        <f t="shared" si="232"/>
        <v xml:space="preserve">BRIQ </v>
      </c>
      <c r="I4937" s="20">
        <f t="shared" si="233"/>
        <v>0</v>
      </c>
    </row>
    <row r="4938" spans="1:9">
      <c r="A4938" s="17" t="s">
        <v>1920</v>
      </c>
      <c r="B4938" s="17" t="s">
        <v>1923</v>
      </c>
      <c r="C4938" s="17">
        <v>0</v>
      </c>
      <c r="D4938" s="17" t="s">
        <v>801</v>
      </c>
      <c r="E4938" s="18">
        <v>3002631120000</v>
      </c>
      <c r="G4938" s="20" t="str">
        <f t="shared" si="231"/>
        <v xml:space="preserve"> MINIBOR         </v>
      </c>
      <c r="H4938" s="20" t="str">
        <f t="shared" si="232"/>
        <v>BROBI</v>
      </c>
      <c r="I4938" s="20">
        <f t="shared" si="233"/>
        <v>0</v>
      </c>
    </row>
    <row r="4939" spans="1:9">
      <c r="A4939" s="17" t="s">
        <v>1920</v>
      </c>
      <c r="B4939" s="17" t="s">
        <v>1923</v>
      </c>
      <c r="C4939" s="17">
        <v>0</v>
      </c>
      <c r="D4939" s="17" t="s">
        <v>801</v>
      </c>
      <c r="E4939" s="18">
        <v>8056095064689</v>
      </c>
      <c r="G4939" s="20" t="str">
        <f t="shared" si="231"/>
        <v xml:space="preserve"> MINIBOR         </v>
      </c>
      <c r="H4939" s="20" t="str">
        <f t="shared" si="232"/>
        <v>BROBI</v>
      </c>
      <c r="I4939" s="20">
        <f t="shared" si="233"/>
        <v>0</v>
      </c>
    </row>
    <row r="4940" spans="1:9">
      <c r="A4940" s="17" t="s">
        <v>1920</v>
      </c>
      <c r="B4940" s="17" t="s">
        <v>1273</v>
      </c>
      <c r="C4940" s="17">
        <v>0</v>
      </c>
      <c r="D4940" s="17" t="s">
        <v>801</v>
      </c>
      <c r="E4940" s="18">
        <v>3002631121007</v>
      </c>
      <c r="G4940" s="20" t="str">
        <f t="shared" si="231"/>
        <v xml:space="preserve"> MINIBOR         </v>
      </c>
      <c r="H4940" s="20" t="str">
        <f t="shared" si="232"/>
        <v>BROBL</v>
      </c>
      <c r="I4940" s="20">
        <f t="shared" si="233"/>
        <v>0</v>
      </c>
    </row>
    <row r="4941" spans="1:9">
      <c r="A4941" s="17" t="s">
        <v>1920</v>
      </c>
      <c r="B4941" s="17" t="s">
        <v>1273</v>
      </c>
      <c r="C4941" s="17">
        <v>0</v>
      </c>
      <c r="D4941" s="17" t="s">
        <v>801</v>
      </c>
      <c r="E4941" s="18">
        <v>8056095064696</v>
      </c>
      <c r="G4941" s="20" t="str">
        <f t="shared" si="231"/>
        <v xml:space="preserve"> MINIBOR         </v>
      </c>
      <c r="H4941" s="20" t="str">
        <f t="shared" si="232"/>
        <v>BROBL</v>
      </c>
      <c r="I4941" s="20">
        <f t="shared" si="233"/>
        <v>0</v>
      </c>
    </row>
    <row r="4942" spans="1:9">
      <c r="A4942" s="17" t="s">
        <v>1920</v>
      </c>
      <c r="B4942" s="17" t="s">
        <v>1593</v>
      </c>
      <c r="C4942" s="17">
        <v>0</v>
      </c>
      <c r="D4942" s="17" t="s">
        <v>801</v>
      </c>
      <c r="E4942" s="18">
        <v>3002631122004</v>
      </c>
      <c r="G4942" s="20" t="str">
        <f t="shared" si="231"/>
        <v xml:space="preserve"> MINIBOR         </v>
      </c>
      <c r="H4942" s="20" t="str">
        <f t="shared" si="232"/>
        <v>BRORO</v>
      </c>
      <c r="I4942" s="20">
        <f t="shared" si="233"/>
        <v>0</v>
      </c>
    </row>
    <row r="4943" spans="1:9">
      <c r="A4943" s="17" t="s">
        <v>1920</v>
      </c>
      <c r="B4943" s="17" t="s">
        <v>1593</v>
      </c>
      <c r="C4943" s="17">
        <v>0</v>
      </c>
      <c r="D4943" s="17" t="s">
        <v>801</v>
      </c>
      <c r="E4943" s="18">
        <v>8056095064702</v>
      </c>
      <c r="G4943" s="20" t="str">
        <f t="shared" si="231"/>
        <v xml:space="preserve"> MINIBOR         </v>
      </c>
      <c r="H4943" s="20" t="str">
        <f t="shared" si="232"/>
        <v>BRORO</v>
      </c>
      <c r="I4943" s="20">
        <f t="shared" si="233"/>
        <v>0</v>
      </c>
    </row>
    <row r="4944" spans="1:9">
      <c r="A4944" s="17" t="s">
        <v>1920</v>
      </c>
      <c r="B4944" s="17" t="s">
        <v>1472</v>
      </c>
      <c r="C4944" s="17">
        <v>0</v>
      </c>
      <c r="D4944" s="17" t="s">
        <v>801</v>
      </c>
      <c r="E4944" s="18">
        <v>3004270555007</v>
      </c>
      <c r="G4944" s="20" t="str">
        <f t="shared" si="231"/>
        <v xml:space="preserve"> MINIBOR         </v>
      </c>
      <c r="H4944" s="20" t="str">
        <f t="shared" si="232"/>
        <v>CAMOU</v>
      </c>
      <c r="I4944" s="20">
        <f t="shared" si="233"/>
        <v>0</v>
      </c>
    </row>
    <row r="4945" spans="1:9">
      <c r="A4945" s="17" t="s">
        <v>1920</v>
      </c>
      <c r="B4945" s="17" t="s">
        <v>1276</v>
      </c>
      <c r="C4945" s="17">
        <v>0</v>
      </c>
      <c r="D4945" s="17" t="s">
        <v>801</v>
      </c>
      <c r="E4945" s="18">
        <v>3002631119004</v>
      </c>
      <c r="G4945" s="20" t="str">
        <f t="shared" si="231"/>
        <v xml:space="preserve"> MINIBOR         </v>
      </c>
      <c r="H4945" s="20" t="str">
        <f t="shared" si="232"/>
        <v>CANFR</v>
      </c>
      <c r="I4945" s="20">
        <f t="shared" si="233"/>
        <v>0</v>
      </c>
    </row>
    <row r="4946" spans="1:9">
      <c r="A4946" s="17" t="s">
        <v>1920</v>
      </c>
      <c r="B4946" s="17" t="s">
        <v>1276</v>
      </c>
      <c r="C4946" s="17">
        <v>0</v>
      </c>
      <c r="D4946" s="17" t="s">
        <v>801</v>
      </c>
      <c r="E4946" s="18">
        <v>8056095064627</v>
      </c>
      <c r="G4946" s="20" t="str">
        <f t="shared" si="231"/>
        <v xml:space="preserve"> MINIBOR         </v>
      </c>
      <c r="H4946" s="20" t="str">
        <f t="shared" si="232"/>
        <v>CANFR</v>
      </c>
      <c r="I4946" s="20">
        <f t="shared" si="233"/>
        <v>0</v>
      </c>
    </row>
    <row r="4947" spans="1:9">
      <c r="A4947" s="17" t="s">
        <v>1920</v>
      </c>
      <c r="B4947" s="17" t="s">
        <v>1564</v>
      </c>
      <c r="C4947" s="17">
        <v>0</v>
      </c>
      <c r="D4947" s="17" t="s">
        <v>801</v>
      </c>
      <c r="E4947" s="18">
        <v>3002631118007</v>
      </c>
      <c r="G4947" s="20" t="str">
        <f t="shared" si="231"/>
        <v xml:space="preserve"> MINIBOR         </v>
      </c>
      <c r="H4947" s="20" t="str">
        <f t="shared" si="232"/>
        <v>CANIV</v>
      </c>
      <c r="I4947" s="20">
        <f t="shared" si="233"/>
        <v>0</v>
      </c>
    </row>
    <row r="4948" spans="1:9">
      <c r="A4948" s="17" t="s">
        <v>1920</v>
      </c>
      <c r="B4948" s="17" t="s">
        <v>1564</v>
      </c>
      <c r="C4948" s="17">
        <v>0</v>
      </c>
      <c r="D4948" s="17" t="s">
        <v>801</v>
      </c>
      <c r="E4948" s="18">
        <v>8056095064610</v>
      </c>
      <c r="G4948" s="20" t="str">
        <f t="shared" si="231"/>
        <v xml:space="preserve"> MINIBOR         </v>
      </c>
      <c r="H4948" s="20" t="str">
        <f t="shared" si="232"/>
        <v>CANIV</v>
      </c>
      <c r="I4948" s="20">
        <f t="shared" si="233"/>
        <v>0</v>
      </c>
    </row>
    <row r="4949" spans="1:9">
      <c r="A4949" s="17" t="s">
        <v>1920</v>
      </c>
      <c r="B4949" s="17" t="s">
        <v>1337</v>
      </c>
      <c r="C4949" s="17">
        <v>0</v>
      </c>
      <c r="D4949" s="17" t="s">
        <v>801</v>
      </c>
      <c r="E4949" s="18">
        <v>8056099178436</v>
      </c>
      <c r="G4949" s="20" t="str">
        <f t="shared" si="231"/>
        <v xml:space="preserve"> MINIBOR         </v>
      </c>
      <c r="H4949" s="20" t="str">
        <f t="shared" si="232"/>
        <v>CARBW</v>
      </c>
      <c r="I4949" s="20">
        <f t="shared" si="233"/>
        <v>0</v>
      </c>
    </row>
    <row r="4950" spans="1:9">
      <c r="A4950" s="17" t="s">
        <v>1920</v>
      </c>
      <c r="B4950" s="17" t="s">
        <v>1316</v>
      </c>
      <c r="C4950" s="17">
        <v>0</v>
      </c>
      <c r="D4950" s="17" t="s">
        <v>801</v>
      </c>
      <c r="E4950" s="18">
        <v>8056099170959</v>
      </c>
      <c r="G4950" s="20" t="str">
        <f t="shared" si="231"/>
        <v xml:space="preserve"> MINIBOR         </v>
      </c>
      <c r="H4950" s="20" t="str">
        <f t="shared" si="232"/>
        <v>CARNO</v>
      </c>
      <c r="I4950" s="20">
        <f t="shared" si="233"/>
        <v>0</v>
      </c>
    </row>
    <row r="4951" spans="1:9">
      <c r="A4951" s="17" t="s">
        <v>1920</v>
      </c>
      <c r="B4951" s="17" t="s">
        <v>1083</v>
      </c>
      <c r="C4951" s="17">
        <v>0</v>
      </c>
      <c r="D4951" s="17" t="s">
        <v>801</v>
      </c>
      <c r="E4951" s="18">
        <v>8056099170942</v>
      </c>
      <c r="G4951" s="20" t="str">
        <f t="shared" si="231"/>
        <v xml:space="preserve"> MINIBOR         </v>
      </c>
      <c r="H4951" s="20" t="str">
        <f t="shared" si="232"/>
        <v>CARRO</v>
      </c>
      <c r="I4951" s="20">
        <f t="shared" si="233"/>
        <v>0</v>
      </c>
    </row>
    <row r="4952" spans="1:9">
      <c r="A4952" s="17" t="s">
        <v>1920</v>
      </c>
      <c r="B4952" s="17" t="s">
        <v>1758</v>
      </c>
      <c r="C4952" s="17">
        <v>0</v>
      </c>
      <c r="D4952" s="17" t="s">
        <v>801</v>
      </c>
      <c r="E4952" s="18">
        <v>3002631003006</v>
      </c>
      <c r="G4952" s="20" t="str">
        <f t="shared" si="231"/>
        <v xml:space="preserve"> MINIBOR         </v>
      </c>
      <c r="H4952" s="20" t="str">
        <f t="shared" si="232"/>
        <v>CHACM</v>
      </c>
      <c r="I4952" s="20">
        <f t="shared" si="233"/>
        <v>0</v>
      </c>
    </row>
    <row r="4953" spans="1:9">
      <c r="A4953" s="17" t="s">
        <v>1920</v>
      </c>
      <c r="B4953" s="17" t="s">
        <v>1758</v>
      </c>
      <c r="C4953" s="17">
        <v>0</v>
      </c>
      <c r="D4953" s="17" t="s">
        <v>801</v>
      </c>
      <c r="E4953" s="18">
        <v>8056300453574</v>
      </c>
      <c r="G4953" s="20" t="str">
        <f t="shared" si="231"/>
        <v xml:space="preserve"> MINIBOR         </v>
      </c>
      <c r="H4953" s="20" t="str">
        <f t="shared" si="232"/>
        <v>CHACM</v>
      </c>
      <c r="I4953" s="20">
        <f t="shared" si="233"/>
        <v>0</v>
      </c>
    </row>
    <row r="4954" spans="1:9">
      <c r="A4954" s="17" t="s">
        <v>1920</v>
      </c>
      <c r="B4954" s="17" t="s">
        <v>1924</v>
      </c>
      <c r="C4954" s="17">
        <v>0</v>
      </c>
      <c r="D4954" s="17" t="s">
        <v>801</v>
      </c>
      <c r="E4954" s="18">
        <v>8050538590285</v>
      </c>
      <c r="G4954" s="20" t="str">
        <f t="shared" si="231"/>
        <v xml:space="preserve"> MINIBOR         </v>
      </c>
      <c r="H4954" s="20" t="str">
        <f t="shared" si="232"/>
        <v>CHADO</v>
      </c>
      <c r="I4954" s="20">
        <f t="shared" si="233"/>
        <v>0</v>
      </c>
    </row>
    <row r="4955" spans="1:9">
      <c r="A4955" s="17" t="s">
        <v>1920</v>
      </c>
      <c r="B4955" s="17" t="s">
        <v>939</v>
      </c>
      <c r="C4955" s="17">
        <v>0</v>
      </c>
      <c r="D4955" s="17" t="s">
        <v>801</v>
      </c>
      <c r="E4955" s="18">
        <v>3004270669001</v>
      </c>
      <c r="G4955" s="20" t="str">
        <f t="shared" si="231"/>
        <v xml:space="preserve"> MINIBOR         </v>
      </c>
      <c r="H4955" s="20" t="str">
        <f t="shared" si="232"/>
        <v>CHAMU</v>
      </c>
      <c r="I4955" s="20">
        <f t="shared" si="233"/>
        <v>0</v>
      </c>
    </row>
    <row r="4956" spans="1:9">
      <c r="A4956" s="17" t="s">
        <v>1920</v>
      </c>
      <c r="B4956" s="17" t="s">
        <v>1293</v>
      </c>
      <c r="C4956" s="17">
        <v>0</v>
      </c>
      <c r="D4956" s="17" t="s">
        <v>801</v>
      </c>
      <c r="E4956" s="18">
        <v>3004270553003</v>
      </c>
      <c r="G4956" s="20" t="str">
        <f t="shared" si="231"/>
        <v xml:space="preserve"> MINIBOR         </v>
      </c>
      <c r="H4956" s="20" t="str">
        <f t="shared" si="232"/>
        <v>CHANB</v>
      </c>
      <c r="I4956" s="20">
        <f t="shared" si="233"/>
        <v>0</v>
      </c>
    </row>
    <row r="4957" spans="1:9">
      <c r="A4957" s="17" t="s">
        <v>1920</v>
      </c>
      <c r="B4957" s="17" t="s">
        <v>1293</v>
      </c>
      <c r="C4957" s="17">
        <v>0</v>
      </c>
      <c r="D4957" s="17" t="s">
        <v>801</v>
      </c>
      <c r="E4957" s="18">
        <v>8058983597682</v>
      </c>
      <c r="G4957" s="20" t="str">
        <f t="shared" si="231"/>
        <v xml:space="preserve"> MINIBOR         </v>
      </c>
      <c r="H4957" s="20" t="str">
        <f t="shared" si="232"/>
        <v>CHANB</v>
      </c>
      <c r="I4957" s="20">
        <f t="shared" si="233"/>
        <v>0</v>
      </c>
    </row>
    <row r="4958" spans="1:9">
      <c r="A4958" s="17" t="s">
        <v>1920</v>
      </c>
      <c r="B4958" s="17" t="s">
        <v>1925</v>
      </c>
      <c r="C4958" s="17">
        <v>0</v>
      </c>
      <c r="D4958" s="17" t="s">
        <v>801</v>
      </c>
      <c r="E4958" s="18">
        <v>8050538590544</v>
      </c>
      <c r="G4958" s="20" t="str">
        <f t="shared" si="231"/>
        <v xml:space="preserve"> MINIBOR         </v>
      </c>
      <c r="H4958" s="20" t="str">
        <f t="shared" si="232"/>
        <v>CHANO</v>
      </c>
      <c r="I4958" s="20">
        <f t="shared" si="233"/>
        <v>0</v>
      </c>
    </row>
    <row r="4959" spans="1:9">
      <c r="A4959" s="17" t="s">
        <v>1920</v>
      </c>
      <c r="B4959" s="17" t="s">
        <v>1926</v>
      </c>
      <c r="C4959" s="17">
        <v>0</v>
      </c>
      <c r="D4959" s="17" t="s">
        <v>801</v>
      </c>
      <c r="E4959" s="18">
        <v>8056099177446</v>
      </c>
      <c r="G4959" s="20" t="str">
        <f t="shared" si="231"/>
        <v xml:space="preserve"> MINIBOR         </v>
      </c>
      <c r="H4959" s="20" t="str">
        <f t="shared" si="232"/>
        <v>CHAPH</v>
      </c>
      <c r="I4959" s="20">
        <f t="shared" si="233"/>
        <v>0</v>
      </c>
    </row>
    <row r="4960" spans="1:9">
      <c r="A4960" s="17" t="s">
        <v>1920</v>
      </c>
      <c r="B4960" s="17" t="s">
        <v>1534</v>
      </c>
      <c r="C4960" s="17">
        <v>0</v>
      </c>
      <c r="D4960" s="17" t="s">
        <v>801</v>
      </c>
      <c r="E4960" s="18">
        <v>3002631047000</v>
      </c>
      <c r="G4960" s="20" t="str">
        <f t="shared" si="231"/>
        <v xml:space="preserve"> MINIBOR         </v>
      </c>
      <c r="H4960" s="20" t="str">
        <f t="shared" si="232"/>
        <v>CHAPU</v>
      </c>
      <c r="I4960" s="20">
        <f t="shared" si="233"/>
        <v>0</v>
      </c>
    </row>
    <row r="4961" spans="1:9">
      <c r="A4961" s="17" t="s">
        <v>1920</v>
      </c>
      <c r="B4961" s="17" t="s">
        <v>1534</v>
      </c>
      <c r="C4961" s="17">
        <v>0</v>
      </c>
      <c r="D4961" s="17" t="s">
        <v>801</v>
      </c>
      <c r="E4961" s="18">
        <v>8056300453598</v>
      </c>
      <c r="G4961" s="20" t="str">
        <f t="shared" si="231"/>
        <v xml:space="preserve"> MINIBOR         </v>
      </c>
      <c r="H4961" s="20" t="str">
        <f t="shared" si="232"/>
        <v>CHAPU</v>
      </c>
      <c r="I4961" s="20">
        <f t="shared" si="233"/>
        <v>0</v>
      </c>
    </row>
    <row r="4962" spans="1:9">
      <c r="A4962" s="17" t="s">
        <v>1920</v>
      </c>
      <c r="B4962" s="17" t="s">
        <v>1294</v>
      </c>
      <c r="C4962" s="17">
        <v>0</v>
      </c>
      <c r="D4962" s="17" t="s">
        <v>801</v>
      </c>
      <c r="E4962" s="18">
        <v>3004270552006</v>
      </c>
      <c r="G4962" s="20" t="str">
        <f t="shared" si="231"/>
        <v xml:space="preserve"> MINIBOR         </v>
      </c>
      <c r="H4962" s="20" t="str">
        <f t="shared" si="232"/>
        <v>CHARO</v>
      </c>
      <c r="I4962" s="20">
        <f t="shared" si="233"/>
        <v>0</v>
      </c>
    </row>
    <row r="4963" spans="1:9">
      <c r="A4963" s="17" t="s">
        <v>1920</v>
      </c>
      <c r="B4963" s="17" t="s">
        <v>1294</v>
      </c>
      <c r="C4963" s="17">
        <v>0</v>
      </c>
      <c r="D4963" s="17" t="s">
        <v>801</v>
      </c>
      <c r="E4963" s="18">
        <v>8058983597699</v>
      </c>
      <c r="G4963" s="20" t="str">
        <f t="shared" si="231"/>
        <v xml:space="preserve"> MINIBOR         </v>
      </c>
      <c r="H4963" s="20" t="str">
        <f t="shared" si="232"/>
        <v>CHARO</v>
      </c>
      <c r="I4963" s="20">
        <f t="shared" si="233"/>
        <v>0</v>
      </c>
    </row>
    <row r="4964" spans="1:9">
      <c r="A4964" s="17" t="s">
        <v>1920</v>
      </c>
      <c r="B4964" s="17" t="s">
        <v>984</v>
      </c>
      <c r="C4964" s="17">
        <v>0</v>
      </c>
      <c r="D4964" s="17" t="s">
        <v>801</v>
      </c>
      <c r="E4964" s="18">
        <v>3004270996008</v>
      </c>
      <c r="G4964" s="20" t="str">
        <f t="shared" si="231"/>
        <v xml:space="preserve"> MINIBOR         </v>
      </c>
      <c r="H4964" s="20" t="str">
        <f t="shared" si="232"/>
        <v>COBLU</v>
      </c>
      <c r="I4964" s="20">
        <f t="shared" si="233"/>
        <v>0</v>
      </c>
    </row>
    <row r="4965" spans="1:9">
      <c r="A4965" s="17" t="s">
        <v>1920</v>
      </c>
      <c r="B4965" s="17" t="s">
        <v>984</v>
      </c>
      <c r="C4965" s="17">
        <v>0</v>
      </c>
      <c r="D4965" s="17" t="s">
        <v>801</v>
      </c>
      <c r="E4965" s="18">
        <v>3002630996002</v>
      </c>
      <c r="G4965" s="20" t="str">
        <f t="shared" si="231"/>
        <v xml:space="preserve"> MINIBOR         </v>
      </c>
      <c r="H4965" s="20" t="str">
        <f t="shared" si="232"/>
        <v>COBLU</v>
      </c>
      <c r="I4965" s="20">
        <f t="shared" si="233"/>
        <v>0</v>
      </c>
    </row>
    <row r="4966" spans="1:9">
      <c r="A4966" s="17" t="s">
        <v>1920</v>
      </c>
      <c r="B4966" s="17" t="s">
        <v>1342</v>
      </c>
      <c r="C4966" s="17">
        <v>0</v>
      </c>
      <c r="D4966" s="17" t="s">
        <v>801</v>
      </c>
      <c r="E4966" s="18">
        <v>3002630975007</v>
      </c>
      <c r="G4966" s="20" t="str">
        <f t="shared" si="231"/>
        <v xml:space="preserve"> MINIBOR         </v>
      </c>
      <c r="H4966" s="20" t="str">
        <f t="shared" si="232"/>
        <v>COTBL</v>
      </c>
      <c r="I4966" s="20">
        <f t="shared" si="233"/>
        <v>0</v>
      </c>
    </row>
    <row r="4967" spans="1:9">
      <c r="A4967" s="17" t="s">
        <v>1920</v>
      </c>
      <c r="B4967" s="17" t="s">
        <v>1342</v>
      </c>
      <c r="C4967" s="17">
        <v>0</v>
      </c>
      <c r="D4967" s="17" t="s">
        <v>801</v>
      </c>
      <c r="E4967" s="18">
        <v>3004270975003</v>
      </c>
      <c r="G4967" s="20" t="str">
        <f t="shared" si="231"/>
        <v xml:space="preserve"> MINIBOR         </v>
      </c>
      <c r="H4967" s="20" t="str">
        <f t="shared" si="232"/>
        <v>COTBL</v>
      </c>
      <c r="I4967" s="20">
        <f t="shared" si="233"/>
        <v>0</v>
      </c>
    </row>
    <row r="4968" spans="1:9">
      <c r="A4968" s="17" t="s">
        <v>1920</v>
      </c>
      <c r="B4968" s="17" t="s">
        <v>1507</v>
      </c>
      <c r="C4968" s="17">
        <v>0</v>
      </c>
      <c r="D4968" s="17" t="s">
        <v>801</v>
      </c>
      <c r="E4968" s="18">
        <v>3002631035007</v>
      </c>
      <c r="G4968" s="20" t="str">
        <f t="shared" si="231"/>
        <v xml:space="preserve"> MINIBOR         </v>
      </c>
      <c r="H4968" s="20" t="str">
        <f t="shared" si="232"/>
        <v>COTBO</v>
      </c>
      <c r="I4968" s="20">
        <f t="shared" si="233"/>
        <v>0</v>
      </c>
    </row>
    <row r="4969" spans="1:9">
      <c r="A4969" s="17" t="s">
        <v>1920</v>
      </c>
      <c r="B4969" s="17" t="s">
        <v>1507</v>
      </c>
      <c r="C4969" s="17">
        <v>0</v>
      </c>
      <c r="D4969" s="17" t="s">
        <v>801</v>
      </c>
      <c r="E4969" s="18">
        <v>3004271035003</v>
      </c>
      <c r="G4969" s="20" t="str">
        <f t="shared" si="231"/>
        <v xml:space="preserve"> MINIBOR         </v>
      </c>
      <c r="H4969" s="20" t="str">
        <f t="shared" si="232"/>
        <v>COTBO</v>
      </c>
      <c r="I4969" s="20">
        <f t="shared" si="233"/>
        <v>0</v>
      </c>
    </row>
    <row r="4970" spans="1:9">
      <c r="A4970" s="17" t="s">
        <v>1920</v>
      </c>
      <c r="B4970" s="17" t="s">
        <v>1344</v>
      </c>
      <c r="C4970" s="17">
        <v>0</v>
      </c>
      <c r="D4970" s="17" t="s">
        <v>801</v>
      </c>
      <c r="E4970" s="18">
        <v>3002630977001</v>
      </c>
      <c r="G4970" s="20" t="str">
        <f t="shared" si="231"/>
        <v xml:space="preserve"> MINIBOR         </v>
      </c>
      <c r="H4970" s="20" t="str">
        <f t="shared" si="232"/>
        <v>COTWH</v>
      </c>
      <c r="I4970" s="20">
        <f t="shared" si="233"/>
        <v>0</v>
      </c>
    </row>
    <row r="4971" spans="1:9">
      <c r="A4971" s="17" t="s">
        <v>1920</v>
      </c>
      <c r="B4971" s="17" t="s">
        <v>1344</v>
      </c>
      <c r="C4971" s="17">
        <v>0</v>
      </c>
      <c r="D4971" s="17" t="s">
        <v>801</v>
      </c>
      <c r="E4971" s="18">
        <v>3004270977007</v>
      </c>
      <c r="G4971" s="20" t="str">
        <f t="shared" si="231"/>
        <v xml:space="preserve"> MINIBOR         </v>
      </c>
      <c r="H4971" s="20" t="str">
        <f t="shared" si="232"/>
        <v>COTWH</v>
      </c>
      <c r="I4971" s="20">
        <f t="shared" si="233"/>
        <v>0</v>
      </c>
    </row>
    <row r="4972" spans="1:9">
      <c r="A4972" s="17" t="s">
        <v>1920</v>
      </c>
      <c r="B4972" s="17" t="s">
        <v>1038</v>
      </c>
      <c r="C4972" s="17">
        <v>0</v>
      </c>
      <c r="D4972" s="17" t="s">
        <v>801</v>
      </c>
      <c r="E4972" s="18">
        <v>8050538594979</v>
      </c>
      <c r="G4972" s="20" t="str">
        <f t="shared" si="231"/>
        <v xml:space="preserve"> MINIBOR         </v>
      </c>
      <c r="H4972" s="20" t="str">
        <f t="shared" si="232"/>
        <v>DIABL</v>
      </c>
      <c r="I4972" s="20">
        <f t="shared" si="233"/>
        <v>0</v>
      </c>
    </row>
    <row r="4973" spans="1:9">
      <c r="A4973" s="17" t="s">
        <v>1920</v>
      </c>
      <c r="B4973" s="17" t="s">
        <v>1927</v>
      </c>
      <c r="C4973" s="17">
        <v>0</v>
      </c>
      <c r="D4973" s="17" t="s">
        <v>801</v>
      </c>
      <c r="E4973" s="18">
        <v>8056099177040</v>
      </c>
      <c r="G4973" s="20" t="str">
        <f t="shared" si="231"/>
        <v xml:space="preserve"> MINIBOR         </v>
      </c>
      <c r="H4973" s="20" t="str">
        <f t="shared" si="232"/>
        <v>ETOBL</v>
      </c>
      <c r="I4973" s="20">
        <f t="shared" si="233"/>
        <v>0</v>
      </c>
    </row>
    <row r="4974" spans="1:9">
      <c r="A4974" s="17" t="s">
        <v>1920</v>
      </c>
      <c r="B4974" s="17" t="s">
        <v>1927</v>
      </c>
      <c r="C4974" s="17">
        <v>0</v>
      </c>
      <c r="D4974" s="17" t="s">
        <v>801</v>
      </c>
      <c r="E4974" s="18">
        <v>8056099176982</v>
      </c>
      <c r="G4974" s="20" t="str">
        <f t="shared" si="231"/>
        <v xml:space="preserve"> MINIBOR         </v>
      </c>
      <c r="H4974" s="20" t="str">
        <f t="shared" si="232"/>
        <v>ETOBL</v>
      </c>
      <c r="I4974" s="20">
        <f t="shared" si="233"/>
        <v>0</v>
      </c>
    </row>
    <row r="4975" spans="1:9">
      <c r="A4975" s="17" t="s">
        <v>1920</v>
      </c>
      <c r="B4975" s="17" t="s">
        <v>1928</v>
      </c>
      <c r="C4975" s="17">
        <v>0</v>
      </c>
      <c r="D4975" s="17" t="s">
        <v>801</v>
      </c>
      <c r="E4975" s="18">
        <v>8056099179174</v>
      </c>
      <c r="G4975" s="20" t="str">
        <f t="shared" si="231"/>
        <v xml:space="preserve"> MINIBOR         </v>
      </c>
      <c r="H4975" s="20" t="str">
        <f t="shared" si="232"/>
        <v>ETOLA</v>
      </c>
      <c r="I4975" s="20">
        <f t="shared" si="233"/>
        <v>0</v>
      </c>
    </row>
    <row r="4976" spans="1:9">
      <c r="A4976" s="17" t="s">
        <v>1920</v>
      </c>
      <c r="B4976" s="17" t="s">
        <v>1929</v>
      </c>
      <c r="C4976" s="17">
        <v>0</v>
      </c>
      <c r="D4976" s="17" t="s">
        <v>801</v>
      </c>
      <c r="E4976" s="18">
        <v>3002631076000</v>
      </c>
      <c r="G4976" s="20" t="str">
        <f t="shared" si="231"/>
        <v xml:space="preserve"> MINIBOR         </v>
      </c>
      <c r="H4976" s="20" t="str">
        <f t="shared" si="232"/>
        <v xml:space="preserve">ETOR </v>
      </c>
      <c r="I4976" s="20">
        <f t="shared" si="233"/>
        <v>0</v>
      </c>
    </row>
    <row r="4977" spans="1:9">
      <c r="A4977" s="17" t="s">
        <v>1920</v>
      </c>
      <c r="B4977" s="17" t="s">
        <v>1930</v>
      </c>
      <c r="C4977" s="17">
        <v>0</v>
      </c>
      <c r="D4977" s="17" t="s">
        <v>801</v>
      </c>
      <c r="E4977" s="18">
        <v>8050538590704</v>
      </c>
      <c r="G4977" s="20" t="str">
        <f t="shared" si="231"/>
        <v xml:space="preserve"> MINIBOR         </v>
      </c>
      <c r="H4977" s="20" t="str">
        <f t="shared" si="232"/>
        <v>ETOTT</v>
      </c>
      <c r="I4977" s="20">
        <f t="shared" si="233"/>
        <v>0</v>
      </c>
    </row>
    <row r="4978" spans="1:9">
      <c r="A4978" s="17" t="s">
        <v>1920</v>
      </c>
      <c r="B4978" s="17" t="s">
        <v>1107</v>
      </c>
      <c r="C4978" s="17">
        <v>0</v>
      </c>
      <c r="D4978" s="17" t="s">
        <v>801</v>
      </c>
      <c r="E4978" s="18">
        <v>3004270588005</v>
      </c>
      <c r="G4978" s="20" t="str">
        <f t="shared" si="231"/>
        <v xml:space="preserve"> MINIBOR         </v>
      </c>
      <c r="H4978" s="20" t="str">
        <f t="shared" si="232"/>
        <v>FEUBE</v>
      </c>
      <c r="I4978" s="20">
        <f t="shared" si="233"/>
        <v>0</v>
      </c>
    </row>
    <row r="4979" spans="1:9">
      <c r="A4979" s="17" t="s">
        <v>1920</v>
      </c>
      <c r="B4979" s="17" t="s">
        <v>1107</v>
      </c>
      <c r="C4979" s="17">
        <v>0</v>
      </c>
      <c r="D4979" s="17" t="s">
        <v>801</v>
      </c>
      <c r="E4979" s="18">
        <v>8058983597651</v>
      </c>
      <c r="G4979" s="20" t="str">
        <f t="shared" si="231"/>
        <v xml:space="preserve"> MINIBOR         </v>
      </c>
      <c r="H4979" s="20" t="str">
        <f t="shared" si="232"/>
        <v>FEUBE</v>
      </c>
      <c r="I4979" s="20">
        <f t="shared" si="233"/>
        <v>0</v>
      </c>
    </row>
    <row r="4980" spans="1:9">
      <c r="A4980" s="17" t="s">
        <v>1920</v>
      </c>
      <c r="B4980" s="17" t="s">
        <v>1108</v>
      </c>
      <c r="C4980" s="17">
        <v>0</v>
      </c>
      <c r="D4980" s="17" t="s">
        <v>801</v>
      </c>
      <c r="E4980" s="18">
        <v>3004270246004</v>
      </c>
      <c r="G4980" s="20" t="str">
        <f t="shared" si="231"/>
        <v xml:space="preserve"> MINIBOR         </v>
      </c>
      <c r="H4980" s="20" t="str">
        <f t="shared" si="232"/>
        <v>FEUBL</v>
      </c>
      <c r="I4980" s="20">
        <f t="shared" si="233"/>
        <v>0</v>
      </c>
    </row>
    <row r="4981" spans="1:9">
      <c r="A4981" s="17" t="s">
        <v>1920</v>
      </c>
      <c r="B4981" s="17" t="s">
        <v>1108</v>
      </c>
      <c r="C4981" s="17">
        <v>0</v>
      </c>
      <c r="D4981" s="17" t="s">
        <v>801</v>
      </c>
      <c r="E4981" s="18">
        <v>8058983597637</v>
      </c>
      <c r="G4981" s="20" t="str">
        <f t="shared" si="231"/>
        <v xml:space="preserve"> MINIBOR         </v>
      </c>
      <c r="H4981" s="20" t="str">
        <f t="shared" si="232"/>
        <v>FEUBL</v>
      </c>
      <c r="I4981" s="20">
        <f t="shared" si="233"/>
        <v>0</v>
      </c>
    </row>
    <row r="4982" spans="1:9">
      <c r="A4982" s="17" t="s">
        <v>1920</v>
      </c>
      <c r="B4982" s="17" t="s">
        <v>1605</v>
      </c>
      <c r="C4982" s="17">
        <v>0</v>
      </c>
      <c r="D4982" s="17" t="s">
        <v>801</v>
      </c>
      <c r="E4982" s="18">
        <v>3004270329004</v>
      </c>
      <c r="G4982" s="20" t="str">
        <f t="shared" si="231"/>
        <v xml:space="preserve"> MINIBOR         </v>
      </c>
      <c r="H4982" s="20" t="str">
        <f t="shared" si="232"/>
        <v>FEUGR</v>
      </c>
      <c r="I4982" s="20">
        <f t="shared" si="233"/>
        <v>0</v>
      </c>
    </row>
    <row r="4983" spans="1:9">
      <c r="A4983" s="17" t="s">
        <v>1920</v>
      </c>
      <c r="B4983" s="17" t="s">
        <v>1109</v>
      </c>
      <c r="C4983" s="17">
        <v>0</v>
      </c>
      <c r="D4983" s="17" t="s">
        <v>801</v>
      </c>
      <c r="E4983" s="18">
        <v>3004270589002</v>
      </c>
      <c r="G4983" s="20" t="str">
        <f t="shared" si="231"/>
        <v xml:space="preserve"> MINIBOR         </v>
      </c>
      <c r="H4983" s="20" t="str">
        <f t="shared" si="232"/>
        <v>FEUJA</v>
      </c>
      <c r="I4983" s="20">
        <f t="shared" si="233"/>
        <v>0</v>
      </c>
    </row>
    <row r="4984" spans="1:9">
      <c r="A4984" s="17" t="s">
        <v>1920</v>
      </c>
      <c r="B4984" s="17" t="s">
        <v>1109</v>
      </c>
      <c r="C4984" s="17">
        <v>0</v>
      </c>
      <c r="D4984" s="17" t="s">
        <v>801</v>
      </c>
      <c r="E4984" s="18">
        <v>8058983597644</v>
      </c>
      <c r="G4984" s="20" t="str">
        <f t="shared" si="231"/>
        <v xml:space="preserve"> MINIBOR         </v>
      </c>
      <c r="H4984" s="20" t="str">
        <f t="shared" si="232"/>
        <v>FEUJA</v>
      </c>
      <c r="I4984" s="20">
        <f t="shared" si="233"/>
        <v>0</v>
      </c>
    </row>
    <row r="4985" spans="1:9">
      <c r="A4985" s="17" t="s">
        <v>1920</v>
      </c>
      <c r="B4985" s="17" t="s">
        <v>1088</v>
      </c>
      <c r="C4985" s="17">
        <v>0</v>
      </c>
      <c r="D4985" s="17" t="s">
        <v>801</v>
      </c>
      <c r="E4985" s="18">
        <v>3004270242006</v>
      </c>
      <c r="G4985" s="20" t="str">
        <f t="shared" si="231"/>
        <v xml:space="preserve"> MINIBOR         </v>
      </c>
      <c r="H4985" s="20" t="str">
        <f t="shared" si="232"/>
        <v xml:space="preserve">FEUR </v>
      </c>
      <c r="I4985" s="20">
        <f t="shared" si="233"/>
        <v>0</v>
      </c>
    </row>
    <row r="4986" spans="1:9">
      <c r="A4986" s="17" t="s">
        <v>1920</v>
      </c>
      <c r="B4986" s="17" t="s">
        <v>1088</v>
      </c>
      <c r="C4986" s="17">
        <v>0</v>
      </c>
      <c r="D4986" s="17" t="s">
        <v>801</v>
      </c>
      <c r="E4986" s="18">
        <v>8058983597620</v>
      </c>
      <c r="G4986" s="20" t="str">
        <f t="shared" si="231"/>
        <v xml:space="preserve"> MINIBOR         </v>
      </c>
      <c r="H4986" s="20" t="str">
        <f t="shared" si="232"/>
        <v xml:space="preserve">FEUR </v>
      </c>
      <c r="I4986" s="20">
        <f t="shared" si="233"/>
        <v>0</v>
      </c>
    </row>
    <row r="4987" spans="1:9">
      <c r="A4987" s="17" t="s">
        <v>1920</v>
      </c>
      <c r="B4987" s="17" t="s">
        <v>1352</v>
      </c>
      <c r="C4987" s="17">
        <v>0</v>
      </c>
      <c r="D4987" s="17" t="s">
        <v>801</v>
      </c>
      <c r="E4987" s="18">
        <v>3004270330000</v>
      </c>
      <c r="G4987" s="20" t="str">
        <f t="shared" si="231"/>
        <v xml:space="preserve"> MINIBOR         </v>
      </c>
      <c r="H4987" s="20" t="str">
        <f t="shared" si="232"/>
        <v>FEUVE</v>
      </c>
      <c r="I4987" s="20">
        <f t="shared" si="233"/>
        <v>0</v>
      </c>
    </row>
    <row r="4988" spans="1:9">
      <c r="A4988" s="17" t="s">
        <v>1920</v>
      </c>
      <c r="B4988" s="17" t="s">
        <v>1931</v>
      </c>
      <c r="C4988" s="17">
        <v>0</v>
      </c>
      <c r="D4988" s="17" t="s">
        <v>801</v>
      </c>
      <c r="E4988" s="18">
        <v>3002631037001</v>
      </c>
      <c r="G4988" s="20" t="str">
        <f t="shared" si="231"/>
        <v xml:space="preserve"> MINIBOR         </v>
      </c>
      <c r="H4988" s="20" t="str">
        <f t="shared" si="232"/>
        <v>FLBEI</v>
      </c>
      <c r="I4988" s="20">
        <f t="shared" si="233"/>
        <v>0</v>
      </c>
    </row>
    <row r="4989" spans="1:9">
      <c r="A4989" s="17" t="s">
        <v>1920</v>
      </c>
      <c r="B4989" s="17" t="s">
        <v>1931</v>
      </c>
      <c r="C4989" s="17">
        <v>0</v>
      </c>
      <c r="D4989" s="17" t="s">
        <v>801</v>
      </c>
      <c r="E4989" s="18">
        <v>8056300453635</v>
      </c>
      <c r="G4989" s="20" t="str">
        <f t="shared" si="231"/>
        <v xml:space="preserve"> MINIBOR         </v>
      </c>
      <c r="H4989" s="20" t="str">
        <f t="shared" si="232"/>
        <v>FLBEI</v>
      </c>
      <c r="I4989" s="20">
        <f t="shared" si="233"/>
        <v>0</v>
      </c>
    </row>
    <row r="4990" spans="1:9">
      <c r="A4990" s="17" t="s">
        <v>1920</v>
      </c>
      <c r="B4990" s="17" t="s">
        <v>1932</v>
      </c>
      <c r="C4990" s="17">
        <v>0</v>
      </c>
      <c r="D4990" s="17" t="s">
        <v>801</v>
      </c>
      <c r="E4990" s="18">
        <v>8056300453659</v>
      </c>
      <c r="G4990" s="20" t="str">
        <f t="shared" si="231"/>
        <v xml:space="preserve"> MINIBOR         </v>
      </c>
      <c r="H4990" s="20" t="str">
        <f t="shared" si="232"/>
        <v>FLBRU</v>
      </c>
      <c r="I4990" s="20">
        <f t="shared" si="233"/>
        <v>0</v>
      </c>
    </row>
    <row r="4991" spans="1:9">
      <c r="A4991" s="17" t="s">
        <v>1920</v>
      </c>
      <c r="B4991" s="17" t="s">
        <v>1933</v>
      </c>
      <c r="C4991" s="17">
        <v>0</v>
      </c>
      <c r="D4991" s="17" t="s">
        <v>801</v>
      </c>
      <c r="E4991" s="18">
        <v>3002631038008</v>
      </c>
      <c r="G4991" s="20" t="str">
        <f t="shared" si="231"/>
        <v xml:space="preserve"> MINIBOR         </v>
      </c>
      <c r="H4991" s="20" t="str">
        <f t="shared" si="232"/>
        <v>FLTES</v>
      </c>
      <c r="I4991" s="20">
        <f t="shared" si="233"/>
        <v>0</v>
      </c>
    </row>
    <row r="4992" spans="1:9">
      <c r="A4992" s="17" t="s">
        <v>1920</v>
      </c>
      <c r="B4992" s="17" t="s">
        <v>1933</v>
      </c>
      <c r="C4992" s="17">
        <v>0</v>
      </c>
      <c r="D4992" s="17" t="s">
        <v>801</v>
      </c>
      <c r="E4992" s="18">
        <v>8056300453642</v>
      </c>
      <c r="G4992" s="20" t="str">
        <f t="shared" si="231"/>
        <v xml:space="preserve"> MINIBOR         </v>
      </c>
      <c r="H4992" s="20" t="str">
        <f t="shared" si="232"/>
        <v>FLTES</v>
      </c>
      <c r="I4992" s="20">
        <f t="shared" si="233"/>
        <v>0</v>
      </c>
    </row>
    <row r="4993" spans="1:9">
      <c r="A4993" s="17" t="s">
        <v>1920</v>
      </c>
      <c r="B4993" s="17" t="s">
        <v>1357</v>
      </c>
      <c r="C4993" s="17">
        <v>0</v>
      </c>
      <c r="D4993" s="17" t="s">
        <v>801</v>
      </c>
      <c r="E4993" s="18">
        <v>3002631058006</v>
      </c>
      <c r="G4993" s="20" t="str">
        <f t="shared" si="231"/>
        <v xml:space="preserve"> MINIBOR         </v>
      </c>
      <c r="H4993" s="20" t="str">
        <f t="shared" si="232"/>
        <v>FOLKG</v>
      </c>
      <c r="I4993" s="20">
        <f t="shared" si="233"/>
        <v>0</v>
      </c>
    </row>
    <row r="4994" spans="1:9">
      <c r="A4994" s="17" t="s">
        <v>1920</v>
      </c>
      <c r="B4994" s="17" t="s">
        <v>1277</v>
      </c>
      <c r="C4994" s="17">
        <v>0</v>
      </c>
      <c r="D4994" s="17" t="s">
        <v>801</v>
      </c>
      <c r="E4994" s="18">
        <v>3002630718000</v>
      </c>
      <c r="G4994" s="20" t="str">
        <f t="shared" si="231"/>
        <v xml:space="preserve"> MINIBOR         </v>
      </c>
      <c r="H4994" s="20" t="str">
        <f t="shared" si="232"/>
        <v>FOULA</v>
      </c>
      <c r="I4994" s="20">
        <f t="shared" si="233"/>
        <v>0</v>
      </c>
    </row>
    <row r="4995" spans="1:9">
      <c r="A4995" s="17" t="s">
        <v>1920</v>
      </c>
      <c r="B4995" s="17" t="s">
        <v>1277</v>
      </c>
      <c r="C4995" s="17">
        <v>0</v>
      </c>
      <c r="D4995" s="17" t="s">
        <v>801</v>
      </c>
      <c r="E4995" s="18">
        <v>8056095065358</v>
      </c>
      <c r="G4995" s="20" t="str">
        <f t="shared" si="231"/>
        <v xml:space="preserve"> MINIBOR         </v>
      </c>
      <c r="H4995" s="20" t="str">
        <f t="shared" si="232"/>
        <v>FOULA</v>
      </c>
      <c r="I4995" s="20">
        <f t="shared" si="233"/>
        <v>0</v>
      </c>
    </row>
    <row r="4996" spans="1:9">
      <c r="A4996" s="17" t="s">
        <v>1920</v>
      </c>
      <c r="B4996" s="17" t="s">
        <v>1111</v>
      </c>
      <c r="C4996" s="17">
        <v>0</v>
      </c>
      <c r="D4996" s="17" t="s">
        <v>801</v>
      </c>
      <c r="E4996" s="18">
        <v>3002631101009</v>
      </c>
      <c r="G4996" s="20" t="str">
        <f t="shared" si="231"/>
        <v xml:space="preserve"> MINIBOR         </v>
      </c>
      <c r="H4996" s="20" t="str">
        <f t="shared" si="232"/>
        <v>GRBLU</v>
      </c>
      <c r="I4996" s="20">
        <f t="shared" si="233"/>
        <v>0</v>
      </c>
    </row>
    <row r="4997" spans="1:9">
      <c r="A4997" s="17" t="s">
        <v>1920</v>
      </c>
      <c r="B4997" s="17" t="s">
        <v>1111</v>
      </c>
      <c r="C4997" s="17">
        <v>0</v>
      </c>
      <c r="D4997" s="17" t="s">
        <v>801</v>
      </c>
      <c r="E4997" s="18">
        <v>8056095063286</v>
      </c>
      <c r="G4997" s="20" t="str">
        <f t="shared" ref="G4997:G5060" si="234">A4997</f>
        <v xml:space="preserve"> MINIBOR         </v>
      </c>
      <c r="H4997" s="20" t="str">
        <f t="shared" ref="H4997:H5060" si="235">B4997</f>
        <v>GRBLU</v>
      </c>
      <c r="I4997" s="20">
        <f t="shared" ref="I4997:I5060" si="236">C4997</f>
        <v>0</v>
      </c>
    </row>
    <row r="4998" spans="1:9">
      <c r="A4998" s="17" t="s">
        <v>1920</v>
      </c>
      <c r="B4998" s="17" t="s">
        <v>1609</v>
      </c>
      <c r="C4998" s="17">
        <v>0</v>
      </c>
      <c r="D4998" s="17" t="s">
        <v>801</v>
      </c>
      <c r="E4998" s="18">
        <v>8056095063293</v>
      </c>
      <c r="G4998" s="20" t="str">
        <f t="shared" si="234"/>
        <v xml:space="preserve"> MINIBOR         </v>
      </c>
      <c r="H4998" s="20" t="str">
        <f t="shared" si="235"/>
        <v>GRSAL</v>
      </c>
      <c r="I4998" s="20">
        <f t="shared" si="236"/>
        <v>0</v>
      </c>
    </row>
    <row r="4999" spans="1:9">
      <c r="A4999" s="17" t="s">
        <v>1920</v>
      </c>
      <c r="B4999" s="17" t="s">
        <v>1609</v>
      </c>
      <c r="C4999" s="17">
        <v>0</v>
      </c>
      <c r="D4999" s="17" t="s">
        <v>801</v>
      </c>
      <c r="E4999" s="18">
        <v>3002631117000</v>
      </c>
      <c r="G4999" s="20" t="str">
        <f t="shared" si="234"/>
        <v xml:space="preserve"> MINIBOR         </v>
      </c>
      <c r="H4999" s="20" t="str">
        <f t="shared" si="235"/>
        <v>GRSAL</v>
      </c>
      <c r="I4999" s="20">
        <f t="shared" si="236"/>
        <v>0</v>
      </c>
    </row>
    <row r="5000" spans="1:9">
      <c r="A5000" s="17" t="s">
        <v>1920</v>
      </c>
      <c r="B5000" s="17" t="s">
        <v>1566</v>
      </c>
      <c r="C5000" s="17">
        <v>0</v>
      </c>
      <c r="D5000" s="17" t="s">
        <v>801</v>
      </c>
      <c r="E5000" s="18">
        <v>8056095063279</v>
      </c>
      <c r="G5000" s="20" t="str">
        <f t="shared" si="234"/>
        <v xml:space="preserve"> MINIBOR         </v>
      </c>
      <c r="H5000" s="20" t="str">
        <f t="shared" si="235"/>
        <v>GRVER</v>
      </c>
      <c r="I5000" s="20">
        <f t="shared" si="236"/>
        <v>0</v>
      </c>
    </row>
    <row r="5001" spans="1:9">
      <c r="A5001" s="17" t="s">
        <v>1920</v>
      </c>
      <c r="B5001" s="17" t="s">
        <v>1566</v>
      </c>
      <c r="C5001" s="17">
        <v>0</v>
      </c>
      <c r="D5001" s="17" t="s">
        <v>801</v>
      </c>
      <c r="E5001" s="18">
        <v>3002631116003</v>
      </c>
      <c r="G5001" s="20" t="str">
        <f t="shared" si="234"/>
        <v xml:space="preserve"> MINIBOR         </v>
      </c>
      <c r="H5001" s="20" t="str">
        <f t="shared" si="235"/>
        <v>GRVER</v>
      </c>
      <c r="I5001" s="20">
        <f t="shared" si="236"/>
        <v>0</v>
      </c>
    </row>
    <row r="5002" spans="1:9">
      <c r="A5002" s="17" t="s">
        <v>1920</v>
      </c>
      <c r="B5002" s="17" t="s">
        <v>1039</v>
      </c>
      <c r="C5002" s="17">
        <v>0</v>
      </c>
      <c r="D5002" s="17" t="s">
        <v>801</v>
      </c>
      <c r="E5002" s="18">
        <v>8056099177613</v>
      </c>
      <c r="G5002" s="20" t="str">
        <f t="shared" si="234"/>
        <v xml:space="preserve"> MINIBOR         </v>
      </c>
      <c r="H5002" s="20" t="str">
        <f t="shared" si="235"/>
        <v>JACBL</v>
      </c>
      <c r="I5002" s="20">
        <f t="shared" si="236"/>
        <v>0</v>
      </c>
    </row>
    <row r="5003" spans="1:9">
      <c r="A5003" s="17" t="s">
        <v>1920</v>
      </c>
      <c r="B5003" s="17" t="s">
        <v>1040</v>
      </c>
      <c r="C5003" s="17">
        <v>0</v>
      </c>
      <c r="D5003" s="17" t="s">
        <v>801</v>
      </c>
      <c r="E5003" s="18">
        <v>8056099179983</v>
      </c>
      <c r="G5003" s="20" t="str">
        <f t="shared" si="234"/>
        <v xml:space="preserve"> MINIBOR         </v>
      </c>
      <c r="H5003" s="20" t="str">
        <f t="shared" si="235"/>
        <v>JACRO</v>
      </c>
      <c r="I5003" s="20">
        <f t="shared" si="236"/>
        <v>0</v>
      </c>
    </row>
    <row r="5004" spans="1:9">
      <c r="A5004" s="17" t="s">
        <v>1920</v>
      </c>
      <c r="B5004" s="17" t="s">
        <v>1360</v>
      </c>
      <c r="C5004" s="17">
        <v>0</v>
      </c>
      <c r="D5004" s="17" t="s">
        <v>801</v>
      </c>
      <c r="E5004" s="18">
        <v>8056099171116</v>
      </c>
      <c r="G5004" s="20" t="str">
        <f t="shared" si="234"/>
        <v xml:space="preserve"> MINIBOR         </v>
      </c>
      <c r="H5004" s="20" t="str">
        <f t="shared" si="235"/>
        <v xml:space="preserve">JUGR </v>
      </c>
      <c r="I5004" s="20">
        <f t="shared" si="236"/>
        <v>0</v>
      </c>
    </row>
    <row r="5005" spans="1:9">
      <c r="A5005" s="17" t="s">
        <v>1920</v>
      </c>
      <c r="B5005" s="17" t="s">
        <v>1361</v>
      </c>
      <c r="C5005" s="17">
        <v>0</v>
      </c>
      <c r="D5005" s="17" t="s">
        <v>801</v>
      </c>
      <c r="E5005" s="18">
        <v>8056099170966</v>
      </c>
      <c r="G5005" s="20" t="str">
        <f t="shared" si="234"/>
        <v xml:space="preserve"> MINIBOR         </v>
      </c>
      <c r="H5005" s="20" t="str">
        <f t="shared" si="235"/>
        <v>JUNAT</v>
      </c>
      <c r="I5005" s="20">
        <f t="shared" si="236"/>
        <v>0</v>
      </c>
    </row>
    <row r="5006" spans="1:9">
      <c r="A5006" s="17" t="s">
        <v>1920</v>
      </c>
      <c r="B5006" s="17" t="s">
        <v>1363</v>
      </c>
      <c r="C5006" s="17">
        <v>0</v>
      </c>
      <c r="D5006" s="17" t="s">
        <v>801</v>
      </c>
      <c r="E5006" s="18">
        <v>8056099170973</v>
      </c>
      <c r="G5006" s="20" t="str">
        <f t="shared" si="234"/>
        <v xml:space="preserve"> MINIBOR         </v>
      </c>
      <c r="H5006" s="20" t="str">
        <f t="shared" si="235"/>
        <v>JUOCR</v>
      </c>
      <c r="I5006" s="20">
        <f t="shared" si="236"/>
        <v>0</v>
      </c>
    </row>
    <row r="5007" spans="1:9">
      <c r="A5007" s="17" t="s">
        <v>1920</v>
      </c>
      <c r="B5007" s="17" t="s">
        <v>1365</v>
      </c>
      <c r="C5007" s="17">
        <v>0</v>
      </c>
      <c r="D5007" s="17" t="s">
        <v>801</v>
      </c>
      <c r="E5007" s="18">
        <v>8050538595297</v>
      </c>
      <c r="G5007" s="20" t="str">
        <f t="shared" si="234"/>
        <v xml:space="preserve"> MINIBOR         </v>
      </c>
      <c r="H5007" s="20" t="str">
        <f t="shared" si="235"/>
        <v>KALAU</v>
      </c>
      <c r="I5007" s="20">
        <f t="shared" si="236"/>
        <v>0</v>
      </c>
    </row>
    <row r="5008" spans="1:9">
      <c r="A5008" s="17" t="s">
        <v>1920</v>
      </c>
      <c r="B5008" s="17" t="s">
        <v>1366</v>
      </c>
      <c r="C5008" s="17">
        <v>0</v>
      </c>
      <c r="D5008" s="17" t="s">
        <v>801</v>
      </c>
      <c r="E5008" s="18">
        <v>8050538595303</v>
      </c>
      <c r="G5008" s="20" t="str">
        <f t="shared" si="234"/>
        <v xml:space="preserve"> MINIBOR         </v>
      </c>
      <c r="H5008" s="20" t="str">
        <f t="shared" si="235"/>
        <v>KALOT</v>
      </c>
      <c r="I5008" s="20">
        <f t="shared" si="236"/>
        <v>0</v>
      </c>
    </row>
    <row r="5009" spans="1:9">
      <c r="A5009" s="17" t="s">
        <v>1920</v>
      </c>
      <c r="B5009" s="17" t="s">
        <v>1934</v>
      </c>
      <c r="C5009" s="17">
        <v>0</v>
      </c>
      <c r="D5009" s="17" t="s">
        <v>801</v>
      </c>
      <c r="E5009" s="18">
        <v>3004270794000</v>
      </c>
      <c r="G5009" s="20" t="str">
        <f t="shared" si="234"/>
        <v xml:space="preserve"> MINIBOR         </v>
      </c>
      <c r="H5009" s="20" t="str">
        <f t="shared" si="235"/>
        <v>LABRU</v>
      </c>
      <c r="I5009" s="20">
        <f t="shared" si="236"/>
        <v>0</v>
      </c>
    </row>
    <row r="5010" spans="1:9">
      <c r="A5010" s="17" t="s">
        <v>1920</v>
      </c>
      <c r="B5010" s="17" t="s">
        <v>1935</v>
      </c>
      <c r="C5010" s="17">
        <v>0</v>
      </c>
      <c r="D5010" s="17" t="s">
        <v>801</v>
      </c>
      <c r="E5010" s="18">
        <v>3004270297006</v>
      </c>
      <c r="G5010" s="20" t="str">
        <f t="shared" si="234"/>
        <v xml:space="preserve"> MINIBOR         </v>
      </c>
      <c r="H5010" s="20" t="str">
        <f t="shared" si="235"/>
        <v>LAIBE</v>
      </c>
      <c r="I5010" s="20">
        <f t="shared" si="236"/>
        <v>0</v>
      </c>
    </row>
    <row r="5011" spans="1:9">
      <c r="A5011" s="17" t="s">
        <v>1920</v>
      </c>
      <c r="B5011" s="17" t="s">
        <v>1299</v>
      </c>
      <c r="C5011" s="17">
        <v>0</v>
      </c>
      <c r="D5011" s="17" t="s">
        <v>801</v>
      </c>
      <c r="E5011" s="18">
        <v>3004270343000</v>
      </c>
      <c r="G5011" s="20" t="str">
        <f t="shared" si="234"/>
        <v xml:space="preserve"> MINIBOR         </v>
      </c>
      <c r="H5011" s="20" t="str">
        <f t="shared" si="235"/>
        <v>LAIBL</v>
      </c>
      <c r="I5011" s="20">
        <f t="shared" si="236"/>
        <v>0</v>
      </c>
    </row>
    <row r="5012" spans="1:9">
      <c r="A5012" s="17" t="s">
        <v>1920</v>
      </c>
      <c r="B5012" s="17" t="s">
        <v>1515</v>
      </c>
      <c r="C5012" s="17">
        <v>0</v>
      </c>
      <c r="D5012" s="17" t="s">
        <v>801</v>
      </c>
      <c r="E5012" s="18">
        <v>3004270565006</v>
      </c>
      <c r="G5012" s="20" t="str">
        <f t="shared" si="234"/>
        <v xml:space="preserve"> MINIBOR         </v>
      </c>
      <c r="H5012" s="20" t="str">
        <f t="shared" si="235"/>
        <v>LAIBO</v>
      </c>
      <c r="I5012" s="20">
        <f t="shared" si="236"/>
        <v>0</v>
      </c>
    </row>
    <row r="5013" spans="1:9">
      <c r="A5013" s="17" t="s">
        <v>1920</v>
      </c>
      <c r="B5013" s="17" t="s">
        <v>1515</v>
      </c>
      <c r="C5013" s="17">
        <v>0</v>
      </c>
      <c r="D5013" s="17" t="s">
        <v>801</v>
      </c>
      <c r="E5013" s="18">
        <v>8058983597743</v>
      </c>
      <c r="G5013" s="20" t="str">
        <f t="shared" si="234"/>
        <v xml:space="preserve"> MINIBOR         </v>
      </c>
      <c r="H5013" s="20" t="str">
        <f t="shared" si="235"/>
        <v>LAIBO</v>
      </c>
      <c r="I5013" s="20">
        <f t="shared" si="236"/>
        <v>0</v>
      </c>
    </row>
    <row r="5014" spans="1:9">
      <c r="A5014" s="17" t="s">
        <v>1920</v>
      </c>
      <c r="B5014" s="17" t="s">
        <v>1936</v>
      </c>
      <c r="C5014" s="17">
        <v>0</v>
      </c>
      <c r="D5014" s="17" t="s">
        <v>801</v>
      </c>
      <c r="E5014" s="18">
        <v>3002630973003</v>
      </c>
      <c r="G5014" s="20" t="str">
        <f t="shared" si="234"/>
        <v xml:space="preserve"> MINIBOR         </v>
      </c>
      <c r="H5014" s="20" t="str">
        <f t="shared" si="235"/>
        <v>LAICR</v>
      </c>
      <c r="I5014" s="20">
        <f t="shared" si="236"/>
        <v>0</v>
      </c>
    </row>
    <row r="5015" spans="1:9">
      <c r="A5015" s="17" t="s">
        <v>1920</v>
      </c>
      <c r="B5015" s="17" t="s">
        <v>1936</v>
      </c>
      <c r="C5015" s="17">
        <v>0</v>
      </c>
      <c r="D5015" s="17" t="s">
        <v>801</v>
      </c>
      <c r="E5015" s="18">
        <v>8058983597729</v>
      </c>
      <c r="G5015" s="20" t="str">
        <f t="shared" si="234"/>
        <v xml:space="preserve"> MINIBOR         </v>
      </c>
      <c r="H5015" s="20" t="str">
        <f t="shared" si="235"/>
        <v>LAICR</v>
      </c>
      <c r="I5015" s="20">
        <f t="shared" si="236"/>
        <v>0</v>
      </c>
    </row>
    <row r="5016" spans="1:9">
      <c r="A5016" s="17" t="s">
        <v>1920</v>
      </c>
      <c r="B5016" s="17" t="s">
        <v>1936</v>
      </c>
      <c r="C5016" s="17">
        <v>0</v>
      </c>
      <c r="D5016" s="17" t="s">
        <v>801</v>
      </c>
      <c r="E5016" s="18">
        <v>3004270700001</v>
      </c>
      <c r="G5016" s="20" t="str">
        <f t="shared" si="234"/>
        <v xml:space="preserve"> MINIBOR         </v>
      </c>
      <c r="H5016" s="20" t="str">
        <f t="shared" si="235"/>
        <v>LAICR</v>
      </c>
      <c r="I5016" s="20">
        <f t="shared" si="236"/>
        <v>0</v>
      </c>
    </row>
    <row r="5017" spans="1:9">
      <c r="A5017" s="17" t="s">
        <v>1920</v>
      </c>
      <c r="B5017" s="17" t="s">
        <v>1321</v>
      </c>
      <c r="C5017" s="17">
        <v>0</v>
      </c>
      <c r="D5017" s="17" t="s">
        <v>801</v>
      </c>
      <c r="E5017" s="18">
        <v>3004270299000</v>
      </c>
      <c r="G5017" s="20" t="str">
        <f t="shared" si="234"/>
        <v xml:space="preserve"> MINIBOR         </v>
      </c>
      <c r="H5017" s="20" t="str">
        <f t="shared" si="235"/>
        <v>LAIDO</v>
      </c>
      <c r="I5017" s="20">
        <f t="shared" si="236"/>
        <v>0</v>
      </c>
    </row>
    <row r="5018" spans="1:9">
      <c r="A5018" s="17" t="s">
        <v>1920</v>
      </c>
      <c r="B5018" s="17" t="s">
        <v>1321</v>
      </c>
      <c r="C5018" s="17">
        <v>0</v>
      </c>
      <c r="D5018" s="17" t="s">
        <v>801</v>
      </c>
      <c r="E5018" s="18">
        <v>8058983597767</v>
      </c>
      <c r="G5018" s="20" t="str">
        <f t="shared" si="234"/>
        <v xml:space="preserve"> MINIBOR         </v>
      </c>
      <c r="H5018" s="20" t="str">
        <f t="shared" si="235"/>
        <v>LAIDO</v>
      </c>
      <c r="I5018" s="20">
        <f t="shared" si="236"/>
        <v>0</v>
      </c>
    </row>
    <row r="5019" spans="1:9">
      <c r="A5019" s="17" t="s">
        <v>1920</v>
      </c>
      <c r="B5019" s="17" t="s">
        <v>1516</v>
      </c>
      <c r="C5019" s="17">
        <v>0</v>
      </c>
      <c r="D5019" s="17" t="s">
        <v>801</v>
      </c>
      <c r="E5019" s="18">
        <v>3004270344007</v>
      </c>
      <c r="G5019" s="20" t="str">
        <f t="shared" si="234"/>
        <v xml:space="preserve"> MINIBOR         </v>
      </c>
      <c r="H5019" s="20" t="str">
        <f t="shared" si="235"/>
        <v>LAIGR</v>
      </c>
      <c r="I5019" s="20">
        <f t="shared" si="236"/>
        <v>0</v>
      </c>
    </row>
    <row r="5020" spans="1:9">
      <c r="A5020" s="17" t="s">
        <v>1920</v>
      </c>
      <c r="B5020" s="17" t="s">
        <v>1516</v>
      </c>
      <c r="C5020" s="17">
        <v>0</v>
      </c>
      <c r="D5020" s="17" t="s">
        <v>801</v>
      </c>
      <c r="E5020" s="18">
        <v>8058983597750</v>
      </c>
      <c r="G5020" s="20" t="str">
        <f t="shared" si="234"/>
        <v xml:space="preserve"> MINIBOR         </v>
      </c>
      <c r="H5020" s="20" t="str">
        <f t="shared" si="235"/>
        <v>LAIGR</v>
      </c>
      <c r="I5020" s="20">
        <f t="shared" si="236"/>
        <v>0</v>
      </c>
    </row>
    <row r="5021" spans="1:9">
      <c r="A5021" s="17" t="s">
        <v>1920</v>
      </c>
      <c r="B5021" s="17" t="s">
        <v>1937</v>
      </c>
      <c r="C5021" s="17">
        <v>0</v>
      </c>
      <c r="D5021" s="17" t="s">
        <v>801</v>
      </c>
      <c r="E5021" s="18">
        <v>3004270345004</v>
      </c>
      <c r="G5021" s="20" t="str">
        <f t="shared" si="234"/>
        <v xml:space="preserve"> MINIBOR         </v>
      </c>
      <c r="H5021" s="20" t="str">
        <f t="shared" si="235"/>
        <v>LAIMA</v>
      </c>
      <c r="I5021" s="20">
        <f t="shared" si="236"/>
        <v>0</v>
      </c>
    </row>
    <row r="5022" spans="1:9">
      <c r="A5022" s="17" t="s">
        <v>1920</v>
      </c>
      <c r="B5022" s="17" t="s">
        <v>1938</v>
      </c>
      <c r="C5022" s="17">
        <v>0</v>
      </c>
      <c r="D5022" s="17" t="s">
        <v>801</v>
      </c>
      <c r="E5022" s="18">
        <v>3004270590008</v>
      </c>
      <c r="G5022" s="20" t="str">
        <f t="shared" si="234"/>
        <v xml:space="preserve"> MINIBOR         </v>
      </c>
      <c r="H5022" s="20" t="str">
        <f t="shared" si="235"/>
        <v>LAINA</v>
      </c>
      <c r="I5022" s="20">
        <f t="shared" si="236"/>
        <v>0</v>
      </c>
    </row>
    <row r="5023" spans="1:9">
      <c r="A5023" s="17" t="s">
        <v>1920</v>
      </c>
      <c r="B5023" s="17" t="s">
        <v>1938</v>
      </c>
      <c r="C5023" s="17">
        <v>0</v>
      </c>
      <c r="D5023" s="17" t="s">
        <v>801</v>
      </c>
      <c r="E5023" s="18">
        <v>8058983597705</v>
      </c>
      <c r="G5023" s="20" t="str">
        <f t="shared" si="234"/>
        <v xml:space="preserve"> MINIBOR         </v>
      </c>
      <c r="H5023" s="20" t="str">
        <f t="shared" si="235"/>
        <v>LAINA</v>
      </c>
      <c r="I5023" s="20">
        <f t="shared" si="236"/>
        <v>0</v>
      </c>
    </row>
    <row r="5024" spans="1:9">
      <c r="A5024" s="17" t="s">
        <v>1920</v>
      </c>
      <c r="B5024" s="17" t="s">
        <v>1367</v>
      </c>
      <c r="C5024" s="17">
        <v>0</v>
      </c>
      <c r="D5024" s="17" t="s">
        <v>801</v>
      </c>
      <c r="E5024" s="18">
        <v>3004270300003</v>
      </c>
      <c r="G5024" s="20" t="str">
        <f t="shared" si="234"/>
        <v xml:space="preserve"> MINIBOR         </v>
      </c>
      <c r="H5024" s="20" t="str">
        <f t="shared" si="235"/>
        <v>LAINB</v>
      </c>
      <c r="I5024" s="20">
        <f t="shared" si="236"/>
        <v>0</v>
      </c>
    </row>
    <row r="5025" spans="1:9">
      <c r="A5025" s="17" t="s">
        <v>1920</v>
      </c>
      <c r="B5025" s="17" t="s">
        <v>1367</v>
      </c>
      <c r="C5025" s="17">
        <v>0</v>
      </c>
      <c r="D5025" s="17" t="s">
        <v>801</v>
      </c>
      <c r="E5025" s="18">
        <v>3004270298003</v>
      </c>
      <c r="G5025" s="20" t="str">
        <f t="shared" si="234"/>
        <v xml:space="preserve"> MINIBOR         </v>
      </c>
      <c r="H5025" s="20" t="str">
        <f t="shared" si="235"/>
        <v>LAINB</v>
      </c>
      <c r="I5025" s="20">
        <f t="shared" si="236"/>
        <v>0</v>
      </c>
    </row>
    <row r="5026" spans="1:9">
      <c r="A5026" s="17" t="s">
        <v>1920</v>
      </c>
      <c r="B5026" s="17" t="s">
        <v>1322</v>
      </c>
      <c r="C5026" s="17">
        <v>0</v>
      </c>
      <c r="D5026" s="17" t="s">
        <v>801</v>
      </c>
      <c r="E5026" s="18">
        <v>3002630298007</v>
      </c>
      <c r="G5026" s="20" t="str">
        <f t="shared" si="234"/>
        <v xml:space="preserve"> MINIBOR         </v>
      </c>
      <c r="H5026" s="20" t="str">
        <f t="shared" si="235"/>
        <v>LAINO</v>
      </c>
      <c r="I5026" s="20">
        <f t="shared" si="236"/>
        <v>0</v>
      </c>
    </row>
    <row r="5027" spans="1:9">
      <c r="A5027" s="17" t="s">
        <v>1920</v>
      </c>
      <c r="B5027" s="17" t="s">
        <v>1939</v>
      </c>
      <c r="C5027" s="17">
        <v>0</v>
      </c>
      <c r="D5027" s="17" t="s">
        <v>801</v>
      </c>
      <c r="E5027" s="18">
        <v>3004270537003</v>
      </c>
      <c r="G5027" s="20" t="str">
        <f t="shared" si="234"/>
        <v xml:space="preserve"> MINIBOR         </v>
      </c>
      <c r="H5027" s="20" t="str">
        <f t="shared" si="235"/>
        <v>LAINR</v>
      </c>
      <c r="I5027" s="20">
        <f t="shared" si="236"/>
        <v>0</v>
      </c>
    </row>
    <row r="5028" spans="1:9">
      <c r="A5028" s="17" t="s">
        <v>1920</v>
      </c>
      <c r="B5028" s="17" t="s">
        <v>1940</v>
      </c>
      <c r="C5028" s="17">
        <v>0</v>
      </c>
      <c r="D5028" s="17" t="s">
        <v>801</v>
      </c>
      <c r="E5028" s="18">
        <v>3004270591005</v>
      </c>
      <c r="G5028" s="20" t="str">
        <f t="shared" si="234"/>
        <v xml:space="preserve"> MINIBOR         </v>
      </c>
      <c r="H5028" s="20" t="str">
        <f t="shared" si="235"/>
        <v>LAIOR</v>
      </c>
      <c r="I5028" s="20">
        <f t="shared" si="236"/>
        <v>0</v>
      </c>
    </row>
    <row r="5029" spans="1:9">
      <c r="A5029" s="17" t="s">
        <v>1920</v>
      </c>
      <c r="B5029" s="17" t="s">
        <v>1940</v>
      </c>
      <c r="C5029" s="17">
        <v>0</v>
      </c>
      <c r="D5029" s="17" t="s">
        <v>801</v>
      </c>
      <c r="E5029" s="18">
        <v>8058983597712</v>
      </c>
      <c r="G5029" s="20" t="str">
        <f t="shared" si="234"/>
        <v xml:space="preserve"> MINIBOR         </v>
      </c>
      <c r="H5029" s="20" t="str">
        <f t="shared" si="235"/>
        <v>LAIOR</v>
      </c>
      <c r="I5029" s="20">
        <f t="shared" si="236"/>
        <v>0</v>
      </c>
    </row>
    <row r="5030" spans="1:9">
      <c r="A5030" s="17" t="s">
        <v>1920</v>
      </c>
      <c r="B5030" s="17" t="s">
        <v>1301</v>
      </c>
      <c r="C5030" s="17">
        <v>0</v>
      </c>
      <c r="D5030" s="17" t="s">
        <v>801</v>
      </c>
      <c r="E5030" s="18">
        <v>3004270550002</v>
      </c>
      <c r="G5030" s="20" t="str">
        <f t="shared" si="234"/>
        <v xml:space="preserve"> MINIBOR         </v>
      </c>
      <c r="H5030" s="20" t="str">
        <f t="shared" si="235"/>
        <v>LAIOT</v>
      </c>
      <c r="I5030" s="20">
        <f t="shared" si="236"/>
        <v>0</v>
      </c>
    </row>
    <row r="5031" spans="1:9">
      <c r="A5031" s="17" t="s">
        <v>1920</v>
      </c>
      <c r="B5031" s="17" t="s">
        <v>1368</v>
      </c>
      <c r="C5031" s="17">
        <v>0</v>
      </c>
      <c r="D5031" s="17" t="s">
        <v>801</v>
      </c>
      <c r="E5031" s="18">
        <v>8050846012882</v>
      </c>
      <c r="G5031" s="20" t="str">
        <f t="shared" si="234"/>
        <v xml:space="preserve"> MINIBOR         </v>
      </c>
      <c r="H5031" s="20" t="str">
        <f t="shared" si="235"/>
        <v>LAIPH</v>
      </c>
      <c r="I5031" s="20">
        <f t="shared" si="236"/>
        <v>0</v>
      </c>
    </row>
    <row r="5032" spans="1:9">
      <c r="A5032" s="17" t="s">
        <v>1920</v>
      </c>
      <c r="B5032" s="17" t="s">
        <v>1777</v>
      </c>
      <c r="C5032" s="17">
        <v>0</v>
      </c>
      <c r="D5032" s="17" t="s">
        <v>801</v>
      </c>
      <c r="E5032" s="18">
        <v>3004270658005</v>
      </c>
      <c r="G5032" s="20" t="str">
        <f t="shared" si="234"/>
        <v xml:space="preserve"> MINIBOR         </v>
      </c>
      <c r="H5032" s="20" t="str">
        <f t="shared" si="235"/>
        <v>LAIPO</v>
      </c>
      <c r="I5032" s="20">
        <f t="shared" si="236"/>
        <v>0</v>
      </c>
    </row>
    <row r="5033" spans="1:9">
      <c r="A5033" s="17" t="s">
        <v>1920</v>
      </c>
      <c r="B5033" s="17" t="s">
        <v>1941</v>
      </c>
      <c r="C5033" s="17">
        <v>0</v>
      </c>
      <c r="D5033" s="17" t="s">
        <v>801</v>
      </c>
      <c r="E5033" s="18">
        <v>3004270592002</v>
      </c>
      <c r="G5033" s="20" t="str">
        <f t="shared" si="234"/>
        <v xml:space="preserve"> MINIBOR         </v>
      </c>
      <c r="H5033" s="20" t="str">
        <f t="shared" si="235"/>
        <v>LAIVE</v>
      </c>
      <c r="I5033" s="20">
        <f t="shared" si="236"/>
        <v>0</v>
      </c>
    </row>
    <row r="5034" spans="1:9">
      <c r="A5034" s="17" t="s">
        <v>1920</v>
      </c>
      <c r="B5034" s="17" t="s">
        <v>1941</v>
      </c>
      <c r="C5034" s="17">
        <v>0</v>
      </c>
      <c r="D5034" s="17" t="s">
        <v>801</v>
      </c>
      <c r="E5034" s="18">
        <v>8058983597736</v>
      </c>
      <c r="G5034" s="20" t="str">
        <f t="shared" si="234"/>
        <v xml:space="preserve"> MINIBOR         </v>
      </c>
      <c r="H5034" s="20" t="str">
        <f t="shared" si="235"/>
        <v>LAIVE</v>
      </c>
      <c r="I5034" s="20">
        <f t="shared" si="236"/>
        <v>0</v>
      </c>
    </row>
    <row r="5035" spans="1:9">
      <c r="A5035" s="17" t="s">
        <v>1920</v>
      </c>
      <c r="B5035" s="17" t="s">
        <v>1942</v>
      </c>
      <c r="C5035" s="17">
        <v>0</v>
      </c>
      <c r="D5035" s="17" t="s">
        <v>801</v>
      </c>
      <c r="E5035" s="18">
        <v>3004270699008</v>
      </c>
      <c r="G5035" s="20" t="str">
        <f t="shared" si="234"/>
        <v xml:space="preserve"> MINIBOR         </v>
      </c>
      <c r="H5035" s="20" t="str">
        <f t="shared" si="235"/>
        <v xml:space="preserve">LAIW </v>
      </c>
      <c r="I5035" s="20">
        <f t="shared" si="236"/>
        <v>0</v>
      </c>
    </row>
    <row r="5036" spans="1:9">
      <c r="A5036" s="17" t="s">
        <v>1920</v>
      </c>
      <c r="B5036" s="17" t="s">
        <v>1137</v>
      </c>
      <c r="C5036" s="17">
        <v>0</v>
      </c>
      <c r="D5036" s="17" t="s">
        <v>801</v>
      </c>
      <c r="E5036" s="18">
        <v>8056095064405</v>
      </c>
      <c r="G5036" s="20" t="str">
        <f t="shared" si="234"/>
        <v xml:space="preserve"> MINIBOR         </v>
      </c>
      <c r="H5036" s="20" t="str">
        <f t="shared" si="235"/>
        <v>LIEBL</v>
      </c>
      <c r="I5036" s="20">
        <f t="shared" si="236"/>
        <v>0</v>
      </c>
    </row>
    <row r="5037" spans="1:9">
      <c r="A5037" s="17" t="s">
        <v>1920</v>
      </c>
      <c r="B5037" s="17" t="s">
        <v>1137</v>
      </c>
      <c r="C5037" s="17">
        <v>0</v>
      </c>
      <c r="D5037" s="17" t="s">
        <v>801</v>
      </c>
      <c r="E5037" s="18">
        <v>3002631095001</v>
      </c>
      <c r="G5037" s="20" t="str">
        <f t="shared" si="234"/>
        <v xml:space="preserve"> MINIBOR         </v>
      </c>
      <c r="H5037" s="20" t="str">
        <f t="shared" si="235"/>
        <v>LIEBL</v>
      </c>
      <c r="I5037" s="20">
        <f t="shared" si="236"/>
        <v>0</v>
      </c>
    </row>
    <row r="5038" spans="1:9">
      <c r="A5038" s="17" t="s">
        <v>1920</v>
      </c>
      <c r="B5038" s="17" t="s">
        <v>1372</v>
      </c>
      <c r="C5038" s="17">
        <v>0</v>
      </c>
      <c r="D5038" s="17" t="s">
        <v>801</v>
      </c>
      <c r="E5038" s="18">
        <v>3002631114009</v>
      </c>
      <c r="G5038" s="20" t="str">
        <f t="shared" si="234"/>
        <v xml:space="preserve"> MINIBOR         </v>
      </c>
      <c r="H5038" s="20" t="str">
        <f t="shared" si="235"/>
        <v>LINPH</v>
      </c>
      <c r="I5038" s="20">
        <f t="shared" si="236"/>
        <v>0</v>
      </c>
    </row>
    <row r="5039" spans="1:9">
      <c r="A5039" s="17" t="s">
        <v>1920</v>
      </c>
      <c r="B5039" s="17" t="s">
        <v>1372</v>
      </c>
      <c r="C5039" s="17">
        <v>0</v>
      </c>
      <c r="D5039" s="17" t="s">
        <v>801</v>
      </c>
      <c r="E5039" s="18">
        <v>8056095064917</v>
      </c>
      <c r="G5039" s="20" t="str">
        <f t="shared" si="234"/>
        <v xml:space="preserve"> MINIBOR         </v>
      </c>
      <c r="H5039" s="20" t="str">
        <f t="shared" si="235"/>
        <v>LINPH</v>
      </c>
      <c r="I5039" s="20">
        <f t="shared" si="236"/>
        <v>0</v>
      </c>
    </row>
    <row r="5040" spans="1:9">
      <c r="A5040" s="17" t="s">
        <v>1920</v>
      </c>
      <c r="B5040" s="17" t="s">
        <v>1483</v>
      </c>
      <c r="C5040" s="17">
        <v>0</v>
      </c>
      <c r="D5040" s="17" t="s">
        <v>801</v>
      </c>
      <c r="E5040" s="18">
        <v>3002631123001</v>
      </c>
      <c r="G5040" s="20" t="str">
        <f t="shared" si="234"/>
        <v xml:space="preserve"> MINIBOR         </v>
      </c>
      <c r="H5040" s="20" t="str">
        <f t="shared" si="235"/>
        <v>LINTO</v>
      </c>
      <c r="I5040" s="20">
        <f t="shared" si="236"/>
        <v>0</v>
      </c>
    </row>
    <row r="5041" spans="1:9">
      <c r="A5041" s="17" t="s">
        <v>1920</v>
      </c>
      <c r="B5041" s="17" t="s">
        <v>1483</v>
      </c>
      <c r="C5041" s="17">
        <v>0</v>
      </c>
      <c r="D5041" s="17" t="s">
        <v>801</v>
      </c>
      <c r="E5041" s="18">
        <v>8056095064924</v>
      </c>
      <c r="G5041" s="20" t="str">
        <f t="shared" si="234"/>
        <v xml:space="preserve"> MINIBOR         </v>
      </c>
      <c r="H5041" s="20" t="str">
        <f t="shared" si="235"/>
        <v>LINTO</v>
      </c>
      <c r="I5041" s="20">
        <f t="shared" si="236"/>
        <v>0</v>
      </c>
    </row>
    <row r="5042" spans="1:9">
      <c r="A5042" s="17" t="s">
        <v>1920</v>
      </c>
      <c r="B5042" s="17" t="s">
        <v>1375</v>
      </c>
      <c r="C5042" s="17">
        <v>0</v>
      </c>
      <c r="D5042" s="17" t="s">
        <v>801</v>
      </c>
      <c r="E5042" s="18">
        <v>3002630507000</v>
      </c>
      <c r="G5042" s="20" t="str">
        <f t="shared" si="234"/>
        <v xml:space="preserve"> MINIBOR         </v>
      </c>
      <c r="H5042" s="20" t="str">
        <f t="shared" si="235"/>
        <v xml:space="preserve">MATB </v>
      </c>
      <c r="I5042" s="20">
        <f t="shared" si="236"/>
        <v>0</v>
      </c>
    </row>
    <row r="5043" spans="1:9">
      <c r="A5043" s="17" t="s">
        <v>1920</v>
      </c>
      <c r="B5043" s="17" t="s">
        <v>1376</v>
      </c>
      <c r="C5043" s="17">
        <v>0</v>
      </c>
      <c r="D5043" s="17" t="s">
        <v>801</v>
      </c>
      <c r="E5043" s="18">
        <v>8050846012851</v>
      </c>
      <c r="G5043" s="20" t="str">
        <f t="shared" si="234"/>
        <v xml:space="preserve"> MINIBOR         </v>
      </c>
      <c r="H5043" s="20" t="str">
        <f t="shared" si="235"/>
        <v>MATBD</v>
      </c>
      <c r="I5043" s="20">
        <f t="shared" si="236"/>
        <v>0</v>
      </c>
    </row>
    <row r="5044" spans="1:9">
      <c r="A5044" s="17" t="s">
        <v>1920</v>
      </c>
      <c r="B5044" s="17" t="s">
        <v>1377</v>
      </c>
      <c r="C5044" s="17">
        <v>0</v>
      </c>
      <c r="D5044" s="17" t="s">
        <v>801</v>
      </c>
      <c r="E5044" s="18">
        <v>3002631406005</v>
      </c>
      <c r="G5044" s="20" t="str">
        <f t="shared" si="234"/>
        <v xml:space="preserve"> MINIBOR         </v>
      </c>
      <c r="H5044" s="20" t="str">
        <f t="shared" si="235"/>
        <v>MATBL</v>
      </c>
      <c r="I5044" s="20">
        <f t="shared" si="236"/>
        <v>0</v>
      </c>
    </row>
    <row r="5045" spans="1:9">
      <c r="A5045" s="17" t="s">
        <v>1920</v>
      </c>
      <c r="B5045" s="17" t="s">
        <v>1378</v>
      </c>
      <c r="C5045" s="17">
        <v>0</v>
      </c>
      <c r="D5045" s="17" t="s">
        <v>801</v>
      </c>
      <c r="E5045" s="18">
        <v>8050846001350</v>
      </c>
      <c r="G5045" s="20" t="str">
        <f t="shared" si="234"/>
        <v xml:space="preserve"> MINIBOR         </v>
      </c>
      <c r="H5045" s="20" t="str">
        <f t="shared" si="235"/>
        <v>MATGR</v>
      </c>
      <c r="I5045" s="20">
        <f t="shared" si="236"/>
        <v>0</v>
      </c>
    </row>
    <row r="5046" spans="1:9">
      <c r="A5046" s="17" t="s">
        <v>1920</v>
      </c>
      <c r="B5046" s="17" t="s">
        <v>1378</v>
      </c>
      <c r="C5046" s="17">
        <v>0</v>
      </c>
      <c r="D5046" s="17" t="s">
        <v>801</v>
      </c>
      <c r="E5046" s="18">
        <v>8056099177088</v>
      </c>
      <c r="G5046" s="20" t="str">
        <f t="shared" si="234"/>
        <v xml:space="preserve"> MINIBOR         </v>
      </c>
      <c r="H5046" s="20" t="str">
        <f t="shared" si="235"/>
        <v>MATGR</v>
      </c>
      <c r="I5046" s="20">
        <f t="shared" si="236"/>
        <v>0</v>
      </c>
    </row>
    <row r="5047" spans="1:9">
      <c r="A5047" s="17" t="s">
        <v>1920</v>
      </c>
      <c r="B5047" s="17" t="s">
        <v>1382</v>
      </c>
      <c r="C5047" s="17">
        <v>0</v>
      </c>
      <c r="D5047" s="17" t="s">
        <v>801</v>
      </c>
      <c r="E5047" s="18">
        <v>8050846012868</v>
      </c>
      <c r="G5047" s="20" t="str">
        <f t="shared" si="234"/>
        <v xml:space="preserve"> MINIBOR         </v>
      </c>
      <c r="H5047" s="20" t="str">
        <f t="shared" si="235"/>
        <v>MATNO</v>
      </c>
      <c r="I5047" s="20">
        <f t="shared" si="236"/>
        <v>0</v>
      </c>
    </row>
    <row r="5048" spans="1:9">
      <c r="A5048" s="17" t="s">
        <v>1920</v>
      </c>
      <c r="B5048" s="17" t="s">
        <v>1554</v>
      </c>
      <c r="C5048" s="17">
        <v>0</v>
      </c>
      <c r="D5048" s="17" t="s">
        <v>801</v>
      </c>
      <c r="E5048" s="18">
        <v>8056099171000</v>
      </c>
      <c r="G5048" s="20" t="str">
        <f t="shared" si="234"/>
        <v xml:space="preserve"> MINIBOR         </v>
      </c>
      <c r="H5048" s="20" t="str">
        <f t="shared" si="235"/>
        <v>MOMBL</v>
      </c>
      <c r="I5048" s="20">
        <f t="shared" si="236"/>
        <v>0</v>
      </c>
    </row>
    <row r="5049" spans="1:9">
      <c r="A5049" s="17" t="s">
        <v>1920</v>
      </c>
      <c r="B5049" s="17" t="s">
        <v>1614</v>
      </c>
      <c r="C5049" s="17">
        <v>0</v>
      </c>
      <c r="D5049" s="17" t="s">
        <v>801</v>
      </c>
      <c r="E5049" s="18">
        <v>8056099171017</v>
      </c>
      <c r="G5049" s="20" t="str">
        <f t="shared" si="234"/>
        <v xml:space="preserve"> MINIBOR         </v>
      </c>
      <c r="H5049" s="20" t="str">
        <f t="shared" si="235"/>
        <v>MOMGR</v>
      </c>
      <c r="I5049" s="20">
        <f t="shared" si="236"/>
        <v>0</v>
      </c>
    </row>
    <row r="5050" spans="1:9">
      <c r="A5050" s="17" t="s">
        <v>1920</v>
      </c>
      <c r="B5050" s="17" t="s">
        <v>1943</v>
      </c>
      <c r="C5050" s="17">
        <v>0</v>
      </c>
      <c r="D5050" s="17" t="s">
        <v>801</v>
      </c>
      <c r="E5050" s="18">
        <v>3004270278005</v>
      </c>
      <c r="G5050" s="20" t="str">
        <f t="shared" si="234"/>
        <v xml:space="preserve"> MINIBOR         </v>
      </c>
      <c r="H5050" s="20" t="str">
        <f t="shared" si="235"/>
        <v xml:space="preserve">MULB </v>
      </c>
      <c r="I5050" s="20">
        <f t="shared" si="236"/>
        <v>0</v>
      </c>
    </row>
    <row r="5051" spans="1:9">
      <c r="A5051" s="17" t="s">
        <v>1920</v>
      </c>
      <c r="B5051" s="17" t="s">
        <v>1944</v>
      </c>
      <c r="C5051" s="17">
        <v>0</v>
      </c>
      <c r="D5051" s="17" t="s">
        <v>801</v>
      </c>
      <c r="E5051" s="18">
        <v>3004270280008</v>
      </c>
      <c r="G5051" s="20" t="str">
        <f t="shared" si="234"/>
        <v xml:space="preserve"> MINIBOR         </v>
      </c>
      <c r="H5051" s="20" t="str">
        <f t="shared" si="235"/>
        <v xml:space="preserve">MULG </v>
      </c>
      <c r="I5051" s="20">
        <f t="shared" si="236"/>
        <v>0</v>
      </c>
    </row>
    <row r="5052" spans="1:9">
      <c r="A5052" s="17" t="s">
        <v>1920</v>
      </c>
      <c r="B5052" s="17" t="s">
        <v>1945</v>
      </c>
      <c r="C5052" s="17">
        <v>0</v>
      </c>
      <c r="D5052" s="17" t="s">
        <v>801</v>
      </c>
      <c r="E5052" s="18">
        <v>3004270279002</v>
      </c>
      <c r="G5052" s="20" t="str">
        <f t="shared" si="234"/>
        <v xml:space="preserve"> MINIBOR         </v>
      </c>
      <c r="H5052" s="20" t="str">
        <f t="shared" si="235"/>
        <v xml:space="preserve">MULV </v>
      </c>
      <c r="I5052" s="20">
        <f t="shared" si="236"/>
        <v>0</v>
      </c>
    </row>
    <row r="5053" spans="1:9">
      <c r="A5053" s="17" t="s">
        <v>1920</v>
      </c>
      <c r="B5053" s="17" t="s">
        <v>1234</v>
      </c>
      <c r="C5053" s="17">
        <v>0</v>
      </c>
      <c r="D5053" s="17" t="s">
        <v>801</v>
      </c>
      <c r="E5053" s="18">
        <v>3004270602008</v>
      </c>
      <c r="G5053" s="20" t="str">
        <f t="shared" si="234"/>
        <v xml:space="preserve"> MINIBOR         </v>
      </c>
      <c r="H5053" s="20" t="str">
        <f t="shared" si="235"/>
        <v>OLIVE</v>
      </c>
      <c r="I5053" s="20">
        <f t="shared" si="236"/>
        <v>0</v>
      </c>
    </row>
    <row r="5054" spans="1:9">
      <c r="A5054" s="17" t="s">
        <v>1920</v>
      </c>
      <c r="B5054" s="17" t="s">
        <v>815</v>
      </c>
      <c r="C5054" s="17">
        <v>0</v>
      </c>
      <c r="D5054" s="17" t="s">
        <v>801</v>
      </c>
      <c r="E5054" s="18">
        <v>8050538590254</v>
      </c>
      <c r="G5054" s="20" t="str">
        <f t="shared" si="234"/>
        <v xml:space="preserve"> MINIBOR         </v>
      </c>
      <c r="H5054" s="20" t="str">
        <f t="shared" si="235"/>
        <v>OPTWH</v>
      </c>
      <c r="I5054" s="20">
        <f t="shared" si="236"/>
        <v>0</v>
      </c>
    </row>
    <row r="5055" spans="1:9">
      <c r="A5055" s="17" t="s">
        <v>1920</v>
      </c>
      <c r="B5055" s="17" t="s">
        <v>1388</v>
      </c>
      <c r="C5055" s="17">
        <v>0</v>
      </c>
      <c r="D5055" s="17" t="s">
        <v>801</v>
      </c>
      <c r="E5055" s="18">
        <v>8050846012875</v>
      </c>
      <c r="G5055" s="20" t="str">
        <f t="shared" si="234"/>
        <v xml:space="preserve"> MINIBOR         </v>
      </c>
      <c r="H5055" s="20" t="str">
        <f t="shared" si="235"/>
        <v>ORIBL</v>
      </c>
      <c r="I5055" s="20">
        <f t="shared" si="236"/>
        <v>0</v>
      </c>
    </row>
    <row r="5056" spans="1:9">
      <c r="A5056" s="17" t="s">
        <v>1920</v>
      </c>
      <c r="B5056" s="17" t="s">
        <v>1946</v>
      </c>
      <c r="C5056" s="17">
        <v>0</v>
      </c>
      <c r="D5056" s="17" t="s">
        <v>801</v>
      </c>
      <c r="E5056" s="18">
        <v>3004270701008</v>
      </c>
      <c r="G5056" s="20" t="str">
        <f t="shared" si="234"/>
        <v xml:space="preserve"> MINIBOR         </v>
      </c>
      <c r="H5056" s="20" t="str">
        <f t="shared" si="235"/>
        <v xml:space="preserve">PDPB </v>
      </c>
      <c r="I5056" s="20">
        <f t="shared" si="236"/>
        <v>0</v>
      </c>
    </row>
    <row r="5057" spans="1:9">
      <c r="A5057" s="17" t="s">
        <v>1920</v>
      </c>
      <c r="B5057" s="17" t="s">
        <v>1487</v>
      </c>
      <c r="C5057" s="17">
        <v>0</v>
      </c>
      <c r="D5057" s="17" t="s">
        <v>801</v>
      </c>
      <c r="E5057" s="18">
        <v>3002631013005</v>
      </c>
      <c r="G5057" s="20" t="str">
        <f t="shared" si="234"/>
        <v xml:space="preserve"> MINIBOR         </v>
      </c>
      <c r="H5057" s="20" t="str">
        <f t="shared" si="235"/>
        <v>PDPBL</v>
      </c>
      <c r="I5057" s="20">
        <f t="shared" si="236"/>
        <v>0</v>
      </c>
    </row>
    <row r="5058" spans="1:9">
      <c r="A5058" s="17" t="s">
        <v>1920</v>
      </c>
      <c r="B5058" s="17" t="s">
        <v>1487</v>
      </c>
      <c r="C5058" s="17">
        <v>0</v>
      </c>
      <c r="D5058" s="17" t="s">
        <v>801</v>
      </c>
      <c r="E5058" s="18">
        <v>8056300453604</v>
      </c>
      <c r="G5058" s="20" t="str">
        <f t="shared" si="234"/>
        <v xml:space="preserve"> MINIBOR         </v>
      </c>
      <c r="H5058" s="20" t="str">
        <f t="shared" si="235"/>
        <v>PDPBL</v>
      </c>
      <c r="I5058" s="20">
        <f t="shared" si="236"/>
        <v>0</v>
      </c>
    </row>
    <row r="5059" spans="1:9">
      <c r="A5059" s="17" t="s">
        <v>1920</v>
      </c>
      <c r="B5059" s="17" t="s">
        <v>1303</v>
      </c>
      <c r="C5059" s="17">
        <v>0</v>
      </c>
      <c r="D5059" s="17" t="s">
        <v>801</v>
      </c>
      <c r="E5059" s="18">
        <v>3002631039005</v>
      </c>
      <c r="G5059" s="20" t="str">
        <f t="shared" si="234"/>
        <v xml:space="preserve"> MINIBOR         </v>
      </c>
      <c r="H5059" s="20" t="str">
        <f t="shared" si="235"/>
        <v>PDPBU</v>
      </c>
      <c r="I5059" s="20">
        <f t="shared" si="236"/>
        <v>0</v>
      </c>
    </row>
    <row r="5060" spans="1:9">
      <c r="A5060" s="17" t="s">
        <v>1920</v>
      </c>
      <c r="B5060" s="17" t="s">
        <v>1303</v>
      </c>
      <c r="C5060" s="17">
        <v>0</v>
      </c>
      <c r="D5060" s="17" t="s">
        <v>801</v>
      </c>
      <c r="E5060" s="18">
        <v>8056300453611</v>
      </c>
      <c r="G5060" s="20" t="str">
        <f t="shared" si="234"/>
        <v xml:space="preserve"> MINIBOR         </v>
      </c>
      <c r="H5060" s="20" t="str">
        <f t="shared" si="235"/>
        <v>PDPBU</v>
      </c>
      <c r="I5060" s="20">
        <f t="shared" si="236"/>
        <v>0</v>
      </c>
    </row>
    <row r="5061" spans="1:9">
      <c r="A5061" s="17" t="s">
        <v>1920</v>
      </c>
      <c r="B5061" s="17" t="s">
        <v>1304</v>
      </c>
      <c r="C5061" s="17">
        <v>0</v>
      </c>
      <c r="D5061" s="17" t="s">
        <v>801</v>
      </c>
      <c r="E5061" s="18">
        <v>3002631014002</v>
      </c>
      <c r="G5061" s="20" t="str">
        <f t="shared" ref="G5061:G5124" si="237">A5061</f>
        <v xml:space="preserve"> MINIBOR         </v>
      </c>
      <c r="H5061" s="20" t="str">
        <f t="shared" ref="H5061:H5124" si="238">B5061</f>
        <v>PDPRU</v>
      </c>
      <c r="I5061" s="20">
        <f t="shared" ref="I5061:I5124" si="239">C5061</f>
        <v>0</v>
      </c>
    </row>
    <row r="5062" spans="1:9">
      <c r="A5062" s="17" t="s">
        <v>1920</v>
      </c>
      <c r="B5062" s="17" t="s">
        <v>1304</v>
      </c>
      <c r="C5062" s="17">
        <v>0</v>
      </c>
      <c r="D5062" s="17" t="s">
        <v>801</v>
      </c>
      <c r="E5062" s="18">
        <v>3004270673008</v>
      </c>
      <c r="G5062" s="20" t="str">
        <f t="shared" si="237"/>
        <v xml:space="preserve"> MINIBOR         </v>
      </c>
      <c r="H5062" s="20" t="str">
        <f t="shared" si="238"/>
        <v>PDPRU</v>
      </c>
      <c r="I5062" s="20">
        <f t="shared" si="239"/>
        <v>0</v>
      </c>
    </row>
    <row r="5063" spans="1:9">
      <c r="A5063" s="17" t="s">
        <v>1920</v>
      </c>
      <c r="B5063" s="17" t="s">
        <v>1304</v>
      </c>
      <c r="C5063" s="17">
        <v>0</v>
      </c>
      <c r="D5063" s="17" t="s">
        <v>801</v>
      </c>
      <c r="E5063" s="18">
        <v>8056300453628</v>
      </c>
      <c r="G5063" s="20" t="str">
        <f t="shared" si="237"/>
        <v xml:space="preserve"> MINIBOR         </v>
      </c>
      <c r="H5063" s="20" t="str">
        <f t="shared" si="238"/>
        <v>PDPRU</v>
      </c>
      <c r="I5063" s="20">
        <f t="shared" si="239"/>
        <v>0</v>
      </c>
    </row>
    <row r="5064" spans="1:9">
      <c r="A5064" s="17" t="s">
        <v>1920</v>
      </c>
      <c r="B5064" s="17" t="s">
        <v>1490</v>
      </c>
      <c r="C5064" s="17">
        <v>0</v>
      </c>
      <c r="D5064" s="17" t="s">
        <v>801</v>
      </c>
      <c r="E5064" s="18">
        <v>8056099176883</v>
      </c>
      <c r="G5064" s="20" t="str">
        <f t="shared" si="237"/>
        <v xml:space="preserve"> MINIBOR         </v>
      </c>
      <c r="H5064" s="20" t="str">
        <f t="shared" si="238"/>
        <v>POISR</v>
      </c>
      <c r="I5064" s="20">
        <f t="shared" si="239"/>
        <v>0</v>
      </c>
    </row>
    <row r="5065" spans="1:9">
      <c r="A5065" s="17" t="s">
        <v>1920</v>
      </c>
      <c r="B5065" s="17" t="s">
        <v>1947</v>
      </c>
      <c r="C5065" s="17">
        <v>0</v>
      </c>
      <c r="D5065" s="17" t="s">
        <v>801</v>
      </c>
      <c r="E5065" s="18">
        <v>3002630571001</v>
      </c>
      <c r="G5065" s="20" t="str">
        <f t="shared" si="237"/>
        <v xml:space="preserve"> MINIBOR         </v>
      </c>
      <c r="H5065" s="20" t="str">
        <f t="shared" si="238"/>
        <v>POMBE</v>
      </c>
      <c r="I5065" s="20">
        <f t="shared" si="239"/>
        <v>0</v>
      </c>
    </row>
    <row r="5066" spans="1:9">
      <c r="A5066" s="17" t="s">
        <v>1920</v>
      </c>
      <c r="B5066" s="17" t="s">
        <v>1948</v>
      </c>
      <c r="C5066" s="17">
        <v>0</v>
      </c>
      <c r="D5066" s="17" t="s">
        <v>801</v>
      </c>
      <c r="E5066" s="18">
        <v>3002630573005</v>
      </c>
      <c r="G5066" s="20" t="str">
        <f t="shared" si="237"/>
        <v xml:space="preserve"> MINIBOR         </v>
      </c>
      <c r="H5066" s="20" t="str">
        <f t="shared" si="238"/>
        <v>POMMA</v>
      </c>
      <c r="I5066" s="20">
        <f t="shared" si="239"/>
        <v>0</v>
      </c>
    </row>
    <row r="5067" spans="1:9">
      <c r="A5067" s="17" t="s">
        <v>1920</v>
      </c>
      <c r="B5067" s="17" t="s">
        <v>1949</v>
      </c>
      <c r="C5067" s="17">
        <v>0</v>
      </c>
      <c r="D5067" s="17" t="s">
        <v>801</v>
      </c>
      <c r="E5067" s="18">
        <v>3002630572008</v>
      </c>
      <c r="G5067" s="20" t="str">
        <f t="shared" si="237"/>
        <v xml:space="preserve"> MINIBOR         </v>
      </c>
      <c r="H5067" s="20" t="str">
        <f t="shared" si="238"/>
        <v>POMNO</v>
      </c>
      <c r="I5067" s="20">
        <f t="shared" si="239"/>
        <v>0</v>
      </c>
    </row>
    <row r="5068" spans="1:9">
      <c r="A5068" s="17" t="s">
        <v>1920</v>
      </c>
      <c r="B5068" s="17" t="s">
        <v>1950</v>
      </c>
      <c r="C5068" s="17">
        <v>0</v>
      </c>
      <c r="D5068" s="17" t="s">
        <v>801</v>
      </c>
      <c r="E5068" s="18">
        <v>3002630574002</v>
      </c>
      <c r="G5068" s="20" t="str">
        <f t="shared" si="237"/>
        <v xml:space="preserve"> MINIBOR         </v>
      </c>
      <c r="H5068" s="20" t="str">
        <f t="shared" si="238"/>
        <v>POMTO</v>
      </c>
      <c r="I5068" s="20">
        <f t="shared" si="239"/>
        <v>0</v>
      </c>
    </row>
    <row r="5069" spans="1:9">
      <c r="A5069" s="17" t="s">
        <v>1920</v>
      </c>
      <c r="B5069" s="17" t="s">
        <v>1236</v>
      </c>
      <c r="C5069" s="17">
        <v>0</v>
      </c>
      <c r="D5069" s="17" t="s">
        <v>801</v>
      </c>
      <c r="E5069" s="18">
        <v>3004270609007</v>
      </c>
      <c r="G5069" s="20" t="str">
        <f t="shared" si="237"/>
        <v xml:space="preserve"> MINIBOR         </v>
      </c>
      <c r="H5069" s="20" t="str">
        <f t="shared" si="238"/>
        <v xml:space="preserve">POW  </v>
      </c>
      <c r="I5069" s="20">
        <f t="shared" si="239"/>
        <v>0</v>
      </c>
    </row>
    <row r="5070" spans="1:9">
      <c r="A5070" s="17" t="s">
        <v>1920</v>
      </c>
      <c r="B5070" s="17" t="s">
        <v>1397</v>
      </c>
      <c r="C5070" s="17">
        <v>0</v>
      </c>
      <c r="D5070" s="17" t="s">
        <v>801</v>
      </c>
      <c r="E5070" s="18">
        <v>3004270188007</v>
      </c>
      <c r="G5070" s="20" t="str">
        <f t="shared" si="237"/>
        <v xml:space="preserve"> MINIBOR         </v>
      </c>
      <c r="H5070" s="20" t="str">
        <f t="shared" si="238"/>
        <v xml:space="preserve">RAF  </v>
      </c>
      <c r="I5070" s="20">
        <f t="shared" si="239"/>
        <v>0</v>
      </c>
    </row>
    <row r="5071" spans="1:9">
      <c r="A5071" s="17" t="s">
        <v>1920</v>
      </c>
      <c r="B5071" s="17" t="s">
        <v>1739</v>
      </c>
      <c r="C5071" s="17">
        <v>0</v>
      </c>
      <c r="D5071" s="17" t="s">
        <v>801</v>
      </c>
      <c r="E5071" s="18">
        <v>3002630788003</v>
      </c>
      <c r="G5071" s="20" t="str">
        <f t="shared" si="237"/>
        <v xml:space="preserve"> MINIBOR         </v>
      </c>
      <c r="H5071" s="20" t="str">
        <f t="shared" si="238"/>
        <v>RAFAC</v>
      </c>
      <c r="I5071" s="20">
        <f t="shared" si="239"/>
        <v>0</v>
      </c>
    </row>
    <row r="5072" spans="1:9">
      <c r="A5072" s="17" t="s">
        <v>1920</v>
      </c>
      <c r="B5072" s="17" t="s">
        <v>1740</v>
      </c>
      <c r="C5072" s="17">
        <v>0</v>
      </c>
      <c r="D5072" s="17" t="s">
        <v>801</v>
      </c>
      <c r="E5072" s="18">
        <v>3002630790006</v>
      </c>
      <c r="G5072" s="20" t="str">
        <f t="shared" si="237"/>
        <v xml:space="preserve"> MINIBOR         </v>
      </c>
      <c r="H5072" s="20" t="str">
        <f t="shared" si="238"/>
        <v>RAFLI</v>
      </c>
      <c r="I5072" s="20">
        <f t="shared" si="239"/>
        <v>0</v>
      </c>
    </row>
    <row r="5073" spans="1:9">
      <c r="A5073" s="17" t="s">
        <v>1920</v>
      </c>
      <c r="B5073" s="17" t="s">
        <v>1741</v>
      </c>
      <c r="C5073" s="17">
        <v>0</v>
      </c>
      <c r="D5073" s="17" t="s">
        <v>801</v>
      </c>
      <c r="E5073" s="18">
        <v>3002630757009</v>
      </c>
      <c r="G5073" s="20" t="str">
        <f t="shared" si="237"/>
        <v xml:space="preserve"> MINIBOR         </v>
      </c>
      <c r="H5073" s="20" t="str">
        <f t="shared" si="238"/>
        <v>RAFMU</v>
      </c>
      <c r="I5073" s="20">
        <f t="shared" si="239"/>
        <v>0</v>
      </c>
    </row>
    <row r="5074" spans="1:9">
      <c r="A5074" s="17" t="s">
        <v>1920</v>
      </c>
      <c r="B5074" s="17" t="s">
        <v>1742</v>
      </c>
      <c r="C5074" s="17">
        <v>0</v>
      </c>
      <c r="D5074" s="17" t="s">
        <v>801</v>
      </c>
      <c r="E5074" s="18">
        <v>3002630789000</v>
      </c>
      <c r="G5074" s="20" t="str">
        <f t="shared" si="237"/>
        <v xml:space="preserve"> MINIBOR         </v>
      </c>
      <c r="H5074" s="20" t="str">
        <f t="shared" si="238"/>
        <v>RAFPA</v>
      </c>
      <c r="I5074" s="20">
        <f t="shared" si="239"/>
        <v>0</v>
      </c>
    </row>
    <row r="5075" spans="1:9">
      <c r="A5075" s="17" t="s">
        <v>1920</v>
      </c>
      <c r="B5075" s="17" t="s">
        <v>1399</v>
      </c>
      <c r="C5075" s="17">
        <v>0</v>
      </c>
      <c r="D5075" s="17" t="s">
        <v>801</v>
      </c>
      <c r="E5075" s="18">
        <v>8056099170935</v>
      </c>
      <c r="G5075" s="20" t="str">
        <f t="shared" si="237"/>
        <v xml:space="preserve"> MINIBOR         </v>
      </c>
      <c r="H5075" s="20" t="str">
        <f t="shared" si="238"/>
        <v>RIVBL</v>
      </c>
      <c r="I5075" s="20">
        <f t="shared" si="239"/>
        <v>0</v>
      </c>
    </row>
    <row r="5076" spans="1:9">
      <c r="A5076" s="17" t="s">
        <v>1920</v>
      </c>
      <c r="B5076" s="17" t="s">
        <v>1401</v>
      </c>
      <c r="C5076" s="17">
        <v>0</v>
      </c>
      <c r="D5076" s="17" t="s">
        <v>801</v>
      </c>
      <c r="E5076" s="18">
        <v>8056099170928</v>
      </c>
      <c r="G5076" s="20" t="str">
        <f t="shared" si="237"/>
        <v xml:space="preserve"> MINIBOR         </v>
      </c>
      <c r="H5076" s="20" t="str">
        <f t="shared" si="238"/>
        <v>RIVRO</v>
      </c>
      <c r="I5076" s="20">
        <f t="shared" si="239"/>
        <v>0</v>
      </c>
    </row>
    <row r="5077" spans="1:9">
      <c r="A5077" s="17" t="s">
        <v>1920</v>
      </c>
      <c r="B5077" s="17" t="s">
        <v>1439</v>
      </c>
      <c r="C5077" s="17">
        <v>0</v>
      </c>
      <c r="D5077" s="17" t="s">
        <v>801</v>
      </c>
      <c r="E5077" s="18">
        <v>3004270614001</v>
      </c>
      <c r="G5077" s="20" t="str">
        <f t="shared" si="237"/>
        <v xml:space="preserve"> MINIBOR         </v>
      </c>
      <c r="H5077" s="20" t="str">
        <f t="shared" si="238"/>
        <v xml:space="preserve">RUBY </v>
      </c>
      <c r="I5077" s="20">
        <f t="shared" si="239"/>
        <v>0</v>
      </c>
    </row>
    <row r="5078" spans="1:9">
      <c r="A5078" s="17" t="s">
        <v>1920</v>
      </c>
      <c r="B5078" s="17" t="s">
        <v>1527</v>
      </c>
      <c r="C5078" s="17">
        <v>0</v>
      </c>
      <c r="D5078" s="17" t="s">
        <v>801</v>
      </c>
      <c r="E5078" s="18">
        <v>8056099170997</v>
      </c>
      <c r="G5078" s="20" t="str">
        <f t="shared" si="237"/>
        <v xml:space="preserve"> MINIBOR         </v>
      </c>
      <c r="H5078" s="20" t="str">
        <f t="shared" si="238"/>
        <v>SAKBL</v>
      </c>
      <c r="I5078" s="20">
        <f t="shared" si="239"/>
        <v>0</v>
      </c>
    </row>
    <row r="5079" spans="1:9">
      <c r="A5079" s="17" t="s">
        <v>1920</v>
      </c>
      <c r="B5079" s="17" t="s">
        <v>1239</v>
      </c>
      <c r="C5079" s="17">
        <v>0</v>
      </c>
      <c r="D5079" s="17" t="s">
        <v>801</v>
      </c>
      <c r="E5079" s="18">
        <v>3004270337009</v>
      </c>
      <c r="G5079" s="20" t="str">
        <f t="shared" si="237"/>
        <v xml:space="preserve"> MINIBOR         </v>
      </c>
      <c r="H5079" s="20" t="str">
        <f t="shared" si="238"/>
        <v xml:space="preserve">SAND </v>
      </c>
      <c r="I5079" s="20">
        <f t="shared" si="239"/>
        <v>0</v>
      </c>
    </row>
    <row r="5080" spans="1:9">
      <c r="A5080" s="17" t="s">
        <v>1920</v>
      </c>
      <c r="B5080" s="17" t="s">
        <v>1951</v>
      </c>
      <c r="C5080" s="17">
        <v>0</v>
      </c>
      <c r="D5080" s="17" t="s">
        <v>801</v>
      </c>
      <c r="E5080" s="18">
        <v>3002630723004</v>
      </c>
      <c r="G5080" s="20" t="str">
        <f t="shared" si="237"/>
        <v xml:space="preserve"> MINIBOR         </v>
      </c>
      <c r="H5080" s="20" t="str">
        <f t="shared" si="238"/>
        <v>SUEIV</v>
      </c>
      <c r="I5080" s="20">
        <f t="shared" si="239"/>
        <v>0</v>
      </c>
    </row>
    <row r="5081" spans="1:9">
      <c r="A5081" s="17" t="s">
        <v>1920</v>
      </c>
      <c r="B5081" s="17" t="s">
        <v>1952</v>
      </c>
      <c r="C5081" s="17">
        <v>0</v>
      </c>
      <c r="D5081" s="17" t="s">
        <v>801</v>
      </c>
      <c r="E5081" s="18">
        <v>3002630724001</v>
      </c>
      <c r="G5081" s="20" t="str">
        <f t="shared" si="237"/>
        <v xml:space="preserve"> MINIBOR         </v>
      </c>
      <c r="H5081" s="20" t="str">
        <f t="shared" si="238"/>
        <v>SUELI</v>
      </c>
      <c r="I5081" s="20">
        <f t="shared" si="239"/>
        <v>0</v>
      </c>
    </row>
    <row r="5082" spans="1:9">
      <c r="A5082" s="17" t="s">
        <v>1920</v>
      </c>
      <c r="B5082" s="17" t="s">
        <v>1409</v>
      </c>
      <c r="C5082" s="17">
        <v>0</v>
      </c>
      <c r="D5082" s="17" t="s">
        <v>801</v>
      </c>
      <c r="E5082" s="18">
        <v>3002630725008</v>
      </c>
      <c r="G5082" s="20" t="str">
        <f t="shared" si="237"/>
        <v xml:space="preserve"> MINIBOR         </v>
      </c>
      <c r="H5082" s="20" t="str">
        <f t="shared" si="238"/>
        <v>SUERO</v>
      </c>
      <c r="I5082" s="20">
        <f t="shared" si="239"/>
        <v>0</v>
      </c>
    </row>
    <row r="5083" spans="1:9">
      <c r="A5083" s="17" t="s">
        <v>1920</v>
      </c>
      <c r="B5083" s="17" t="s">
        <v>1953</v>
      </c>
      <c r="C5083" s="17">
        <v>0</v>
      </c>
      <c r="D5083" s="17" t="s">
        <v>801</v>
      </c>
      <c r="E5083" s="18">
        <v>3002630726005</v>
      </c>
      <c r="G5083" s="20" t="str">
        <f t="shared" si="237"/>
        <v xml:space="preserve"> MINIBOR         </v>
      </c>
      <c r="H5083" s="20" t="str">
        <f t="shared" si="238"/>
        <v>SUESA</v>
      </c>
      <c r="I5083" s="20">
        <f t="shared" si="239"/>
        <v>0</v>
      </c>
    </row>
    <row r="5084" spans="1:9">
      <c r="A5084" s="17" t="s">
        <v>1920</v>
      </c>
      <c r="B5084" s="17" t="s">
        <v>1954</v>
      </c>
      <c r="C5084" s="17">
        <v>0</v>
      </c>
      <c r="D5084" s="17" t="s">
        <v>801</v>
      </c>
      <c r="E5084" s="18">
        <v>3004270157003</v>
      </c>
      <c r="G5084" s="20" t="str">
        <f t="shared" si="237"/>
        <v xml:space="preserve"> MINIBOR         </v>
      </c>
      <c r="H5084" s="20" t="str">
        <f t="shared" si="238"/>
        <v xml:space="preserve">TAR  </v>
      </c>
      <c r="I5084" s="20">
        <f t="shared" si="239"/>
        <v>0</v>
      </c>
    </row>
    <row r="5085" spans="1:9">
      <c r="A5085" s="17" t="s">
        <v>1920</v>
      </c>
      <c r="B5085" s="17" t="s">
        <v>1013</v>
      </c>
      <c r="C5085" s="17">
        <v>0</v>
      </c>
      <c r="D5085" s="17" t="s">
        <v>801</v>
      </c>
      <c r="E5085" s="18">
        <v>3004270625007</v>
      </c>
      <c r="G5085" s="20" t="str">
        <f t="shared" si="237"/>
        <v xml:space="preserve"> MINIBOR         </v>
      </c>
      <c r="H5085" s="20" t="str">
        <f t="shared" si="238"/>
        <v xml:space="preserve">TURQ </v>
      </c>
      <c r="I5085" s="20">
        <f t="shared" si="239"/>
        <v>0</v>
      </c>
    </row>
    <row r="5086" spans="1:9">
      <c r="A5086" s="17" t="s">
        <v>1920</v>
      </c>
      <c r="B5086" s="17" t="s">
        <v>1173</v>
      </c>
      <c r="C5086" s="17">
        <v>0</v>
      </c>
      <c r="D5086" s="17" t="s">
        <v>801</v>
      </c>
      <c r="E5086" s="18">
        <v>8050538591329</v>
      </c>
      <c r="G5086" s="20" t="str">
        <f t="shared" si="237"/>
        <v xml:space="preserve"> MINIBOR         </v>
      </c>
      <c r="H5086" s="20" t="str">
        <f t="shared" si="238"/>
        <v>VEBLU</v>
      </c>
      <c r="I5086" s="20">
        <f t="shared" si="239"/>
        <v>0</v>
      </c>
    </row>
    <row r="5087" spans="1:9">
      <c r="A5087" s="17" t="s">
        <v>1920</v>
      </c>
      <c r="B5087" s="17" t="s">
        <v>1630</v>
      </c>
      <c r="C5087" s="17">
        <v>0</v>
      </c>
      <c r="D5087" s="17" t="s">
        <v>801</v>
      </c>
      <c r="E5087" s="18">
        <v>3002631074006</v>
      </c>
      <c r="G5087" s="20" t="str">
        <f t="shared" si="237"/>
        <v xml:space="preserve"> MINIBOR         </v>
      </c>
      <c r="H5087" s="20" t="str">
        <f t="shared" si="238"/>
        <v>VEGRE</v>
      </c>
      <c r="I5087" s="20">
        <f t="shared" si="239"/>
        <v>0</v>
      </c>
    </row>
    <row r="5088" spans="1:9">
      <c r="A5088" s="17" t="s">
        <v>1920</v>
      </c>
      <c r="B5088" s="17" t="s">
        <v>1496</v>
      </c>
      <c r="C5088" s="17">
        <v>0</v>
      </c>
      <c r="D5088" s="17" t="s">
        <v>801</v>
      </c>
      <c r="E5088" s="18">
        <v>3002630156000</v>
      </c>
      <c r="G5088" s="20" t="str">
        <f t="shared" si="237"/>
        <v xml:space="preserve"> MINIBOR         </v>
      </c>
      <c r="H5088" s="20" t="str">
        <f t="shared" si="238"/>
        <v xml:space="preserve">VEL  </v>
      </c>
      <c r="I5088" s="20">
        <f t="shared" si="239"/>
        <v>0</v>
      </c>
    </row>
    <row r="5089" spans="1:9">
      <c r="A5089" s="17" t="s">
        <v>1920</v>
      </c>
      <c r="B5089" s="17" t="s">
        <v>1417</v>
      </c>
      <c r="C5089" s="17">
        <v>0</v>
      </c>
      <c r="D5089" s="17" t="s">
        <v>801</v>
      </c>
      <c r="E5089" s="18">
        <v>8050538590209</v>
      </c>
      <c r="G5089" s="20" t="str">
        <f t="shared" si="237"/>
        <v xml:space="preserve"> MINIBOR         </v>
      </c>
      <c r="H5089" s="20" t="str">
        <f t="shared" si="238"/>
        <v>VELAI</v>
      </c>
      <c r="I5089" s="20">
        <f t="shared" si="239"/>
        <v>0</v>
      </c>
    </row>
    <row r="5090" spans="1:9">
      <c r="A5090" s="17" t="s">
        <v>1920</v>
      </c>
      <c r="B5090" s="17" t="s">
        <v>1043</v>
      </c>
      <c r="C5090" s="17">
        <v>0</v>
      </c>
      <c r="D5090" s="17" t="s">
        <v>801</v>
      </c>
      <c r="E5090" s="18">
        <v>8050538590025</v>
      </c>
      <c r="G5090" s="20" t="str">
        <f t="shared" si="237"/>
        <v xml:space="preserve"> MINIBOR         </v>
      </c>
      <c r="H5090" s="20" t="str">
        <f t="shared" si="238"/>
        <v>VELBL</v>
      </c>
      <c r="I5090" s="20">
        <f t="shared" si="239"/>
        <v>0</v>
      </c>
    </row>
    <row r="5091" spans="1:9">
      <c r="A5091" s="17" t="s">
        <v>1920</v>
      </c>
      <c r="B5091" s="17" t="s">
        <v>1178</v>
      </c>
      <c r="C5091" s="17">
        <v>0</v>
      </c>
      <c r="D5091" s="17" t="s">
        <v>801</v>
      </c>
      <c r="E5091" s="18">
        <v>8056099178771</v>
      </c>
      <c r="G5091" s="20" t="str">
        <f t="shared" si="237"/>
        <v xml:space="preserve"> MINIBOR         </v>
      </c>
      <c r="H5091" s="20" t="str">
        <f t="shared" si="238"/>
        <v>VELPH</v>
      </c>
      <c r="I5091" s="20">
        <f t="shared" si="239"/>
        <v>0</v>
      </c>
    </row>
    <row r="5092" spans="1:9">
      <c r="A5092" s="17" t="s">
        <v>1920</v>
      </c>
      <c r="B5092" s="17" t="s">
        <v>1024</v>
      </c>
      <c r="C5092" s="17">
        <v>0</v>
      </c>
      <c r="D5092" s="17" t="s">
        <v>801</v>
      </c>
      <c r="E5092" s="18">
        <v>3004270628008</v>
      </c>
      <c r="G5092" s="20" t="str">
        <f t="shared" si="237"/>
        <v xml:space="preserve"> MINIBOR         </v>
      </c>
      <c r="H5092" s="20" t="str">
        <f t="shared" si="238"/>
        <v xml:space="preserve">VIOL </v>
      </c>
      <c r="I5092" s="20">
        <f t="shared" si="239"/>
        <v>0</v>
      </c>
    </row>
    <row r="5093" spans="1:9">
      <c r="A5093" s="17" t="s">
        <v>1920</v>
      </c>
      <c r="B5093" s="17" t="s">
        <v>273</v>
      </c>
      <c r="C5093" s="17">
        <v>0</v>
      </c>
      <c r="D5093" s="17" t="s">
        <v>801</v>
      </c>
      <c r="E5093" s="18">
        <v>3004270005007</v>
      </c>
      <c r="G5093" s="20" t="str">
        <f t="shared" si="237"/>
        <v xml:space="preserve"> MINIBOR         </v>
      </c>
      <c r="H5093" s="20" t="str">
        <f t="shared" si="238"/>
        <v>WHITE</v>
      </c>
      <c r="I5093" s="20">
        <f t="shared" si="239"/>
        <v>0</v>
      </c>
    </row>
    <row r="5094" spans="1:9">
      <c r="A5094" s="17" t="s">
        <v>1920</v>
      </c>
      <c r="B5094" s="17" t="s">
        <v>1955</v>
      </c>
      <c r="C5094" s="17">
        <v>0</v>
      </c>
      <c r="D5094" s="17" t="s">
        <v>801</v>
      </c>
      <c r="E5094" s="18">
        <v>3002630969006</v>
      </c>
      <c r="G5094" s="20" t="str">
        <f t="shared" si="237"/>
        <v xml:space="preserve"> MINIBOR         </v>
      </c>
      <c r="H5094" s="20" t="str">
        <f t="shared" si="238"/>
        <v>ZIPBO</v>
      </c>
      <c r="I5094" s="20">
        <f t="shared" si="239"/>
        <v>0</v>
      </c>
    </row>
    <row r="5095" spans="1:9">
      <c r="A5095" s="17" t="s">
        <v>1920</v>
      </c>
      <c r="B5095" s="17" t="s">
        <v>1955</v>
      </c>
      <c r="C5095" s="17">
        <v>0</v>
      </c>
      <c r="D5095" s="17" t="s">
        <v>801</v>
      </c>
      <c r="E5095" s="18">
        <v>8058983597668</v>
      </c>
      <c r="G5095" s="20" t="str">
        <f t="shared" si="237"/>
        <v xml:space="preserve"> MINIBOR         </v>
      </c>
      <c r="H5095" s="20" t="str">
        <f t="shared" si="238"/>
        <v>ZIPBO</v>
      </c>
      <c r="I5095" s="20">
        <f t="shared" si="239"/>
        <v>0</v>
      </c>
    </row>
    <row r="5096" spans="1:9">
      <c r="A5096" s="17" t="s">
        <v>1920</v>
      </c>
      <c r="B5096" s="17" t="s">
        <v>1421</v>
      </c>
      <c r="C5096" s="17">
        <v>0</v>
      </c>
      <c r="D5096" s="17" t="s">
        <v>801</v>
      </c>
      <c r="E5096" s="18">
        <v>3002630968009</v>
      </c>
      <c r="G5096" s="20" t="str">
        <f t="shared" si="237"/>
        <v xml:space="preserve"> MINIBOR         </v>
      </c>
      <c r="H5096" s="20" t="str">
        <f t="shared" si="238"/>
        <v>ZIPVE</v>
      </c>
      <c r="I5096" s="20">
        <f t="shared" si="239"/>
        <v>0</v>
      </c>
    </row>
    <row r="5097" spans="1:9">
      <c r="A5097" s="17" t="s">
        <v>1920</v>
      </c>
      <c r="B5097" s="17" t="s">
        <v>1421</v>
      </c>
      <c r="C5097" s="17">
        <v>0</v>
      </c>
      <c r="D5097" s="17" t="s">
        <v>801</v>
      </c>
      <c r="E5097" s="18">
        <v>8058983597675</v>
      </c>
      <c r="G5097" s="20" t="str">
        <f t="shared" si="237"/>
        <v xml:space="preserve"> MINIBOR         </v>
      </c>
      <c r="H5097" s="20" t="str">
        <f t="shared" si="238"/>
        <v>ZIPVE</v>
      </c>
      <c r="I5097" s="20">
        <f t="shared" si="239"/>
        <v>0</v>
      </c>
    </row>
    <row r="5098" spans="1:9">
      <c r="A5098" s="17" t="s">
        <v>1956</v>
      </c>
      <c r="B5098" s="17" t="s">
        <v>1957</v>
      </c>
      <c r="C5098" s="17">
        <v>0</v>
      </c>
      <c r="D5098" s="17" t="s">
        <v>801</v>
      </c>
      <c r="E5098" s="18">
        <v>8056098539566</v>
      </c>
      <c r="G5098" s="20" t="str">
        <f t="shared" si="237"/>
        <v xml:space="preserve"> MINICANOBEACH   </v>
      </c>
      <c r="H5098" s="20" t="str">
        <f t="shared" si="238"/>
        <v>TRACQ</v>
      </c>
      <c r="I5098" s="20">
        <f t="shared" si="239"/>
        <v>0</v>
      </c>
    </row>
    <row r="5099" spans="1:9">
      <c r="A5099" s="17" t="s">
        <v>1956</v>
      </c>
      <c r="B5099" s="17" t="s">
        <v>1957</v>
      </c>
      <c r="C5099" s="17">
        <v>0</v>
      </c>
      <c r="D5099" s="17" t="s">
        <v>801</v>
      </c>
      <c r="E5099" s="18">
        <v>3005761339007</v>
      </c>
      <c r="G5099" s="20" t="str">
        <f t="shared" si="237"/>
        <v xml:space="preserve"> MINICANOBEACH   </v>
      </c>
      <c r="H5099" s="20" t="str">
        <f t="shared" si="238"/>
        <v>TRACQ</v>
      </c>
      <c r="I5099" s="20">
        <f t="shared" si="239"/>
        <v>0</v>
      </c>
    </row>
    <row r="5100" spans="1:9">
      <c r="A5100" s="17" t="s">
        <v>1956</v>
      </c>
      <c r="B5100" s="17" t="s">
        <v>1500</v>
      </c>
      <c r="C5100" s="17">
        <v>0</v>
      </c>
      <c r="D5100" s="17" t="s">
        <v>801</v>
      </c>
      <c r="E5100" s="18">
        <v>8056098539573</v>
      </c>
      <c r="G5100" s="20" t="str">
        <f t="shared" si="237"/>
        <v xml:space="preserve"> MINICANOBEACH   </v>
      </c>
      <c r="H5100" s="20" t="str">
        <f t="shared" si="238"/>
        <v>TRBBL</v>
      </c>
      <c r="I5100" s="20">
        <f t="shared" si="239"/>
        <v>0</v>
      </c>
    </row>
    <row r="5101" spans="1:9">
      <c r="A5101" s="17" t="s">
        <v>1956</v>
      </c>
      <c r="B5101" s="17" t="s">
        <v>1500</v>
      </c>
      <c r="C5101" s="17">
        <v>0</v>
      </c>
      <c r="D5101" s="17" t="s">
        <v>801</v>
      </c>
      <c r="E5101" s="18">
        <v>3005761342007</v>
      </c>
      <c r="G5101" s="20" t="str">
        <f t="shared" si="237"/>
        <v xml:space="preserve"> MINICANOBEACH   </v>
      </c>
      <c r="H5101" s="20" t="str">
        <f t="shared" si="238"/>
        <v>TRBBL</v>
      </c>
      <c r="I5101" s="20">
        <f t="shared" si="239"/>
        <v>0</v>
      </c>
    </row>
    <row r="5102" spans="1:9">
      <c r="A5102" s="17" t="s">
        <v>1956</v>
      </c>
      <c r="B5102" s="17" t="s">
        <v>1958</v>
      </c>
      <c r="C5102" s="17">
        <v>0</v>
      </c>
      <c r="D5102" s="17" t="s">
        <v>801</v>
      </c>
      <c r="E5102" s="18">
        <v>8056098539559</v>
      </c>
      <c r="G5102" s="20" t="str">
        <f t="shared" si="237"/>
        <v xml:space="preserve"> MINICANOBEACH   </v>
      </c>
      <c r="H5102" s="20" t="str">
        <f t="shared" si="238"/>
        <v>TRORA</v>
      </c>
      <c r="I5102" s="20">
        <f t="shared" si="239"/>
        <v>0</v>
      </c>
    </row>
    <row r="5103" spans="1:9">
      <c r="A5103" s="17" t="s">
        <v>1956</v>
      </c>
      <c r="B5103" s="17" t="s">
        <v>1958</v>
      </c>
      <c r="C5103" s="17">
        <v>0</v>
      </c>
      <c r="D5103" s="17" t="s">
        <v>801</v>
      </c>
      <c r="E5103" s="18">
        <v>3005761341000</v>
      </c>
      <c r="G5103" s="20" t="str">
        <f t="shared" si="237"/>
        <v xml:space="preserve"> MINICANOBEACH   </v>
      </c>
      <c r="H5103" s="20" t="str">
        <f t="shared" si="238"/>
        <v>TRORA</v>
      </c>
      <c r="I5103" s="20">
        <f t="shared" si="239"/>
        <v>0</v>
      </c>
    </row>
    <row r="5104" spans="1:9">
      <c r="A5104" s="17" t="s">
        <v>1956</v>
      </c>
      <c r="B5104" s="17" t="s">
        <v>1959</v>
      </c>
      <c r="C5104" s="17">
        <v>0</v>
      </c>
      <c r="D5104" s="17" t="s">
        <v>801</v>
      </c>
      <c r="E5104" s="18">
        <v>8056098539542</v>
      </c>
      <c r="G5104" s="20" t="str">
        <f t="shared" si="237"/>
        <v xml:space="preserve"> MINICANOBEACH   </v>
      </c>
      <c r="H5104" s="20" t="str">
        <f t="shared" si="238"/>
        <v>TRYEL</v>
      </c>
      <c r="I5104" s="20">
        <f t="shared" si="239"/>
        <v>0</v>
      </c>
    </row>
    <row r="5105" spans="1:9">
      <c r="A5105" s="17" t="s">
        <v>1956</v>
      </c>
      <c r="B5105" s="17" t="s">
        <v>1959</v>
      </c>
      <c r="C5105" s="17">
        <v>0</v>
      </c>
      <c r="D5105" s="17" t="s">
        <v>801</v>
      </c>
      <c r="E5105" s="18">
        <v>3005761340003</v>
      </c>
      <c r="G5105" s="20" t="str">
        <f t="shared" si="237"/>
        <v xml:space="preserve"> MINICANOBEACH   </v>
      </c>
      <c r="H5105" s="20" t="str">
        <f t="shared" si="238"/>
        <v>TRYEL</v>
      </c>
      <c r="I5105" s="20">
        <f t="shared" si="239"/>
        <v>0</v>
      </c>
    </row>
    <row r="5106" spans="1:9">
      <c r="A5106" s="17" t="s">
        <v>1960</v>
      </c>
      <c r="B5106" s="17" t="s">
        <v>969</v>
      </c>
      <c r="C5106" s="17">
        <v>0</v>
      </c>
      <c r="D5106" s="17" t="s">
        <v>801</v>
      </c>
      <c r="E5106" s="18">
        <v>8050846012233</v>
      </c>
      <c r="G5106" s="20" t="str">
        <f t="shared" si="237"/>
        <v xml:space="preserve"> MINICANVAS      </v>
      </c>
      <c r="H5106" s="20" t="str">
        <f t="shared" si="238"/>
        <v>3DLAT</v>
      </c>
      <c r="I5106" s="20">
        <f t="shared" si="239"/>
        <v>0</v>
      </c>
    </row>
    <row r="5107" spans="1:9">
      <c r="A5107" s="17" t="s">
        <v>1960</v>
      </c>
      <c r="B5107" s="17" t="s">
        <v>1328</v>
      </c>
      <c r="C5107" s="17">
        <v>0</v>
      </c>
      <c r="D5107" s="17" t="s">
        <v>801</v>
      </c>
      <c r="E5107" s="18">
        <v>3020550541003</v>
      </c>
      <c r="G5107" s="20" t="str">
        <f t="shared" si="237"/>
        <v xml:space="preserve"> MINICANVAS      </v>
      </c>
      <c r="H5107" s="20" t="str">
        <f t="shared" si="238"/>
        <v xml:space="preserve">AGUG </v>
      </c>
      <c r="I5107" s="20">
        <f t="shared" si="239"/>
        <v>0</v>
      </c>
    </row>
    <row r="5108" spans="1:9">
      <c r="A5108" s="17" t="s">
        <v>1960</v>
      </c>
      <c r="B5108" s="17" t="s">
        <v>818</v>
      </c>
      <c r="C5108" s="17">
        <v>0</v>
      </c>
      <c r="D5108" s="17" t="s">
        <v>801</v>
      </c>
      <c r="E5108" s="18">
        <v>3002640273001</v>
      </c>
      <c r="G5108" s="20" t="str">
        <f t="shared" si="237"/>
        <v xml:space="preserve"> MINICANVAS      </v>
      </c>
      <c r="H5108" s="20" t="str">
        <f t="shared" si="238"/>
        <v xml:space="preserve">BDX  </v>
      </c>
      <c r="I5108" s="20">
        <f t="shared" si="239"/>
        <v>0</v>
      </c>
    </row>
    <row r="5109" spans="1:9">
      <c r="A5109" s="17" t="s">
        <v>1960</v>
      </c>
      <c r="B5109" s="17" t="s">
        <v>280</v>
      </c>
      <c r="C5109" s="17">
        <v>0</v>
      </c>
      <c r="D5109" s="17" t="s">
        <v>801</v>
      </c>
      <c r="E5109" s="18">
        <v>3020550004003</v>
      </c>
      <c r="G5109" s="20" t="str">
        <f t="shared" si="237"/>
        <v xml:space="preserve"> MINICANVAS      </v>
      </c>
      <c r="H5109" s="20" t="str">
        <f t="shared" si="238"/>
        <v>BLACK</v>
      </c>
      <c r="I5109" s="20">
        <f t="shared" si="239"/>
        <v>0</v>
      </c>
    </row>
    <row r="5110" spans="1:9">
      <c r="A5110" s="17" t="s">
        <v>1960</v>
      </c>
      <c r="B5110" s="17" t="s">
        <v>280</v>
      </c>
      <c r="C5110" s="17">
        <v>0</v>
      </c>
      <c r="D5110" s="17" t="s">
        <v>801</v>
      </c>
      <c r="E5110" s="18">
        <v>8050450210629</v>
      </c>
      <c r="G5110" s="20" t="str">
        <f t="shared" si="237"/>
        <v xml:space="preserve"> MINICANVAS      </v>
      </c>
      <c r="H5110" s="20" t="str">
        <f t="shared" si="238"/>
        <v>BLACK</v>
      </c>
      <c r="I5110" s="20">
        <f t="shared" si="239"/>
        <v>0</v>
      </c>
    </row>
    <row r="5111" spans="1:9">
      <c r="A5111" s="17" t="s">
        <v>1960</v>
      </c>
      <c r="B5111" s="17" t="s">
        <v>810</v>
      </c>
      <c r="C5111" s="17">
        <v>0</v>
      </c>
      <c r="D5111" s="17" t="s">
        <v>801</v>
      </c>
      <c r="E5111" s="18">
        <v>8058983598504</v>
      </c>
      <c r="G5111" s="20" t="str">
        <f t="shared" si="237"/>
        <v xml:space="preserve"> MINICANVAS      </v>
      </c>
      <c r="H5111" s="20" t="str">
        <f t="shared" si="238"/>
        <v xml:space="preserve">BLUE </v>
      </c>
      <c r="I5111" s="20">
        <f t="shared" si="239"/>
        <v>0</v>
      </c>
    </row>
    <row r="5112" spans="1:9">
      <c r="A5112" s="17" t="s">
        <v>1960</v>
      </c>
      <c r="B5112" s="17" t="s">
        <v>810</v>
      </c>
      <c r="C5112" s="17">
        <v>0</v>
      </c>
      <c r="D5112" s="17" t="s">
        <v>801</v>
      </c>
      <c r="E5112" s="18">
        <v>3020550319008</v>
      </c>
      <c r="G5112" s="20" t="str">
        <f t="shared" si="237"/>
        <v xml:space="preserve"> MINICANVAS      </v>
      </c>
      <c r="H5112" s="20" t="str">
        <f t="shared" si="238"/>
        <v xml:space="preserve">BLUE </v>
      </c>
      <c r="I5112" s="20">
        <f t="shared" si="239"/>
        <v>0</v>
      </c>
    </row>
    <row r="5113" spans="1:9">
      <c r="A5113" s="17" t="s">
        <v>1960</v>
      </c>
      <c r="B5113" s="17" t="s">
        <v>1332</v>
      </c>
      <c r="C5113" s="17">
        <v>0</v>
      </c>
      <c r="D5113" s="17" t="s">
        <v>801</v>
      </c>
      <c r="E5113" s="18">
        <v>8050538590933</v>
      </c>
      <c r="G5113" s="20" t="str">
        <f t="shared" si="237"/>
        <v xml:space="preserve"> MINICANVAS      </v>
      </c>
      <c r="H5113" s="20" t="str">
        <f t="shared" si="238"/>
        <v>BOUTO</v>
      </c>
      <c r="I5113" s="20">
        <f t="shared" si="239"/>
        <v>0</v>
      </c>
    </row>
    <row r="5114" spans="1:9">
      <c r="A5114" s="17" t="s">
        <v>1960</v>
      </c>
      <c r="B5114" s="17" t="s">
        <v>1273</v>
      </c>
      <c r="C5114" s="17">
        <v>0</v>
      </c>
      <c r="D5114" s="17" t="s">
        <v>801</v>
      </c>
      <c r="E5114" s="18">
        <v>8056095064726</v>
      </c>
      <c r="G5114" s="20" t="str">
        <f t="shared" si="237"/>
        <v xml:space="preserve"> MINICANVAS      </v>
      </c>
      <c r="H5114" s="20" t="str">
        <f t="shared" si="238"/>
        <v>BROBL</v>
      </c>
      <c r="I5114" s="20">
        <f t="shared" si="239"/>
        <v>0</v>
      </c>
    </row>
    <row r="5115" spans="1:9">
      <c r="A5115" s="17" t="s">
        <v>1960</v>
      </c>
      <c r="B5115" s="17" t="s">
        <v>1273</v>
      </c>
      <c r="C5115" s="17">
        <v>0</v>
      </c>
      <c r="D5115" s="17" t="s">
        <v>801</v>
      </c>
      <c r="E5115" s="18">
        <v>3002641121004</v>
      </c>
      <c r="G5115" s="20" t="str">
        <f t="shared" si="237"/>
        <v xml:space="preserve"> MINICANVAS      </v>
      </c>
      <c r="H5115" s="20" t="str">
        <f t="shared" si="238"/>
        <v>BROBL</v>
      </c>
      <c r="I5115" s="20">
        <f t="shared" si="239"/>
        <v>0</v>
      </c>
    </row>
    <row r="5116" spans="1:9">
      <c r="A5116" s="17" t="s">
        <v>1960</v>
      </c>
      <c r="B5116" s="17" t="s">
        <v>1274</v>
      </c>
      <c r="C5116" s="17">
        <v>0</v>
      </c>
      <c r="D5116" s="17" t="s">
        <v>801</v>
      </c>
      <c r="E5116" s="18">
        <v>3020550816002</v>
      </c>
      <c r="G5116" s="20" t="str">
        <f t="shared" si="237"/>
        <v xml:space="preserve"> MINICANVAS      </v>
      </c>
      <c r="H5116" s="20" t="str">
        <f t="shared" si="238"/>
        <v>BRODE</v>
      </c>
      <c r="I5116" s="20">
        <f t="shared" si="239"/>
        <v>0</v>
      </c>
    </row>
    <row r="5117" spans="1:9">
      <c r="A5117" s="17" t="s">
        <v>1960</v>
      </c>
      <c r="B5117" s="17" t="s">
        <v>1593</v>
      </c>
      <c r="C5117" s="17">
        <v>0</v>
      </c>
      <c r="D5117" s="17" t="s">
        <v>801</v>
      </c>
      <c r="E5117" s="18">
        <v>8056095064733</v>
      </c>
      <c r="G5117" s="20" t="str">
        <f t="shared" si="237"/>
        <v xml:space="preserve"> MINICANVAS      </v>
      </c>
      <c r="H5117" s="20" t="str">
        <f t="shared" si="238"/>
        <v>BRORO</v>
      </c>
      <c r="I5117" s="20">
        <f t="shared" si="239"/>
        <v>0</v>
      </c>
    </row>
    <row r="5118" spans="1:9">
      <c r="A5118" s="17" t="s">
        <v>1960</v>
      </c>
      <c r="B5118" s="17" t="s">
        <v>1593</v>
      </c>
      <c r="C5118" s="17">
        <v>0</v>
      </c>
      <c r="D5118" s="17" t="s">
        <v>801</v>
      </c>
      <c r="E5118" s="18">
        <v>3002641122001</v>
      </c>
      <c r="G5118" s="20" t="str">
        <f t="shared" si="237"/>
        <v xml:space="preserve"> MINICANVAS      </v>
      </c>
      <c r="H5118" s="20" t="str">
        <f t="shared" si="238"/>
        <v>BRORO</v>
      </c>
      <c r="I5118" s="20">
        <f t="shared" si="239"/>
        <v>0</v>
      </c>
    </row>
    <row r="5119" spans="1:9">
      <c r="A5119" s="17" t="s">
        <v>1960</v>
      </c>
      <c r="B5119" s="17" t="s">
        <v>1961</v>
      </c>
      <c r="C5119" s="17">
        <v>0</v>
      </c>
      <c r="D5119" s="17" t="s">
        <v>801</v>
      </c>
      <c r="E5119" s="18">
        <v>8056095064719</v>
      </c>
      <c r="G5119" s="20" t="str">
        <f t="shared" si="237"/>
        <v xml:space="preserve"> MINICANVAS      </v>
      </c>
      <c r="H5119" s="20" t="str">
        <f t="shared" si="238"/>
        <v>BROWH</v>
      </c>
      <c r="I5119" s="20">
        <f t="shared" si="239"/>
        <v>0</v>
      </c>
    </row>
    <row r="5120" spans="1:9">
      <c r="A5120" s="17" t="s">
        <v>1960</v>
      </c>
      <c r="B5120" s="17" t="s">
        <v>1961</v>
      </c>
      <c r="C5120" s="17">
        <v>0</v>
      </c>
      <c r="D5120" s="17" t="s">
        <v>801</v>
      </c>
      <c r="E5120" s="18">
        <v>3002641135001</v>
      </c>
      <c r="G5120" s="20" t="str">
        <f t="shared" si="237"/>
        <v xml:space="preserve"> MINICANVAS      </v>
      </c>
      <c r="H5120" s="20" t="str">
        <f t="shared" si="238"/>
        <v>BROWH</v>
      </c>
      <c r="I5120" s="20">
        <f t="shared" si="239"/>
        <v>0</v>
      </c>
    </row>
    <row r="5121" spans="1:9">
      <c r="A5121" s="17" t="s">
        <v>1960</v>
      </c>
      <c r="B5121" s="17" t="s">
        <v>1335</v>
      </c>
      <c r="C5121" s="17">
        <v>0</v>
      </c>
      <c r="D5121" s="17" t="s">
        <v>801</v>
      </c>
      <c r="E5121" s="18">
        <v>3002640759000</v>
      </c>
      <c r="G5121" s="20" t="str">
        <f t="shared" si="237"/>
        <v xml:space="preserve"> MINICANVAS      </v>
      </c>
      <c r="H5121" s="20" t="str">
        <f t="shared" si="238"/>
        <v>CAMET</v>
      </c>
      <c r="I5121" s="20">
        <f t="shared" si="239"/>
        <v>0</v>
      </c>
    </row>
    <row r="5122" spans="1:9">
      <c r="A5122" s="17" t="s">
        <v>1960</v>
      </c>
      <c r="B5122" s="17" t="s">
        <v>1337</v>
      </c>
      <c r="C5122" s="17">
        <v>0</v>
      </c>
      <c r="D5122" s="17" t="s">
        <v>801</v>
      </c>
      <c r="E5122" s="18">
        <v>8056099179440</v>
      </c>
      <c r="G5122" s="20" t="str">
        <f t="shared" si="237"/>
        <v xml:space="preserve"> MINICANVAS      </v>
      </c>
      <c r="H5122" s="20" t="str">
        <f t="shared" si="238"/>
        <v>CARBW</v>
      </c>
      <c r="I5122" s="20">
        <f t="shared" si="239"/>
        <v>0</v>
      </c>
    </row>
    <row r="5123" spans="1:9">
      <c r="A5123" s="17" t="s">
        <v>1960</v>
      </c>
      <c r="B5123" s="17" t="s">
        <v>1758</v>
      </c>
      <c r="C5123" s="17">
        <v>0</v>
      </c>
      <c r="D5123" s="17" t="s">
        <v>801</v>
      </c>
      <c r="E5123" s="18">
        <v>3002641003003</v>
      </c>
      <c r="G5123" s="20" t="str">
        <f t="shared" si="237"/>
        <v xml:space="preserve"> MINICANVAS      </v>
      </c>
      <c r="H5123" s="20" t="str">
        <f t="shared" si="238"/>
        <v>CHACM</v>
      </c>
      <c r="I5123" s="20">
        <f t="shared" si="239"/>
        <v>0</v>
      </c>
    </row>
    <row r="5124" spans="1:9">
      <c r="A5124" s="17" t="s">
        <v>1960</v>
      </c>
      <c r="B5124" s="17" t="s">
        <v>1758</v>
      </c>
      <c r="C5124" s="17">
        <v>0</v>
      </c>
      <c r="D5124" s="17" t="s">
        <v>801</v>
      </c>
      <c r="E5124" s="18">
        <v>8056300453697</v>
      </c>
      <c r="G5124" s="20" t="str">
        <f t="shared" si="237"/>
        <v xml:space="preserve"> MINICANVAS      </v>
      </c>
      <c r="H5124" s="20" t="str">
        <f t="shared" si="238"/>
        <v>CHACM</v>
      </c>
      <c r="I5124" s="20">
        <f t="shared" si="239"/>
        <v>0</v>
      </c>
    </row>
    <row r="5125" spans="1:9">
      <c r="A5125" s="17" t="s">
        <v>1960</v>
      </c>
      <c r="B5125" s="17" t="s">
        <v>939</v>
      </c>
      <c r="C5125" s="17">
        <v>0</v>
      </c>
      <c r="D5125" s="17" t="s">
        <v>801</v>
      </c>
      <c r="E5125" s="18">
        <v>3020550669004</v>
      </c>
      <c r="G5125" s="20" t="str">
        <f t="shared" ref="G5125:G5188" si="240">A5125</f>
        <v xml:space="preserve"> MINICANVAS      </v>
      </c>
      <c r="H5125" s="20" t="str">
        <f t="shared" ref="H5125:H5188" si="241">B5125</f>
        <v>CHAMU</v>
      </c>
      <c r="I5125" s="20">
        <f t="shared" ref="I5125:I5188" si="242">C5125</f>
        <v>0</v>
      </c>
    </row>
    <row r="5126" spans="1:9">
      <c r="A5126" s="17" t="s">
        <v>1960</v>
      </c>
      <c r="B5126" s="17" t="s">
        <v>887</v>
      </c>
      <c r="C5126" s="17">
        <v>0</v>
      </c>
      <c r="D5126" s="17" t="s">
        <v>801</v>
      </c>
      <c r="E5126" s="18">
        <v>3002640716003</v>
      </c>
      <c r="G5126" s="20" t="str">
        <f t="shared" si="240"/>
        <v xml:space="preserve"> MINICANVAS      </v>
      </c>
      <c r="H5126" s="20" t="str">
        <f t="shared" si="241"/>
        <v>COBAL</v>
      </c>
      <c r="I5126" s="20">
        <f t="shared" si="242"/>
        <v>0</v>
      </c>
    </row>
    <row r="5127" spans="1:9">
      <c r="A5127" s="17" t="s">
        <v>1960</v>
      </c>
      <c r="B5127" s="17" t="s">
        <v>984</v>
      </c>
      <c r="C5127" s="17">
        <v>0</v>
      </c>
      <c r="D5127" s="17" t="s">
        <v>801</v>
      </c>
      <c r="E5127" s="18">
        <v>3002640996009</v>
      </c>
      <c r="G5127" s="20" t="str">
        <f t="shared" si="240"/>
        <v xml:space="preserve"> MINICANVAS      </v>
      </c>
      <c r="H5127" s="20" t="str">
        <f t="shared" si="241"/>
        <v>COBLU</v>
      </c>
      <c r="I5127" s="20">
        <f t="shared" si="242"/>
        <v>0</v>
      </c>
    </row>
    <row r="5128" spans="1:9">
      <c r="A5128" s="17" t="s">
        <v>1960</v>
      </c>
      <c r="B5128" s="17" t="s">
        <v>984</v>
      </c>
      <c r="C5128" s="17">
        <v>0</v>
      </c>
      <c r="D5128" s="17" t="s">
        <v>801</v>
      </c>
      <c r="E5128" s="18">
        <v>8056300453741</v>
      </c>
      <c r="G5128" s="20" t="str">
        <f t="shared" si="240"/>
        <v xml:space="preserve"> MINICANVAS      </v>
      </c>
      <c r="H5128" s="20" t="str">
        <f t="shared" si="241"/>
        <v>COBLU</v>
      </c>
      <c r="I5128" s="20">
        <f t="shared" si="242"/>
        <v>0</v>
      </c>
    </row>
    <row r="5129" spans="1:9">
      <c r="A5129" s="17" t="s">
        <v>1960</v>
      </c>
      <c r="B5129" s="17" t="s">
        <v>1507</v>
      </c>
      <c r="C5129" s="17">
        <v>0</v>
      </c>
      <c r="D5129" s="17" t="s">
        <v>801</v>
      </c>
      <c r="E5129" s="18">
        <v>3002641035004</v>
      </c>
      <c r="G5129" s="20" t="str">
        <f t="shared" si="240"/>
        <v xml:space="preserve"> MINICANVAS      </v>
      </c>
      <c r="H5129" s="20" t="str">
        <f t="shared" si="241"/>
        <v>COTBO</v>
      </c>
      <c r="I5129" s="20">
        <f t="shared" si="242"/>
        <v>0</v>
      </c>
    </row>
    <row r="5130" spans="1:9">
      <c r="A5130" s="17" t="s">
        <v>1960</v>
      </c>
      <c r="B5130" s="17" t="s">
        <v>1507</v>
      </c>
      <c r="C5130" s="17">
        <v>0</v>
      </c>
      <c r="D5130" s="17" t="s">
        <v>801</v>
      </c>
      <c r="E5130" s="18">
        <v>8056300453727</v>
      </c>
      <c r="G5130" s="20" t="str">
        <f t="shared" si="240"/>
        <v xml:space="preserve"> MINICANVAS      </v>
      </c>
      <c r="H5130" s="20" t="str">
        <f t="shared" si="241"/>
        <v>COTBO</v>
      </c>
      <c r="I5130" s="20">
        <f t="shared" si="242"/>
        <v>0</v>
      </c>
    </row>
    <row r="5131" spans="1:9">
      <c r="A5131" s="17" t="s">
        <v>1960</v>
      </c>
      <c r="B5131" s="17" t="s">
        <v>1508</v>
      </c>
      <c r="C5131" s="17">
        <v>0</v>
      </c>
      <c r="D5131" s="17" t="s">
        <v>801</v>
      </c>
      <c r="E5131" s="18">
        <v>3002641021007</v>
      </c>
      <c r="G5131" s="20" t="str">
        <f t="shared" si="240"/>
        <v xml:space="preserve"> MINICANVAS      </v>
      </c>
      <c r="H5131" s="20" t="str">
        <f t="shared" si="241"/>
        <v>COTGR</v>
      </c>
      <c r="I5131" s="20">
        <f t="shared" si="242"/>
        <v>0</v>
      </c>
    </row>
    <row r="5132" spans="1:9">
      <c r="A5132" s="17" t="s">
        <v>1960</v>
      </c>
      <c r="B5132" s="17" t="s">
        <v>1508</v>
      </c>
      <c r="C5132" s="17">
        <v>0</v>
      </c>
      <c r="D5132" s="17" t="s">
        <v>801</v>
      </c>
      <c r="E5132" s="18">
        <v>8056300453758</v>
      </c>
      <c r="G5132" s="20" t="str">
        <f t="shared" si="240"/>
        <v xml:space="preserve"> MINICANVAS      </v>
      </c>
      <c r="H5132" s="20" t="str">
        <f t="shared" si="241"/>
        <v>COTGR</v>
      </c>
      <c r="I5132" s="20">
        <f t="shared" si="242"/>
        <v>0</v>
      </c>
    </row>
    <row r="5133" spans="1:9">
      <c r="A5133" s="17" t="s">
        <v>1960</v>
      </c>
      <c r="B5133" s="17" t="s">
        <v>1962</v>
      </c>
      <c r="C5133" s="17">
        <v>0</v>
      </c>
      <c r="D5133" s="17" t="s">
        <v>801</v>
      </c>
      <c r="E5133" s="18">
        <v>3002641036001</v>
      </c>
      <c r="G5133" s="20" t="str">
        <f t="shared" si="240"/>
        <v xml:space="preserve"> MINICANVAS      </v>
      </c>
      <c r="H5133" s="20" t="str">
        <f t="shared" si="241"/>
        <v>COTVE</v>
      </c>
      <c r="I5133" s="20">
        <f t="shared" si="242"/>
        <v>0</v>
      </c>
    </row>
    <row r="5134" spans="1:9">
      <c r="A5134" s="17" t="s">
        <v>1960</v>
      </c>
      <c r="B5134" s="17" t="s">
        <v>1962</v>
      </c>
      <c r="C5134" s="17">
        <v>0</v>
      </c>
      <c r="D5134" s="17" t="s">
        <v>801</v>
      </c>
      <c r="E5134" s="18">
        <v>8056300453734</v>
      </c>
      <c r="G5134" s="20" t="str">
        <f t="shared" si="240"/>
        <v xml:space="preserve"> MINICANVAS      </v>
      </c>
      <c r="H5134" s="20" t="str">
        <f t="shared" si="241"/>
        <v>COTVE</v>
      </c>
      <c r="I5134" s="20">
        <f t="shared" si="242"/>
        <v>0</v>
      </c>
    </row>
    <row r="5135" spans="1:9">
      <c r="A5135" s="17" t="s">
        <v>1960</v>
      </c>
      <c r="B5135" s="17" t="s">
        <v>1084</v>
      </c>
      <c r="C5135" s="17">
        <v>0</v>
      </c>
      <c r="D5135" s="17" t="s">
        <v>801</v>
      </c>
      <c r="E5135" s="18">
        <v>3020550201006</v>
      </c>
      <c r="G5135" s="20" t="str">
        <f t="shared" si="240"/>
        <v xml:space="preserve"> MINICANVAS      </v>
      </c>
      <c r="H5135" s="20" t="str">
        <f t="shared" si="241"/>
        <v xml:space="preserve">DEN  </v>
      </c>
      <c r="I5135" s="20">
        <f t="shared" si="242"/>
        <v>0</v>
      </c>
    </row>
    <row r="5136" spans="1:9">
      <c r="A5136" s="17" t="s">
        <v>1960</v>
      </c>
      <c r="B5136" s="17" t="s">
        <v>1038</v>
      </c>
      <c r="C5136" s="17">
        <v>0</v>
      </c>
      <c r="D5136" s="17" t="s">
        <v>801</v>
      </c>
      <c r="E5136" s="18">
        <v>8050846013254</v>
      </c>
      <c r="G5136" s="20" t="str">
        <f t="shared" si="240"/>
        <v xml:space="preserve"> MINICANVAS      </v>
      </c>
      <c r="H5136" s="20" t="str">
        <f t="shared" si="241"/>
        <v>DIABL</v>
      </c>
      <c r="I5136" s="20">
        <f t="shared" si="242"/>
        <v>0</v>
      </c>
    </row>
    <row r="5137" spans="1:9">
      <c r="A5137" s="17" t="s">
        <v>1960</v>
      </c>
      <c r="B5137" s="17" t="s">
        <v>1085</v>
      </c>
      <c r="C5137" s="17">
        <v>0</v>
      </c>
      <c r="D5137" s="17" t="s">
        <v>801</v>
      </c>
      <c r="E5137" s="18">
        <v>3020550240005</v>
      </c>
      <c r="G5137" s="20" t="str">
        <f t="shared" si="240"/>
        <v xml:space="preserve"> MINICANVAS      </v>
      </c>
      <c r="H5137" s="20" t="str">
        <f t="shared" si="241"/>
        <v xml:space="preserve">FEUB </v>
      </c>
      <c r="I5137" s="20">
        <f t="shared" si="242"/>
        <v>0</v>
      </c>
    </row>
    <row r="5138" spans="1:9">
      <c r="A5138" s="17" t="s">
        <v>1960</v>
      </c>
      <c r="B5138" s="17" t="s">
        <v>1479</v>
      </c>
      <c r="C5138" s="17">
        <v>0</v>
      </c>
      <c r="D5138" s="17" t="s">
        <v>801</v>
      </c>
      <c r="E5138" s="18">
        <v>3002640717000</v>
      </c>
      <c r="G5138" s="20" t="str">
        <f t="shared" si="240"/>
        <v xml:space="preserve"> MINICANVAS      </v>
      </c>
      <c r="H5138" s="20" t="str">
        <f t="shared" si="241"/>
        <v>FEUIL</v>
      </c>
      <c r="I5138" s="20">
        <f t="shared" si="242"/>
        <v>0</v>
      </c>
    </row>
    <row r="5139" spans="1:9">
      <c r="A5139" s="17" t="s">
        <v>1960</v>
      </c>
      <c r="B5139" s="17" t="s">
        <v>1086</v>
      </c>
      <c r="C5139" s="17">
        <v>0</v>
      </c>
      <c r="D5139" s="17" t="s">
        <v>801</v>
      </c>
      <c r="E5139" s="18">
        <v>3020550241002</v>
      </c>
      <c r="G5139" s="20" t="str">
        <f t="shared" si="240"/>
        <v xml:space="preserve"> MINICANVAS      </v>
      </c>
      <c r="H5139" s="20" t="str">
        <f t="shared" si="241"/>
        <v xml:space="preserve">FEUM </v>
      </c>
      <c r="I5139" s="20">
        <f t="shared" si="242"/>
        <v>0</v>
      </c>
    </row>
    <row r="5140" spans="1:9">
      <c r="A5140" s="17" t="s">
        <v>1960</v>
      </c>
      <c r="B5140" s="17" t="s">
        <v>1087</v>
      </c>
      <c r="C5140" s="17">
        <v>0</v>
      </c>
      <c r="D5140" s="17" t="s">
        <v>801</v>
      </c>
      <c r="E5140" s="18">
        <v>3020550243006</v>
      </c>
      <c r="G5140" s="20" t="str">
        <f t="shared" si="240"/>
        <v xml:space="preserve"> MINICANVAS      </v>
      </c>
      <c r="H5140" s="20" t="str">
        <f t="shared" si="241"/>
        <v>FEUPE</v>
      </c>
      <c r="I5140" s="20">
        <f t="shared" si="242"/>
        <v>0</v>
      </c>
    </row>
    <row r="5141" spans="1:9">
      <c r="A5141" s="17" t="s">
        <v>1960</v>
      </c>
      <c r="B5141" s="17" t="s">
        <v>1088</v>
      </c>
      <c r="C5141" s="17">
        <v>0</v>
      </c>
      <c r="D5141" s="17" t="s">
        <v>801</v>
      </c>
      <c r="E5141" s="18">
        <v>3020550242009</v>
      </c>
      <c r="G5141" s="20" t="str">
        <f t="shared" si="240"/>
        <v xml:space="preserve"> MINICANVAS      </v>
      </c>
      <c r="H5141" s="20" t="str">
        <f t="shared" si="241"/>
        <v xml:space="preserve">FEUR </v>
      </c>
      <c r="I5141" s="20">
        <f t="shared" si="242"/>
        <v>0</v>
      </c>
    </row>
    <row r="5142" spans="1:9">
      <c r="A5142" s="17" t="s">
        <v>1960</v>
      </c>
      <c r="B5142" s="17" t="s">
        <v>1963</v>
      </c>
      <c r="C5142" s="17">
        <v>0</v>
      </c>
      <c r="D5142" s="17" t="s">
        <v>801</v>
      </c>
      <c r="E5142" s="18">
        <v>3020551192006</v>
      </c>
      <c r="G5142" s="20" t="str">
        <f t="shared" si="240"/>
        <v xml:space="preserve"> MINICANVAS      </v>
      </c>
      <c r="H5142" s="20" t="str">
        <f t="shared" si="241"/>
        <v xml:space="preserve">FLA  </v>
      </c>
      <c r="I5142" s="20">
        <f t="shared" si="242"/>
        <v>0</v>
      </c>
    </row>
    <row r="5143" spans="1:9">
      <c r="A5143" s="17" t="s">
        <v>1960</v>
      </c>
      <c r="B5143" s="17" t="s">
        <v>1514</v>
      </c>
      <c r="C5143" s="17">
        <v>0</v>
      </c>
      <c r="D5143" s="17" t="s">
        <v>801</v>
      </c>
      <c r="E5143" s="18">
        <v>8050538590728</v>
      </c>
      <c r="G5143" s="20" t="str">
        <f t="shared" si="240"/>
        <v xml:space="preserve"> MINICANVAS      </v>
      </c>
      <c r="H5143" s="20" t="str">
        <f t="shared" si="241"/>
        <v>FLABO</v>
      </c>
      <c r="I5143" s="20">
        <f t="shared" si="242"/>
        <v>0</v>
      </c>
    </row>
    <row r="5144" spans="1:9">
      <c r="A5144" s="17" t="s">
        <v>1960</v>
      </c>
      <c r="B5144" s="17" t="s">
        <v>833</v>
      </c>
      <c r="C5144" s="17">
        <v>0</v>
      </c>
      <c r="D5144" s="17" t="s">
        <v>801</v>
      </c>
      <c r="E5144" s="18">
        <v>3002640700002</v>
      </c>
      <c r="G5144" s="20" t="str">
        <f t="shared" si="240"/>
        <v xml:space="preserve"> MINICANVAS      </v>
      </c>
      <c r="H5144" s="20" t="str">
        <f t="shared" si="241"/>
        <v>FLACQ</v>
      </c>
      <c r="I5144" s="20">
        <f t="shared" si="242"/>
        <v>0</v>
      </c>
    </row>
    <row r="5145" spans="1:9">
      <c r="A5145" s="17" t="s">
        <v>1960</v>
      </c>
      <c r="B5145" s="17" t="s">
        <v>1544</v>
      </c>
      <c r="C5145" s="17">
        <v>0</v>
      </c>
      <c r="D5145" s="17" t="s">
        <v>801</v>
      </c>
      <c r="E5145" s="18">
        <v>8050846013438</v>
      </c>
      <c r="G5145" s="20" t="str">
        <f t="shared" si="240"/>
        <v xml:space="preserve"> MINICANVAS      </v>
      </c>
      <c r="H5145" s="20" t="str">
        <f t="shared" si="241"/>
        <v>FLANO</v>
      </c>
      <c r="I5145" s="20">
        <f t="shared" si="242"/>
        <v>0</v>
      </c>
    </row>
    <row r="5146" spans="1:9">
      <c r="A5146" s="17" t="s">
        <v>1960</v>
      </c>
      <c r="B5146" s="17" t="s">
        <v>1545</v>
      </c>
      <c r="C5146" s="17">
        <v>0</v>
      </c>
      <c r="D5146" s="17" t="s">
        <v>801</v>
      </c>
      <c r="E5146" s="18">
        <v>8056099178252</v>
      </c>
      <c r="G5146" s="20" t="str">
        <f t="shared" si="240"/>
        <v xml:space="preserve"> MINICANVAS      </v>
      </c>
      <c r="H5146" s="20" t="str">
        <f t="shared" si="241"/>
        <v>FLAOT</v>
      </c>
      <c r="I5146" s="20">
        <f t="shared" si="242"/>
        <v>0</v>
      </c>
    </row>
    <row r="5147" spans="1:9">
      <c r="A5147" s="17" t="s">
        <v>1960</v>
      </c>
      <c r="B5147" s="17" t="s">
        <v>1606</v>
      </c>
      <c r="C5147" s="17">
        <v>0</v>
      </c>
      <c r="D5147" s="17" t="s">
        <v>801</v>
      </c>
      <c r="E5147" s="18">
        <v>3002641453006</v>
      </c>
      <c r="G5147" s="20" t="str">
        <f t="shared" si="240"/>
        <v xml:space="preserve"> MINICANVAS      </v>
      </c>
      <c r="H5147" s="20" t="str">
        <f t="shared" si="241"/>
        <v>FLBLA</v>
      </c>
      <c r="I5147" s="20">
        <f t="shared" si="242"/>
        <v>0</v>
      </c>
    </row>
    <row r="5148" spans="1:9">
      <c r="A5148" s="17" t="s">
        <v>1960</v>
      </c>
      <c r="B5148" s="17" t="s">
        <v>1607</v>
      </c>
      <c r="C5148" s="17">
        <v>0</v>
      </c>
      <c r="D5148" s="17" t="s">
        <v>801</v>
      </c>
      <c r="E5148" s="18">
        <v>3020551104009</v>
      </c>
      <c r="G5148" s="20" t="str">
        <f t="shared" si="240"/>
        <v xml:space="preserve"> MINICANVAS      </v>
      </c>
      <c r="H5148" s="20" t="str">
        <f t="shared" si="241"/>
        <v>FLEUR</v>
      </c>
      <c r="I5148" s="20">
        <f t="shared" si="242"/>
        <v>0</v>
      </c>
    </row>
    <row r="5149" spans="1:9">
      <c r="A5149" s="17" t="s">
        <v>1960</v>
      </c>
      <c r="B5149" s="17" t="s">
        <v>1764</v>
      </c>
      <c r="C5149" s="17">
        <v>0</v>
      </c>
      <c r="D5149" s="17" t="s">
        <v>801</v>
      </c>
      <c r="E5149" s="18">
        <v>3002640327001</v>
      </c>
      <c r="G5149" s="20" t="str">
        <f t="shared" si="240"/>
        <v xml:space="preserve"> MINICANVAS      </v>
      </c>
      <c r="H5149" s="20" t="str">
        <f t="shared" si="241"/>
        <v>FLNOI</v>
      </c>
      <c r="I5149" s="20">
        <f t="shared" si="242"/>
        <v>0</v>
      </c>
    </row>
    <row r="5150" spans="1:9">
      <c r="A5150" s="17" t="s">
        <v>1960</v>
      </c>
      <c r="B5150" s="17" t="s">
        <v>1356</v>
      </c>
      <c r="C5150" s="17">
        <v>0</v>
      </c>
      <c r="D5150" s="17" t="s">
        <v>801</v>
      </c>
      <c r="E5150" s="18">
        <v>3002640761003</v>
      </c>
      <c r="G5150" s="20" t="str">
        <f t="shared" si="240"/>
        <v xml:space="preserve"> MINICANVAS      </v>
      </c>
      <c r="H5150" s="20" t="str">
        <f t="shared" si="241"/>
        <v>FLOWE</v>
      </c>
      <c r="I5150" s="20">
        <f t="shared" si="242"/>
        <v>0</v>
      </c>
    </row>
    <row r="5151" spans="1:9">
      <c r="A5151" s="17" t="s">
        <v>1960</v>
      </c>
      <c r="B5151" s="17" t="s">
        <v>1546</v>
      </c>
      <c r="C5151" s="17">
        <v>0</v>
      </c>
      <c r="D5151" s="17" t="s">
        <v>801</v>
      </c>
      <c r="E5151" s="18">
        <v>8050846019201</v>
      </c>
      <c r="G5151" s="20" t="str">
        <f t="shared" si="240"/>
        <v xml:space="preserve"> MINICANVAS      </v>
      </c>
      <c r="H5151" s="20" t="str">
        <f t="shared" si="241"/>
        <v>FLSAN</v>
      </c>
      <c r="I5151" s="20">
        <f t="shared" si="242"/>
        <v>0</v>
      </c>
    </row>
    <row r="5152" spans="1:9">
      <c r="A5152" s="17" t="s">
        <v>1960</v>
      </c>
      <c r="B5152" s="17" t="s">
        <v>945</v>
      </c>
      <c r="C5152" s="17">
        <v>0</v>
      </c>
      <c r="D5152" s="17" t="s">
        <v>801</v>
      </c>
      <c r="E5152" s="18">
        <v>8050538590353</v>
      </c>
      <c r="G5152" s="20" t="str">
        <f t="shared" si="240"/>
        <v xml:space="preserve"> MINICANVAS      </v>
      </c>
      <c r="H5152" s="20" t="str">
        <f t="shared" si="241"/>
        <v>FOLKB</v>
      </c>
      <c r="I5152" s="20">
        <f t="shared" si="242"/>
        <v>0</v>
      </c>
    </row>
    <row r="5153" spans="1:9">
      <c r="A5153" s="17" t="s">
        <v>1960</v>
      </c>
      <c r="B5153" s="17" t="s">
        <v>967</v>
      </c>
      <c r="C5153" s="17">
        <v>0</v>
      </c>
      <c r="D5153" s="17" t="s">
        <v>801</v>
      </c>
      <c r="E5153" s="18">
        <v>8050538590865</v>
      </c>
      <c r="G5153" s="20" t="str">
        <f t="shared" si="240"/>
        <v xml:space="preserve"> MINICANVAS      </v>
      </c>
      <c r="H5153" s="20" t="str">
        <f t="shared" si="241"/>
        <v>FOLKO</v>
      </c>
      <c r="I5153" s="20">
        <f t="shared" si="242"/>
        <v>0</v>
      </c>
    </row>
    <row r="5154" spans="1:9">
      <c r="A5154" s="17" t="s">
        <v>1960</v>
      </c>
      <c r="B5154" s="17" t="s">
        <v>1277</v>
      </c>
      <c r="C5154" s="17">
        <v>0</v>
      </c>
      <c r="D5154" s="17" t="s">
        <v>801</v>
      </c>
      <c r="E5154" s="18">
        <v>3020550429004</v>
      </c>
      <c r="G5154" s="20" t="str">
        <f t="shared" si="240"/>
        <v xml:space="preserve"> MINICANVAS      </v>
      </c>
      <c r="H5154" s="20" t="str">
        <f t="shared" si="241"/>
        <v>FOULA</v>
      </c>
      <c r="I5154" s="20">
        <f t="shared" si="242"/>
        <v>0</v>
      </c>
    </row>
    <row r="5155" spans="1:9">
      <c r="A5155" s="17" t="s">
        <v>1960</v>
      </c>
      <c r="B5155" s="17" t="s">
        <v>1277</v>
      </c>
      <c r="C5155" s="17">
        <v>0</v>
      </c>
      <c r="D5155" s="17" t="s">
        <v>801</v>
      </c>
      <c r="E5155" s="18">
        <v>8056095065341</v>
      </c>
      <c r="G5155" s="20" t="str">
        <f t="shared" si="240"/>
        <v xml:space="preserve"> MINICANVAS      </v>
      </c>
      <c r="H5155" s="20" t="str">
        <f t="shared" si="241"/>
        <v>FOULA</v>
      </c>
      <c r="I5155" s="20">
        <f t="shared" si="242"/>
        <v>0</v>
      </c>
    </row>
    <row r="5156" spans="1:9">
      <c r="A5156" s="17" t="s">
        <v>1960</v>
      </c>
      <c r="B5156" s="17" t="s">
        <v>1091</v>
      </c>
      <c r="C5156" s="17">
        <v>0</v>
      </c>
      <c r="D5156" s="17" t="s">
        <v>801</v>
      </c>
      <c r="E5156" s="18">
        <v>3020550190003</v>
      </c>
      <c r="G5156" s="20" t="str">
        <f t="shared" si="240"/>
        <v xml:space="preserve"> MINICANVAS      </v>
      </c>
      <c r="H5156" s="20" t="str">
        <f t="shared" si="241"/>
        <v>HAWAI</v>
      </c>
      <c r="I5156" s="20">
        <f t="shared" si="242"/>
        <v>0</v>
      </c>
    </row>
    <row r="5157" spans="1:9">
      <c r="A5157" s="17" t="s">
        <v>1960</v>
      </c>
      <c r="B5157" s="17" t="s">
        <v>1964</v>
      </c>
      <c r="C5157" s="17">
        <v>0</v>
      </c>
      <c r="D5157" s="17" t="s">
        <v>801</v>
      </c>
      <c r="E5157" s="18">
        <v>3002641034007</v>
      </c>
      <c r="G5157" s="20" t="str">
        <f t="shared" si="240"/>
        <v xml:space="preserve"> MINICANVAS      </v>
      </c>
      <c r="H5157" s="20" t="str">
        <f t="shared" si="241"/>
        <v>INDBR</v>
      </c>
      <c r="I5157" s="20">
        <f t="shared" si="242"/>
        <v>0</v>
      </c>
    </row>
    <row r="5158" spans="1:9">
      <c r="A5158" s="17" t="s">
        <v>1960</v>
      </c>
      <c r="B5158" s="17" t="s">
        <v>1964</v>
      </c>
      <c r="C5158" s="17">
        <v>0</v>
      </c>
      <c r="D5158" s="17" t="s">
        <v>801</v>
      </c>
      <c r="E5158" s="18">
        <v>3020550694006</v>
      </c>
      <c r="G5158" s="20" t="str">
        <f t="shared" si="240"/>
        <v xml:space="preserve"> MINICANVAS      </v>
      </c>
      <c r="H5158" s="20" t="str">
        <f t="shared" si="241"/>
        <v>INDBR</v>
      </c>
      <c r="I5158" s="20">
        <f t="shared" si="242"/>
        <v>0</v>
      </c>
    </row>
    <row r="5159" spans="1:9">
      <c r="A5159" s="17" t="s">
        <v>1960</v>
      </c>
      <c r="B5159" s="17" t="s">
        <v>1964</v>
      </c>
      <c r="C5159" s="17">
        <v>0</v>
      </c>
      <c r="D5159" s="17" t="s">
        <v>801</v>
      </c>
      <c r="E5159" s="18">
        <v>8056300453710</v>
      </c>
      <c r="G5159" s="20" t="str">
        <f t="shared" si="240"/>
        <v xml:space="preserve"> MINICANVAS      </v>
      </c>
      <c r="H5159" s="20" t="str">
        <f t="shared" si="241"/>
        <v>INDBR</v>
      </c>
      <c r="I5159" s="20">
        <f t="shared" si="242"/>
        <v>0</v>
      </c>
    </row>
    <row r="5160" spans="1:9">
      <c r="A5160" s="17" t="s">
        <v>1960</v>
      </c>
      <c r="B5160" s="17" t="s">
        <v>1965</v>
      </c>
      <c r="C5160" s="17">
        <v>0</v>
      </c>
      <c r="D5160" s="17" t="s">
        <v>801</v>
      </c>
      <c r="E5160" s="18">
        <v>3002641033000</v>
      </c>
      <c r="G5160" s="20" t="str">
        <f t="shared" si="240"/>
        <v xml:space="preserve"> MINICANVAS      </v>
      </c>
      <c r="H5160" s="20" t="str">
        <f t="shared" si="241"/>
        <v>INDGR</v>
      </c>
      <c r="I5160" s="20">
        <f t="shared" si="242"/>
        <v>0</v>
      </c>
    </row>
    <row r="5161" spans="1:9">
      <c r="A5161" s="17" t="s">
        <v>1960</v>
      </c>
      <c r="B5161" s="17" t="s">
        <v>1965</v>
      </c>
      <c r="C5161" s="17">
        <v>0</v>
      </c>
      <c r="D5161" s="17" t="s">
        <v>801</v>
      </c>
      <c r="E5161" s="18">
        <v>3020550693009</v>
      </c>
      <c r="G5161" s="20" t="str">
        <f t="shared" si="240"/>
        <v xml:space="preserve"> MINICANVAS      </v>
      </c>
      <c r="H5161" s="20" t="str">
        <f t="shared" si="241"/>
        <v>INDGR</v>
      </c>
      <c r="I5161" s="20">
        <f t="shared" si="242"/>
        <v>0</v>
      </c>
    </row>
    <row r="5162" spans="1:9">
      <c r="A5162" s="17" t="s">
        <v>1960</v>
      </c>
      <c r="B5162" s="17" t="s">
        <v>1965</v>
      </c>
      <c r="C5162" s="17">
        <v>0</v>
      </c>
      <c r="D5162" s="17" t="s">
        <v>801</v>
      </c>
      <c r="E5162" s="18">
        <v>8056300453703</v>
      </c>
      <c r="G5162" s="20" t="str">
        <f t="shared" si="240"/>
        <v xml:space="preserve"> MINICANVAS      </v>
      </c>
      <c r="H5162" s="20" t="str">
        <f t="shared" si="241"/>
        <v>INDGR</v>
      </c>
      <c r="I5162" s="20">
        <f t="shared" si="242"/>
        <v>0</v>
      </c>
    </row>
    <row r="5163" spans="1:9">
      <c r="A5163" s="17" t="s">
        <v>1960</v>
      </c>
      <c r="B5163" s="17" t="s">
        <v>1040</v>
      </c>
      <c r="C5163" s="17">
        <v>0</v>
      </c>
      <c r="D5163" s="17" t="s">
        <v>801</v>
      </c>
      <c r="E5163" s="18">
        <v>8050538590810</v>
      </c>
      <c r="G5163" s="20" t="str">
        <f t="shared" si="240"/>
        <v xml:space="preserve"> MINICANVAS      </v>
      </c>
      <c r="H5163" s="20" t="str">
        <f t="shared" si="241"/>
        <v>JACRO</v>
      </c>
      <c r="I5163" s="20">
        <f t="shared" si="242"/>
        <v>0</v>
      </c>
    </row>
    <row r="5164" spans="1:9">
      <c r="A5164" s="17" t="s">
        <v>1960</v>
      </c>
      <c r="B5164" s="17" t="s">
        <v>1040</v>
      </c>
      <c r="C5164" s="17">
        <v>0</v>
      </c>
      <c r="D5164" s="17" t="s">
        <v>801</v>
      </c>
      <c r="E5164" s="18">
        <v>8050846009899</v>
      </c>
      <c r="G5164" s="20" t="str">
        <f t="shared" si="240"/>
        <v xml:space="preserve"> MINICANVAS      </v>
      </c>
      <c r="H5164" s="20" t="str">
        <f t="shared" si="241"/>
        <v>JACRO</v>
      </c>
      <c r="I5164" s="20">
        <f t="shared" si="242"/>
        <v>0</v>
      </c>
    </row>
    <row r="5165" spans="1:9">
      <c r="A5165" s="17" t="s">
        <v>1960</v>
      </c>
      <c r="B5165" s="17" t="s">
        <v>1299</v>
      </c>
      <c r="C5165" s="17">
        <v>0</v>
      </c>
      <c r="D5165" s="17" t="s">
        <v>801</v>
      </c>
      <c r="E5165" s="18">
        <v>3002640639005</v>
      </c>
      <c r="G5165" s="20" t="str">
        <f t="shared" si="240"/>
        <v xml:space="preserve"> MINICANVAS      </v>
      </c>
      <c r="H5165" s="20" t="str">
        <f t="shared" si="241"/>
        <v>LAIBL</v>
      </c>
      <c r="I5165" s="20">
        <f t="shared" si="242"/>
        <v>0</v>
      </c>
    </row>
    <row r="5166" spans="1:9">
      <c r="A5166" s="17" t="s">
        <v>1960</v>
      </c>
      <c r="B5166" s="17" t="s">
        <v>1515</v>
      </c>
      <c r="C5166" s="17">
        <v>0</v>
      </c>
      <c r="D5166" s="17" t="s">
        <v>801</v>
      </c>
      <c r="E5166" s="18">
        <v>8056099177262</v>
      </c>
      <c r="G5166" s="20" t="str">
        <f t="shared" si="240"/>
        <v xml:space="preserve"> MINICANVAS      </v>
      </c>
      <c r="H5166" s="20" t="str">
        <f t="shared" si="241"/>
        <v>LAIBO</v>
      </c>
      <c r="I5166" s="20">
        <f t="shared" si="242"/>
        <v>0</v>
      </c>
    </row>
    <row r="5167" spans="1:9">
      <c r="A5167" s="17" t="s">
        <v>1960</v>
      </c>
      <c r="B5167" s="17" t="s">
        <v>1966</v>
      </c>
      <c r="C5167" s="17">
        <v>0</v>
      </c>
      <c r="D5167" s="17" t="s">
        <v>801</v>
      </c>
      <c r="E5167" s="18">
        <v>3020550695003</v>
      </c>
      <c r="G5167" s="20" t="str">
        <f t="shared" si="240"/>
        <v xml:space="preserve"> MINICANVAS      </v>
      </c>
      <c r="H5167" s="20" t="str">
        <f t="shared" si="241"/>
        <v>LAIDA</v>
      </c>
      <c r="I5167" s="20">
        <f t="shared" si="242"/>
        <v>0</v>
      </c>
    </row>
    <row r="5168" spans="1:9">
      <c r="A5168" s="17" t="s">
        <v>1960</v>
      </c>
      <c r="B5168" s="17" t="s">
        <v>1516</v>
      </c>
      <c r="C5168" s="17">
        <v>0</v>
      </c>
      <c r="D5168" s="17" t="s">
        <v>801</v>
      </c>
      <c r="E5168" s="18">
        <v>3002640640001</v>
      </c>
      <c r="G5168" s="20" t="str">
        <f t="shared" si="240"/>
        <v xml:space="preserve"> MINICANVAS      </v>
      </c>
      <c r="H5168" s="20" t="str">
        <f t="shared" si="241"/>
        <v>LAIGR</v>
      </c>
      <c r="I5168" s="20">
        <f t="shared" si="242"/>
        <v>0</v>
      </c>
    </row>
    <row r="5169" spans="1:9">
      <c r="A5169" s="17" t="s">
        <v>1960</v>
      </c>
      <c r="B5169" s="17" t="s">
        <v>1937</v>
      </c>
      <c r="C5169" s="17">
        <v>0</v>
      </c>
      <c r="D5169" s="17" t="s">
        <v>801</v>
      </c>
      <c r="E5169" s="18">
        <v>3002640641008</v>
      </c>
      <c r="G5169" s="20" t="str">
        <f t="shared" si="240"/>
        <v xml:space="preserve"> MINICANVAS      </v>
      </c>
      <c r="H5169" s="20" t="str">
        <f t="shared" si="241"/>
        <v>LAIMA</v>
      </c>
      <c r="I5169" s="20">
        <f t="shared" si="242"/>
        <v>0</v>
      </c>
    </row>
    <row r="5170" spans="1:9">
      <c r="A5170" s="17" t="s">
        <v>1960</v>
      </c>
      <c r="B5170" s="17" t="s">
        <v>1367</v>
      </c>
      <c r="C5170" s="17">
        <v>0</v>
      </c>
      <c r="D5170" s="17" t="s">
        <v>801</v>
      </c>
      <c r="E5170" s="18">
        <v>3002640347009</v>
      </c>
      <c r="G5170" s="20" t="str">
        <f t="shared" si="240"/>
        <v xml:space="preserve"> MINICANVAS      </v>
      </c>
      <c r="H5170" s="20" t="str">
        <f t="shared" si="241"/>
        <v>LAINB</v>
      </c>
      <c r="I5170" s="20">
        <f t="shared" si="242"/>
        <v>0</v>
      </c>
    </row>
    <row r="5171" spans="1:9">
      <c r="A5171" s="17" t="s">
        <v>1960</v>
      </c>
      <c r="B5171" s="17" t="s">
        <v>1322</v>
      </c>
      <c r="C5171" s="17">
        <v>0</v>
      </c>
      <c r="D5171" s="17" t="s">
        <v>801</v>
      </c>
      <c r="E5171" s="18">
        <v>8056099177989</v>
      </c>
      <c r="G5171" s="20" t="str">
        <f t="shared" si="240"/>
        <v xml:space="preserve"> MINICANVAS      </v>
      </c>
      <c r="H5171" s="20" t="str">
        <f t="shared" si="241"/>
        <v>LAINO</v>
      </c>
      <c r="I5171" s="20">
        <f t="shared" si="242"/>
        <v>0</v>
      </c>
    </row>
    <row r="5172" spans="1:9">
      <c r="A5172" s="17" t="s">
        <v>1960</v>
      </c>
      <c r="B5172" s="17" t="s">
        <v>1368</v>
      </c>
      <c r="C5172" s="17">
        <v>0</v>
      </c>
      <c r="D5172" s="17" t="s">
        <v>801</v>
      </c>
      <c r="E5172" s="18">
        <v>3002641516008</v>
      </c>
      <c r="G5172" s="20" t="str">
        <f t="shared" si="240"/>
        <v xml:space="preserve"> MINICANVAS      </v>
      </c>
      <c r="H5172" s="20" t="str">
        <f t="shared" si="241"/>
        <v>LAIPH</v>
      </c>
      <c r="I5172" s="20">
        <f t="shared" si="242"/>
        <v>0</v>
      </c>
    </row>
    <row r="5173" spans="1:9">
      <c r="A5173" s="17" t="s">
        <v>1960</v>
      </c>
      <c r="B5173" s="17" t="s">
        <v>1368</v>
      </c>
      <c r="C5173" s="17">
        <v>0</v>
      </c>
      <c r="D5173" s="17" t="s">
        <v>801</v>
      </c>
      <c r="E5173" s="18">
        <v>8050846012561</v>
      </c>
      <c r="G5173" s="20" t="str">
        <f t="shared" si="240"/>
        <v xml:space="preserve"> MINICANVAS      </v>
      </c>
      <c r="H5173" s="20" t="str">
        <f t="shared" si="241"/>
        <v>LAIPH</v>
      </c>
      <c r="I5173" s="20">
        <f t="shared" si="242"/>
        <v>0</v>
      </c>
    </row>
    <row r="5174" spans="1:9">
      <c r="A5174" s="17" t="s">
        <v>1960</v>
      </c>
      <c r="B5174" s="17" t="s">
        <v>1967</v>
      </c>
      <c r="C5174" s="17">
        <v>0</v>
      </c>
      <c r="D5174" s="17" t="s">
        <v>801</v>
      </c>
      <c r="E5174" s="18">
        <v>3002641043009</v>
      </c>
      <c r="G5174" s="20" t="str">
        <f t="shared" si="240"/>
        <v xml:space="preserve"> MINICANVAS      </v>
      </c>
      <c r="H5174" s="20" t="str">
        <f t="shared" si="241"/>
        <v>LIGNE</v>
      </c>
      <c r="I5174" s="20">
        <f t="shared" si="242"/>
        <v>0</v>
      </c>
    </row>
    <row r="5175" spans="1:9">
      <c r="A5175" s="17" t="s">
        <v>1960</v>
      </c>
      <c r="B5175" s="17" t="s">
        <v>1611</v>
      </c>
      <c r="C5175" s="17">
        <v>0</v>
      </c>
      <c r="D5175" s="17" t="s">
        <v>801</v>
      </c>
      <c r="E5175" s="18">
        <v>8056300452102</v>
      </c>
      <c r="G5175" s="20" t="str">
        <f t="shared" si="240"/>
        <v xml:space="preserve"> MINICANVAS      </v>
      </c>
      <c r="H5175" s="20" t="str">
        <f t="shared" si="241"/>
        <v>LINEE</v>
      </c>
      <c r="I5175" s="20">
        <f t="shared" si="242"/>
        <v>0</v>
      </c>
    </row>
    <row r="5176" spans="1:9">
      <c r="A5176" s="17" t="s">
        <v>1960</v>
      </c>
      <c r="B5176" s="17" t="s">
        <v>1372</v>
      </c>
      <c r="C5176" s="17">
        <v>0</v>
      </c>
      <c r="D5176" s="17" t="s">
        <v>801</v>
      </c>
      <c r="E5176" s="18">
        <v>3020550861002</v>
      </c>
      <c r="G5176" s="20" t="str">
        <f t="shared" si="240"/>
        <v xml:space="preserve"> MINICANVAS      </v>
      </c>
      <c r="H5176" s="20" t="str">
        <f t="shared" si="241"/>
        <v>LINPH</v>
      </c>
      <c r="I5176" s="20">
        <f t="shared" si="242"/>
        <v>0</v>
      </c>
    </row>
    <row r="5177" spans="1:9">
      <c r="A5177" s="17" t="s">
        <v>1960</v>
      </c>
      <c r="B5177" s="17" t="s">
        <v>1372</v>
      </c>
      <c r="C5177" s="17">
        <v>0</v>
      </c>
      <c r="D5177" s="17" t="s">
        <v>801</v>
      </c>
      <c r="E5177" s="18">
        <v>8056095064856</v>
      </c>
      <c r="G5177" s="20" t="str">
        <f t="shared" si="240"/>
        <v xml:space="preserve"> MINICANVAS      </v>
      </c>
      <c r="H5177" s="20" t="str">
        <f t="shared" si="241"/>
        <v>LINPH</v>
      </c>
      <c r="I5177" s="20">
        <f t="shared" si="242"/>
        <v>0</v>
      </c>
    </row>
    <row r="5178" spans="1:9">
      <c r="A5178" s="17" t="s">
        <v>1960</v>
      </c>
      <c r="B5178" s="17" t="s">
        <v>1483</v>
      </c>
      <c r="C5178" s="17">
        <v>0</v>
      </c>
      <c r="D5178" s="17" t="s">
        <v>801</v>
      </c>
      <c r="E5178" s="18">
        <v>3020550862009</v>
      </c>
      <c r="G5178" s="20" t="str">
        <f t="shared" si="240"/>
        <v xml:space="preserve"> MINICANVAS      </v>
      </c>
      <c r="H5178" s="20" t="str">
        <f t="shared" si="241"/>
        <v>LINTO</v>
      </c>
      <c r="I5178" s="20">
        <f t="shared" si="242"/>
        <v>0</v>
      </c>
    </row>
    <row r="5179" spans="1:9">
      <c r="A5179" s="17" t="s">
        <v>1960</v>
      </c>
      <c r="B5179" s="17" t="s">
        <v>1483</v>
      </c>
      <c r="C5179" s="17">
        <v>0</v>
      </c>
      <c r="D5179" s="17" t="s">
        <v>801</v>
      </c>
      <c r="E5179" s="18">
        <v>8056095064863</v>
      </c>
      <c r="G5179" s="20" t="str">
        <f t="shared" si="240"/>
        <v xml:space="preserve"> MINICANVAS      </v>
      </c>
      <c r="H5179" s="20" t="str">
        <f t="shared" si="241"/>
        <v>LINTO</v>
      </c>
      <c r="I5179" s="20">
        <f t="shared" si="242"/>
        <v>0</v>
      </c>
    </row>
    <row r="5180" spans="1:9">
      <c r="A5180" s="17" t="s">
        <v>1960</v>
      </c>
      <c r="B5180" s="17" t="s">
        <v>1120</v>
      </c>
      <c r="C5180" s="17">
        <v>0</v>
      </c>
      <c r="D5180" s="17" t="s">
        <v>801</v>
      </c>
      <c r="E5180" s="18">
        <v>3002640779008</v>
      </c>
      <c r="G5180" s="20" t="str">
        <f t="shared" si="240"/>
        <v xml:space="preserve"> MINICANVAS      </v>
      </c>
      <c r="H5180" s="20" t="str">
        <f t="shared" si="241"/>
        <v>MAGEN</v>
      </c>
      <c r="I5180" s="20">
        <f t="shared" si="242"/>
        <v>0</v>
      </c>
    </row>
    <row r="5181" spans="1:9">
      <c r="A5181" s="17" t="s">
        <v>1960</v>
      </c>
      <c r="B5181" s="17" t="s">
        <v>1484</v>
      </c>
      <c r="C5181" s="17">
        <v>0</v>
      </c>
      <c r="D5181" s="17" t="s">
        <v>801</v>
      </c>
      <c r="E5181" s="18">
        <v>3002640696008</v>
      </c>
      <c r="G5181" s="20" t="str">
        <f t="shared" si="240"/>
        <v xml:space="preserve"> MINICANVAS      </v>
      </c>
      <c r="H5181" s="20" t="str">
        <f t="shared" si="241"/>
        <v>MAIBL</v>
      </c>
      <c r="I5181" s="20">
        <f t="shared" si="242"/>
        <v>0</v>
      </c>
    </row>
    <row r="5182" spans="1:9">
      <c r="A5182" s="17" t="s">
        <v>1960</v>
      </c>
      <c r="B5182" s="17" t="s">
        <v>1485</v>
      </c>
      <c r="C5182" s="17">
        <v>0</v>
      </c>
      <c r="D5182" s="17" t="s">
        <v>801</v>
      </c>
      <c r="E5182" s="18">
        <v>3002640697005</v>
      </c>
      <c r="G5182" s="20" t="str">
        <f t="shared" si="240"/>
        <v xml:space="preserve"> MINICANVAS      </v>
      </c>
      <c r="H5182" s="20" t="str">
        <f t="shared" si="241"/>
        <v>MAIGR</v>
      </c>
      <c r="I5182" s="20">
        <f t="shared" si="242"/>
        <v>0</v>
      </c>
    </row>
    <row r="5183" spans="1:9">
      <c r="A5183" s="17" t="s">
        <v>1960</v>
      </c>
      <c r="B5183" s="17" t="s">
        <v>1066</v>
      </c>
      <c r="C5183" s="17">
        <v>0</v>
      </c>
      <c r="D5183" s="17" t="s">
        <v>801</v>
      </c>
      <c r="E5183" s="18">
        <v>8050846013520</v>
      </c>
      <c r="G5183" s="20" t="str">
        <f t="shared" si="240"/>
        <v xml:space="preserve"> MINICANVAS      </v>
      </c>
      <c r="H5183" s="20" t="str">
        <f t="shared" si="241"/>
        <v>MIBLU</v>
      </c>
      <c r="I5183" s="20">
        <f t="shared" si="242"/>
        <v>0</v>
      </c>
    </row>
    <row r="5184" spans="1:9">
      <c r="A5184" s="17" t="s">
        <v>1960</v>
      </c>
      <c r="B5184" s="17" t="s">
        <v>1551</v>
      </c>
      <c r="C5184" s="17">
        <v>0</v>
      </c>
      <c r="D5184" s="17" t="s">
        <v>801</v>
      </c>
      <c r="E5184" s="18">
        <v>8050846013513</v>
      </c>
      <c r="G5184" s="20" t="str">
        <f t="shared" si="240"/>
        <v xml:space="preserve"> MINICANVAS      </v>
      </c>
      <c r="H5184" s="20" t="str">
        <f t="shared" si="241"/>
        <v>MICOT</v>
      </c>
      <c r="I5184" s="20">
        <f t="shared" si="242"/>
        <v>0</v>
      </c>
    </row>
    <row r="5185" spans="1:9">
      <c r="A5185" s="17" t="s">
        <v>1960</v>
      </c>
      <c r="B5185" s="17" t="s">
        <v>1554</v>
      </c>
      <c r="C5185" s="17">
        <v>0</v>
      </c>
      <c r="D5185" s="17" t="s">
        <v>801</v>
      </c>
      <c r="E5185" s="18">
        <v>8056099171215</v>
      </c>
      <c r="G5185" s="20" t="str">
        <f t="shared" si="240"/>
        <v xml:space="preserve"> MINICANVAS      </v>
      </c>
      <c r="H5185" s="20" t="str">
        <f t="shared" si="241"/>
        <v>MOMBL</v>
      </c>
      <c r="I5185" s="20">
        <f t="shared" si="242"/>
        <v>0</v>
      </c>
    </row>
    <row r="5186" spans="1:9">
      <c r="A5186" s="17" t="s">
        <v>1960</v>
      </c>
      <c r="B5186" s="17" t="s">
        <v>1614</v>
      </c>
      <c r="C5186" s="17">
        <v>0</v>
      </c>
      <c r="D5186" s="17" t="s">
        <v>801</v>
      </c>
      <c r="E5186" s="18">
        <v>8056099171222</v>
      </c>
      <c r="G5186" s="20" t="str">
        <f t="shared" si="240"/>
        <v xml:space="preserve"> MINICANVAS      </v>
      </c>
      <c r="H5186" s="20" t="str">
        <f t="shared" si="241"/>
        <v>MOMGR</v>
      </c>
      <c r="I5186" s="20">
        <f t="shared" si="242"/>
        <v>0</v>
      </c>
    </row>
    <row r="5187" spans="1:9">
      <c r="A5187" s="17" t="s">
        <v>1960</v>
      </c>
      <c r="B5187" s="17" t="s">
        <v>859</v>
      </c>
      <c r="C5187" s="17">
        <v>0</v>
      </c>
      <c r="D5187" s="17" t="s">
        <v>801</v>
      </c>
      <c r="E5187" s="18">
        <v>3003530002008</v>
      </c>
      <c r="G5187" s="20" t="str">
        <f t="shared" si="240"/>
        <v xml:space="preserve"> MINICANVAS      </v>
      </c>
      <c r="H5187" s="20" t="str">
        <f t="shared" si="241"/>
        <v>NATUR</v>
      </c>
      <c r="I5187" s="20">
        <f t="shared" si="242"/>
        <v>0</v>
      </c>
    </row>
    <row r="5188" spans="1:9">
      <c r="A5188" s="17" t="s">
        <v>1960</v>
      </c>
      <c r="B5188" s="17" t="s">
        <v>859</v>
      </c>
      <c r="C5188" s="17">
        <v>0</v>
      </c>
      <c r="D5188" s="17" t="s">
        <v>801</v>
      </c>
      <c r="E5188" s="18">
        <v>8050450210636</v>
      </c>
      <c r="G5188" s="20" t="str">
        <f t="shared" si="240"/>
        <v xml:space="preserve"> MINICANVAS      </v>
      </c>
      <c r="H5188" s="20" t="str">
        <f t="shared" si="241"/>
        <v>NATUR</v>
      </c>
      <c r="I5188" s="20">
        <f t="shared" si="242"/>
        <v>0</v>
      </c>
    </row>
    <row r="5189" spans="1:9">
      <c r="A5189" s="17" t="s">
        <v>1960</v>
      </c>
      <c r="B5189" s="17" t="s">
        <v>952</v>
      </c>
      <c r="C5189" s="17">
        <v>0</v>
      </c>
      <c r="D5189" s="17" t="s">
        <v>801</v>
      </c>
      <c r="E5189" s="18">
        <v>8056095063316</v>
      </c>
      <c r="G5189" s="20" t="str">
        <f t="shared" ref="G5189:G5252" si="243">A5189</f>
        <v xml:space="preserve"> MINICANVAS      </v>
      </c>
      <c r="H5189" s="20" t="str">
        <f t="shared" ref="H5189:H5252" si="244">B5189</f>
        <v>ODPBL</v>
      </c>
      <c r="I5189" s="20">
        <f t="shared" ref="I5189:I5252" si="245">C5189</f>
        <v>0</v>
      </c>
    </row>
    <row r="5190" spans="1:9">
      <c r="A5190" s="17" t="s">
        <v>1960</v>
      </c>
      <c r="B5190" s="17" t="s">
        <v>952</v>
      </c>
      <c r="C5190" s="17">
        <v>0</v>
      </c>
      <c r="D5190" s="17" t="s">
        <v>801</v>
      </c>
      <c r="E5190" s="18">
        <v>3002641105004</v>
      </c>
      <c r="G5190" s="20" t="str">
        <f t="shared" si="243"/>
        <v xml:space="preserve"> MINICANVAS      </v>
      </c>
      <c r="H5190" s="20" t="str">
        <f t="shared" si="244"/>
        <v>ODPBL</v>
      </c>
      <c r="I5190" s="20">
        <f t="shared" si="245"/>
        <v>0</v>
      </c>
    </row>
    <row r="5191" spans="1:9">
      <c r="A5191" s="17" t="s">
        <v>1960</v>
      </c>
      <c r="B5191" s="17" t="s">
        <v>1386</v>
      </c>
      <c r="C5191" s="17">
        <v>0</v>
      </c>
      <c r="D5191" s="17" t="s">
        <v>801</v>
      </c>
      <c r="E5191" s="18">
        <v>8056095063323</v>
      </c>
      <c r="G5191" s="20" t="str">
        <f t="shared" si="243"/>
        <v xml:space="preserve"> MINICANVAS      </v>
      </c>
      <c r="H5191" s="20" t="str">
        <f t="shared" si="244"/>
        <v>ODPSA</v>
      </c>
      <c r="I5191" s="20">
        <f t="shared" si="245"/>
        <v>0</v>
      </c>
    </row>
    <row r="5192" spans="1:9">
      <c r="A5192" s="17" t="s">
        <v>1960</v>
      </c>
      <c r="B5192" s="17" t="s">
        <v>1386</v>
      </c>
      <c r="C5192" s="17">
        <v>0</v>
      </c>
      <c r="D5192" s="17" t="s">
        <v>801</v>
      </c>
      <c r="E5192" s="18">
        <v>3002641107008</v>
      </c>
      <c r="G5192" s="20" t="str">
        <f t="shared" si="243"/>
        <v xml:space="preserve"> MINICANVAS      </v>
      </c>
      <c r="H5192" s="20" t="str">
        <f t="shared" si="244"/>
        <v>ODPSA</v>
      </c>
      <c r="I5192" s="20">
        <f t="shared" si="245"/>
        <v>0</v>
      </c>
    </row>
    <row r="5193" spans="1:9">
      <c r="A5193" s="17" t="s">
        <v>1960</v>
      </c>
      <c r="B5193" s="17" t="s">
        <v>954</v>
      </c>
      <c r="C5193" s="17">
        <v>0</v>
      </c>
      <c r="D5193" s="17" t="s">
        <v>801</v>
      </c>
      <c r="E5193" s="18">
        <v>8056095063309</v>
      </c>
      <c r="G5193" s="20" t="str">
        <f t="shared" si="243"/>
        <v xml:space="preserve"> MINICANVAS      </v>
      </c>
      <c r="H5193" s="20" t="str">
        <f t="shared" si="244"/>
        <v>ODPVE</v>
      </c>
      <c r="I5193" s="20">
        <f t="shared" si="245"/>
        <v>0</v>
      </c>
    </row>
    <row r="5194" spans="1:9">
      <c r="A5194" s="17" t="s">
        <v>1960</v>
      </c>
      <c r="B5194" s="17" t="s">
        <v>954</v>
      </c>
      <c r="C5194" s="17">
        <v>0</v>
      </c>
      <c r="D5194" s="17" t="s">
        <v>801</v>
      </c>
      <c r="E5194" s="18">
        <v>3002641134004</v>
      </c>
      <c r="G5194" s="20" t="str">
        <f t="shared" si="243"/>
        <v xml:space="preserve"> MINICANVAS      </v>
      </c>
      <c r="H5194" s="20" t="str">
        <f t="shared" si="244"/>
        <v>ODPVE</v>
      </c>
      <c r="I5194" s="20">
        <f t="shared" si="245"/>
        <v>0</v>
      </c>
    </row>
    <row r="5195" spans="1:9">
      <c r="A5195" s="17" t="s">
        <v>1960</v>
      </c>
      <c r="B5195" s="17" t="s">
        <v>815</v>
      </c>
      <c r="C5195" s="17">
        <v>0</v>
      </c>
      <c r="D5195" s="17" t="s">
        <v>801</v>
      </c>
      <c r="E5195" s="18">
        <v>3002641469007</v>
      </c>
      <c r="G5195" s="20" t="str">
        <f t="shared" si="243"/>
        <v xml:space="preserve"> MINICANVAS      </v>
      </c>
      <c r="H5195" s="20" t="str">
        <f t="shared" si="244"/>
        <v>OPTWH</v>
      </c>
      <c r="I5195" s="20">
        <f t="shared" si="245"/>
        <v>0</v>
      </c>
    </row>
    <row r="5196" spans="1:9">
      <c r="A5196" s="17" t="s">
        <v>1960</v>
      </c>
      <c r="B5196" s="17" t="s">
        <v>1525</v>
      </c>
      <c r="C5196" s="17">
        <v>0</v>
      </c>
      <c r="D5196" s="17" t="s">
        <v>801</v>
      </c>
      <c r="E5196" s="18">
        <v>8056099171246</v>
      </c>
      <c r="G5196" s="20" t="str">
        <f t="shared" si="243"/>
        <v xml:space="preserve"> MINICANVAS      </v>
      </c>
      <c r="H5196" s="20" t="str">
        <f t="shared" si="244"/>
        <v>OXBLA</v>
      </c>
      <c r="I5196" s="20">
        <f t="shared" si="245"/>
        <v>0</v>
      </c>
    </row>
    <row r="5197" spans="1:9">
      <c r="A5197" s="17" t="s">
        <v>1960</v>
      </c>
      <c r="B5197" s="17" t="s">
        <v>1615</v>
      </c>
      <c r="C5197" s="17">
        <v>0</v>
      </c>
      <c r="D5197" s="17" t="s">
        <v>801</v>
      </c>
      <c r="E5197" s="18">
        <v>8058983598573</v>
      </c>
      <c r="G5197" s="20" t="str">
        <f t="shared" si="243"/>
        <v xml:space="preserve"> MINICANVAS      </v>
      </c>
      <c r="H5197" s="20" t="str">
        <f t="shared" si="244"/>
        <v>OXBLU</v>
      </c>
      <c r="I5197" s="20">
        <f t="shared" si="245"/>
        <v>0</v>
      </c>
    </row>
    <row r="5198" spans="1:9">
      <c r="A5198" s="17" t="s">
        <v>1960</v>
      </c>
      <c r="B5198" s="17" t="s">
        <v>1615</v>
      </c>
      <c r="C5198" s="17">
        <v>0</v>
      </c>
      <c r="D5198" s="17" t="s">
        <v>801</v>
      </c>
      <c r="E5198" s="18">
        <v>3002640986000</v>
      </c>
      <c r="G5198" s="20" t="str">
        <f t="shared" si="243"/>
        <v xml:space="preserve"> MINICANVAS      </v>
      </c>
      <c r="H5198" s="20" t="str">
        <f t="shared" si="244"/>
        <v>OXBLU</v>
      </c>
      <c r="I5198" s="20">
        <f t="shared" si="245"/>
        <v>0</v>
      </c>
    </row>
    <row r="5199" spans="1:9">
      <c r="A5199" s="17" t="s">
        <v>1960</v>
      </c>
      <c r="B5199" s="17" t="s">
        <v>1615</v>
      </c>
      <c r="C5199" s="17">
        <v>0</v>
      </c>
      <c r="D5199" s="17" t="s">
        <v>801</v>
      </c>
      <c r="E5199" s="18">
        <v>3020550986002</v>
      </c>
      <c r="G5199" s="20" t="str">
        <f t="shared" si="243"/>
        <v xml:space="preserve"> MINICANVAS      </v>
      </c>
      <c r="H5199" s="20" t="str">
        <f t="shared" si="244"/>
        <v>OXBLU</v>
      </c>
      <c r="I5199" s="20">
        <f t="shared" si="245"/>
        <v>0</v>
      </c>
    </row>
    <row r="5200" spans="1:9">
      <c r="A5200" s="17" t="s">
        <v>1960</v>
      </c>
      <c r="B5200" s="17" t="s">
        <v>1968</v>
      </c>
      <c r="C5200" s="17">
        <v>0</v>
      </c>
      <c r="D5200" s="17" t="s">
        <v>801</v>
      </c>
      <c r="E5200" s="18">
        <v>3002640985003</v>
      </c>
      <c r="G5200" s="20" t="str">
        <f t="shared" si="243"/>
        <v xml:space="preserve"> MINICANVAS      </v>
      </c>
      <c r="H5200" s="20" t="str">
        <f t="shared" si="244"/>
        <v>OXBOR</v>
      </c>
      <c r="I5200" s="20">
        <f t="shared" si="245"/>
        <v>0</v>
      </c>
    </row>
    <row r="5201" spans="1:9">
      <c r="A5201" s="17" t="s">
        <v>1960</v>
      </c>
      <c r="B5201" s="17" t="s">
        <v>1968</v>
      </c>
      <c r="C5201" s="17">
        <v>0</v>
      </c>
      <c r="D5201" s="17" t="s">
        <v>801</v>
      </c>
      <c r="E5201" s="18">
        <v>3020550985005</v>
      </c>
      <c r="G5201" s="20" t="str">
        <f t="shared" si="243"/>
        <v xml:space="preserve"> MINICANVAS      </v>
      </c>
      <c r="H5201" s="20" t="str">
        <f t="shared" si="244"/>
        <v>OXBOR</v>
      </c>
      <c r="I5201" s="20">
        <f t="shared" si="245"/>
        <v>0</v>
      </c>
    </row>
    <row r="5202" spans="1:9">
      <c r="A5202" s="17" t="s">
        <v>1960</v>
      </c>
      <c r="B5202" s="17" t="s">
        <v>1968</v>
      </c>
      <c r="C5202" s="17">
        <v>0</v>
      </c>
      <c r="D5202" s="17" t="s">
        <v>801</v>
      </c>
      <c r="E5202" s="18">
        <v>8058983598566</v>
      </c>
      <c r="G5202" s="20" t="str">
        <f t="shared" si="243"/>
        <v xml:space="preserve"> MINICANVAS      </v>
      </c>
      <c r="H5202" s="20" t="str">
        <f t="shared" si="244"/>
        <v>OXBOR</v>
      </c>
      <c r="I5202" s="20">
        <f t="shared" si="245"/>
        <v>0</v>
      </c>
    </row>
    <row r="5203" spans="1:9">
      <c r="A5203" s="17" t="s">
        <v>1960</v>
      </c>
      <c r="B5203" s="17" t="s">
        <v>1526</v>
      </c>
      <c r="C5203" s="17">
        <v>0</v>
      </c>
      <c r="D5203" s="17" t="s">
        <v>801</v>
      </c>
      <c r="E5203" s="18">
        <v>8056099171239</v>
      </c>
      <c r="G5203" s="20" t="str">
        <f t="shared" si="243"/>
        <v xml:space="preserve"> MINICANVAS      </v>
      </c>
      <c r="H5203" s="20" t="str">
        <f t="shared" si="244"/>
        <v>OXRED</v>
      </c>
      <c r="I5203" s="20">
        <f t="shared" si="245"/>
        <v>0</v>
      </c>
    </row>
    <row r="5204" spans="1:9">
      <c r="A5204" s="17" t="s">
        <v>1960</v>
      </c>
      <c r="B5204" s="17" t="s">
        <v>1969</v>
      </c>
      <c r="C5204" s="17">
        <v>0</v>
      </c>
      <c r="D5204" s="17" t="s">
        <v>801</v>
      </c>
      <c r="E5204" s="18">
        <v>3002640987007</v>
      </c>
      <c r="G5204" s="20" t="str">
        <f t="shared" si="243"/>
        <v xml:space="preserve"> MINICANVAS      </v>
      </c>
      <c r="H5204" s="20" t="str">
        <f t="shared" si="244"/>
        <v>OXTES</v>
      </c>
      <c r="I5204" s="20">
        <f t="shared" si="245"/>
        <v>0</v>
      </c>
    </row>
    <row r="5205" spans="1:9">
      <c r="A5205" s="17" t="s">
        <v>1960</v>
      </c>
      <c r="B5205" s="17" t="s">
        <v>1969</v>
      </c>
      <c r="C5205" s="17">
        <v>0</v>
      </c>
      <c r="D5205" s="17" t="s">
        <v>801</v>
      </c>
      <c r="E5205" s="18">
        <v>3020550987009</v>
      </c>
      <c r="G5205" s="20" t="str">
        <f t="shared" si="243"/>
        <v xml:space="preserve"> MINICANVAS      </v>
      </c>
      <c r="H5205" s="20" t="str">
        <f t="shared" si="244"/>
        <v>OXTES</v>
      </c>
      <c r="I5205" s="20">
        <f t="shared" si="245"/>
        <v>0</v>
      </c>
    </row>
    <row r="5206" spans="1:9">
      <c r="A5206" s="17" t="s">
        <v>1960</v>
      </c>
      <c r="B5206" s="17" t="s">
        <v>1235</v>
      </c>
      <c r="C5206" s="17">
        <v>0</v>
      </c>
      <c r="D5206" s="17" t="s">
        <v>801</v>
      </c>
      <c r="E5206" s="18">
        <v>3002640559006</v>
      </c>
      <c r="G5206" s="20" t="str">
        <f t="shared" si="243"/>
        <v xml:space="preserve"> MINICANVAS      </v>
      </c>
      <c r="H5206" s="20" t="str">
        <f t="shared" si="244"/>
        <v>PAPAY</v>
      </c>
      <c r="I5206" s="20">
        <f t="shared" si="245"/>
        <v>0</v>
      </c>
    </row>
    <row r="5207" spans="1:9">
      <c r="A5207" s="17" t="s">
        <v>1960</v>
      </c>
      <c r="B5207" s="17" t="s">
        <v>1619</v>
      </c>
      <c r="C5207" s="17">
        <v>0</v>
      </c>
      <c r="D5207" s="17" t="s">
        <v>801</v>
      </c>
      <c r="E5207" s="18">
        <v>3020550698004</v>
      </c>
      <c r="G5207" s="20" t="str">
        <f t="shared" si="243"/>
        <v xml:space="preserve"> MINICANVAS      </v>
      </c>
      <c r="H5207" s="20" t="str">
        <f t="shared" si="244"/>
        <v>POIMA</v>
      </c>
      <c r="I5207" s="20">
        <f t="shared" si="245"/>
        <v>0</v>
      </c>
    </row>
    <row r="5208" spans="1:9">
      <c r="A5208" s="17" t="s">
        <v>1960</v>
      </c>
      <c r="B5208" s="17" t="s">
        <v>1620</v>
      </c>
      <c r="C5208" s="17">
        <v>0</v>
      </c>
      <c r="D5208" s="17" t="s">
        <v>801</v>
      </c>
      <c r="E5208" s="18">
        <v>3020550699001</v>
      </c>
      <c r="G5208" s="20" t="str">
        <f t="shared" si="243"/>
        <v xml:space="preserve"> MINICANVAS      </v>
      </c>
      <c r="H5208" s="20" t="str">
        <f t="shared" si="244"/>
        <v>POINO</v>
      </c>
      <c r="I5208" s="20">
        <f t="shared" si="245"/>
        <v>0</v>
      </c>
    </row>
    <row r="5209" spans="1:9">
      <c r="A5209" s="17" t="s">
        <v>1960</v>
      </c>
      <c r="B5209" s="17" t="s">
        <v>1488</v>
      </c>
      <c r="C5209" s="17">
        <v>0</v>
      </c>
      <c r="D5209" s="17" t="s">
        <v>801</v>
      </c>
      <c r="E5209" s="18">
        <v>3020550186006</v>
      </c>
      <c r="G5209" s="20" t="str">
        <f t="shared" si="243"/>
        <v xml:space="preserve"> MINICANVAS      </v>
      </c>
      <c r="H5209" s="20" t="str">
        <f t="shared" si="244"/>
        <v>POISB</v>
      </c>
      <c r="I5209" s="20">
        <f t="shared" si="245"/>
        <v>0</v>
      </c>
    </row>
    <row r="5210" spans="1:9">
      <c r="A5210" s="17" t="s">
        <v>1960</v>
      </c>
      <c r="B5210" s="17" t="s">
        <v>1490</v>
      </c>
      <c r="C5210" s="17">
        <v>0</v>
      </c>
      <c r="D5210" s="17" t="s">
        <v>801</v>
      </c>
      <c r="E5210" s="18">
        <v>3020550144006</v>
      </c>
      <c r="G5210" s="20" t="str">
        <f t="shared" si="243"/>
        <v xml:space="preserve"> MINICANVAS      </v>
      </c>
      <c r="H5210" s="20" t="str">
        <f t="shared" si="244"/>
        <v>POISR</v>
      </c>
      <c r="I5210" s="20">
        <f t="shared" si="245"/>
        <v>0</v>
      </c>
    </row>
    <row r="5211" spans="1:9">
      <c r="A5211" s="17" t="s">
        <v>1960</v>
      </c>
      <c r="B5211" s="17" t="s">
        <v>1622</v>
      </c>
      <c r="C5211" s="17">
        <v>0</v>
      </c>
      <c r="D5211" s="17" t="s">
        <v>801</v>
      </c>
      <c r="E5211" s="18">
        <v>8058983598603</v>
      </c>
      <c r="G5211" s="20" t="str">
        <f t="shared" si="243"/>
        <v xml:space="preserve"> MINICANVAS      </v>
      </c>
      <c r="H5211" s="20" t="str">
        <f t="shared" si="244"/>
        <v>PUBEM</v>
      </c>
      <c r="I5211" s="20">
        <f t="shared" si="245"/>
        <v>0</v>
      </c>
    </row>
    <row r="5212" spans="1:9">
      <c r="A5212" s="17" t="s">
        <v>1960</v>
      </c>
      <c r="B5212" s="17" t="s">
        <v>1622</v>
      </c>
      <c r="C5212" s="17">
        <v>0</v>
      </c>
      <c r="D5212" s="17" t="s">
        <v>801</v>
      </c>
      <c r="E5212" s="18">
        <v>3002640993008</v>
      </c>
      <c r="G5212" s="20" t="str">
        <f t="shared" si="243"/>
        <v xml:space="preserve"> MINICANVAS      </v>
      </c>
      <c r="H5212" s="20" t="str">
        <f t="shared" si="244"/>
        <v>PUBEM</v>
      </c>
      <c r="I5212" s="20">
        <f t="shared" si="245"/>
        <v>0</v>
      </c>
    </row>
    <row r="5213" spans="1:9">
      <c r="A5213" s="17" t="s">
        <v>1960</v>
      </c>
      <c r="B5213" s="17" t="s">
        <v>1970</v>
      </c>
      <c r="C5213" s="17">
        <v>0</v>
      </c>
      <c r="D5213" s="17" t="s">
        <v>801</v>
      </c>
      <c r="E5213" s="18">
        <v>8058983598597</v>
      </c>
      <c r="G5213" s="20" t="str">
        <f t="shared" si="243"/>
        <v xml:space="preserve"> MINICANVAS      </v>
      </c>
      <c r="H5213" s="20" t="str">
        <f t="shared" si="244"/>
        <v>PUBLW</v>
      </c>
      <c r="I5213" s="20">
        <f t="shared" si="245"/>
        <v>0</v>
      </c>
    </row>
    <row r="5214" spans="1:9">
      <c r="A5214" s="17" t="s">
        <v>1960</v>
      </c>
      <c r="B5214" s="17" t="s">
        <v>1970</v>
      </c>
      <c r="C5214" s="17">
        <v>0</v>
      </c>
      <c r="D5214" s="17" t="s">
        <v>801</v>
      </c>
      <c r="E5214" s="18">
        <v>3002640995002</v>
      </c>
      <c r="G5214" s="20" t="str">
        <f t="shared" si="243"/>
        <v xml:space="preserve"> MINICANVAS      </v>
      </c>
      <c r="H5214" s="20" t="str">
        <f t="shared" si="244"/>
        <v>PUBLW</v>
      </c>
      <c r="I5214" s="20">
        <f t="shared" si="245"/>
        <v>0</v>
      </c>
    </row>
    <row r="5215" spans="1:9">
      <c r="A5215" s="17" t="s">
        <v>1960</v>
      </c>
      <c r="B5215" s="17" t="s">
        <v>1580</v>
      </c>
      <c r="C5215" s="17">
        <v>0</v>
      </c>
      <c r="D5215" s="17" t="s">
        <v>801</v>
      </c>
      <c r="E5215" s="18">
        <v>3002641355003</v>
      </c>
      <c r="G5215" s="20" t="str">
        <f t="shared" si="243"/>
        <v xml:space="preserve"> MINICANVAS      </v>
      </c>
      <c r="H5215" s="20" t="str">
        <f t="shared" si="244"/>
        <v>RAYFL</v>
      </c>
      <c r="I5215" s="20">
        <f t="shared" si="245"/>
        <v>0</v>
      </c>
    </row>
    <row r="5216" spans="1:9">
      <c r="A5216" s="17" t="s">
        <v>1960</v>
      </c>
      <c r="B5216" s="17" t="s">
        <v>1580</v>
      </c>
      <c r="C5216" s="17">
        <v>0</v>
      </c>
      <c r="D5216" s="17" t="s">
        <v>801</v>
      </c>
      <c r="E5216" s="18">
        <v>8050846001367</v>
      </c>
      <c r="G5216" s="20" t="str">
        <f t="shared" si="243"/>
        <v xml:space="preserve"> MINICANVAS      </v>
      </c>
      <c r="H5216" s="20" t="str">
        <f t="shared" si="244"/>
        <v>RAYFL</v>
      </c>
      <c r="I5216" s="20">
        <f t="shared" si="245"/>
        <v>0</v>
      </c>
    </row>
    <row r="5217" spans="1:9">
      <c r="A5217" s="17" t="s">
        <v>1960</v>
      </c>
      <c r="B5217" s="17" t="s">
        <v>816</v>
      </c>
      <c r="C5217" s="17">
        <v>0</v>
      </c>
      <c r="D5217" s="17" t="s">
        <v>801</v>
      </c>
      <c r="E5217" s="18">
        <v>3020550394005</v>
      </c>
      <c r="G5217" s="20" t="str">
        <f t="shared" si="243"/>
        <v xml:space="preserve"> MINICANVAS      </v>
      </c>
      <c r="H5217" s="20" t="str">
        <f t="shared" si="244"/>
        <v xml:space="preserve">RED  </v>
      </c>
      <c r="I5217" s="20">
        <f t="shared" si="245"/>
        <v>0</v>
      </c>
    </row>
    <row r="5218" spans="1:9">
      <c r="A5218" s="17" t="s">
        <v>1960</v>
      </c>
      <c r="B5218" s="17" t="s">
        <v>839</v>
      </c>
      <c r="C5218" s="17">
        <v>0</v>
      </c>
      <c r="D5218" s="17" t="s">
        <v>801</v>
      </c>
      <c r="E5218" s="18">
        <v>3002640397004</v>
      </c>
      <c r="G5218" s="20" t="str">
        <f t="shared" si="243"/>
        <v xml:space="preserve"> MINICANVAS      </v>
      </c>
      <c r="H5218" s="20" t="str">
        <f t="shared" si="244"/>
        <v xml:space="preserve">ROSA </v>
      </c>
      <c r="I5218" s="20">
        <f t="shared" si="245"/>
        <v>0</v>
      </c>
    </row>
    <row r="5219" spans="1:9">
      <c r="A5219" s="17" t="s">
        <v>1960</v>
      </c>
      <c r="B5219" s="17" t="s">
        <v>1527</v>
      </c>
      <c r="C5219" s="17">
        <v>0</v>
      </c>
      <c r="D5219" s="17" t="s">
        <v>801</v>
      </c>
      <c r="E5219" s="18">
        <v>8056099171208</v>
      </c>
      <c r="G5219" s="20" t="str">
        <f t="shared" si="243"/>
        <v xml:space="preserve"> MINICANVAS      </v>
      </c>
      <c r="H5219" s="20" t="str">
        <f t="shared" si="244"/>
        <v>SAKBL</v>
      </c>
      <c r="I5219" s="20">
        <f t="shared" si="245"/>
        <v>0</v>
      </c>
    </row>
    <row r="5220" spans="1:9">
      <c r="A5220" s="17" t="s">
        <v>1960</v>
      </c>
      <c r="B5220" s="17" t="s">
        <v>840</v>
      </c>
      <c r="C5220" s="17">
        <v>0</v>
      </c>
      <c r="D5220" s="17" t="s">
        <v>801</v>
      </c>
      <c r="E5220" s="18">
        <v>3002640403002</v>
      </c>
      <c r="G5220" s="20" t="str">
        <f t="shared" si="243"/>
        <v xml:space="preserve"> MINICANVAS      </v>
      </c>
      <c r="H5220" s="20" t="str">
        <f t="shared" si="244"/>
        <v>SAUGE</v>
      </c>
      <c r="I5220" s="20">
        <f t="shared" si="245"/>
        <v>0</v>
      </c>
    </row>
    <row r="5221" spans="1:9">
      <c r="A5221" s="17" t="s">
        <v>1960</v>
      </c>
      <c r="B5221" s="17" t="s">
        <v>1492</v>
      </c>
      <c r="C5221" s="17">
        <v>0</v>
      </c>
      <c r="D5221" s="17" t="s">
        <v>801</v>
      </c>
      <c r="E5221" s="18">
        <v>3002640643002</v>
      </c>
      <c r="G5221" s="20" t="str">
        <f t="shared" si="243"/>
        <v xml:space="preserve"> MINICANVAS      </v>
      </c>
      <c r="H5221" s="20" t="str">
        <f t="shared" si="244"/>
        <v>TENBL</v>
      </c>
      <c r="I5221" s="20">
        <f t="shared" si="245"/>
        <v>0</v>
      </c>
    </row>
    <row r="5222" spans="1:9">
      <c r="A5222" s="17" t="s">
        <v>1960</v>
      </c>
      <c r="B5222" s="17" t="s">
        <v>1493</v>
      </c>
      <c r="C5222" s="17">
        <v>0</v>
      </c>
      <c r="D5222" s="17" t="s">
        <v>801</v>
      </c>
      <c r="E5222" s="18">
        <v>3002640644009</v>
      </c>
      <c r="G5222" s="20" t="str">
        <f t="shared" si="243"/>
        <v xml:space="preserve"> MINICANVAS      </v>
      </c>
      <c r="H5222" s="20" t="str">
        <f t="shared" si="244"/>
        <v>TENGR</v>
      </c>
      <c r="I5222" s="20">
        <f t="shared" si="245"/>
        <v>0</v>
      </c>
    </row>
    <row r="5223" spans="1:9">
      <c r="A5223" s="17" t="s">
        <v>1960</v>
      </c>
      <c r="B5223" s="17" t="s">
        <v>1494</v>
      </c>
      <c r="C5223" s="17">
        <v>0</v>
      </c>
      <c r="D5223" s="17" t="s">
        <v>801</v>
      </c>
      <c r="E5223" s="18">
        <v>3002640645006</v>
      </c>
      <c r="G5223" s="20" t="str">
        <f t="shared" si="243"/>
        <v xml:space="preserve"> MINICANVAS      </v>
      </c>
      <c r="H5223" s="20" t="str">
        <f t="shared" si="244"/>
        <v>TENNA</v>
      </c>
      <c r="I5223" s="20">
        <f t="shared" si="245"/>
        <v>0</v>
      </c>
    </row>
    <row r="5224" spans="1:9">
      <c r="A5224" s="17" t="s">
        <v>1960</v>
      </c>
      <c r="B5224" s="17" t="s">
        <v>1415</v>
      </c>
      <c r="C5224" s="17">
        <v>0</v>
      </c>
      <c r="D5224" s="17" t="s">
        <v>801</v>
      </c>
      <c r="E5224" s="18">
        <v>3002640760006</v>
      </c>
      <c r="G5224" s="20" t="str">
        <f t="shared" si="243"/>
        <v xml:space="preserve"> MINICANVAS      </v>
      </c>
      <c r="H5224" s="20" t="str">
        <f t="shared" si="244"/>
        <v>TOUCA</v>
      </c>
      <c r="I5224" s="20">
        <f t="shared" si="245"/>
        <v>0</v>
      </c>
    </row>
    <row r="5225" spans="1:9">
      <c r="A5225" s="17" t="s">
        <v>1960</v>
      </c>
      <c r="B5225" s="17" t="s">
        <v>1173</v>
      </c>
      <c r="C5225" s="17">
        <v>0</v>
      </c>
      <c r="D5225" s="17" t="s">
        <v>801</v>
      </c>
      <c r="E5225" s="18">
        <v>8050538591152</v>
      </c>
      <c r="G5225" s="20" t="str">
        <f t="shared" si="243"/>
        <v xml:space="preserve"> MINICANVAS      </v>
      </c>
      <c r="H5225" s="20" t="str">
        <f t="shared" si="244"/>
        <v>VEBLU</v>
      </c>
      <c r="I5225" s="20">
        <f t="shared" si="245"/>
        <v>0</v>
      </c>
    </row>
    <row r="5226" spans="1:9">
      <c r="A5226" s="17" t="s">
        <v>1960</v>
      </c>
      <c r="B5226" s="17" t="s">
        <v>1630</v>
      </c>
      <c r="C5226" s="17">
        <v>0</v>
      </c>
      <c r="D5226" s="17" t="s">
        <v>801</v>
      </c>
      <c r="E5226" s="18">
        <v>8056099178986</v>
      </c>
      <c r="G5226" s="20" t="str">
        <f t="shared" si="243"/>
        <v xml:space="preserve"> MINICANVAS      </v>
      </c>
      <c r="H5226" s="20" t="str">
        <f t="shared" si="244"/>
        <v>VEGRE</v>
      </c>
      <c r="I5226" s="20">
        <f t="shared" si="245"/>
        <v>0</v>
      </c>
    </row>
    <row r="5227" spans="1:9">
      <c r="A5227" s="17" t="s">
        <v>1960</v>
      </c>
      <c r="B5227" s="17" t="s">
        <v>1114</v>
      </c>
      <c r="C5227" s="17">
        <v>0</v>
      </c>
      <c r="D5227" s="17" t="s">
        <v>801</v>
      </c>
      <c r="E5227" s="18">
        <v>3002641059000</v>
      </c>
      <c r="G5227" s="20" t="str">
        <f t="shared" si="243"/>
        <v xml:space="preserve"> MINICANVAS      </v>
      </c>
      <c r="H5227" s="20" t="str">
        <f t="shared" si="244"/>
        <v>VELBO</v>
      </c>
      <c r="I5227" s="20">
        <f t="shared" si="245"/>
        <v>0</v>
      </c>
    </row>
    <row r="5228" spans="1:9">
      <c r="A5228" s="17" t="s">
        <v>1960</v>
      </c>
      <c r="B5228" s="17" t="s">
        <v>1114</v>
      </c>
      <c r="C5228" s="17">
        <v>0</v>
      </c>
      <c r="D5228" s="17" t="s">
        <v>801</v>
      </c>
      <c r="E5228" s="18">
        <v>8056099173554</v>
      </c>
      <c r="G5228" s="20" t="str">
        <f t="shared" si="243"/>
        <v xml:space="preserve"> MINICANVAS      </v>
      </c>
      <c r="H5228" s="20" t="str">
        <f t="shared" si="244"/>
        <v>VELBO</v>
      </c>
      <c r="I5228" s="20">
        <f t="shared" si="245"/>
        <v>0</v>
      </c>
    </row>
    <row r="5229" spans="1:9">
      <c r="A5229" s="17" t="s">
        <v>1960</v>
      </c>
      <c r="B5229" s="17" t="s">
        <v>1114</v>
      </c>
      <c r="C5229" s="17">
        <v>0</v>
      </c>
      <c r="D5229" s="17" t="s">
        <v>801</v>
      </c>
      <c r="E5229" s="18">
        <v>8050846012530</v>
      </c>
      <c r="G5229" s="20" t="str">
        <f t="shared" si="243"/>
        <v xml:space="preserve"> MINICANVAS      </v>
      </c>
      <c r="H5229" s="20" t="str">
        <f t="shared" si="244"/>
        <v>VELBO</v>
      </c>
      <c r="I5229" s="20">
        <f t="shared" si="245"/>
        <v>0</v>
      </c>
    </row>
    <row r="5230" spans="1:9">
      <c r="A5230" s="17" t="s">
        <v>1960</v>
      </c>
      <c r="B5230" s="17" t="s">
        <v>1114</v>
      </c>
      <c r="C5230" s="17">
        <v>0</v>
      </c>
      <c r="D5230" s="17" t="s">
        <v>801</v>
      </c>
      <c r="E5230" s="18">
        <v>3020550795000</v>
      </c>
      <c r="G5230" s="20" t="str">
        <f t="shared" si="243"/>
        <v xml:space="preserve"> MINICANVAS      </v>
      </c>
      <c r="H5230" s="20" t="str">
        <f t="shared" si="244"/>
        <v>VELBO</v>
      </c>
      <c r="I5230" s="20">
        <f t="shared" si="245"/>
        <v>0</v>
      </c>
    </row>
    <row r="5231" spans="1:9">
      <c r="A5231" s="17" t="s">
        <v>1960</v>
      </c>
      <c r="B5231" s="17" t="s">
        <v>1115</v>
      </c>
      <c r="C5231" s="17">
        <v>0</v>
      </c>
      <c r="D5231" s="17" t="s">
        <v>801</v>
      </c>
      <c r="E5231" s="18">
        <v>3002641060006</v>
      </c>
      <c r="G5231" s="20" t="str">
        <f t="shared" si="243"/>
        <v xml:space="preserve"> MINICANVAS      </v>
      </c>
      <c r="H5231" s="20" t="str">
        <f t="shared" si="244"/>
        <v>VELNE</v>
      </c>
      <c r="I5231" s="20">
        <f t="shared" si="245"/>
        <v>0</v>
      </c>
    </row>
    <row r="5232" spans="1:9">
      <c r="A5232" s="17" t="s">
        <v>1960</v>
      </c>
      <c r="B5232" s="17" t="s">
        <v>1115</v>
      </c>
      <c r="C5232" s="17">
        <v>0</v>
      </c>
      <c r="D5232" s="17" t="s">
        <v>801</v>
      </c>
      <c r="E5232" s="18">
        <v>8050846012547</v>
      </c>
      <c r="G5232" s="20" t="str">
        <f t="shared" si="243"/>
        <v xml:space="preserve"> MINICANVAS      </v>
      </c>
      <c r="H5232" s="20" t="str">
        <f t="shared" si="244"/>
        <v>VELNE</v>
      </c>
      <c r="I5232" s="20">
        <f t="shared" si="245"/>
        <v>0</v>
      </c>
    </row>
    <row r="5233" spans="1:9">
      <c r="A5233" s="17" t="s">
        <v>1960</v>
      </c>
      <c r="B5233" s="17" t="s">
        <v>1115</v>
      </c>
      <c r="C5233" s="17">
        <v>0</v>
      </c>
      <c r="D5233" s="17" t="s">
        <v>801</v>
      </c>
      <c r="E5233" s="18">
        <v>8056099173530</v>
      </c>
      <c r="G5233" s="20" t="str">
        <f t="shared" si="243"/>
        <v xml:space="preserve"> MINICANVAS      </v>
      </c>
      <c r="H5233" s="20" t="str">
        <f t="shared" si="244"/>
        <v>VELNE</v>
      </c>
      <c r="I5233" s="20">
        <f t="shared" si="245"/>
        <v>0</v>
      </c>
    </row>
    <row r="5234" spans="1:9">
      <c r="A5234" s="17" t="s">
        <v>1960</v>
      </c>
      <c r="B5234" s="17" t="s">
        <v>1177</v>
      </c>
      <c r="C5234" s="17">
        <v>0</v>
      </c>
      <c r="D5234" s="17" t="s">
        <v>801</v>
      </c>
      <c r="E5234" s="18">
        <v>3020550796007</v>
      </c>
      <c r="G5234" s="20" t="str">
        <f t="shared" si="243"/>
        <v xml:space="preserve"> MINICANVAS      </v>
      </c>
      <c r="H5234" s="20" t="str">
        <f t="shared" si="244"/>
        <v>VELNO</v>
      </c>
      <c r="I5234" s="20">
        <f t="shared" si="245"/>
        <v>0</v>
      </c>
    </row>
    <row r="5235" spans="1:9">
      <c r="A5235" s="17" t="s">
        <v>1960</v>
      </c>
      <c r="B5235" s="17" t="s">
        <v>1178</v>
      </c>
      <c r="C5235" s="17">
        <v>0</v>
      </c>
      <c r="D5235" s="17" t="s">
        <v>801</v>
      </c>
      <c r="E5235" s="18">
        <v>8056099178603</v>
      </c>
      <c r="G5235" s="20" t="str">
        <f t="shared" si="243"/>
        <v xml:space="preserve"> MINICANVAS      </v>
      </c>
      <c r="H5235" s="20" t="str">
        <f t="shared" si="244"/>
        <v>VELPH</v>
      </c>
      <c r="I5235" s="20">
        <f t="shared" si="245"/>
        <v>0</v>
      </c>
    </row>
    <row r="5236" spans="1:9">
      <c r="A5236" s="17" t="s">
        <v>1960</v>
      </c>
      <c r="B5236" s="17" t="s">
        <v>1631</v>
      </c>
      <c r="C5236" s="17">
        <v>0</v>
      </c>
      <c r="D5236" s="17" t="s">
        <v>801</v>
      </c>
      <c r="E5236" s="18">
        <v>8050846020085</v>
      </c>
      <c r="G5236" s="20" t="str">
        <f t="shared" si="243"/>
        <v xml:space="preserve"> MINICANVAS      </v>
      </c>
      <c r="H5236" s="20" t="str">
        <f t="shared" si="244"/>
        <v>VELRE</v>
      </c>
      <c r="I5236" s="20">
        <f t="shared" si="245"/>
        <v>0</v>
      </c>
    </row>
    <row r="5237" spans="1:9">
      <c r="A5237" s="17" t="s">
        <v>1960</v>
      </c>
      <c r="B5237" s="17" t="s">
        <v>1576</v>
      </c>
      <c r="C5237" s="17">
        <v>0</v>
      </c>
      <c r="D5237" s="17" t="s">
        <v>801</v>
      </c>
      <c r="E5237" s="18">
        <v>3020550797004</v>
      </c>
      <c r="G5237" s="20" t="str">
        <f t="shared" si="243"/>
        <v xml:space="preserve"> MINICANVAS      </v>
      </c>
      <c r="H5237" s="20" t="str">
        <f t="shared" si="244"/>
        <v>VELRO</v>
      </c>
      <c r="I5237" s="20">
        <f t="shared" si="245"/>
        <v>0</v>
      </c>
    </row>
    <row r="5238" spans="1:9">
      <c r="A5238" s="17" t="s">
        <v>1960</v>
      </c>
      <c r="B5238" s="17" t="s">
        <v>1116</v>
      </c>
      <c r="C5238" s="17">
        <v>0</v>
      </c>
      <c r="D5238" s="17" t="s">
        <v>801</v>
      </c>
      <c r="E5238" s="18">
        <v>3002641061003</v>
      </c>
      <c r="G5238" s="20" t="str">
        <f t="shared" si="243"/>
        <v xml:space="preserve"> MINICANVAS      </v>
      </c>
      <c r="H5238" s="20" t="str">
        <f t="shared" si="244"/>
        <v>VELSK</v>
      </c>
      <c r="I5238" s="20">
        <f t="shared" si="245"/>
        <v>0</v>
      </c>
    </row>
    <row r="5239" spans="1:9">
      <c r="A5239" s="17" t="s">
        <v>1960</v>
      </c>
      <c r="B5239" s="17" t="s">
        <v>1116</v>
      </c>
      <c r="C5239" s="17">
        <v>0</v>
      </c>
      <c r="D5239" s="17" t="s">
        <v>801</v>
      </c>
      <c r="E5239" s="18">
        <v>8056099173547</v>
      </c>
      <c r="G5239" s="20" t="str">
        <f t="shared" si="243"/>
        <v xml:space="preserve"> MINICANVAS      </v>
      </c>
      <c r="H5239" s="20" t="str">
        <f t="shared" si="244"/>
        <v>VELSK</v>
      </c>
      <c r="I5239" s="20">
        <f t="shared" si="245"/>
        <v>0</v>
      </c>
    </row>
    <row r="5240" spans="1:9">
      <c r="A5240" s="17" t="s">
        <v>1960</v>
      </c>
      <c r="B5240" s="17" t="s">
        <v>273</v>
      </c>
      <c r="C5240" s="17">
        <v>0</v>
      </c>
      <c r="D5240" s="17" t="s">
        <v>801</v>
      </c>
      <c r="E5240" s="18">
        <v>3020550005000</v>
      </c>
      <c r="G5240" s="20" t="str">
        <f t="shared" si="243"/>
        <v xml:space="preserve"> MINICANVAS      </v>
      </c>
      <c r="H5240" s="20" t="str">
        <f t="shared" si="244"/>
        <v>WHITE</v>
      </c>
      <c r="I5240" s="20">
        <f t="shared" si="245"/>
        <v>0</v>
      </c>
    </row>
    <row r="5241" spans="1:9">
      <c r="A5241" s="17" t="s">
        <v>1960</v>
      </c>
      <c r="B5241" s="17" t="s">
        <v>273</v>
      </c>
      <c r="C5241" s="17">
        <v>0</v>
      </c>
      <c r="D5241" s="17" t="s">
        <v>801</v>
      </c>
      <c r="E5241" s="18">
        <v>8050450210643</v>
      </c>
      <c r="G5241" s="20" t="str">
        <f t="shared" si="243"/>
        <v xml:space="preserve"> MINICANVAS      </v>
      </c>
      <c r="H5241" s="20" t="str">
        <f t="shared" si="244"/>
        <v>WHITE</v>
      </c>
      <c r="I5241" s="20">
        <f t="shared" si="245"/>
        <v>0</v>
      </c>
    </row>
    <row r="5242" spans="1:9">
      <c r="A5242" s="17" t="s">
        <v>1960</v>
      </c>
      <c r="B5242" s="17" t="s">
        <v>1497</v>
      </c>
      <c r="C5242" s="17">
        <v>0</v>
      </c>
      <c r="D5242" s="17" t="s">
        <v>801</v>
      </c>
      <c r="E5242" s="18">
        <v>3002640762000</v>
      </c>
      <c r="G5242" s="20" t="str">
        <f t="shared" si="243"/>
        <v xml:space="preserve"> MINICANVAS      </v>
      </c>
      <c r="H5242" s="20" t="str">
        <f t="shared" si="244"/>
        <v>ZEBRA</v>
      </c>
      <c r="I5242" s="20">
        <f t="shared" si="245"/>
        <v>0</v>
      </c>
    </row>
    <row r="5243" spans="1:9">
      <c r="A5243" s="17" t="s">
        <v>1971</v>
      </c>
      <c r="B5243" s="17" t="s">
        <v>1328</v>
      </c>
      <c r="C5243" s="17">
        <v>0</v>
      </c>
      <c r="D5243" s="17" t="s">
        <v>801</v>
      </c>
      <c r="E5243" s="18">
        <v>3005510541002</v>
      </c>
      <c r="G5243" s="20" t="str">
        <f t="shared" si="243"/>
        <v xml:space="preserve"> MINICANVASCOU   </v>
      </c>
      <c r="H5243" s="20" t="str">
        <f t="shared" si="244"/>
        <v xml:space="preserve">AGUG </v>
      </c>
      <c r="I5243" s="20">
        <f t="shared" si="245"/>
        <v>0</v>
      </c>
    </row>
    <row r="5244" spans="1:9">
      <c r="A5244" s="17" t="s">
        <v>1971</v>
      </c>
      <c r="B5244" s="17" t="s">
        <v>858</v>
      </c>
      <c r="C5244" s="17">
        <v>0</v>
      </c>
      <c r="D5244" s="17" t="s">
        <v>801</v>
      </c>
      <c r="E5244" s="18">
        <v>3005510002008</v>
      </c>
      <c r="G5244" s="20" t="str">
        <f t="shared" si="243"/>
        <v xml:space="preserve"> MINICANVASCOU   </v>
      </c>
      <c r="H5244" s="20" t="str">
        <f t="shared" si="244"/>
        <v xml:space="preserve">GREY </v>
      </c>
      <c r="I5244" s="20">
        <f t="shared" si="245"/>
        <v>0</v>
      </c>
    </row>
    <row r="5245" spans="1:9">
      <c r="A5245" s="17" t="s">
        <v>1971</v>
      </c>
      <c r="B5245" s="17" t="s">
        <v>1480</v>
      </c>
      <c r="C5245" s="17">
        <v>0</v>
      </c>
      <c r="D5245" s="17" t="s">
        <v>801</v>
      </c>
      <c r="E5245" s="18">
        <v>3005510587000</v>
      </c>
      <c r="G5245" s="20" t="str">
        <f t="shared" si="243"/>
        <v xml:space="preserve"> MINICANVASCOU   </v>
      </c>
      <c r="H5245" s="20" t="str">
        <f t="shared" si="244"/>
        <v>GRIBL</v>
      </c>
      <c r="I5245" s="20">
        <f t="shared" si="245"/>
        <v>0</v>
      </c>
    </row>
    <row r="5246" spans="1:9">
      <c r="A5246" s="17" t="s">
        <v>1971</v>
      </c>
      <c r="B5246" s="17" t="s">
        <v>1040</v>
      </c>
      <c r="C5246" s="17">
        <v>0</v>
      </c>
      <c r="D5246" s="17" t="s">
        <v>801</v>
      </c>
      <c r="E5246" s="18">
        <v>3004851395008</v>
      </c>
      <c r="G5246" s="20" t="str">
        <f t="shared" si="243"/>
        <v xml:space="preserve"> MINICANVASCOU   </v>
      </c>
      <c r="H5246" s="20" t="str">
        <f t="shared" si="244"/>
        <v>JACRO</v>
      </c>
      <c r="I5246" s="20">
        <f t="shared" si="245"/>
        <v>0</v>
      </c>
    </row>
    <row r="5247" spans="1:9">
      <c r="A5247" s="17" t="s">
        <v>1971</v>
      </c>
      <c r="B5247" s="17" t="s">
        <v>1972</v>
      </c>
      <c r="C5247" s="17">
        <v>0</v>
      </c>
      <c r="D5247" s="17" t="s">
        <v>801</v>
      </c>
      <c r="E5247" s="18">
        <v>3005511024009</v>
      </c>
      <c r="G5247" s="20" t="str">
        <f t="shared" si="243"/>
        <v xml:space="preserve"> MINICANVASCOU   </v>
      </c>
      <c r="H5247" s="20" t="str">
        <f t="shared" si="244"/>
        <v xml:space="preserve">NOIS </v>
      </c>
      <c r="I5247" s="20">
        <f t="shared" si="245"/>
        <v>0</v>
      </c>
    </row>
    <row r="5248" spans="1:9">
      <c r="A5248" s="17" t="s">
        <v>1971</v>
      </c>
      <c r="B5248" s="17" t="s">
        <v>1387</v>
      </c>
      <c r="C5248" s="17">
        <v>0</v>
      </c>
      <c r="D5248" s="17" t="s">
        <v>801</v>
      </c>
      <c r="E5248" s="18">
        <v>8050538594955</v>
      </c>
      <c r="G5248" s="20" t="str">
        <f t="shared" si="243"/>
        <v xml:space="preserve"> MINICANVASCOU   </v>
      </c>
      <c r="H5248" s="20" t="str">
        <f t="shared" si="244"/>
        <v>ONDBL</v>
      </c>
      <c r="I5248" s="20">
        <f t="shared" si="245"/>
        <v>0</v>
      </c>
    </row>
    <row r="5249" spans="1:9">
      <c r="A5249" s="17" t="s">
        <v>1971</v>
      </c>
      <c r="B5249" s="17" t="s">
        <v>1973</v>
      </c>
      <c r="C5249" s="17">
        <v>0</v>
      </c>
      <c r="D5249" s="17" t="s">
        <v>801</v>
      </c>
      <c r="E5249" s="18">
        <v>3005510603007</v>
      </c>
      <c r="G5249" s="20" t="str">
        <f t="shared" si="243"/>
        <v xml:space="preserve"> MINICANVASCOU   </v>
      </c>
      <c r="H5249" s="20" t="str">
        <f t="shared" si="244"/>
        <v xml:space="preserve">ORAN </v>
      </c>
      <c r="I5249" s="20">
        <f t="shared" si="245"/>
        <v>0</v>
      </c>
    </row>
    <row r="5250" spans="1:9">
      <c r="A5250" s="17" t="s">
        <v>1971</v>
      </c>
      <c r="B5250" s="17" t="s">
        <v>971</v>
      </c>
      <c r="C5250" s="17">
        <v>0</v>
      </c>
      <c r="D5250" s="17" t="s">
        <v>801</v>
      </c>
      <c r="E5250" s="18">
        <v>3005510394004</v>
      </c>
      <c r="G5250" s="20" t="str">
        <f t="shared" si="243"/>
        <v xml:space="preserve"> MINICANVASCOU   </v>
      </c>
      <c r="H5250" s="20" t="str">
        <f t="shared" si="244"/>
        <v>OTTAN</v>
      </c>
      <c r="I5250" s="20">
        <f t="shared" si="245"/>
        <v>0</v>
      </c>
    </row>
    <row r="5251" spans="1:9">
      <c r="A5251" s="17" t="s">
        <v>1971</v>
      </c>
      <c r="B5251" s="17" t="s">
        <v>1393</v>
      </c>
      <c r="C5251" s="17">
        <v>0</v>
      </c>
      <c r="D5251" s="17" t="s">
        <v>801</v>
      </c>
      <c r="E5251" s="18">
        <v>8050538595020</v>
      </c>
      <c r="G5251" s="20" t="str">
        <f t="shared" si="243"/>
        <v xml:space="preserve"> MINICANVASCOU   </v>
      </c>
      <c r="H5251" s="20" t="str">
        <f t="shared" si="244"/>
        <v>POIBD</v>
      </c>
      <c r="I5251" s="20">
        <f t="shared" si="245"/>
        <v>0</v>
      </c>
    </row>
    <row r="5252" spans="1:9">
      <c r="A5252" s="17" t="s">
        <v>1971</v>
      </c>
      <c r="B5252" s="17" t="s">
        <v>1393</v>
      </c>
      <c r="C5252" s="17">
        <v>0</v>
      </c>
      <c r="D5252" s="17" t="s">
        <v>801</v>
      </c>
      <c r="E5252" s="18">
        <v>8050846012257</v>
      </c>
      <c r="G5252" s="20" t="str">
        <f t="shared" si="243"/>
        <v xml:space="preserve"> MINICANVASCOU   </v>
      </c>
      <c r="H5252" s="20" t="str">
        <f t="shared" si="244"/>
        <v>POIBD</v>
      </c>
      <c r="I5252" s="20">
        <f t="shared" si="245"/>
        <v>0</v>
      </c>
    </row>
    <row r="5253" spans="1:9">
      <c r="A5253" s="17" t="s">
        <v>1971</v>
      </c>
      <c r="B5253" s="17" t="s">
        <v>1395</v>
      </c>
      <c r="C5253" s="17">
        <v>0</v>
      </c>
      <c r="D5253" s="17" t="s">
        <v>801</v>
      </c>
      <c r="E5253" s="18">
        <v>8050538595013</v>
      </c>
      <c r="G5253" s="20" t="str">
        <f t="shared" ref="G5253:G5316" si="246">A5253</f>
        <v xml:space="preserve"> MINICANVASCOU   </v>
      </c>
      <c r="H5253" s="20" t="str">
        <f t="shared" ref="H5253:H5316" si="247">B5253</f>
        <v>POIWH</v>
      </c>
      <c r="I5253" s="20">
        <f t="shared" ref="I5253:I5316" si="248">C5253</f>
        <v>0</v>
      </c>
    </row>
    <row r="5254" spans="1:9">
      <c r="A5254" s="17" t="s">
        <v>1971</v>
      </c>
      <c r="B5254" s="17" t="s">
        <v>1712</v>
      </c>
      <c r="C5254" s="17">
        <v>0</v>
      </c>
      <c r="D5254" s="17" t="s">
        <v>801</v>
      </c>
      <c r="E5254" s="18">
        <v>3004851518001</v>
      </c>
      <c r="G5254" s="20" t="str">
        <f t="shared" si="246"/>
        <v xml:space="preserve"> MINICANVASCOU   </v>
      </c>
      <c r="H5254" s="20" t="str">
        <f t="shared" si="247"/>
        <v>RASGR</v>
      </c>
      <c r="I5254" s="20">
        <f t="shared" si="248"/>
        <v>0</v>
      </c>
    </row>
    <row r="5255" spans="1:9">
      <c r="A5255" s="17" t="s">
        <v>1971</v>
      </c>
      <c r="B5255" s="17" t="s">
        <v>1712</v>
      </c>
      <c r="C5255" s="17">
        <v>0</v>
      </c>
      <c r="D5255" s="17" t="s">
        <v>801</v>
      </c>
      <c r="E5255" s="18">
        <v>8050846012660</v>
      </c>
      <c r="G5255" s="20" t="str">
        <f t="shared" si="246"/>
        <v xml:space="preserve"> MINICANVASCOU   </v>
      </c>
      <c r="H5255" s="20" t="str">
        <f t="shared" si="247"/>
        <v>RASGR</v>
      </c>
      <c r="I5255" s="20">
        <f t="shared" si="248"/>
        <v>0</v>
      </c>
    </row>
    <row r="5256" spans="1:9">
      <c r="A5256" s="17" t="s">
        <v>1974</v>
      </c>
      <c r="B5256" s="17" t="s">
        <v>280</v>
      </c>
      <c r="C5256" s="17">
        <v>0</v>
      </c>
      <c r="D5256" s="17" t="s">
        <v>801</v>
      </c>
      <c r="E5256" s="18">
        <v>3004790004009</v>
      </c>
      <c r="G5256" s="20" t="str">
        <f t="shared" si="246"/>
        <v xml:space="preserve"> MINICO          </v>
      </c>
      <c r="H5256" s="20" t="str">
        <f t="shared" si="247"/>
        <v>BLACK</v>
      </c>
      <c r="I5256" s="20">
        <f t="shared" si="248"/>
        <v>0</v>
      </c>
    </row>
    <row r="5257" spans="1:9">
      <c r="A5257" s="17" t="s">
        <v>1974</v>
      </c>
      <c r="B5257" s="17" t="s">
        <v>810</v>
      </c>
      <c r="C5257" s="17">
        <v>0</v>
      </c>
      <c r="D5257" s="17" t="s">
        <v>801</v>
      </c>
      <c r="E5257" s="18">
        <v>3004790319004</v>
      </c>
      <c r="G5257" s="20" t="str">
        <f t="shared" si="246"/>
        <v xml:space="preserve"> MINICO          </v>
      </c>
      <c r="H5257" s="20" t="str">
        <f t="shared" si="247"/>
        <v xml:space="preserve">BLUE </v>
      </c>
      <c r="I5257" s="20">
        <f t="shared" si="248"/>
        <v>0</v>
      </c>
    </row>
    <row r="5258" spans="1:9">
      <c r="A5258" s="17" t="s">
        <v>1974</v>
      </c>
      <c r="B5258" s="17" t="s">
        <v>1975</v>
      </c>
      <c r="C5258" s="17">
        <v>0</v>
      </c>
      <c r="D5258" s="17" t="s">
        <v>801</v>
      </c>
      <c r="E5258" s="18">
        <v>3004790286009</v>
      </c>
      <c r="G5258" s="20" t="str">
        <f t="shared" si="246"/>
        <v xml:space="preserve"> MINICO          </v>
      </c>
      <c r="H5258" s="20" t="str">
        <f t="shared" si="247"/>
        <v xml:space="preserve">MUL  </v>
      </c>
      <c r="I5258" s="20">
        <f t="shared" si="248"/>
        <v>0</v>
      </c>
    </row>
    <row r="5259" spans="1:9">
      <c r="A5259" s="17" t="s">
        <v>1974</v>
      </c>
      <c r="B5259" s="17" t="s">
        <v>859</v>
      </c>
      <c r="C5259" s="17">
        <v>0</v>
      </c>
      <c r="D5259" s="17" t="s">
        <v>801</v>
      </c>
      <c r="E5259" s="18">
        <v>3004790598003</v>
      </c>
      <c r="G5259" s="20" t="str">
        <f t="shared" si="246"/>
        <v xml:space="preserve"> MINICO          </v>
      </c>
      <c r="H5259" s="20" t="str">
        <f t="shared" si="247"/>
        <v>NATUR</v>
      </c>
      <c r="I5259" s="20">
        <f t="shared" si="248"/>
        <v>0</v>
      </c>
    </row>
    <row r="5260" spans="1:9">
      <c r="A5260" s="17" t="s">
        <v>1974</v>
      </c>
      <c r="B5260" s="17" t="s">
        <v>1976</v>
      </c>
      <c r="C5260" s="17">
        <v>0</v>
      </c>
      <c r="D5260" s="17" t="s">
        <v>801</v>
      </c>
      <c r="E5260" s="18">
        <v>3004790294004</v>
      </c>
      <c r="G5260" s="20" t="str">
        <f t="shared" si="246"/>
        <v xml:space="preserve"> MINICO          </v>
      </c>
      <c r="H5260" s="20" t="str">
        <f t="shared" si="247"/>
        <v>PATCH</v>
      </c>
      <c r="I5260" s="20">
        <f t="shared" si="248"/>
        <v>0</v>
      </c>
    </row>
    <row r="5261" spans="1:9">
      <c r="A5261" s="17" t="s">
        <v>1974</v>
      </c>
      <c r="B5261" s="17" t="s">
        <v>1917</v>
      </c>
      <c r="C5261" s="17">
        <v>0</v>
      </c>
      <c r="D5261" s="17" t="s">
        <v>801</v>
      </c>
      <c r="E5261" s="18">
        <v>3004790295001</v>
      </c>
      <c r="G5261" s="20" t="str">
        <f t="shared" si="246"/>
        <v xml:space="preserve"> MINICO          </v>
      </c>
      <c r="H5261" s="20" t="str">
        <f t="shared" si="247"/>
        <v>PATNE</v>
      </c>
      <c r="I5261" s="20">
        <f t="shared" si="248"/>
        <v>0</v>
      </c>
    </row>
    <row r="5262" spans="1:9">
      <c r="A5262" s="17" t="s">
        <v>1974</v>
      </c>
      <c r="B5262" s="17" t="s">
        <v>839</v>
      </c>
      <c r="C5262" s="17">
        <v>0</v>
      </c>
      <c r="D5262" s="17" t="s">
        <v>801</v>
      </c>
      <c r="E5262" s="18">
        <v>3004790613003</v>
      </c>
      <c r="G5262" s="20" t="str">
        <f t="shared" si="246"/>
        <v xml:space="preserve"> MINICO          </v>
      </c>
      <c r="H5262" s="20" t="str">
        <f t="shared" si="247"/>
        <v xml:space="preserve">ROSA </v>
      </c>
      <c r="I5262" s="20">
        <f t="shared" si="248"/>
        <v>0</v>
      </c>
    </row>
    <row r="5263" spans="1:9">
      <c r="A5263" s="17" t="s">
        <v>1977</v>
      </c>
      <c r="B5263" s="17" t="s">
        <v>808</v>
      </c>
      <c r="C5263" s="17">
        <v>0</v>
      </c>
      <c r="D5263" s="17" t="s">
        <v>801</v>
      </c>
      <c r="E5263" s="18">
        <v>8050846028258</v>
      </c>
      <c r="G5263" s="20" t="str">
        <f t="shared" si="246"/>
        <v xml:space="preserve"> MINICOUVECO     </v>
      </c>
      <c r="H5263" s="20" t="str">
        <f t="shared" si="247"/>
        <v>ANTHR</v>
      </c>
      <c r="I5263" s="20">
        <f t="shared" si="248"/>
        <v>0</v>
      </c>
    </row>
    <row r="5264" spans="1:9">
      <c r="A5264" s="17" t="s">
        <v>1977</v>
      </c>
      <c r="B5264" s="17" t="s">
        <v>809</v>
      </c>
      <c r="C5264" s="17">
        <v>0</v>
      </c>
      <c r="D5264" s="17" t="s">
        <v>801</v>
      </c>
      <c r="E5264" s="18">
        <v>3006161363005</v>
      </c>
      <c r="G5264" s="20" t="str">
        <f t="shared" si="246"/>
        <v xml:space="preserve"> MINICOUVECO     </v>
      </c>
      <c r="H5264" s="20" t="str">
        <f t="shared" si="247"/>
        <v>AUBER</v>
      </c>
      <c r="I5264" s="20">
        <f t="shared" si="248"/>
        <v>0</v>
      </c>
    </row>
    <row r="5265" spans="1:9">
      <c r="A5265" s="17" t="s">
        <v>1977</v>
      </c>
      <c r="B5265" s="17" t="s">
        <v>818</v>
      </c>
      <c r="C5265" s="17">
        <v>0</v>
      </c>
      <c r="D5265" s="17" t="s">
        <v>801</v>
      </c>
      <c r="E5265" s="18">
        <v>3006160273008</v>
      </c>
      <c r="G5265" s="20" t="str">
        <f t="shared" si="246"/>
        <v xml:space="preserve"> MINICOUVECO     </v>
      </c>
      <c r="H5265" s="20" t="str">
        <f t="shared" si="247"/>
        <v xml:space="preserve">BDX  </v>
      </c>
      <c r="I5265" s="20">
        <f t="shared" si="248"/>
        <v>0</v>
      </c>
    </row>
    <row r="5266" spans="1:9">
      <c r="A5266" s="17" t="s">
        <v>1977</v>
      </c>
      <c r="B5266" s="17" t="s">
        <v>818</v>
      </c>
      <c r="C5266" s="17">
        <v>0</v>
      </c>
      <c r="D5266" s="17" t="s">
        <v>801</v>
      </c>
      <c r="E5266" s="18">
        <v>8050846028210</v>
      </c>
      <c r="G5266" s="20" t="str">
        <f t="shared" si="246"/>
        <v xml:space="preserve"> MINICOUVECO     </v>
      </c>
      <c r="H5266" s="20" t="str">
        <f t="shared" si="247"/>
        <v xml:space="preserve">BDX  </v>
      </c>
      <c r="I5266" s="20">
        <f t="shared" si="248"/>
        <v>0</v>
      </c>
    </row>
    <row r="5267" spans="1:9">
      <c r="A5267" s="17" t="s">
        <v>1977</v>
      </c>
      <c r="B5267" s="17" t="s">
        <v>280</v>
      </c>
      <c r="C5267" s="17">
        <v>0</v>
      </c>
      <c r="D5267" s="17" t="s">
        <v>801</v>
      </c>
      <c r="E5267" s="18">
        <v>3006160276009</v>
      </c>
      <c r="G5267" s="20" t="str">
        <f t="shared" si="246"/>
        <v xml:space="preserve"> MINICOUVECO     </v>
      </c>
      <c r="H5267" s="20" t="str">
        <f t="shared" si="247"/>
        <v>BLACK</v>
      </c>
      <c r="I5267" s="20">
        <f t="shared" si="248"/>
        <v>0</v>
      </c>
    </row>
    <row r="5268" spans="1:9">
      <c r="A5268" s="17" t="s">
        <v>1977</v>
      </c>
      <c r="B5268" s="17" t="s">
        <v>280</v>
      </c>
      <c r="C5268" s="17">
        <v>0</v>
      </c>
      <c r="D5268" s="17" t="s">
        <v>801</v>
      </c>
      <c r="E5268" s="18">
        <v>8050846028241</v>
      </c>
      <c r="G5268" s="20" t="str">
        <f t="shared" si="246"/>
        <v xml:space="preserve"> MINICOUVECO     </v>
      </c>
      <c r="H5268" s="20" t="str">
        <f t="shared" si="247"/>
        <v>BLACK</v>
      </c>
      <c r="I5268" s="20">
        <f t="shared" si="248"/>
        <v>0</v>
      </c>
    </row>
    <row r="5269" spans="1:9">
      <c r="A5269" s="17" t="s">
        <v>1977</v>
      </c>
      <c r="B5269" s="17" t="s">
        <v>1078</v>
      </c>
      <c r="C5269" s="17">
        <v>0</v>
      </c>
      <c r="D5269" s="17" t="s">
        <v>801</v>
      </c>
      <c r="E5269" s="18">
        <v>8050846028265</v>
      </c>
      <c r="G5269" s="20" t="str">
        <f t="shared" si="246"/>
        <v xml:space="preserve"> MINICOUVECO     </v>
      </c>
      <c r="H5269" s="20" t="str">
        <f t="shared" si="247"/>
        <v xml:space="preserve">NAVY </v>
      </c>
      <c r="I5269" s="20">
        <f t="shared" si="248"/>
        <v>0</v>
      </c>
    </row>
    <row r="5270" spans="1:9">
      <c r="A5270" s="17" t="s">
        <v>1977</v>
      </c>
      <c r="B5270" s="17" t="s">
        <v>283</v>
      </c>
      <c r="C5270" s="17">
        <v>0</v>
      </c>
      <c r="D5270" s="17" t="s">
        <v>801</v>
      </c>
      <c r="E5270" s="18">
        <v>8050846028272</v>
      </c>
      <c r="G5270" s="20" t="str">
        <f t="shared" si="246"/>
        <v xml:space="preserve"> MINICOUVECO     </v>
      </c>
      <c r="H5270" s="20" t="str">
        <f t="shared" si="247"/>
        <v>PHARD</v>
      </c>
      <c r="I5270" s="20">
        <f t="shared" si="248"/>
        <v>0</v>
      </c>
    </row>
    <row r="5271" spans="1:9">
      <c r="A5271" s="17" t="s">
        <v>1977</v>
      </c>
      <c r="B5271" s="17" t="s">
        <v>273</v>
      </c>
      <c r="C5271" s="17">
        <v>0</v>
      </c>
      <c r="D5271" s="17" t="s">
        <v>801</v>
      </c>
      <c r="E5271" s="18">
        <v>8050846028234</v>
      </c>
      <c r="G5271" s="20" t="str">
        <f t="shared" si="246"/>
        <v xml:space="preserve"> MINICOUVECO     </v>
      </c>
      <c r="H5271" s="20" t="str">
        <f t="shared" si="247"/>
        <v>WHITE</v>
      </c>
      <c r="I5271" s="20">
        <f t="shared" si="248"/>
        <v>0</v>
      </c>
    </row>
    <row r="5272" spans="1:9">
      <c r="A5272" s="17" t="s">
        <v>1978</v>
      </c>
      <c r="B5272" s="17" t="s">
        <v>1531</v>
      </c>
      <c r="C5272" s="17">
        <v>0</v>
      </c>
      <c r="D5272" s="17" t="s">
        <v>801</v>
      </c>
      <c r="E5272" s="18">
        <v>8050846013391</v>
      </c>
      <c r="G5272" s="20" t="str">
        <f t="shared" si="246"/>
        <v xml:space="preserve"> MINIECOFOURRURE </v>
      </c>
      <c r="H5272" s="20" t="str">
        <f t="shared" si="247"/>
        <v>ASTBL</v>
      </c>
      <c r="I5272" s="20">
        <f t="shared" si="248"/>
        <v>0</v>
      </c>
    </row>
    <row r="5273" spans="1:9">
      <c r="A5273" s="17" t="s">
        <v>1978</v>
      </c>
      <c r="B5273" s="17" t="s">
        <v>1979</v>
      </c>
      <c r="C5273" s="17">
        <v>0</v>
      </c>
      <c r="D5273" s="17" t="s">
        <v>801</v>
      </c>
      <c r="E5273" s="18">
        <v>3004110693005</v>
      </c>
      <c r="G5273" s="20" t="str">
        <f t="shared" si="246"/>
        <v xml:space="preserve"> MINIECOFOURRURE </v>
      </c>
      <c r="H5273" s="20" t="str">
        <f t="shared" si="247"/>
        <v>BIAGR</v>
      </c>
      <c r="I5273" s="20">
        <f t="shared" si="248"/>
        <v>0</v>
      </c>
    </row>
    <row r="5274" spans="1:9">
      <c r="A5274" s="17" t="s">
        <v>1978</v>
      </c>
      <c r="B5274" s="17" t="s">
        <v>1980</v>
      </c>
      <c r="C5274" s="17">
        <v>0</v>
      </c>
      <c r="D5274" s="17" t="s">
        <v>801</v>
      </c>
      <c r="E5274" s="18">
        <v>8050538590445</v>
      </c>
      <c r="G5274" s="20" t="str">
        <f t="shared" si="246"/>
        <v xml:space="preserve"> MINIECOFOURRURE </v>
      </c>
      <c r="H5274" s="20" t="str">
        <f t="shared" si="247"/>
        <v>CHEBL</v>
      </c>
      <c r="I5274" s="20">
        <f t="shared" si="248"/>
        <v>0</v>
      </c>
    </row>
    <row r="5275" spans="1:9">
      <c r="A5275" s="17" t="s">
        <v>1978</v>
      </c>
      <c r="B5275" s="17" t="s">
        <v>1682</v>
      </c>
      <c r="C5275" s="17">
        <v>0</v>
      </c>
      <c r="D5275" s="17" t="s">
        <v>801</v>
      </c>
      <c r="E5275" s="18">
        <v>3004110580008</v>
      </c>
      <c r="G5275" s="20" t="str">
        <f t="shared" si="246"/>
        <v xml:space="preserve"> MINIECOFOURRURE </v>
      </c>
      <c r="H5275" s="20" t="str">
        <f t="shared" si="247"/>
        <v>GMINK</v>
      </c>
      <c r="I5275" s="20">
        <f t="shared" si="248"/>
        <v>0</v>
      </c>
    </row>
    <row r="5276" spans="1:9">
      <c r="A5276" s="17" t="s">
        <v>1978</v>
      </c>
      <c r="B5276" s="17" t="s">
        <v>1682</v>
      </c>
      <c r="C5276" s="17">
        <v>0</v>
      </c>
      <c r="D5276" s="17" t="s">
        <v>801</v>
      </c>
      <c r="E5276" s="18">
        <v>3004810580001</v>
      </c>
      <c r="G5276" s="20" t="str">
        <f t="shared" si="246"/>
        <v xml:space="preserve"> MINIECOFOURRURE </v>
      </c>
      <c r="H5276" s="20" t="str">
        <f t="shared" si="247"/>
        <v>GMINK</v>
      </c>
      <c r="I5276" s="20">
        <f t="shared" si="248"/>
        <v>0</v>
      </c>
    </row>
    <row r="5277" spans="1:9">
      <c r="A5277" s="17" t="s">
        <v>1978</v>
      </c>
      <c r="B5277" s="17" t="s">
        <v>1981</v>
      </c>
      <c r="C5277" s="17">
        <v>0</v>
      </c>
      <c r="D5277" s="17" t="s">
        <v>801</v>
      </c>
      <c r="E5277" s="18">
        <v>3004110582002</v>
      </c>
      <c r="G5277" s="20" t="str">
        <f t="shared" si="246"/>
        <v xml:space="preserve"> MINIECOFOURRURE </v>
      </c>
      <c r="H5277" s="20" t="str">
        <f t="shared" si="247"/>
        <v>GRMIN</v>
      </c>
      <c r="I5277" s="20">
        <f t="shared" si="248"/>
        <v>0</v>
      </c>
    </row>
    <row r="5278" spans="1:9">
      <c r="A5278" s="17" t="s">
        <v>1978</v>
      </c>
      <c r="B5278" s="17" t="s">
        <v>1981</v>
      </c>
      <c r="C5278" s="17">
        <v>0</v>
      </c>
      <c r="D5278" s="17" t="s">
        <v>801</v>
      </c>
      <c r="E5278" s="18">
        <v>3004810582005</v>
      </c>
      <c r="G5278" s="20" t="str">
        <f t="shared" si="246"/>
        <v xml:space="preserve"> MINIECOFOURRURE </v>
      </c>
      <c r="H5278" s="20" t="str">
        <f t="shared" si="247"/>
        <v>GRMIN</v>
      </c>
      <c r="I5278" s="20">
        <f t="shared" si="248"/>
        <v>0</v>
      </c>
    </row>
    <row r="5279" spans="1:9">
      <c r="A5279" s="17" t="s">
        <v>1978</v>
      </c>
      <c r="B5279" s="17" t="s">
        <v>1687</v>
      </c>
      <c r="C5279" s="17">
        <v>0</v>
      </c>
      <c r="D5279" s="17" t="s">
        <v>801</v>
      </c>
      <c r="E5279" s="18">
        <v>3004110917002</v>
      </c>
      <c r="G5279" s="20" t="str">
        <f t="shared" si="246"/>
        <v xml:space="preserve"> MINIECOFOURRURE </v>
      </c>
      <c r="H5279" s="20" t="str">
        <f t="shared" si="247"/>
        <v>LABLA</v>
      </c>
      <c r="I5279" s="20">
        <f t="shared" si="248"/>
        <v>0</v>
      </c>
    </row>
    <row r="5280" spans="1:9">
      <c r="A5280" s="17" t="s">
        <v>1978</v>
      </c>
      <c r="B5280" s="17" t="s">
        <v>1688</v>
      </c>
      <c r="C5280" s="17">
        <v>0</v>
      </c>
      <c r="D5280" s="17" t="s">
        <v>801</v>
      </c>
      <c r="E5280" s="18">
        <v>8050538591343</v>
      </c>
      <c r="G5280" s="20" t="str">
        <f t="shared" si="246"/>
        <v xml:space="preserve"> MINIECOFOURRURE </v>
      </c>
      <c r="H5280" s="20" t="str">
        <f t="shared" si="247"/>
        <v>LABLE</v>
      </c>
      <c r="I5280" s="20">
        <f t="shared" si="248"/>
        <v>0</v>
      </c>
    </row>
    <row r="5281" spans="1:9">
      <c r="A5281" s="17" t="s">
        <v>1978</v>
      </c>
      <c r="B5281" s="17" t="s">
        <v>1245</v>
      </c>
      <c r="C5281" s="17">
        <v>0</v>
      </c>
      <c r="D5281" s="17" t="s">
        <v>801</v>
      </c>
      <c r="E5281" s="18">
        <v>3004110535008</v>
      </c>
      <c r="G5281" s="20" t="str">
        <f t="shared" si="246"/>
        <v xml:space="preserve"> MINIECOFOURRURE </v>
      </c>
      <c r="H5281" s="20" t="str">
        <f t="shared" si="247"/>
        <v>LANOI</v>
      </c>
      <c r="I5281" s="20">
        <f t="shared" si="248"/>
        <v>0</v>
      </c>
    </row>
    <row r="5282" spans="1:9">
      <c r="A5282" s="17" t="s">
        <v>1978</v>
      </c>
      <c r="B5282" s="17" t="s">
        <v>1245</v>
      </c>
      <c r="C5282" s="17">
        <v>0</v>
      </c>
      <c r="D5282" s="17" t="s">
        <v>801</v>
      </c>
      <c r="E5282" s="18">
        <v>8058983597842</v>
      </c>
      <c r="G5282" s="20" t="str">
        <f t="shared" si="246"/>
        <v xml:space="preserve"> MINIECOFOURRURE </v>
      </c>
      <c r="H5282" s="20" t="str">
        <f t="shared" si="247"/>
        <v>LANOI</v>
      </c>
      <c r="I5282" s="20">
        <f t="shared" si="248"/>
        <v>0</v>
      </c>
    </row>
    <row r="5283" spans="1:9">
      <c r="A5283" s="17" t="s">
        <v>1978</v>
      </c>
      <c r="B5283" s="17" t="s">
        <v>1250</v>
      </c>
      <c r="C5283" s="17">
        <v>0</v>
      </c>
      <c r="D5283" s="17" t="s">
        <v>801</v>
      </c>
      <c r="E5283" s="18">
        <v>8056099178078</v>
      </c>
      <c r="G5283" s="20" t="str">
        <f t="shared" si="246"/>
        <v xml:space="preserve"> MINIECOFOURRURE </v>
      </c>
      <c r="H5283" s="20" t="str">
        <f t="shared" si="247"/>
        <v>LAPAU</v>
      </c>
      <c r="I5283" s="20">
        <f t="shared" si="248"/>
        <v>0</v>
      </c>
    </row>
    <row r="5284" spans="1:9">
      <c r="A5284" s="17" t="s">
        <v>1978</v>
      </c>
      <c r="B5284" s="17" t="s">
        <v>1251</v>
      </c>
      <c r="C5284" s="17">
        <v>0</v>
      </c>
      <c r="D5284" s="17" t="s">
        <v>801</v>
      </c>
      <c r="E5284" s="18">
        <v>3004810387006</v>
      </c>
      <c r="G5284" s="20" t="str">
        <f t="shared" si="246"/>
        <v xml:space="preserve"> MINIECOFOURRURE </v>
      </c>
      <c r="H5284" s="20" t="str">
        <f t="shared" si="247"/>
        <v>LAPBL</v>
      </c>
      <c r="I5284" s="20">
        <f t="shared" si="248"/>
        <v>0</v>
      </c>
    </row>
    <row r="5285" spans="1:9">
      <c r="A5285" s="17" t="s">
        <v>1978</v>
      </c>
      <c r="B5285" s="17" t="s">
        <v>1251</v>
      </c>
      <c r="C5285" s="17">
        <v>0</v>
      </c>
      <c r="D5285" s="17" t="s">
        <v>801</v>
      </c>
      <c r="E5285" s="18">
        <v>3004110387003</v>
      </c>
      <c r="G5285" s="20" t="str">
        <f t="shared" si="246"/>
        <v xml:space="preserve"> MINIECOFOURRURE </v>
      </c>
      <c r="H5285" s="20" t="str">
        <f t="shared" si="247"/>
        <v>LAPBL</v>
      </c>
      <c r="I5285" s="20">
        <f t="shared" si="248"/>
        <v>0</v>
      </c>
    </row>
    <row r="5286" spans="1:9">
      <c r="A5286" s="17" t="s">
        <v>1978</v>
      </c>
      <c r="B5286" s="17" t="s">
        <v>1251</v>
      </c>
      <c r="C5286" s="17">
        <v>0</v>
      </c>
      <c r="D5286" s="17" t="s">
        <v>801</v>
      </c>
      <c r="E5286" s="18">
        <v>8058983597828</v>
      </c>
      <c r="G5286" s="20" t="str">
        <f t="shared" si="246"/>
        <v xml:space="preserve"> MINIECOFOURRURE </v>
      </c>
      <c r="H5286" s="20" t="str">
        <f t="shared" si="247"/>
        <v>LAPBL</v>
      </c>
      <c r="I5286" s="20">
        <f t="shared" si="248"/>
        <v>0</v>
      </c>
    </row>
    <row r="5287" spans="1:9">
      <c r="A5287" s="17" t="s">
        <v>1978</v>
      </c>
      <c r="B5287" s="17" t="s">
        <v>1252</v>
      </c>
      <c r="C5287" s="17">
        <v>0</v>
      </c>
      <c r="D5287" s="17" t="s">
        <v>801</v>
      </c>
      <c r="E5287" s="18">
        <v>8058983595589</v>
      </c>
      <c r="G5287" s="20" t="str">
        <f t="shared" si="246"/>
        <v xml:space="preserve"> MINIECOFOURRURE </v>
      </c>
      <c r="H5287" s="20" t="str">
        <f t="shared" si="247"/>
        <v>LAPBO</v>
      </c>
      <c r="I5287" s="20">
        <f t="shared" si="248"/>
        <v>0</v>
      </c>
    </row>
    <row r="5288" spans="1:9">
      <c r="A5288" s="17" t="s">
        <v>1978</v>
      </c>
      <c r="B5288" s="17" t="s">
        <v>1252</v>
      </c>
      <c r="C5288" s="17">
        <v>0</v>
      </c>
      <c r="D5288" s="17" t="s">
        <v>801</v>
      </c>
      <c r="E5288" s="18">
        <v>3004810392000</v>
      </c>
      <c r="G5288" s="20" t="str">
        <f t="shared" si="246"/>
        <v xml:space="preserve"> MINIECOFOURRURE </v>
      </c>
      <c r="H5288" s="20" t="str">
        <f t="shared" si="247"/>
        <v>LAPBO</v>
      </c>
      <c r="I5288" s="20">
        <f t="shared" si="248"/>
        <v>0</v>
      </c>
    </row>
    <row r="5289" spans="1:9">
      <c r="A5289" s="17" t="s">
        <v>1978</v>
      </c>
      <c r="B5289" s="17" t="s">
        <v>1252</v>
      </c>
      <c r="C5289" s="17">
        <v>0</v>
      </c>
      <c r="D5289" s="17" t="s">
        <v>801</v>
      </c>
      <c r="E5289" s="18">
        <v>3004110392007</v>
      </c>
      <c r="G5289" s="20" t="str">
        <f t="shared" si="246"/>
        <v xml:space="preserve"> MINIECOFOURRURE </v>
      </c>
      <c r="H5289" s="20" t="str">
        <f t="shared" si="247"/>
        <v>LAPBO</v>
      </c>
      <c r="I5289" s="20">
        <f t="shared" si="248"/>
        <v>0</v>
      </c>
    </row>
    <row r="5290" spans="1:9">
      <c r="A5290" s="17" t="s">
        <v>1978</v>
      </c>
      <c r="B5290" s="17" t="s">
        <v>1253</v>
      </c>
      <c r="C5290" s="17">
        <v>0</v>
      </c>
      <c r="D5290" s="17" t="s">
        <v>801</v>
      </c>
      <c r="E5290" s="18">
        <v>8050450212517</v>
      </c>
      <c r="G5290" s="20" t="str">
        <f t="shared" si="246"/>
        <v xml:space="preserve"> MINIECOFOURRURE </v>
      </c>
      <c r="H5290" s="20" t="str">
        <f t="shared" si="247"/>
        <v>LAPGR</v>
      </c>
      <c r="I5290" s="20">
        <f t="shared" si="248"/>
        <v>0</v>
      </c>
    </row>
    <row r="5291" spans="1:9">
      <c r="A5291" s="17" t="s">
        <v>1978</v>
      </c>
      <c r="B5291" s="17" t="s">
        <v>1253</v>
      </c>
      <c r="C5291" s="17">
        <v>0</v>
      </c>
      <c r="D5291" s="17" t="s">
        <v>801</v>
      </c>
      <c r="E5291" s="18">
        <v>8050538590834</v>
      </c>
      <c r="G5291" s="20" t="str">
        <f t="shared" si="246"/>
        <v xml:space="preserve"> MINIECOFOURRURE </v>
      </c>
      <c r="H5291" s="20" t="str">
        <f t="shared" si="247"/>
        <v>LAPGR</v>
      </c>
      <c r="I5291" s="20">
        <f t="shared" si="248"/>
        <v>0</v>
      </c>
    </row>
    <row r="5292" spans="1:9">
      <c r="A5292" s="17" t="s">
        <v>1978</v>
      </c>
      <c r="B5292" s="17" t="s">
        <v>1253</v>
      </c>
      <c r="C5292" s="17">
        <v>0</v>
      </c>
      <c r="D5292" s="17" t="s">
        <v>801</v>
      </c>
      <c r="E5292" s="18">
        <v>3004110616004</v>
      </c>
      <c r="G5292" s="20" t="str">
        <f t="shared" si="246"/>
        <v xml:space="preserve"> MINIECOFOURRURE </v>
      </c>
      <c r="H5292" s="20" t="str">
        <f t="shared" si="247"/>
        <v>LAPGR</v>
      </c>
      <c r="I5292" s="20">
        <f t="shared" si="248"/>
        <v>0</v>
      </c>
    </row>
    <row r="5293" spans="1:9">
      <c r="A5293" s="17" t="s">
        <v>1978</v>
      </c>
      <c r="B5293" s="17" t="s">
        <v>1253</v>
      </c>
      <c r="C5293" s="17">
        <v>0</v>
      </c>
      <c r="D5293" s="17" t="s">
        <v>801</v>
      </c>
      <c r="E5293" s="18">
        <v>8058983592212</v>
      </c>
      <c r="G5293" s="20" t="str">
        <f t="shared" si="246"/>
        <v xml:space="preserve"> MINIECOFOURRURE </v>
      </c>
      <c r="H5293" s="20" t="str">
        <f t="shared" si="247"/>
        <v>LAPGR</v>
      </c>
      <c r="I5293" s="20">
        <f t="shared" si="248"/>
        <v>0</v>
      </c>
    </row>
    <row r="5294" spans="1:9">
      <c r="A5294" s="17" t="s">
        <v>1978</v>
      </c>
      <c r="B5294" s="17" t="s">
        <v>1253</v>
      </c>
      <c r="C5294" s="17">
        <v>0</v>
      </c>
      <c r="D5294" s="17" t="s">
        <v>801</v>
      </c>
      <c r="E5294" s="18">
        <v>8058983597835</v>
      </c>
      <c r="G5294" s="20" t="str">
        <f t="shared" si="246"/>
        <v xml:space="preserve"> MINIECOFOURRURE </v>
      </c>
      <c r="H5294" s="20" t="str">
        <f t="shared" si="247"/>
        <v>LAPGR</v>
      </c>
      <c r="I5294" s="20">
        <f t="shared" si="248"/>
        <v>0</v>
      </c>
    </row>
    <row r="5295" spans="1:9">
      <c r="A5295" s="17" t="s">
        <v>1978</v>
      </c>
      <c r="B5295" s="17" t="s">
        <v>1253</v>
      </c>
      <c r="C5295" s="17">
        <v>0</v>
      </c>
      <c r="D5295" s="17" t="s">
        <v>801</v>
      </c>
      <c r="E5295" s="18">
        <v>8058983597774</v>
      </c>
      <c r="G5295" s="20" t="str">
        <f t="shared" si="246"/>
        <v xml:space="preserve"> MINIECOFOURRURE </v>
      </c>
      <c r="H5295" s="20" t="str">
        <f t="shared" si="247"/>
        <v>LAPGR</v>
      </c>
      <c r="I5295" s="20">
        <f t="shared" si="248"/>
        <v>0</v>
      </c>
    </row>
    <row r="5296" spans="1:9">
      <c r="A5296" s="17" t="s">
        <v>1978</v>
      </c>
      <c r="B5296" s="17" t="s">
        <v>1982</v>
      </c>
      <c r="C5296" s="17" t="s">
        <v>799</v>
      </c>
      <c r="D5296" s="17" t="s">
        <v>801</v>
      </c>
      <c r="E5296" s="18">
        <v>8058983597903</v>
      </c>
      <c r="G5296" s="20" t="str">
        <f t="shared" si="246"/>
        <v xml:space="preserve"> MINIECOFOURRURE </v>
      </c>
      <c r="H5296" s="20" t="str">
        <f t="shared" si="247"/>
        <v>LAPGV</v>
      </c>
      <c r="I5296" s="20" t="str">
        <f t="shared" si="248"/>
        <v xml:space="preserve">     </v>
      </c>
    </row>
    <row r="5297" spans="1:9">
      <c r="A5297" s="17" t="s">
        <v>1978</v>
      </c>
      <c r="B5297" s="17" t="s">
        <v>1982</v>
      </c>
      <c r="C5297" s="17">
        <v>0</v>
      </c>
      <c r="D5297" s="17" t="s">
        <v>801</v>
      </c>
      <c r="E5297" s="18">
        <v>3004810599003</v>
      </c>
      <c r="G5297" s="20" t="str">
        <f t="shared" si="246"/>
        <v xml:space="preserve"> MINIECOFOURRURE </v>
      </c>
      <c r="H5297" s="20" t="str">
        <f t="shared" si="247"/>
        <v>LAPGV</v>
      </c>
      <c r="I5297" s="20">
        <f t="shared" si="248"/>
        <v>0</v>
      </c>
    </row>
    <row r="5298" spans="1:9">
      <c r="A5298" s="17" t="s">
        <v>1978</v>
      </c>
      <c r="B5298" s="17" t="s">
        <v>1982</v>
      </c>
      <c r="C5298" s="17">
        <v>0</v>
      </c>
      <c r="D5298" s="17" t="s">
        <v>801</v>
      </c>
      <c r="E5298" s="18">
        <v>3004110599000</v>
      </c>
      <c r="G5298" s="20" t="str">
        <f t="shared" si="246"/>
        <v xml:space="preserve"> MINIECOFOURRURE </v>
      </c>
      <c r="H5298" s="20" t="str">
        <f t="shared" si="247"/>
        <v>LAPGV</v>
      </c>
      <c r="I5298" s="20">
        <f t="shared" si="248"/>
        <v>0</v>
      </c>
    </row>
    <row r="5299" spans="1:9">
      <c r="A5299" s="17" t="s">
        <v>1978</v>
      </c>
      <c r="B5299" s="17" t="s">
        <v>1691</v>
      </c>
      <c r="C5299" s="17" t="s">
        <v>799</v>
      </c>
      <c r="D5299" s="17" t="s">
        <v>801</v>
      </c>
      <c r="E5299" s="18">
        <v>8058983597859</v>
      </c>
      <c r="G5299" s="20" t="str">
        <f t="shared" si="246"/>
        <v xml:space="preserve"> MINIECOFOURRURE </v>
      </c>
      <c r="H5299" s="20" t="str">
        <f t="shared" si="247"/>
        <v>LAPHA</v>
      </c>
      <c r="I5299" s="20" t="str">
        <f t="shared" si="248"/>
        <v xml:space="preserve">     </v>
      </c>
    </row>
    <row r="5300" spans="1:9">
      <c r="A5300" s="17" t="s">
        <v>1978</v>
      </c>
      <c r="B5300" s="17" t="s">
        <v>1691</v>
      </c>
      <c r="C5300" s="17">
        <v>0</v>
      </c>
      <c r="D5300" s="17" t="s">
        <v>801</v>
      </c>
      <c r="E5300" s="18">
        <v>8056099179907</v>
      </c>
      <c r="G5300" s="20" t="str">
        <f t="shared" si="246"/>
        <v xml:space="preserve"> MINIECOFOURRURE </v>
      </c>
      <c r="H5300" s="20" t="str">
        <f t="shared" si="247"/>
        <v>LAPHA</v>
      </c>
      <c r="I5300" s="20">
        <f t="shared" si="248"/>
        <v>0</v>
      </c>
    </row>
    <row r="5301" spans="1:9">
      <c r="A5301" s="17" t="s">
        <v>1978</v>
      </c>
      <c r="B5301" s="17" t="s">
        <v>1691</v>
      </c>
      <c r="C5301" s="17">
        <v>0</v>
      </c>
      <c r="D5301" s="17" t="s">
        <v>801</v>
      </c>
      <c r="E5301" s="18">
        <v>3004810600006</v>
      </c>
      <c r="G5301" s="20" t="str">
        <f t="shared" si="246"/>
        <v xml:space="preserve"> MINIECOFOURRURE </v>
      </c>
      <c r="H5301" s="20" t="str">
        <f t="shared" si="247"/>
        <v>LAPHA</v>
      </c>
      <c r="I5301" s="20">
        <f t="shared" si="248"/>
        <v>0</v>
      </c>
    </row>
    <row r="5302" spans="1:9">
      <c r="A5302" s="17" t="s">
        <v>1978</v>
      </c>
      <c r="B5302" s="17" t="s">
        <v>1691</v>
      </c>
      <c r="C5302" s="17">
        <v>0</v>
      </c>
      <c r="D5302" s="17" t="s">
        <v>801</v>
      </c>
      <c r="E5302" s="18">
        <v>3004110600003</v>
      </c>
      <c r="G5302" s="20" t="str">
        <f t="shared" si="246"/>
        <v xml:space="preserve"> MINIECOFOURRURE </v>
      </c>
      <c r="H5302" s="20" t="str">
        <f t="shared" si="247"/>
        <v>LAPHA</v>
      </c>
      <c r="I5302" s="20">
        <f t="shared" si="248"/>
        <v>0</v>
      </c>
    </row>
    <row r="5303" spans="1:9">
      <c r="A5303" s="17" t="s">
        <v>1978</v>
      </c>
      <c r="B5303" s="17" t="s">
        <v>1254</v>
      </c>
      <c r="C5303" s="17" t="s">
        <v>799</v>
      </c>
      <c r="D5303" s="17" t="s">
        <v>801</v>
      </c>
      <c r="E5303" s="18">
        <v>8058983597781</v>
      </c>
      <c r="G5303" s="20" t="str">
        <f t="shared" si="246"/>
        <v xml:space="preserve"> MINIECOFOURRURE </v>
      </c>
      <c r="H5303" s="20" t="str">
        <f t="shared" si="247"/>
        <v>LAPIV</v>
      </c>
      <c r="I5303" s="20" t="str">
        <f t="shared" si="248"/>
        <v xml:space="preserve">     </v>
      </c>
    </row>
    <row r="5304" spans="1:9">
      <c r="A5304" s="17" t="s">
        <v>1978</v>
      </c>
      <c r="B5304" s="17" t="s">
        <v>1254</v>
      </c>
      <c r="C5304" s="17">
        <v>0</v>
      </c>
      <c r="D5304" s="17" t="s">
        <v>801</v>
      </c>
      <c r="E5304" s="18">
        <v>3004810556006</v>
      </c>
      <c r="G5304" s="20" t="str">
        <f t="shared" si="246"/>
        <v xml:space="preserve"> MINIECOFOURRURE </v>
      </c>
      <c r="H5304" s="20" t="str">
        <f t="shared" si="247"/>
        <v>LAPIV</v>
      </c>
      <c r="I5304" s="20">
        <f t="shared" si="248"/>
        <v>0</v>
      </c>
    </row>
    <row r="5305" spans="1:9">
      <c r="A5305" s="17" t="s">
        <v>1978</v>
      </c>
      <c r="B5305" s="17" t="s">
        <v>1254</v>
      </c>
      <c r="C5305" s="17">
        <v>0</v>
      </c>
      <c r="D5305" s="17" t="s">
        <v>801</v>
      </c>
      <c r="E5305" s="18">
        <v>3004110556003</v>
      </c>
      <c r="G5305" s="20" t="str">
        <f t="shared" si="246"/>
        <v xml:space="preserve"> MINIECOFOURRURE </v>
      </c>
      <c r="H5305" s="20" t="str">
        <f t="shared" si="247"/>
        <v>LAPIV</v>
      </c>
      <c r="I5305" s="20">
        <f t="shared" si="248"/>
        <v>0</v>
      </c>
    </row>
    <row r="5306" spans="1:9">
      <c r="A5306" s="17" t="s">
        <v>1978</v>
      </c>
      <c r="B5306" s="17" t="s">
        <v>1983</v>
      </c>
      <c r="C5306" s="17">
        <v>0</v>
      </c>
      <c r="D5306" s="17" t="s">
        <v>801</v>
      </c>
      <c r="E5306" s="18">
        <v>3004810393007</v>
      </c>
      <c r="G5306" s="20" t="str">
        <f t="shared" si="246"/>
        <v xml:space="preserve"> MINIECOFOURRURE </v>
      </c>
      <c r="H5306" s="20" t="str">
        <f t="shared" si="247"/>
        <v>LAPMO</v>
      </c>
      <c r="I5306" s="20">
        <f t="shared" si="248"/>
        <v>0</v>
      </c>
    </row>
    <row r="5307" spans="1:9">
      <c r="A5307" s="17" t="s">
        <v>1978</v>
      </c>
      <c r="B5307" s="17" t="s">
        <v>1983</v>
      </c>
      <c r="C5307" s="17">
        <v>0</v>
      </c>
      <c r="D5307" s="17" t="s">
        <v>801</v>
      </c>
      <c r="E5307" s="18">
        <v>3004110393004</v>
      </c>
      <c r="G5307" s="20" t="str">
        <f t="shared" si="246"/>
        <v xml:space="preserve"> MINIECOFOURRURE </v>
      </c>
      <c r="H5307" s="20" t="str">
        <f t="shared" si="247"/>
        <v>LAPMO</v>
      </c>
      <c r="I5307" s="20">
        <f t="shared" si="248"/>
        <v>0</v>
      </c>
    </row>
    <row r="5308" spans="1:9">
      <c r="A5308" s="17" t="s">
        <v>1978</v>
      </c>
      <c r="B5308" s="17" t="s">
        <v>1255</v>
      </c>
      <c r="C5308" s="17">
        <v>0</v>
      </c>
      <c r="D5308" s="17" t="s">
        <v>801</v>
      </c>
      <c r="E5308" s="18">
        <v>3004810386009</v>
      </c>
      <c r="G5308" s="20" t="str">
        <f t="shared" si="246"/>
        <v xml:space="preserve"> MINIECOFOURRURE </v>
      </c>
      <c r="H5308" s="20" t="str">
        <f t="shared" si="247"/>
        <v>LAPOR</v>
      </c>
      <c r="I5308" s="20">
        <f t="shared" si="248"/>
        <v>0</v>
      </c>
    </row>
    <row r="5309" spans="1:9">
      <c r="A5309" s="17" t="s">
        <v>1978</v>
      </c>
      <c r="B5309" s="17" t="s">
        <v>1255</v>
      </c>
      <c r="C5309" s="17">
        <v>0</v>
      </c>
      <c r="D5309" s="17" t="s">
        <v>801</v>
      </c>
      <c r="E5309" s="18">
        <v>3004110386006</v>
      </c>
      <c r="G5309" s="20" t="str">
        <f t="shared" si="246"/>
        <v xml:space="preserve"> MINIECOFOURRURE </v>
      </c>
      <c r="H5309" s="20" t="str">
        <f t="shared" si="247"/>
        <v>LAPOR</v>
      </c>
      <c r="I5309" s="20">
        <f t="shared" si="248"/>
        <v>0</v>
      </c>
    </row>
    <row r="5310" spans="1:9">
      <c r="A5310" s="17" t="s">
        <v>1978</v>
      </c>
      <c r="B5310" s="17" t="s">
        <v>1258</v>
      </c>
      <c r="C5310" s="17" t="s">
        <v>799</v>
      </c>
      <c r="D5310" s="17" t="s">
        <v>801</v>
      </c>
      <c r="E5310" s="18">
        <v>8058983597927</v>
      </c>
      <c r="G5310" s="20" t="str">
        <f t="shared" si="246"/>
        <v xml:space="preserve"> MINIECOFOURRURE </v>
      </c>
      <c r="H5310" s="20" t="str">
        <f t="shared" si="247"/>
        <v>LAPSA</v>
      </c>
      <c r="I5310" s="20" t="str">
        <f t="shared" si="248"/>
        <v xml:space="preserve">     </v>
      </c>
    </row>
    <row r="5311" spans="1:9">
      <c r="A5311" s="17" t="s">
        <v>1978</v>
      </c>
      <c r="B5311" s="17" t="s">
        <v>1258</v>
      </c>
      <c r="C5311" s="17">
        <v>0</v>
      </c>
      <c r="D5311" s="17" t="s">
        <v>801</v>
      </c>
      <c r="E5311" s="18">
        <v>3004810601003</v>
      </c>
      <c r="G5311" s="20" t="str">
        <f t="shared" si="246"/>
        <v xml:space="preserve"> MINIECOFOURRURE </v>
      </c>
      <c r="H5311" s="20" t="str">
        <f t="shared" si="247"/>
        <v>LAPSA</v>
      </c>
      <c r="I5311" s="20">
        <f t="shared" si="248"/>
        <v>0</v>
      </c>
    </row>
    <row r="5312" spans="1:9">
      <c r="A5312" s="17" t="s">
        <v>1978</v>
      </c>
      <c r="B5312" s="17" t="s">
        <v>1258</v>
      </c>
      <c r="C5312" s="17">
        <v>0</v>
      </c>
      <c r="D5312" s="17" t="s">
        <v>801</v>
      </c>
      <c r="E5312" s="18">
        <v>3004110601000</v>
      </c>
      <c r="G5312" s="20" t="str">
        <f t="shared" si="246"/>
        <v xml:space="preserve"> MINIECOFOURRURE </v>
      </c>
      <c r="H5312" s="20" t="str">
        <f t="shared" si="247"/>
        <v>LAPSA</v>
      </c>
      <c r="I5312" s="20">
        <f t="shared" si="248"/>
        <v>0</v>
      </c>
    </row>
    <row r="5313" spans="1:9">
      <c r="A5313" s="17" t="s">
        <v>1978</v>
      </c>
      <c r="B5313" s="17" t="s">
        <v>1261</v>
      </c>
      <c r="C5313" s="17" t="s">
        <v>799</v>
      </c>
      <c r="D5313" s="17" t="s">
        <v>801</v>
      </c>
      <c r="E5313" s="18">
        <v>8058983597910</v>
      </c>
      <c r="G5313" s="20" t="str">
        <f t="shared" si="246"/>
        <v xml:space="preserve"> MINIECOFOURRURE </v>
      </c>
      <c r="H5313" s="20" t="str">
        <f t="shared" si="247"/>
        <v>LAPVE</v>
      </c>
      <c r="I5313" s="20" t="str">
        <f t="shared" si="248"/>
        <v xml:space="preserve">     </v>
      </c>
    </row>
    <row r="5314" spans="1:9">
      <c r="A5314" s="17" t="s">
        <v>1978</v>
      </c>
      <c r="B5314" s="17" t="s">
        <v>1261</v>
      </c>
      <c r="C5314" s="17">
        <v>0</v>
      </c>
      <c r="D5314" s="17" t="s">
        <v>801</v>
      </c>
      <c r="E5314" s="18">
        <v>3004810373009</v>
      </c>
      <c r="G5314" s="20" t="str">
        <f t="shared" si="246"/>
        <v xml:space="preserve"> MINIECOFOURRURE </v>
      </c>
      <c r="H5314" s="20" t="str">
        <f t="shared" si="247"/>
        <v>LAPVE</v>
      </c>
      <c r="I5314" s="20">
        <f t="shared" si="248"/>
        <v>0</v>
      </c>
    </row>
    <row r="5315" spans="1:9">
      <c r="A5315" s="17" t="s">
        <v>1978</v>
      </c>
      <c r="B5315" s="17" t="s">
        <v>1261</v>
      </c>
      <c r="C5315" s="17">
        <v>0</v>
      </c>
      <c r="D5315" s="17" t="s">
        <v>801</v>
      </c>
      <c r="E5315" s="18">
        <v>3004110373006</v>
      </c>
      <c r="G5315" s="20" t="str">
        <f t="shared" si="246"/>
        <v xml:space="preserve"> MINIECOFOURRURE </v>
      </c>
      <c r="H5315" s="20" t="str">
        <f t="shared" si="247"/>
        <v>LAPVE</v>
      </c>
      <c r="I5315" s="20">
        <f t="shared" si="248"/>
        <v>0</v>
      </c>
    </row>
    <row r="5316" spans="1:9">
      <c r="A5316" s="17" t="s">
        <v>1978</v>
      </c>
      <c r="B5316" s="17" t="s">
        <v>1832</v>
      </c>
      <c r="C5316" s="17">
        <v>0</v>
      </c>
      <c r="D5316" s="17" t="s">
        <v>801</v>
      </c>
      <c r="E5316" s="18">
        <v>8050538594917</v>
      </c>
      <c r="G5316" s="20" t="str">
        <f t="shared" si="246"/>
        <v xml:space="preserve"> MINIECOFOURRURE </v>
      </c>
      <c r="H5316" s="20" t="str">
        <f t="shared" si="247"/>
        <v>LASAU</v>
      </c>
      <c r="I5316" s="20">
        <f t="shared" si="248"/>
        <v>0</v>
      </c>
    </row>
    <row r="5317" spans="1:9">
      <c r="A5317" s="17" t="s">
        <v>1978</v>
      </c>
      <c r="B5317" s="17" t="s">
        <v>1833</v>
      </c>
      <c r="C5317" s="17" t="s">
        <v>799</v>
      </c>
      <c r="D5317" s="17" t="s">
        <v>801</v>
      </c>
      <c r="E5317" s="18">
        <v>8058983597934</v>
      </c>
      <c r="G5317" s="20" t="str">
        <f t="shared" ref="G5317:G5380" si="249">A5317</f>
        <v xml:space="preserve"> MINIECOFOURRURE </v>
      </c>
      <c r="H5317" s="20" t="str">
        <f t="shared" ref="H5317:H5380" si="250">B5317</f>
        <v>LASBL</v>
      </c>
      <c r="I5317" s="20" t="str">
        <f t="shared" ref="I5317:I5380" si="251">C5317</f>
        <v xml:space="preserve">     </v>
      </c>
    </row>
    <row r="5318" spans="1:9">
      <c r="A5318" s="17" t="s">
        <v>1978</v>
      </c>
      <c r="B5318" s="17" t="s">
        <v>1833</v>
      </c>
      <c r="C5318" s="17">
        <v>0</v>
      </c>
      <c r="D5318" s="17" t="s">
        <v>801</v>
      </c>
      <c r="E5318" s="18">
        <v>3004810606008</v>
      </c>
      <c r="G5318" s="20" t="str">
        <f t="shared" si="249"/>
        <v xml:space="preserve"> MINIECOFOURRURE </v>
      </c>
      <c r="H5318" s="20" t="str">
        <f t="shared" si="250"/>
        <v>LASBL</v>
      </c>
      <c r="I5318" s="20">
        <f t="shared" si="251"/>
        <v>0</v>
      </c>
    </row>
    <row r="5319" spans="1:9">
      <c r="A5319" s="17" t="s">
        <v>1978</v>
      </c>
      <c r="B5319" s="17" t="s">
        <v>1833</v>
      </c>
      <c r="C5319" s="17">
        <v>0</v>
      </c>
      <c r="D5319" s="17" t="s">
        <v>801</v>
      </c>
      <c r="E5319" s="18">
        <v>3004110606005</v>
      </c>
      <c r="G5319" s="20" t="str">
        <f t="shared" si="249"/>
        <v xml:space="preserve"> MINIECOFOURRURE </v>
      </c>
      <c r="H5319" s="20" t="str">
        <f t="shared" si="250"/>
        <v>LASBL</v>
      </c>
      <c r="I5319" s="20">
        <f t="shared" si="251"/>
        <v>0</v>
      </c>
    </row>
    <row r="5320" spans="1:9">
      <c r="A5320" s="17" t="s">
        <v>1978</v>
      </c>
      <c r="B5320" s="17" t="s">
        <v>1984</v>
      </c>
      <c r="C5320" s="17" t="s">
        <v>799</v>
      </c>
      <c r="D5320" s="17" t="s">
        <v>801</v>
      </c>
      <c r="E5320" s="18">
        <v>8058983597873</v>
      </c>
      <c r="G5320" s="20" t="str">
        <f t="shared" si="249"/>
        <v xml:space="preserve"> MINIECOFOURRURE </v>
      </c>
      <c r="H5320" s="20" t="str">
        <f t="shared" si="250"/>
        <v>LASGR</v>
      </c>
      <c r="I5320" s="20" t="str">
        <f t="shared" si="251"/>
        <v xml:space="preserve">     </v>
      </c>
    </row>
    <row r="5321" spans="1:9">
      <c r="A5321" s="17" t="s">
        <v>1978</v>
      </c>
      <c r="B5321" s="17" t="s">
        <v>1984</v>
      </c>
      <c r="C5321" s="17">
        <v>0</v>
      </c>
      <c r="D5321" s="17" t="s">
        <v>801</v>
      </c>
      <c r="E5321" s="18">
        <v>3004810609009</v>
      </c>
      <c r="G5321" s="20" t="str">
        <f t="shared" si="249"/>
        <v xml:space="preserve"> MINIECOFOURRURE </v>
      </c>
      <c r="H5321" s="20" t="str">
        <f t="shared" si="250"/>
        <v>LASGR</v>
      </c>
      <c r="I5321" s="20">
        <f t="shared" si="251"/>
        <v>0</v>
      </c>
    </row>
    <row r="5322" spans="1:9">
      <c r="A5322" s="17" t="s">
        <v>1978</v>
      </c>
      <c r="B5322" s="17" t="s">
        <v>1984</v>
      </c>
      <c r="C5322" s="17">
        <v>0</v>
      </c>
      <c r="D5322" s="17" t="s">
        <v>801</v>
      </c>
      <c r="E5322" s="18">
        <v>3004110609006</v>
      </c>
      <c r="G5322" s="20" t="str">
        <f t="shared" si="249"/>
        <v xml:space="preserve"> MINIECOFOURRURE </v>
      </c>
      <c r="H5322" s="20" t="str">
        <f t="shared" si="250"/>
        <v>LASGR</v>
      </c>
      <c r="I5322" s="20">
        <f t="shared" si="251"/>
        <v>0</v>
      </c>
    </row>
    <row r="5323" spans="1:9">
      <c r="A5323" s="17" t="s">
        <v>1978</v>
      </c>
      <c r="B5323" s="17" t="s">
        <v>1985</v>
      </c>
      <c r="C5323" s="17" t="s">
        <v>799</v>
      </c>
      <c r="D5323" s="17" t="s">
        <v>801</v>
      </c>
      <c r="E5323" s="18">
        <v>8058983597866</v>
      </c>
      <c r="G5323" s="20" t="str">
        <f t="shared" si="249"/>
        <v xml:space="preserve"> MINIECOFOURRURE </v>
      </c>
      <c r="H5323" s="20" t="str">
        <f t="shared" si="250"/>
        <v>LASIV</v>
      </c>
      <c r="I5323" s="20" t="str">
        <f t="shared" si="251"/>
        <v xml:space="preserve">     </v>
      </c>
    </row>
    <row r="5324" spans="1:9">
      <c r="A5324" s="17" t="s">
        <v>1978</v>
      </c>
      <c r="B5324" s="17" t="s">
        <v>1985</v>
      </c>
      <c r="C5324" s="17">
        <v>0</v>
      </c>
      <c r="D5324" s="17" t="s">
        <v>801</v>
      </c>
      <c r="E5324" s="18">
        <v>3004810608002</v>
      </c>
      <c r="G5324" s="20" t="str">
        <f t="shared" si="249"/>
        <v xml:space="preserve"> MINIECOFOURRURE </v>
      </c>
      <c r="H5324" s="20" t="str">
        <f t="shared" si="250"/>
        <v>LASIV</v>
      </c>
      <c r="I5324" s="20">
        <f t="shared" si="251"/>
        <v>0</v>
      </c>
    </row>
    <row r="5325" spans="1:9">
      <c r="A5325" s="17" t="s">
        <v>1978</v>
      </c>
      <c r="B5325" s="17" t="s">
        <v>1985</v>
      </c>
      <c r="C5325" s="17">
        <v>0</v>
      </c>
      <c r="D5325" s="17" t="s">
        <v>801</v>
      </c>
      <c r="E5325" s="18">
        <v>3004110608009</v>
      </c>
      <c r="G5325" s="20" t="str">
        <f t="shared" si="249"/>
        <v xml:space="preserve"> MINIECOFOURRURE </v>
      </c>
      <c r="H5325" s="20" t="str">
        <f t="shared" si="250"/>
        <v>LASIV</v>
      </c>
      <c r="I5325" s="20">
        <f t="shared" si="251"/>
        <v>0</v>
      </c>
    </row>
    <row r="5326" spans="1:9">
      <c r="A5326" s="17" t="s">
        <v>1978</v>
      </c>
      <c r="B5326" s="17" t="s">
        <v>1834</v>
      </c>
      <c r="C5326" s="17" t="s">
        <v>799</v>
      </c>
      <c r="D5326" s="17" t="s">
        <v>801</v>
      </c>
      <c r="E5326" s="18">
        <v>8058983597941</v>
      </c>
      <c r="G5326" s="20" t="str">
        <f t="shared" si="249"/>
        <v xml:space="preserve"> MINIECOFOURRURE </v>
      </c>
      <c r="H5326" s="20" t="str">
        <f t="shared" si="250"/>
        <v>LASNO</v>
      </c>
      <c r="I5326" s="20" t="str">
        <f t="shared" si="251"/>
        <v xml:space="preserve">     </v>
      </c>
    </row>
    <row r="5327" spans="1:9">
      <c r="A5327" s="17" t="s">
        <v>1978</v>
      </c>
      <c r="B5327" s="17" t="s">
        <v>1834</v>
      </c>
      <c r="C5327" s="17">
        <v>0</v>
      </c>
      <c r="D5327" s="17" t="s">
        <v>801</v>
      </c>
      <c r="E5327" s="18">
        <v>8050538594900</v>
      </c>
      <c r="G5327" s="20" t="str">
        <f t="shared" si="249"/>
        <v xml:space="preserve"> MINIECOFOURRURE </v>
      </c>
      <c r="H5327" s="20" t="str">
        <f t="shared" si="250"/>
        <v>LASNO</v>
      </c>
      <c r="I5327" s="20">
        <f t="shared" si="251"/>
        <v>0</v>
      </c>
    </row>
    <row r="5328" spans="1:9">
      <c r="A5328" s="17" t="s">
        <v>1978</v>
      </c>
      <c r="B5328" s="17" t="s">
        <v>1834</v>
      </c>
      <c r="C5328" s="17">
        <v>0</v>
      </c>
      <c r="D5328" s="17" t="s">
        <v>801</v>
      </c>
      <c r="E5328" s="18">
        <v>3004810607005</v>
      </c>
      <c r="G5328" s="20" t="str">
        <f t="shared" si="249"/>
        <v xml:space="preserve"> MINIECOFOURRURE </v>
      </c>
      <c r="H5328" s="20" t="str">
        <f t="shared" si="250"/>
        <v>LASNO</v>
      </c>
      <c r="I5328" s="20">
        <f t="shared" si="251"/>
        <v>0</v>
      </c>
    </row>
    <row r="5329" spans="1:9">
      <c r="A5329" s="17" t="s">
        <v>1978</v>
      </c>
      <c r="B5329" s="17" t="s">
        <v>1834</v>
      </c>
      <c r="C5329" s="17">
        <v>0</v>
      </c>
      <c r="D5329" s="17" t="s">
        <v>801</v>
      </c>
      <c r="E5329" s="18">
        <v>3004110607002</v>
      </c>
      <c r="G5329" s="20" t="str">
        <f t="shared" si="249"/>
        <v xml:space="preserve"> MINIECOFOURRURE </v>
      </c>
      <c r="H5329" s="20" t="str">
        <f t="shared" si="250"/>
        <v>LASNO</v>
      </c>
      <c r="I5329" s="20">
        <f t="shared" si="251"/>
        <v>0</v>
      </c>
    </row>
    <row r="5330" spans="1:9">
      <c r="A5330" s="17" t="s">
        <v>1978</v>
      </c>
      <c r="B5330" s="17" t="s">
        <v>1702</v>
      </c>
      <c r="C5330" s="17">
        <v>0</v>
      </c>
      <c r="D5330" s="17" t="s">
        <v>801</v>
      </c>
      <c r="E5330" s="18">
        <v>8056099177255</v>
      </c>
      <c r="G5330" s="20" t="str">
        <f t="shared" si="249"/>
        <v xml:space="preserve"> MINIECOFOURRURE </v>
      </c>
      <c r="H5330" s="20" t="str">
        <f t="shared" si="250"/>
        <v>MARBL</v>
      </c>
      <c r="I5330" s="20">
        <f t="shared" si="251"/>
        <v>0</v>
      </c>
    </row>
    <row r="5331" spans="1:9">
      <c r="A5331" s="17" t="s">
        <v>1978</v>
      </c>
      <c r="B5331" s="17" t="s">
        <v>1703</v>
      </c>
      <c r="C5331" s="17">
        <v>0</v>
      </c>
      <c r="D5331" s="17" t="s">
        <v>801</v>
      </c>
      <c r="E5331" s="18">
        <v>8056300453673</v>
      </c>
      <c r="G5331" s="20" t="str">
        <f t="shared" si="249"/>
        <v xml:space="preserve"> MINIECOFOURRURE </v>
      </c>
      <c r="H5331" s="20" t="str">
        <f t="shared" si="250"/>
        <v>MARGR</v>
      </c>
      <c r="I5331" s="20">
        <f t="shared" si="251"/>
        <v>0</v>
      </c>
    </row>
    <row r="5332" spans="1:9">
      <c r="A5332" s="17" t="s">
        <v>1978</v>
      </c>
      <c r="B5332" s="17" t="s">
        <v>1265</v>
      </c>
      <c r="C5332" s="17" t="s">
        <v>799</v>
      </c>
      <c r="D5332" s="17" t="s">
        <v>801</v>
      </c>
      <c r="E5332" s="18">
        <v>8056300453666</v>
      </c>
      <c r="G5332" s="20" t="str">
        <f t="shared" si="249"/>
        <v xml:space="preserve"> MINIECOFOURRURE </v>
      </c>
      <c r="H5332" s="20" t="str">
        <f t="shared" si="250"/>
        <v>MARIV</v>
      </c>
      <c r="I5332" s="20" t="str">
        <f t="shared" si="251"/>
        <v xml:space="preserve">     </v>
      </c>
    </row>
    <row r="5333" spans="1:9">
      <c r="A5333" s="17" t="s">
        <v>1978</v>
      </c>
      <c r="B5333" s="17" t="s">
        <v>1265</v>
      </c>
      <c r="C5333" s="17">
        <v>0</v>
      </c>
      <c r="D5333" s="17" t="s">
        <v>801</v>
      </c>
      <c r="E5333" s="18">
        <v>3004110990005</v>
      </c>
      <c r="G5333" s="20" t="str">
        <f t="shared" si="249"/>
        <v xml:space="preserve"> MINIECOFOURRURE </v>
      </c>
      <c r="H5333" s="20" t="str">
        <f t="shared" si="250"/>
        <v>MARIV</v>
      </c>
      <c r="I5333" s="20">
        <f t="shared" si="251"/>
        <v>0</v>
      </c>
    </row>
    <row r="5334" spans="1:9">
      <c r="A5334" s="17" t="s">
        <v>1978</v>
      </c>
      <c r="B5334" s="17" t="s">
        <v>1986</v>
      </c>
      <c r="C5334" s="17" t="s">
        <v>799</v>
      </c>
      <c r="D5334" s="17" t="s">
        <v>801</v>
      </c>
      <c r="E5334" s="18">
        <v>8056300453680</v>
      </c>
      <c r="G5334" s="20" t="str">
        <f t="shared" si="249"/>
        <v xml:space="preserve"> MINIECOFOURRURE </v>
      </c>
      <c r="H5334" s="20" t="str">
        <f t="shared" si="250"/>
        <v>MARNA</v>
      </c>
      <c r="I5334" s="20" t="str">
        <f t="shared" si="251"/>
        <v xml:space="preserve">     </v>
      </c>
    </row>
    <row r="5335" spans="1:9">
      <c r="A5335" s="17" t="s">
        <v>1978</v>
      </c>
      <c r="B5335" s="17" t="s">
        <v>1986</v>
      </c>
      <c r="C5335" s="17">
        <v>0</v>
      </c>
      <c r="D5335" s="17" t="s">
        <v>801</v>
      </c>
      <c r="E5335" s="18">
        <v>3004110997004</v>
      </c>
      <c r="G5335" s="20" t="str">
        <f t="shared" si="249"/>
        <v xml:space="preserve"> MINIECOFOURRURE </v>
      </c>
      <c r="H5335" s="20" t="str">
        <f t="shared" si="250"/>
        <v>MARNA</v>
      </c>
      <c r="I5335" s="20">
        <f t="shared" si="251"/>
        <v>0</v>
      </c>
    </row>
    <row r="5336" spans="1:9">
      <c r="A5336" s="17" t="s">
        <v>1978</v>
      </c>
      <c r="B5336" s="17" t="s">
        <v>1266</v>
      </c>
      <c r="C5336" s="17">
        <v>0</v>
      </c>
      <c r="D5336" s="17" t="s">
        <v>801</v>
      </c>
      <c r="E5336" s="18">
        <v>3004110991002</v>
      </c>
      <c r="G5336" s="20" t="str">
        <f t="shared" si="249"/>
        <v xml:space="preserve"> MINIECOFOURRURE </v>
      </c>
      <c r="H5336" s="20" t="str">
        <f t="shared" si="250"/>
        <v>MARSI</v>
      </c>
      <c r="I5336" s="20">
        <f t="shared" si="251"/>
        <v>0</v>
      </c>
    </row>
    <row r="5337" spans="1:9">
      <c r="A5337" s="17" t="s">
        <v>1978</v>
      </c>
      <c r="B5337" s="17" t="s">
        <v>1708</v>
      </c>
      <c r="C5337" s="17">
        <v>0</v>
      </c>
      <c r="D5337" s="17" t="s">
        <v>801</v>
      </c>
      <c r="E5337" s="18">
        <v>8050538595617</v>
      </c>
      <c r="G5337" s="20" t="str">
        <f t="shared" si="249"/>
        <v xml:space="preserve"> MINIECOFOURRURE </v>
      </c>
      <c r="H5337" s="20" t="str">
        <f t="shared" si="250"/>
        <v>MOUMU</v>
      </c>
      <c r="I5337" s="20">
        <f t="shared" si="251"/>
        <v>0</v>
      </c>
    </row>
    <row r="5338" spans="1:9">
      <c r="A5338" s="17" t="s">
        <v>1978</v>
      </c>
      <c r="B5338" s="17" t="s">
        <v>859</v>
      </c>
      <c r="C5338" s="17">
        <v>0</v>
      </c>
      <c r="D5338" s="17" t="s">
        <v>801</v>
      </c>
      <c r="E5338" s="18">
        <v>3004810597009</v>
      </c>
      <c r="G5338" s="20" t="str">
        <f t="shared" si="249"/>
        <v xml:space="preserve"> MINIECOFOURRURE </v>
      </c>
      <c r="H5338" s="20" t="str">
        <f t="shared" si="250"/>
        <v>NATUR</v>
      </c>
      <c r="I5338" s="20">
        <f t="shared" si="251"/>
        <v>0</v>
      </c>
    </row>
    <row r="5339" spans="1:9">
      <c r="A5339" s="17" t="s">
        <v>1978</v>
      </c>
      <c r="B5339" s="17" t="s">
        <v>859</v>
      </c>
      <c r="C5339" s="17">
        <v>0</v>
      </c>
      <c r="D5339" s="17" t="s">
        <v>801</v>
      </c>
      <c r="E5339" s="18">
        <v>3004110598003</v>
      </c>
      <c r="G5339" s="20" t="str">
        <f t="shared" si="249"/>
        <v xml:space="preserve"> MINIECOFOURRURE </v>
      </c>
      <c r="H5339" s="20" t="str">
        <f t="shared" si="250"/>
        <v>NATUR</v>
      </c>
      <c r="I5339" s="20">
        <f t="shared" si="251"/>
        <v>0</v>
      </c>
    </row>
    <row r="5340" spans="1:9">
      <c r="A5340" s="17" t="s">
        <v>1978</v>
      </c>
      <c r="B5340" s="17" t="s">
        <v>1712</v>
      </c>
      <c r="C5340" s="17">
        <v>0</v>
      </c>
      <c r="D5340" s="17" t="s">
        <v>801</v>
      </c>
      <c r="E5340" s="18">
        <v>8050846012790</v>
      </c>
      <c r="G5340" s="20" t="str">
        <f t="shared" si="249"/>
        <v xml:space="preserve"> MINIECOFOURRURE </v>
      </c>
      <c r="H5340" s="20" t="str">
        <f t="shared" si="250"/>
        <v>RASGR</v>
      </c>
      <c r="I5340" s="20">
        <f t="shared" si="251"/>
        <v>0</v>
      </c>
    </row>
    <row r="5341" spans="1:9">
      <c r="A5341" s="17" t="s">
        <v>1978</v>
      </c>
      <c r="B5341" s="17" t="s">
        <v>1713</v>
      </c>
      <c r="C5341" s="17">
        <v>0</v>
      </c>
      <c r="D5341" s="17" t="s">
        <v>801</v>
      </c>
      <c r="E5341" s="18">
        <v>8050846012783</v>
      </c>
      <c r="G5341" s="20" t="str">
        <f t="shared" si="249"/>
        <v xml:space="preserve"> MINIECOFOURRURE </v>
      </c>
      <c r="H5341" s="20" t="str">
        <f t="shared" si="250"/>
        <v>RASPH</v>
      </c>
      <c r="I5341" s="20">
        <f t="shared" si="251"/>
        <v>0</v>
      </c>
    </row>
    <row r="5342" spans="1:9">
      <c r="A5342" s="17" t="s">
        <v>1978</v>
      </c>
      <c r="B5342" s="17" t="s">
        <v>1987</v>
      </c>
      <c r="C5342" s="17">
        <v>0</v>
      </c>
      <c r="D5342" s="17" t="s">
        <v>801</v>
      </c>
      <c r="E5342" s="18">
        <v>8056099178313</v>
      </c>
      <c r="G5342" s="20" t="str">
        <f t="shared" si="249"/>
        <v xml:space="preserve"> MINIECOFOURRURE </v>
      </c>
      <c r="H5342" s="20" t="str">
        <f t="shared" si="250"/>
        <v xml:space="preserve">RAUB </v>
      </c>
      <c r="I5342" s="20">
        <f t="shared" si="251"/>
        <v>0</v>
      </c>
    </row>
    <row r="5343" spans="1:9">
      <c r="A5343" s="17" t="s">
        <v>1978</v>
      </c>
      <c r="B5343" s="17" t="s">
        <v>1987</v>
      </c>
      <c r="C5343" s="17">
        <v>0</v>
      </c>
      <c r="D5343" s="17" t="s">
        <v>801</v>
      </c>
      <c r="E5343" s="18">
        <v>8056099177606</v>
      </c>
      <c r="G5343" s="20" t="str">
        <f t="shared" si="249"/>
        <v xml:space="preserve"> MINIECOFOURRURE </v>
      </c>
      <c r="H5343" s="20" t="str">
        <f t="shared" si="250"/>
        <v xml:space="preserve">RAUB </v>
      </c>
      <c r="I5343" s="20">
        <f t="shared" si="251"/>
        <v>0</v>
      </c>
    </row>
    <row r="5344" spans="1:9">
      <c r="A5344" s="17" t="s">
        <v>1978</v>
      </c>
      <c r="B5344" s="17" t="s">
        <v>1988</v>
      </c>
      <c r="C5344" s="17">
        <v>0</v>
      </c>
      <c r="D5344" s="17" t="s">
        <v>801</v>
      </c>
      <c r="E5344" s="18">
        <v>3004110978003</v>
      </c>
      <c r="G5344" s="20" t="str">
        <f t="shared" si="249"/>
        <v xml:space="preserve"> MINIECOFOURRURE </v>
      </c>
      <c r="H5344" s="20" t="str">
        <f t="shared" si="250"/>
        <v>REANT</v>
      </c>
      <c r="I5344" s="20">
        <f t="shared" si="251"/>
        <v>0</v>
      </c>
    </row>
    <row r="5345" spans="1:9">
      <c r="A5345" s="17" t="s">
        <v>1978</v>
      </c>
      <c r="B5345" s="17" t="s">
        <v>1988</v>
      </c>
      <c r="C5345" s="17">
        <v>0</v>
      </c>
      <c r="D5345" s="17" t="s">
        <v>801</v>
      </c>
      <c r="E5345" s="18">
        <v>8058983597798</v>
      </c>
      <c r="G5345" s="20" t="str">
        <f t="shared" si="249"/>
        <v xml:space="preserve"> MINIECOFOURRURE </v>
      </c>
      <c r="H5345" s="20" t="str">
        <f t="shared" si="250"/>
        <v>REANT</v>
      </c>
      <c r="I5345" s="20">
        <f t="shared" si="251"/>
        <v>0</v>
      </c>
    </row>
    <row r="5346" spans="1:9">
      <c r="A5346" s="17" t="s">
        <v>1978</v>
      </c>
      <c r="B5346" s="17" t="s">
        <v>1989</v>
      </c>
      <c r="C5346" s="17">
        <v>0</v>
      </c>
      <c r="D5346" s="17" t="s">
        <v>801</v>
      </c>
      <c r="E5346" s="18">
        <v>3004810604004</v>
      </c>
      <c r="G5346" s="20" t="str">
        <f t="shared" si="249"/>
        <v xml:space="preserve"> MINIECOFOURRURE </v>
      </c>
      <c r="H5346" s="20" t="str">
        <f t="shared" si="250"/>
        <v>REBER</v>
      </c>
      <c r="I5346" s="20">
        <f t="shared" si="251"/>
        <v>0</v>
      </c>
    </row>
    <row r="5347" spans="1:9">
      <c r="A5347" s="17" t="s">
        <v>1978</v>
      </c>
      <c r="B5347" s="17" t="s">
        <v>1989</v>
      </c>
      <c r="C5347" s="17">
        <v>0</v>
      </c>
      <c r="D5347" s="17" t="s">
        <v>801</v>
      </c>
      <c r="E5347" s="18">
        <v>3004110604001</v>
      </c>
      <c r="G5347" s="20" t="str">
        <f t="shared" si="249"/>
        <v xml:space="preserve"> MINIECOFOURRURE </v>
      </c>
      <c r="H5347" s="20" t="str">
        <f t="shared" si="250"/>
        <v>REBER</v>
      </c>
      <c r="I5347" s="20">
        <f t="shared" si="251"/>
        <v>0</v>
      </c>
    </row>
    <row r="5348" spans="1:9">
      <c r="A5348" s="17" t="s">
        <v>1978</v>
      </c>
      <c r="B5348" s="17" t="s">
        <v>1989</v>
      </c>
      <c r="C5348" s="17">
        <v>0</v>
      </c>
      <c r="D5348" s="17" t="s">
        <v>801</v>
      </c>
      <c r="E5348" s="18">
        <v>8058983597972</v>
      </c>
      <c r="G5348" s="20" t="str">
        <f t="shared" si="249"/>
        <v xml:space="preserve"> MINIECOFOURRURE </v>
      </c>
      <c r="H5348" s="20" t="str">
        <f t="shared" si="250"/>
        <v>REBER</v>
      </c>
      <c r="I5348" s="20">
        <f t="shared" si="251"/>
        <v>0</v>
      </c>
    </row>
    <row r="5349" spans="1:9">
      <c r="A5349" s="17" t="s">
        <v>1978</v>
      </c>
      <c r="B5349" s="17" t="s">
        <v>1990</v>
      </c>
      <c r="C5349" s="17" t="s">
        <v>799</v>
      </c>
      <c r="D5349" s="17" t="s">
        <v>801</v>
      </c>
      <c r="E5349" s="18">
        <v>8056300455257</v>
      </c>
      <c r="G5349" s="20" t="str">
        <f t="shared" si="249"/>
        <v xml:space="preserve"> MINIECOFOURRURE </v>
      </c>
      <c r="H5349" s="20" t="str">
        <f t="shared" si="250"/>
        <v>REBLA</v>
      </c>
      <c r="I5349" s="20" t="str">
        <f t="shared" si="251"/>
        <v xml:space="preserve">     </v>
      </c>
    </row>
    <row r="5350" spans="1:9">
      <c r="A5350" s="17" t="s">
        <v>1978</v>
      </c>
      <c r="B5350" s="17" t="s">
        <v>1990</v>
      </c>
      <c r="C5350" s="17">
        <v>0</v>
      </c>
      <c r="D5350" s="17" t="s">
        <v>801</v>
      </c>
      <c r="E5350" s="18">
        <v>3004110998001</v>
      </c>
      <c r="G5350" s="20" t="str">
        <f t="shared" si="249"/>
        <v xml:space="preserve"> MINIECOFOURRURE </v>
      </c>
      <c r="H5350" s="20" t="str">
        <f t="shared" si="250"/>
        <v>REBLA</v>
      </c>
      <c r="I5350" s="20">
        <f t="shared" si="251"/>
        <v>0</v>
      </c>
    </row>
    <row r="5351" spans="1:9">
      <c r="A5351" s="17" t="s">
        <v>1978</v>
      </c>
      <c r="B5351" s="17" t="s">
        <v>1720</v>
      </c>
      <c r="C5351" s="17">
        <v>0</v>
      </c>
      <c r="D5351" s="17" t="s">
        <v>801</v>
      </c>
      <c r="E5351" s="18">
        <v>8056099177316</v>
      </c>
      <c r="G5351" s="20" t="str">
        <f t="shared" si="249"/>
        <v xml:space="preserve"> MINIECOFOURRURE </v>
      </c>
      <c r="H5351" s="20" t="str">
        <f t="shared" si="250"/>
        <v>REBLW</v>
      </c>
      <c r="I5351" s="20">
        <f t="shared" si="251"/>
        <v>0</v>
      </c>
    </row>
    <row r="5352" spans="1:9">
      <c r="A5352" s="17" t="s">
        <v>1978</v>
      </c>
      <c r="B5352" s="17" t="s">
        <v>1991</v>
      </c>
      <c r="C5352" s="17" t="s">
        <v>799</v>
      </c>
      <c r="D5352" s="17" t="s">
        <v>801</v>
      </c>
      <c r="E5352" s="18">
        <v>8058983597989</v>
      </c>
      <c r="G5352" s="20" t="str">
        <f t="shared" si="249"/>
        <v xml:space="preserve"> MINIECOFOURRURE </v>
      </c>
      <c r="H5352" s="20" t="str">
        <f t="shared" si="250"/>
        <v xml:space="preserve">REBN </v>
      </c>
      <c r="I5352" s="20" t="str">
        <f t="shared" si="251"/>
        <v xml:space="preserve">     </v>
      </c>
    </row>
    <row r="5353" spans="1:9">
      <c r="A5353" s="17" t="s">
        <v>1978</v>
      </c>
      <c r="B5353" s="17" t="s">
        <v>1991</v>
      </c>
      <c r="C5353" s="17">
        <v>0</v>
      </c>
      <c r="D5353" s="17" t="s">
        <v>801</v>
      </c>
      <c r="E5353" s="18">
        <v>3004810605001</v>
      </c>
      <c r="G5353" s="20" t="str">
        <f t="shared" si="249"/>
        <v xml:space="preserve"> MINIECOFOURRURE </v>
      </c>
      <c r="H5353" s="20" t="str">
        <f t="shared" si="250"/>
        <v xml:space="preserve">REBN </v>
      </c>
      <c r="I5353" s="20">
        <f t="shared" si="251"/>
        <v>0</v>
      </c>
    </row>
    <row r="5354" spans="1:9">
      <c r="A5354" s="17" t="s">
        <v>1978</v>
      </c>
      <c r="B5354" s="17" t="s">
        <v>1991</v>
      </c>
      <c r="C5354" s="17">
        <v>0</v>
      </c>
      <c r="D5354" s="17" t="s">
        <v>801</v>
      </c>
      <c r="E5354" s="18">
        <v>3004110605008</v>
      </c>
      <c r="G5354" s="20" t="str">
        <f t="shared" si="249"/>
        <v xml:space="preserve"> MINIECOFOURRURE </v>
      </c>
      <c r="H5354" s="20" t="str">
        <f t="shared" si="250"/>
        <v xml:space="preserve">REBN </v>
      </c>
      <c r="I5354" s="20">
        <f t="shared" si="251"/>
        <v>0</v>
      </c>
    </row>
    <row r="5355" spans="1:9">
      <c r="A5355" s="17" t="s">
        <v>1978</v>
      </c>
      <c r="B5355" s="17" t="s">
        <v>1466</v>
      </c>
      <c r="C5355" s="17">
        <v>0</v>
      </c>
      <c r="D5355" s="17" t="s">
        <v>801</v>
      </c>
      <c r="E5355" s="18">
        <v>3004110614000</v>
      </c>
      <c r="G5355" s="20" t="str">
        <f t="shared" si="249"/>
        <v xml:space="preserve"> MINIECOFOURRURE </v>
      </c>
      <c r="H5355" s="20" t="str">
        <f t="shared" si="250"/>
        <v>REBOR</v>
      </c>
      <c r="I5355" s="20">
        <f t="shared" si="251"/>
        <v>0</v>
      </c>
    </row>
    <row r="5356" spans="1:9">
      <c r="A5356" s="17" t="s">
        <v>1978</v>
      </c>
      <c r="B5356" s="17" t="s">
        <v>1992</v>
      </c>
      <c r="C5356" s="17" t="s">
        <v>799</v>
      </c>
      <c r="D5356" s="17" t="s">
        <v>801</v>
      </c>
      <c r="E5356" s="18">
        <v>8058983597965</v>
      </c>
      <c r="G5356" s="20" t="str">
        <f t="shared" si="249"/>
        <v xml:space="preserve"> MINIECOFOURRURE </v>
      </c>
      <c r="H5356" s="20" t="str">
        <f t="shared" si="250"/>
        <v>REDOV</v>
      </c>
      <c r="I5356" s="20" t="str">
        <f t="shared" si="251"/>
        <v xml:space="preserve">     </v>
      </c>
    </row>
    <row r="5357" spans="1:9">
      <c r="A5357" s="17" t="s">
        <v>1978</v>
      </c>
      <c r="B5357" s="17" t="s">
        <v>1992</v>
      </c>
      <c r="C5357" s="17">
        <v>0</v>
      </c>
      <c r="D5357" s="17" t="s">
        <v>801</v>
      </c>
      <c r="E5357" s="18">
        <v>3004810603007</v>
      </c>
      <c r="G5357" s="20" t="str">
        <f t="shared" si="249"/>
        <v xml:space="preserve"> MINIECOFOURRURE </v>
      </c>
      <c r="H5357" s="20" t="str">
        <f t="shared" si="250"/>
        <v>REDOV</v>
      </c>
      <c r="I5357" s="20">
        <f t="shared" si="251"/>
        <v>0</v>
      </c>
    </row>
    <row r="5358" spans="1:9">
      <c r="A5358" s="17" t="s">
        <v>1978</v>
      </c>
      <c r="B5358" s="17" t="s">
        <v>1992</v>
      </c>
      <c r="C5358" s="17">
        <v>0</v>
      </c>
      <c r="D5358" s="17" t="s">
        <v>801</v>
      </c>
      <c r="E5358" s="18">
        <v>3004110603004</v>
      </c>
      <c r="G5358" s="20" t="str">
        <f t="shared" si="249"/>
        <v xml:space="preserve"> MINIECOFOURRURE </v>
      </c>
      <c r="H5358" s="20" t="str">
        <f t="shared" si="250"/>
        <v>REDOV</v>
      </c>
      <c r="I5358" s="20">
        <f t="shared" si="251"/>
        <v>0</v>
      </c>
    </row>
    <row r="5359" spans="1:9">
      <c r="A5359" s="17" t="s">
        <v>1978</v>
      </c>
      <c r="B5359" s="17" t="s">
        <v>1469</v>
      </c>
      <c r="C5359" s="17">
        <v>0</v>
      </c>
      <c r="D5359" s="17" t="s">
        <v>801</v>
      </c>
      <c r="E5359" s="18">
        <v>3004810602000</v>
      </c>
      <c r="G5359" s="20" t="str">
        <f t="shared" si="249"/>
        <v xml:space="preserve"> MINIECOFOURRURE </v>
      </c>
      <c r="H5359" s="20" t="str">
        <f t="shared" si="250"/>
        <v xml:space="preserve">REGR </v>
      </c>
      <c r="I5359" s="20">
        <f t="shared" si="251"/>
        <v>0</v>
      </c>
    </row>
    <row r="5360" spans="1:9">
      <c r="A5360" s="17" t="s">
        <v>1978</v>
      </c>
      <c r="B5360" s="17" t="s">
        <v>1469</v>
      </c>
      <c r="C5360" s="17">
        <v>0</v>
      </c>
      <c r="D5360" s="17" t="s">
        <v>801</v>
      </c>
      <c r="E5360" s="18">
        <v>3004110602007</v>
      </c>
      <c r="G5360" s="20" t="str">
        <f t="shared" si="249"/>
        <v xml:space="preserve"> MINIECOFOURRURE </v>
      </c>
      <c r="H5360" s="20" t="str">
        <f t="shared" si="250"/>
        <v xml:space="preserve">REGR </v>
      </c>
      <c r="I5360" s="20">
        <f t="shared" si="251"/>
        <v>0</v>
      </c>
    </row>
    <row r="5361" spans="1:9">
      <c r="A5361" s="17" t="s">
        <v>1978</v>
      </c>
      <c r="B5361" s="17" t="s">
        <v>1837</v>
      </c>
      <c r="C5361" s="17">
        <v>0</v>
      </c>
      <c r="D5361" s="17" t="s">
        <v>801</v>
      </c>
      <c r="E5361" s="18">
        <v>8056099179914</v>
      </c>
      <c r="G5361" s="20" t="str">
        <f t="shared" si="249"/>
        <v xml:space="preserve"> MINIECOFOURRURE </v>
      </c>
      <c r="H5361" s="20" t="str">
        <f t="shared" si="250"/>
        <v>REMUL</v>
      </c>
      <c r="I5361" s="20">
        <f t="shared" si="251"/>
        <v>0</v>
      </c>
    </row>
    <row r="5362" spans="1:9">
      <c r="A5362" s="17" t="s">
        <v>1978</v>
      </c>
      <c r="B5362" s="17" t="s">
        <v>1993</v>
      </c>
      <c r="C5362" s="17">
        <v>0</v>
      </c>
      <c r="D5362" s="17" t="s">
        <v>801</v>
      </c>
      <c r="E5362" s="18">
        <v>8056099177217</v>
      </c>
      <c r="G5362" s="20" t="str">
        <f t="shared" si="249"/>
        <v xml:space="preserve"> MINIECOFOURRURE </v>
      </c>
      <c r="H5362" s="20" t="str">
        <f t="shared" si="250"/>
        <v xml:space="preserve">REOT </v>
      </c>
      <c r="I5362" s="20">
        <f t="shared" si="251"/>
        <v>0</v>
      </c>
    </row>
    <row r="5363" spans="1:9">
      <c r="A5363" s="17" t="s">
        <v>1978</v>
      </c>
      <c r="B5363" s="17" t="s">
        <v>1994</v>
      </c>
      <c r="C5363" s="17">
        <v>0</v>
      </c>
      <c r="D5363" s="17" t="s">
        <v>801</v>
      </c>
      <c r="E5363" s="18">
        <v>8056099177996</v>
      </c>
      <c r="G5363" s="20" t="str">
        <f t="shared" si="249"/>
        <v xml:space="preserve"> MINIECOFOURRURE </v>
      </c>
      <c r="H5363" s="20" t="str">
        <f t="shared" si="250"/>
        <v>REPHA</v>
      </c>
      <c r="I5363" s="20">
        <f t="shared" si="251"/>
        <v>0</v>
      </c>
    </row>
    <row r="5364" spans="1:9">
      <c r="A5364" s="17" t="s">
        <v>1978</v>
      </c>
      <c r="B5364" s="17" t="s">
        <v>1995</v>
      </c>
      <c r="C5364" s="17" t="s">
        <v>799</v>
      </c>
      <c r="D5364" s="17" t="s">
        <v>801</v>
      </c>
      <c r="E5364" s="18">
        <v>8058983597958</v>
      </c>
      <c r="G5364" s="20" t="str">
        <f t="shared" si="249"/>
        <v xml:space="preserve"> MINIECOFOURRURE </v>
      </c>
      <c r="H5364" s="20" t="str">
        <f t="shared" si="250"/>
        <v>REPOU</v>
      </c>
      <c r="I5364" s="20" t="str">
        <f t="shared" si="251"/>
        <v xml:space="preserve">     </v>
      </c>
    </row>
    <row r="5365" spans="1:9">
      <c r="A5365" s="17" t="s">
        <v>1978</v>
      </c>
      <c r="B5365" s="17" t="s">
        <v>1995</v>
      </c>
      <c r="C5365" s="17">
        <v>0</v>
      </c>
      <c r="D5365" s="17" t="s">
        <v>801</v>
      </c>
      <c r="E5365" s="18">
        <v>3004810610005</v>
      </c>
      <c r="G5365" s="20" t="str">
        <f t="shared" si="249"/>
        <v xml:space="preserve"> MINIECOFOURRURE </v>
      </c>
      <c r="H5365" s="20" t="str">
        <f t="shared" si="250"/>
        <v>REPOU</v>
      </c>
      <c r="I5365" s="20">
        <f t="shared" si="251"/>
        <v>0</v>
      </c>
    </row>
    <row r="5366" spans="1:9">
      <c r="A5366" s="17" t="s">
        <v>1978</v>
      </c>
      <c r="B5366" s="17" t="s">
        <v>1995</v>
      </c>
      <c r="C5366" s="17">
        <v>0</v>
      </c>
      <c r="D5366" s="17" t="s">
        <v>801</v>
      </c>
      <c r="E5366" s="18">
        <v>3004110610002</v>
      </c>
      <c r="G5366" s="20" t="str">
        <f t="shared" si="249"/>
        <v xml:space="preserve"> MINIECOFOURRURE </v>
      </c>
      <c r="H5366" s="20" t="str">
        <f t="shared" si="250"/>
        <v>REPOU</v>
      </c>
      <c r="I5366" s="20">
        <f t="shared" si="251"/>
        <v>0</v>
      </c>
    </row>
    <row r="5367" spans="1:9">
      <c r="A5367" s="17" t="s">
        <v>1978</v>
      </c>
      <c r="B5367" s="17" t="s">
        <v>1995</v>
      </c>
      <c r="C5367" s="17">
        <v>0</v>
      </c>
      <c r="D5367" s="17" t="s">
        <v>801</v>
      </c>
      <c r="E5367" s="18">
        <v>8058983597804</v>
      </c>
      <c r="G5367" s="20" t="str">
        <f t="shared" si="249"/>
        <v xml:space="preserve"> MINIECOFOURRURE </v>
      </c>
      <c r="H5367" s="20" t="str">
        <f t="shared" si="250"/>
        <v>REPOU</v>
      </c>
      <c r="I5367" s="20">
        <f t="shared" si="251"/>
        <v>0</v>
      </c>
    </row>
    <row r="5368" spans="1:9">
      <c r="A5368" s="17" t="s">
        <v>1978</v>
      </c>
      <c r="B5368" s="17" t="s">
        <v>1470</v>
      </c>
      <c r="C5368" s="17" t="s">
        <v>799</v>
      </c>
      <c r="D5368" s="17" t="s">
        <v>801</v>
      </c>
      <c r="E5368" s="18">
        <v>8058983597811</v>
      </c>
      <c r="G5368" s="20" t="str">
        <f t="shared" si="249"/>
        <v xml:space="preserve"> MINIECOFOURRURE </v>
      </c>
      <c r="H5368" s="20" t="str">
        <f t="shared" si="250"/>
        <v>RETES</v>
      </c>
      <c r="I5368" s="20" t="str">
        <f t="shared" si="251"/>
        <v xml:space="preserve">     </v>
      </c>
    </row>
    <row r="5369" spans="1:9">
      <c r="A5369" s="17" t="s">
        <v>1978</v>
      </c>
      <c r="B5369" s="17" t="s">
        <v>1470</v>
      </c>
      <c r="C5369" s="17">
        <v>0</v>
      </c>
      <c r="D5369" s="17" t="s">
        <v>801</v>
      </c>
      <c r="E5369" s="18">
        <v>3004810611002</v>
      </c>
      <c r="G5369" s="20" t="str">
        <f t="shared" si="249"/>
        <v xml:space="preserve"> MINIECOFOURRURE </v>
      </c>
      <c r="H5369" s="20" t="str">
        <f t="shared" si="250"/>
        <v>RETES</v>
      </c>
      <c r="I5369" s="20">
        <f t="shared" si="251"/>
        <v>0</v>
      </c>
    </row>
    <row r="5370" spans="1:9">
      <c r="A5370" s="17" t="s">
        <v>1978</v>
      </c>
      <c r="B5370" s="17" t="s">
        <v>1470</v>
      </c>
      <c r="C5370" s="17">
        <v>0</v>
      </c>
      <c r="D5370" s="17" t="s">
        <v>801</v>
      </c>
      <c r="E5370" s="18">
        <v>3004110611009</v>
      </c>
      <c r="G5370" s="20" t="str">
        <f t="shared" si="249"/>
        <v xml:space="preserve"> MINIECOFOURRURE </v>
      </c>
      <c r="H5370" s="20" t="str">
        <f t="shared" si="250"/>
        <v>RETES</v>
      </c>
      <c r="I5370" s="20">
        <f t="shared" si="251"/>
        <v>0</v>
      </c>
    </row>
    <row r="5371" spans="1:9">
      <c r="A5371" s="17" t="s">
        <v>1978</v>
      </c>
      <c r="B5371" s="17" t="s">
        <v>1996</v>
      </c>
      <c r="C5371" s="17">
        <v>0</v>
      </c>
      <c r="D5371" s="17" t="s">
        <v>801</v>
      </c>
      <c r="E5371" s="18">
        <v>3004111069007</v>
      </c>
      <c r="G5371" s="20" t="str">
        <f t="shared" si="249"/>
        <v xml:space="preserve"> MINIECOFOURRURE </v>
      </c>
      <c r="H5371" s="20" t="str">
        <f t="shared" si="250"/>
        <v>REWHI</v>
      </c>
      <c r="I5371" s="20">
        <f t="shared" si="251"/>
        <v>0</v>
      </c>
    </row>
    <row r="5372" spans="1:9">
      <c r="A5372" s="17" t="s">
        <v>1978</v>
      </c>
      <c r="B5372" s="17" t="s">
        <v>1997</v>
      </c>
      <c r="C5372" s="17" t="s">
        <v>799</v>
      </c>
      <c r="D5372" s="17" t="s">
        <v>801</v>
      </c>
      <c r="E5372" s="18">
        <v>8058983597897</v>
      </c>
      <c r="G5372" s="20" t="str">
        <f t="shared" si="249"/>
        <v xml:space="preserve"> MINIECOFOURRURE </v>
      </c>
      <c r="H5372" s="20" t="str">
        <f t="shared" si="250"/>
        <v xml:space="preserve">VIBL </v>
      </c>
      <c r="I5372" s="20" t="str">
        <f t="shared" si="251"/>
        <v xml:space="preserve">     </v>
      </c>
    </row>
    <row r="5373" spans="1:9">
      <c r="A5373" s="17" t="s">
        <v>1978</v>
      </c>
      <c r="B5373" s="17" t="s">
        <v>1997</v>
      </c>
      <c r="C5373" s="17">
        <v>0</v>
      </c>
      <c r="D5373" s="17" t="s">
        <v>801</v>
      </c>
      <c r="E5373" s="18">
        <v>3004810612009</v>
      </c>
      <c r="G5373" s="20" t="str">
        <f t="shared" si="249"/>
        <v xml:space="preserve"> MINIECOFOURRURE </v>
      </c>
      <c r="H5373" s="20" t="str">
        <f t="shared" si="250"/>
        <v xml:space="preserve">VIBL </v>
      </c>
      <c r="I5373" s="20">
        <f t="shared" si="251"/>
        <v>0</v>
      </c>
    </row>
    <row r="5374" spans="1:9">
      <c r="A5374" s="17" t="s">
        <v>1978</v>
      </c>
      <c r="B5374" s="17" t="s">
        <v>1997</v>
      </c>
      <c r="C5374" s="17">
        <v>0</v>
      </c>
      <c r="D5374" s="17" t="s">
        <v>801</v>
      </c>
      <c r="E5374" s="18">
        <v>3004110612006</v>
      </c>
      <c r="G5374" s="20" t="str">
        <f t="shared" si="249"/>
        <v xml:space="preserve"> MINIECOFOURRURE </v>
      </c>
      <c r="H5374" s="20" t="str">
        <f t="shared" si="250"/>
        <v xml:space="preserve">VIBL </v>
      </c>
      <c r="I5374" s="20">
        <f t="shared" si="251"/>
        <v>0</v>
      </c>
    </row>
    <row r="5375" spans="1:9">
      <c r="A5375" s="17" t="s">
        <v>1978</v>
      </c>
      <c r="B5375" s="17" t="s">
        <v>1998</v>
      </c>
      <c r="C5375" s="17" t="s">
        <v>799</v>
      </c>
      <c r="D5375" s="17" t="s">
        <v>801</v>
      </c>
      <c r="E5375" s="18">
        <v>8058983597880</v>
      </c>
      <c r="G5375" s="20" t="str">
        <f t="shared" si="249"/>
        <v xml:space="preserve"> MINIECOFOURRURE </v>
      </c>
      <c r="H5375" s="20" t="str">
        <f t="shared" si="250"/>
        <v xml:space="preserve">VIBO </v>
      </c>
      <c r="I5375" s="20" t="str">
        <f t="shared" si="251"/>
        <v xml:space="preserve">     </v>
      </c>
    </row>
    <row r="5376" spans="1:9">
      <c r="A5376" s="17" t="s">
        <v>1978</v>
      </c>
      <c r="B5376" s="17" t="s">
        <v>1998</v>
      </c>
      <c r="C5376" s="17">
        <v>0</v>
      </c>
      <c r="D5376" s="17" t="s">
        <v>801</v>
      </c>
      <c r="E5376" s="18">
        <v>3004810613006</v>
      </c>
      <c r="G5376" s="20" t="str">
        <f t="shared" si="249"/>
        <v xml:space="preserve"> MINIECOFOURRURE </v>
      </c>
      <c r="H5376" s="20" t="str">
        <f t="shared" si="250"/>
        <v xml:space="preserve">VIBO </v>
      </c>
      <c r="I5376" s="20">
        <f t="shared" si="251"/>
        <v>0</v>
      </c>
    </row>
    <row r="5377" spans="1:9">
      <c r="A5377" s="17" t="s">
        <v>1978</v>
      </c>
      <c r="B5377" s="17" t="s">
        <v>1998</v>
      </c>
      <c r="C5377" s="17">
        <v>0</v>
      </c>
      <c r="D5377" s="17" t="s">
        <v>801</v>
      </c>
      <c r="E5377" s="18">
        <v>3004110613003</v>
      </c>
      <c r="G5377" s="20" t="str">
        <f t="shared" si="249"/>
        <v xml:space="preserve"> MINIECOFOURRURE </v>
      </c>
      <c r="H5377" s="20" t="str">
        <f t="shared" si="250"/>
        <v xml:space="preserve">VIBO </v>
      </c>
      <c r="I5377" s="20">
        <f t="shared" si="251"/>
        <v>0</v>
      </c>
    </row>
    <row r="5378" spans="1:9">
      <c r="A5378" s="17" t="s">
        <v>1999</v>
      </c>
      <c r="B5378" s="17" t="s">
        <v>1475</v>
      </c>
      <c r="C5378" s="17">
        <v>0</v>
      </c>
      <c r="D5378" s="17" t="s">
        <v>801</v>
      </c>
      <c r="E5378" s="18">
        <v>3004541295007</v>
      </c>
      <c r="G5378" s="20" t="str">
        <f t="shared" si="249"/>
        <v xml:space="preserve"> MINIFERMETURE   </v>
      </c>
      <c r="H5378" s="20" t="str">
        <f t="shared" si="250"/>
        <v>AJNAT</v>
      </c>
      <c r="I5378" s="20">
        <f t="shared" si="251"/>
        <v>0</v>
      </c>
    </row>
    <row r="5379" spans="1:9">
      <c r="A5379" s="17" t="s">
        <v>1999</v>
      </c>
      <c r="B5379" s="17" t="s">
        <v>1475</v>
      </c>
      <c r="C5379" s="17">
        <v>0</v>
      </c>
      <c r="D5379" s="17" t="s">
        <v>801</v>
      </c>
      <c r="E5379" s="18">
        <v>8056099171154</v>
      </c>
      <c r="G5379" s="20" t="str">
        <f t="shared" si="249"/>
        <v xml:space="preserve"> MINIFERMETURE   </v>
      </c>
      <c r="H5379" s="20" t="str">
        <f t="shared" si="250"/>
        <v>AJNAT</v>
      </c>
      <c r="I5379" s="20">
        <f t="shared" si="251"/>
        <v>0</v>
      </c>
    </row>
    <row r="5380" spans="1:9">
      <c r="A5380" s="17" t="s">
        <v>1999</v>
      </c>
      <c r="B5380" s="17" t="s">
        <v>1476</v>
      </c>
      <c r="C5380" s="17">
        <v>0</v>
      </c>
      <c r="D5380" s="17" t="s">
        <v>801</v>
      </c>
      <c r="E5380" s="18">
        <v>3004541293003</v>
      </c>
      <c r="G5380" s="20" t="str">
        <f t="shared" si="249"/>
        <v xml:space="preserve"> MINIFERMETURE   </v>
      </c>
      <c r="H5380" s="20" t="str">
        <f t="shared" si="250"/>
        <v>AJWHI</v>
      </c>
      <c r="I5380" s="20">
        <f t="shared" si="251"/>
        <v>0</v>
      </c>
    </row>
    <row r="5381" spans="1:9">
      <c r="A5381" s="17" t="s">
        <v>1999</v>
      </c>
      <c r="B5381" s="17" t="s">
        <v>1476</v>
      </c>
      <c r="C5381" s="17">
        <v>0</v>
      </c>
      <c r="D5381" s="17" t="s">
        <v>801</v>
      </c>
      <c r="E5381" s="18">
        <v>8056099171147</v>
      </c>
      <c r="G5381" s="20" t="str">
        <f t="shared" ref="G5381:G5444" si="252">A5381</f>
        <v xml:space="preserve"> MINIFERMETURE   </v>
      </c>
      <c r="H5381" s="20" t="str">
        <f t="shared" ref="H5381:H5444" si="253">B5381</f>
        <v>AJWHI</v>
      </c>
      <c r="I5381" s="20">
        <f t="shared" ref="I5381:I5444" si="254">C5381</f>
        <v>0</v>
      </c>
    </row>
    <row r="5382" spans="1:9">
      <c r="A5382" s="17" t="s">
        <v>1999</v>
      </c>
      <c r="B5382" s="17" t="s">
        <v>838</v>
      </c>
      <c r="C5382" s="17">
        <v>0</v>
      </c>
      <c r="D5382" s="17" t="s">
        <v>801</v>
      </c>
      <c r="E5382" s="18">
        <v>3004540497006</v>
      </c>
      <c r="G5382" s="20" t="str">
        <f t="shared" si="252"/>
        <v xml:space="preserve"> MINIFERMETURE   </v>
      </c>
      <c r="H5382" s="20" t="str">
        <f t="shared" si="253"/>
        <v>IVOIR</v>
      </c>
      <c r="I5382" s="20">
        <f t="shared" si="254"/>
        <v>0</v>
      </c>
    </row>
    <row r="5383" spans="1:9">
      <c r="A5383" s="17" t="s">
        <v>1999</v>
      </c>
      <c r="B5383" s="17" t="s">
        <v>838</v>
      </c>
      <c r="C5383" s="17">
        <v>0</v>
      </c>
      <c r="D5383" s="17" t="s">
        <v>801</v>
      </c>
      <c r="E5383" s="18">
        <v>3005200497008</v>
      </c>
      <c r="G5383" s="20" t="str">
        <f t="shared" si="252"/>
        <v xml:space="preserve"> MINIFERMETURE   </v>
      </c>
      <c r="H5383" s="20" t="str">
        <f t="shared" si="253"/>
        <v>IVOIR</v>
      </c>
      <c r="I5383" s="20">
        <f t="shared" si="254"/>
        <v>0</v>
      </c>
    </row>
    <row r="5384" spans="1:9">
      <c r="A5384" s="17" t="s">
        <v>1999</v>
      </c>
      <c r="B5384" s="17" t="s">
        <v>1138</v>
      </c>
      <c r="C5384" s="17">
        <v>0</v>
      </c>
      <c r="D5384" s="17" t="s">
        <v>801</v>
      </c>
      <c r="E5384" s="18">
        <v>8056095064429</v>
      </c>
      <c r="G5384" s="20" t="str">
        <f t="shared" si="252"/>
        <v xml:space="preserve"> MINIFERMETURE   </v>
      </c>
      <c r="H5384" s="20" t="str">
        <f t="shared" si="253"/>
        <v>LIEIV</v>
      </c>
      <c r="I5384" s="20">
        <f t="shared" si="254"/>
        <v>0</v>
      </c>
    </row>
    <row r="5385" spans="1:9">
      <c r="A5385" s="17" t="s">
        <v>1999</v>
      </c>
      <c r="B5385" s="17" t="s">
        <v>1138</v>
      </c>
      <c r="C5385" s="17">
        <v>0</v>
      </c>
      <c r="D5385" s="17" t="s">
        <v>801</v>
      </c>
      <c r="E5385" s="18">
        <v>3004541096000</v>
      </c>
      <c r="G5385" s="20" t="str">
        <f t="shared" si="252"/>
        <v xml:space="preserve"> MINIFERMETURE   </v>
      </c>
      <c r="H5385" s="20" t="str">
        <f t="shared" si="253"/>
        <v>LIEIV</v>
      </c>
      <c r="I5385" s="20">
        <f t="shared" si="254"/>
        <v>0</v>
      </c>
    </row>
    <row r="5386" spans="1:9">
      <c r="A5386" s="17" t="s">
        <v>1999</v>
      </c>
      <c r="B5386" s="17" t="s">
        <v>1138</v>
      </c>
      <c r="C5386" s="17" t="s">
        <v>800</v>
      </c>
      <c r="D5386" s="17" t="s">
        <v>801</v>
      </c>
      <c r="E5386" s="18">
        <v>3004540497037</v>
      </c>
      <c r="G5386" s="20" t="str">
        <f t="shared" si="252"/>
        <v xml:space="preserve"> MINIFERMETURE   </v>
      </c>
      <c r="H5386" s="20" t="str">
        <f t="shared" si="253"/>
        <v>LIEIV</v>
      </c>
      <c r="I5386" s="20" t="str">
        <f t="shared" si="254"/>
        <v xml:space="preserve">L    </v>
      </c>
    </row>
    <row r="5387" spans="1:9">
      <c r="A5387" s="17" t="s">
        <v>1999</v>
      </c>
      <c r="B5387" s="17" t="s">
        <v>1138</v>
      </c>
      <c r="C5387" s="17" t="s">
        <v>802</v>
      </c>
      <c r="D5387" s="17" t="s">
        <v>801</v>
      </c>
      <c r="E5387" s="18">
        <v>3004540497020</v>
      </c>
      <c r="G5387" s="20" t="str">
        <f t="shared" si="252"/>
        <v xml:space="preserve"> MINIFERMETURE   </v>
      </c>
      <c r="H5387" s="20" t="str">
        <f t="shared" si="253"/>
        <v>LIEIV</v>
      </c>
      <c r="I5387" s="20" t="str">
        <f t="shared" si="254"/>
        <v xml:space="preserve">M    </v>
      </c>
    </row>
    <row r="5388" spans="1:9">
      <c r="A5388" s="17" t="s">
        <v>1999</v>
      </c>
      <c r="B5388" s="17" t="s">
        <v>1138</v>
      </c>
      <c r="C5388" s="17" t="s">
        <v>803</v>
      </c>
      <c r="D5388" s="17" t="s">
        <v>801</v>
      </c>
      <c r="E5388" s="18">
        <v>3004540497013</v>
      </c>
      <c r="G5388" s="20" t="str">
        <f t="shared" si="252"/>
        <v xml:space="preserve"> MINIFERMETURE   </v>
      </c>
      <c r="H5388" s="20" t="str">
        <f t="shared" si="253"/>
        <v>LIEIV</v>
      </c>
      <c r="I5388" s="20" t="str">
        <f t="shared" si="254"/>
        <v xml:space="preserve">S    </v>
      </c>
    </row>
    <row r="5389" spans="1:9">
      <c r="A5389" s="17" t="s">
        <v>1999</v>
      </c>
      <c r="B5389" s="17" t="s">
        <v>1138</v>
      </c>
      <c r="C5389" s="17" t="s">
        <v>804</v>
      </c>
      <c r="D5389" s="17" t="s">
        <v>801</v>
      </c>
      <c r="E5389" s="18">
        <v>3004540497044</v>
      </c>
      <c r="G5389" s="20" t="str">
        <f t="shared" si="252"/>
        <v xml:space="preserve"> MINIFERMETURE   </v>
      </c>
      <c r="H5389" s="20" t="str">
        <f t="shared" si="253"/>
        <v>LIEIV</v>
      </c>
      <c r="I5389" s="20" t="str">
        <f t="shared" si="254"/>
        <v xml:space="preserve">XL   </v>
      </c>
    </row>
    <row r="5390" spans="1:9">
      <c r="A5390" s="17" t="s">
        <v>1999</v>
      </c>
      <c r="B5390" s="17" t="s">
        <v>2000</v>
      </c>
      <c r="C5390" s="17">
        <v>0</v>
      </c>
      <c r="D5390" s="17" t="s">
        <v>801</v>
      </c>
      <c r="E5390" s="18">
        <v>3004540722009</v>
      </c>
      <c r="G5390" s="20" t="str">
        <f t="shared" si="252"/>
        <v xml:space="preserve"> MINIFERMETURE   </v>
      </c>
      <c r="H5390" s="20" t="str">
        <f t="shared" si="253"/>
        <v>LILLA</v>
      </c>
      <c r="I5390" s="20">
        <f t="shared" si="254"/>
        <v>0</v>
      </c>
    </row>
    <row r="5391" spans="1:9">
      <c r="A5391" s="17" t="s">
        <v>1999</v>
      </c>
      <c r="B5391" s="17" t="s">
        <v>2000</v>
      </c>
      <c r="C5391" s="17" t="s">
        <v>800</v>
      </c>
      <c r="D5391" s="17" t="s">
        <v>801</v>
      </c>
      <c r="E5391" s="18">
        <v>3004540722030</v>
      </c>
      <c r="G5391" s="20" t="str">
        <f t="shared" si="252"/>
        <v xml:space="preserve"> MINIFERMETURE   </v>
      </c>
      <c r="H5391" s="20" t="str">
        <f t="shared" si="253"/>
        <v>LILLA</v>
      </c>
      <c r="I5391" s="20" t="str">
        <f t="shared" si="254"/>
        <v xml:space="preserve">L    </v>
      </c>
    </row>
    <row r="5392" spans="1:9">
      <c r="A5392" s="17" t="s">
        <v>1999</v>
      </c>
      <c r="B5392" s="17" t="s">
        <v>2000</v>
      </c>
      <c r="C5392" s="17" t="s">
        <v>802</v>
      </c>
      <c r="D5392" s="17" t="s">
        <v>801</v>
      </c>
      <c r="E5392" s="18">
        <v>3004540722023</v>
      </c>
      <c r="G5392" s="20" t="str">
        <f t="shared" si="252"/>
        <v xml:space="preserve"> MINIFERMETURE   </v>
      </c>
      <c r="H5392" s="20" t="str">
        <f t="shared" si="253"/>
        <v>LILLA</v>
      </c>
      <c r="I5392" s="20" t="str">
        <f t="shared" si="254"/>
        <v xml:space="preserve">M    </v>
      </c>
    </row>
    <row r="5393" spans="1:9">
      <c r="A5393" s="17" t="s">
        <v>1999</v>
      </c>
      <c r="B5393" s="17" t="s">
        <v>2000</v>
      </c>
      <c r="C5393" s="17" t="s">
        <v>803</v>
      </c>
      <c r="D5393" s="17" t="s">
        <v>801</v>
      </c>
      <c r="E5393" s="18">
        <v>3004540722016</v>
      </c>
      <c r="G5393" s="20" t="str">
        <f t="shared" si="252"/>
        <v xml:space="preserve"> MINIFERMETURE   </v>
      </c>
      <c r="H5393" s="20" t="str">
        <f t="shared" si="253"/>
        <v>LILLA</v>
      </c>
      <c r="I5393" s="20" t="str">
        <f t="shared" si="254"/>
        <v xml:space="preserve">S    </v>
      </c>
    </row>
    <row r="5394" spans="1:9">
      <c r="A5394" s="17" t="s">
        <v>1999</v>
      </c>
      <c r="B5394" s="17" t="s">
        <v>2000</v>
      </c>
      <c r="C5394" s="17" t="s">
        <v>804</v>
      </c>
      <c r="D5394" s="17" t="s">
        <v>801</v>
      </c>
      <c r="E5394" s="18">
        <v>3004540722047</v>
      </c>
      <c r="G5394" s="20" t="str">
        <f t="shared" si="252"/>
        <v xml:space="preserve"> MINIFERMETURE   </v>
      </c>
      <c r="H5394" s="20" t="str">
        <f t="shared" si="253"/>
        <v>LILLA</v>
      </c>
      <c r="I5394" s="20" t="str">
        <f t="shared" si="254"/>
        <v xml:space="preserve">XL   </v>
      </c>
    </row>
    <row r="5395" spans="1:9">
      <c r="A5395" s="17" t="s">
        <v>1999</v>
      </c>
      <c r="B5395" s="17" t="s">
        <v>2001</v>
      </c>
      <c r="C5395" s="17">
        <v>0</v>
      </c>
      <c r="D5395" s="17" t="s">
        <v>801</v>
      </c>
      <c r="E5395" s="18">
        <v>8056099177484</v>
      </c>
      <c r="G5395" s="20" t="str">
        <f t="shared" si="252"/>
        <v xml:space="preserve"> MINIFERMETURE   </v>
      </c>
      <c r="H5395" s="20" t="str">
        <f t="shared" si="253"/>
        <v>POCHB</v>
      </c>
      <c r="I5395" s="20">
        <f t="shared" si="254"/>
        <v>0</v>
      </c>
    </row>
    <row r="5396" spans="1:9">
      <c r="A5396" s="17" t="s">
        <v>1999</v>
      </c>
      <c r="B5396" s="17" t="s">
        <v>2002</v>
      </c>
      <c r="C5396" s="17">
        <v>0</v>
      </c>
      <c r="D5396" s="17" t="s">
        <v>801</v>
      </c>
      <c r="E5396" s="18">
        <v>8056099177897</v>
      </c>
      <c r="G5396" s="20" t="str">
        <f t="shared" si="252"/>
        <v xml:space="preserve"> MINIFERMETURE   </v>
      </c>
      <c r="H5396" s="20" t="str">
        <f t="shared" si="253"/>
        <v>POCHG</v>
      </c>
      <c r="I5396" s="20">
        <f t="shared" si="254"/>
        <v>0</v>
      </c>
    </row>
    <row r="5397" spans="1:9">
      <c r="A5397" s="17" t="s">
        <v>1999</v>
      </c>
      <c r="B5397" s="17" t="s">
        <v>839</v>
      </c>
      <c r="C5397" s="17">
        <v>0</v>
      </c>
      <c r="D5397" s="17" t="s">
        <v>801</v>
      </c>
      <c r="E5397" s="18">
        <v>3004540397009</v>
      </c>
      <c r="G5397" s="20" t="str">
        <f t="shared" si="252"/>
        <v xml:space="preserve"> MINIFERMETURE   </v>
      </c>
      <c r="H5397" s="20" t="str">
        <f t="shared" si="253"/>
        <v xml:space="preserve">ROSA </v>
      </c>
      <c r="I5397" s="20">
        <f t="shared" si="254"/>
        <v>0</v>
      </c>
    </row>
    <row r="5398" spans="1:9">
      <c r="A5398" s="17" t="s">
        <v>1999</v>
      </c>
      <c r="B5398" s="17" t="s">
        <v>839</v>
      </c>
      <c r="C5398" s="17">
        <v>0</v>
      </c>
      <c r="D5398" s="17" t="s">
        <v>801</v>
      </c>
      <c r="E5398" s="18">
        <v>3005200397001</v>
      </c>
      <c r="G5398" s="20" t="str">
        <f t="shared" si="252"/>
        <v xml:space="preserve"> MINIFERMETURE   </v>
      </c>
      <c r="H5398" s="20" t="str">
        <f t="shared" si="253"/>
        <v xml:space="preserve">ROSA </v>
      </c>
      <c r="I5398" s="20">
        <f t="shared" si="254"/>
        <v>0</v>
      </c>
    </row>
    <row r="5399" spans="1:9">
      <c r="A5399" s="17" t="s">
        <v>1999</v>
      </c>
      <c r="B5399" s="17" t="s">
        <v>839</v>
      </c>
      <c r="C5399" s="17" t="s">
        <v>800</v>
      </c>
      <c r="D5399" s="17" t="s">
        <v>801</v>
      </c>
      <c r="E5399" s="18">
        <v>3004540397030</v>
      </c>
      <c r="G5399" s="20" t="str">
        <f t="shared" si="252"/>
        <v xml:space="preserve"> MINIFERMETURE   </v>
      </c>
      <c r="H5399" s="20" t="str">
        <f t="shared" si="253"/>
        <v xml:space="preserve">ROSA </v>
      </c>
      <c r="I5399" s="20" t="str">
        <f t="shared" si="254"/>
        <v xml:space="preserve">L    </v>
      </c>
    </row>
    <row r="5400" spans="1:9">
      <c r="A5400" s="17" t="s">
        <v>1999</v>
      </c>
      <c r="B5400" s="17" t="s">
        <v>839</v>
      </c>
      <c r="C5400" s="17" t="s">
        <v>802</v>
      </c>
      <c r="D5400" s="17" t="s">
        <v>801</v>
      </c>
      <c r="E5400" s="18">
        <v>3004540397023</v>
      </c>
      <c r="G5400" s="20" t="str">
        <f t="shared" si="252"/>
        <v xml:space="preserve"> MINIFERMETURE   </v>
      </c>
      <c r="H5400" s="20" t="str">
        <f t="shared" si="253"/>
        <v xml:space="preserve">ROSA </v>
      </c>
      <c r="I5400" s="20" t="str">
        <f t="shared" si="254"/>
        <v xml:space="preserve">M    </v>
      </c>
    </row>
    <row r="5401" spans="1:9">
      <c r="A5401" s="17" t="s">
        <v>1999</v>
      </c>
      <c r="B5401" s="17" t="s">
        <v>839</v>
      </c>
      <c r="C5401" s="17" t="s">
        <v>803</v>
      </c>
      <c r="D5401" s="17" t="s">
        <v>801</v>
      </c>
      <c r="E5401" s="18">
        <v>3004540397016</v>
      </c>
      <c r="G5401" s="20" t="str">
        <f t="shared" si="252"/>
        <v xml:space="preserve"> MINIFERMETURE   </v>
      </c>
      <c r="H5401" s="20" t="str">
        <f t="shared" si="253"/>
        <v xml:space="preserve">ROSA </v>
      </c>
      <c r="I5401" s="20" t="str">
        <f t="shared" si="254"/>
        <v xml:space="preserve">S    </v>
      </c>
    </row>
    <row r="5402" spans="1:9">
      <c r="A5402" s="17" t="s">
        <v>1999</v>
      </c>
      <c r="B5402" s="17" t="s">
        <v>839</v>
      </c>
      <c r="C5402" s="17" t="s">
        <v>804</v>
      </c>
      <c r="D5402" s="17" t="s">
        <v>801</v>
      </c>
      <c r="E5402" s="18">
        <v>3004540397047</v>
      </c>
      <c r="G5402" s="20" t="str">
        <f t="shared" si="252"/>
        <v xml:space="preserve"> MINIFERMETURE   </v>
      </c>
      <c r="H5402" s="20" t="str">
        <f t="shared" si="253"/>
        <v xml:space="preserve">ROSA </v>
      </c>
      <c r="I5402" s="20" t="str">
        <f t="shared" si="254"/>
        <v xml:space="preserve">XL   </v>
      </c>
    </row>
    <row r="5403" spans="1:9">
      <c r="A5403" s="17" t="s">
        <v>1999</v>
      </c>
      <c r="B5403" s="17" t="s">
        <v>840</v>
      </c>
      <c r="C5403" s="17">
        <v>0</v>
      </c>
      <c r="D5403" s="17" t="s">
        <v>801</v>
      </c>
      <c r="E5403" s="18">
        <v>3004540403007</v>
      </c>
      <c r="G5403" s="20" t="str">
        <f t="shared" si="252"/>
        <v xml:space="preserve"> MINIFERMETURE   </v>
      </c>
      <c r="H5403" s="20" t="str">
        <f t="shared" si="253"/>
        <v>SAUGE</v>
      </c>
      <c r="I5403" s="20">
        <f t="shared" si="254"/>
        <v>0</v>
      </c>
    </row>
    <row r="5404" spans="1:9">
      <c r="A5404" s="17" t="s">
        <v>1999</v>
      </c>
      <c r="B5404" s="17" t="s">
        <v>840</v>
      </c>
      <c r="C5404" s="17" t="s">
        <v>800</v>
      </c>
      <c r="D5404" s="17" t="s">
        <v>801</v>
      </c>
      <c r="E5404" s="18">
        <v>3004540403038</v>
      </c>
      <c r="G5404" s="20" t="str">
        <f t="shared" si="252"/>
        <v xml:space="preserve"> MINIFERMETURE   </v>
      </c>
      <c r="H5404" s="20" t="str">
        <f t="shared" si="253"/>
        <v>SAUGE</v>
      </c>
      <c r="I5404" s="20" t="str">
        <f t="shared" si="254"/>
        <v xml:space="preserve">L    </v>
      </c>
    </row>
    <row r="5405" spans="1:9">
      <c r="A5405" s="17" t="s">
        <v>1999</v>
      </c>
      <c r="B5405" s="17" t="s">
        <v>840</v>
      </c>
      <c r="C5405" s="17" t="s">
        <v>802</v>
      </c>
      <c r="D5405" s="17" t="s">
        <v>801</v>
      </c>
      <c r="E5405" s="18">
        <v>3004540403021</v>
      </c>
      <c r="G5405" s="20" t="str">
        <f t="shared" si="252"/>
        <v xml:space="preserve"> MINIFERMETURE   </v>
      </c>
      <c r="H5405" s="20" t="str">
        <f t="shared" si="253"/>
        <v>SAUGE</v>
      </c>
      <c r="I5405" s="20" t="str">
        <f t="shared" si="254"/>
        <v xml:space="preserve">M    </v>
      </c>
    </row>
    <row r="5406" spans="1:9">
      <c r="A5406" s="17" t="s">
        <v>1999</v>
      </c>
      <c r="B5406" s="17" t="s">
        <v>840</v>
      </c>
      <c r="C5406" s="17" t="s">
        <v>803</v>
      </c>
      <c r="D5406" s="17" t="s">
        <v>801</v>
      </c>
      <c r="E5406" s="18">
        <v>3004540403014</v>
      </c>
      <c r="G5406" s="20" t="str">
        <f t="shared" si="252"/>
        <v xml:space="preserve"> MINIFERMETURE   </v>
      </c>
      <c r="H5406" s="20" t="str">
        <f t="shared" si="253"/>
        <v>SAUGE</v>
      </c>
      <c r="I5406" s="20" t="str">
        <f t="shared" si="254"/>
        <v xml:space="preserve">S    </v>
      </c>
    </row>
    <row r="5407" spans="1:9">
      <c r="A5407" s="17" t="s">
        <v>1999</v>
      </c>
      <c r="B5407" s="17" t="s">
        <v>840</v>
      </c>
      <c r="C5407" s="17" t="s">
        <v>804</v>
      </c>
      <c r="D5407" s="17" t="s">
        <v>801</v>
      </c>
      <c r="E5407" s="18">
        <v>3004540403045</v>
      </c>
      <c r="G5407" s="20" t="str">
        <f t="shared" si="252"/>
        <v xml:space="preserve"> MINIFERMETURE   </v>
      </c>
      <c r="H5407" s="20" t="str">
        <f t="shared" si="253"/>
        <v>SAUGE</v>
      </c>
      <c r="I5407" s="20" t="str">
        <f t="shared" si="254"/>
        <v xml:space="preserve">XL   </v>
      </c>
    </row>
    <row r="5408" spans="1:9">
      <c r="A5408" s="17" t="s">
        <v>1999</v>
      </c>
      <c r="B5408" s="17" t="s">
        <v>1010</v>
      </c>
      <c r="C5408" s="17">
        <v>0</v>
      </c>
      <c r="D5408" s="17" t="s">
        <v>801</v>
      </c>
      <c r="E5408" s="18">
        <v>3004540793009</v>
      </c>
      <c r="G5408" s="20" t="str">
        <f t="shared" si="252"/>
        <v xml:space="preserve"> MINIFERMETURE   </v>
      </c>
      <c r="H5408" s="20" t="str">
        <f t="shared" si="253"/>
        <v>SERBE</v>
      </c>
      <c r="I5408" s="20">
        <f t="shared" si="254"/>
        <v>0</v>
      </c>
    </row>
    <row r="5409" spans="1:9">
      <c r="A5409" s="17" t="s">
        <v>1999</v>
      </c>
      <c r="B5409" s="17" t="s">
        <v>1011</v>
      </c>
      <c r="C5409" s="17">
        <v>0</v>
      </c>
      <c r="D5409" s="17" t="s">
        <v>801</v>
      </c>
      <c r="E5409" s="18">
        <v>3004540792002</v>
      </c>
      <c r="G5409" s="20" t="str">
        <f t="shared" si="252"/>
        <v xml:space="preserve"> MINIFERMETURE   </v>
      </c>
      <c r="H5409" s="20" t="str">
        <f t="shared" si="253"/>
        <v>SERGR</v>
      </c>
      <c r="I5409" s="20">
        <f t="shared" si="254"/>
        <v>0</v>
      </c>
    </row>
    <row r="5410" spans="1:9">
      <c r="A5410" s="17" t="s">
        <v>1999</v>
      </c>
      <c r="B5410" s="17" t="s">
        <v>1012</v>
      </c>
      <c r="C5410" s="17">
        <v>0</v>
      </c>
      <c r="D5410" s="17" t="s">
        <v>801</v>
      </c>
      <c r="E5410" s="18">
        <v>3004540791005</v>
      </c>
      <c r="G5410" s="20" t="str">
        <f t="shared" si="252"/>
        <v xml:space="preserve"> MINIFERMETURE   </v>
      </c>
      <c r="H5410" s="20" t="str">
        <f t="shared" si="253"/>
        <v>SEROR</v>
      </c>
      <c r="I5410" s="20">
        <f t="shared" si="254"/>
        <v>0</v>
      </c>
    </row>
    <row r="5411" spans="1:9">
      <c r="A5411" s="17" t="s">
        <v>2003</v>
      </c>
      <c r="B5411" s="17" t="s">
        <v>280</v>
      </c>
      <c r="C5411" s="17">
        <v>0</v>
      </c>
      <c r="D5411" s="17" t="s">
        <v>801</v>
      </c>
      <c r="E5411" s="18">
        <v>3005460004008</v>
      </c>
      <c r="G5411" s="20" t="str">
        <f t="shared" si="252"/>
        <v xml:space="preserve"> MINIFERMETUREPOC</v>
      </c>
      <c r="H5411" s="20" t="str">
        <f t="shared" si="253"/>
        <v>BLACK</v>
      </c>
      <c r="I5411" s="20">
        <f t="shared" si="254"/>
        <v>0</v>
      </c>
    </row>
    <row r="5412" spans="1:9">
      <c r="A5412" s="17" t="s">
        <v>2003</v>
      </c>
      <c r="B5412" s="17" t="s">
        <v>280</v>
      </c>
      <c r="C5412" s="17">
        <v>0</v>
      </c>
      <c r="D5412" s="17" t="s">
        <v>801</v>
      </c>
      <c r="E5412" s="18">
        <v>8058983598344</v>
      </c>
      <c r="G5412" s="20" t="str">
        <f t="shared" si="252"/>
        <v xml:space="preserve"> MINIFERMETUREPOC</v>
      </c>
      <c r="H5412" s="20" t="str">
        <f t="shared" si="253"/>
        <v>BLACK</v>
      </c>
      <c r="I5412" s="20">
        <f t="shared" si="254"/>
        <v>0</v>
      </c>
    </row>
    <row r="5413" spans="1:9">
      <c r="A5413" s="17" t="s">
        <v>2003</v>
      </c>
      <c r="B5413" s="17" t="s">
        <v>2004</v>
      </c>
      <c r="C5413" s="17">
        <v>0</v>
      </c>
      <c r="D5413" s="17" t="s">
        <v>801</v>
      </c>
      <c r="E5413" s="18">
        <v>3004801085003</v>
      </c>
      <c r="G5413" s="20" t="str">
        <f t="shared" si="252"/>
        <v xml:space="preserve"> MINIFERMETUREPOC</v>
      </c>
      <c r="H5413" s="20" t="str">
        <f t="shared" si="253"/>
        <v>ECGRE</v>
      </c>
      <c r="I5413" s="20">
        <f t="shared" si="254"/>
        <v>0</v>
      </c>
    </row>
    <row r="5414" spans="1:9">
      <c r="A5414" s="17" t="s">
        <v>2003</v>
      </c>
      <c r="B5414" s="17" t="s">
        <v>1041</v>
      </c>
      <c r="C5414" s="17">
        <v>0</v>
      </c>
      <c r="D5414" s="17" t="s">
        <v>801</v>
      </c>
      <c r="E5414" s="18">
        <v>8050538595327</v>
      </c>
      <c r="G5414" s="20" t="str">
        <f t="shared" si="252"/>
        <v xml:space="preserve"> MINIFERMETUREPOC</v>
      </c>
      <c r="H5414" s="20" t="str">
        <f t="shared" si="253"/>
        <v>LIGBL</v>
      </c>
      <c r="I5414" s="20">
        <f t="shared" si="254"/>
        <v>0</v>
      </c>
    </row>
    <row r="5415" spans="1:9">
      <c r="A5415" s="17" t="s">
        <v>2003</v>
      </c>
      <c r="B5415" s="17" t="s">
        <v>1042</v>
      </c>
      <c r="C5415" s="17">
        <v>0</v>
      </c>
      <c r="D5415" s="17" t="s">
        <v>801</v>
      </c>
      <c r="E5415" s="18">
        <v>8050538595310</v>
      </c>
      <c r="G5415" s="20" t="str">
        <f t="shared" si="252"/>
        <v xml:space="preserve"> MINIFERMETUREPOC</v>
      </c>
      <c r="H5415" s="20" t="str">
        <f t="shared" si="253"/>
        <v>LIGRO</v>
      </c>
      <c r="I5415" s="20">
        <f t="shared" si="254"/>
        <v>0</v>
      </c>
    </row>
    <row r="5416" spans="1:9">
      <c r="A5416" s="17" t="s">
        <v>2003</v>
      </c>
      <c r="B5416" s="17" t="s">
        <v>919</v>
      </c>
      <c r="C5416" s="17">
        <v>0</v>
      </c>
      <c r="D5416" s="17" t="s">
        <v>801</v>
      </c>
      <c r="E5416" s="18">
        <v>3005461178005</v>
      </c>
      <c r="G5416" s="20" t="str">
        <f t="shared" si="252"/>
        <v xml:space="preserve"> MINIFERMETUREPOC</v>
      </c>
      <c r="H5416" s="20" t="str">
        <f t="shared" si="253"/>
        <v>TESTA</v>
      </c>
      <c r="I5416" s="20">
        <f t="shared" si="254"/>
        <v>0</v>
      </c>
    </row>
    <row r="5417" spans="1:9">
      <c r="A5417" s="17" t="s">
        <v>2005</v>
      </c>
      <c r="B5417" s="17" t="s">
        <v>2006</v>
      </c>
      <c r="C5417" s="17">
        <v>0</v>
      </c>
      <c r="D5417" s="17" t="s">
        <v>801</v>
      </c>
      <c r="E5417" s="18">
        <v>3005771078002</v>
      </c>
      <c r="G5417" s="20" t="str">
        <f t="shared" si="252"/>
        <v xml:space="preserve"> MINIFLOWER      </v>
      </c>
      <c r="H5417" s="20" t="str">
        <f t="shared" si="253"/>
        <v>BECCO</v>
      </c>
      <c r="I5417" s="20">
        <f t="shared" si="254"/>
        <v>0</v>
      </c>
    </row>
    <row r="5418" spans="1:9">
      <c r="A5418" s="17" t="s">
        <v>2005</v>
      </c>
      <c r="B5418" s="17" t="s">
        <v>2006</v>
      </c>
      <c r="C5418" s="17">
        <v>0</v>
      </c>
      <c r="D5418" s="17" t="s">
        <v>801</v>
      </c>
      <c r="E5418" s="18">
        <v>8050846000674</v>
      </c>
      <c r="G5418" s="20" t="str">
        <f t="shared" si="252"/>
        <v xml:space="preserve"> MINIFLOWER      </v>
      </c>
      <c r="H5418" s="20" t="str">
        <f t="shared" si="253"/>
        <v>BECCO</v>
      </c>
      <c r="I5418" s="20">
        <f t="shared" si="254"/>
        <v>0</v>
      </c>
    </row>
    <row r="5419" spans="1:9">
      <c r="A5419" s="17" t="s">
        <v>2005</v>
      </c>
      <c r="B5419" s="17" t="s">
        <v>838</v>
      </c>
      <c r="C5419" s="17">
        <v>0</v>
      </c>
      <c r="D5419" s="17" t="s">
        <v>801</v>
      </c>
      <c r="E5419" s="18">
        <v>3005770497002</v>
      </c>
      <c r="G5419" s="20" t="str">
        <f t="shared" si="252"/>
        <v xml:space="preserve"> MINIFLOWER      </v>
      </c>
      <c r="H5419" s="20" t="str">
        <f t="shared" si="253"/>
        <v>IVOIR</v>
      </c>
      <c r="I5419" s="20">
        <f t="shared" si="254"/>
        <v>0</v>
      </c>
    </row>
    <row r="5420" spans="1:9">
      <c r="A5420" s="17" t="s">
        <v>2005</v>
      </c>
      <c r="B5420" s="17" t="s">
        <v>838</v>
      </c>
      <c r="C5420" s="17">
        <v>0</v>
      </c>
      <c r="D5420" s="17" t="s">
        <v>801</v>
      </c>
      <c r="E5420" s="18">
        <v>8050846000698</v>
      </c>
      <c r="G5420" s="20" t="str">
        <f t="shared" si="252"/>
        <v xml:space="preserve"> MINIFLOWER      </v>
      </c>
      <c r="H5420" s="20" t="str">
        <f t="shared" si="253"/>
        <v>IVOIR</v>
      </c>
      <c r="I5420" s="20">
        <f t="shared" si="254"/>
        <v>0</v>
      </c>
    </row>
    <row r="5421" spans="1:9">
      <c r="A5421" s="17" t="s">
        <v>2005</v>
      </c>
      <c r="B5421" s="17" t="s">
        <v>283</v>
      </c>
      <c r="C5421" s="17">
        <v>0</v>
      </c>
      <c r="D5421" s="17" t="s">
        <v>801</v>
      </c>
      <c r="E5421" s="18">
        <v>3005770871000</v>
      </c>
      <c r="G5421" s="20" t="str">
        <f t="shared" si="252"/>
        <v xml:space="preserve"> MINIFLOWER      </v>
      </c>
      <c r="H5421" s="20" t="str">
        <f t="shared" si="253"/>
        <v>PHARD</v>
      </c>
      <c r="I5421" s="20">
        <f t="shared" si="254"/>
        <v>0</v>
      </c>
    </row>
    <row r="5422" spans="1:9">
      <c r="A5422" s="17" t="s">
        <v>2005</v>
      </c>
      <c r="B5422" s="17" t="s">
        <v>283</v>
      </c>
      <c r="C5422" s="17">
        <v>0</v>
      </c>
      <c r="D5422" s="17" t="s">
        <v>801</v>
      </c>
      <c r="E5422" s="18">
        <v>8050846000667</v>
      </c>
      <c r="G5422" s="20" t="str">
        <f t="shared" si="252"/>
        <v xml:space="preserve"> MINIFLOWER      </v>
      </c>
      <c r="H5422" s="20" t="str">
        <f t="shared" si="253"/>
        <v>PHARD</v>
      </c>
      <c r="I5422" s="20">
        <f t="shared" si="254"/>
        <v>0</v>
      </c>
    </row>
    <row r="5423" spans="1:9">
      <c r="A5423" s="17" t="s">
        <v>2005</v>
      </c>
      <c r="B5423" s="17" t="s">
        <v>1664</v>
      </c>
      <c r="C5423" s="17">
        <v>0</v>
      </c>
      <c r="D5423" s="17" t="s">
        <v>801</v>
      </c>
      <c r="E5423" s="18">
        <v>3005771079009</v>
      </c>
      <c r="G5423" s="20" t="str">
        <f t="shared" si="252"/>
        <v xml:space="preserve"> MINIFLOWER      </v>
      </c>
      <c r="H5423" s="20" t="str">
        <f t="shared" si="253"/>
        <v>VERAN</v>
      </c>
      <c r="I5423" s="20">
        <f t="shared" si="254"/>
        <v>0</v>
      </c>
    </row>
    <row r="5424" spans="1:9">
      <c r="A5424" s="17" t="s">
        <v>2005</v>
      </c>
      <c r="B5424" s="17" t="s">
        <v>1664</v>
      </c>
      <c r="C5424" s="17">
        <v>0</v>
      </c>
      <c r="D5424" s="17" t="s">
        <v>801</v>
      </c>
      <c r="E5424" s="18">
        <v>8050846000681</v>
      </c>
      <c r="G5424" s="20" t="str">
        <f t="shared" si="252"/>
        <v xml:space="preserve"> MINIFLOWER      </v>
      </c>
      <c r="H5424" s="20" t="str">
        <f t="shared" si="253"/>
        <v>VERAN</v>
      </c>
      <c r="I5424" s="20">
        <f t="shared" si="254"/>
        <v>0</v>
      </c>
    </row>
    <row r="5425" spans="1:9">
      <c r="A5425" s="17" t="s">
        <v>2007</v>
      </c>
      <c r="B5425" s="17" t="s">
        <v>280</v>
      </c>
      <c r="C5425" s="17">
        <v>0</v>
      </c>
      <c r="D5425" s="17" t="s">
        <v>801</v>
      </c>
      <c r="E5425" s="18">
        <v>3020560005007</v>
      </c>
      <c r="G5425" s="20" t="str">
        <f t="shared" si="252"/>
        <v xml:space="preserve"> MINILAPIN       </v>
      </c>
      <c r="H5425" s="20" t="str">
        <f t="shared" si="253"/>
        <v>BLACK</v>
      </c>
      <c r="I5425" s="20">
        <f t="shared" si="254"/>
        <v>0</v>
      </c>
    </row>
    <row r="5426" spans="1:9">
      <c r="A5426" s="17" t="s">
        <v>2007</v>
      </c>
      <c r="B5426" s="17" t="s">
        <v>869</v>
      </c>
      <c r="C5426" s="17">
        <v>0</v>
      </c>
      <c r="D5426" s="17" t="s">
        <v>801</v>
      </c>
      <c r="E5426" s="18">
        <v>3020560554000</v>
      </c>
      <c r="G5426" s="20" t="str">
        <f t="shared" si="252"/>
        <v xml:space="preserve"> MINILAPIN       </v>
      </c>
      <c r="H5426" s="20" t="str">
        <f t="shared" si="253"/>
        <v>BROWN</v>
      </c>
      <c r="I5426" s="20">
        <f t="shared" si="254"/>
        <v>0</v>
      </c>
    </row>
    <row r="5427" spans="1:9">
      <c r="A5427" s="17" t="s">
        <v>2007</v>
      </c>
      <c r="B5427" s="17" t="s">
        <v>1677</v>
      </c>
      <c r="C5427" s="17">
        <v>0</v>
      </c>
      <c r="D5427" s="17" t="s">
        <v>801</v>
      </c>
      <c r="E5427" s="18">
        <v>3003620089001</v>
      </c>
      <c r="G5427" s="20" t="str">
        <f t="shared" si="252"/>
        <v xml:space="preserve"> MINILAPIN       </v>
      </c>
      <c r="H5427" s="20" t="str">
        <f t="shared" si="253"/>
        <v>CINCI</v>
      </c>
      <c r="I5427" s="20">
        <f t="shared" si="254"/>
        <v>0</v>
      </c>
    </row>
    <row r="5428" spans="1:9">
      <c r="A5428" s="17" t="s">
        <v>2007</v>
      </c>
      <c r="B5428" s="17" t="s">
        <v>2008</v>
      </c>
      <c r="C5428" s="17">
        <v>0</v>
      </c>
      <c r="D5428" s="17" t="s">
        <v>801</v>
      </c>
      <c r="E5428" s="18">
        <v>3003620107002</v>
      </c>
      <c r="G5428" s="20" t="str">
        <f t="shared" si="252"/>
        <v xml:space="preserve"> MINILAPIN       </v>
      </c>
      <c r="H5428" s="20" t="str">
        <f t="shared" si="253"/>
        <v xml:space="preserve">CORT </v>
      </c>
      <c r="I5428" s="20">
        <f t="shared" si="254"/>
        <v>0</v>
      </c>
    </row>
    <row r="5429" spans="1:9">
      <c r="A5429" s="17" t="s">
        <v>2007</v>
      </c>
      <c r="B5429" s="17" t="s">
        <v>2009</v>
      </c>
      <c r="C5429" s="17">
        <v>0</v>
      </c>
      <c r="D5429" s="17" t="s">
        <v>801</v>
      </c>
      <c r="E5429" s="18">
        <v>3002650982009</v>
      </c>
      <c r="G5429" s="20" t="str">
        <f t="shared" si="252"/>
        <v xml:space="preserve"> MINILAPIN       </v>
      </c>
      <c r="H5429" s="20" t="str">
        <f t="shared" si="253"/>
        <v>FLEVE</v>
      </c>
      <c r="I5429" s="20">
        <f t="shared" si="254"/>
        <v>0</v>
      </c>
    </row>
    <row r="5430" spans="1:9">
      <c r="A5430" s="17" t="s">
        <v>2007</v>
      </c>
      <c r="B5430" s="17" t="s">
        <v>2010</v>
      </c>
      <c r="C5430" s="17">
        <v>0</v>
      </c>
      <c r="D5430" s="17" t="s">
        <v>801</v>
      </c>
      <c r="E5430" s="18">
        <v>3020560285003</v>
      </c>
      <c r="G5430" s="20" t="str">
        <f t="shared" si="252"/>
        <v xml:space="preserve"> MINILAPIN       </v>
      </c>
      <c r="H5430" s="20" t="str">
        <f t="shared" si="253"/>
        <v>FRABE</v>
      </c>
      <c r="I5430" s="20">
        <f t="shared" si="254"/>
        <v>0</v>
      </c>
    </row>
    <row r="5431" spans="1:9">
      <c r="A5431" s="17" t="s">
        <v>2007</v>
      </c>
      <c r="B5431" s="17" t="s">
        <v>1770</v>
      </c>
      <c r="C5431" s="17">
        <v>0</v>
      </c>
      <c r="D5431" s="17" t="s">
        <v>801</v>
      </c>
      <c r="E5431" s="18">
        <v>3020560283009</v>
      </c>
      <c r="G5431" s="20" t="str">
        <f t="shared" si="252"/>
        <v xml:space="preserve"> MINILAPIN       </v>
      </c>
      <c r="H5431" s="20" t="str">
        <f t="shared" si="253"/>
        <v>FRANB</v>
      </c>
      <c r="I5431" s="20">
        <f t="shared" si="254"/>
        <v>0</v>
      </c>
    </row>
    <row r="5432" spans="1:9">
      <c r="A5432" s="17" t="s">
        <v>2007</v>
      </c>
      <c r="B5432" s="17" t="s">
        <v>2011</v>
      </c>
      <c r="C5432" s="17">
        <v>0</v>
      </c>
      <c r="D5432" s="17" t="s">
        <v>801</v>
      </c>
      <c r="E5432" s="18">
        <v>3020560284006</v>
      </c>
      <c r="G5432" s="20" t="str">
        <f t="shared" si="252"/>
        <v xml:space="preserve"> MINILAPIN       </v>
      </c>
      <c r="H5432" s="20" t="str">
        <f t="shared" si="253"/>
        <v>FRANZ</v>
      </c>
      <c r="I5432" s="20">
        <f t="shared" si="254"/>
        <v>0</v>
      </c>
    </row>
    <row r="5433" spans="1:9">
      <c r="A5433" s="17" t="s">
        <v>2007</v>
      </c>
      <c r="B5433" s="17" t="s">
        <v>2012</v>
      </c>
      <c r="C5433" s="17">
        <v>0</v>
      </c>
      <c r="D5433" s="17" t="s">
        <v>801</v>
      </c>
      <c r="E5433" s="18">
        <v>3020560282002</v>
      </c>
      <c r="G5433" s="20" t="str">
        <f t="shared" si="252"/>
        <v xml:space="preserve"> MINILAPIN       </v>
      </c>
      <c r="H5433" s="20" t="str">
        <f t="shared" si="253"/>
        <v>MACBL</v>
      </c>
      <c r="I5433" s="20">
        <f t="shared" si="254"/>
        <v>0</v>
      </c>
    </row>
    <row r="5434" spans="1:9">
      <c r="A5434" s="17" t="s">
        <v>2007</v>
      </c>
      <c r="B5434" s="17" t="s">
        <v>2013</v>
      </c>
      <c r="C5434" s="17">
        <v>0</v>
      </c>
      <c r="D5434" s="17" t="s">
        <v>801</v>
      </c>
      <c r="E5434" s="18">
        <v>3020560281005</v>
      </c>
      <c r="G5434" s="20" t="str">
        <f t="shared" si="252"/>
        <v xml:space="preserve"> MINILAPIN       </v>
      </c>
      <c r="H5434" s="20" t="str">
        <f t="shared" si="253"/>
        <v>MACNO</v>
      </c>
      <c r="I5434" s="20">
        <f t="shared" si="254"/>
        <v>0</v>
      </c>
    </row>
    <row r="5435" spans="1:9">
      <c r="A5435" s="17" t="s">
        <v>2007</v>
      </c>
      <c r="B5435" s="17" t="s">
        <v>2014</v>
      </c>
      <c r="C5435" s="17">
        <v>0</v>
      </c>
      <c r="D5435" s="17" t="s">
        <v>801</v>
      </c>
      <c r="E5435" s="18">
        <v>3020560648006</v>
      </c>
      <c r="G5435" s="20" t="str">
        <f t="shared" si="252"/>
        <v xml:space="preserve"> MINILAPIN       </v>
      </c>
      <c r="H5435" s="20" t="str">
        <f t="shared" si="253"/>
        <v>MACSP</v>
      </c>
      <c r="I5435" s="20">
        <f t="shared" si="254"/>
        <v>0</v>
      </c>
    </row>
    <row r="5436" spans="1:9">
      <c r="A5436" s="17" t="s">
        <v>2007</v>
      </c>
      <c r="B5436" s="17" t="s">
        <v>859</v>
      </c>
      <c r="C5436" s="17">
        <v>0</v>
      </c>
      <c r="D5436" s="17" t="s">
        <v>801</v>
      </c>
      <c r="E5436" s="18">
        <v>3003620002000</v>
      </c>
      <c r="G5436" s="20" t="str">
        <f t="shared" si="252"/>
        <v xml:space="preserve"> MINILAPIN       </v>
      </c>
      <c r="H5436" s="20" t="str">
        <f t="shared" si="253"/>
        <v>NATUR</v>
      </c>
      <c r="I5436" s="20">
        <f t="shared" si="254"/>
        <v>0</v>
      </c>
    </row>
    <row r="5437" spans="1:9">
      <c r="A5437" s="17" t="s">
        <v>2007</v>
      </c>
      <c r="B5437" s="17" t="s">
        <v>964</v>
      </c>
      <c r="C5437" s="17">
        <v>0</v>
      </c>
      <c r="D5437" s="17" t="s">
        <v>801</v>
      </c>
      <c r="E5437" s="18">
        <v>3003620091004</v>
      </c>
      <c r="G5437" s="20" t="str">
        <f t="shared" si="252"/>
        <v xml:space="preserve"> MINILAPIN       </v>
      </c>
      <c r="H5437" s="20" t="str">
        <f t="shared" si="253"/>
        <v>ORANG</v>
      </c>
      <c r="I5437" s="20">
        <f t="shared" si="254"/>
        <v>0</v>
      </c>
    </row>
    <row r="5438" spans="1:9">
      <c r="A5438" s="17" t="s">
        <v>2007</v>
      </c>
      <c r="B5438" s="17" t="s">
        <v>839</v>
      </c>
      <c r="C5438" s="17">
        <v>0</v>
      </c>
      <c r="D5438" s="17" t="s">
        <v>801</v>
      </c>
      <c r="E5438" s="18">
        <v>3003620090007</v>
      </c>
      <c r="G5438" s="20" t="str">
        <f t="shared" si="252"/>
        <v xml:space="preserve"> MINILAPIN       </v>
      </c>
      <c r="H5438" s="20" t="str">
        <f t="shared" si="253"/>
        <v xml:space="preserve">ROSA </v>
      </c>
      <c r="I5438" s="20">
        <f t="shared" si="254"/>
        <v>0</v>
      </c>
    </row>
    <row r="5439" spans="1:9">
      <c r="A5439" s="17" t="s">
        <v>2007</v>
      </c>
      <c r="B5439" s="17" t="s">
        <v>811</v>
      </c>
      <c r="C5439" s="17">
        <v>0</v>
      </c>
      <c r="D5439" s="17" t="s">
        <v>801</v>
      </c>
      <c r="E5439" s="18">
        <v>3002650431002</v>
      </c>
      <c r="G5439" s="20" t="str">
        <f t="shared" si="252"/>
        <v xml:space="preserve"> MINILAPIN       </v>
      </c>
      <c r="H5439" s="20" t="str">
        <f t="shared" si="253"/>
        <v xml:space="preserve">VERT </v>
      </c>
      <c r="I5439" s="20">
        <f t="shared" si="254"/>
        <v>0</v>
      </c>
    </row>
    <row r="5440" spans="1:9">
      <c r="A5440" s="17" t="s">
        <v>2007</v>
      </c>
      <c r="B5440" s="17" t="s">
        <v>273</v>
      </c>
      <c r="C5440" s="17">
        <v>0</v>
      </c>
      <c r="D5440" s="17" t="s">
        <v>801</v>
      </c>
      <c r="E5440" s="18">
        <v>3020560006004</v>
      </c>
      <c r="G5440" s="20" t="str">
        <f t="shared" si="252"/>
        <v xml:space="preserve"> MINILAPIN       </v>
      </c>
      <c r="H5440" s="20" t="str">
        <f t="shared" si="253"/>
        <v>WHITE</v>
      </c>
      <c r="I5440" s="20">
        <f t="shared" si="254"/>
        <v>0</v>
      </c>
    </row>
    <row r="5441" spans="1:9">
      <c r="A5441" s="17" t="s">
        <v>2015</v>
      </c>
      <c r="B5441" s="17" t="s">
        <v>810</v>
      </c>
      <c r="C5441" s="17">
        <v>0</v>
      </c>
      <c r="D5441" s="17" t="s">
        <v>801</v>
      </c>
      <c r="E5441" s="18">
        <v>3004770319000</v>
      </c>
      <c r="G5441" s="20" t="str">
        <f t="shared" si="252"/>
        <v xml:space="preserve"> MINIMAR         </v>
      </c>
      <c r="H5441" s="20" t="str">
        <f t="shared" si="253"/>
        <v xml:space="preserve">BLUE </v>
      </c>
      <c r="I5441" s="20">
        <f t="shared" si="254"/>
        <v>0</v>
      </c>
    </row>
    <row r="5442" spans="1:9">
      <c r="A5442" s="17" t="s">
        <v>2015</v>
      </c>
      <c r="B5442" s="17" t="s">
        <v>859</v>
      </c>
      <c r="C5442" s="17">
        <v>0</v>
      </c>
      <c r="D5442" s="17" t="s">
        <v>801</v>
      </c>
      <c r="E5442" s="18">
        <v>3004770597002</v>
      </c>
      <c r="G5442" s="20" t="str">
        <f t="shared" si="252"/>
        <v xml:space="preserve"> MINIMAR         </v>
      </c>
      <c r="H5442" s="20" t="str">
        <f t="shared" si="253"/>
        <v>NATUR</v>
      </c>
      <c r="I5442" s="20">
        <f t="shared" si="254"/>
        <v>0</v>
      </c>
    </row>
    <row r="5443" spans="1:9">
      <c r="A5443" s="17" t="s">
        <v>2015</v>
      </c>
      <c r="B5443" s="17" t="s">
        <v>1917</v>
      </c>
      <c r="C5443" s="17">
        <v>0</v>
      </c>
      <c r="D5443" s="17" t="s">
        <v>801</v>
      </c>
      <c r="E5443" s="18">
        <v>3004770296004</v>
      </c>
      <c r="G5443" s="20" t="str">
        <f t="shared" si="252"/>
        <v xml:space="preserve"> MINIMAR         </v>
      </c>
      <c r="H5443" s="20" t="str">
        <f t="shared" si="253"/>
        <v>PATNE</v>
      </c>
      <c r="I5443" s="20">
        <f t="shared" si="254"/>
        <v>0</v>
      </c>
    </row>
    <row r="5444" spans="1:9">
      <c r="A5444" s="17" t="s">
        <v>2015</v>
      </c>
      <c r="B5444" s="17" t="s">
        <v>1389</v>
      </c>
      <c r="C5444" s="17">
        <v>0</v>
      </c>
      <c r="D5444" s="17" t="s">
        <v>801</v>
      </c>
      <c r="E5444" s="18">
        <v>3004770605004</v>
      </c>
      <c r="G5444" s="20" t="str">
        <f t="shared" si="252"/>
        <v xml:space="preserve"> MINIMAR         </v>
      </c>
      <c r="H5444" s="20" t="str">
        <f t="shared" si="253"/>
        <v xml:space="preserve">PINK </v>
      </c>
      <c r="I5444" s="20">
        <f t="shared" si="254"/>
        <v>0</v>
      </c>
    </row>
    <row r="5445" spans="1:9">
      <c r="A5445" s="17" t="s">
        <v>2016</v>
      </c>
      <c r="B5445" s="17" t="s">
        <v>1230</v>
      </c>
      <c r="C5445" s="17">
        <v>0</v>
      </c>
      <c r="D5445" s="17" t="s">
        <v>801</v>
      </c>
      <c r="E5445" s="18">
        <v>8056098539412</v>
      </c>
      <c r="G5445" s="20" t="str">
        <f t="shared" ref="G5445:G5508" si="255">A5445</f>
        <v xml:space="preserve"> MINIOBEACH      </v>
      </c>
      <c r="H5445" s="20" t="str">
        <f t="shared" ref="H5445:H5508" si="256">B5445</f>
        <v>ACQUA</v>
      </c>
      <c r="I5445" s="20">
        <f t="shared" ref="I5445:I5508" si="257">C5445</f>
        <v>0</v>
      </c>
    </row>
    <row r="5446" spans="1:9">
      <c r="A5446" s="17" t="s">
        <v>2016</v>
      </c>
      <c r="B5446" s="17" t="s">
        <v>1230</v>
      </c>
      <c r="C5446" s="17">
        <v>0</v>
      </c>
      <c r="D5446" s="17" t="s">
        <v>801</v>
      </c>
      <c r="E5446" s="18">
        <v>3005740694004</v>
      </c>
      <c r="G5446" s="20" t="str">
        <f t="shared" si="255"/>
        <v xml:space="preserve"> MINIOBEACH      </v>
      </c>
      <c r="H5446" s="20" t="str">
        <f t="shared" si="256"/>
        <v>ACQUA</v>
      </c>
      <c r="I5446" s="20">
        <f t="shared" si="257"/>
        <v>0</v>
      </c>
    </row>
    <row r="5447" spans="1:9">
      <c r="A5447" s="17" t="s">
        <v>2016</v>
      </c>
      <c r="B5447" s="17" t="s">
        <v>298</v>
      </c>
      <c r="C5447" s="17">
        <v>0</v>
      </c>
      <c r="D5447" s="17" t="s">
        <v>801</v>
      </c>
      <c r="E5447" s="18">
        <v>8056098539436</v>
      </c>
      <c r="G5447" s="20" t="str">
        <f t="shared" si="255"/>
        <v xml:space="preserve"> MINIOBEACH      </v>
      </c>
      <c r="H5447" s="20" t="str">
        <f t="shared" si="256"/>
        <v>APPLE</v>
      </c>
      <c r="I5447" s="20">
        <f t="shared" si="257"/>
        <v>0</v>
      </c>
    </row>
    <row r="5448" spans="1:9">
      <c r="A5448" s="17" t="s">
        <v>2016</v>
      </c>
      <c r="B5448" s="17" t="s">
        <v>298</v>
      </c>
      <c r="C5448" s="17">
        <v>0</v>
      </c>
      <c r="D5448" s="17" t="s">
        <v>801</v>
      </c>
      <c r="E5448" s="18">
        <v>3005740267000</v>
      </c>
      <c r="G5448" s="20" t="str">
        <f t="shared" si="255"/>
        <v xml:space="preserve"> MINIOBEACH      </v>
      </c>
      <c r="H5448" s="20" t="str">
        <f t="shared" si="256"/>
        <v>APPLE</v>
      </c>
      <c r="I5448" s="20">
        <f t="shared" si="257"/>
        <v>0</v>
      </c>
    </row>
    <row r="5449" spans="1:9">
      <c r="A5449" s="17" t="s">
        <v>2016</v>
      </c>
      <c r="B5449" s="17" t="s">
        <v>2006</v>
      </c>
      <c r="C5449" s="17">
        <v>0</v>
      </c>
      <c r="D5449" s="17" t="s">
        <v>801</v>
      </c>
      <c r="E5449" s="18">
        <v>8056098539399</v>
      </c>
      <c r="G5449" s="20" t="str">
        <f t="shared" si="255"/>
        <v xml:space="preserve"> MINIOBEACH      </v>
      </c>
      <c r="H5449" s="20" t="str">
        <f t="shared" si="256"/>
        <v>BECCO</v>
      </c>
      <c r="I5449" s="20">
        <f t="shared" si="257"/>
        <v>0</v>
      </c>
    </row>
    <row r="5450" spans="1:9">
      <c r="A5450" s="17" t="s">
        <v>2016</v>
      </c>
      <c r="B5450" s="17" t="s">
        <v>2006</v>
      </c>
      <c r="C5450" s="17">
        <v>0</v>
      </c>
      <c r="D5450" s="17" t="s">
        <v>801</v>
      </c>
      <c r="E5450" s="18">
        <v>3005741078001</v>
      </c>
      <c r="G5450" s="20" t="str">
        <f t="shared" si="255"/>
        <v xml:space="preserve"> MINIOBEACH      </v>
      </c>
      <c r="H5450" s="20" t="str">
        <f t="shared" si="256"/>
        <v>BECCO</v>
      </c>
      <c r="I5450" s="20">
        <f t="shared" si="257"/>
        <v>0</v>
      </c>
    </row>
    <row r="5451" spans="1:9">
      <c r="A5451" s="17" t="s">
        <v>2016</v>
      </c>
      <c r="B5451" s="17" t="s">
        <v>1077</v>
      </c>
      <c r="C5451" s="17">
        <v>0</v>
      </c>
      <c r="D5451" s="17" t="s">
        <v>801</v>
      </c>
      <c r="E5451" s="18">
        <v>8056098539443</v>
      </c>
      <c r="G5451" s="20" t="str">
        <f t="shared" si="255"/>
        <v xml:space="preserve"> MINIOBEACH      </v>
      </c>
      <c r="H5451" s="20" t="str">
        <f t="shared" si="256"/>
        <v>BISCO</v>
      </c>
      <c r="I5451" s="20">
        <f t="shared" si="257"/>
        <v>0</v>
      </c>
    </row>
    <row r="5452" spans="1:9">
      <c r="A5452" s="17" t="s">
        <v>2016</v>
      </c>
      <c r="B5452" s="17" t="s">
        <v>1077</v>
      </c>
      <c r="C5452" s="17">
        <v>0</v>
      </c>
      <c r="D5452" s="17" t="s">
        <v>801</v>
      </c>
      <c r="E5452" s="18">
        <v>3005741073006</v>
      </c>
      <c r="G5452" s="20" t="str">
        <f t="shared" si="255"/>
        <v xml:space="preserve"> MINIOBEACH      </v>
      </c>
      <c r="H5452" s="20" t="str">
        <f t="shared" si="256"/>
        <v>BISCO</v>
      </c>
      <c r="I5452" s="20">
        <f t="shared" si="257"/>
        <v>0</v>
      </c>
    </row>
    <row r="5453" spans="1:9">
      <c r="A5453" s="17" t="s">
        <v>2016</v>
      </c>
      <c r="B5453" s="17" t="s">
        <v>280</v>
      </c>
      <c r="C5453" s="17">
        <v>0</v>
      </c>
      <c r="D5453" s="17" t="s">
        <v>801</v>
      </c>
      <c r="E5453" s="18">
        <v>8056098539450</v>
      </c>
      <c r="G5453" s="20" t="str">
        <f t="shared" si="255"/>
        <v xml:space="preserve"> MINIOBEACH      </v>
      </c>
      <c r="H5453" s="20" t="str">
        <f t="shared" si="256"/>
        <v>BLACK</v>
      </c>
      <c r="I5453" s="20">
        <f t="shared" si="257"/>
        <v>0</v>
      </c>
    </row>
    <row r="5454" spans="1:9">
      <c r="A5454" s="17" t="s">
        <v>2016</v>
      </c>
      <c r="B5454" s="17" t="s">
        <v>280</v>
      </c>
      <c r="C5454" s="17">
        <v>0</v>
      </c>
      <c r="D5454" s="17" t="s">
        <v>801</v>
      </c>
      <c r="E5454" s="18">
        <v>3005740276002</v>
      </c>
      <c r="G5454" s="20" t="str">
        <f t="shared" si="255"/>
        <v xml:space="preserve"> MINIOBEACH      </v>
      </c>
      <c r="H5454" s="20" t="str">
        <f t="shared" si="256"/>
        <v>BLACK</v>
      </c>
      <c r="I5454" s="20">
        <f t="shared" si="257"/>
        <v>0</v>
      </c>
    </row>
    <row r="5455" spans="1:9">
      <c r="A5455" s="17" t="s">
        <v>2016</v>
      </c>
      <c r="B5455" s="17" t="s">
        <v>857</v>
      </c>
      <c r="C5455" s="17">
        <v>0</v>
      </c>
      <c r="D5455" s="17" t="s">
        <v>801</v>
      </c>
      <c r="E5455" s="18">
        <v>8056098539429</v>
      </c>
      <c r="G5455" s="20" t="str">
        <f t="shared" si="255"/>
        <v xml:space="preserve"> MINIOBEACH      </v>
      </c>
      <c r="H5455" s="20" t="str">
        <f t="shared" si="256"/>
        <v>BLUET</v>
      </c>
      <c r="I5455" s="20">
        <f t="shared" si="257"/>
        <v>0</v>
      </c>
    </row>
    <row r="5456" spans="1:9">
      <c r="A5456" s="17" t="s">
        <v>2016</v>
      </c>
      <c r="B5456" s="17" t="s">
        <v>857</v>
      </c>
      <c r="C5456" s="17">
        <v>0</v>
      </c>
      <c r="D5456" s="17" t="s">
        <v>801</v>
      </c>
      <c r="E5456" s="18">
        <v>3005741075000</v>
      </c>
      <c r="G5456" s="20" t="str">
        <f t="shared" si="255"/>
        <v xml:space="preserve"> MINIOBEACH      </v>
      </c>
      <c r="H5456" s="20" t="str">
        <f t="shared" si="256"/>
        <v>BLUET</v>
      </c>
      <c r="I5456" s="20">
        <f t="shared" si="257"/>
        <v>0</v>
      </c>
    </row>
    <row r="5457" spans="1:9">
      <c r="A5457" s="17" t="s">
        <v>2016</v>
      </c>
      <c r="B5457" s="17" t="s">
        <v>1447</v>
      </c>
      <c r="C5457" s="17">
        <v>0</v>
      </c>
      <c r="D5457" s="17" t="s">
        <v>801</v>
      </c>
      <c r="E5457" s="18">
        <v>8056098539405</v>
      </c>
      <c r="G5457" s="20" t="str">
        <f t="shared" si="255"/>
        <v xml:space="preserve"> MINIOBEACH      </v>
      </c>
      <c r="H5457" s="20" t="str">
        <f t="shared" si="256"/>
        <v xml:space="preserve">FRAG </v>
      </c>
      <c r="I5457" s="20">
        <f t="shared" si="257"/>
        <v>0</v>
      </c>
    </row>
    <row r="5458" spans="1:9">
      <c r="A5458" s="17" t="s">
        <v>2016</v>
      </c>
      <c r="B5458" s="17" t="s">
        <v>1447</v>
      </c>
      <c r="C5458" s="17">
        <v>0</v>
      </c>
      <c r="D5458" s="17" t="s">
        <v>801</v>
      </c>
      <c r="E5458" s="18">
        <v>3005740844003</v>
      </c>
      <c r="G5458" s="20" t="str">
        <f t="shared" si="255"/>
        <v xml:space="preserve"> MINIOBEACH      </v>
      </c>
      <c r="H5458" s="20" t="str">
        <f t="shared" si="256"/>
        <v xml:space="preserve">FRAG </v>
      </c>
      <c r="I5458" s="20">
        <f t="shared" si="257"/>
        <v>0</v>
      </c>
    </row>
    <row r="5459" spans="1:9">
      <c r="A5459" s="17" t="s">
        <v>2016</v>
      </c>
      <c r="B5459" s="17" t="s">
        <v>273</v>
      </c>
      <c r="C5459" s="17">
        <v>0</v>
      </c>
      <c r="D5459" s="17" t="s">
        <v>801</v>
      </c>
      <c r="E5459" s="18">
        <v>8056098539382</v>
      </c>
      <c r="G5459" s="20" t="str">
        <f t="shared" si="255"/>
        <v xml:space="preserve"> MINIOBEACH      </v>
      </c>
      <c r="H5459" s="20" t="str">
        <f t="shared" si="256"/>
        <v>WHITE</v>
      </c>
      <c r="I5459" s="20">
        <f t="shared" si="257"/>
        <v>0</v>
      </c>
    </row>
    <row r="5460" spans="1:9">
      <c r="A5460" s="17" t="s">
        <v>2016</v>
      </c>
      <c r="B5460" s="17" t="s">
        <v>273</v>
      </c>
      <c r="C5460" s="17">
        <v>0</v>
      </c>
      <c r="D5460" s="17" t="s">
        <v>801</v>
      </c>
      <c r="E5460" s="18">
        <v>3005740440007</v>
      </c>
      <c r="G5460" s="20" t="str">
        <f t="shared" si="255"/>
        <v xml:space="preserve"> MINIOBEACH      </v>
      </c>
      <c r="H5460" s="20" t="str">
        <f t="shared" si="256"/>
        <v>WHITE</v>
      </c>
      <c r="I5460" s="20">
        <f t="shared" si="257"/>
        <v>0</v>
      </c>
    </row>
    <row r="5461" spans="1:9">
      <c r="A5461" s="17" t="s">
        <v>2017</v>
      </c>
      <c r="B5461" s="17" t="s">
        <v>875</v>
      </c>
      <c r="C5461" s="17">
        <v>0</v>
      </c>
      <c r="D5461" s="17" t="s">
        <v>801</v>
      </c>
      <c r="E5461" s="18">
        <v>3020570112009</v>
      </c>
      <c r="G5461" s="20" t="str">
        <f t="shared" si="255"/>
        <v xml:space="preserve"> MINIOBODY       </v>
      </c>
      <c r="H5461" s="20" t="str">
        <f t="shared" si="256"/>
        <v xml:space="preserve">ABRI </v>
      </c>
      <c r="I5461" s="20">
        <f t="shared" si="257"/>
        <v>0</v>
      </c>
    </row>
    <row r="5462" spans="1:9">
      <c r="A5462" s="17" t="s">
        <v>2017</v>
      </c>
      <c r="B5462" s="17" t="s">
        <v>875</v>
      </c>
      <c r="C5462" s="17">
        <v>0</v>
      </c>
      <c r="D5462" s="17" t="s">
        <v>801</v>
      </c>
      <c r="E5462" s="18">
        <v>3002660112007</v>
      </c>
      <c r="G5462" s="20" t="str">
        <f t="shared" si="255"/>
        <v xml:space="preserve"> MINIOBODY       </v>
      </c>
      <c r="H5462" s="20" t="str">
        <f t="shared" si="256"/>
        <v xml:space="preserve">ABRI </v>
      </c>
      <c r="I5462" s="20">
        <f t="shared" si="257"/>
        <v>0</v>
      </c>
    </row>
    <row r="5463" spans="1:9">
      <c r="A5463" s="17" t="s">
        <v>2017</v>
      </c>
      <c r="B5463" s="17" t="s">
        <v>1230</v>
      </c>
      <c r="C5463" s="17">
        <v>0</v>
      </c>
      <c r="D5463" s="17" t="s">
        <v>801</v>
      </c>
      <c r="E5463" s="18">
        <v>8058333587813</v>
      </c>
      <c r="G5463" s="20" t="str">
        <f t="shared" si="255"/>
        <v xml:space="preserve"> MINIOBODY       </v>
      </c>
      <c r="H5463" s="20" t="str">
        <f t="shared" si="256"/>
        <v>ACQUA</v>
      </c>
      <c r="I5463" s="20">
        <f t="shared" si="257"/>
        <v>0</v>
      </c>
    </row>
    <row r="5464" spans="1:9">
      <c r="A5464" s="17" t="s">
        <v>2017</v>
      </c>
      <c r="B5464" s="17" t="s">
        <v>1230</v>
      </c>
      <c r="C5464" s="17">
        <v>0</v>
      </c>
      <c r="D5464" s="17" t="s">
        <v>801</v>
      </c>
      <c r="E5464" s="18">
        <v>3002660694008</v>
      </c>
      <c r="G5464" s="20" t="str">
        <f t="shared" si="255"/>
        <v xml:space="preserve"> MINIOBODY       </v>
      </c>
      <c r="H5464" s="20" t="str">
        <f t="shared" si="256"/>
        <v>ACQUA</v>
      </c>
      <c r="I5464" s="20">
        <f t="shared" si="257"/>
        <v>0</v>
      </c>
    </row>
    <row r="5465" spans="1:9">
      <c r="A5465" s="17" t="s">
        <v>2017</v>
      </c>
      <c r="B5465" s="17" t="s">
        <v>963</v>
      </c>
      <c r="C5465" s="17">
        <v>0</v>
      </c>
      <c r="D5465" s="17" t="s">
        <v>801</v>
      </c>
      <c r="E5465" s="18">
        <v>3002660691007</v>
      </c>
      <c r="G5465" s="20" t="str">
        <f t="shared" si="255"/>
        <v xml:space="preserve"> MINIOBODY       </v>
      </c>
      <c r="H5465" s="20" t="str">
        <f t="shared" si="256"/>
        <v>AMARA</v>
      </c>
      <c r="I5465" s="20">
        <f t="shared" si="257"/>
        <v>0</v>
      </c>
    </row>
    <row r="5466" spans="1:9">
      <c r="A5466" s="17" t="s">
        <v>2017</v>
      </c>
      <c r="B5466" s="17" t="s">
        <v>298</v>
      </c>
      <c r="C5466" s="17">
        <v>0</v>
      </c>
      <c r="D5466" s="17" t="s">
        <v>801</v>
      </c>
      <c r="E5466" s="18">
        <v>3003320023008</v>
      </c>
      <c r="G5466" s="20" t="str">
        <f t="shared" si="255"/>
        <v xml:space="preserve"> MINIOBODY       </v>
      </c>
      <c r="H5466" s="20" t="str">
        <f t="shared" si="256"/>
        <v>APPLE</v>
      </c>
      <c r="I5466" s="20">
        <f t="shared" si="257"/>
        <v>0</v>
      </c>
    </row>
    <row r="5467" spans="1:9">
      <c r="A5467" s="17" t="s">
        <v>2017</v>
      </c>
      <c r="B5467" s="17" t="s">
        <v>298</v>
      </c>
      <c r="C5467" s="17">
        <v>0</v>
      </c>
      <c r="D5467" s="17" t="s">
        <v>801</v>
      </c>
      <c r="E5467" s="18">
        <v>8056095068922</v>
      </c>
      <c r="G5467" s="20" t="str">
        <f t="shared" si="255"/>
        <v xml:space="preserve"> MINIOBODY       </v>
      </c>
      <c r="H5467" s="20" t="str">
        <f t="shared" si="256"/>
        <v>APPLE</v>
      </c>
      <c r="I5467" s="20">
        <f t="shared" si="257"/>
        <v>0</v>
      </c>
    </row>
    <row r="5468" spans="1:9">
      <c r="A5468" s="17" t="s">
        <v>2017</v>
      </c>
      <c r="B5468" s="17" t="s">
        <v>298</v>
      </c>
      <c r="C5468" s="17">
        <v>0</v>
      </c>
      <c r="D5468" s="17" t="s">
        <v>801</v>
      </c>
      <c r="E5468" s="18">
        <v>3002660536001</v>
      </c>
      <c r="G5468" s="20" t="str">
        <f t="shared" si="255"/>
        <v xml:space="preserve"> MINIOBODY       </v>
      </c>
      <c r="H5468" s="20" t="str">
        <f t="shared" si="256"/>
        <v>APPLE</v>
      </c>
      <c r="I5468" s="20">
        <f t="shared" si="257"/>
        <v>0</v>
      </c>
    </row>
    <row r="5469" spans="1:9">
      <c r="A5469" s="17" t="s">
        <v>2017</v>
      </c>
      <c r="B5469" s="17" t="s">
        <v>809</v>
      </c>
      <c r="C5469" s="17">
        <v>0</v>
      </c>
      <c r="D5469" s="17" t="s">
        <v>801</v>
      </c>
      <c r="E5469" s="18">
        <v>8056099178610</v>
      </c>
      <c r="G5469" s="20" t="str">
        <f t="shared" si="255"/>
        <v xml:space="preserve"> MINIOBODY       </v>
      </c>
      <c r="H5469" s="20" t="str">
        <f t="shared" si="256"/>
        <v>AUBER</v>
      </c>
      <c r="I5469" s="20">
        <f t="shared" si="257"/>
        <v>0</v>
      </c>
    </row>
    <row r="5470" spans="1:9">
      <c r="A5470" s="17" t="s">
        <v>2017</v>
      </c>
      <c r="B5470" s="17" t="s">
        <v>879</v>
      </c>
      <c r="C5470" s="17">
        <v>0</v>
      </c>
      <c r="D5470" s="17" t="s">
        <v>801</v>
      </c>
      <c r="E5470" s="18">
        <v>3020570181005</v>
      </c>
      <c r="G5470" s="20" t="str">
        <f t="shared" si="255"/>
        <v xml:space="preserve"> MINIOBODY       </v>
      </c>
      <c r="H5470" s="20" t="str">
        <f t="shared" si="256"/>
        <v xml:space="preserve">AZUR </v>
      </c>
      <c r="I5470" s="20">
        <f t="shared" si="257"/>
        <v>0</v>
      </c>
    </row>
    <row r="5471" spans="1:9">
      <c r="A5471" s="17" t="s">
        <v>2017</v>
      </c>
      <c r="B5471" s="17" t="s">
        <v>879</v>
      </c>
      <c r="C5471" s="17">
        <v>0</v>
      </c>
      <c r="D5471" s="17" t="s">
        <v>801</v>
      </c>
      <c r="E5471" s="18">
        <v>3002660181003</v>
      </c>
      <c r="G5471" s="20" t="str">
        <f t="shared" si="255"/>
        <v xml:space="preserve"> MINIOBODY       </v>
      </c>
      <c r="H5471" s="20" t="str">
        <f t="shared" si="256"/>
        <v xml:space="preserve">AZUR </v>
      </c>
      <c r="I5471" s="20">
        <f t="shared" si="257"/>
        <v>0</v>
      </c>
    </row>
    <row r="5472" spans="1:9">
      <c r="A5472" s="17" t="s">
        <v>2017</v>
      </c>
      <c r="B5472" s="17" t="s">
        <v>2006</v>
      </c>
      <c r="C5472" s="17">
        <v>0</v>
      </c>
      <c r="D5472" s="17" t="s">
        <v>801</v>
      </c>
      <c r="E5472" s="18">
        <v>8056095068878</v>
      </c>
      <c r="G5472" s="20" t="str">
        <f t="shared" si="255"/>
        <v xml:space="preserve"> MINIOBODY       </v>
      </c>
      <c r="H5472" s="20" t="str">
        <f t="shared" si="256"/>
        <v>BECCO</v>
      </c>
      <c r="I5472" s="20">
        <f t="shared" si="257"/>
        <v>0</v>
      </c>
    </row>
    <row r="5473" spans="1:9">
      <c r="A5473" s="17" t="s">
        <v>2017</v>
      </c>
      <c r="B5473" s="17" t="s">
        <v>2006</v>
      </c>
      <c r="C5473" s="17">
        <v>0</v>
      </c>
      <c r="D5473" s="17" t="s">
        <v>801</v>
      </c>
      <c r="E5473" s="18">
        <v>3002661078005</v>
      </c>
      <c r="G5473" s="20" t="str">
        <f t="shared" si="255"/>
        <v xml:space="preserve"> MINIOBODY       </v>
      </c>
      <c r="H5473" s="20" t="str">
        <f t="shared" si="256"/>
        <v>BECCO</v>
      </c>
      <c r="I5473" s="20">
        <f t="shared" si="257"/>
        <v>0</v>
      </c>
    </row>
    <row r="5474" spans="1:9">
      <c r="A5474" s="17" t="s">
        <v>2017</v>
      </c>
      <c r="B5474" s="17" t="s">
        <v>1077</v>
      </c>
      <c r="C5474" s="17">
        <v>0</v>
      </c>
      <c r="D5474" s="17" t="s">
        <v>801</v>
      </c>
      <c r="E5474" s="18">
        <v>8056095068939</v>
      </c>
      <c r="G5474" s="20" t="str">
        <f t="shared" si="255"/>
        <v xml:space="preserve"> MINIOBODY       </v>
      </c>
      <c r="H5474" s="20" t="str">
        <f t="shared" si="256"/>
        <v>BISCO</v>
      </c>
      <c r="I5474" s="20">
        <f t="shared" si="257"/>
        <v>0</v>
      </c>
    </row>
    <row r="5475" spans="1:9">
      <c r="A5475" s="17" t="s">
        <v>2017</v>
      </c>
      <c r="B5475" s="17" t="s">
        <v>1077</v>
      </c>
      <c r="C5475" s="17">
        <v>0</v>
      </c>
      <c r="D5475" s="17" t="s">
        <v>801</v>
      </c>
      <c r="E5475" s="18">
        <v>3002661073000</v>
      </c>
      <c r="G5475" s="20" t="str">
        <f t="shared" si="255"/>
        <v xml:space="preserve"> MINIOBODY       </v>
      </c>
      <c r="H5475" s="20" t="str">
        <f t="shared" si="256"/>
        <v>BISCO</v>
      </c>
      <c r="I5475" s="20">
        <f t="shared" si="257"/>
        <v>0</v>
      </c>
    </row>
    <row r="5476" spans="1:9">
      <c r="A5476" s="17" t="s">
        <v>2017</v>
      </c>
      <c r="B5476" s="17" t="s">
        <v>280</v>
      </c>
      <c r="C5476" s="17">
        <v>0</v>
      </c>
      <c r="D5476" s="17" t="s">
        <v>801</v>
      </c>
      <c r="E5476" s="18">
        <v>3003320001006</v>
      </c>
      <c r="G5476" s="20" t="str">
        <f t="shared" si="255"/>
        <v xml:space="preserve"> MINIOBODY       </v>
      </c>
      <c r="H5476" s="20" t="str">
        <f t="shared" si="256"/>
        <v>BLACK</v>
      </c>
      <c r="I5476" s="20">
        <f t="shared" si="257"/>
        <v>0</v>
      </c>
    </row>
    <row r="5477" spans="1:9">
      <c r="A5477" s="17" t="s">
        <v>2017</v>
      </c>
      <c r="B5477" s="17" t="s">
        <v>280</v>
      </c>
      <c r="C5477" s="17">
        <v>0</v>
      </c>
      <c r="D5477" s="17" t="s">
        <v>801</v>
      </c>
      <c r="E5477" s="18">
        <v>8051770309833</v>
      </c>
      <c r="G5477" s="20" t="str">
        <f t="shared" si="255"/>
        <v xml:space="preserve"> MINIOBODY       </v>
      </c>
      <c r="H5477" s="20" t="str">
        <f t="shared" si="256"/>
        <v>BLACK</v>
      </c>
      <c r="I5477" s="20">
        <f t="shared" si="257"/>
        <v>0</v>
      </c>
    </row>
    <row r="5478" spans="1:9">
      <c r="A5478" s="17" t="s">
        <v>2017</v>
      </c>
      <c r="B5478" s="17" t="s">
        <v>280</v>
      </c>
      <c r="C5478" s="17">
        <v>0</v>
      </c>
      <c r="D5478" s="17" t="s">
        <v>801</v>
      </c>
      <c r="E5478" s="18">
        <v>3002660001004</v>
      </c>
      <c r="G5478" s="20" t="str">
        <f t="shared" si="255"/>
        <v xml:space="preserve"> MINIOBODY       </v>
      </c>
      <c r="H5478" s="20" t="str">
        <f t="shared" si="256"/>
        <v>BLACK</v>
      </c>
      <c r="I5478" s="20">
        <f t="shared" si="257"/>
        <v>0</v>
      </c>
    </row>
    <row r="5479" spans="1:9">
      <c r="A5479" s="17" t="s">
        <v>2017</v>
      </c>
      <c r="B5479" s="17" t="s">
        <v>814</v>
      </c>
      <c r="C5479" s="17">
        <v>0</v>
      </c>
      <c r="D5479" s="17" t="s">
        <v>801</v>
      </c>
      <c r="E5479" s="18">
        <v>8058983596098</v>
      </c>
      <c r="G5479" s="20" t="str">
        <f t="shared" si="255"/>
        <v xml:space="preserve"> MINIOBODY       </v>
      </c>
      <c r="H5479" s="20" t="str">
        <f t="shared" si="256"/>
        <v>BLUAC</v>
      </c>
      <c r="I5479" s="20">
        <f t="shared" si="257"/>
        <v>0</v>
      </c>
    </row>
    <row r="5480" spans="1:9">
      <c r="A5480" s="17" t="s">
        <v>2017</v>
      </c>
      <c r="B5480" s="17" t="s">
        <v>1026</v>
      </c>
      <c r="C5480" s="17">
        <v>0</v>
      </c>
      <c r="D5480" s="17" t="s">
        <v>801</v>
      </c>
      <c r="E5480" s="18">
        <v>3020570546002</v>
      </c>
      <c r="G5480" s="20" t="str">
        <f t="shared" si="255"/>
        <v xml:space="preserve"> MINIOBODY       </v>
      </c>
      <c r="H5480" s="20" t="str">
        <f t="shared" si="256"/>
        <v>BLUAV</v>
      </c>
      <c r="I5480" s="20">
        <f t="shared" si="257"/>
        <v>0</v>
      </c>
    </row>
    <row r="5481" spans="1:9">
      <c r="A5481" s="17" t="s">
        <v>2017</v>
      </c>
      <c r="B5481" s="17" t="s">
        <v>1026</v>
      </c>
      <c r="C5481" s="17">
        <v>0</v>
      </c>
      <c r="D5481" s="17" t="s">
        <v>801</v>
      </c>
      <c r="E5481" s="18">
        <v>3002660843000</v>
      </c>
      <c r="G5481" s="20" t="str">
        <f t="shared" si="255"/>
        <v xml:space="preserve"> MINIOBODY       </v>
      </c>
      <c r="H5481" s="20" t="str">
        <f t="shared" si="256"/>
        <v>BLUAV</v>
      </c>
      <c r="I5481" s="20">
        <f t="shared" si="257"/>
        <v>0</v>
      </c>
    </row>
    <row r="5482" spans="1:9">
      <c r="A5482" s="17" t="s">
        <v>2017</v>
      </c>
      <c r="B5482" s="17" t="s">
        <v>857</v>
      </c>
      <c r="C5482" s="17">
        <v>0</v>
      </c>
      <c r="D5482" s="17" t="s">
        <v>801</v>
      </c>
      <c r="E5482" s="18">
        <v>8056095068908</v>
      </c>
      <c r="G5482" s="20" t="str">
        <f t="shared" si="255"/>
        <v xml:space="preserve"> MINIOBODY       </v>
      </c>
      <c r="H5482" s="20" t="str">
        <f t="shared" si="256"/>
        <v>BLUET</v>
      </c>
      <c r="I5482" s="20">
        <f t="shared" si="257"/>
        <v>0</v>
      </c>
    </row>
    <row r="5483" spans="1:9">
      <c r="A5483" s="17" t="s">
        <v>2017</v>
      </c>
      <c r="B5483" s="17" t="s">
        <v>857</v>
      </c>
      <c r="C5483" s="17">
        <v>0</v>
      </c>
      <c r="D5483" s="17" t="s">
        <v>801</v>
      </c>
      <c r="E5483" s="18">
        <v>3002661075004</v>
      </c>
      <c r="G5483" s="20" t="str">
        <f t="shared" si="255"/>
        <v xml:space="preserve"> MINIOBODY       </v>
      </c>
      <c r="H5483" s="20" t="str">
        <f t="shared" si="256"/>
        <v>BLUET</v>
      </c>
      <c r="I5483" s="20">
        <f t="shared" si="257"/>
        <v>0</v>
      </c>
    </row>
    <row r="5484" spans="1:9">
      <c r="A5484" s="17" t="s">
        <v>2017</v>
      </c>
      <c r="B5484" s="17" t="s">
        <v>1101</v>
      </c>
      <c r="C5484" s="17">
        <v>0</v>
      </c>
      <c r="D5484" s="17" t="s">
        <v>801</v>
      </c>
      <c r="E5484" s="18">
        <v>3020570308006</v>
      </c>
      <c r="G5484" s="20" t="str">
        <f t="shared" si="255"/>
        <v xml:space="preserve"> MINIOBODY       </v>
      </c>
      <c r="H5484" s="20" t="str">
        <f t="shared" si="256"/>
        <v xml:space="preserve">BOR  </v>
      </c>
      <c r="I5484" s="20">
        <f t="shared" si="257"/>
        <v>0</v>
      </c>
    </row>
    <row r="5485" spans="1:9">
      <c r="A5485" s="17" t="s">
        <v>2017</v>
      </c>
      <c r="B5485" s="17" t="s">
        <v>1101</v>
      </c>
      <c r="C5485" s="17">
        <v>0</v>
      </c>
      <c r="D5485" s="17" t="s">
        <v>801</v>
      </c>
      <c r="E5485" s="18">
        <v>8058983596074</v>
      </c>
      <c r="G5485" s="20" t="str">
        <f t="shared" si="255"/>
        <v xml:space="preserve"> MINIOBODY       </v>
      </c>
      <c r="H5485" s="20" t="str">
        <f t="shared" si="256"/>
        <v xml:space="preserve">BOR  </v>
      </c>
      <c r="I5485" s="20">
        <f t="shared" si="257"/>
        <v>0</v>
      </c>
    </row>
    <row r="5486" spans="1:9">
      <c r="A5486" s="17" t="s">
        <v>2017</v>
      </c>
      <c r="B5486" s="17" t="s">
        <v>1101</v>
      </c>
      <c r="C5486" s="17">
        <v>0</v>
      </c>
      <c r="D5486" s="17" t="s">
        <v>801</v>
      </c>
      <c r="E5486" s="18">
        <v>3002660308004</v>
      </c>
      <c r="G5486" s="20" t="str">
        <f t="shared" si="255"/>
        <v xml:space="preserve"> MINIOBODY       </v>
      </c>
      <c r="H5486" s="20" t="str">
        <f t="shared" si="256"/>
        <v xml:space="preserve">BOR  </v>
      </c>
      <c r="I5486" s="20">
        <f t="shared" si="257"/>
        <v>0</v>
      </c>
    </row>
    <row r="5487" spans="1:9">
      <c r="A5487" s="17" t="s">
        <v>2017</v>
      </c>
      <c r="B5487" s="17" t="s">
        <v>1101</v>
      </c>
      <c r="C5487" s="17">
        <v>0</v>
      </c>
      <c r="D5487" s="17" t="s">
        <v>801</v>
      </c>
      <c r="E5487" s="18">
        <v>8056300456940</v>
      </c>
      <c r="G5487" s="20" t="str">
        <f t="shared" si="255"/>
        <v xml:space="preserve"> MINIOBODY       </v>
      </c>
      <c r="H5487" s="20" t="str">
        <f t="shared" si="256"/>
        <v xml:space="preserve">BOR  </v>
      </c>
      <c r="I5487" s="20">
        <f t="shared" si="257"/>
        <v>0</v>
      </c>
    </row>
    <row r="5488" spans="1:9">
      <c r="A5488" s="17" t="s">
        <v>2017</v>
      </c>
      <c r="B5488" s="17" t="s">
        <v>1922</v>
      </c>
      <c r="C5488" s="17">
        <v>0</v>
      </c>
      <c r="D5488" s="17" t="s">
        <v>801</v>
      </c>
      <c r="E5488" s="18">
        <v>3020570149005</v>
      </c>
      <c r="G5488" s="20" t="str">
        <f t="shared" si="255"/>
        <v xml:space="preserve"> MINIOBODY       </v>
      </c>
      <c r="H5488" s="20" t="str">
        <f t="shared" si="256"/>
        <v xml:space="preserve">BRIQ </v>
      </c>
      <c r="I5488" s="20">
        <f t="shared" si="257"/>
        <v>0</v>
      </c>
    </row>
    <row r="5489" spans="1:9">
      <c r="A5489" s="17" t="s">
        <v>2017</v>
      </c>
      <c r="B5489" s="17" t="s">
        <v>1922</v>
      </c>
      <c r="C5489" s="17">
        <v>0</v>
      </c>
      <c r="D5489" s="17" t="s">
        <v>801</v>
      </c>
      <c r="E5489" s="18">
        <v>3002660149003</v>
      </c>
      <c r="G5489" s="20" t="str">
        <f t="shared" si="255"/>
        <v xml:space="preserve"> MINIOBODY       </v>
      </c>
      <c r="H5489" s="20" t="str">
        <f t="shared" si="256"/>
        <v xml:space="preserve">BRIQ </v>
      </c>
      <c r="I5489" s="20">
        <f t="shared" si="257"/>
        <v>0</v>
      </c>
    </row>
    <row r="5490" spans="1:9">
      <c r="A5490" s="17" t="s">
        <v>2017</v>
      </c>
      <c r="B5490" s="17" t="s">
        <v>853</v>
      </c>
      <c r="C5490" s="17">
        <v>0</v>
      </c>
      <c r="D5490" s="17" t="s">
        <v>801</v>
      </c>
      <c r="E5490" s="18">
        <v>3002660499009</v>
      </c>
      <c r="G5490" s="20" t="str">
        <f t="shared" si="255"/>
        <v xml:space="preserve"> MINIOBODY       </v>
      </c>
      <c r="H5490" s="20" t="str">
        <f t="shared" si="256"/>
        <v>BRONZ</v>
      </c>
      <c r="I5490" s="20">
        <f t="shared" si="257"/>
        <v>0</v>
      </c>
    </row>
    <row r="5491" spans="1:9">
      <c r="A5491" s="17" t="s">
        <v>2017</v>
      </c>
      <c r="B5491" s="17" t="s">
        <v>853</v>
      </c>
      <c r="C5491" s="17">
        <v>0</v>
      </c>
      <c r="D5491" s="17" t="s">
        <v>801</v>
      </c>
      <c r="E5491" s="18">
        <v>8050450212630</v>
      </c>
      <c r="G5491" s="20" t="str">
        <f t="shared" si="255"/>
        <v xml:space="preserve"> MINIOBODY       </v>
      </c>
      <c r="H5491" s="20" t="str">
        <f t="shared" si="256"/>
        <v>BRONZ</v>
      </c>
      <c r="I5491" s="20">
        <f t="shared" si="257"/>
        <v>0</v>
      </c>
    </row>
    <row r="5492" spans="1:9">
      <c r="A5492" s="17" t="s">
        <v>2017</v>
      </c>
      <c r="B5492" s="17" t="s">
        <v>2018</v>
      </c>
      <c r="C5492" s="17">
        <v>0</v>
      </c>
      <c r="D5492" s="17" t="s">
        <v>801</v>
      </c>
      <c r="E5492" s="18">
        <v>3020570229004</v>
      </c>
      <c r="G5492" s="20" t="str">
        <f t="shared" si="255"/>
        <v xml:space="preserve"> MINIOBODY       </v>
      </c>
      <c r="H5492" s="20" t="str">
        <f t="shared" si="256"/>
        <v xml:space="preserve">CERI </v>
      </c>
      <c r="I5492" s="20">
        <f t="shared" si="257"/>
        <v>0</v>
      </c>
    </row>
    <row r="5493" spans="1:9">
      <c r="A5493" s="17" t="s">
        <v>2017</v>
      </c>
      <c r="B5493" s="17" t="s">
        <v>2018</v>
      </c>
      <c r="C5493" s="17">
        <v>0</v>
      </c>
      <c r="D5493" s="17" t="s">
        <v>801</v>
      </c>
      <c r="E5493" s="18">
        <v>3002660229002</v>
      </c>
      <c r="G5493" s="20" t="str">
        <f t="shared" si="255"/>
        <v xml:space="preserve"> MINIOBODY       </v>
      </c>
      <c r="H5493" s="20" t="str">
        <f t="shared" si="256"/>
        <v xml:space="preserve">CERI </v>
      </c>
      <c r="I5493" s="20">
        <f t="shared" si="257"/>
        <v>0</v>
      </c>
    </row>
    <row r="5494" spans="1:9">
      <c r="A5494" s="17" t="s">
        <v>2017</v>
      </c>
      <c r="B5494" s="17" t="s">
        <v>2019</v>
      </c>
      <c r="C5494" s="17">
        <v>0</v>
      </c>
      <c r="D5494" s="17" t="s">
        <v>801</v>
      </c>
      <c r="E5494" s="18">
        <v>3002660014004</v>
      </c>
      <c r="G5494" s="20" t="str">
        <f t="shared" si="255"/>
        <v xml:space="preserve"> MINIOBODY       </v>
      </c>
      <c r="H5494" s="20" t="str">
        <f t="shared" si="256"/>
        <v>CERIS</v>
      </c>
      <c r="I5494" s="20">
        <f t="shared" si="257"/>
        <v>0</v>
      </c>
    </row>
    <row r="5495" spans="1:9">
      <c r="A5495" s="17" t="s">
        <v>2017</v>
      </c>
      <c r="B5495" s="17" t="s">
        <v>939</v>
      </c>
      <c r="C5495" s="17">
        <v>0</v>
      </c>
      <c r="D5495" s="17" t="s">
        <v>801</v>
      </c>
      <c r="E5495" s="18">
        <v>3020570669008</v>
      </c>
      <c r="G5495" s="20" t="str">
        <f t="shared" si="255"/>
        <v xml:space="preserve"> MINIOBODY       </v>
      </c>
      <c r="H5495" s="20" t="str">
        <f t="shared" si="256"/>
        <v>CHAMU</v>
      </c>
      <c r="I5495" s="20">
        <f t="shared" si="257"/>
        <v>0</v>
      </c>
    </row>
    <row r="5496" spans="1:9">
      <c r="A5496" s="17" t="s">
        <v>2017</v>
      </c>
      <c r="B5496" s="17" t="s">
        <v>888</v>
      </c>
      <c r="C5496" s="17">
        <v>0</v>
      </c>
      <c r="D5496" s="17" t="s">
        <v>801</v>
      </c>
      <c r="E5496" s="18">
        <v>3003320099003</v>
      </c>
      <c r="G5496" s="20" t="str">
        <f t="shared" si="255"/>
        <v xml:space="preserve"> MINIOBODY       </v>
      </c>
      <c r="H5496" s="20" t="str">
        <f t="shared" si="256"/>
        <v>DRKOR</v>
      </c>
      <c r="I5496" s="20">
        <f t="shared" si="257"/>
        <v>0</v>
      </c>
    </row>
    <row r="5497" spans="1:9">
      <c r="A5497" s="17" t="s">
        <v>2017</v>
      </c>
      <c r="B5497" s="17" t="s">
        <v>888</v>
      </c>
      <c r="C5497" s="17">
        <v>0</v>
      </c>
      <c r="D5497" s="17" t="s">
        <v>801</v>
      </c>
      <c r="E5497" s="18">
        <v>3002660002001</v>
      </c>
      <c r="G5497" s="20" t="str">
        <f t="shared" si="255"/>
        <v xml:space="preserve"> MINIOBODY       </v>
      </c>
      <c r="H5497" s="20" t="str">
        <f t="shared" si="256"/>
        <v>DRKOR</v>
      </c>
      <c r="I5497" s="20">
        <f t="shared" si="257"/>
        <v>0</v>
      </c>
    </row>
    <row r="5498" spans="1:9">
      <c r="A5498" s="17" t="s">
        <v>2017</v>
      </c>
      <c r="B5498" s="17" t="s">
        <v>1447</v>
      </c>
      <c r="C5498" s="17">
        <v>0</v>
      </c>
      <c r="D5498" s="17" t="s">
        <v>801</v>
      </c>
      <c r="E5498" s="18">
        <v>8058983596067</v>
      </c>
      <c r="G5498" s="20" t="str">
        <f t="shared" si="255"/>
        <v xml:space="preserve"> MINIOBODY       </v>
      </c>
      <c r="H5498" s="20" t="str">
        <f t="shared" si="256"/>
        <v xml:space="preserve">FRAG </v>
      </c>
      <c r="I5498" s="20">
        <f t="shared" si="257"/>
        <v>0</v>
      </c>
    </row>
    <row r="5499" spans="1:9">
      <c r="A5499" s="17" t="s">
        <v>2017</v>
      </c>
      <c r="B5499" s="17" t="s">
        <v>1447</v>
      </c>
      <c r="C5499" s="17">
        <v>0</v>
      </c>
      <c r="D5499" s="17" t="s">
        <v>801</v>
      </c>
      <c r="E5499" s="18">
        <v>3020570545005</v>
      </c>
      <c r="G5499" s="20" t="str">
        <f t="shared" si="255"/>
        <v xml:space="preserve"> MINIOBODY       </v>
      </c>
      <c r="H5499" s="20" t="str">
        <f t="shared" si="256"/>
        <v xml:space="preserve">FRAG </v>
      </c>
      <c r="I5499" s="20">
        <f t="shared" si="257"/>
        <v>0</v>
      </c>
    </row>
    <row r="5500" spans="1:9">
      <c r="A5500" s="17" t="s">
        <v>2017</v>
      </c>
      <c r="B5500" s="17" t="s">
        <v>1447</v>
      </c>
      <c r="C5500" s="17">
        <v>0</v>
      </c>
      <c r="D5500" s="17" t="s">
        <v>801</v>
      </c>
      <c r="E5500" s="18">
        <v>3002660545003</v>
      </c>
      <c r="G5500" s="20" t="str">
        <f t="shared" si="255"/>
        <v xml:space="preserve"> MINIOBODY       </v>
      </c>
      <c r="H5500" s="20" t="str">
        <f t="shared" si="256"/>
        <v xml:space="preserve">FRAG </v>
      </c>
      <c r="I5500" s="20">
        <f t="shared" si="257"/>
        <v>0</v>
      </c>
    </row>
    <row r="5501" spans="1:9">
      <c r="A5501" s="17" t="s">
        <v>2017</v>
      </c>
      <c r="B5501" s="17" t="s">
        <v>1661</v>
      </c>
      <c r="C5501" s="17">
        <v>0</v>
      </c>
      <c r="D5501" s="17" t="s">
        <v>801</v>
      </c>
      <c r="E5501" s="18">
        <v>3002660610008</v>
      </c>
      <c r="G5501" s="20" t="str">
        <f t="shared" si="255"/>
        <v xml:space="preserve"> MINIOBODY       </v>
      </c>
      <c r="H5501" s="20" t="str">
        <f t="shared" si="256"/>
        <v>GRAFI</v>
      </c>
      <c r="I5501" s="20">
        <f t="shared" si="257"/>
        <v>0</v>
      </c>
    </row>
    <row r="5502" spans="1:9">
      <c r="A5502" s="17" t="s">
        <v>2017</v>
      </c>
      <c r="B5502" s="17" t="s">
        <v>1661</v>
      </c>
      <c r="C5502" s="17">
        <v>0</v>
      </c>
      <c r="D5502" s="17" t="s">
        <v>801</v>
      </c>
      <c r="E5502" s="18">
        <v>8050450212647</v>
      </c>
      <c r="G5502" s="20" t="str">
        <f t="shared" si="255"/>
        <v xml:space="preserve"> MINIOBODY       </v>
      </c>
      <c r="H5502" s="20" t="str">
        <f t="shared" si="256"/>
        <v>GRAFI</v>
      </c>
      <c r="I5502" s="20">
        <f t="shared" si="257"/>
        <v>0</v>
      </c>
    </row>
    <row r="5503" spans="1:9">
      <c r="A5503" s="17" t="s">
        <v>2017</v>
      </c>
      <c r="B5503" s="17" t="s">
        <v>1661</v>
      </c>
      <c r="C5503" s="17">
        <v>0</v>
      </c>
      <c r="D5503" s="17" t="s">
        <v>801</v>
      </c>
      <c r="E5503" s="18">
        <v>8056300457374</v>
      </c>
      <c r="G5503" s="20" t="str">
        <f t="shared" si="255"/>
        <v xml:space="preserve"> MINIOBODY       </v>
      </c>
      <c r="H5503" s="20" t="str">
        <f t="shared" si="256"/>
        <v>GRAFI</v>
      </c>
      <c r="I5503" s="20">
        <f t="shared" si="257"/>
        <v>0</v>
      </c>
    </row>
    <row r="5504" spans="1:9">
      <c r="A5504" s="17" t="s">
        <v>2017</v>
      </c>
      <c r="B5504" s="17" t="s">
        <v>858</v>
      </c>
      <c r="C5504" s="17">
        <v>0</v>
      </c>
      <c r="D5504" s="17" t="s">
        <v>801</v>
      </c>
      <c r="E5504" s="18">
        <v>3003320003000</v>
      </c>
      <c r="G5504" s="20" t="str">
        <f t="shared" si="255"/>
        <v xml:space="preserve"> MINIOBODY       </v>
      </c>
      <c r="H5504" s="20" t="str">
        <f t="shared" si="256"/>
        <v xml:space="preserve">GREY </v>
      </c>
      <c r="I5504" s="20">
        <f t="shared" si="257"/>
        <v>0</v>
      </c>
    </row>
    <row r="5505" spans="1:9">
      <c r="A5505" s="17" t="s">
        <v>2017</v>
      </c>
      <c r="B5505" s="17" t="s">
        <v>858</v>
      </c>
      <c r="C5505" s="17">
        <v>0</v>
      </c>
      <c r="D5505" s="17" t="s">
        <v>801</v>
      </c>
      <c r="E5505" s="18">
        <v>3020570003000</v>
      </c>
      <c r="G5505" s="20" t="str">
        <f t="shared" si="255"/>
        <v xml:space="preserve"> MINIOBODY       </v>
      </c>
      <c r="H5505" s="20" t="str">
        <f t="shared" si="256"/>
        <v xml:space="preserve">GREY </v>
      </c>
      <c r="I5505" s="20">
        <f t="shared" si="257"/>
        <v>0</v>
      </c>
    </row>
    <row r="5506" spans="1:9">
      <c r="A5506" s="17" t="s">
        <v>2017</v>
      </c>
      <c r="B5506" s="17" t="s">
        <v>858</v>
      </c>
      <c r="C5506" s="17">
        <v>0</v>
      </c>
      <c r="D5506" s="17" t="s">
        <v>801</v>
      </c>
      <c r="E5506" s="18">
        <v>3002660003008</v>
      </c>
      <c r="G5506" s="20" t="str">
        <f t="shared" si="255"/>
        <v xml:space="preserve"> MINIOBODY       </v>
      </c>
      <c r="H5506" s="20" t="str">
        <f t="shared" si="256"/>
        <v xml:space="preserve">GREY </v>
      </c>
      <c r="I5506" s="20">
        <f t="shared" si="257"/>
        <v>0</v>
      </c>
    </row>
    <row r="5507" spans="1:9">
      <c r="A5507" s="17" t="s">
        <v>2017</v>
      </c>
      <c r="B5507" s="17" t="s">
        <v>1964</v>
      </c>
      <c r="C5507" s="17">
        <v>0</v>
      </c>
      <c r="D5507" s="17" t="s">
        <v>801</v>
      </c>
      <c r="E5507" s="18">
        <v>3020570695007</v>
      </c>
      <c r="G5507" s="20" t="str">
        <f t="shared" si="255"/>
        <v xml:space="preserve"> MINIOBODY       </v>
      </c>
      <c r="H5507" s="20" t="str">
        <f t="shared" si="256"/>
        <v>INDBR</v>
      </c>
      <c r="I5507" s="20">
        <f t="shared" si="257"/>
        <v>0</v>
      </c>
    </row>
    <row r="5508" spans="1:9">
      <c r="A5508" s="17" t="s">
        <v>2017</v>
      </c>
      <c r="B5508" s="17" t="s">
        <v>1965</v>
      </c>
      <c r="C5508" s="17">
        <v>0</v>
      </c>
      <c r="D5508" s="17" t="s">
        <v>801</v>
      </c>
      <c r="E5508" s="18">
        <v>3020570693003</v>
      </c>
      <c r="G5508" s="20" t="str">
        <f t="shared" si="255"/>
        <v xml:space="preserve"> MINIOBODY       </v>
      </c>
      <c r="H5508" s="20" t="str">
        <f t="shared" si="256"/>
        <v>INDGR</v>
      </c>
      <c r="I5508" s="20">
        <f t="shared" si="257"/>
        <v>0</v>
      </c>
    </row>
    <row r="5509" spans="1:9">
      <c r="A5509" s="17" t="s">
        <v>2017</v>
      </c>
      <c r="B5509" s="17" t="s">
        <v>1430</v>
      </c>
      <c r="C5509" s="17">
        <v>0</v>
      </c>
      <c r="D5509" s="17" t="s">
        <v>801</v>
      </c>
      <c r="E5509" s="18">
        <v>3002660498002</v>
      </c>
      <c r="G5509" s="20" t="str">
        <f t="shared" ref="G5509:G5572" si="258">A5509</f>
        <v xml:space="preserve"> MINIOBODY       </v>
      </c>
      <c r="H5509" s="20" t="str">
        <f t="shared" ref="H5509:H5572" si="259">B5509</f>
        <v xml:space="preserve">IRIS </v>
      </c>
      <c r="I5509" s="20">
        <f t="shared" ref="I5509:I5572" si="260">C5509</f>
        <v>0</v>
      </c>
    </row>
    <row r="5510" spans="1:9">
      <c r="A5510" s="17" t="s">
        <v>2017</v>
      </c>
      <c r="B5510" s="17" t="s">
        <v>1430</v>
      </c>
      <c r="C5510" s="17">
        <v>0</v>
      </c>
      <c r="D5510" s="17" t="s">
        <v>801</v>
      </c>
      <c r="E5510" s="18">
        <v>8050450218267</v>
      </c>
      <c r="G5510" s="20" t="str">
        <f t="shared" si="258"/>
        <v xml:space="preserve"> MINIOBODY       </v>
      </c>
      <c r="H5510" s="20" t="str">
        <f t="shared" si="259"/>
        <v xml:space="preserve">IRIS </v>
      </c>
      <c r="I5510" s="20">
        <f t="shared" si="260"/>
        <v>0</v>
      </c>
    </row>
    <row r="5511" spans="1:9">
      <c r="A5511" s="17" t="s">
        <v>2017</v>
      </c>
      <c r="B5511" s="17" t="s">
        <v>838</v>
      </c>
      <c r="C5511" s="17">
        <v>0</v>
      </c>
      <c r="D5511" s="17" t="s">
        <v>801</v>
      </c>
      <c r="E5511" s="18">
        <v>8058983592267</v>
      </c>
      <c r="G5511" s="20" t="str">
        <f t="shared" si="258"/>
        <v xml:space="preserve"> MINIOBODY       </v>
      </c>
      <c r="H5511" s="20" t="str">
        <f t="shared" si="259"/>
        <v>IVOIR</v>
      </c>
      <c r="I5511" s="20">
        <f t="shared" si="260"/>
        <v>0</v>
      </c>
    </row>
    <row r="5512" spans="1:9">
      <c r="A5512" s="17" t="s">
        <v>2017</v>
      </c>
      <c r="B5512" s="17" t="s">
        <v>838</v>
      </c>
      <c r="C5512" s="17">
        <v>0</v>
      </c>
      <c r="D5512" s="17" t="s">
        <v>801</v>
      </c>
      <c r="E5512" s="18">
        <v>3020571023007</v>
      </c>
      <c r="G5512" s="20" t="str">
        <f t="shared" si="258"/>
        <v xml:space="preserve"> MINIOBODY       </v>
      </c>
      <c r="H5512" s="20" t="str">
        <f t="shared" si="259"/>
        <v>IVOIR</v>
      </c>
      <c r="I5512" s="20">
        <f t="shared" si="260"/>
        <v>0</v>
      </c>
    </row>
    <row r="5513" spans="1:9">
      <c r="A5513" s="17" t="s">
        <v>2017</v>
      </c>
      <c r="B5513" s="17" t="s">
        <v>838</v>
      </c>
      <c r="C5513" s="17">
        <v>0</v>
      </c>
      <c r="D5513" s="17" t="s">
        <v>801</v>
      </c>
      <c r="E5513" s="18">
        <v>3002661023005</v>
      </c>
      <c r="G5513" s="20" t="str">
        <f t="shared" si="258"/>
        <v xml:space="preserve"> MINIOBODY       </v>
      </c>
      <c r="H5513" s="20" t="str">
        <f t="shared" si="259"/>
        <v>IVOIR</v>
      </c>
      <c r="I5513" s="20">
        <f t="shared" si="260"/>
        <v>0</v>
      </c>
    </row>
    <row r="5514" spans="1:9">
      <c r="A5514" s="17" t="s">
        <v>2017</v>
      </c>
      <c r="B5514" s="17" t="s">
        <v>1966</v>
      </c>
      <c r="C5514" s="17">
        <v>0</v>
      </c>
      <c r="D5514" s="17" t="s">
        <v>801</v>
      </c>
      <c r="E5514" s="18">
        <v>3020570696004</v>
      </c>
      <c r="G5514" s="20" t="str">
        <f t="shared" si="258"/>
        <v xml:space="preserve"> MINIOBODY       </v>
      </c>
      <c r="H5514" s="20" t="str">
        <f t="shared" si="259"/>
        <v>LAIDA</v>
      </c>
      <c r="I5514" s="20">
        <f t="shared" si="260"/>
        <v>0</v>
      </c>
    </row>
    <row r="5515" spans="1:9">
      <c r="A5515" s="17" t="s">
        <v>2017</v>
      </c>
      <c r="B5515" s="17" t="s">
        <v>892</v>
      </c>
      <c r="C5515" s="17">
        <v>0</v>
      </c>
      <c r="D5515" s="17" t="s">
        <v>801</v>
      </c>
      <c r="E5515" s="18">
        <v>3020570214000</v>
      </c>
      <c r="G5515" s="20" t="str">
        <f t="shared" si="258"/>
        <v xml:space="preserve"> MINIOBODY       </v>
      </c>
      <c r="H5515" s="20" t="str">
        <f t="shared" si="259"/>
        <v xml:space="preserve">LIME </v>
      </c>
      <c r="I5515" s="20">
        <f t="shared" si="260"/>
        <v>0</v>
      </c>
    </row>
    <row r="5516" spans="1:9">
      <c r="A5516" s="17" t="s">
        <v>2017</v>
      </c>
      <c r="B5516" s="17" t="s">
        <v>892</v>
      </c>
      <c r="C5516" s="17">
        <v>0</v>
      </c>
      <c r="D5516" s="17" t="s">
        <v>801</v>
      </c>
      <c r="E5516" s="18">
        <v>3002660214008</v>
      </c>
      <c r="G5516" s="20" t="str">
        <f t="shared" si="258"/>
        <v xml:space="preserve"> MINIOBODY       </v>
      </c>
      <c r="H5516" s="20" t="str">
        <f t="shared" si="259"/>
        <v xml:space="preserve">LIME </v>
      </c>
      <c r="I5516" s="20">
        <f t="shared" si="260"/>
        <v>0</v>
      </c>
    </row>
    <row r="5517" spans="1:9">
      <c r="A5517" s="17" t="s">
        <v>2017</v>
      </c>
      <c r="B5517" s="17" t="s">
        <v>893</v>
      </c>
      <c r="C5517" s="17">
        <v>0</v>
      </c>
      <c r="D5517" s="17" t="s">
        <v>801</v>
      </c>
      <c r="E5517" s="18">
        <v>3020570589009</v>
      </c>
      <c r="G5517" s="20" t="str">
        <f t="shared" si="258"/>
        <v xml:space="preserve"> MINIOBODY       </v>
      </c>
      <c r="H5517" s="20" t="str">
        <f t="shared" si="259"/>
        <v xml:space="preserve">MAG  </v>
      </c>
      <c r="I5517" s="20">
        <f t="shared" si="260"/>
        <v>0</v>
      </c>
    </row>
    <row r="5518" spans="1:9">
      <c r="A5518" s="17" t="s">
        <v>2017</v>
      </c>
      <c r="B5518" s="17" t="s">
        <v>1787</v>
      </c>
      <c r="C5518" s="17">
        <v>0</v>
      </c>
      <c r="D5518" s="17" t="s">
        <v>801</v>
      </c>
      <c r="E5518" s="18">
        <v>3020570150001</v>
      </c>
      <c r="G5518" s="20" t="str">
        <f t="shared" si="258"/>
        <v xml:space="preserve"> MINIOBODY       </v>
      </c>
      <c r="H5518" s="20" t="str">
        <f t="shared" si="259"/>
        <v xml:space="preserve">MOU  </v>
      </c>
      <c r="I5518" s="20">
        <f t="shared" si="260"/>
        <v>0</v>
      </c>
    </row>
    <row r="5519" spans="1:9">
      <c r="A5519" s="17" t="s">
        <v>2017</v>
      </c>
      <c r="B5519" s="17" t="s">
        <v>1787</v>
      </c>
      <c r="C5519" s="17">
        <v>0</v>
      </c>
      <c r="D5519" s="17" t="s">
        <v>801</v>
      </c>
      <c r="E5519" s="18">
        <v>3020570000009</v>
      </c>
      <c r="G5519" s="20" t="str">
        <f t="shared" si="258"/>
        <v xml:space="preserve"> MINIOBODY       </v>
      </c>
      <c r="H5519" s="20" t="str">
        <f t="shared" si="259"/>
        <v xml:space="preserve">MOU  </v>
      </c>
      <c r="I5519" s="20">
        <f t="shared" si="260"/>
        <v>0</v>
      </c>
    </row>
    <row r="5520" spans="1:9">
      <c r="A5520" s="17" t="s">
        <v>2017</v>
      </c>
      <c r="B5520" s="17" t="s">
        <v>1434</v>
      </c>
      <c r="C5520" s="17">
        <v>0</v>
      </c>
      <c r="D5520" s="17" t="s">
        <v>801</v>
      </c>
      <c r="E5520" s="18">
        <v>8058983596050</v>
      </c>
      <c r="G5520" s="20" t="str">
        <f t="shared" si="258"/>
        <v xml:space="preserve"> MINIOBODY       </v>
      </c>
      <c r="H5520" s="20" t="str">
        <f t="shared" si="259"/>
        <v xml:space="preserve">NAR  </v>
      </c>
      <c r="I5520" s="20">
        <f t="shared" si="260"/>
        <v>0</v>
      </c>
    </row>
    <row r="5521" spans="1:9">
      <c r="A5521" s="17" t="s">
        <v>2017</v>
      </c>
      <c r="B5521" s="17" t="s">
        <v>1434</v>
      </c>
      <c r="C5521" s="17">
        <v>0</v>
      </c>
      <c r="D5521" s="17" t="s">
        <v>801</v>
      </c>
      <c r="E5521" s="18">
        <v>3020570569001</v>
      </c>
      <c r="G5521" s="20" t="str">
        <f t="shared" si="258"/>
        <v xml:space="preserve"> MINIOBODY       </v>
      </c>
      <c r="H5521" s="20" t="str">
        <f t="shared" si="259"/>
        <v xml:space="preserve">NAR  </v>
      </c>
      <c r="I5521" s="20">
        <f t="shared" si="260"/>
        <v>0</v>
      </c>
    </row>
    <row r="5522" spans="1:9">
      <c r="A5522" s="17" t="s">
        <v>2017</v>
      </c>
      <c r="B5522" s="17" t="s">
        <v>1434</v>
      </c>
      <c r="C5522" s="17">
        <v>0</v>
      </c>
      <c r="D5522" s="17" t="s">
        <v>801</v>
      </c>
      <c r="E5522" s="18">
        <v>3002660569009</v>
      </c>
      <c r="G5522" s="20" t="str">
        <f t="shared" si="258"/>
        <v xml:space="preserve"> MINIOBODY       </v>
      </c>
      <c r="H5522" s="20" t="str">
        <f t="shared" si="259"/>
        <v xml:space="preserve">NAR  </v>
      </c>
      <c r="I5522" s="20">
        <f t="shared" si="260"/>
        <v>0</v>
      </c>
    </row>
    <row r="5523" spans="1:9">
      <c r="A5523" s="17" t="s">
        <v>2017</v>
      </c>
      <c r="B5523" s="17" t="s">
        <v>1078</v>
      </c>
      <c r="C5523" s="17">
        <v>0</v>
      </c>
      <c r="D5523" s="17" t="s">
        <v>801</v>
      </c>
      <c r="E5523" s="18">
        <v>3020570012002</v>
      </c>
      <c r="G5523" s="20" t="str">
        <f t="shared" si="258"/>
        <v xml:space="preserve"> MINIOBODY       </v>
      </c>
      <c r="H5523" s="20" t="str">
        <f t="shared" si="259"/>
        <v xml:space="preserve">NAVY </v>
      </c>
      <c r="I5523" s="20">
        <f t="shared" si="260"/>
        <v>0</v>
      </c>
    </row>
    <row r="5524" spans="1:9">
      <c r="A5524" s="17" t="s">
        <v>2017</v>
      </c>
      <c r="B5524" s="17" t="s">
        <v>1078</v>
      </c>
      <c r="C5524" s="17">
        <v>0</v>
      </c>
      <c r="D5524" s="17" t="s">
        <v>801</v>
      </c>
      <c r="E5524" s="18">
        <v>3002660012000</v>
      </c>
      <c r="G5524" s="20" t="str">
        <f t="shared" si="258"/>
        <v xml:space="preserve"> MINIOBODY       </v>
      </c>
      <c r="H5524" s="20" t="str">
        <f t="shared" si="259"/>
        <v xml:space="preserve">NAVY </v>
      </c>
      <c r="I5524" s="20">
        <f t="shared" si="260"/>
        <v>0</v>
      </c>
    </row>
    <row r="5525" spans="1:9">
      <c r="A5525" s="17" t="s">
        <v>2017</v>
      </c>
      <c r="B5525" s="17" t="s">
        <v>1078</v>
      </c>
      <c r="C5525" s="17">
        <v>0</v>
      </c>
      <c r="D5525" s="17" t="s">
        <v>801</v>
      </c>
      <c r="E5525" s="18">
        <v>8050450218335</v>
      </c>
      <c r="G5525" s="20" t="str">
        <f t="shared" si="258"/>
        <v xml:space="preserve"> MINIOBODY       </v>
      </c>
      <c r="H5525" s="20" t="str">
        <f t="shared" si="259"/>
        <v xml:space="preserve">NAVY </v>
      </c>
      <c r="I5525" s="20">
        <f t="shared" si="260"/>
        <v>0</v>
      </c>
    </row>
    <row r="5526" spans="1:9">
      <c r="A5526" s="17" t="s">
        <v>2017</v>
      </c>
      <c r="B5526" s="17" t="s">
        <v>1913</v>
      </c>
      <c r="C5526" s="17">
        <v>0</v>
      </c>
      <c r="D5526" s="17" t="s">
        <v>801</v>
      </c>
      <c r="E5526" s="18">
        <v>3020570228007</v>
      </c>
      <c r="G5526" s="20" t="str">
        <f t="shared" si="258"/>
        <v xml:space="preserve"> MINIOBODY       </v>
      </c>
      <c r="H5526" s="20" t="str">
        <f t="shared" si="259"/>
        <v>NEIGE</v>
      </c>
      <c r="I5526" s="20">
        <f t="shared" si="260"/>
        <v>0</v>
      </c>
    </row>
    <row r="5527" spans="1:9">
      <c r="A5527" s="17" t="s">
        <v>2017</v>
      </c>
      <c r="B5527" s="17" t="s">
        <v>1913</v>
      </c>
      <c r="C5527" s="17">
        <v>0</v>
      </c>
      <c r="D5527" s="17" t="s">
        <v>801</v>
      </c>
      <c r="E5527" s="18">
        <v>3002660228005</v>
      </c>
      <c r="G5527" s="20" t="str">
        <f t="shared" si="258"/>
        <v xml:space="preserve"> MINIOBODY       </v>
      </c>
      <c r="H5527" s="20" t="str">
        <f t="shared" si="259"/>
        <v>NEIGE</v>
      </c>
      <c r="I5527" s="20">
        <f t="shared" si="260"/>
        <v>0</v>
      </c>
    </row>
    <row r="5528" spans="1:9">
      <c r="A5528" s="17" t="s">
        <v>2017</v>
      </c>
      <c r="B5528" s="17" t="s">
        <v>1233</v>
      </c>
      <c r="C5528" s="17">
        <v>0</v>
      </c>
      <c r="D5528" s="17" t="s">
        <v>801</v>
      </c>
      <c r="E5528" s="18">
        <v>3020570601008</v>
      </c>
      <c r="G5528" s="20" t="str">
        <f t="shared" si="258"/>
        <v xml:space="preserve"> MINIOBODY       </v>
      </c>
      <c r="H5528" s="20" t="str">
        <f t="shared" si="259"/>
        <v>OCEAN</v>
      </c>
      <c r="I5528" s="20">
        <f t="shared" si="260"/>
        <v>0</v>
      </c>
    </row>
    <row r="5529" spans="1:9">
      <c r="A5529" s="17" t="s">
        <v>2017</v>
      </c>
      <c r="B5529" s="17" t="s">
        <v>1233</v>
      </c>
      <c r="C5529" s="17">
        <v>0</v>
      </c>
      <c r="D5529" s="17" t="s">
        <v>801</v>
      </c>
      <c r="E5529" s="18">
        <v>3002660601006</v>
      </c>
      <c r="G5529" s="20" t="str">
        <f t="shared" si="258"/>
        <v xml:space="preserve"> MINIOBODY       </v>
      </c>
      <c r="H5529" s="20" t="str">
        <f t="shared" si="259"/>
        <v>OCEAN</v>
      </c>
      <c r="I5529" s="20">
        <f t="shared" si="260"/>
        <v>0</v>
      </c>
    </row>
    <row r="5530" spans="1:9">
      <c r="A5530" s="17" t="s">
        <v>2017</v>
      </c>
      <c r="B5530" s="17" t="s">
        <v>1234</v>
      </c>
      <c r="C5530" s="17">
        <v>0</v>
      </c>
      <c r="D5530" s="17" t="s">
        <v>801</v>
      </c>
      <c r="E5530" s="18">
        <v>3020570602005</v>
      </c>
      <c r="G5530" s="20" t="str">
        <f t="shared" si="258"/>
        <v xml:space="preserve"> MINIOBODY       </v>
      </c>
      <c r="H5530" s="20" t="str">
        <f t="shared" si="259"/>
        <v>OLIVE</v>
      </c>
      <c r="I5530" s="20">
        <f t="shared" si="260"/>
        <v>0</v>
      </c>
    </row>
    <row r="5531" spans="1:9">
      <c r="A5531" s="17" t="s">
        <v>2017</v>
      </c>
      <c r="B5531" s="17" t="s">
        <v>1234</v>
      </c>
      <c r="C5531" s="17">
        <v>0</v>
      </c>
      <c r="D5531" s="17" t="s">
        <v>801</v>
      </c>
      <c r="E5531" s="18">
        <v>3002660602003</v>
      </c>
      <c r="G5531" s="20" t="str">
        <f t="shared" si="258"/>
        <v xml:space="preserve"> MINIOBODY       </v>
      </c>
      <c r="H5531" s="20" t="str">
        <f t="shared" si="259"/>
        <v>OLIVE</v>
      </c>
      <c r="I5531" s="20">
        <f t="shared" si="260"/>
        <v>0</v>
      </c>
    </row>
    <row r="5532" spans="1:9">
      <c r="A5532" s="17" t="s">
        <v>2017</v>
      </c>
      <c r="B5532" s="17" t="s">
        <v>964</v>
      </c>
      <c r="C5532" s="17">
        <v>0</v>
      </c>
      <c r="D5532" s="17" t="s">
        <v>801</v>
      </c>
      <c r="E5532" s="18">
        <v>3003320009002</v>
      </c>
      <c r="G5532" s="20" t="str">
        <f t="shared" si="258"/>
        <v xml:space="preserve"> MINIOBODY       </v>
      </c>
      <c r="H5532" s="20" t="str">
        <f t="shared" si="259"/>
        <v>ORANG</v>
      </c>
      <c r="I5532" s="20">
        <f t="shared" si="260"/>
        <v>0</v>
      </c>
    </row>
    <row r="5533" spans="1:9">
      <c r="A5533" s="17" t="s">
        <v>2017</v>
      </c>
      <c r="B5533" s="17" t="s">
        <v>964</v>
      </c>
      <c r="C5533" s="17">
        <v>0</v>
      </c>
      <c r="D5533" s="17" t="s">
        <v>801</v>
      </c>
      <c r="E5533" s="18">
        <v>3002660013007</v>
      </c>
      <c r="G5533" s="20" t="str">
        <f t="shared" si="258"/>
        <v xml:space="preserve"> MINIOBODY       </v>
      </c>
      <c r="H5533" s="20" t="str">
        <f t="shared" si="259"/>
        <v>ORANG</v>
      </c>
      <c r="I5533" s="20">
        <f t="shared" si="260"/>
        <v>0</v>
      </c>
    </row>
    <row r="5534" spans="1:9">
      <c r="A5534" s="17" t="s">
        <v>2017</v>
      </c>
      <c r="B5534" s="17" t="s">
        <v>971</v>
      </c>
      <c r="C5534" s="17">
        <v>0</v>
      </c>
      <c r="D5534" s="17" t="s">
        <v>801</v>
      </c>
      <c r="E5534" s="18">
        <v>8056099179310</v>
      </c>
      <c r="G5534" s="20" t="str">
        <f t="shared" si="258"/>
        <v xml:space="preserve"> MINIOBODY       </v>
      </c>
      <c r="H5534" s="20" t="str">
        <f t="shared" si="259"/>
        <v>OTTAN</v>
      </c>
      <c r="I5534" s="20">
        <f t="shared" si="260"/>
        <v>0</v>
      </c>
    </row>
    <row r="5535" spans="1:9">
      <c r="A5535" s="17" t="s">
        <v>2017</v>
      </c>
      <c r="B5535" s="17" t="s">
        <v>1235</v>
      </c>
      <c r="C5535" s="17">
        <v>0</v>
      </c>
      <c r="D5535" s="17" t="s">
        <v>801</v>
      </c>
      <c r="E5535" s="18">
        <v>3002660559000</v>
      </c>
      <c r="G5535" s="20" t="str">
        <f t="shared" si="258"/>
        <v xml:space="preserve"> MINIOBODY       </v>
      </c>
      <c r="H5535" s="20" t="str">
        <f t="shared" si="259"/>
        <v>PAPAY</v>
      </c>
      <c r="I5535" s="20">
        <f t="shared" si="260"/>
        <v>0</v>
      </c>
    </row>
    <row r="5536" spans="1:9">
      <c r="A5536" s="17" t="s">
        <v>2017</v>
      </c>
      <c r="B5536" s="17" t="s">
        <v>1235</v>
      </c>
      <c r="C5536" s="17">
        <v>0</v>
      </c>
      <c r="D5536" s="17" t="s">
        <v>801</v>
      </c>
      <c r="E5536" s="18">
        <v>3020570288001</v>
      </c>
      <c r="G5536" s="20" t="str">
        <f t="shared" si="258"/>
        <v xml:space="preserve"> MINIOBODY       </v>
      </c>
      <c r="H5536" s="20" t="str">
        <f t="shared" si="259"/>
        <v>PAPAY</v>
      </c>
      <c r="I5536" s="20">
        <f t="shared" si="260"/>
        <v>0</v>
      </c>
    </row>
    <row r="5537" spans="1:9">
      <c r="A5537" s="17" t="s">
        <v>2017</v>
      </c>
      <c r="B5537" s="17" t="s">
        <v>1435</v>
      </c>
      <c r="C5537" s="17">
        <v>0</v>
      </c>
      <c r="D5537" s="17" t="s">
        <v>801</v>
      </c>
      <c r="E5537" s="18">
        <v>3020570650006</v>
      </c>
      <c r="G5537" s="20" t="str">
        <f t="shared" si="258"/>
        <v xml:space="preserve"> MINIOBODY       </v>
      </c>
      <c r="H5537" s="20" t="str">
        <f t="shared" si="259"/>
        <v xml:space="preserve">PAST </v>
      </c>
      <c r="I5537" s="20">
        <f t="shared" si="260"/>
        <v>0</v>
      </c>
    </row>
    <row r="5538" spans="1:9">
      <c r="A5538" s="17" t="s">
        <v>2017</v>
      </c>
      <c r="B5538" s="17" t="s">
        <v>1435</v>
      </c>
      <c r="C5538" s="17">
        <v>0</v>
      </c>
      <c r="D5538" s="17" t="s">
        <v>801</v>
      </c>
      <c r="E5538" s="18">
        <v>3002660651001</v>
      </c>
      <c r="G5538" s="20" t="str">
        <f t="shared" si="258"/>
        <v xml:space="preserve"> MINIOBODY       </v>
      </c>
      <c r="H5538" s="20" t="str">
        <f t="shared" si="259"/>
        <v xml:space="preserve">PAST </v>
      </c>
      <c r="I5538" s="20">
        <f t="shared" si="260"/>
        <v>0</v>
      </c>
    </row>
    <row r="5539" spans="1:9">
      <c r="A5539" s="17" t="s">
        <v>2017</v>
      </c>
      <c r="B5539" s="17" t="s">
        <v>912</v>
      </c>
      <c r="C5539" s="17">
        <v>0</v>
      </c>
      <c r="D5539" s="17" t="s">
        <v>801</v>
      </c>
      <c r="E5539" s="18">
        <v>3020571008004</v>
      </c>
      <c r="G5539" s="20" t="str">
        <f t="shared" si="258"/>
        <v xml:space="preserve"> MINIOBODY       </v>
      </c>
      <c r="H5539" s="20" t="str">
        <f t="shared" si="259"/>
        <v>PETRO</v>
      </c>
      <c r="I5539" s="20">
        <f t="shared" si="260"/>
        <v>0</v>
      </c>
    </row>
    <row r="5540" spans="1:9">
      <c r="A5540" s="17" t="s">
        <v>2017</v>
      </c>
      <c r="B5540" s="17" t="s">
        <v>912</v>
      </c>
      <c r="C5540" s="17">
        <v>0</v>
      </c>
      <c r="D5540" s="17" t="s">
        <v>801</v>
      </c>
      <c r="E5540" s="18">
        <v>3002661008002</v>
      </c>
      <c r="G5540" s="20" t="str">
        <f t="shared" si="258"/>
        <v xml:space="preserve"> MINIOBODY       </v>
      </c>
      <c r="H5540" s="20" t="str">
        <f t="shared" si="259"/>
        <v>PETRO</v>
      </c>
      <c r="I5540" s="20">
        <f t="shared" si="260"/>
        <v>0</v>
      </c>
    </row>
    <row r="5541" spans="1:9">
      <c r="A5541" s="17" t="s">
        <v>2017</v>
      </c>
      <c r="B5541" s="17" t="s">
        <v>283</v>
      </c>
      <c r="C5541" s="17">
        <v>0</v>
      </c>
      <c r="D5541" s="17" t="s">
        <v>801</v>
      </c>
      <c r="E5541" s="18">
        <v>8056095068885</v>
      </c>
      <c r="G5541" s="20" t="str">
        <f t="shared" si="258"/>
        <v xml:space="preserve"> MINIOBODY       </v>
      </c>
      <c r="H5541" s="20" t="str">
        <f t="shared" si="259"/>
        <v>PHARD</v>
      </c>
      <c r="I5541" s="20">
        <f t="shared" si="260"/>
        <v>0</v>
      </c>
    </row>
    <row r="5542" spans="1:9">
      <c r="A5542" s="17" t="s">
        <v>2017</v>
      </c>
      <c r="B5542" s="17" t="s">
        <v>283</v>
      </c>
      <c r="C5542" s="17">
        <v>0</v>
      </c>
      <c r="D5542" s="17" t="s">
        <v>801</v>
      </c>
      <c r="E5542" s="18">
        <v>3002660871003</v>
      </c>
      <c r="G5542" s="20" t="str">
        <f t="shared" si="258"/>
        <v xml:space="preserve"> MINIOBODY       </v>
      </c>
      <c r="H5542" s="20" t="str">
        <f t="shared" si="259"/>
        <v>PHARD</v>
      </c>
      <c r="I5542" s="20">
        <f t="shared" si="260"/>
        <v>0</v>
      </c>
    </row>
    <row r="5543" spans="1:9">
      <c r="A5543" s="17" t="s">
        <v>2017</v>
      </c>
      <c r="B5543" s="17" t="s">
        <v>1438</v>
      </c>
      <c r="C5543" s="17">
        <v>0</v>
      </c>
      <c r="D5543" s="17" t="s">
        <v>801</v>
      </c>
      <c r="E5543" s="18">
        <v>3002660692004</v>
      </c>
      <c r="G5543" s="20" t="str">
        <f t="shared" si="258"/>
        <v xml:space="preserve"> MINIOBODY       </v>
      </c>
      <c r="H5543" s="20" t="str">
        <f t="shared" si="259"/>
        <v>POLVE</v>
      </c>
      <c r="I5543" s="20">
        <f t="shared" si="260"/>
        <v>0</v>
      </c>
    </row>
    <row r="5544" spans="1:9">
      <c r="A5544" s="17" t="s">
        <v>2017</v>
      </c>
      <c r="B5544" s="17" t="s">
        <v>1438</v>
      </c>
      <c r="C5544" s="17">
        <v>0</v>
      </c>
      <c r="D5544" s="17" t="s">
        <v>801</v>
      </c>
      <c r="E5544" s="18">
        <v>8058333587837</v>
      </c>
      <c r="G5544" s="20" t="str">
        <f t="shared" si="258"/>
        <v xml:space="preserve"> MINIOBODY       </v>
      </c>
      <c r="H5544" s="20" t="str">
        <f t="shared" si="259"/>
        <v>POLVE</v>
      </c>
      <c r="I5544" s="20">
        <f t="shared" si="260"/>
        <v>0</v>
      </c>
    </row>
    <row r="5545" spans="1:9">
      <c r="A5545" s="17" t="s">
        <v>2017</v>
      </c>
      <c r="B5545" s="17" t="s">
        <v>2020</v>
      </c>
      <c r="C5545" s="17">
        <v>0</v>
      </c>
      <c r="D5545" s="17" t="s">
        <v>801</v>
      </c>
      <c r="E5545" s="18">
        <v>3002661080008</v>
      </c>
      <c r="G5545" s="20" t="str">
        <f t="shared" si="258"/>
        <v xml:space="preserve"> MINIOBODY       </v>
      </c>
      <c r="H5545" s="20" t="str">
        <f t="shared" si="259"/>
        <v>POMME</v>
      </c>
      <c r="I5545" s="20">
        <f t="shared" si="260"/>
        <v>0</v>
      </c>
    </row>
    <row r="5546" spans="1:9">
      <c r="A5546" s="17" t="s">
        <v>2017</v>
      </c>
      <c r="B5546" s="17" t="s">
        <v>1097</v>
      </c>
      <c r="C5546" s="17">
        <v>0</v>
      </c>
      <c r="D5546" s="17" t="s">
        <v>801</v>
      </c>
      <c r="E5546" s="18">
        <v>3020570540000</v>
      </c>
      <c r="G5546" s="20" t="str">
        <f t="shared" si="258"/>
        <v xml:space="preserve"> MINIOBODY       </v>
      </c>
      <c r="H5546" s="20" t="str">
        <f t="shared" si="259"/>
        <v xml:space="preserve">PORP </v>
      </c>
      <c r="I5546" s="20">
        <f t="shared" si="260"/>
        <v>0</v>
      </c>
    </row>
    <row r="5547" spans="1:9">
      <c r="A5547" s="17" t="s">
        <v>2017</v>
      </c>
      <c r="B5547" s="17" t="s">
        <v>1097</v>
      </c>
      <c r="C5547" s="17">
        <v>0</v>
      </c>
      <c r="D5547" s="17" t="s">
        <v>801</v>
      </c>
      <c r="E5547" s="18">
        <v>8058983596081</v>
      </c>
      <c r="G5547" s="20" t="str">
        <f t="shared" si="258"/>
        <v xml:space="preserve"> MINIOBODY       </v>
      </c>
      <c r="H5547" s="20" t="str">
        <f t="shared" si="259"/>
        <v xml:space="preserve">PORP </v>
      </c>
      <c r="I5547" s="20">
        <f t="shared" si="260"/>
        <v>0</v>
      </c>
    </row>
    <row r="5548" spans="1:9">
      <c r="A5548" s="17" t="s">
        <v>2017</v>
      </c>
      <c r="B5548" s="17" t="s">
        <v>1097</v>
      </c>
      <c r="C5548" s="17">
        <v>0</v>
      </c>
      <c r="D5548" s="17" t="s">
        <v>801</v>
      </c>
      <c r="E5548" s="18">
        <v>3002660540008</v>
      </c>
      <c r="G5548" s="20" t="str">
        <f t="shared" si="258"/>
        <v xml:space="preserve"> MINIOBODY       </v>
      </c>
      <c r="H5548" s="20" t="str">
        <f t="shared" si="259"/>
        <v xml:space="preserve">PORP </v>
      </c>
      <c r="I5548" s="20">
        <f t="shared" si="260"/>
        <v>0</v>
      </c>
    </row>
    <row r="5549" spans="1:9">
      <c r="A5549" s="17" t="s">
        <v>2017</v>
      </c>
      <c r="B5549" s="17" t="s">
        <v>1236</v>
      </c>
      <c r="C5549" s="17">
        <v>0</v>
      </c>
      <c r="D5549" s="17" t="s">
        <v>801</v>
      </c>
      <c r="E5549" s="18">
        <v>3020570609004</v>
      </c>
      <c r="G5549" s="20" t="str">
        <f t="shared" si="258"/>
        <v xml:space="preserve"> MINIOBODY       </v>
      </c>
      <c r="H5549" s="20" t="str">
        <f t="shared" si="259"/>
        <v xml:space="preserve">POW  </v>
      </c>
      <c r="I5549" s="20">
        <f t="shared" si="260"/>
        <v>0</v>
      </c>
    </row>
    <row r="5550" spans="1:9">
      <c r="A5550" s="17" t="s">
        <v>2017</v>
      </c>
      <c r="B5550" s="17" t="s">
        <v>1236</v>
      </c>
      <c r="C5550" s="17">
        <v>0</v>
      </c>
      <c r="D5550" s="17" t="s">
        <v>801</v>
      </c>
      <c r="E5550" s="18">
        <v>3002660609002</v>
      </c>
      <c r="G5550" s="20" t="str">
        <f t="shared" si="258"/>
        <v xml:space="preserve"> MINIOBODY       </v>
      </c>
      <c r="H5550" s="20" t="str">
        <f t="shared" si="259"/>
        <v xml:space="preserve">POW  </v>
      </c>
      <c r="I5550" s="20">
        <f t="shared" si="260"/>
        <v>0</v>
      </c>
    </row>
    <row r="5551" spans="1:9">
      <c r="A5551" s="17" t="s">
        <v>2017</v>
      </c>
      <c r="B5551" s="17" t="s">
        <v>816</v>
      </c>
      <c r="C5551" s="17">
        <v>0</v>
      </c>
      <c r="D5551" s="17" t="s">
        <v>801</v>
      </c>
      <c r="E5551" s="18">
        <v>8056300456926</v>
      </c>
      <c r="G5551" s="20" t="str">
        <f t="shared" si="258"/>
        <v xml:space="preserve"> MINIOBODY       </v>
      </c>
      <c r="H5551" s="20" t="str">
        <f t="shared" si="259"/>
        <v xml:space="preserve">RED  </v>
      </c>
      <c r="I5551" s="20">
        <f t="shared" si="260"/>
        <v>0</v>
      </c>
    </row>
    <row r="5552" spans="1:9">
      <c r="A5552" s="17" t="s">
        <v>2017</v>
      </c>
      <c r="B5552" s="17" t="s">
        <v>816</v>
      </c>
      <c r="C5552" s="17">
        <v>0</v>
      </c>
      <c r="D5552" s="17" t="s">
        <v>801</v>
      </c>
      <c r="E5552" s="18">
        <v>3020570394009</v>
      </c>
      <c r="G5552" s="20" t="str">
        <f t="shared" si="258"/>
        <v xml:space="preserve"> MINIOBODY       </v>
      </c>
      <c r="H5552" s="20" t="str">
        <f t="shared" si="259"/>
        <v xml:space="preserve">RED  </v>
      </c>
      <c r="I5552" s="20">
        <f t="shared" si="260"/>
        <v>0</v>
      </c>
    </row>
    <row r="5553" spans="1:9">
      <c r="A5553" s="17" t="s">
        <v>2017</v>
      </c>
      <c r="B5553" s="17" t="s">
        <v>816</v>
      </c>
      <c r="C5553" s="17">
        <v>0</v>
      </c>
      <c r="D5553" s="17" t="s">
        <v>801</v>
      </c>
      <c r="E5553" s="18">
        <v>3002660394007</v>
      </c>
      <c r="G5553" s="20" t="str">
        <f t="shared" si="258"/>
        <v xml:space="preserve"> MINIOBODY       </v>
      </c>
      <c r="H5553" s="20" t="str">
        <f t="shared" si="259"/>
        <v xml:space="preserve">RED  </v>
      </c>
      <c r="I5553" s="20">
        <f t="shared" si="260"/>
        <v>0</v>
      </c>
    </row>
    <row r="5554" spans="1:9">
      <c r="A5554" s="17" t="s">
        <v>2017</v>
      </c>
      <c r="B5554" s="17" t="s">
        <v>1237</v>
      </c>
      <c r="C5554" s="17">
        <v>0</v>
      </c>
      <c r="D5554" s="17" t="s">
        <v>801</v>
      </c>
      <c r="E5554" s="18">
        <v>3003320027006</v>
      </c>
      <c r="G5554" s="20" t="str">
        <f t="shared" si="258"/>
        <v xml:space="preserve"> MINIOBODY       </v>
      </c>
      <c r="H5554" s="20" t="str">
        <f t="shared" si="259"/>
        <v xml:space="preserve">ROCK </v>
      </c>
      <c r="I5554" s="20">
        <f t="shared" si="260"/>
        <v>0</v>
      </c>
    </row>
    <row r="5555" spans="1:9">
      <c r="A5555" s="17" t="s">
        <v>2017</v>
      </c>
      <c r="B5555" s="17" t="s">
        <v>1237</v>
      </c>
      <c r="C5555" s="17">
        <v>0</v>
      </c>
      <c r="D5555" s="17" t="s">
        <v>801</v>
      </c>
      <c r="E5555" s="18">
        <v>8051770309819</v>
      </c>
      <c r="G5555" s="20" t="str">
        <f t="shared" si="258"/>
        <v xml:space="preserve"> MINIOBODY       </v>
      </c>
      <c r="H5555" s="20" t="str">
        <f t="shared" si="259"/>
        <v xml:space="preserve">ROCK </v>
      </c>
      <c r="I5555" s="20">
        <f t="shared" si="260"/>
        <v>0</v>
      </c>
    </row>
    <row r="5556" spans="1:9">
      <c r="A5556" s="17" t="s">
        <v>2017</v>
      </c>
      <c r="B5556" s="17" t="s">
        <v>1237</v>
      </c>
      <c r="C5556" s="17">
        <v>0</v>
      </c>
      <c r="D5556" s="17" t="s">
        <v>801</v>
      </c>
      <c r="E5556" s="18">
        <v>3002660005002</v>
      </c>
      <c r="G5556" s="20" t="str">
        <f t="shared" si="258"/>
        <v xml:space="preserve"> MINIOBODY       </v>
      </c>
      <c r="H5556" s="20" t="str">
        <f t="shared" si="259"/>
        <v xml:space="preserve">ROCK </v>
      </c>
      <c r="I5556" s="20">
        <f t="shared" si="260"/>
        <v>0</v>
      </c>
    </row>
    <row r="5557" spans="1:9">
      <c r="A5557" s="17" t="s">
        <v>2017</v>
      </c>
      <c r="B5557" s="17" t="s">
        <v>1238</v>
      </c>
      <c r="C5557" s="17">
        <v>0</v>
      </c>
      <c r="D5557" s="17" t="s">
        <v>801</v>
      </c>
      <c r="E5557" s="18">
        <v>3020570215007</v>
      </c>
      <c r="G5557" s="20" t="str">
        <f t="shared" si="258"/>
        <v xml:space="preserve"> MINIOBODY       </v>
      </c>
      <c r="H5557" s="20" t="str">
        <f t="shared" si="259"/>
        <v>ROSMO</v>
      </c>
      <c r="I5557" s="20">
        <f t="shared" si="260"/>
        <v>0</v>
      </c>
    </row>
    <row r="5558" spans="1:9">
      <c r="A5558" s="17" t="s">
        <v>2017</v>
      </c>
      <c r="B5558" s="17" t="s">
        <v>1238</v>
      </c>
      <c r="C5558" s="17">
        <v>0</v>
      </c>
      <c r="D5558" s="17" t="s">
        <v>801</v>
      </c>
      <c r="E5558" s="18">
        <v>3002660215005</v>
      </c>
      <c r="G5558" s="20" t="str">
        <f t="shared" si="258"/>
        <v xml:space="preserve"> MINIOBODY       </v>
      </c>
      <c r="H5558" s="20" t="str">
        <f t="shared" si="259"/>
        <v>ROSMO</v>
      </c>
      <c r="I5558" s="20">
        <f t="shared" si="260"/>
        <v>0</v>
      </c>
    </row>
    <row r="5559" spans="1:9">
      <c r="A5559" s="17" t="s">
        <v>2017</v>
      </c>
      <c r="B5559" s="17" t="s">
        <v>1238</v>
      </c>
      <c r="C5559" s="17">
        <v>0</v>
      </c>
      <c r="D5559" s="17" t="s">
        <v>801</v>
      </c>
      <c r="E5559" s="18">
        <v>8050450218342</v>
      </c>
      <c r="G5559" s="20" t="str">
        <f t="shared" si="258"/>
        <v xml:space="preserve"> MINIOBODY       </v>
      </c>
      <c r="H5559" s="20" t="str">
        <f t="shared" si="259"/>
        <v>ROSMO</v>
      </c>
      <c r="I5559" s="20">
        <f t="shared" si="260"/>
        <v>0</v>
      </c>
    </row>
    <row r="5560" spans="1:9">
      <c r="A5560" s="17" t="s">
        <v>2017</v>
      </c>
      <c r="B5560" s="17" t="s">
        <v>1439</v>
      </c>
      <c r="C5560" s="17">
        <v>0</v>
      </c>
      <c r="D5560" s="17" t="s">
        <v>801</v>
      </c>
      <c r="E5560" s="18">
        <v>3003320084009</v>
      </c>
      <c r="G5560" s="20" t="str">
        <f t="shared" si="258"/>
        <v xml:space="preserve"> MINIOBODY       </v>
      </c>
      <c r="H5560" s="20" t="str">
        <f t="shared" si="259"/>
        <v xml:space="preserve">RUBY </v>
      </c>
      <c r="I5560" s="20">
        <f t="shared" si="260"/>
        <v>0</v>
      </c>
    </row>
    <row r="5561" spans="1:9">
      <c r="A5561" s="17" t="s">
        <v>2017</v>
      </c>
      <c r="B5561" s="17" t="s">
        <v>1439</v>
      </c>
      <c r="C5561" s="17">
        <v>0</v>
      </c>
      <c r="D5561" s="17" t="s">
        <v>801</v>
      </c>
      <c r="E5561" s="18">
        <v>3002660006009</v>
      </c>
      <c r="G5561" s="20" t="str">
        <f t="shared" si="258"/>
        <v xml:space="preserve"> MINIOBODY       </v>
      </c>
      <c r="H5561" s="20" t="str">
        <f t="shared" si="259"/>
        <v xml:space="preserve">RUBY </v>
      </c>
      <c r="I5561" s="20">
        <f t="shared" si="260"/>
        <v>0</v>
      </c>
    </row>
    <row r="5562" spans="1:9">
      <c r="A5562" s="17" t="s">
        <v>2017</v>
      </c>
      <c r="B5562" s="17" t="s">
        <v>1239</v>
      </c>
      <c r="C5562" s="17">
        <v>0</v>
      </c>
      <c r="D5562" s="17" t="s">
        <v>801</v>
      </c>
      <c r="E5562" s="18">
        <v>3020570337006</v>
      </c>
      <c r="G5562" s="20" t="str">
        <f t="shared" si="258"/>
        <v xml:space="preserve"> MINIOBODY       </v>
      </c>
      <c r="H5562" s="20" t="str">
        <f t="shared" si="259"/>
        <v xml:space="preserve">SAND </v>
      </c>
      <c r="I5562" s="20">
        <f t="shared" si="260"/>
        <v>0</v>
      </c>
    </row>
    <row r="5563" spans="1:9">
      <c r="A5563" s="17" t="s">
        <v>2017</v>
      </c>
      <c r="B5563" s="17" t="s">
        <v>1239</v>
      </c>
      <c r="C5563" s="17">
        <v>0</v>
      </c>
      <c r="D5563" s="17" t="s">
        <v>801</v>
      </c>
      <c r="E5563" s="18">
        <v>8050450215631</v>
      </c>
      <c r="G5563" s="20" t="str">
        <f t="shared" si="258"/>
        <v xml:space="preserve"> MINIOBODY       </v>
      </c>
      <c r="H5563" s="20" t="str">
        <f t="shared" si="259"/>
        <v xml:space="preserve">SAND </v>
      </c>
      <c r="I5563" s="20">
        <f t="shared" si="260"/>
        <v>0</v>
      </c>
    </row>
    <row r="5564" spans="1:9">
      <c r="A5564" s="17" t="s">
        <v>2017</v>
      </c>
      <c r="B5564" s="17" t="s">
        <v>1239</v>
      </c>
      <c r="C5564" s="17">
        <v>0</v>
      </c>
      <c r="D5564" s="17" t="s">
        <v>801</v>
      </c>
      <c r="E5564" s="18">
        <v>3002660337004</v>
      </c>
      <c r="G5564" s="20" t="str">
        <f t="shared" si="258"/>
        <v xml:space="preserve"> MINIOBODY       </v>
      </c>
      <c r="H5564" s="20" t="str">
        <f t="shared" si="259"/>
        <v xml:space="preserve">SAND </v>
      </c>
      <c r="I5564" s="20">
        <f t="shared" si="260"/>
        <v>0</v>
      </c>
    </row>
    <row r="5565" spans="1:9">
      <c r="A5565" s="17" t="s">
        <v>2017</v>
      </c>
      <c r="B5565" s="17" t="s">
        <v>1663</v>
      </c>
      <c r="C5565" s="17">
        <v>0</v>
      </c>
      <c r="D5565" s="17" t="s">
        <v>801</v>
      </c>
      <c r="E5565" s="18">
        <v>3002661313007</v>
      </c>
      <c r="G5565" s="20" t="str">
        <f t="shared" si="258"/>
        <v xml:space="preserve"> MINIOBODY       </v>
      </c>
      <c r="H5565" s="20" t="str">
        <f t="shared" si="259"/>
        <v>SANGR</v>
      </c>
      <c r="I5565" s="20">
        <f t="shared" si="260"/>
        <v>0</v>
      </c>
    </row>
    <row r="5566" spans="1:9">
      <c r="A5566" s="17" t="s">
        <v>2017</v>
      </c>
      <c r="B5566" s="17" t="s">
        <v>840</v>
      </c>
      <c r="C5566" s="17">
        <v>0</v>
      </c>
      <c r="D5566" s="17" t="s">
        <v>801</v>
      </c>
      <c r="E5566" s="18">
        <v>3020570134001</v>
      </c>
      <c r="G5566" s="20" t="str">
        <f t="shared" si="258"/>
        <v xml:space="preserve"> MINIOBODY       </v>
      </c>
      <c r="H5566" s="20" t="str">
        <f t="shared" si="259"/>
        <v>SAUGE</v>
      </c>
      <c r="I5566" s="20">
        <f t="shared" si="260"/>
        <v>0</v>
      </c>
    </row>
    <row r="5567" spans="1:9">
      <c r="A5567" s="17" t="s">
        <v>2017</v>
      </c>
      <c r="B5567" s="17" t="s">
        <v>840</v>
      </c>
      <c r="C5567" s="17">
        <v>0</v>
      </c>
      <c r="D5567" s="17" t="s">
        <v>801</v>
      </c>
      <c r="E5567" s="18">
        <v>3002660134009</v>
      </c>
      <c r="G5567" s="20" t="str">
        <f t="shared" si="258"/>
        <v xml:space="preserve"> MINIOBODY       </v>
      </c>
      <c r="H5567" s="20" t="str">
        <f t="shared" si="259"/>
        <v>SAUGE</v>
      </c>
      <c r="I5567" s="20">
        <f t="shared" si="260"/>
        <v>0</v>
      </c>
    </row>
    <row r="5568" spans="1:9">
      <c r="A5568" s="17" t="s">
        <v>2017</v>
      </c>
      <c r="B5568" s="17" t="s">
        <v>855</v>
      </c>
      <c r="C5568" s="17">
        <v>0</v>
      </c>
      <c r="D5568" s="17" t="s">
        <v>801</v>
      </c>
      <c r="E5568" s="18">
        <v>3020570617009</v>
      </c>
      <c r="G5568" s="20" t="str">
        <f t="shared" si="258"/>
        <v xml:space="preserve"> MINIOBODY       </v>
      </c>
      <c r="H5568" s="20" t="str">
        <f t="shared" si="259"/>
        <v>SILVE</v>
      </c>
      <c r="I5568" s="20">
        <f t="shared" si="260"/>
        <v>0</v>
      </c>
    </row>
    <row r="5569" spans="1:9">
      <c r="A5569" s="17" t="s">
        <v>2017</v>
      </c>
      <c r="B5569" s="17" t="s">
        <v>855</v>
      </c>
      <c r="C5569" s="17">
        <v>0</v>
      </c>
      <c r="D5569" s="17" t="s">
        <v>801</v>
      </c>
      <c r="E5569" s="18">
        <v>3002660619001</v>
      </c>
      <c r="G5569" s="20" t="str">
        <f t="shared" si="258"/>
        <v xml:space="preserve"> MINIOBODY       </v>
      </c>
      <c r="H5569" s="20" t="str">
        <f t="shared" si="259"/>
        <v>SILVE</v>
      </c>
      <c r="I5569" s="20">
        <f t="shared" si="260"/>
        <v>0</v>
      </c>
    </row>
    <row r="5570" spans="1:9">
      <c r="A5570" s="17" t="s">
        <v>2017</v>
      </c>
      <c r="B5570" s="17" t="s">
        <v>872</v>
      </c>
      <c r="C5570" s="17">
        <v>0</v>
      </c>
      <c r="D5570" s="17" t="s">
        <v>801</v>
      </c>
      <c r="E5570" s="18">
        <v>3020570618006</v>
      </c>
      <c r="G5570" s="20" t="str">
        <f t="shared" si="258"/>
        <v xml:space="preserve"> MINIOBODY       </v>
      </c>
      <c r="H5570" s="20" t="str">
        <f t="shared" si="259"/>
        <v xml:space="preserve">SKB  </v>
      </c>
      <c r="I5570" s="20">
        <f t="shared" si="260"/>
        <v>0</v>
      </c>
    </row>
    <row r="5571" spans="1:9">
      <c r="A5571" s="17" t="s">
        <v>2017</v>
      </c>
      <c r="B5571" s="17" t="s">
        <v>872</v>
      </c>
      <c r="C5571" s="17">
        <v>0</v>
      </c>
      <c r="D5571" s="17" t="s">
        <v>801</v>
      </c>
      <c r="E5571" s="18">
        <v>3002660618004</v>
      </c>
      <c r="G5571" s="20" t="str">
        <f t="shared" si="258"/>
        <v xml:space="preserve"> MINIOBODY       </v>
      </c>
      <c r="H5571" s="20" t="str">
        <f t="shared" si="259"/>
        <v xml:space="preserve">SKB  </v>
      </c>
      <c r="I5571" s="20">
        <f t="shared" si="260"/>
        <v>0</v>
      </c>
    </row>
    <row r="5572" spans="1:9">
      <c r="A5572" s="17" t="s">
        <v>2017</v>
      </c>
      <c r="B5572" s="17" t="s">
        <v>1079</v>
      </c>
      <c r="C5572" s="17">
        <v>0</v>
      </c>
      <c r="D5572" s="17" t="s">
        <v>801</v>
      </c>
      <c r="E5572" s="18">
        <v>3020570620009</v>
      </c>
      <c r="G5572" s="20" t="str">
        <f t="shared" si="258"/>
        <v xml:space="preserve"> MINIOBODY       </v>
      </c>
      <c r="H5572" s="20" t="str">
        <f t="shared" si="259"/>
        <v xml:space="preserve">SLVG </v>
      </c>
      <c r="I5572" s="20">
        <f t="shared" si="260"/>
        <v>0</v>
      </c>
    </row>
    <row r="5573" spans="1:9">
      <c r="A5573" s="17" t="s">
        <v>2017</v>
      </c>
      <c r="B5573" s="17" t="s">
        <v>1079</v>
      </c>
      <c r="C5573" s="17">
        <v>0</v>
      </c>
      <c r="D5573" s="17" t="s">
        <v>801</v>
      </c>
      <c r="E5573" s="18">
        <v>8058983596104</v>
      </c>
      <c r="G5573" s="20" t="str">
        <f t="shared" ref="G5573:G5636" si="261">A5573</f>
        <v xml:space="preserve"> MINIOBODY       </v>
      </c>
      <c r="H5573" s="20" t="str">
        <f t="shared" ref="H5573:H5636" si="262">B5573</f>
        <v xml:space="preserve">SLVG </v>
      </c>
      <c r="I5573" s="20">
        <f t="shared" ref="I5573:I5636" si="263">C5573</f>
        <v>0</v>
      </c>
    </row>
    <row r="5574" spans="1:9">
      <c r="A5574" s="17" t="s">
        <v>2017</v>
      </c>
      <c r="B5574" s="17" t="s">
        <v>1079</v>
      </c>
      <c r="C5574" s="17">
        <v>0</v>
      </c>
      <c r="D5574" s="17" t="s">
        <v>801</v>
      </c>
      <c r="E5574" s="18">
        <v>3002660620007</v>
      </c>
      <c r="G5574" s="20" t="str">
        <f t="shared" si="261"/>
        <v xml:space="preserve"> MINIOBODY       </v>
      </c>
      <c r="H5574" s="20" t="str">
        <f t="shared" si="262"/>
        <v xml:space="preserve">SLVG </v>
      </c>
      <c r="I5574" s="20">
        <f t="shared" si="263"/>
        <v>0</v>
      </c>
    </row>
    <row r="5575" spans="1:9">
      <c r="A5575" s="17" t="s">
        <v>2017</v>
      </c>
      <c r="B5575" s="17" t="s">
        <v>2021</v>
      </c>
      <c r="C5575" s="17">
        <v>0</v>
      </c>
      <c r="D5575" s="17" t="s">
        <v>801</v>
      </c>
      <c r="E5575" s="18">
        <v>3002660622001</v>
      </c>
      <c r="G5575" s="20" t="str">
        <f t="shared" si="261"/>
        <v xml:space="preserve"> MINIOBODY       </v>
      </c>
      <c r="H5575" s="20" t="str">
        <f t="shared" si="262"/>
        <v>STEEL</v>
      </c>
      <c r="I5575" s="20">
        <f t="shared" si="263"/>
        <v>0</v>
      </c>
    </row>
    <row r="5576" spans="1:9">
      <c r="A5576" s="17" t="s">
        <v>2017</v>
      </c>
      <c r="B5576" s="17" t="s">
        <v>1080</v>
      </c>
      <c r="C5576" s="17">
        <v>0</v>
      </c>
      <c r="D5576" s="17" t="s">
        <v>801</v>
      </c>
      <c r="E5576" s="18">
        <v>8056095068892</v>
      </c>
      <c r="G5576" s="20" t="str">
        <f t="shared" si="261"/>
        <v xml:space="preserve"> MINIOBODY       </v>
      </c>
      <c r="H5576" s="20" t="str">
        <f t="shared" si="262"/>
        <v>TERRA</v>
      </c>
      <c r="I5576" s="20">
        <f t="shared" si="263"/>
        <v>0</v>
      </c>
    </row>
    <row r="5577" spans="1:9">
      <c r="A5577" s="17" t="s">
        <v>2017</v>
      </c>
      <c r="B5577" s="17" t="s">
        <v>1080</v>
      </c>
      <c r="C5577" s="17">
        <v>0</v>
      </c>
      <c r="D5577" s="17" t="s">
        <v>801</v>
      </c>
      <c r="E5577" s="18">
        <v>3002661074007</v>
      </c>
      <c r="G5577" s="20" t="str">
        <f t="shared" si="261"/>
        <v xml:space="preserve"> MINIOBODY       </v>
      </c>
      <c r="H5577" s="20" t="str">
        <f t="shared" si="262"/>
        <v>TERRA</v>
      </c>
      <c r="I5577" s="20">
        <f t="shared" si="263"/>
        <v>0</v>
      </c>
    </row>
    <row r="5578" spans="1:9">
      <c r="A5578" s="17" t="s">
        <v>2017</v>
      </c>
      <c r="B5578" s="17" t="s">
        <v>919</v>
      </c>
      <c r="C5578" s="17">
        <v>0</v>
      </c>
      <c r="D5578" s="17" t="s">
        <v>801</v>
      </c>
      <c r="E5578" s="18">
        <v>3020571178004</v>
      </c>
      <c r="G5578" s="20" t="str">
        <f t="shared" si="261"/>
        <v xml:space="preserve"> MINIOBODY       </v>
      </c>
      <c r="H5578" s="20" t="str">
        <f t="shared" si="262"/>
        <v>TESTA</v>
      </c>
      <c r="I5578" s="20">
        <f t="shared" si="263"/>
        <v>0</v>
      </c>
    </row>
    <row r="5579" spans="1:9">
      <c r="A5579" s="17" t="s">
        <v>2017</v>
      </c>
      <c r="B5579" s="17" t="s">
        <v>919</v>
      </c>
      <c r="C5579" s="17">
        <v>0</v>
      </c>
      <c r="D5579" s="17" t="s">
        <v>801</v>
      </c>
      <c r="E5579" s="18">
        <v>8058983596111</v>
      </c>
      <c r="G5579" s="20" t="str">
        <f t="shared" si="261"/>
        <v xml:space="preserve"> MINIOBODY       </v>
      </c>
      <c r="H5579" s="20" t="str">
        <f t="shared" si="262"/>
        <v>TESTA</v>
      </c>
      <c r="I5579" s="20">
        <f t="shared" si="263"/>
        <v>0</v>
      </c>
    </row>
    <row r="5580" spans="1:9">
      <c r="A5580" s="17" t="s">
        <v>2017</v>
      </c>
      <c r="B5580" s="17" t="s">
        <v>919</v>
      </c>
      <c r="C5580" s="17">
        <v>0</v>
      </c>
      <c r="D5580" s="17" t="s">
        <v>801</v>
      </c>
      <c r="E5580" s="18">
        <v>3002661178002</v>
      </c>
      <c r="G5580" s="20" t="str">
        <f t="shared" si="261"/>
        <v xml:space="preserve"> MINIOBODY       </v>
      </c>
      <c r="H5580" s="20" t="str">
        <f t="shared" si="262"/>
        <v>TESTA</v>
      </c>
      <c r="I5580" s="20">
        <f t="shared" si="263"/>
        <v>0</v>
      </c>
    </row>
    <row r="5581" spans="1:9">
      <c r="A5581" s="17" t="s">
        <v>2017</v>
      </c>
      <c r="B5581" s="17" t="s">
        <v>1013</v>
      </c>
      <c r="C5581" s="17">
        <v>0</v>
      </c>
      <c r="D5581" s="17" t="s">
        <v>801</v>
      </c>
      <c r="E5581" s="18">
        <v>3003320026009</v>
      </c>
      <c r="G5581" s="20" t="str">
        <f t="shared" si="261"/>
        <v xml:space="preserve"> MINIOBODY       </v>
      </c>
      <c r="H5581" s="20" t="str">
        <f t="shared" si="262"/>
        <v xml:space="preserve">TURQ </v>
      </c>
      <c r="I5581" s="20">
        <f t="shared" si="263"/>
        <v>0</v>
      </c>
    </row>
    <row r="5582" spans="1:9">
      <c r="A5582" s="17" t="s">
        <v>2017</v>
      </c>
      <c r="B5582" s="17" t="s">
        <v>1013</v>
      </c>
      <c r="C5582" s="17">
        <v>0</v>
      </c>
      <c r="D5582" s="17" t="s">
        <v>801</v>
      </c>
      <c r="E5582" s="18">
        <v>3002660007006</v>
      </c>
      <c r="G5582" s="20" t="str">
        <f t="shared" si="261"/>
        <v xml:space="preserve"> MINIOBODY       </v>
      </c>
      <c r="H5582" s="20" t="str">
        <f t="shared" si="262"/>
        <v xml:space="preserve">TURQ </v>
      </c>
      <c r="I5582" s="20">
        <f t="shared" si="263"/>
        <v>0</v>
      </c>
    </row>
    <row r="5583" spans="1:9">
      <c r="A5583" s="17" t="s">
        <v>2017</v>
      </c>
      <c r="B5583" s="17" t="s">
        <v>2022</v>
      </c>
      <c r="C5583" s="17">
        <v>0</v>
      </c>
      <c r="D5583" s="17" t="s">
        <v>801</v>
      </c>
      <c r="E5583" s="18">
        <v>3002661166009</v>
      </c>
      <c r="G5583" s="20" t="str">
        <f t="shared" si="261"/>
        <v xml:space="preserve"> MINIOBODY       </v>
      </c>
      <c r="H5583" s="20" t="str">
        <f t="shared" si="262"/>
        <v xml:space="preserve">VALA </v>
      </c>
      <c r="I5583" s="20">
        <f t="shared" si="263"/>
        <v>0</v>
      </c>
    </row>
    <row r="5584" spans="1:9">
      <c r="A5584" s="17" t="s">
        <v>2017</v>
      </c>
      <c r="B5584" s="17" t="s">
        <v>2023</v>
      </c>
      <c r="C5584" s="17">
        <v>0</v>
      </c>
      <c r="D5584" s="17" t="s">
        <v>801</v>
      </c>
      <c r="E5584" s="18">
        <v>3002661167006</v>
      </c>
      <c r="G5584" s="20" t="str">
        <f t="shared" si="261"/>
        <v xml:space="preserve"> MINIOBODY       </v>
      </c>
      <c r="H5584" s="20" t="str">
        <f t="shared" si="262"/>
        <v xml:space="preserve">VALB </v>
      </c>
      <c r="I5584" s="20">
        <f t="shared" si="263"/>
        <v>0</v>
      </c>
    </row>
    <row r="5585" spans="1:9">
      <c r="A5585" s="17" t="s">
        <v>2017</v>
      </c>
      <c r="B5585" s="17" t="s">
        <v>2024</v>
      </c>
      <c r="C5585" s="17">
        <v>0</v>
      </c>
      <c r="D5585" s="17" t="s">
        <v>801</v>
      </c>
      <c r="E5585" s="18">
        <v>3002661168003</v>
      </c>
      <c r="G5585" s="20" t="str">
        <f t="shared" si="261"/>
        <v xml:space="preserve"> MINIOBODY       </v>
      </c>
      <c r="H5585" s="20" t="str">
        <f t="shared" si="262"/>
        <v xml:space="preserve">VALW </v>
      </c>
      <c r="I5585" s="20">
        <f t="shared" si="263"/>
        <v>0</v>
      </c>
    </row>
    <row r="5586" spans="1:9">
      <c r="A5586" s="17" t="s">
        <v>2017</v>
      </c>
      <c r="B5586" s="17" t="s">
        <v>1664</v>
      </c>
      <c r="C5586" s="17">
        <v>0</v>
      </c>
      <c r="D5586" s="17" t="s">
        <v>801</v>
      </c>
      <c r="E5586" s="18">
        <v>8056095068915</v>
      </c>
      <c r="G5586" s="20" t="str">
        <f t="shared" si="261"/>
        <v xml:space="preserve"> MINIOBODY       </v>
      </c>
      <c r="H5586" s="20" t="str">
        <f t="shared" si="262"/>
        <v>VERAN</v>
      </c>
      <c r="I5586" s="20">
        <f t="shared" si="263"/>
        <v>0</v>
      </c>
    </row>
    <row r="5587" spans="1:9">
      <c r="A5587" s="17" t="s">
        <v>2017</v>
      </c>
      <c r="B5587" s="17" t="s">
        <v>1664</v>
      </c>
      <c r="C5587" s="17">
        <v>0</v>
      </c>
      <c r="D5587" s="17" t="s">
        <v>801</v>
      </c>
      <c r="E5587" s="18">
        <v>3002661079002</v>
      </c>
      <c r="G5587" s="20" t="str">
        <f t="shared" si="261"/>
        <v xml:space="preserve"> MINIOBODY       </v>
      </c>
      <c r="H5587" s="20" t="str">
        <f t="shared" si="262"/>
        <v>VERAN</v>
      </c>
      <c r="I5587" s="20">
        <f t="shared" si="263"/>
        <v>0</v>
      </c>
    </row>
    <row r="5588" spans="1:9">
      <c r="A5588" s="17" t="s">
        <v>2017</v>
      </c>
      <c r="B5588" s="17" t="s">
        <v>811</v>
      </c>
      <c r="C5588" s="17">
        <v>0</v>
      </c>
      <c r="D5588" s="17" t="s">
        <v>801</v>
      </c>
      <c r="E5588" s="18">
        <v>3020570659009</v>
      </c>
      <c r="G5588" s="20" t="str">
        <f t="shared" si="261"/>
        <v xml:space="preserve"> MINIOBODY       </v>
      </c>
      <c r="H5588" s="20" t="str">
        <f t="shared" si="262"/>
        <v xml:space="preserve">VERT </v>
      </c>
      <c r="I5588" s="20">
        <f t="shared" si="263"/>
        <v>0</v>
      </c>
    </row>
    <row r="5589" spans="1:9">
      <c r="A5589" s="17" t="s">
        <v>2017</v>
      </c>
      <c r="B5589" s="17" t="s">
        <v>811</v>
      </c>
      <c r="C5589" s="17">
        <v>0</v>
      </c>
      <c r="D5589" s="17" t="s">
        <v>801</v>
      </c>
      <c r="E5589" s="18">
        <v>8058983596128</v>
      </c>
      <c r="G5589" s="20" t="str">
        <f t="shared" si="261"/>
        <v xml:space="preserve"> MINIOBODY       </v>
      </c>
      <c r="H5589" s="20" t="str">
        <f t="shared" si="262"/>
        <v xml:space="preserve">VERT </v>
      </c>
      <c r="I5589" s="20">
        <f t="shared" si="263"/>
        <v>0</v>
      </c>
    </row>
    <row r="5590" spans="1:9">
      <c r="A5590" s="17" t="s">
        <v>2017</v>
      </c>
      <c r="B5590" s="17" t="s">
        <v>811</v>
      </c>
      <c r="C5590" s="17">
        <v>0</v>
      </c>
      <c r="D5590" s="17" t="s">
        <v>801</v>
      </c>
      <c r="E5590" s="18">
        <v>3002660659007</v>
      </c>
      <c r="G5590" s="20" t="str">
        <f t="shared" si="261"/>
        <v xml:space="preserve"> MINIOBODY       </v>
      </c>
      <c r="H5590" s="20" t="str">
        <f t="shared" si="262"/>
        <v xml:space="preserve">VERT </v>
      </c>
      <c r="I5590" s="20">
        <f t="shared" si="263"/>
        <v>0</v>
      </c>
    </row>
    <row r="5591" spans="1:9">
      <c r="A5591" s="17" t="s">
        <v>2017</v>
      </c>
      <c r="B5591" s="17" t="s">
        <v>1442</v>
      </c>
      <c r="C5591" s="17">
        <v>0</v>
      </c>
      <c r="D5591" s="17" t="s">
        <v>801</v>
      </c>
      <c r="E5591" s="18">
        <v>3020570225006</v>
      </c>
      <c r="G5591" s="20" t="str">
        <f t="shared" si="261"/>
        <v xml:space="preserve"> MINIOBODY       </v>
      </c>
      <c r="H5591" s="20" t="str">
        <f t="shared" si="262"/>
        <v>VIODE</v>
      </c>
      <c r="I5591" s="20">
        <f t="shared" si="263"/>
        <v>0</v>
      </c>
    </row>
    <row r="5592" spans="1:9">
      <c r="A5592" s="17" t="s">
        <v>2017</v>
      </c>
      <c r="B5592" s="17" t="s">
        <v>1442</v>
      </c>
      <c r="C5592" s="17">
        <v>0</v>
      </c>
      <c r="D5592" s="17" t="s">
        <v>801</v>
      </c>
      <c r="E5592" s="18">
        <v>3002660225004</v>
      </c>
      <c r="G5592" s="20" t="str">
        <f t="shared" si="261"/>
        <v xml:space="preserve"> MINIOBODY       </v>
      </c>
      <c r="H5592" s="20" t="str">
        <f t="shared" si="262"/>
        <v>VIODE</v>
      </c>
      <c r="I5592" s="20">
        <f t="shared" si="263"/>
        <v>0</v>
      </c>
    </row>
    <row r="5593" spans="1:9">
      <c r="A5593" s="17" t="s">
        <v>2017</v>
      </c>
      <c r="B5593" s="17" t="s">
        <v>1024</v>
      </c>
      <c r="C5593" s="17">
        <v>0</v>
      </c>
      <c r="D5593" s="17" t="s">
        <v>801</v>
      </c>
      <c r="E5593" s="18">
        <v>3020570628005</v>
      </c>
      <c r="G5593" s="20" t="str">
        <f t="shared" si="261"/>
        <v xml:space="preserve"> MINIOBODY       </v>
      </c>
      <c r="H5593" s="20" t="str">
        <f t="shared" si="262"/>
        <v xml:space="preserve">VIOL </v>
      </c>
      <c r="I5593" s="20">
        <f t="shared" si="263"/>
        <v>0</v>
      </c>
    </row>
    <row r="5594" spans="1:9">
      <c r="A5594" s="17" t="s">
        <v>2017</v>
      </c>
      <c r="B5594" s="17" t="s">
        <v>1024</v>
      </c>
      <c r="C5594" s="17">
        <v>0</v>
      </c>
      <c r="D5594" s="17" t="s">
        <v>801</v>
      </c>
      <c r="E5594" s="18">
        <v>3002660628003</v>
      </c>
      <c r="G5594" s="20" t="str">
        <f t="shared" si="261"/>
        <v xml:space="preserve"> MINIOBODY       </v>
      </c>
      <c r="H5594" s="20" t="str">
        <f t="shared" si="262"/>
        <v xml:space="preserve">VIOL </v>
      </c>
      <c r="I5594" s="20">
        <f t="shared" si="263"/>
        <v>0</v>
      </c>
    </row>
    <row r="5595" spans="1:9">
      <c r="A5595" s="17" t="s">
        <v>2017</v>
      </c>
      <c r="B5595" s="17" t="s">
        <v>927</v>
      </c>
      <c r="C5595" s="17">
        <v>0</v>
      </c>
      <c r="D5595" s="17" t="s">
        <v>801</v>
      </c>
      <c r="E5595" s="18">
        <v>3020570952001</v>
      </c>
      <c r="G5595" s="20" t="str">
        <f t="shared" si="261"/>
        <v xml:space="preserve"> MINIOBODY       </v>
      </c>
      <c r="H5595" s="20" t="str">
        <f t="shared" si="262"/>
        <v xml:space="preserve">VOLC </v>
      </c>
      <c r="I5595" s="20">
        <f t="shared" si="263"/>
        <v>0</v>
      </c>
    </row>
    <row r="5596" spans="1:9">
      <c r="A5596" s="17" t="s">
        <v>2017</v>
      </c>
      <c r="B5596" s="17" t="s">
        <v>927</v>
      </c>
      <c r="C5596" s="17">
        <v>0</v>
      </c>
      <c r="D5596" s="17" t="s">
        <v>801</v>
      </c>
      <c r="E5596" s="18">
        <v>3002660952009</v>
      </c>
      <c r="G5596" s="20" t="str">
        <f t="shared" si="261"/>
        <v xml:space="preserve"> MINIOBODY       </v>
      </c>
      <c r="H5596" s="20" t="str">
        <f t="shared" si="262"/>
        <v xml:space="preserve">VOLC </v>
      </c>
      <c r="I5596" s="20">
        <f t="shared" si="263"/>
        <v>0</v>
      </c>
    </row>
    <row r="5597" spans="1:9">
      <c r="A5597" s="17" t="s">
        <v>2017</v>
      </c>
      <c r="B5597" s="17" t="s">
        <v>928</v>
      </c>
      <c r="C5597" s="17">
        <v>0</v>
      </c>
      <c r="D5597" s="17" t="s">
        <v>801</v>
      </c>
      <c r="E5597" s="18">
        <v>3003320025002</v>
      </c>
      <c r="G5597" s="20" t="str">
        <f t="shared" si="261"/>
        <v xml:space="preserve"> MINIOBODY       </v>
      </c>
      <c r="H5597" s="20" t="str">
        <f t="shared" si="262"/>
        <v>WBLUE</v>
      </c>
      <c r="I5597" s="20">
        <f t="shared" si="263"/>
        <v>0</v>
      </c>
    </row>
    <row r="5598" spans="1:9">
      <c r="A5598" s="17" t="s">
        <v>2017</v>
      </c>
      <c r="B5598" s="17" t="s">
        <v>928</v>
      </c>
      <c r="C5598" s="17">
        <v>0</v>
      </c>
      <c r="D5598" s="17" t="s">
        <v>801</v>
      </c>
      <c r="E5598" s="18">
        <v>3002660008003</v>
      </c>
      <c r="G5598" s="20" t="str">
        <f t="shared" si="261"/>
        <v xml:space="preserve"> MINIOBODY       </v>
      </c>
      <c r="H5598" s="20" t="str">
        <f t="shared" si="262"/>
        <v>WBLUE</v>
      </c>
      <c r="I5598" s="20">
        <f t="shared" si="263"/>
        <v>0</v>
      </c>
    </row>
    <row r="5599" spans="1:9">
      <c r="A5599" s="17" t="s">
        <v>2017</v>
      </c>
      <c r="B5599" s="17" t="s">
        <v>273</v>
      </c>
      <c r="C5599" s="17">
        <v>0</v>
      </c>
      <c r="D5599" s="17" t="s">
        <v>801</v>
      </c>
      <c r="E5599" s="18">
        <v>3003320004007</v>
      </c>
      <c r="G5599" s="20" t="str">
        <f t="shared" si="261"/>
        <v xml:space="preserve"> MINIOBODY       </v>
      </c>
      <c r="H5599" s="20" t="str">
        <f t="shared" si="262"/>
        <v>WHITE</v>
      </c>
      <c r="I5599" s="20">
        <f t="shared" si="263"/>
        <v>0</v>
      </c>
    </row>
    <row r="5600" spans="1:9">
      <c r="A5600" s="17" t="s">
        <v>2017</v>
      </c>
      <c r="B5600" s="17" t="s">
        <v>273</v>
      </c>
      <c r="C5600" s="17">
        <v>0</v>
      </c>
      <c r="D5600" s="17" t="s">
        <v>801</v>
      </c>
      <c r="E5600" s="18">
        <v>8056099173394</v>
      </c>
      <c r="G5600" s="20" t="str">
        <f t="shared" si="261"/>
        <v xml:space="preserve"> MINIOBODY       </v>
      </c>
      <c r="H5600" s="20" t="str">
        <f t="shared" si="262"/>
        <v>WHITE</v>
      </c>
      <c r="I5600" s="20">
        <f t="shared" si="263"/>
        <v>0</v>
      </c>
    </row>
    <row r="5601" spans="1:9">
      <c r="A5601" s="17" t="s">
        <v>2017</v>
      </c>
      <c r="B5601" s="17" t="s">
        <v>273</v>
      </c>
      <c r="C5601" s="17">
        <v>0</v>
      </c>
      <c r="D5601" s="17" t="s">
        <v>801</v>
      </c>
      <c r="E5601" s="18">
        <v>8056099177125</v>
      </c>
      <c r="G5601" s="20" t="str">
        <f t="shared" si="261"/>
        <v xml:space="preserve"> MINIOBODY       </v>
      </c>
      <c r="H5601" s="20" t="str">
        <f t="shared" si="262"/>
        <v>WHITE</v>
      </c>
      <c r="I5601" s="20">
        <f t="shared" si="263"/>
        <v>0</v>
      </c>
    </row>
    <row r="5602" spans="1:9">
      <c r="A5602" s="17" t="s">
        <v>2017</v>
      </c>
      <c r="B5602" s="17" t="s">
        <v>273</v>
      </c>
      <c r="C5602" s="17">
        <v>0</v>
      </c>
      <c r="D5602" s="17" t="s">
        <v>801</v>
      </c>
      <c r="E5602" s="18">
        <v>3002660009000</v>
      </c>
      <c r="G5602" s="20" t="str">
        <f t="shared" si="261"/>
        <v xml:space="preserve"> MINIOBODY       </v>
      </c>
      <c r="H5602" s="20" t="str">
        <f t="shared" si="262"/>
        <v>WHITE</v>
      </c>
      <c r="I5602" s="20">
        <f t="shared" si="263"/>
        <v>0</v>
      </c>
    </row>
    <row r="5603" spans="1:9">
      <c r="A5603" s="17" t="s">
        <v>2017</v>
      </c>
      <c r="B5603" s="17" t="s">
        <v>2025</v>
      </c>
      <c r="C5603" s="17">
        <v>0</v>
      </c>
      <c r="D5603" s="17" t="s">
        <v>801</v>
      </c>
      <c r="E5603" s="18">
        <v>3003320086003</v>
      </c>
      <c r="G5603" s="20" t="str">
        <f t="shared" si="261"/>
        <v xml:space="preserve"> MINIOBODY       </v>
      </c>
      <c r="H5603" s="20" t="str">
        <f t="shared" si="262"/>
        <v>YELCH</v>
      </c>
      <c r="I5603" s="20">
        <f t="shared" si="263"/>
        <v>0</v>
      </c>
    </row>
    <row r="5604" spans="1:9">
      <c r="A5604" s="17" t="s">
        <v>2017</v>
      </c>
      <c r="B5604" s="17" t="s">
        <v>2025</v>
      </c>
      <c r="C5604" s="17">
        <v>0</v>
      </c>
      <c r="D5604" s="17" t="s">
        <v>801</v>
      </c>
      <c r="E5604" s="18">
        <v>3002660010006</v>
      </c>
      <c r="G5604" s="20" t="str">
        <f t="shared" si="261"/>
        <v xml:space="preserve"> MINIOBODY       </v>
      </c>
      <c r="H5604" s="20" t="str">
        <f t="shared" si="262"/>
        <v>YELCH</v>
      </c>
      <c r="I5604" s="20">
        <f t="shared" si="263"/>
        <v>0</v>
      </c>
    </row>
    <row r="5605" spans="1:9">
      <c r="A5605" s="17" t="s">
        <v>2017</v>
      </c>
      <c r="B5605" s="17" t="s">
        <v>825</v>
      </c>
      <c r="C5605" s="17">
        <v>0</v>
      </c>
      <c r="D5605" s="17" t="s">
        <v>801</v>
      </c>
      <c r="E5605" s="18">
        <v>3003320011005</v>
      </c>
      <c r="G5605" s="20" t="str">
        <f t="shared" si="261"/>
        <v xml:space="preserve"> MINIOBODY       </v>
      </c>
      <c r="H5605" s="20" t="str">
        <f t="shared" si="262"/>
        <v xml:space="preserve">YELL </v>
      </c>
      <c r="I5605" s="20">
        <f t="shared" si="263"/>
        <v>0</v>
      </c>
    </row>
    <row r="5606" spans="1:9">
      <c r="A5606" s="17" t="s">
        <v>2017</v>
      </c>
      <c r="B5606" s="17" t="s">
        <v>825</v>
      </c>
      <c r="C5606" s="17">
        <v>0</v>
      </c>
      <c r="D5606" s="17" t="s">
        <v>801</v>
      </c>
      <c r="E5606" s="18">
        <v>3002660011003</v>
      </c>
      <c r="G5606" s="20" t="str">
        <f t="shared" si="261"/>
        <v xml:space="preserve"> MINIOBODY       </v>
      </c>
      <c r="H5606" s="20" t="str">
        <f t="shared" si="262"/>
        <v xml:space="preserve">YELL </v>
      </c>
      <c r="I5606" s="20">
        <f t="shared" si="263"/>
        <v>0</v>
      </c>
    </row>
    <row r="5607" spans="1:9">
      <c r="A5607" s="17" t="s">
        <v>2017</v>
      </c>
      <c r="B5607" s="17" t="s">
        <v>2026</v>
      </c>
      <c r="C5607" s="17">
        <v>0</v>
      </c>
      <c r="D5607" s="17" t="s">
        <v>801</v>
      </c>
      <c r="E5607" s="18">
        <v>3002660633007</v>
      </c>
      <c r="G5607" s="20" t="str">
        <f t="shared" si="261"/>
        <v xml:space="preserve"> MINIOBODY       </v>
      </c>
      <c r="H5607" s="20" t="str">
        <f t="shared" si="262"/>
        <v xml:space="preserve">ZEB  </v>
      </c>
      <c r="I5607" s="20">
        <f t="shared" si="263"/>
        <v>0</v>
      </c>
    </row>
    <row r="5608" spans="1:9">
      <c r="A5608" s="17" t="s">
        <v>2027</v>
      </c>
      <c r="B5608" s="17" t="s">
        <v>875</v>
      </c>
      <c r="C5608" s="17">
        <v>0</v>
      </c>
      <c r="D5608" s="17" t="s">
        <v>801</v>
      </c>
      <c r="E5608" s="18">
        <v>3004620112003</v>
      </c>
      <c r="G5608" s="20" t="str">
        <f t="shared" si="261"/>
        <v xml:space="preserve"> MINIOBODYBRUSH  </v>
      </c>
      <c r="H5608" s="20" t="str">
        <f t="shared" si="262"/>
        <v xml:space="preserve">ABRI </v>
      </c>
      <c r="I5608" s="20">
        <f t="shared" si="263"/>
        <v>0</v>
      </c>
    </row>
    <row r="5609" spans="1:9">
      <c r="A5609" s="17" t="s">
        <v>2027</v>
      </c>
      <c r="B5609" s="17" t="s">
        <v>298</v>
      </c>
      <c r="C5609" s="17">
        <v>0</v>
      </c>
      <c r="D5609" s="17" t="s">
        <v>801</v>
      </c>
      <c r="E5609" s="18">
        <v>3004620536007</v>
      </c>
      <c r="G5609" s="20" t="str">
        <f t="shared" si="261"/>
        <v xml:space="preserve"> MINIOBODYBRUSH  </v>
      </c>
      <c r="H5609" s="20" t="str">
        <f t="shared" si="262"/>
        <v>APPLE</v>
      </c>
      <c r="I5609" s="20">
        <f t="shared" si="263"/>
        <v>0</v>
      </c>
    </row>
    <row r="5610" spans="1:9">
      <c r="A5610" s="17" t="s">
        <v>2027</v>
      </c>
      <c r="B5610" s="17" t="s">
        <v>879</v>
      </c>
      <c r="C5610" s="17">
        <v>0</v>
      </c>
      <c r="D5610" s="17" t="s">
        <v>801</v>
      </c>
      <c r="E5610" s="18">
        <v>3004620181009</v>
      </c>
      <c r="G5610" s="20" t="str">
        <f t="shared" si="261"/>
        <v xml:space="preserve"> MINIOBODYBRUSH  </v>
      </c>
      <c r="H5610" s="20" t="str">
        <f t="shared" si="262"/>
        <v xml:space="preserve">AZUR </v>
      </c>
      <c r="I5610" s="20">
        <f t="shared" si="263"/>
        <v>0</v>
      </c>
    </row>
    <row r="5611" spans="1:9">
      <c r="A5611" s="17" t="s">
        <v>2027</v>
      </c>
      <c r="B5611" s="17" t="s">
        <v>280</v>
      </c>
      <c r="C5611" s="17">
        <v>0</v>
      </c>
      <c r="D5611" s="17" t="s">
        <v>801</v>
      </c>
      <c r="E5611" s="18">
        <v>3004620004001</v>
      </c>
      <c r="G5611" s="20" t="str">
        <f t="shared" si="261"/>
        <v xml:space="preserve"> MINIOBODYBRUSH  </v>
      </c>
      <c r="H5611" s="20" t="str">
        <f t="shared" si="262"/>
        <v>BLACK</v>
      </c>
      <c r="I5611" s="20">
        <f t="shared" si="263"/>
        <v>0</v>
      </c>
    </row>
    <row r="5612" spans="1:9">
      <c r="A5612" s="17" t="s">
        <v>2027</v>
      </c>
      <c r="B5612" s="17" t="s">
        <v>1233</v>
      </c>
      <c r="C5612" s="17">
        <v>0</v>
      </c>
      <c r="D5612" s="17" t="s">
        <v>801</v>
      </c>
      <c r="E5612" s="18">
        <v>3004620601002</v>
      </c>
      <c r="G5612" s="20" t="str">
        <f t="shared" si="261"/>
        <v xml:space="preserve"> MINIOBODYBRUSH  </v>
      </c>
      <c r="H5612" s="20" t="str">
        <f t="shared" si="262"/>
        <v>OCEAN</v>
      </c>
      <c r="I5612" s="20">
        <f t="shared" si="263"/>
        <v>0</v>
      </c>
    </row>
    <row r="5613" spans="1:9">
      <c r="A5613" s="17" t="s">
        <v>2027</v>
      </c>
      <c r="B5613" s="17" t="s">
        <v>912</v>
      </c>
      <c r="C5613" s="17">
        <v>0</v>
      </c>
      <c r="D5613" s="17" t="s">
        <v>801</v>
      </c>
      <c r="E5613" s="18">
        <v>3004621008008</v>
      </c>
      <c r="G5613" s="20" t="str">
        <f t="shared" si="261"/>
        <v xml:space="preserve"> MINIOBODYBRUSH  </v>
      </c>
      <c r="H5613" s="20" t="str">
        <f t="shared" si="262"/>
        <v>PETRO</v>
      </c>
      <c r="I5613" s="20">
        <f t="shared" si="263"/>
        <v>0</v>
      </c>
    </row>
    <row r="5614" spans="1:9">
      <c r="A5614" s="17" t="s">
        <v>2027</v>
      </c>
      <c r="B5614" s="17" t="s">
        <v>816</v>
      </c>
      <c r="C5614" s="17">
        <v>0</v>
      </c>
      <c r="D5614" s="17" t="s">
        <v>801</v>
      </c>
      <c r="E5614" s="18">
        <v>3004620394003</v>
      </c>
      <c r="G5614" s="20" t="str">
        <f t="shared" si="261"/>
        <v xml:space="preserve"> MINIOBODYBRUSH  </v>
      </c>
      <c r="H5614" s="20" t="str">
        <f t="shared" si="262"/>
        <v xml:space="preserve">RED  </v>
      </c>
      <c r="I5614" s="20">
        <f t="shared" si="263"/>
        <v>0</v>
      </c>
    </row>
    <row r="5615" spans="1:9">
      <c r="A5615" s="17" t="s">
        <v>2027</v>
      </c>
      <c r="B5615" s="17" t="s">
        <v>1439</v>
      </c>
      <c r="C5615" s="17">
        <v>0</v>
      </c>
      <c r="D5615" s="17" t="s">
        <v>801</v>
      </c>
      <c r="E5615" s="18">
        <v>3004620614002</v>
      </c>
      <c r="G5615" s="20" t="str">
        <f t="shared" si="261"/>
        <v xml:space="preserve"> MINIOBODYBRUSH  </v>
      </c>
      <c r="H5615" s="20" t="str">
        <f t="shared" si="262"/>
        <v xml:space="preserve">RUBY </v>
      </c>
      <c r="I5615" s="20">
        <f t="shared" si="263"/>
        <v>0</v>
      </c>
    </row>
    <row r="5616" spans="1:9">
      <c r="A5616" s="17" t="s">
        <v>2027</v>
      </c>
      <c r="B5616" s="17" t="s">
        <v>1239</v>
      </c>
      <c r="C5616" s="17">
        <v>0</v>
      </c>
      <c r="D5616" s="17" t="s">
        <v>801</v>
      </c>
      <c r="E5616" s="18">
        <v>3004620337000</v>
      </c>
      <c r="G5616" s="20" t="str">
        <f t="shared" si="261"/>
        <v xml:space="preserve"> MINIOBODYBRUSH  </v>
      </c>
      <c r="H5616" s="20" t="str">
        <f t="shared" si="262"/>
        <v xml:space="preserve">SAND </v>
      </c>
      <c r="I5616" s="20">
        <f t="shared" si="263"/>
        <v>0</v>
      </c>
    </row>
    <row r="5617" spans="1:9">
      <c r="A5617" s="17" t="s">
        <v>2027</v>
      </c>
      <c r="B5617" s="17" t="s">
        <v>840</v>
      </c>
      <c r="C5617" s="17">
        <v>0</v>
      </c>
      <c r="D5617" s="17" t="s">
        <v>801</v>
      </c>
      <c r="E5617" s="18">
        <v>3004620134005</v>
      </c>
      <c r="G5617" s="20" t="str">
        <f t="shared" si="261"/>
        <v xml:space="preserve"> MINIOBODYBRUSH  </v>
      </c>
      <c r="H5617" s="20" t="str">
        <f t="shared" si="262"/>
        <v>SAUGE</v>
      </c>
      <c r="I5617" s="20">
        <f t="shared" si="263"/>
        <v>0</v>
      </c>
    </row>
    <row r="5618" spans="1:9">
      <c r="A5618" s="17" t="s">
        <v>2027</v>
      </c>
      <c r="B5618" s="17" t="s">
        <v>1079</v>
      </c>
      <c r="C5618" s="17">
        <v>0</v>
      </c>
      <c r="D5618" s="17" t="s">
        <v>801</v>
      </c>
      <c r="E5618" s="18">
        <v>3004620620003</v>
      </c>
      <c r="G5618" s="20" t="str">
        <f t="shared" si="261"/>
        <v xml:space="preserve"> MINIOBODYBRUSH  </v>
      </c>
      <c r="H5618" s="20" t="str">
        <f t="shared" si="262"/>
        <v xml:space="preserve">SLVG </v>
      </c>
      <c r="I5618" s="20">
        <f t="shared" si="263"/>
        <v>0</v>
      </c>
    </row>
    <row r="5619" spans="1:9">
      <c r="A5619" s="17" t="s">
        <v>2027</v>
      </c>
      <c r="B5619" s="17" t="s">
        <v>1013</v>
      </c>
      <c r="C5619" s="17">
        <v>0</v>
      </c>
      <c r="D5619" s="17" t="s">
        <v>801</v>
      </c>
      <c r="E5619" s="18">
        <v>3004620625008</v>
      </c>
      <c r="G5619" s="20" t="str">
        <f t="shared" si="261"/>
        <v xml:space="preserve"> MINIOBODYBRUSH  </v>
      </c>
      <c r="H5619" s="20" t="str">
        <f t="shared" si="262"/>
        <v xml:space="preserve">TURQ </v>
      </c>
      <c r="I5619" s="20">
        <f t="shared" si="263"/>
        <v>0</v>
      </c>
    </row>
    <row r="5620" spans="1:9">
      <c r="A5620" s="17" t="s">
        <v>2027</v>
      </c>
      <c r="B5620" s="17" t="s">
        <v>928</v>
      </c>
      <c r="C5620" s="17">
        <v>0</v>
      </c>
      <c r="D5620" s="17" t="s">
        <v>801</v>
      </c>
      <c r="E5620" s="18">
        <v>3004620629006</v>
      </c>
      <c r="G5620" s="20" t="str">
        <f t="shared" si="261"/>
        <v xml:space="preserve"> MINIOBODYBRUSH  </v>
      </c>
      <c r="H5620" s="20" t="str">
        <f t="shared" si="262"/>
        <v>WBLUE</v>
      </c>
      <c r="I5620" s="20">
        <f t="shared" si="263"/>
        <v>0</v>
      </c>
    </row>
    <row r="5621" spans="1:9">
      <c r="A5621" s="17" t="s">
        <v>2027</v>
      </c>
      <c r="B5621" s="17" t="s">
        <v>273</v>
      </c>
      <c r="C5621" s="17">
        <v>0</v>
      </c>
      <c r="D5621" s="17" t="s">
        <v>801</v>
      </c>
      <c r="E5621" s="18">
        <v>3004620005008</v>
      </c>
      <c r="G5621" s="20" t="str">
        <f t="shared" si="261"/>
        <v xml:space="preserve"> MINIOBODYBRUSH  </v>
      </c>
      <c r="H5621" s="20" t="str">
        <f t="shared" si="262"/>
        <v>WHITE</v>
      </c>
      <c r="I5621" s="20">
        <f t="shared" si="263"/>
        <v>0</v>
      </c>
    </row>
    <row r="5622" spans="1:9">
      <c r="A5622" s="17" t="s">
        <v>2027</v>
      </c>
      <c r="B5622" s="17" t="s">
        <v>2025</v>
      </c>
      <c r="C5622" s="17">
        <v>0</v>
      </c>
      <c r="D5622" s="17" t="s">
        <v>801</v>
      </c>
      <c r="E5622" s="18">
        <v>3004620631009</v>
      </c>
      <c r="G5622" s="20" t="str">
        <f t="shared" si="261"/>
        <v xml:space="preserve"> MINIOBODYBRUSH  </v>
      </c>
      <c r="H5622" s="20" t="str">
        <f t="shared" si="262"/>
        <v>YELCH</v>
      </c>
      <c r="I5622" s="20">
        <f t="shared" si="263"/>
        <v>0</v>
      </c>
    </row>
    <row r="5623" spans="1:9">
      <c r="A5623" s="17" t="s">
        <v>2027</v>
      </c>
      <c r="B5623" s="17" t="s">
        <v>825</v>
      </c>
      <c r="C5623" s="17">
        <v>0</v>
      </c>
      <c r="D5623" s="17" t="s">
        <v>801</v>
      </c>
      <c r="E5623" s="18">
        <v>3004620632006</v>
      </c>
      <c r="G5623" s="20" t="str">
        <f t="shared" si="261"/>
        <v xml:space="preserve"> MINIOBODYBRUSH  </v>
      </c>
      <c r="H5623" s="20" t="str">
        <f t="shared" si="262"/>
        <v xml:space="preserve">YELL </v>
      </c>
      <c r="I5623" s="20">
        <f t="shared" si="263"/>
        <v>0</v>
      </c>
    </row>
    <row r="5624" spans="1:9">
      <c r="A5624" s="17" t="s">
        <v>2028</v>
      </c>
      <c r="B5624" s="17" t="s">
        <v>930</v>
      </c>
      <c r="C5624" s="17">
        <v>0</v>
      </c>
      <c r="D5624" s="17" t="s">
        <v>801</v>
      </c>
      <c r="E5624" s="18">
        <v>3005190557003</v>
      </c>
      <c r="G5624" s="20" t="str">
        <f t="shared" si="261"/>
        <v xml:space="preserve"> MINIOBODYMATELAS</v>
      </c>
      <c r="H5624" s="20" t="str">
        <f t="shared" si="262"/>
        <v xml:space="preserve">BLK  </v>
      </c>
      <c r="I5624" s="20">
        <f t="shared" si="263"/>
        <v>0</v>
      </c>
    </row>
    <row r="5625" spans="1:9">
      <c r="A5625" s="17" t="s">
        <v>2028</v>
      </c>
      <c r="B5625" s="17" t="s">
        <v>930</v>
      </c>
      <c r="C5625" s="17">
        <v>0</v>
      </c>
      <c r="D5625" s="17" t="s">
        <v>801</v>
      </c>
      <c r="E5625" s="18">
        <v>8056099173660</v>
      </c>
      <c r="G5625" s="20" t="str">
        <f t="shared" si="261"/>
        <v xml:space="preserve"> MINIOBODYMATELAS</v>
      </c>
      <c r="H5625" s="20" t="str">
        <f t="shared" si="262"/>
        <v xml:space="preserve">BLK  </v>
      </c>
      <c r="I5625" s="20">
        <f t="shared" si="263"/>
        <v>0</v>
      </c>
    </row>
    <row r="5626" spans="1:9">
      <c r="A5626" s="17" t="s">
        <v>2028</v>
      </c>
      <c r="B5626" s="17" t="s">
        <v>853</v>
      </c>
      <c r="C5626" s="17">
        <v>0</v>
      </c>
      <c r="D5626" s="17" t="s">
        <v>801</v>
      </c>
      <c r="E5626" s="18">
        <v>3005190499006</v>
      </c>
      <c r="G5626" s="20" t="str">
        <f t="shared" si="261"/>
        <v xml:space="preserve"> MINIOBODYMATELAS</v>
      </c>
      <c r="H5626" s="20" t="str">
        <f t="shared" si="262"/>
        <v>BRONZ</v>
      </c>
      <c r="I5626" s="20">
        <f t="shared" si="263"/>
        <v>0</v>
      </c>
    </row>
    <row r="5627" spans="1:9">
      <c r="A5627" s="17" t="s">
        <v>2028</v>
      </c>
      <c r="B5627" s="17" t="s">
        <v>853</v>
      </c>
      <c r="C5627" s="17">
        <v>0</v>
      </c>
      <c r="D5627" s="17" t="s">
        <v>801</v>
      </c>
      <c r="E5627" s="18">
        <v>8056099173677</v>
      </c>
      <c r="G5627" s="20" t="str">
        <f t="shared" si="261"/>
        <v xml:space="preserve"> MINIOBODYMATELAS</v>
      </c>
      <c r="H5627" s="20" t="str">
        <f t="shared" si="262"/>
        <v>BRONZ</v>
      </c>
      <c r="I5627" s="20">
        <f t="shared" si="263"/>
        <v>0</v>
      </c>
    </row>
    <row r="5628" spans="1:9">
      <c r="A5628" s="17" t="s">
        <v>2028</v>
      </c>
      <c r="B5628" s="17" t="s">
        <v>1447</v>
      </c>
      <c r="C5628" s="17">
        <v>0</v>
      </c>
      <c r="D5628" s="17" t="s">
        <v>801</v>
      </c>
      <c r="E5628" s="18">
        <v>3005190844004</v>
      </c>
      <c r="G5628" s="20" t="str">
        <f t="shared" si="261"/>
        <v xml:space="preserve"> MINIOBODYMATELAS</v>
      </c>
      <c r="H5628" s="20" t="str">
        <f t="shared" si="262"/>
        <v xml:space="preserve">FRAG </v>
      </c>
      <c r="I5628" s="20">
        <f t="shared" si="263"/>
        <v>0</v>
      </c>
    </row>
    <row r="5629" spans="1:9">
      <c r="A5629" s="17" t="s">
        <v>2028</v>
      </c>
      <c r="B5629" s="17" t="s">
        <v>1447</v>
      </c>
      <c r="C5629" s="17">
        <v>0</v>
      </c>
      <c r="D5629" s="17" t="s">
        <v>801</v>
      </c>
      <c r="E5629" s="18">
        <v>8056099173684</v>
      </c>
      <c r="G5629" s="20" t="str">
        <f t="shared" si="261"/>
        <v xml:space="preserve"> MINIOBODYMATELAS</v>
      </c>
      <c r="H5629" s="20" t="str">
        <f t="shared" si="262"/>
        <v xml:space="preserve">FRAG </v>
      </c>
      <c r="I5629" s="20">
        <f t="shared" si="263"/>
        <v>0</v>
      </c>
    </row>
    <row r="5630" spans="1:9">
      <c r="A5630" s="17" t="s">
        <v>2028</v>
      </c>
      <c r="B5630" s="17" t="s">
        <v>838</v>
      </c>
      <c r="C5630" s="17">
        <v>0</v>
      </c>
      <c r="D5630" s="17" t="s">
        <v>801</v>
      </c>
      <c r="E5630" s="18">
        <v>3005190497002</v>
      </c>
      <c r="G5630" s="20" t="str">
        <f t="shared" si="261"/>
        <v xml:space="preserve"> MINIOBODYMATELAS</v>
      </c>
      <c r="H5630" s="20" t="str">
        <f t="shared" si="262"/>
        <v>IVOIR</v>
      </c>
      <c r="I5630" s="20">
        <f t="shared" si="263"/>
        <v>0</v>
      </c>
    </row>
    <row r="5631" spans="1:9">
      <c r="A5631" s="17" t="s">
        <v>2028</v>
      </c>
      <c r="B5631" s="17" t="s">
        <v>838</v>
      </c>
      <c r="C5631" s="17">
        <v>0</v>
      </c>
      <c r="D5631" s="17" t="s">
        <v>801</v>
      </c>
      <c r="E5631" s="18">
        <v>8056099173653</v>
      </c>
      <c r="G5631" s="20" t="str">
        <f t="shared" si="261"/>
        <v xml:space="preserve"> MINIOBODYMATELAS</v>
      </c>
      <c r="H5631" s="20" t="str">
        <f t="shared" si="262"/>
        <v>IVOIR</v>
      </c>
      <c r="I5631" s="20">
        <f t="shared" si="263"/>
        <v>0</v>
      </c>
    </row>
    <row r="5632" spans="1:9">
      <c r="A5632" s="17" t="s">
        <v>2028</v>
      </c>
      <c r="B5632" s="17" t="s">
        <v>283</v>
      </c>
      <c r="C5632" s="17">
        <v>0</v>
      </c>
      <c r="D5632" s="17" t="s">
        <v>801</v>
      </c>
      <c r="E5632" s="18">
        <v>3005190871000</v>
      </c>
      <c r="G5632" s="20" t="str">
        <f t="shared" si="261"/>
        <v xml:space="preserve"> MINIOBODYMATELAS</v>
      </c>
      <c r="H5632" s="20" t="str">
        <f t="shared" si="262"/>
        <v>PHARD</v>
      </c>
      <c r="I5632" s="20">
        <f t="shared" si="263"/>
        <v>0</v>
      </c>
    </row>
    <row r="5633" spans="1:9">
      <c r="A5633" s="17" t="s">
        <v>2028</v>
      </c>
      <c r="B5633" s="17" t="s">
        <v>283</v>
      </c>
      <c r="C5633" s="17">
        <v>0</v>
      </c>
      <c r="D5633" s="17" t="s">
        <v>801</v>
      </c>
      <c r="E5633" s="18">
        <v>8056099173691</v>
      </c>
      <c r="G5633" s="20" t="str">
        <f t="shared" si="261"/>
        <v xml:space="preserve"> MINIOBODYMATELAS</v>
      </c>
      <c r="H5633" s="20" t="str">
        <f t="shared" si="262"/>
        <v>PHARD</v>
      </c>
      <c r="I5633" s="20">
        <f t="shared" si="263"/>
        <v>0</v>
      </c>
    </row>
    <row r="5634" spans="1:9">
      <c r="A5634" s="17" t="s">
        <v>2029</v>
      </c>
      <c r="B5634" s="17" t="s">
        <v>280</v>
      </c>
      <c r="C5634" s="17">
        <v>0</v>
      </c>
      <c r="D5634" s="17" t="s">
        <v>801</v>
      </c>
      <c r="E5634" s="18">
        <v>8050846016514</v>
      </c>
      <c r="G5634" s="20" t="str">
        <f t="shared" si="261"/>
        <v xml:space="preserve"> MINIOBODYPINS   </v>
      </c>
      <c r="H5634" s="20" t="str">
        <f t="shared" si="262"/>
        <v>BLACK</v>
      </c>
      <c r="I5634" s="20">
        <f t="shared" si="263"/>
        <v>0</v>
      </c>
    </row>
    <row r="5635" spans="1:9">
      <c r="A5635" s="17" t="s">
        <v>2029</v>
      </c>
      <c r="B5635" s="17" t="s">
        <v>816</v>
      </c>
      <c r="C5635" s="17">
        <v>0</v>
      </c>
      <c r="D5635" s="17" t="s">
        <v>801</v>
      </c>
      <c r="E5635" s="18">
        <v>8050846019560</v>
      </c>
      <c r="G5635" s="20" t="str">
        <f t="shared" si="261"/>
        <v xml:space="preserve"> MINIOBODYPINS   </v>
      </c>
      <c r="H5635" s="20" t="str">
        <f t="shared" si="262"/>
        <v xml:space="preserve">RED  </v>
      </c>
      <c r="I5635" s="20">
        <f t="shared" si="263"/>
        <v>0</v>
      </c>
    </row>
    <row r="5636" spans="1:9">
      <c r="A5636" s="17" t="s">
        <v>2029</v>
      </c>
      <c r="B5636" s="17" t="s">
        <v>273</v>
      </c>
      <c r="C5636" s="17">
        <v>0</v>
      </c>
      <c r="D5636" s="17" t="s">
        <v>801</v>
      </c>
      <c r="E5636" s="18">
        <v>8050846016538</v>
      </c>
      <c r="G5636" s="20" t="str">
        <f t="shared" si="261"/>
        <v xml:space="preserve"> MINIOBODYPINS   </v>
      </c>
      <c r="H5636" s="20" t="str">
        <f t="shared" si="262"/>
        <v>WHITE</v>
      </c>
      <c r="I5636" s="20">
        <f t="shared" si="263"/>
        <v>0</v>
      </c>
    </row>
    <row r="5637" spans="1:9">
      <c r="A5637" s="17" t="s">
        <v>2029</v>
      </c>
      <c r="B5637" s="17" t="s">
        <v>273</v>
      </c>
      <c r="C5637" s="17">
        <v>0</v>
      </c>
      <c r="D5637" s="17" t="s">
        <v>801</v>
      </c>
      <c r="E5637" s="18">
        <v>3006280440007</v>
      </c>
      <c r="G5637" s="20" t="str">
        <f t="shared" ref="G5637:G5700" si="264">A5637</f>
        <v xml:space="preserve"> MINIOBODYPINS   </v>
      </c>
      <c r="H5637" s="20" t="str">
        <f t="shared" ref="H5637:H5700" si="265">B5637</f>
        <v>WHITE</v>
      </c>
      <c r="I5637" s="20">
        <f t="shared" ref="I5637:I5700" si="266">C5637</f>
        <v>0</v>
      </c>
    </row>
    <row r="5638" spans="1:9">
      <c r="A5638" s="17" t="s">
        <v>2030</v>
      </c>
      <c r="B5638" s="17" t="s">
        <v>799</v>
      </c>
      <c r="C5638" s="17">
        <v>0</v>
      </c>
      <c r="D5638" s="17" t="s">
        <v>801</v>
      </c>
      <c r="E5638" s="18">
        <v>3005270000009</v>
      </c>
      <c r="G5638" s="20" t="str">
        <f t="shared" si="264"/>
        <v xml:space="preserve"> MINIOFOLDER     </v>
      </c>
      <c r="H5638" s="20" t="str">
        <f t="shared" si="265"/>
        <v xml:space="preserve">     </v>
      </c>
      <c r="I5638" s="20">
        <f t="shared" si="266"/>
        <v>0</v>
      </c>
    </row>
    <row r="5639" spans="1:9">
      <c r="A5639" s="17" t="s">
        <v>2030</v>
      </c>
      <c r="B5639" s="17" t="s">
        <v>809</v>
      </c>
      <c r="C5639" s="17">
        <v>0</v>
      </c>
      <c r="D5639" s="17" t="s">
        <v>801</v>
      </c>
      <c r="E5639" s="18">
        <v>8050538590568</v>
      </c>
      <c r="G5639" s="20" t="str">
        <f t="shared" si="264"/>
        <v xml:space="preserve"> MINIOFOLDER     </v>
      </c>
      <c r="H5639" s="20" t="str">
        <f t="shared" si="265"/>
        <v>AUBER</v>
      </c>
      <c r="I5639" s="20">
        <f t="shared" si="266"/>
        <v>0</v>
      </c>
    </row>
    <row r="5640" spans="1:9">
      <c r="A5640" s="17" t="s">
        <v>2030</v>
      </c>
      <c r="B5640" s="17" t="s">
        <v>818</v>
      </c>
      <c r="C5640" s="17">
        <v>0</v>
      </c>
      <c r="D5640" s="17" t="s">
        <v>801</v>
      </c>
      <c r="E5640" s="18">
        <v>8056099178870</v>
      </c>
      <c r="G5640" s="20" t="str">
        <f t="shared" si="264"/>
        <v xml:space="preserve"> MINIOFOLDER     </v>
      </c>
      <c r="H5640" s="20" t="str">
        <f t="shared" si="265"/>
        <v xml:space="preserve">BDX  </v>
      </c>
      <c r="I5640" s="20">
        <f t="shared" si="266"/>
        <v>0</v>
      </c>
    </row>
    <row r="5641" spans="1:9">
      <c r="A5641" s="17" t="s">
        <v>2030</v>
      </c>
      <c r="B5641" s="17" t="s">
        <v>1077</v>
      </c>
      <c r="C5641" s="17">
        <v>0</v>
      </c>
      <c r="D5641" s="17" t="s">
        <v>801</v>
      </c>
      <c r="E5641" s="18">
        <v>3005271073002</v>
      </c>
      <c r="G5641" s="20" t="str">
        <f t="shared" si="264"/>
        <v xml:space="preserve"> MINIOFOLDER     </v>
      </c>
      <c r="H5641" s="20" t="str">
        <f t="shared" si="265"/>
        <v>BISCO</v>
      </c>
      <c r="I5641" s="20">
        <f t="shared" si="266"/>
        <v>0</v>
      </c>
    </row>
    <row r="5642" spans="1:9">
      <c r="A5642" s="17" t="s">
        <v>2030</v>
      </c>
      <c r="B5642" s="17" t="s">
        <v>1077</v>
      </c>
      <c r="C5642" s="17">
        <v>0</v>
      </c>
      <c r="D5642" s="17" t="s">
        <v>801</v>
      </c>
      <c r="E5642" s="18">
        <v>8056095069363</v>
      </c>
      <c r="G5642" s="20" t="str">
        <f t="shared" si="264"/>
        <v xml:space="preserve"> MINIOFOLDER     </v>
      </c>
      <c r="H5642" s="20" t="str">
        <f t="shared" si="265"/>
        <v>BISCO</v>
      </c>
      <c r="I5642" s="20">
        <f t="shared" si="266"/>
        <v>0</v>
      </c>
    </row>
    <row r="5643" spans="1:9">
      <c r="A5643" s="17" t="s">
        <v>2030</v>
      </c>
      <c r="B5643" s="17" t="s">
        <v>280</v>
      </c>
      <c r="C5643" s="17">
        <v>0</v>
      </c>
      <c r="D5643" s="17" t="s">
        <v>801</v>
      </c>
      <c r="E5643" s="18">
        <v>8056095069387</v>
      </c>
      <c r="G5643" s="20" t="str">
        <f t="shared" si="264"/>
        <v xml:space="preserve"> MINIOFOLDER     </v>
      </c>
      <c r="H5643" s="20" t="str">
        <f t="shared" si="265"/>
        <v>BLACK</v>
      </c>
      <c r="I5643" s="20">
        <f t="shared" si="266"/>
        <v>0</v>
      </c>
    </row>
    <row r="5644" spans="1:9">
      <c r="A5644" s="17" t="s">
        <v>2030</v>
      </c>
      <c r="B5644" s="17" t="s">
        <v>930</v>
      </c>
      <c r="C5644" s="17">
        <v>0</v>
      </c>
      <c r="D5644" s="17" t="s">
        <v>801</v>
      </c>
      <c r="E5644" s="18">
        <v>3005270557008</v>
      </c>
      <c r="G5644" s="20" t="str">
        <f t="shared" si="264"/>
        <v xml:space="preserve"> MINIOFOLDER     </v>
      </c>
      <c r="H5644" s="20" t="str">
        <f t="shared" si="265"/>
        <v xml:space="preserve">BLK  </v>
      </c>
      <c r="I5644" s="20">
        <f t="shared" si="266"/>
        <v>0</v>
      </c>
    </row>
    <row r="5645" spans="1:9">
      <c r="A5645" s="17" t="s">
        <v>2030</v>
      </c>
      <c r="B5645" s="17" t="s">
        <v>1026</v>
      </c>
      <c r="C5645" s="17">
        <v>0</v>
      </c>
      <c r="D5645" s="17" t="s">
        <v>801</v>
      </c>
      <c r="E5645" s="18">
        <v>8056099179778</v>
      </c>
      <c r="G5645" s="20" t="str">
        <f t="shared" si="264"/>
        <v xml:space="preserve"> MINIOFOLDER     </v>
      </c>
      <c r="H5645" s="20" t="str">
        <f t="shared" si="265"/>
        <v>BLUAV</v>
      </c>
      <c r="I5645" s="20">
        <f t="shared" si="266"/>
        <v>0</v>
      </c>
    </row>
    <row r="5646" spans="1:9">
      <c r="A5646" s="17" t="s">
        <v>2030</v>
      </c>
      <c r="B5646" s="17" t="s">
        <v>2031</v>
      </c>
      <c r="C5646" s="17">
        <v>0</v>
      </c>
      <c r="D5646" s="17" t="s">
        <v>801</v>
      </c>
      <c r="E5646" s="18">
        <v>8056099176791</v>
      </c>
      <c r="G5646" s="20" t="str">
        <f t="shared" si="264"/>
        <v xml:space="preserve"> MINIOFOLDER     </v>
      </c>
      <c r="H5646" s="20" t="str">
        <f t="shared" si="265"/>
        <v>NARCI</v>
      </c>
      <c r="I5646" s="20">
        <f t="shared" si="266"/>
        <v>0</v>
      </c>
    </row>
    <row r="5647" spans="1:9">
      <c r="A5647" s="17" t="s">
        <v>2030</v>
      </c>
      <c r="B5647" s="17" t="s">
        <v>1078</v>
      </c>
      <c r="C5647" s="17">
        <v>0</v>
      </c>
      <c r="D5647" s="17" t="s">
        <v>801</v>
      </c>
      <c r="E5647" s="18">
        <v>3005270494006</v>
      </c>
      <c r="G5647" s="20" t="str">
        <f t="shared" si="264"/>
        <v xml:space="preserve"> MINIOFOLDER     </v>
      </c>
      <c r="H5647" s="20" t="str">
        <f t="shared" si="265"/>
        <v xml:space="preserve">NAVY </v>
      </c>
      <c r="I5647" s="20">
        <f t="shared" si="266"/>
        <v>0</v>
      </c>
    </row>
    <row r="5648" spans="1:9">
      <c r="A5648" s="17" t="s">
        <v>2030</v>
      </c>
      <c r="B5648" s="17" t="s">
        <v>971</v>
      </c>
      <c r="C5648" s="17">
        <v>0</v>
      </c>
      <c r="D5648" s="17" t="s">
        <v>801</v>
      </c>
      <c r="E5648" s="18">
        <v>8050538590681</v>
      </c>
      <c r="G5648" s="20" t="str">
        <f t="shared" si="264"/>
        <v xml:space="preserve"> MINIOFOLDER     </v>
      </c>
      <c r="H5648" s="20" t="str">
        <f t="shared" si="265"/>
        <v>OTTAN</v>
      </c>
      <c r="I5648" s="20">
        <f t="shared" si="266"/>
        <v>0</v>
      </c>
    </row>
    <row r="5649" spans="1:9">
      <c r="A5649" s="17" t="s">
        <v>2030</v>
      </c>
      <c r="B5649" s="17" t="s">
        <v>283</v>
      </c>
      <c r="C5649" s="17">
        <v>0</v>
      </c>
      <c r="D5649" s="17" t="s">
        <v>801</v>
      </c>
      <c r="E5649" s="18">
        <v>3005270871005</v>
      </c>
      <c r="G5649" s="20" t="str">
        <f t="shared" si="264"/>
        <v xml:space="preserve"> MINIOFOLDER     </v>
      </c>
      <c r="H5649" s="20" t="str">
        <f t="shared" si="265"/>
        <v>PHARD</v>
      </c>
      <c r="I5649" s="20">
        <f t="shared" si="266"/>
        <v>0</v>
      </c>
    </row>
    <row r="5650" spans="1:9">
      <c r="A5650" s="17" t="s">
        <v>2030</v>
      </c>
      <c r="B5650" s="17" t="s">
        <v>283</v>
      </c>
      <c r="C5650" s="17">
        <v>0</v>
      </c>
      <c r="D5650" s="17" t="s">
        <v>801</v>
      </c>
      <c r="E5650" s="18">
        <v>8056095069332</v>
      </c>
      <c r="G5650" s="20" t="str">
        <f t="shared" si="264"/>
        <v xml:space="preserve"> MINIOFOLDER     </v>
      </c>
      <c r="H5650" s="20" t="str">
        <f t="shared" si="265"/>
        <v>PHARD</v>
      </c>
      <c r="I5650" s="20">
        <f t="shared" si="266"/>
        <v>0</v>
      </c>
    </row>
    <row r="5651" spans="1:9">
      <c r="A5651" s="17" t="s">
        <v>2030</v>
      </c>
      <c r="B5651" s="17" t="s">
        <v>1239</v>
      </c>
      <c r="C5651" s="17">
        <v>0</v>
      </c>
      <c r="D5651" s="17" t="s">
        <v>801</v>
      </c>
      <c r="E5651" s="18">
        <v>3005270400007</v>
      </c>
      <c r="G5651" s="20" t="str">
        <f t="shared" si="264"/>
        <v xml:space="preserve"> MINIOFOLDER     </v>
      </c>
      <c r="H5651" s="20" t="str">
        <f t="shared" si="265"/>
        <v xml:space="preserve">SAND </v>
      </c>
      <c r="I5651" s="20">
        <f t="shared" si="266"/>
        <v>0</v>
      </c>
    </row>
    <row r="5652" spans="1:9">
      <c r="A5652" s="17" t="s">
        <v>2030</v>
      </c>
      <c r="B5652" s="17" t="s">
        <v>1079</v>
      </c>
      <c r="C5652" s="17">
        <v>0</v>
      </c>
      <c r="D5652" s="17" t="s">
        <v>801</v>
      </c>
      <c r="E5652" s="18">
        <v>3005270410006</v>
      </c>
      <c r="G5652" s="20" t="str">
        <f t="shared" si="264"/>
        <v xml:space="preserve"> MINIOFOLDER     </v>
      </c>
      <c r="H5652" s="20" t="str">
        <f t="shared" si="265"/>
        <v xml:space="preserve">SLVG </v>
      </c>
      <c r="I5652" s="20">
        <f t="shared" si="266"/>
        <v>0</v>
      </c>
    </row>
    <row r="5653" spans="1:9">
      <c r="A5653" s="17" t="s">
        <v>2030</v>
      </c>
      <c r="B5653" s="17" t="s">
        <v>1079</v>
      </c>
      <c r="C5653" s="17">
        <v>0</v>
      </c>
      <c r="D5653" s="17" t="s">
        <v>801</v>
      </c>
      <c r="E5653" s="18">
        <v>8056095069370</v>
      </c>
      <c r="G5653" s="20" t="str">
        <f t="shared" si="264"/>
        <v xml:space="preserve"> MINIOFOLDER     </v>
      </c>
      <c r="H5653" s="20" t="str">
        <f t="shared" si="265"/>
        <v xml:space="preserve">SLVG </v>
      </c>
      <c r="I5653" s="20">
        <f t="shared" si="266"/>
        <v>0</v>
      </c>
    </row>
    <row r="5654" spans="1:9">
      <c r="A5654" s="17" t="s">
        <v>2030</v>
      </c>
      <c r="B5654" s="17" t="s">
        <v>1080</v>
      </c>
      <c r="C5654" s="17">
        <v>0</v>
      </c>
      <c r="D5654" s="17" t="s">
        <v>801</v>
      </c>
      <c r="E5654" s="18">
        <v>3005271074009</v>
      </c>
      <c r="G5654" s="20" t="str">
        <f t="shared" si="264"/>
        <v xml:space="preserve"> MINIOFOLDER     </v>
      </c>
      <c r="H5654" s="20" t="str">
        <f t="shared" si="265"/>
        <v>TERRA</v>
      </c>
      <c r="I5654" s="20">
        <f t="shared" si="266"/>
        <v>0</v>
      </c>
    </row>
    <row r="5655" spans="1:9">
      <c r="A5655" s="17" t="s">
        <v>2030</v>
      </c>
      <c r="B5655" s="17" t="s">
        <v>1080</v>
      </c>
      <c r="C5655" s="17">
        <v>0</v>
      </c>
      <c r="D5655" s="17" t="s">
        <v>801</v>
      </c>
      <c r="E5655" s="18">
        <v>8056095069349</v>
      </c>
      <c r="G5655" s="20" t="str">
        <f t="shared" si="264"/>
        <v xml:space="preserve"> MINIOFOLDER     </v>
      </c>
      <c r="H5655" s="20" t="str">
        <f t="shared" si="265"/>
        <v>TERRA</v>
      </c>
      <c r="I5655" s="20">
        <f t="shared" si="266"/>
        <v>0</v>
      </c>
    </row>
    <row r="5656" spans="1:9">
      <c r="A5656" s="17" t="s">
        <v>2030</v>
      </c>
      <c r="B5656" s="17" t="s">
        <v>1664</v>
      </c>
      <c r="C5656" s="17">
        <v>0</v>
      </c>
      <c r="D5656" s="17" t="s">
        <v>801</v>
      </c>
      <c r="E5656" s="18">
        <v>3005271079004</v>
      </c>
      <c r="G5656" s="20" t="str">
        <f t="shared" si="264"/>
        <v xml:space="preserve"> MINIOFOLDER     </v>
      </c>
      <c r="H5656" s="20" t="str">
        <f t="shared" si="265"/>
        <v>VERAN</v>
      </c>
      <c r="I5656" s="20">
        <f t="shared" si="266"/>
        <v>0</v>
      </c>
    </row>
    <row r="5657" spans="1:9">
      <c r="A5657" s="17" t="s">
        <v>2030</v>
      </c>
      <c r="B5657" s="17" t="s">
        <v>1664</v>
      </c>
      <c r="C5657" s="17">
        <v>0</v>
      </c>
      <c r="D5657" s="17" t="s">
        <v>801</v>
      </c>
      <c r="E5657" s="18">
        <v>3006041079002</v>
      </c>
      <c r="G5657" s="20" t="str">
        <f t="shared" si="264"/>
        <v xml:space="preserve"> MINIOFOLDER     </v>
      </c>
      <c r="H5657" s="20" t="str">
        <f t="shared" si="265"/>
        <v>VERAN</v>
      </c>
      <c r="I5657" s="20">
        <f t="shared" si="266"/>
        <v>0</v>
      </c>
    </row>
    <row r="5658" spans="1:9">
      <c r="A5658" s="17" t="s">
        <v>2030</v>
      </c>
      <c r="B5658" s="17" t="s">
        <v>867</v>
      </c>
      <c r="C5658" s="17">
        <v>0</v>
      </c>
      <c r="D5658" s="17" t="s">
        <v>801</v>
      </c>
      <c r="E5658" s="18">
        <v>3005271032009</v>
      </c>
      <c r="G5658" s="20" t="str">
        <f t="shared" si="264"/>
        <v xml:space="preserve"> MINIOFOLDER     </v>
      </c>
      <c r="H5658" s="20" t="str">
        <f t="shared" si="265"/>
        <v>VERTF</v>
      </c>
      <c r="I5658" s="20">
        <f t="shared" si="266"/>
        <v>0</v>
      </c>
    </row>
    <row r="5659" spans="1:9">
      <c r="A5659" s="17" t="s">
        <v>2030</v>
      </c>
      <c r="B5659" s="17" t="s">
        <v>867</v>
      </c>
      <c r="C5659" s="17">
        <v>0</v>
      </c>
      <c r="D5659" s="17" t="s">
        <v>801</v>
      </c>
      <c r="E5659" s="18">
        <v>8056095069356</v>
      </c>
      <c r="G5659" s="20" t="str">
        <f t="shared" si="264"/>
        <v xml:space="preserve"> MINIOFOLDER     </v>
      </c>
      <c r="H5659" s="20" t="str">
        <f t="shared" si="265"/>
        <v>VERTF</v>
      </c>
      <c r="I5659" s="20">
        <f t="shared" si="266"/>
        <v>0</v>
      </c>
    </row>
    <row r="5660" spans="1:9">
      <c r="A5660" s="17" t="s">
        <v>2030</v>
      </c>
      <c r="B5660" s="17" t="s">
        <v>927</v>
      </c>
      <c r="C5660" s="17">
        <v>0</v>
      </c>
      <c r="D5660" s="17" t="s">
        <v>801</v>
      </c>
      <c r="E5660" s="18">
        <v>3005270437003</v>
      </c>
      <c r="G5660" s="20" t="str">
        <f t="shared" si="264"/>
        <v xml:space="preserve"> MINIOFOLDER     </v>
      </c>
      <c r="H5660" s="20" t="str">
        <f t="shared" si="265"/>
        <v xml:space="preserve">VOLC </v>
      </c>
      <c r="I5660" s="20">
        <f t="shared" si="266"/>
        <v>0</v>
      </c>
    </row>
    <row r="5661" spans="1:9">
      <c r="A5661" s="17" t="s">
        <v>2032</v>
      </c>
      <c r="B5661" s="17" t="s">
        <v>280</v>
      </c>
      <c r="C5661" s="17">
        <v>0</v>
      </c>
      <c r="D5661" s="17" t="s">
        <v>801</v>
      </c>
      <c r="E5661" s="18">
        <v>3004080557000</v>
      </c>
      <c r="G5661" s="20" t="str">
        <f t="shared" si="264"/>
        <v xml:space="preserve"> MINIRENA        </v>
      </c>
      <c r="H5661" s="20" t="str">
        <f t="shared" si="265"/>
        <v>BLACK</v>
      </c>
      <c r="I5661" s="20">
        <f t="shared" si="266"/>
        <v>0</v>
      </c>
    </row>
    <row r="5662" spans="1:9">
      <c r="A5662" s="17" t="s">
        <v>2032</v>
      </c>
      <c r="B5662" s="17" t="s">
        <v>280</v>
      </c>
      <c r="C5662" s="17">
        <v>0</v>
      </c>
      <c r="D5662" s="17" t="s">
        <v>801</v>
      </c>
      <c r="E5662" s="18">
        <v>3004140557001</v>
      </c>
      <c r="G5662" s="20" t="str">
        <f t="shared" si="264"/>
        <v xml:space="preserve"> MINIRENA        </v>
      </c>
      <c r="H5662" s="20" t="str">
        <f t="shared" si="265"/>
        <v>BLACK</v>
      </c>
      <c r="I5662" s="20">
        <f t="shared" si="266"/>
        <v>0</v>
      </c>
    </row>
    <row r="5663" spans="1:9">
      <c r="A5663" s="17" t="s">
        <v>2032</v>
      </c>
      <c r="B5663" s="17" t="s">
        <v>810</v>
      </c>
      <c r="C5663" s="17">
        <v>0</v>
      </c>
      <c r="D5663" s="17" t="s">
        <v>801</v>
      </c>
      <c r="E5663" s="18">
        <v>3004780319007</v>
      </c>
      <c r="G5663" s="20" t="str">
        <f t="shared" si="264"/>
        <v xml:space="preserve"> MINIRENA        </v>
      </c>
      <c r="H5663" s="20" t="str">
        <f t="shared" si="265"/>
        <v xml:space="preserve">BLUE </v>
      </c>
      <c r="I5663" s="20">
        <f t="shared" si="266"/>
        <v>0</v>
      </c>
    </row>
    <row r="5664" spans="1:9">
      <c r="A5664" s="17" t="s">
        <v>2032</v>
      </c>
      <c r="B5664" s="17" t="s">
        <v>810</v>
      </c>
      <c r="C5664" s="17">
        <v>0</v>
      </c>
      <c r="D5664" s="17" t="s">
        <v>801</v>
      </c>
      <c r="E5664" s="18">
        <v>3004140284006</v>
      </c>
      <c r="G5664" s="20" t="str">
        <f t="shared" si="264"/>
        <v xml:space="preserve"> MINIRENA        </v>
      </c>
      <c r="H5664" s="20" t="str">
        <f t="shared" si="265"/>
        <v xml:space="preserve">BLUE </v>
      </c>
      <c r="I5664" s="20">
        <f t="shared" si="266"/>
        <v>0</v>
      </c>
    </row>
    <row r="5665" spans="1:9">
      <c r="A5665" s="17" t="s">
        <v>2032</v>
      </c>
      <c r="B5665" s="17" t="s">
        <v>1092</v>
      </c>
      <c r="C5665" s="17">
        <v>0</v>
      </c>
      <c r="D5665" s="17" t="s">
        <v>801</v>
      </c>
      <c r="E5665" s="18">
        <v>3004140455000</v>
      </c>
      <c r="G5665" s="20" t="str">
        <f t="shared" si="264"/>
        <v xml:space="preserve"> MINIRENA        </v>
      </c>
      <c r="H5665" s="20" t="str">
        <f t="shared" si="265"/>
        <v>MULTI</v>
      </c>
      <c r="I5665" s="20">
        <f t="shared" si="266"/>
        <v>0</v>
      </c>
    </row>
    <row r="5666" spans="1:9">
      <c r="A5666" s="17" t="s">
        <v>2032</v>
      </c>
      <c r="B5666" s="17" t="s">
        <v>1092</v>
      </c>
      <c r="C5666" s="17">
        <v>0</v>
      </c>
      <c r="D5666" s="17" t="s">
        <v>801</v>
      </c>
      <c r="E5666" s="18">
        <v>3004080455009</v>
      </c>
      <c r="G5666" s="20" t="str">
        <f t="shared" si="264"/>
        <v xml:space="preserve"> MINIRENA        </v>
      </c>
      <c r="H5666" s="20" t="str">
        <f t="shared" si="265"/>
        <v>MULTI</v>
      </c>
      <c r="I5666" s="20">
        <f t="shared" si="266"/>
        <v>0</v>
      </c>
    </row>
    <row r="5667" spans="1:9">
      <c r="A5667" s="17" t="s">
        <v>2032</v>
      </c>
      <c r="B5667" s="17" t="s">
        <v>859</v>
      </c>
      <c r="C5667" s="17">
        <v>0</v>
      </c>
      <c r="D5667" s="17" t="s">
        <v>801</v>
      </c>
      <c r="E5667" s="18">
        <v>3004780597009</v>
      </c>
      <c r="G5667" s="20" t="str">
        <f t="shared" si="264"/>
        <v xml:space="preserve"> MINIRENA        </v>
      </c>
      <c r="H5667" s="20" t="str">
        <f t="shared" si="265"/>
        <v>NATUR</v>
      </c>
      <c r="I5667" s="20">
        <f t="shared" si="266"/>
        <v>0</v>
      </c>
    </row>
    <row r="5668" spans="1:9">
      <c r="A5668" s="17" t="s">
        <v>2032</v>
      </c>
      <c r="B5668" s="17" t="s">
        <v>859</v>
      </c>
      <c r="C5668" s="17">
        <v>0</v>
      </c>
      <c r="D5668" s="17" t="s">
        <v>801</v>
      </c>
      <c r="E5668" s="18">
        <v>3004140370006</v>
      </c>
      <c r="G5668" s="20" t="str">
        <f t="shared" si="264"/>
        <v xml:space="preserve"> MINIRENA        </v>
      </c>
      <c r="H5668" s="20" t="str">
        <f t="shared" si="265"/>
        <v>NATUR</v>
      </c>
      <c r="I5668" s="20">
        <f t="shared" si="266"/>
        <v>0</v>
      </c>
    </row>
    <row r="5669" spans="1:9">
      <c r="A5669" s="17" t="s">
        <v>2032</v>
      </c>
      <c r="B5669" s="17" t="s">
        <v>1917</v>
      </c>
      <c r="C5669" s="17">
        <v>0</v>
      </c>
      <c r="D5669" s="17" t="s">
        <v>801</v>
      </c>
      <c r="E5669" s="18">
        <v>3004080581005</v>
      </c>
      <c r="G5669" s="20" t="str">
        <f t="shared" si="264"/>
        <v xml:space="preserve"> MINIRENA        </v>
      </c>
      <c r="H5669" s="20" t="str">
        <f t="shared" si="265"/>
        <v>PATNE</v>
      </c>
      <c r="I5669" s="20">
        <f t="shared" si="266"/>
        <v>0</v>
      </c>
    </row>
    <row r="5670" spans="1:9">
      <c r="A5670" s="17" t="s">
        <v>2032</v>
      </c>
      <c r="B5670" s="17" t="s">
        <v>1389</v>
      </c>
      <c r="C5670" s="17">
        <v>0</v>
      </c>
      <c r="D5670" s="17" t="s">
        <v>801</v>
      </c>
      <c r="E5670" s="18">
        <v>3004080381001</v>
      </c>
      <c r="G5670" s="20" t="str">
        <f t="shared" si="264"/>
        <v xml:space="preserve"> MINIRENA        </v>
      </c>
      <c r="H5670" s="20" t="str">
        <f t="shared" si="265"/>
        <v xml:space="preserve">PINK </v>
      </c>
      <c r="I5670" s="20">
        <f t="shared" si="266"/>
        <v>0</v>
      </c>
    </row>
    <row r="5671" spans="1:9">
      <c r="A5671" s="17" t="s">
        <v>2032</v>
      </c>
      <c r="B5671" s="17" t="s">
        <v>1389</v>
      </c>
      <c r="C5671" s="17">
        <v>0</v>
      </c>
      <c r="D5671" s="17" t="s">
        <v>801</v>
      </c>
      <c r="E5671" s="18">
        <v>3004140381002</v>
      </c>
      <c r="G5671" s="20" t="str">
        <f t="shared" si="264"/>
        <v xml:space="preserve"> MINIRENA        </v>
      </c>
      <c r="H5671" s="20" t="str">
        <f t="shared" si="265"/>
        <v xml:space="preserve">PINK </v>
      </c>
      <c r="I5671" s="20">
        <f t="shared" si="266"/>
        <v>0</v>
      </c>
    </row>
    <row r="5672" spans="1:9">
      <c r="A5672" s="17" t="s">
        <v>2033</v>
      </c>
      <c r="B5672" s="17" t="s">
        <v>810</v>
      </c>
      <c r="C5672" s="17">
        <v>0</v>
      </c>
      <c r="D5672" s="17" t="s">
        <v>801</v>
      </c>
      <c r="E5672" s="18">
        <v>3005020284000</v>
      </c>
      <c r="G5672" s="20" t="str">
        <f t="shared" si="264"/>
        <v xml:space="preserve"> MINIVISON       </v>
      </c>
      <c r="H5672" s="20" t="str">
        <f t="shared" si="265"/>
        <v xml:space="preserve">BLUE </v>
      </c>
      <c r="I5672" s="20">
        <f t="shared" si="266"/>
        <v>0</v>
      </c>
    </row>
    <row r="5673" spans="1:9">
      <c r="A5673" s="17" t="s">
        <v>2034</v>
      </c>
      <c r="B5673" s="17" t="s">
        <v>1453</v>
      </c>
      <c r="C5673" s="17">
        <v>0</v>
      </c>
      <c r="D5673" s="17" t="s">
        <v>801</v>
      </c>
      <c r="E5673" s="18">
        <v>3004080133006</v>
      </c>
      <c r="G5673" s="20" t="str">
        <f t="shared" si="264"/>
        <v xml:space="preserve"> MONTURE         </v>
      </c>
      <c r="H5673" s="20" t="str">
        <f t="shared" si="265"/>
        <v xml:space="preserve">UNI  </v>
      </c>
      <c r="I5673" s="20">
        <f t="shared" si="266"/>
        <v>0</v>
      </c>
    </row>
    <row r="5674" spans="1:9">
      <c r="A5674" s="17" t="s">
        <v>2035</v>
      </c>
      <c r="B5674" s="17" t="s">
        <v>1453</v>
      </c>
      <c r="C5674" s="17">
        <v>0</v>
      </c>
      <c r="D5674" s="17" t="s">
        <v>801</v>
      </c>
      <c r="E5674" s="18">
        <v>3005140427004</v>
      </c>
      <c r="G5674" s="20" t="str">
        <f t="shared" si="264"/>
        <v xml:space="preserve"> MONTURE/AVIATOR </v>
      </c>
      <c r="H5674" s="20" t="str">
        <f t="shared" si="265"/>
        <v xml:space="preserve">UNI  </v>
      </c>
      <c r="I5674" s="20">
        <f t="shared" si="266"/>
        <v>0</v>
      </c>
    </row>
    <row r="5675" spans="1:9">
      <c r="A5675" s="17" t="s">
        <v>2036</v>
      </c>
      <c r="B5675" s="17" t="s">
        <v>280</v>
      </c>
      <c r="C5675" s="17">
        <v>0</v>
      </c>
      <c r="D5675" s="17" t="s">
        <v>801</v>
      </c>
      <c r="E5675" s="18">
        <v>3003610087000</v>
      </c>
      <c r="G5675" s="20" t="str">
        <f t="shared" si="264"/>
        <v xml:space="preserve"> MOURMASKI       </v>
      </c>
      <c r="H5675" s="20" t="str">
        <f t="shared" si="265"/>
        <v>BLACK</v>
      </c>
      <c r="I5675" s="20">
        <f t="shared" si="266"/>
        <v>0</v>
      </c>
    </row>
    <row r="5676" spans="1:9">
      <c r="A5676" s="17" t="s">
        <v>2036</v>
      </c>
      <c r="B5676" s="17" t="s">
        <v>891</v>
      </c>
      <c r="C5676" s="17">
        <v>0</v>
      </c>
      <c r="D5676" s="17" t="s">
        <v>801</v>
      </c>
      <c r="E5676" s="18">
        <v>3003610063004</v>
      </c>
      <c r="G5676" s="20" t="str">
        <f t="shared" si="264"/>
        <v xml:space="preserve"> MOURMASKI       </v>
      </c>
      <c r="H5676" s="20" t="str">
        <f t="shared" si="265"/>
        <v>GREEN</v>
      </c>
      <c r="I5676" s="20">
        <f t="shared" si="266"/>
        <v>0</v>
      </c>
    </row>
    <row r="5677" spans="1:9">
      <c r="A5677" s="17" t="s">
        <v>2036</v>
      </c>
      <c r="B5677" s="17" t="s">
        <v>859</v>
      </c>
      <c r="C5677" s="17">
        <v>0</v>
      </c>
      <c r="D5677" s="17" t="s">
        <v>801</v>
      </c>
      <c r="E5677" s="18">
        <v>3003610088007</v>
      </c>
      <c r="G5677" s="20" t="str">
        <f t="shared" si="264"/>
        <v xml:space="preserve"> MOURMASKI       </v>
      </c>
      <c r="H5677" s="20" t="str">
        <f t="shared" si="265"/>
        <v>NATUR</v>
      </c>
      <c r="I5677" s="20">
        <f t="shared" si="266"/>
        <v>0</v>
      </c>
    </row>
    <row r="5678" spans="1:9">
      <c r="A5678" s="17" t="s">
        <v>2036</v>
      </c>
      <c r="B5678" s="17" t="s">
        <v>816</v>
      </c>
      <c r="C5678" s="17">
        <v>0</v>
      </c>
      <c r="D5678" s="17" t="s">
        <v>801</v>
      </c>
      <c r="E5678" s="18">
        <v>3003610010008</v>
      </c>
      <c r="G5678" s="20" t="str">
        <f t="shared" si="264"/>
        <v xml:space="preserve"> MOURMASKI       </v>
      </c>
      <c r="H5678" s="20" t="str">
        <f t="shared" si="265"/>
        <v xml:space="preserve">RED  </v>
      </c>
      <c r="I5678" s="20">
        <f t="shared" si="266"/>
        <v>0</v>
      </c>
    </row>
    <row r="5679" spans="1:9">
      <c r="A5679" s="17" t="s">
        <v>2037</v>
      </c>
      <c r="B5679" s="17" t="s">
        <v>273</v>
      </c>
      <c r="C5679" s="17">
        <v>0</v>
      </c>
      <c r="D5679" s="17" t="s">
        <v>801</v>
      </c>
      <c r="E5679" s="18">
        <v>3004500005005</v>
      </c>
      <c r="G5679" s="20" t="str">
        <f t="shared" si="264"/>
        <v xml:space="preserve"> MOUTONAVIATEUR  </v>
      </c>
      <c r="H5679" s="20" t="str">
        <f t="shared" si="265"/>
        <v>WHITE</v>
      </c>
      <c r="I5679" s="20">
        <f t="shared" si="266"/>
        <v>0</v>
      </c>
    </row>
    <row r="5680" spans="1:9">
      <c r="A5680" s="17" t="s">
        <v>2038</v>
      </c>
      <c r="B5680" s="17" t="s">
        <v>2039</v>
      </c>
      <c r="C5680" s="17">
        <v>0</v>
      </c>
      <c r="D5680" s="17" t="s">
        <v>801</v>
      </c>
      <c r="E5680" s="18">
        <v>3003670105003</v>
      </c>
      <c r="G5680" s="20" t="str">
        <f t="shared" si="264"/>
        <v xml:space="preserve"> NEWOCHIVE       </v>
      </c>
      <c r="H5680" s="20" t="str">
        <f t="shared" si="265"/>
        <v>BOIAC</v>
      </c>
      <c r="I5680" s="20">
        <f t="shared" si="266"/>
        <v>0</v>
      </c>
    </row>
    <row r="5681" spans="1:9">
      <c r="A5681" s="17" t="s">
        <v>2038</v>
      </c>
      <c r="B5681" s="17" t="s">
        <v>2040</v>
      </c>
      <c r="C5681" s="17">
        <v>0</v>
      </c>
      <c r="D5681" s="17" t="s">
        <v>801</v>
      </c>
      <c r="E5681" s="18">
        <v>3020590147005</v>
      </c>
      <c r="G5681" s="20" t="str">
        <f t="shared" si="264"/>
        <v xml:space="preserve"> NEWOCHIVE       </v>
      </c>
      <c r="H5681" s="20" t="str">
        <f t="shared" si="265"/>
        <v>BOICE</v>
      </c>
      <c r="I5681" s="20">
        <f t="shared" si="266"/>
        <v>0</v>
      </c>
    </row>
    <row r="5682" spans="1:9">
      <c r="A5682" s="17" t="s">
        <v>2038</v>
      </c>
      <c r="B5682" s="17" t="s">
        <v>2041</v>
      </c>
      <c r="C5682" s="17">
        <v>0</v>
      </c>
      <c r="D5682" s="17" t="s">
        <v>801</v>
      </c>
      <c r="E5682" s="18">
        <v>3003670104006</v>
      </c>
      <c r="G5682" s="20" t="str">
        <f t="shared" si="264"/>
        <v xml:space="preserve"> NEWOCHIVE       </v>
      </c>
      <c r="H5682" s="20" t="str">
        <f t="shared" si="265"/>
        <v>BOICH</v>
      </c>
      <c r="I5682" s="20">
        <f t="shared" si="266"/>
        <v>0</v>
      </c>
    </row>
    <row r="5683" spans="1:9">
      <c r="A5683" s="17" t="s">
        <v>2038</v>
      </c>
      <c r="B5683" s="17" t="s">
        <v>2042</v>
      </c>
      <c r="C5683" s="17">
        <v>0</v>
      </c>
      <c r="D5683" s="17" t="s">
        <v>801</v>
      </c>
      <c r="E5683" s="18">
        <v>3003670108004</v>
      </c>
      <c r="G5683" s="20" t="str">
        <f t="shared" si="264"/>
        <v xml:space="preserve"> NEWOCHIVE       </v>
      </c>
      <c r="H5683" s="20" t="str">
        <f t="shared" si="265"/>
        <v>BOICM</v>
      </c>
      <c r="I5683" s="20">
        <f t="shared" si="266"/>
        <v>0</v>
      </c>
    </row>
    <row r="5684" spans="1:9">
      <c r="A5684" s="17" t="s">
        <v>2038</v>
      </c>
      <c r="B5684" s="17" t="s">
        <v>2042</v>
      </c>
      <c r="C5684" s="17">
        <v>0</v>
      </c>
      <c r="D5684" s="17" t="s">
        <v>801</v>
      </c>
      <c r="E5684" s="18">
        <v>3020590000003</v>
      </c>
      <c r="G5684" s="20" t="str">
        <f t="shared" si="264"/>
        <v xml:space="preserve"> NEWOCHIVE       </v>
      </c>
      <c r="H5684" s="20" t="str">
        <f t="shared" si="265"/>
        <v>BOICM</v>
      </c>
      <c r="I5684" s="20">
        <f t="shared" si="266"/>
        <v>0</v>
      </c>
    </row>
    <row r="5685" spans="1:9">
      <c r="A5685" s="17" t="s">
        <v>2038</v>
      </c>
      <c r="B5685" s="17" t="s">
        <v>1656</v>
      </c>
      <c r="C5685" s="17">
        <v>0</v>
      </c>
      <c r="D5685" s="17" t="s">
        <v>801</v>
      </c>
      <c r="E5685" s="18">
        <v>3003670103009</v>
      </c>
      <c r="G5685" s="20" t="str">
        <f t="shared" si="264"/>
        <v xml:space="preserve"> NEWOCHIVE       </v>
      </c>
      <c r="H5685" s="20" t="str">
        <f t="shared" si="265"/>
        <v>CAMCR</v>
      </c>
      <c r="I5685" s="20">
        <f t="shared" si="266"/>
        <v>0</v>
      </c>
    </row>
    <row r="5686" spans="1:9">
      <c r="A5686" s="17" t="s">
        <v>2038</v>
      </c>
      <c r="B5686" s="17" t="s">
        <v>1594</v>
      </c>
      <c r="C5686" s="17">
        <v>0</v>
      </c>
      <c r="D5686" s="17" t="s">
        <v>801</v>
      </c>
      <c r="E5686" s="18">
        <v>3003670102002</v>
      </c>
      <c r="G5686" s="20" t="str">
        <f t="shared" si="264"/>
        <v xml:space="preserve"> NEWOCHIVE       </v>
      </c>
      <c r="H5686" s="20" t="str">
        <f t="shared" si="265"/>
        <v>CAMGR</v>
      </c>
      <c r="I5686" s="20">
        <f t="shared" si="266"/>
        <v>0</v>
      </c>
    </row>
    <row r="5687" spans="1:9">
      <c r="A5687" s="17" t="s">
        <v>2043</v>
      </c>
      <c r="B5687" s="17" t="s">
        <v>1230</v>
      </c>
      <c r="C5687" s="17">
        <v>0</v>
      </c>
      <c r="D5687" s="17" t="s">
        <v>801</v>
      </c>
      <c r="E5687" s="18">
        <v>3004710694006</v>
      </c>
      <c r="G5687" s="20" t="str">
        <f t="shared" si="264"/>
        <v xml:space="preserve"> OBAGBEACH       </v>
      </c>
      <c r="H5687" s="20" t="str">
        <f t="shared" si="265"/>
        <v>ACQUA</v>
      </c>
      <c r="I5687" s="20">
        <f t="shared" si="266"/>
        <v>0</v>
      </c>
    </row>
    <row r="5688" spans="1:9">
      <c r="A5688" s="17" t="s">
        <v>2043</v>
      </c>
      <c r="B5688" s="17" t="s">
        <v>963</v>
      </c>
      <c r="C5688" s="17">
        <v>0</v>
      </c>
      <c r="D5688" s="17" t="s">
        <v>801</v>
      </c>
      <c r="E5688" s="18">
        <v>3004710691005</v>
      </c>
      <c r="G5688" s="20" t="str">
        <f t="shared" si="264"/>
        <v xml:space="preserve"> OBAGBEACH       </v>
      </c>
      <c r="H5688" s="20" t="str">
        <f t="shared" si="265"/>
        <v>AMARA</v>
      </c>
      <c r="I5688" s="20">
        <f t="shared" si="266"/>
        <v>0</v>
      </c>
    </row>
    <row r="5689" spans="1:9">
      <c r="A5689" s="17" t="s">
        <v>2043</v>
      </c>
      <c r="B5689" s="17" t="s">
        <v>298</v>
      </c>
      <c r="C5689" s="17">
        <v>0</v>
      </c>
      <c r="D5689" s="17" t="s">
        <v>801</v>
      </c>
      <c r="E5689" s="18">
        <v>3004710267002</v>
      </c>
      <c r="G5689" s="20" t="str">
        <f t="shared" si="264"/>
        <v xml:space="preserve"> OBAGBEACH       </v>
      </c>
      <c r="H5689" s="20" t="str">
        <f t="shared" si="265"/>
        <v>APPLE</v>
      </c>
      <c r="I5689" s="20">
        <f t="shared" si="266"/>
        <v>0</v>
      </c>
    </row>
    <row r="5690" spans="1:9">
      <c r="A5690" s="17" t="s">
        <v>2043</v>
      </c>
      <c r="B5690" s="17" t="s">
        <v>298</v>
      </c>
      <c r="C5690" s="17">
        <v>0</v>
      </c>
      <c r="D5690" s="17" t="s">
        <v>801</v>
      </c>
      <c r="E5690" s="18">
        <v>8056098539351</v>
      </c>
      <c r="G5690" s="20" t="str">
        <f t="shared" si="264"/>
        <v xml:space="preserve"> OBAGBEACH       </v>
      </c>
      <c r="H5690" s="20" t="str">
        <f t="shared" si="265"/>
        <v>APPLE</v>
      </c>
      <c r="I5690" s="20">
        <f t="shared" si="266"/>
        <v>0</v>
      </c>
    </row>
    <row r="5691" spans="1:9">
      <c r="A5691" s="17" t="s">
        <v>2043</v>
      </c>
      <c r="B5691" s="17" t="s">
        <v>2006</v>
      </c>
      <c r="C5691" s="17">
        <v>0</v>
      </c>
      <c r="D5691" s="17" t="s">
        <v>801</v>
      </c>
      <c r="E5691" s="18">
        <v>8056098539320</v>
      </c>
      <c r="G5691" s="20" t="str">
        <f t="shared" si="264"/>
        <v xml:space="preserve"> OBAGBEACH       </v>
      </c>
      <c r="H5691" s="20" t="str">
        <f t="shared" si="265"/>
        <v>BECCO</v>
      </c>
      <c r="I5691" s="20">
        <f t="shared" si="266"/>
        <v>0</v>
      </c>
    </row>
    <row r="5692" spans="1:9">
      <c r="A5692" s="17" t="s">
        <v>2043</v>
      </c>
      <c r="B5692" s="17" t="s">
        <v>2006</v>
      </c>
      <c r="C5692" s="17">
        <v>0</v>
      </c>
      <c r="D5692" s="17" t="s">
        <v>801</v>
      </c>
      <c r="E5692" s="18">
        <v>3004711078003</v>
      </c>
      <c r="G5692" s="20" t="str">
        <f t="shared" si="264"/>
        <v xml:space="preserve"> OBAGBEACH       </v>
      </c>
      <c r="H5692" s="20" t="str">
        <f t="shared" si="265"/>
        <v>BECCO</v>
      </c>
      <c r="I5692" s="20">
        <f t="shared" si="266"/>
        <v>0</v>
      </c>
    </row>
    <row r="5693" spans="1:9">
      <c r="A5693" s="17" t="s">
        <v>2043</v>
      </c>
      <c r="B5693" s="17" t="s">
        <v>280</v>
      </c>
      <c r="C5693" s="17">
        <v>0</v>
      </c>
      <c r="D5693" s="17" t="s">
        <v>801</v>
      </c>
      <c r="E5693" s="18">
        <v>8056300459057</v>
      </c>
      <c r="G5693" s="20" t="str">
        <f t="shared" si="264"/>
        <v xml:space="preserve"> OBAGBEACH       </v>
      </c>
      <c r="H5693" s="20" t="str">
        <f t="shared" si="265"/>
        <v>BLACK</v>
      </c>
      <c r="I5693" s="20">
        <f t="shared" si="266"/>
        <v>0</v>
      </c>
    </row>
    <row r="5694" spans="1:9">
      <c r="A5694" s="17" t="s">
        <v>2043</v>
      </c>
      <c r="B5694" s="17" t="s">
        <v>280</v>
      </c>
      <c r="C5694" s="17">
        <v>0</v>
      </c>
      <c r="D5694" s="17" t="s">
        <v>801</v>
      </c>
      <c r="E5694" s="18">
        <v>3004710276004</v>
      </c>
      <c r="G5694" s="20" t="str">
        <f t="shared" si="264"/>
        <v xml:space="preserve"> OBAGBEACH       </v>
      </c>
      <c r="H5694" s="20" t="str">
        <f t="shared" si="265"/>
        <v>BLACK</v>
      </c>
      <c r="I5694" s="20">
        <f t="shared" si="266"/>
        <v>0</v>
      </c>
    </row>
    <row r="5695" spans="1:9">
      <c r="A5695" s="17" t="s">
        <v>2043</v>
      </c>
      <c r="B5695" s="17" t="s">
        <v>857</v>
      </c>
      <c r="C5695" s="17">
        <v>0</v>
      </c>
      <c r="D5695" s="17" t="s">
        <v>801</v>
      </c>
      <c r="E5695" s="18">
        <v>8056098539344</v>
      </c>
      <c r="G5695" s="20" t="str">
        <f t="shared" si="264"/>
        <v xml:space="preserve"> OBAGBEACH       </v>
      </c>
      <c r="H5695" s="20" t="str">
        <f t="shared" si="265"/>
        <v>BLUET</v>
      </c>
      <c r="I5695" s="20">
        <f t="shared" si="266"/>
        <v>0</v>
      </c>
    </row>
    <row r="5696" spans="1:9">
      <c r="A5696" s="17" t="s">
        <v>2043</v>
      </c>
      <c r="B5696" s="17" t="s">
        <v>857</v>
      </c>
      <c r="C5696" s="17">
        <v>0</v>
      </c>
      <c r="D5696" s="17" t="s">
        <v>801</v>
      </c>
      <c r="E5696" s="18">
        <v>3004711075002</v>
      </c>
      <c r="G5696" s="20" t="str">
        <f t="shared" si="264"/>
        <v xml:space="preserve"> OBAGBEACH       </v>
      </c>
      <c r="H5696" s="20" t="str">
        <f t="shared" si="265"/>
        <v>BLUET</v>
      </c>
      <c r="I5696" s="20">
        <f t="shared" si="266"/>
        <v>0</v>
      </c>
    </row>
    <row r="5697" spans="1:9">
      <c r="A5697" s="17" t="s">
        <v>2043</v>
      </c>
      <c r="B5697" s="17" t="s">
        <v>1447</v>
      </c>
      <c r="C5697" s="17">
        <v>0</v>
      </c>
      <c r="D5697" s="17" t="s">
        <v>801</v>
      </c>
      <c r="E5697" s="18">
        <v>8056098539337</v>
      </c>
      <c r="G5697" s="20" t="str">
        <f t="shared" si="264"/>
        <v xml:space="preserve"> OBAGBEACH       </v>
      </c>
      <c r="H5697" s="20" t="str">
        <f t="shared" si="265"/>
        <v xml:space="preserve">FRAG </v>
      </c>
      <c r="I5697" s="20">
        <f t="shared" si="266"/>
        <v>0</v>
      </c>
    </row>
    <row r="5698" spans="1:9">
      <c r="A5698" s="17" t="s">
        <v>2043</v>
      </c>
      <c r="B5698" s="17" t="s">
        <v>1447</v>
      </c>
      <c r="C5698" s="17">
        <v>0</v>
      </c>
      <c r="D5698" s="17" t="s">
        <v>801</v>
      </c>
      <c r="E5698" s="18">
        <v>3004710844005</v>
      </c>
      <c r="G5698" s="20" t="str">
        <f t="shared" si="264"/>
        <v xml:space="preserve"> OBAGBEACH       </v>
      </c>
      <c r="H5698" s="20" t="str">
        <f t="shared" si="265"/>
        <v xml:space="preserve">FRAG </v>
      </c>
      <c r="I5698" s="20">
        <f t="shared" si="266"/>
        <v>0</v>
      </c>
    </row>
    <row r="5699" spans="1:9">
      <c r="A5699" s="17" t="s">
        <v>2043</v>
      </c>
      <c r="B5699" s="17" t="s">
        <v>1430</v>
      </c>
      <c r="C5699" s="17">
        <v>0</v>
      </c>
      <c r="D5699" s="17" t="s">
        <v>801</v>
      </c>
      <c r="E5699" s="18">
        <v>3004710498000</v>
      </c>
      <c r="G5699" s="20" t="str">
        <f t="shared" si="264"/>
        <v xml:space="preserve"> OBAGBEACH       </v>
      </c>
      <c r="H5699" s="20" t="str">
        <f t="shared" si="265"/>
        <v xml:space="preserve">IRIS </v>
      </c>
      <c r="I5699" s="20">
        <f t="shared" si="266"/>
        <v>0</v>
      </c>
    </row>
    <row r="5700" spans="1:9">
      <c r="A5700" s="17" t="s">
        <v>2043</v>
      </c>
      <c r="B5700" s="17" t="s">
        <v>892</v>
      </c>
      <c r="C5700" s="17">
        <v>0</v>
      </c>
      <c r="D5700" s="17" t="s">
        <v>801</v>
      </c>
      <c r="E5700" s="18">
        <v>3004710473007</v>
      </c>
      <c r="G5700" s="20" t="str">
        <f t="shared" si="264"/>
        <v xml:space="preserve"> OBAGBEACH       </v>
      </c>
      <c r="H5700" s="20" t="str">
        <f t="shared" si="265"/>
        <v xml:space="preserve">LIME </v>
      </c>
      <c r="I5700" s="20">
        <f t="shared" si="266"/>
        <v>0</v>
      </c>
    </row>
    <row r="5701" spans="1:9">
      <c r="A5701" s="17" t="s">
        <v>2043</v>
      </c>
      <c r="B5701" s="17" t="s">
        <v>1078</v>
      </c>
      <c r="C5701" s="17">
        <v>0</v>
      </c>
      <c r="D5701" s="17" t="s">
        <v>801</v>
      </c>
      <c r="E5701" s="18">
        <v>8056098539375</v>
      </c>
      <c r="G5701" s="20" t="str">
        <f t="shared" ref="G5701:G5764" si="267">A5701</f>
        <v xml:space="preserve"> OBAGBEACH       </v>
      </c>
      <c r="H5701" s="20" t="str">
        <f t="shared" ref="H5701:H5764" si="268">B5701</f>
        <v xml:space="preserve">NAVY </v>
      </c>
      <c r="I5701" s="20">
        <f t="shared" ref="I5701:I5764" si="269">C5701</f>
        <v>0</v>
      </c>
    </row>
    <row r="5702" spans="1:9">
      <c r="A5702" s="17" t="s">
        <v>2043</v>
      </c>
      <c r="B5702" s="17" t="s">
        <v>1078</v>
      </c>
      <c r="C5702" s="17">
        <v>0</v>
      </c>
      <c r="D5702" s="17" t="s">
        <v>801</v>
      </c>
      <c r="E5702" s="18">
        <v>3004710494002</v>
      </c>
      <c r="G5702" s="20" t="str">
        <f t="shared" si="267"/>
        <v xml:space="preserve"> OBAGBEACH       </v>
      </c>
      <c r="H5702" s="20" t="str">
        <f t="shared" si="268"/>
        <v xml:space="preserve">NAVY </v>
      </c>
      <c r="I5702" s="20">
        <f t="shared" si="269"/>
        <v>0</v>
      </c>
    </row>
    <row r="5703" spans="1:9">
      <c r="A5703" s="17" t="s">
        <v>2043</v>
      </c>
      <c r="B5703" s="17" t="s">
        <v>1235</v>
      </c>
      <c r="C5703" s="17">
        <v>0</v>
      </c>
      <c r="D5703" s="17" t="s">
        <v>801</v>
      </c>
      <c r="E5703" s="18">
        <v>3004710559008</v>
      </c>
      <c r="G5703" s="20" t="str">
        <f t="shared" si="267"/>
        <v xml:space="preserve"> OBAGBEACH       </v>
      </c>
      <c r="H5703" s="20" t="str">
        <f t="shared" si="268"/>
        <v>PAPAY</v>
      </c>
      <c r="I5703" s="20">
        <f t="shared" si="269"/>
        <v>0</v>
      </c>
    </row>
    <row r="5704" spans="1:9">
      <c r="A5704" s="17" t="s">
        <v>2043</v>
      </c>
      <c r="B5704" s="17" t="s">
        <v>1237</v>
      </c>
      <c r="C5704" s="17">
        <v>0</v>
      </c>
      <c r="D5704" s="17" t="s">
        <v>801</v>
      </c>
      <c r="E5704" s="18">
        <v>3004710396009</v>
      </c>
      <c r="G5704" s="20" t="str">
        <f t="shared" si="267"/>
        <v xml:space="preserve"> OBAGBEACH       </v>
      </c>
      <c r="H5704" s="20" t="str">
        <f t="shared" si="268"/>
        <v xml:space="preserve">ROCK </v>
      </c>
      <c r="I5704" s="20">
        <f t="shared" si="269"/>
        <v>0</v>
      </c>
    </row>
    <row r="5705" spans="1:9">
      <c r="A5705" s="17" t="s">
        <v>2043</v>
      </c>
      <c r="B5705" s="17" t="s">
        <v>867</v>
      </c>
      <c r="C5705" s="17">
        <v>0</v>
      </c>
      <c r="D5705" s="17" t="s">
        <v>801</v>
      </c>
      <c r="E5705" s="18">
        <v>8056098539368</v>
      </c>
      <c r="G5705" s="20" t="str">
        <f t="shared" si="267"/>
        <v xml:space="preserve"> OBAGBEACH       </v>
      </c>
      <c r="H5705" s="20" t="str">
        <f t="shared" si="268"/>
        <v>VERTF</v>
      </c>
      <c r="I5705" s="20">
        <f t="shared" si="269"/>
        <v>0</v>
      </c>
    </row>
    <row r="5706" spans="1:9">
      <c r="A5706" s="17" t="s">
        <v>2043</v>
      </c>
      <c r="B5706" s="17" t="s">
        <v>867</v>
      </c>
      <c r="C5706" s="17">
        <v>0</v>
      </c>
      <c r="D5706" s="17" t="s">
        <v>801</v>
      </c>
      <c r="E5706" s="18">
        <v>3004711032005</v>
      </c>
      <c r="G5706" s="20" t="str">
        <f t="shared" si="267"/>
        <v xml:space="preserve"> OBAGBEACH       </v>
      </c>
      <c r="H5706" s="20" t="str">
        <f t="shared" si="268"/>
        <v>VERTF</v>
      </c>
      <c r="I5706" s="20">
        <f t="shared" si="269"/>
        <v>0</v>
      </c>
    </row>
    <row r="5707" spans="1:9">
      <c r="A5707" s="17" t="s">
        <v>2043</v>
      </c>
      <c r="B5707" s="17" t="s">
        <v>273</v>
      </c>
      <c r="C5707" s="17">
        <v>0</v>
      </c>
      <c r="D5707" s="17" t="s">
        <v>801</v>
      </c>
      <c r="E5707" s="18">
        <v>8056300459002</v>
      </c>
      <c r="G5707" s="20" t="str">
        <f t="shared" si="267"/>
        <v xml:space="preserve"> OBAGBEACH       </v>
      </c>
      <c r="H5707" s="20" t="str">
        <f t="shared" si="268"/>
        <v>WHITE</v>
      </c>
      <c r="I5707" s="20">
        <f t="shared" si="269"/>
        <v>0</v>
      </c>
    </row>
    <row r="5708" spans="1:9">
      <c r="A5708" s="17" t="s">
        <v>2043</v>
      </c>
      <c r="B5708" s="17" t="s">
        <v>273</v>
      </c>
      <c r="C5708" s="17">
        <v>0</v>
      </c>
      <c r="D5708" s="17" t="s">
        <v>801</v>
      </c>
      <c r="E5708" s="18">
        <v>3004710440009</v>
      </c>
      <c r="G5708" s="20" t="str">
        <f t="shared" si="267"/>
        <v xml:space="preserve"> OBAGBEACH       </v>
      </c>
      <c r="H5708" s="20" t="str">
        <f t="shared" si="268"/>
        <v>WHITE</v>
      </c>
      <c r="I5708" s="20">
        <f t="shared" si="269"/>
        <v>0</v>
      </c>
    </row>
    <row r="5709" spans="1:9">
      <c r="A5709" s="17" t="s">
        <v>2044</v>
      </c>
      <c r="B5709" s="17" t="s">
        <v>810</v>
      </c>
      <c r="C5709" s="17">
        <v>0</v>
      </c>
      <c r="D5709" s="17" t="s">
        <v>801</v>
      </c>
      <c r="E5709" s="18">
        <v>3003720319008</v>
      </c>
      <c r="G5709" s="20" t="str">
        <f t="shared" si="267"/>
        <v xml:space="preserve"> OBAGSUMMER      </v>
      </c>
      <c r="H5709" s="20" t="str">
        <f t="shared" si="268"/>
        <v xml:space="preserve">BLUE </v>
      </c>
      <c r="I5709" s="20">
        <f t="shared" si="269"/>
        <v>0</v>
      </c>
    </row>
    <row r="5710" spans="1:9">
      <c r="A5710" s="17" t="s">
        <v>2044</v>
      </c>
      <c r="B5710" s="17" t="s">
        <v>891</v>
      </c>
      <c r="C5710" s="17">
        <v>0</v>
      </c>
      <c r="D5710" s="17" t="s">
        <v>801</v>
      </c>
      <c r="E5710" s="18">
        <v>3003720581009</v>
      </c>
      <c r="G5710" s="20" t="str">
        <f t="shared" si="267"/>
        <v xml:space="preserve"> OBAGSUMMER      </v>
      </c>
      <c r="H5710" s="20" t="str">
        <f t="shared" si="268"/>
        <v>GREEN</v>
      </c>
      <c r="I5710" s="20">
        <f t="shared" si="269"/>
        <v>0</v>
      </c>
    </row>
    <row r="5711" spans="1:9">
      <c r="A5711" s="17" t="s">
        <v>2044</v>
      </c>
      <c r="B5711" s="17" t="s">
        <v>816</v>
      </c>
      <c r="C5711" s="17">
        <v>0</v>
      </c>
      <c r="D5711" s="17" t="s">
        <v>801</v>
      </c>
      <c r="E5711" s="18">
        <v>3003720394005</v>
      </c>
      <c r="G5711" s="20" t="str">
        <f t="shared" si="267"/>
        <v xml:space="preserve"> OBAGSUMMER      </v>
      </c>
      <c r="H5711" s="20" t="str">
        <f t="shared" si="268"/>
        <v xml:space="preserve">RED  </v>
      </c>
      <c r="I5711" s="20">
        <f t="shared" si="269"/>
        <v>0</v>
      </c>
    </row>
    <row r="5712" spans="1:9">
      <c r="A5712" s="17" t="s">
        <v>2044</v>
      </c>
      <c r="B5712" s="17" t="s">
        <v>273</v>
      </c>
      <c r="C5712" s="17">
        <v>0</v>
      </c>
      <c r="D5712" s="17" t="s">
        <v>801</v>
      </c>
      <c r="E5712" s="18">
        <v>3003720005000</v>
      </c>
      <c r="G5712" s="20" t="str">
        <f t="shared" si="267"/>
        <v xml:space="preserve"> OBAGSUMMER      </v>
      </c>
      <c r="H5712" s="20" t="str">
        <f t="shared" si="268"/>
        <v>WHITE</v>
      </c>
      <c r="I5712" s="20">
        <f t="shared" si="269"/>
        <v>0</v>
      </c>
    </row>
    <row r="5713" spans="1:9">
      <c r="A5713" s="17" t="s">
        <v>2044</v>
      </c>
      <c r="B5713" s="17" t="s">
        <v>825</v>
      </c>
      <c r="C5713" s="17">
        <v>0</v>
      </c>
      <c r="D5713" s="17" t="s">
        <v>801</v>
      </c>
      <c r="E5713" s="18">
        <v>3003720632008</v>
      </c>
      <c r="G5713" s="20" t="str">
        <f t="shared" si="267"/>
        <v xml:space="preserve"> OBAGSUMMER      </v>
      </c>
      <c r="H5713" s="20" t="str">
        <f t="shared" si="268"/>
        <v xml:space="preserve">YELL </v>
      </c>
      <c r="I5713" s="20">
        <f t="shared" si="269"/>
        <v>0</v>
      </c>
    </row>
    <row r="5714" spans="1:9">
      <c r="A5714" s="17" t="s">
        <v>2045</v>
      </c>
      <c r="B5714" s="17" t="s">
        <v>875</v>
      </c>
      <c r="C5714" s="17">
        <v>0</v>
      </c>
      <c r="D5714" s="17" t="s">
        <v>801</v>
      </c>
      <c r="E5714" s="18">
        <v>3004280112009</v>
      </c>
      <c r="G5714" s="20" t="str">
        <f t="shared" si="267"/>
        <v xml:space="preserve"> OBASKET         </v>
      </c>
      <c r="H5714" s="20" t="str">
        <f t="shared" si="268"/>
        <v xml:space="preserve">ABRI </v>
      </c>
      <c r="I5714" s="20">
        <f t="shared" si="269"/>
        <v>0</v>
      </c>
    </row>
    <row r="5715" spans="1:9">
      <c r="A5715" s="17" t="s">
        <v>2045</v>
      </c>
      <c r="B5715" s="17" t="s">
        <v>963</v>
      </c>
      <c r="C5715" s="17">
        <v>0</v>
      </c>
      <c r="D5715" s="17" t="s">
        <v>801</v>
      </c>
      <c r="E5715" s="18">
        <v>3002740691002</v>
      </c>
      <c r="G5715" s="20" t="str">
        <f t="shared" si="267"/>
        <v xml:space="preserve"> OBASKET         </v>
      </c>
      <c r="H5715" s="20" t="str">
        <f t="shared" si="268"/>
        <v>AMARA</v>
      </c>
      <c r="I5715" s="20">
        <f t="shared" si="269"/>
        <v>0</v>
      </c>
    </row>
    <row r="5716" spans="1:9">
      <c r="A5716" s="17" t="s">
        <v>2045</v>
      </c>
      <c r="B5716" s="17" t="s">
        <v>879</v>
      </c>
      <c r="C5716" s="17">
        <v>0</v>
      </c>
      <c r="D5716" s="17" t="s">
        <v>801</v>
      </c>
      <c r="E5716" s="18">
        <v>3004280181005</v>
      </c>
      <c r="G5716" s="20" t="str">
        <f t="shared" si="267"/>
        <v xml:space="preserve"> OBASKET         </v>
      </c>
      <c r="H5716" s="20" t="str">
        <f t="shared" si="268"/>
        <v xml:space="preserve">AZUR </v>
      </c>
      <c r="I5716" s="20">
        <f t="shared" si="269"/>
        <v>0</v>
      </c>
    </row>
    <row r="5717" spans="1:9">
      <c r="A5717" s="17" t="s">
        <v>2045</v>
      </c>
      <c r="B5717" s="17" t="s">
        <v>818</v>
      </c>
      <c r="C5717" s="17">
        <v>0</v>
      </c>
      <c r="D5717" s="17" t="s">
        <v>801</v>
      </c>
      <c r="E5717" s="18">
        <v>8058983596289</v>
      </c>
      <c r="G5717" s="20" t="str">
        <f t="shared" si="267"/>
        <v xml:space="preserve"> OBASKET         </v>
      </c>
      <c r="H5717" s="20" t="str">
        <f t="shared" si="268"/>
        <v xml:space="preserve">BDX  </v>
      </c>
      <c r="I5717" s="20">
        <f t="shared" si="269"/>
        <v>0</v>
      </c>
    </row>
    <row r="5718" spans="1:9">
      <c r="A5718" s="17" t="s">
        <v>2045</v>
      </c>
      <c r="B5718" s="17" t="s">
        <v>818</v>
      </c>
      <c r="C5718" s="17">
        <v>0</v>
      </c>
      <c r="D5718" s="17" t="s">
        <v>801</v>
      </c>
      <c r="E5718" s="18">
        <v>3002740273000</v>
      </c>
      <c r="G5718" s="20" t="str">
        <f t="shared" si="267"/>
        <v xml:space="preserve"> OBASKET         </v>
      </c>
      <c r="H5718" s="20" t="str">
        <f t="shared" si="268"/>
        <v xml:space="preserve">BDX  </v>
      </c>
      <c r="I5718" s="20">
        <f t="shared" si="269"/>
        <v>0</v>
      </c>
    </row>
    <row r="5719" spans="1:9">
      <c r="A5719" s="17" t="s">
        <v>2045</v>
      </c>
      <c r="B5719" s="17" t="s">
        <v>1077</v>
      </c>
      <c r="C5719" s="17">
        <v>0</v>
      </c>
      <c r="D5719" s="17" t="s">
        <v>801</v>
      </c>
      <c r="E5719" s="18">
        <v>8056095069141</v>
      </c>
      <c r="G5719" s="20" t="str">
        <f t="shared" si="267"/>
        <v xml:space="preserve"> OBASKET         </v>
      </c>
      <c r="H5719" s="20" t="str">
        <f t="shared" si="268"/>
        <v>BISCO</v>
      </c>
      <c r="I5719" s="20">
        <f t="shared" si="269"/>
        <v>0</v>
      </c>
    </row>
    <row r="5720" spans="1:9">
      <c r="A5720" s="17" t="s">
        <v>2045</v>
      </c>
      <c r="B5720" s="17" t="s">
        <v>1077</v>
      </c>
      <c r="C5720" s="17">
        <v>0</v>
      </c>
      <c r="D5720" s="17" t="s">
        <v>801</v>
      </c>
      <c r="E5720" s="18">
        <v>3002741073005</v>
      </c>
      <c r="G5720" s="20" t="str">
        <f t="shared" si="267"/>
        <v xml:space="preserve"> OBASKET         </v>
      </c>
      <c r="H5720" s="20" t="str">
        <f t="shared" si="268"/>
        <v>BISCO</v>
      </c>
      <c r="I5720" s="20">
        <f t="shared" si="269"/>
        <v>0</v>
      </c>
    </row>
    <row r="5721" spans="1:9">
      <c r="A5721" s="17" t="s">
        <v>2045</v>
      </c>
      <c r="B5721" s="17" t="s">
        <v>280</v>
      </c>
      <c r="C5721" s="17">
        <v>0</v>
      </c>
      <c r="D5721" s="17" t="s">
        <v>801</v>
      </c>
      <c r="E5721" s="18">
        <v>3004280004007</v>
      </c>
      <c r="G5721" s="20" t="str">
        <f t="shared" si="267"/>
        <v xml:space="preserve"> OBASKET         </v>
      </c>
      <c r="H5721" s="20" t="str">
        <f t="shared" si="268"/>
        <v>BLACK</v>
      </c>
      <c r="I5721" s="20">
        <f t="shared" si="269"/>
        <v>0</v>
      </c>
    </row>
    <row r="5722" spans="1:9">
      <c r="A5722" s="17" t="s">
        <v>2045</v>
      </c>
      <c r="B5722" s="17" t="s">
        <v>280</v>
      </c>
      <c r="C5722" s="17">
        <v>0</v>
      </c>
      <c r="D5722" s="17" t="s">
        <v>801</v>
      </c>
      <c r="E5722" s="18">
        <v>8050450218618</v>
      </c>
      <c r="G5722" s="20" t="str">
        <f t="shared" si="267"/>
        <v xml:space="preserve"> OBASKET         </v>
      </c>
      <c r="H5722" s="20" t="str">
        <f t="shared" si="268"/>
        <v>BLACK</v>
      </c>
      <c r="I5722" s="20">
        <f t="shared" si="269"/>
        <v>0</v>
      </c>
    </row>
    <row r="5723" spans="1:9">
      <c r="A5723" s="17" t="s">
        <v>2045</v>
      </c>
      <c r="B5723" s="17" t="s">
        <v>1101</v>
      </c>
      <c r="C5723" s="17">
        <v>0</v>
      </c>
      <c r="D5723" s="17" t="s">
        <v>801</v>
      </c>
      <c r="E5723" s="18">
        <v>3004280308006</v>
      </c>
      <c r="G5723" s="20" t="str">
        <f t="shared" si="267"/>
        <v xml:space="preserve"> OBASKET         </v>
      </c>
      <c r="H5723" s="20" t="str">
        <f t="shared" si="268"/>
        <v xml:space="preserve">BOR  </v>
      </c>
      <c r="I5723" s="20">
        <f t="shared" si="269"/>
        <v>0</v>
      </c>
    </row>
    <row r="5724" spans="1:9">
      <c r="A5724" s="17" t="s">
        <v>2045</v>
      </c>
      <c r="B5724" s="17" t="s">
        <v>1922</v>
      </c>
      <c r="C5724" s="17">
        <v>0</v>
      </c>
      <c r="D5724" s="17" t="s">
        <v>801</v>
      </c>
      <c r="E5724" s="18">
        <v>3004280531008</v>
      </c>
      <c r="G5724" s="20" t="str">
        <f t="shared" si="267"/>
        <v xml:space="preserve"> OBASKET         </v>
      </c>
      <c r="H5724" s="20" t="str">
        <f t="shared" si="268"/>
        <v xml:space="preserve">BRIQ </v>
      </c>
      <c r="I5724" s="20">
        <f t="shared" si="269"/>
        <v>0</v>
      </c>
    </row>
    <row r="5725" spans="1:9">
      <c r="A5725" s="17" t="s">
        <v>2045</v>
      </c>
      <c r="B5725" s="17" t="s">
        <v>853</v>
      </c>
      <c r="C5725" s="17">
        <v>0</v>
      </c>
      <c r="D5725" s="17" t="s">
        <v>801</v>
      </c>
      <c r="E5725" s="18">
        <v>3002740499004</v>
      </c>
      <c r="G5725" s="20" t="str">
        <f t="shared" si="267"/>
        <v xml:space="preserve"> OBASKET         </v>
      </c>
      <c r="H5725" s="20" t="str">
        <f t="shared" si="268"/>
        <v>BRONZ</v>
      </c>
      <c r="I5725" s="20">
        <f t="shared" si="269"/>
        <v>0</v>
      </c>
    </row>
    <row r="5726" spans="1:9">
      <c r="A5726" s="17" t="s">
        <v>2045</v>
      </c>
      <c r="B5726" s="17" t="s">
        <v>853</v>
      </c>
      <c r="C5726" s="17">
        <v>0</v>
      </c>
      <c r="D5726" s="17" t="s">
        <v>801</v>
      </c>
      <c r="E5726" s="18">
        <v>8050450212883</v>
      </c>
      <c r="G5726" s="20" t="str">
        <f t="shared" si="267"/>
        <v xml:space="preserve"> OBASKET         </v>
      </c>
      <c r="H5726" s="20" t="str">
        <f t="shared" si="268"/>
        <v>BRONZ</v>
      </c>
      <c r="I5726" s="20">
        <f t="shared" si="269"/>
        <v>0</v>
      </c>
    </row>
    <row r="5727" spans="1:9">
      <c r="A5727" s="17" t="s">
        <v>2045</v>
      </c>
      <c r="B5727" s="17" t="s">
        <v>889</v>
      </c>
      <c r="C5727" s="17">
        <v>0</v>
      </c>
      <c r="D5727" s="17" t="s">
        <v>801</v>
      </c>
      <c r="E5727" s="18">
        <v>3004280219005</v>
      </c>
      <c r="G5727" s="20" t="str">
        <f t="shared" si="267"/>
        <v xml:space="preserve"> OBASKET         </v>
      </c>
      <c r="H5727" s="20" t="str">
        <f t="shared" si="268"/>
        <v>GENET</v>
      </c>
      <c r="I5727" s="20">
        <f t="shared" si="269"/>
        <v>0</v>
      </c>
    </row>
    <row r="5728" spans="1:9">
      <c r="A5728" s="17" t="s">
        <v>2045</v>
      </c>
      <c r="B5728" s="17" t="s">
        <v>1661</v>
      </c>
      <c r="C5728" s="17">
        <v>0</v>
      </c>
      <c r="D5728" s="17" t="s">
        <v>801</v>
      </c>
      <c r="E5728" s="18">
        <v>3002740610003</v>
      </c>
      <c r="G5728" s="20" t="str">
        <f t="shared" si="267"/>
        <v xml:space="preserve"> OBASKET         </v>
      </c>
      <c r="H5728" s="20" t="str">
        <f t="shared" si="268"/>
        <v>GRAFI</v>
      </c>
      <c r="I5728" s="20">
        <f t="shared" si="269"/>
        <v>0</v>
      </c>
    </row>
    <row r="5729" spans="1:9">
      <c r="A5729" s="17" t="s">
        <v>2045</v>
      </c>
      <c r="B5729" s="17" t="s">
        <v>1430</v>
      </c>
      <c r="C5729" s="17">
        <v>0</v>
      </c>
      <c r="D5729" s="17" t="s">
        <v>801</v>
      </c>
      <c r="E5729" s="18">
        <v>3002740498007</v>
      </c>
      <c r="G5729" s="20" t="str">
        <f t="shared" si="267"/>
        <v xml:space="preserve"> OBASKET         </v>
      </c>
      <c r="H5729" s="20" t="str">
        <f t="shared" si="268"/>
        <v xml:space="preserve">IRIS </v>
      </c>
      <c r="I5729" s="20">
        <f t="shared" si="269"/>
        <v>0</v>
      </c>
    </row>
    <row r="5730" spans="1:9">
      <c r="A5730" s="17" t="s">
        <v>2045</v>
      </c>
      <c r="B5730" s="17" t="s">
        <v>838</v>
      </c>
      <c r="C5730" s="17">
        <v>0</v>
      </c>
      <c r="D5730" s="17" t="s">
        <v>801</v>
      </c>
      <c r="E5730" s="18">
        <v>3004280167009</v>
      </c>
      <c r="G5730" s="20" t="str">
        <f t="shared" si="267"/>
        <v xml:space="preserve"> OBASKET         </v>
      </c>
      <c r="H5730" s="20" t="str">
        <f t="shared" si="268"/>
        <v>IVOIR</v>
      </c>
      <c r="I5730" s="20">
        <f t="shared" si="269"/>
        <v>0</v>
      </c>
    </row>
    <row r="5731" spans="1:9">
      <c r="A5731" s="17" t="s">
        <v>2045</v>
      </c>
      <c r="B5731" s="17" t="s">
        <v>838</v>
      </c>
      <c r="C5731" s="17">
        <v>0</v>
      </c>
      <c r="D5731" s="17" t="s">
        <v>801</v>
      </c>
      <c r="E5731" s="18">
        <v>8050450218656</v>
      </c>
      <c r="G5731" s="20" t="str">
        <f t="shared" si="267"/>
        <v xml:space="preserve"> OBASKET         </v>
      </c>
      <c r="H5731" s="20" t="str">
        <f t="shared" si="268"/>
        <v>IVOIR</v>
      </c>
      <c r="I5731" s="20">
        <f t="shared" si="269"/>
        <v>0</v>
      </c>
    </row>
    <row r="5732" spans="1:9">
      <c r="A5732" s="17" t="s">
        <v>2045</v>
      </c>
      <c r="B5732" s="17" t="s">
        <v>892</v>
      </c>
      <c r="C5732" s="17">
        <v>0</v>
      </c>
      <c r="D5732" s="17" t="s">
        <v>801</v>
      </c>
      <c r="E5732" s="18">
        <v>3002740473004</v>
      </c>
      <c r="G5732" s="20" t="str">
        <f t="shared" si="267"/>
        <v xml:space="preserve"> OBASKET         </v>
      </c>
      <c r="H5732" s="20" t="str">
        <f t="shared" si="268"/>
        <v xml:space="preserve">LIME </v>
      </c>
      <c r="I5732" s="20">
        <f t="shared" si="269"/>
        <v>0</v>
      </c>
    </row>
    <row r="5733" spans="1:9">
      <c r="A5733" s="17" t="s">
        <v>2045</v>
      </c>
      <c r="B5733" s="17" t="s">
        <v>1057</v>
      </c>
      <c r="C5733" s="17">
        <v>0</v>
      </c>
      <c r="D5733" s="17" t="s">
        <v>801</v>
      </c>
      <c r="E5733" s="18">
        <v>3004281007007</v>
      </c>
      <c r="G5733" s="20" t="str">
        <f t="shared" si="267"/>
        <v xml:space="preserve"> OBASKET         </v>
      </c>
      <c r="H5733" s="20" t="str">
        <f t="shared" si="268"/>
        <v xml:space="preserve">MAR  </v>
      </c>
      <c r="I5733" s="20">
        <f t="shared" si="269"/>
        <v>0</v>
      </c>
    </row>
    <row r="5734" spans="1:9">
      <c r="A5734" s="17" t="s">
        <v>2045</v>
      </c>
      <c r="B5734" s="17" t="s">
        <v>1105</v>
      </c>
      <c r="C5734" s="17">
        <v>0</v>
      </c>
      <c r="D5734" s="17" t="s">
        <v>801</v>
      </c>
      <c r="E5734" s="18">
        <v>3004280667004</v>
      </c>
      <c r="G5734" s="20" t="str">
        <f t="shared" si="267"/>
        <v xml:space="preserve"> OBASKET         </v>
      </c>
      <c r="H5734" s="20" t="str">
        <f t="shared" si="268"/>
        <v>MARSA</v>
      </c>
      <c r="I5734" s="20">
        <f t="shared" si="269"/>
        <v>0</v>
      </c>
    </row>
    <row r="5735" spans="1:9">
      <c r="A5735" s="17" t="s">
        <v>2045</v>
      </c>
      <c r="B5735" s="17" t="s">
        <v>1744</v>
      </c>
      <c r="C5735" s="17" t="s">
        <v>799</v>
      </c>
      <c r="D5735" s="17" t="s">
        <v>801</v>
      </c>
      <c r="E5735" s="18">
        <v>3004260154005</v>
      </c>
      <c r="G5735" s="20" t="str">
        <f t="shared" si="267"/>
        <v xml:space="preserve"> OBASKET         </v>
      </c>
      <c r="H5735" s="20" t="str">
        <f t="shared" si="268"/>
        <v>MATTO</v>
      </c>
      <c r="I5735" s="20" t="str">
        <f t="shared" si="269"/>
        <v xml:space="preserve">     </v>
      </c>
    </row>
    <row r="5736" spans="1:9">
      <c r="A5736" s="17" t="s">
        <v>2045</v>
      </c>
      <c r="B5736" s="17" t="s">
        <v>1744</v>
      </c>
      <c r="C5736" s="17">
        <v>0</v>
      </c>
      <c r="D5736" s="17" t="s">
        <v>801</v>
      </c>
      <c r="E5736" s="18">
        <v>3002740154002</v>
      </c>
      <c r="G5736" s="20" t="str">
        <f t="shared" si="267"/>
        <v xml:space="preserve"> OBASKET         </v>
      </c>
      <c r="H5736" s="20" t="str">
        <f t="shared" si="268"/>
        <v>MATTO</v>
      </c>
      <c r="I5736" s="20">
        <f t="shared" si="269"/>
        <v>0</v>
      </c>
    </row>
    <row r="5737" spans="1:9">
      <c r="A5737" s="17" t="s">
        <v>2045</v>
      </c>
      <c r="B5737" s="17" t="s">
        <v>1787</v>
      </c>
      <c r="C5737" s="17">
        <v>0</v>
      </c>
      <c r="D5737" s="17" t="s">
        <v>801</v>
      </c>
      <c r="E5737" s="18">
        <v>3004280150001</v>
      </c>
      <c r="G5737" s="20" t="str">
        <f t="shared" si="267"/>
        <v xml:space="preserve"> OBASKET         </v>
      </c>
      <c r="H5737" s="20" t="str">
        <f t="shared" si="268"/>
        <v xml:space="preserve">MOU  </v>
      </c>
      <c r="I5737" s="20">
        <f t="shared" si="269"/>
        <v>0</v>
      </c>
    </row>
    <row r="5738" spans="1:9">
      <c r="A5738" s="17" t="s">
        <v>2045</v>
      </c>
      <c r="B5738" s="17" t="s">
        <v>1434</v>
      </c>
      <c r="C5738" s="17">
        <v>0</v>
      </c>
      <c r="D5738" s="17" t="s">
        <v>801</v>
      </c>
      <c r="E5738" s="18">
        <v>8058983596272</v>
      </c>
      <c r="G5738" s="20" t="str">
        <f t="shared" si="267"/>
        <v xml:space="preserve"> OBASKET         </v>
      </c>
      <c r="H5738" s="20" t="str">
        <f t="shared" si="268"/>
        <v xml:space="preserve">NAR  </v>
      </c>
      <c r="I5738" s="20">
        <f t="shared" si="269"/>
        <v>0</v>
      </c>
    </row>
    <row r="5739" spans="1:9">
      <c r="A5739" s="17" t="s">
        <v>2045</v>
      </c>
      <c r="B5739" s="17" t="s">
        <v>1434</v>
      </c>
      <c r="C5739" s="17">
        <v>0</v>
      </c>
      <c r="D5739" s="17" t="s">
        <v>801</v>
      </c>
      <c r="E5739" s="18">
        <v>3004280569001</v>
      </c>
      <c r="G5739" s="20" t="str">
        <f t="shared" si="267"/>
        <v xml:space="preserve"> OBASKET         </v>
      </c>
      <c r="H5739" s="20" t="str">
        <f t="shared" si="268"/>
        <v xml:space="preserve">NAR  </v>
      </c>
      <c r="I5739" s="20">
        <f t="shared" si="269"/>
        <v>0</v>
      </c>
    </row>
    <row r="5740" spans="1:9">
      <c r="A5740" s="17" t="s">
        <v>2045</v>
      </c>
      <c r="B5740" s="17" t="s">
        <v>1078</v>
      </c>
      <c r="C5740" s="17">
        <v>0</v>
      </c>
      <c r="D5740" s="17" t="s">
        <v>801</v>
      </c>
      <c r="E5740" s="18">
        <v>3004280001006</v>
      </c>
      <c r="G5740" s="20" t="str">
        <f t="shared" si="267"/>
        <v xml:space="preserve"> OBASKET         </v>
      </c>
      <c r="H5740" s="20" t="str">
        <f t="shared" si="268"/>
        <v xml:space="preserve">NAVY </v>
      </c>
      <c r="I5740" s="20">
        <f t="shared" si="269"/>
        <v>0</v>
      </c>
    </row>
    <row r="5741" spans="1:9">
      <c r="A5741" s="17" t="s">
        <v>2045</v>
      </c>
      <c r="B5741" s="17" t="s">
        <v>1078</v>
      </c>
      <c r="C5741" s="17">
        <v>0</v>
      </c>
      <c r="D5741" s="17" t="s">
        <v>801</v>
      </c>
      <c r="E5741" s="18">
        <v>8050450218694</v>
      </c>
      <c r="G5741" s="20" t="str">
        <f t="shared" si="267"/>
        <v xml:space="preserve"> OBASKET         </v>
      </c>
      <c r="H5741" s="20" t="str">
        <f t="shared" si="268"/>
        <v xml:space="preserve">NAVY </v>
      </c>
      <c r="I5741" s="20">
        <f t="shared" si="269"/>
        <v>0</v>
      </c>
    </row>
    <row r="5742" spans="1:9">
      <c r="A5742" s="17" t="s">
        <v>2045</v>
      </c>
      <c r="B5742" s="17" t="s">
        <v>912</v>
      </c>
      <c r="C5742" s="17">
        <v>0</v>
      </c>
      <c r="D5742" s="17" t="s">
        <v>801</v>
      </c>
      <c r="E5742" s="18">
        <v>3004281008004</v>
      </c>
      <c r="G5742" s="20" t="str">
        <f t="shared" si="267"/>
        <v xml:space="preserve"> OBASKET         </v>
      </c>
      <c r="H5742" s="20" t="str">
        <f t="shared" si="268"/>
        <v>PETRO</v>
      </c>
      <c r="I5742" s="20">
        <f t="shared" si="269"/>
        <v>0</v>
      </c>
    </row>
    <row r="5743" spans="1:9">
      <c r="A5743" s="17" t="s">
        <v>2045</v>
      </c>
      <c r="B5743" s="17" t="s">
        <v>1438</v>
      </c>
      <c r="C5743" s="17">
        <v>0</v>
      </c>
      <c r="D5743" s="17" t="s">
        <v>801</v>
      </c>
      <c r="E5743" s="18">
        <v>3002740692009</v>
      </c>
      <c r="G5743" s="20" t="str">
        <f t="shared" si="267"/>
        <v xml:space="preserve"> OBASKET         </v>
      </c>
      <c r="H5743" s="20" t="str">
        <f t="shared" si="268"/>
        <v>POLVE</v>
      </c>
      <c r="I5743" s="20">
        <f t="shared" si="269"/>
        <v>0</v>
      </c>
    </row>
    <row r="5744" spans="1:9">
      <c r="A5744" s="17" t="s">
        <v>2045</v>
      </c>
      <c r="B5744" s="17" t="s">
        <v>1097</v>
      </c>
      <c r="C5744" s="17">
        <v>0</v>
      </c>
      <c r="D5744" s="17" t="s">
        <v>801</v>
      </c>
      <c r="E5744" s="18">
        <v>8058983596296</v>
      </c>
      <c r="G5744" s="20" t="str">
        <f t="shared" si="267"/>
        <v xml:space="preserve"> OBASKET         </v>
      </c>
      <c r="H5744" s="20" t="str">
        <f t="shared" si="268"/>
        <v xml:space="preserve">PORP </v>
      </c>
      <c r="I5744" s="20">
        <f t="shared" si="269"/>
        <v>0</v>
      </c>
    </row>
    <row r="5745" spans="1:9">
      <c r="A5745" s="17" t="s">
        <v>2045</v>
      </c>
      <c r="B5745" s="17" t="s">
        <v>1097</v>
      </c>
      <c r="C5745" s="17">
        <v>0</v>
      </c>
      <c r="D5745" s="17" t="s">
        <v>801</v>
      </c>
      <c r="E5745" s="18">
        <v>3004280540000</v>
      </c>
      <c r="G5745" s="20" t="str">
        <f t="shared" si="267"/>
        <v xml:space="preserve"> OBASKET         </v>
      </c>
      <c r="H5745" s="20" t="str">
        <f t="shared" si="268"/>
        <v xml:space="preserve">PORP </v>
      </c>
      <c r="I5745" s="20">
        <f t="shared" si="269"/>
        <v>0</v>
      </c>
    </row>
    <row r="5746" spans="1:9">
      <c r="A5746" s="17" t="s">
        <v>2045</v>
      </c>
      <c r="B5746" s="17" t="s">
        <v>816</v>
      </c>
      <c r="C5746" s="17">
        <v>0</v>
      </c>
      <c r="D5746" s="17" t="s">
        <v>801</v>
      </c>
      <c r="E5746" s="18">
        <v>3004280394009</v>
      </c>
      <c r="G5746" s="20" t="str">
        <f t="shared" si="267"/>
        <v xml:space="preserve"> OBASKET         </v>
      </c>
      <c r="H5746" s="20" t="str">
        <f t="shared" si="268"/>
        <v xml:space="preserve">RED  </v>
      </c>
      <c r="I5746" s="20">
        <f t="shared" si="269"/>
        <v>0</v>
      </c>
    </row>
    <row r="5747" spans="1:9">
      <c r="A5747" s="17" t="s">
        <v>2045</v>
      </c>
      <c r="B5747" s="17" t="s">
        <v>1237</v>
      </c>
      <c r="C5747" s="17" t="s">
        <v>799</v>
      </c>
      <c r="D5747" s="17" t="s">
        <v>801</v>
      </c>
      <c r="E5747" s="18">
        <v>3004260612000</v>
      </c>
      <c r="G5747" s="20" t="str">
        <f t="shared" si="267"/>
        <v xml:space="preserve"> OBASKET         </v>
      </c>
      <c r="H5747" s="20" t="str">
        <f t="shared" si="268"/>
        <v xml:space="preserve">ROCK </v>
      </c>
      <c r="I5747" s="20" t="str">
        <f t="shared" si="269"/>
        <v xml:space="preserve">     </v>
      </c>
    </row>
    <row r="5748" spans="1:9">
      <c r="A5748" s="17" t="s">
        <v>2045</v>
      </c>
      <c r="B5748" s="17" t="s">
        <v>1237</v>
      </c>
      <c r="C5748" s="17">
        <v>0</v>
      </c>
      <c r="D5748" s="17" t="s">
        <v>801</v>
      </c>
      <c r="E5748" s="18">
        <v>3004280612004</v>
      </c>
      <c r="G5748" s="20" t="str">
        <f t="shared" si="267"/>
        <v xml:space="preserve"> OBASKET         </v>
      </c>
      <c r="H5748" s="20" t="str">
        <f t="shared" si="268"/>
        <v xml:space="preserve">ROCK </v>
      </c>
      <c r="I5748" s="20">
        <f t="shared" si="269"/>
        <v>0</v>
      </c>
    </row>
    <row r="5749" spans="1:9">
      <c r="A5749" s="17" t="s">
        <v>2045</v>
      </c>
      <c r="B5749" s="17" t="s">
        <v>1237</v>
      </c>
      <c r="C5749" s="17">
        <v>0</v>
      </c>
      <c r="D5749" s="17" t="s">
        <v>801</v>
      </c>
      <c r="E5749" s="18">
        <v>8056300450009</v>
      </c>
      <c r="G5749" s="20" t="str">
        <f t="shared" si="267"/>
        <v xml:space="preserve"> OBASKET         </v>
      </c>
      <c r="H5749" s="20" t="str">
        <f t="shared" si="268"/>
        <v xml:space="preserve">ROCK </v>
      </c>
      <c r="I5749" s="20">
        <f t="shared" si="269"/>
        <v>0</v>
      </c>
    </row>
    <row r="5750" spans="1:9">
      <c r="A5750" s="17" t="s">
        <v>2045</v>
      </c>
      <c r="B5750" s="17" t="s">
        <v>1239</v>
      </c>
      <c r="C5750" s="17" t="s">
        <v>799</v>
      </c>
      <c r="D5750" s="17" t="s">
        <v>801</v>
      </c>
      <c r="E5750" s="18">
        <v>3004260337002</v>
      </c>
      <c r="G5750" s="20" t="str">
        <f t="shared" si="267"/>
        <v xml:space="preserve"> OBASKET         </v>
      </c>
      <c r="H5750" s="20" t="str">
        <f t="shared" si="268"/>
        <v xml:space="preserve">SAND </v>
      </c>
      <c r="I5750" s="20" t="str">
        <f t="shared" si="269"/>
        <v xml:space="preserve">     </v>
      </c>
    </row>
    <row r="5751" spans="1:9">
      <c r="A5751" s="17" t="s">
        <v>2045</v>
      </c>
      <c r="B5751" s="17" t="s">
        <v>1239</v>
      </c>
      <c r="C5751" s="17">
        <v>0</v>
      </c>
      <c r="D5751" s="17" t="s">
        <v>801</v>
      </c>
      <c r="E5751" s="18">
        <v>3004280337006</v>
      </c>
      <c r="G5751" s="20" t="str">
        <f t="shared" si="267"/>
        <v xml:space="preserve"> OBASKET         </v>
      </c>
      <c r="H5751" s="20" t="str">
        <f t="shared" si="268"/>
        <v xml:space="preserve">SAND </v>
      </c>
      <c r="I5751" s="20">
        <f t="shared" si="269"/>
        <v>0</v>
      </c>
    </row>
    <row r="5752" spans="1:9">
      <c r="A5752" s="17" t="s">
        <v>2045</v>
      </c>
      <c r="B5752" s="17" t="s">
        <v>1240</v>
      </c>
      <c r="C5752" s="17">
        <v>0</v>
      </c>
      <c r="D5752" s="17" t="s">
        <v>801</v>
      </c>
      <c r="E5752" s="18">
        <v>3004280111002</v>
      </c>
      <c r="G5752" s="20" t="str">
        <f t="shared" si="267"/>
        <v xml:space="preserve"> OBASKET         </v>
      </c>
      <c r="H5752" s="20" t="str">
        <f t="shared" si="268"/>
        <v xml:space="preserve">SAU  </v>
      </c>
      <c r="I5752" s="20">
        <f t="shared" si="269"/>
        <v>0</v>
      </c>
    </row>
    <row r="5753" spans="1:9">
      <c r="A5753" s="17" t="s">
        <v>2045</v>
      </c>
      <c r="B5753" s="17" t="s">
        <v>2046</v>
      </c>
      <c r="C5753" s="17" t="s">
        <v>799</v>
      </c>
      <c r="D5753" s="17" t="s">
        <v>801</v>
      </c>
      <c r="E5753" s="18">
        <v>3004260155002</v>
      </c>
      <c r="G5753" s="20" t="str">
        <f t="shared" si="267"/>
        <v xml:space="preserve"> OBASKET         </v>
      </c>
      <c r="H5753" s="20" t="str">
        <f t="shared" si="268"/>
        <v>SENAP</v>
      </c>
      <c r="I5753" s="20" t="str">
        <f t="shared" si="269"/>
        <v xml:space="preserve">     </v>
      </c>
    </row>
    <row r="5754" spans="1:9">
      <c r="A5754" s="17" t="s">
        <v>2045</v>
      </c>
      <c r="B5754" s="17" t="s">
        <v>2046</v>
      </c>
      <c r="C5754" s="17">
        <v>0</v>
      </c>
      <c r="D5754" s="17" t="s">
        <v>801</v>
      </c>
      <c r="E5754" s="18">
        <v>3002740155009</v>
      </c>
      <c r="G5754" s="20" t="str">
        <f t="shared" si="267"/>
        <v xml:space="preserve"> OBASKET         </v>
      </c>
      <c r="H5754" s="20" t="str">
        <f t="shared" si="268"/>
        <v>SENAP</v>
      </c>
      <c r="I5754" s="20">
        <f t="shared" si="269"/>
        <v>0</v>
      </c>
    </row>
    <row r="5755" spans="1:9">
      <c r="A5755" s="17" t="s">
        <v>2045</v>
      </c>
      <c r="B5755" s="17" t="s">
        <v>1079</v>
      </c>
      <c r="C5755" s="17">
        <v>0</v>
      </c>
      <c r="D5755" s="17" t="s">
        <v>801</v>
      </c>
      <c r="E5755" s="18">
        <v>8058983596326</v>
      </c>
      <c r="G5755" s="20" t="str">
        <f t="shared" si="267"/>
        <v xml:space="preserve"> OBASKET         </v>
      </c>
      <c r="H5755" s="20" t="str">
        <f t="shared" si="268"/>
        <v xml:space="preserve">SLVG </v>
      </c>
      <c r="I5755" s="20">
        <f t="shared" si="269"/>
        <v>0</v>
      </c>
    </row>
    <row r="5756" spans="1:9">
      <c r="A5756" s="17" t="s">
        <v>2045</v>
      </c>
      <c r="B5756" s="17" t="s">
        <v>1079</v>
      </c>
      <c r="C5756" s="17">
        <v>0</v>
      </c>
      <c r="D5756" s="17" t="s">
        <v>801</v>
      </c>
      <c r="E5756" s="18">
        <v>3004280620009</v>
      </c>
      <c r="G5756" s="20" t="str">
        <f t="shared" si="267"/>
        <v xml:space="preserve"> OBASKET         </v>
      </c>
      <c r="H5756" s="20" t="str">
        <f t="shared" si="268"/>
        <v xml:space="preserve">SLVG </v>
      </c>
      <c r="I5756" s="20">
        <f t="shared" si="269"/>
        <v>0</v>
      </c>
    </row>
    <row r="5757" spans="1:9">
      <c r="A5757" s="17" t="s">
        <v>2045</v>
      </c>
      <c r="B5757" s="17" t="s">
        <v>2021</v>
      </c>
      <c r="C5757" s="17">
        <v>0</v>
      </c>
      <c r="D5757" s="17" t="s">
        <v>801</v>
      </c>
      <c r="E5757" s="18">
        <v>3004280622003</v>
      </c>
      <c r="G5757" s="20" t="str">
        <f t="shared" si="267"/>
        <v xml:space="preserve"> OBASKET         </v>
      </c>
      <c r="H5757" s="20" t="str">
        <f t="shared" si="268"/>
        <v>STEEL</v>
      </c>
      <c r="I5757" s="20">
        <f t="shared" si="269"/>
        <v>0</v>
      </c>
    </row>
    <row r="5758" spans="1:9">
      <c r="A5758" s="17" t="s">
        <v>2045</v>
      </c>
      <c r="B5758" s="17" t="s">
        <v>1080</v>
      </c>
      <c r="C5758" s="17">
        <v>0</v>
      </c>
      <c r="D5758" s="17" t="s">
        <v>801</v>
      </c>
      <c r="E5758" s="18">
        <v>8056095069127</v>
      </c>
      <c r="G5758" s="20" t="str">
        <f t="shared" si="267"/>
        <v xml:space="preserve"> OBASKET         </v>
      </c>
      <c r="H5758" s="20" t="str">
        <f t="shared" si="268"/>
        <v>TERRA</v>
      </c>
      <c r="I5758" s="20">
        <f t="shared" si="269"/>
        <v>0</v>
      </c>
    </row>
    <row r="5759" spans="1:9">
      <c r="A5759" s="17" t="s">
        <v>2045</v>
      </c>
      <c r="B5759" s="17" t="s">
        <v>1080</v>
      </c>
      <c r="C5759" s="17">
        <v>0</v>
      </c>
      <c r="D5759" s="17" t="s">
        <v>801</v>
      </c>
      <c r="E5759" s="18">
        <v>3002741074002</v>
      </c>
      <c r="G5759" s="20" t="str">
        <f t="shared" si="267"/>
        <v xml:space="preserve"> OBASKET         </v>
      </c>
      <c r="H5759" s="20" t="str">
        <f t="shared" si="268"/>
        <v>TERRA</v>
      </c>
      <c r="I5759" s="20">
        <f t="shared" si="269"/>
        <v>0</v>
      </c>
    </row>
    <row r="5760" spans="1:9">
      <c r="A5760" s="17" t="s">
        <v>2045</v>
      </c>
      <c r="B5760" s="17" t="s">
        <v>919</v>
      </c>
      <c r="C5760" s="17">
        <v>0</v>
      </c>
      <c r="D5760" s="17" t="s">
        <v>801</v>
      </c>
      <c r="E5760" s="18">
        <v>8058983596319</v>
      </c>
      <c r="G5760" s="20" t="str">
        <f t="shared" si="267"/>
        <v xml:space="preserve"> OBASKET         </v>
      </c>
      <c r="H5760" s="20" t="str">
        <f t="shared" si="268"/>
        <v>TESTA</v>
      </c>
      <c r="I5760" s="20">
        <f t="shared" si="269"/>
        <v>0</v>
      </c>
    </row>
    <row r="5761" spans="1:9">
      <c r="A5761" s="17" t="s">
        <v>2045</v>
      </c>
      <c r="B5761" s="17" t="s">
        <v>919</v>
      </c>
      <c r="C5761" s="17">
        <v>0</v>
      </c>
      <c r="D5761" s="17" t="s">
        <v>801</v>
      </c>
      <c r="E5761" s="18">
        <v>3004281178004</v>
      </c>
      <c r="G5761" s="20" t="str">
        <f t="shared" si="267"/>
        <v xml:space="preserve"> OBASKET         </v>
      </c>
      <c r="H5761" s="20" t="str">
        <f t="shared" si="268"/>
        <v>TESTA</v>
      </c>
      <c r="I5761" s="20">
        <f t="shared" si="269"/>
        <v>0</v>
      </c>
    </row>
    <row r="5762" spans="1:9">
      <c r="A5762" s="17" t="s">
        <v>2045</v>
      </c>
      <c r="B5762" s="17" t="s">
        <v>1013</v>
      </c>
      <c r="C5762" s="17">
        <v>0</v>
      </c>
      <c r="D5762" s="17" t="s">
        <v>801</v>
      </c>
      <c r="E5762" s="18">
        <v>3004280625004</v>
      </c>
      <c r="G5762" s="20" t="str">
        <f t="shared" si="267"/>
        <v xml:space="preserve"> OBASKET         </v>
      </c>
      <c r="H5762" s="20" t="str">
        <f t="shared" si="268"/>
        <v xml:space="preserve">TURQ </v>
      </c>
      <c r="I5762" s="20">
        <f t="shared" si="269"/>
        <v>0</v>
      </c>
    </row>
    <row r="5763" spans="1:9">
      <c r="A5763" s="17" t="s">
        <v>2045</v>
      </c>
      <c r="B5763" s="17" t="s">
        <v>1664</v>
      </c>
      <c r="C5763" s="17">
        <v>0</v>
      </c>
      <c r="D5763" s="17" t="s">
        <v>801</v>
      </c>
      <c r="E5763" s="18">
        <v>8056095069134</v>
      </c>
      <c r="G5763" s="20" t="str">
        <f t="shared" si="267"/>
        <v xml:space="preserve"> OBASKET         </v>
      </c>
      <c r="H5763" s="20" t="str">
        <f t="shared" si="268"/>
        <v>VERAN</v>
      </c>
      <c r="I5763" s="20">
        <f t="shared" si="269"/>
        <v>0</v>
      </c>
    </row>
    <row r="5764" spans="1:9">
      <c r="A5764" s="17" t="s">
        <v>2045</v>
      </c>
      <c r="B5764" s="17" t="s">
        <v>1664</v>
      </c>
      <c r="C5764" s="17">
        <v>0</v>
      </c>
      <c r="D5764" s="17" t="s">
        <v>801</v>
      </c>
      <c r="E5764" s="18">
        <v>3002741079007</v>
      </c>
      <c r="G5764" s="20" t="str">
        <f t="shared" si="267"/>
        <v xml:space="preserve"> OBASKET         </v>
      </c>
      <c r="H5764" s="20" t="str">
        <f t="shared" si="268"/>
        <v>VERAN</v>
      </c>
      <c r="I5764" s="20">
        <f t="shared" si="269"/>
        <v>0</v>
      </c>
    </row>
    <row r="5765" spans="1:9">
      <c r="A5765" s="17" t="s">
        <v>2045</v>
      </c>
      <c r="B5765" s="17" t="s">
        <v>811</v>
      </c>
      <c r="C5765" s="17">
        <v>0</v>
      </c>
      <c r="D5765" s="17" t="s">
        <v>801</v>
      </c>
      <c r="E5765" s="18">
        <v>3004280659009</v>
      </c>
      <c r="G5765" s="20" t="str">
        <f t="shared" ref="G5765:G5828" si="270">A5765</f>
        <v xml:space="preserve"> OBASKET         </v>
      </c>
      <c r="H5765" s="20" t="str">
        <f t="shared" ref="H5765:H5828" si="271">B5765</f>
        <v xml:space="preserve">VERT </v>
      </c>
      <c r="I5765" s="20">
        <f t="shared" ref="I5765:I5828" si="272">C5765</f>
        <v>0</v>
      </c>
    </row>
    <row r="5766" spans="1:9">
      <c r="A5766" s="17" t="s">
        <v>2045</v>
      </c>
      <c r="B5766" s="17" t="s">
        <v>867</v>
      </c>
      <c r="C5766" s="17">
        <v>0</v>
      </c>
      <c r="D5766" s="17" t="s">
        <v>801</v>
      </c>
      <c r="E5766" s="18">
        <v>8058983596302</v>
      </c>
      <c r="G5766" s="20" t="str">
        <f t="shared" si="270"/>
        <v xml:space="preserve"> OBASKET         </v>
      </c>
      <c r="H5766" s="20" t="str">
        <f t="shared" si="271"/>
        <v>VERTF</v>
      </c>
      <c r="I5766" s="20">
        <f t="shared" si="272"/>
        <v>0</v>
      </c>
    </row>
    <row r="5767" spans="1:9">
      <c r="A5767" s="17" t="s">
        <v>2045</v>
      </c>
      <c r="B5767" s="17" t="s">
        <v>867</v>
      </c>
      <c r="C5767" s="17">
        <v>0</v>
      </c>
      <c r="D5767" s="17" t="s">
        <v>801</v>
      </c>
      <c r="E5767" s="18">
        <v>3002741032002</v>
      </c>
      <c r="G5767" s="20" t="str">
        <f t="shared" si="270"/>
        <v xml:space="preserve"> OBASKET         </v>
      </c>
      <c r="H5767" s="20" t="str">
        <f t="shared" si="271"/>
        <v>VERTF</v>
      </c>
      <c r="I5767" s="20">
        <f t="shared" si="272"/>
        <v>0</v>
      </c>
    </row>
    <row r="5768" spans="1:9">
      <c r="A5768" s="17" t="s">
        <v>2045</v>
      </c>
      <c r="B5768" s="17" t="s">
        <v>1442</v>
      </c>
      <c r="C5768" s="17">
        <v>0</v>
      </c>
      <c r="D5768" s="17" t="s">
        <v>801</v>
      </c>
      <c r="E5768" s="18">
        <v>3002740489005</v>
      </c>
      <c r="G5768" s="20" t="str">
        <f t="shared" si="270"/>
        <v xml:space="preserve"> OBASKET         </v>
      </c>
      <c r="H5768" s="20" t="str">
        <f t="shared" si="271"/>
        <v>VIODE</v>
      </c>
      <c r="I5768" s="20">
        <f t="shared" si="272"/>
        <v>0</v>
      </c>
    </row>
    <row r="5769" spans="1:9">
      <c r="A5769" s="17" t="s">
        <v>2045</v>
      </c>
      <c r="B5769" s="17" t="s">
        <v>1024</v>
      </c>
      <c r="C5769" s="17">
        <v>0</v>
      </c>
      <c r="D5769" s="17" t="s">
        <v>801</v>
      </c>
      <c r="E5769" s="18">
        <v>3004280628005</v>
      </c>
      <c r="G5769" s="20" t="str">
        <f t="shared" si="270"/>
        <v xml:space="preserve"> OBASKET         </v>
      </c>
      <c r="H5769" s="20" t="str">
        <f t="shared" si="271"/>
        <v xml:space="preserve">VIOL </v>
      </c>
      <c r="I5769" s="20">
        <f t="shared" si="272"/>
        <v>0</v>
      </c>
    </row>
    <row r="5770" spans="1:9">
      <c r="A5770" s="17" t="s">
        <v>2045</v>
      </c>
      <c r="B5770" s="17" t="s">
        <v>927</v>
      </c>
      <c r="C5770" s="17">
        <v>0</v>
      </c>
      <c r="D5770" s="17" t="s">
        <v>801</v>
      </c>
      <c r="E5770" s="18">
        <v>3004280161007</v>
      </c>
      <c r="G5770" s="20" t="str">
        <f t="shared" si="270"/>
        <v xml:space="preserve"> OBASKET         </v>
      </c>
      <c r="H5770" s="20" t="str">
        <f t="shared" si="271"/>
        <v xml:space="preserve">VOLC </v>
      </c>
      <c r="I5770" s="20">
        <f t="shared" si="272"/>
        <v>0</v>
      </c>
    </row>
    <row r="5771" spans="1:9">
      <c r="A5771" s="17" t="s">
        <v>2045</v>
      </c>
      <c r="B5771" s="17" t="s">
        <v>273</v>
      </c>
      <c r="C5771" s="17" t="s">
        <v>799</v>
      </c>
      <c r="D5771" s="17" t="s">
        <v>801</v>
      </c>
      <c r="E5771" s="18">
        <v>3004260005000</v>
      </c>
      <c r="G5771" s="20" t="str">
        <f t="shared" si="270"/>
        <v xml:space="preserve"> OBASKET         </v>
      </c>
      <c r="H5771" s="20" t="str">
        <f t="shared" si="271"/>
        <v>WHITE</v>
      </c>
      <c r="I5771" s="20" t="str">
        <f t="shared" si="272"/>
        <v xml:space="preserve">     </v>
      </c>
    </row>
    <row r="5772" spans="1:9">
      <c r="A5772" s="17" t="s">
        <v>2045</v>
      </c>
      <c r="B5772" s="17" t="s">
        <v>273</v>
      </c>
      <c r="C5772" s="17">
        <v>0</v>
      </c>
      <c r="D5772" s="17" t="s">
        <v>801</v>
      </c>
      <c r="E5772" s="18">
        <v>3004280005004</v>
      </c>
      <c r="G5772" s="20" t="str">
        <f t="shared" si="270"/>
        <v xml:space="preserve"> OBASKET         </v>
      </c>
      <c r="H5772" s="20" t="str">
        <f t="shared" si="271"/>
        <v>WHITE</v>
      </c>
      <c r="I5772" s="20">
        <f t="shared" si="272"/>
        <v>0</v>
      </c>
    </row>
    <row r="5773" spans="1:9">
      <c r="A5773" s="17" t="s">
        <v>2045</v>
      </c>
      <c r="B5773" s="17" t="s">
        <v>825</v>
      </c>
      <c r="C5773" s="17">
        <v>0</v>
      </c>
      <c r="D5773" s="17" t="s">
        <v>801</v>
      </c>
      <c r="E5773" s="18">
        <v>3004280632002</v>
      </c>
      <c r="G5773" s="20" t="str">
        <f t="shared" si="270"/>
        <v xml:space="preserve"> OBASKET         </v>
      </c>
      <c r="H5773" s="20" t="str">
        <f t="shared" si="271"/>
        <v xml:space="preserve">YELL </v>
      </c>
      <c r="I5773" s="20">
        <f t="shared" si="272"/>
        <v>0</v>
      </c>
    </row>
    <row r="5774" spans="1:9">
      <c r="A5774" s="17" t="s">
        <v>2047</v>
      </c>
      <c r="B5774" s="17" t="s">
        <v>875</v>
      </c>
      <c r="C5774" s="17">
        <v>0</v>
      </c>
      <c r="D5774" s="17" t="s">
        <v>801</v>
      </c>
      <c r="E5774" s="18">
        <v>3020600112009</v>
      </c>
      <c r="G5774" s="20" t="str">
        <f t="shared" si="270"/>
        <v xml:space="preserve"> OBODY           </v>
      </c>
      <c r="H5774" s="20" t="str">
        <f t="shared" si="271"/>
        <v xml:space="preserve">ABRI </v>
      </c>
      <c r="I5774" s="20">
        <f t="shared" si="272"/>
        <v>0</v>
      </c>
    </row>
    <row r="5775" spans="1:9">
      <c r="A5775" s="17" t="s">
        <v>2047</v>
      </c>
      <c r="B5775" s="17" t="s">
        <v>1230</v>
      </c>
      <c r="C5775" s="17">
        <v>0</v>
      </c>
      <c r="D5775" s="17" t="s">
        <v>801</v>
      </c>
      <c r="E5775" s="18">
        <v>8058333587639</v>
      </c>
      <c r="G5775" s="20" t="str">
        <f t="shared" si="270"/>
        <v xml:space="preserve"> OBODY           </v>
      </c>
      <c r="H5775" s="20" t="str">
        <f t="shared" si="271"/>
        <v>ACQUA</v>
      </c>
      <c r="I5775" s="20">
        <f t="shared" si="272"/>
        <v>0</v>
      </c>
    </row>
    <row r="5776" spans="1:9">
      <c r="A5776" s="17" t="s">
        <v>2047</v>
      </c>
      <c r="B5776" s="17" t="s">
        <v>1230</v>
      </c>
      <c r="C5776" s="17">
        <v>0</v>
      </c>
      <c r="D5776" s="17" t="s">
        <v>801</v>
      </c>
      <c r="E5776" s="18">
        <v>3002750694000</v>
      </c>
      <c r="G5776" s="20" t="str">
        <f t="shared" si="270"/>
        <v xml:space="preserve"> OBODY           </v>
      </c>
      <c r="H5776" s="20" t="str">
        <f t="shared" si="271"/>
        <v>ACQUA</v>
      </c>
      <c r="I5776" s="20">
        <f t="shared" si="272"/>
        <v>0</v>
      </c>
    </row>
    <row r="5777" spans="1:9">
      <c r="A5777" s="17" t="s">
        <v>2047</v>
      </c>
      <c r="B5777" s="17" t="s">
        <v>963</v>
      </c>
      <c r="C5777" s="17">
        <v>0</v>
      </c>
      <c r="D5777" s="17" t="s">
        <v>801</v>
      </c>
      <c r="E5777" s="18">
        <v>3002750691009</v>
      </c>
      <c r="G5777" s="20" t="str">
        <f t="shared" si="270"/>
        <v xml:space="preserve"> OBODY           </v>
      </c>
      <c r="H5777" s="20" t="str">
        <f t="shared" si="271"/>
        <v>AMARA</v>
      </c>
      <c r="I5777" s="20">
        <f t="shared" si="272"/>
        <v>0</v>
      </c>
    </row>
    <row r="5778" spans="1:9">
      <c r="A5778" s="17" t="s">
        <v>2047</v>
      </c>
      <c r="B5778" s="17" t="s">
        <v>2048</v>
      </c>
      <c r="C5778" s="17">
        <v>0</v>
      </c>
      <c r="D5778" s="17" t="s">
        <v>801</v>
      </c>
      <c r="E5778" s="18">
        <v>3020600162004</v>
      </c>
      <c r="G5778" s="20" t="str">
        <f t="shared" si="270"/>
        <v xml:space="preserve"> OBODY           </v>
      </c>
      <c r="H5778" s="20" t="str">
        <f t="shared" si="271"/>
        <v xml:space="preserve">ANGL </v>
      </c>
      <c r="I5778" s="20">
        <f t="shared" si="272"/>
        <v>0</v>
      </c>
    </row>
    <row r="5779" spans="1:9">
      <c r="A5779" s="17" t="s">
        <v>2047</v>
      </c>
      <c r="B5779" s="17" t="s">
        <v>298</v>
      </c>
      <c r="C5779" s="17">
        <v>0</v>
      </c>
      <c r="D5779" s="17" t="s">
        <v>801</v>
      </c>
      <c r="E5779" s="18">
        <v>8056095068854</v>
      </c>
      <c r="G5779" s="20" t="str">
        <f t="shared" si="270"/>
        <v xml:space="preserve"> OBODY           </v>
      </c>
      <c r="H5779" s="20" t="str">
        <f t="shared" si="271"/>
        <v>APPLE</v>
      </c>
      <c r="I5779" s="20">
        <f t="shared" si="272"/>
        <v>0</v>
      </c>
    </row>
    <row r="5780" spans="1:9">
      <c r="A5780" s="17" t="s">
        <v>2047</v>
      </c>
      <c r="B5780" s="17" t="s">
        <v>298</v>
      </c>
      <c r="C5780" s="17">
        <v>0</v>
      </c>
      <c r="D5780" s="17" t="s">
        <v>801</v>
      </c>
      <c r="E5780" s="18">
        <v>3003310023001</v>
      </c>
      <c r="G5780" s="20" t="str">
        <f t="shared" si="270"/>
        <v xml:space="preserve"> OBODY           </v>
      </c>
      <c r="H5780" s="20" t="str">
        <f t="shared" si="271"/>
        <v>APPLE</v>
      </c>
      <c r="I5780" s="20">
        <f t="shared" si="272"/>
        <v>0</v>
      </c>
    </row>
    <row r="5781" spans="1:9">
      <c r="A5781" s="17" t="s">
        <v>2047</v>
      </c>
      <c r="B5781" s="17" t="s">
        <v>2049</v>
      </c>
      <c r="C5781" s="17">
        <v>0</v>
      </c>
      <c r="D5781" s="17" t="s">
        <v>801</v>
      </c>
      <c r="E5781" s="18">
        <v>3003310081001</v>
      </c>
      <c r="G5781" s="20" t="str">
        <f t="shared" si="270"/>
        <v xml:space="preserve"> OBODY           </v>
      </c>
      <c r="H5781" s="20" t="str">
        <f t="shared" si="271"/>
        <v>ARGIL</v>
      </c>
      <c r="I5781" s="20">
        <f t="shared" si="272"/>
        <v>0</v>
      </c>
    </row>
    <row r="5782" spans="1:9">
      <c r="A5782" s="17" t="s">
        <v>2047</v>
      </c>
      <c r="B5782" s="17" t="s">
        <v>809</v>
      </c>
      <c r="C5782" s="17">
        <v>0</v>
      </c>
      <c r="D5782" s="17" t="s">
        <v>801</v>
      </c>
      <c r="E5782" s="18">
        <v>8050538590667</v>
      </c>
      <c r="G5782" s="20" t="str">
        <f t="shared" si="270"/>
        <v xml:space="preserve"> OBODY           </v>
      </c>
      <c r="H5782" s="20" t="str">
        <f t="shared" si="271"/>
        <v>AUBER</v>
      </c>
      <c r="I5782" s="20">
        <f t="shared" si="272"/>
        <v>0</v>
      </c>
    </row>
    <row r="5783" spans="1:9">
      <c r="A5783" s="17" t="s">
        <v>2047</v>
      </c>
      <c r="B5783" s="17" t="s">
        <v>879</v>
      </c>
      <c r="C5783" s="17">
        <v>0</v>
      </c>
      <c r="D5783" s="17" t="s">
        <v>801</v>
      </c>
      <c r="E5783" s="18">
        <v>3020600181005</v>
      </c>
      <c r="G5783" s="20" t="str">
        <f t="shared" si="270"/>
        <v xml:space="preserve"> OBODY           </v>
      </c>
      <c r="H5783" s="20" t="str">
        <f t="shared" si="271"/>
        <v xml:space="preserve">AZUR </v>
      </c>
      <c r="I5783" s="20">
        <f t="shared" si="272"/>
        <v>0</v>
      </c>
    </row>
    <row r="5784" spans="1:9">
      <c r="A5784" s="17" t="s">
        <v>2047</v>
      </c>
      <c r="B5784" s="17" t="s">
        <v>818</v>
      </c>
      <c r="C5784" s="17">
        <v>0</v>
      </c>
      <c r="D5784" s="17" t="s">
        <v>801</v>
      </c>
      <c r="E5784" s="18">
        <v>3003310019004</v>
      </c>
      <c r="G5784" s="20" t="str">
        <f t="shared" si="270"/>
        <v xml:space="preserve"> OBODY           </v>
      </c>
      <c r="H5784" s="20" t="str">
        <f t="shared" si="271"/>
        <v xml:space="preserve">BDX  </v>
      </c>
      <c r="I5784" s="20">
        <f t="shared" si="272"/>
        <v>0</v>
      </c>
    </row>
    <row r="5785" spans="1:9">
      <c r="A5785" s="17" t="s">
        <v>2047</v>
      </c>
      <c r="B5785" s="17" t="s">
        <v>818</v>
      </c>
      <c r="C5785" s="17">
        <v>0</v>
      </c>
      <c r="D5785" s="17" t="s">
        <v>801</v>
      </c>
      <c r="E5785" s="18">
        <v>8051770308539</v>
      </c>
      <c r="G5785" s="20" t="str">
        <f t="shared" si="270"/>
        <v xml:space="preserve"> OBODY           </v>
      </c>
      <c r="H5785" s="20" t="str">
        <f t="shared" si="271"/>
        <v xml:space="preserve">BDX  </v>
      </c>
      <c r="I5785" s="20">
        <f t="shared" si="272"/>
        <v>0</v>
      </c>
    </row>
    <row r="5786" spans="1:9">
      <c r="A5786" s="17" t="s">
        <v>2047</v>
      </c>
      <c r="B5786" s="17" t="s">
        <v>2006</v>
      </c>
      <c r="C5786" s="17">
        <v>0</v>
      </c>
      <c r="D5786" s="17" t="s">
        <v>801</v>
      </c>
      <c r="E5786" s="18">
        <v>8056095068809</v>
      </c>
      <c r="G5786" s="20" t="str">
        <f t="shared" si="270"/>
        <v xml:space="preserve"> OBODY           </v>
      </c>
      <c r="H5786" s="20" t="str">
        <f t="shared" si="271"/>
        <v>BECCO</v>
      </c>
      <c r="I5786" s="20">
        <f t="shared" si="272"/>
        <v>0</v>
      </c>
    </row>
    <row r="5787" spans="1:9">
      <c r="A5787" s="17" t="s">
        <v>2047</v>
      </c>
      <c r="B5787" s="17" t="s">
        <v>2006</v>
      </c>
      <c r="C5787" s="17">
        <v>0</v>
      </c>
      <c r="D5787" s="17" t="s">
        <v>801</v>
      </c>
      <c r="E5787" s="18">
        <v>3002751078007</v>
      </c>
      <c r="G5787" s="20" t="str">
        <f t="shared" si="270"/>
        <v xml:space="preserve"> OBODY           </v>
      </c>
      <c r="H5787" s="20" t="str">
        <f t="shared" si="271"/>
        <v>BECCO</v>
      </c>
      <c r="I5787" s="20">
        <f t="shared" si="272"/>
        <v>0</v>
      </c>
    </row>
    <row r="5788" spans="1:9">
      <c r="A5788" s="17" t="s">
        <v>2047</v>
      </c>
      <c r="B5788" s="17" t="s">
        <v>1077</v>
      </c>
      <c r="C5788" s="17">
        <v>0</v>
      </c>
      <c r="D5788" s="17" t="s">
        <v>801</v>
      </c>
      <c r="E5788" s="18">
        <v>8056095068861</v>
      </c>
      <c r="G5788" s="20" t="str">
        <f t="shared" si="270"/>
        <v xml:space="preserve"> OBODY           </v>
      </c>
      <c r="H5788" s="20" t="str">
        <f t="shared" si="271"/>
        <v>BISCO</v>
      </c>
      <c r="I5788" s="20">
        <f t="shared" si="272"/>
        <v>0</v>
      </c>
    </row>
    <row r="5789" spans="1:9">
      <c r="A5789" s="17" t="s">
        <v>2047</v>
      </c>
      <c r="B5789" s="17" t="s">
        <v>1077</v>
      </c>
      <c r="C5789" s="17">
        <v>0</v>
      </c>
      <c r="D5789" s="17" t="s">
        <v>801</v>
      </c>
      <c r="E5789" s="18">
        <v>3002751073002</v>
      </c>
      <c r="G5789" s="20" t="str">
        <f t="shared" si="270"/>
        <v xml:space="preserve"> OBODY           </v>
      </c>
      <c r="H5789" s="20" t="str">
        <f t="shared" si="271"/>
        <v>BISCO</v>
      </c>
      <c r="I5789" s="20">
        <f t="shared" si="272"/>
        <v>0</v>
      </c>
    </row>
    <row r="5790" spans="1:9">
      <c r="A5790" s="17" t="s">
        <v>2047</v>
      </c>
      <c r="B5790" s="17" t="s">
        <v>280</v>
      </c>
      <c r="C5790" s="17">
        <v>0</v>
      </c>
      <c r="D5790" s="17" t="s">
        <v>801</v>
      </c>
      <c r="E5790" s="18">
        <v>3003310001009</v>
      </c>
      <c r="G5790" s="20" t="str">
        <f t="shared" si="270"/>
        <v xml:space="preserve"> OBODY           </v>
      </c>
      <c r="H5790" s="20" t="str">
        <f t="shared" si="271"/>
        <v>BLACK</v>
      </c>
      <c r="I5790" s="20">
        <f t="shared" si="272"/>
        <v>0</v>
      </c>
    </row>
    <row r="5791" spans="1:9">
      <c r="A5791" s="17" t="s">
        <v>2047</v>
      </c>
      <c r="B5791" s="17" t="s">
        <v>280</v>
      </c>
      <c r="C5791" s="17">
        <v>0</v>
      </c>
      <c r="D5791" s="17" t="s">
        <v>801</v>
      </c>
      <c r="E5791" s="18">
        <v>8051770308638</v>
      </c>
      <c r="G5791" s="20" t="str">
        <f t="shared" si="270"/>
        <v xml:space="preserve"> OBODY           </v>
      </c>
      <c r="H5791" s="20" t="str">
        <f t="shared" si="271"/>
        <v>BLACK</v>
      </c>
      <c r="I5791" s="20">
        <f t="shared" si="272"/>
        <v>0</v>
      </c>
    </row>
    <row r="5792" spans="1:9">
      <c r="A5792" s="17" t="s">
        <v>2047</v>
      </c>
      <c r="B5792" s="17" t="s">
        <v>814</v>
      </c>
      <c r="C5792" s="17">
        <v>0</v>
      </c>
      <c r="D5792" s="17" t="s">
        <v>801</v>
      </c>
      <c r="E5792" s="18">
        <v>8058983595930</v>
      </c>
      <c r="G5792" s="20" t="str">
        <f t="shared" si="270"/>
        <v xml:space="preserve"> OBODY           </v>
      </c>
      <c r="H5792" s="20" t="str">
        <f t="shared" si="271"/>
        <v>BLUAC</v>
      </c>
      <c r="I5792" s="20">
        <f t="shared" si="272"/>
        <v>0</v>
      </c>
    </row>
    <row r="5793" spans="1:9">
      <c r="A5793" s="17" t="s">
        <v>2047</v>
      </c>
      <c r="B5793" s="17" t="s">
        <v>1026</v>
      </c>
      <c r="C5793" s="17">
        <v>0</v>
      </c>
      <c r="D5793" s="17" t="s">
        <v>801</v>
      </c>
      <c r="E5793" s="18">
        <v>3020600546002</v>
      </c>
      <c r="G5793" s="20" t="str">
        <f t="shared" si="270"/>
        <v xml:space="preserve"> OBODY           </v>
      </c>
      <c r="H5793" s="20" t="str">
        <f t="shared" si="271"/>
        <v>BLUAV</v>
      </c>
      <c r="I5793" s="20">
        <f t="shared" si="272"/>
        <v>0</v>
      </c>
    </row>
    <row r="5794" spans="1:9">
      <c r="A5794" s="17" t="s">
        <v>2047</v>
      </c>
      <c r="B5794" s="17" t="s">
        <v>2050</v>
      </c>
      <c r="C5794" s="17">
        <v>0</v>
      </c>
      <c r="D5794" s="17" t="s">
        <v>801</v>
      </c>
      <c r="E5794" s="18">
        <v>3002751445007</v>
      </c>
      <c r="G5794" s="20" t="str">
        <f t="shared" si="270"/>
        <v xml:space="preserve"> OBODY           </v>
      </c>
      <c r="H5794" s="20" t="str">
        <f t="shared" si="271"/>
        <v>BLUCA</v>
      </c>
      <c r="I5794" s="20">
        <f t="shared" si="272"/>
        <v>0</v>
      </c>
    </row>
    <row r="5795" spans="1:9">
      <c r="A5795" s="17" t="s">
        <v>2047</v>
      </c>
      <c r="B5795" s="17" t="s">
        <v>857</v>
      </c>
      <c r="C5795" s="17">
        <v>0</v>
      </c>
      <c r="D5795" s="17" t="s">
        <v>801</v>
      </c>
      <c r="E5795" s="18">
        <v>8056095068830</v>
      </c>
      <c r="G5795" s="20" t="str">
        <f t="shared" si="270"/>
        <v xml:space="preserve"> OBODY           </v>
      </c>
      <c r="H5795" s="20" t="str">
        <f t="shared" si="271"/>
        <v>BLUET</v>
      </c>
      <c r="I5795" s="20">
        <f t="shared" si="272"/>
        <v>0</v>
      </c>
    </row>
    <row r="5796" spans="1:9">
      <c r="A5796" s="17" t="s">
        <v>2047</v>
      </c>
      <c r="B5796" s="17" t="s">
        <v>857</v>
      </c>
      <c r="C5796" s="17">
        <v>0</v>
      </c>
      <c r="D5796" s="17" t="s">
        <v>801</v>
      </c>
      <c r="E5796" s="18">
        <v>3002751075006</v>
      </c>
      <c r="G5796" s="20" t="str">
        <f t="shared" si="270"/>
        <v xml:space="preserve"> OBODY           </v>
      </c>
      <c r="H5796" s="20" t="str">
        <f t="shared" si="271"/>
        <v>BLUET</v>
      </c>
      <c r="I5796" s="20">
        <f t="shared" si="272"/>
        <v>0</v>
      </c>
    </row>
    <row r="5797" spans="1:9">
      <c r="A5797" s="17" t="s">
        <v>2047</v>
      </c>
      <c r="B5797" s="17" t="s">
        <v>1101</v>
      </c>
      <c r="C5797" s="17">
        <v>0</v>
      </c>
      <c r="D5797" s="17" t="s">
        <v>801</v>
      </c>
      <c r="E5797" s="18">
        <v>3020600308006</v>
      </c>
      <c r="G5797" s="20" t="str">
        <f t="shared" si="270"/>
        <v xml:space="preserve"> OBODY           </v>
      </c>
      <c r="H5797" s="20" t="str">
        <f t="shared" si="271"/>
        <v xml:space="preserve">BOR  </v>
      </c>
      <c r="I5797" s="20">
        <f t="shared" si="272"/>
        <v>0</v>
      </c>
    </row>
    <row r="5798" spans="1:9">
      <c r="A5798" s="17" t="s">
        <v>2047</v>
      </c>
      <c r="B5798" s="17" t="s">
        <v>1922</v>
      </c>
      <c r="C5798" s="17">
        <v>0</v>
      </c>
      <c r="D5798" s="17" t="s">
        <v>801</v>
      </c>
      <c r="E5798" s="18">
        <v>3020600149005</v>
      </c>
      <c r="G5798" s="20" t="str">
        <f t="shared" si="270"/>
        <v xml:space="preserve"> OBODY           </v>
      </c>
      <c r="H5798" s="20" t="str">
        <f t="shared" si="271"/>
        <v xml:space="preserve">BRIQ </v>
      </c>
      <c r="I5798" s="20">
        <f t="shared" si="272"/>
        <v>0</v>
      </c>
    </row>
    <row r="5799" spans="1:9">
      <c r="A5799" s="17" t="s">
        <v>2047</v>
      </c>
      <c r="B5799" s="17" t="s">
        <v>853</v>
      </c>
      <c r="C5799" s="17">
        <v>0</v>
      </c>
      <c r="D5799" s="17" t="s">
        <v>801</v>
      </c>
      <c r="E5799" s="18">
        <v>3002750499001</v>
      </c>
      <c r="G5799" s="20" t="str">
        <f t="shared" si="270"/>
        <v xml:space="preserve"> OBODY           </v>
      </c>
      <c r="H5799" s="20" t="str">
        <f t="shared" si="271"/>
        <v>BRONZ</v>
      </c>
      <c r="I5799" s="20">
        <f t="shared" si="272"/>
        <v>0</v>
      </c>
    </row>
    <row r="5800" spans="1:9">
      <c r="A5800" s="17" t="s">
        <v>2047</v>
      </c>
      <c r="B5800" s="17" t="s">
        <v>853</v>
      </c>
      <c r="C5800" s="17">
        <v>0</v>
      </c>
      <c r="D5800" s="17" t="s">
        <v>801</v>
      </c>
      <c r="E5800" s="18">
        <v>8050450212449</v>
      </c>
      <c r="G5800" s="20" t="str">
        <f t="shared" si="270"/>
        <v xml:space="preserve"> OBODY           </v>
      </c>
      <c r="H5800" s="20" t="str">
        <f t="shared" si="271"/>
        <v>BRONZ</v>
      </c>
      <c r="I5800" s="20">
        <f t="shared" si="272"/>
        <v>0</v>
      </c>
    </row>
    <row r="5801" spans="1:9">
      <c r="A5801" s="17" t="s">
        <v>2047</v>
      </c>
      <c r="B5801" s="17" t="s">
        <v>869</v>
      </c>
      <c r="C5801" s="17">
        <v>0</v>
      </c>
      <c r="D5801" s="17" t="s">
        <v>801</v>
      </c>
      <c r="E5801" s="18">
        <v>3003310005007</v>
      </c>
      <c r="G5801" s="20" t="str">
        <f t="shared" si="270"/>
        <v xml:space="preserve"> OBODY           </v>
      </c>
      <c r="H5801" s="20" t="str">
        <f t="shared" si="271"/>
        <v>BROWN</v>
      </c>
      <c r="I5801" s="20">
        <f t="shared" si="272"/>
        <v>0</v>
      </c>
    </row>
    <row r="5802" spans="1:9">
      <c r="A5802" s="17" t="s">
        <v>2047</v>
      </c>
      <c r="B5802" s="17" t="s">
        <v>2018</v>
      </c>
      <c r="C5802" s="17">
        <v>0</v>
      </c>
      <c r="D5802" s="17" t="s">
        <v>801</v>
      </c>
      <c r="E5802" s="18">
        <v>3020600229004</v>
      </c>
      <c r="G5802" s="20" t="str">
        <f t="shared" si="270"/>
        <v xml:space="preserve"> OBODY           </v>
      </c>
      <c r="H5802" s="20" t="str">
        <f t="shared" si="271"/>
        <v xml:space="preserve">CERI </v>
      </c>
      <c r="I5802" s="20">
        <f t="shared" si="272"/>
        <v>0</v>
      </c>
    </row>
    <row r="5803" spans="1:9">
      <c r="A5803" s="17" t="s">
        <v>2047</v>
      </c>
      <c r="B5803" s="17" t="s">
        <v>1899</v>
      </c>
      <c r="C5803" s="17">
        <v>0</v>
      </c>
      <c r="D5803" s="17" t="s">
        <v>801</v>
      </c>
      <c r="E5803" s="18">
        <v>3003310016003</v>
      </c>
      <c r="G5803" s="20" t="str">
        <f t="shared" si="270"/>
        <v xml:space="preserve"> OBODY           </v>
      </c>
      <c r="H5803" s="20" t="str">
        <f t="shared" si="271"/>
        <v xml:space="preserve">DARK </v>
      </c>
      <c r="I5803" s="20">
        <f t="shared" si="272"/>
        <v>0</v>
      </c>
    </row>
    <row r="5804" spans="1:9">
      <c r="A5804" s="17" t="s">
        <v>2047</v>
      </c>
      <c r="B5804" s="17" t="s">
        <v>888</v>
      </c>
      <c r="C5804" s="17" t="s">
        <v>799</v>
      </c>
      <c r="D5804" s="17" t="s">
        <v>801</v>
      </c>
      <c r="E5804" s="18">
        <v>3020600000009</v>
      </c>
      <c r="G5804" s="20" t="str">
        <f t="shared" si="270"/>
        <v xml:space="preserve"> OBODY           </v>
      </c>
      <c r="H5804" s="20" t="str">
        <f t="shared" si="271"/>
        <v>DRKOR</v>
      </c>
      <c r="I5804" s="20" t="str">
        <f t="shared" si="272"/>
        <v xml:space="preserve">     </v>
      </c>
    </row>
    <row r="5805" spans="1:9">
      <c r="A5805" s="17" t="s">
        <v>2047</v>
      </c>
      <c r="B5805" s="17" t="s">
        <v>888</v>
      </c>
      <c r="C5805" s="17">
        <v>0</v>
      </c>
      <c r="D5805" s="17" t="s">
        <v>801</v>
      </c>
      <c r="E5805" s="18">
        <v>3003310099006</v>
      </c>
      <c r="G5805" s="20" t="str">
        <f t="shared" si="270"/>
        <v xml:space="preserve"> OBODY           </v>
      </c>
      <c r="H5805" s="20" t="str">
        <f t="shared" si="271"/>
        <v>DRKOR</v>
      </c>
      <c r="I5805" s="20">
        <f t="shared" si="272"/>
        <v>0</v>
      </c>
    </row>
    <row r="5806" spans="1:9">
      <c r="A5806" s="17" t="s">
        <v>2047</v>
      </c>
      <c r="B5806" s="17" t="s">
        <v>1447</v>
      </c>
      <c r="C5806" s="17">
        <v>0</v>
      </c>
      <c r="D5806" s="17" t="s">
        <v>801</v>
      </c>
      <c r="E5806" s="18">
        <v>8058983595916</v>
      </c>
      <c r="G5806" s="20" t="str">
        <f t="shared" si="270"/>
        <v xml:space="preserve"> OBODY           </v>
      </c>
      <c r="H5806" s="20" t="str">
        <f t="shared" si="271"/>
        <v xml:space="preserve">FRAG </v>
      </c>
      <c r="I5806" s="20">
        <f t="shared" si="272"/>
        <v>0</v>
      </c>
    </row>
    <row r="5807" spans="1:9">
      <c r="A5807" s="17" t="s">
        <v>2047</v>
      </c>
      <c r="B5807" s="17" t="s">
        <v>1447</v>
      </c>
      <c r="C5807" s="17">
        <v>0</v>
      </c>
      <c r="D5807" s="17" t="s">
        <v>801</v>
      </c>
      <c r="E5807" s="18">
        <v>3020600545005</v>
      </c>
      <c r="G5807" s="20" t="str">
        <f t="shared" si="270"/>
        <v xml:space="preserve"> OBODY           </v>
      </c>
      <c r="H5807" s="20" t="str">
        <f t="shared" si="271"/>
        <v xml:space="preserve">FRAG </v>
      </c>
      <c r="I5807" s="20">
        <f t="shared" si="272"/>
        <v>0</v>
      </c>
    </row>
    <row r="5808" spans="1:9">
      <c r="A5808" s="17" t="s">
        <v>2047</v>
      </c>
      <c r="B5808" s="17" t="s">
        <v>889</v>
      </c>
      <c r="C5808" s="17">
        <v>0</v>
      </c>
      <c r="D5808" s="17" t="s">
        <v>801</v>
      </c>
      <c r="E5808" s="18">
        <v>3020600219005</v>
      </c>
      <c r="G5808" s="20" t="str">
        <f t="shared" si="270"/>
        <v xml:space="preserve"> OBODY           </v>
      </c>
      <c r="H5808" s="20" t="str">
        <f t="shared" si="271"/>
        <v>GENET</v>
      </c>
      <c r="I5808" s="20">
        <f t="shared" si="272"/>
        <v>0</v>
      </c>
    </row>
    <row r="5809" spans="1:9">
      <c r="A5809" s="17" t="s">
        <v>2047</v>
      </c>
      <c r="B5809" s="17" t="s">
        <v>1661</v>
      </c>
      <c r="C5809" s="17">
        <v>0</v>
      </c>
      <c r="D5809" s="17" t="s">
        <v>801</v>
      </c>
      <c r="E5809" s="18">
        <v>3002750611007</v>
      </c>
      <c r="G5809" s="20" t="str">
        <f t="shared" si="270"/>
        <v xml:space="preserve"> OBODY           </v>
      </c>
      <c r="H5809" s="20" t="str">
        <f t="shared" si="271"/>
        <v>GRAFI</v>
      </c>
      <c r="I5809" s="20">
        <f t="shared" si="272"/>
        <v>0</v>
      </c>
    </row>
    <row r="5810" spans="1:9">
      <c r="A5810" s="17" t="s">
        <v>2047</v>
      </c>
      <c r="B5810" s="17" t="s">
        <v>1661</v>
      </c>
      <c r="C5810" s="17">
        <v>0</v>
      </c>
      <c r="D5810" s="17" t="s">
        <v>801</v>
      </c>
      <c r="E5810" s="18">
        <v>8050450212456</v>
      </c>
      <c r="G5810" s="20" t="str">
        <f t="shared" si="270"/>
        <v xml:space="preserve"> OBODY           </v>
      </c>
      <c r="H5810" s="20" t="str">
        <f t="shared" si="271"/>
        <v>GRAFI</v>
      </c>
      <c r="I5810" s="20">
        <f t="shared" si="272"/>
        <v>0</v>
      </c>
    </row>
    <row r="5811" spans="1:9">
      <c r="A5811" s="17" t="s">
        <v>2047</v>
      </c>
      <c r="B5811" s="17" t="s">
        <v>1430</v>
      </c>
      <c r="C5811" s="17">
        <v>0</v>
      </c>
      <c r="D5811" s="17" t="s">
        <v>801</v>
      </c>
      <c r="E5811" s="18">
        <v>8050450217475</v>
      </c>
      <c r="G5811" s="20" t="str">
        <f t="shared" si="270"/>
        <v xml:space="preserve"> OBODY           </v>
      </c>
      <c r="H5811" s="20" t="str">
        <f t="shared" si="271"/>
        <v xml:space="preserve">IRIS </v>
      </c>
      <c r="I5811" s="20">
        <f t="shared" si="272"/>
        <v>0</v>
      </c>
    </row>
    <row r="5812" spans="1:9">
      <c r="A5812" s="17" t="s">
        <v>2047</v>
      </c>
      <c r="B5812" s="17" t="s">
        <v>1430</v>
      </c>
      <c r="C5812" s="17">
        <v>0</v>
      </c>
      <c r="D5812" s="17" t="s">
        <v>801</v>
      </c>
      <c r="E5812" s="18">
        <v>3002750498004</v>
      </c>
      <c r="G5812" s="20" t="str">
        <f t="shared" si="270"/>
        <v xml:space="preserve"> OBODY           </v>
      </c>
      <c r="H5812" s="20" t="str">
        <f t="shared" si="271"/>
        <v xml:space="preserve">IRIS </v>
      </c>
      <c r="I5812" s="20">
        <f t="shared" si="272"/>
        <v>0</v>
      </c>
    </row>
    <row r="5813" spans="1:9">
      <c r="A5813" s="17" t="s">
        <v>2047</v>
      </c>
      <c r="B5813" s="17" t="s">
        <v>838</v>
      </c>
      <c r="C5813" s="17">
        <v>0</v>
      </c>
      <c r="D5813" s="17" t="s">
        <v>801</v>
      </c>
      <c r="E5813" s="18">
        <v>3020600167009</v>
      </c>
      <c r="G5813" s="20" t="str">
        <f t="shared" si="270"/>
        <v xml:space="preserve"> OBODY           </v>
      </c>
      <c r="H5813" s="20" t="str">
        <f t="shared" si="271"/>
        <v>IVOIR</v>
      </c>
      <c r="I5813" s="20">
        <f t="shared" si="272"/>
        <v>0</v>
      </c>
    </row>
    <row r="5814" spans="1:9">
      <c r="A5814" s="17" t="s">
        <v>2047</v>
      </c>
      <c r="B5814" s="17" t="s">
        <v>838</v>
      </c>
      <c r="C5814" s="17">
        <v>0</v>
      </c>
      <c r="D5814" s="17" t="s">
        <v>801</v>
      </c>
      <c r="E5814" s="18">
        <v>8050450217482</v>
      </c>
      <c r="G5814" s="20" t="str">
        <f t="shared" si="270"/>
        <v xml:space="preserve"> OBODY           </v>
      </c>
      <c r="H5814" s="20" t="str">
        <f t="shared" si="271"/>
        <v>IVOIR</v>
      </c>
      <c r="I5814" s="20">
        <f t="shared" si="272"/>
        <v>0</v>
      </c>
    </row>
    <row r="5815" spans="1:9">
      <c r="A5815" s="17" t="s">
        <v>2047</v>
      </c>
      <c r="B5815" s="17" t="s">
        <v>2051</v>
      </c>
      <c r="C5815" s="17">
        <v>0</v>
      </c>
      <c r="D5815" s="17" t="s">
        <v>801</v>
      </c>
      <c r="E5815" s="18">
        <v>3003310083005</v>
      </c>
      <c r="G5815" s="20" t="str">
        <f t="shared" si="270"/>
        <v xml:space="preserve"> OBODY           </v>
      </c>
      <c r="H5815" s="20" t="str">
        <f t="shared" si="271"/>
        <v>LAVEN</v>
      </c>
      <c r="I5815" s="20">
        <f t="shared" si="272"/>
        <v>0</v>
      </c>
    </row>
    <row r="5816" spans="1:9">
      <c r="A5816" s="17" t="s">
        <v>2047</v>
      </c>
      <c r="B5816" s="17" t="s">
        <v>892</v>
      </c>
      <c r="C5816" s="17">
        <v>0</v>
      </c>
      <c r="D5816" s="17" t="s">
        <v>801</v>
      </c>
      <c r="E5816" s="18">
        <v>3020600214000</v>
      </c>
      <c r="G5816" s="20" t="str">
        <f t="shared" si="270"/>
        <v xml:space="preserve"> OBODY           </v>
      </c>
      <c r="H5816" s="20" t="str">
        <f t="shared" si="271"/>
        <v xml:space="preserve">LIME </v>
      </c>
      <c r="I5816" s="20">
        <f t="shared" si="272"/>
        <v>0</v>
      </c>
    </row>
    <row r="5817" spans="1:9">
      <c r="A5817" s="17" t="s">
        <v>2047</v>
      </c>
      <c r="B5817" s="17" t="s">
        <v>893</v>
      </c>
      <c r="C5817" s="17">
        <v>0</v>
      </c>
      <c r="D5817" s="17" t="s">
        <v>801</v>
      </c>
      <c r="E5817" s="18">
        <v>3003310017000</v>
      </c>
      <c r="G5817" s="20" t="str">
        <f t="shared" si="270"/>
        <v xml:space="preserve"> OBODY           </v>
      </c>
      <c r="H5817" s="20" t="str">
        <f t="shared" si="271"/>
        <v xml:space="preserve">MAG  </v>
      </c>
      <c r="I5817" s="20">
        <f t="shared" si="272"/>
        <v>0</v>
      </c>
    </row>
    <row r="5818" spans="1:9">
      <c r="A5818" s="17" t="s">
        <v>2047</v>
      </c>
      <c r="B5818" s="17" t="s">
        <v>1105</v>
      </c>
      <c r="C5818" s="17">
        <v>0</v>
      </c>
      <c r="D5818" s="17" t="s">
        <v>801</v>
      </c>
      <c r="E5818" s="18">
        <v>3020600667004</v>
      </c>
      <c r="G5818" s="20" t="str">
        <f t="shared" si="270"/>
        <v xml:space="preserve"> OBODY           </v>
      </c>
      <c r="H5818" s="20" t="str">
        <f t="shared" si="271"/>
        <v>MARSA</v>
      </c>
      <c r="I5818" s="20">
        <f t="shared" si="272"/>
        <v>0</v>
      </c>
    </row>
    <row r="5819" spans="1:9">
      <c r="A5819" s="17" t="s">
        <v>2047</v>
      </c>
      <c r="B5819" s="17" t="s">
        <v>1231</v>
      </c>
      <c r="C5819" s="17">
        <v>0</v>
      </c>
      <c r="D5819" s="17" t="s">
        <v>801</v>
      </c>
      <c r="E5819" s="18">
        <v>3020600109009</v>
      </c>
      <c r="G5819" s="20" t="str">
        <f t="shared" si="270"/>
        <v xml:space="preserve"> OBODY           </v>
      </c>
      <c r="H5819" s="20" t="str">
        <f t="shared" si="271"/>
        <v xml:space="preserve">MAYA </v>
      </c>
      <c r="I5819" s="20">
        <f t="shared" si="272"/>
        <v>0</v>
      </c>
    </row>
    <row r="5820" spans="1:9">
      <c r="A5820" s="17" t="s">
        <v>2047</v>
      </c>
      <c r="B5820" s="17" t="s">
        <v>1232</v>
      </c>
      <c r="C5820" s="17">
        <v>0</v>
      </c>
      <c r="D5820" s="17" t="s">
        <v>801</v>
      </c>
      <c r="E5820" s="18">
        <v>3003310022004</v>
      </c>
      <c r="G5820" s="20" t="str">
        <f t="shared" si="270"/>
        <v xml:space="preserve"> OBODY           </v>
      </c>
      <c r="H5820" s="20" t="str">
        <f t="shared" si="271"/>
        <v xml:space="preserve">MINT </v>
      </c>
      <c r="I5820" s="20">
        <f t="shared" si="272"/>
        <v>0</v>
      </c>
    </row>
    <row r="5821" spans="1:9">
      <c r="A5821" s="17" t="s">
        <v>2047</v>
      </c>
      <c r="B5821" s="17" t="s">
        <v>823</v>
      </c>
      <c r="C5821" s="17">
        <v>0</v>
      </c>
      <c r="D5821" s="17" t="s">
        <v>801</v>
      </c>
      <c r="E5821" s="18">
        <v>3003310036001</v>
      </c>
      <c r="G5821" s="20" t="str">
        <f t="shared" si="270"/>
        <v xml:space="preserve"> OBODY           </v>
      </c>
      <c r="H5821" s="20" t="str">
        <f t="shared" si="271"/>
        <v xml:space="preserve">MOSS </v>
      </c>
      <c r="I5821" s="20">
        <f t="shared" si="272"/>
        <v>0</v>
      </c>
    </row>
    <row r="5822" spans="1:9">
      <c r="A5822" s="17" t="s">
        <v>2047</v>
      </c>
      <c r="B5822" s="17" t="s">
        <v>1787</v>
      </c>
      <c r="C5822" s="17">
        <v>0</v>
      </c>
      <c r="D5822" s="17" t="s">
        <v>801</v>
      </c>
      <c r="E5822" s="18">
        <v>3020600150001</v>
      </c>
      <c r="G5822" s="20" t="str">
        <f t="shared" si="270"/>
        <v xml:space="preserve"> OBODY           </v>
      </c>
      <c r="H5822" s="20" t="str">
        <f t="shared" si="271"/>
        <v xml:space="preserve">MOU  </v>
      </c>
      <c r="I5822" s="20">
        <f t="shared" si="272"/>
        <v>0</v>
      </c>
    </row>
    <row r="5823" spans="1:9">
      <c r="A5823" s="17" t="s">
        <v>2047</v>
      </c>
      <c r="B5823" s="17" t="s">
        <v>1434</v>
      </c>
      <c r="C5823" s="17">
        <v>0</v>
      </c>
      <c r="D5823" s="17" t="s">
        <v>801</v>
      </c>
      <c r="E5823" s="18">
        <v>8058983595909</v>
      </c>
      <c r="G5823" s="20" t="str">
        <f t="shared" si="270"/>
        <v xml:space="preserve"> OBODY           </v>
      </c>
      <c r="H5823" s="20" t="str">
        <f t="shared" si="271"/>
        <v xml:space="preserve">NAR  </v>
      </c>
      <c r="I5823" s="20">
        <f t="shared" si="272"/>
        <v>0</v>
      </c>
    </row>
    <row r="5824" spans="1:9">
      <c r="A5824" s="17" t="s">
        <v>2047</v>
      </c>
      <c r="B5824" s="17" t="s">
        <v>1434</v>
      </c>
      <c r="C5824" s="17">
        <v>0</v>
      </c>
      <c r="D5824" s="17" t="s">
        <v>801</v>
      </c>
      <c r="E5824" s="18">
        <v>3020600569001</v>
      </c>
      <c r="G5824" s="20" t="str">
        <f t="shared" si="270"/>
        <v xml:space="preserve"> OBODY           </v>
      </c>
      <c r="H5824" s="20" t="str">
        <f t="shared" si="271"/>
        <v xml:space="preserve">NAR  </v>
      </c>
      <c r="I5824" s="20">
        <f t="shared" si="272"/>
        <v>0</v>
      </c>
    </row>
    <row r="5825" spans="1:9">
      <c r="A5825" s="17" t="s">
        <v>2047</v>
      </c>
      <c r="B5825" s="17" t="s">
        <v>1078</v>
      </c>
      <c r="C5825" s="17">
        <v>0</v>
      </c>
      <c r="D5825" s="17" t="s">
        <v>801</v>
      </c>
      <c r="E5825" s="18">
        <v>3020600001006</v>
      </c>
      <c r="G5825" s="20" t="str">
        <f t="shared" si="270"/>
        <v xml:space="preserve"> OBODY           </v>
      </c>
      <c r="H5825" s="20" t="str">
        <f t="shared" si="271"/>
        <v xml:space="preserve">NAVY </v>
      </c>
      <c r="I5825" s="20">
        <f t="shared" si="272"/>
        <v>0</v>
      </c>
    </row>
    <row r="5826" spans="1:9">
      <c r="A5826" s="17" t="s">
        <v>2047</v>
      </c>
      <c r="B5826" s="17" t="s">
        <v>1078</v>
      </c>
      <c r="C5826" s="17">
        <v>0</v>
      </c>
      <c r="D5826" s="17" t="s">
        <v>801</v>
      </c>
      <c r="E5826" s="18">
        <v>8050450217574</v>
      </c>
      <c r="G5826" s="20" t="str">
        <f t="shared" si="270"/>
        <v xml:space="preserve"> OBODY           </v>
      </c>
      <c r="H5826" s="20" t="str">
        <f t="shared" si="271"/>
        <v xml:space="preserve">NAVY </v>
      </c>
      <c r="I5826" s="20">
        <f t="shared" si="272"/>
        <v>0</v>
      </c>
    </row>
    <row r="5827" spans="1:9">
      <c r="A5827" s="17" t="s">
        <v>2047</v>
      </c>
      <c r="B5827" s="17" t="s">
        <v>1913</v>
      </c>
      <c r="C5827" s="17">
        <v>0</v>
      </c>
      <c r="D5827" s="17" t="s">
        <v>801</v>
      </c>
      <c r="E5827" s="18">
        <v>3020600228007</v>
      </c>
      <c r="G5827" s="20" t="str">
        <f t="shared" si="270"/>
        <v xml:space="preserve"> OBODY           </v>
      </c>
      <c r="H5827" s="20" t="str">
        <f t="shared" si="271"/>
        <v>NEIGE</v>
      </c>
      <c r="I5827" s="20">
        <f t="shared" si="272"/>
        <v>0</v>
      </c>
    </row>
    <row r="5828" spans="1:9">
      <c r="A5828" s="17" t="s">
        <v>2047</v>
      </c>
      <c r="B5828" s="17" t="s">
        <v>1233</v>
      </c>
      <c r="C5828" s="17">
        <v>0</v>
      </c>
      <c r="D5828" s="17" t="s">
        <v>801</v>
      </c>
      <c r="E5828" s="18">
        <v>3003310024008</v>
      </c>
      <c r="G5828" s="20" t="str">
        <f t="shared" si="270"/>
        <v xml:space="preserve"> OBODY           </v>
      </c>
      <c r="H5828" s="20" t="str">
        <f t="shared" si="271"/>
        <v>OCEAN</v>
      </c>
      <c r="I5828" s="20">
        <f t="shared" si="272"/>
        <v>0</v>
      </c>
    </row>
    <row r="5829" spans="1:9">
      <c r="A5829" s="17" t="s">
        <v>2047</v>
      </c>
      <c r="B5829" s="17" t="s">
        <v>1234</v>
      </c>
      <c r="C5829" s="17">
        <v>0</v>
      </c>
      <c r="D5829" s="17" t="s">
        <v>801</v>
      </c>
      <c r="E5829" s="18">
        <v>3003310021007</v>
      </c>
      <c r="G5829" s="20" t="str">
        <f t="shared" ref="G5829:G5892" si="273">A5829</f>
        <v xml:space="preserve"> OBODY           </v>
      </c>
      <c r="H5829" s="20" t="str">
        <f t="shared" ref="H5829:H5892" si="274">B5829</f>
        <v>OLIVE</v>
      </c>
      <c r="I5829" s="20">
        <f t="shared" ref="I5829:I5892" si="275">C5829</f>
        <v>0</v>
      </c>
    </row>
    <row r="5830" spans="1:9">
      <c r="A5830" s="17" t="s">
        <v>2047</v>
      </c>
      <c r="B5830" s="17" t="s">
        <v>964</v>
      </c>
      <c r="C5830" s="17">
        <v>0</v>
      </c>
      <c r="D5830" s="17" t="s">
        <v>801</v>
      </c>
      <c r="E5830" s="18">
        <v>3003310009005</v>
      </c>
      <c r="G5830" s="20" t="str">
        <f t="shared" si="273"/>
        <v xml:space="preserve"> OBODY           </v>
      </c>
      <c r="H5830" s="20" t="str">
        <f t="shared" si="274"/>
        <v>ORANG</v>
      </c>
      <c r="I5830" s="20">
        <f t="shared" si="275"/>
        <v>0</v>
      </c>
    </row>
    <row r="5831" spans="1:9">
      <c r="A5831" s="17" t="s">
        <v>2047</v>
      </c>
      <c r="B5831" s="17" t="s">
        <v>971</v>
      </c>
      <c r="C5831" s="17">
        <v>0</v>
      </c>
      <c r="D5831" s="17" t="s">
        <v>801</v>
      </c>
      <c r="E5831" s="18">
        <v>8056099178542</v>
      </c>
      <c r="G5831" s="20" t="str">
        <f t="shared" si="273"/>
        <v xml:space="preserve"> OBODY           </v>
      </c>
      <c r="H5831" s="20" t="str">
        <f t="shared" si="274"/>
        <v>OTTAN</v>
      </c>
      <c r="I5831" s="20">
        <f t="shared" si="275"/>
        <v>0</v>
      </c>
    </row>
    <row r="5832" spans="1:9">
      <c r="A5832" s="17" t="s">
        <v>2047</v>
      </c>
      <c r="B5832" s="17" t="s">
        <v>1235</v>
      </c>
      <c r="C5832" s="17">
        <v>0</v>
      </c>
      <c r="D5832" s="17" t="s">
        <v>801</v>
      </c>
      <c r="E5832" s="18">
        <v>3020600288001</v>
      </c>
      <c r="G5832" s="20" t="str">
        <f t="shared" si="273"/>
        <v xml:space="preserve"> OBODY           </v>
      </c>
      <c r="H5832" s="20" t="str">
        <f t="shared" si="274"/>
        <v>PAPAY</v>
      </c>
      <c r="I5832" s="20">
        <f t="shared" si="275"/>
        <v>0</v>
      </c>
    </row>
    <row r="5833" spans="1:9">
      <c r="A5833" s="17" t="s">
        <v>2047</v>
      </c>
      <c r="B5833" s="17" t="s">
        <v>1435</v>
      </c>
      <c r="C5833" s="17">
        <v>0</v>
      </c>
      <c r="D5833" s="17" t="s">
        <v>801</v>
      </c>
      <c r="E5833" s="18">
        <v>3020600650006</v>
      </c>
      <c r="G5833" s="20" t="str">
        <f t="shared" si="273"/>
        <v xml:space="preserve"> OBODY           </v>
      </c>
      <c r="H5833" s="20" t="str">
        <f t="shared" si="274"/>
        <v xml:space="preserve">PAST </v>
      </c>
      <c r="I5833" s="20">
        <f t="shared" si="275"/>
        <v>0</v>
      </c>
    </row>
    <row r="5834" spans="1:9">
      <c r="A5834" s="17" t="s">
        <v>2047</v>
      </c>
      <c r="B5834" s="17" t="s">
        <v>912</v>
      </c>
      <c r="C5834" s="17">
        <v>0</v>
      </c>
      <c r="D5834" s="17" t="s">
        <v>801</v>
      </c>
      <c r="E5834" s="18">
        <v>3020601008004</v>
      </c>
      <c r="G5834" s="20" t="str">
        <f t="shared" si="273"/>
        <v xml:space="preserve"> OBODY           </v>
      </c>
      <c r="H5834" s="20" t="str">
        <f t="shared" si="274"/>
        <v>PETRO</v>
      </c>
      <c r="I5834" s="20">
        <f t="shared" si="275"/>
        <v>0</v>
      </c>
    </row>
    <row r="5835" spans="1:9">
      <c r="A5835" s="17" t="s">
        <v>2047</v>
      </c>
      <c r="B5835" s="17" t="s">
        <v>283</v>
      </c>
      <c r="C5835" s="17">
        <v>0</v>
      </c>
      <c r="D5835" s="17" t="s">
        <v>801</v>
      </c>
      <c r="E5835" s="18">
        <v>8056095068816</v>
      </c>
      <c r="G5835" s="20" t="str">
        <f t="shared" si="273"/>
        <v xml:space="preserve"> OBODY           </v>
      </c>
      <c r="H5835" s="20" t="str">
        <f t="shared" si="274"/>
        <v>PHARD</v>
      </c>
      <c r="I5835" s="20">
        <f t="shared" si="275"/>
        <v>0</v>
      </c>
    </row>
    <row r="5836" spans="1:9">
      <c r="A5836" s="17" t="s">
        <v>2047</v>
      </c>
      <c r="B5836" s="17" t="s">
        <v>283</v>
      </c>
      <c r="C5836" s="17">
        <v>0</v>
      </c>
      <c r="D5836" s="17" t="s">
        <v>801</v>
      </c>
      <c r="E5836" s="18">
        <v>3002750871005</v>
      </c>
      <c r="G5836" s="20" t="str">
        <f t="shared" si="273"/>
        <v xml:space="preserve"> OBODY           </v>
      </c>
      <c r="H5836" s="20" t="str">
        <f t="shared" si="274"/>
        <v>PHARD</v>
      </c>
      <c r="I5836" s="20">
        <f t="shared" si="275"/>
        <v>0</v>
      </c>
    </row>
    <row r="5837" spans="1:9">
      <c r="A5837" s="17" t="s">
        <v>2047</v>
      </c>
      <c r="B5837" s="17" t="s">
        <v>1438</v>
      </c>
      <c r="C5837" s="17">
        <v>0</v>
      </c>
      <c r="D5837" s="17" t="s">
        <v>801</v>
      </c>
      <c r="E5837" s="18">
        <v>3002750692006</v>
      </c>
      <c r="G5837" s="20" t="str">
        <f t="shared" si="273"/>
        <v xml:space="preserve"> OBODY           </v>
      </c>
      <c r="H5837" s="20" t="str">
        <f t="shared" si="274"/>
        <v>POLVE</v>
      </c>
      <c r="I5837" s="20">
        <f t="shared" si="275"/>
        <v>0</v>
      </c>
    </row>
    <row r="5838" spans="1:9">
      <c r="A5838" s="17" t="s">
        <v>2047</v>
      </c>
      <c r="B5838" s="17" t="s">
        <v>1438</v>
      </c>
      <c r="C5838" s="17">
        <v>0</v>
      </c>
      <c r="D5838" s="17" t="s">
        <v>801</v>
      </c>
      <c r="E5838" s="18">
        <v>8058333587653</v>
      </c>
      <c r="G5838" s="20" t="str">
        <f t="shared" si="273"/>
        <v xml:space="preserve"> OBODY           </v>
      </c>
      <c r="H5838" s="20" t="str">
        <f t="shared" si="274"/>
        <v>POLVE</v>
      </c>
      <c r="I5838" s="20">
        <f t="shared" si="275"/>
        <v>0</v>
      </c>
    </row>
    <row r="5839" spans="1:9">
      <c r="A5839" s="17" t="s">
        <v>2047</v>
      </c>
      <c r="B5839" s="17" t="s">
        <v>2020</v>
      </c>
      <c r="C5839" s="17">
        <v>0</v>
      </c>
      <c r="D5839" s="17" t="s">
        <v>801</v>
      </c>
      <c r="E5839" s="18">
        <v>3002751080000</v>
      </c>
      <c r="G5839" s="20" t="str">
        <f t="shared" si="273"/>
        <v xml:space="preserve"> OBODY           </v>
      </c>
      <c r="H5839" s="20" t="str">
        <f t="shared" si="274"/>
        <v>POMME</v>
      </c>
      <c r="I5839" s="20">
        <f t="shared" si="275"/>
        <v>0</v>
      </c>
    </row>
    <row r="5840" spans="1:9">
      <c r="A5840" s="17" t="s">
        <v>2047</v>
      </c>
      <c r="B5840" s="17" t="s">
        <v>1097</v>
      </c>
      <c r="C5840" s="17">
        <v>0</v>
      </c>
      <c r="D5840" s="17" t="s">
        <v>801</v>
      </c>
      <c r="E5840" s="18">
        <v>8058983595923</v>
      </c>
      <c r="G5840" s="20" t="str">
        <f t="shared" si="273"/>
        <v xml:space="preserve"> OBODY           </v>
      </c>
      <c r="H5840" s="20" t="str">
        <f t="shared" si="274"/>
        <v xml:space="preserve">PORP </v>
      </c>
      <c r="I5840" s="20">
        <f t="shared" si="275"/>
        <v>0</v>
      </c>
    </row>
    <row r="5841" spans="1:9">
      <c r="A5841" s="17" t="s">
        <v>2047</v>
      </c>
      <c r="B5841" s="17" t="s">
        <v>1097</v>
      </c>
      <c r="C5841" s="17">
        <v>0</v>
      </c>
      <c r="D5841" s="17" t="s">
        <v>801</v>
      </c>
      <c r="E5841" s="18">
        <v>3020600540000</v>
      </c>
      <c r="G5841" s="20" t="str">
        <f t="shared" si="273"/>
        <v xml:space="preserve"> OBODY           </v>
      </c>
      <c r="H5841" s="20" t="str">
        <f t="shared" si="274"/>
        <v xml:space="preserve">PORP </v>
      </c>
      <c r="I5841" s="20">
        <f t="shared" si="275"/>
        <v>0</v>
      </c>
    </row>
    <row r="5842" spans="1:9">
      <c r="A5842" s="17" t="s">
        <v>2047</v>
      </c>
      <c r="B5842" s="17" t="s">
        <v>1236</v>
      </c>
      <c r="C5842" s="17">
        <v>0</v>
      </c>
      <c r="D5842" s="17" t="s">
        <v>801</v>
      </c>
      <c r="E5842" s="18">
        <v>3003310020000</v>
      </c>
      <c r="G5842" s="20" t="str">
        <f t="shared" si="273"/>
        <v xml:space="preserve"> OBODY           </v>
      </c>
      <c r="H5842" s="20" t="str">
        <f t="shared" si="274"/>
        <v xml:space="preserve">POW  </v>
      </c>
      <c r="I5842" s="20">
        <f t="shared" si="275"/>
        <v>0</v>
      </c>
    </row>
    <row r="5843" spans="1:9">
      <c r="A5843" s="17" t="s">
        <v>2047</v>
      </c>
      <c r="B5843" s="17" t="s">
        <v>2052</v>
      </c>
      <c r="C5843" s="17">
        <v>0</v>
      </c>
      <c r="D5843" s="17" t="s">
        <v>801</v>
      </c>
      <c r="E5843" s="18">
        <v>3020600110005</v>
      </c>
      <c r="G5843" s="20" t="str">
        <f t="shared" si="273"/>
        <v xml:space="preserve"> OBODY           </v>
      </c>
      <c r="H5843" s="20" t="str">
        <f t="shared" si="274"/>
        <v xml:space="preserve">PRAI </v>
      </c>
      <c r="I5843" s="20">
        <f t="shared" si="275"/>
        <v>0</v>
      </c>
    </row>
    <row r="5844" spans="1:9">
      <c r="A5844" s="17" t="s">
        <v>2047</v>
      </c>
      <c r="B5844" s="17" t="s">
        <v>914</v>
      </c>
      <c r="C5844" s="17">
        <v>0</v>
      </c>
      <c r="D5844" s="17" t="s">
        <v>801</v>
      </c>
      <c r="E5844" s="18">
        <v>3003310018007</v>
      </c>
      <c r="G5844" s="20" t="str">
        <f t="shared" si="273"/>
        <v xml:space="preserve"> OBODY           </v>
      </c>
      <c r="H5844" s="20" t="str">
        <f t="shared" si="274"/>
        <v xml:space="preserve">PURP </v>
      </c>
      <c r="I5844" s="20">
        <f t="shared" si="275"/>
        <v>0</v>
      </c>
    </row>
    <row r="5845" spans="1:9">
      <c r="A5845" s="17" t="s">
        <v>2047</v>
      </c>
      <c r="B5845" s="17" t="s">
        <v>816</v>
      </c>
      <c r="C5845" s="17">
        <v>0</v>
      </c>
      <c r="D5845" s="17" t="s">
        <v>801</v>
      </c>
      <c r="E5845" s="18">
        <v>8051770308508</v>
      </c>
      <c r="G5845" s="20" t="str">
        <f t="shared" si="273"/>
        <v xml:space="preserve"> OBODY           </v>
      </c>
      <c r="H5845" s="20" t="str">
        <f t="shared" si="274"/>
        <v xml:space="preserve">RED  </v>
      </c>
      <c r="I5845" s="20">
        <f t="shared" si="275"/>
        <v>0</v>
      </c>
    </row>
    <row r="5846" spans="1:9">
      <c r="A5846" s="17" t="s">
        <v>2047</v>
      </c>
      <c r="B5846" s="17" t="s">
        <v>816</v>
      </c>
      <c r="C5846" s="17">
        <v>0</v>
      </c>
      <c r="D5846" s="17" t="s">
        <v>801</v>
      </c>
      <c r="E5846" s="18">
        <v>3003310010001</v>
      </c>
      <c r="G5846" s="20" t="str">
        <f t="shared" si="273"/>
        <v xml:space="preserve"> OBODY           </v>
      </c>
      <c r="H5846" s="20" t="str">
        <f t="shared" si="274"/>
        <v xml:space="preserve">RED  </v>
      </c>
      <c r="I5846" s="20">
        <f t="shared" si="275"/>
        <v>0</v>
      </c>
    </row>
    <row r="5847" spans="1:9">
      <c r="A5847" s="17" t="s">
        <v>2047</v>
      </c>
      <c r="B5847" s="17" t="s">
        <v>1237</v>
      </c>
      <c r="C5847" s="17">
        <v>0</v>
      </c>
      <c r="D5847" s="17" t="s">
        <v>801</v>
      </c>
      <c r="E5847" s="18">
        <v>3003310027009</v>
      </c>
      <c r="G5847" s="20" t="str">
        <f t="shared" si="273"/>
        <v xml:space="preserve"> OBODY           </v>
      </c>
      <c r="H5847" s="20" t="str">
        <f t="shared" si="274"/>
        <v xml:space="preserve">ROCK </v>
      </c>
      <c r="I5847" s="20">
        <f t="shared" si="275"/>
        <v>0</v>
      </c>
    </row>
    <row r="5848" spans="1:9">
      <c r="A5848" s="17" t="s">
        <v>2047</v>
      </c>
      <c r="B5848" s="17" t="s">
        <v>1237</v>
      </c>
      <c r="C5848" s="17">
        <v>0</v>
      </c>
      <c r="D5848" s="17" t="s">
        <v>801</v>
      </c>
      <c r="E5848" s="18">
        <v>8051770308652</v>
      </c>
      <c r="G5848" s="20" t="str">
        <f t="shared" si="273"/>
        <v xml:space="preserve"> OBODY           </v>
      </c>
      <c r="H5848" s="20" t="str">
        <f t="shared" si="274"/>
        <v xml:space="preserve">ROCK </v>
      </c>
      <c r="I5848" s="20">
        <f t="shared" si="275"/>
        <v>0</v>
      </c>
    </row>
    <row r="5849" spans="1:9">
      <c r="A5849" s="17" t="s">
        <v>2047</v>
      </c>
      <c r="B5849" s="17" t="s">
        <v>1238</v>
      </c>
      <c r="C5849" s="17">
        <v>0</v>
      </c>
      <c r="D5849" s="17" t="s">
        <v>801</v>
      </c>
      <c r="E5849" s="18">
        <v>8050450217581</v>
      </c>
      <c r="G5849" s="20" t="str">
        <f t="shared" si="273"/>
        <v xml:space="preserve"> OBODY           </v>
      </c>
      <c r="H5849" s="20" t="str">
        <f t="shared" si="274"/>
        <v>ROSMO</v>
      </c>
      <c r="I5849" s="20">
        <f t="shared" si="275"/>
        <v>0</v>
      </c>
    </row>
    <row r="5850" spans="1:9">
      <c r="A5850" s="17" t="s">
        <v>2047</v>
      </c>
      <c r="B5850" s="17" t="s">
        <v>1238</v>
      </c>
      <c r="C5850" s="17">
        <v>0</v>
      </c>
      <c r="D5850" s="17" t="s">
        <v>801</v>
      </c>
      <c r="E5850" s="18">
        <v>3020600215007</v>
      </c>
      <c r="G5850" s="20" t="str">
        <f t="shared" si="273"/>
        <v xml:space="preserve"> OBODY           </v>
      </c>
      <c r="H5850" s="20" t="str">
        <f t="shared" si="274"/>
        <v>ROSMO</v>
      </c>
      <c r="I5850" s="20">
        <f t="shared" si="275"/>
        <v>0</v>
      </c>
    </row>
    <row r="5851" spans="1:9">
      <c r="A5851" s="17" t="s">
        <v>2047</v>
      </c>
      <c r="B5851" s="17" t="s">
        <v>1439</v>
      </c>
      <c r="C5851" s="17">
        <v>0</v>
      </c>
      <c r="D5851" s="17" t="s">
        <v>801</v>
      </c>
      <c r="E5851" s="18">
        <v>3003310084002</v>
      </c>
      <c r="G5851" s="20" t="str">
        <f t="shared" si="273"/>
        <v xml:space="preserve"> OBODY           </v>
      </c>
      <c r="H5851" s="20" t="str">
        <f t="shared" si="274"/>
        <v xml:space="preserve">RUBY </v>
      </c>
      <c r="I5851" s="20">
        <f t="shared" si="275"/>
        <v>0</v>
      </c>
    </row>
    <row r="5852" spans="1:9">
      <c r="A5852" s="17" t="s">
        <v>2047</v>
      </c>
      <c r="B5852" s="17" t="s">
        <v>1239</v>
      </c>
      <c r="C5852" s="17">
        <v>0</v>
      </c>
      <c r="D5852" s="17" t="s">
        <v>801</v>
      </c>
      <c r="E5852" s="18">
        <v>3003310028006</v>
      </c>
      <c r="G5852" s="20" t="str">
        <f t="shared" si="273"/>
        <v xml:space="preserve"> OBODY           </v>
      </c>
      <c r="H5852" s="20" t="str">
        <f t="shared" si="274"/>
        <v xml:space="preserve">SAND </v>
      </c>
      <c r="I5852" s="20">
        <f t="shared" si="275"/>
        <v>0</v>
      </c>
    </row>
    <row r="5853" spans="1:9">
      <c r="A5853" s="17" t="s">
        <v>2047</v>
      </c>
      <c r="B5853" s="17" t="s">
        <v>1239</v>
      </c>
      <c r="C5853" s="17">
        <v>0</v>
      </c>
      <c r="D5853" s="17" t="s">
        <v>801</v>
      </c>
      <c r="E5853" s="18">
        <v>8051770308669</v>
      </c>
      <c r="G5853" s="20" t="str">
        <f t="shared" si="273"/>
        <v xml:space="preserve"> OBODY           </v>
      </c>
      <c r="H5853" s="20" t="str">
        <f t="shared" si="274"/>
        <v xml:space="preserve">SAND </v>
      </c>
      <c r="I5853" s="20">
        <f t="shared" si="275"/>
        <v>0</v>
      </c>
    </row>
    <row r="5854" spans="1:9">
      <c r="A5854" s="17" t="s">
        <v>2047</v>
      </c>
      <c r="B5854" s="17" t="s">
        <v>1663</v>
      </c>
      <c r="C5854" s="17">
        <v>0</v>
      </c>
      <c r="D5854" s="17" t="s">
        <v>801</v>
      </c>
      <c r="E5854" s="18">
        <v>3002751313009</v>
      </c>
      <c r="G5854" s="20" t="str">
        <f t="shared" si="273"/>
        <v xml:space="preserve"> OBODY           </v>
      </c>
      <c r="H5854" s="20" t="str">
        <f t="shared" si="274"/>
        <v>SANGR</v>
      </c>
      <c r="I5854" s="20">
        <f t="shared" si="275"/>
        <v>0</v>
      </c>
    </row>
    <row r="5855" spans="1:9">
      <c r="A5855" s="17" t="s">
        <v>2047</v>
      </c>
      <c r="B5855" s="17" t="s">
        <v>1240</v>
      </c>
      <c r="C5855" s="17">
        <v>0</v>
      </c>
      <c r="D5855" s="17" t="s">
        <v>801</v>
      </c>
      <c r="E5855" s="18">
        <v>3020600111002</v>
      </c>
      <c r="G5855" s="20" t="str">
        <f t="shared" si="273"/>
        <v xml:space="preserve"> OBODY           </v>
      </c>
      <c r="H5855" s="20" t="str">
        <f t="shared" si="274"/>
        <v xml:space="preserve">SAU  </v>
      </c>
      <c r="I5855" s="20">
        <f t="shared" si="275"/>
        <v>0</v>
      </c>
    </row>
    <row r="5856" spans="1:9">
      <c r="A5856" s="17" t="s">
        <v>2047</v>
      </c>
      <c r="B5856" s="17" t="s">
        <v>1241</v>
      </c>
      <c r="C5856" s="17">
        <v>0</v>
      </c>
      <c r="D5856" s="17" t="s">
        <v>801</v>
      </c>
      <c r="E5856" s="18">
        <v>3003310082008</v>
      </c>
      <c r="G5856" s="20" t="str">
        <f t="shared" si="273"/>
        <v xml:space="preserve"> OBODY           </v>
      </c>
      <c r="H5856" s="20" t="str">
        <f t="shared" si="274"/>
        <v>SBLUE</v>
      </c>
      <c r="I5856" s="20">
        <f t="shared" si="275"/>
        <v>0</v>
      </c>
    </row>
    <row r="5857" spans="1:9">
      <c r="A5857" s="17" t="s">
        <v>2047</v>
      </c>
      <c r="B5857" s="17" t="s">
        <v>855</v>
      </c>
      <c r="C5857" s="17">
        <v>0</v>
      </c>
      <c r="D5857" s="17" t="s">
        <v>801</v>
      </c>
      <c r="E5857" s="18">
        <v>3020600617009</v>
      </c>
      <c r="G5857" s="20" t="str">
        <f t="shared" si="273"/>
        <v xml:space="preserve"> OBODY           </v>
      </c>
      <c r="H5857" s="20" t="str">
        <f t="shared" si="274"/>
        <v>SILVE</v>
      </c>
      <c r="I5857" s="20">
        <f t="shared" si="275"/>
        <v>0</v>
      </c>
    </row>
    <row r="5858" spans="1:9">
      <c r="A5858" s="17" t="s">
        <v>2047</v>
      </c>
      <c r="B5858" s="17" t="s">
        <v>872</v>
      </c>
      <c r="C5858" s="17">
        <v>0</v>
      </c>
      <c r="D5858" s="17" t="s">
        <v>801</v>
      </c>
      <c r="E5858" s="18">
        <v>3003310029003</v>
      </c>
      <c r="G5858" s="20" t="str">
        <f t="shared" si="273"/>
        <v xml:space="preserve"> OBODY           </v>
      </c>
      <c r="H5858" s="20" t="str">
        <f t="shared" si="274"/>
        <v xml:space="preserve">SKB  </v>
      </c>
      <c r="I5858" s="20">
        <f t="shared" si="275"/>
        <v>0</v>
      </c>
    </row>
    <row r="5859" spans="1:9">
      <c r="A5859" s="17" t="s">
        <v>2047</v>
      </c>
      <c r="B5859" s="17" t="s">
        <v>1079</v>
      </c>
      <c r="C5859" s="17">
        <v>0</v>
      </c>
      <c r="D5859" s="17" t="s">
        <v>801</v>
      </c>
      <c r="E5859" s="18">
        <v>8058983591765</v>
      </c>
      <c r="G5859" s="20" t="str">
        <f t="shared" si="273"/>
        <v xml:space="preserve"> OBODY           </v>
      </c>
      <c r="H5859" s="20" t="str">
        <f t="shared" si="274"/>
        <v xml:space="preserve">SLVG </v>
      </c>
      <c r="I5859" s="20">
        <f t="shared" si="275"/>
        <v>0</v>
      </c>
    </row>
    <row r="5860" spans="1:9">
      <c r="A5860" s="17" t="s">
        <v>2047</v>
      </c>
      <c r="B5860" s="17" t="s">
        <v>1079</v>
      </c>
      <c r="C5860" s="17">
        <v>0</v>
      </c>
      <c r="D5860" s="17" t="s">
        <v>801</v>
      </c>
      <c r="E5860" s="18">
        <v>3003310030009</v>
      </c>
      <c r="G5860" s="20" t="str">
        <f t="shared" si="273"/>
        <v xml:space="preserve"> OBODY           </v>
      </c>
      <c r="H5860" s="20" t="str">
        <f t="shared" si="274"/>
        <v xml:space="preserve">SLVG </v>
      </c>
      <c r="I5860" s="20">
        <f t="shared" si="275"/>
        <v>0</v>
      </c>
    </row>
    <row r="5861" spans="1:9">
      <c r="A5861" s="17" t="s">
        <v>2047</v>
      </c>
      <c r="B5861" s="17" t="s">
        <v>2021</v>
      </c>
      <c r="C5861" s="17">
        <v>0</v>
      </c>
      <c r="D5861" s="17" t="s">
        <v>801</v>
      </c>
      <c r="E5861" s="18">
        <v>3003310085009</v>
      </c>
      <c r="G5861" s="20" t="str">
        <f t="shared" si="273"/>
        <v xml:space="preserve"> OBODY           </v>
      </c>
      <c r="H5861" s="20" t="str">
        <f t="shared" si="274"/>
        <v>STEEL</v>
      </c>
      <c r="I5861" s="20">
        <f t="shared" si="275"/>
        <v>0</v>
      </c>
    </row>
    <row r="5862" spans="1:9">
      <c r="A5862" s="17" t="s">
        <v>2047</v>
      </c>
      <c r="B5862" s="17" t="s">
        <v>1080</v>
      </c>
      <c r="C5862" s="17">
        <v>0</v>
      </c>
      <c r="D5862" s="17" t="s">
        <v>801</v>
      </c>
      <c r="E5862" s="18">
        <v>8056095068823</v>
      </c>
      <c r="G5862" s="20" t="str">
        <f t="shared" si="273"/>
        <v xml:space="preserve"> OBODY           </v>
      </c>
      <c r="H5862" s="20" t="str">
        <f t="shared" si="274"/>
        <v>TERRA</v>
      </c>
      <c r="I5862" s="20">
        <f t="shared" si="275"/>
        <v>0</v>
      </c>
    </row>
    <row r="5863" spans="1:9">
      <c r="A5863" s="17" t="s">
        <v>2047</v>
      </c>
      <c r="B5863" s="17" t="s">
        <v>1080</v>
      </c>
      <c r="C5863" s="17">
        <v>0</v>
      </c>
      <c r="D5863" s="17" t="s">
        <v>801</v>
      </c>
      <c r="E5863" s="18">
        <v>3002751074009</v>
      </c>
      <c r="G5863" s="20" t="str">
        <f t="shared" si="273"/>
        <v xml:space="preserve"> OBODY           </v>
      </c>
      <c r="H5863" s="20" t="str">
        <f t="shared" si="274"/>
        <v>TERRA</v>
      </c>
      <c r="I5863" s="20">
        <f t="shared" si="275"/>
        <v>0</v>
      </c>
    </row>
    <row r="5864" spans="1:9">
      <c r="A5864" s="17" t="s">
        <v>2047</v>
      </c>
      <c r="B5864" s="17" t="s">
        <v>919</v>
      </c>
      <c r="C5864" s="17">
        <v>0</v>
      </c>
      <c r="D5864" s="17" t="s">
        <v>801</v>
      </c>
      <c r="E5864" s="18">
        <v>8058983596043</v>
      </c>
      <c r="G5864" s="20" t="str">
        <f t="shared" si="273"/>
        <v xml:space="preserve"> OBODY           </v>
      </c>
      <c r="H5864" s="20" t="str">
        <f t="shared" si="274"/>
        <v>TESTA</v>
      </c>
      <c r="I5864" s="20">
        <f t="shared" si="275"/>
        <v>0</v>
      </c>
    </row>
    <row r="5865" spans="1:9">
      <c r="A5865" s="17" t="s">
        <v>2047</v>
      </c>
      <c r="B5865" s="17" t="s">
        <v>919</v>
      </c>
      <c r="C5865" s="17">
        <v>0</v>
      </c>
      <c r="D5865" s="17" t="s">
        <v>801</v>
      </c>
      <c r="E5865" s="18">
        <v>3020601178004</v>
      </c>
      <c r="G5865" s="20" t="str">
        <f t="shared" si="273"/>
        <v xml:space="preserve"> OBODY           </v>
      </c>
      <c r="H5865" s="20" t="str">
        <f t="shared" si="274"/>
        <v>TESTA</v>
      </c>
      <c r="I5865" s="20">
        <f t="shared" si="275"/>
        <v>0</v>
      </c>
    </row>
    <row r="5866" spans="1:9">
      <c r="A5866" s="17" t="s">
        <v>2047</v>
      </c>
      <c r="B5866" s="17" t="s">
        <v>1013</v>
      </c>
      <c r="C5866" s="17">
        <v>0</v>
      </c>
      <c r="D5866" s="17" t="s">
        <v>801</v>
      </c>
      <c r="E5866" s="18">
        <v>3003310026002</v>
      </c>
      <c r="G5866" s="20" t="str">
        <f t="shared" si="273"/>
        <v xml:space="preserve"> OBODY           </v>
      </c>
      <c r="H5866" s="20" t="str">
        <f t="shared" si="274"/>
        <v xml:space="preserve">TURQ </v>
      </c>
      <c r="I5866" s="20">
        <f t="shared" si="275"/>
        <v>0</v>
      </c>
    </row>
    <row r="5867" spans="1:9">
      <c r="A5867" s="17" t="s">
        <v>2047</v>
      </c>
      <c r="B5867" s="17" t="s">
        <v>1664</v>
      </c>
      <c r="C5867" s="17">
        <v>0</v>
      </c>
      <c r="D5867" s="17" t="s">
        <v>801</v>
      </c>
      <c r="E5867" s="18">
        <v>8056095068847</v>
      </c>
      <c r="G5867" s="20" t="str">
        <f t="shared" si="273"/>
        <v xml:space="preserve"> OBODY           </v>
      </c>
      <c r="H5867" s="20" t="str">
        <f t="shared" si="274"/>
        <v>VERAN</v>
      </c>
      <c r="I5867" s="20">
        <f t="shared" si="275"/>
        <v>0</v>
      </c>
    </row>
    <row r="5868" spans="1:9">
      <c r="A5868" s="17" t="s">
        <v>2047</v>
      </c>
      <c r="B5868" s="17" t="s">
        <v>1664</v>
      </c>
      <c r="C5868" s="17">
        <v>0</v>
      </c>
      <c r="D5868" s="17" t="s">
        <v>801</v>
      </c>
      <c r="E5868" s="18">
        <v>3002751079004</v>
      </c>
      <c r="G5868" s="20" t="str">
        <f t="shared" si="273"/>
        <v xml:space="preserve"> OBODY           </v>
      </c>
      <c r="H5868" s="20" t="str">
        <f t="shared" si="274"/>
        <v>VERAN</v>
      </c>
      <c r="I5868" s="20">
        <f t="shared" si="275"/>
        <v>0</v>
      </c>
    </row>
    <row r="5869" spans="1:9">
      <c r="A5869" s="17" t="s">
        <v>2047</v>
      </c>
      <c r="B5869" s="17" t="s">
        <v>811</v>
      </c>
      <c r="C5869" s="17">
        <v>0</v>
      </c>
      <c r="D5869" s="17" t="s">
        <v>801</v>
      </c>
      <c r="E5869" s="18">
        <v>3020600659009</v>
      </c>
      <c r="G5869" s="20" t="str">
        <f t="shared" si="273"/>
        <v xml:space="preserve"> OBODY           </v>
      </c>
      <c r="H5869" s="20" t="str">
        <f t="shared" si="274"/>
        <v xml:space="preserve">VERT </v>
      </c>
      <c r="I5869" s="20">
        <f t="shared" si="275"/>
        <v>0</v>
      </c>
    </row>
    <row r="5870" spans="1:9">
      <c r="A5870" s="17" t="s">
        <v>2047</v>
      </c>
      <c r="B5870" s="17" t="s">
        <v>1442</v>
      </c>
      <c r="C5870" s="17">
        <v>0</v>
      </c>
      <c r="D5870" s="17" t="s">
        <v>801</v>
      </c>
      <c r="E5870" s="18">
        <v>8050450217543</v>
      </c>
      <c r="G5870" s="20" t="str">
        <f t="shared" si="273"/>
        <v xml:space="preserve"> OBODY           </v>
      </c>
      <c r="H5870" s="20" t="str">
        <f t="shared" si="274"/>
        <v>VIODE</v>
      </c>
      <c r="I5870" s="20">
        <f t="shared" si="275"/>
        <v>0</v>
      </c>
    </row>
    <row r="5871" spans="1:9">
      <c r="A5871" s="17" t="s">
        <v>2047</v>
      </c>
      <c r="B5871" s="17" t="s">
        <v>1442</v>
      </c>
      <c r="C5871" s="17">
        <v>0</v>
      </c>
      <c r="D5871" s="17" t="s">
        <v>801</v>
      </c>
      <c r="E5871" s="18">
        <v>3020600225006</v>
      </c>
      <c r="G5871" s="20" t="str">
        <f t="shared" si="273"/>
        <v xml:space="preserve"> OBODY           </v>
      </c>
      <c r="H5871" s="20" t="str">
        <f t="shared" si="274"/>
        <v>VIODE</v>
      </c>
      <c r="I5871" s="20">
        <f t="shared" si="275"/>
        <v>0</v>
      </c>
    </row>
    <row r="5872" spans="1:9">
      <c r="A5872" s="17" t="s">
        <v>2047</v>
      </c>
      <c r="B5872" s="17" t="s">
        <v>1024</v>
      </c>
      <c r="C5872" s="17">
        <v>0</v>
      </c>
      <c r="D5872" s="17" t="s">
        <v>801</v>
      </c>
      <c r="E5872" s="18">
        <v>3020600628005</v>
      </c>
      <c r="G5872" s="20" t="str">
        <f t="shared" si="273"/>
        <v xml:space="preserve"> OBODY           </v>
      </c>
      <c r="H5872" s="20" t="str">
        <f t="shared" si="274"/>
        <v xml:space="preserve">VIOL </v>
      </c>
      <c r="I5872" s="20">
        <f t="shared" si="275"/>
        <v>0</v>
      </c>
    </row>
    <row r="5873" spans="1:9">
      <c r="A5873" s="17" t="s">
        <v>2047</v>
      </c>
      <c r="B5873" s="17" t="s">
        <v>927</v>
      </c>
      <c r="C5873" s="17">
        <v>0</v>
      </c>
      <c r="D5873" s="17" t="s">
        <v>801</v>
      </c>
      <c r="E5873" s="18">
        <v>3020600952001</v>
      </c>
      <c r="G5873" s="20" t="str">
        <f t="shared" si="273"/>
        <v xml:space="preserve"> OBODY           </v>
      </c>
      <c r="H5873" s="20" t="str">
        <f t="shared" si="274"/>
        <v xml:space="preserve">VOLC </v>
      </c>
      <c r="I5873" s="20">
        <f t="shared" si="275"/>
        <v>0</v>
      </c>
    </row>
    <row r="5874" spans="1:9">
      <c r="A5874" s="17" t="s">
        <v>2047</v>
      </c>
      <c r="B5874" s="17" t="s">
        <v>927</v>
      </c>
      <c r="C5874" s="17">
        <v>0</v>
      </c>
      <c r="D5874" s="17" t="s">
        <v>801</v>
      </c>
      <c r="E5874" s="18">
        <v>8050450217451</v>
      </c>
      <c r="G5874" s="20" t="str">
        <f t="shared" si="273"/>
        <v xml:space="preserve"> OBODY           </v>
      </c>
      <c r="H5874" s="20" t="str">
        <f t="shared" si="274"/>
        <v xml:space="preserve">VOLC </v>
      </c>
      <c r="I5874" s="20">
        <f t="shared" si="275"/>
        <v>0</v>
      </c>
    </row>
    <row r="5875" spans="1:9">
      <c r="A5875" s="17" t="s">
        <v>2047</v>
      </c>
      <c r="B5875" s="17" t="s">
        <v>928</v>
      </c>
      <c r="C5875" s="17">
        <v>0</v>
      </c>
      <c r="D5875" s="17" t="s">
        <v>801</v>
      </c>
      <c r="E5875" s="18">
        <v>3003310025005</v>
      </c>
      <c r="G5875" s="20" t="str">
        <f t="shared" si="273"/>
        <v xml:space="preserve"> OBODY           </v>
      </c>
      <c r="H5875" s="20" t="str">
        <f t="shared" si="274"/>
        <v>WBLUE</v>
      </c>
      <c r="I5875" s="20">
        <f t="shared" si="275"/>
        <v>0</v>
      </c>
    </row>
    <row r="5876" spans="1:9">
      <c r="A5876" s="17" t="s">
        <v>2047</v>
      </c>
      <c r="B5876" s="17" t="s">
        <v>273</v>
      </c>
      <c r="C5876" s="17">
        <v>0</v>
      </c>
      <c r="D5876" s="17" t="s">
        <v>801</v>
      </c>
      <c r="E5876" s="18">
        <v>3003310004000</v>
      </c>
      <c r="G5876" s="20" t="str">
        <f t="shared" si="273"/>
        <v xml:space="preserve"> OBODY           </v>
      </c>
      <c r="H5876" s="20" t="str">
        <f t="shared" si="274"/>
        <v>WHITE</v>
      </c>
      <c r="I5876" s="20">
        <f t="shared" si="275"/>
        <v>0</v>
      </c>
    </row>
    <row r="5877" spans="1:9">
      <c r="A5877" s="17" t="s">
        <v>2047</v>
      </c>
      <c r="B5877" s="17" t="s">
        <v>2025</v>
      </c>
      <c r="C5877" s="17">
        <v>0</v>
      </c>
      <c r="D5877" s="17" t="s">
        <v>801</v>
      </c>
      <c r="E5877" s="18">
        <v>3003310086006</v>
      </c>
      <c r="G5877" s="20" t="str">
        <f t="shared" si="273"/>
        <v xml:space="preserve"> OBODY           </v>
      </c>
      <c r="H5877" s="20" t="str">
        <f t="shared" si="274"/>
        <v>YELCH</v>
      </c>
      <c r="I5877" s="20">
        <f t="shared" si="275"/>
        <v>0</v>
      </c>
    </row>
    <row r="5878" spans="1:9">
      <c r="A5878" s="17" t="s">
        <v>2047</v>
      </c>
      <c r="B5878" s="17" t="s">
        <v>825</v>
      </c>
      <c r="C5878" s="17">
        <v>0</v>
      </c>
      <c r="D5878" s="17" t="s">
        <v>801</v>
      </c>
      <c r="E5878" s="18">
        <v>3003310011008</v>
      </c>
      <c r="G5878" s="20" t="str">
        <f t="shared" si="273"/>
        <v xml:space="preserve"> OBODY           </v>
      </c>
      <c r="H5878" s="20" t="str">
        <f t="shared" si="274"/>
        <v xml:space="preserve">YELL </v>
      </c>
      <c r="I5878" s="20">
        <f t="shared" si="275"/>
        <v>0</v>
      </c>
    </row>
    <row r="5879" spans="1:9">
      <c r="A5879" s="17" t="s">
        <v>2053</v>
      </c>
      <c r="B5879" s="17" t="s">
        <v>875</v>
      </c>
      <c r="C5879" s="17">
        <v>0</v>
      </c>
      <c r="D5879" s="17" t="s">
        <v>801</v>
      </c>
      <c r="E5879" s="18">
        <v>3004600112009</v>
      </c>
      <c r="G5879" s="20" t="str">
        <f t="shared" si="273"/>
        <v xml:space="preserve"> OBODYBRUSH      </v>
      </c>
      <c r="H5879" s="20" t="str">
        <f t="shared" si="274"/>
        <v xml:space="preserve">ABRI </v>
      </c>
      <c r="I5879" s="20">
        <f t="shared" si="275"/>
        <v>0</v>
      </c>
    </row>
    <row r="5880" spans="1:9">
      <c r="A5880" s="17" t="s">
        <v>2053</v>
      </c>
      <c r="B5880" s="17" t="s">
        <v>298</v>
      </c>
      <c r="C5880" s="17">
        <v>0</v>
      </c>
      <c r="D5880" s="17" t="s">
        <v>801</v>
      </c>
      <c r="E5880" s="18">
        <v>3004600536003</v>
      </c>
      <c r="G5880" s="20" t="str">
        <f t="shared" si="273"/>
        <v xml:space="preserve"> OBODYBRUSH      </v>
      </c>
      <c r="H5880" s="20" t="str">
        <f t="shared" si="274"/>
        <v>APPLE</v>
      </c>
      <c r="I5880" s="20">
        <f t="shared" si="275"/>
        <v>0</v>
      </c>
    </row>
    <row r="5881" spans="1:9">
      <c r="A5881" s="17" t="s">
        <v>2053</v>
      </c>
      <c r="B5881" s="17" t="s">
        <v>879</v>
      </c>
      <c r="C5881" s="17">
        <v>0</v>
      </c>
      <c r="D5881" s="17" t="s">
        <v>801</v>
      </c>
      <c r="E5881" s="18">
        <v>3004600181005</v>
      </c>
      <c r="G5881" s="20" t="str">
        <f t="shared" si="273"/>
        <v xml:space="preserve"> OBODYBRUSH      </v>
      </c>
      <c r="H5881" s="20" t="str">
        <f t="shared" si="274"/>
        <v xml:space="preserve">AZUR </v>
      </c>
      <c r="I5881" s="20">
        <f t="shared" si="275"/>
        <v>0</v>
      </c>
    </row>
    <row r="5882" spans="1:9">
      <c r="A5882" s="17" t="s">
        <v>2053</v>
      </c>
      <c r="B5882" s="17" t="s">
        <v>818</v>
      </c>
      <c r="C5882" s="17">
        <v>0</v>
      </c>
      <c r="D5882" s="17" t="s">
        <v>801</v>
      </c>
      <c r="E5882" s="18">
        <v>3004600541007</v>
      </c>
      <c r="G5882" s="20" t="str">
        <f t="shared" si="273"/>
        <v xml:space="preserve"> OBODYBRUSH      </v>
      </c>
      <c r="H5882" s="20" t="str">
        <f t="shared" si="274"/>
        <v xml:space="preserve">BDX  </v>
      </c>
      <c r="I5882" s="20">
        <f t="shared" si="275"/>
        <v>0</v>
      </c>
    </row>
    <row r="5883" spans="1:9">
      <c r="A5883" s="17" t="s">
        <v>2053</v>
      </c>
      <c r="B5883" s="17" t="s">
        <v>280</v>
      </c>
      <c r="C5883" s="17">
        <v>0</v>
      </c>
      <c r="D5883" s="17" t="s">
        <v>801</v>
      </c>
      <c r="E5883" s="18">
        <v>3004600004007</v>
      </c>
      <c r="G5883" s="20" t="str">
        <f t="shared" si="273"/>
        <v xml:space="preserve"> OBODYBRUSH      </v>
      </c>
      <c r="H5883" s="20" t="str">
        <f t="shared" si="274"/>
        <v>BLACK</v>
      </c>
      <c r="I5883" s="20">
        <f t="shared" si="275"/>
        <v>0</v>
      </c>
    </row>
    <row r="5884" spans="1:9">
      <c r="A5884" s="17" t="s">
        <v>2053</v>
      </c>
      <c r="B5884" s="17" t="s">
        <v>893</v>
      </c>
      <c r="C5884" s="17">
        <v>0</v>
      </c>
      <c r="D5884" s="17" t="s">
        <v>801</v>
      </c>
      <c r="E5884" s="18">
        <v>3004600589009</v>
      </c>
      <c r="G5884" s="20" t="str">
        <f t="shared" si="273"/>
        <v xml:space="preserve"> OBODYBRUSH      </v>
      </c>
      <c r="H5884" s="20" t="str">
        <f t="shared" si="274"/>
        <v xml:space="preserve">MAG  </v>
      </c>
      <c r="I5884" s="20">
        <f t="shared" si="275"/>
        <v>0</v>
      </c>
    </row>
    <row r="5885" spans="1:9">
      <c r="A5885" s="17" t="s">
        <v>2053</v>
      </c>
      <c r="B5885" s="17" t="s">
        <v>1078</v>
      </c>
      <c r="C5885" s="17">
        <v>0</v>
      </c>
      <c r="D5885" s="17" t="s">
        <v>801</v>
      </c>
      <c r="E5885" s="18">
        <v>3003900494006</v>
      </c>
      <c r="G5885" s="20" t="str">
        <f t="shared" si="273"/>
        <v xml:space="preserve"> OBODYBRUSH      </v>
      </c>
      <c r="H5885" s="20" t="str">
        <f t="shared" si="274"/>
        <v xml:space="preserve">NAVY </v>
      </c>
      <c r="I5885" s="20">
        <f t="shared" si="275"/>
        <v>0</v>
      </c>
    </row>
    <row r="5886" spans="1:9">
      <c r="A5886" s="17" t="s">
        <v>2053</v>
      </c>
      <c r="B5886" s="17" t="s">
        <v>1233</v>
      </c>
      <c r="C5886" s="17">
        <v>0</v>
      </c>
      <c r="D5886" s="17" t="s">
        <v>801</v>
      </c>
      <c r="E5886" s="18">
        <v>3004610601005</v>
      </c>
      <c r="G5886" s="20" t="str">
        <f t="shared" si="273"/>
        <v xml:space="preserve"> OBODYBRUSH      </v>
      </c>
      <c r="H5886" s="20" t="str">
        <f t="shared" si="274"/>
        <v>OCEAN</v>
      </c>
      <c r="I5886" s="20">
        <f t="shared" si="275"/>
        <v>0</v>
      </c>
    </row>
    <row r="5887" spans="1:9">
      <c r="A5887" s="17" t="s">
        <v>2053</v>
      </c>
      <c r="B5887" s="17" t="s">
        <v>1233</v>
      </c>
      <c r="C5887" s="17">
        <v>0</v>
      </c>
      <c r="D5887" s="17" t="s">
        <v>801</v>
      </c>
      <c r="E5887" s="18">
        <v>3004600601008</v>
      </c>
      <c r="G5887" s="20" t="str">
        <f t="shared" si="273"/>
        <v xml:space="preserve"> OBODYBRUSH      </v>
      </c>
      <c r="H5887" s="20" t="str">
        <f t="shared" si="274"/>
        <v>OCEAN</v>
      </c>
      <c r="I5887" s="20">
        <f t="shared" si="275"/>
        <v>0</v>
      </c>
    </row>
    <row r="5888" spans="1:9">
      <c r="A5888" s="17" t="s">
        <v>2053</v>
      </c>
      <c r="B5888" s="17" t="s">
        <v>1234</v>
      </c>
      <c r="C5888" s="17">
        <v>0</v>
      </c>
      <c r="D5888" s="17" t="s">
        <v>801</v>
      </c>
      <c r="E5888" s="18">
        <v>3004600602005</v>
      </c>
      <c r="G5888" s="20" t="str">
        <f t="shared" si="273"/>
        <v xml:space="preserve"> OBODYBRUSH      </v>
      </c>
      <c r="H5888" s="20" t="str">
        <f t="shared" si="274"/>
        <v>OLIVE</v>
      </c>
      <c r="I5888" s="20">
        <f t="shared" si="275"/>
        <v>0</v>
      </c>
    </row>
    <row r="5889" spans="1:9">
      <c r="A5889" s="17" t="s">
        <v>2053</v>
      </c>
      <c r="B5889" s="17" t="s">
        <v>912</v>
      </c>
      <c r="C5889" s="17">
        <v>0</v>
      </c>
      <c r="D5889" s="17" t="s">
        <v>801</v>
      </c>
      <c r="E5889" s="18">
        <v>3004601008004</v>
      </c>
      <c r="G5889" s="20" t="str">
        <f t="shared" si="273"/>
        <v xml:space="preserve"> OBODYBRUSH      </v>
      </c>
      <c r="H5889" s="20" t="str">
        <f t="shared" si="274"/>
        <v>PETRO</v>
      </c>
      <c r="I5889" s="20">
        <f t="shared" si="275"/>
        <v>0</v>
      </c>
    </row>
    <row r="5890" spans="1:9">
      <c r="A5890" s="17" t="s">
        <v>2053</v>
      </c>
      <c r="B5890" s="17" t="s">
        <v>1236</v>
      </c>
      <c r="C5890" s="17">
        <v>0</v>
      </c>
      <c r="D5890" s="17" t="s">
        <v>801</v>
      </c>
      <c r="E5890" s="18">
        <v>3004600609004</v>
      </c>
      <c r="G5890" s="20" t="str">
        <f t="shared" si="273"/>
        <v xml:space="preserve"> OBODYBRUSH      </v>
      </c>
      <c r="H5890" s="20" t="str">
        <f t="shared" si="274"/>
        <v xml:space="preserve">POW  </v>
      </c>
      <c r="I5890" s="20">
        <f t="shared" si="275"/>
        <v>0</v>
      </c>
    </row>
    <row r="5891" spans="1:9">
      <c r="A5891" s="17" t="s">
        <v>2053</v>
      </c>
      <c r="B5891" s="17" t="s">
        <v>816</v>
      </c>
      <c r="C5891" s="17">
        <v>0</v>
      </c>
      <c r="D5891" s="17" t="s">
        <v>801</v>
      </c>
      <c r="E5891" s="18">
        <v>3004600394009</v>
      </c>
      <c r="G5891" s="20" t="str">
        <f t="shared" si="273"/>
        <v xml:space="preserve"> OBODYBRUSH      </v>
      </c>
      <c r="H5891" s="20" t="str">
        <f t="shared" si="274"/>
        <v xml:space="preserve">RED  </v>
      </c>
      <c r="I5891" s="20">
        <f t="shared" si="275"/>
        <v>0</v>
      </c>
    </row>
    <row r="5892" spans="1:9">
      <c r="A5892" s="17" t="s">
        <v>2053</v>
      </c>
      <c r="B5892" s="17" t="s">
        <v>1237</v>
      </c>
      <c r="C5892" s="17">
        <v>0</v>
      </c>
      <c r="D5892" s="17" t="s">
        <v>801</v>
      </c>
      <c r="E5892" s="18">
        <v>3003900396003</v>
      </c>
      <c r="G5892" s="20" t="str">
        <f t="shared" si="273"/>
        <v xml:space="preserve"> OBODYBRUSH      </v>
      </c>
      <c r="H5892" s="20" t="str">
        <f t="shared" si="274"/>
        <v xml:space="preserve">ROCK </v>
      </c>
      <c r="I5892" s="20">
        <f t="shared" si="275"/>
        <v>0</v>
      </c>
    </row>
    <row r="5893" spans="1:9">
      <c r="A5893" s="17" t="s">
        <v>2053</v>
      </c>
      <c r="B5893" s="17" t="s">
        <v>1239</v>
      </c>
      <c r="C5893" s="17">
        <v>0</v>
      </c>
      <c r="D5893" s="17" t="s">
        <v>801</v>
      </c>
      <c r="E5893" s="18">
        <v>3004600337006</v>
      </c>
      <c r="G5893" s="20" t="str">
        <f t="shared" ref="G5893:G5956" si="276">A5893</f>
        <v xml:space="preserve"> OBODYBRUSH      </v>
      </c>
      <c r="H5893" s="20" t="str">
        <f t="shared" ref="H5893:H5956" si="277">B5893</f>
        <v xml:space="preserve">SAND </v>
      </c>
      <c r="I5893" s="20">
        <f t="shared" ref="I5893:I5956" si="278">C5893</f>
        <v>0</v>
      </c>
    </row>
    <row r="5894" spans="1:9">
      <c r="A5894" s="17" t="s">
        <v>2053</v>
      </c>
      <c r="B5894" s="17" t="s">
        <v>1240</v>
      </c>
      <c r="C5894" s="17">
        <v>0</v>
      </c>
      <c r="D5894" s="17" t="s">
        <v>801</v>
      </c>
      <c r="E5894" s="18">
        <v>3004600111002</v>
      </c>
      <c r="G5894" s="20" t="str">
        <f t="shared" si="276"/>
        <v xml:space="preserve"> OBODYBRUSH      </v>
      </c>
      <c r="H5894" s="20" t="str">
        <f t="shared" si="277"/>
        <v xml:space="preserve">SAU  </v>
      </c>
      <c r="I5894" s="20">
        <f t="shared" si="278"/>
        <v>0</v>
      </c>
    </row>
    <row r="5895" spans="1:9">
      <c r="A5895" s="17" t="s">
        <v>2053</v>
      </c>
      <c r="B5895" s="17" t="s">
        <v>872</v>
      </c>
      <c r="C5895" s="17">
        <v>0</v>
      </c>
      <c r="D5895" s="17" t="s">
        <v>801</v>
      </c>
      <c r="E5895" s="18">
        <v>3004600618006</v>
      </c>
      <c r="G5895" s="20" t="str">
        <f t="shared" si="276"/>
        <v xml:space="preserve"> OBODYBRUSH      </v>
      </c>
      <c r="H5895" s="20" t="str">
        <f t="shared" si="277"/>
        <v xml:space="preserve">SKB  </v>
      </c>
      <c r="I5895" s="20">
        <f t="shared" si="278"/>
        <v>0</v>
      </c>
    </row>
    <row r="5896" spans="1:9">
      <c r="A5896" s="17" t="s">
        <v>2053</v>
      </c>
      <c r="B5896" s="17" t="s">
        <v>1079</v>
      </c>
      <c r="C5896" s="17">
        <v>0</v>
      </c>
      <c r="D5896" s="17" t="s">
        <v>801</v>
      </c>
      <c r="E5896" s="18">
        <v>3004600620009</v>
      </c>
      <c r="G5896" s="20" t="str">
        <f t="shared" si="276"/>
        <v xml:space="preserve"> OBODYBRUSH      </v>
      </c>
      <c r="H5896" s="20" t="str">
        <f t="shared" si="277"/>
        <v xml:space="preserve">SLVG </v>
      </c>
      <c r="I5896" s="20">
        <f t="shared" si="278"/>
        <v>0</v>
      </c>
    </row>
    <row r="5897" spans="1:9">
      <c r="A5897" s="17" t="s">
        <v>2053</v>
      </c>
      <c r="B5897" s="17" t="s">
        <v>1013</v>
      </c>
      <c r="C5897" s="17">
        <v>0</v>
      </c>
      <c r="D5897" s="17" t="s">
        <v>801</v>
      </c>
      <c r="E5897" s="18">
        <v>3004600625004</v>
      </c>
      <c r="G5897" s="20" t="str">
        <f t="shared" si="276"/>
        <v xml:space="preserve"> OBODYBRUSH      </v>
      </c>
      <c r="H5897" s="20" t="str">
        <f t="shared" si="277"/>
        <v xml:space="preserve">TURQ </v>
      </c>
      <c r="I5897" s="20">
        <f t="shared" si="278"/>
        <v>0</v>
      </c>
    </row>
    <row r="5898" spans="1:9">
      <c r="A5898" s="17" t="s">
        <v>2053</v>
      </c>
      <c r="B5898" s="17" t="s">
        <v>927</v>
      </c>
      <c r="C5898" s="17">
        <v>0</v>
      </c>
      <c r="D5898" s="17" t="s">
        <v>801</v>
      </c>
      <c r="E5898" s="18">
        <v>3004600952001</v>
      </c>
      <c r="G5898" s="20" t="str">
        <f t="shared" si="276"/>
        <v xml:space="preserve"> OBODYBRUSH      </v>
      </c>
      <c r="H5898" s="20" t="str">
        <f t="shared" si="277"/>
        <v xml:space="preserve">VOLC </v>
      </c>
      <c r="I5898" s="20">
        <f t="shared" si="278"/>
        <v>0</v>
      </c>
    </row>
    <row r="5899" spans="1:9">
      <c r="A5899" s="17" t="s">
        <v>2053</v>
      </c>
      <c r="B5899" s="17" t="s">
        <v>928</v>
      </c>
      <c r="C5899" s="17">
        <v>0</v>
      </c>
      <c r="D5899" s="17" t="s">
        <v>801</v>
      </c>
      <c r="E5899" s="18">
        <v>3004600629002</v>
      </c>
      <c r="G5899" s="20" t="str">
        <f t="shared" si="276"/>
        <v xml:space="preserve"> OBODYBRUSH      </v>
      </c>
      <c r="H5899" s="20" t="str">
        <f t="shared" si="277"/>
        <v>WBLUE</v>
      </c>
      <c r="I5899" s="20">
        <f t="shared" si="278"/>
        <v>0</v>
      </c>
    </row>
    <row r="5900" spans="1:9">
      <c r="A5900" s="17" t="s">
        <v>2053</v>
      </c>
      <c r="B5900" s="17" t="s">
        <v>273</v>
      </c>
      <c r="C5900" s="17">
        <v>0</v>
      </c>
      <c r="D5900" s="17" t="s">
        <v>801</v>
      </c>
      <c r="E5900" s="18">
        <v>3004600005004</v>
      </c>
      <c r="G5900" s="20" t="str">
        <f t="shared" si="276"/>
        <v xml:space="preserve"> OBODYBRUSH      </v>
      </c>
      <c r="H5900" s="20" t="str">
        <f t="shared" si="277"/>
        <v>WHITE</v>
      </c>
      <c r="I5900" s="20">
        <f t="shared" si="278"/>
        <v>0</v>
      </c>
    </row>
    <row r="5901" spans="1:9">
      <c r="A5901" s="17" t="s">
        <v>2053</v>
      </c>
      <c r="B5901" s="17" t="s">
        <v>825</v>
      </c>
      <c r="C5901" s="17">
        <v>0</v>
      </c>
      <c r="D5901" s="17" t="s">
        <v>801</v>
      </c>
      <c r="E5901" s="18">
        <v>3004600632002</v>
      </c>
      <c r="G5901" s="20" t="str">
        <f t="shared" si="276"/>
        <v xml:space="preserve"> OBODYBRUSH      </v>
      </c>
      <c r="H5901" s="20" t="str">
        <f t="shared" si="277"/>
        <v xml:space="preserve">YELL </v>
      </c>
      <c r="I5901" s="20">
        <f t="shared" si="278"/>
        <v>0</v>
      </c>
    </row>
    <row r="5902" spans="1:9">
      <c r="A5902" s="17" t="s">
        <v>2054</v>
      </c>
      <c r="B5902" s="17" t="s">
        <v>280</v>
      </c>
      <c r="C5902" s="17">
        <v>0</v>
      </c>
      <c r="D5902" s="17" t="s">
        <v>801</v>
      </c>
      <c r="E5902" s="18">
        <v>3006210276003</v>
      </c>
      <c r="G5902" s="20" t="str">
        <f t="shared" si="276"/>
        <v xml:space="preserve"> OBODYCRYSTAL    </v>
      </c>
      <c r="H5902" s="20" t="str">
        <f t="shared" si="277"/>
        <v>BLACK</v>
      </c>
      <c r="I5902" s="20">
        <f t="shared" si="278"/>
        <v>0</v>
      </c>
    </row>
    <row r="5903" spans="1:9">
      <c r="A5903" s="17" t="s">
        <v>2054</v>
      </c>
      <c r="B5903" s="17" t="s">
        <v>280</v>
      </c>
      <c r="C5903" s="17">
        <v>0</v>
      </c>
      <c r="D5903" s="17" t="s">
        <v>801</v>
      </c>
      <c r="E5903" s="18">
        <v>8050846019614</v>
      </c>
      <c r="G5903" s="20" t="str">
        <f t="shared" si="276"/>
        <v xml:space="preserve"> OBODYCRYSTAL    </v>
      </c>
      <c r="H5903" s="20" t="str">
        <f t="shared" si="277"/>
        <v>BLACK</v>
      </c>
      <c r="I5903" s="20">
        <f t="shared" si="278"/>
        <v>0</v>
      </c>
    </row>
    <row r="5904" spans="1:9">
      <c r="A5904" s="17" t="s">
        <v>2054</v>
      </c>
      <c r="B5904" s="17" t="s">
        <v>816</v>
      </c>
      <c r="C5904" s="17">
        <v>0</v>
      </c>
      <c r="D5904" s="17" t="s">
        <v>801</v>
      </c>
      <c r="E5904" s="18">
        <v>3006210395001</v>
      </c>
      <c r="G5904" s="20" t="str">
        <f t="shared" si="276"/>
        <v xml:space="preserve"> OBODYCRYSTAL    </v>
      </c>
      <c r="H5904" s="20" t="str">
        <f t="shared" si="277"/>
        <v xml:space="preserve">RED  </v>
      </c>
      <c r="I5904" s="20">
        <f t="shared" si="278"/>
        <v>0</v>
      </c>
    </row>
    <row r="5905" spans="1:9">
      <c r="A5905" s="17" t="s">
        <v>2054</v>
      </c>
      <c r="B5905" s="17" t="s">
        <v>816</v>
      </c>
      <c r="C5905" s="17">
        <v>0</v>
      </c>
      <c r="D5905" s="17" t="s">
        <v>801</v>
      </c>
      <c r="E5905" s="18">
        <v>8050846019638</v>
      </c>
      <c r="G5905" s="20" t="str">
        <f t="shared" si="276"/>
        <v xml:space="preserve"> OBODYCRYSTAL    </v>
      </c>
      <c r="H5905" s="20" t="str">
        <f t="shared" si="277"/>
        <v xml:space="preserve">RED  </v>
      </c>
      <c r="I5905" s="20">
        <f t="shared" si="278"/>
        <v>0</v>
      </c>
    </row>
    <row r="5906" spans="1:9">
      <c r="A5906" s="17" t="s">
        <v>2054</v>
      </c>
      <c r="B5906" s="17" t="s">
        <v>273</v>
      </c>
      <c r="C5906" s="17">
        <v>0</v>
      </c>
      <c r="D5906" s="17" t="s">
        <v>801</v>
      </c>
      <c r="E5906" s="18">
        <v>3006210440008</v>
      </c>
      <c r="G5906" s="20" t="str">
        <f t="shared" si="276"/>
        <v xml:space="preserve"> OBODYCRYSTAL    </v>
      </c>
      <c r="H5906" s="20" t="str">
        <f t="shared" si="277"/>
        <v>WHITE</v>
      </c>
      <c r="I5906" s="20">
        <f t="shared" si="278"/>
        <v>0</v>
      </c>
    </row>
    <row r="5907" spans="1:9">
      <c r="A5907" s="17" t="s">
        <v>2054</v>
      </c>
      <c r="B5907" s="17" t="s">
        <v>273</v>
      </c>
      <c r="C5907" s="17">
        <v>0</v>
      </c>
      <c r="D5907" s="17" t="s">
        <v>801</v>
      </c>
      <c r="E5907" s="18">
        <v>8050846019621</v>
      </c>
      <c r="G5907" s="20" t="str">
        <f t="shared" si="276"/>
        <v xml:space="preserve"> OBODYCRYSTAL    </v>
      </c>
      <c r="H5907" s="20" t="str">
        <f t="shared" si="277"/>
        <v>WHITE</v>
      </c>
      <c r="I5907" s="20">
        <f t="shared" si="278"/>
        <v>0</v>
      </c>
    </row>
    <row r="5908" spans="1:9">
      <c r="A5908" s="17" t="s">
        <v>2055</v>
      </c>
      <c r="B5908" s="17" t="s">
        <v>890</v>
      </c>
      <c r="C5908" s="17">
        <v>0</v>
      </c>
      <c r="D5908" s="17" t="s">
        <v>801</v>
      </c>
      <c r="E5908" s="18">
        <v>3005120522002</v>
      </c>
      <c r="G5908" s="20" t="str">
        <f t="shared" si="276"/>
        <v xml:space="preserve"> OBODYLAM        </v>
      </c>
      <c r="H5908" s="20" t="str">
        <f t="shared" si="277"/>
        <v xml:space="preserve">GOLD </v>
      </c>
      <c r="I5908" s="20">
        <f t="shared" si="278"/>
        <v>0</v>
      </c>
    </row>
    <row r="5909" spans="1:9">
      <c r="A5909" s="17" t="s">
        <v>2055</v>
      </c>
      <c r="B5909" s="17" t="s">
        <v>855</v>
      </c>
      <c r="C5909" s="17">
        <v>0</v>
      </c>
      <c r="D5909" s="17" t="s">
        <v>801</v>
      </c>
      <c r="E5909" s="18">
        <v>3005120617005</v>
      </c>
      <c r="G5909" s="20" t="str">
        <f t="shared" si="276"/>
        <v xml:space="preserve"> OBODYLAM        </v>
      </c>
      <c r="H5909" s="20" t="str">
        <f t="shared" si="277"/>
        <v>SILVE</v>
      </c>
      <c r="I5909" s="20">
        <f t="shared" si="278"/>
        <v>0</v>
      </c>
    </row>
    <row r="5910" spans="1:9">
      <c r="A5910" s="17" t="s">
        <v>2056</v>
      </c>
      <c r="B5910" s="17" t="s">
        <v>2057</v>
      </c>
      <c r="C5910" s="17">
        <v>0</v>
      </c>
      <c r="D5910" s="17" t="s">
        <v>801</v>
      </c>
      <c r="E5910" s="18">
        <v>3004420686001</v>
      </c>
      <c r="G5910" s="20" t="str">
        <f t="shared" si="276"/>
        <v xml:space="preserve"> OBODYLAMINATA   </v>
      </c>
      <c r="H5910" s="20" t="str">
        <f t="shared" si="277"/>
        <v>ARGEN</v>
      </c>
      <c r="I5910" s="20">
        <f t="shared" si="278"/>
        <v>0</v>
      </c>
    </row>
    <row r="5911" spans="1:9">
      <c r="A5911" s="17" t="s">
        <v>2056</v>
      </c>
      <c r="B5911" s="17" t="s">
        <v>2058</v>
      </c>
      <c r="C5911" s="17">
        <v>0</v>
      </c>
      <c r="D5911" s="17" t="s">
        <v>801</v>
      </c>
      <c r="E5911" s="18">
        <v>3004420687008</v>
      </c>
      <c r="G5911" s="20" t="str">
        <f t="shared" si="276"/>
        <v xml:space="preserve"> OBODYLAMINATA   </v>
      </c>
      <c r="H5911" s="20" t="str">
        <f t="shared" si="277"/>
        <v xml:space="preserve">DORE </v>
      </c>
      <c r="I5911" s="20">
        <f t="shared" si="278"/>
        <v>0</v>
      </c>
    </row>
    <row r="5912" spans="1:9">
      <c r="A5912" s="17" t="s">
        <v>2059</v>
      </c>
      <c r="B5912" s="17" t="s">
        <v>1425</v>
      </c>
      <c r="C5912" s="17">
        <v>0</v>
      </c>
      <c r="D5912" s="17" t="s">
        <v>801</v>
      </c>
      <c r="E5912" s="18">
        <v>3004480561003</v>
      </c>
      <c r="G5912" s="20" t="str">
        <f t="shared" si="276"/>
        <v xml:space="preserve"> OBODYMIX        </v>
      </c>
      <c r="H5912" s="20" t="str">
        <f t="shared" si="277"/>
        <v xml:space="preserve">CHO  </v>
      </c>
      <c r="I5912" s="20">
        <f t="shared" si="278"/>
        <v>0</v>
      </c>
    </row>
    <row r="5913" spans="1:9">
      <c r="A5913" s="17" t="s">
        <v>2059</v>
      </c>
      <c r="B5913" s="17" t="s">
        <v>1607</v>
      </c>
      <c r="C5913" s="17">
        <v>0</v>
      </c>
      <c r="D5913" s="17" t="s">
        <v>801</v>
      </c>
      <c r="E5913" s="18">
        <v>3004481104001</v>
      </c>
      <c r="G5913" s="20" t="str">
        <f t="shared" si="276"/>
        <v xml:space="preserve"> OBODYMIX        </v>
      </c>
      <c r="H5913" s="20" t="str">
        <f t="shared" si="277"/>
        <v>FLEUR</v>
      </c>
      <c r="I5913" s="20">
        <f t="shared" si="278"/>
        <v>0</v>
      </c>
    </row>
    <row r="5914" spans="1:9">
      <c r="A5914" s="17" t="s">
        <v>2059</v>
      </c>
      <c r="B5914" s="17" t="s">
        <v>1091</v>
      </c>
      <c r="C5914" s="17">
        <v>0</v>
      </c>
      <c r="D5914" s="17" t="s">
        <v>801</v>
      </c>
      <c r="E5914" s="18">
        <v>3004480190005</v>
      </c>
      <c r="G5914" s="20" t="str">
        <f t="shared" si="276"/>
        <v xml:space="preserve"> OBODYMIX        </v>
      </c>
      <c r="H5914" s="20" t="str">
        <f t="shared" si="277"/>
        <v>HAWAI</v>
      </c>
      <c r="I5914" s="20">
        <f t="shared" si="278"/>
        <v>0</v>
      </c>
    </row>
    <row r="5915" spans="1:9">
      <c r="A5915" s="17" t="s">
        <v>2059</v>
      </c>
      <c r="B5915" s="17" t="s">
        <v>1091</v>
      </c>
      <c r="C5915" s="17">
        <v>0</v>
      </c>
      <c r="D5915" s="17" t="s">
        <v>801</v>
      </c>
      <c r="E5915" s="18">
        <v>3002760472001</v>
      </c>
      <c r="G5915" s="20" t="str">
        <f t="shared" si="276"/>
        <v xml:space="preserve"> OBODYMIX        </v>
      </c>
      <c r="H5915" s="20" t="str">
        <f t="shared" si="277"/>
        <v>HAWAI</v>
      </c>
      <c r="I5915" s="20">
        <f t="shared" si="278"/>
        <v>0</v>
      </c>
    </row>
    <row r="5916" spans="1:9">
      <c r="A5916" s="17" t="s">
        <v>2059</v>
      </c>
      <c r="B5916" s="17" t="s">
        <v>1233</v>
      </c>
      <c r="C5916" s="17">
        <v>0</v>
      </c>
      <c r="D5916" s="17" t="s">
        <v>801</v>
      </c>
      <c r="E5916" s="18">
        <v>3004480601006</v>
      </c>
      <c r="G5916" s="20" t="str">
        <f t="shared" si="276"/>
        <v xml:space="preserve"> OBODYMIX        </v>
      </c>
      <c r="H5916" s="20" t="str">
        <f t="shared" si="277"/>
        <v>OCEAN</v>
      </c>
      <c r="I5916" s="20">
        <f t="shared" si="278"/>
        <v>0</v>
      </c>
    </row>
    <row r="5917" spans="1:9">
      <c r="A5917" s="17" t="s">
        <v>2059</v>
      </c>
      <c r="B5917" s="17" t="s">
        <v>816</v>
      </c>
      <c r="C5917" s="17">
        <v>0</v>
      </c>
      <c r="D5917" s="17" t="s">
        <v>801</v>
      </c>
      <c r="E5917" s="18">
        <v>3004480000007</v>
      </c>
      <c r="G5917" s="20" t="str">
        <f t="shared" si="276"/>
        <v xml:space="preserve"> OBODYMIX        </v>
      </c>
      <c r="H5917" s="20" t="str">
        <f t="shared" si="277"/>
        <v xml:space="preserve">RED  </v>
      </c>
      <c r="I5917" s="20">
        <f t="shared" si="278"/>
        <v>0</v>
      </c>
    </row>
    <row r="5918" spans="1:9">
      <c r="A5918" s="17" t="s">
        <v>2059</v>
      </c>
      <c r="B5918" s="17" t="s">
        <v>816</v>
      </c>
      <c r="C5918" s="17">
        <v>0</v>
      </c>
      <c r="D5918" s="17" t="s">
        <v>801</v>
      </c>
      <c r="E5918" s="18">
        <v>3004480394007</v>
      </c>
      <c r="G5918" s="20" t="str">
        <f t="shared" si="276"/>
        <v xml:space="preserve"> OBODYMIX        </v>
      </c>
      <c r="H5918" s="20" t="str">
        <f t="shared" si="277"/>
        <v xml:space="preserve">RED  </v>
      </c>
      <c r="I5918" s="20">
        <f t="shared" si="278"/>
        <v>0</v>
      </c>
    </row>
    <row r="5919" spans="1:9">
      <c r="A5919" s="17" t="s">
        <v>2060</v>
      </c>
      <c r="B5919" s="17" t="s">
        <v>280</v>
      </c>
      <c r="C5919" s="17">
        <v>0</v>
      </c>
      <c r="D5919" s="17" t="s">
        <v>801</v>
      </c>
      <c r="E5919" s="18">
        <v>3006220276000</v>
      </c>
      <c r="G5919" s="20" t="str">
        <f t="shared" si="276"/>
        <v xml:space="preserve"> OBODYPINS       </v>
      </c>
      <c r="H5919" s="20" t="str">
        <f t="shared" si="277"/>
        <v>BLACK</v>
      </c>
      <c r="I5919" s="20">
        <f t="shared" si="278"/>
        <v>0</v>
      </c>
    </row>
    <row r="5920" spans="1:9">
      <c r="A5920" s="17" t="s">
        <v>2060</v>
      </c>
      <c r="B5920" s="17" t="s">
        <v>280</v>
      </c>
      <c r="C5920" s="17">
        <v>0</v>
      </c>
      <c r="D5920" s="17" t="s">
        <v>801</v>
      </c>
      <c r="E5920" s="18">
        <v>8050846019546</v>
      </c>
      <c r="G5920" s="20" t="str">
        <f t="shared" si="276"/>
        <v xml:space="preserve"> OBODYPINS       </v>
      </c>
      <c r="H5920" s="20" t="str">
        <f t="shared" si="277"/>
        <v>BLACK</v>
      </c>
      <c r="I5920" s="20">
        <f t="shared" si="278"/>
        <v>0</v>
      </c>
    </row>
    <row r="5921" spans="1:9">
      <c r="A5921" s="17" t="s">
        <v>2060</v>
      </c>
      <c r="B5921" s="17" t="s">
        <v>816</v>
      </c>
      <c r="C5921" s="17">
        <v>0</v>
      </c>
      <c r="D5921" s="17" t="s">
        <v>801</v>
      </c>
      <c r="E5921" s="18">
        <v>3006220395008</v>
      </c>
      <c r="G5921" s="20" t="str">
        <f t="shared" si="276"/>
        <v xml:space="preserve"> OBODYPINS       </v>
      </c>
      <c r="H5921" s="20" t="str">
        <f t="shared" si="277"/>
        <v xml:space="preserve">RED  </v>
      </c>
      <c r="I5921" s="20">
        <f t="shared" si="278"/>
        <v>0</v>
      </c>
    </row>
    <row r="5922" spans="1:9">
      <c r="A5922" s="17" t="s">
        <v>2060</v>
      </c>
      <c r="B5922" s="17" t="s">
        <v>816</v>
      </c>
      <c r="C5922" s="17">
        <v>0</v>
      </c>
      <c r="D5922" s="17" t="s">
        <v>801</v>
      </c>
      <c r="E5922" s="18">
        <v>8050846016491</v>
      </c>
      <c r="G5922" s="20" t="str">
        <f t="shared" si="276"/>
        <v xml:space="preserve"> OBODYPINS       </v>
      </c>
      <c r="H5922" s="20" t="str">
        <f t="shared" si="277"/>
        <v xml:space="preserve">RED  </v>
      </c>
      <c r="I5922" s="20">
        <f t="shared" si="278"/>
        <v>0</v>
      </c>
    </row>
    <row r="5923" spans="1:9">
      <c r="A5923" s="17" t="s">
        <v>2060</v>
      </c>
      <c r="B5923" s="17" t="s">
        <v>273</v>
      </c>
      <c r="C5923" s="17">
        <v>0</v>
      </c>
      <c r="D5923" s="17" t="s">
        <v>801</v>
      </c>
      <c r="E5923" s="18">
        <v>3006220440005</v>
      </c>
      <c r="G5923" s="20" t="str">
        <f t="shared" si="276"/>
        <v xml:space="preserve"> OBODYPINS       </v>
      </c>
      <c r="H5923" s="20" t="str">
        <f t="shared" si="277"/>
        <v>WHITE</v>
      </c>
      <c r="I5923" s="20">
        <f t="shared" si="278"/>
        <v>0</v>
      </c>
    </row>
    <row r="5924" spans="1:9">
      <c r="A5924" s="17" t="s">
        <v>2060</v>
      </c>
      <c r="B5924" s="17" t="s">
        <v>273</v>
      </c>
      <c r="C5924" s="17">
        <v>0</v>
      </c>
      <c r="D5924" s="17" t="s">
        <v>801</v>
      </c>
      <c r="E5924" s="18">
        <v>8050846019553</v>
      </c>
      <c r="G5924" s="20" t="str">
        <f t="shared" si="276"/>
        <v xml:space="preserve"> OBODYPINS       </v>
      </c>
      <c r="H5924" s="20" t="str">
        <f t="shared" si="277"/>
        <v>WHITE</v>
      </c>
      <c r="I5924" s="20">
        <f t="shared" si="278"/>
        <v>0</v>
      </c>
    </row>
    <row r="5925" spans="1:9">
      <c r="A5925" s="17" t="s">
        <v>2061</v>
      </c>
      <c r="B5925" s="17" t="s">
        <v>930</v>
      </c>
      <c r="C5925" s="17">
        <v>0</v>
      </c>
      <c r="D5925" s="17" t="s">
        <v>801</v>
      </c>
      <c r="E5925" s="18">
        <v>3005180557006</v>
      </c>
      <c r="G5925" s="20" t="str">
        <f t="shared" si="276"/>
        <v xml:space="preserve"> OBODYWAVY       </v>
      </c>
      <c r="H5925" s="20" t="str">
        <f t="shared" si="277"/>
        <v xml:space="preserve">BLK  </v>
      </c>
      <c r="I5925" s="20">
        <f t="shared" si="278"/>
        <v>0</v>
      </c>
    </row>
    <row r="5926" spans="1:9">
      <c r="A5926" s="17" t="s">
        <v>2061</v>
      </c>
      <c r="B5926" s="17" t="s">
        <v>930</v>
      </c>
      <c r="C5926" s="17">
        <v>0</v>
      </c>
      <c r="D5926" s="17" t="s">
        <v>801</v>
      </c>
      <c r="E5926" s="18">
        <v>8056099173608</v>
      </c>
      <c r="G5926" s="20" t="str">
        <f t="shared" si="276"/>
        <v xml:space="preserve"> OBODYWAVY       </v>
      </c>
      <c r="H5926" s="20" t="str">
        <f t="shared" si="277"/>
        <v xml:space="preserve">BLK  </v>
      </c>
      <c r="I5926" s="20">
        <f t="shared" si="278"/>
        <v>0</v>
      </c>
    </row>
    <row r="5927" spans="1:9">
      <c r="A5927" s="17" t="s">
        <v>2061</v>
      </c>
      <c r="B5927" s="17" t="s">
        <v>853</v>
      </c>
      <c r="C5927" s="17">
        <v>0</v>
      </c>
      <c r="D5927" s="17" t="s">
        <v>801</v>
      </c>
      <c r="E5927" s="18">
        <v>3005180499009</v>
      </c>
      <c r="G5927" s="20" t="str">
        <f t="shared" si="276"/>
        <v xml:space="preserve"> OBODYWAVY       </v>
      </c>
      <c r="H5927" s="20" t="str">
        <f t="shared" si="277"/>
        <v>BRONZ</v>
      </c>
      <c r="I5927" s="20">
        <f t="shared" si="278"/>
        <v>0</v>
      </c>
    </row>
    <row r="5928" spans="1:9">
      <c r="A5928" s="17" t="s">
        <v>2061</v>
      </c>
      <c r="B5928" s="17" t="s">
        <v>853</v>
      </c>
      <c r="C5928" s="17">
        <v>0</v>
      </c>
      <c r="D5928" s="17" t="s">
        <v>801</v>
      </c>
      <c r="E5928" s="18">
        <v>8056099173615</v>
      </c>
      <c r="G5928" s="20" t="str">
        <f t="shared" si="276"/>
        <v xml:space="preserve"> OBODYWAVY       </v>
      </c>
      <c r="H5928" s="20" t="str">
        <f t="shared" si="277"/>
        <v>BRONZ</v>
      </c>
      <c r="I5928" s="20">
        <f t="shared" si="278"/>
        <v>0</v>
      </c>
    </row>
    <row r="5929" spans="1:9">
      <c r="A5929" s="17" t="s">
        <v>2061</v>
      </c>
      <c r="B5929" s="17" t="s">
        <v>1447</v>
      </c>
      <c r="C5929" s="17">
        <v>0</v>
      </c>
      <c r="D5929" s="17" t="s">
        <v>801</v>
      </c>
      <c r="E5929" s="18">
        <v>3005180844007</v>
      </c>
      <c r="G5929" s="20" t="str">
        <f t="shared" si="276"/>
        <v xml:space="preserve"> OBODYWAVY       </v>
      </c>
      <c r="H5929" s="20" t="str">
        <f t="shared" si="277"/>
        <v xml:space="preserve">FRAG </v>
      </c>
      <c r="I5929" s="20">
        <f t="shared" si="278"/>
        <v>0</v>
      </c>
    </row>
    <row r="5930" spans="1:9">
      <c r="A5930" s="17" t="s">
        <v>2061</v>
      </c>
      <c r="B5930" s="17" t="s">
        <v>1447</v>
      </c>
      <c r="C5930" s="17">
        <v>0</v>
      </c>
      <c r="D5930" s="17" t="s">
        <v>801</v>
      </c>
      <c r="E5930" s="18">
        <v>8056099173622</v>
      </c>
      <c r="G5930" s="20" t="str">
        <f t="shared" si="276"/>
        <v xml:space="preserve"> OBODYWAVY       </v>
      </c>
      <c r="H5930" s="20" t="str">
        <f t="shared" si="277"/>
        <v xml:space="preserve">FRAG </v>
      </c>
      <c r="I5930" s="20">
        <f t="shared" si="278"/>
        <v>0</v>
      </c>
    </row>
    <row r="5931" spans="1:9">
      <c r="A5931" s="17" t="s">
        <v>2061</v>
      </c>
      <c r="B5931" s="17" t="s">
        <v>838</v>
      </c>
      <c r="C5931" s="17">
        <v>0</v>
      </c>
      <c r="D5931" s="17" t="s">
        <v>801</v>
      </c>
      <c r="E5931" s="18">
        <v>3005180497005</v>
      </c>
      <c r="G5931" s="20" t="str">
        <f t="shared" si="276"/>
        <v xml:space="preserve"> OBODYWAVY       </v>
      </c>
      <c r="H5931" s="20" t="str">
        <f t="shared" si="277"/>
        <v>IVOIR</v>
      </c>
      <c r="I5931" s="20">
        <f t="shared" si="278"/>
        <v>0</v>
      </c>
    </row>
    <row r="5932" spans="1:9">
      <c r="A5932" s="17" t="s">
        <v>2061</v>
      </c>
      <c r="B5932" s="17" t="s">
        <v>838</v>
      </c>
      <c r="C5932" s="17">
        <v>0</v>
      </c>
      <c r="D5932" s="17" t="s">
        <v>801</v>
      </c>
      <c r="E5932" s="18">
        <v>8056099173592</v>
      </c>
      <c r="G5932" s="20" t="str">
        <f t="shared" si="276"/>
        <v xml:space="preserve"> OBODYWAVY       </v>
      </c>
      <c r="H5932" s="20" t="str">
        <f t="shared" si="277"/>
        <v>IVOIR</v>
      </c>
      <c r="I5932" s="20">
        <f t="shared" si="278"/>
        <v>0</v>
      </c>
    </row>
    <row r="5933" spans="1:9">
      <c r="A5933" s="17" t="s">
        <v>2061</v>
      </c>
      <c r="B5933" s="17" t="s">
        <v>283</v>
      </c>
      <c r="C5933" s="17">
        <v>0</v>
      </c>
      <c r="D5933" s="17" t="s">
        <v>801</v>
      </c>
      <c r="E5933" s="18">
        <v>3005180871003</v>
      </c>
      <c r="G5933" s="20" t="str">
        <f t="shared" si="276"/>
        <v xml:space="preserve"> OBODYWAVY       </v>
      </c>
      <c r="H5933" s="20" t="str">
        <f t="shared" si="277"/>
        <v>PHARD</v>
      </c>
      <c r="I5933" s="20">
        <f t="shared" si="278"/>
        <v>0</v>
      </c>
    </row>
    <row r="5934" spans="1:9">
      <c r="A5934" s="17" t="s">
        <v>2061</v>
      </c>
      <c r="B5934" s="17" t="s">
        <v>283</v>
      </c>
      <c r="C5934" s="17">
        <v>0</v>
      </c>
      <c r="D5934" s="17" t="s">
        <v>801</v>
      </c>
      <c r="E5934" s="18">
        <v>8056099173639</v>
      </c>
      <c r="G5934" s="20" t="str">
        <f t="shared" si="276"/>
        <v xml:space="preserve"> OBODYWAVY       </v>
      </c>
      <c r="H5934" s="20" t="str">
        <f t="shared" si="277"/>
        <v>PHARD</v>
      </c>
      <c r="I5934" s="20">
        <f t="shared" si="278"/>
        <v>0</v>
      </c>
    </row>
    <row r="5935" spans="1:9">
      <c r="A5935" s="17" t="s">
        <v>2062</v>
      </c>
      <c r="B5935" s="17" t="s">
        <v>799</v>
      </c>
      <c r="C5935" s="17">
        <v>0</v>
      </c>
      <c r="D5935" s="17" t="s">
        <v>801</v>
      </c>
      <c r="E5935" s="18">
        <v>3000390000007</v>
      </c>
      <c r="G5935" s="20" t="str">
        <f t="shared" si="276"/>
        <v xml:space="preserve"> OCF02           </v>
      </c>
      <c r="H5935" s="20" t="str">
        <f t="shared" si="277"/>
        <v xml:space="preserve">     </v>
      </c>
      <c r="I5935" s="20">
        <f t="shared" si="278"/>
        <v>0</v>
      </c>
    </row>
    <row r="5936" spans="1:9">
      <c r="A5936" s="17" t="s">
        <v>2063</v>
      </c>
      <c r="B5936" s="17" t="s">
        <v>799</v>
      </c>
      <c r="C5936" s="17">
        <v>0</v>
      </c>
      <c r="D5936" s="17" t="s">
        <v>801</v>
      </c>
      <c r="E5936" s="18">
        <v>3000460000005</v>
      </c>
      <c r="G5936" s="20" t="str">
        <f t="shared" si="276"/>
        <v xml:space="preserve"> OCF05           </v>
      </c>
      <c r="H5936" s="20" t="str">
        <f t="shared" si="277"/>
        <v xml:space="preserve">     </v>
      </c>
      <c r="I5936" s="20">
        <f t="shared" si="278"/>
        <v>0</v>
      </c>
    </row>
    <row r="5937" spans="1:9">
      <c r="A5937" s="17" t="s">
        <v>2064</v>
      </c>
      <c r="B5937" s="17" t="s">
        <v>799</v>
      </c>
      <c r="C5937" s="17">
        <v>0</v>
      </c>
      <c r="D5937" s="17" t="s">
        <v>801</v>
      </c>
      <c r="E5937" s="18">
        <v>3000760000002</v>
      </c>
      <c r="G5937" s="20" t="str">
        <f t="shared" si="276"/>
        <v xml:space="preserve"> OCF20           </v>
      </c>
      <c r="H5937" s="20" t="str">
        <f t="shared" si="277"/>
        <v xml:space="preserve">     </v>
      </c>
      <c r="I5937" s="20">
        <f t="shared" si="278"/>
        <v>0</v>
      </c>
    </row>
    <row r="5938" spans="1:9">
      <c r="A5938" s="17" t="s">
        <v>2065</v>
      </c>
      <c r="B5938" s="17" t="s">
        <v>799</v>
      </c>
      <c r="C5938" s="17">
        <v>0</v>
      </c>
      <c r="D5938" s="17" t="s">
        <v>801</v>
      </c>
      <c r="E5938" s="18">
        <v>3000780000006</v>
      </c>
      <c r="G5938" s="20" t="str">
        <f t="shared" si="276"/>
        <v xml:space="preserve"> OCF22           </v>
      </c>
      <c r="H5938" s="20" t="str">
        <f t="shared" si="277"/>
        <v xml:space="preserve">     </v>
      </c>
      <c r="I5938" s="20">
        <f t="shared" si="278"/>
        <v>0</v>
      </c>
    </row>
    <row r="5939" spans="1:9">
      <c r="A5939" s="17" t="s">
        <v>2066</v>
      </c>
      <c r="B5939" s="17" t="s">
        <v>799</v>
      </c>
      <c r="C5939" s="17">
        <v>0</v>
      </c>
      <c r="D5939" s="17" t="s">
        <v>801</v>
      </c>
      <c r="E5939" s="18">
        <v>3000830000000</v>
      </c>
      <c r="G5939" s="20" t="str">
        <f t="shared" si="276"/>
        <v xml:space="preserve"> OCF30           </v>
      </c>
      <c r="H5939" s="20" t="str">
        <f t="shared" si="277"/>
        <v xml:space="preserve">     </v>
      </c>
      <c r="I5939" s="20">
        <f t="shared" si="278"/>
        <v>0</v>
      </c>
    </row>
    <row r="5940" spans="1:9">
      <c r="A5940" s="17" t="s">
        <v>2067</v>
      </c>
      <c r="B5940" s="17" t="s">
        <v>799</v>
      </c>
      <c r="C5940" s="17">
        <v>0</v>
      </c>
      <c r="D5940" s="17" t="s">
        <v>801</v>
      </c>
      <c r="E5940" s="18">
        <v>3000990000001</v>
      </c>
      <c r="G5940" s="20" t="str">
        <f t="shared" si="276"/>
        <v xml:space="preserve"> OCF43           </v>
      </c>
      <c r="H5940" s="20" t="str">
        <f t="shared" si="277"/>
        <v xml:space="preserve">     </v>
      </c>
      <c r="I5940" s="20">
        <f t="shared" si="278"/>
        <v>0</v>
      </c>
    </row>
    <row r="5941" spans="1:9">
      <c r="A5941" s="17" t="s">
        <v>2068</v>
      </c>
      <c r="B5941" s="17" t="s">
        <v>1230</v>
      </c>
      <c r="C5941" s="17">
        <v>0</v>
      </c>
      <c r="D5941" s="17" t="s">
        <v>801</v>
      </c>
      <c r="E5941" s="18">
        <v>8056095068991</v>
      </c>
      <c r="G5941" s="20" t="str">
        <f t="shared" si="276"/>
        <v xml:space="preserve"> OCHIC           </v>
      </c>
      <c r="H5941" s="20" t="str">
        <f t="shared" si="277"/>
        <v>ACQUA</v>
      </c>
      <c r="I5941" s="20">
        <f t="shared" si="278"/>
        <v>0</v>
      </c>
    </row>
    <row r="5942" spans="1:9">
      <c r="A5942" s="17" t="s">
        <v>2068</v>
      </c>
      <c r="B5942" s="17" t="s">
        <v>1230</v>
      </c>
      <c r="C5942" s="17">
        <v>0</v>
      </c>
      <c r="D5942" s="17" t="s">
        <v>801</v>
      </c>
      <c r="E5942" s="18">
        <v>3003860694003</v>
      </c>
      <c r="G5942" s="20" t="str">
        <f t="shared" si="276"/>
        <v xml:space="preserve"> OCHIC           </v>
      </c>
      <c r="H5942" s="20" t="str">
        <f t="shared" si="277"/>
        <v>ACQUA</v>
      </c>
      <c r="I5942" s="20">
        <f t="shared" si="278"/>
        <v>0</v>
      </c>
    </row>
    <row r="5943" spans="1:9">
      <c r="A5943" s="17" t="s">
        <v>2068</v>
      </c>
      <c r="B5943" s="17" t="s">
        <v>963</v>
      </c>
      <c r="C5943" s="17">
        <v>0</v>
      </c>
      <c r="D5943" s="17" t="s">
        <v>801</v>
      </c>
      <c r="E5943" s="18">
        <v>3003860691002</v>
      </c>
      <c r="G5943" s="20" t="str">
        <f t="shared" si="276"/>
        <v xml:space="preserve"> OCHIC           </v>
      </c>
      <c r="H5943" s="20" t="str">
        <f t="shared" si="277"/>
        <v>AMARA</v>
      </c>
      <c r="I5943" s="20">
        <f t="shared" si="278"/>
        <v>0</v>
      </c>
    </row>
    <row r="5944" spans="1:9">
      <c r="A5944" s="17" t="s">
        <v>2068</v>
      </c>
      <c r="B5944" s="17" t="s">
        <v>298</v>
      </c>
      <c r="C5944" s="17">
        <v>0</v>
      </c>
      <c r="D5944" s="17" t="s">
        <v>801</v>
      </c>
      <c r="E5944" s="18">
        <v>3003860267009</v>
      </c>
      <c r="G5944" s="20" t="str">
        <f t="shared" si="276"/>
        <v xml:space="preserve"> OCHIC           </v>
      </c>
      <c r="H5944" s="20" t="str">
        <f t="shared" si="277"/>
        <v>APPLE</v>
      </c>
      <c r="I5944" s="20">
        <f t="shared" si="278"/>
        <v>0</v>
      </c>
    </row>
    <row r="5945" spans="1:9">
      <c r="A5945" s="17" t="s">
        <v>2068</v>
      </c>
      <c r="B5945" s="17" t="s">
        <v>298</v>
      </c>
      <c r="C5945" s="17">
        <v>0</v>
      </c>
      <c r="D5945" s="17" t="s">
        <v>801</v>
      </c>
      <c r="E5945" s="18">
        <v>8056095069004</v>
      </c>
      <c r="G5945" s="20" t="str">
        <f t="shared" si="276"/>
        <v xml:space="preserve"> OCHIC           </v>
      </c>
      <c r="H5945" s="20" t="str">
        <f t="shared" si="277"/>
        <v>APPLE</v>
      </c>
      <c r="I5945" s="20">
        <f t="shared" si="278"/>
        <v>0</v>
      </c>
    </row>
    <row r="5946" spans="1:9">
      <c r="A5946" s="17" t="s">
        <v>2068</v>
      </c>
      <c r="B5946" s="17" t="s">
        <v>879</v>
      </c>
      <c r="C5946" s="17">
        <v>0</v>
      </c>
      <c r="D5946" s="17" t="s">
        <v>801</v>
      </c>
      <c r="E5946" s="18">
        <v>3004570181005</v>
      </c>
      <c r="G5946" s="20" t="str">
        <f t="shared" si="276"/>
        <v xml:space="preserve"> OCHIC           </v>
      </c>
      <c r="H5946" s="20" t="str">
        <f t="shared" si="277"/>
        <v xml:space="preserve">AZUR </v>
      </c>
      <c r="I5946" s="20">
        <f t="shared" si="278"/>
        <v>0</v>
      </c>
    </row>
    <row r="5947" spans="1:9">
      <c r="A5947" s="17" t="s">
        <v>2068</v>
      </c>
      <c r="B5947" s="17" t="s">
        <v>2006</v>
      </c>
      <c r="C5947" s="17">
        <v>0</v>
      </c>
      <c r="D5947" s="17" t="s">
        <v>801</v>
      </c>
      <c r="E5947" s="18">
        <v>8056095068946</v>
      </c>
      <c r="G5947" s="20" t="str">
        <f t="shared" si="276"/>
        <v xml:space="preserve"> OCHIC           </v>
      </c>
      <c r="H5947" s="20" t="str">
        <f t="shared" si="277"/>
        <v>BECCO</v>
      </c>
      <c r="I5947" s="20">
        <f t="shared" si="278"/>
        <v>0</v>
      </c>
    </row>
    <row r="5948" spans="1:9">
      <c r="A5948" s="17" t="s">
        <v>2068</v>
      </c>
      <c r="B5948" s="17" t="s">
        <v>2006</v>
      </c>
      <c r="C5948" s="17">
        <v>0</v>
      </c>
      <c r="D5948" s="17" t="s">
        <v>801</v>
      </c>
      <c r="E5948" s="18">
        <v>3003861078000</v>
      </c>
      <c r="G5948" s="20" t="str">
        <f t="shared" si="276"/>
        <v xml:space="preserve"> OCHIC           </v>
      </c>
      <c r="H5948" s="20" t="str">
        <f t="shared" si="277"/>
        <v>BECCO</v>
      </c>
      <c r="I5948" s="20">
        <f t="shared" si="278"/>
        <v>0</v>
      </c>
    </row>
    <row r="5949" spans="1:9">
      <c r="A5949" s="17" t="s">
        <v>2068</v>
      </c>
      <c r="B5949" s="17" t="s">
        <v>280</v>
      </c>
      <c r="C5949" s="17">
        <v>0</v>
      </c>
      <c r="D5949" s="17" t="s">
        <v>801</v>
      </c>
      <c r="E5949" s="18">
        <v>3004570004007</v>
      </c>
      <c r="G5949" s="20" t="str">
        <f t="shared" si="276"/>
        <v xml:space="preserve"> OCHIC           </v>
      </c>
      <c r="H5949" s="20" t="str">
        <f t="shared" si="277"/>
        <v>BLACK</v>
      </c>
      <c r="I5949" s="20">
        <f t="shared" si="278"/>
        <v>0</v>
      </c>
    </row>
    <row r="5950" spans="1:9">
      <c r="A5950" s="17" t="s">
        <v>2068</v>
      </c>
      <c r="B5950" s="17" t="s">
        <v>280</v>
      </c>
      <c r="C5950" s="17">
        <v>0</v>
      </c>
      <c r="D5950" s="17" t="s">
        <v>801</v>
      </c>
      <c r="E5950" s="18">
        <v>8050450218809</v>
      </c>
      <c r="G5950" s="20" t="str">
        <f t="shared" si="276"/>
        <v xml:space="preserve"> OCHIC           </v>
      </c>
      <c r="H5950" s="20" t="str">
        <f t="shared" si="277"/>
        <v>BLACK</v>
      </c>
      <c r="I5950" s="20">
        <f t="shared" si="278"/>
        <v>0</v>
      </c>
    </row>
    <row r="5951" spans="1:9">
      <c r="A5951" s="17" t="s">
        <v>2068</v>
      </c>
      <c r="B5951" s="17" t="s">
        <v>1026</v>
      </c>
      <c r="C5951" s="17">
        <v>0</v>
      </c>
      <c r="D5951" s="17" t="s">
        <v>801</v>
      </c>
      <c r="E5951" s="18">
        <v>8058983596173</v>
      </c>
      <c r="G5951" s="20" t="str">
        <f t="shared" si="276"/>
        <v xml:space="preserve"> OCHIC           </v>
      </c>
      <c r="H5951" s="20" t="str">
        <f t="shared" si="277"/>
        <v>BLUAV</v>
      </c>
      <c r="I5951" s="20">
        <f t="shared" si="278"/>
        <v>0</v>
      </c>
    </row>
    <row r="5952" spans="1:9">
      <c r="A5952" s="17" t="s">
        <v>2068</v>
      </c>
      <c r="B5952" s="17" t="s">
        <v>1026</v>
      </c>
      <c r="C5952" s="17">
        <v>0</v>
      </c>
      <c r="D5952" s="17" t="s">
        <v>801</v>
      </c>
      <c r="E5952" s="18">
        <v>3004570546002</v>
      </c>
      <c r="G5952" s="20" t="str">
        <f t="shared" si="276"/>
        <v xml:space="preserve"> OCHIC           </v>
      </c>
      <c r="H5952" s="20" t="str">
        <f t="shared" si="277"/>
        <v>BLUAV</v>
      </c>
      <c r="I5952" s="20">
        <f t="shared" si="278"/>
        <v>0</v>
      </c>
    </row>
    <row r="5953" spans="1:9">
      <c r="A5953" s="17" t="s">
        <v>2068</v>
      </c>
      <c r="B5953" s="17" t="s">
        <v>857</v>
      </c>
      <c r="C5953" s="17">
        <v>0</v>
      </c>
      <c r="D5953" s="17" t="s">
        <v>801</v>
      </c>
      <c r="E5953" s="18">
        <v>8056095068977</v>
      </c>
      <c r="G5953" s="20" t="str">
        <f t="shared" si="276"/>
        <v xml:space="preserve"> OCHIC           </v>
      </c>
      <c r="H5953" s="20" t="str">
        <f t="shared" si="277"/>
        <v>BLUET</v>
      </c>
      <c r="I5953" s="20">
        <f t="shared" si="278"/>
        <v>0</v>
      </c>
    </row>
    <row r="5954" spans="1:9">
      <c r="A5954" s="17" t="s">
        <v>2068</v>
      </c>
      <c r="B5954" s="17" t="s">
        <v>857</v>
      </c>
      <c r="C5954" s="17">
        <v>0</v>
      </c>
      <c r="D5954" s="17" t="s">
        <v>801</v>
      </c>
      <c r="E5954" s="18">
        <v>3003861075009</v>
      </c>
      <c r="G5954" s="20" t="str">
        <f t="shared" si="276"/>
        <v xml:space="preserve"> OCHIC           </v>
      </c>
      <c r="H5954" s="20" t="str">
        <f t="shared" si="277"/>
        <v>BLUET</v>
      </c>
      <c r="I5954" s="20">
        <f t="shared" si="278"/>
        <v>0</v>
      </c>
    </row>
    <row r="5955" spans="1:9">
      <c r="A5955" s="17" t="s">
        <v>2068</v>
      </c>
      <c r="B5955" s="17" t="s">
        <v>1101</v>
      </c>
      <c r="C5955" s="17">
        <v>0</v>
      </c>
      <c r="D5955" s="17" t="s">
        <v>801</v>
      </c>
      <c r="E5955" s="18">
        <v>8058983596159</v>
      </c>
      <c r="G5955" s="20" t="str">
        <f t="shared" si="276"/>
        <v xml:space="preserve"> OCHIC           </v>
      </c>
      <c r="H5955" s="20" t="str">
        <f t="shared" si="277"/>
        <v xml:space="preserve">BOR  </v>
      </c>
      <c r="I5955" s="20">
        <f t="shared" si="278"/>
        <v>0</v>
      </c>
    </row>
    <row r="5956" spans="1:9">
      <c r="A5956" s="17" t="s">
        <v>2068</v>
      </c>
      <c r="B5956" s="17" t="s">
        <v>1101</v>
      </c>
      <c r="C5956" s="17">
        <v>0</v>
      </c>
      <c r="D5956" s="17" t="s">
        <v>801</v>
      </c>
      <c r="E5956" s="18">
        <v>3004570308006</v>
      </c>
      <c r="G5956" s="20" t="str">
        <f t="shared" si="276"/>
        <v xml:space="preserve"> OCHIC           </v>
      </c>
      <c r="H5956" s="20" t="str">
        <f t="shared" si="277"/>
        <v xml:space="preserve">BOR  </v>
      </c>
      <c r="I5956" s="20">
        <f t="shared" si="278"/>
        <v>0</v>
      </c>
    </row>
    <row r="5957" spans="1:9">
      <c r="A5957" s="17" t="s">
        <v>2068</v>
      </c>
      <c r="B5957" s="17" t="s">
        <v>853</v>
      </c>
      <c r="C5957" s="17">
        <v>0</v>
      </c>
      <c r="D5957" s="17" t="s">
        <v>801</v>
      </c>
      <c r="E5957" s="18">
        <v>3003860499004</v>
      </c>
      <c r="G5957" s="20" t="str">
        <f t="shared" ref="G5957:G6020" si="279">A5957</f>
        <v xml:space="preserve"> OCHIC           </v>
      </c>
      <c r="H5957" s="20" t="str">
        <f t="shared" ref="H5957:H6020" si="280">B5957</f>
        <v>BRONZ</v>
      </c>
      <c r="I5957" s="20">
        <f t="shared" ref="I5957:I6020" si="281">C5957</f>
        <v>0</v>
      </c>
    </row>
    <row r="5958" spans="1:9">
      <c r="A5958" s="17" t="s">
        <v>2068</v>
      </c>
      <c r="B5958" s="17" t="s">
        <v>853</v>
      </c>
      <c r="C5958" s="17">
        <v>0</v>
      </c>
      <c r="D5958" s="17" t="s">
        <v>801</v>
      </c>
      <c r="E5958" s="18">
        <v>8050450213019</v>
      </c>
      <c r="G5958" s="20" t="str">
        <f t="shared" si="279"/>
        <v xml:space="preserve"> OCHIC           </v>
      </c>
      <c r="H5958" s="20" t="str">
        <f t="shared" si="280"/>
        <v>BRONZ</v>
      </c>
      <c r="I5958" s="20">
        <f t="shared" si="281"/>
        <v>0</v>
      </c>
    </row>
    <row r="5959" spans="1:9">
      <c r="A5959" s="17" t="s">
        <v>2068</v>
      </c>
      <c r="B5959" s="17" t="s">
        <v>1447</v>
      </c>
      <c r="C5959" s="17">
        <v>0</v>
      </c>
      <c r="D5959" s="17" t="s">
        <v>801</v>
      </c>
      <c r="E5959" s="18">
        <v>8058983596142</v>
      </c>
      <c r="G5959" s="20" t="str">
        <f t="shared" si="279"/>
        <v xml:space="preserve"> OCHIC           </v>
      </c>
      <c r="H5959" s="20" t="str">
        <f t="shared" si="280"/>
        <v xml:space="preserve">FRAG </v>
      </c>
      <c r="I5959" s="20">
        <f t="shared" si="281"/>
        <v>0</v>
      </c>
    </row>
    <row r="5960" spans="1:9">
      <c r="A5960" s="17" t="s">
        <v>2068</v>
      </c>
      <c r="B5960" s="17" t="s">
        <v>1447</v>
      </c>
      <c r="C5960" s="17">
        <v>0</v>
      </c>
      <c r="D5960" s="17" t="s">
        <v>801</v>
      </c>
      <c r="E5960" s="18">
        <v>3004570545005</v>
      </c>
      <c r="G5960" s="20" t="str">
        <f t="shared" si="279"/>
        <v xml:space="preserve"> OCHIC           </v>
      </c>
      <c r="H5960" s="20" t="str">
        <f t="shared" si="280"/>
        <v xml:space="preserve">FRAG </v>
      </c>
      <c r="I5960" s="20">
        <f t="shared" si="281"/>
        <v>0</v>
      </c>
    </row>
    <row r="5961" spans="1:9">
      <c r="A5961" s="17" t="s">
        <v>2068</v>
      </c>
      <c r="B5961" s="17" t="s">
        <v>889</v>
      </c>
      <c r="C5961" s="17">
        <v>0</v>
      </c>
      <c r="D5961" s="17" t="s">
        <v>801</v>
      </c>
      <c r="E5961" s="18">
        <v>3004570219005</v>
      </c>
      <c r="G5961" s="20" t="str">
        <f t="shared" si="279"/>
        <v xml:space="preserve"> OCHIC           </v>
      </c>
      <c r="H5961" s="20" t="str">
        <f t="shared" si="280"/>
        <v>GENET</v>
      </c>
      <c r="I5961" s="20">
        <f t="shared" si="281"/>
        <v>0</v>
      </c>
    </row>
    <row r="5962" spans="1:9">
      <c r="A5962" s="17" t="s">
        <v>2068</v>
      </c>
      <c r="B5962" s="17" t="s">
        <v>1661</v>
      </c>
      <c r="C5962" s="17">
        <v>0</v>
      </c>
      <c r="D5962" s="17" t="s">
        <v>801</v>
      </c>
      <c r="E5962" s="18">
        <v>3003860610003</v>
      </c>
      <c r="G5962" s="20" t="str">
        <f t="shared" si="279"/>
        <v xml:space="preserve"> OCHIC           </v>
      </c>
      <c r="H5962" s="20" t="str">
        <f t="shared" si="280"/>
        <v>GRAFI</v>
      </c>
      <c r="I5962" s="20">
        <f t="shared" si="281"/>
        <v>0</v>
      </c>
    </row>
    <row r="5963" spans="1:9">
      <c r="A5963" s="17" t="s">
        <v>2068</v>
      </c>
      <c r="B5963" s="17" t="s">
        <v>1661</v>
      </c>
      <c r="C5963" s="17">
        <v>0</v>
      </c>
      <c r="D5963" s="17" t="s">
        <v>801</v>
      </c>
      <c r="E5963" s="18">
        <v>8050450213026</v>
      </c>
      <c r="G5963" s="20" t="str">
        <f t="shared" si="279"/>
        <v xml:space="preserve"> OCHIC           </v>
      </c>
      <c r="H5963" s="20" t="str">
        <f t="shared" si="280"/>
        <v>GRAFI</v>
      </c>
      <c r="I5963" s="20">
        <f t="shared" si="281"/>
        <v>0</v>
      </c>
    </row>
    <row r="5964" spans="1:9">
      <c r="A5964" s="17" t="s">
        <v>2068</v>
      </c>
      <c r="B5964" s="17" t="s">
        <v>1430</v>
      </c>
      <c r="C5964" s="17">
        <v>0</v>
      </c>
      <c r="D5964" s="17" t="s">
        <v>801</v>
      </c>
      <c r="E5964" s="18">
        <v>3003860498007</v>
      </c>
      <c r="G5964" s="20" t="str">
        <f t="shared" si="279"/>
        <v xml:space="preserve"> OCHIC           </v>
      </c>
      <c r="H5964" s="20" t="str">
        <f t="shared" si="280"/>
        <v xml:space="preserve">IRIS </v>
      </c>
      <c r="I5964" s="20">
        <f t="shared" si="281"/>
        <v>0</v>
      </c>
    </row>
    <row r="5965" spans="1:9">
      <c r="A5965" s="17" t="s">
        <v>2068</v>
      </c>
      <c r="B5965" s="17" t="s">
        <v>1430</v>
      </c>
      <c r="C5965" s="17">
        <v>0</v>
      </c>
      <c r="D5965" s="17" t="s">
        <v>801</v>
      </c>
      <c r="E5965" s="18">
        <v>8050450218830</v>
      </c>
      <c r="G5965" s="20" t="str">
        <f t="shared" si="279"/>
        <v xml:space="preserve"> OCHIC           </v>
      </c>
      <c r="H5965" s="20" t="str">
        <f t="shared" si="280"/>
        <v xml:space="preserve">IRIS </v>
      </c>
      <c r="I5965" s="20">
        <f t="shared" si="281"/>
        <v>0</v>
      </c>
    </row>
    <row r="5966" spans="1:9">
      <c r="A5966" s="17" t="s">
        <v>2068</v>
      </c>
      <c r="B5966" s="17" t="s">
        <v>838</v>
      </c>
      <c r="C5966" s="17">
        <v>0</v>
      </c>
      <c r="D5966" s="17" t="s">
        <v>801</v>
      </c>
      <c r="E5966" s="18">
        <v>8058983591857</v>
      </c>
      <c r="G5966" s="20" t="str">
        <f t="shared" si="279"/>
        <v xml:space="preserve"> OCHIC           </v>
      </c>
      <c r="H5966" s="20" t="str">
        <f t="shared" si="280"/>
        <v>IVOIR</v>
      </c>
      <c r="I5966" s="20">
        <f t="shared" si="281"/>
        <v>0</v>
      </c>
    </row>
    <row r="5967" spans="1:9">
      <c r="A5967" s="17" t="s">
        <v>2068</v>
      </c>
      <c r="B5967" s="17" t="s">
        <v>838</v>
      </c>
      <c r="C5967" s="17">
        <v>0</v>
      </c>
      <c r="D5967" s="17" t="s">
        <v>801</v>
      </c>
      <c r="E5967" s="18">
        <v>3004570167009</v>
      </c>
      <c r="G5967" s="20" t="str">
        <f t="shared" si="279"/>
        <v xml:space="preserve"> OCHIC           </v>
      </c>
      <c r="H5967" s="20" t="str">
        <f t="shared" si="280"/>
        <v>IVOIR</v>
      </c>
      <c r="I5967" s="20">
        <f t="shared" si="281"/>
        <v>0</v>
      </c>
    </row>
    <row r="5968" spans="1:9">
      <c r="A5968" s="17" t="s">
        <v>2068</v>
      </c>
      <c r="B5968" s="17" t="s">
        <v>892</v>
      </c>
      <c r="C5968" s="17">
        <v>0</v>
      </c>
      <c r="D5968" s="17" t="s">
        <v>801</v>
      </c>
      <c r="E5968" s="18">
        <v>3003860473004</v>
      </c>
      <c r="G5968" s="20" t="str">
        <f t="shared" si="279"/>
        <v xml:space="preserve"> OCHIC           </v>
      </c>
      <c r="H5968" s="20" t="str">
        <f t="shared" si="280"/>
        <v xml:space="preserve">LIME </v>
      </c>
      <c r="I5968" s="20">
        <f t="shared" si="281"/>
        <v>0</v>
      </c>
    </row>
    <row r="5969" spans="1:9">
      <c r="A5969" s="17" t="s">
        <v>2068</v>
      </c>
      <c r="B5969" s="17" t="s">
        <v>1105</v>
      </c>
      <c r="C5969" s="17">
        <v>0</v>
      </c>
      <c r="D5969" s="17" t="s">
        <v>801</v>
      </c>
      <c r="E5969" s="18">
        <v>3004570667004</v>
      </c>
      <c r="G5969" s="20" t="str">
        <f t="shared" si="279"/>
        <v xml:space="preserve"> OCHIC           </v>
      </c>
      <c r="H5969" s="20" t="str">
        <f t="shared" si="280"/>
        <v>MARSA</v>
      </c>
      <c r="I5969" s="20">
        <f t="shared" si="281"/>
        <v>0</v>
      </c>
    </row>
    <row r="5970" spans="1:9">
      <c r="A5970" s="17" t="s">
        <v>2068</v>
      </c>
      <c r="B5970" s="17" t="s">
        <v>1434</v>
      </c>
      <c r="C5970" s="17">
        <v>0</v>
      </c>
      <c r="D5970" s="17" t="s">
        <v>801</v>
      </c>
      <c r="E5970" s="18">
        <v>8058983596135</v>
      </c>
      <c r="G5970" s="20" t="str">
        <f t="shared" si="279"/>
        <v xml:space="preserve"> OCHIC           </v>
      </c>
      <c r="H5970" s="20" t="str">
        <f t="shared" si="280"/>
        <v xml:space="preserve">NAR  </v>
      </c>
      <c r="I5970" s="20">
        <f t="shared" si="281"/>
        <v>0</v>
      </c>
    </row>
    <row r="5971" spans="1:9">
      <c r="A5971" s="17" t="s">
        <v>2068</v>
      </c>
      <c r="B5971" s="17" t="s">
        <v>1434</v>
      </c>
      <c r="C5971" s="17">
        <v>0</v>
      </c>
      <c r="D5971" s="17" t="s">
        <v>801</v>
      </c>
      <c r="E5971" s="18">
        <v>3004570569001</v>
      </c>
      <c r="G5971" s="20" t="str">
        <f t="shared" si="279"/>
        <v xml:space="preserve"> OCHIC           </v>
      </c>
      <c r="H5971" s="20" t="str">
        <f t="shared" si="280"/>
        <v xml:space="preserve">NAR  </v>
      </c>
      <c r="I5971" s="20">
        <f t="shared" si="281"/>
        <v>0</v>
      </c>
    </row>
    <row r="5972" spans="1:9">
      <c r="A5972" s="17" t="s">
        <v>2068</v>
      </c>
      <c r="B5972" s="17" t="s">
        <v>1078</v>
      </c>
      <c r="C5972" s="17">
        <v>0</v>
      </c>
      <c r="D5972" s="17" t="s">
        <v>801</v>
      </c>
      <c r="E5972" s="18">
        <v>3003860494009</v>
      </c>
      <c r="G5972" s="20" t="str">
        <f t="shared" si="279"/>
        <v xml:space="preserve"> OCHIC           </v>
      </c>
      <c r="H5972" s="20" t="str">
        <f t="shared" si="280"/>
        <v xml:space="preserve">NAVY </v>
      </c>
      <c r="I5972" s="20">
        <f t="shared" si="281"/>
        <v>0</v>
      </c>
    </row>
    <row r="5973" spans="1:9">
      <c r="A5973" s="17" t="s">
        <v>2068</v>
      </c>
      <c r="B5973" s="17" t="s">
        <v>1078</v>
      </c>
      <c r="C5973" s="17">
        <v>0</v>
      </c>
      <c r="D5973" s="17" t="s">
        <v>801</v>
      </c>
      <c r="E5973" s="18">
        <v>8050450218885</v>
      </c>
      <c r="G5973" s="20" t="str">
        <f t="shared" si="279"/>
        <v xml:space="preserve"> OCHIC           </v>
      </c>
      <c r="H5973" s="20" t="str">
        <f t="shared" si="280"/>
        <v xml:space="preserve">NAVY </v>
      </c>
      <c r="I5973" s="20">
        <f t="shared" si="281"/>
        <v>0</v>
      </c>
    </row>
    <row r="5974" spans="1:9">
      <c r="A5974" s="17" t="s">
        <v>2068</v>
      </c>
      <c r="B5974" s="17" t="s">
        <v>1913</v>
      </c>
      <c r="C5974" s="17">
        <v>0</v>
      </c>
      <c r="D5974" s="17" t="s">
        <v>801</v>
      </c>
      <c r="E5974" s="18">
        <v>3004570228007</v>
      </c>
      <c r="G5974" s="20" t="str">
        <f t="shared" si="279"/>
        <v xml:space="preserve"> OCHIC           </v>
      </c>
      <c r="H5974" s="20" t="str">
        <f t="shared" si="280"/>
        <v>NEIGE</v>
      </c>
      <c r="I5974" s="20">
        <f t="shared" si="281"/>
        <v>0</v>
      </c>
    </row>
    <row r="5975" spans="1:9">
      <c r="A5975" s="17" t="s">
        <v>2068</v>
      </c>
      <c r="B5975" s="17" t="s">
        <v>1235</v>
      </c>
      <c r="C5975" s="17">
        <v>0</v>
      </c>
      <c r="D5975" s="17" t="s">
        <v>801</v>
      </c>
      <c r="E5975" s="18">
        <v>3003860559005</v>
      </c>
      <c r="G5975" s="20" t="str">
        <f t="shared" si="279"/>
        <v xml:space="preserve"> OCHIC           </v>
      </c>
      <c r="H5975" s="20" t="str">
        <f t="shared" si="280"/>
        <v>PAPAY</v>
      </c>
      <c r="I5975" s="20">
        <f t="shared" si="281"/>
        <v>0</v>
      </c>
    </row>
    <row r="5976" spans="1:9">
      <c r="A5976" s="17" t="s">
        <v>2068</v>
      </c>
      <c r="B5976" s="17" t="s">
        <v>912</v>
      </c>
      <c r="C5976" s="17">
        <v>0</v>
      </c>
      <c r="D5976" s="17" t="s">
        <v>801</v>
      </c>
      <c r="E5976" s="18">
        <v>3004571008004</v>
      </c>
      <c r="G5976" s="20" t="str">
        <f t="shared" si="279"/>
        <v xml:space="preserve"> OCHIC           </v>
      </c>
      <c r="H5976" s="20" t="str">
        <f t="shared" si="280"/>
        <v>PETRO</v>
      </c>
      <c r="I5976" s="20">
        <f t="shared" si="281"/>
        <v>0</v>
      </c>
    </row>
    <row r="5977" spans="1:9">
      <c r="A5977" s="17" t="s">
        <v>2068</v>
      </c>
      <c r="B5977" s="17" t="s">
        <v>283</v>
      </c>
      <c r="C5977" s="17">
        <v>0</v>
      </c>
      <c r="D5977" s="17" t="s">
        <v>801</v>
      </c>
      <c r="E5977" s="18">
        <v>8056095068953</v>
      </c>
      <c r="G5977" s="20" t="str">
        <f t="shared" si="279"/>
        <v xml:space="preserve"> OCHIC           </v>
      </c>
      <c r="H5977" s="20" t="str">
        <f t="shared" si="280"/>
        <v>PHARD</v>
      </c>
      <c r="I5977" s="20">
        <f t="shared" si="281"/>
        <v>0</v>
      </c>
    </row>
    <row r="5978" spans="1:9">
      <c r="A5978" s="17" t="s">
        <v>2068</v>
      </c>
      <c r="B5978" s="17" t="s">
        <v>283</v>
      </c>
      <c r="C5978" s="17">
        <v>0</v>
      </c>
      <c r="D5978" s="17" t="s">
        <v>801</v>
      </c>
      <c r="E5978" s="18">
        <v>3003860871008</v>
      </c>
      <c r="G5978" s="20" t="str">
        <f t="shared" si="279"/>
        <v xml:space="preserve"> OCHIC           </v>
      </c>
      <c r="H5978" s="20" t="str">
        <f t="shared" si="280"/>
        <v>PHARD</v>
      </c>
      <c r="I5978" s="20">
        <f t="shared" si="281"/>
        <v>0</v>
      </c>
    </row>
    <row r="5979" spans="1:9">
      <c r="A5979" s="17" t="s">
        <v>2068</v>
      </c>
      <c r="B5979" s="17" t="s">
        <v>1438</v>
      </c>
      <c r="C5979" s="17">
        <v>0</v>
      </c>
      <c r="D5979" s="17" t="s">
        <v>801</v>
      </c>
      <c r="E5979" s="18">
        <v>3003860692009</v>
      </c>
      <c r="G5979" s="20" t="str">
        <f t="shared" si="279"/>
        <v xml:space="preserve"> OCHIC           </v>
      </c>
      <c r="H5979" s="20" t="str">
        <f t="shared" si="280"/>
        <v>POLVE</v>
      </c>
      <c r="I5979" s="20">
        <f t="shared" si="281"/>
        <v>0</v>
      </c>
    </row>
    <row r="5980" spans="1:9">
      <c r="A5980" s="17" t="s">
        <v>2068</v>
      </c>
      <c r="B5980" s="17" t="s">
        <v>1438</v>
      </c>
      <c r="C5980" s="17">
        <v>0</v>
      </c>
      <c r="D5980" s="17" t="s">
        <v>801</v>
      </c>
      <c r="E5980" s="18">
        <v>8058333588230</v>
      </c>
      <c r="G5980" s="20" t="str">
        <f t="shared" si="279"/>
        <v xml:space="preserve"> OCHIC           </v>
      </c>
      <c r="H5980" s="20" t="str">
        <f t="shared" si="280"/>
        <v>POLVE</v>
      </c>
      <c r="I5980" s="20">
        <f t="shared" si="281"/>
        <v>0</v>
      </c>
    </row>
    <row r="5981" spans="1:9">
      <c r="A5981" s="17" t="s">
        <v>2068</v>
      </c>
      <c r="B5981" s="17" t="s">
        <v>2020</v>
      </c>
      <c r="C5981" s="17">
        <v>0</v>
      </c>
      <c r="D5981" s="17" t="s">
        <v>801</v>
      </c>
      <c r="E5981" s="18">
        <v>3003861080003</v>
      </c>
      <c r="G5981" s="20" t="str">
        <f t="shared" si="279"/>
        <v xml:space="preserve"> OCHIC           </v>
      </c>
      <c r="H5981" s="20" t="str">
        <f t="shared" si="280"/>
        <v>POMME</v>
      </c>
      <c r="I5981" s="20">
        <f t="shared" si="281"/>
        <v>0</v>
      </c>
    </row>
    <row r="5982" spans="1:9">
      <c r="A5982" s="17" t="s">
        <v>2068</v>
      </c>
      <c r="B5982" s="17" t="s">
        <v>1097</v>
      </c>
      <c r="C5982" s="17">
        <v>0</v>
      </c>
      <c r="D5982" s="17" t="s">
        <v>801</v>
      </c>
      <c r="E5982" s="18">
        <v>8058983596166</v>
      </c>
      <c r="G5982" s="20" t="str">
        <f t="shared" si="279"/>
        <v xml:space="preserve"> OCHIC           </v>
      </c>
      <c r="H5982" s="20" t="str">
        <f t="shared" si="280"/>
        <v xml:space="preserve">PORP </v>
      </c>
      <c r="I5982" s="20">
        <f t="shared" si="281"/>
        <v>0</v>
      </c>
    </row>
    <row r="5983" spans="1:9">
      <c r="A5983" s="17" t="s">
        <v>2068</v>
      </c>
      <c r="B5983" s="17" t="s">
        <v>1097</v>
      </c>
      <c r="C5983" s="17">
        <v>0</v>
      </c>
      <c r="D5983" s="17" t="s">
        <v>801</v>
      </c>
      <c r="E5983" s="18">
        <v>3004570540000</v>
      </c>
      <c r="G5983" s="20" t="str">
        <f t="shared" si="279"/>
        <v xml:space="preserve"> OCHIC           </v>
      </c>
      <c r="H5983" s="20" t="str">
        <f t="shared" si="280"/>
        <v xml:space="preserve">PORP </v>
      </c>
      <c r="I5983" s="20">
        <f t="shared" si="281"/>
        <v>0</v>
      </c>
    </row>
    <row r="5984" spans="1:9">
      <c r="A5984" s="17" t="s">
        <v>2068</v>
      </c>
      <c r="B5984" s="17" t="s">
        <v>1237</v>
      </c>
      <c r="C5984" s="17">
        <v>0</v>
      </c>
      <c r="D5984" s="17" t="s">
        <v>801</v>
      </c>
      <c r="E5984" s="18">
        <v>3003860396006</v>
      </c>
      <c r="G5984" s="20" t="str">
        <f t="shared" si="279"/>
        <v xml:space="preserve"> OCHIC           </v>
      </c>
      <c r="H5984" s="20" t="str">
        <f t="shared" si="280"/>
        <v xml:space="preserve">ROCK </v>
      </c>
      <c r="I5984" s="20">
        <f t="shared" si="281"/>
        <v>0</v>
      </c>
    </row>
    <row r="5985" spans="1:9">
      <c r="A5985" s="17" t="s">
        <v>2068</v>
      </c>
      <c r="B5985" s="17" t="s">
        <v>1237</v>
      </c>
      <c r="C5985" s="17">
        <v>0</v>
      </c>
      <c r="D5985" s="17" t="s">
        <v>801</v>
      </c>
      <c r="E5985" s="18">
        <v>8050450218816</v>
      </c>
      <c r="G5985" s="20" t="str">
        <f t="shared" si="279"/>
        <v xml:space="preserve"> OCHIC           </v>
      </c>
      <c r="H5985" s="20" t="str">
        <f t="shared" si="280"/>
        <v xml:space="preserve">ROCK </v>
      </c>
      <c r="I5985" s="20">
        <f t="shared" si="281"/>
        <v>0</v>
      </c>
    </row>
    <row r="5986" spans="1:9">
      <c r="A5986" s="17" t="s">
        <v>2068</v>
      </c>
      <c r="B5986" s="17" t="s">
        <v>1238</v>
      </c>
      <c r="C5986" s="17">
        <v>0</v>
      </c>
      <c r="D5986" s="17" t="s">
        <v>801</v>
      </c>
      <c r="E5986" s="18">
        <v>3003860479006</v>
      </c>
      <c r="G5986" s="20" t="str">
        <f t="shared" si="279"/>
        <v xml:space="preserve"> OCHIC           </v>
      </c>
      <c r="H5986" s="20" t="str">
        <f t="shared" si="280"/>
        <v>ROSMO</v>
      </c>
      <c r="I5986" s="20">
        <f t="shared" si="281"/>
        <v>0</v>
      </c>
    </row>
    <row r="5987" spans="1:9">
      <c r="A5987" s="17" t="s">
        <v>2068</v>
      </c>
      <c r="B5987" s="17" t="s">
        <v>1238</v>
      </c>
      <c r="C5987" s="17">
        <v>0</v>
      </c>
      <c r="D5987" s="17" t="s">
        <v>801</v>
      </c>
      <c r="E5987" s="18">
        <v>8050450218892</v>
      </c>
      <c r="G5987" s="20" t="str">
        <f t="shared" si="279"/>
        <v xml:space="preserve"> OCHIC           </v>
      </c>
      <c r="H5987" s="20" t="str">
        <f t="shared" si="280"/>
        <v>ROSMO</v>
      </c>
      <c r="I5987" s="20">
        <f t="shared" si="281"/>
        <v>0</v>
      </c>
    </row>
    <row r="5988" spans="1:9">
      <c r="A5988" s="17" t="s">
        <v>2068</v>
      </c>
      <c r="B5988" s="17" t="s">
        <v>1239</v>
      </c>
      <c r="C5988" s="17">
        <v>0</v>
      </c>
      <c r="D5988" s="17" t="s">
        <v>801</v>
      </c>
      <c r="E5988" s="18">
        <v>8056095069011</v>
      </c>
      <c r="G5988" s="20" t="str">
        <f t="shared" si="279"/>
        <v xml:space="preserve"> OCHIC           </v>
      </c>
      <c r="H5988" s="20" t="str">
        <f t="shared" si="280"/>
        <v xml:space="preserve">SAND </v>
      </c>
      <c r="I5988" s="20">
        <f t="shared" si="281"/>
        <v>0</v>
      </c>
    </row>
    <row r="5989" spans="1:9">
      <c r="A5989" s="17" t="s">
        <v>2068</v>
      </c>
      <c r="B5989" s="17" t="s">
        <v>1239</v>
      </c>
      <c r="C5989" s="17">
        <v>0</v>
      </c>
      <c r="D5989" s="17" t="s">
        <v>801</v>
      </c>
      <c r="E5989" s="18">
        <v>3003860400000</v>
      </c>
      <c r="G5989" s="20" t="str">
        <f t="shared" si="279"/>
        <v xml:space="preserve"> OCHIC           </v>
      </c>
      <c r="H5989" s="20" t="str">
        <f t="shared" si="280"/>
        <v xml:space="preserve">SAND </v>
      </c>
      <c r="I5989" s="20">
        <f t="shared" si="281"/>
        <v>0</v>
      </c>
    </row>
    <row r="5990" spans="1:9">
      <c r="A5990" s="17" t="s">
        <v>2068</v>
      </c>
      <c r="B5990" s="17" t="s">
        <v>1079</v>
      </c>
      <c r="C5990" s="17">
        <v>0</v>
      </c>
      <c r="D5990" s="17" t="s">
        <v>801</v>
      </c>
      <c r="E5990" s="18">
        <v>8058983596203</v>
      </c>
      <c r="G5990" s="20" t="str">
        <f t="shared" si="279"/>
        <v xml:space="preserve"> OCHIC           </v>
      </c>
      <c r="H5990" s="20" t="str">
        <f t="shared" si="280"/>
        <v xml:space="preserve">SLVG </v>
      </c>
      <c r="I5990" s="20">
        <f t="shared" si="281"/>
        <v>0</v>
      </c>
    </row>
    <row r="5991" spans="1:9">
      <c r="A5991" s="17" t="s">
        <v>2068</v>
      </c>
      <c r="B5991" s="17" t="s">
        <v>1079</v>
      </c>
      <c r="C5991" s="17">
        <v>0</v>
      </c>
      <c r="D5991" s="17" t="s">
        <v>801</v>
      </c>
      <c r="E5991" s="18">
        <v>3004570620009</v>
      </c>
      <c r="G5991" s="20" t="str">
        <f t="shared" si="279"/>
        <v xml:space="preserve"> OCHIC           </v>
      </c>
      <c r="H5991" s="20" t="str">
        <f t="shared" si="280"/>
        <v xml:space="preserve">SLVG </v>
      </c>
      <c r="I5991" s="20">
        <f t="shared" si="281"/>
        <v>0</v>
      </c>
    </row>
    <row r="5992" spans="1:9">
      <c r="A5992" s="17" t="s">
        <v>2068</v>
      </c>
      <c r="B5992" s="17" t="s">
        <v>1080</v>
      </c>
      <c r="C5992" s="17">
        <v>0</v>
      </c>
      <c r="D5992" s="17" t="s">
        <v>801</v>
      </c>
      <c r="E5992" s="18">
        <v>8056095068960</v>
      </c>
      <c r="G5992" s="20" t="str">
        <f t="shared" si="279"/>
        <v xml:space="preserve"> OCHIC           </v>
      </c>
      <c r="H5992" s="20" t="str">
        <f t="shared" si="280"/>
        <v>TERRA</v>
      </c>
      <c r="I5992" s="20">
        <f t="shared" si="281"/>
        <v>0</v>
      </c>
    </row>
    <row r="5993" spans="1:9">
      <c r="A5993" s="17" t="s">
        <v>2068</v>
      </c>
      <c r="B5993" s="17" t="s">
        <v>1080</v>
      </c>
      <c r="C5993" s="17">
        <v>0</v>
      </c>
      <c r="D5993" s="17" t="s">
        <v>801</v>
      </c>
      <c r="E5993" s="18">
        <v>3003861074002</v>
      </c>
      <c r="G5993" s="20" t="str">
        <f t="shared" si="279"/>
        <v xml:space="preserve"> OCHIC           </v>
      </c>
      <c r="H5993" s="20" t="str">
        <f t="shared" si="280"/>
        <v>TERRA</v>
      </c>
      <c r="I5993" s="20">
        <f t="shared" si="281"/>
        <v>0</v>
      </c>
    </row>
    <row r="5994" spans="1:9">
      <c r="A5994" s="17" t="s">
        <v>2068</v>
      </c>
      <c r="B5994" s="17" t="s">
        <v>919</v>
      </c>
      <c r="C5994" s="17">
        <v>0</v>
      </c>
      <c r="D5994" s="17" t="s">
        <v>801</v>
      </c>
      <c r="E5994" s="18">
        <v>8058983596197</v>
      </c>
      <c r="G5994" s="20" t="str">
        <f t="shared" si="279"/>
        <v xml:space="preserve"> OCHIC           </v>
      </c>
      <c r="H5994" s="20" t="str">
        <f t="shared" si="280"/>
        <v>TESTA</v>
      </c>
      <c r="I5994" s="20">
        <f t="shared" si="281"/>
        <v>0</v>
      </c>
    </row>
    <row r="5995" spans="1:9">
      <c r="A5995" s="17" t="s">
        <v>2068</v>
      </c>
      <c r="B5995" s="17" t="s">
        <v>919</v>
      </c>
      <c r="C5995" s="17">
        <v>0</v>
      </c>
      <c r="D5995" s="17" t="s">
        <v>801</v>
      </c>
      <c r="E5995" s="18">
        <v>3004571178004</v>
      </c>
      <c r="G5995" s="20" t="str">
        <f t="shared" si="279"/>
        <v xml:space="preserve"> OCHIC           </v>
      </c>
      <c r="H5995" s="20" t="str">
        <f t="shared" si="280"/>
        <v>TESTA</v>
      </c>
      <c r="I5995" s="20">
        <f t="shared" si="281"/>
        <v>0</v>
      </c>
    </row>
    <row r="5996" spans="1:9">
      <c r="A5996" s="17" t="s">
        <v>2068</v>
      </c>
      <c r="B5996" s="17" t="s">
        <v>1664</v>
      </c>
      <c r="C5996" s="17">
        <v>0</v>
      </c>
      <c r="D5996" s="17" t="s">
        <v>801</v>
      </c>
      <c r="E5996" s="18">
        <v>8056095068984</v>
      </c>
      <c r="G5996" s="20" t="str">
        <f t="shared" si="279"/>
        <v xml:space="preserve"> OCHIC           </v>
      </c>
      <c r="H5996" s="20" t="str">
        <f t="shared" si="280"/>
        <v>VERAN</v>
      </c>
      <c r="I5996" s="20">
        <f t="shared" si="281"/>
        <v>0</v>
      </c>
    </row>
    <row r="5997" spans="1:9">
      <c r="A5997" s="17" t="s">
        <v>2068</v>
      </c>
      <c r="B5997" s="17" t="s">
        <v>1664</v>
      </c>
      <c r="C5997" s="17">
        <v>0</v>
      </c>
      <c r="D5997" s="17" t="s">
        <v>801</v>
      </c>
      <c r="E5997" s="18">
        <v>3003861079007</v>
      </c>
      <c r="G5997" s="20" t="str">
        <f t="shared" si="279"/>
        <v xml:space="preserve"> OCHIC           </v>
      </c>
      <c r="H5997" s="20" t="str">
        <f t="shared" si="280"/>
        <v>VERAN</v>
      </c>
      <c r="I5997" s="20">
        <f t="shared" si="281"/>
        <v>0</v>
      </c>
    </row>
    <row r="5998" spans="1:9">
      <c r="A5998" s="17" t="s">
        <v>2068</v>
      </c>
      <c r="B5998" s="17" t="s">
        <v>811</v>
      </c>
      <c r="C5998" s="17">
        <v>0</v>
      </c>
      <c r="D5998" s="17" t="s">
        <v>801</v>
      </c>
      <c r="E5998" s="18">
        <v>8058983596180</v>
      </c>
      <c r="G5998" s="20" t="str">
        <f t="shared" si="279"/>
        <v xml:space="preserve"> OCHIC           </v>
      </c>
      <c r="H5998" s="20" t="str">
        <f t="shared" si="280"/>
        <v xml:space="preserve">VERT </v>
      </c>
      <c r="I5998" s="20">
        <f t="shared" si="281"/>
        <v>0</v>
      </c>
    </row>
    <row r="5999" spans="1:9">
      <c r="A5999" s="17" t="s">
        <v>2068</v>
      </c>
      <c r="B5999" s="17" t="s">
        <v>811</v>
      </c>
      <c r="C5999" s="17">
        <v>0</v>
      </c>
      <c r="D5999" s="17" t="s">
        <v>801</v>
      </c>
      <c r="E5999" s="18">
        <v>3004570659009</v>
      </c>
      <c r="G5999" s="20" t="str">
        <f t="shared" si="279"/>
        <v xml:space="preserve"> OCHIC           </v>
      </c>
      <c r="H5999" s="20" t="str">
        <f t="shared" si="280"/>
        <v xml:space="preserve">VERT </v>
      </c>
      <c r="I5999" s="20">
        <f t="shared" si="281"/>
        <v>0</v>
      </c>
    </row>
    <row r="6000" spans="1:9">
      <c r="A6000" s="17" t="s">
        <v>2068</v>
      </c>
      <c r="B6000" s="17" t="s">
        <v>1442</v>
      </c>
      <c r="C6000" s="17">
        <v>0</v>
      </c>
      <c r="D6000" s="17" t="s">
        <v>801</v>
      </c>
      <c r="E6000" s="18">
        <v>3003860489005</v>
      </c>
      <c r="G6000" s="20" t="str">
        <f t="shared" si="279"/>
        <v xml:space="preserve"> OCHIC           </v>
      </c>
      <c r="H6000" s="20" t="str">
        <f t="shared" si="280"/>
        <v>VIODE</v>
      </c>
      <c r="I6000" s="20">
        <f t="shared" si="281"/>
        <v>0</v>
      </c>
    </row>
    <row r="6001" spans="1:9">
      <c r="A6001" s="17" t="s">
        <v>2068</v>
      </c>
      <c r="B6001" s="17" t="s">
        <v>927</v>
      </c>
      <c r="C6001" s="17">
        <v>0</v>
      </c>
      <c r="D6001" s="17" t="s">
        <v>801</v>
      </c>
      <c r="E6001" s="18">
        <v>3004570952001</v>
      </c>
      <c r="G6001" s="20" t="str">
        <f t="shared" si="279"/>
        <v xml:space="preserve"> OCHIC           </v>
      </c>
      <c r="H6001" s="20" t="str">
        <f t="shared" si="280"/>
        <v xml:space="preserve">VOLC </v>
      </c>
      <c r="I6001" s="20">
        <f t="shared" si="281"/>
        <v>0</v>
      </c>
    </row>
    <row r="6002" spans="1:9">
      <c r="A6002" s="17" t="s">
        <v>2068</v>
      </c>
      <c r="B6002" s="17" t="s">
        <v>273</v>
      </c>
      <c r="C6002" s="17">
        <v>0</v>
      </c>
      <c r="D6002" s="17" t="s">
        <v>801</v>
      </c>
      <c r="E6002" s="18">
        <v>3004570005004</v>
      </c>
      <c r="G6002" s="20" t="str">
        <f t="shared" si="279"/>
        <v xml:space="preserve"> OCHIC           </v>
      </c>
      <c r="H6002" s="20" t="str">
        <f t="shared" si="280"/>
        <v>WHITE</v>
      </c>
      <c r="I6002" s="20">
        <f t="shared" si="281"/>
        <v>0</v>
      </c>
    </row>
    <row r="6003" spans="1:9">
      <c r="A6003" s="17" t="s">
        <v>2068</v>
      </c>
      <c r="B6003" s="17" t="s">
        <v>273</v>
      </c>
      <c r="C6003" s="17">
        <v>0</v>
      </c>
      <c r="D6003" s="17" t="s">
        <v>801</v>
      </c>
      <c r="E6003" s="18">
        <v>8056099173400</v>
      </c>
      <c r="G6003" s="20" t="str">
        <f t="shared" si="279"/>
        <v xml:space="preserve"> OCHIC           </v>
      </c>
      <c r="H6003" s="20" t="str">
        <f t="shared" si="280"/>
        <v>WHITE</v>
      </c>
      <c r="I6003" s="20">
        <f t="shared" si="281"/>
        <v>0</v>
      </c>
    </row>
    <row r="6004" spans="1:9">
      <c r="A6004" s="17" t="s">
        <v>2069</v>
      </c>
      <c r="B6004" s="17" t="s">
        <v>818</v>
      </c>
      <c r="C6004" s="17">
        <v>0</v>
      </c>
      <c r="D6004" s="17" t="s">
        <v>801</v>
      </c>
      <c r="E6004" s="18">
        <v>8051770303336</v>
      </c>
      <c r="G6004" s="20" t="str">
        <f t="shared" si="279"/>
        <v xml:space="preserve"> OCHIVE          </v>
      </c>
      <c r="H6004" s="20" t="str">
        <f t="shared" si="280"/>
        <v xml:space="preserve">BDX  </v>
      </c>
      <c r="I6004" s="20">
        <f t="shared" si="281"/>
        <v>0</v>
      </c>
    </row>
    <row r="6005" spans="1:9">
      <c r="A6005" s="17" t="s">
        <v>2069</v>
      </c>
      <c r="B6005" s="17" t="s">
        <v>818</v>
      </c>
      <c r="C6005" s="17">
        <v>0</v>
      </c>
      <c r="D6005" s="17" t="s">
        <v>801</v>
      </c>
      <c r="E6005" s="18">
        <v>3003460019008</v>
      </c>
      <c r="G6005" s="20" t="str">
        <f t="shared" si="279"/>
        <v xml:space="preserve"> OCHIVE          </v>
      </c>
      <c r="H6005" s="20" t="str">
        <f t="shared" si="280"/>
        <v xml:space="preserve">BDX  </v>
      </c>
      <c r="I6005" s="20">
        <f t="shared" si="281"/>
        <v>0</v>
      </c>
    </row>
    <row r="6006" spans="1:9">
      <c r="A6006" s="17" t="s">
        <v>2069</v>
      </c>
      <c r="B6006" s="17" t="s">
        <v>280</v>
      </c>
      <c r="C6006" s="17">
        <v>0</v>
      </c>
      <c r="D6006" s="17" t="s">
        <v>801</v>
      </c>
      <c r="E6006" s="18">
        <v>8051770303398</v>
      </c>
      <c r="G6006" s="20" t="str">
        <f t="shared" si="279"/>
        <v xml:space="preserve"> OCHIVE          </v>
      </c>
      <c r="H6006" s="20" t="str">
        <f t="shared" si="280"/>
        <v>BLACK</v>
      </c>
      <c r="I6006" s="20">
        <f t="shared" si="281"/>
        <v>0</v>
      </c>
    </row>
    <row r="6007" spans="1:9">
      <c r="A6007" s="17" t="s">
        <v>2069</v>
      </c>
      <c r="B6007" s="17" t="s">
        <v>280</v>
      </c>
      <c r="C6007" s="17">
        <v>0</v>
      </c>
      <c r="D6007" s="17" t="s">
        <v>801</v>
      </c>
      <c r="E6007" s="18">
        <v>3020610000006</v>
      </c>
      <c r="G6007" s="20" t="str">
        <f t="shared" si="279"/>
        <v xml:space="preserve"> OCHIVE          </v>
      </c>
      <c r="H6007" s="20" t="str">
        <f t="shared" si="280"/>
        <v>BLACK</v>
      </c>
      <c r="I6007" s="20">
        <f t="shared" si="281"/>
        <v>0</v>
      </c>
    </row>
    <row r="6008" spans="1:9">
      <c r="A6008" s="17" t="s">
        <v>2069</v>
      </c>
      <c r="B6008" s="17" t="s">
        <v>280</v>
      </c>
      <c r="C6008" s="17">
        <v>0</v>
      </c>
      <c r="D6008" s="17" t="s">
        <v>801</v>
      </c>
      <c r="E6008" s="18">
        <v>3003460001003</v>
      </c>
      <c r="G6008" s="20" t="str">
        <f t="shared" si="279"/>
        <v xml:space="preserve"> OCHIVE          </v>
      </c>
      <c r="H6008" s="20" t="str">
        <f t="shared" si="280"/>
        <v>BLACK</v>
      </c>
      <c r="I6008" s="20">
        <f t="shared" si="281"/>
        <v>0</v>
      </c>
    </row>
    <row r="6009" spans="1:9">
      <c r="A6009" s="17" t="s">
        <v>2069</v>
      </c>
      <c r="B6009" s="17" t="s">
        <v>1657</v>
      </c>
      <c r="C6009" s="17">
        <v>0</v>
      </c>
      <c r="D6009" s="17" t="s">
        <v>801</v>
      </c>
      <c r="E6009" s="18">
        <v>3003460061007</v>
      </c>
      <c r="G6009" s="20" t="str">
        <f t="shared" si="279"/>
        <v xml:space="preserve"> OCHIVE          </v>
      </c>
      <c r="H6009" s="20" t="str">
        <f t="shared" si="280"/>
        <v>CREAM</v>
      </c>
      <c r="I6009" s="20">
        <f t="shared" si="281"/>
        <v>0</v>
      </c>
    </row>
    <row r="6010" spans="1:9">
      <c r="A6010" s="17" t="s">
        <v>2069</v>
      </c>
      <c r="B6010" s="17" t="s">
        <v>1658</v>
      </c>
      <c r="C6010" s="17">
        <v>0</v>
      </c>
      <c r="D6010" s="17" t="s">
        <v>801</v>
      </c>
      <c r="E6010" s="18">
        <v>8051770303343</v>
      </c>
      <c r="G6010" s="20" t="str">
        <f t="shared" si="279"/>
        <v xml:space="preserve"> OCHIVE          </v>
      </c>
      <c r="H6010" s="20" t="str">
        <f t="shared" si="280"/>
        <v>DARKB</v>
      </c>
      <c r="I6010" s="20">
        <f t="shared" si="281"/>
        <v>0</v>
      </c>
    </row>
    <row r="6011" spans="1:9">
      <c r="A6011" s="17" t="s">
        <v>2069</v>
      </c>
      <c r="B6011" s="17" t="s">
        <v>1658</v>
      </c>
      <c r="C6011" s="17">
        <v>0</v>
      </c>
      <c r="D6011" s="17" t="s">
        <v>801</v>
      </c>
      <c r="E6011" s="18">
        <v>3003460062004</v>
      </c>
      <c r="G6011" s="20" t="str">
        <f t="shared" si="279"/>
        <v xml:space="preserve"> OCHIVE          </v>
      </c>
      <c r="H6011" s="20" t="str">
        <f t="shared" si="280"/>
        <v>DARKB</v>
      </c>
      <c r="I6011" s="20">
        <f t="shared" si="281"/>
        <v>0</v>
      </c>
    </row>
    <row r="6012" spans="1:9">
      <c r="A6012" s="17" t="s">
        <v>2069</v>
      </c>
      <c r="B6012" s="17" t="s">
        <v>1426</v>
      </c>
      <c r="C6012" s="17">
        <v>0</v>
      </c>
      <c r="D6012" s="17" t="s">
        <v>801</v>
      </c>
      <c r="E6012" s="18">
        <v>3003460038009</v>
      </c>
      <c r="G6012" s="20" t="str">
        <f t="shared" si="279"/>
        <v xml:space="preserve"> OCHIVE          </v>
      </c>
      <c r="H6012" s="20" t="str">
        <f t="shared" si="280"/>
        <v>FLUOG</v>
      </c>
      <c r="I6012" s="20">
        <f t="shared" si="281"/>
        <v>0</v>
      </c>
    </row>
    <row r="6013" spans="1:9">
      <c r="A6013" s="17" t="s">
        <v>2069</v>
      </c>
      <c r="B6013" s="17" t="s">
        <v>1427</v>
      </c>
      <c r="C6013" s="17">
        <v>0</v>
      </c>
      <c r="D6013" s="17" t="s">
        <v>801</v>
      </c>
      <c r="E6013" s="18">
        <v>3003460039006</v>
      </c>
      <c r="G6013" s="20" t="str">
        <f t="shared" si="279"/>
        <v xml:space="preserve"> OCHIVE          </v>
      </c>
      <c r="H6013" s="20" t="str">
        <f t="shared" si="280"/>
        <v>FLUOP</v>
      </c>
      <c r="I6013" s="20">
        <f t="shared" si="281"/>
        <v>0</v>
      </c>
    </row>
    <row r="6014" spans="1:9">
      <c r="A6014" s="17" t="s">
        <v>2069</v>
      </c>
      <c r="B6014" s="17" t="s">
        <v>1428</v>
      </c>
      <c r="C6014" s="17">
        <v>0</v>
      </c>
      <c r="D6014" s="17" t="s">
        <v>801</v>
      </c>
      <c r="E6014" s="18">
        <v>3003460037002</v>
      </c>
      <c r="G6014" s="20" t="str">
        <f t="shared" si="279"/>
        <v xml:space="preserve"> OCHIVE          </v>
      </c>
      <c r="H6014" s="20" t="str">
        <f t="shared" si="280"/>
        <v>FLUOY</v>
      </c>
      <c r="I6014" s="20">
        <f t="shared" si="281"/>
        <v>0</v>
      </c>
    </row>
    <row r="6015" spans="1:9">
      <c r="A6015" s="17" t="s">
        <v>2069</v>
      </c>
      <c r="B6015" s="17" t="s">
        <v>891</v>
      </c>
      <c r="C6015" s="17">
        <v>0</v>
      </c>
      <c r="D6015" s="17" t="s">
        <v>801</v>
      </c>
      <c r="E6015" s="18">
        <v>3003460063001</v>
      </c>
      <c r="G6015" s="20" t="str">
        <f t="shared" si="279"/>
        <v xml:space="preserve"> OCHIVE          </v>
      </c>
      <c r="H6015" s="20" t="str">
        <f t="shared" si="280"/>
        <v>GREEN</v>
      </c>
      <c r="I6015" s="20">
        <f t="shared" si="281"/>
        <v>0</v>
      </c>
    </row>
    <row r="6016" spans="1:9">
      <c r="A6016" s="17" t="s">
        <v>2069</v>
      </c>
      <c r="B6016" s="17" t="s">
        <v>858</v>
      </c>
      <c r="C6016" s="17">
        <v>0</v>
      </c>
      <c r="D6016" s="17" t="s">
        <v>801</v>
      </c>
      <c r="E6016" s="18">
        <v>8051770303381</v>
      </c>
      <c r="G6016" s="20" t="str">
        <f t="shared" si="279"/>
        <v xml:space="preserve"> OCHIVE          </v>
      </c>
      <c r="H6016" s="20" t="str">
        <f t="shared" si="280"/>
        <v xml:space="preserve">GREY </v>
      </c>
      <c r="I6016" s="20">
        <f t="shared" si="281"/>
        <v>0</v>
      </c>
    </row>
    <row r="6017" spans="1:9">
      <c r="A6017" s="17" t="s">
        <v>2069</v>
      </c>
      <c r="B6017" s="17" t="s">
        <v>858</v>
      </c>
      <c r="C6017" s="17">
        <v>0</v>
      </c>
      <c r="D6017" s="17" t="s">
        <v>801</v>
      </c>
      <c r="E6017" s="18">
        <v>3003460003007</v>
      </c>
      <c r="G6017" s="20" t="str">
        <f t="shared" si="279"/>
        <v xml:space="preserve"> OCHIVE          </v>
      </c>
      <c r="H6017" s="20" t="str">
        <f t="shared" si="280"/>
        <v xml:space="preserve">GREY </v>
      </c>
      <c r="I6017" s="20">
        <f t="shared" si="281"/>
        <v>0</v>
      </c>
    </row>
    <row r="6018" spans="1:9">
      <c r="A6018" s="17" t="s">
        <v>2069</v>
      </c>
      <c r="B6018" s="17" t="s">
        <v>1431</v>
      </c>
      <c r="C6018" s="17">
        <v>0</v>
      </c>
      <c r="D6018" s="17" t="s">
        <v>801</v>
      </c>
      <c r="E6018" s="18">
        <v>8051770303350</v>
      </c>
      <c r="G6018" s="20" t="str">
        <f t="shared" si="279"/>
        <v xml:space="preserve"> OCHIVE          </v>
      </c>
      <c r="H6018" s="20" t="str">
        <f t="shared" si="280"/>
        <v>LIGHT</v>
      </c>
      <c r="I6018" s="20">
        <f t="shared" si="281"/>
        <v>0</v>
      </c>
    </row>
    <row r="6019" spans="1:9">
      <c r="A6019" s="17" t="s">
        <v>2069</v>
      </c>
      <c r="B6019" s="17" t="s">
        <v>1431</v>
      </c>
      <c r="C6019" s="17">
        <v>0</v>
      </c>
      <c r="D6019" s="17" t="s">
        <v>801</v>
      </c>
      <c r="E6019" s="18">
        <v>3003460034001</v>
      </c>
      <c r="G6019" s="20" t="str">
        <f t="shared" si="279"/>
        <v xml:space="preserve"> OCHIVE          </v>
      </c>
      <c r="H6019" s="20" t="str">
        <f t="shared" si="280"/>
        <v>LIGHT</v>
      </c>
      <c r="I6019" s="20">
        <f t="shared" si="281"/>
        <v>0</v>
      </c>
    </row>
    <row r="6020" spans="1:9">
      <c r="A6020" s="17" t="s">
        <v>2069</v>
      </c>
      <c r="B6020" s="17" t="s">
        <v>859</v>
      </c>
      <c r="C6020" s="17">
        <v>0</v>
      </c>
      <c r="D6020" s="17" t="s">
        <v>801</v>
      </c>
      <c r="E6020" s="18">
        <v>3003200371007</v>
      </c>
      <c r="G6020" s="20" t="str">
        <f t="shared" si="279"/>
        <v xml:space="preserve"> OCHIVE          </v>
      </c>
      <c r="H6020" s="20" t="str">
        <f t="shared" si="280"/>
        <v>NATUR</v>
      </c>
      <c r="I6020" s="20">
        <f t="shared" si="281"/>
        <v>0</v>
      </c>
    </row>
    <row r="6021" spans="1:9">
      <c r="A6021" s="17" t="s">
        <v>2069</v>
      </c>
      <c r="B6021" s="17" t="s">
        <v>1135</v>
      </c>
      <c r="C6021" s="17">
        <v>0</v>
      </c>
      <c r="D6021" s="17" t="s">
        <v>801</v>
      </c>
      <c r="E6021" s="18">
        <v>8051770309376</v>
      </c>
      <c r="G6021" s="20" t="str">
        <f t="shared" ref="G6021:G6084" si="282">A6021</f>
        <v xml:space="preserve"> OCHIVE          </v>
      </c>
      <c r="H6021" s="20" t="str">
        <f t="shared" ref="H6021:H6084" si="283">B6021</f>
        <v xml:space="preserve">NOCE </v>
      </c>
      <c r="I6021" s="20">
        <f t="shared" ref="I6021:I6084" si="284">C6021</f>
        <v>0</v>
      </c>
    </row>
    <row r="6022" spans="1:9">
      <c r="A6022" s="17" t="s">
        <v>2069</v>
      </c>
      <c r="B6022" s="17" t="s">
        <v>1135</v>
      </c>
      <c r="C6022" s="17">
        <v>0</v>
      </c>
      <c r="D6022" s="17" t="s">
        <v>801</v>
      </c>
      <c r="E6022" s="18">
        <v>3003201001002</v>
      </c>
      <c r="G6022" s="20" t="str">
        <f t="shared" si="282"/>
        <v xml:space="preserve"> OCHIVE          </v>
      </c>
      <c r="H6022" s="20" t="str">
        <f t="shared" si="283"/>
        <v xml:space="preserve">NOCE </v>
      </c>
      <c r="I6022" s="20">
        <f t="shared" si="284"/>
        <v>0</v>
      </c>
    </row>
    <row r="6023" spans="1:9">
      <c r="A6023" s="17" t="s">
        <v>2069</v>
      </c>
      <c r="B6023" s="17" t="s">
        <v>1389</v>
      </c>
      <c r="C6023" s="17">
        <v>0</v>
      </c>
      <c r="D6023" s="17" t="s">
        <v>801</v>
      </c>
      <c r="E6023" s="18">
        <v>3003460064008</v>
      </c>
      <c r="G6023" s="20" t="str">
        <f t="shared" si="282"/>
        <v xml:space="preserve"> OCHIVE          </v>
      </c>
      <c r="H6023" s="20" t="str">
        <f t="shared" si="283"/>
        <v xml:space="preserve">PINK </v>
      </c>
      <c r="I6023" s="20">
        <f t="shared" si="284"/>
        <v>0</v>
      </c>
    </row>
    <row r="6024" spans="1:9">
      <c r="A6024" s="17" t="s">
        <v>2069</v>
      </c>
      <c r="B6024" s="17" t="s">
        <v>816</v>
      </c>
      <c r="C6024" s="17">
        <v>0</v>
      </c>
      <c r="D6024" s="17" t="s">
        <v>801</v>
      </c>
      <c r="E6024" s="18">
        <v>8051770303411</v>
      </c>
      <c r="G6024" s="20" t="str">
        <f t="shared" si="282"/>
        <v xml:space="preserve"> OCHIVE          </v>
      </c>
      <c r="H6024" s="20" t="str">
        <f t="shared" si="283"/>
        <v xml:space="preserve">RED  </v>
      </c>
      <c r="I6024" s="20">
        <f t="shared" si="284"/>
        <v>0</v>
      </c>
    </row>
    <row r="6025" spans="1:9">
      <c r="A6025" s="17" t="s">
        <v>2069</v>
      </c>
      <c r="B6025" s="17" t="s">
        <v>816</v>
      </c>
      <c r="C6025" s="17">
        <v>0</v>
      </c>
      <c r="D6025" s="17" t="s">
        <v>801</v>
      </c>
      <c r="E6025" s="18">
        <v>3003460010005</v>
      </c>
      <c r="G6025" s="20" t="str">
        <f t="shared" si="282"/>
        <v xml:space="preserve"> OCHIVE          </v>
      </c>
      <c r="H6025" s="20" t="str">
        <f t="shared" si="283"/>
        <v xml:space="preserve">RED  </v>
      </c>
      <c r="I6025" s="20">
        <f t="shared" si="284"/>
        <v>0</v>
      </c>
    </row>
    <row r="6026" spans="1:9">
      <c r="A6026" s="17" t="s">
        <v>2069</v>
      </c>
      <c r="B6026" s="17" t="s">
        <v>825</v>
      </c>
      <c r="C6026" s="17">
        <v>0</v>
      </c>
      <c r="D6026" s="17" t="s">
        <v>801</v>
      </c>
      <c r="E6026" s="18">
        <v>8051770303374</v>
      </c>
      <c r="G6026" s="20" t="str">
        <f t="shared" si="282"/>
        <v xml:space="preserve"> OCHIVE          </v>
      </c>
      <c r="H6026" s="20" t="str">
        <f t="shared" si="283"/>
        <v xml:space="preserve">YELL </v>
      </c>
      <c r="I6026" s="20">
        <f t="shared" si="284"/>
        <v>0</v>
      </c>
    </row>
    <row r="6027" spans="1:9">
      <c r="A6027" s="17" t="s">
        <v>2069</v>
      </c>
      <c r="B6027" s="17" t="s">
        <v>825</v>
      </c>
      <c r="C6027" s="17">
        <v>0</v>
      </c>
      <c r="D6027" s="17" t="s">
        <v>801</v>
      </c>
      <c r="E6027" s="18">
        <v>3003460011002</v>
      </c>
      <c r="G6027" s="20" t="str">
        <f t="shared" si="282"/>
        <v xml:space="preserve"> OCHIVE          </v>
      </c>
      <c r="H6027" s="20" t="str">
        <f t="shared" si="283"/>
        <v xml:space="preserve">YELL </v>
      </c>
      <c r="I6027" s="20">
        <f t="shared" si="284"/>
        <v>0</v>
      </c>
    </row>
    <row r="6028" spans="1:9">
      <c r="A6028" s="17" t="s">
        <v>2069</v>
      </c>
      <c r="B6028" s="17" t="s">
        <v>2026</v>
      </c>
      <c r="C6028" s="17">
        <v>0</v>
      </c>
      <c r="D6028" s="17" t="s">
        <v>801</v>
      </c>
      <c r="E6028" s="18">
        <v>8051770309383</v>
      </c>
      <c r="G6028" s="20" t="str">
        <f t="shared" si="282"/>
        <v xml:space="preserve"> OCHIVE          </v>
      </c>
      <c r="H6028" s="20" t="str">
        <f t="shared" si="283"/>
        <v xml:space="preserve">ZEB  </v>
      </c>
      <c r="I6028" s="20">
        <f t="shared" si="284"/>
        <v>0</v>
      </c>
    </row>
    <row r="6029" spans="1:9">
      <c r="A6029" s="17" t="s">
        <v>2069</v>
      </c>
      <c r="B6029" s="17" t="s">
        <v>2026</v>
      </c>
      <c r="C6029" s="17">
        <v>0</v>
      </c>
      <c r="D6029" s="17" t="s">
        <v>801</v>
      </c>
      <c r="E6029" s="18">
        <v>3003200445005</v>
      </c>
      <c r="G6029" s="20" t="str">
        <f t="shared" si="282"/>
        <v xml:space="preserve"> OCHIVE          </v>
      </c>
      <c r="H6029" s="20" t="str">
        <f t="shared" si="283"/>
        <v xml:space="preserve">ZEB  </v>
      </c>
      <c r="I6029" s="20">
        <f t="shared" si="284"/>
        <v>0</v>
      </c>
    </row>
    <row r="6030" spans="1:9">
      <c r="A6030" s="17" t="s">
        <v>2070</v>
      </c>
      <c r="B6030" s="17" t="s">
        <v>280</v>
      </c>
      <c r="C6030" s="17">
        <v>0</v>
      </c>
      <c r="D6030" s="17" t="s">
        <v>801</v>
      </c>
      <c r="E6030" s="18">
        <v>3003590001003</v>
      </c>
      <c r="G6030" s="20" t="str">
        <f t="shared" si="282"/>
        <v xml:space="preserve"> OCHIVEBLACK     </v>
      </c>
      <c r="H6030" s="20" t="str">
        <f t="shared" si="283"/>
        <v>BLACK</v>
      </c>
      <c r="I6030" s="20">
        <f t="shared" si="284"/>
        <v>0</v>
      </c>
    </row>
    <row r="6031" spans="1:9">
      <c r="A6031" s="17" t="s">
        <v>2070</v>
      </c>
      <c r="B6031" s="17" t="s">
        <v>280</v>
      </c>
      <c r="C6031" s="17">
        <v>0</v>
      </c>
      <c r="D6031" s="17" t="s">
        <v>801</v>
      </c>
      <c r="E6031" s="18">
        <v>3020620000003</v>
      </c>
      <c r="G6031" s="20" t="str">
        <f t="shared" si="282"/>
        <v xml:space="preserve"> OCHIVEBLACK     </v>
      </c>
      <c r="H6031" s="20" t="str">
        <f t="shared" si="283"/>
        <v>BLACK</v>
      </c>
      <c r="I6031" s="20">
        <f t="shared" si="284"/>
        <v>0</v>
      </c>
    </row>
    <row r="6032" spans="1:9">
      <c r="A6032" s="17" t="s">
        <v>2071</v>
      </c>
      <c r="B6032" s="17" t="s">
        <v>2072</v>
      </c>
      <c r="C6032" s="17">
        <v>0</v>
      </c>
      <c r="D6032" s="17" t="s">
        <v>801</v>
      </c>
      <c r="E6032" s="18">
        <v>8058983599792</v>
      </c>
      <c r="G6032" s="20" t="str">
        <f t="shared" si="282"/>
        <v xml:space="preserve"> OCHIVESOLEIL    </v>
      </c>
      <c r="H6032" s="20" t="str">
        <f t="shared" si="283"/>
        <v xml:space="preserve">BLGO </v>
      </c>
      <c r="I6032" s="20">
        <f t="shared" si="284"/>
        <v>0</v>
      </c>
    </row>
    <row r="6033" spans="1:9">
      <c r="A6033" s="17" t="s">
        <v>2071</v>
      </c>
      <c r="B6033" s="17" t="s">
        <v>2072</v>
      </c>
      <c r="C6033" s="17">
        <v>0</v>
      </c>
      <c r="D6033" s="17" t="s">
        <v>801</v>
      </c>
      <c r="E6033" s="18">
        <v>3005590533003</v>
      </c>
      <c r="G6033" s="20" t="str">
        <f t="shared" si="282"/>
        <v xml:space="preserve"> OCHIVESOLEIL    </v>
      </c>
      <c r="H6033" s="20" t="str">
        <f t="shared" si="283"/>
        <v xml:space="preserve">BLGO </v>
      </c>
      <c r="I6033" s="20">
        <f t="shared" si="284"/>
        <v>0</v>
      </c>
    </row>
    <row r="6034" spans="1:9">
      <c r="A6034" s="17" t="s">
        <v>2071</v>
      </c>
      <c r="B6034" s="17" t="s">
        <v>973</v>
      </c>
      <c r="C6034" s="17">
        <v>0</v>
      </c>
      <c r="D6034" s="17" t="s">
        <v>801</v>
      </c>
      <c r="E6034" s="18">
        <v>8058983599808</v>
      </c>
      <c r="G6034" s="20" t="str">
        <f t="shared" si="282"/>
        <v xml:space="preserve"> OCHIVESOLEIL    </v>
      </c>
      <c r="H6034" s="20" t="str">
        <f t="shared" si="283"/>
        <v xml:space="preserve">BLGR </v>
      </c>
      <c r="I6034" s="20">
        <f t="shared" si="284"/>
        <v>0</v>
      </c>
    </row>
    <row r="6035" spans="1:9">
      <c r="A6035" s="17" t="s">
        <v>2071</v>
      </c>
      <c r="B6035" s="17" t="s">
        <v>973</v>
      </c>
      <c r="C6035" s="17">
        <v>0</v>
      </c>
      <c r="D6035" s="17" t="s">
        <v>801</v>
      </c>
      <c r="E6035" s="18">
        <v>3005590702003</v>
      </c>
      <c r="G6035" s="20" t="str">
        <f t="shared" si="282"/>
        <v xml:space="preserve"> OCHIVESOLEIL    </v>
      </c>
      <c r="H6035" s="20" t="str">
        <f t="shared" si="283"/>
        <v xml:space="preserve">BLGR </v>
      </c>
      <c r="I6035" s="20">
        <f t="shared" si="284"/>
        <v>0</v>
      </c>
    </row>
    <row r="6036" spans="1:9">
      <c r="A6036" s="17" t="s">
        <v>2071</v>
      </c>
      <c r="B6036" s="17" t="s">
        <v>2073</v>
      </c>
      <c r="C6036" s="17">
        <v>0</v>
      </c>
      <c r="D6036" s="17" t="s">
        <v>801</v>
      </c>
      <c r="E6036" s="18">
        <v>8058983599815</v>
      </c>
      <c r="G6036" s="20" t="str">
        <f t="shared" si="282"/>
        <v xml:space="preserve"> OCHIVESOLEIL    </v>
      </c>
      <c r="H6036" s="20" t="str">
        <f t="shared" si="283"/>
        <v>PINKB</v>
      </c>
      <c r="I6036" s="20">
        <f t="shared" si="284"/>
        <v>0</v>
      </c>
    </row>
    <row r="6037" spans="1:9">
      <c r="A6037" s="17" t="s">
        <v>2071</v>
      </c>
      <c r="B6037" s="17" t="s">
        <v>2073</v>
      </c>
      <c r="C6037" s="17">
        <v>0</v>
      </c>
      <c r="D6037" s="17" t="s">
        <v>801</v>
      </c>
      <c r="E6037" s="18">
        <v>3005590534000</v>
      </c>
      <c r="G6037" s="20" t="str">
        <f t="shared" si="282"/>
        <v xml:space="preserve"> OCHIVESOLEIL    </v>
      </c>
      <c r="H6037" s="20" t="str">
        <f t="shared" si="283"/>
        <v>PINKB</v>
      </c>
      <c r="I6037" s="20">
        <f t="shared" si="284"/>
        <v>0</v>
      </c>
    </row>
    <row r="6038" spans="1:9">
      <c r="A6038" s="17" t="s">
        <v>2074</v>
      </c>
      <c r="B6038" s="17" t="s">
        <v>1230</v>
      </c>
      <c r="C6038" s="17">
        <v>0</v>
      </c>
      <c r="D6038" s="17" t="s">
        <v>801</v>
      </c>
      <c r="E6038" s="18">
        <v>8056099172298</v>
      </c>
      <c r="G6038" s="20" t="str">
        <f t="shared" si="282"/>
        <v xml:space="preserve"> OCHIVESOLID     </v>
      </c>
      <c r="H6038" s="20" t="str">
        <f t="shared" si="283"/>
        <v>ACQUA</v>
      </c>
      <c r="I6038" s="20">
        <f t="shared" si="284"/>
        <v>0</v>
      </c>
    </row>
    <row r="6039" spans="1:9">
      <c r="A6039" s="17" t="s">
        <v>2074</v>
      </c>
      <c r="B6039" s="17" t="s">
        <v>298</v>
      </c>
      <c r="C6039" s="17">
        <v>0</v>
      </c>
      <c r="D6039" s="17" t="s">
        <v>801</v>
      </c>
      <c r="E6039" s="18">
        <v>8056099172281</v>
      </c>
      <c r="G6039" s="20" t="str">
        <f t="shared" si="282"/>
        <v xml:space="preserve"> OCHIVESOLID     </v>
      </c>
      <c r="H6039" s="20" t="str">
        <f t="shared" si="283"/>
        <v>APPLE</v>
      </c>
      <c r="I6039" s="20">
        <f t="shared" si="284"/>
        <v>0</v>
      </c>
    </row>
    <row r="6040" spans="1:9">
      <c r="A6040" s="17" t="s">
        <v>2074</v>
      </c>
      <c r="B6040" s="17" t="s">
        <v>2075</v>
      </c>
      <c r="C6040" s="17">
        <v>0</v>
      </c>
      <c r="D6040" s="17" t="s">
        <v>801</v>
      </c>
      <c r="E6040" s="18">
        <v>8056099172274</v>
      </c>
      <c r="G6040" s="20" t="str">
        <f t="shared" si="282"/>
        <v xml:space="preserve"> OCHIVESOLID     </v>
      </c>
      <c r="H6040" s="20" t="str">
        <f t="shared" si="283"/>
        <v>FUCHS</v>
      </c>
      <c r="I6040" s="20">
        <f t="shared" si="284"/>
        <v>0</v>
      </c>
    </row>
    <row r="6041" spans="1:9">
      <c r="A6041" s="17" t="s">
        <v>2076</v>
      </c>
      <c r="B6041" s="17" t="s">
        <v>963</v>
      </c>
      <c r="C6041" s="17">
        <v>0</v>
      </c>
      <c r="D6041" s="17" t="s">
        <v>801</v>
      </c>
      <c r="E6041" s="18">
        <v>3004610691006</v>
      </c>
      <c r="G6041" s="20" t="str">
        <f t="shared" si="282"/>
        <v xml:space="preserve"> OCITY           </v>
      </c>
      <c r="H6041" s="20" t="str">
        <f t="shared" si="283"/>
        <v>AMARA</v>
      </c>
      <c r="I6041" s="20">
        <f t="shared" si="284"/>
        <v>0</v>
      </c>
    </row>
    <row r="6042" spans="1:9">
      <c r="A6042" s="17" t="s">
        <v>2076</v>
      </c>
      <c r="B6042" s="17" t="s">
        <v>809</v>
      </c>
      <c r="C6042" s="17">
        <v>0</v>
      </c>
      <c r="D6042" s="17" t="s">
        <v>801</v>
      </c>
      <c r="E6042" s="18">
        <v>8056099179884</v>
      </c>
      <c r="G6042" s="20" t="str">
        <f t="shared" si="282"/>
        <v xml:space="preserve"> OCITY           </v>
      </c>
      <c r="H6042" s="20" t="str">
        <f t="shared" si="283"/>
        <v>AUBER</v>
      </c>
      <c r="I6042" s="20">
        <f t="shared" si="284"/>
        <v>0</v>
      </c>
    </row>
    <row r="6043" spans="1:9">
      <c r="A6043" s="17" t="s">
        <v>2076</v>
      </c>
      <c r="B6043" s="17" t="s">
        <v>879</v>
      </c>
      <c r="C6043" s="17">
        <v>0</v>
      </c>
      <c r="D6043" s="17" t="s">
        <v>801</v>
      </c>
      <c r="E6043" s="18">
        <v>3004610269007</v>
      </c>
      <c r="G6043" s="20" t="str">
        <f t="shared" si="282"/>
        <v xml:space="preserve"> OCITY           </v>
      </c>
      <c r="H6043" s="20" t="str">
        <f t="shared" si="283"/>
        <v xml:space="preserve">AZUR </v>
      </c>
      <c r="I6043" s="20">
        <f t="shared" si="284"/>
        <v>0</v>
      </c>
    </row>
    <row r="6044" spans="1:9">
      <c r="A6044" s="17" t="s">
        <v>2076</v>
      </c>
      <c r="B6044" s="17" t="s">
        <v>2006</v>
      </c>
      <c r="C6044" s="17">
        <v>0</v>
      </c>
      <c r="D6044" s="17" t="s">
        <v>801</v>
      </c>
      <c r="E6044" s="18">
        <v>8056095069073</v>
      </c>
      <c r="G6044" s="20" t="str">
        <f t="shared" si="282"/>
        <v xml:space="preserve"> OCITY           </v>
      </c>
      <c r="H6044" s="20" t="str">
        <f t="shared" si="283"/>
        <v>BECCO</v>
      </c>
      <c r="I6044" s="20">
        <f t="shared" si="284"/>
        <v>0</v>
      </c>
    </row>
    <row r="6045" spans="1:9">
      <c r="A6045" s="17" t="s">
        <v>2076</v>
      </c>
      <c r="B6045" s="17" t="s">
        <v>2006</v>
      </c>
      <c r="C6045" s="17">
        <v>0</v>
      </c>
      <c r="D6045" s="17" t="s">
        <v>801</v>
      </c>
      <c r="E6045" s="18">
        <v>3004611078004</v>
      </c>
      <c r="G6045" s="20" t="str">
        <f t="shared" si="282"/>
        <v xml:space="preserve"> OCITY           </v>
      </c>
      <c r="H6045" s="20" t="str">
        <f t="shared" si="283"/>
        <v>BECCO</v>
      </c>
      <c r="I6045" s="20">
        <f t="shared" si="284"/>
        <v>0</v>
      </c>
    </row>
    <row r="6046" spans="1:9">
      <c r="A6046" s="17" t="s">
        <v>2076</v>
      </c>
      <c r="B6046" s="17" t="s">
        <v>1077</v>
      </c>
      <c r="C6046" s="17">
        <v>0</v>
      </c>
      <c r="D6046" s="17" t="s">
        <v>801</v>
      </c>
      <c r="E6046" s="18">
        <v>8056095069110</v>
      </c>
      <c r="G6046" s="20" t="str">
        <f t="shared" si="282"/>
        <v xml:space="preserve"> OCITY           </v>
      </c>
      <c r="H6046" s="20" t="str">
        <f t="shared" si="283"/>
        <v>BISCO</v>
      </c>
      <c r="I6046" s="20">
        <f t="shared" si="284"/>
        <v>0</v>
      </c>
    </row>
    <row r="6047" spans="1:9">
      <c r="A6047" s="17" t="s">
        <v>2076</v>
      </c>
      <c r="B6047" s="17" t="s">
        <v>1077</v>
      </c>
      <c r="C6047" s="17">
        <v>0</v>
      </c>
      <c r="D6047" s="17" t="s">
        <v>801</v>
      </c>
      <c r="E6047" s="18">
        <v>3004611073009</v>
      </c>
      <c r="G6047" s="20" t="str">
        <f t="shared" si="282"/>
        <v xml:space="preserve"> OCITY           </v>
      </c>
      <c r="H6047" s="20" t="str">
        <f t="shared" si="283"/>
        <v>BISCO</v>
      </c>
      <c r="I6047" s="20">
        <f t="shared" si="284"/>
        <v>0</v>
      </c>
    </row>
    <row r="6048" spans="1:9">
      <c r="A6048" s="17" t="s">
        <v>2076</v>
      </c>
      <c r="B6048" s="17" t="s">
        <v>280</v>
      </c>
      <c r="C6048" s="17">
        <v>0</v>
      </c>
      <c r="D6048" s="17" t="s">
        <v>801</v>
      </c>
      <c r="E6048" s="18">
        <v>3005270004007</v>
      </c>
      <c r="G6048" s="20" t="str">
        <f t="shared" si="282"/>
        <v xml:space="preserve"> OCITY           </v>
      </c>
      <c r="H6048" s="20" t="str">
        <f t="shared" si="283"/>
        <v>BLACK</v>
      </c>
      <c r="I6048" s="20">
        <f t="shared" si="284"/>
        <v>0</v>
      </c>
    </row>
    <row r="6049" spans="1:9">
      <c r="A6049" s="17" t="s">
        <v>2076</v>
      </c>
      <c r="B6049" s="17" t="s">
        <v>280</v>
      </c>
      <c r="C6049" s="17">
        <v>0</v>
      </c>
      <c r="D6049" s="17" t="s">
        <v>801</v>
      </c>
      <c r="E6049" s="18">
        <v>8058983596463</v>
      </c>
      <c r="G6049" s="20" t="str">
        <f t="shared" si="282"/>
        <v xml:space="preserve"> OCITY           </v>
      </c>
      <c r="H6049" s="20" t="str">
        <f t="shared" si="283"/>
        <v>BLACK</v>
      </c>
      <c r="I6049" s="20">
        <f t="shared" si="284"/>
        <v>0</v>
      </c>
    </row>
    <row r="6050" spans="1:9">
      <c r="A6050" s="17" t="s">
        <v>2076</v>
      </c>
      <c r="B6050" s="17" t="s">
        <v>814</v>
      </c>
      <c r="C6050" s="17">
        <v>0</v>
      </c>
      <c r="D6050" s="17" t="s">
        <v>801</v>
      </c>
      <c r="E6050" s="18">
        <v>8050538590513</v>
      </c>
      <c r="G6050" s="20" t="str">
        <f t="shared" si="282"/>
        <v xml:space="preserve"> OCITY           </v>
      </c>
      <c r="H6050" s="20" t="str">
        <f t="shared" si="283"/>
        <v>BLUAC</v>
      </c>
      <c r="I6050" s="20">
        <f t="shared" si="284"/>
        <v>0</v>
      </c>
    </row>
    <row r="6051" spans="1:9">
      <c r="A6051" s="17" t="s">
        <v>2076</v>
      </c>
      <c r="B6051" s="17" t="s">
        <v>1101</v>
      </c>
      <c r="C6051" s="17">
        <v>0</v>
      </c>
      <c r="D6051" s="17" t="s">
        <v>801</v>
      </c>
      <c r="E6051" s="18">
        <v>3005270308006</v>
      </c>
      <c r="G6051" s="20" t="str">
        <f t="shared" si="282"/>
        <v xml:space="preserve"> OCITY           </v>
      </c>
      <c r="H6051" s="20" t="str">
        <f t="shared" si="283"/>
        <v xml:space="preserve">BOR  </v>
      </c>
      <c r="I6051" s="20">
        <f t="shared" si="284"/>
        <v>0</v>
      </c>
    </row>
    <row r="6052" spans="1:9">
      <c r="A6052" s="17" t="s">
        <v>2076</v>
      </c>
      <c r="B6052" s="17" t="s">
        <v>853</v>
      </c>
      <c r="C6052" s="17">
        <v>0</v>
      </c>
      <c r="D6052" s="17" t="s">
        <v>801</v>
      </c>
      <c r="E6052" s="18">
        <v>8058983596425</v>
      </c>
      <c r="G6052" s="20" t="str">
        <f t="shared" si="282"/>
        <v xml:space="preserve"> OCITY           </v>
      </c>
      <c r="H6052" s="20" t="str">
        <f t="shared" si="283"/>
        <v>BRONZ</v>
      </c>
      <c r="I6052" s="20">
        <f t="shared" si="284"/>
        <v>0</v>
      </c>
    </row>
    <row r="6053" spans="1:9">
      <c r="A6053" s="17" t="s">
        <v>2076</v>
      </c>
      <c r="B6053" s="17" t="s">
        <v>853</v>
      </c>
      <c r="C6053" s="17">
        <v>0</v>
      </c>
      <c r="D6053" s="17" t="s">
        <v>801</v>
      </c>
      <c r="E6053" s="18">
        <v>3005270255003</v>
      </c>
      <c r="G6053" s="20" t="str">
        <f t="shared" si="282"/>
        <v xml:space="preserve"> OCITY           </v>
      </c>
      <c r="H6053" s="20" t="str">
        <f t="shared" si="283"/>
        <v>BRONZ</v>
      </c>
      <c r="I6053" s="20">
        <f t="shared" si="284"/>
        <v>0</v>
      </c>
    </row>
    <row r="6054" spans="1:9">
      <c r="A6054" s="17" t="s">
        <v>2076</v>
      </c>
      <c r="B6054" s="17" t="s">
        <v>1103</v>
      </c>
      <c r="C6054" s="17">
        <v>0</v>
      </c>
      <c r="D6054" s="17" t="s">
        <v>801</v>
      </c>
      <c r="E6054" s="18">
        <v>3004610742005</v>
      </c>
      <c r="G6054" s="20" t="str">
        <f t="shared" si="282"/>
        <v xml:space="preserve"> OCITY           </v>
      </c>
      <c r="H6054" s="20" t="str">
        <f t="shared" si="283"/>
        <v>CORAL</v>
      </c>
      <c r="I6054" s="20">
        <f t="shared" si="284"/>
        <v>0</v>
      </c>
    </row>
    <row r="6055" spans="1:9">
      <c r="A6055" s="17" t="s">
        <v>2076</v>
      </c>
      <c r="B6055" s="17" t="s">
        <v>1661</v>
      </c>
      <c r="C6055" s="17">
        <v>0</v>
      </c>
      <c r="D6055" s="17" t="s">
        <v>801</v>
      </c>
      <c r="E6055" s="18">
        <v>8058983596432</v>
      </c>
      <c r="G6055" s="20" t="str">
        <f t="shared" si="282"/>
        <v xml:space="preserve"> OCITY           </v>
      </c>
      <c r="H6055" s="20" t="str">
        <f t="shared" si="283"/>
        <v>GRAFI</v>
      </c>
      <c r="I6055" s="20">
        <f t="shared" si="284"/>
        <v>0</v>
      </c>
    </row>
    <row r="6056" spans="1:9">
      <c r="A6056" s="17" t="s">
        <v>2076</v>
      </c>
      <c r="B6056" s="17" t="s">
        <v>1661</v>
      </c>
      <c r="C6056" s="17">
        <v>0</v>
      </c>
      <c r="D6056" s="17" t="s">
        <v>801</v>
      </c>
      <c r="E6056" s="18">
        <v>3005270320008</v>
      </c>
      <c r="G6056" s="20" t="str">
        <f t="shared" si="282"/>
        <v xml:space="preserve"> OCITY           </v>
      </c>
      <c r="H6056" s="20" t="str">
        <f t="shared" si="283"/>
        <v>GRAFI</v>
      </c>
      <c r="I6056" s="20">
        <f t="shared" si="284"/>
        <v>0</v>
      </c>
    </row>
    <row r="6057" spans="1:9">
      <c r="A6057" s="17" t="s">
        <v>2076</v>
      </c>
      <c r="B6057" s="17" t="s">
        <v>1430</v>
      </c>
      <c r="C6057" s="17">
        <v>0</v>
      </c>
      <c r="D6057" s="17" t="s">
        <v>801</v>
      </c>
      <c r="E6057" s="18">
        <v>3004610498001</v>
      </c>
      <c r="G6057" s="20" t="str">
        <f t="shared" si="282"/>
        <v xml:space="preserve"> OCITY           </v>
      </c>
      <c r="H6057" s="20" t="str">
        <f t="shared" si="283"/>
        <v xml:space="preserve">IRIS </v>
      </c>
      <c r="I6057" s="20">
        <f t="shared" si="284"/>
        <v>0</v>
      </c>
    </row>
    <row r="6058" spans="1:9">
      <c r="A6058" s="17" t="s">
        <v>2076</v>
      </c>
      <c r="B6058" s="17" t="s">
        <v>838</v>
      </c>
      <c r="C6058" s="17">
        <v>0</v>
      </c>
      <c r="D6058" s="17" t="s">
        <v>801</v>
      </c>
      <c r="E6058" s="18">
        <v>8056300452164</v>
      </c>
      <c r="G6058" s="20" t="str">
        <f t="shared" si="282"/>
        <v xml:space="preserve"> OCITY           </v>
      </c>
      <c r="H6058" s="20" t="str">
        <f t="shared" si="283"/>
        <v>IVOIR</v>
      </c>
      <c r="I6058" s="20">
        <f t="shared" si="284"/>
        <v>0</v>
      </c>
    </row>
    <row r="6059" spans="1:9">
      <c r="A6059" s="17" t="s">
        <v>2076</v>
      </c>
      <c r="B6059" s="17" t="s">
        <v>838</v>
      </c>
      <c r="C6059" s="17">
        <v>0</v>
      </c>
      <c r="D6059" s="17" t="s">
        <v>801</v>
      </c>
      <c r="E6059" s="18">
        <v>3004610497004</v>
      </c>
      <c r="G6059" s="20" t="str">
        <f t="shared" si="282"/>
        <v xml:space="preserve"> OCITY           </v>
      </c>
      <c r="H6059" s="20" t="str">
        <f t="shared" si="283"/>
        <v>IVOIR</v>
      </c>
      <c r="I6059" s="20">
        <f t="shared" si="284"/>
        <v>0</v>
      </c>
    </row>
    <row r="6060" spans="1:9">
      <c r="A6060" s="17" t="s">
        <v>2076</v>
      </c>
      <c r="B6060" s="17" t="s">
        <v>1434</v>
      </c>
      <c r="C6060" s="17">
        <v>0</v>
      </c>
      <c r="D6060" s="17" t="s">
        <v>801</v>
      </c>
      <c r="E6060" s="18">
        <v>8058983596456</v>
      </c>
      <c r="G6060" s="20" t="str">
        <f t="shared" si="282"/>
        <v xml:space="preserve"> OCITY           </v>
      </c>
      <c r="H6060" s="20" t="str">
        <f t="shared" si="283"/>
        <v xml:space="preserve">NAR  </v>
      </c>
      <c r="I6060" s="20">
        <f t="shared" si="284"/>
        <v>0</v>
      </c>
    </row>
    <row r="6061" spans="1:9">
      <c r="A6061" s="17" t="s">
        <v>2076</v>
      </c>
      <c r="B6061" s="17" t="s">
        <v>1434</v>
      </c>
      <c r="C6061" s="17">
        <v>0</v>
      </c>
      <c r="D6061" s="17" t="s">
        <v>801</v>
      </c>
      <c r="E6061" s="18">
        <v>3005270569001</v>
      </c>
      <c r="G6061" s="20" t="str">
        <f t="shared" si="282"/>
        <v xml:space="preserve"> OCITY           </v>
      </c>
      <c r="H6061" s="20" t="str">
        <f t="shared" si="283"/>
        <v xml:space="preserve">NAR  </v>
      </c>
      <c r="I6061" s="20">
        <f t="shared" si="284"/>
        <v>0</v>
      </c>
    </row>
    <row r="6062" spans="1:9">
      <c r="A6062" s="17" t="s">
        <v>2076</v>
      </c>
      <c r="B6062" s="17" t="s">
        <v>1078</v>
      </c>
      <c r="C6062" s="17">
        <v>0</v>
      </c>
      <c r="D6062" s="17" t="s">
        <v>801</v>
      </c>
      <c r="E6062" s="18">
        <v>8058983596401</v>
      </c>
      <c r="G6062" s="20" t="str">
        <f t="shared" si="282"/>
        <v xml:space="preserve"> OCITY           </v>
      </c>
      <c r="H6062" s="20" t="str">
        <f t="shared" si="283"/>
        <v xml:space="preserve">NAVY </v>
      </c>
      <c r="I6062" s="20">
        <f t="shared" si="284"/>
        <v>0</v>
      </c>
    </row>
    <row r="6063" spans="1:9">
      <c r="A6063" s="17" t="s">
        <v>2076</v>
      </c>
      <c r="B6063" s="17" t="s">
        <v>971</v>
      </c>
      <c r="C6063" s="17">
        <v>0</v>
      </c>
      <c r="D6063" s="17" t="s">
        <v>801</v>
      </c>
      <c r="E6063" s="18">
        <v>8050538590469</v>
      </c>
      <c r="G6063" s="20" t="str">
        <f t="shared" si="282"/>
        <v xml:space="preserve"> OCITY           </v>
      </c>
      <c r="H6063" s="20" t="str">
        <f t="shared" si="283"/>
        <v>OTTAN</v>
      </c>
      <c r="I6063" s="20">
        <f t="shared" si="284"/>
        <v>0</v>
      </c>
    </row>
    <row r="6064" spans="1:9">
      <c r="A6064" s="17" t="s">
        <v>2076</v>
      </c>
      <c r="B6064" s="17" t="s">
        <v>283</v>
      </c>
      <c r="C6064" s="17">
        <v>0</v>
      </c>
      <c r="D6064" s="17" t="s">
        <v>801</v>
      </c>
      <c r="E6064" s="18">
        <v>8056095069080</v>
      </c>
      <c r="G6064" s="20" t="str">
        <f t="shared" si="282"/>
        <v xml:space="preserve"> OCITY           </v>
      </c>
      <c r="H6064" s="20" t="str">
        <f t="shared" si="283"/>
        <v>PHARD</v>
      </c>
      <c r="I6064" s="20">
        <f t="shared" si="284"/>
        <v>0</v>
      </c>
    </row>
    <row r="6065" spans="1:9">
      <c r="A6065" s="17" t="s">
        <v>2076</v>
      </c>
      <c r="B6065" s="17" t="s">
        <v>283</v>
      </c>
      <c r="C6065" s="17">
        <v>0</v>
      </c>
      <c r="D6065" s="17" t="s">
        <v>801</v>
      </c>
      <c r="E6065" s="18">
        <v>3004610871002</v>
      </c>
      <c r="G6065" s="20" t="str">
        <f t="shared" si="282"/>
        <v xml:space="preserve"> OCITY           </v>
      </c>
      <c r="H6065" s="20" t="str">
        <f t="shared" si="283"/>
        <v>PHARD</v>
      </c>
      <c r="I6065" s="20">
        <f t="shared" si="284"/>
        <v>0</v>
      </c>
    </row>
    <row r="6066" spans="1:9">
      <c r="A6066" s="17" t="s">
        <v>2076</v>
      </c>
      <c r="B6066" s="17" t="s">
        <v>1438</v>
      </c>
      <c r="C6066" s="17">
        <v>0</v>
      </c>
      <c r="D6066" s="17" t="s">
        <v>801</v>
      </c>
      <c r="E6066" s="18">
        <v>3004610692003</v>
      </c>
      <c r="G6066" s="20" t="str">
        <f t="shared" si="282"/>
        <v xml:space="preserve"> OCITY           </v>
      </c>
      <c r="H6066" s="20" t="str">
        <f t="shared" si="283"/>
        <v>POLVE</v>
      </c>
      <c r="I6066" s="20">
        <f t="shared" si="284"/>
        <v>0</v>
      </c>
    </row>
    <row r="6067" spans="1:9">
      <c r="A6067" s="17" t="s">
        <v>2076</v>
      </c>
      <c r="B6067" s="17" t="s">
        <v>1097</v>
      </c>
      <c r="C6067" s="17">
        <v>0</v>
      </c>
      <c r="D6067" s="17" t="s">
        <v>801</v>
      </c>
      <c r="E6067" s="18">
        <v>8058983596470</v>
      </c>
      <c r="G6067" s="20" t="str">
        <f t="shared" si="282"/>
        <v xml:space="preserve"> OCITY           </v>
      </c>
      <c r="H6067" s="20" t="str">
        <f t="shared" si="283"/>
        <v xml:space="preserve">PORP </v>
      </c>
      <c r="I6067" s="20">
        <f t="shared" si="284"/>
        <v>0</v>
      </c>
    </row>
    <row r="6068" spans="1:9">
      <c r="A6068" s="17" t="s">
        <v>2076</v>
      </c>
      <c r="B6068" s="17" t="s">
        <v>1097</v>
      </c>
      <c r="C6068" s="17">
        <v>0</v>
      </c>
      <c r="D6068" s="17" t="s">
        <v>801</v>
      </c>
      <c r="E6068" s="18">
        <v>3005270540000</v>
      </c>
      <c r="G6068" s="20" t="str">
        <f t="shared" si="282"/>
        <v xml:space="preserve"> OCITY           </v>
      </c>
      <c r="H6068" s="20" t="str">
        <f t="shared" si="283"/>
        <v xml:space="preserve">PORP </v>
      </c>
      <c r="I6068" s="20">
        <f t="shared" si="284"/>
        <v>0</v>
      </c>
    </row>
    <row r="6069" spans="1:9">
      <c r="A6069" s="17" t="s">
        <v>2076</v>
      </c>
      <c r="B6069" s="17" t="s">
        <v>816</v>
      </c>
      <c r="C6069" s="17">
        <v>0</v>
      </c>
      <c r="D6069" s="17" t="s">
        <v>801</v>
      </c>
      <c r="E6069" s="18">
        <v>8056099178559</v>
      </c>
      <c r="G6069" s="20" t="str">
        <f t="shared" si="282"/>
        <v xml:space="preserve"> OCITY           </v>
      </c>
      <c r="H6069" s="20" t="str">
        <f t="shared" si="283"/>
        <v xml:space="preserve">RED  </v>
      </c>
      <c r="I6069" s="20">
        <f t="shared" si="284"/>
        <v>0</v>
      </c>
    </row>
    <row r="6070" spans="1:9">
      <c r="A6070" s="17" t="s">
        <v>2076</v>
      </c>
      <c r="B6070" s="17" t="s">
        <v>1238</v>
      </c>
      <c r="C6070" s="17">
        <v>0</v>
      </c>
      <c r="D6070" s="17" t="s">
        <v>801</v>
      </c>
      <c r="E6070" s="18">
        <v>3004610479000</v>
      </c>
      <c r="G6070" s="20" t="str">
        <f t="shared" si="282"/>
        <v xml:space="preserve"> OCITY           </v>
      </c>
      <c r="H6070" s="20" t="str">
        <f t="shared" si="283"/>
        <v>ROSMO</v>
      </c>
      <c r="I6070" s="20">
        <f t="shared" si="284"/>
        <v>0</v>
      </c>
    </row>
    <row r="6071" spans="1:9">
      <c r="A6071" s="17" t="s">
        <v>2076</v>
      </c>
      <c r="B6071" s="17" t="s">
        <v>1239</v>
      </c>
      <c r="C6071" s="17">
        <v>0</v>
      </c>
      <c r="D6071" s="17" t="s">
        <v>801</v>
      </c>
      <c r="E6071" s="18">
        <v>3005270337006</v>
      </c>
      <c r="G6071" s="20" t="str">
        <f t="shared" si="282"/>
        <v xml:space="preserve"> OCITY           </v>
      </c>
      <c r="H6071" s="20" t="str">
        <f t="shared" si="283"/>
        <v xml:space="preserve">SAND </v>
      </c>
      <c r="I6071" s="20">
        <f t="shared" si="284"/>
        <v>0</v>
      </c>
    </row>
    <row r="6072" spans="1:9">
      <c r="A6072" s="17" t="s">
        <v>2076</v>
      </c>
      <c r="B6072" s="17" t="s">
        <v>1663</v>
      </c>
      <c r="C6072" s="17">
        <v>0</v>
      </c>
      <c r="D6072" s="17" t="s">
        <v>801</v>
      </c>
      <c r="E6072" s="18">
        <v>3004611313006</v>
      </c>
      <c r="G6072" s="20" t="str">
        <f t="shared" si="282"/>
        <v xml:space="preserve"> OCITY           </v>
      </c>
      <c r="H6072" s="20" t="str">
        <f t="shared" si="283"/>
        <v>SANGR</v>
      </c>
      <c r="I6072" s="20">
        <f t="shared" si="284"/>
        <v>0</v>
      </c>
    </row>
    <row r="6073" spans="1:9">
      <c r="A6073" s="17" t="s">
        <v>2076</v>
      </c>
      <c r="B6073" s="17" t="s">
        <v>1663</v>
      </c>
      <c r="C6073" s="17">
        <v>0</v>
      </c>
      <c r="D6073" s="17" t="s">
        <v>801</v>
      </c>
      <c r="E6073" s="18">
        <v>8058983596418</v>
      </c>
      <c r="G6073" s="20" t="str">
        <f t="shared" si="282"/>
        <v xml:space="preserve"> OCITY           </v>
      </c>
      <c r="H6073" s="20" t="str">
        <f t="shared" si="283"/>
        <v>SANGR</v>
      </c>
      <c r="I6073" s="20">
        <f t="shared" si="284"/>
        <v>0</v>
      </c>
    </row>
    <row r="6074" spans="1:9">
      <c r="A6074" s="17" t="s">
        <v>2076</v>
      </c>
      <c r="B6074" s="17" t="s">
        <v>1079</v>
      </c>
      <c r="C6074" s="17">
        <v>0</v>
      </c>
      <c r="D6074" s="17" t="s">
        <v>801</v>
      </c>
      <c r="E6074" s="18">
        <v>8058983596449</v>
      </c>
      <c r="G6074" s="20" t="str">
        <f t="shared" si="282"/>
        <v xml:space="preserve"> OCITY           </v>
      </c>
      <c r="H6074" s="20" t="str">
        <f t="shared" si="283"/>
        <v xml:space="preserve">SLVG </v>
      </c>
      <c r="I6074" s="20">
        <f t="shared" si="284"/>
        <v>0</v>
      </c>
    </row>
    <row r="6075" spans="1:9">
      <c r="A6075" s="17" t="s">
        <v>2076</v>
      </c>
      <c r="B6075" s="17" t="s">
        <v>1079</v>
      </c>
      <c r="C6075" s="17">
        <v>0</v>
      </c>
      <c r="D6075" s="17" t="s">
        <v>801</v>
      </c>
      <c r="E6075" s="18">
        <v>3005270620009</v>
      </c>
      <c r="G6075" s="20" t="str">
        <f t="shared" si="282"/>
        <v xml:space="preserve"> OCITY           </v>
      </c>
      <c r="H6075" s="20" t="str">
        <f t="shared" si="283"/>
        <v xml:space="preserve">SLVG </v>
      </c>
      <c r="I6075" s="20">
        <f t="shared" si="284"/>
        <v>0</v>
      </c>
    </row>
    <row r="6076" spans="1:9">
      <c r="A6076" s="17" t="s">
        <v>2076</v>
      </c>
      <c r="B6076" s="17" t="s">
        <v>1080</v>
      </c>
      <c r="C6076" s="17">
        <v>0</v>
      </c>
      <c r="D6076" s="17" t="s">
        <v>801</v>
      </c>
      <c r="E6076" s="18">
        <v>8056095069097</v>
      </c>
      <c r="G6076" s="20" t="str">
        <f t="shared" si="282"/>
        <v xml:space="preserve"> OCITY           </v>
      </c>
      <c r="H6076" s="20" t="str">
        <f t="shared" si="283"/>
        <v>TERRA</v>
      </c>
      <c r="I6076" s="20">
        <f t="shared" si="284"/>
        <v>0</v>
      </c>
    </row>
    <row r="6077" spans="1:9">
      <c r="A6077" s="17" t="s">
        <v>2076</v>
      </c>
      <c r="B6077" s="17" t="s">
        <v>1080</v>
      </c>
      <c r="C6077" s="17">
        <v>0</v>
      </c>
      <c r="D6077" s="17" t="s">
        <v>801</v>
      </c>
      <c r="E6077" s="18">
        <v>3004611074006</v>
      </c>
      <c r="G6077" s="20" t="str">
        <f t="shared" si="282"/>
        <v xml:space="preserve"> OCITY           </v>
      </c>
      <c r="H6077" s="20" t="str">
        <f t="shared" si="283"/>
        <v>TERRA</v>
      </c>
      <c r="I6077" s="20">
        <f t="shared" si="284"/>
        <v>0</v>
      </c>
    </row>
    <row r="6078" spans="1:9">
      <c r="A6078" s="17" t="s">
        <v>2076</v>
      </c>
      <c r="B6078" s="17" t="s">
        <v>919</v>
      </c>
      <c r="C6078" s="17">
        <v>0</v>
      </c>
      <c r="D6078" s="17" t="s">
        <v>801</v>
      </c>
      <c r="E6078" s="18">
        <v>8058983596487</v>
      </c>
      <c r="G6078" s="20" t="str">
        <f t="shared" si="282"/>
        <v xml:space="preserve"> OCITY           </v>
      </c>
      <c r="H6078" s="20" t="str">
        <f t="shared" si="283"/>
        <v>TESTA</v>
      </c>
      <c r="I6078" s="20">
        <f t="shared" si="284"/>
        <v>0</v>
      </c>
    </row>
    <row r="6079" spans="1:9">
      <c r="A6079" s="17" t="s">
        <v>2076</v>
      </c>
      <c r="B6079" s="17" t="s">
        <v>919</v>
      </c>
      <c r="C6079" s="17">
        <v>0</v>
      </c>
      <c r="D6079" s="17" t="s">
        <v>801</v>
      </c>
      <c r="E6079" s="18">
        <v>3004610690009</v>
      </c>
      <c r="G6079" s="20" t="str">
        <f t="shared" si="282"/>
        <v xml:space="preserve"> OCITY           </v>
      </c>
      <c r="H6079" s="20" t="str">
        <f t="shared" si="283"/>
        <v>TESTA</v>
      </c>
      <c r="I6079" s="20">
        <f t="shared" si="284"/>
        <v>0</v>
      </c>
    </row>
    <row r="6080" spans="1:9">
      <c r="A6080" s="17" t="s">
        <v>2076</v>
      </c>
      <c r="B6080" s="17" t="s">
        <v>1664</v>
      </c>
      <c r="C6080" s="17">
        <v>0</v>
      </c>
      <c r="D6080" s="17" t="s">
        <v>801</v>
      </c>
      <c r="E6080" s="18">
        <v>8056095069103</v>
      </c>
      <c r="G6080" s="20" t="str">
        <f t="shared" si="282"/>
        <v xml:space="preserve"> OCITY           </v>
      </c>
      <c r="H6080" s="20" t="str">
        <f t="shared" si="283"/>
        <v>VERAN</v>
      </c>
      <c r="I6080" s="20">
        <f t="shared" si="284"/>
        <v>0</v>
      </c>
    </row>
    <row r="6081" spans="1:9">
      <c r="A6081" s="17" t="s">
        <v>2076</v>
      </c>
      <c r="B6081" s="17" t="s">
        <v>1664</v>
      </c>
      <c r="C6081" s="17">
        <v>0</v>
      </c>
      <c r="D6081" s="17" t="s">
        <v>801</v>
      </c>
      <c r="E6081" s="18">
        <v>3004611079001</v>
      </c>
      <c r="G6081" s="20" t="str">
        <f t="shared" si="282"/>
        <v xml:space="preserve"> OCITY           </v>
      </c>
      <c r="H6081" s="20" t="str">
        <f t="shared" si="283"/>
        <v>VERAN</v>
      </c>
      <c r="I6081" s="20">
        <f t="shared" si="284"/>
        <v>0</v>
      </c>
    </row>
    <row r="6082" spans="1:9">
      <c r="A6082" s="17" t="s">
        <v>2076</v>
      </c>
      <c r="B6082" s="17" t="s">
        <v>811</v>
      </c>
      <c r="C6082" s="17">
        <v>0</v>
      </c>
      <c r="D6082" s="17" t="s">
        <v>801</v>
      </c>
      <c r="E6082" s="18">
        <v>8058983596494</v>
      </c>
      <c r="G6082" s="20" t="str">
        <f t="shared" si="282"/>
        <v xml:space="preserve"> OCITY           </v>
      </c>
      <c r="H6082" s="20" t="str">
        <f t="shared" si="283"/>
        <v xml:space="preserve">VERT </v>
      </c>
      <c r="I6082" s="20">
        <f t="shared" si="284"/>
        <v>0</v>
      </c>
    </row>
    <row r="6083" spans="1:9">
      <c r="A6083" s="17" t="s">
        <v>2076</v>
      </c>
      <c r="B6083" s="17" t="s">
        <v>811</v>
      </c>
      <c r="C6083" s="17">
        <v>0</v>
      </c>
      <c r="D6083" s="17" t="s">
        <v>801</v>
      </c>
      <c r="E6083" s="18">
        <v>3005270659009</v>
      </c>
      <c r="G6083" s="20" t="str">
        <f t="shared" si="282"/>
        <v xml:space="preserve"> OCITY           </v>
      </c>
      <c r="H6083" s="20" t="str">
        <f t="shared" si="283"/>
        <v xml:space="preserve">VERT </v>
      </c>
      <c r="I6083" s="20">
        <f t="shared" si="284"/>
        <v>0</v>
      </c>
    </row>
    <row r="6084" spans="1:9">
      <c r="A6084" s="17" t="s">
        <v>2076</v>
      </c>
      <c r="B6084" s="17" t="s">
        <v>927</v>
      </c>
      <c r="C6084" s="17">
        <v>0</v>
      </c>
      <c r="D6084" s="17" t="s">
        <v>801</v>
      </c>
      <c r="E6084" s="18">
        <v>3004610437000</v>
      </c>
      <c r="G6084" s="20" t="str">
        <f t="shared" si="282"/>
        <v xml:space="preserve"> OCITY           </v>
      </c>
      <c r="H6084" s="20" t="str">
        <f t="shared" si="283"/>
        <v xml:space="preserve">VOLC </v>
      </c>
      <c r="I6084" s="20">
        <f t="shared" si="284"/>
        <v>0</v>
      </c>
    </row>
    <row r="6085" spans="1:9">
      <c r="A6085" s="17" t="s">
        <v>2077</v>
      </c>
      <c r="B6085" s="17" t="s">
        <v>799</v>
      </c>
      <c r="C6085" s="17">
        <v>0</v>
      </c>
      <c r="D6085" s="17" t="s">
        <v>801</v>
      </c>
      <c r="E6085" s="18">
        <v>3004410000008</v>
      </c>
      <c r="G6085" s="20" t="str">
        <f t="shared" ref="G6085:G6148" si="285">A6085</f>
        <v xml:space="preserve"> OCLEAN          </v>
      </c>
      <c r="H6085" s="20" t="str">
        <f t="shared" ref="H6085:H6148" si="286">B6085</f>
        <v xml:space="preserve">     </v>
      </c>
      <c r="I6085" s="20">
        <f t="shared" ref="I6085:I6148" si="287">C6085</f>
        <v>0</v>
      </c>
    </row>
    <row r="6086" spans="1:9">
      <c r="A6086" s="17" t="s">
        <v>2078</v>
      </c>
      <c r="B6086" s="17" t="s">
        <v>2079</v>
      </c>
      <c r="C6086" s="17">
        <v>0</v>
      </c>
      <c r="D6086" s="17" t="s">
        <v>801</v>
      </c>
      <c r="E6086" s="18">
        <v>3003220754002</v>
      </c>
      <c r="G6086" s="20" t="str">
        <f t="shared" si="285"/>
        <v xml:space="preserve"> OCLICK          </v>
      </c>
      <c r="H6086" s="20" t="str">
        <f t="shared" si="286"/>
        <v>GLIGO</v>
      </c>
      <c r="I6086" s="20">
        <f t="shared" si="287"/>
        <v>0</v>
      </c>
    </row>
    <row r="6087" spans="1:9">
      <c r="A6087" s="17" t="s">
        <v>2078</v>
      </c>
      <c r="B6087" s="17" t="s">
        <v>2079</v>
      </c>
      <c r="C6087" s="17">
        <v>0</v>
      </c>
      <c r="D6087" s="17" t="s">
        <v>801</v>
      </c>
      <c r="E6087" s="18">
        <v>8050450219103</v>
      </c>
      <c r="G6087" s="20" t="str">
        <f t="shared" si="285"/>
        <v xml:space="preserve"> OCLICK          </v>
      </c>
      <c r="H6087" s="20" t="str">
        <f t="shared" si="286"/>
        <v>GLIGO</v>
      </c>
      <c r="I6087" s="20">
        <f t="shared" si="287"/>
        <v>0</v>
      </c>
    </row>
    <row r="6088" spans="1:9">
      <c r="A6088" s="17" t="s">
        <v>2078</v>
      </c>
      <c r="B6088" s="17" t="s">
        <v>2080</v>
      </c>
      <c r="C6088" s="17">
        <v>0</v>
      </c>
      <c r="D6088" s="17" t="s">
        <v>801</v>
      </c>
      <c r="E6088" s="18">
        <v>3003220753005</v>
      </c>
      <c r="G6088" s="20" t="str">
        <f t="shared" si="285"/>
        <v xml:space="preserve"> OCLICK          </v>
      </c>
      <c r="H6088" s="20" t="str">
        <f t="shared" si="286"/>
        <v>GLISI</v>
      </c>
      <c r="I6088" s="20">
        <f t="shared" si="287"/>
        <v>0</v>
      </c>
    </row>
    <row r="6089" spans="1:9">
      <c r="A6089" s="17" t="s">
        <v>2078</v>
      </c>
      <c r="B6089" s="17" t="s">
        <v>2080</v>
      </c>
      <c r="C6089" s="17">
        <v>0</v>
      </c>
      <c r="D6089" s="17" t="s">
        <v>801</v>
      </c>
      <c r="E6089" s="18">
        <v>8050450219110</v>
      </c>
      <c r="G6089" s="20" t="str">
        <f t="shared" si="285"/>
        <v xml:space="preserve"> OCLICK          </v>
      </c>
      <c r="H6089" s="20" t="str">
        <f t="shared" si="286"/>
        <v>GLISI</v>
      </c>
      <c r="I6089" s="20">
        <f t="shared" si="287"/>
        <v>0</v>
      </c>
    </row>
    <row r="6090" spans="1:9">
      <c r="A6090" s="17" t="s">
        <v>2078</v>
      </c>
      <c r="B6090" s="17" t="s">
        <v>890</v>
      </c>
      <c r="C6090" s="17">
        <v>0</v>
      </c>
      <c r="D6090" s="17" t="s">
        <v>801</v>
      </c>
      <c r="E6090" s="18">
        <v>8051770303022</v>
      </c>
      <c r="G6090" s="20" t="str">
        <f t="shared" si="285"/>
        <v xml:space="preserve"> OCLICK          </v>
      </c>
      <c r="H6090" s="20" t="str">
        <f t="shared" si="286"/>
        <v xml:space="preserve">GOLD </v>
      </c>
      <c r="I6090" s="20">
        <f t="shared" si="287"/>
        <v>0</v>
      </c>
    </row>
    <row r="6091" spans="1:9">
      <c r="A6091" s="17" t="s">
        <v>2078</v>
      </c>
      <c r="B6091" s="17" t="s">
        <v>890</v>
      </c>
      <c r="C6091" s="17">
        <v>0</v>
      </c>
      <c r="D6091" s="17" t="s">
        <v>801</v>
      </c>
      <c r="E6091" s="18">
        <v>3004190522004</v>
      </c>
      <c r="G6091" s="20" t="str">
        <f t="shared" si="285"/>
        <v xml:space="preserve"> OCLICK          </v>
      </c>
      <c r="H6091" s="20" t="str">
        <f t="shared" si="286"/>
        <v xml:space="preserve">GOLD </v>
      </c>
      <c r="I6091" s="20">
        <f t="shared" si="287"/>
        <v>0</v>
      </c>
    </row>
    <row r="6092" spans="1:9">
      <c r="A6092" s="17" t="s">
        <v>2078</v>
      </c>
      <c r="B6092" s="17" t="s">
        <v>838</v>
      </c>
      <c r="C6092" s="17">
        <v>0</v>
      </c>
      <c r="D6092" s="17" t="s">
        <v>801</v>
      </c>
      <c r="E6092" s="18">
        <v>3003220497008</v>
      </c>
      <c r="G6092" s="20" t="str">
        <f t="shared" si="285"/>
        <v xml:space="preserve"> OCLICK          </v>
      </c>
      <c r="H6092" s="20" t="str">
        <f t="shared" si="286"/>
        <v>IVOIR</v>
      </c>
      <c r="I6092" s="20">
        <f t="shared" si="287"/>
        <v>0</v>
      </c>
    </row>
    <row r="6093" spans="1:9">
      <c r="A6093" s="17" t="s">
        <v>2078</v>
      </c>
      <c r="B6093" s="17" t="s">
        <v>838</v>
      </c>
      <c r="C6093" s="17">
        <v>0</v>
      </c>
      <c r="D6093" s="17" t="s">
        <v>801</v>
      </c>
      <c r="E6093" s="18">
        <v>8050450219127</v>
      </c>
      <c r="G6093" s="20" t="str">
        <f t="shared" si="285"/>
        <v xml:space="preserve"> OCLICK          </v>
      </c>
      <c r="H6093" s="20" t="str">
        <f t="shared" si="286"/>
        <v>IVOIR</v>
      </c>
      <c r="I6093" s="20">
        <f t="shared" si="287"/>
        <v>0</v>
      </c>
    </row>
    <row r="6094" spans="1:9">
      <c r="A6094" s="17" t="s">
        <v>2078</v>
      </c>
      <c r="B6094" s="17" t="s">
        <v>855</v>
      </c>
      <c r="C6094" s="17">
        <v>0</v>
      </c>
      <c r="D6094" s="17" t="s">
        <v>801</v>
      </c>
      <c r="E6094" s="18">
        <v>8051770302988</v>
      </c>
      <c r="G6094" s="20" t="str">
        <f t="shared" si="285"/>
        <v xml:space="preserve"> OCLICK          </v>
      </c>
      <c r="H6094" s="20" t="str">
        <f t="shared" si="286"/>
        <v>SILVE</v>
      </c>
      <c r="I6094" s="20">
        <f t="shared" si="287"/>
        <v>0</v>
      </c>
    </row>
    <row r="6095" spans="1:9">
      <c r="A6095" s="17" t="s">
        <v>2078</v>
      </c>
      <c r="B6095" s="17" t="s">
        <v>855</v>
      </c>
      <c r="C6095" s="17">
        <v>0</v>
      </c>
      <c r="D6095" s="17" t="s">
        <v>801</v>
      </c>
      <c r="E6095" s="18">
        <v>3004191029007</v>
      </c>
      <c r="G6095" s="20" t="str">
        <f t="shared" si="285"/>
        <v xml:space="preserve"> OCLICK          </v>
      </c>
      <c r="H6095" s="20" t="str">
        <f t="shared" si="286"/>
        <v>SILVE</v>
      </c>
      <c r="I6095" s="20">
        <f t="shared" si="287"/>
        <v>0</v>
      </c>
    </row>
    <row r="6096" spans="1:9">
      <c r="A6096" s="17" t="s">
        <v>2081</v>
      </c>
      <c r="B6096" s="17" t="s">
        <v>963</v>
      </c>
      <c r="C6096" s="17">
        <v>0</v>
      </c>
      <c r="D6096" s="17" t="s">
        <v>801</v>
      </c>
      <c r="E6096" s="18">
        <v>3005200691000</v>
      </c>
      <c r="G6096" s="20" t="str">
        <f t="shared" si="285"/>
        <v xml:space="preserve"> OCLICK/CROMO    </v>
      </c>
      <c r="H6096" s="20" t="str">
        <f t="shared" si="286"/>
        <v>AMARA</v>
      </c>
      <c r="I6096" s="20">
        <f t="shared" si="287"/>
        <v>0</v>
      </c>
    </row>
    <row r="6097" spans="1:9">
      <c r="A6097" s="17" t="s">
        <v>2081</v>
      </c>
      <c r="B6097" s="17" t="s">
        <v>963</v>
      </c>
      <c r="C6097" s="17">
        <v>0</v>
      </c>
      <c r="D6097" s="17" t="s">
        <v>801</v>
      </c>
      <c r="E6097" s="18">
        <v>8058333587295</v>
      </c>
      <c r="G6097" s="20" t="str">
        <f t="shared" si="285"/>
        <v xml:space="preserve"> OCLICK/CROMO    </v>
      </c>
      <c r="H6097" s="20" t="str">
        <f t="shared" si="286"/>
        <v>AMARA</v>
      </c>
      <c r="I6097" s="20">
        <f t="shared" si="287"/>
        <v>0</v>
      </c>
    </row>
    <row r="6098" spans="1:9">
      <c r="A6098" s="17" t="s">
        <v>2081</v>
      </c>
      <c r="B6098" s="17" t="s">
        <v>879</v>
      </c>
      <c r="C6098" s="17">
        <v>0</v>
      </c>
      <c r="D6098" s="17" t="s">
        <v>801</v>
      </c>
      <c r="E6098" s="18">
        <v>3005200269001</v>
      </c>
      <c r="G6098" s="20" t="str">
        <f t="shared" si="285"/>
        <v xml:space="preserve"> OCLICK/CROMO    </v>
      </c>
      <c r="H6098" s="20" t="str">
        <f t="shared" si="286"/>
        <v xml:space="preserve">AZUR </v>
      </c>
      <c r="I6098" s="20">
        <f t="shared" si="287"/>
        <v>0</v>
      </c>
    </row>
    <row r="6099" spans="1:9">
      <c r="A6099" s="17" t="s">
        <v>2081</v>
      </c>
      <c r="B6099" s="17" t="s">
        <v>2000</v>
      </c>
      <c r="C6099" s="17">
        <v>0</v>
      </c>
      <c r="D6099" s="17" t="s">
        <v>801</v>
      </c>
      <c r="E6099" s="18">
        <v>3005200722001</v>
      </c>
      <c r="G6099" s="20" t="str">
        <f t="shared" si="285"/>
        <v xml:space="preserve"> OCLICK/CROMO    </v>
      </c>
      <c r="H6099" s="20" t="str">
        <f t="shared" si="286"/>
        <v>LILLA</v>
      </c>
      <c r="I6099" s="20">
        <f t="shared" si="287"/>
        <v>0</v>
      </c>
    </row>
    <row r="6100" spans="1:9">
      <c r="A6100" s="17" t="s">
        <v>2081</v>
      </c>
      <c r="B6100" s="17" t="s">
        <v>840</v>
      </c>
      <c r="C6100" s="17">
        <v>0</v>
      </c>
      <c r="D6100" s="17" t="s">
        <v>801</v>
      </c>
      <c r="E6100" s="18">
        <v>3005200403009</v>
      </c>
      <c r="G6100" s="20" t="str">
        <f t="shared" si="285"/>
        <v xml:space="preserve"> OCLICK/CROMO    </v>
      </c>
      <c r="H6100" s="20" t="str">
        <f t="shared" si="286"/>
        <v>SAUGE</v>
      </c>
      <c r="I6100" s="20">
        <f t="shared" si="287"/>
        <v>0</v>
      </c>
    </row>
    <row r="6101" spans="1:9">
      <c r="A6101" s="17" t="s">
        <v>2082</v>
      </c>
      <c r="B6101" s="17" t="s">
        <v>280</v>
      </c>
      <c r="C6101" s="17">
        <v>0</v>
      </c>
      <c r="D6101" s="17" t="s">
        <v>801</v>
      </c>
      <c r="E6101" s="18">
        <v>8058983599839</v>
      </c>
      <c r="G6101" s="20" t="str">
        <f t="shared" si="285"/>
        <v xml:space="preserve"> OCLICK/SOLEIL   </v>
      </c>
      <c r="H6101" s="20" t="str">
        <f t="shared" si="286"/>
        <v>BLACK</v>
      </c>
      <c r="I6101" s="20">
        <f t="shared" si="287"/>
        <v>0</v>
      </c>
    </row>
    <row r="6102" spans="1:9">
      <c r="A6102" s="17" t="s">
        <v>2082</v>
      </c>
      <c r="B6102" s="17" t="s">
        <v>280</v>
      </c>
      <c r="C6102" s="17">
        <v>0</v>
      </c>
      <c r="D6102" s="17" t="s">
        <v>801</v>
      </c>
      <c r="E6102" s="18">
        <v>3005600004004</v>
      </c>
      <c r="G6102" s="20" t="str">
        <f t="shared" si="285"/>
        <v xml:space="preserve"> OCLICK/SOLEIL   </v>
      </c>
      <c r="H6102" s="20" t="str">
        <f t="shared" si="286"/>
        <v>BLACK</v>
      </c>
      <c r="I6102" s="20">
        <f t="shared" si="287"/>
        <v>0</v>
      </c>
    </row>
    <row r="6103" spans="1:9">
      <c r="A6103" s="17" t="s">
        <v>2082</v>
      </c>
      <c r="B6103" s="17" t="s">
        <v>810</v>
      </c>
      <c r="C6103" s="17">
        <v>0</v>
      </c>
      <c r="D6103" s="17" t="s">
        <v>801</v>
      </c>
      <c r="E6103" s="18">
        <v>8058983599822</v>
      </c>
      <c r="G6103" s="20" t="str">
        <f t="shared" si="285"/>
        <v xml:space="preserve"> OCLICK/SOLEIL   </v>
      </c>
      <c r="H6103" s="20" t="str">
        <f t="shared" si="286"/>
        <v xml:space="preserve">BLUE </v>
      </c>
      <c r="I6103" s="20">
        <f t="shared" si="287"/>
        <v>0</v>
      </c>
    </row>
    <row r="6104" spans="1:9">
      <c r="A6104" s="17" t="s">
        <v>2082</v>
      </c>
      <c r="B6104" s="17" t="s">
        <v>810</v>
      </c>
      <c r="C6104" s="17">
        <v>0</v>
      </c>
      <c r="D6104" s="17" t="s">
        <v>801</v>
      </c>
      <c r="E6104" s="18">
        <v>3005600319009</v>
      </c>
      <c r="G6104" s="20" t="str">
        <f t="shared" si="285"/>
        <v xml:space="preserve"> OCLICK/SOLEIL   </v>
      </c>
      <c r="H6104" s="20" t="str">
        <f t="shared" si="286"/>
        <v xml:space="preserve">BLUE </v>
      </c>
      <c r="I6104" s="20">
        <f t="shared" si="287"/>
        <v>0</v>
      </c>
    </row>
    <row r="6105" spans="1:9">
      <c r="A6105" s="17" t="s">
        <v>2082</v>
      </c>
      <c r="B6105" s="17" t="s">
        <v>1389</v>
      </c>
      <c r="C6105" s="17">
        <v>0</v>
      </c>
      <c r="D6105" s="17" t="s">
        <v>801</v>
      </c>
      <c r="E6105" s="18">
        <v>8058983599846</v>
      </c>
      <c r="G6105" s="20" t="str">
        <f t="shared" si="285"/>
        <v xml:space="preserve"> OCLICK/SOLEIL   </v>
      </c>
      <c r="H6105" s="20" t="str">
        <f t="shared" si="286"/>
        <v xml:space="preserve">PINK </v>
      </c>
      <c r="I6105" s="20">
        <f t="shared" si="287"/>
        <v>0</v>
      </c>
    </row>
    <row r="6106" spans="1:9">
      <c r="A6106" s="17" t="s">
        <v>2082</v>
      </c>
      <c r="B6106" s="17" t="s">
        <v>1389</v>
      </c>
      <c r="C6106" s="17">
        <v>0</v>
      </c>
      <c r="D6106" s="17" t="s">
        <v>801</v>
      </c>
      <c r="E6106" s="18">
        <v>3005600605003</v>
      </c>
      <c r="G6106" s="20" t="str">
        <f t="shared" si="285"/>
        <v xml:space="preserve"> OCLICK/SOLEIL   </v>
      </c>
      <c r="H6106" s="20" t="str">
        <f t="shared" si="286"/>
        <v xml:space="preserve">PINK </v>
      </c>
      <c r="I6106" s="20">
        <f t="shared" si="287"/>
        <v>0</v>
      </c>
    </row>
    <row r="6107" spans="1:9">
      <c r="A6107" s="17" t="s">
        <v>2083</v>
      </c>
      <c r="B6107" s="17" t="s">
        <v>875</v>
      </c>
      <c r="C6107" s="17">
        <v>0</v>
      </c>
      <c r="D6107" s="17" t="s">
        <v>801</v>
      </c>
      <c r="E6107" s="18">
        <v>3004200112003</v>
      </c>
      <c r="G6107" s="20" t="str">
        <f t="shared" si="285"/>
        <v xml:space="preserve"> OCLICKCRISTAL   </v>
      </c>
      <c r="H6107" s="20" t="str">
        <f t="shared" si="286"/>
        <v xml:space="preserve">ABRI </v>
      </c>
      <c r="I6107" s="20">
        <f t="shared" si="287"/>
        <v>0</v>
      </c>
    </row>
    <row r="6108" spans="1:9">
      <c r="A6108" s="17" t="s">
        <v>2083</v>
      </c>
      <c r="B6108" s="17" t="s">
        <v>280</v>
      </c>
      <c r="C6108" s="17">
        <v>0</v>
      </c>
      <c r="D6108" s="17" t="s">
        <v>801</v>
      </c>
      <c r="E6108" s="18">
        <v>8051770303015</v>
      </c>
      <c r="G6108" s="20" t="str">
        <f t="shared" si="285"/>
        <v xml:space="preserve"> OCLICKCRISTAL   </v>
      </c>
      <c r="H6108" s="20" t="str">
        <f t="shared" si="286"/>
        <v>BLACK</v>
      </c>
      <c r="I6108" s="20">
        <f t="shared" si="287"/>
        <v>0</v>
      </c>
    </row>
    <row r="6109" spans="1:9">
      <c r="A6109" s="17" t="s">
        <v>2083</v>
      </c>
      <c r="B6109" s="17" t="s">
        <v>280</v>
      </c>
      <c r="C6109" s="17">
        <v>0</v>
      </c>
      <c r="D6109" s="17" t="s">
        <v>801</v>
      </c>
      <c r="E6109" s="18">
        <v>3004200004001</v>
      </c>
      <c r="G6109" s="20" t="str">
        <f t="shared" si="285"/>
        <v xml:space="preserve"> OCLICKCRISTAL   </v>
      </c>
      <c r="H6109" s="20" t="str">
        <f t="shared" si="286"/>
        <v>BLACK</v>
      </c>
      <c r="I6109" s="20">
        <f t="shared" si="287"/>
        <v>0</v>
      </c>
    </row>
    <row r="6110" spans="1:9">
      <c r="A6110" s="17" t="s">
        <v>2083</v>
      </c>
      <c r="B6110" s="17" t="s">
        <v>819</v>
      </c>
      <c r="C6110" s="17">
        <v>0</v>
      </c>
      <c r="D6110" s="17" t="s">
        <v>801</v>
      </c>
      <c r="E6110" s="18">
        <v>3004200570001</v>
      </c>
      <c r="G6110" s="20" t="str">
        <f t="shared" si="285"/>
        <v xml:space="preserve"> OCLICKCRISTAL   </v>
      </c>
      <c r="H6110" s="20" t="str">
        <f t="shared" si="286"/>
        <v xml:space="preserve">DOVE </v>
      </c>
      <c r="I6110" s="20">
        <f t="shared" si="287"/>
        <v>0</v>
      </c>
    </row>
    <row r="6111" spans="1:9">
      <c r="A6111" s="17" t="s">
        <v>2083</v>
      </c>
      <c r="B6111" s="17" t="s">
        <v>995</v>
      </c>
      <c r="C6111" s="17">
        <v>0</v>
      </c>
      <c r="D6111" s="17" t="s">
        <v>801</v>
      </c>
      <c r="E6111" s="18">
        <v>8051770303008</v>
      </c>
      <c r="G6111" s="20" t="str">
        <f t="shared" si="285"/>
        <v xml:space="preserve"> OCLICKCRISTAL   </v>
      </c>
      <c r="H6111" s="20" t="str">
        <f t="shared" si="286"/>
        <v xml:space="preserve">EMER </v>
      </c>
      <c r="I6111" s="20">
        <f t="shared" si="287"/>
        <v>0</v>
      </c>
    </row>
    <row r="6112" spans="1:9">
      <c r="A6112" s="17" t="s">
        <v>2083</v>
      </c>
      <c r="B6112" s="17" t="s">
        <v>995</v>
      </c>
      <c r="C6112" s="17">
        <v>0</v>
      </c>
      <c r="D6112" s="17" t="s">
        <v>801</v>
      </c>
      <c r="E6112" s="18">
        <v>3004200572005</v>
      </c>
      <c r="G6112" s="20" t="str">
        <f t="shared" si="285"/>
        <v xml:space="preserve"> OCLICKCRISTAL   </v>
      </c>
      <c r="H6112" s="20" t="str">
        <f t="shared" si="286"/>
        <v xml:space="preserve">EMER </v>
      </c>
      <c r="I6112" s="20">
        <f t="shared" si="287"/>
        <v>0</v>
      </c>
    </row>
    <row r="6113" spans="1:9">
      <c r="A6113" s="17" t="s">
        <v>2083</v>
      </c>
      <c r="B6113" s="17" t="s">
        <v>1428</v>
      </c>
      <c r="C6113" s="17">
        <v>0</v>
      </c>
      <c r="D6113" s="17" t="s">
        <v>801</v>
      </c>
      <c r="E6113" s="18">
        <v>3004200577000</v>
      </c>
      <c r="G6113" s="20" t="str">
        <f t="shared" si="285"/>
        <v xml:space="preserve"> OCLICKCRISTAL   </v>
      </c>
      <c r="H6113" s="20" t="str">
        <f t="shared" si="286"/>
        <v>FLUOY</v>
      </c>
      <c r="I6113" s="20">
        <f t="shared" si="287"/>
        <v>0</v>
      </c>
    </row>
    <row r="6114" spans="1:9">
      <c r="A6114" s="17" t="s">
        <v>2083</v>
      </c>
      <c r="B6114" s="17" t="s">
        <v>838</v>
      </c>
      <c r="C6114" s="17">
        <v>0</v>
      </c>
      <c r="D6114" s="17" t="s">
        <v>801</v>
      </c>
      <c r="E6114" s="18">
        <v>3003230497005</v>
      </c>
      <c r="G6114" s="20" t="str">
        <f t="shared" si="285"/>
        <v xml:space="preserve"> OCLICKCRISTAL   </v>
      </c>
      <c r="H6114" s="20" t="str">
        <f t="shared" si="286"/>
        <v>IVOIR</v>
      </c>
      <c r="I6114" s="20">
        <f t="shared" si="287"/>
        <v>0</v>
      </c>
    </row>
    <row r="6115" spans="1:9">
      <c r="A6115" s="17" t="s">
        <v>2083</v>
      </c>
      <c r="B6115" s="17" t="s">
        <v>2084</v>
      </c>
      <c r="C6115" s="17">
        <v>0</v>
      </c>
      <c r="D6115" s="17" t="s">
        <v>801</v>
      </c>
      <c r="E6115" s="18">
        <v>3004200212000</v>
      </c>
      <c r="G6115" s="20" t="str">
        <f t="shared" si="285"/>
        <v xml:space="preserve"> OCLICKCRISTAL   </v>
      </c>
      <c r="H6115" s="20" t="str">
        <f t="shared" si="286"/>
        <v xml:space="preserve">LAV  </v>
      </c>
      <c r="I6115" s="20">
        <f t="shared" si="287"/>
        <v>0</v>
      </c>
    </row>
    <row r="6116" spans="1:9">
      <c r="A6116" s="17" t="s">
        <v>2083</v>
      </c>
      <c r="B6116" s="17" t="s">
        <v>2085</v>
      </c>
      <c r="C6116" s="17">
        <v>0</v>
      </c>
      <c r="D6116" s="17" t="s">
        <v>801</v>
      </c>
      <c r="E6116" s="18">
        <v>3003231070009</v>
      </c>
      <c r="G6116" s="20" t="str">
        <f t="shared" si="285"/>
        <v xml:space="preserve"> OCLICKCRISTAL   </v>
      </c>
      <c r="H6116" s="20" t="str">
        <f t="shared" si="286"/>
        <v xml:space="preserve">NEVE </v>
      </c>
      <c r="I6116" s="20">
        <f t="shared" si="287"/>
        <v>0</v>
      </c>
    </row>
    <row r="6117" spans="1:9">
      <c r="A6117" s="17" t="s">
        <v>2083</v>
      </c>
      <c r="B6117" s="17" t="s">
        <v>1234</v>
      </c>
      <c r="C6117" s="17">
        <v>0</v>
      </c>
      <c r="D6117" s="17" t="s">
        <v>801</v>
      </c>
      <c r="E6117" s="18">
        <v>3004200602009</v>
      </c>
      <c r="G6117" s="20" t="str">
        <f t="shared" si="285"/>
        <v xml:space="preserve"> OCLICKCRISTAL   </v>
      </c>
      <c r="H6117" s="20" t="str">
        <f t="shared" si="286"/>
        <v>OLIVE</v>
      </c>
      <c r="I6117" s="20">
        <f t="shared" si="287"/>
        <v>0</v>
      </c>
    </row>
    <row r="6118" spans="1:9">
      <c r="A6118" s="17" t="s">
        <v>2083</v>
      </c>
      <c r="B6118" s="17" t="s">
        <v>1439</v>
      </c>
      <c r="C6118" s="17">
        <v>0</v>
      </c>
      <c r="D6118" s="17" t="s">
        <v>801</v>
      </c>
      <c r="E6118" s="18">
        <v>8051770303039</v>
      </c>
      <c r="G6118" s="20" t="str">
        <f t="shared" si="285"/>
        <v xml:space="preserve"> OCLICKCRISTAL   </v>
      </c>
      <c r="H6118" s="20" t="str">
        <f t="shared" si="286"/>
        <v xml:space="preserve">RUBY </v>
      </c>
      <c r="I6118" s="20">
        <f t="shared" si="287"/>
        <v>0</v>
      </c>
    </row>
    <row r="6119" spans="1:9">
      <c r="A6119" s="17" t="s">
        <v>2083</v>
      </c>
      <c r="B6119" s="17" t="s">
        <v>1439</v>
      </c>
      <c r="C6119" s="17">
        <v>0</v>
      </c>
      <c r="D6119" s="17" t="s">
        <v>801</v>
      </c>
      <c r="E6119" s="18">
        <v>3004200614002</v>
      </c>
      <c r="G6119" s="20" t="str">
        <f t="shared" si="285"/>
        <v xml:space="preserve"> OCLICKCRISTAL   </v>
      </c>
      <c r="H6119" s="20" t="str">
        <f t="shared" si="286"/>
        <v xml:space="preserve">RUBY </v>
      </c>
      <c r="I6119" s="20">
        <f t="shared" si="287"/>
        <v>0</v>
      </c>
    </row>
    <row r="6120" spans="1:9">
      <c r="A6120" s="17" t="s">
        <v>2083</v>
      </c>
      <c r="B6120" s="17" t="s">
        <v>1440</v>
      </c>
      <c r="C6120" s="17">
        <v>0</v>
      </c>
      <c r="D6120" s="17" t="s">
        <v>801</v>
      </c>
      <c r="E6120" s="18">
        <v>8051770303046</v>
      </c>
      <c r="G6120" s="20" t="str">
        <f t="shared" si="285"/>
        <v xml:space="preserve"> OCLICKCRISTAL   </v>
      </c>
      <c r="H6120" s="20" t="str">
        <f t="shared" si="286"/>
        <v xml:space="preserve">SAPH </v>
      </c>
      <c r="I6120" s="20">
        <f t="shared" si="287"/>
        <v>0</v>
      </c>
    </row>
    <row r="6121" spans="1:9">
      <c r="A6121" s="17" t="s">
        <v>2083</v>
      </c>
      <c r="B6121" s="17" t="s">
        <v>1440</v>
      </c>
      <c r="C6121" s="17">
        <v>0</v>
      </c>
      <c r="D6121" s="17" t="s">
        <v>801</v>
      </c>
      <c r="E6121" s="18">
        <v>3004200615009</v>
      </c>
      <c r="G6121" s="20" t="str">
        <f t="shared" si="285"/>
        <v xml:space="preserve"> OCLICKCRISTAL   </v>
      </c>
      <c r="H6121" s="20" t="str">
        <f t="shared" si="286"/>
        <v xml:space="preserve">SAPH </v>
      </c>
      <c r="I6121" s="20">
        <f t="shared" si="287"/>
        <v>0</v>
      </c>
    </row>
    <row r="6122" spans="1:9">
      <c r="A6122" s="17" t="s">
        <v>2083</v>
      </c>
      <c r="B6122" s="17" t="s">
        <v>273</v>
      </c>
      <c r="C6122" s="17">
        <v>0</v>
      </c>
      <c r="D6122" s="17" t="s">
        <v>801</v>
      </c>
      <c r="E6122" s="18">
        <v>3004200005008</v>
      </c>
      <c r="G6122" s="20" t="str">
        <f t="shared" si="285"/>
        <v xml:space="preserve"> OCLICKCRISTAL   </v>
      </c>
      <c r="H6122" s="20" t="str">
        <f t="shared" si="286"/>
        <v>WHITE</v>
      </c>
      <c r="I6122" s="20">
        <f t="shared" si="287"/>
        <v>0</v>
      </c>
    </row>
    <row r="6123" spans="1:9">
      <c r="A6123" s="17" t="s">
        <v>2083</v>
      </c>
      <c r="B6123" s="17" t="s">
        <v>273</v>
      </c>
      <c r="C6123" s="17">
        <v>0</v>
      </c>
      <c r="D6123" s="17" t="s">
        <v>801</v>
      </c>
      <c r="E6123" s="18">
        <v>3004200000003</v>
      </c>
      <c r="G6123" s="20" t="str">
        <f t="shared" si="285"/>
        <v xml:space="preserve"> OCLICKCRISTAL   </v>
      </c>
      <c r="H6123" s="20" t="str">
        <f t="shared" si="286"/>
        <v>WHITE</v>
      </c>
      <c r="I6123" s="20">
        <f t="shared" si="287"/>
        <v>0</v>
      </c>
    </row>
    <row r="6124" spans="1:9">
      <c r="A6124" s="17" t="s">
        <v>2083</v>
      </c>
      <c r="B6124" s="17" t="s">
        <v>273</v>
      </c>
      <c r="C6124" s="17">
        <v>0</v>
      </c>
      <c r="D6124" s="17" t="s">
        <v>801</v>
      </c>
      <c r="E6124" s="18">
        <v>8050450215488</v>
      </c>
      <c r="G6124" s="20" t="str">
        <f t="shared" si="285"/>
        <v xml:space="preserve"> OCLICKCRISTAL   </v>
      </c>
      <c r="H6124" s="20" t="str">
        <f t="shared" si="286"/>
        <v>WHITE</v>
      </c>
      <c r="I6124" s="20">
        <f t="shared" si="287"/>
        <v>0</v>
      </c>
    </row>
    <row r="6125" spans="1:9">
      <c r="A6125" s="17" t="s">
        <v>2086</v>
      </c>
      <c r="B6125" s="17" t="s">
        <v>890</v>
      </c>
      <c r="C6125" s="17">
        <v>0</v>
      </c>
      <c r="D6125" s="17" t="s">
        <v>801</v>
      </c>
      <c r="E6125" s="18">
        <v>3005430522006</v>
      </c>
      <c r="G6125" s="20" t="str">
        <f t="shared" si="285"/>
        <v xml:space="preserve"> OCLICKGLITTER   </v>
      </c>
      <c r="H6125" s="20" t="str">
        <f t="shared" si="286"/>
        <v xml:space="preserve">GOLD </v>
      </c>
      <c r="I6125" s="20">
        <f t="shared" si="287"/>
        <v>0</v>
      </c>
    </row>
    <row r="6126" spans="1:9">
      <c r="A6126" s="17" t="s">
        <v>2086</v>
      </c>
      <c r="B6126" s="17" t="s">
        <v>855</v>
      </c>
      <c r="C6126" s="17">
        <v>0</v>
      </c>
      <c r="D6126" s="17" t="s">
        <v>801</v>
      </c>
      <c r="E6126" s="18">
        <v>3005430152005</v>
      </c>
      <c r="G6126" s="20" t="str">
        <f t="shared" si="285"/>
        <v xml:space="preserve"> OCLICKGLITTER   </v>
      </c>
      <c r="H6126" s="20" t="str">
        <f t="shared" si="286"/>
        <v>SILVE</v>
      </c>
      <c r="I6126" s="20">
        <f t="shared" si="287"/>
        <v>0</v>
      </c>
    </row>
    <row r="6127" spans="1:9">
      <c r="A6127" s="17" t="s">
        <v>2087</v>
      </c>
      <c r="B6127" s="17" t="s">
        <v>1230</v>
      </c>
      <c r="C6127" s="17">
        <v>0</v>
      </c>
      <c r="D6127" s="17" t="s">
        <v>801</v>
      </c>
      <c r="E6127" s="18">
        <v>8056099172328</v>
      </c>
      <c r="G6127" s="20" t="str">
        <f t="shared" si="285"/>
        <v xml:space="preserve"> OCLICKSOLID     </v>
      </c>
      <c r="H6127" s="20" t="str">
        <f t="shared" si="286"/>
        <v>ACQUA</v>
      </c>
      <c r="I6127" s="20">
        <f t="shared" si="287"/>
        <v>0</v>
      </c>
    </row>
    <row r="6128" spans="1:9">
      <c r="A6128" s="17" t="s">
        <v>2087</v>
      </c>
      <c r="B6128" s="17" t="s">
        <v>298</v>
      </c>
      <c r="C6128" s="17">
        <v>0</v>
      </c>
      <c r="D6128" s="17" t="s">
        <v>801</v>
      </c>
      <c r="E6128" s="18">
        <v>8056099172311</v>
      </c>
      <c r="G6128" s="20" t="str">
        <f t="shared" si="285"/>
        <v xml:space="preserve"> OCLICKSOLID     </v>
      </c>
      <c r="H6128" s="20" t="str">
        <f t="shared" si="286"/>
        <v>APPLE</v>
      </c>
      <c r="I6128" s="20">
        <f t="shared" si="287"/>
        <v>0</v>
      </c>
    </row>
    <row r="6129" spans="1:9">
      <c r="A6129" s="17" t="s">
        <v>2087</v>
      </c>
      <c r="B6129" s="17" t="s">
        <v>2075</v>
      </c>
      <c r="C6129" s="17">
        <v>0</v>
      </c>
      <c r="D6129" s="17" t="s">
        <v>801</v>
      </c>
      <c r="E6129" s="18">
        <v>8056099172304</v>
      </c>
      <c r="G6129" s="20" t="str">
        <f t="shared" si="285"/>
        <v xml:space="preserve"> OCLICKSOLID     </v>
      </c>
      <c r="H6129" s="20" t="str">
        <f t="shared" si="286"/>
        <v>FUCHS</v>
      </c>
      <c r="I6129" s="20">
        <f t="shared" si="287"/>
        <v>0</v>
      </c>
    </row>
    <row r="6130" spans="1:9">
      <c r="A6130" s="17" t="s">
        <v>2088</v>
      </c>
      <c r="B6130" s="17" t="s">
        <v>2089</v>
      </c>
      <c r="C6130" s="17">
        <v>0</v>
      </c>
      <c r="D6130" s="17" t="s">
        <v>801</v>
      </c>
      <c r="E6130" s="18">
        <v>3005350783006</v>
      </c>
      <c r="G6130" s="20" t="str">
        <f t="shared" si="285"/>
        <v xml:space="preserve"> OCLICKSUNLIGHT  </v>
      </c>
      <c r="H6130" s="20" t="str">
        <f t="shared" si="286"/>
        <v>TRIBA</v>
      </c>
      <c r="I6130" s="20">
        <f t="shared" si="287"/>
        <v>0</v>
      </c>
    </row>
    <row r="6131" spans="1:9">
      <c r="A6131" s="17" t="s">
        <v>2088</v>
      </c>
      <c r="B6131" s="17" t="s">
        <v>2089</v>
      </c>
      <c r="C6131" s="17">
        <v>0</v>
      </c>
      <c r="D6131" s="17" t="s">
        <v>801</v>
      </c>
      <c r="E6131" s="18">
        <v>8058983593370</v>
      </c>
      <c r="G6131" s="20" t="str">
        <f t="shared" si="285"/>
        <v xml:space="preserve"> OCLICKSUNLIGHT  </v>
      </c>
      <c r="H6131" s="20" t="str">
        <f t="shared" si="286"/>
        <v>TRIBA</v>
      </c>
      <c r="I6131" s="20">
        <f t="shared" si="287"/>
        <v>0</v>
      </c>
    </row>
    <row r="6132" spans="1:9">
      <c r="A6132" s="17" t="s">
        <v>2088</v>
      </c>
      <c r="B6132" s="17" t="s">
        <v>2089</v>
      </c>
      <c r="C6132" s="17">
        <v>0</v>
      </c>
      <c r="D6132" s="17" t="s">
        <v>801</v>
      </c>
      <c r="E6132" s="18">
        <v>3004690783004</v>
      </c>
      <c r="G6132" s="20" t="str">
        <f t="shared" si="285"/>
        <v xml:space="preserve"> OCLICKSUNLIGHT  </v>
      </c>
      <c r="H6132" s="20" t="str">
        <f t="shared" si="286"/>
        <v>TRIBA</v>
      </c>
      <c r="I6132" s="20">
        <f t="shared" si="287"/>
        <v>0</v>
      </c>
    </row>
    <row r="6133" spans="1:9">
      <c r="A6133" s="17" t="s">
        <v>2088</v>
      </c>
      <c r="B6133" s="17" t="s">
        <v>2090</v>
      </c>
      <c r="C6133" s="17">
        <v>0</v>
      </c>
      <c r="D6133" s="17" t="s">
        <v>801</v>
      </c>
      <c r="E6133" s="18">
        <v>3005350785000</v>
      </c>
      <c r="G6133" s="20" t="str">
        <f t="shared" si="285"/>
        <v xml:space="preserve"> OCLICKSUNLIGHT  </v>
      </c>
      <c r="H6133" s="20" t="str">
        <f t="shared" si="286"/>
        <v>WAVES</v>
      </c>
      <c r="I6133" s="20">
        <f t="shared" si="287"/>
        <v>0</v>
      </c>
    </row>
    <row r="6134" spans="1:9">
      <c r="A6134" s="17" t="s">
        <v>2088</v>
      </c>
      <c r="B6134" s="17" t="s">
        <v>2090</v>
      </c>
      <c r="C6134" s="17">
        <v>0</v>
      </c>
      <c r="D6134" s="17" t="s">
        <v>801</v>
      </c>
      <c r="E6134" s="18">
        <v>8058983593387</v>
      </c>
      <c r="G6134" s="20" t="str">
        <f t="shared" si="285"/>
        <v xml:space="preserve"> OCLICKSUNLIGHT  </v>
      </c>
      <c r="H6134" s="20" t="str">
        <f t="shared" si="286"/>
        <v>WAVES</v>
      </c>
      <c r="I6134" s="20">
        <f t="shared" si="287"/>
        <v>0</v>
      </c>
    </row>
    <row r="6135" spans="1:9">
      <c r="A6135" s="17" t="s">
        <v>2088</v>
      </c>
      <c r="B6135" s="17" t="s">
        <v>2090</v>
      </c>
      <c r="C6135" s="17">
        <v>0</v>
      </c>
      <c r="D6135" s="17" t="s">
        <v>801</v>
      </c>
      <c r="E6135" s="18">
        <v>3004690785008</v>
      </c>
      <c r="G6135" s="20" t="str">
        <f t="shared" si="285"/>
        <v xml:space="preserve"> OCLICKSUNLIGHT  </v>
      </c>
      <c r="H6135" s="20" t="str">
        <f t="shared" si="286"/>
        <v>WAVES</v>
      </c>
      <c r="I6135" s="20">
        <f t="shared" si="287"/>
        <v>0</v>
      </c>
    </row>
    <row r="6136" spans="1:9">
      <c r="A6136" s="17" t="s">
        <v>2091</v>
      </c>
      <c r="B6136" s="17" t="s">
        <v>963</v>
      </c>
      <c r="C6136" s="17">
        <v>0</v>
      </c>
      <c r="D6136" s="17" t="s">
        <v>801</v>
      </c>
      <c r="E6136" s="18">
        <v>3003240691004</v>
      </c>
      <c r="G6136" s="20" t="str">
        <f t="shared" si="285"/>
        <v xml:space="preserve"> OCLOCK          </v>
      </c>
      <c r="H6136" s="20" t="str">
        <f t="shared" si="286"/>
        <v>AMARA</v>
      </c>
      <c r="I6136" s="20">
        <f t="shared" si="287"/>
        <v>0</v>
      </c>
    </row>
    <row r="6137" spans="1:9">
      <c r="A6137" s="17" t="s">
        <v>2091</v>
      </c>
      <c r="B6137" s="17" t="s">
        <v>298</v>
      </c>
      <c r="C6137" s="17">
        <v>0</v>
      </c>
      <c r="D6137" s="17" t="s">
        <v>801</v>
      </c>
      <c r="E6137" s="18">
        <v>3003360023006</v>
      </c>
      <c r="G6137" s="20" t="str">
        <f t="shared" si="285"/>
        <v xml:space="preserve"> OCLOCK          </v>
      </c>
      <c r="H6137" s="20" t="str">
        <f t="shared" si="286"/>
        <v>APPLE</v>
      </c>
      <c r="I6137" s="20">
        <f t="shared" si="287"/>
        <v>0</v>
      </c>
    </row>
    <row r="6138" spans="1:9">
      <c r="A6138" s="17" t="s">
        <v>2091</v>
      </c>
      <c r="B6138" s="17" t="s">
        <v>280</v>
      </c>
      <c r="C6138" s="17">
        <v>0</v>
      </c>
      <c r="D6138" s="17" t="s">
        <v>801</v>
      </c>
      <c r="E6138" s="18">
        <v>8051770301646</v>
      </c>
      <c r="G6138" s="20" t="str">
        <f t="shared" si="285"/>
        <v xml:space="preserve"> OCLOCK          </v>
      </c>
      <c r="H6138" s="20" t="str">
        <f t="shared" si="286"/>
        <v>BLACK</v>
      </c>
      <c r="I6138" s="20">
        <f t="shared" si="287"/>
        <v>0</v>
      </c>
    </row>
    <row r="6139" spans="1:9">
      <c r="A6139" s="17" t="s">
        <v>2091</v>
      </c>
      <c r="B6139" s="17" t="s">
        <v>280</v>
      </c>
      <c r="C6139" s="17">
        <v>0</v>
      </c>
      <c r="D6139" s="17" t="s">
        <v>801</v>
      </c>
      <c r="E6139" s="18">
        <v>3003420001005</v>
      </c>
      <c r="G6139" s="20" t="str">
        <f t="shared" si="285"/>
        <v xml:space="preserve"> OCLOCK          </v>
      </c>
      <c r="H6139" s="20" t="str">
        <f t="shared" si="286"/>
        <v>BLACK</v>
      </c>
      <c r="I6139" s="20">
        <f t="shared" si="287"/>
        <v>0</v>
      </c>
    </row>
    <row r="6140" spans="1:9">
      <c r="A6140" s="17" t="s">
        <v>2091</v>
      </c>
      <c r="B6140" s="17" t="s">
        <v>280</v>
      </c>
      <c r="C6140" s="17">
        <v>0</v>
      </c>
      <c r="D6140" s="17" t="s">
        <v>801</v>
      </c>
      <c r="E6140" s="18">
        <v>3003360001004</v>
      </c>
      <c r="G6140" s="20" t="str">
        <f t="shared" si="285"/>
        <v xml:space="preserve"> OCLOCK          </v>
      </c>
      <c r="H6140" s="20" t="str">
        <f t="shared" si="286"/>
        <v>BLACK</v>
      </c>
      <c r="I6140" s="20">
        <f t="shared" si="287"/>
        <v>0</v>
      </c>
    </row>
    <row r="6141" spans="1:9">
      <c r="A6141" s="17" t="s">
        <v>2091</v>
      </c>
      <c r="B6141" s="17" t="s">
        <v>1423</v>
      </c>
      <c r="C6141" s="17">
        <v>0</v>
      </c>
      <c r="D6141" s="17" t="s">
        <v>801</v>
      </c>
      <c r="E6141" s="18">
        <v>8051770301592</v>
      </c>
      <c r="G6141" s="20" t="str">
        <f t="shared" si="285"/>
        <v xml:space="preserve"> OCLOCK          </v>
      </c>
      <c r="H6141" s="20" t="str">
        <f t="shared" si="286"/>
        <v xml:space="preserve">BLG  </v>
      </c>
      <c r="I6141" s="20">
        <f t="shared" si="287"/>
        <v>0</v>
      </c>
    </row>
    <row r="6142" spans="1:9">
      <c r="A6142" s="17" t="s">
        <v>2091</v>
      </c>
      <c r="B6142" s="17" t="s">
        <v>1423</v>
      </c>
      <c r="C6142" s="17">
        <v>0</v>
      </c>
      <c r="D6142" s="17" t="s">
        <v>801</v>
      </c>
      <c r="E6142" s="18">
        <v>3003360044001</v>
      </c>
      <c r="G6142" s="20" t="str">
        <f t="shared" si="285"/>
        <v xml:space="preserve"> OCLOCK          </v>
      </c>
      <c r="H6142" s="20" t="str">
        <f t="shared" si="286"/>
        <v xml:space="preserve">BLG  </v>
      </c>
      <c r="I6142" s="20">
        <f t="shared" si="287"/>
        <v>0</v>
      </c>
    </row>
    <row r="6143" spans="1:9">
      <c r="A6143" s="17" t="s">
        <v>2091</v>
      </c>
      <c r="B6143" s="17" t="s">
        <v>853</v>
      </c>
      <c r="C6143" s="17">
        <v>0</v>
      </c>
      <c r="D6143" s="17" t="s">
        <v>801</v>
      </c>
      <c r="E6143" s="18">
        <v>8058333583754</v>
      </c>
      <c r="G6143" s="20" t="str">
        <f t="shared" si="285"/>
        <v xml:space="preserve"> OCLOCK          </v>
      </c>
      <c r="H6143" s="20" t="str">
        <f t="shared" si="286"/>
        <v>BRONZ</v>
      </c>
      <c r="I6143" s="20">
        <f t="shared" si="287"/>
        <v>0</v>
      </c>
    </row>
    <row r="6144" spans="1:9">
      <c r="A6144" s="17" t="s">
        <v>2091</v>
      </c>
      <c r="B6144" s="17" t="s">
        <v>853</v>
      </c>
      <c r="C6144" s="17">
        <v>0</v>
      </c>
      <c r="D6144" s="17" t="s">
        <v>801</v>
      </c>
      <c r="E6144" s="18">
        <v>3020630255004</v>
      </c>
      <c r="G6144" s="20" t="str">
        <f t="shared" si="285"/>
        <v xml:space="preserve"> OCLOCK          </v>
      </c>
      <c r="H6144" s="20" t="str">
        <f t="shared" si="286"/>
        <v>BRONZ</v>
      </c>
      <c r="I6144" s="20">
        <f t="shared" si="287"/>
        <v>0</v>
      </c>
    </row>
    <row r="6145" spans="1:9">
      <c r="A6145" s="17" t="s">
        <v>2091</v>
      </c>
      <c r="B6145" s="17" t="s">
        <v>1424</v>
      </c>
      <c r="C6145" s="17">
        <v>0</v>
      </c>
      <c r="D6145" s="17" t="s">
        <v>801</v>
      </c>
      <c r="E6145" s="18">
        <v>8051770301547</v>
      </c>
      <c r="G6145" s="20" t="str">
        <f t="shared" si="285"/>
        <v xml:space="preserve"> OCLOCK          </v>
      </c>
      <c r="H6145" s="20" t="str">
        <f t="shared" si="286"/>
        <v>CAPRI</v>
      </c>
      <c r="I6145" s="20">
        <f t="shared" si="287"/>
        <v>0</v>
      </c>
    </row>
    <row r="6146" spans="1:9">
      <c r="A6146" s="17" t="s">
        <v>2091</v>
      </c>
      <c r="B6146" s="17" t="s">
        <v>1424</v>
      </c>
      <c r="C6146" s="17">
        <v>0</v>
      </c>
      <c r="D6146" s="17" t="s">
        <v>801</v>
      </c>
      <c r="E6146" s="18">
        <v>3003360031001</v>
      </c>
      <c r="G6146" s="20" t="str">
        <f t="shared" si="285"/>
        <v xml:space="preserve"> OCLOCK          </v>
      </c>
      <c r="H6146" s="20" t="str">
        <f t="shared" si="286"/>
        <v>CAPRI</v>
      </c>
      <c r="I6146" s="20">
        <f t="shared" si="287"/>
        <v>0</v>
      </c>
    </row>
    <row r="6147" spans="1:9">
      <c r="A6147" s="17" t="s">
        <v>2091</v>
      </c>
      <c r="B6147" s="17" t="s">
        <v>1425</v>
      </c>
      <c r="C6147" s="17">
        <v>0</v>
      </c>
      <c r="D6147" s="17" t="s">
        <v>801</v>
      </c>
      <c r="E6147" s="18">
        <v>3003360032008</v>
      </c>
      <c r="G6147" s="20" t="str">
        <f t="shared" si="285"/>
        <v xml:space="preserve"> OCLOCK          </v>
      </c>
      <c r="H6147" s="20" t="str">
        <f t="shared" si="286"/>
        <v xml:space="preserve">CHO  </v>
      </c>
      <c r="I6147" s="20">
        <f t="shared" si="287"/>
        <v>0</v>
      </c>
    </row>
    <row r="6148" spans="1:9">
      <c r="A6148" s="17" t="s">
        <v>2091</v>
      </c>
      <c r="B6148" s="17" t="s">
        <v>819</v>
      </c>
      <c r="C6148" s="17">
        <v>0</v>
      </c>
      <c r="D6148" s="17" t="s">
        <v>801</v>
      </c>
      <c r="E6148" s="18">
        <v>8051770301691</v>
      </c>
      <c r="G6148" s="20" t="str">
        <f t="shared" si="285"/>
        <v xml:space="preserve"> OCLOCK          </v>
      </c>
      <c r="H6148" s="20" t="str">
        <f t="shared" si="286"/>
        <v xml:space="preserve">DOVE </v>
      </c>
      <c r="I6148" s="20">
        <f t="shared" si="287"/>
        <v>0</v>
      </c>
    </row>
    <row r="6149" spans="1:9">
      <c r="A6149" s="17" t="s">
        <v>2091</v>
      </c>
      <c r="B6149" s="17" t="s">
        <v>819</v>
      </c>
      <c r="C6149" s="17">
        <v>0</v>
      </c>
      <c r="D6149" s="17" t="s">
        <v>801</v>
      </c>
      <c r="E6149" s="18">
        <v>3003360006009</v>
      </c>
      <c r="G6149" s="20" t="str">
        <f t="shared" ref="G6149:G6212" si="288">A6149</f>
        <v xml:space="preserve"> OCLOCK          </v>
      </c>
      <c r="H6149" s="20" t="str">
        <f t="shared" ref="H6149:H6212" si="289">B6149</f>
        <v xml:space="preserve">DOVE </v>
      </c>
      <c r="I6149" s="20">
        <f t="shared" ref="I6149:I6212" si="290">C6149</f>
        <v>0</v>
      </c>
    </row>
    <row r="6150" spans="1:9">
      <c r="A6150" s="17" t="s">
        <v>2091</v>
      </c>
      <c r="B6150" s="17" t="s">
        <v>890</v>
      </c>
      <c r="C6150" s="17">
        <v>0</v>
      </c>
      <c r="D6150" s="17" t="s">
        <v>801</v>
      </c>
      <c r="E6150" s="18">
        <v>3003360052006</v>
      </c>
      <c r="G6150" s="20" t="str">
        <f t="shared" si="288"/>
        <v xml:space="preserve"> OCLOCK          </v>
      </c>
      <c r="H6150" s="20" t="str">
        <f t="shared" si="289"/>
        <v xml:space="preserve">GOLD </v>
      </c>
      <c r="I6150" s="20">
        <f t="shared" si="290"/>
        <v>0</v>
      </c>
    </row>
    <row r="6151" spans="1:9">
      <c r="A6151" s="17" t="s">
        <v>2091</v>
      </c>
      <c r="B6151" s="17" t="s">
        <v>1429</v>
      </c>
      <c r="C6151" s="17">
        <v>0</v>
      </c>
      <c r="D6151" s="17" t="s">
        <v>801</v>
      </c>
      <c r="E6151" s="18">
        <v>3003360033005</v>
      </c>
      <c r="G6151" s="20" t="str">
        <f t="shared" si="288"/>
        <v xml:space="preserve"> OCLOCK          </v>
      </c>
      <c r="H6151" s="20" t="str">
        <f t="shared" si="289"/>
        <v xml:space="preserve">ICE  </v>
      </c>
      <c r="I6151" s="20">
        <f t="shared" si="290"/>
        <v>0</v>
      </c>
    </row>
    <row r="6152" spans="1:9">
      <c r="A6152" s="17" t="s">
        <v>2091</v>
      </c>
      <c r="B6152" s="17" t="s">
        <v>1431</v>
      </c>
      <c r="C6152" s="17">
        <v>0</v>
      </c>
      <c r="D6152" s="17" t="s">
        <v>801</v>
      </c>
      <c r="E6152" s="18">
        <v>3003360034002</v>
      </c>
      <c r="G6152" s="20" t="str">
        <f t="shared" si="288"/>
        <v xml:space="preserve"> OCLOCK          </v>
      </c>
      <c r="H6152" s="20" t="str">
        <f t="shared" si="289"/>
        <v>LIGHT</v>
      </c>
      <c r="I6152" s="20">
        <f t="shared" si="290"/>
        <v>0</v>
      </c>
    </row>
    <row r="6153" spans="1:9">
      <c r="A6153" s="17" t="s">
        <v>2091</v>
      </c>
      <c r="B6153" s="17" t="s">
        <v>1432</v>
      </c>
      <c r="C6153" s="17">
        <v>0</v>
      </c>
      <c r="D6153" s="17" t="s">
        <v>801</v>
      </c>
      <c r="E6153" s="18">
        <v>3003360035009</v>
      </c>
      <c r="G6153" s="20" t="str">
        <f t="shared" si="288"/>
        <v xml:space="preserve"> OCLOCK          </v>
      </c>
      <c r="H6153" s="20" t="str">
        <f t="shared" si="289"/>
        <v>LILAC</v>
      </c>
      <c r="I6153" s="20">
        <f t="shared" si="290"/>
        <v>0</v>
      </c>
    </row>
    <row r="6154" spans="1:9">
      <c r="A6154" s="17" t="s">
        <v>2091</v>
      </c>
      <c r="B6154" s="17" t="s">
        <v>893</v>
      </c>
      <c r="C6154" s="17">
        <v>0</v>
      </c>
      <c r="D6154" s="17" t="s">
        <v>801</v>
      </c>
      <c r="E6154" s="18">
        <v>8051770301684</v>
      </c>
      <c r="G6154" s="20" t="str">
        <f t="shared" si="288"/>
        <v xml:space="preserve"> OCLOCK          </v>
      </c>
      <c r="H6154" s="20" t="str">
        <f t="shared" si="289"/>
        <v xml:space="preserve">MAG  </v>
      </c>
      <c r="I6154" s="20">
        <f t="shared" si="290"/>
        <v>0</v>
      </c>
    </row>
    <row r="6155" spans="1:9">
      <c r="A6155" s="17" t="s">
        <v>2091</v>
      </c>
      <c r="B6155" s="17" t="s">
        <v>893</v>
      </c>
      <c r="C6155" s="17">
        <v>0</v>
      </c>
      <c r="D6155" s="17" t="s">
        <v>801</v>
      </c>
      <c r="E6155" s="18">
        <v>3003360017005</v>
      </c>
      <c r="G6155" s="20" t="str">
        <f t="shared" si="288"/>
        <v xml:space="preserve"> OCLOCK          </v>
      </c>
      <c r="H6155" s="20" t="str">
        <f t="shared" si="289"/>
        <v xml:space="preserve">MAG  </v>
      </c>
      <c r="I6155" s="20">
        <f t="shared" si="290"/>
        <v>0</v>
      </c>
    </row>
    <row r="6156" spans="1:9">
      <c r="A6156" s="17" t="s">
        <v>2091</v>
      </c>
      <c r="B6156" s="17" t="s">
        <v>2092</v>
      </c>
      <c r="C6156" s="17">
        <v>0</v>
      </c>
      <c r="D6156" s="17" t="s">
        <v>801</v>
      </c>
      <c r="E6156" s="18">
        <v>8051770303831</v>
      </c>
      <c r="G6156" s="20" t="str">
        <f t="shared" si="288"/>
        <v xml:space="preserve"> OCLOCK          </v>
      </c>
      <c r="H6156" s="20" t="str">
        <f t="shared" si="289"/>
        <v>MIRRO</v>
      </c>
      <c r="I6156" s="20">
        <f t="shared" si="290"/>
        <v>0</v>
      </c>
    </row>
    <row r="6157" spans="1:9">
      <c r="A6157" s="17" t="s">
        <v>2091</v>
      </c>
      <c r="B6157" s="17" t="s">
        <v>2092</v>
      </c>
      <c r="C6157" s="17">
        <v>0</v>
      </c>
      <c r="D6157" s="17" t="s">
        <v>801</v>
      </c>
      <c r="E6157" s="18">
        <v>3003240668006</v>
      </c>
      <c r="G6157" s="20" t="str">
        <f t="shared" si="288"/>
        <v xml:space="preserve"> OCLOCK          </v>
      </c>
      <c r="H6157" s="20" t="str">
        <f t="shared" si="289"/>
        <v>MIRRO</v>
      </c>
      <c r="I6157" s="20">
        <f t="shared" si="290"/>
        <v>0</v>
      </c>
    </row>
    <row r="6158" spans="1:9">
      <c r="A6158" s="17" t="s">
        <v>2091</v>
      </c>
      <c r="B6158" s="17" t="s">
        <v>2092</v>
      </c>
      <c r="C6158" s="17">
        <v>0</v>
      </c>
      <c r="D6158" s="17" t="s">
        <v>801</v>
      </c>
      <c r="E6158" s="18">
        <v>3003420060002</v>
      </c>
      <c r="G6158" s="20" t="str">
        <f t="shared" si="288"/>
        <v xml:space="preserve"> OCLOCK          </v>
      </c>
      <c r="H6158" s="20" t="str">
        <f t="shared" si="289"/>
        <v>MIRRO</v>
      </c>
      <c r="I6158" s="20">
        <f t="shared" si="290"/>
        <v>0</v>
      </c>
    </row>
    <row r="6159" spans="1:9">
      <c r="A6159" s="17" t="s">
        <v>2091</v>
      </c>
      <c r="B6159" s="17" t="s">
        <v>2092</v>
      </c>
      <c r="C6159" s="17">
        <v>0</v>
      </c>
      <c r="D6159" s="17" t="s">
        <v>801</v>
      </c>
      <c r="E6159" s="18">
        <v>3020630593007</v>
      </c>
      <c r="G6159" s="20" t="str">
        <f t="shared" si="288"/>
        <v xml:space="preserve"> OCLOCK          </v>
      </c>
      <c r="H6159" s="20" t="str">
        <f t="shared" si="289"/>
        <v>MIRRO</v>
      </c>
      <c r="I6159" s="20">
        <f t="shared" si="290"/>
        <v>0</v>
      </c>
    </row>
    <row r="6160" spans="1:9">
      <c r="A6160" s="17" t="s">
        <v>2091</v>
      </c>
      <c r="B6160" s="17" t="s">
        <v>1433</v>
      </c>
      <c r="C6160" s="17">
        <v>0</v>
      </c>
      <c r="D6160" s="17" t="s">
        <v>801</v>
      </c>
      <c r="E6160" s="18">
        <v>3003360042007</v>
      </c>
      <c r="G6160" s="20" t="str">
        <f t="shared" si="288"/>
        <v xml:space="preserve"> OCLOCK          </v>
      </c>
      <c r="H6160" s="20" t="str">
        <f t="shared" si="289"/>
        <v>MONTG</v>
      </c>
      <c r="I6160" s="20">
        <f t="shared" si="290"/>
        <v>0</v>
      </c>
    </row>
    <row r="6161" spans="1:9">
      <c r="A6161" s="17" t="s">
        <v>2091</v>
      </c>
      <c r="B6161" s="17" t="s">
        <v>823</v>
      </c>
      <c r="C6161" s="17">
        <v>0</v>
      </c>
      <c r="D6161" s="17" t="s">
        <v>801</v>
      </c>
      <c r="E6161" s="18">
        <v>3003360040003</v>
      </c>
      <c r="G6161" s="20" t="str">
        <f t="shared" si="288"/>
        <v xml:space="preserve"> OCLOCK          </v>
      </c>
      <c r="H6161" s="20" t="str">
        <f t="shared" si="289"/>
        <v xml:space="preserve">MOSS </v>
      </c>
      <c r="I6161" s="20">
        <f t="shared" si="290"/>
        <v>0</v>
      </c>
    </row>
    <row r="6162" spans="1:9">
      <c r="A6162" s="17" t="s">
        <v>2091</v>
      </c>
      <c r="B6162" s="17" t="s">
        <v>1233</v>
      </c>
      <c r="C6162" s="17">
        <v>0</v>
      </c>
      <c r="D6162" s="17" t="s">
        <v>801</v>
      </c>
      <c r="E6162" s="18">
        <v>8051770301653</v>
      </c>
      <c r="G6162" s="20" t="str">
        <f t="shared" si="288"/>
        <v xml:space="preserve"> OCLOCK          </v>
      </c>
      <c r="H6162" s="20" t="str">
        <f t="shared" si="289"/>
        <v>OCEAN</v>
      </c>
      <c r="I6162" s="20">
        <f t="shared" si="290"/>
        <v>0</v>
      </c>
    </row>
    <row r="6163" spans="1:9">
      <c r="A6163" s="17" t="s">
        <v>2091</v>
      </c>
      <c r="B6163" s="17" t="s">
        <v>1233</v>
      </c>
      <c r="C6163" s="17">
        <v>0</v>
      </c>
      <c r="D6163" s="17" t="s">
        <v>801</v>
      </c>
      <c r="E6163" s="18">
        <v>3003360024003</v>
      </c>
      <c r="G6163" s="20" t="str">
        <f t="shared" si="288"/>
        <v xml:space="preserve"> OCLOCK          </v>
      </c>
      <c r="H6163" s="20" t="str">
        <f t="shared" si="289"/>
        <v>OCEAN</v>
      </c>
      <c r="I6163" s="20">
        <f t="shared" si="290"/>
        <v>0</v>
      </c>
    </row>
    <row r="6164" spans="1:9">
      <c r="A6164" s="17" t="s">
        <v>2091</v>
      </c>
      <c r="B6164" s="17" t="s">
        <v>1234</v>
      </c>
      <c r="C6164" s="17">
        <v>0</v>
      </c>
      <c r="D6164" s="17" t="s">
        <v>801</v>
      </c>
      <c r="E6164" s="18">
        <v>8051770301721</v>
      </c>
      <c r="G6164" s="20" t="str">
        <f t="shared" si="288"/>
        <v xml:space="preserve"> OCLOCK          </v>
      </c>
      <c r="H6164" s="20" t="str">
        <f t="shared" si="289"/>
        <v>OLIVE</v>
      </c>
      <c r="I6164" s="20">
        <f t="shared" si="290"/>
        <v>0</v>
      </c>
    </row>
    <row r="6165" spans="1:9">
      <c r="A6165" s="17" t="s">
        <v>2091</v>
      </c>
      <c r="B6165" s="17" t="s">
        <v>1234</v>
      </c>
      <c r="C6165" s="17">
        <v>0</v>
      </c>
      <c r="D6165" s="17" t="s">
        <v>801</v>
      </c>
      <c r="E6165" s="18">
        <v>3003360021002</v>
      </c>
      <c r="G6165" s="20" t="str">
        <f t="shared" si="288"/>
        <v xml:space="preserve"> OCLOCK          </v>
      </c>
      <c r="H6165" s="20" t="str">
        <f t="shared" si="289"/>
        <v>OLIVE</v>
      </c>
      <c r="I6165" s="20">
        <f t="shared" si="290"/>
        <v>0</v>
      </c>
    </row>
    <row r="6166" spans="1:9">
      <c r="A6166" s="17" t="s">
        <v>2091</v>
      </c>
      <c r="B6166" s="17" t="s">
        <v>964</v>
      </c>
      <c r="C6166" s="17">
        <v>0</v>
      </c>
      <c r="D6166" s="17" t="s">
        <v>801</v>
      </c>
      <c r="E6166" s="18">
        <v>3003360009000</v>
      </c>
      <c r="G6166" s="20" t="str">
        <f t="shared" si="288"/>
        <v xml:space="preserve"> OCLOCK          </v>
      </c>
      <c r="H6166" s="20" t="str">
        <f t="shared" si="289"/>
        <v>ORANG</v>
      </c>
      <c r="I6166" s="20">
        <f t="shared" si="290"/>
        <v>0</v>
      </c>
    </row>
    <row r="6167" spans="1:9">
      <c r="A6167" s="17" t="s">
        <v>2091</v>
      </c>
      <c r="B6167" s="17" t="s">
        <v>1236</v>
      </c>
      <c r="C6167" s="17">
        <v>0</v>
      </c>
      <c r="D6167" s="17" t="s">
        <v>801</v>
      </c>
      <c r="E6167" s="18">
        <v>8051770301585</v>
      </c>
      <c r="G6167" s="20" t="str">
        <f t="shared" si="288"/>
        <v xml:space="preserve"> OCLOCK          </v>
      </c>
      <c r="H6167" s="20" t="str">
        <f t="shared" si="289"/>
        <v xml:space="preserve">POW  </v>
      </c>
      <c r="I6167" s="20">
        <f t="shared" si="290"/>
        <v>0</v>
      </c>
    </row>
    <row r="6168" spans="1:9">
      <c r="A6168" s="17" t="s">
        <v>2091</v>
      </c>
      <c r="B6168" s="17" t="s">
        <v>1236</v>
      </c>
      <c r="C6168" s="17">
        <v>0</v>
      </c>
      <c r="D6168" s="17" t="s">
        <v>801</v>
      </c>
      <c r="E6168" s="18">
        <v>3003360020005</v>
      </c>
      <c r="G6168" s="20" t="str">
        <f t="shared" si="288"/>
        <v xml:space="preserve"> OCLOCK          </v>
      </c>
      <c r="H6168" s="20" t="str">
        <f t="shared" si="289"/>
        <v xml:space="preserve">POW  </v>
      </c>
      <c r="I6168" s="20">
        <f t="shared" si="290"/>
        <v>0</v>
      </c>
    </row>
    <row r="6169" spans="1:9">
      <c r="A6169" s="17" t="s">
        <v>2091</v>
      </c>
      <c r="B6169" s="17" t="s">
        <v>914</v>
      </c>
      <c r="C6169" s="17">
        <v>0</v>
      </c>
      <c r="D6169" s="17" t="s">
        <v>801</v>
      </c>
      <c r="E6169" s="18">
        <v>3003360018002</v>
      </c>
      <c r="G6169" s="20" t="str">
        <f t="shared" si="288"/>
        <v xml:space="preserve"> OCLOCK          </v>
      </c>
      <c r="H6169" s="20" t="str">
        <f t="shared" si="289"/>
        <v xml:space="preserve">PURP </v>
      </c>
      <c r="I6169" s="20">
        <f t="shared" si="290"/>
        <v>0</v>
      </c>
    </row>
    <row r="6170" spans="1:9">
      <c r="A6170" s="17" t="s">
        <v>2091</v>
      </c>
      <c r="B6170" s="17" t="s">
        <v>816</v>
      </c>
      <c r="C6170" s="17">
        <v>0</v>
      </c>
      <c r="D6170" s="17" t="s">
        <v>801</v>
      </c>
      <c r="E6170" s="18">
        <v>8051770301677</v>
      </c>
      <c r="G6170" s="20" t="str">
        <f t="shared" si="288"/>
        <v xml:space="preserve"> OCLOCK          </v>
      </c>
      <c r="H6170" s="20" t="str">
        <f t="shared" si="289"/>
        <v xml:space="preserve">RED  </v>
      </c>
      <c r="I6170" s="20">
        <f t="shared" si="290"/>
        <v>0</v>
      </c>
    </row>
    <row r="6171" spans="1:9">
      <c r="A6171" s="17" t="s">
        <v>2091</v>
      </c>
      <c r="B6171" s="17" t="s">
        <v>816</v>
      </c>
      <c r="C6171" s="17">
        <v>0</v>
      </c>
      <c r="D6171" s="17" t="s">
        <v>801</v>
      </c>
      <c r="E6171" s="18">
        <v>3003360010006</v>
      </c>
      <c r="G6171" s="20" t="str">
        <f t="shared" si="288"/>
        <v xml:space="preserve"> OCLOCK          </v>
      </c>
      <c r="H6171" s="20" t="str">
        <f t="shared" si="289"/>
        <v xml:space="preserve">RED  </v>
      </c>
      <c r="I6171" s="20">
        <f t="shared" si="290"/>
        <v>0</v>
      </c>
    </row>
    <row r="6172" spans="1:9">
      <c r="A6172" s="17" t="s">
        <v>2091</v>
      </c>
      <c r="B6172" s="17" t="s">
        <v>1237</v>
      </c>
      <c r="C6172" s="17">
        <v>0</v>
      </c>
      <c r="D6172" s="17" t="s">
        <v>801</v>
      </c>
      <c r="E6172" s="18">
        <v>3003240396008</v>
      </c>
      <c r="G6172" s="20" t="str">
        <f t="shared" si="288"/>
        <v xml:space="preserve"> OCLOCK          </v>
      </c>
      <c r="H6172" s="20" t="str">
        <f t="shared" si="289"/>
        <v xml:space="preserve">ROCK </v>
      </c>
      <c r="I6172" s="20">
        <f t="shared" si="290"/>
        <v>0</v>
      </c>
    </row>
    <row r="6173" spans="1:9">
      <c r="A6173" s="17" t="s">
        <v>2091</v>
      </c>
      <c r="B6173" s="17" t="s">
        <v>1237</v>
      </c>
      <c r="C6173" s="17">
        <v>0</v>
      </c>
      <c r="D6173" s="17" t="s">
        <v>801</v>
      </c>
      <c r="E6173" s="18">
        <v>8058333586762</v>
      </c>
      <c r="G6173" s="20" t="str">
        <f t="shared" si="288"/>
        <v xml:space="preserve"> OCLOCK          </v>
      </c>
      <c r="H6173" s="20" t="str">
        <f t="shared" si="289"/>
        <v xml:space="preserve">ROCK </v>
      </c>
      <c r="I6173" s="20">
        <f t="shared" si="290"/>
        <v>0</v>
      </c>
    </row>
    <row r="6174" spans="1:9">
      <c r="A6174" s="17" t="s">
        <v>2091</v>
      </c>
      <c r="B6174" s="17" t="s">
        <v>855</v>
      </c>
      <c r="C6174" s="17">
        <v>0</v>
      </c>
      <c r="D6174" s="17" t="s">
        <v>801</v>
      </c>
      <c r="E6174" s="18">
        <v>8051770303817</v>
      </c>
      <c r="G6174" s="20" t="str">
        <f t="shared" si="288"/>
        <v xml:space="preserve"> OCLOCK          </v>
      </c>
      <c r="H6174" s="20" t="str">
        <f t="shared" si="289"/>
        <v>SILVE</v>
      </c>
      <c r="I6174" s="20">
        <f t="shared" si="290"/>
        <v>0</v>
      </c>
    </row>
    <row r="6175" spans="1:9">
      <c r="A6175" s="17" t="s">
        <v>2091</v>
      </c>
      <c r="B6175" s="17" t="s">
        <v>855</v>
      </c>
      <c r="C6175" s="17">
        <v>0</v>
      </c>
      <c r="D6175" s="17" t="s">
        <v>801</v>
      </c>
      <c r="E6175" s="18">
        <v>3003240567002</v>
      </c>
      <c r="G6175" s="20" t="str">
        <f t="shared" si="288"/>
        <v xml:space="preserve"> OCLOCK          </v>
      </c>
      <c r="H6175" s="20" t="str">
        <f t="shared" si="289"/>
        <v>SILVE</v>
      </c>
      <c r="I6175" s="20">
        <f t="shared" si="290"/>
        <v>0</v>
      </c>
    </row>
    <row r="6176" spans="1:9">
      <c r="A6176" s="17" t="s">
        <v>2091</v>
      </c>
      <c r="B6176" s="17" t="s">
        <v>855</v>
      </c>
      <c r="C6176" s="17">
        <v>0</v>
      </c>
      <c r="D6176" s="17" t="s">
        <v>801</v>
      </c>
      <c r="E6176" s="18">
        <v>3003360051009</v>
      </c>
      <c r="G6176" s="20" t="str">
        <f t="shared" si="288"/>
        <v xml:space="preserve"> OCLOCK          </v>
      </c>
      <c r="H6176" s="20" t="str">
        <f t="shared" si="289"/>
        <v>SILVE</v>
      </c>
      <c r="I6176" s="20">
        <f t="shared" si="290"/>
        <v>0</v>
      </c>
    </row>
    <row r="6177" spans="1:9">
      <c r="A6177" s="17" t="s">
        <v>2091</v>
      </c>
      <c r="B6177" s="17" t="s">
        <v>1442</v>
      </c>
      <c r="C6177" s="17">
        <v>0</v>
      </c>
      <c r="D6177" s="17" t="s">
        <v>801</v>
      </c>
      <c r="E6177" s="18">
        <v>3003360080009</v>
      </c>
      <c r="G6177" s="20" t="str">
        <f t="shared" si="288"/>
        <v xml:space="preserve"> OCLOCK          </v>
      </c>
      <c r="H6177" s="20" t="str">
        <f t="shared" si="289"/>
        <v>VIODE</v>
      </c>
      <c r="I6177" s="20">
        <f t="shared" si="290"/>
        <v>0</v>
      </c>
    </row>
    <row r="6178" spans="1:9">
      <c r="A6178" s="17" t="s">
        <v>2091</v>
      </c>
      <c r="B6178" s="17" t="s">
        <v>928</v>
      </c>
      <c r="C6178" s="17">
        <v>0</v>
      </c>
      <c r="D6178" s="17" t="s">
        <v>801</v>
      </c>
      <c r="E6178" s="18">
        <v>8051770301530</v>
      </c>
      <c r="G6178" s="20" t="str">
        <f t="shared" si="288"/>
        <v xml:space="preserve"> OCLOCK          </v>
      </c>
      <c r="H6178" s="20" t="str">
        <f t="shared" si="289"/>
        <v>WBLUE</v>
      </c>
      <c r="I6178" s="20">
        <f t="shared" si="290"/>
        <v>0</v>
      </c>
    </row>
    <row r="6179" spans="1:9">
      <c r="A6179" s="17" t="s">
        <v>2091</v>
      </c>
      <c r="B6179" s="17" t="s">
        <v>928</v>
      </c>
      <c r="C6179" s="17">
        <v>0</v>
      </c>
      <c r="D6179" s="17" t="s">
        <v>801</v>
      </c>
      <c r="E6179" s="18">
        <v>3003360025000</v>
      </c>
      <c r="G6179" s="20" t="str">
        <f t="shared" si="288"/>
        <v xml:space="preserve"> OCLOCK          </v>
      </c>
      <c r="H6179" s="20" t="str">
        <f t="shared" si="289"/>
        <v>WBLUE</v>
      </c>
      <c r="I6179" s="20">
        <f t="shared" si="290"/>
        <v>0</v>
      </c>
    </row>
    <row r="6180" spans="1:9">
      <c r="A6180" s="17" t="s">
        <v>2091</v>
      </c>
      <c r="B6180" s="17" t="s">
        <v>273</v>
      </c>
      <c r="C6180" s="17">
        <v>0</v>
      </c>
      <c r="D6180" s="17" t="s">
        <v>801</v>
      </c>
      <c r="E6180" s="18">
        <v>8051770302704</v>
      </c>
      <c r="G6180" s="20" t="str">
        <f t="shared" si="288"/>
        <v xml:space="preserve"> OCLOCK          </v>
      </c>
      <c r="H6180" s="20" t="str">
        <f t="shared" si="289"/>
        <v>WHITE</v>
      </c>
      <c r="I6180" s="20">
        <f t="shared" si="290"/>
        <v>0</v>
      </c>
    </row>
    <row r="6181" spans="1:9">
      <c r="A6181" s="17" t="s">
        <v>2091</v>
      </c>
      <c r="B6181" s="17" t="s">
        <v>273</v>
      </c>
      <c r="C6181" s="17">
        <v>0</v>
      </c>
      <c r="D6181" s="17" t="s">
        <v>801</v>
      </c>
      <c r="E6181" s="18">
        <v>3003440004000</v>
      </c>
      <c r="G6181" s="20" t="str">
        <f t="shared" si="288"/>
        <v xml:space="preserve"> OCLOCK          </v>
      </c>
      <c r="H6181" s="20" t="str">
        <f t="shared" si="289"/>
        <v>WHITE</v>
      </c>
      <c r="I6181" s="20">
        <f t="shared" si="290"/>
        <v>0</v>
      </c>
    </row>
    <row r="6182" spans="1:9">
      <c r="A6182" s="17" t="s">
        <v>2091</v>
      </c>
      <c r="B6182" s="17" t="s">
        <v>273</v>
      </c>
      <c r="C6182" s="17">
        <v>0</v>
      </c>
      <c r="D6182" s="17" t="s">
        <v>801</v>
      </c>
      <c r="E6182" s="18">
        <v>3020630023009</v>
      </c>
      <c r="G6182" s="20" t="str">
        <f t="shared" si="288"/>
        <v xml:space="preserve"> OCLOCK          </v>
      </c>
      <c r="H6182" s="20" t="str">
        <f t="shared" si="289"/>
        <v>WHITE</v>
      </c>
      <c r="I6182" s="20">
        <f t="shared" si="290"/>
        <v>0</v>
      </c>
    </row>
    <row r="6183" spans="1:9">
      <c r="A6183" s="17" t="s">
        <v>2091</v>
      </c>
      <c r="B6183" s="17" t="s">
        <v>273</v>
      </c>
      <c r="C6183" s="17">
        <v>0</v>
      </c>
      <c r="D6183" s="17" t="s">
        <v>801</v>
      </c>
      <c r="E6183" s="18">
        <v>3020730000009</v>
      </c>
      <c r="G6183" s="20" t="str">
        <f t="shared" si="288"/>
        <v xml:space="preserve"> OCLOCK          </v>
      </c>
      <c r="H6183" s="20" t="str">
        <f t="shared" si="289"/>
        <v>WHITE</v>
      </c>
      <c r="I6183" s="20">
        <f t="shared" si="290"/>
        <v>0</v>
      </c>
    </row>
    <row r="6184" spans="1:9">
      <c r="A6184" s="17" t="s">
        <v>2091</v>
      </c>
      <c r="B6184" s="17" t="s">
        <v>825</v>
      </c>
      <c r="C6184" s="17">
        <v>0</v>
      </c>
      <c r="D6184" s="17" t="s">
        <v>801</v>
      </c>
      <c r="E6184" s="18">
        <v>8051770301615</v>
      </c>
      <c r="G6184" s="20" t="str">
        <f t="shared" si="288"/>
        <v xml:space="preserve"> OCLOCK          </v>
      </c>
      <c r="H6184" s="20" t="str">
        <f t="shared" si="289"/>
        <v xml:space="preserve">YELL </v>
      </c>
      <c r="I6184" s="20">
        <f t="shared" si="290"/>
        <v>0</v>
      </c>
    </row>
    <row r="6185" spans="1:9">
      <c r="A6185" s="17" t="s">
        <v>2091</v>
      </c>
      <c r="B6185" s="17" t="s">
        <v>825</v>
      </c>
      <c r="C6185" s="17">
        <v>0</v>
      </c>
      <c r="D6185" s="17" t="s">
        <v>801</v>
      </c>
      <c r="E6185" s="18">
        <v>3003360011003</v>
      </c>
      <c r="G6185" s="20" t="str">
        <f t="shared" si="288"/>
        <v xml:space="preserve"> OCLOCK          </v>
      </c>
      <c r="H6185" s="20" t="str">
        <f t="shared" si="289"/>
        <v xml:space="preserve">YELL </v>
      </c>
      <c r="I6185" s="20">
        <f t="shared" si="290"/>
        <v>0</v>
      </c>
    </row>
    <row r="6186" spans="1:9">
      <c r="A6186" s="17" t="s">
        <v>2093</v>
      </c>
      <c r="B6186" s="17" t="s">
        <v>2094</v>
      </c>
      <c r="C6186" s="17">
        <v>0</v>
      </c>
      <c r="D6186" s="17" t="s">
        <v>801</v>
      </c>
      <c r="E6186" s="18">
        <v>3004420177004</v>
      </c>
      <c r="G6186" s="20" t="str">
        <f t="shared" si="288"/>
        <v xml:space="preserve"> OCLOCK'60S      </v>
      </c>
      <c r="H6186" s="20" t="str">
        <f t="shared" si="289"/>
        <v xml:space="preserve">BLBL </v>
      </c>
      <c r="I6186" s="20">
        <f t="shared" si="290"/>
        <v>0</v>
      </c>
    </row>
    <row r="6187" spans="1:9">
      <c r="A6187" s="17" t="s">
        <v>2093</v>
      </c>
      <c r="B6187" s="17" t="s">
        <v>2095</v>
      </c>
      <c r="C6187" s="17">
        <v>0</v>
      </c>
      <c r="D6187" s="17" t="s">
        <v>801</v>
      </c>
      <c r="E6187" s="18">
        <v>3004420176007</v>
      </c>
      <c r="G6187" s="20" t="str">
        <f t="shared" si="288"/>
        <v xml:space="preserve"> OCLOCK'60S      </v>
      </c>
      <c r="H6187" s="20" t="str">
        <f t="shared" si="289"/>
        <v xml:space="preserve">WRED </v>
      </c>
      <c r="I6187" s="20">
        <f t="shared" si="290"/>
        <v>0</v>
      </c>
    </row>
    <row r="6188" spans="1:9">
      <c r="A6188" s="17" t="s">
        <v>2096</v>
      </c>
      <c r="B6188" s="17" t="s">
        <v>2097</v>
      </c>
      <c r="C6188" s="17">
        <v>0</v>
      </c>
      <c r="D6188" s="17" t="s">
        <v>801</v>
      </c>
      <c r="E6188" s="18">
        <v>3003370045005</v>
      </c>
      <c r="G6188" s="20" t="str">
        <f t="shared" si="288"/>
        <v xml:space="preserve"> OCLOCK'80       </v>
      </c>
      <c r="H6188" s="20" t="str">
        <f t="shared" si="289"/>
        <v>FLUOB</v>
      </c>
      <c r="I6188" s="20">
        <f t="shared" si="290"/>
        <v>0</v>
      </c>
    </row>
    <row r="6189" spans="1:9">
      <c r="A6189" s="17" t="s">
        <v>2096</v>
      </c>
      <c r="B6189" s="17" t="s">
        <v>1427</v>
      </c>
      <c r="C6189" s="17">
        <v>0</v>
      </c>
      <c r="D6189" s="17" t="s">
        <v>801</v>
      </c>
      <c r="E6189" s="18">
        <v>3003370039004</v>
      </c>
      <c r="G6189" s="20" t="str">
        <f t="shared" si="288"/>
        <v xml:space="preserve"> OCLOCK'80       </v>
      </c>
      <c r="H6189" s="20" t="str">
        <f t="shared" si="289"/>
        <v>FLUOP</v>
      </c>
      <c r="I6189" s="20">
        <f t="shared" si="290"/>
        <v>0</v>
      </c>
    </row>
    <row r="6190" spans="1:9">
      <c r="A6190" s="17" t="s">
        <v>2096</v>
      </c>
      <c r="B6190" s="17" t="s">
        <v>1428</v>
      </c>
      <c r="C6190" s="17">
        <v>0</v>
      </c>
      <c r="D6190" s="17" t="s">
        <v>801</v>
      </c>
      <c r="E6190" s="18">
        <v>3003370037000</v>
      </c>
      <c r="G6190" s="20" t="str">
        <f t="shared" si="288"/>
        <v xml:space="preserve"> OCLOCK'80       </v>
      </c>
      <c r="H6190" s="20" t="str">
        <f t="shared" si="289"/>
        <v>FLUOY</v>
      </c>
      <c r="I6190" s="20">
        <f t="shared" si="290"/>
        <v>0</v>
      </c>
    </row>
    <row r="6191" spans="1:9">
      <c r="A6191" s="17" t="s">
        <v>2098</v>
      </c>
      <c r="B6191" s="17" t="s">
        <v>2099</v>
      </c>
      <c r="C6191" s="17">
        <v>0</v>
      </c>
      <c r="D6191" s="17" t="s">
        <v>801</v>
      </c>
      <c r="E6191" s="18">
        <v>8056099172021</v>
      </c>
      <c r="G6191" s="20" t="str">
        <f t="shared" si="288"/>
        <v xml:space="preserve"> OCLOCK/ANIMAL   </v>
      </c>
      <c r="H6191" s="20" t="str">
        <f t="shared" si="289"/>
        <v xml:space="preserve">PAON </v>
      </c>
      <c r="I6191" s="20">
        <f t="shared" si="290"/>
        <v>0</v>
      </c>
    </row>
    <row r="6192" spans="1:9">
      <c r="A6192" s="17" t="s">
        <v>2098</v>
      </c>
      <c r="B6192" s="17" t="s">
        <v>2100</v>
      </c>
      <c r="C6192" s="17">
        <v>0</v>
      </c>
      <c r="D6192" s="17" t="s">
        <v>801</v>
      </c>
      <c r="E6192" s="18">
        <v>8056099171970</v>
      </c>
      <c r="G6192" s="20" t="str">
        <f t="shared" si="288"/>
        <v xml:space="preserve"> OCLOCK/ANIMAL   </v>
      </c>
      <c r="H6192" s="20" t="str">
        <f t="shared" si="289"/>
        <v>PAPBE</v>
      </c>
      <c r="I6192" s="20">
        <f t="shared" si="290"/>
        <v>0</v>
      </c>
    </row>
    <row r="6193" spans="1:9">
      <c r="A6193" s="17" t="s">
        <v>2098</v>
      </c>
      <c r="B6193" s="17" t="s">
        <v>2101</v>
      </c>
      <c r="C6193" s="17">
        <v>0</v>
      </c>
      <c r="D6193" s="17" t="s">
        <v>801</v>
      </c>
      <c r="E6193" s="18">
        <v>8056099171987</v>
      </c>
      <c r="G6193" s="20" t="str">
        <f t="shared" si="288"/>
        <v xml:space="preserve"> OCLOCK/ANIMAL   </v>
      </c>
      <c r="H6193" s="20" t="str">
        <f t="shared" si="289"/>
        <v>PAPBI</v>
      </c>
      <c r="I6193" s="20">
        <f t="shared" si="290"/>
        <v>0</v>
      </c>
    </row>
    <row r="6194" spans="1:9">
      <c r="A6194" s="17" t="s">
        <v>2098</v>
      </c>
      <c r="B6194" s="17" t="s">
        <v>2102</v>
      </c>
      <c r="C6194" s="17">
        <v>0</v>
      </c>
      <c r="D6194" s="17" t="s">
        <v>801</v>
      </c>
      <c r="E6194" s="18">
        <v>8056099171994</v>
      </c>
      <c r="G6194" s="20" t="str">
        <f t="shared" si="288"/>
        <v xml:space="preserve"> OCLOCK/ANIMAL   </v>
      </c>
      <c r="H6194" s="20" t="str">
        <f t="shared" si="289"/>
        <v>PAPBL</v>
      </c>
      <c r="I6194" s="20">
        <f t="shared" si="290"/>
        <v>0</v>
      </c>
    </row>
    <row r="6195" spans="1:9">
      <c r="A6195" s="17" t="s">
        <v>2098</v>
      </c>
      <c r="B6195" s="17" t="s">
        <v>2103</v>
      </c>
      <c r="C6195" s="17">
        <v>0</v>
      </c>
      <c r="D6195" s="17" t="s">
        <v>801</v>
      </c>
      <c r="E6195" s="18">
        <v>8056099172007</v>
      </c>
      <c r="G6195" s="20" t="str">
        <f t="shared" si="288"/>
        <v xml:space="preserve"> OCLOCK/ANIMAL   </v>
      </c>
      <c r="H6195" s="20" t="str">
        <f t="shared" si="289"/>
        <v>PAPBO</v>
      </c>
      <c r="I6195" s="20">
        <f t="shared" si="290"/>
        <v>0</v>
      </c>
    </row>
    <row r="6196" spans="1:9">
      <c r="A6196" s="17" t="s">
        <v>2098</v>
      </c>
      <c r="B6196" s="17" t="s">
        <v>2104</v>
      </c>
      <c r="C6196" s="17">
        <v>0</v>
      </c>
      <c r="D6196" s="17" t="s">
        <v>801</v>
      </c>
      <c r="E6196" s="18">
        <v>8056099172014</v>
      </c>
      <c r="G6196" s="20" t="str">
        <f t="shared" si="288"/>
        <v xml:space="preserve"> OCLOCK/ANIMAL   </v>
      </c>
      <c r="H6196" s="20" t="str">
        <f t="shared" si="289"/>
        <v>PAPVE</v>
      </c>
      <c r="I6196" s="20">
        <f t="shared" si="290"/>
        <v>0</v>
      </c>
    </row>
    <row r="6197" spans="1:9">
      <c r="A6197" s="17" t="s">
        <v>2098</v>
      </c>
      <c r="B6197" s="17" t="s">
        <v>2105</v>
      </c>
      <c r="C6197" s="17">
        <v>0</v>
      </c>
      <c r="D6197" s="17" t="s">
        <v>801</v>
      </c>
      <c r="E6197" s="18">
        <v>8056099171963</v>
      </c>
      <c r="G6197" s="20" t="str">
        <f t="shared" si="288"/>
        <v xml:space="preserve"> OCLOCK/ANIMAL   </v>
      </c>
      <c r="H6197" s="20" t="str">
        <f t="shared" si="289"/>
        <v>TORAC</v>
      </c>
      <c r="I6197" s="20">
        <f t="shared" si="290"/>
        <v>0</v>
      </c>
    </row>
    <row r="6198" spans="1:9">
      <c r="A6198" s="17" t="s">
        <v>2098</v>
      </c>
      <c r="B6198" s="17" t="s">
        <v>2106</v>
      </c>
      <c r="C6198" s="17">
        <v>0</v>
      </c>
      <c r="D6198" s="17" t="s">
        <v>801</v>
      </c>
      <c r="E6198" s="18">
        <v>8056099171932</v>
      </c>
      <c r="G6198" s="20" t="str">
        <f t="shared" si="288"/>
        <v xml:space="preserve"> OCLOCK/ANIMAL   </v>
      </c>
      <c r="H6198" s="20" t="str">
        <f t="shared" si="289"/>
        <v>TORLI</v>
      </c>
      <c r="I6198" s="20">
        <f t="shared" si="290"/>
        <v>0</v>
      </c>
    </row>
    <row r="6199" spans="1:9">
      <c r="A6199" s="17" t="s">
        <v>2098</v>
      </c>
      <c r="B6199" s="17" t="s">
        <v>2107</v>
      </c>
      <c r="C6199" s="17">
        <v>0</v>
      </c>
      <c r="D6199" s="17" t="s">
        <v>801</v>
      </c>
      <c r="E6199" s="18">
        <v>8056099171949</v>
      </c>
      <c r="G6199" s="20" t="str">
        <f t="shared" si="288"/>
        <v xml:space="preserve"> OCLOCK/ANIMAL   </v>
      </c>
      <c r="H6199" s="20" t="str">
        <f t="shared" si="289"/>
        <v>TORTE</v>
      </c>
      <c r="I6199" s="20">
        <f t="shared" si="290"/>
        <v>0</v>
      </c>
    </row>
    <row r="6200" spans="1:9">
      <c r="A6200" s="17" t="s">
        <v>2098</v>
      </c>
      <c r="B6200" s="17" t="s">
        <v>2108</v>
      </c>
      <c r="C6200" s="17">
        <v>0</v>
      </c>
      <c r="D6200" s="17" t="s">
        <v>801</v>
      </c>
      <c r="E6200" s="18">
        <v>8056099171956</v>
      </c>
      <c r="G6200" s="20" t="str">
        <f t="shared" si="288"/>
        <v xml:space="preserve"> OCLOCK/ANIMAL   </v>
      </c>
      <c r="H6200" s="20" t="str">
        <f t="shared" si="289"/>
        <v>TORVI</v>
      </c>
      <c r="I6200" s="20">
        <f t="shared" si="290"/>
        <v>0</v>
      </c>
    </row>
    <row r="6201" spans="1:9">
      <c r="A6201" s="17" t="s">
        <v>2109</v>
      </c>
      <c r="B6201" s="17" t="s">
        <v>1642</v>
      </c>
      <c r="C6201" s="17">
        <v>0</v>
      </c>
      <c r="D6201" s="17" t="s">
        <v>801</v>
      </c>
      <c r="E6201" s="18">
        <v>3004550720002</v>
      </c>
      <c r="G6201" s="20" t="str">
        <f t="shared" si="288"/>
        <v xml:space="preserve"> OCLOCK/BOTANICAL</v>
      </c>
      <c r="H6201" s="20" t="str">
        <f t="shared" si="289"/>
        <v>FIORI</v>
      </c>
      <c r="I6201" s="20">
        <f t="shared" si="290"/>
        <v>0</v>
      </c>
    </row>
    <row r="6202" spans="1:9">
      <c r="A6202" s="17" t="s">
        <v>2109</v>
      </c>
      <c r="B6202" s="17" t="s">
        <v>1642</v>
      </c>
      <c r="C6202" s="17">
        <v>0</v>
      </c>
      <c r="D6202" s="17" t="s">
        <v>801</v>
      </c>
      <c r="E6202" s="18">
        <v>3005210720004</v>
      </c>
      <c r="G6202" s="20" t="str">
        <f t="shared" si="288"/>
        <v xml:space="preserve"> OCLOCK/BOTANICAL</v>
      </c>
      <c r="H6202" s="20" t="str">
        <f t="shared" si="289"/>
        <v>FIORI</v>
      </c>
      <c r="I6202" s="20">
        <f t="shared" si="290"/>
        <v>0</v>
      </c>
    </row>
    <row r="6203" spans="1:9">
      <c r="A6203" s="17" t="s">
        <v>2109</v>
      </c>
      <c r="B6203" s="17" t="s">
        <v>1642</v>
      </c>
      <c r="C6203" s="17">
        <v>0</v>
      </c>
      <c r="D6203" s="17" t="s">
        <v>801</v>
      </c>
      <c r="E6203" s="18">
        <v>8058333586892</v>
      </c>
      <c r="G6203" s="20" t="str">
        <f t="shared" si="288"/>
        <v xml:space="preserve"> OCLOCK/BOTANICAL</v>
      </c>
      <c r="H6203" s="20" t="str">
        <f t="shared" si="289"/>
        <v>FIORI</v>
      </c>
      <c r="I6203" s="20">
        <f t="shared" si="290"/>
        <v>0</v>
      </c>
    </row>
    <row r="6204" spans="1:9">
      <c r="A6204" s="17" t="s">
        <v>2109</v>
      </c>
      <c r="B6204" s="17" t="s">
        <v>2110</v>
      </c>
      <c r="C6204" s="17">
        <v>0</v>
      </c>
      <c r="D6204" s="17" t="s">
        <v>801</v>
      </c>
      <c r="E6204" s="18">
        <v>3004550727001</v>
      </c>
      <c r="G6204" s="20" t="str">
        <f t="shared" si="288"/>
        <v xml:space="preserve"> OCLOCK/BOTANICAL</v>
      </c>
      <c r="H6204" s="20" t="str">
        <f t="shared" si="289"/>
        <v>LIMON</v>
      </c>
      <c r="I6204" s="20">
        <f t="shared" si="290"/>
        <v>0</v>
      </c>
    </row>
    <row r="6205" spans="1:9">
      <c r="A6205" s="17" t="s">
        <v>2109</v>
      </c>
      <c r="B6205" s="17" t="s">
        <v>2110</v>
      </c>
      <c r="C6205" s="17">
        <v>0</v>
      </c>
      <c r="D6205" s="17" t="s">
        <v>801</v>
      </c>
      <c r="E6205" s="18">
        <v>3005210727003</v>
      </c>
      <c r="G6205" s="20" t="str">
        <f t="shared" si="288"/>
        <v xml:space="preserve"> OCLOCK/BOTANICAL</v>
      </c>
      <c r="H6205" s="20" t="str">
        <f t="shared" si="289"/>
        <v>LIMON</v>
      </c>
      <c r="I6205" s="20">
        <f t="shared" si="290"/>
        <v>0</v>
      </c>
    </row>
    <row r="6206" spans="1:9">
      <c r="A6206" s="17" t="s">
        <v>2109</v>
      </c>
      <c r="B6206" s="17" t="s">
        <v>2110</v>
      </c>
      <c r="C6206" s="17">
        <v>0</v>
      </c>
      <c r="D6206" s="17" t="s">
        <v>801</v>
      </c>
      <c r="E6206" s="18">
        <v>8058333586908</v>
      </c>
      <c r="G6206" s="20" t="str">
        <f t="shared" si="288"/>
        <v xml:space="preserve"> OCLOCK/BOTANICAL</v>
      </c>
      <c r="H6206" s="20" t="str">
        <f t="shared" si="289"/>
        <v>LIMON</v>
      </c>
      <c r="I6206" s="20">
        <f t="shared" si="290"/>
        <v>0</v>
      </c>
    </row>
    <row r="6207" spans="1:9">
      <c r="A6207" s="17" t="s">
        <v>2109</v>
      </c>
      <c r="B6207" s="17" t="s">
        <v>2111</v>
      </c>
      <c r="C6207" s="17">
        <v>0</v>
      </c>
      <c r="D6207" s="17" t="s">
        <v>801</v>
      </c>
      <c r="E6207" s="18">
        <v>3004550728008</v>
      </c>
      <c r="G6207" s="20" t="str">
        <f t="shared" si="288"/>
        <v xml:space="preserve"> OCLOCK/BOTANICAL</v>
      </c>
      <c r="H6207" s="20" t="str">
        <f t="shared" si="289"/>
        <v>PEONI</v>
      </c>
      <c r="I6207" s="20">
        <f t="shared" si="290"/>
        <v>0</v>
      </c>
    </row>
    <row r="6208" spans="1:9">
      <c r="A6208" s="17" t="s">
        <v>2109</v>
      </c>
      <c r="B6208" s="17" t="s">
        <v>2111</v>
      </c>
      <c r="C6208" s="17">
        <v>0</v>
      </c>
      <c r="D6208" s="17" t="s">
        <v>801</v>
      </c>
      <c r="E6208" s="18">
        <v>3005210728000</v>
      </c>
      <c r="G6208" s="20" t="str">
        <f t="shared" si="288"/>
        <v xml:space="preserve"> OCLOCK/BOTANICAL</v>
      </c>
      <c r="H6208" s="20" t="str">
        <f t="shared" si="289"/>
        <v>PEONI</v>
      </c>
      <c r="I6208" s="20">
        <f t="shared" si="290"/>
        <v>0</v>
      </c>
    </row>
    <row r="6209" spans="1:9">
      <c r="A6209" s="17" t="s">
        <v>2109</v>
      </c>
      <c r="B6209" s="17" t="s">
        <v>2111</v>
      </c>
      <c r="C6209" s="17">
        <v>0</v>
      </c>
      <c r="D6209" s="17" t="s">
        <v>801</v>
      </c>
      <c r="E6209" s="18">
        <v>8058333586915</v>
      </c>
      <c r="G6209" s="20" t="str">
        <f t="shared" si="288"/>
        <v xml:space="preserve"> OCLOCK/BOTANICAL</v>
      </c>
      <c r="H6209" s="20" t="str">
        <f t="shared" si="289"/>
        <v>PEONI</v>
      </c>
      <c r="I6209" s="20">
        <f t="shared" si="290"/>
        <v>0</v>
      </c>
    </row>
    <row r="6210" spans="1:9">
      <c r="A6210" s="17" t="s">
        <v>2112</v>
      </c>
      <c r="B6210" s="17" t="s">
        <v>891</v>
      </c>
      <c r="C6210" s="17">
        <v>0</v>
      </c>
      <c r="D6210" s="17" t="s">
        <v>801</v>
      </c>
      <c r="E6210" s="18">
        <v>8051770302360</v>
      </c>
      <c r="G6210" s="20" t="str">
        <f t="shared" si="288"/>
        <v xml:space="preserve"> OCLOCK/CAMOUFLAG</v>
      </c>
      <c r="H6210" s="20" t="str">
        <f t="shared" si="289"/>
        <v>GREEN</v>
      </c>
      <c r="I6210" s="20">
        <f t="shared" si="290"/>
        <v>0</v>
      </c>
    </row>
    <row r="6211" spans="1:9">
      <c r="A6211" s="17" t="s">
        <v>2112</v>
      </c>
      <c r="B6211" s="17" t="s">
        <v>891</v>
      </c>
      <c r="C6211" s="17">
        <v>0</v>
      </c>
      <c r="D6211" s="17" t="s">
        <v>801</v>
      </c>
      <c r="E6211" s="18">
        <v>3003540063006</v>
      </c>
      <c r="G6211" s="20" t="str">
        <f t="shared" si="288"/>
        <v xml:space="preserve"> OCLOCK/CAMOUFLAG</v>
      </c>
      <c r="H6211" s="20" t="str">
        <f t="shared" si="289"/>
        <v>GREEN</v>
      </c>
      <c r="I6211" s="20">
        <f t="shared" si="290"/>
        <v>0</v>
      </c>
    </row>
    <row r="6212" spans="1:9">
      <c r="A6212" s="17" t="s">
        <v>2112</v>
      </c>
      <c r="B6212" s="17" t="s">
        <v>964</v>
      </c>
      <c r="C6212" s="17">
        <v>0</v>
      </c>
      <c r="D6212" s="17" t="s">
        <v>801</v>
      </c>
      <c r="E6212" s="18">
        <v>3003540009004</v>
      </c>
      <c r="G6212" s="20" t="str">
        <f t="shared" si="288"/>
        <v xml:space="preserve"> OCLOCK/CAMOUFLAG</v>
      </c>
      <c r="H6212" s="20" t="str">
        <f t="shared" si="289"/>
        <v>ORANG</v>
      </c>
      <c r="I6212" s="20">
        <f t="shared" si="290"/>
        <v>0</v>
      </c>
    </row>
    <row r="6213" spans="1:9">
      <c r="A6213" s="17" t="s">
        <v>2112</v>
      </c>
      <c r="B6213" s="17" t="s">
        <v>1239</v>
      </c>
      <c r="C6213" s="17">
        <v>0</v>
      </c>
      <c r="D6213" s="17" t="s">
        <v>801</v>
      </c>
      <c r="E6213" s="18">
        <v>3003540028005</v>
      </c>
      <c r="G6213" s="20" t="str">
        <f t="shared" ref="G6213:G6276" si="291">A6213</f>
        <v xml:space="preserve"> OCLOCK/CAMOUFLAG</v>
      </c>
      <c r="H6213" s="20" t="str">
        <f t="shared" ref="H6213:H6276" si="292">B6213</f>
        <v xml:space="preserve">SAND </v>
      </c>
      <c r="I6213" s="20">
        <f t="shared" ref="I6213:I6276" si="293">C6213</f>
        <v>0</v>
      </c>
    </row>
    <row r="6214" spans="1:9">
      <c r="A6214" s="17" t="s">
        <v>2112</v>
      </c>
      <c r="B6214" s="17" t="s">
        <v>1241</v>
      </c>
      <c r="C6214" s="17">
        <v>0</v>
      </c>
      <c r="D6214" s="17" t="s">
        <v>801</v>
      </c>
      <c r="E6214" s="18">
        <v>3003540082007</v>
      </c>
      <c r="G6214" s="20" t="str">
        <f t="shared" si="291"/>
        <v xml:space="preserve"> OCLOCK/CAMOUFLAG</v>
      </c>
      <c r="H6214" s="20" t="str">
        <f t="shared" si="292"/>
        <v>SBLUE</v>
      </c>
      <c r="I6214" s="20">
        <f t="shared" si="293"/>
        <v>0</v>
      </c>
    </row>
    <row r="6215" spans="1:9">
      <c r="A6215" s="17" t="s">
        <v>2113</v>
      </c>
      <c r="B6215" s="17" t="s">
        <v>280</v>
      </c>
      <c r="C6215" s="17">
        <v>0</v>
      </c>
      <c r="D6215" s="17" t="s">
        <v>801</v>
      </c>
      <c r="E6215" s="18">
        <v>8051770306559</v>
      </c>
      <c r="G6215" s="20" t="str">
        <f t="shared" si="291"/>
        <v xml:space="preserve"> OCLOCK/CHIFFRES </v>
      </c>
      <c r="H6215" s="20" t="str">
        <f t="shared" si="292"/>
        <v>BLACK</v>
      </c>
      <c r="I6215" s="20">
        <f t="shared" si="293"/>
        <v>0</v>
      </c>
    </row>
    <row r="6216" spans="1:9">
      <c r="A6216" s="17" t="s">
        <v>2113</v>
      </c>
      <c r="B6216" s="17" t="s">
        <v>280</v>
      </c>
      <c r="C6216" s="17">
        <v>0</v>
      </c>
      <c r="D6216" s="17" t="s">
        <v>801</v>
      </c>
      <c r="E6216" s="18">
        <v>3020650000004</v>
      </c>
      <c r="G6216" s="20" t="str">
        <f t="shared" si="291"/>
        <v xml:space="preserve"> OCLOCK/CHIFFRES </v>
      </c>
      <c r="H6216" s="20" t="str">
        <f t="shared" si="292"/>
        <v>BLACK</v>
      </c>
      <c r="I6216" s="20">
        <f t="shared" si="293"/>
        <v>0</v>
      </c>
    </row>
    <row r="6217" spans="1:9">
      <c r="A6217" s="17" t="s">
        <v>2113</v>
      </c>
      <c r="B6217" s="17" t="s">
        <v>280</v>
      </c>
      <c r="C6217" s="17">
        <v>0</v>
      </c>
      <c r="D6217" s="17" t="s">
        <v>801</v>
      </c>
      <c r="E6217" s="18">
        <v>3003450001006</v>
      </c>
      <c r="G6217" s="20" t="str">
        <f t="shared" si="291"/>
        <v xml:space="preserve"> OCLOCK/CHIFFRES </v>
      </c>
      <c r="H6217" s="20" t="str">
        <f t="shared" si="292"/>
        <v>BLACK</v>
      </c>
      <c r="I6217" s="20">
        <f t="shared" si="293"/>
        <v>0</v>
      </c>
    </row>
    <row r="6218" spans="1:9">
      <c r="A6218" s="17" t="s">
        <v>2113</v>
      </c>
      <c r="B6218" s="17" t="s">
        <v>1423</v>
      </c>
      <c r="C6218" s="17">
        <v>0</v>
      </c>
      <c r="D6218" s="17" t="s">
        <v>801</v>
      </c>
      <c r="E6218" s="18">
        <v>8050450210407</v>
      </c>
      <c r="G6218" s="20" t="str">
        <f t="shared" si="291"/>
        <v xml:space="preserve"> OCLOCK/CHIFFRES </v>
      </c>
      <c r="H6218" s="20" t="str">
        <f t="shared" si="292"/>
        <v xml:space="preserve">BLG  </v>
      </c>
      <c r="I6218" s="20">
        <f t="shared" si="293"/>
        <v>0</v>
      </c>
    </row>
    <row r="6219" spans="1:9">
      <c r="A6219" s="17" t="s">
        <v>2113</v>
      </c>
      <c r="B6219" s="17" t="s">
        <v>1423</v>
      </c>
      <c r="C6219" s="17">
        <v>0</v>
      </c>
      <c r="D6219" s="17" t="s">
        <v>801</v>
      </c>
      <c r="E6219" s="18">
        <v>3020650544003</v>
      </c>
      <c r="G6219" s="20" t="str">
        <f t="shared" si="291"/>
        <v xml:space="preserve"> OCLOCK/CHIFFRES </v>
      </c>
      <c r="H6219" s="20" t="str">
        <f t="shared" si="292"/>
        <v xml:space="preserve">BLG  </v>
      </c>
      <c r="I6219" s="20">
        <f t="shared" si="293"/>
        <v>0</v>
      </c>
    </row>
    <row r="6220" spans="1:9">
      <c r="A6220" s="17" t="s">
        <v>2113</v>
      </c>
      <c r="B6220" s="17" t="s">
        <v>1424</v>
      </c>
      <c r="C6220" s="17">
        <v>0</v>
      </c>
      <c r="D6220" s="17" t="s">
        <v>801</v>
      </c>
      <c r="E6220" s="18">
        <v>8050450210384</v>
      </c>
      <c r="G6220" s="20" t="str">
        <f t="shared" si="291"/>
        <v xml:space="preserve"> OCLOCK/CHIFFRES </v>
      </c>
      <c r="H6220" s="20" t="str">
        <f t="shared" si="292"/>
        <v>CAPRI</v>
      </c>
      <c r="I6220" s="20">
        <f t="shared" si="293"/>
        <v>0</v>
      </c>
    </row>
    <row r="6221" spans="1:9">
      <c r="A6221" s="17" t="s">
        <v>2113</v>
      </c>
      <c r="B6221" s="17" t="s">
        <v>1424</v>
      </c>
      <c r="C6221" s="17">
        <v>0</v>
      </c>
      <c r="D6221" s="17" t="s">
        <v>801</v>
      </c>
      <c r="E6221" s="18">
        <v>3020650558000</v>
      </c>
      <c r="G6221" s="20" t="str">
        <f t="shared" si="291"/>
        <v xml:space="preserve"> OCLOCK/CHIFFRES </v>
      </c>
      <c r="H6221" s="20" t="str">
        <f t="shared" si="292"/>
        <v>CAPRI</v>
      </c>
      <c r="I6221" s="20">
        <f t="shared" si="293"/>
        <v>0</v>
      </c>
    </row>
    <row r="6222" spans="1:9">
      <c r="A6222" s="17" t="s">
        <v>2113</v>
      </c>
      <c r="B6222" s="17" t="s">
        <v>1425</v>
      </c>
      <c r="C6222" s="17">
        <v>0</v>
      </c>
      <c r="D6222" s="17" t="s">
        <v>801</v>
      </c>
      <c r="E6222" s="18">
        <v>8050450210391</v>
      </c>
      <c r="G6222" s="20" t="str">
        <f t="shared" si="291"/>
        <v xml:space="preserve"> OCLOCK/CHIFFRES </v>
      </c>
      <c r="H6222" s="20" t="str">
        <f t="shared" si="292"/>
        <v xml:space="preserve">CHO  </v>
      </c>
      <c r="I6222" s="20">
        <f t="shared" si="293"/>
        <v>0</v>
      </c>
    </row>
    <row r="6223" spans="1:9">
      <c r="A6223" s="17" t="s">
        <v>2113</v>
      </c>
      <c r="B6223" s="17" t="s">
        <v>1425</v>
      </c>
      <c r="C6223" s="17">
        <v>0</v>
      </c>
      <c r="D6223" s="17" t="s">
        <v>801</v>
      </c>
      <c r="E6223" s="18">
        <v>3020650561000</v>
      </c>
      <c r="G6223" s="20" t="str">
        <f t="shared" si="291"/>
        <v xml:space="preserve"> OCLOCK/CHIFFRES </v>
      </c>
      <c r="H6223" s="20" t="str">
        <f t="shared" si="292"/>
        <v xml:space="preserve">CHO  </v>
      </c>
      <c r="I6223" s="20">
        <f t="shared" si="293"/>
        <v>0</v>
      </c>
    </row>
    <row r="6224" spans="1:9">
      <c r="A6224" s="17" t="s">
        <v>2113</v>
      </c>
      <c r="B6224" s="17" t="s">
        <v>819</v>
      </c>
      <c r="C6224" s="17">
        <v>0</v>
      </c>
      <c r="D6224" s="17" t="s">
        <v>801</v>
      </c>
      <c r="E6224" s="18">
        <v>8050450210414</v>
      </c>
      <c r="G6224" s="20" t="str">
        <f t="shared" si="291"/>
        <v xml:space="preserve"> OCLOCK/CHIFFRES </v>
      </c>
      <c r="H6224" s="20" t="str">
        <f t="shared" si="292"/>
        <v xml:space="preserve">DOVE </v>
      </c>
      <c r="I6224" s="20">
        <f t="shared" si="293"/>
        <v>0</v>
      </c>
    </row>
    <row r="6225" spans="1:9">
      <c r="A6225" s="17" t="s">
        <v>2113</v>
      </c>
      <c r="B6225" s="17" t="s">
        <v>819</v>
      </c>
      <c r="C6225" s="17">
        <v>0</v>
      </c>
      <c r="D6225" s="17" t="s">
        <v>801</v>
      </c>
      <c r="E6225" s="18">
        <v>3020650570002</v>
      </c>
      <c r="G6225" s="20" t="str">
        <f t="shared" si="291"/>
        <v xml:space="preserve"> OCLOCK/CHIFFRES </v>
      </c>
      <c r="H6225" s="20" t="str">
        <f t="shared" si="292"/>
        <v xml:space="preserve">DOVE </v>
      </c>
      <c r="I6225" s="20">
        <f t="shared" si="293"/>
        <v>0</v>
      </c>
    </row>
    <row r="6226" spans="1:9">
      <c r="A6226" s="17" t="s">
        <v>2113</v>
      </c>
      <c r="B6226" s="17" t="s">
        <v>2092</v>
      </c>
      <c r="C6226" s="17">
        <v>0</v>
      </c>
      <c r="D6226" s="17" t="s">
        <v>801</v>
      </c>
      <c r="E6226" s="18">
        <v>8051770308119</v>
      </c>
      <c r="G6226" s="20" t="str">
        <f t="shared" si="291"/>
        <v xml:space="preserve"> OCLOCK/CHIFFRES </v>
      </c>
      <c r="H6226" s="20" t="str">
        <f t="shared" si="292"/>
        <v>MIRRO</v>
      </c>
      <c r="I6226" s="20">
        <f t="shared" si="293"/>
        <v>0</v>
      </c>
    </row>
    <row r="6227" spans="1:9">
      <c r="A6227" s="17" t="s">
        <v>2113</v>
      </c>
      <c r="B6227" s="17" t="s">
        <v>2092</v>
      </c>
      <c r="C6227" s="17">
        <v>0</v>
      </c>
      <c r="D6227" s="17" t="s">
        <v>801</v>
      </c>
      <c r="E6227" s="18">
        <v>3003450060003</v>
      </c>
      <c r="G6227" s="20" t="str">
        <f t="shared" si="291"/>
        <v xml:space="preserve"> OCLOCK/CHIFFRES </v>
      </c>
      <c r="H6227" s="20" t="str">
        <f t="shared" si="292"/>
        <v>MIRRO</v>
      </c>
      <c r="I6227" s="20">
        <f t="shared" si="293"/>
        <v>0</v>
      </c>
    </row>
    <row r="6228" spans="1:9">
      <c r="A6228" s="17" t="s">
        <v>2113</v>
      </c>
      <c r="B6228" s="17" t="s">
        <v>273</v>
      </c>
      <c r="C6228" s="17">
        <v>0</v>
      </c>
      <c r="D6228" s="17" t="s">
        <v>801</v>
      </c>
      <c r="E6228" s="18">
        <v>8051770306542</v>
      </c>
      <c r="G6228" s="20" t="str">
        <f t="shared" si="291"/>
        <v xml:space="preserve"> OCLOCK/CHIFFRES </v>
      </c>
      <c r="H6228" s="20" t="str">
        <f t="shared" si="292"/>
        <v>WHITE</v>
      </c>
      <c r="I6228" s="20">
        <f t="shared" si="293"/>
        <v>0</v>
      </c>
    </row>
    <row r="6229" spans="1:9">
      <c r="A6229" s="17" t="s">
        <v>2113</v>
      </c>
      <c r="B6229" s="17" t="s">
        <v>273</v>
      </c>
      <c r="C6229" s="17">
        <v>0</v>
      </c>
      <c r="D6229" s="17" t="s">
        <v>801</v>
      </c>
      <c r="E6229" s="18">
        <v>3003450004007</v>
      </c>
      <c r="G6229" s="20" t="str">
        <f t="shared" si="291"/>
        <v xml:space="preserve"> OCLOCK/CHIFFRES </v>
      </c>
      <c r="H6229" s="20" t="str">
        <f t="shared" si="292"/>
        <v>WHITE</v>
      </c>
      <c r="I6229" s="20">
        <f t="shared" si="293"/>
        <v>0</v>
      </c>
    </row>
    <row r="6230" spans="1:9">
      <c r="A6230" s="17" t="s">
        <v>2114</v>
      </c>
      <c r="B6230" s="17" t="s">
        <v>2115</v>
      </c>
      <c r="C6230" s="17">
        <v>0</v>
      </c>
      <c r="D6230" s="17" t="s">
        <v>801</v>
      </c>
      <c r="E6230" s="18">
        <v>3004560729002</v>
      </c>
      <c r="G6230" s="20" t="str">
        <f t="shared" si="291"/>
        <v xml:space="preserve"> OCLOCK/CITY     </v>
      </c>
      <c r="H6230" s="20" t="str">
        <f t="shared" si="292"/>
        <v>AMSTE</v>
      </c>
      <c r="I6230" s="20">
        <f t="shared" si="293"/>
        <v>0</v>
      </c>
    </row>
    <row r="6231" spans="1:9">
      <c r="A6231" s="17" t="s">
        <v>2114</v>
      </c>
      <c r="B6231" s="17" t="s">
        <v>2115</v>
      </c>
      <c r="C6231" s="17">
        <v>0</v>
      </c>
      <c r="D6231" s="17" t="s">
        <v>801</v>
      </c>
      <c r="E6231" s="18">
        <v>8058333586861</v>
      </c>
      <c r="G6231" s="20" t="str">
        <f t="shared" si="291"/>
        <v xml:space="preserve"> OCLOCK/CITY     </v>
      </c>
      <c r="H6231" s="20" t="str">
        <f t="shared" si="292"/>
        <v>AMSTE</v>
      </c>
      <c r="I6231" s="20">
        <f t="shared" si="293"/>
        <v>0</v>
      </c>
    </row>
    <row r="6232" spans="1:9">
      <c r="A6232" s="17" t="s">
        <v>2114</v>
      </c>
      <c r="B6232" s="17" t="s">
        <v>2115</v>
      </c>
      <c r="C6232" s="17">
        <v>0</v>
      </c>
      <c r="D6232" s="17" t="s">
        <v>801</v>
      </c>
      <c r="E6232" s="18">
        <v>3005220729004</v>
      </c>
      <c r="G6232" s="20" t="str">
        <f t="shared" si="291"/>
        <v xml:space="preserve"> OCLOCK/CITY     </v>
      </c>
      <c r="H6232" s="20" t="str">
        <f t="shared" si="292"/>
        <v>AMSTE</v>
      </c>
      <c r="I6232" s="20">
        <f t="shared" si="293"/>
        <v>0</v>
      </c>
    </row>
    <row r="6233" spans="1:9">
      <c r="A6233" s="17" t="s">
        <v>2114</v>
      </c>
      <c r="B6233" s="17" t="s">
        <v>2116</v>
      </c>
      <c r="C6233" s="17">
        <v>0</v>
      </c>
      <c r="D6233" s="17" t="s">
        <v>801</v>
      </c>
      <c r="E6233" s="18">
        <v>3004560730008</v>
      </c>
      <c r="G6233" s="20" t="str">
        <f t="shared" si="291"/>
        <v xml:space="preserve"> OCLOCK/CITY     </v>
      </c>
      <c r="H6233" s="20" t="str">
        <f t="shared" si="292"/>
        <v>NEWYO</v>
      </c>
      <c r="I6233" s="20">
        <f t="shared" si="293"/>
        <v>0</v>
      </c>
    </row>
    <row r="6234" spans="1:9">
      <c r="A6234" s="17" t="s">
        <v>2114</v>
      </c>
      <c r="B6234" s="17" t="s">
        <v>2116</v>
      </c>
      <c r="C6234" s="17">
        <v>0</v>
      </c>
      <c r="D6234" s="17" t="s">
        <v>801</v>
      </c>
      <c r="E6234" s="18">
        <v>8058333586878</v>
      </c>
      <c r="G6234" s="20" t="str">
        <f t="shared" si="291"/>
        <v xml:space="preserve"> OCLOCK/CITY     </v>
      </c>
      <c r="H6234" s="20" t="str">
        <f t="shared" si="292"/>
        <v>NEWYO</v>
      </c>
      <c r="I6234" s="20">
        <f t="shared" si="293"/>
        <v>0</v>
      </c>
    </row>
    <row r="6235" spans="1:9">
      <c r="A6235" s="17" t="s">
        <v>2114</v>
      </c>
      <c r="B6235" s="17" t="s">
        <v>2116</v>
      </c>
      <c r="C6235" s="17">
        <v>0</v>
      </c>
      <c r="D6235" s="17" t="s">
        <v>801</v>
      </c>
      <c r="E6235" s="18">
        <v>3005220730000</v>
      </c>
      <c r="G6235" s="20" t="str">
        <f t="shared" si="291"/>
        <v xml:space="preserve"> OCLOCK/CITY     </v>
      </c>
      <c r="H6235" s="20" t="str">
        <f t="shared" si="292"/>
        <v>NEWYO</v>
      </c>
      <c r="I6235" s="20">
        <f t="shared" si="293"/>
        <v>0</v>
      </c>
    </row>
    <row r="6236" spans="1:9">
      <c r="A6236" s="17" t="s">
        <v>2114</v>
      </c>
      <c r="B6236" s="17" t="s">
        <v>2117</v>
      </c>
      <c r="C6236" s="17">
        <v>0</v>
      </c>
      <c r="D6236" s="17" t="s">
        <v>801</v>
      </c>
      <c r="E6236" s="18">
        <v>3004560731005</v>
      </c>
      <c r="G6236" s="20" t="str">
        <f t="shared" si="291"/>
        <v xml:space="preserve"> OCLOCK/CITY     </v>
      </c>
      <c r="H6236" s="20" t="str">
        <f t="shared" si="292"/>
        <v>PARIS</v>
      </c>
      <c r="I6236" s="20">
        <f t="shared" si="293"/>
        <v>0</v>
      </c>
    </row>
    <row r="6237" spans="1:9">
      <c r="A6237" s="17" t="s">
        <v>2114</v>
      </c>
      <c r="B6237" s="17" t="s">
        <v>2117</v>
      </c>
      <c r="C6237" s="17">
        <v>0</v>
      </c>
      <c r="D6237" s="17" t="s">
        <v>801</v>
      </c>
      <c r="E6237" s="18">
        <v>8058333586885</v>
      </c>
      <c r="G6237" s="20" t="str">
        <f t="shared" si="291"/>
        <v xml:space="preserve"> OCLOCK/CITY     </v>
      </c>
      <c r="H6237" s="20" t="str">
        <f t="shared" si="292"/>
        <v>PARIS</v>
      </c>
      <c r="I6237" s="20">
        <f t="shared" si="293"/>
        <v>0</v>
      </c>
    </row>
    <row r="6238" spans="1:9">
      <c r="A6238" s="17" t="s">
        <v>2114</v>
      </c>
      <c r="B6238" s="17" t="s">
        <v>2117</v>
      </c>
      <c r="C6238" s="17">
        <v>0</v>
      </c>
      <c r="D6238" s="17" t="s">
        <v>801</v>
      </c>
      <c r="E6238" s="18">
        <v>3005220731007</v>
      </c>
      <c r="G6238" s="20" t="str">
        <f t="shared" si="291"/>
        <v xml:space="preserve"> OCLOCK/CITY     </v>
      </c>
      <c r="H6238" s="20" t="str">
        <f t="shared" si="292"/>
        <v>PARIS</v>
      </c>
      <c r="I6238" s="20">
        <f t="shared" si="293"/>
        <v>0</v>
      </c>
    </row>
    <row r="6239" spans="1:9">
      <c r="A6239" s="17" t="s">
        <v>2118</v>
      </c>
      <c r="B6239" s="17" t="s">
        <v>280</v>
      </c>
      <c r="C6239" s="17">
        <v>0</v>
      </c>
      <c r="D6239" s="17" t="s">
        <v>801</v>
      </c>
      <c r="E6239" s="18">
        <v>8051770308249</v>
      </c>
      <c r="G6239" s="20" t="str">
        <f t="shared" si="291"/>
        <v xml:space="preserve"> OCLOCK/CRYSTAL  </v>
      </c>
      <c r="H6239" s="20" t="str">
        <f t="shared" si="292"/>
        <v>BLACK</v>
      </c>
      <c r="I6239" s="20">
        <f t="shared" si="293"/>
        <v>0</v>
      </c>
    </row>
    <row r="6240" spans="1:9">
      <c r="A6240" s="17" t="s">
        <v>2118</v>
      </c>
      <c r="B6240" s="17" t="s">
        <v>280</v>
      </c>
      <c r="C6240" s="17">
        <v>0</v>
      </c>
      <c r="D6240" s="17" t="s">
        <v>801</v>
      </c>
      <c r="E6240" s="18">
        <v>3003380001008</v>
      </c>
      <c r="G6240" s="20" t="str">
        <f t="shared" si="291"/>
        <v xml:space="preserve"> OCLOCK/CRYSTAL  </v>
      </c>
      <c r="H6240" s="20" t="str">
        <f t="shared" si="292"/>
        <v>BLACK</v>
      </c>
      <c r="I6240" s="20">
        <f t="shared" si="293"/>
        <v>0</v>
      </c>
    </row>
    <row r="6241" spans="1:9">
      <c r="A6241" s="17" t="s">
        <v>2118</v>
      </c>
      <c r="B6241" s="17" t="s">
        <v>1896</v>
      </c>
      <c r="C6241" s="17">
        <v>0</v>
      </c>
      <c r="D6241" s="17" t="s">
        <v>801</v>
      </c>
      <c r="E6241" s="18">
        <v>3020670546001</v>
      </c>
      <c r="G6241" s="20" t="str">
        <f t="shared" si="291"/>
        <v xml:space="preserve"> OCLOCK/CRYSTAL  </v>
      </c>
      <c r="H6241" s="20" t="str">
        <f t="shared" si="292"/>
        <v xml:space="preserve">BLM  </v>
      </c>
      <c r="I6241" s="20">
        <f t="shared" si="293"/>
        <v>0</v>
      </c>
    </row>
    <row r="6242" spans="1:9">
      <c r="A6242" s="17" t="s">
        <v>2118</v>
      </c>
      <c r="B6242" s="17" t="s">
        <v>2119</v>
      </c>
      <c r="C6242" s="17">
        <v>0</v>
      </c>
      <c r="D6242" s="17" t="s">
        <v>801</v>
      </c>
      <c r="E6242" s="18">
        <v>8050450210445</v>
      </c>
      <c r="G6242" s="20" t="str">
        <f t="shared" si="291"/>
        <v xml:space="preserve"> OCLOCK/CRYSTAL  </v>
      </c>
      <c r="H6242" s="20" t="str">
        <f t="shared" si="292"/>
        <v xml:space="preserve">BLMI </v>
      </c>
      <c r="I6242" s="20">
        <f t="shared" si="293"/>
        <v>0</v>
      </c>
    </row>
    <row r="6243" spans="1:9">
      <c r="A6243" s="17" t="s">
        <v>2118</v>
      </c>
      <c r="B6243" s="17" t="s">
        <v>2119</v>
      </c>
      <c r="C6243" s="17">
        <v>0</v>
      </c>
      <c r="D6243" s="17" t="s">
        <v>801</v>
      </c>
      <c r="E6243" s="18">
        <v>3020670175003</v>
      </c>
      <c r="G6243" s="20" t="str">
        <f t="shared" si="291"/>
        <v xml:space="preserve"> OCLOCK/CRYSTAL  </v>
      </c>
      <c r="H6243" s="20" t="str">
        <f t="shared" si="292"/>
        <v xml:space="preserve">BLMI </v>
      </c>
      <c r="I6243" s="20">
        <f t="shared" si="293"/>
        <v>0</v>
      </c>
    </row>
    <row r="6244" spans="1:9">
      <c r="A6244" s="17" t="s">
        <v>2118</v>
      </c>
      <c r="B6244" s="17" t="s">
        <v>819</v>
      </c>
      <c r="C6244" s="17">
        <v>0</v>
      </c>
      <c r="D6244" s="17" t="s">
        <v>801</v>
      </c>
      <c r="E6244" s="18">
        <v>8051770308256</v>
      </c>
      <c r="G6244" s="20" t="str">
        <f t="shared" si="291"/>
        <v xml:space="preserve"> OCLOCK/CRYSTAL  </v>
      </c>
      <c r="H6244" s="20" t="str">
        <f t="shared" si="292"/>
        <v xml:space="preserve">DOVE </v>
      </c>
      <c r="I6244" s="20">
        <f t="shared" si="293"/>
        <v>0</v>
      </c>
    </row>
    <row r="6245" spans="1:9">
      <c r="A6245" s="17" t="s">
        <v>2118</v>
      </c>
      <c r="B6245" s="17" t="s">
        <v>819</v>
      </c>
      <c r="C6245" s="17">
        <v>0</v>
      </c>
      <c r="D6245" s="17" t="s">
        <v>801</v>
      </c>
      <c r="E6245" s="18">
        <v>3003380006003</v>
      </c>
      <c r="G6245" s="20" t="str">
        <f t="shared" si="291"/>
        <v xml:space="preserve"> OCLOCK/CRYSTAL  </v>
      </c>
      <c r="H6245" s="20" t="str">
        <f t="shared" si="292"/>
        <v xml:space="preserve">DOVE </v>
      </c>
      <c r="I6245" s="20">
        <f t="shared" si="293"/>
        <v>0</v>
      </c>
    </row>
    <row r="6246" spans="1:9">
      <c r="A6246" s="17" t="s">
        <v>2118</v>
      </c>
      <c r="B6246" s="17" t="s">
        <v>995</v>
      </c>
      <c r="C6246" s="17">
        <v>0</v>
      </c>
      <c r="D6246" s="17" t="s">
        <v>801</v>
      </c>
      <c r="E6246" s="18">
        <v>3003380101005</v>
      </c>
      <c r="G6246" s="20" t="str">
        <f t="shared" si="291"/>
        <v xml:space="preserve"> OCLOCK/CRYSTAL  </v>
      </c>
      <c r="H6246" s="20" t="str">
        <f t="shared" si="292"/>
        <v xml:space="preserve">EMER </v>
      </c>
      <c r="I6246" s="20">
        <f t="shared" si="293"/>
        <v>0</v>
      </c>
    </row>
    <row r="6247" spans="1:9">
      <c r="A6247" s="17" t="s">
        <v>2118</v>
      </c>
      <c r="B6247" s="17" t="s">
        <v>858</v>
      </c>
      <c r="C6247" s="17">
        <v>0</v>
      </c>
      <c r="D6247" s="17" t="s">
        <v>801</v>
      </c>
      <c r="E6247" s="18">
        <v>8050450210438</v>
      </c>
      <c r="G6247" s="20" t="str">
        <f t="shared" si="291"/>
        <v xml:space="preserve"> OCLOCK/CRYSTAL  </v>
      </c>
      <c r="H6247" s="20" t="str">
        <f t="shared" si="292"/>
        <v xml:space="preserve">GREY </v>
      </c>
      <c r="I6247" s="20">
        <f t="shared" si="293"/>
        <v>0</v>
      </c>
    </row>
    <row r="6248" spans="1:9">
      <c r="A6248" s="17" t="s">
        <v>2118</v>
      </c>
      <c r="B6248" s="17" t="s">
        <v>858</v>
      </c>
      <c r="C6248" s="17">
        <v>0</v>
      </c>
      <c r="D6248" s="17" t="s">
        <v>801</v>
      </c>
      <c r="E6248" s="18">
        <v>3020670007007</v>
      </c>
      <c r="G6248" s="20" t="str">
        <f t="shared" si="291"/>
        <v xml:space="preserve"> OCLOCK/CRYSTAL  </v>
      </c>
      <c r="H6248" s="20" t="str">
        <f t="shared" si="292"/>
        <v xml:space="preserve">GREY </v>
      </c>
      <c r="I6248" s="20">
        <f t="shared" si="293"/>
        <v>0</v>
      </c>
    </row>
    <row r="6249" spans="1:9">
      <c r="A6249" s="17" t="s">
        <v>2118</v>
      </c>
      <c r="B6249" s="17" t="s">
        <v>1057</v>
      </c>
      <c r="C6249" s="17">
        <v>0</v>
      </c>
      <c r="D6249" s="17" t="s">
        <v>801</v>
      </c>
      <c r="E6249" s="18">
        <v>3020671007006</v>
      </c>
      <c r="G6249" s="20" t="str">
        <f t="shared" si="291"/>
        <v xml:space="preserve"> OCLOCK/CRYSTAL  </v>
      </c>
      <c r="H6249" s="20" t="str">
        <f t="shared" si="292"/>
        <v xml:space="preserve">MAR  </v>
      </c>
      <c r="I6249" s="20">
        <f t="shared" si="293"/>
        <v>0</v>
      </c>
    </row>
    <row r="6250" spans="1:9">
      <c r="A6250" s="17" t="s">
        <v>2118</v>
      </c>
      <c r="B6250" s="17" t="s">
        <v>1078</v>
      </c>
      <c r="C6250" s="17">
        <v>0</v>
      </c>
      <c r="D6250" s="17" t="s">
        <v>801</v>
      </c>
      <c r="E6250" s="18">
        <v>8050450219271</v>
      </c>
      <c r="G6250" s="20" t="str">
        <f t="shared" si="291"/>
        <v xml:space="preserve"> OCLOCK/CRYSTAL  </v>
      </c>
      <c r="H6250" s="20" t="str">
        <f t="shared" si="292"/>
        <v xml:space="preserve">NAVY </v>
      </c>
      <c r="I6250" s="20">
        <f t="shared" si="293"/>
        <v>0</v>
      </c>
    </row>
    <row r="6251" spans="1:9">
      <c r="A6251" s="17" t="s">
        <v>2118</v>
      </c>
      <c r="B6251" s="17" t="s">
        <v>1078</v>
      </c>
      <c r="C6251" s="17">
        <v>0</v>
      </c>
      <c r="D6251" s="17" t="s">
        <v>801</v>
      </c>
      <c r="E6251" s="18">
        <v>3020670008004</v>
      </c>
      <c r="G6251" s="20" t="str">
        <f t="shared" si="291"/>
        <v xml:space="preserve"> OCLOCK/CRYSTAL  </v>
      </c>
      <c r="H6251" s="20" t="str">
        <f t="shared" si="292"/>
        <v xml:space="preserve">NAVY </v>
      </c>
      <c r="I6251" s="20">
        <f t="shared" si="293"/>
        <v>0</v>
      </c>
    </row>
    <row r="6252" spans="1:9">
      <c r="A6252" s="17" t="s">
        <v>2118</v>
      </c>
      <c r="B6252" s="17" t="s">
        <v>1236</v>
      </c>
      <c r="C6252" s="17">
        <v>0</v>
      </c>
      <c r="D6252" s="17" t="s">
        <v>801</v>
      </c>
      <c r="E6252" s="18">
        <v>8050450219264</v>
      </c>
      <c r="G6252" s="20" t="str">
        <f t="shared" si="291"/>
        <v xml:space="preserve"> OCLOCK/CRYSTAL  </v>
      </c>
      <c r="H6252" s="20" t="str">
        <f t="shared" si="292"/>
        <v xml:space="preserve">POW  </v>
      </c>
      <c r="I6252" s="20">
        <f t="shared" si="293"/>
        <v>0</v>
      </c>
    </row>
    <row r="6253" spans="1:9">
      <c r="A6253" s="17" t="s">
        <v>2118</v>
      </c>
      <c r="B6253" s="17" t="s">
        <v>1236</v>
      </c>
      <c r="C6253" s="17">
        <v>0</v>
      </c>
      <c r="D6253" s="17" t="s">
        <v>801</v>
      </c>
      <c r="E6253" s="18">
        <v>3020670609003</v>
      </c>
      <c r="G6253" s="20" t="str">
        <f t="shared" si="291"/>
        <v xml:space="preserve"> OCLOCK/CRYSTAL  </v>
      </c>
      <c r="H6253" s="20" t="str">
        <f t="shared" si="292"/>
        <v xml:space="preserve">POW  </v>
      </c>
      <c r="I6253" s="20">
        <f t="shared" si="293"/>
        <v>0</v>
      </c>
    </row>
    <row r="6254" spans="1:9">
      <c r="A6254" s="17" t="s">
        <v>2118</v>
      </c>
      <c r="B6254" s="17" t="s">
        <v>1439</v>
      </c>
      <c r="C6254" s="17">
        <v>0</v>
      </c>
      <c r="D6254" s="17" t="s">
        <v>801</v>
      </c>
      <c r="E6254" s="18">
        <v>8051770309277</v>
      </c>
      <c r="G6254" s="20" t="str">
        <f t="shared" si="291"/>
        <v xml:space="preserve"> OCLOCK/CRYSTAL  </v>
      </c>
      <c r="H6254" s="20" t="str">
        <f t="shared" si="292"/>
        <v xml:space="preserve">RUBY </v>
      </c>
      <c r="I6254" s="20">
        <f t="shared" si="293"/>
        <v>0</v>
      </c>
    </row>
    <row r="6255" spans="1:9">
      <c r="A6255" s="17" t="s">
        <v>2118</v>
      </c>
      <c r="B6255" s="17" t="s">
        <v>1439</v>
      </c>
      <c r="C6255" s="17">
        <v>0</v>
      </c>
      <c r="D6255" s="17" t="s">
        <v>801</v>
      </c>
      <c r="E6255" s="18">
        <v>3003380084001</v>
      </c>
      <c r="G6255" s="20" t="str">
        <f t="shared" si="291"/>
        <v xml:space="preserve"> OCLOCK/CRYSTAL  </v>
      </c>
      <c r="H6255" s="20" t="str">
        <f t="shared" si="292"/>
        <v xml:space="preserve">RUBY </v>
      </c>
      <c r="I6255" s="20">
        <f t="shared" si="293"/>
        <v>0</v>
      </c>
    </row>
    <row r="6256" spans="1:9">
      <c r="A6256" s="17" t="s">
        <v>2118</v>
      </c>
      <c r="B6256" s="17" t="s">
        <v>1440</v>
      </c>
      <c r="C6256" s="17">
        <v>0</v>
      </c>
      <c r="D6256" s="17" t="s">
        <v>801</v>
      </c>
      <c r="E6256" s="18">
        <v>8051770309291</v>
      </c>
      <c r="G6256" s="20" t="str">
        <f t="shared" si="291"/>
        <v xml:space="preserve"> OCLOCK/CRYSTAL  </v>
      </c>
      <c r="H6256" s="20" t="str">
        <f t="shared" si="292"/>
        <v xml:space="preserve">SAPH </v>
      </c>
      <c r="I6256" s="20">
        <f t="shared" si="293"/>
        <v>0</v>
      </c>
    </row>
    <row r="6257" spans="1:9">
      <c r="A6257" s="17" t="s">
        <v>2118</v>
      </c>
      <c r="B6257" s="17" t="s">
        <v>1440</v>
      </c>
      <c r="C6257" s="17">
        <v>0</v>
      </c>
      <c r="D6257" s="17" t="s">
        <v>801</v>
      </c>
      <c r="E6257" s="18">
        <v>3003380100008</v>
      </c>
      <c r="G6257" s="20" t="str">
        <f t="shared" si="291"/>
        <v xml:space="preserve"> OCLOCK/CRYSTAL  </v>
      </c>
      <c r="H6257" s="20" t="str">
        <f t="shared" si="292"/>
        <v xml:space="preserve">SAPH </v>
      </c>
      <c r="I6257" s="20">
        <f t="shared" si="293"/>
        <v>0</v>
      </c>
    </row>
    <row r="6258" spans="1:9">
      <c r="A6258" s="17" t="s">
        <v>2118</v>
      </c>
      <c r="B6258" s="17" t="s">
        <v>1240</v>
      </c>
      <c r="C6258" s="17">
        <v>0</v>
      </c>
      <c r="D6258" s="17" t="s">
        <v>801</v>
      </c>
      <c r="E6258" s="18">
        <v>8050450219257</v>
      </c>
      <c r="G6258" s="20" t="str">
        <f t="shared" si="291"/>
        <v xml:space="preserve"> OCLOCK/CRYSTAL  </v>
      </c>
      <c r="H6258" s="20" t="str">
        <f t="shared" si="292"/>
        <v xml:space="preserve">SAU  </v>
      </c>
      <c r="I6258" s="20">
        <f t="shared" si="293"/>
        <v>0</v>
      </c>
    </row>
    <row r="6259" spans="1:9">
      <c r="A6259" s="17" t="s">
        <v>2118</v>
      </c>
      <c r="B6259" s="17" t="s">
        <v>1240</v>
      </c>
      <c r="C6259" s="17">
        <v>0</v>
      </c>
      <c r="D6259" s="17" t="s">
        <v>801</v>
      </c>
      <c r="E6259" s="18">
        <v>3020670111001</v>
      </c>
      <c r="G6259" s="20" t="str">
        <f t="shared" si="291"/>
        <v xml:space="preserve"> OCLOCK/CRYSTAL  </v>
      </c>
      <c r="H6259" s="20" t="str">
        <f t="shared" si="292"/>
        <v xml:space="preserve">SAU  </v>
      </c>
      <c r="I6259" s="20">
        <f t="shared" si="293"/>
        <v>0</v>
      </c>
    </row>
    <row r="6260" spans="1:9">
      <c r="A6260" s="17" t="s">
        <v>2118</v>
      </c>
      <c r="B6260" s="17" t="s">
        <v>1013</v>
      </c>
      <c r="C6260" s="17">
        <v>0</v>
      </c>
      <c r="D6260" s="17" t="s">
        <v>801</v>
      </c>
      <c r="E6260" s="18">
        <v>8051770308263</v>
      </c>
      <c r="G6260" s="20" t="str">
        <f t="shared" si="291"/>
        <v xml:space="preserve"> OCLOCK/CRYSTAL  </v>
      </c>
      <c r="H6260" s="20" t="str">
        <f t="shared" si="292"/>
        <v xml:space="preserve">TURQ </v>
      </c>
      <c r="I6260" s="20">
        <f t="shared" si="293"/>
        <v>0</v>
      </c>
    </row>
    <row r="6261" spans="1:9">
      <c r="A6261" s="17" t="s">
        <v>2118</v>
      </c>
      <c r="B6261" s="17" t="s">
        <v>1013</v>
      </c>
      <c r="C6261" s="17">
        <v>0</v>
      </c>
      <c r="D6261" s="17" t="s">
        <v>801</v>
      </c>
      <c r="E6261" s="18">
        <v>3003380026001</v>
      </c>
      <c r="G6261" s="20" t="str">
        <f t="shared" si="291"/>
        <v xml:space="preserve"> OCLOCK/CRYSTAL  </v>
      </c>
      <c r="H6261" s="20" t="str">
        <f t="shared" si="292"/>
        <v xml:space="preserve">TURQ </v>
      </c>
      <c r="I6261" s="20">
        <f t="shared" si="293"/>
        <v>0</v>
      </c>
    </row>
    <row r="6262" spans="1:9">
      <c r="A6262" s="17" t="s">
        <v>2118</v>
      </c>
      <c r="B6262" s="17" t="s">
        <v>928</v>
      </c>
      <c r="C6262" s="17">
        <v>0</v>
      </c>
      <c r="D6262" s="17" t="s">
        <v>801</v>
      </c>
      <c r="E6262" s="18">
        <v>8050450210421</v>
      </c>
      <c r="G6262" s="20" t="str">
        <f t="shared" si="291"/>
        <v xml:space="preserve"> OCLOCK/CRYSTAL  </v>
      </c>
      <c r="H6262" s="20" t="str">
        <f t="shared" si="292"/>
        <v>WBLUE</v>
      </c>
      <c r="I6262" s="20">
        <f t="shared" si="293"/>
        <v>0</v>
      </c>
    </row>
    <row r="6263" spans="1:9">
      <c r="A6263" s="17" t="s">
        <v>2118</v>
      </c>
      <c r="B6263" s="17" t="s">
        <v>928</v>
      </c>
      <c r="C6263" s="17">
        <v>0</v>
      </c>
      <c r="D6263" s="17" t="s">
        <v>801</v>
      </c>
      <c r="E6263" s="18">
        <v>3020670629001</v>
      </c>
      <c r="G6263" s="20" t="str">
        <f t="shared" si="291"/>
        <v xml:space="preserve"> OCLOCK/CRYSTAL  </v>
      </c>
      <c r="H6263" s="20" t="str">
        <f t="shared" si="292"/>
        <v>WBLUE</v>
      </c>
      <c r="I6263" s="20">
        <f t="shared" si="293"/>
        <v>0</v>
      </c>
    </row>
    <row r="6264" spans="1:9">
      <c r="A6264" s="17" t="s">
        <v>2120</v>
      </c>
      <c r="B6264" s="17" t="s">
        <v>2121</v>
      </c>
      <c r="C6264" s="17">
        <v>0</v>
      </c>
      <c r="D6264" s="17" t="s">
        <v>801</v>
      </c>
      <c r="E6264" s="18">
        <v>3003310732002</v>
      </c>
      <c r="G6264" s="20" t="str">
        <f t="shared" si="291"/>
        <v xml:space="preserve"> OCLOCK/DISNEY   </v>
      </c>
      <c r="H6264" s="20" t="str">
        <f t="shared" si="292"/>
        <v>DAISY</v>
      </c>
      <c r="I6264" s="20">
        <f t="shared" si="293"/>
        <v>0</v>
      </c>
    </row>
    <row r="6265" spans="1:9">
      <c r="A6265" s="17" t="s">
        <v>2120</v>
      </c>
      <c r="B6265" s="17" t="s">
        <v>2121</v>
      </c>
      <c r="C6265" s="17">
        <v>0</v>
      </c>
      <c r="D6265" s="17" t="s">
        <v>801</v>
      </c>
      <c r="E6265" s="18">
        <v>8058333586779</v>
      </c>
      <c r="G6265" s="20" t="str">
        <f t="shared" si="291"/>
        <v xml:space="preserve"> OCLOCK/DISNEY   </v>
      </c>
      <c r="H6265" s="20" t="str">
        <f t="shared" si="292"/>
        <v>DAISY</v>
      </c>
      <c r="I6265" s="20">
        <f t="shared" si="293"/>
        <v>0</v>
      </c>
    </row>
    <row r="6266" spans="1:9">
      <c r="A6266" s="17" t="s">
        <v>2120</v>
      </c>
      <c r="B6266" s="17" t="s">
        <v>2122</v>
      </c>
      <c r="C6266" s="17">
        <v>0</v>
      </c>
      <c r="D6266" s="17" t="s">
        <v>801</v>
      </c>
      <c r="E6266" s="18">
        <v>3003390049007</v>
      </c>
      <c r="G6266" s="20" t="str">
        <f t="shared" si="291"/>
        <v xml:space="preserve"> OCLOCK/DISNEY   </v>
      </c>
      <c r="H6266" s="20" t="str">
        <f t="shared" si="292"/>
        <v>DINGO</v>
      </c>
      <c r="I6266" s="20">
        <f t="shared" si="293"/>
        <v>0</v>
      </c>
    </row>
    <row r="6267" spans="1:9">
      <c r="A6267" s="17" t="s">
        <v>2120</v>
      </c>
      <c r="B6267" s="17" t="s">
        <v>2123</v>
      </c>
      <c r="C6267" s="17">
        <v>0</v>
      </c>
      <c r="D6267" s="17" t="s">
        <v>801</v>
      </c>
      <c r="E6267" s="18">
        <v>3003310733009</v>
      </c>
      <c r="G6267" s="20" t="str">
        <f t="shared" si="291"/>
        <v xml:space="preserve"> OCLOCK/DISNEY   </v>
      </c>
      <c r="H6267" s="20" t="str">
        <f t="shared" si="292"/>
        <v>DONAL</v>
      </c>
      <c r="I6267" s="20">
        <f t="shared" si="293"/>
        <v>0</v>
      </c>
    </row>
    <row r="6268" spans="1:9">
      <c r="A6268" s="17" t="s">
        <v>2120</v>
      </c>
      <c r="B6268" s="17" t="s">
        <v>2123</v>
      </c>
      <c r="C6268" s="17">
        <v>0</v>
      </c>
      <c r="D6268" s="17" t="s">
        <v>801</v>
      </c>
      <c r="E6268" s="18">
        <v>8058333586809</v>
      </c>
      <c r="G6268" s="20" t="str">
        <f t="shared" si="291"/>
        <v xml:space="preserve"> OCLOCK/DISNEY   </v>
      </c>
      <c r="H6268" s="20" t="str">
        <f t="shared" si="292"/>
        <v>DONAL</v>
      </c>
      <c r="I6268" s="20">
        <f t="shared" si="293"/>
        <v>0</v>
      </c>
    </row>
    <row r="6269" spans="1:9">
      <c r="A6269" s="17" t="s">
        <v>2120</v>
      </c>
      <c r="B6269" s="17" t="s">
        <v>2124</v>
      </c>
      <c r="C6269" s="17">
        <v>0</v>
      </c>
      <c r="D6269" s="17" t="s">
        <v>801</v>
      </c>
      <c r="E6269" s="18">
        <v>8051770302759</v>
      </c>
      <c r="G6269" s="20" t="str">
        <f t="shared" si="291"/>
        <v xml:space="preserve"> OCLOCK/DISNEY   </v>
      </c>
      <c r="H6269" s="20" t="str">
        <f t="shared" si="292"/>
        <v xml:space="preserve">MICK </v>
      </c>
      <c r="I6269" s="20">
        <f t="shared" si="293"/>
        <v>0</v>
      </c>
    </row>
    <row r="6270" spans="1:9">
      <c r="A6270" s="17" t="s">
        <v>2120</v>
      </c>
      <c r="B6270" s="17" t="s">
        <v>2124</v>
      </c>
      <c r="C6270" s="17">
        <v>0</v>
      </c>
      <c r="D6270" s="17" t="s">
        <v>801</v>
      </c>
      <c r="E6270" s="18">
        <v>3003390046006</v>
      </c>
      <c r="G6270" s="20" t="str">
        <f t="shared" si="291"/>
        <v xml:space="preserve"> OCLOCK/DISNEY   </v>
      </c>
      <c r="H6270" s="20" t="str">
        <f t="shared" si="292"/>
        <v xml:space="preserve">MICK </v>
      </c>
      <c r="I6270" s="20">
        <f t="shared" si="293"/>
        <v>0</v>
      </c>
    </row>
    <row r="6271" spans="1:9">
      <c r="A6271" s="17" t="s">
        <v>2120</v>
      </c>
      <c r="B6271" s="17" t="s">
        <v>2125</v>
      </c>
      <c r="C6271" s="17">
        <v>0</v>
      </c>
      <c r="D6271" s="17" t="s">
        <v>801</v>
      </c>
      <c r="E6271" s="18">
        <v>8051770302728</v>
      </c>
      <c r="G6271" s="20" t="str">
        <f t="shared" si="291"/>
        <v xml:space="preserve"> OCLOCK/DISNEY   </v>
      </c>
      <c r="H6271" s="20" t="str">
        <f t="shared" si="292"/>
        <v>MINNI</v>
      </c>
      <c r="I6271" s="20">
        <f t="shared" si="293"/>
        <v>0</v>
      </c>
    </row>
    <row r="6272" spans="1:9">
      <c r="A6272" s="17" t="s">
        <v>2120</v>
      </c>
      <c r="B6272" s="17" t="s">
        <v>2125</v>
      </c>
      <c r="C6272" s="17">
        <v>0</v>
      </c>
      <c r="D6272" s="17" t="s">
        <v>801</v>
      </c>
      <c r="E6272" s="18">
        <v>3003390047003</v>
      </c>
      <c r="G6272" s="20" t="str">
        <f t="shared" si="291"/>
        <v xml:space="preserve"> OCLOCK/DISNEY   </v>
      </c>
      <c r="H6272" s="20" t="str">
        <f t="shared" si="292"/>
        <v>MINNI</v>
      </c>
      <c r="I6272" s="20">
        <f t="shared" si="293"/>
        <v>0</v>
      </c>
    </row>
    <row r="6273" spans="1:9">
      <c r="A6273" s="17" t="s">
        <v>2120</v>
      </c>
      <c r="B6273" s="17" t="s">
        <v>2126</v>
      </c>
      <c r="C6273" s="17">
        <v>0</v>
      </c>
      <c r="D6273" s="17" t="s">
        <v>801</v>
      </c>
      <c r="E6273" s="18">
        <v>8051770302711</v>
      </c>
      <c r="G6273" s="20" t="str">
        <f t="shared" si="291"/>
        <v xml:space="preserve"> OCLOCK/DISNEY   </v>
      </c>
      <c r="H6273" s="20" t="str">
        <f t="shared" si="292"/>
        <v>MOUSE</v>
      </c>
      <c r="I6273" s="20">
        <f t="shared" si="293"/>
        <v>0</v>
      </c>
    </row>
    <row r="6274" spans="1:9">
      <c r="A6274" s="17" t="s">
        <v>2120</v>
      </c>
      <c r="B6274" s="17" t="s">
        <v>2126</v>
      </c>
      <c r="C6274" s="17">
        <v>0</v>
      </c>
      <c r="D6274" s="17" t="s">
        <v>801</v>
      </c>
      <c r="E6274" s="18">
        <v>3003390050003</v>
      </c>
      <c r="G6274" s="20" t="str">
        <f t="shared" si="291"/>
        <v xml:space="preserve"> OCLOCK/DISNEY   </v>
      </c>
      <c r="H6274" s="20" t="str">
        <f t="shared" si="292"/>
        <v>MOUSE</v>
      </c>
      <c r="I6274" s="20">
        <f t="shared" si="293"/>
        <v>0</v>
      </c>
    </row>
    <row r="6275" spans="1:9">
      <c r="A6275" s="17" t="s">
        <v>2120</v>
      </c>
      <c r="B6275" s="17" t="s">
        <v>2127</v>
      </c>
      <c r="C6275" s="17">
        <v>0</v>
      </c>
      <c r="D6275" s="17" t="s">
        <v>801</v>
      </c>
      <c r="E6275" s="18">
        <v>3003310734006</v>
      </c>
      <c r="G6275" s="20" t="str">
        <f t="shared" si="291"/>
        <v xml:space="preserve"> OCLOCK/DISNEY   </v>
      </c>
      <c r="H6275" s="20" t="str">
        <f t="shared" si="292"/>
        <v>PICSO</v>
      </c>
      <c r="I6275" s="20">
        <f t="shared" si="293"/>
        <v>0</v>
      </c>
    </row>
    <row r="6276" spans="1:9">
      <c r="A6276" s="17" t="s">
        <v>2120</v>
      </c>
      <c r="B6276" s="17" t="s">
        <v>2127</v>
      </c>
      <c r="C6276" s="17">
        <v>0</v>
      </c>
      <c r="D6276" s="17" t="s">
        <v>801</v>
      </c>
      <c r="E6276" s="18">
        <v>8058333586786</v>
      </c>
      <c r="G6276" s="20" t="str">
        <f t="shared" si="291"/>
        <v xml:space="preserve"> OCLOCK/DISNEY   </v>
      </c>
      <c r="H6276" s="20" t="str">
        <f t="shared" si="292"/>
        <v>PICSO</v>
      </c>
      <c r="I6276" s="20">
        <f t="shared" si="293"/>
        <v>0</v>
      </c>
    </row>
    <row r="6277" spans="1:9">
      <c r="A6277" s="17" t="s">
        <v>2120</v>
      </c>
      <c r="B6277" s="17" t="s">
        <v>2128</v>
      </c>
      <c r="C6277" s="17">
        <v>0</v>
      </c>
      <c r="D6277" s="17" t="s">
        <v>801</v>
      </c>
      <c r="E6277" s="18">
        <v>8051770302735</v>
      </c>
      <c r="G6277" s="20" t="str">
        <f t="shared" ref="G6277:G6340" si="294">A6277</f>
        <v xml:space="preserve"> OCLOCK/DISNEY   </v>
      </c>
      <c r="H6277" s="20" t="str">
        <f t="shared" ref="H6277:H6340" si="295">B6277</f>
        <v>PLUTO</v>
      </c>
      <c r="I6277" s="20">
        <f t="shared" ref="I6277:I6340" si="296">C6277</f>
        <v>0</v>
      </c>
    </row>
    <row r="6278" spans="1:9">
      <c r="A6278" s="17" t="s">
        <v>2120</v>
      </c>
      <c r="B6278" s="17" t="s">
        <v>2128</v>
      </c>
      <c r="C6278" s="17">
        <v>0</v>
      </c>
      <c r="D6278" s="17" t="s">
        <v>801</v>
      </c>
      <c r="E6278" s="18">
        <v>3003390048000</v>
      </c>
      <c r="G6278" s="20" t="str">
        <f t="shared" si="294"/>
        <v xml:space="preserve"> OCLOCK/DISNEY   </v>
      </c>
      <c r="H6278" s="20" t="str">
        <f t="shared" si="295"/>
        <v>PLUTO</v>
      </c>
      <c r="I6278" s="20">
        <f t="shared" si="296"/>
        <v>0</v>
      </c>
    </row>
    <row r="6279" spans="1:9">
      <c r="A6279" s="17" t="s">
        <v>2120</v>
      </c>
      <c r="B6279" s="17" t="s">
        <v>2129</v>
      </c>
      <c r="C6279" s="17">
        <v>0</v>
      </c>
      <c r="D6279" s="17" t="s">
        <v>801</v>
      </c>
      <c r="E6279" s="18">
        <v>3003310735003</v>
      </c>
      <c r="G6279" s="20" t="str">
        <f t="shared" si="294"/>
        <v xml:space="preserve"> OCLOCK/DISNEY   </v>
      </c>
      <c r="H6279" s="20" t="str">
        <f t="shared" si="295"/>
        <v>POPOP</v>
      </c>
      <c r="I6279" s="20">
        <f t="shared" si="296"/>
        <v>0</v>
      </c>
    </row>
    <row r="6280" spans="1:9">
      <c r="A6280" s="17" t="s">
        <v>2120</v>
      </c>
      <c r="B6280" s="17" t="s">
        <v>2129</v>
      </c>
      <c r="C6280" s="17">
        <v>0</v>
      </c>
      <c r="D6280" s="17" t="s">
        <v>801</v>
      </c>
      <c r="E6280" s="18">
        <v>8058333586793</v>
      </c>
      <c r="G6280" s="20" t="str">
        <f t="shared" si="294"/>
        <v xml:space="preserve"> OCLOCK/DISNEY   </v>
      </c>
      <c r="H6280" s="20" t="str">
        <f t="shared" si="295"/>
        <v>POPOP</v>
      </c>
      <c r="I6280" s="20">
        <f t="shared" si="296"/>
        <v>0</v>
      </c>
    </row>
    <row r="6281" spans="1:9">
      <c r="A6281" s="17" t="s">
        <v>2130</v>
      </c>
      <c r="B6281" s="17" t="s">
        <v>2131</v>
      </c>
      <c r="C6281" s="17">
        <v>0</v>
      </c>
      <c r="D6281" s="17" t="s">
        <v>801</v>
      </c>
      <c r="E6281" s="18">
        <v>8056095066195</v>
      </c>
      <c r="G6281" s="20" t="str">
        <f t="shared" si="294"/>
        <v xml:space="preserve"> OCLOCK/ETE2017  </v>
      </c>
      <c r="H6281" s="20" t="str">
        <f t="shared" si="295"/>
        <v>FLOMU</v>
      </c>
      <c r="I6281" s="20">
        <f t="shared" si="296"/>
        <v>0</v>
      </c>
    </row>
    <row r="6282" spans="1:9">
      <c r="A6282" s="17" t="s">
        <v>2130</v>
      </c>
      <c r="B6282" s="17" t="s">
        <v>2131</v>
      </c>
      <c r="C6282" s="17">
        <v>0</v>
      </c>
      <c r="D6282" s="17" t="s">
        <v>801</v>
      </c>
      <c r="E6282" s="18">
        <v>3005371164006</v>
      </c>
      <c r="G6282" s="20" t="str">
        <f t="shared" si="294"/>
        <v xml:space="preserve"> OCLOCK/ETE2017  </v>
      </c>
      <c r="H6282" s="20" t="str">
        <f t="shared" si="295"/>
        <v>FLOMU</v>
      </c>
      <c r="I6282" s="20">
        <f t="shared" si="296"/>
        <v>0</v>
      </c>
    </row>
    <row r="6283" spans="1:9">
      <c r="A6283" s="17" t="s">
        <v>2130</v>
      </c>
      <c r="B6283" s="17" t="s">
        <v>2132</v>
      </c>
      <c r="C6283" s="17">
        <v>0</v>
      </c>
      <c r="D6283" s="17" t="s">
        <v>801</v>
      </c>
      <c r="E6283" s="18">
        <v>8056095066188</v>
      </c>
      <c r="G6283" s="20" t="str">
        <f t="shared" si="294"/>
        <v xml:space="preserve"> OCLOCK/ETE2017  </v>
      </c>
      <c r="H6283" s="20" t="str">
        <f t="shared" si="295"/>
        <v>HEXAM</v>
      </c>
      <c r="I6283" s="20">
        <f t="shared" si="296"/>
        <v>0</v>
      </c>
    </row>
    <row r="6284" spans="1:9">
      <c r="A6284" s="17" t="s">
        <v>2130</v>
      </c>
      <c r="B6284" s="17" t="s">
        <v>2132</v>
      </c>
      <c r="C6284" s="17">
        <v>0</v>
      </c>
      <c r="D6284" s="17" t="s">
        <v>801</v>
      </c>
      <c r="E6284" s="18">
        <v>3005371163009</v>
      </c>
      <c r="G6284" s="20" t="str">
        <f t="shared" si="294"/>
        <v xml:space="preserve"> OCLOCK/ETE2017  </v>
      </c>
      <c r="H6284" s="20" t="str">
        <f t="shared" si="295"/>
        <v>HEXAM</v>
      </c>
      <c r="I6284" s="20">
        <f t="shared" si="296"/>
        <v>0</v>
      </c>
    </row>
    <row r="6285" spans="1:9">
      <c r="A6285" s="17" t="s">
        <v>2130</v>
      </c>
      <c r="B6285" s="17" t="s">
        <v>2133</v>
      </c>
      <c r="C6285" s="17">
        <v>0</v>
      </c>
      <c r="D6285" s="17" t="s">
        <v>801</v>
      </c>
      <c r="E6285" s="18">
        <v>8056095066171</v>
      </c>
      <c r="G6285" s="20" t="str">
        <f t="shared" si="294"/>
        <v xml:space="preserve"> OCLOCK/ETE2017  </v>
      </c>
      <c r="H6285" s="20" t="str">
        <f t="shared" si="295"/>
        <v>IRISE</v>
      </c>
      <c r="I6285" s="20">
        <f t="shared" si="296"/>
        <v>0</v>
      </c>
    </row>
    <row r="6286" spans="1:9">
      <c r="A6286" s="17" t="s">
        <v>2130</v>
      </c>
      <c r="B6286" s="17" t="s">
        <v>2133</v>
      </c>
      <c r="C6286" s="17">
        <v>0</v>
      </c>
      <c r="D6286" s="17" t="s">
        <v>801</v>
      </c>
      <c r="E6286" s="18">
        <v>3005371162002</v>
      </c>
      <c r="G6286" s="20" t="str">
        <f t="shared" si="294"/>
        <v xml:space="preserve"> OCLOCK/ETE2017  </v>
      </c>
      <c r="H6286" s="20" t="str">
        <f t="shared" si="295"/>
        <v>IRISE</v>
      </c>
      <c r="I6286" s="20">
        <f t="shared" si="296"/>
        <v>0</v>
      </c>
    </row>
    <row r="6287" spans="1:9">
      <c r="A6287" s="17" t="s">
        <v>2130</v>
      </c>
      <c r="B6287" s="17" t="s">
        <v>2134</v>
      </c>
      <c r="C6287" s="17">
        <v>0</v>
      </c>
      <c r="D6287" s="17" t="s">
        <v>801</v>
      </c>
      <c r="E6287" s="18">
        <v>8056095066164</v>
      </c>
      <c r="G6287" s="20" t="str">
        <f t="shared" si="294"/>
        <v xml:space="preserve"> OCLOCK/ETE2017  </v>
      </c>
      <c r="H6287" s="20" t="str">
        <f t="shared" si="295"/>
        <v>PALMI</v>
      </c>
      <c r="I6287" s="20">
        <f t="shared" si="296"/>
        <v>0</v>
      </c>
    </row>
    <row r="6288" spans="1:9">
      <c r="A6288" s="17" t="s">
        <v>2130</v>
      </c>
      <c r="B6288" s="17" t="s">
        <v>2134</v>
      </c>
      <c r="C6288" s="17">
        <v>0</v>
      </c>
      <c r="D6288" s="17" t="s">
        <v>801</v>
      </c>
      <c r="E6288" s="18">
        <v>3005371161005</v>
      </c>
      <c r="G6288" s="20" t="str">
        <f t="shared" si="294"/>
        <v xml:space="preserve"> OCLOCK/ETE2017  </v>
      </c>
      <c r="H6288" s="20" t="str">
        <f t="shared" si="295"/>
        <v>PALMI</v>
      </c>
      <c r="I6288" s="20">
        <f t="shared" si="296"/>
        <v>0</v>
      </c>
    </row>
    <row r="6289" spans="1:9">
      <c r="A6289" s="17" t="s">
        <v>2135</v>
      </c>
      <c r="B6289" s="17" t="s">
        <v>2136</v>
      </c>
      <c r="C6289" s="17">
        <v>0</v>
      </c>
      <c r="D6289" s="17" t="s">
        <v>801</v>
      </c>
      <c r="E6289" s="18">
        <v>3004920624008</v>
      </c>
      <c r="G6289" s="20" t="str">
        <f t="shared" si="294"/>
        <v xml:space="preserve"> OCLOCK/FABRICS  </v>
      </c>
      <c r="H6289" s="20" t="str">
        <f t="shared" si="295"/>
        <v>DENTE</v>
      </c>
      <c r="I6289" s="20">
        <f t="shared" si="296"/>
        <v>0</v>
      </c>
    </row>
    <row r="6290" spans="1:9">
      <c r="A6290" s="17" t="s">
        <v>2135</v>
      </c>
      <c r="B6290" s="17" t="s">
        <v>2136</v>
      </c>
      <c r="C6290" s="17">
        <v>0</v>
      </c>
      <c r="D6290" s="17" t="s">
        <v>801</v>
      </c>
      <c r="E6290" s="18">
        <v>3004260624003</v>
      </c>
      <c r="G6290" s="20" t="str">
        <f t="shared" si="294"/>
        <v xml:space="preserve"> OCLOCK/FABRICS  </v>
      </c>
      <c r="H6290" s="20" t="str">
        <f t="shared" si="295"/>
        <v>DENTE</v>
      </c>
      <c r="I6290" s="20">
        <f t="shared" si="296"/>
        <v>0</v>
      </c>
    </row>
    <row r="6291" spans="1:9">
      <c r="A6291" s="17" t="s">
        <v>2135</v>
      </c>
      <c r="B6291" s="17" t="s">
        <v>1473</v>
      </c>
      <c r="C6291" s="17">
        <v>0</v>
      </c>
      <c r="D6291" s="17" t="s">
        <v>801</v>
      </c>
      <c r="E6291" s="18">
        <v>3004920625005</v>
      </c>
      <c r="G6291" s="20" t="str">
        <f t="shared" si="294"/>
        <v xml:space="preserve"> OCLOCK/FABRICS  </v>
      </c>
      <c r="H6291" s="20" t="str">
        <f t="shared" si="295"/>
        <v xml:space="preserve">PDP  </v>
      </c>
      <c r="I6291" s="20">
        <f t="shared" si="296"/>
        <v>0</v>
      </c>
    </row>
    <row r="6292" spans="1:9">
      <c r="A6292" s="17" t="s">
        <v>2135</v>
      </c>
      <c r="B6292" s="17" t="s">
        <v>1473</v>
      </c>
      <c r="C6292" s="17">
        <v>0</v>
      </c>
      <c r="D6292" s="17" t="s">
        <v>801</v>
      </c>
      <c r="E6292" s="18">
        <v>3004260625000</v>
      </c>
      <c r="G6292" s="20" t="str">
        <f t="shared" si="294"/>
        <v xml:space="preserve"> OCLOCK/FABRICS  </v>
      </c>
      <c r="H6292" s="20" t="str">
        <f t="shared" si="295"/>
        <v xml:space="preserve">PDP  </v>
      </c>
      <c r="I6292" s="20">
        <f t="shared" si="296"/>
        <v>0</v>
      </c>
    </row>
    <row r="6293" spans="1:9">
      <c r="A6293" s="17" t="s">
        <v>2137</v>
      </c>
      <c r="B6293" s="17" t="s">
        <v>890</v>
      </c>
      <c r="C6293" s="17">
        <v>0</v>
      </c>
      <c r="D6293" s="17" t="s">
        <v>801</v>
      </c>
      <c r="E6293" s="18">
        <v>3006080339006</v>
      </c>
      <c r="G6293" s="20" t="str">
        <f t="shared" si="294"/>
        <v xml:space="preserve"> OCLOCK/FANTASIA </v>
      </c>
      <c r="H6293" s="20" t="str">
        <f t="shared" si="295"/>
        <v xml:space="preserve">GOLD </v>
      </c>
      <c r="I6293" s="20">
        <f t="shared" si="296"/>
        <v>0</v>
      </c>
    </row>
    <row r="6294" spans="1:9">
      <c r="A6294" s="17" t="s">
        <v>2137</v>
      </c>
      <c r="B6294" s="17" t="s">
        <v>855</v>
      </c>
      <c r="C6294" s="17">
        <v>0</v>
      </c>
      <c r="D6294" s="17" t="s">
        <v>801</v>
      </c>
      <c r="E6294" s="18">
        <v>3006080567003</v>
      </c>
      <c r="G6294" s="20" t="str">
        <f t="shared" si="294"/>
        <v xml:space="preserve"> OCLOCK/FANTASIA </v>
      </c>
      <c r="H6294" s="20" t="str">
        <f t="shared" si="295"/>
        <v>SILVE</v>
      </c>
      <c r="I6294" s="20">
        <f t="shared" si="296"/>
        <v>0</v>
      </c>
    </row>
    <row r="6295" spans="1:9">
      <c r="A6295" s="17" t="s">
        <v>2138</v>
      </c>
      <c r="B6295" s="17" t="s">
        <v>2139</v>
      </c>
      <c r="C6295" s="17">
        <v>0</v>
      </c>
      <c r="D6295" s="17" t="s">
        <v>801</v>
      </c>
      <c r="E6295" s="18">
        <v>3003400054007</v>
      </c>
      <c r="G6295" s="20" t="str">
        <f t="shared" si="294"/>
        <v xml:space="preserve"> OCLOCK/FLOWER   </v>
      </c>
      <c r="H6295" s="20" t="str">
        <f t="shared" si="295"/>
        <v xml:space="preserve">FGN  </v>
      </c>
      <c r="I6295" s="20">
        <f t="shared" si="296"/>
        <v>0</v>
      </c>
    </row>
    <row r="6296" spans="1:9">
      <c r="A6296" s="17" t="s">
        <v>2138</v>
      </c>
      <c r="B6296" s="17" t="s">
        <v>2140</v>
      </c>
      <c r="C6296" s="17">
        <v>0</v>
      </c>
      <c r="D6296" s="17" t="s">
        <v>801</v>
      </c>
      <c r="E6296" s="18">
        <v>3003400055004</v>
      </c>
      <c r="G6296" s="20" t="str">
        <f t="shared" si="294"/>
        <v xml:space="preserve"> OCLOCK/FLOWER   </v>
      </c>
      <c r="H6296" s="20" t="str">
        <f t="shared" si="295"/>
        <v xml:space="preserve">RD   </v>
      </c>
      <c r="I6296" s="20">
        <f t="shared" si="296"/>
        <v>0</v>
      </c>
    </row>
    <row r="6297" spans="1:9">
      <c r="A6297" s="17" t="s">
        <v>2138</v>
      </c>
      <c r="B6297" s="17" t="s">
        <v>2141</v>
      </c>
      <c r="C6297" s="17">
        <v>0</v>
      </c>
      <c r="D6297" s="17" t="s">
        <v>801</v>
      </c>
      <c r="E6297" s="18">
        <v>3003400053000</v>
      </c>
      <c r="G6297" s="20" t="str">
        <f t="shared" si="294"/>
        <v xml:space="preserve"> OCLOCK/FLOWER   </v>
      </c>
      <c r="H6297" s="20" t="str">
        <f t="shared" si="295"/>
        <v xml:space="preserve">SL   </v>
      </c>
      <c r="I6297" s="20">
        <f t="shared" si="296"/>
        <v>0</v>
      </c>
    </row>
    <row r="6298" spans="1:9">
      <c r="A6298" s="17" t="s">
        <v>2142</v>
      </c>
      <c r="B6298" s="17" t="s">
        <v>810</v>
      </c>
      <c r="C6298" s="17">
        <v>0</v>
      </c>
      <c r="D6298" s="17" t="s">
        <v>801</v>
      </c>
      <c r="E6298" s="18">
        <v>3006020284007</v>
      </c>
      <c r="G6298" s="20" t="str">
        <f t="shared" si="294"/>
        <v xml:space="preserve"> OCLOCK/FLUIDE   </v>
      </c>
      <c r="H6298" s="20" t="str">
        <f t="shared" si="295"/>
        <v xml:space="preserve">BLUE </v>
      </c>
      <c r="I6298" s="20">
        <f t="shared" si="296"/>
        <v>0</v>
      </c>
    </row>
    <row r="6299" spans="1:9">
      <c r="A6299" s="17" t="s">
        <v>2142</v>
      </c>
      <c r="B6299" s="17" t="s">
        <v>816</v>
      </c>
      <c r="C6299" s="17">
        <v>0</v>
      </c>
      <c r="D6299" s="17" t="s">
        <v>801</v>
      </c>
      <c r="E6299" s="18">
        <v>3006020395000</v>
      </c>
      <c r="G6299" s="20" t="str">
        <f t="shared" si="294"/>
        <v xml:space="preserve"> OCLOCK/FLUIDE   </v>
      </c>
      <c r="H6299" s="20" t="str">
        <f t="shared" si="295"/>
        <v xml:space="preserve">RED  </v>
      </c>
      <c r="I6299" s="20">
        <f t="shared" si="296"/>
        <v>0</v>
      </c>
    </row>
    <row r="6300" spans="1:9">
      <c r="A6300" s="17" t="s">
        <v>2142</v>
      </c>
      <c r="B6300" s="17" t="s">
        <v>811</v>
      </c>
      <c r="C6300" s="17">
        <v>0</v>
      </c>
      <c r="D6300" s="17" t="s">
        <v>801</v>
      </c>
      <c r="E6300" s="18">
        <v>3006020431005</v>
      </c>
      <c r="G6300" s="20" t="str">
        <f t="shared" si="294"/>
        <v xml:space="preserve"> OCLOCK/FLUIDE   </v>
      </c>
      <c r="H6300" s="20" t="str">
        <f t="shared" si="295"/>
        <v xml:space="preserve">VERT </v>
      </c>
      <c r="I6300" s="20">
        <f t="shared" si="296"/>
        <v>0</v>
      </c>
    </row>
    <row r="6301" spans="1:9">
      <c r="A6301" s="17" t="s">
        <v>2143</v>
      </c>
      <c r="B6301" s="17" t="s">
        <v>857</v>
      </c>
      <c r="C6301" s="17">
        <v>0</v>
      </c>
      <c r="D6301" s="17" t="s">
        <v>801</v>
      </c>
      <c r="E6301" s="18">
        <v>8056099171918</v>
      </c>
      <c r="G6301" s="20" t="str">
        <f t="shared" si="294"/>
        <v xml:space="preserve"> OCLOCK/FOULARD  </v>
      </c>
      <c r="H6301" s="20" t="str">
        <f t="shared" si="295"/>
        <v>BLUET</v>
      </c>
      <c r="I6301" s="20">
        <f t="shared" si="296"/>
        <v>0</v>
      </c>
    </row>
    <row r="6302" spans="1:9">
      <c r="A6302" s="17" t="s">
        <v>2143</v>
      </c>
      <c r="B6302" s="17" t="s">
        <v>1078</v>
      </c>
      <c r="C6302" s="17">
        <v>0</v>
      </c>
      <c r="D6302" s="17" t="s">
        <v>801</v>
      </c>
      <c r="E6302" s="18">
        <v>8056099171925</v>
      </c>
      <c r="G6302" s="20" t="str">
        <f t="shared" si="294"/>
        <v xml:space="preserve"> OCLOCK/FOULARD  </v>
      </c>
      <c r="H6302" s="20" t="str">
        <f t="shared" si="295"/>
        <v xml:space="preserve">NAVY </v>
      </c>
      <c r="I6302" s="20">
        <f t="shared" si="296"/>
        <v>0</v>
      </c>
    </row>
    <row r="6303" spans="1:9">
      <c r="A6303" s="17" t="s">
        <v>2143</v>
      </c>
      <c r="B6303" s="17" t="s">
        <v>283</v>
      </c>
      <c r="C6303" s="17">
        <v>0</v>
      </c>
      <c r="D6303" s="17" t="s">
        <v>801</v>
      </c>
      <c r="E6303" s="18">
        <v>8056099171895</v>
      </c>
      <c r="G6303" s="20" t="str">
        <f t="shared" si="294"/>
        <v xml:space="preserve"> OCLOCK/FOULARD  </v>
      </c>
      <c r="H6303" s="20" t="str">
        <f t="shared" si="295"/>
        <v>PHARD</v>
      </c>
      <c r="I6303" s="20">
        <f t="shared" si="296"/>
        <v>0</v>
      </c>
    </row>
    <row r="6304" spans="1:9">
      <c r="A6304" s="17" t="s">
        <v>2143</v>
      </c>
      <c r="B6304" s="17" t="s">
        <v>1024</v>
      </c>
      <c r="C6304" s="17">
        <v>0</v>
      </c>
      <c r="D6304" s="17" t="s">
        <v>801</v>
      </c>
      <c r="E6304" s="18">
        <v>8056099171901</v>
      </c>
      <c r="G6304" s="20" t="str">
        <f t="shared" si="294"/>
        <v xml:space="preserve"> OCLOCK/FOULARD  </v>
      </c>
      <c r="H6304" s="20" t="str">
        <f t="shared" si="295"/>
        <v xml:space="preserve">VIOL </v>
      </c>
      <c r="I6304" s="20">
        <f t="shared" si="296"/>
        <v>0</v>
      </c>
    </row>
    <row r="6305" spans="1:9">
      <c r="A6305" s="17" t="s">
        <v>2143</v>
      </c>
      <c r="B6305" s="17" t="s">
        <v>825</v>
      </c>
      <c r="C6305" s="17">
        <v>0</v>
      </c>
      <c r="D6305" s="17" t="s">
        <v>801</v>
      </c>
      <c r="E6305" s="18">
        <v>8056099171888</v>
      </c>
      <c r="G6305" s="20" t="str">
        <f t="shared" si="294"/>
        <v xml:space="preserve"> OCLOCK/FOULARD  </v>
      </c>
      <c r="H6305" s="20" t="str">
        <f t="shared" si="295"/>
        <v xml:space="preserve">YELL </v>
      </c>
      <c r="I6305" s="20">
        <f t="shared" si="296"/>
        <v>0</v>
      </c>
    </row>
    <row r="6306" spans="1:9">
      <c r="A6306" s="17" t="s">
        <v>2144</v>
      </c>
      <c r="B6306" s="17" t="s">
        <v>890</v>
      </c>
      <c r="C6306" s="17">
        <v>0</v>
      </c>
      <c r="D6306" s="17" t="s">
        <v>801</v>
      </c>
      <c r="E6306" s="18">
        <v>8056095066270</v>
      </c>
      <c r="G6306" s="20" t="str">
        <f t="shared" si="294"/>
        <v xml:space="preserve"> OCLOCK/GLIMMER  </v>
      </c>
      <c r="H6306" s="20" t="str">
        <f t="shared" si="295"/>
        <v xml:space="preserve">GOLD </v>
      </c>
      <c r="I6306" s="20">
        <f t="shared" si="296"/>
        <v>0</v>
      </c>
    </row>
    <row r="6307" spans="1:9">
      <c r="A6307" s="17" t="s">
        <v>2144</v>
      </c>
      <c r="B6307" s="17" t="s">
        <v>890</v>
      </c>
      <c r="C6307" s="17">
        <v>0</v>
      </c>
      <c r="D6307" s="17" t="s">
        <v>801</v>
      </c>
      <c r="E6307" s="18">
        <v>3005350339005</v>
      </c>
      <c r="G6307" s="20" t="str">
        <f t="shared" si="294"/>
        <v xml:space="preserve"> OCLOCK/GLIMMER  </v>
      </c>
      <c r="H6307" s="20" t="str">
        <f t="shared" si="295"/>
        <v xml:space="preserve">GOLD </v>
      </c>
      <c r="I6307" s="20">
        <f t="shared" si="296"/>
        <v>0</v>
      </c>
    </row>
    <row r="6308" spans="1:9">
      <c r="A6308" s="17" t="s">
        <v>2144</v>
      </c>
      <c r="B6308" s="17" t="s">
        <v>283</v>
      </c>
      <c r="C6308" s="17">
        <v>0</v>
      </c>
      <c r="D6308" s="17" t="s">
        <v>801</v>
      </c>
      <c r="E6308" s="18">
        <v>8056095066287</v>
      </c>
      <c r="G6308" s="20" t="str">
        <f t="shared" si="294"/>
        <v xml:space="preserve"> OCLOCK/GLIMMER  </v>
      </c>
      <c r="H6308" s="20" t="str">
        <f t="shared" si="295"/>
        <v>PHARD</v>
      </c>
      <c r="I6308" s="20">
        <f t="shared" si="296"/>
        <v>0</v>
      </c>
    </row>
    <row r="6309" spans="1:9">
      <c r="A6309" s="17" t="s">
        <v>2144</v>
      </c>
      <c r="B6309" s="17" t="s">
        <v>283</v>
      </c>
      <c r="C6309" s="17">
        <v>0</v>
      </c>
      <c r="D6309" s="17" t="s">
        <v>801</v>
      </c>
      <c r="E6309" s="18">
        <v>3005350871000</v>
      </c>
      <c r="G6309" s="20" t="str">
        <f t="shared" si="294"/>
        <v xml:space="preserve"> OCLOCK/GLIMMER  </v>
      </c>
      <c r="H6309" s="20" t="str">
        <f t="shared" si="295"/>
        <v>PHARD</v>
      </c>
      <c r="I6309" s="20">
        <f t="shared" si="296"/>
        <v>0</v>
      </c>
    </row>
    <row r="6310" spans="1:9">
      <c r="A6310" s="17" t="s">
        <v>2144</v>
      </c>
      <c r="B6310" s="17" t="s">
        <v>855</v>
      </c>
      <c r="C6310" s="17">
        <v>0</v>
      </c>
      <c r="D6310" s="17" t="s">
        <v>801</v>
      </c>
      <c r="E6310" s="18">
        <v>8056095066263</v>
      </c>
      <c r="G6310" s="20" t="str">
        <f t="shared" si="294"/>
        <v xml:space="preserve"> OCLOCK/GLIMMER  </v>
      </c>
      <c r="H6310" s="20" t="str">
        <f t="shared" si="295"/>
        <v>SILVE</v>
      </c>
      <c r="I6310" s="20">
        <f t="shared" si="296"/>
        <v>0</v>
      </c>
    </row>
    <row r="6311" spans="1:9">
      <c r="A6311" s="17" t="s">
        <v>2144</v>
      </c>
      <c r="B6311" s="17" t="s">
        <v>855</v>
      </c>
      <c r="C6311" s="17">
        <v>0</v>
      </c>
      <c r="D6311" s="17" t="s">
        <v>801</v>
      </c>
      <c r="E6311" s="18">
        <v>3005350567002</v>
      </c>
      <c r="G6311" s="20" t="str">
        <f t="shared" si="294"/>
        <v xml:space="preserve"> OCLOCK/GLIMMER  </v>
      </c>
      <c r="H6311" s="20" t="str">
        <f t="shared" si="295"/>
        <v>SILVE</v>
      </c>
      <c r="I6311" s="20">
        <f t="shared" si="296"/>
        <v>0</v>
      </c>
    </row>
    <row r="6312" spans="1:9">
      <c r="A6312" s="17" t="s">
        <v>2144</v>
      </c>
      <c r="B6312" s="17" t="s">
        <v>1664</v>
      </c>
      <c r="C6312" s="17">
        <v>0</v>
      </c>
      <c r="D6312" s="17" t="s">
        <v>801</v>
      </c>
      <c r="E6312" s="18">
        <v>8056095066294</v>
      </c>
      <c r="G6312" s="20" t="str">
        <f t="shared" si="294"/>
        <v xml:space="preserve"> OCLOCK/GLIMMER  </v>
      </c>
      <c r="H6312" s="20" t="str">
        <f t="shared" si="295"/>
        <v>VERAN</v>
      </c>
      <c r="I6312" s="20">
        <f t="shared" si="296"/>
        <v>0</v>
      </c>
    </row>
    <row r="6313" spans="1:9">
      <c r="A6313" s="17" t="s">
        <v>2144</v>
      </c>
      <c r="B6313" s="17" t="s">
        <v>1664</v>
      </c>
      <c r="C6313" s="17">
        <v>0</v>
      </c>
      <c r="D6313" s="17" t="s">
        <v>801</v>
      </c>
      <c r="E6313" s="18">
        <v>3005351079009</v>
      </c>
      <c r="G6313" s="20" t="str">
        <f t="shared" si="294"/>
        <v xml:space="preserve"> OCLOCK/GLIMMER  </v>
      </c>
      <c r="H6313" s="20" t="str">
        <f t="shared" si="295"/>
        <v>VERAN</v>
      </c>
      <c r="I6313" s="20">
        <f t="shared" si="296"/>
        <v>0</v>
      </c>
    </row>
    <row r="6314" spans="1:9">
      <c r="A6314" s="17" t="s">
        <v>2145</v>
      </c>
      <c r="B6314" s="17" t="s">
        <v>890</v>
      </c>
      <c r="C6314" s="17">
        <v>0</v>
      </c>
      <c r="D6314" s="17" t="s">
        <v>801</v>
      </c>
      <c r="E6314" s="18">
        <v>3004720522009</v>
      </c>
      <c r="G6314" s="20" t="str">
        <f t="shared" si="294"/>
        <v xml:space="preserve"> OCLOCK/GLITTER  </v>
      </c>
      <c r="H6314" s="20" t="str">
        <f t="shared" si="295"/>
        <v xml:space="preserve">GOLD </v>
      </c>
      <c r="I6314" s="20">
        <f t="shared" si="296"/>
        <v>0</v>
      </c>
    </row>
    <row r="6315" spans="1:9">
      <c r="A6315" s="17" t="s">
        <v>2145</v>
      </c>
      <c r="B6315" s="17" t="s">
        <v>2146</v>
      </c>
      <c r="C6315" s="17">
        <v>0</v>
      </c>
      <c r="D6315" s="17" t="s">
        <v>801</v>
      </c>
      <c r="E6315" s="18">
        <v>3004020948004</v>
      </c>
      <c r="G6315" s="20" t="str">
        <f t="shared" si="294"/>
        <v xml:space="preserve"> OCLOCK/GLITTER  </v>
      </c>
      <c r="H6315" s="20" t="str">
        <f t="shared" si="295"/>
        <v>GOTOU</v>
      </c>
      <c r="I6315" s="20">
        <f t="shared" si="296"/>
        <v>0</v>
      </c>
    </row>
    <row r="6316" spans="1:9">
      <c r="A6316" s="17" t="s">
        <v>2145</v>
      </c>
      <c r="B6316" s="17" t="s">
        <v>2146</v>
      </c>
      <c r="C6316" s="17">
        <v>0</v>
      </c>
      <c r="D6316" s="17" t="s">
        <v>801</v>
      </c>
      <c r="E6316" s="18">
        <v>8050450219172</v>
      </c>
      <c r="G6316" s="20" t="str">
        <f t="shared" si="294"/>
        <v xml:space="preserve"> OCLOCK/GLITTER  </v>
      </c>
      <c r="H6316" s="20" t="str">
        <f t="shared" si="295"/>
        <v>GOTOU</v>
      </c>
      <c r="I6316" s="20">
        <f t="shared" si="296"/>
        <v>0</v>
      </c>
    </row>
    <row r="6317" spans="1:9">
      <c r="A6317" s="17" t="s">
        <v>2145</v>
      </c>
      <c r="B6317" s="17" t="s">
        <v>855</v>
      </c>
      <c r="C6317" s="17">
        <v>0</v>
      </c>
      <c r="D6317" s="17" t="s">
        <v>801</v>
      </c>
      <c r="E6317" s="18">
        <v>3004720617002</v>
      </c>
      <c r="G6317" s="20" t="str">
        <f t="shared" si="294"/>
        <v xml:space="preserve"> OCLOCK/GLITTER  </v>
      </c>
      <c r="H6317" s="20" t="str">
        <f t="shared" si="295"/>
        <v>SILVE</v>
      </c>
      <c r="I6317" s="20">
        <f t="shared" si="296"/>
        <v>0</v>
      </c>
    </row>
    <row r="6318" spans="1:9">
      <c r="A6318" s="17" t="s">
        <v>2145</v>
      </c>
      <c r="B6318" s="17" t="s">
        <v>2147</v>
      </c>
      <c r="C6318" s="17">
        <v>0</v>
      </c>
      <c r="D6318" s="17" t="s">
        <v>801</v>
      </c>
      <c r="E6318" s="18">
        <v>3004020949001</v>
      </c>
      <c r="G6318" s="20" t="str">
        <f t="shared" si="294"/>
        <v xml:space="preserve"> OCLOCK/GLITTER  </v>
      </c>
      <c r="H6318" s="20" t="str">
        <f t="shared" si="295"/>
        <v>SITOU</v>
      </c>
      <c r="I6318" s="20">
        <f t="shared" si="296"/>
        <v>0</v>
      </c>
    </row>
    <row r="6319" spans="1:9">
      <c r="A6319" s="17" t="s">
        <v>2145</v>
      </c>
      <c r="B6319" s="17" t="s">
        <v>2147</v>
      </c>
      <c r="C6319" s="17">
        <v>0</v>
      </c>
      <c r="D6319" s="17" t="s">
        <v>801</v>
      </c>
      <c r="E6319" s="18">
        <v>8050450219189</v>
      </c>
      <c r="G6319" s="20" t="str">
        <f t="shared" si="294"/>
        <v xml:space="preserve"> OCLOCK/GLITTER  </v>
      </c>
      <c r="H6319" s="20" t="str">
        <f t="shared" si="295"/>
        <v>SITOU</v>
      </c>
      <c r="I6319" s="20">
        <f t="shared" si="296"/>
        <v>0</v>
      </c>
    </row>
    <row r="6320" spans="1:9">
      <c r="A6320" s="17" t="s">
        <v>2148</v>
      </c>
      <c r="B6320" s="17" t="s">
        <v>2149</v>
      </c>
      <c r="C6320" s="17">
        <v>0</v>
      </c>
      <c r="D6320" s="17" t="s">
        <v>801</v>
      </c>
      <c r="E6320" s="18">
        <v>8056099173318</v>
      </c>
      <c r="G6320" s="20" t="str">
        <f t="shared" si="294"/>
        <v xml:space="preserve"> OCLOCK/HUMEUR   </v>
      </c>
      <c r="H6320" s="20" t="str">
        <f t="shared" si="295"/>
        <v>ANGRY</v>
      </c>
      <c r="I6320" s="20">
        <f t="shared" si="296"/>
        <v>0</v>
      </c>
    </row>
    <row r="6321" spans="1:9">
      <c r="A6321" s="17" t="s">
        <v>2148</v>
      </c>
      <c r="B6321" s="17" t="s">
        <v>2150</v>
      </c>
      <c r="C6321" s="17">
        <v>0</v>
      </c>
      <c r="D6321" s="17" t="s">
        <v>801</v>
      </c>
      <c r="E6321" s="18">
        <v>8056099173332</v>
      </c>
      <c r="G6321" s="20" t="str">
        <f t="shared" si="294"/>
        <v xml:space="preserve"> OCLOCK/HUMEUR   </v>
      </c>
      <c r="H6321" s="20" t="str">
        <f t="shared" si="295"/>
        <v xml:space="preserve">GASP </v>
      </c>
      <c r="I6321" s="20">
        <f t="shared" si="296"/>
        <v>0</v>
      </c>
    </row>
    <row r="6322" spans="1:9">
      <c r="A6322" s="17" t="s">
        <v>2148</v>
      </c>
      <c r="B6322" s="17" t="s">
        <v>2151</v>
      </c>
      <c r="C6322" s="17">
        <v>0</v>
      </c>
      <c r="D6322" s="17" t="s">
        <v>801</v>
      </c>
      <c r="E6322" s="18">
        <v>8056099173325</v>
      </c>
      <c r="G6322" s="20" t="str">
        <f t="shared" si="294"/>
        <v xml:space="preserve"> OCLOCK/HUMEUR   </v>
      </c>
      <c r="H6322" s="20" t="str">
        <f t="shared" si="295"/>
        <v>HAPPY</v>
      </c>
      <c r="I6322" s="20">
        <f t="shared" si="296"/>
        <v>0</v>
      </c>
    </row>
    <row r="6323" spans="1:9">
      <c r="A6323" s="17" t="s">
        <v>2152</v>
      </c>
      <c r="B6323" s="17" t="s">
        <v>2153</v>
      </c>
      <c r="C6323" s="17">
        <v>0</v>
      </c>
      <c r="D6323" s="17" t="s">
        <v>801</v>
      </c>
      <c r="E6323" s="18">
        <v>3003470069000</v>
      </c>
      <c r="G6323" s="20" t="str">
        <f t="shared" si="294"/>
        <v xml:space="preserve"> OCLOCK/ICON     </v>
      </c>
      <c r="H6323" s="20" t="str">
        <f t="shared" si="295"/>
        <v xml:space="preserve">BATJ </v>
      </c>
      <c r="I6323" s="20">
        <f t="shared" si="296"/>
        <v>0</v>
      </c>
    </row>
    <row r="6324" spans="1:9">
      <c r="A6324" s="17" t="s">
        <v>2152</v>
      </c>
      <c r="B6324" s="17" t="s">
        <v>2154</v>
      </c>
      <c r="C6324" s="17">
        <v>0</v>
      </c>
      <c r="D6324" s="17" t="s">
        <v>801</v>
      </c>
      <c r="E6324" s="18">
        <v>3003470068003</v>
      </c>
      <c r="G6324" s="20" t="str">
        <f t="shared" si="294"/>
        <v xml:space="preserve"> OCLOCK/ICON     </v>
      </c>
      <c r="H6324" s="20" t="str">
        <f t="shared" si="295"/>
        <v xml:space="preserve">BATN </v>
      </c>
      <c r="I6324" s="20">
        <f t="shared" si="296"/>
        <v>0</v>
      </c>
    </row>
    <row r="6325" spans="1:9">
      <c r="A6325" s="17" t="s">
        <v>2152</v>
      </c>
      <c r="B6325" s="17" t="s">
        <v>2155</v>
      </c>
      <c r="C6325" s="17">
        <v>0</v>
      </c>
      <c r="D6325" s="17" t="s">
        <v>801</v>
      </c>
      <c r="E6325" s="18">
        <v>3003470071003</v>
      </c>
      <c r="G6325" s="20" t="str">
        <f t="shared" si="294"/>
        <v xml:space="preserve"> OCLOCK/ICON     </v>
      </c>
      <c r="H6325" s="20" t="str">
        <f t="shared" si="295"/>
        <v xml:space="preserve">CATB </v>
      </c>
      <c r="I6325" s="20">
        <f t="shared" si="296"/>
        <v>0</v>
      </c>
    </row>
    <row r="6326" spans="1:9">
      <c r="A6326" s="17" t="s">
        <v>2152</v>
      </c>
      <c r="B6326" s="17" t="s">
        <v>2156</v>
      </c>
      <c r="C6326" s="17">
        <v>0</v>
      </c>
      <c r="D6326" s="17" t="s">
        <v>801</v>
      </c>
      <c r="E6326" s="18">
        <v>3003470070006</v>
      </c>
      <c r="G6326" s="20" t="str">
        <f t="shared" si="294"/>
        <v xml:space="preserve"> OCLOCK/ICON     </v>
      </c>
      <c r="H6326" s="20" t="str">
        <f t="shared" si="295"/>
        <v xml:space="preserve">CATN </v>
      </c>
      <c r="I6326" s="20">
        <f t="shared" si="296"/>
        <v>0</v>
      </c>
    </row>
    <row r="6327" spans="1:9">
      <c r="A6327" s="17" t="s">
        <v>2152</v>
      </c>
      <c r="B6327" s="17" t="s">
        <v>2157</v>
      </c>
      <c r="C6327" s="17">
        <v>0</v>
      </c>
      <c r="D6327" s="17" t="s">
        <v>801</v>
      </c>
      <c r="E6327" s="18">
        <v>3003470067006</v>
      </c>
      <c r="G6327" s="20" t="str">
        <f t="shared" si="294"/>
        <v xml:space="preserve"> OCLOCK/ICON     </v>
      </c>
      <c r="H6327" s="20" t="str">
        <f t="shared" si="295"/>
        <v xml:space="preserve">SUPB </v>
      </c>
      <c r="I6327" s="20">
        <f t="shared" si="296"/>
        <v>0</v>
      </c>
    </row>
    <row r="6328" spans="1:9">
      <c r="A6328" s="17" t="s">
        <v>2152</v>
      </c>
      <c r="B6328" s="17" t="s">
        <v>2158</v>
      </c>
      <c r="C6328" s="17">
        <v>0</v>
      </c>
      <c r="D6328" s="17" t="s">
        <v>801</v>
      </c>
      <c r="E6328" s="18">
        <v>3003470066009</v>
      </c>
      <c r="G6328" s="20" t="str">
        <f t="shared" si="294"/>
        <v xml:space="preserve"> OCLOCK/ICON     </v>
      </c>
      <c r="H6328" s="20" t="str">
        <f t="shared" si="295"/>
        <v xml:space="preserve">SUPR </v>
      </c>
      <c r="I6328" s="20">
        <f t="shared" si="296"/>
        <v>0</v>
      </c>
    </row>
    <row r="6329" spans="1:9">
      <c r="A6329" s="17" t="s">
        <v>2159</v>
      </c>
      <c r="B6329" s="17" t="s">
        <v>2160</v>
      </c>
      <c r="C6329" s="17">
        <v>0</v>
      </c>
      <c r="D6329" s="17" t="s">
        <v>801</v>
      </c>
      <c r="E6329" s="18">
        <v>8058983599549</v>
      </c>
      <c r="G6329" s="20" t="str">
        <f t="shared" si="294"/>
        <v xml:space="preserve"> OCLOCK/ILLUSION </v>
      </c>
      <c r="H6329" s="20" t="str">
        <f t="shared" si="295"/>
        <v>AROUN</v>
      </c>
      <c r="I6329" s="20">
        <f t="shared" si="296"/>
        <v>0</v>
      </c>
    </row>
    <row r="6330" spans="1:9">
      <c r="A6330" s="17" t="s">
        <v>2159</v>
      </c>
      <c r="B6330" s="17" t="s">
        <v>2160</v>
      </c>
      <c r="C6330" s="17">
        <v>0</v>
      </c>
      <c r="D6330" s="17" t="s">
        <v>801</v>
      </c>
      <c r="E6330" s="18">
        <v>3005440538004</v>
      </c>
      <c r="G6330" s="20" t="str">
        <f t="shared" si="294"/>
        <v xml:space="preserve"> OCLOCK/ILLUSION </v>
      </c>
      <c r="H6330" s="20" t="str">
        <f t="shared" si="295"/>
        <v>AROUN</v>
      </c>
      <c r="I6330" s="20">
        <f t="shared" si="296"/>
        <v>0</v>
      </c>
    </row>
    <row r="6331" spans="1:9">
      <c r="A6331" s="17" t="s">
        <v>2159</v>
      </c>
      <c r="B6331" s="17" t="s">
        <v>2161</v>
      </c>
      <c r="C6331" s="17">
        <v>0</v>
      </c>
      <c r="D6331" s="17" t="s">
        <v>801</v>
      </c>
      <c r="E6331" s="18">
        <v>3005440643005</v>
      </c>
      <c r="G6331" s="20" t="str">
        <f t="shared" si="294"/>
        <v xml:space="preserve"> OCLOCK/ILLUSION </v>
      </c>
      <c r="H6331" s="20" t="str">
        <f t="shared" si="295"/>
        <v>HORIZ</v>
      </c>
      <c r="I6331" s="20">
        <f t="shared" si="296"/>
        <v>0</v>
      </c>
    </row>
    <row r="6332" spans="1:9">
      <c r="A6332" s="17" t="s">
        <v>2159</v>
      </c>
      <c r="B6332" s="17" t="s">
        <v>2161</v>
      </c>
      <c r="C6332" s="17">
        <v>0</v>
      </c>
      <c r="D6332" s="17" t="s">
        <v>801</v>
      </c>
      <c r="E6332" s="18">
        <v>8058983599556</v>
      </c>
      <c r="G6332" s="20" t="str">
        <f t="shared" si="294"/>
        <v xml:space="preserve"> OCLOCK/ILLUSION </v>
      </c>
      <c r="H6332" s="20" t="str">
        <f t="shared" si="295"/>
        <v>HORIZ</v>
      </c>
      <c r="I6332" s="20">
        <f t="shared" si="296"/>
        <v>0</v>
      </c>
    </row>
    <row r="6333" spans="1:9">
      <c r="A6333" s="17" t="s">
        <v>2159</v>
      </c>
      <c r="B6333" s="17" t="s">
        <v>2162</v>
      </c>
      <c r="C6333" s="17">
        <v>0</v>
      </c>
      <c r="D6333" s="17" t="s">
        <v>801</v>
      </c>
      <c r="E6333" s="18">
        <v>8058983599563</v>
      </c>
      <c r="G6333" s="20" t="str">
        <f t="shared" si="294"/>
        <v xml:space="preserve"> OCLOCK/ILLUSION </v>
      </c>
      <c r="H6333" s="20" t="str">
        <f t="shared" si="295"/>
        <v>SQUAR</v>
      </c>
      <c r="I6333" s="20">
        <f t="shared" si="296"/>
        <v>0</v>
      </c>
    </row>
    <row r="6334" spans="1:9">
      <c r="A6334" s="17" t="s">
        <v>2159</v>
      </c>
      <c r="B6334" s="17" t="s">
        <v>2162</v>
      </c>
      <c r="C6334" s="17">
        <v>0</v>
      </c>
      <c r="D6334" s="17" t="s">
        <v>801</v>
      </c>
      <c r="E6334" s="18">
        <v>3005440539001</v>
      </c>
      <c r="G6334" s="20" t="str">
        <f t="shared" si="294"/>
        <v xml:space="preserve"> OCLOCK/ILLUSION </v>
      </c>
      <c r="H6334" s="20" t="str">
        <f t="shared" si="295"/>
        <v>SQUAR</v>
      </c>
      <c r="I6334" s="20">
        <f t="shared" si="296"/>
        <v>0</v>
      </c>
    </row>
    <row r="6335" spans="1:9">
      <c r="A6335" s="17" t="s">
        <v>2163</v>
      </c>
      <c r="B6335" s="17" t="s">
        <v>283</v>
      </c>
      <c r="C6335" s="17">
        <v>0</v>
      </c>
      <c r="D6335" s="17" t="s">
        <v>801</v>
      </c>
      <c r="E6335" s="18">
        <v>8056095066300</v>
      </c>
      <c r="G6335" s="20" t="str">
        <f t="shared" si="294"/>
        <v xml:space="preserve"> OCLOCK/METAL    </v>
      </c>
      <c r="H6335" s="20" t="str">
        <f t="shared" si="295"/>
        <v>PHARD</v>
      </c>
      <c r="I6335" s="20">
        <f t="shared" si="296"/>
        <v>0</v>
      </c>
    </row>
    <row r="6336" spans="1:9">
      <c r="A6336" s="17" t="s">
        <v>2163</v>
      </c>
      <c r="B6336" s="17" t="s">
        <v>283</v>
      </c>
      <c r="C6336" s="17">
        <v>0</v>
      </c>
      <c r="D6336" s="17" t="s">
        <v>801</v>
      </c>
      <c r="E6336" s="18">
        <v>3005360871007</v>
      </c>
      <c r="G6336" s="20" t="str">
        <f t="shared" si="294"/>
        <v xml:space="preserve"> OCLOCK/METAL    </v>
      </c>
      <c r="H6336" s="20" t="str">
        <f t="shared" si="295"/>
        <v>PHARD</v>
      </c>
      <c r="I6336" s="20">
        <f t="shared" si="296"/>
        <v>0</v>
      </c>
    </row>
    <row r="6337" spans="1:9">
      <c r="A6337" s="17" t="s">
        <v>2163</v>
      </c>
      <c r="B6337" s="17" t="s">
        <v>1079</v>
      </c>
      <c r="C6337" s="17">
        <v>0</v>
      </c>
      <c r="D6337" s="17" t="s">
        <v>801</v>
      </c>
      <c r="E6337" s="18">
        <v>8056095066317</v>
      </c>
      <c r="G6337" s="20" t="str">
        <f t="shared" si="294"/>
        <v xml:space="preserve"> OCLOCK/METAL    </v>
      </c>
      <c r="H6337" s="20" t="str">
        <f t="shared" si="295"/>
        <v xml:space="preserve">SLVG </v>
      </c>
      <c r="I6337" s="20">
        <f t="shared" si="296"/>
        <v>0</v>
      </c>
    </row>
    <row r="6338" spans="1:9">
      <c r="A6338" s="17" t="s">
        <v>2163</v>
      </c>
      <c r="B6338" s="17" t="s">
        <v>1079</v>
      </c>
      <c r="C6338" s="17">
        <v>0</v>
      </c>
      <c r="D6338" s="17" t="s">
        <v>801</v>
      </c>
      <c r="E6338" s="18">
        <v>3005360410008</v>
      </c>
      <c r="G6338" s="20" t="str">
        <f t="shared" si="294"/>
        <v xml:space="preserve"> OCLOCK/METAL    </v>
      </c>
      <c r="H6338" s="20" t="str">
        <f t="shared" si="295"/>
        <v xml:space="preserve">SLVG </v>
      </c>
      <c r="I6338" s="20">
        <f t="shared" si="296"/>
        <v>0</v>
      </c>
    </row>
    <row r="6339" spans="1:9">
      <c r="A6339" s="17" t="s">
        <v>2163</v>
      </c>
      <c r="B6339" s="17" t="s">
        <v>1664</v>
      </c>
      <c r="C6339" s="17">
        <v>0</v>
      </c>
      <c r="D6339" s="17" t="s">
        <v>801</v>
      </c>
      <c r="E6339" s="18">
        <v>8056095066324</v>
      </c>
      <c r="G6339" s="20" t="str">
        <f t="shared" si="294"/>
        <v xml:space="preserve"> OCLOCK/METAL    </v>
      </c>
      <c r="H6339" s="20" t="str">
        <f t="shared" si="295"/>
        <v>VERAN</v>
      </c>
      <c r="I6339" s="20">
        <f t="shared" si="296"/>
        <v>0</v>
      </c>
    </row>
    <row r="6340" spans="1:9">
      <c r="A6340" s="17" t="s">
        <v>2163</v>
      </c>
      <c r="B6340" s="17" t="s">
        <v>1664</v>
      </c>
      <c r="C6340" s="17">
        <v>0</v>
      </c>
      <c r="D6340" s="17" t="s">
        <v>801</v>
      </c>
      <c r="E6340" s="18">
        <v>3005361079006</v>
      </c>
      <c r="G6340" s="20" t="str">
        <f t="shared" si="294"/>
        <v xml:space="preserve"> OCLOCK/METAL    </v>
      </c>
      <c r="H6340" s="20" t="str">
        <f t="shared" si="295"/>
        <v>VERAN</v>
      </c>
      <c r="I6340" s="20">
        <f t="shared" si="296"/>
        <v>0</v>
      </c>
    </row>
    <row r="6341" spans="1:9">
      <c r="A6341" s="17" t="s">
        <v>2164</v>
      </c>
      <c r="B6341" s="17" t="s">
        <v>963</v>
      </c>
      <c r="C6341" s="17">
        <v>0</v>
      </c>
      <c r="D6341" s="17" t="s">
        <v>801</v>
      </c>
      <c r="E6341" s="18">
        <v>3004570691009</v>
      </c>
      <c r="G6341" s="20" t="str">
        <f t="shared" ref="G6341:G6404" si="297">A6341</f>
        <v xml:space="preserve"> OCLOCK/MIROIR   </v>
      </c>
      <c r="H6341" s="20" t="str">
        <f t="shared" ref="H6341:H6404" si="298">B6341</f>
        <v>AMARA</v>
      </c>
      <c r="I6341" s="20">
        <f t="shared" ref="I6341:I6404" si="299">C6341</f>
        <v>0</v>
      </c>
    </row>
    <row r="6342" spans="1:9">
      <c r="A6342" s="17" t="s">
        <v>2164</v>
      </c>
      <c r="B6342" s="17" t="s">
        <v>963</v>
      </c>
      <c r="C6342" s="17">
        <v>0</v>
      </c>
      <c r="D6342" s="17" t="s">
        <v>801</v>
      </c>
      <c r="E6342" s="18">
        <v>8058333586816</v>
      </c>
      <c r="G6342" s="20" t="str">
        <f t="shared" si="297"/>
        <v xml:space="preserve"> OCLOCK/MIROIR   </v>
      </c>
      <c r="H6342" s="20" t="str">
        <f t="shared" si="298"/>
        <v>AMARA</v>
      </c>
      <c r="I6342" s="20">
        <f t="shared" si="299"/>
        <v>0</v>
      </c>
    </row>
    <row r="6343" spans="1:9">
      <c r="A6343" s="17" t="s">
        <v>2164</v>
      </c>
      <c r="B6343" s="17" t="s">
        <v>963</v>
      </c>
      <c r="C6343" s="17">
        <v>0</v>
      </c>
      <c r="D6343" s="17" t="s">
        <v>801</v>
      </c>
      <c r="E6343" s="18">
        <v>3005230691001</v>
      </c>
      <c r="G6343" s="20" t="str">
        <f t="shared" si="297"/>
        <v xml:space="preserve"> OCLOCK/MIROIR   </v>
      </c>
      <c r="H6343" s="20" t="str">
        <f t="shared" si="298"/>
        <v>AMARA</v>
      </c>
      <c r="I6343" s="20">
        <f t="shared" si="299"/>
        <v>0</v>
      </c>
    </row>
    <row r="6344" spans="1:9">
      <c r="A6344" s="17" t="s">
        <v>2164</v>
      </c>
      <c r="B6344" s="17" t="s">
        <v>892</v>
      </c>
      <c r="C6344" s="17">
        <v>0</v>
      </c>
      <c r="D6344" s="17" t="s">
        <v>801</v>
      </c>
      <c r="E6344" s="18">
        <v>3004570473001</v>
      </c>
      <c r="G6344" s="20" t="str">
        <f t="shared" si="297"/>
        <v xml:space="preserve"> OCLOCK/MIROIR   </v>
      </c>
      <c r="H6344" s="20" t="str">
        <f t="shared" si="298"/>
        <v xml:space="preserve">LIME </v>
      </c>
      <c r="I6344" s="20">
        <f t="shared" si="299"/>
        <v>0</v>
      </c>
    </row>
    <row r="6345" spans="1:9">
      <c r="A6345" s="17" t="s">
        <v>2164</v>
      </c>
      <c r="B6345" s="17" t="s">
        <v>892</v>
      </c>
      <c r="C6345" s="17">
        <v>0</v>
      </c>
      <c r="D6345" s="17" t="s">
        <v>801</v>
      </c>
      <c r="E6345" s="18">
        <v>8058333586823</v>
      </c>
      <c r="G6345" s="20" t="str">
        <f t="shared" si="297"/>
        <v xml:space="preserve"> OCLOCK/MIROIR   </v>
      </c>
      <c r="H6345" s="20" t="str">
        <f t="shared" si="298"/>
        <v xml:space="preserve">LIME </v>
      </c>
      <c r="I6345" s="20">
        <f t="shared" si="299"/>
        <v>0</v>
      </c>
    </row>
    <row r="6346" spans="1:9">
      <c r="A6346" s="17" t="s">
        <v>2164</v>
      </c>
      <c r="B6346" s="17" t="s">
        <v>892</v>
      </c>
      <c r="C6346" s="17">
        <v>0</v>
      </c>
      <c r="D6346" s="17" t="s">
        <v>801</v>
      </c>
      <c r="E6346" s="18">
        <v>3005230473003</v>
      </c>
      <c r="G6346" s="20" t="str">
        <f t="shared" si="297"/>
        <v xml:space="preserve"> OCLOCK/MIROIR   </v>
      </c>
      <c r="H6346" s="20" t="str">
        <f t="shared" si="298"/>
        <v xml:space="preserve">LIME </v>
      </c>
      <c r="I6346" s="20">
        <f t="shared" si="299"/>
        <v>0</v>
      </c>
    </row>
    <row r="6347" spans="1:9">
      <c r="A6347" s="17" t="s">
        <v>2164</v>
      </c>
      <c r="B6347" s="17" t="s">
        <v>971</v>
      </c>
      <c r="C6347" s="17">
        <v>0</v>
      </c>
      <c r="D6347" s="17" t="s">
        <v>801</v>
      </c>
      <c r="E6347" s="18">
        <v>3004570689006</v>
      </c>
      <c r="G6347" s="20" t="str">
        <f t="shared" si="297"/>
        <v xml:space="preserve"> OCLOCK/MIROIR   </v>
      </c>
      <c r="H6347" s="20" t="str">
        <f t="shared" si="298"/>
        <v>OTTAN</v>
      </c>
      <c r="I6347" s="20">
        <f t="shared" si="299"/>
        <v>0</v>
      </c>
    </row>
    <row r="6348" spans="1:9">
      <c r="A6348" s="17" t="s">
        <v>2164</v>
      </c>
      <c r="B6348" s="17" t="s">
        <v>971</v>
      </c>
      <c r="C6348" s="17">
        <v>0</v>
      </c>
      <c r="D6348" s="17" t="s">
        <v>801</v>
      </c>
      <c r="E6348" s="18">
        <v>8058333586830</v>
      </c>
      <c r="G6348" s="20" t="str">
        <f t="shared" si="297"/>
        <v xml:space="preserve"> OCLOCK/MIROIR   </v>
      </c>
      <c r="H6348" s="20" t="str">
        <f t="shared" si="298"/>
        <v>OTTAN</v>
      </c>
      <c r="I6348" s="20">
        <f t="shared" si="299"/>
        <v>0</v>
      </c>
    </row>
    <row r="6349" spans="1:9">
      <c r="A6349" s="17" t="s">
        <v>2164</v>
      </c>
      <c r="B6349" s="17" t="s">
        <v>971</v>
      </c>
      <c r="C6349" s="17">
        <v>0</v>
      </c>
      <c r="D6349" s="17" t="s">
        <v>801</v>
      </c>
      <c r="E6349" s="18">
        <v>3005230689008</v>
      </c>
      <c r="G6349" s="20" t="str">
        <f t="shared" si="297"/>
        <v xml:space="preserve"> OCLOCK/MIROIR   </v>
      </c>
      <c r="H6349" s="20" t="str">
        <f t="shared" si="298"/>
        <v>OTTAN</v>
      </c>
      <c r="I6349" s="20">
        <f t="shared" si="299"/>
        <v>0</v>
      </c>
    </row>
    <row r="6350" spans="1:9">
      <c r="A6350" s="17" t="s">
        <v>2164</v>
      </c>
      <c r="B6350" s="17" t="s">
        <v>1438</v>
      </c>
      <c r="C6350" s="17">
        <v>0</v>
      </c>
      <c r="D6350" s="17" t="s">
        <v>801</v>
      </c>
      <c r="E6350" s="18">
        <v>3004570692006</v>
      </c>
      <c r="G6350" s="20" t="str">
        <f t="shared" si="297"/>
        <v xml:space="preserve"> OCLOCK/MIROIR   </v>
      </c>
      <c r="H6350" s="20" t="str">
        <f t="shared" si="298"/>
        <v>POLVE</v>
      </c>
      <c r="I6350" s="20">
        <f t="shared" si="299"/>
        <v>0</v>
      </c>
    </row>
    <row r="6351" spans="1:9">
      <c r="A6351" s="17" t="s">
        <v>2164</v>
      </c>
      <c r="B6351" s="17" t="s">
        <v>1438</v>
      </c>
      <c r="C6351" s="17">
        <v>0</v>
      </c>
      <c r="D6351" s="17" t="s">
        <v>801</v>
      </c>
      <c r="E6351" s="18">
        <v>8058333586847</v>
      </c>
      <c r="G6351" s="20" t="str">
        <f t="shared" si="297"/>
        <v xml:space="preserve"> OCLOCK/MIROIR   </v>
      </c>
      <c r="H6351" s="20" t="str">
        <f t="shared" si="298"/>
        <v>POLVE</v>
      </c>
      <c r="I6351" s="20">
        <f t="shared" si="299"/>
        <v>0</v>
      </c>
    </row>
    <row r="6352" spans="1:9">
      <c r="A6352" s="17" t="s">
        <v>2164</v>
      </c>
      <c r="B6352" s="17" t="s">
        <v>1438</v>
      </c>
      <c r="C6352" s="17">
        <v>0</v>
      </c>
      <c r="D6352" s="17" t="s">
        <v>801</v>
      </c>
      <c r="E6352" s="18">
        <v>3005230692008</v>
      </c>
      <c r="G6352" s="20" t="str">
        <f t="shared" si="297"/>
        <v xml:space="preserve"> OCLOCK/MIROIR   </v>
      </c>
      <c r="H6352" s="20" t="str">
        <f t="shared" si="298"/>
        <v>POLVE</v>
      </c>
      <c r="I6352" s="20">
        <f t="shared" si="299"/>
        <v>0</v>
      </c>
    </row>
    <row r="6353" spans="1:9">
      <c r="A6353" s="17" t="s">
        <v>2164</v>
      </c>
      <c r="B6353" s="17" t="s">
        <v>1024</v>
      </c>
      <c r="C6353" s="17">
        <v>0</v>
      </c>
      <c r="D6353" s="17" t="s">
        <v>801</v>
      </c>
      <c r="E6353" s="18">
        <v>3004570435009</v>
      </c>
      <c r="G6353" s="20" t="str">
        <f t="shared" si="297"/>
        <v xml:space="preserve"> OCLOCK/MIROIR   </v>
      </c>
      <c r="H6353" s="20" t="str">
        <f t="shared" si="298"/>
        <v xml:space="preserve">VIOL </v>
      </c>
      <c r="I6353" s="20">
        <f t="shared" si="299"/>
        <v>0</v>
      </c>
    </row>
    <row r="6354" spans="1:9">
      <c r="A6354" s="17" t="s">
        <v>2164</v>
      </c>
      <c r="B6354" s="17" t="s">
        <v>1024</v>
      </c>
      <c r="C6354" s="17">
        <v>0</v>
      </c>
      <c r="D6354" s="17" t="s">
        <v>801</v>
      </c>
      <c r="E6354" s="18">
        <v>8058333586854</v>
      </c>
      <c r="G6354" s="20" t="str">
        <f t="shared" si="297"/>
        <v xml:space="preserve"> OCLOCK/MIROIR   </v>
      </c>
      <c r="H6354" s="20" t="str">
        <f t="shared" si="298"/>
        <v xml:space="preserve">VIOL </v>
      </c>
      <c r="I6354" s="20">
        <f t="shared" si="299"/>
        <v>0</v>
      </c>
    </row>
    <row r="6355" spans="1:9">
      <c r="A6355" s="17" t="s">
        <v>2164</v>
      </c>
      <c r="B6355" s="17" t="s">
        <v>1024</v>
      </c>
      <c r="C6355" s="17">
        <v>0</v>
      </c>
      <c r="D6355" s="17" t="s">
        <v>801</v>
      </c>
      <c r="E6355" s="18">
        <v>3005230435001</v>
      </c>
      <c r="G6355" s="20" t="str">
        <f t="shared" si="297"/>
        <v xml:space="preserve"> OCLOCK/MIROIR   </v>
      </c>
      <c r="H6355" s="20" t="str">
        <f t="shared" si="298"/>
        <v xml:space="preserve">VIOL </v>
      </c>
      <c r="I6355" s="20">
        <f t="shared" si="299"/>
        <v>0</v>
      </c>
    </row>
    <row r="6356" spans="1:9">
      <c r="A6356" s="17" t="s">
        <v>2165</v>
      </c>
      <c r="B6356" s="17" t="s">
        <v>853</v>
      </c>
      <c r="C6356" s="17">
        <v>0</v>
      </c>
      <c r="D6356" s="17" t="s">
        <v>801</v>
      </c>
      <c r="E6356" s="18">
        <v>8050538595631</v>
      </c>
      <c r="G6356" s="20" t="str">
        <f t="shared" si="297"/>
        <v xml:space="preserve"> OCLOCK/MOSAIC   </v>
      </c>
      <c r="H6356" s="20" t="str">
        <f t="shared" si="298"/>
        <v>BRONZ</v>
      </c>
      <c r="I6356" s="20">
        <f t="shared" si="299"/>
        <v>0</v>
      </c>
    </row>
    <row r="6357" spans="1:9">
      <c r="A6357" s="17" t="s">
        <v>2165</v>
      </c>
      <c r="B6357" s="17" t="s">
        <v>890</v>
      </c>
      <c r="C6357" s="17">
        <v>0</v>
      </c>
      <c r="D6357" s="17" t="s">
        <v>801</v>
      </c>
      <c r="E6357" s="18">
        <v>8050538595655</v>
      </c>
      <c r="G6357" s="20" t="str">
        <f t="shared" si="297"/>
        <v xml:space="preserve"> OCLOCK/MOSAIC   </v>
      </c>
      <c r="H6357" s="20" t="str">
        <f t="shared" si="298"/>
        <v xml:space="preserve">GOLD </v>
      </c>
      <c r="I6357" s="20">
        <f t="shared" si="299"/>
        <v>0</v>
      </c>
    </row>
    <row r="6358" spans="1:9">
      <c r="A6358" s="17" t="s">
        <v>2165</v>
      </c>
      <c r="B6358" s="17" t="s">
        <v>1092</v>
      </c>
      <c r="C6358" s="17">
        <v>0</v>
      </c>
      <c r="D6358" s="17" t="s">
        <v>801</v>
      </c>
      <c r="E6358" s="18">
        <v>8050538595648</v>
      </c>
      <c r="G6358" s="20" t="str">
        <f t="shared" si="297"/>
        <v xml:space="preserve"> OCLOCK/MOSAIC   </v>
      </c>
      <c r="H6358" s="20" t="str">
        <f t="shared" si="298"/>
        <v>MULTI</v>
      </c>
      <c r="I6358" s="20">
        <f t="shared" si="299"/>
        <v>0</v>
      </c>
    </row>
    <row r="6359" spans="1:9">
      <c r="A6359" s="17" t="s">
        <v>2165</v>
      </c>
      <c r="B6359" s="17" t="s">
        <v>855</v>
      </c>
      <c r="C6359" s="17">
        <v>0</v>
      </c>
      <c r="D6359" s="17" t="s">
        <v>801</v>
      </c>
      <c r="E6359" s="18">
        <v>8050538595228</v>
      </c>
      <c r="G6359" s="20" t="str">
        <f t="shared" si="297"/>
        <v xml:space="preserve"> OCLOCK/MOSAIC   </v>
      </c>
      <c r="H6359" s="20" t="str">
        <f t="shared" si="298"/>
        <v>SILVE</v>
      </c>
      <c r="I6359" s="20">
        <f t="shared" si="299"/>
        <v>0</v>
      </c>
    </row>
    <row r="6360" spans="1:9">
      <c r="A6360" s="17" t="s">
        <v>2166</v>
      </c>
      <c r="B6360" s="17" t="s">
        <v>1061</v>
      </c>
      <c r="C6360" s="17">
        <v>0</v>
      </c>
      <c r="D6360" s="17" t="s">
        <v>801</v>
      </c>
      <c r="E6360" s="18">
        <v>3005570741008</v>
      </c>
      <c r="G6360" s="20" t="str">
        <f t="shared" si="297"/>
        <v xml:space="preserve"> OCLOCK/PATTERN  </v>
      </c>
      <c r="H6360" s="20" t="str">
        <f t="shared" si="298"/>
        <v xml:space="preserve">E    </v>
      </c>
      <c r="I6360" s="20">
        <f t="shared" si="299"/>
        <v>0</v>
      </c>
    </row>
    <row r="6361" spans="1:9">
      <c r="A6361" s="17" t="s">
        <v>2166</v>
      </c>
      <c r="B6361" s="17" t="s">
        <v>2162</v>
      </c>
      <c r="C6361" s="17">
        <v>0</v>
      </c>
      <c r="D6361" s="17" t="s">
        <v>801</v>
      </c>
      <c r="E6361" s="18">
        <v>8058983599617</v>
      </c>
      <c r="G6361" s="20" t="str">
        <f t="shared" si="297"/>
        <v xml:space="preserve"> OCLOCK/PATTERN  </v>
      </c>
      <c r="H6361" s="20" t="str">
        <f t="shared" si="298"/>
        <v>SQUAR</v>
      </c>
      <c r="I6361" s="20">
        <f t="shared" si="299"/>
        <v>0</v>
      </c>
    </row>
    <row r="6362" spans="1:9">
      <c r="A6362" s="17" t="s">
        <v>2166</v>
      </c>
      <c r="B6362" s="17" t="s">
        <v>2162</v>
      </c>
      <c r="C6362" s="17">
        <v>0</v>
      </c>
      <c r="D6362" s="17" t="s">
        <v>801</v>
      </c>
      <c r="E6362" s="18">
        <v>3005570539001</v>
      </c>
      <c r="G6362" s="20" t="str">
        <f t="shared" si="297"/>
        <v xml:space="preserve"> OCLOCK/PATTERN  </v>
      </c>
      <c r="H6362" s="20" t="str">
        <f t="shared" si="298"/>
        <v>SQUAR</v>
      </c>
      <c r="I6362" s="20">
        <f t="shared" si="299"/>
        <v>0</v>
      </c>
    </row>
    <row r="6363" spans="1:9">
      <c r="A6363" s="17" t="s">
        <v>2166</v>
      </c>
      <c r="B6363" s="17" t="s">
        <v>2167</v>
      </c>
      <c r="C6363" s="17">
        <v>0</v>
      </c>
      <c r="D6363" s="17" t="s">
        <v>801</v>
      </c>
      <c r="E6363" s="18">
        <v>8058983599624</v>
      </c>
      <c r="G6363" s="20" t="str">
        <f t="shared" si="297"/>
        <v xml:space="preserve"> OCLOCK/PATTERN  </v>
      </c>
      <c r="H6363" s="20" t="str">
        <f t="shared" si="298"/>
        <v>TRIAN</v>
      </c>
      <c r="I6363" s="20">
        <f t="shared" si="299"/>
        <v>0</v>
      </c>
    </row>
    <row r="6364" spans="1:9">
      <c r="A6364" s="17" t="s">
        <v>2166</v>
      </c>
      <c r="B6364" s="17" t="s">
        <v>2167</v>
      </c>
      <c r="C6364" s="17">
        <v>0</v>
      </c>
      <c r="D6364" s="17" t="s">
        <v>801</v>
      </c>
      <c r="E6364" s="18">
        <v>3005570645009</v>
      </c>
      <c r="G6364" s="20" t="str">
        <f t="shared" si="297"/>
        <v xml:space="preserve"> OCLOCK/PATTERN  </v>
      </c>
      <c r="H6364" s="20" t="str">
        <f t="shared" si="298"/>
        <v>TRIAN</v>
      </c>
      <c r="I6364" s="20">
        <f t="shared" si="299"/>
        <v>0</v>
      </c>
    </row>
    <row r="6365" spans="1:9">
      <c r="A6365" s="17" t="s">
        <v>2166</v>
      </c>
      <c r="B6365" s="17" t="s">
        <v>2168</v>
      </c>
      <c r="C6365" s="17">
        <v>0</v>
      </c>
      <c r="D6365" s="17" t="s">
        <v>801</v>
      </c>
      <c r="E6365" s="18">
        <v>8058983599631</v>
      </c>
      <c r="G6365" s="20" t="str">
        <f t="shared" si="297"/>
        <v xml:space="preserve"> OCLOCK/PATTERN  </v>
      </c>
      <c r="H6365" s="20" t="str">
        <f t="shared" si="298"/>
        <v>VERTI</v>
      </c>
      <c r="I6365" s="20">
        <f t="shared" si="299"/>
        <v>0</v>
      </c>
    </row>
    <row r="6366" spans="1:9">
      <c r="A6366" s="17" t="s">
        <v>2166</v>
      </c>
      <c r="B6366" s="17" t="s">
        <v>2168</v>
      </c>
      <c r="C6366" s="17">
        <v>0</v>
      </c>
      <c r="D6366" s="17" t="s">
        <v>801</v>
      </c>
      <c r="E6366" s="18">
        <v>3005570646006</v>
      </c>
      <c r="G6366" s="20" t="str">
        <f t="shared" si="297"/>
        <v xml:space="preserve"> OCLOCK/PATTERN  </v>
      </c>
      <c r="H6366" s="20" t="str">
        <f t="shared" si="298"/>
        <v>VERTI</v>
      </c>
      <c r="I6366" s="20">
        <f t="shared" si="299"/>
        <v>0</v>
      </c>
    </row>
    <row r="6367" spans="1:9">
      <c r="A6367" s="17" t="s">
        <v>2169</v>
      </c>
      <c r="B6367" s="17" t="s">
        <v>890</v>
      </c>
      <c r="C6367" s="17">
        <v>0</v>
      </c>
      <c r="D6367" s="17" t="s">
        <v>801</v>
      </c>
      <c r="E6367" s="18">
        <v>8056095066133</v>
      </c>
      <c r="G6367" s="20" t="str">
        <f t="shared" si="297"/>
        <v xml:space="preserve"> OCLOCK/PAVE     </v>
      </c>
      <c r="H6367" s="20" t="str">
        <f t="shared" si="298"/>
        <v xml:space="preserve">GOLD </v>
      </c>
      <c r="I6367" s="20">
        <f t="shared" si="299"/>
        <v>0</v>
      </c>
    </row>
    <row r="6368" spans="1:9">
      <c r="A6368" s="17" t="s">
        <v>2169</v>
      </c>
      <c r="B6368" s="17" t="s">
        <v>890</v>
      </c>
      <c r="C6368" s="17">
        <v>0</v>
      </c>
      <c r="D6368" s="17" t="s">
        <v>801</v>
      </c>
      <c r="E6368" s="18">
        <v>3005330339001</v>
      </c>
      <c r="G6368" s="20" t="str">
        <f t="shared" si="297"/>
        <v xml:space="preserve"> OCLOCK/PAVE     </v>
      </c>
      <c r="H6368" s="20" t="str">
        <f t="shared" si="298"/>
        <v xml:space="preserve">GOLD </v>
      </c>
      <c r="I6368" s="20">
        <f t="shared" si="299"/>
        <v>0</v>
      </c>
    </row>
    <row r="6369" spans="1:9">
      <c r="A6369" s="17" t="s">
        <v>2169</v>
      </c>
      <c r="B6369" s="17" t="s">
        <v>1389</v>
      </c>
      <c r="C6369" s="17">
        <v>0</v>
      </c>
      <c r="D6369" s="17" t="s">
        <v>801</v>
      </c>
      <c r="E6369" s="18">
        <v>8056095066157</v>
      </c>
      <c r="G6369" s="20" t="str">
        <f t="shared" si="297"/>
        <v xml:space="preserve"> OCLOCK/PAVE     </v>
      </c>
      <c r="H6369" s="20" t="str">
        <f t="shared" si="298"/>
        <v xml:space="preserve">PINK </v>
      </c>
      <c r="I6369" s="20">
        <f t="shared" si="299"/>
        <v>0</v>
      </c>
    </row>
    <row r="6370" spans="1:9">
      <c r="A6370" s="17" t="s">
        <v>2169</v>
      </c>
      <c r="B6370" s="17" t="s">
        <v>1389</v>
      </c>
      <c r="C6370" s="17">
        <v>0</v>
      </c>
      <c r="D6370" s="17" t="s">
        <v>801</v>
      </c>
      <c r="E6370" s="18">
        <v>3005330381000</v>
      </c>
      <c r="G6370" s="20" t="str">
        <f t="shared" si="297"/>
        <v xml:space="preserve"> OCLOCK/PAVE     </v>
      </c>
      <c r="H6370" s="20" t="str">
        <f t="shared" si="298"/>
        <v xml:space="preserve">PINK </v>
      </c>
      <c r="I6370" s="20">
        <f t="shared" si="299"/>
        <v>0</v>
      </c>
    </row>
    <row r="6371" spans="1:9">
      <c r="A6371" s="17" t="s">
        <v>2169</v>
      </c>
      <c r="B6371" s="17" t="s">
        <v>855</v>
      </c>
      <c r="C6371" s="17">
        <v>0</v>
      </c>
      <c r="D6371" s="17" t="s">
        <v>801</v>
      </c>
      <c r="E6371" s="18">
        <v>8056095066140</v>
      </c>
      <c r="G6371" s="20" t="str">
        <f t="shared" si="297"/>
        <v xml:space="preserve"> OCLOCK/PAVE     </v>
      </c>
      <c r="H6371" s="20" t="str">
        <f t="shared" si="298"/>
        <v>SILVE</v>
      </c>
      <c r="I6371" s="20">
        <f t="shared" si="299"/>
        <v>0</v>
      </c>
    </row>
    <row r="6372" spans="1:9">
      <c r="A6372" s="17" t="s">
        <v>2169</v>
      </c>
      <c r="B6372" s="17" t="s">
        <v>855</v>
      </c>
      <c r="C6372" s="17">
        <v>0</v>
      </c>
      <c r="D6372" s="17" t="s">
        <v>801</v>
      </c>
      <c r="E6372" s="18">
        <v>3005330567008</v>
      </c>
      <c r="G6372" s="20" t="str">
        <f t="shared" si="297"/>
        <v xml:space="preserve"> OCLOCK/PAVE     </v>
      </c>
      <c r="H6372" s="20" t="str">
        <f t="shared" si="298"/>
        <v>SILVE</v>
      </c>
      <c r="I6372" s="20">
        <f t="shared" si="299"/>
        <v>0</v>
      </c>
    </row>
    <row r="6373" spans="1:9">
      <c r="A6373" s="17" t="s">
        <v>2170</v>
      </c>
      <c r="B6373" s="17" t="s">
        <v>930</v>
      </c>
      <c r="C6373" s="17">
        <v>0</v>
      </c>
      <c r="D6373" s="17" t="s">
        <v>801</v>
      </c>
      <c r="E6373" s="18">
        <v>8056300454953</v>
      </c>
      <c r="G6373" s="20" t="str">
        <f t="shared" si="297"/>
        <v xml:space="preserve"> OCLOCK/PIPE     </v>
      </c>
      <c r="H6373" s="20" t="str">
        <f t="shared" si="298"/>
        <v xml:space="preserve">BLK  </v>
      </c>
      <c r="I6373" s="20">
        <f t="shared" si="299"/>
        <v>0</v>
      </c>
    </row>
    <row r="6374" spans="1:9">
      <c r="A6374" s="17" t="s">
        <v>2170</v>
      </c>
      <c r="B6374" s="17" t="s">
        <v>930</v>
      </c>
      <c r="C6374" s="17">
        <v>0</v>
      </c>
      <c r="D6374" s="17" t="s">
        <v>801</v>
      </c>
      <c r="E6374" s="18">
        <v>3005050557006</v>
      </c>
      <c r="G6374" s="20" t="str">
        <f t="shared" si="297"/>
        <v xml:space="preserve"> OCLOCK/PIPE     </v>
      </c>
      <c r="H6374" s="20" t="str">
        <f t="shared" si="298"/>
        <v xml:space="preserve">BLK  </v>
      </c>
      <c r="I6374" s="20">
        <f t="shared" si="299"/>
        <v>0</v>
      </c>
    </row>
    <row r="6375" spans="1:9">
      <c r="A6375" s="17" t="s">
        <v>2170</v>
      </c>
      <c r="B6375" s="17" t="s">
        <v>1026</v>
      </c>
      <c r="C6375" s="17">
        <v>0</v>
      </c>
      <c r="D6375" s="17" t="s">
        <v>801</v>
      </c>
      <c r="E6375" s="18">
        <v>3005050843000</v>
      </c>
      <c r="G6375" s="20" t="str">
        <f t="shared" si="297"/>
        <v xml:space="preserve"> OCLOCK/PIPE     </v>
      </c>
      <c r="H6375" s="20" t="str">
        <f t="shared" si="298"/>
        <v>BLUAV</v>
      </c>
      <c r="I6375" s="20">
        <f t="shared" si="299"/>
        <v>0</v>
      </c>
    </row>
    <row r="6376" spans="1:9">
      <c r="A6376" s="17" t="s">
        <v>2170</v>
      </c>
      <c r="B6376" s="17" t="s">
        <v>978</v>
      </c>
      <c r="C6376" s="17">
        <v>0</v>
      </c>
      <c r="D6376" s="17" t="s">
        <v>801</v>
      </c>
      <c r="E6376" s="18">
        <v>3005051000006</v>
      </c>
      <c r="G6376" s="20" t="str">
        <f t="shared" si="297"/>
        <v xml:space="preserve"> OCLOCK/PIPE     </v>
      </c>
      <c r="H6376" s="20" t="str">
        <f t="shared" si="298"/>
        <v>GRIGI</v>
      </c>
      <c r="I6376" s="20">
        <f t="shared" si="299"/>
        <v>0</v>
      </c>
    </row>
    <row r="6377" spans="1:9">
      <c r="A6377" s="17" t="s">
        <v>2170</v>
      </c>
      <c r="B6377" s="17" t="s">
        <v>838</v>
      </c>
      <c r="C6377" s="17">
        <v>0</v>
      </c>
      <c r="D6377" s="17" t="s">
        <v>801</v>
      </c>
      <c r="E6377" s="18">
        <v>8056300454977</v>
      </c>
      <c r="G6377" s="20" t="str">
        <f t="shared" si="297"/>
        <v xml:space="preserve"> OCLOCK/PIPE     </v>
      </c>
      <c r="H6377" s="20" t="str">
        <f t="shared" si="298"/>
        <v>IVOIR</v>
      </c>
      <c r="I6377" s="20">
        <f t="shared" si="299"/>
        <v>0</v>
      </c>
    </row>
    <row r="6378" spans="1:9">
      <c r="A6378" s="17" t="s">
        <v>2170</v>
      </c>
      <c r="B6378" s="17" t="s">
        <v>838</v>
      </c>
      <c r="C6378" s="17">
        <v>0</v>
      </c>
      <c r="D6378" s="17" t="s">
        <v>801</v>
      </c>
      <c r="E6378" s="18">
        <v>3005050497005</v>
      </c>
      <c r="G6378" s="20" t="str">
        <f t="shared" si="297"/>
        <v xml:space="preserve"> OCLOCK/PIPE     </v>
      </c>
      <c r="H6378" s="20" t="str">
        <f t="shared" si="298"/>
        <v>IVOIR</v>
      </c>
      <c r="I6378" s="20">
        <f t="shared" si="299"/>
        <v>0</v>
      </c>
    </row>
    <row r="6379" spans="1:9">
      <c r="A6379" s="17" t="s">
        <v>2170</v>
      </c>
      <c r="B6379" s="17" t="s">
        <v>1389</v>
      </c>
      <c r="C6379" s="17">
        <v>0</v>
      </c>
      <c r="D6379" s="17" t="s">
        <v>801</v>
      </c>
      <c r="E6379" s="18">
        <v>3005050381007</v>
      </c>
      <c r="G6379" s="20" t="str">
        <f t="shared" si="297"/>
        <v xml:space="preserve"> OCLOCK/PIPE     </v>
      </c>
      <c r="H6379" s="20" t="str">
        <f t="shared" si="298"/>
        <v xml:space="preserve">PINK </v>
      </c>
      <c r="I6379" s="20">
        <f t="shared" si="299"/>
        <v>0</v>
      </c>
    </row>
    <row r="6380" spans="1:9">
      <c r="A6380" s="17" t="s">
        <v>2170</v>
      </c>
      <c r="B6380" s="17" t="s">
        <v>1438</v>
      </c>
      <c r="C6380" s="17">
        <v>0</v>
      </c>
      <c r="D6380" s="17" t="s">
        <v>801</v>
      </c>
      <c r="E6380" s="18">
        <v>8056300454960</v>
      </c>
      <c r="G6380" s="20" t="str">
        <f t="shared" si="297"/>
        <v xml:space="preserve"> OCLOCK/PIPE     </v>
      </c>
      <c r="H6380" s="20" t="str">
        <f t="shared" si="298"/>
        <v>POLVE</v>
      </c>
      <c r="I6380" s="20">
        <f t="shared" si="299"/>
        <v>0</v>
      </c>
    </row>
    <row r="6381" spans="1:9">
      <c r="A6381" s="17" t="s">
        <v>2170</v>
      </c>
      <c r="B6381" s="17" t="s">
        <v>1438</v>
      </c>
      <c r="C6381" s="17">
        <v>0</v>
      </c>
      <c r="D6381" s="17" t="s">
        <v>801</v>
      </c>
      <c r="E6381" s="18">
        <v>3005050692004</v>
      </c>
      <c r="G6381" s="20" t="str">
        <f t="shared" si="297"/>
        <v xml:space="preserve"> OCLOCK/PIPE     </v>
      </c>
      <c r="H6381" s="20" t="str">
        <f t="shared" si="298"/>
        <v>POLVE</v>
      </c>
      <c r="I6381" s="20">
        <f t="shared" si="299"/>
        <v>0</v>
      </c>
    </row>
    <row r="6382" spans="1:9">
      <c r="A6382" s="17" t="s">
        <v>2171</v>
      </c>
      <c r="B6382" s="17" t="s">
        <v>808</v>
      </c>
      <c r="C6382" s="17">
        <v>0</v>
      </c>
      <c r="D6382" s="17" t="s">
        <v>801</v>
      </c>
      <c r="E6382" s="18">
        <v>8050538595235</v>
      </c>
      <c r="G6382" s="20" t="str">
        <f t="shared" si="297"/>
        <v xml:space="preserve"> OCLOCK/ROSONE   </v>
      </c>
      <c r="H6382" s="20" t="str">
        <f t="shared" si="298"/>
        <v>ANTHR</v>
      </c>
      <c r="I6382" s="20">
        <f t="shared" si="299"/>
        <v>0</v>
      </c>
    </row>
    <row r="6383" spans="1:9">
      <c r="A6383" s="17" t="s">
        <v>2171</v>
      </c>
      <c r="B6383" s="17" t="s">
        <v>964</v>
      </c>
      <c r="C6383" s="17">
        <v>0</v>
      </c>
      <c r="D6383" s="17" t="s">
        <v>801</v>
      </c>
      <c r="E6383" s="18">
        <v>8050538595662</v>
      </c>
      <c r="G6383" s="20" t="str">
        <f t="shared" si="297"/>
        <v xml:space="preserve"> OCLOCK/ROSONE   </v>
      </c>
      <c r="H6383" s="20" t="str">
        <f t="shared" si="298"/>
        <v>ORANG</v>
      </c>
      <c r="I6383" s="20">
        <f t="shared" si="299"/>
        <v>0</v>
      </c>
    </row>
    <row r="6384" spans="1:9">
      <c r="A6384" s="17" t="s">
        <v>2171</v>
      </c>
      <c r="B6384" s="17" t="s">
        <v>1074</v>
      </c>
      <c r="C6384" s="17">
        <v>0</v>
      </c>
      <c r="D6384" s="17" t="s">
        <v>801</v>
      </c>
      <c r="E6384" s="18">
        <v>8050538595679</v>
      </c>
      <c r="G6384" s="20" t="str">
        <f t="shared" si="297"/>
        <v xml:space="preserve"> OCLOCK/ROSONE   </v>
      </c>
      <c r="H6384" s="20" t="str">
        <f t="shared" si="298"/>
        <v>TURQU</v>
      </c>
      <c r="I6384" s="20">
        <f t="shared" si="299"/>
        <v>0</v>
      </c>
    </row>
    <row r="6385" spans="1:9">
      <c r="A6385" s="17" t="s">
        <v>2172</v>
      </c>
      <c r="B6385" s="17" t="s">
        <v>2173</v>
      </c>
      <c r="C6385" s="17">
        <v>0</v>
      </c>
      <c r="D6385" s="17" t="s">
        <v>801</v>
      </c>
      <c r="E6385" s="18">
        <v>3020710227006</v>
      </c>
      <c r="G6385" s="20" t="str">
        <f t="shared" si="297"/>
        <v xml:space="preserve"> OCLOCK/SAFARI   </v>
      </c>
      <c r="H6385" s="20" t="str">
        <f t="shared" si="298"/>
        <v xml:space="preserve">CROC </v>
      </c>
      <c r="I6385" s="20">
        <f t="shared" si="299"/>
        <v>0</v>
      </c>
    </row>
    <row r="6386" spans="1:9">
      <c r="A6386" s="17" t="s">
        <v>2172</v>
      </c>
      <c r="B6386" s="17" t="s">
        <v>2173</v>
      </c>
      <c r="C6386" s="17">
        <v>0</v>
      </c>
      <c r="D6386" s="17" t="s">
        <v>801</v>
      </c>
      <c r="E6386" s="18">
        <v>8050450219141</v>
      </c>
      <c r="G6386" s="20" t="str">
        <f t="shared" si="297"/>
        <v xml:space="preserve"> OCLOCK/SAFARI   </v>
      </c>
      <c r="H6386" s="20" t="str">
        <f t="shared" si="298"/>
        <v xml:space="preserve">CROC </v>
      </c>
      <c r="I6386" s="20">
        <f t="shared" si="299"/>
        <v>0</v>
      </c>
    </row>
    <row r="6387" spans="1:9">
      <c r="A6387" s="17" t="s">
        <v>2172</v>
      </c>
      <c r="B6387" s="17" t="s">
        <v>2174</v>
      </c>
      <c r="C6387" s="17">
        <v>0</v>
      </c>
      <c r="D6387" s="17" t="s">
        <v>801</v>
      </c>
      <c r="E6387" s="18">
        <v>8051770308089</v>
      </c>
      <c r="G6387" s="20" t="str">
        <f t="shared" si="297"/>
        <v xml:space="preserve"> OCLOCK/SAFARI   </v>
      </c>
      <c r="H6387" s="20" t="str">
        <f t="shared" si="298"/>
        <v xml:space="preserve">GIR  </v>
      </c>
      <c r="I6387" s="20">
        <f t="shared" si="299"/>
        <v>0</v>
      </c>
    </row>
    <row r="6388" spans="1:9">
      <c r="A6388" s="17" t="s">
        <v>2172</v>
      </c>
      <c r="B6388" s="17" t="s">
        <v>2174</v>
      </c>
      <c r="C6388" s="17">
        <v>0</v>
      </c>
      <c r="D6388" s="17" t="s">
        <v>801</v>
      </c>
      <c r="E6388" s="18">
        <v>3003410058002</v>
      </c>
      <c r="G6388" s="20" t="str">
        <f t="shared" si="297"/>
        <v xml:space="preserve"> OCLOCK/SAFARI   </v>
      </c>
      <c r="H6388" s="20" t="str">
        <f t="shared" si="298"/>
        <v xml:space="preserve">GIR  </v>
      </c>
      <c r="I6388" s="20">
        <f t="shared" si="299"/>
        <v>0</v>
      </c>
    </row>
    <row r="6389" spans="1:9">
      <c r="A6389" s="17" t="s">
        <v>2172</v>
      </c>
      <c r="B6389" s="17" t="s">
        <v>2175</v>
      </c>
      <c r="C6389" s="17">
        <v>0</v>
      </c>
      <c r="D6389" s="17" t="s">
        <v>801</v>
      </c>
      <c r="E6389" s="18">
        <v>8056095066232</v>
      </c>
      <c r="G6389" s="20" t="str">
        <f t="shared" si="297"/>
        <v xml:space="preserve"> OCLOCK/SAFARI   </v>
      </c>
      <c r="H6389" s="20" t="str">
        <f t="shared" si="298"/>
        <v>LEOBL</v>
      </c>
      <c r="I6389" s="20">
        <f t="shared" si="299"/>
        <v>0</v>
      </c>
    </row>
    <row r="6390" spans="1:9">
      <c r="A6390" s="17" t="s">
        <v>2172</v>
      </c>
      <c r="B6390" s="17" t="s">
        <v>2175</v>
      </c>
      <c r="C6390" s="17">
        <v>0</v>
      </c>
      <c r="D6390" s="17" t="s">
        <v>801</v>
      </c>
      <c r="E6390" s="18">
        <v>3003341158000</v>
      </c>
      <c r="G6390" s="20" t="str">
        <f t="shared" si="297"/>
        <v xml:space="preserve"> OCLOCK/SAFARI   </v>
      </c>
      <c r="H6390" s="20" t="str">
        <f t="shared" si="298"/>
        <v>LEOBL</v>
      </c>
      <c r="I6390" s="20">
        <f t="shared" si="299"/>
        <v>0</v>
      </c>
    </row>
    <row r="6391" spans="1:9">
      <c r="A6391" s="17" t="s">
        <v>2172</v>
      </c>
      <c r="B6391" s="17" t="s">
        <v>2176</v>
      </c>
      <c r="C6391" s="17">
        <v>0</v>
      </c>
      <c r="D6391" s="17" t="s">
        <v>801</v>
      </c>
      <c r="E6391" s="18">
        <v>8056095066249</v>
      </c>
      <c r="G6391" s="20" t="str">
        <f t="shared" si="297"/>
        <v xml:space="preserve"> OCLOCK/SAFARI   </v>
      </c>
      <c r="H6391" s="20" t="str">
        <f t="shared" si="298"/>
        <v>LEOPI</v>
      </c>
      <c r="I6391" s="20">
        <f t="shared" si="299"/>
        <v>0</v>
      </c>
    </row>
    <row r="6392" spans="1:9">
      <c r="A6392" s="17" t="s">
        <v>2172</v>
      </c>
      <c r="B6392" s="17" t="s">
        <v>2176</v>
      </c>
      <c r="C6392" s="17">
        <v>0</v>
      </c>
      <c r="D6392" s="17" t="s">
        <v>801</v>
      </c>
      <c r="E6392" s="18">
        <v>3003341159007</v>
      </c>
      <c r="G6392" s="20" t="str">
        <f t="shared" si="297"/>
        <v xml:space="preserve"> OCLOCK/SAFARI   </v>
      </c>
      <c r="H6392" s="20" t="str">
        <f t="shared" si="298"/>
        <v>LEOPI</v>
      </c>
      <c r="I6392" s="20">
        <f t="shared" si="299"/>
        <v>0</v>
      </c>
    </row>
    <row r="6393" spans="1:9">
      <c r="A6393" s="17" t="s">
        <v>2172</v>
      </c>
      <c r="B6393" s="17" t="s">
        <v>2177</v>
      </c>
      <c r="C6393" s="17">
        <v>0</v>
      </c>
      <c r="D6393" s="17" t="s">
        <v>801</v>
      </c>
      <c r="E6393" s="18">
        <v>8051770308102</v>
      </c>
      <c r="G6393" s="20" t="str">
        <f t="shared" si="297"/>
        <v xml:space="preserve"> OCLOCK/SAFARI   </v>
      </c>
      <c r="H6393" s="20" t="str">
        <f t="shared" si="298"/>
        <v xml:space="preserve">LION </v>
      </c>
      <c r="I6393" s="20">
        <f t="shared" si="299"/>
        <v>0</v>
      </c>
    </row>
    <row r="6394" spans="1:9">
      <c r="A6394" s="17" t="s">
        <v>2172</v>
      </c>
      <c r="B6394" s="17" t="s">
        <v>2177</v>
      </c>
      <c r="C6394" s="17">
        <v>0</v>
      </c>
      <c r="D6394" s="17" t="s">
        <v>801</v>
      </c>
      <c r="E6394" s="18">
        <v>3003410059009</v>
      </c>
      <c r="G6394" s="20" t="str">
        <f t="shared" si="297"/>
        <v xml:space="preserve"> OCLOCK/SAFARI   </v>
      </c>
      <c r="H6394" s="20" t="str">
        <f t="shared" si="298"/>
        <v xml:space="preserve">LION </v>
      </c>
      <c r="I6394" s="20">
        <f t="shared" si="299"/>
        <v>0</v>
      </c>
    </row>
    <row r="6395" spans="1:9">
      <c r="A6395" s="17" t="s">
        <v>2172</v>
      </c>
      <c r="B6395" s="17" t="s">
        <v>2178</v>
      </c>
      <c r="C6395" s="17">
        <v>0</v>
      </c>
      <c r="D6395" s="17" t="s">
        <v>801</v>
      </c>
      <c r="E6395" s="18">
        <v>3020710226009</v>
      </c>
      <c r="G6395" s="20" t="str">
        <f t="shared" si="297"/>
        <v xml:space="preserve"> OCLOCK/SAFARI   </v>
      </c>
      <c r="H6395" s="20" t="str">
        <f t="shared" si="298"/>
        <v xml:space="preserve">SNA  </v>
      </c>
      <c r="I6395" s="20">
        <f t="shared" si="299"/>
        <v>0</v>
      </c>
    </row>
    <row r="6396" spans="1:9">
      <c r="A6396" s="17" t="s">
        <v>2172</v>
      </c>
      <c r="B6396" s="17" t="s">
        <v>2178</v>
      </c>
      <c r="C6396" s="17">
        <v>0</v>
      </c>
      <c r="D6396" s="17" t="s">
        <v>801</v>
      </c>
      <c r="E6396" s="18">
        <v>8050450219158</v>
      </c>
      <c r="G6396" s="20" t="str">
        <f t="shared" si="297"/>
        <v xml:space="preserve"> OCLOCK/SAFARI   </v>
      </c>
      <c r="H6396" s="20" t="str">
        <f t="shared" si="298"/>
        <v xml:space="preserve">SNA  </v>
      </c>
      <c r="I6396" s="20">
        <f t="shared" si="299"/>
        <v>0</v>
      </c>
    </row>
    <row r="6397" spans="1:9">
      <c r="A6397" s="17" t="s">
        <v>2172</v>
      </c>
      <c r="B6397" s="17" t="s">
        <v>2179</v>
      </c>
      <c r="C6397" s="17">
        <v>0</v>
      </c>
      <c r="D6397" s="17" t="s">
        <v>801</v>
      </c>
      <c r="E6397" s="18">
        <v>3020710950003</v>
      </c>
      <c r="G6397" s="20" t="str">
        <f t="shared" si="297"/>
        <v xml:space="preserve"> OCLOCK/SAFARI   </v>
      </c>
      <c r="H6397" s="20" t="str">
        <f t="shared" si="298"/>
        <v xml:space="preserve">TIG  </v>
      </c>
      <c r="I6397" s="20">
        <f t="shared" si="299"/>
        <v>0</v>
      </c>
    </row>
    <row r="6398" spans="1:9">
      <c r="A6398" s="17" t="s">
        <v>2172</v>
      </c>
      <c r="B6398" s="17" t="s">
        <v>2179</v>
      </c>
      <c r="C6398" s="17">
        <v>0</v>
      </c>
      <c r="D6398" s="17" t="s">
        <v>801</v>
      </c>
      <c r="E6398" s="18">
        <v>8050450219165</v>
      </c>
      <c r="G6398" s="20" t="str">
        <f t="shared" si="297"/>
        <v xml:space="preserve"> OCLOCK/SAFARI   </v>
      </c>
      <c r="H6398" s="20" t="str">
        <f t="shared" si="298"/>
        <v xml:space="preserve">TIG  </v>
      </c>
      <c r="I6398" s="20">
        <f t="shared" si="299"/>
        <v>0</v>
      </c>
    </row>
    <row r="6399" spans="1:9">
      <c r="A6399" s="17" t="s">
        <v>2172</v>
      </c>
      <c r="B6399" s="17" t="s">
        <v>2026</v>
      </c>
      <c r="C6399" s="17">
        <v>0</v>
      </c>
      <c r="D6399" s="17" t="s">
        <v>801</v>
      </c>
      <c r="E6399" s="18">
        <v>8051770308096</v>
      </c>
      <c r="G6399" s="20" t="str">
        <f t="shared" si="297"/>
        <v xml:space="preserve"> OCLOCK/SAFARI   </v>
      </c>
      <c r="H6399" s="20" t="str">
        <f t="shared" si="298"/>
        <v xml:space="preserve">ZEB  </v>
      </c>
      <c r="I6399" s="20">
        <f t="shared" si="299"/>
        <v>0</v>
      </c>
    </row>
    <row r="6400" spans="1:9">
      <c r="A6400" s="17" t="s">
        <v>2172</v>
      </c>
      <c r="B6400" s="17" t="s">
        <v>2026</v>
      </c>
      <c r="C6400" s="17">
        <v>0</v>
      </c>
      <c r="D6400" s="17" t="s">
        <v>801</v>
      </c>
      <c r="E6400" s="18">
        <v>3003410056008</v>
      </c>
      <c r="G6400" s="20" t="str">
        <f t="shared" si="297"/>
        <v xml:space="preserve"> OCLOCK/SAFARI   </v>
      </c>
      <c r="H6400" s="20" t="str">
        <f t="shared" si="298"/>
        <v xml:space="preserve">ZEB  </v>
      </c>
      <c r="I6400" s="20">
        <f t="shared" si="299"/>
        <v>0</v>
      </c>
    </row>
    <row r="6401" spans="1:9">
      <c r="A6401" s="17" t="s">
        <v>2172</v>
      </c>
      <c r="B6401" s="17" t="s">
        <v>2180</v>
      </c>
      <c r="C6401" s="17">
        <v>0</v>
      </c>
      <c r="D6401" s="17" t="s">
        <v>801</v>
      </c>
      <c r="E6401" s="18">
        <v>8056095066256</v>
      </c>
      <c r="G6401" s="20" t="str">
        <f t="shared" si="297"/>
        <v xml:space="preserve"> OCLOCK/SAFARI   </v>
      </c>
      <c r="H6401" s="20" t="str">
        <f t="shared" si="298"/>
        <v>ZEB17</v>
      </c>
      <c r="I6401" s="20">
        <f t="shared" si="299"/>
        <v>0</v>
      </c>
    </row>
    <row r="6402" spans="1:9">
      <c r="A6402" s="17" t="s">
        <v>2172</v>
      </c>
      <c r="B6402" s="17" t="s">
        <v>2180</v>
      </c>
      <c r="C6402" s="17">
        <v>0</v>
      </c>
      <c r="D6402" s="17" t="s">
        <v>801</v>
      </c>
      <c r="E6402" s="18">
        <v>3003341160003</v>
      </c>
      <c r="G6402" s="20" t="str">
        <f t="shared" si="297"/>
        <v xml:space="preserve"> OCLOCK/SAFARI   </v>
      </c>
      <c r="H6402" s="20" t="str">
        <f t="shared" si="298"/>
        <v>ZEB17</v>
      </c>
      <c r="I6402" s="20">
        <f t="shared" si="299"/>
        <v>0</v>
      </c>
    </row>
    <row r="6403" spans="1:9">
      <c r="A6403" s="17" t="s">
        <v>2181</v>
      </c>
      <c r="B6403" s="17" t="s">
        <v>2182</v>
      </c>
      <c r="C6403" s="17">
        <v>0</v>
      </c>
      <c r="D6403" s="17" t="s">
        <v>801</v>
      </c>
      <c r="E6403" s="18">
        <v>3004531091008</v>
      </c>
      <c r="G6403" s="20" t="str">
        <f t="shared" si="297"/>
        <v xml:space="preserve"> OCLOCK/SECCHIF  </v>
      </c>
      <c r="H6403" s="20" t="str">
        <f t="shared" si="298"/>
        <v xml:space="preserve">AQUA </v>
      </c>
      <c r="I6403" s="20">
        <f t="shared" si="299"/>
        <v>0</v>
      </c>
    </row>
    <row r="6404" spans="1:9">
      <c r="A6404" s="17" t="s">
        <v>2181</v>
      </c>
      <c r="B6404" s="17" t="s">
        <v>280</v>
      </c>
      <c r="C6404" s="17">
        <v>0</v>
      </c>
      <c r="D6404" s="17" t="s">
        <v>801</v>
      </c>
      <c r="E6404" s="18">
        <v>8050450219318</v>
      </c>
      <c r="G6404" s="20" t="str">
        <f t="shared" si="297"/>
        <v xml:space="preserve"> OCLOCK/SECCHIF  </v>
      </c>
      <c r="H6404" s="20" t="str">
        <f t="shared" si="298"/>
        <v>BLACK</v>
      </c>
      <c r="I6404" s="20">
        <f t="shared" si="299"/>
        <v>0</v>
      </c>
    </row>
    <row r="6405" spans="1:9">
      <c r="A6405" s="17" t="s">
        <v>2181</v>
      </c>
      <c r="B6405" s="17" t="s">
        <v>280</v>
      </c>
      <c r="C6405" s="17">
        <v>0</v>
      </c>
      <c r="D6405" s="17" t="s">
        <v>801</v>
      </c>
      <c r="E6405" s="18">
        <v>3004530005006</v>
      </c>
      <c r="G6405" s="20" t="str">
        <f t="shared" ref="G6405:G6468" si="300">A6405</f>
        <v xml:space="preserve"> OCLOCK/SECCHIF  </v>
      </c>
      <c r="H6405" s="20" t="str">
        <f t="shared" ref="H6405:H6468" si="301">B6405</f>
        <v>BLACK</v>
      </c>
      <c r="I6405" s="20">
        <f t="shared" ref="I6405:I6468" si="302">C6405</f>
        <v>0</v>
      </c>
    </row>
    <row r="6406" spans="1:9">
      <c r="A6406" s="17" t="s">
        <v>2181</v>
      </c>
      <c r="B6406" s="17" t="s">
        <v>891</v>
      </c>
      <c r="C6406" s="17">
        <v>0</v>
      </c>
      <c r="D6406" s="17" t="s">
        <v>801</v>
      </c>
      <c r="E6406" s="18">
        <v>8050450219332</v>
      </c>
      <c r="G6406" s="20" t="str">
        <f t="shared" si="300"/>
        <v xml:space="preserve"> OCLOCK/SECCHIF  </v>
      </c>
      <c r="H6406" s="20" t="str">
        <f t="shared" si="301"/>
        <v>GREEN</v>
      </c>
      <c r="I6406" s="20">
        <f t="shared" si="302"/>
        <v>0</v>
      </c>
    </row>
    <row r="6407" spans="1:9">
      <c r="A6407" s="17" t="s">
        <v>2181</v>
      </c>
      <c r="B6407" s="17" t="s">
        <v>891</v>
      </c>
      <c r="C6407" s="17">
        <v>0</v>
      </c>
      <c r="D6407" s="17" t="s">
        <v>801</v>
      </c>
      <c r="E6407" s="18">
        <v>3004530581005</v>
      </c>
      <c r="G6407" s="20" t="str">
        <f t="shared" si="300"/>
        <v xml:space="preserve"> OCLOCK/SECCHIF  </v>
      </c>
      <c r="H6407" s="20" t="str">
        <f t="shared" si="301"/>
        <v>GREEN</v>
      </c>
      <c r="I6407" s="20">
        <f t="shared" si="302"/>
        <v>0</v>
      </c>
    </row>
    <row r="6408" spans="1:9">
      <c r="A6408" s="17" t="s">
        <v>2181</v>
      </c>
      <c r="B6408" s="17" t="s">
        <v>858</v>
      </c>
      <c r="C6408" s="17">
        <v>0</v>
      </c>
      <c r="D6408" s="17" t="s">
        <v>801</v>
      </c>
      <c r="E6408" s="18">
        <v>8050450219295</v>
      </c>
      <c r="G6408" s="20" t="str">
        <f t="shared" si="300"/>
        <v xml:space="preserve"> OCLOCK/SECCHIF  </v>
      </c>
      <c r="H6408" s="20" t="str">
        <f t="shared" si="301"/>
        <v xml:space="preserve">GREY </v>
      </c>
      <c r="I6408" s="20">
        <f t="shared" si="302"/>
        <v>0</v>
      </c>
    </row>
    <row r="6409" spans="1:9">
      <c r="A6409" s="17" t="s">
        <v>2181</v>
      </c>
      <c r="B6409" s="17" t="s">
        <v>858</v>
      </c>
      <c r="C6409" s="17">
        <v>0</v>
      </c>
      <c r="D6409" s="17" t="s">
        <v>801</v>
      </c>
      <c r="E6409" s="18">
        <v>3004530002005</v>
      </c>
      <c r="G6409" s="20" t="str">
        <f t="shared" si="300"/>
        <v xml:space="preserve"> OCLOCK/SECCHIF  </v>
      </c>
      <c r="H6409" s="20" t="str">
        <f t="shared" si="301"/>
        <v xml:space="preserve">GREY </v>
      </c>
      <c r="I6409" s="20">
        <f t="shared" si="302"/>
        <v>0</v>
      </c>
    </row>
    <row r="6410" spans="1:9">
      <c r="A6410" s="17" t="s">
        <v>2181</v>
      </c>
      <c r="B6410" s="17" t="s">
        <v>2092</v>
      </c>
      <c r="C6410" s="17">
        <v>0</v>
      </c>
      <c r="D6410" s="17" t="s">
        <v>801</v>
      </c>
      <c r="E6410" s="18">
        <v>3004530317000</v>
      </c>
      <c r="G6410" s="20" t="str">
        <f t="shared" si="300"/>
        <v xml:space="preserve"> OCLOCK/SECCHIF  </v>
      </c>
      <c r="H6410" s="20" t="str">
        <f t="shared" si="301"/>
        <v>MIRRO</v>
      </c>
      <c r="I6410" s="20">
        <f t="shared" si="302"/>
        <v>0</v>
      </c>
    </row>
    <row r="6411" spans="1:9">
      <c r="A6411" s="17" t="s">
        <v>2181</v>
      </c>
      <c r="B6411" s="17" t="s">
        <v>1078</v>
      </c>
      <c r="C6411" s="17">
        <v>0</v>
      </c>
      <c r="D6411" s="17" t="s">
        <v>801</v>
      </c>
      <c r="E6411" s="18">
        <v>3004530001008</v>
      </c>
      <c r="G6411" s="20" t="str">
        <f t="shared" si="300"/>
        <v xml:space="preserve"> OCLOCK/SECCHIF  </v>
      </c>
      <c r="H6411" s="20" t="str">
        <f t="shared" si="301"/>
        <v xml:space="preserve">NAVY </v>
      </c>
      <c r="I6411" s="20">
        <f t="shared" si="302"/>
        <v>0</v>
      </c>
    </row>
    <row r="6412" spans="1:9">
      <c r="A6412" s="17" t="s">
        <v>2181</v>
      </c>
      <c r="B6412" s="17" t="s">
        <v>816</v>
      </c>
      <c r="C6412" s="17">
        <v>0</v>
      </c>
      <c r="D6412" s="17" t="s">
        <v>801</v>
      </c>
      <c r="E6412" s="18">
        <v>3004530394001</v>
      </c>
      <c r="G6412" s="20" t="str">
        <f t="shared" si="300"/>
        <v xml:space="preserve"> OCLOCK/SECCHIF  </v>
      </c>
      <c r="H6412" s="20" t="str">
        <f t="shared" si="301"/>
        <v xml:space="preserve">RED  </v>
      </c>
      <c r="I6412" s="20">
        <f t="shared" si="302"/>
        <v>0</v>
      </c>
    </row>
    <row r="6413" spans="1:9">
      <c r="A6413" s="17" t="s">
        <v>2181</v>
      </c>
      <c r="B6413" s="17" t="s">
        <v>273</v>
      </c>
      <c r="C6413" s="17">
        <v>0</v>
      </c>
      <c r="D6413" s="17" t="s">
        <v>801</v>
      </c>
      <c r="E6413" s="18">
        <v>8050450210483</v>
      </c>
      <c r="G6413" s="20" t="str">
        <f t="shared" si="300"/>
        <v xml:space="preserve"> OCLOCK/SECCHIF  </v>
      </c>
      <c r="H6413" s="20" t="str">
        <f t="shared" si="301"/>
        <v>WHITE</v>
      </c>
      <c r="I6413" s="20">
        <f t="shared" si="302"/>
        <v>0</v>
      </c>
    </row>
    <row r="6414" spans="1:9">
      <c r="A6414" s="17" t="s">
        <v>2181</v>
      </c>
      <c r="B6414" s="17" t="s">
        <v>273</v>
      </c>
      <c r="C6414" s="17">
        <v>0</v>
      </c>
      <c r="D6414" s="17" t="s">
        <v>801</v>
      </c>
      <c r="E6414" s="18">
        <v>3020730005004</v>
      </c>
      <c r="G6414" s="20" t="str">
        <f t="shared" si="300"/>
        <v xml:space="preserve"> OCLOCK/SECCHIF  </v>
      </c>
      <c r="H6414" s="20" t="str">
        <f t="shared" si="301"/>
        <v>WHITE</v>
      </c>
      <c r="I6414" s="20">
        <f t="shared" si="302"/>
        <v>0</v>
      </c>
    </row>
    <row r="6415" spans="1:9">
      <c r="A6415" s="17" t="s">
        <v>2181</v>
      </c>
      <c r="B6415" s="17" t="s">
        <v>273</v>
      </c>
      <c r="C6415" s="17">
        <v>0</v>
      </c>
      <c r="D6415" s="17" t="s">
        <v>801</v>
      </c>
      <c r="E6415" s="18">
        <v>3004530006003</v>
      </c>
      <c r="G6415" s="20" t="str">
        <f t="shared" si="300"/>
        <v xml:space="preserve"> OCLOCK/SECCHIF  </v>
      </c>
      <c r="H6415" s="20" t="str">
        <f t="shared" si="301"/>
        <v>WHITE</v>
      </c>
      <c r="I6415" s="20">
        <f t="shared" si="302"/>
        <v>0</v>
      </c>
    </row>
    <row r="6416" spans="1:9">
      <c r="A6416" s="17" t="s">
        <v>2183</v>
      </c>
      <c r="B6416" s="17" t="s">
        <v>810</v>
      </c>
      <c r="C6416" s="17">
        <v>0</v>
      </c>
      <c r="D6416" s="17" t="s">
        <v>801</v>
      </c>
      <c r="E6416" s="18">
        <v>8058983599587</v>
      </c>
      <c r="G6416" s="20" t="str">
        <f t="shared" si="300"/>
        <v xml:space="preserve"> OCLOCK/SLICE    </v>
      </c>
      <c r="H6416" s="20" t="str">
        <f t="shared" si="301"/>
        <v xml:space="preserve">BLUE </v>
      </c>
      <c r="I6416" s="20">
        <f t="shared" si="302"/>
        <v>0</v>
      </c>
    </row>
    <row r="6417" spans="1:9">
      <c r="A6417" s="17" t="s">
        <v>2183</v>
      </c>
      <c r="B6417" s="17" t="s">
        <v>810</v>
      </c>
      <c r="C6417" s="17">
        <v>0</v>
      </c>
      <c r="D6417" s="17" t="s">
        <v>801</v>
      </c>
      <c r="E6417" s="18">
        <v>3005580319006</v>
      </c>
      <c r="G6417" s="20" t="str">
        <f t="shared" si="300"/>
        <v xml:space="preserve"> OCLOCK/SLICE    </v>
      </c>
      <c r="H6417" s="20" t="str">
        <f t="shared" si="301"/>
        <v xml:space="preserve">BLUE </v>
      </c>
      <c r="I6417" s="20">
        <f t="shared" si="302"/>
        <v>0</v>
      </c>
    </row>
    <row r="6418" spans="1:9">
      <c r="A6418" s="17" t="s">
        <v>2183</v>
      </c>
      <c r="B6418" s="17" t="s">
        <v>1101</v>
      </c>
      <c r="C6418" s="17">
        <v>0</v>
      </c>
      <c r="D6418" s="17" t="s">
        <v>801</v>
      </c>
      <c r="E6418" s="18">
        <v>8058983599570</v>
      </c>
      <c r="G6418" s="20" t="str">
        <f t="shared" si="300"/>
        <v xml:space="preserve"> OCLOCK/SLICE    </v>
      </c>
      <c r="H6418" s="20" t="str">
        <f t="shared" si="301"/>
        <v xml:space="preserve">BOR  </v>
      </c>
      <c r="I6418" s="20">
        <f t="shared" si="302"/>
        <v>0</v>
      </c>
    </row>
    <row r="6419" spans="1:9">
      <c r="A6419" s="17" t="s">
        <v>2183</v>
      </c>
      <c r="B6419" s="17" t="s">
        <v>1101</v>
      </c>
      <c r="C6419" s="17">
        <v>0</v>
      </c>
      <c r="D6419" s="17" t="s">
        <v>801</v>
      </c>
      <c r="E6419" s="18">
        <v>3005580308000</v>
      </c>
      <c r="G6419" s="20" t="str">
        <f t="shared" si="300"/>
        <v xml:space="preserve"> OCLOCK/SLICE    </v>
      </c>
      <c r="H6419" s="20" t="str">
        <f t="shared" si="301"/>
        <v xml:space="preserve">BOR  </v>
      </c>
      <c r="I6419" s="20">
        <f t="shared" si="302"/>
        <v>0</v>
      </c>
    </row>
    <row r="6420" spans="1:9">
      <c r="A6420" s="17" t="s">
        <v>2183</v>
      </c>
      <c r="B6420" s="17" t="s">
        <v>819</v>
      </c>
      <c r="C6420" s="17">
        <v>0</v>
      </c>
      <c r="D6420" s="17" t="s">
        <v>801</v>
      </c>
      <c r="E6420" s="18">
        <v>8058983599600</v>
      </c>
      <c r="G6420" s="20" t="str">
        <f t="shared" si="300"/>
        <v xml:space="preserve"> OCLOCK/SLICE    </v>
      </c>
      <c r="H6420" s="20" t="str">
        <f t="shared" si="301"/>
        <v xml:space="preserve">DOVE </v>
      </c>
      <c r="I6420" s="20">
        <f t="shared" si="302"/>
        <v>0</v>
      </c>
    </row>
    <row r="6421" spans="1:9">
      <c r="A6421" s="17" t="s">
        <v>2183</v>
      </c>
      <c r="B6421" s="17" t="s">
        <v>819</v>
      </c>
      <c r="C6421" s="17">
        <v>0</v>
      </c>
      <c r="D6421" s="17" t="s">
        <v>801</v>
      </c>
      <c r="E6421" s="18">
        <v>3005580570001</v>
      </c>
      <c r="G6421" s="20" t="str">
        <f t="shared" si="300"/>
        <v xml:space="preserve"> OCLOCK/SLICE    </v>
      </c>
      <c r="H6421" s="20" t="str">
        <f t="shared" si="301"/>
        <v xml:space="preserve">DOVE </v>
      </c>
      <c r="I6421" s="20">
        <f t="shared" si="302"/>
        <v>0</v>
      </c>
    </row>
    <row r="6422" spans="1:9">
      <c r="A6422" s="17" t="s">
        <v>2183</v>
      </c>
      <c r="B6422" s="17" t="s">
        <v>1438</v>
      </c>
      <c r="C6422" s="17">
        <v>0</v>
      </c>
      <c r="D6422" s="17" t="s">
        <v>801</v>
      </c>
      <c r="E6422" s="18">
        <v>8058983599594</v>
      </c>
      <c r="G6422" s="20" t="str">
        <f t="shared" si="300"/>
        <v xml:space="preserve"> OCLOCK/SLICE    </v>
      </c>
      <c r="H6422" s="20" t="str">
        <f t="shared" si="301"/>
        <v>POLVE</v>
      </c>
      <c r="I6422" s="20">
        <f t="shared" si="302"/>
        <v>0</v>
      </c>
    </row>
    <row r="6423" spans="1:9">
      <c r="A6423" s="17" t="s">
        <v>2183</v>
      </c>
      <c r="B6423" s="17" t="s">
        <v>1438</v>
      </c>
      <c r="C6423" s="17">
        <v>0</v>
      </c>
      <c r="D6423" s="17" t="s">
        <v>801</v>
      </c>
      <c r="E6423" s="18">
        <v>3005580396007</v>
      </c>
      <c r="G6423" s="20" t="str">
        <f t="shared" si="300"/>
        <v xml:space="preserve"> OCLOCK/SLICE    </v>
      </c>
      <c r="H6423" s="20" t="str">
        <f t="shared" si="301"/>
        <v>POLVE</v>
      </c>
      <c r="I6423" s="20">
        <f t="shared" si="302"/>
        <v>0</v>
      </c>
    </row>
    <row r="6424" spans="1:9">
      <c r="A6424" s="17" t="s">
        <v>2184</v>
      </c>
      <c r="B6424" s="17" t="s">
        <v>2185</v>
      </c>
      <c r="C6424" s="17">
        <v>0</v>
      </c>
      <c r="D6424" s="17" t="s">
        <v>801</v>
      </c>
      <c r="E6424" s="18">
        <v>8050450210506</v>
      </c>
      <c r="G6424" s="20" t="str">
        <f t="shared" si="300"/>
        <v xml:space="preserve"> OCLOCK/SPLASH   </v>
      </c>
      <c r="H6424" s="20" t="str">
        <f t="shared" si="301"/>
        <v xml:space="preserve">SPL1 </v>
      </c>
      <c r="I6424" s="20">
        <f t="shared" si="302"/>
        <v>0</v>
      </c>
    </row>
    <row r="6425" spans="1:9">
      <c r="A6425" s="17" t="s">
        <v>2184</v>
      </c>
      <c r="B6425" s="17" t="s">
        <v>2185</v>
      </c>
      <c r="C6425" s="17">
        <v>0</v>
      </c>
      <c r="D6425" s="17" t="s">
        <v>801</v>
      </c>
      <c r="E6425" s="18">
        <v>3004430178008</v>
      </c>
      <c r="G6425" s="20" t="str">
        <f t="shared" si="300"/>
        <v xml:space="preserve"> OCLOCK/SPLASH   </v>
      </c>
      <c r="H6425" s="20" t="str">
        <f t="shared" si="301"/>
        <v xml:space="preserve">SPL1 </v>
      </c>
      <c r="I6425" s="20">
        <f t="shared" si="302"/>
        <v>0</v>
      </c>
    </row>
    <row r="6426" spans="1:9">
      <c r="A6426" s="17" t="s">
        <v>2184</v>
      </c>
      <c r="B6426" s="17" t="s">
        <v>2186</v>
      </c>
      <c r="C6426" s="17">
        <v>0</v>
      </c>
      <c r="D6426" s="17" t="s">
        <v>801</v>
      </c>
      <c r="E6426" s="18">
        <v>8050450210513</v>
      </c>
      <c r="G6426" s="20" t="str">
        <f t="shared" si="300"/>
        <v xml:space="preserve"> OCLOCK/SPLASH   </v>
      </c>
      <c r="H6426" s="20" t="str">
        <f t="shared" si="301"/>
        <v xml:space="preserve">SPL2 </v>
      </c>
      <c r="I6426" s="20">
        <f t="shared" si="302"/>
        <v>0</v>
      </c>
    </row>
    <row r="6427" spans="1:9">
      <c r="A6427" s="17" t="s">
        <v>2184</v>
      </c>
      <c r="B6427" s="17" t="s">
        <v>2186</v>
      </c>
      <c r="C6427" s="17">
        <v>0</v>
      </c>
      <c r="D6427" s="17" t="s">
        <v>801</v>
      </c>
      <c r="E6427" s="18">
        <v>3004430179005</v>
      </c>
      <c r="G6427" s="20" t="str">
        <f t="shared" si="300"/>
        <v xml:space="preserve"> OCLOCK/SPLASH   </v>
      </c>
      <c r="H6427" s="20" t="str">
        <f t="shared" si="301"/>
        <v xml:space="preserve">SPL2 </v>
      </c>
      <c r="I6427" s="20">
        <f t="shared" si="302"/>
        <v>0</v>
      </c>
    </row>
    <row r="6428" spans="1:9">
      <c r="A6428" s="17" t="s">
        <v>2184</v>
      </c>
      <c r="B6428" s="17" t="s">
        <v>2187</v>
      </c>
      <c r="C6428" s="17">
        <v>0</v>
      </c>
      <c r="D6428" s="17" t="s">
        <v>801</v>
      </c>
      <c r="E6428" s="18">
        <v>8050450210520</v>
      </c>
      <c r="G6428" s="20" t="str">
        <f t="shared" si="300"/>
        <v xml:space="preserve"> OCLOCK/SPLASH   </v>
      </c>
      <c r="H6428" s="20" t="str">
        <f t="shared" si="301"/>
        <v xml:space="preserve">SPL3 </v>
      </c>
      <c r="I6428" s="20">
        <f t="shared" si="302"/>
        <v>0</v>
      </c>
    </row>
    <row r="6429" spans="1:9">
      <c r="A6429" s="17" t="s">
        <v>2184</v>
      </c>
      <c r="B6429" s="17" t="s">
        <v>2187</v>
      </c>
      <c r="C6429" s="17">
        <v>0</v>
      </c>
      <c r="D6429" s="17" t="s">
        <v>801</v>
      </c>
      <c r="E6429" s="18">
        <v>3004430180001</v>
      </c>
      <c r="G6429" s="20" t="str">
        <f t="shared" si="300"/>
        <v xml:space="preserve"> OCLOCK/SPLASH   </v>
      </c>
      <c r="H6429" s="20" t="str">
        <f t="shared" si="301"/>
        <v xml:space="preserve">SPL3 </v>
      </c>
      <c r="I6429" s="20">
        <f t="shared" si="302"/>
        <v>0</v>
      </c>
    </row>
    <row r="6430" spans="1:9">
      <c r="A6430" s="17" t="s">
        <v>2188</v>
      </c>
      <c r="B6430" s="17" t="s">
        <v>930</v>
      </c>
      <c r="C6430" s="17">
        <v>0</v>
      </c>
      <c r="D6430" s="17" t="s">
        <v>801</v>
      </c>
      <c r="E6430" s="18">
        <v>8056095066225</v>
      </c>
      <c r="G6430" s="20" t="str">
        <f t="shared" si="300"/>
        <v xml:space="preserve"> OCLOCK/STARDUST </v>
      </c>
      <c r="H6430" s="20" t="str">
        <f t="shared" si="301"/>
        <v xml:space="preserve">BLK  </v>
      </c>
      <c r="I6430" s="20">
        <f t="shared" si="302"/>
        <v>0</v>
      </c>
    </row>
    <row r="6431" spans="1:9">
      <c r="A6431" s="17" t="s">
        <v>2188</v>
      </c>
      <c r="B6431" s="17" t="s">
        <v>930</v>
      </c>
      <c r="C6431" s="17">
        <v>0</v>
      </c>
      <c r="D6431" s="17" t="s">
        <v>801</v>
      </c>
      <c r="E6431" s="18">
        <v>3005340557006</v>
      </c>
      <c r="G6431" s="20" t="str">
        <f t="shared" si="300"/>
        <v xml:space="preserve"> OCLOCK/STARDUST </v>
      </c>
      <c r="H6431" s="20" t="str">
        <f t="shared" si="301"/>
        <v xml:space="preserve">BLK  </v>
      </c>
      <c r="I6431" s="20">
        <f t="shared" si="302"/>
        <v>0</v>
      </c>
    </row>
    <row r="6432" spans="1:9">
      <c r="A6432" s="17" t="s">
        <v>2188</v>
      </c>
      <c r="B6432" s="17" t="s">
        <v>1389</v>
      </c>
      <c r="C6432" s="17">
        <v>0</v>
      </c>
      <c r="D6432" s="17" t="s">
        <v>801</v>
      </c>
      <c r="E6432" s="18">
        <v>8056095066201</v>
      </c>
      <c r="G6432" s="20" t="str">
        <f t="shared" si="300"/>
        <v xml:space="preserve"> OCLOCK/STARDUST </v>
      </c>
      <c r="H6432" s="20" t="str">
        <f t="shared" si="301"/>
        <v xml:space="preserve">PINK </v>
      </c>
      <c r="I6432" s="20">
        <f t="shared" si="302"/>
        <v>0</v>
      </c>
    </row>
    <row r="6433" spans="1:9">
      <c r="A6433" s="17" t="s">
        <v>2188</v>
      </c>
      <c r="B6433" s="17" t="s">
        <v>1389</v>
      </c>
      <c r="C6433" s="17">
        <v>0</v>
      </c>
      <c r="D6433" s="17" t="s">
        <v>801</v>
      </c>
      <c r="E6433" s="18">
        <v>3005340381007</v>
      </c>
      <c r="G6433" s="20" t="str">
        <f t="shared" si="300"/>
        <v xml:space="preserve"> OCLOCK/STARDUST </v>
      </c>
      <c r="H6433" s="20" t="str">
        <f t="shared" si="301"/>
        <v xml:space="preserve">PINK </v>
      </c>
      <c r="I6433" s="20">
        <f t="shared" si="302"/>
        <v>0</v>
      </c>
    </row>
    <row r="6434" spans="1:9">
      <c r="A6434" s="17" t="s">
        <v>2188</v>
      </c>
      <c r="B6434" s="17" t="s">
        <v>855</v>
      </c>
      <c r="C6434" s="17">
        <v>0</v>
      </c>
      <c r="D6434" s="17" t="s">
        <v>801</v>
      </c>
      <c r="E6434" s="18">
        <v>8056095066218</v>
      </c>
      <c r="G6434" s="20" t="str">
        <f t="shared" si="300"/>
        <v xml:space="preserve"> OCLOCK/STARDUST </v>
      </c>
      <c r="H6434" s="20" t="str">
        <f t="shared" si="301"/>
        <v>SILVE</v>
      </c>
      <c r="I6434" s="20">
        <f t="shared" si="302"/>
        <v>0</v>
      </c>
    </row>
    <row r="6435" spans="1:9">
      <c r="A6435" s="17" t="s">
        <v>2188</v>
      </c>
      <c r="B6435" s="17" t="s">
        <v>855</v>
      </c>
      <c r="C6435" s="17">
        <v>0</v>
      </c>
      <c r="D6435" s="17" t="s">
        <v>801</v>
      </c>
      <c r="E6435" s="18">
        <v>3005340567005</v>
      </c>
      <c r="G6435" s="20" t="str">
        <f t="shared" si="300"/>
        <v xml:space="preserve"> OCLOCK/STARDUST </v>
      </c>
      <c r="H6435" s="20" t="str">
        <f t="shared" si="301"/>
        <v>SILVE</v>
      </c>
      <c r="I6435" s="20">
        <f t="shared" si="302"/>
        <v>0</v>
      </c>
    </row>
    <row r="6436" spans="1:9">
      <c r="A6436" s="17" t="s">
        <v>2189</v>
      </c>
      <c r="B6436" s="17" t="s">
        <v>799</v>
      </c>
      <c r="C6436" s="17">
        <v>0</v>
      </c>
      <c r="D6436" s="17" t="s">
        <v>801</v>
      </c>
      <c r="E6436" s="18">
        <v>3004670000008</v>
      </c>
      <c r="G6436" s="20" t="str">
        <f t="shared" si="300"/>
        <v xml:space="preserve"> OCLOCK/SUNLIGHT </v>
      </c>
      <c r="H6436" s="20" t="str">
        <f t="shared" si="301"/>
        <v xml:space="preserve">     </v>
      </c>
      <c r="I6436" s="20">
        <f t="shared" si="302"/>
        <v>0</v>
      </c>
    </row>
    <row r="6437" spans="1:9">
      <c r="A6437" s="17" t="s">
        <v>2189</v>
      </c>
      <c r="B6437" s="17" t="s">
        <v>2190</v>
      </c>
      <c r="C6437" s="17">
        <v>0</v>
      </c>
      <c r="D6437" s="17" t="s">
        <v>801</v>
      </c>
      <c r="E6437" s="18">
        <v>3005330784009</v>
      </c>
      <c r="G6437" s="20" t="str">
        <f t="shared" si="300"/>
        <v xml:space="preserve"> OCLOCK/SUNLIGHT </v>
      </c>
      <c r="H6437" s="20" t="str">
        <f t="shared" si="301"/>
        <v>NUMBE</v>
      </c>
      <c r="I6437" s="20">
        <f t="shared" si="302"/>
        <v>0</v>
      </c>
    </row>
    <row r="6438" spans="1:9">
      <c r="A6438" s="17" t="s">
        <v>2189</v>
      </c>
      <c r="B6438" s="17" t="s">
        <v>2190</v>
      </c>
      <c r="C6438" s="17">
        <v>0</v>
      </c>
      <c r="D6438" s="17" t="s">
        <v>801</v>
      </c>
      <c r="E6438" s="18">
        <v>8058983595732</v>
      </c>
      <c r="G6438" s="20" t="str">
        <f t="shared" si="300"/>
        <v xml:space="preserve"> OCLOCK/SUNLIGHT </v>
      </c>
      <c r="H6438" s="20" t="str">
        <f t="shared" si="301"/>
        <v>NUMBE</v>
      </c>
      <c r="I6438" s="20">
        <f t="shared" si="302"/>
        <v>0</v>
      </c>
    </row>
    <row r="6439" spans="1:9">
      <c r="A6439" s="17" t="s">
        <v>2189</v>
      </c>
      <c r="B6439" s="17" t="s">
        <v>2190</v>
      </c>
      <c r="C6439" s="17">
        <v>0</v>
      </c>
      <c r="D6439" s="17" t="s">
        <v>801</v>
      </c>
      <c r="E6439" s="18">
        <v>3004670784007</v>
      </c>
      <c r="G6439" s="20" t="str">
        <f t="shared" si="300"/>
        <v xml:space="preserve"> OCLOCK/SUNLIGHT </v>
      </c>
      <c r="H6439" s="20" t="str">
        <f t="shared" si="301"/>
        <v>NUMBE</v>
      </c>
      <c r="I6439" s="20">
        <f t="shared" si="302"/>
        <v>0</v>
      </c>
    </row>
    <row r="6440" spans="1:9">
      <c r="A6440" s="17" t="s">
        <v>2189</v>
      </c>
      <c r="B6440" s="17" t="s">
        <v>2089</v>
      </c>
      <c r="C6440" s="17">
        <v>0</v>
      </c>
      <c r="D6440" s="17" t="s">
        <v>801</v>
      </c>
      <c r="E6440" s="18">
        <v>3005330783002</v>
      </c>
      <c r="G6440" s="20" t="str">
        <f t="shared" si="300"/>
        <v xml:space="preserve"> OCLOCK/SUNLIGHT </v>
      </c>
      <c r="H6440" s="20" t="str">
        <f t="shared" si="301"/>
        <v>TRIBA</v>
      </c>
      <c r="I6440" s="20">
        <f t="shared" si="302"/>
        <v>0</v>
      </c>
    </row>
    <row r="6441" spans="1:9">
      <c r="A6441" s="17" t="s">
        <v>2189</v>
      </c>
      <c r="B6441" s="17" t="s">
        <v>2089</v>
      </c>
      <c r="C6441" s="17">
        <v>0</v>
      </c>
      <c r="D6441" s="17" t="s">
        <v>801</v>
      </c>
      <c r="E6441" s="18">
        <v>8058983595725</v>
      </c>
      <c r="G6441" s="20" t="str">
        <f t="shared" si="300"/>
        <v xml:space="preserve"> OCLOCK/SUNLIGHT </v>
      </c>
      <c r="H6441" s="20" t="str">
        <f t="shared" si="301"/>
        <v>TRIBA</v>
      </c>
      <c r="I6441" s="20">
        <f t="shared" si="302"/>
        <v>0</v>
      </c>
    </row>
    <row r="6442" spans="1:9">
      <c r="A6442" s="17" t="s">
        <v>2189</v>
      </c>
      <c r="B6442" s="17" t="s">
        <v>2089</v>
      </c>
      <c r="C6442" s="17">
        <v>0</v>
      </c>
      <c r="D6442" s="17" t="s">
        <v>801</v>
      </c>
      <c r="E6442" s="18">
        <v>3004670783000</v>
      </c>
      <c r="G6442" s="20" t="str">
        <f t="shared" si="300"/>
        <v xml:space="preserve"> OCLOCK/SUNLIGHT </v>
      </c>
      <c r="H6442" s="20" t="str">
        <f t="shared" si="301"/>
        <v>TRIBA</v>
      </c>
      <c r="I6442" s="20">
        <f t="shared" si="302"/>
        <v>0</v>
      </c>
    </row>
    <row r="6443" spans="1:9">
      <c r="A6443" s="17" t="s">
        <v>2189</v>
      </c>
      <c r="B6443" s="17" t="s">
        <v>2090</v>
      </c>
      <c r="C6443" s="17">
        <v>0</v>
      </c>
      <c r="D6443" s="17" t="s">
        <v>801</v>
      </c>
      <c r="E6443" s="18">
        <v>3005330785006</v>
      </c>
      <c r="G6443" s="20" t="str">
        <f t="shared" si="300"/>
        <v xml:space="preserve"> OCLOCK/SUNLIGHT </v>
      </c>
      <c r="H6443" s="20" t="str">
        <f t="shared" si="301"/>
        <v>WAVES</v>
      </c>
      <c r="I6443" s="20">
        <f t="shared" si="302"/>
        <v>0</v>
      </c>
    </row>
    <row r="6444" spans="1:9">
      <c r="A6444" s="17" t="s">
        <v>2189</v>
      </c>
      <c r="B6444" s="17" t="s">
        <v>2090</v>
      </c>
      <c r="C6444" s="17">
        <v>0</v>
      </c>
      <c r="D6444" s="17" t="s">
        <v>801</v>
      </c>
      <c r="E6444" s="18">
        <v>8058983595749</v>
      </c>
      <c r="G6444" s="20" t="str">
        <f t="shared" si="300"/>
        <v xml:space="preserve"> OCLOCK/SUNLIGHT </v>
      </c>
      <c r="H6444" s="20" t="str">
        <f t="shared" si="301"/>
        <v>WAVES</v>
      </c>
      <c r="I6444" s="20">
        <f t="shared" si="302"/>
        <v>0</v>
      </c>
    </row>
    <row r="6445" spans="1:9">
      <c r="A6445" s="17" t="s">
        <v>2189</v>
      </c>
      <c r="B6445" s="17" t="s">
        <v>2090</v>
      </c>
      <c r="C6445" s="17">
        <v>0</v>
      </c>
      <c r="D6445" s="17" t="s">
        <v>801</v>
      </c>
      <c r="E6445" s="18">
        <v>3004670785004</v>
      </c>
      <c r="G6445" s="20" t="str">
        <f t="shared" si="300"/>
        <v xml:space="preserve"> OCLOCK/SUNLIGHT </v>
      </c>
      <c r="H6445" s="20" t="str">
        <f t="shared" si="301"/>
        <v>WAVES</v>
      </c>
      <c r="I6445" s="20">
        <f t="shared" si="302"/>
        <v>0</v>
      </c>
    </row>
    <row r="6446" spans="1:9">
      <c r="A6446" s="17" t="s">
        <v>2191</v>
      </c>
      <c r="B6446" s="17" t="s">
        <v>1026</v>
      </c>
      <c r="C6446" s="17">
        <v>0</v>
      </c>
      <c r="D6446" s="17" t="s">
        <v>801</v>
      </c>
      <c r="E6446" s="18">
        <v>8056300455004</v>
      </c>
      <c r="G6446" s="20" t="str">
        <f t="shared" si="300"/>
        <v xml:space="preserve"> OCLOCK/SUPREME  </v>
      </c>
      <c r="H6446" s="20" t="str">
        <f t="shared" si="301"/>
        <v>BLUAV</v>
      </c>
      <c r="I6446" s="20">
        <f t="shared" si="302"/>
        <v>0</v>
      </c>
    </row>
    <row r="6447" spans="1:9">
      <c r="A6447" s="17" t="s">
        <v>2191</v>
      </c>
      <c r="B6447" s="17" t="s">
        <v>1026</v>
      </c>
      <c r="C6447" s="17">
        <v>0</v>
      </c>
      <c r="D6447" s="17" t="s">
        <v>801</v>
      </c>
      <c r="E6447" s="18">
        <v>3005120843008</v>
      </c>
      <c r="G6447" s="20" t="str">
        <f t="shared" si="300"/>
        <v xml:space="preserve"> OCLOCK/SUPREME  </v>
      </c>
      <c r="H6447" s="20" t="str">
        <f t="shared" si="301"/>
        <v>BLUAV</v>
      </c>
      <c r="I6447" s="20">
        <f t="shared" si="302"/>
        <v>0</v>
      </c>
    </row>
    <row r="6448" spans="1:9">
      <c r="A6448" s="17" t="s">
        <v>2191</v>
      </c>
      <c r="B6448" s="17" t="s">
        <v>978</v>
      </c>
      <c r="C6448" s="17">
        <v>0</v>
      </c>
      <c r="D6448" s="17" t="s">
        <v>801</v>
      </c>
      <c r="E6448" s="18">
        <v>8056300454991</v>
      </c>
      <c r="G6448" s="20" t="str">
        <f t="shared" si="300"/>
        <v xml:space="preserve"> OCLOCK/SUPREME  </v>
      </c>
      <c r="H6448" s="20" t="str">
        <f t="shared" si="301"/>
        <v>GRIGI</v>
      </c>
      <c r="I6448" s="20">
        <f t="shared" si="302"/>
        <v>0</v>
      </c>
    </row>
    <row r="6449" spans="1:9">
      <c r="A6449" s="17" t="s">
        <v>2191</v>
      </c>
      <c r="B6449" s="17" t="s">
        <v>978</v>
      </c>
      <c r="C6449" s="17">
        <v>0</v>
      </c>
      <c r="D6449" s="17" t="s">
        <v>801</v>
      </c>
      <c r="E6449" s="18">
        <v>3005121000004</v>
      </c>
      <c r="G6449" s="20" t="str">
        <f t="shared" si="300"/>
        <v xml:space="preserve"> OCLOCK/SUPREME  </v>
      </c>
      <c r="H6449" s="20" t="str">
        <f t="shared" si="301"/>
        <v>GRIGI</v>
      </c>
      <c r="I6449" s="20">
        <f t="shared" si="302"/>
        <v>0</v>
      </c>
    </row>
    <row r="6450" spans="1:9">
      <c r="A6450" s="17" t="s">
        <v>2191</v>
      </c>
      <c r="B6450" s="17" t="s">
        <v>1389</v>
      </c>
      <c r="C6450" s="17">
        <v>0</v>
      </c>
      <c r="D6450" s="17" t="s">
        <v>801</v>
      </c>
      <c r="E6450" s="18">
        <v>8056300454984</v>
      </c>
      <c r="G6450" s="20" t="str">
        <f t="shared" si="300"/>
        <v xml:space="preserve"> OCLOCK/SUPREME  </v>
      </c>
      <c r="H6450" s="20" t="str">
        <f t="shared" si="301"/>
        <v xml:space="preserve">PINK </v>
      </c>
      <c r="I6450" s="20">
        <f t="shared" si="302"/>
        <v>0</v>
      </c>
    </row>
    <row r="6451" spans="1:9">
      <c r="A6451" s="17" t="s">
        <v>2191</v>
      </c>
      <c r="B6451" s="17" t="s">
        <v>1389</v>
      </c>
      <c r="C6451" s="17">
        <v>0</v>
      </c>
      <c r="D6451" s="17" t="s">
        <v>801</v>
      </c>
      <c r="E6451" s="18">
        <v>3005120381005</v>
      </c>
      <c r="G6451" s="20" t="str">
        <f t="shared" si="300"/>
        <v xml:space="preserve"> OCLOCK/SUPREME  </v>
      </c>
      <c r="H6451" s="20" t="str">
        <f t="shared" si="301"/>
        <v xml:space="preserve">PINK </v>
      </c>
      <c r="I6451" s="20">
        <f t="shared" si="302"/>
        <v>0</v>
      </c>
    </row>
    <row r="6452" spans="1:9">
      <c r="A6452" s="17" t="s">
        <v>2192</v>
      </c>
      <c r="B6452" s="17" t="s">
        <v>2193</v>
      </c>
      <c r="C6452" s="17">
        <v>0</v>
      </c>
      <c r="D6452" s="17" t="s">
        <v>801</v>
      </c>
      <c r="E6452" s="18">
        <v>3004580736004</v>
      </c>
      <c r="G6452" s="20" t="str">
        <f t="shared" si="300"/>
        <v xml:space="preserve"> OCLOCK/TILES    </v>
      </c>
      <c r="H6452" s="20" t="str">
        <f t="shared" si="301"/>
        <v>AZULE</v>
      </c>
      <c r="I6452" s="20">
        <f t="shared" si="302"/>
        <v>0</v>
      </c>
    </row>
    <row r="6453" spans="1:9">
      <c r="A6453" s="17" t="s">
        <v>2192</v>
      </c>
      <c r="B6453" s="17" t="s">
        <v>2193</v>
      </c>
      <c r="C6453" s="17">
        <v>0</v>
      </c>
      <c r="D6453" s="17" t="s">
        <v>801</v>
      </c>
      <c r="E6453" s="18">
        <v>8058333586922</v>
      </c>
      <c r="G6453" s="20" t="str">
        <f t="shared" si="300"/>
        <v xml:space="preserve"> OCLOCK/TILES    </v>
      </c>
      <c r="H6453" s="20" t="str">
        <f t="shared" si="301"/>
        <v>AZULE</v>
      </c>
      <c r="I6453" s="20">
        <f t="shared" si="302"/>
        <v>0</v>
      </c>
    </row>
    <row r="6454" spans="1:9">
      <c r="A6454" s="17" t="s">
        <v>2192</v>
      </c>
      <c r="B6454" s="17" t="s">
        <v>2193</v>
      </c>
      <c r="C6454" s="17">
        <v>0</v>
      </c>
      <c r="D6454" s="17" t="s">
        <v>801</v>
      </c>
      <c r="E6454" s="18">
        <v>3005240736006</v>
      </c>
      <c r="G6454" s="20" t="str">
        <f t="shared" si="300"/>
        <v xml:space="preserve"> OCLOCK/TILES    </v>
      </c>
      <c r="H6454" s="20" t="str">
        <f t="shared" si="301"/>
        <v>AZULE</v>
      </c>
      <c r="I6454" s="20">
        <f t="shared" si="302"/>
        <v>0</v>
      </c>
    </row>
    <row r="6455" spans="1:9">
      <c r="A6455" s="17" t="s">
        <v>2192</v>
      </c>
      <c r="B6455" s="17" t="s">
        <v>2194</v>
      </c>
      <c r="C6455" s="17">
        <v>0</v>
      </c>
      <c r="D6455" s="17" t="s">
        <v>801</v>
      </c>
      <c r="E6455" s="18">
        <v>3004580737001</v>
      </c>
      <c r="G6455" s="20" t="str">
        <f t="shared" si="300"/>
        <v xml:space="preserve"> OCLOCK/TILES    </v>
      </c>
      <c r="H6455" s="20" t="str">
        <f t="shared" si="301"/>
        <v>CHINA</v>
      </c>
      <c r="I6455" s="20">
        <f t="shared" si="302"/>
        <v>0</v>
      </c>
    </row>
    <row r="6456" spans="1:9">
      <c r="A6456" s="17" t="s">
        <v>2192</v>
      </c>
      <c r="B6456" s="17" t="s">
        <v>2194</v>
      </c>
      <c r="C6456" s="17">
        <v>0</v>
      </c>
      <c r="D6456" s="17" t="s">
        <v>801</v>
      </c>
      <c r="E6456" s="18">
        <v>8058333586939</v>
      </c>
      <c r="G6456" s="20" t="str">
        <f t="shared" si="300"/>
        <v xml:space="preserve"> OCLOCK/TILES    </v>
      </c>
      <c r="H6456" s="20" t="str">
        <f t="shared" si="301"/>
        <v>CHINA</v>
      </c>
      <c r="I6456" s="20">
        <f t="shared" si="302"/>
        <v>0</v>
      </c>
    </row>
    <row r="6457" spans="1:9">
      <c r="A6457" s="17" t="s">
        <v>2192</v>
      </c>
      <c r="B6457" s="17" t="s">
        <v>2194</v>
      </c>
      <c r="C6457" s="17">
        <v>0</v>
      </c>
      <c r="D6457" s="17" t="s">
        <v>801</v>
      </c>
      <c r="E6457" s="18">
        <v>3005240737003</v>
      </c>
      <c r="G6457" s="20" t="str">
        <f t="shared" si="300"/>
        <v xml:space="preserve"> OCLOCK/TILES    </v>
      </c>
      <c r="H6457" s="20" t="str">
        <f t="shared" si="301"/>
        <v>CHINA</v>
      </c>
      <c r="I6457" s="20">
        <f t="shared" si="302"/>
        <v>0</v>
      </c>
    </row>
    <row r="6458" spans="1:9">
      <c r="A6458" s="17" t="s">
        <v>2192</v>
      </c>
      <c r="B6458" s="17" t="s">
        <v>2195</v>
      </c>
      <c r="C6458" s="17">
        <v>0</v>
      </c>
      <c r="D6458" s="17" t="s">
        <v>801</v>
      </c>
      <c r="E6458" s="18">
        <v>3004580738008</v>
      </c>
      <c r="G6458" s="20" t="str">
        <f t="shared" si="300"/>
        <v xml:space="preserve"> OCLOCK/TILES    </v>
      </c>
      <c r="H6458" s="20" t="str">
        <f t="shared" si="301"/>
        <v>MOSAI</v>
      </c>
      <c r="I6458" s="20">
        <f t="shared" si="302"/>
        <v>0</v>
      </c>
    </row>
    <row r="6459" spans="1:9">
      <c r="A6459" s="17" t="s">
        <v>2192</v>
      </c>
      <c r="B6459" s="17" t="s">
        <v>2195</v>
      </c>
      <c r="C6459" s="17">
        <v>0</v>
      </c>
      <c r="D6459" s="17" t="s">
        <v>801</v>
      </c>
      <c r="E6459" s="18">
        <v>8058333586946</v>
      </c>
      <c r="G6459" s="20" t="str">
        <f t="shared" si="300"/>
        <v xml:space="preserve"> OCLOCK/TILES    </v>
      </c>
      <c r="H6459" s="20" t="str">
        <f t="shared" si="301"/>
        <v>MOSAI</v>
      </c>
      <c r="I6459" s="20">
        <f t="shared" si="302"/>
        <v>0</v>
      </c>
    </row>
    <row r="6460" spans="1:9">
      <c r="A6460" s="17" t="s">
        <v>2192</v>
      </c>
      <c r="B6460" s="17" t="s">
        <v>2195</v>
      </c>
      <c r="C6460" s="17">
        <v>0</v>
      </c>
      <c r="D6460" s="17" t="s">
        <v>801</v>
      </c>
      <c r="E6460" s="18">
        <v>3005240738000</v>
      </c>
      <c r="G6460" s="20" t="str">
        <f t="shared" si="300"/>
        <v xml:space="preserve"> OCLOCK/TILES    </v>
      </c>
      <c r="H6460" s="20" t="str">
        <f t="shared" si="301"/>
        <v>MOSAI</v>
      </c>
      <c r="I6460" s="20">
        <f t="shared" si="302"/>
        <v>0</v>
      </c>
    </row>
    <row r="6461" spans="1:9">
      <c r="A6461" s="17" t="s">
        <v>2196</v>
      </c>
      <c r="B6461" s="17" t="s">
        <v>2197</v>
      </c>
      <c r="C6461" s="17">
        <v>0</v>
      </c>
      <c r="D6461" s="17" t="s">
        <v>801</v>
      </c>
      <c r="E6461" s="18">
        <v>3004410193007</v>
      </c>
      <c r="G6461" s="20" t="str">
        <f t="shared" si="300"/>
        <v xml:space="preserve"> OCLOCK/TROT     </v>
      </c>
      <c r="H6461" s="20" t="str">
        <f t="shared" si="301"/>
        <v>BLCHI</v>
      </c>
      <c r="I6461" s="20">
        <f t="shared" si="302"/>
        <v>0</v>
      </c>
    </row>
    <row r="6462" spans="1:9">
      <c r="A6462" s="17" t="s">
        <v>2196</v>
      </c>
      <c r="B6462" s="17" t="s">
        <v>810</v>
      </c>
      <c r="C6462" s="17">
        <v>0</v>
      </c>
      <c r="D6462" s="17" t="s">
        <v>801</v>
      </c>
      <c r="E6462" s="18">
        <v>8050450210452</v>
      </c>
      <c r="G6462" s="20" t="str">
        <f t="shared" si="300"/>
        <v xml:space="preserve"> OCLOCK/TROT     </v>
      </c>
      <c r="H6462" s="20" t="str">
        <f t="shared" si="301"/>
        <v xml:space="preserve">BLUE </v>
      </c>
      <c r="I6462" s="20">
        <f t="shared" si="302"/>
        <v>0</v>
      </c>
    </row>
    <row r="6463" spans="1:9">
      <c r="A6463" s="17" t="s">
        <v>2196</v>
      </c>
      <c r="B6463" s="17" t="s">
        <v>810</v>
      </c>
      <c r="C6463" s="17">
        <v>0</v>
      </c>
      <c r="D6463" s="17" t="s">
        <v>801</v>
      </c>
      <c r="E6463" s="18">
        <v>3004410319001</v>
      </c>
      <c r="G6463" s="20" t="str">
        <f t="shared" si="300"/>
        <v xml:space="preserve"> OCLOCK/TROT     </v>
      </c>
      <c r="H6463" s="20" t="str">
        <f t="shared" si="301"/>
        <v xml:space="preserve">BLUE </v>
      </c>
      <c r="I6463" s="20">
        <f t="shared" si="302"/>
        <v>0</v>
      </c>
    </row>
    <row r="6464" spans="1:9">
      <c r="A6464" s="17" t="s">
        <v>2196</v>
      </c>
      <c r="B6464" s="17" t="s">
        <v>891</v>
      </c>
      <c r="C6464" s="17">
        <v>0</v>
      </c>
      <c r="D6464" s="17" t="s">
        <v>801</v>
      </c>
      <c r="E6464" s="18">
        <v>8050450210469</v>
      </c>
      <c r="G6464" s="20" t="str">
        <f t="shared" si="300"/>
        <v xml:space="preserve"> OCLOCK/TROT     </v>
      </c>
      <c r="H6464" s="20" t="str">
        <f t="shared" si="301"/>
        <v>GREEN</v>
      </c>
      <c r="I6464" s="20">
        <f t="shared" si="302"/>
        <v>0</v>
      </c>
    </row>
    <row r="6465" spans="1:9">
      <c r="A6465" s="17" t="s">
        <v>2196</v>
      </c>
      <c r="B6465" s="17" t="s">
        <v>891</v>
      </c>
      <c r="C6465" s="17">
        <v>0</v>
      </c>
      <c r="D6465" s="17" t="s">
        <v>801</v>
      </c>
      <c r="E6465" s="18">
        <v>3004410581002</v>
      </c>
      <c r="G6465" s="20" t="str">
        <f t="shared" si="300"/>
        <v xml:space="preserve"> OCLOCK/TROT     </v>
      </c>
      <c r="H6465" s="20" t="str">
        <f t="shared" si="301"/>
        <v>GREEN</v>
      </c>
      <c r="I6465" s="20">
        <f t="shared" si="302"/>
        <v>0</v>
      </c>
    </row>
    <row r="6466" spans="1:9">
      <c r="A6466" s="17" t="s">
        <v>2196</v>
      </c>
      <c r="B6466" s="17" t="s">
        <v>2198</v>
      </c>
      <c r="C6466" s="17">
        <v>0</v>
      </c>
      <c r="D6466" s="17" t="s">
        <v>801</v>
      </c>
      <c r="E6466" s="18">
        <v>3004410194004</v>
      </c>
      <c r="G6466" s="20" t="str">
        <f t="shared" si="300"/>
        <v xml:space="preserve"> OCLOCK/TROT     </v>
      </c>
      <c r="H6466" s="20" t="str">
        <f t="shared" si="301"/>
        <v>NOCHI</v>
      </c>
      <c r="I6466" s="20">
        <f t="shared" si="302"/>
        <v>0</v>
      </c>
    </row>
    <row r="6467" spans="1:9">
      <c r="A6467" s="17" t="s">
        <v>2196</v>
      </c>
      <c r="B6467" s="17" t="s">
        <v>816</v>
      </c>
      <c r="C6467" s="17">
        <v>0</v>
      </c>
      <c r="D6467" s="17" t="s">
        <v>801</v>
      </c>
      <c r="E6467" s="18">
        <v>8050450210476</v>
      </c>
      <c r="G6467" s="20" t="str">
        <f t="shared" si="300"/>
        <v xml:space="preserve"> OCLOCK/TROT     </v>
      </c>
      <c r="H6467" s="20" t="str">
        <f t="shared" si="301"/>
        <v xml:space="preserve">RED  </v>
      </c>
      <c r="I6467" s="20">
        <f t="shared" si="302"/>
        <v>0</v>
      </c>
    </row>
    <row r="6468" spans="1:9">
      <c r="A6468" s="17" t="s">
        <v>2196</v>
      </c>
      <c r="B6468" s="17" t="s">
        <v>816</v>
      </c>
      <c r="C6468" s="17">
        <v>0</v>
      </c>
      <c r="D6468" s="17" t="s">
        <v>801</v>
      </c>
      <c r="E6468" s="18">
        <v>3004410394008</v>
      </c>
      <c r="G6468" s="20" t="str">
        <f t="shared" si="300"/>
        <v xml:space="preserve"> OCLOCK/TROT     </v>
      </c>
      <c r="H6468" s="20" t="str">
        <f t="shared" si="301"/>
        <v xml:space="preserve">RED  </v>
      </c>
      <c r="I6468" s="20">
        <f t="shared" si="302"/>
        <v>0</v>
      </c>
    </row>
    <row r="6469" spans="1:9">
      <c r="A6469" s="17" t="s">
        <v>2199</v>
      </c>
      <c r="B6469" s="17" t="s">
        <v>810</v>
      </c>
      <c r="C6469" s="17">
        <v>0</v>
      </c>
      <c r="D6469" s="17" t="s">
        <v>801</v>
      </c>
      <c r="E6469" s="18">
        <v>3004470319003</v>
      </c>
      <c r="G6469" s="20" t="str">
        <f t="shared" ref="G6469:G6532" si="303">A6469</f>
        <v xml:space="preserve"> OCLOCK/XMAS     </v>
      </c>
      <c r="H6469" s="20" t="str">
        <f t="shared" ref="H6469:H6532" si="304">B6469</f>
        <v xml:space="preserve">BLUE </v>
      </c>
      <c r="I6469" s="20">
        <f t="shared" ref="I6469:I6532" si="305">C6469</f>
        <v>0</v>
      </c>
    </row>
    <row r="6470" spans="1:9">
      <c r="A6470" s="17" t="s">
        <v>2199</v>
      </c>
      <c r="B6470" s="17" t="s">
        <v>816</v>
      </c>
      <c r="C6470" s="17">
        <v>0</v>
      </c>
      <c r="D6470" s="17" t="s">
        <v>801</v>
      </c>
      <c r="E6470" s="18">
        <v>3004470394000</v>
      </c>
      <c r="G6470" s="20" t="str">
        <f t="shared" si="303"/>
        <v xml:space="preserve"> OCLOCK/XMAS     </v>
      </c>
      <c r="H6470" s="20" t="str">
        <f t="shared" si="304"/>
        <v xml:space="preserve">RED  </v>
      </c>
      <c r="I6470" s="20">
        <f t="shared" si="305"/>
        <v>0</v>
      </c>
    </row>
    <row r="6471" spans="1:9">
      <c r="A6471" s="17" t="s">
        <v>2200</v>
      </c>
      <c r="B6471" s="17" t="s">
        <v>280</v>
      </c>
      <c r="C6471" s="17">
        <v>0</v>
      </c>
      <c r="D6471" s="17" t="s">
        <v>801</v>
      </c>
      <c r="E6471" s="18">
        <v>8051770309062</v>
      </c>
      <c r="G6471" s="20" t="str">
        <f t="shared" si="303"/>
        <v xml:space="preserve"> OCLOCKBLACK     </v>
      </c>
      <c r="H6471" s="20" t="str">
        <f t="shared" si="304"/>
        <v>BLACK</v>
      </c>
      <c r="I6471" s="20">
        <f t="shared" si="305"/>
        <v>0</v>
      </c>
    </row>
    <row r="6472" spans="1:9">
      <c r="A6472" s="17" t="s">
        <v>2200</v>
      </c>
      <c r="B6472" s="17" t="s">
        <v>280</v>
      </c>
      <c r="C6472" s="17">
        <v>0</v>
      </c>
      <c r="D6472" s="17" t="s">
        <v>801</v>
      </c>
      <c r="E6472" s="18">
        <v>3003500001000</v>
      </c>
      <c r="G6472" s="20" t="str">
        <f t="shared" si="303"/>
        <v xml:space="preserve"> OCLOCKBLACK     </v>
      </c>
      <c r="H6472" s="20" t="str">
        <f t="shared" si="304"/>
        <v>BLACK</v>
      </c>
      <c r="I6472" s="20">
        <f t="shared" si="305"/>
        <v>0</v>
      </c>
    </row>
    <row r="6473" spans="1:9">
      <c r="A6473" s="17" t="s">
        <v>2201</v>
      </c>
      <c r="B6473" s="17" t="s">
        <v>298</v>
      </c>
      <c r="C6473" s="17">
        <v>0</v>
      </c>
      <c r="D6473" s="17" t="s">
        <v>801</v>
      </c>
      <c r="E6473" s="18">
        <v>3003690023004</v>
      </c>
      <c r="G6473" s="20" t="str">
        <f t="shared" si="303"/>
        <v xml:space="preserve"> OCLOCKDIGITAL   </v>
      </c>
      <c r="H6473" s="20" t="str">
        <f t="shared" si="304"/>
        <v>APPLE</v>
      </c>
      <c r="I6473" s="20">
        <f t="shared" si="305"/>
        <v>0</v>
      </c>
    </row>
    <row r="6474" spans="1:9">
      <c r="A6474" s="17" t="s">
        <v>2201</v>
      </c>
      <c r="B6474" s="17" t="s">
        <v>879</v>
      </c>
      <c r="C6474" s="17">
        <v>0</v>
      </c>
      <c r="D6474" s="17" t="s">
        <v>801</v>
      </c>
      <c r="E6474" s="18">
        <v>3020750181009</v>
      </c>
      <c r="G6474" s="20" t="str">
        <f t="shared" si="303"/>
        <v xml:space="preserve"> OCLOCKDIGITAL   </v>
      </c>
      <c r="H6474" s="20" t="str">
        <f t="shared" si="304"/>
        <v xml:space="preserve">AZUR </v>
      </c>
      <c r="I6474" s="20">
        <f t="shared" si="305"/>
        <v>0</v>
      </c>
    </row>
    <row r="6475" spans="1:9">
      <c r="A6475" s="17" t="s">
        <v>2201</v>
      </c>
      <c r="B6475" s="17" t="s">
        <v>280</v>
      </c>
      <c r="C6475" s="17">
        <v>0</v>
      </c>
      <c r="D6475" s="17" t="s">
        <v>801</v>
      </c>
      <c r="E6475" s="18">
        <v>8051770309314</v>
      </c>
      <c r="G6475" s="20" t="str">
        <f t="shared" si="303"/>
        <v xml:space="preserve"> OCLOCKDIGITAL   </v>
      </c>
      <c r="H6475" s="20" t="str">
        <f t="shared" si="304"/>
        <v>BLACK</v>
      </c>
      <c r="I6475" s="20">
        <f t="shared" si="305"/>
        <v>0</v>
      </c>
    </row>
    <row r="6476" spans="1:9">
      <c r="A6476" s="17" t="s">
        <v>2201</v>
      </c>
      <c r="B6476" s="17" t="s">
        <v>280</v>
      </c>
      <c r="C6476" s="17">
        <v>0</v>
      </c>
      <c r="D6476" s="17" t="s">
        <v>801</v>
      </c>
      <c r="E6476" s="18">
        <v>3003690001002</v>
      </c>
      <c r="G6476" s="20" t="str">
        <f t="shared" si="303"/>
        <v xml:space="preserve"> OCLOCKDIGITAL   </v>
      </c>
      <c r="H6476" s="20" t="str">
        <f t="shared" si="304"/>
        <v>BLACK</v>
      </c>
      <c r="I6476" s="20">
        <f t="shared" si="305"/>
        <v>0</v>
      </c>
    </row>
    <row r="6477" spans="1:9">
      <c r="A6477" s="17" t="s">
        <v>2201</v>
      </c>
      <c r="B6477" s="17" t="s">
        <v>1472</v>
      </c>
      <c r="C6477" s="17">
        <v>0</v>
      </c>
      <c r="D6477" s="17" t="s">
        <v>801</v>
      </c>
      <c r="E6477" s="18">
        <v>8050450215150</v>
      </c>
      <c r="G6477" s="20" t="str">
        <f t="shared" si="303"/>
        <v xml:space="preserve"> OCLOCKDIGITAL   </v>
      </c>
      <c r="H6477" s="20" t="str">
        <f t="shared" si="304"/>
        <v>CAMOU</v>
      </c>
      <c r="I6477" s="20">
        <f t="shared" si="305"/>
        <v>0</v>
      </c>
    </row>
    <row r="6478" spans="1:9">
      <c r="A6478" s="17" t="s">
        <v>2201</v>
      </c>
      <c r="B6478" s="17" t="s">
        <v>1472</v>
      </c>
      <c r="C6478" s="17">
        <v>0</v>
      </c>
      <c r="D6478" s="17" t="s">
        <v>801</v>
      </c>
      <c r="E6478" s="18">
        <v>3020750555008</v>
      </c>
      <c r="G6478" s="20" t="str">
        <f t="shared" si="303"/>
        <v xml:space="preserve"> OCLOCKDIGITAL   </v>
      </c>
      <c r="H6478" s="20" t="str">
        <f t="shared" si="304"/>
        <v>CAMOU</v>
      </c>
      <c r="I6478" s="20">
        <f t="shared" si="305"/>
        <v>0</v>
      </c>
    </row>
    <row r="6479" spans="1:9">
      <c r="A6479" s="17" t="s">
        <v>2201</v>
      </c>
      <c r="B6479" s="17" t="s">
        <v>1472</v>
      </c>
      <c r="C6479" s="17">
        <v>0</v>
      </c>
      <c r="D6479" s="17" t="s">
        <v>801</v>
      </c>
      <c r="E6479" s="18">
        <v>3020750148002</v>
      </c>
      <c r="G6479" s="20" t="str">
        <f t="shared" si="303"/>
        <v xml:space="preserve"> OCLOCKDIGITAL   </v>
      </c>
      <c r="H6479" s="20" t="str">
        <f t="shared" si="304"/>
        <v>CAMOU</v>
      </c>
      <c r="I6479" s="20">
        <f t="shared" si="305"/>
        <v>0</v>
      </c>
    </row>
    <row r="6480" spans="1:9">
      <c r="A6480" s="17" t="s">
        <v>2201</v>
      </c>
      <c r="B6480" s="17" t="s">
        <v>2202</v>
      </c>
      <c r="C6480" s="17">
        <v>0</v>
      </c>
      <c r="D6480" s="17" t="s">
        <v>801</v>
      </c>
      <c r="E6480" s="18">
        <v>8050450219219</v>
      </c>
      <c r="G6480" s="20" t="str">
        <f t="shared" si="303"/>
        <v xml:space="preserve"> OCLOCKDIGITAL   </v>
      </c>
      <c r="H6480" s="20" t="str">
        <f t="shared" si="304"/>
        <v>DKSIL</v>
      </c>
      <c r="I6480" s="20">
        <f t="shared" si="305"/>
        <v>0</v>
      </c>
    </row>
    <row r="6481" spans="1:9">
      <c r="A6481" s="17" t="s">
        <v>2201</v>
      </c>
      <c r="B6481" s="17" t="s">
        <v>2202</v>
      </c>
      <c r="C6481" s="17">
        <v>0</v>
      </c>
      <c r="D6481" s="17" t="s">
        <v>801</v>
      </c>
      <c r="E6481" s="18">
        <v>3020750273001</v>
      </c>
      <c r="G6481" s="20" t="str">
        <f t="shared" si="303"/>
        <v xml:space="preserve"> OCLOCKDIGITAL   </v>
      </c>
      <c r="H6481" s="20" t="str">
        <f t="shared" si="304"/>
        <v>DKSIL</v>
      </c>
      <c r="I6481" s="20">
        <f t="shared" si="305"/>
        <v>0</v>
      </c>
    </row>
    <row r="6482" spans="1:9">
      <c r="A6482" s="17" t="s">
        <v>2201</v>
      </c>
      <c r="B6482" s="17" t="s">
        <v>2203</v>
      </c>
      <c r="C6482" s="17">
        <v>0</v>
      </c>
      <c r="D6482" s="17" t="s">
        <v>801</v>
      </c>
      <c r="E6482" s="18">
        <v>8050450215129</v>
      </c>
      <c r="G6482" s="20" t="str">
        <f t="shared" si="303"/>
        <v xml:space="preserve"> OCLOCKDIGITAL   </v>
      </c>
      <c r="H6482" s="20" t="str">
        <f t="shared" si="304"/>
        <v xml:space="preserve">FLO1 </v>
      </c>
      <c r="I6482" s="20">
        <f t="shared" si="305"/>
        <v>0</v>
      </c>
    </row>
    <row r="6483" spans="1:9">
      <c r="A6483" s="17" t="s">
        <v>2201</v>
      </c>
      <c r="B6483" s="17" t="s">
        <v>2203</v>
      </c>
      <c r="C6483" s="17">
        <v>0</v>
      </c>
      <c r="D6483" s="17" t="s">
        <v>801</v>
      </c>
      <c r="E6483" s="18">
        <v>3020750119002</v>
      </c>
      <c r="G6483" s="20" t="str">
        <f t="shared" si="303"/>
        <v xml:space="preserve"> OCLOCKDIGITAL   </v>
      </c>
      <c r="H6483" s="20" t="str">
        <f t="shared" si="304"/>
        <v xml:space="preserve">FLO1 </v>
      </c>
      <c r="I6483" s="20">
        <f t="shared" si="305"/>
        <v>0</v>
      </c>
    </row>
    <row r="6484" spans="1:9">
      <c r="A6484" s="17" t="s">
        <v>2201</v>
      </c>
      <c r="B6484" s="17" t="s">
        <v>2204</v>
      </c>
      <c r="C6484" s="17">
        <v>0</v>
      </c>
      <c r="D6484" s="17" t="s">
        <v>801</v>
      </c>
      <c r="E6484" s="18">
        <v>8050450215136</v>
      </c>
      <c r="G6484" s="20" t="str">
        <f t="shared" si="303"/>
        <v xml:space="preserve"> OCLOCKDIGITAL   </v>
      </c>
      <c r="H6484" s="20" t="str">
        <f t="shared" si="304"/>
        <v xml:space="preserve">FLO2 </v>
      </c>
      <c r="I6484" s="20">
        <f t="shared" si="305"/>
        <v>0</v>
      </c>
    </row>
    <row r="6485" spans="1:9">
      <c r="A6485" s="17" t="s">
        <v>2201</v>
      </c>
      <c r="B6485" s="17" t="s">
        <v>2204</v>
      </c>
      <c r="C6485" s="17">
        <v>0</v>
      </c>
      <c r="D6485" s="17" t="s">
        <v>801</v>
      </c>
      <c r="E6485" s="18">
        <v>3020750120008</v>
      </c>
      <c r="G6485" s="20" t="str">
        <f t="shared" si="303"/>
        <v xml:space="preserve"> OCLOCKDIGITAL   </v>
      </c>
      <c r="H6485" s="20" t="str">
        <f t="shared" si="304"/>
        <v xml:space="preserve">FLO2 </v>
      </c>
      <c r="I6485" s="20">
        <f t="shared" si="305"/>
        <v>0</v>
      </c>
    </row>
    <row r="6486" spans="1:9">
      <c r="A6486" s="17" t="s">
        <v>2201</v>
      </c>
      <c r="B6486" s="17" t="s">
        <v>1608</v>
      </c>
      <c r="C6486" s="17">
        <v>0</v>
      </c>
      <c r="D6486" s="17" t="s">
        <v>801</v>
      </c>
      <c r="E6486" s="18">
        <v>8050450215143</v>
      </c>
      <c r="G6486" s="20" t="str">
        <f t="shared" si="303"/>
        <v xml:space="preserve"> OCLOCKDIGITAL   </v>
      </c>
      <c r="H6486" s="20" t="str">
        <f t="shared" si="304"/>
        <v xml:space="preserve">FLO3 </v>
      </c>
      <c r="I6486" s="20">
        <f t="shared" si="305"/>
        <v>0</v>
      </c>
    </row>
    <row r="6487" spans="1:9">
      <c r="A6487" s="17" t="s">
        <v>2201</v>
      </c>
      <c r="B6487" s="17" t="s">
        <v>1608</v>
      </c>
      <c r="C6487" s="17">
        <v>0</v>
      </c>
      <c r="D6487" s="17" t="s">
        <v>801</v>
      </c>
      <c r="E6487" s="18">
        <v>3020750121005</v>
      </c>
      <c r="G6487" s="20" t="str">
        <f t="shared" si="303"/>
        <v xml:space="preserve"> OCLOCKDIGITAL   </v>
      </c>
      <c r="H6487" s="20" t="str">
        <f t="shared" si="304"/>
        <v xml:space="preserve">FLO3 </v>
      </c>
      <c r="I6487" s="20">
        <f t="shared" si="305"/>
        <v>0</v>
      </c>
    </row>
    <row r="6488" spans="1:9">
      <c r="A6488" s="17" t="s">
        <v>2201</v>
      </c>
      <c r="B6488" s="17" t="s">
        <v>890</v>
      </c>
      <c r="C6488" s="17">
        <v>0</v>
      </c>
      <c r="D6488" s="17" t="s">
        <v>801</v>
      </c>
      <c r="E6488" s="18">
        <v>8050450219196</v>
      </c>
      <c r="G6488" s="20" t="str">
        <f t="shared" si="303"/>
        <v xml:space="preserve"> OCLOCKDIGITAL   </v>
      </c>
      <c r="H6488" s="20" t="str">
        <f t="shared" si="304"/>
        <v xml:space="preserve">GOLD </v>
      </c>
      <c r="I6488" s="20">
        <f t="shared" si="305"/>
        <v>0</v>
      </c>
    </row>
    <row r="6489" spans="1:9">
      <c r="A6489" s="17" t="s">
        <v>2201</v>
      </c>
      <c r="B6489" s="17" t="s">
        <v>890</v>
      </c>
      <c r="C6489" s="17">
        <v>0</v>
      </c>
      <c r="D6489" s="17" t="s">
        <v>801</v>
      </c>
      <c r="E6489" s="18">
        <v>3020750522000</v>
      </c>
      <c r="G6489" s="20" t="str">
        <f t="shared" si="303"/>
        <v xml:space="preserve"> OCLOCKDIGITAL   </v>
      </c>
      <c r="H6489" s="20" t="str">
        <f t="shared" si="304"/>
        <v xml:space="preserve">GOLD </v>
      </c>
      <c r="I6489" s="20">
        <f t="shared" si="305"/>
        <v>0</v>
      </c>
    </row>
    <row r="6490" spans="1:9">
      <c r="A6490" s="17" t="s">
        <v>2201</v>
      </c>
      <c r="B6490" s="17" t="s">
        <v>1661</v>
      </c>
      <c r="C6490" s="17">
        <v>0</v>
      </c>
      <c r="D6490" s="17" t="s">
        <v>801</v>
      </c>
      <c r="E6490" s="18">
        <v>3020750320002</v>
      </c>
      <c r="G6490" s="20" t="str">
        <f t="shared" si="303"/>
        <v xml:space="preserve"> OCLOCKDIGITAL   </v>
      </c>
      <c r="H6490" s="20" t="str">
        <f t="shared" si="304"/>
        <v>GRAFI</v>
      </c>
      <c r="I6490" s="20">
        <f t="shared" si="305"/>
        <v>0</v>
      </c>
    </row>
    <row r="6491" spans="1:9">
      <c r="A6491" s="17" t="s">
        <v>2201</v>
      </c>
      <c r="B6491" s="17" t="s">
        <v>858</v>
      </c>
      <c r="C6491" s="17">
        <v>0</v>
      </c>
      <c r="D6491" s="17" t="s">
        <v>801</v>
      </c>
      <c r="E6491" s="18">
        <v>8051770309345</v>
      </c>
      <c r="G6491" s="20" t="str">
        <f t="shared" si="303"/>
        <v xml:space="preserve"> OCLOCKDIGITAL   </v>
      </c>
      <c r="H6491" s="20" t="str">
        <f t="shared" si="304"/>
        <v xml:space="preserve">GREY </v>
      </c>
      <c r="I6491" s="20">
        <f t="shared" si="305"/>
        <v>0</v>
      </c>
    </row>
    <row r="6492" spans="1:9">
      <c r="A6492" s="17" t="s">
        <v>2201</v>
      </c>
      <c r="B6492" s="17" t="s">
        <v>858</v>
      </c>
      <c r="C6492" s="17">
        <v>0</v>
      </c>
      <c r="D6492" s="17" t="s">
        <v>801</v>
      </c>
      <c r="E6492" s="18">
        <v>3003690003006</v>
      </c>
      <c r="G6492" s="20" t="str">
        <f t="shared" si="303"/>
        <v xml:space="preserve"> OCLOCKDIGITAL   </v>
      </c>
      <c r="H6492" s="20" t="str">
        <f t="shared" si="304"/>
        <v xml:space="preserve">GREY </v>
      </c>
      <c r="I6492" s="20">
        <f t="shared" si="305"/>
        <v>0</v>
      </c>
    </row>
    <row r="6493" spans="1:9">
      <c r="A6493" s="17" t="s">
        <v>2201</v>
      </c>
      <c r="B6493" s="17" t="s">
        <v>2205</v>
      </c>
      <c r="C6493" s="17">
        <v>0</v>
      </c>
      <c r="D6493" s="17" t="s">
        <v>801</v>
      </c>
      <c r="E6493" s="18">
        <v>8050450219233</v>
      </c>
      <c r="G6493" s="20" t="str">
        <f t="shared" si="303"/>
        <v xml:space="preserve"> OCLOCKDIGITAL   </v>
      </c>
      <c r="H6493" s="20" t="str">
        <f t="shared" si="304"/>
        <v xml:space="preserve">OPCI </v>
      </c>
      <c r="I6493" s="20">
        <f t="shared" si="305"/>
        <v>0</v>
      </c>
    </row>
    <row r="6494" spans="1:9">
      <c r="A6494" s="17" t="s">
        <v>2201</v>
      </c>
      <c r="B6494" s="17" t="s">
        <v>2205</v>
      </c>
      <c r="C6494" s="17">
        <v>0</v>
      </c>
      <c r="D6494" s="17" t="s">
        <v>801</v>
      </c>
      <c r="E6494" s="18">
        <v>3020750270000</v>
      </c>
      <c r="G6494" s="20" t="str">
        <f t="shared" si="303"/>
        <v xml:space="preserve"> OCLOCKDIGITAL   </v>
      </c>
      <c r="H6494" s="20" t="str">
        <f t="shared" si="304"/>
        <v xml:space="preserve">OPCI </v>
      </c>
      <c r="I6494" s="20">
        <f t="shared" si="305"/>
        <v>0</v>
      </c>
    </row>
    <row r="6495" spans="1:9">
      <c r="A6495" s="17" t="s">
        <v>2201</v>
      </c>
      <c r="B6495" s="17" t="s">
        <v>2206</v>
      </c>
      <c r="C6495" s="17">
        <v>0</v>
      </c>
      <c r="D6495" s="17" t="s">
        <v>801</v>
      </c>
      <c r="E6495" s="18">
        <v>3020750529009</v>
      </c>
      <c r="G6495" s="20" t="str">
        <f t="shared" si="303"/>
        <v xml:space="preserve"> OCLOCKDIGITAL   </v>
      </c>
      <c r="H6495" s="20" t="str">
        <f t="shared" si="304"/>
        <v>OPEXA</v>
      </c>
      <c r="I6495" s="20">
        <f t="shared" si="305"/>
        <v>0</v>
      </c>
    </row>
    <row r="6496" spans="1:9">
      <c r="A6496" s="17" t="s">
        <v>2201</v>
      </c>
      <c r="B6496" s="17" t="s">
        <v>2207</v>
      </c>
      <c r="C6496" s="17">
        <v>0</v>
      </c>
      <c r="D6496" s="17" t="s">
        <v>801</v>
      </c>
      <c r="E6496" s="18">
        <v>8050450219226</v>
      </c>
      <c r="G6496" s="20" t="str">
        <f t="shared" si="303"/>
        <v xml:space="preserve"> OCLOCKDIGITAL   </v>
      </c>
      <c r="H6496" s="20" t="str">
        <f t="shared" si="304"/>
        <v xml:space="preserve">OPLI </v>
      </c>
      <c r="I6496" s="20">
        <f t="shared" si="305"/>
        <v>0</v>
      </c>
    </row>
    <row r="6497" spans="1:9">
      <c r="A6497" s="17" t="s">
        <v>2201</v>
      </c>
      <c r="B6497" s="17" t="s">
        <v>2207</v>
      </c>
      <c r="C6497" s="17">
        <v>0</v>
      </c>
      <c r="D6497" s="17" t="s">
        <v>801</v>
      </c>
      <c r="E6497" s="18">
        <v>3020750272004</v>
      </c>
      <c r="G6497" s="20" t="str">
        <f t="shared" si="303"/>
        <v xml:space="preserve"> OCLOCKDIGITAL   </v>
      </c>
      <c r="H6497" s="20" t="str">
        <f t="shared" si="304"/>
        <v xml:space="preserve">OPLI </v>
      </c>
      <c r="I6497" s="20">
        <f t="shared" si="305"/>
        <v>0</v>
      </c>
    </row>
    <row r="6498" spans="1:9">
      <c r="A6498" s="17" t="s">
        <v>2201</v>
      </c>
      <c r="B6498" s="17" t="s">
        <v>2207</v>
      </c>
      <c r="C6498" s="17">
        <v>0</v>
      </c>
      <c r="D6498" s="17" t="s">
        <v>801</v>
      </c>
      <c r="E6498" s="18">
        <v>3020750271007</v>
      </c>
      <c r="G6498" s="20" t="str">
        <f t="shared" si="303"/>
        <v xml:space="preserve"> OCLOCKDIGITAL   </v>
      </c>
      <c r="H6498" s="20" t="str">
        <f t="shared" si="304"/>
        <v xml:space="preserve">OPLI </v>
      </c>
      <c r="I6498" s="20">
        <f t="shared" si="305"/>
        <v>0</v>
      </c>
    </row>
    <row r="6499" spans="1:9">
      <c r="A6499" s="17" t="s">
        <v>2201</v>
      </c>
      <c r="B6499" s="17" t="s">
        <v>2208</v>
      </c>
      <c r="C6499" s="17">
        <v>0</v>
      </c>
      <c r="D6499" s="17" t="s">
        <v>801</v>
      </c>
      <c r="E6499" s="18">
        <v>8050450219240</v>
      </c>
      <c r="G6499" s="20" t="str">
        <f t="shared" si="303"/>
        <v xml:space="preserve"> OCLOCKDIGITAL   </v>
      </c>
      <c r="H6499" s="20" t="str">
        <f t="shared" si="304"/>
        <v xml:space="preserve">OPTR </v>
      </c>
      <c r="I6499" s="20">
        <f t="shared" si="305"/>
        <v>0</v>
      </c>
    </row>
    <row r="6500" spans="1:9">
      <c r="A6500" s="17" t="s">
        <v>2201</v>
      </c>
      <c r="B6500" s="17" t="s">
        <v>2208</v>
      </c>
      <c r="C6500" s="17">
        <v>0</v>
      </c>
      <c r="D6500" s="17" t="s">
        <v>801</v>
      </c>
      <c r="E6500" s="18">
        <v>3020750269004</v>
      </c>
      <c r="G6500" s="20" t="str">
        <f t="shared" si="303"/>
        <v xml:space="preserve"> OCLOCKDIGITAL   </v>
      </c>
      <c r="H6500" s="20" t="str">
        <f t="shared" si="304"/>
        <v xml:space="preserve">OPTR </v>
      </c>
      <c r="I6500" s="20">
        <f t="shared" si="305"/>
        <v>0</v>
      </c>
    </row>
    <row r="6501" spans="1:9">
      <c r="A6501" s="17" t="s">
        <v>2201</v>
      </c>
      <c r="B6501" s="17" t="s">
        <v>816</v>
      </c>
      <c r="C6501" s="17">
        <v>0</v>
      </c>
      <c r="D6501" s="17" t="s">
        <v>801</v>
      </c>
      <c r="E6501" s="18">
        <v>8051770309307</v>
      </c>
      <c r="G6501" s="20" t="str">
        <f t="shared" si="303"/>
        <v xml:space="preserve"> OCLOCKDIGITAL   </v>
      </c>
      <c r="H6501" s="20" t="str">
        <f t="shared" si="304"/>
        <v xml:space="preserve">RED  </v>
      </c>
      <c r="I6501" s="20">
        <f t="shared" si="305"/>
        <v>0</v>
      </c>
    </row>
    <row r="6502" spans="1:9">
      <c r="A6502" s="17" t="s">
        <v>2201</v>
      </c>
      <c r="B6502" s="17" t="s">
        <v>816</v>
      </c>
      <c r="C6502" s="17">
        <v>0</v>
      </c>
      <c r="D6502" s="17" t="s">
        <v>801</v>
      </c>
      <c r="E6502" s="18">
        <v>3003690010004</v>
      </c>
      <c r="G6502" s="20" t="str">
        <f t="shared" si="303"/>
        <v xml:space="preserve"> OCLOCKDIGITAL   </v>
      </c>
      <c r="H6502" s="20" t="str">
        <f t="shared" si="304"/>
        <v xml:space="preserve">RED  </v>
      </c>
      <c r="I6502" s="20">
        <f t="shared" si="305"/>
        <v>0</v>
      </c>
    </row>
    <row r="6503" spans="1:9">
      <c r="A6503" s="17" t="s">
        <v>2201</v>
      </c>
      <c r="B6503" s="17" t="s">
        <v>855</v>
      </c>
      <c r="C6503" s="17">
        <v>0</v>
      </c>
      <c r="D6503" s="17" t="s">
        <v>801</v>
      </c>
      <c r="E6503" s="18">
        <v>8050450219202</v>
      </c>
      <c r="G6503" s="20" t="str">
        <f t="shared" si="303"/>
        <v xml:space="preserve"> OCLOCKDIGITAL   </v>
      </c>
      <c r="H6503" s="20" t="str">
        <f t="shared" si="304"/>
        <v>SILVE</v>
      </c>
      <c r="I6503" s="20">
        <f t="shared" si="305"/>
        <v>0</v>
      </c>
    </row>
    <row r="6504" spans="1:9">
      <c r="A6504" s="17" t="s">
        <v>2201</v>
      </c>
      <c r="B6504" s="17" t="s">
        <v>855</v>
      </c>
      <c r="C6504" s="17">
        <v>0</v>
      </c>
      <c r="D6504" s="17" t="s">
        <v>801</v>
      </c>
      <c r="E6504" s="18">
        <v>3020750617003</v>
      </c>
      <c r="G6504" s="20" t="str">
        <f t="shared" si="303"/>
        <v xml:space="preserve"> OCLOCKDIGITAL   </v>
      </c>
      <c r="H6504" s="20" t="str">
        <f t="shared" si="304"/>
        <v>SILVE</v>
      </c>
      <c r="I6504" s="20">
        <f t="shared" si="305"/>
        <v>0</v>
      </c>
    </row>
    <row r="6505" spans="1:9">
      <c r="A6505" s="17" t="s">
        <v>2201</v>
      </c>
      <c r="B6505" s="17" t="s">
        <v>872</v>
      </c>
      <c r="C6505" s="17">
        <v>0</v>
      </c>
      <c r="D6505" s="17" t="s">
        <v>801</v>
      </c>
      <c r="E6505" s="18">
        <v>8051770309338</v>
      </c>
      <c r="G6505" s="20" t="str">
        <f t="shared" si="303"/>
        <v xml:space="preserve"> OCLOCKDIGITAL   </v>
      </c>
      <c r="H6505" s="20" t="str">
        <f t="shared" si="304"/>
        <v xml:space="preserve">SKB  </v>
      </c>
      <c r="I6505" s="20">
        <f t="shared" si="305"/>
        <v>0</v>
      </c>
    </row>
    <row r="6506" spans="1:9">
      <c r="A6506" s="17" t="s">
        <v>2201</v>
      </c>
      <c r="B6506" s="17" t="s">
        <v>872</v>
      </c>
      <c r="C6506" s="17">
        <v>0</v>
      </c>
      <c r="D6506" s="17" t="s">
        <v>801</v>
      </c>
      <c r="E6506" s="18">
        <v>3003690029006</v>
      </c>
      <c r="G6506" s="20" t="str">
        <f t="shared" si="303"/>
        <v xml:space="preserve"> OCLOCKDIGITAL   </v>
      </c>
      <c r="H6506" s="20" t="str">
        <f t="shared" si="304"/>
        <v xml:space="preserve">SKB  </v>
      </c>
      <c r="I6506" s="20">
        <f t="shared" si="305"/>
        <v>0</v>
      </c>
    </row>
    <row r="6507" spans="1:9">
      <c r="A6507" s="17" t="s">
        <v>2201</v>
      </c>
      <c r="B6507" s="17" t="s">
        <v>2209</v>
      </c>
      <c r="C6507" s="17">
        <v>0</v>
      </c>
      <c r="D6507" s="17" t="s">
        <v>801</v>
      </c>
      <c r="E6507" s="18">
        <v>8050450215174</v>
      </c>
      <c r="G6507" s="20" t="str">
        <f t="shared" si="303"/>
        <v xml:space="preserve"> OCLOCKDIGITAL   </v>
      </c>
      <c r="H6507" s="20" t="str">
        <f t="shared" si="304"/>
        <v>TRIB2</v>
      </c>
      <c r="I6507" s="20">
        <f t="shared" si="305"/>
        <v>0</v>
      </c>
    </row>
    <row r="6508" spans="1:9">
      <c r="A6508" s="17" t="s">
        <v>2201</v>
      </c>
      <c r="B6508" s="17" t="s">
        <v>2209</v>
      </c>
      <c r="C6508" s="17">
        <v>0</v>
      </c>
      <c r="D6508" s="17" t="s">
        <v>801</v>
      </c>
      <c r="E6508" s="18">
        <v>3020750146008</v>
      </c>
      <c r="G6508" s="20" t="str">
        <f t="shared" si="303"/>
        <v xml:space="preserve"> OCLOCKDIGITAL   </v>
      </c>
      <c r="H6508" s="20" t="str">
        <f t="shared" si="304"/>
        <v>TRIB2</v>
      </c>
      <c r="I6508" s="20">
        <f t="shared" si="305"/>
        <v>0</v>
      </c>
    </row>
    <row r="6509" spans="1:9">
      <c r="A6509" s="17" t="s">
        <v>2201</v>
      </c>
      <c r="B6509" s="17" t="s">
        <v>2210</v>
      </c>
      <c r="C6509" s="17">
        <v>0</v>
      </c>
      <c r="D6509" s="17" t="s">
        <v>801</v>
      </c>
      <c r="E6509" s="18">
        <v>8050450215167</v>
      </c>
      <c r="G6509" s="20" t="str">
        <f t="shared" si="303"/>
        <v xml:space="preserve"> OCLOCKDIGITAL   </v>
      </c>
      <c r="H6509" s="20" t="str">
        <f t="shared" si="304"/>
        <v>TRIBE</v>
      </c>
      <c r="I6509" s="20">
        <f t="shared" si="305"/>
        <v>0</v>
      </c>
    </row>
    <row r="6510" spans="1:9">
      <c r="A6510" s="17" t="s">
        <v>2201</v>
      </c>
      <c r="B6510" s="17" t="s">
        <v>2210</v>
      </c>
      <c r="C6510" s="17">
        <v>0</v>
      </c>
      <c r="D6510" s="17" t="s">
        <v>801</v>
      </c>
      <c r="E6510" s="18">
        <v>3020750122002</v>
      </c>
      <c r="G6510" s="20" t="str">
        <f t="shared" si="303"/>
        <v xml:space="preserve"> OCLOCKDIGITAL   </v>
      </c>
      <c r="H6510" s="20" t="str">
        <f t="shared" si="304"/>
        <v>TRIBE</v>
      </c>
      <c r="I6510" s="20">
        <f t="shared" si="305"/>
        <v>0</v>
      </c>
    </row>
    <row r="6511" spans="1:9">
      <c r="A6511" s="17" t="s">
        <v>2201</v>
      </c>
      <c r="B6511" s="17" t="s">
        <v>273</v>
      </c>
      <c r="C6511" s="17">
        <v>0</v>
      </c>
      <c r="D6511" s="17" t="s">
        <v>801</v>
      </c>
      <c r="E6511" s="18">
        <v>3020750006005</v>
      </c>
      <c r="G6511" s="20" t="str">
        <f t="shared" si="303"/>
        <v xml:space="preserve"> OCLOCKDIGITAL   </v>
      </c>
      <c r="H6511" s="20" t="str">
        <f t="shared" si="304"/>
        <v>WHITE</v>
      </c>
      <c r="I6511" s="20">
        <f t="shared" si="305"/>
        <v>0</v>
      </c>
    </row>
    <row r="6512" spans="1:9">
      <c r="A6512" s="17" t="s">
        <v>2201</v>
      </c>
      <c r="B6512" s="17" t="s">
        <v>825</v>
      </c>
      <c r="C6512" s="17">
        <v>0</v>
      </c>
      <c r="D6512" s="17" t="s">
        <v>801</v>
      </c>
      <c r="E6512" s="18">
        <v>3003690011001</v>
      </c>
      <c r="G6512" s="20" t="str">
        <f t="shared" si="303"/>
        <v xml:space="preserve"> OCLOCKDIGITAL   </v>
      </c>
      <c r="H6512" s="20" t="str">
        <f t="shared" si="304"/>
        <v xml:space="preserve">YELL </v>
      </c>
      <c r="I6512" s="20">
        <f t="shared" si="305"/>
        <v>0</v>
      </c>
    </row>
    <row r="6513" spans="1:9">
      <c r="A6513" s="17" t="s">
        <v>2211</v>
      </c>
      <c r="B6513" s="17" t="s">
        <v>2212</v>
      </c>
      <c r="C6513" s="17">
        <v>0</v>
      </c>
      <c r="D6513" s="17" t="s">
        <v>801</v>
      </c>
      <c r="E6513" s="18">
        <v>8056099178931</v>
      </c>
      <c r="G6513" s="20" t="str">
        <f t="shared" si="303"/>
        <v xml:space="preserve"> OCLOCKFALL2017  </v>
      </c>
      <c r="H6513" s="20" t="str">
        <f t="shared" si="304"/>
        <v>BAIBL</v>
      </c>
      <c r="I6513" s="20">
        <f t="shared" si="305"/>
        <v>0</v>
      </c>
    </row>
    <row r="6514" spans="1:9">
      <c r="A6514" s="17" t="s">
        <v>2211</v>
      </c>
      <c r="B6514" s="17" t="s">
        <v>2213</v>
      </c>
      <c r="C6514" s="17">
        <v>0</v>
      </c>
      <c r="D6514" s="17" t="s">
        <v>801</v>
      </c>
      <c r="E6514" s="18">
        <v>8050538591244</v>
      </c>
      <c r="G6514" s="20" t="str">
        <f t="shared" si="303"/>
        <v xml:space="preserve"> OCLOCKFALL2017  </v>
      </c>
      <c r="H6514" s="20" t="str">
        <f t="shared" si="304"/>
        <v>CHICK</v>
      </c>
      <c r="I6514" s="20">
        <f t="shared" si="305"/>
        <v>0</v>
      </c>
    </row>
    <row r="6515" spans="1:9">
      <c r="A6515" s="17" t="s">
        <v>2211</v>
      </c>
      <c r="B6515" s="17" t="s">
        <v>1606</v>
      </c>
      <c r="C6515" s="17">
        <v>0</v>
      </c>
      <c r="D6515" s="17" t="s">
        <v>801</v>
      </c>
      <c r="E6515" s="18">
        <v>8050538591251</v>
      </c>
      <c r="G6515" s="20" t="str">
        <f t="shared" si="303"/>
        <v xml:space="preserve"> OCLOCKFALL2017  </v>
      </c>
      <c r="H6515" s="20" t="str">
        <f t="shared" si="304"/>
        <v>FLBLA</v>
      </c>
      <c r="I6515" s="20">
        <f t="shared" si="305"/>
        <v>0</v>
      </c>
    </row>
    <row r="6516" spans="1:9">
      <c r="A6516" s="17" t="s">
        <v>2211</v>
      </c>
      <c r="B6516" s="17" t="s">
        <v>1763</v>
      </c>
      <c r="C6516" s="17">
        <v>0</v>
      </c>
      <c r="D6516" s="17" t="s">
        <v>801</v>
      </c>
      <c r="E6516" s="18">
        <v>8050538590261</v>
      </c>
      <c r="G6516" s="20" t="str">
        <f t="shared" si="303"/>
        <v xml:space="preserve"> OCLOCKFALL2017  </v>
      </c>
      <c r="H6516" s="20" t="str">
        <f t="shared" si="304"/>
        <v>FLBLU</v>
      </c>
      <c r="I6516" s="20">
        <f t="shared" si="305"/>
        <v>0</v>
      </c>
    </row>
    <row r="6517" spans="1:9">
      <c r="A6517" s="17" t="s">
        <v>2211</v>
      </c>
      <c r="B6517" s="17" t="s">
        <v>2214</v>
      </c>
      <c r="C6517" s="17">
        <v>0</v>
      </c>
      <c r="D6517" s="17" t="s">
        <v>801</v>
      </c>
      <c r="E6517" s="18">
        <v>8056099179082</v>
      </c>
      <c r="G6517" s="20" t="str">
        <f t="shared" si="303"/>
        <v xml:space="preserve"> OCLOCKFALL2017  </v>
      </c>
      <c r="H6517" s="20" t="str">
        <f t="shared" si="304"/>
        <v>FLRED</v>
      </c>
      <c r="I6517" s="20">
        <f t="shared" si="305"/>
        <v>0</v>
      </c>
    </row>
    <row r="6518" spans="1:9">
      <c r="A6518" s="17" t="s">
        <v>2211</v>
      </c>
      <c r="B6518" s="17" t="s">
        <v>2215</v>
      </c>
      <c r="C6518" s="17">
        <v>0</v>
      </c>
      <c r="D6518" s="17" t="s">
        <v>801</v>
      </c>
      <c r="E6518" s="18">
        <v>8056099178955</v>
      </c>
      <c r="G6518" s="20" t="str">
        <f t="shared" si="303"/>
        <v xml:space="preserve"> OCLOCKFALL2017  </v>
      </c>
      <c r="H6518" s="20" t="str">
        <f t="shared" si="304"/>
        <v>FLVER</v>
      </c>
      <c r="I6518" s="20">
        <f t="shared" si="305"/>
        <v>0</v>
      </c>
    </row>
    <row r="6519" spans="1:9">
      <c r="A6519" s="17" t="s">
        <v>2211</v>
      </c>
      <c r="B6519" s="17" t="s">
        <v>2216</v>
      </c>
      <c r="C6519" s="17">
        <v>0</v>
      </c>
      <c r="D6519" s="17" t="s">
        <v>801</v>
      </c>
      <c r="E6519" s="18">
        <v>8056099178085</v>
      </c>
      <c r="G6519" s="20" t="str">
        <f t="shared" si="303"/>
        <v xml:space="preserve"> OCLOCKFALL2017  </v>
      </c>
      <c r="H6519" s="20" t="str">
        <f t="shared" si="304"/>
        <v>MADAU</v>
      </c>
      <c r="I6519" s="20">
        <f t="shared" si="305"/>
        <v>0</v>
      </c>
    </row>
    <row r="6520" spans="1:9">
      <c r="A6520" s="17" t="s">
        <v>2211</v>
      </c>
      <c r="B6520" s="17" t="s">
        <v>2217</v>
      </c>
      <c r="C6520" s="17">
        <v>0</v>
      </c>
      <c r="D6520" s="17" t="s">
        <v>801</v>
      </c>
      <c r="E6520" s="18">
        <v>8056099177279</v>
      </c>
      <c r="G6520" s="20" t="str">
        <f t="shared" si="303"/>
        <v xml:space="preserve"> OCLOCKFALL2017  </v>
      </c>
      <c r="H6520" s="20" t="str">
        <f t="shared" si="304"/>
        <v xml:space="preserve">MADN </v>
      </c>
      <c r="I6520" s="20">
        <f t="shared" si="305"/>
        <v>0</v>
      </c>
    </row>
    <row r="6521" spans="1:9">
      <c r="A6521" s="17" t="s">
        <v>2211</v>
      </c>
      <c r="B6521" s="17" t="s">
        <v>2218</v>
      </c>
      <c r="C6521" s="17">
        <v>0</v>
      </c>
      <c r="D6521" s="17" t="s">
        <v>801</v>
      </c>
      <c r="E6521" s="18">
        <v>8056099179389</v>
      </c>
      <c r="G6521" s="20" t="str">
        <f t="shared" si="303"/>
        <v xml:space="preserve"> OCLOCKFALL2017  </v>
      </c>
      <c r="H6521" s="20" t="str">
        <f t="shared" si="304"/>
        <v>MADVO</v>
      </c>
      <c r="I6521" s="20">
        <f t="shared" si="305"/>
        <v>0</v>
      </c>
    </row>
    <row r="6522" spans="1:9">
      <c r="A6522" s="17" t="s">
        <v>2219</v>
      </c>
      <c r="B6522" s="17" t="s">
        <v>890</v>
      </c>
      <c r="C6522" s="17">
        <v>0</v>
      </c>
      <c r="D6522" s="17" t="s">
        <v>801</v>
      </c>
      <c r="E6522" s="18">
        <v>3006090339003</v>
      </c>
      <c r="G6522" s="20" t="str">
        <f t="shared" si="303"/>
        <v xml:space="preserve"> OCLOCKGREAT/FANT</v>
      </c>
      <c r="H6522" s="20" t="str">
        <f t="shared" si="304"/>
        <v xml:space="preserve">GOLD </v>
      </c>
      <c r="I6522" s="20">
        <f t="shared" si="305"/>
        <v>0</v>
      </c>
    </row>
    <row r="6523" spans="1:9">
      <c r="A6523" s="17" t="s">
        <v>2219</v>
      </c>
      <c r="B6523" s="17" t="s">
        <v>855</v>
      </c>
      <c r="C6523" s="17">
        <v>0</v>
      </c>
      <c r="D6523" s="17" t="s">
        <v>801</v>
      </c>
      <c r="E6523" s="18">
        <v>3006090567000</v>
      </c>
      <c r="G6523" s="20" t="str">
        <f t="shared" si="303"/>
        <v xml:space="preserve"> OCLOCKGREAT/FANT</v>
      </c>
      <c r="H6523" s="20" t="str">
        <f t="shared" si="304"/>
        <v>SILVE</v>
      </c>
      <c r="I6523" s="20">
        <f t="shared" si="305"/>
        <v>0</v>
      </c>
    </row>
    <row r="6524" spans="1:9">
      <c r="A6524" s="17" t="s">
        <v>2220</v>
      </c>
      <c r="B6524" s="17" t="s">
        <v>963</v>
      </c>
      <c r="C6524" s="17">
        <v>0</v>
      </c>
      <c r="D6524" s="17" t="s">
        <v>801</v>
      </c>
      <c r="E6524" s="18">
        <v>3005000395009</v>
      </c>
      <c r="G6524" s="20" t="str">
        <f t="shared" si="303"/>
        <v xml:space="preserve"> OCLOCKGREAT/TON </v>
      </c>
      <c r="H6524" s="20" t="str">
        <f t="shared" si="304"/>
        <v>AMARA</v>
      </c>
      <c r="I6524" s="20">
        <f t="shared" si="305"/>
        <v>0</v>
      </c>
    </row>
    <row r="6525" spans="1:9">
      <c r="A6525" s="17" t="s">
        <v>2220</v>
      </c>
      <c r="B6525" s="17" t="s">
        <v>963</v>
      </c>
      <c r="C6525" s="17">
        <v>0</v>
      </c>
      <c r="D6525" s="17" t="s">
        <v>801</v>
      </c>
      <c r="E6525" s="18">
        <v>8058333587219</v>
      </c>
      <c r="G6525" s="20" t="str">
        <f t="shared" si="303"/>
        <v xml:space="preserve"> OCLOCKGREAT/TON </v>
      </c>
      <c r="H6525" s="20" t="str">
        <f t="shared" si="304"/>
        <v>AMARA</v>
      </c>
      <c r="I6525" s="20">
        <f t="shared" si="305"/>
        <v>0</v>
      </c>
    </row>
    <row r="6526" spans="1:9">
      <c r="A6526" s="17" t="s">
        <v>2220</v>
      </c>
      <c r="B6526" s="17" t="s">
        <v>280</v>
      </c>
      <c r="C6526" s="17" t="s">
        <v>799</v>
      </c>
      <c r="D6526" s="17" t="s">
        <v>801</v>
      </c>
      <c r="E6526" s="18">
        <v>3004340276009</v>
      </c>
      <c r="G6526" s="20" t="str">
        <f t="shared" si="303"/>
        <v xml:space="preserve"> OCLOCKGREAT/TON </v>
      </c>
      <c r="H6526" s="20" t="str">
        <f t="shared" si="304"/>
        <v>BLACK</v>
      </c>
      <c r="I6526" s="20" t="str">
        <f t="shared" si="305"/>
        <v xml:space="preserve">     </v>
      </c>
    </row>
    <row r="6527" spans="1:9">
      <c r="A6527" s="17" t="s">
        <v>2220</v>
      </c>
      <c r="B6527" s="17" t="s">
        <v>280</v>
      </c>
      <c r="C6527" s="17">
        <v>0</v>
      </c>
      <c r="D6527" s="17" t="s">
        <v>801</v>
      </c>
      <c r="E6527" s="18">
        <v>3005000276001</v>
      </c>
      <c r="G6527" s="20" t="str">
        <f t="shared" si="303"/>
        <v xml:space="preserve"> OCLOCKGREAT/TON </v>
      </c>
      <c r="H6527" s="20" t="str">
        <f t="shared" si="304"/>
        <v>BLACK</v>
      </c>
      <c r="I6527" s="20">
        <f t="shared" si="305"/>
        <v>0</v>
      </c>
    </row>
    <row r="6528" spans="1:9">
      <c r="A6528" s="17" t="s">
        <v>2220</v>
      </c>
      <c r="B6528" s="17" t="s">
        <v>280</v>
      </c>
      <c r="C6528" s="17">
        <v>0</v>
      </c>
      <c r="D6528" s="17" t="s">
        <v>801</v>
      </c>
      <c r="E6528" s="18">
        <v>8058983590355</v>
      </c>
      <c r="G6528" s="20" t="str">
        <f t="shared" si="303"/>
        <v xml:space="preserve"> OCLOCKGREAT/TON </v>
      </c>
      <c r="H6528" s="20" t="str">
        <f t="shared" si="304"/>
        <v>BLACK</v>
      </c>
      <c r="I6528" s="20">
        <f t="shared" si="305"/>
        <v>0</v>
      </c>
    </row>
    <row r="6529" spans="1:9">
      <c r="A6529" s="17" t="s">
        <v>2220</v>
      </c>
      <c r="B6529" s="17" t="s">
        <v>853</v>
      </c>
      <c r="C6529" s="17">
        <v>0</v>
      </c>
      <c r="D6529" s="17" t="s">
        <v>801</v>
      </c>
      <c r="E6529" s="18">
        <v>3005000255006</v>
      </c>
      <c r="G6529" s="20" t="str">
        <f t="shared" si="303"/>
        <v xml:space="preserve"> OCLOCKGREAT/TON </v>
      </c>
      <c r="H6529" s="20" t="str">
        <f t="shared" si="304"/>
        <v>BRONZ</v>
      </c>
      <c r="I6529" s="20">
        <f t="shared" si="305"/>
        <v>0</v>
      </c>
    </row>
    <row r="6530" spans="1:9">
      <c r="A6530" s="17" t="s">
        <v>2220</v>
      </c>
      <c r="B6530" s="17" t="s">
        <v>890</v>
      </c>
      <c r="C6530" s="17">
        <v>0</v>
      </c>
      <c r="D6530" s="17" t="s">
        <v>801</v>
      </c>
      <c r="E6530" s="18">
        <v>3005000522009</v>
      </c>
      <c r="G6530" s="20" t="str">
        <f t="shared" si="303"/>
        <v xml:space="preserve"> OCLOCKGREAT/TON </v>
      </c>
      <c r="H6530" s="20" t="str">
        <f t="shared" si="304"/>
        <v xml:space="preserve">GOLD </v>
      </c>
      <c r="I6530" s="20">
        <f t="shared" si="305"/>
        <v>0</v>
      </c>
    </row>
    <row r="6531" spans="1:9">
      <c r="A6531" s="17" t="s">
        <v>2220</v>
      </c>
      <c r="B6531" s="17" t="s">
        <v>858</v>
      </c>
      <c r="C6531" s="17" t="s">
        <v>799</v>
      </c>
      <c r="D6531" s="17" t="s">
        <v>801</v>
      </c>
      <c r="E6531" s="18">
        <v>3004340341004</v>
      </c>
      <c r="G6531" s="20" t="str">
        <f t="shared" si="303"/>
        <v xml:space="preserve"> OCLOCKGREAT/TON </v>
      </c>
      <c r="H6531" s="20" t="str">
        <f t="shared" si="304"/>
        <v xml:space="preserve">GREY </v>
      </c>
      <c r="I6531" s="20" t="str">
        <f t="shared" si="305"/>
        <v xml:space="preserve">     </v>
      </c>
    </row>
    <row r="6532" spans="1:9">
      <c r="A6532" s="17" t="s">
        <v>2220</v>
      </c>
      <c r="B6532" s="17" t="s">
        <v>858</v>
      </c>
      <c r="C6532" s="17">
        <v>0</v>
      </c>
      <c r="D6532" s="17" t="s">
        <v>801</v>
      </c>
      <c r="E6532" s="18">
        <v>3005000341006</v>
      </c>
      <c r="G6532" s="20" t="str">
        <f t="shared" si="303"/>
        <v xml:space="preserve"> OCLOCKGREAT/TON </v>
      </c>
      <c r="H6532" s="20" t="str">
        <f t="shared" si="304"/>
        <v xml:space="preserve">GREY </v>
      </c>
      <c r="I6532" s="20">
        <f t="shared" si="305"/>
        <v>0</v>
      </c>
    </row>
    <row r="6533" spans="1:9">
      <c r="A6533" s="17" t="s">
        <v>2220</v>
      </c>
      <c r="B6533" s="17" t="s">
        <v>858</v>
      </c>
      <c r="C6533" s="17">
        <v>0</v>
      </c>
      <c r="D6533" s="17" t="s">
        <v>801</v>
      </c>
      <c r="E6533" s="18">
        <v>8058983590348</v>
      </c>
      <c r="G6533" s="20" t="str">
        <f t="shared" ref="G6533:G6596" si="306">A6533</f>
        <v xml:space="preserve"> OCLOCKGREAT/TON </v>
      </c>
      <c r="H6533" s="20" t="str">
        <f t="shared" ref="H6533:H6596" si="307">B6533</f>
        <v xml:space="preserve">GREY </v>
      </c>
      <c r="I6533" s="20">
        <f t="shared" ref="I6533:I6596" si="308">C6533</f>
        <v>0</v>
      </c>
    </row>
    <row r="6534" spans="1:9">
      <c r="A6534" s="17" t="s">
        <v>2220</v>
      </c>
      <c r="B6534" s="17" t="s">
        <v>892</v>
      </c>
      <c r="C6534" s="17">
        <v>0</v>
      </c>
      <c r="D6534" s="17" t="s">
        <v>801</v>
      </c>
      <c r="E6534" s="18">
        <v>3005000214003</v>
      </c>
      <c r="G6534" s="20" t="str">
        <f t="shared" si="306"/>
        <v xml:space="preserve"> OCLOCKGREAT/TON </v>
      </c>
      <c r="H6534" s="20" t="str">
        <f t="shared" si="307"/>
        <v xml:space="preserve">LIME </v>
      </c>
      <c r="I6534" s="20">
        <f t="shared" si="308"/>
        <v>0</v>
      </c>
    </row>
    <row r="6535" spans="1:9">
      <c r="A6535" s="17" t="s">
        <v>2220</v>
      </c>
      <c r="B6535" s="17" t="s">
        <v>892</v>
      </c>
      <c r="C6535" s="17">
        <v>0</v>
      </c>
      <c r="D6535" s="17" t="s">
        <v>801</v>
      </c>
      <c r="E6535" s="18">
        <v>8058333587226</v>
      </c>
      <c r="G6535" s="20" t="str">
        <f t="shared" si="306"/>
        <v xml:space="preserve"> OCLOCKGREAT/TON </v>
      </c>
      <c r="H6535" s="20" t="str">
        <f t="shared" si="307"/>
        <v xml:space="preserve">LIME </v>
      </c>
      <c r="I6535" s="20">
        <f t="shared" si="308"/>
        <v>0</v>
      </c>
    </row>
    <row r="6536" spans="1:9">
      <c r="A6536" s="17" t="s">
        <v>2220</v>
      </c>
      <c r="B6536" s="17" t="s">
        <v>971</v>
      </c>
      <c r="C6536" s="17">
        <v>0</v>
      </c>
      <c r="D6536" s="17" t="s">
        <v>801</v>
      </c>
      <c r="E6536" s="18">
        <v>3005000394002</v>
      </c>
      <c r="G6536" s="20" t="str">
        <f t="shared" si="306"/>
        <v xml:space="preserve"> OCLOCKGREAT/TON </v>
      </c>
      <c r="H6536" s="20" t="str">
        <f t="shared" si="307"/>
        <v>OTTAN</v>
      </c>
      <c r="I6536" s="20">
        <f t="shared" si="308"/>
        <v>0</v>
      </c>
    </row>
    <row r="6537" spans="1:9">
      <c r="A6537" s="17" t="s">
        <v>2220</v>
      </c>
      <c r="B6537" s="17" t="s">
        <v>971</v>
      </c>
      <c r="C6537" s="17">
        <v>0</v>
      </c>
      <c r="D6537" s="17" t="s">
        <v>801</v>
      </c>
      <c r="E6537" s="18">
        <v>8058333587233</v>
      </c>
      <c r="G6537" s="20" t="str">
        <f t="shared" si="306"/>
        <v xml:space="preserve"> OCLOCKGREAT/TON </v>
      </c>
      <c r="H6537" s="20" t="str">
        <f t="shared" si="307"/>
        <v>OTTAN</v>
      </c>
      <c r="I6537" s="20">
        <f t="shared" si="308"/>
        <v>0</v>
      </c>
    </row>
    <row r="6538" spans="1:9">
      <c r="A6538" s="17" t="s">
        <v>2220</v>
      </c>
      <c r="B6538" s="17" t="s">
        <v>1438</v>
      </c>
      <c r="C6538" s="17">
        <v>0</v>
      </c>
      <c r="D6538" s="17" t="s">
        <v>801</v>
      </c>
      <c r="E6538" s="18">
        <v>3004340692007</v>
      </c>
      <c r="G6538" s="20" t="str">
        <f t="shared" si="306"/>
        <v xml:space="preserve"> OCLOCKGREAT/TON </v>
      </c>
      <c r="H6538" s="20" t="str">
        <f t="shared" si="307"/>
        <v>POLVE</v>
      </c>
      <c r="I6538" s="20">
        <f t="shared" si="308"/>
        <v>0</v>
      </c>
    </row>
    <row r="6539" spans="1:9">
      <c r="A6539" s="17" t="s">
        <v>2220</v>
      </c>
      <c r="B6539" s="17" t="s">
        <v>1438</v>
      </c>
      <c r="C6539" s="17">
        <v>0</v>
      </c>
      <c r="D6539" s="17" t="s">
        <v>801</v>
      </c>
      <c r="E6539" s="18">
        <v>8058333587240</v>
      </c>
      <c r="G6539" s="20" t="str">
        <f t="shared" si="306"/>
        <v xml:space="preserve"> OCLOCKGREAT/TON </v>
      </c>
      <c r="H6539" s="20" t="str">
        <f t="shared" si="307"/>
        <v>POLVE</v>
      </c>
      <c r="I6539" s="20">
        <f t="shared" si="308"/>
        <v>0</v>
      </c>
    </row>
    <row r="6540" spans="1:9">
      <c r="A6540" s="17" t="s">
        <v>2220</v>
      </c>
      <c r="B6540" s="17" t="s">
        <v>1236</v>
      </c>
      <c r="C6540" s="17">
        <v>0</v>
      </c>
      <c r="D6540" s="17" t="s">
        <v>801</v>
      </c>
      <c r="E6540" s="18">
        <v>3005000609007</v>
      </c>
      <c r="G6540" s="20" t="str">
        <f t="shared" si="306"/>
        <v xml:space="preserve"> OCLOCKGREAT/TON </v>
      </c>
      <c r="H6540" s="20" t="str">
        <f t="shared" si="307"/>
        <v xml:space="preserve">POW  </v>
      </c>
      <c r="I6540" s="20">
        <f t="shared" si="308"/>
        <v>0</v>
      </c>
    </row>
    <row r="6541" spans="1:9">
      <c r="A6541" s="17" t="s">
        <v>2220</v>
      </c>
      <c r="B6541" s="17" t="s">
        <v>816</v>
      </c>
      <c r="C6541" s="17">
        <v>0</v>
      </c>
      <c r="D6541" s="17" t="s">
        <v>801</v>
      </c>
      <c r="E6541" s="18">
        <v>3005000396006</v>
      </c>
      <c r="G6541" s="20" t="str">
        <f t="shared" si="306"/>
        <v xml:space="preserve"> OCLOCKGREAT/TON </v>
      </c>
      <c r="H6541" s="20" t="str">
        <f t="shared" si="307"/>
        <v xml:space="preserve">RED  </v>
      </c>
      <c r="I6541" s="20">
        <f t="shared" si="308"/>
        <v>0</v>
      </c>
    </row>
    <row r="6542" spans="1:9">
      <c r="A6542" s="17" t="s">
        <v>2220</v>
      </c>
      <c r="B6542" s="17" t="s">
        <v>855</v>
      </c>
      <c r="C6542" s="17">
        <v>0</v>
      </c>
      <c r="D6542" s="17" t="s">
        <v>801</v>
      </c>
      <c r="E6542" s="18">
        <v>3005000617002</v>
      </c>
      <c r="G6542" s="20" t="str">
        <f t="shared" si="306"/>
        <v xml:space="preserve"> OCLOCKGREAT/TON </v>
      </c>
      <c r="H6542" s="20" t="str">
        <f t="shared" si="307"/>
        <v>SILVE</v>
      </c>
      <c r="I6542" s="20">
        <f t="shared" si="308"/>
        <v>0</v>
      </c>
    </row>
    <row r="6543" spans="1:9">
      <c r="A6543" s="17" t="s">
        <v>2220</v>
      </c>
      <c r="B6543" s="17" t="s">
        <v>1442</v>
      </c>
      <c r="C6543" s="17">
        <v>0</v>
      </c>
      <c r="D6543" s="17" t="s">
        <v>801</v>
      </c>
      <c r="E6543" s="18">
        <v>3005000225009</v>
      </c>
      <c r="G6543" s="20" t="str">
        <f t="shared" si="306"/>
        <v xml:space="preserve"> OCLOCKGREAT/TON </v>
      </c>
      <c r="H6543" s="20" t="str">
        <f t="shared" si="307"/>
        <v>VIODE</v>
      </c>
      <c r="I6543" s="20">
        <f t="shared" si="308"/>
        <v>0</v>
      </c>
    </row>
    <row r="6544" spans="1:9">
      <c r="A6544" s="17" t="s">
        <v>2220</v>
      </c>
      <c r="B6544" s="17" t="s">
        <v>1442</v>
      </c>
      <c r="C6544" s="17">
        <v>0</v>
      </c>
      <c r="D6544" s="17" t="s">
        <v>801</v>
      </c>
      <c r="E6544" s="18">
        <v>8058333587257</v>
      </c>
      <c r="G6544" s="20" t="str">
        <f t="shared" si="306"/>
        <v xml:space="preserve"> OCLOCKGREAT/TON </v>
      </c>
      <c r="H6544" s="20" t="str">
        <f t="shared" si="307"/>
        <v>VIODE</v>
      </c>
      <c r="I6544" s="20">
        <f t="shared" si="308"/>
        <v>0</v>
      </c>
    </row>
    <row r="6545" spans="1:9">
      <c r="A6545" s="17" t="s">
        <v>2220</v>
      </c>
      <c r="B6545" s="17" t="s">
        <v>273</v>
      </c>
      <c r="C6545" s="17">
        <v>0</v>
      </c>
      <c r="D6545" s="17" t="s">
        <v>801</v>
      </c>
      <c r="E6545" s="18">
        <v>3005000005007</v>
      </c>
      <c r="G6545" s="20" t="str">
        <f t="shared" si="306"/>
        <v xml:space="preserve"> OCLOCKGREAT/TON </v>
      </c>
      <c r="H6545" s="20" t="str">
        <f t="shared" si="307"/>
        <v>WHITE</v>
      </c>
      <c r="I6545" s="20">
        <f t="shared" si="308"/>
        <v>0</v>
      </c>
    </row>
    <row r="6546" spans="1:9">
      <c r="A6546" s="17" t="s">
        <v>2220</v>
      </c>
      <c r="B6546" s="17" t="s">
        <v>273</v>
      </c>
      <c r="C6546" s="17">
        <v>0</v>
      </c>
      <c r="D6546" s="17" t="s">
        <v>801</v>
      </c>
      <c r="E6546" s="18">
        <v>8058983590393</v>
      </c>
      <c r="G6546" s="20" t="str">
        <f t="shared" si="306"/>
        <v xml:space="preserve"> OCLOCKGREAT/TON </v>
      </c>
      <c r="H6546" s="20" t="str">
        <f t="shared" si="307"/>
        <v>WHITE</v>
      </c>
      <c r="I6546" s="20">
        <f t="shared" si="308"/>
        <v>0</v>
      </c>
    </row>
    <row r="6547" spans="1:9">
      <c r="A6547" s="17" t="s">
        <v>2221</v>
      </c>
      <c r="B6547" s="17" t="s">
        <v>298</v>
      </c>
      <c r="C6547" s="17">
        <v>0</v>
      </c>
      <c r="D6547" s="17" t="s">
        <v>801</v>
      </c>
      <c r="E6547" s="18">
        <v>8056099172250</v>
      </c>
      <c r="G6547" s="20" t="str">
        <f t="shared" si="306"/>
        <v xml:space="preserve"> OCLOCKGREATCALEN</v>
      </c>
      <c r="H6547" s="20" t="str">
        <f t="shared" si="307"/>
        <v>APPLE</v>
      </c>
      <c r="I6547" s="20">
        <f t="shared" si="308"/>
        <v>0</v>
      </c>
    </row>
    <row r="6548" spans="1:9">
      <c r="A6548" s="17" t="s">
        <v>2221</v>
      </c>
      <c r="B6548" s="17" t="s">
        <v>810</v>
      </c>
      <c r="C6548" s="17">
        <v>0</v>
      </c>
      <c r="D6548" s="17" t="s">
        <v>801</v>
      </c>
      <c r="E6548" s="18">
        <v>8056099172267</v>
      </c>
      <c r="G6548" s="20" t="str">
        <f t="shared" si="306"/>
        <v xml:space="preserve"> OCLOCKGREATCALEN</v>
      </c>
      <c r="H6548" s="20" t="str">
        <f t="shared" si="307"/>
        <v xml:space="preserve">BLUE </v>
      </c>
      <c r="I6548" s="20">
        <f t="shared" si="308"/>
        <v>0</v>
      </c>
    </row>
    <row r="6549" spans="1:9">
      <c r="A6549" s="17" t="s">
        <v>2221</v>
      </c>
      <c r="B6549" s="17" t="s">
        <v>816</v>
      </c>
      <c r="C6549" s="17">
        <v>0</v>
      </c>
      <c r="D6549" s="17" t="s">
        <v>801</v>
      </c>
      <c r="E6549" s="18">
        <v>8056099172243</v>
      </c>
      <c r="G6549" s="20" t="str">
        <f t="shared" si="306"/>
        <v xml:space="preserve"> OCLOCKGREATCALEN</v>
      </c>
      <c r="H6549" s="20" t="str">
        <f t="shared" si="307"/>
        <v xml:space="preserve">RED  </v>
      </c>
      <c r="I6549" s="20">
        <f t="shared" si="308"/>
        <v>0</v>
      </c>
    </row>
    <row r="6550" spans="1:9">
      <c r="A6550" s="17" t="s">
        <v>2222</v>
      </c>
      <c r="B6550" s="17" t="s">
        <v>2223</v>
      </c>
      <c r="C6550" s="17">
        <v>0</v>
      </c>
      <c r="D6550" s="17" t="s">
        <v>801</v>
      </c>
      <c r="E6550" s="18">
        <v>8056099173295</v>
      </c>
      <c r="G6550" s="20" t="str">
        <f t="shared" si="306"/>
        <v xml:space="preserve"> OCLOCKGREATCOKTA</v>
      </c>
      <c r="H6550" s="20" t="str">
        <f t="shared" si="307"/>
        <v>CAIPI</v>
      </c>
      <c r="I6550" s="20">
        <f t="shared" si="308"/>
        <v>0</v>
      </c>
    </row>
    <row r="6551" spans="1:9">
      <c r="A6551" s="17" t="s">
        <v>2222</v>
      </c>
      <c r="B6551" s="17" t="s">
        <v>2224</v>
      </c>
      <c r="C6551" s="17">
        <v>0</v>
      </c>
      <c r="D6551" s="17" t="s">
        <v>801</v>
      </c>
      <c r="E6551" s="18">
        <v>8056098538224</v>
      </c>
      <c r="G6551" s="20" t="str">
        <f t="shared" si="306"/>
        <v xml:space="preserve"> OCLOCKGREATCOKTA</v>
      </c>
      <c r="H6551" s="20" t="str">
        <f t="shared" si="307"/>
        <v>MARTI</v>
      </c>
      <c r="I6551" s="20">
        <f t="shared" si="308"/>
        <v>0</v>
      </c>
    </row>
    <row r="6552" spans="1:9">
      <c r="A6552" s="17" t="s">
        <v>2222</v>
      </c>
      <c r="B6552" s="17" t="s">
        <v>2225</v>
      </c>
      <c r="C6552" s="17">
        <v>0</v>
      </c>
      <c r="D6552" s="17" t="s">
        <v>801</v>
      </c>
      <c r="E6552" s="18">
        <v>8056099173288</v>
      </c>
      <c r="G6552" s="20" t="str">
        <f t="shared" si="306"/>
        <v xml:space="preserve"> OCLOCKGREATCOKTA</v>
      </c>
      <c r="H6552" s="20" t="str">
        <f t="shared" si="307"/>
        <v>SPRIT</v>
      </c>
      <c r="I6552" s="20">
        <f t="shared" si="308"/>
        <v>0</v>
      </c>
    </row>
    <row r="6553" spans="1:9">
      <c r="A6553" s="17" t="s">
        <v>2226</v>
      </c>
      <c r="B6553" s="17" t="s">
        <v>963</v>
      </c>
      <c r="C6553" s="17">
        <v>0</v>
      </c>
      <c r="D6553" s="17" t="s">
        <v>801</v>
      </c>
      <c r="E6553" s="18">
        <v>3004370691001</v>
      </c>
      <c r="G6553" s="20" t="str">
        <f t="shared" si="306"/>
        <v xml:space="preserve"> OCLOCKGREATDATE </v>
      </c>
      <c r="H6553" s="20" t="str">
        <f t="shared" si="307"/>
        <v>AMARA</v>
      </c>
      <c r="I6553" s="20">
        <f t="shared" si="308"/>
        <v>0</v>
      </c>
    </row>
    <row r="6554" spans="1:9">
      <c r="A6554" s="17" t="s">
        <v>2226</v>
      </c>
      <c r="B6554" s="17" t="s">
        <v>963</v>
      </c>
      <c r="C6554" s="17">
        <v>0</v>
      </c>
      <c r="D6554" s="17" t="s">
        <v>801</v>
      </c>
      <c r="E6554" s="18">
        <v>8058333587165</v>
      </c>
      <c r="G6554" s="20" t="str">
        <f t="shared" si="306"/>
        <v xml:space="preserve"> OCLOCKGREATDATE </v>
      </c>
      <c r="H6554" s="20" t="str">
        <f t="shared" si="307"/>
        <v>AMARA</v>
      </c>
      <c r="I6554" s="20">
        <f t="shared" si="308"/>
        <v>0</v>
      </c>
    </row>
    <row r="6555" spans="1:9">
      <c r="A6555" s="17" t="s">
        <v>2226</v>
      </c>
      <c r="B6555" s="17" t="s">
        <v>280</v>
      </c>
      <c r="C6555" s="17" t="s">
        <v>799</v>
      </c>
      <c r="D6555" s="17" t="s">
        <v>801</v>
      </c>
      <c r="E6555" s="18">
        <v>3004370276000</v>
      </c>
      <c r="G6555" s="20" t="str">
        <f t="shared" si="306"/>
        <v xml:space="preserve"> OCLOCKGREATDATE </v>
      </c>
      <c r="H6555" s="20" t="str">
        <f t="shared" si="307"/>
        <v>BLACK</v>
      </c>
      <c r="I6555" s="20" t="str">
        <f t="shared" si="308"/>
        <v xml:space="preserve">     </v>
      </c>
    </row>
    <row r="6556" spans="1:9">
      <c r="A6556" s="17" t="s">
        <v>2226</v>
      </c>
      <c r="B6556" s="17" t="s">
        <v>280</v>
      </c>
      <c r="C6556" s="17">
        <v>0</v>
      </c>
      <c r="D6556" s="17" t="s">
        <v>801</v>
      </c>
      <c r="E6556" s="18">
        <v>3005030276002</v>
      </c>
      <c r="G6556" s="20" t="str">
        <f t="shared" si="306"/>
        <v xml:space="preserve"> OCLOCKGREATDATE </v>
      </c>
      <c r="H6556" s="20" t="str">
        <f t="shared" si="307"/>
        <v>BLACK</v>
      </c>
      <c r="I6556" s="20">
        <f t="shared" si="308"/>
        <v>0</v>
      </c>
    </row>
    <row r="6557" spans="1:9">
      <c r="A6557" s="17" t="s">
        <v>2226</v>
      </c>
      <c r="B6557" s="17" t="s">
        <v>280</v>
      </c>
      <c r="C6557" s="17">
        <v>0</v>
      </c>
      <c r="D6557" s="17" t="s">
        <v>801</v>
      </c>
      <c r="E6557" s="18">
        <v>8058333587158</v>
      </c>
      <c r="G6557" s="20" t="str">
        <f t="shared" si="306"/>
        <v xml:space="preserve"> OCLOCKGREATDATE </v>
      </c>
      <c r="H6557" s="20" t="str">
        <f t="shared" si="307"/>
        <v>BLACK</v>
      </c>
      <c r="I6557" s="20">
        <f t="shared" si="308"/>
        <v>0</v>
      </c>
    </row>
    <row r="6558" spans="1:9">
      <c r="A6558" s="17" t="s">
        <v>2226</v>
      </c>
      <c r="B6558" s="17" t="s">
        <v>2072</v>
      </c>
      <c r="C6558" s="17">
        <v>0</v>
      </c>
      <c r="D6558" s="17" t="s">
        <v>801</v>
      </c>
      <c r="E6558" s="18">
        <v>8058983599761</v>
      </c>
      <c r="G6558" s="20" t="str">
        <f t="shared" si="306"/>
        <v xml:space="preserve"> OCLOCKGREATDATE </v>
      </c>
      <c r="H6558" s="20" t="str">
        <f t="shared" si="307"/>
        <v xml:space="preserve">BLGO </v>
      </c>
      <c r="I6558" s="20">
        <f t="shared" si="308"/>
        <v>0</v>
      </c>
    </row>
    <row r="6559" spans="1:9">
      <c r="A6559" s="17" t="s">
        <v>2226</v>
      </c>
      <c r="B6559" s="17" t="s">
        <v>2072</v>
      </c>
      <c r="C6559" s="17">
        <v>0</v>
      </c>
      <c r="D6559" s="17" t="s">
        <v>801</v>
      </c>
      <c r="E6559" s="18">
        <v>3005030533006</v>
      </c>
      <c r="G6559" s="20" t="str">
        <f t="shared" si="306"/>
        <v xml:space="preserve"> OCLOCKGREATDATE </v>
      </c>
      <c r="H6559" s="20" t="str">
        <f t="shared" si="307"/>
        <v xml:space="preserve">BLGO </v>
      </c>
      <c r="I6559" s="20">
        <f t="shared" si="308"/>
        <v>0</v>
      </c>
    </row>
    <row r="6560" spans="1:9">
      <c r="A6560" s="17" t="s">
        <v>2226</v>
      </c>
      <c r="B6560" s="17" t="s">
        <v>2227</v>
      </c>
      <c r="C6560" s="17">
        <v>0</v>
      </c>
      <c r="D6560" s="17" t="s">
        <v>801</v>
      </c>
      <c r="E6560" s="18">
        <v>8058983599778</v>
      </c>
      <c r="G6560" s="20" t="str">
        <f t="shared" si="306"/>
        <v xml:space="preserve"> OCLOCKGREATDATE </v>
      </c>
      <c r="H6560" s="20" t="str">
        <f t="shared" si="307"/>
        <v>BLSIL</v>
      </c>
      <c r="I6560" s="20">
        <f t="shared" si="308"/>
        <v>0</v>
      </c>
    </row>
    <row r="6561" spans="1:9">
      <c r="A6561" s="17" t="s">
        <v>2226</v>
      </c>
      <c r="B6561" s="17" t="s">
        <v>2227</v>
      </c>
      <c r="C6561" s="17">
        <v>0</v>
      </c>
      <c r="D6561" s="17" t="s">
        <v>801</v>
      </c>
      <c r="E6561" s="18">
        <v>3005030400001</v>
      </c>
      <c r="G6561" s="20" t="str">
        <f t="shared" si="306"/>
        <v xml:space="preserve"> OCLOCKGREATDATE </v>
      </c>
      <c r="H6561" s="20" t="str">
        <f t="shared" si="307"/>
        <v>BLSIL</v>
      </c>
      <c r="I6561" s="20">
        <f t="shared" si="308"/>
        <v>0</v>
      </c>
    </row>
    <row r="6562" spans="1:9">
      <c r="A6562" s="17" t="s">
        <v>2226</v>
      </c>
      <c r="B6562" s="17" t="s">
        <v>2228</v>
      </c>
      <c r="C6562" s="17">
        <v>0</v>
      </c>
      <c r="D6562" s="17" t="s">
        <v>801</v>
      </c>
      <c r="E6562" s="18">
        <v>8050538590698</v>
      </c>
      <c r="G6562" s="20" t="str">
        <f t="shared" si="306"/>
        <v xml:space="preserve"> OCLOCKGREATDATE </v>
      </c>
      <c r="H6562" s="20" t="str">
        <f t="shared" si="307"/>
        <v>CABLU</v>
      </c>
      <c r="I6562" s="20">
        <f t="shared" si="308"/>
        <v>0</v>
      </c>
    </row>
    <row r="6563" spans="1:9">
      <c r="A6563" s="17" t="s">
        <v>2226</v>
      </c>
      <c r="B6563" s="17" t="s">
        <v>2229</v>
      </c>
      <c r="C6563" s="17">
        <v>0</v>
      </c>
      <c r="D6563" s="17" t="s">
        <v>801</v>
      </c>
      <c r="E6563" s="18">
        <v>8050538590377</v>
      </c>
      <c r="G6563" s="20" t="str">
        <f t="shared" si="306"/>
        <v xml:space="preserve"> OCLOCKGREATDATE </v>
      </c>
      <c r="H6563" s="20" t="str">
        <f t="shared" si="307"/>
        <v>CARED</v>
      </c>
      <c r="I6563" s="20">
        <f t="shared" si="308"/>
        <v>0</v>
      </c>
    </row>
    <row r="6564" spans="1:9">
      <c r="A6564" s="17" t="s">
        <v>2226</v>
      </c>
      <c r="B6564" s="17" t="s">
        <v>2230</v>
      </c>
      <c r="C6564" s="17">
        <v>0</v>
      </c>
      <c r="D6564" s="17" t="s">
        <v>801</v>
      </c>
      <c r="E6564" s="18">
        <v>8056099178702</v>
      </c>
      <c r="G6564" s="20" t="str">
        <f t="shared" si="306"/>
        <v xml:space="preserve"> OCLOCKGREATDATE </v>
      </c>
      <c r="H6564" s="20" t="str">
        <f t="shared" si="307"/>
        <v>CAYEL</v>
      </c>
      <c r="I6564" s="20">
        <f t="shared" si="308"/>
        <v>0</v>
      </c>
    </row>
    <row r="6565" spans="1:9">
      <c r="A6565" s="17" t="s">
        <v>2226</v>
      </c>
      <c r="B6565" s="17" t="s">
        <v>2231</v>
      </c>
      <c r="C6565" s="17">
        <v>0</v>
      </c>
      <c r="D6565" s="17" t="s">
        <v>801</v>
      </c>
      <c r="E6565" s="18">
        <v>8056099172038</v>
      </c>
      <c r="G6565" s="20" t="str">
        <f t="shared" si="306"/>
        <v xml:space="preserve"> OCLOCKGREATDATE </v>
      </c>
      <c r="H6565" s="20" t="str">
        <f t="shared" si="307"/>
        <v>FLUOL</v>
      </c>
      <c r="I6565" s="20">
        <f t="shared" si="308"/>
        <v>0</v>
      </c>
    </row>
    <row r="6566" spans="1:9">
      <c r="A6566" s="17" t="s">
        <v>2226</v>
      </c>
      <c r="B6566" s="17" t="s">
        <v>2232</v>
      </c>
      <c r="C6566" s="17">
        <v>0</v>
      </c>
      <c r="D6566" s="17" t="s">
        <v>801</v>
      </c>
      <c r="E6566" s="18">
        <v>8056099172045</v>
      </c>
      <c r="G6566" s="20" t="str">
        <f t="shared" si="306"/>
        <v xml:space="preserve"> OCLOCKGREATDATE </v>
      </c>
      <c r="H6566" s="20" t="str">
        <f t="shared" si="307"/>
        <v>FLUOR</v>
      </c>
      <c r="I6566" s="20">
        <f t="shared" si="308"/>
        <v>0</v>
      </c>
    </row>
    <row r="6567" spans="1:9">
      <c r="A6567" s="17" t="s">
        <v>2226</v>
      </c>
      <c r="B6567" s="17" t="s">
        <v>2233</v>
      </c>
      <c r="C6567" s="17">
        <v>0</v>
      </c>
      <c r="D6567" s="17" t="s">
        <v>801</v>
      </c>
      <c r="E6567" s="18">
        <v>8056099172052</v>
      </c>
      <c r="G6567" s="20" t="str">
        <f t="shared" si="306"/>
        <v xml:space="preserve"> OCLOCKGREATDATE </v>
      </c>
      <c r="H6567" s="20" t="str">
        <f t="shared" si="307"/>
        <v>FLUOV</v>
      </c>
      <c r="I6567" s="20">
        <f t="shared" si="308"/>
        <v>0</v>
      </c>
    </row>
    <row r="6568" spans="1:9">
      <c r="A6568" s="17" t="s">
        <v>2226</v>
      </c>
      <c r="B6568" s="17" t="s">
        <v>858</v>
      </c>
      <c r="C6568" s="17" t="s">
        <v>799</v>
      </c>
      <c r="D6568" s="17" t="s">
        <v>801</v>
      </c>
      <c r="E6568" s="18">
        <v>3004370341005</v>
      </c>
      <c r="G6568" s="20" t="str">
        <f t="shared" si="306"/>
        <v xml:space="preserve"> OCLOCKGREATDATE </v>
      </c>
      <c r="H6568" s="20" t="str">
        <f t="shared" si="307"/>
        <v xml:space="preserve">GREY </v>
      </c>
      <c r="I6568" s="20" t="str">
        <f t="shared" si="308"/>
        <v xml:space="preserve">     </v>
      </c>
    </row>
    <row r="6569" spans="1:9">
      <c r="A6569" s="17" t="s">
        <v>2226</v>
      </c>
      <c r="B6569" s="17" t="s">
        <v>858</v>
      </c>
      <c r="C6569" s="17">
        <v>0</v>
      </c>
      <c r="D6569" s="17" t="s">
        <v>801</v>
      </c>
      <c r="E6569" s="18">
        <v>3005030341007</v>
      </c>
      <c r="G6569" s="20" t="str">
        <f t="shared" si="306"/>
        <v xml:space="preserve"> OCLOCKGREATDATE </v>
      </c>
      <c r="H6569" s="20" t="str">
        <f t="shared" si="307"/>
        <v xml:space="preserve">GREY </v>
      </c>
      <c r="I6569" s="20">
        <f t="shared" si="308"/>
        <v>0</v>
      </c>
    </row>
    <row r="6570" spans="1:9">
      <c r="A6570" s="17" t="s">
        <v>2226</v>
      </c>
      <c r="B6570" s="17" t="s">
        <v>858</v>
      </c>
      <c r="C6570" s="17">
        <v>0</v>
      </c>
      <c r="D6570" s="17" t="s">
        <v>801</v>
      </c>
      <c r="E6570" s="18">
        <v>8058983590331</v>
      </c>
      <c r="G6570" s="20" t="str">
        <f t="shared" si="306"/>
        <v xml:space="preserve"> OCLOCKGREATDATE </v>
      </c>
      <c r="H6570" s="20" t="str">
        <f t="shared" si="307"/>
        <v xml:space="preserve">GREY </v>
      </c>
      <c r="I6570" s="20">
        <f t="shared" si="308"/>
        <v>0</v>
      </c>
    </row>
    <row r="6571" spans="1:9">
      <c r="A6571" s="17" t="s">
        <v>2226</v>
      </c>
      <c r="B6571" s="17" t="s">
        <v>892</v>
      </c>
      <c r="C6571" s="17">
        <v>0</v>
      </c>
      <c r="D6571" s="17" t="s">
        <v>801</v>
      </c>
      <c r="E6571" s="18">
        <v>3004370473003</v>
      </c>
      <c r="G6571" s="20" t="str">
        <f t="shared" si="306"/>
        <v xml:space="preserve"> OCLOCKGREATDATE </v>
      </c>
      <c r="H6571" s="20" t="str">
        <f t="shared" si="307"/>
        <v xml:space="preserve">LIME </v>
      </c>
      <c r="I6571" s="20">
        <f t="shared" si="308"/>
        <v>0</v>
      </c>
    </row>
    <row r="6572" spans="1:9">
      <c r="A6572" s="17" t="s">
        <v>2226</v>
      </c>
      <c r="B6572" s="17" t="s">
        <v>1234</v>
      </c>
      <c r="C6572" s="17">
        <v>0</v>
      </c>
      <c r="D6572" s="17" t="s">
        <v>801</v>
      </c>
      <c r="E6572" s="18">
        <v>8056095066393</v>
      </c>
      <c r="G6572" s="20" t="str">
        <f t="shared" si="306"/>
        <v xml:space="preserve"> OCLOCKGREATDATE </v>
      </c>
      <c r="H6572" s="20" t="str">
        <f t="shared" si="307"/>
        <v>OLIVE</v>
      </c>
      <c r="I6572" s="20">
        <f t="shared" si="308"/>
        <v>0</v>
      </c>
    </row>
    <row r="6573" spans="1:9">
      <c r="A6573" s="17" t="s">
        <v>2226</v>
      </c>
      <c r="B6573" s="17" t="s">
        <v>1234</v>
      </c>
      <c r="C6573" s="17">
        <v>0</v>
      </c>
      <c r="D6573" s="17" t="s">
        <v>801</v>
      </c>
      <c r="E6573" s="18">
        <v>3004370375000</v>
      </c>
      <c r="G6573" s="20" t="str">
        <f t="shared" si="306"/>
        <v xml:space="preserve"> OCLOCKGREATDATE </v>
      </c>
      <c r="H6573" s="20" t="str">
        <f t="shared" si="307"/>
        <v>OLIVE</v>
      </c>
      <c r="I6573" s="20">
        <f t="shared" si="308"/>
        <v>0</v>
      </c>
    </row>
    <row r="6574" spans="1:9">
      <c r="A6574" s="17" t="s">
        <v>2226</v>
      </c>
      <c r="B6574" s="17" t="s">
        <v>971</v>
      </c>
      <c r="C6574" s="17">
        <v>0</v>
      </c>
      <c r="D6574" s="17" t="s">
        <v>801</v>
      </c>
      <c r="E6574" s="18">
        <v>3004370689008</v>
      </c>
      <c r="G6574" s="20" t="str">
        <f t="shared" si="306"/>
        <v xml:space="preserve"> OCLOCKGREATDATE </v>
      </c>
      <c r="H6574" s="20" t="str">
        <f t="shared" si="307"/>
        <v>OTTAN</v>
      </c>
      <c r="I6574" s="20">
        <f t="shared" si="308"/>
        <v>0</v>
      </c>
    </row>
    <row r="6575" spans="1:9">
      <c r="A6575" s="17" t="s">
        <v>2226</v>
      </c>
      <c r="B6575" s="17" t="s">
        <v>971</v>
      </c>
      <c r="C6575" s="17">
        <v>0</v>
      </c>
      <c r="D6575" s="17" t="s">
        <v>801</v>
      </c>
      <c r="E6575" s="18">
        <v>8058333587189</v>
      </c>
      <c r="G6575" s="20" t="str">
        <f t="shared" si="306"/>
        <v xml:space="preserve"> OCLOCKGREATDATE </v>
      </c>
      <c r="H6575" s="20" t="str">
        <f t="shared" si="307"/>
        <v>OTTAN</v>
      </c>
      <c r="I6575" s="20">
        <f t="shared" si="308"/>
        <v>0</v>
      </c>
    </row>
    <row r="6576" spans="1:9">
      <c r="A6576" s="17" t="s">
        <v>2226</v>
      </c>
      <c r="B6576" s="17" t="s">
        <v>2073</v>
      </c>
      <c r="C6576" s="17">
        <v>0</v>
      </c>
      <c r="D6576" s="17" t="s">
        <v>801</v>
      </c>
      <c r="E6576" s="18">
        <v>8058983599785</v>
      </c>
      <c r="G6576" s="20" t="str">
        <f t="shared" si="306"/>
        <v xml:space="preserve"> OCLOCKGREATDATE </v>
      </c>
      <c r="H6576" s="20" t="str">
        <f t="shared" si="307"/>
        <v>PINKB</v>
      </c>
      <c r="I6576" s="20">
        <f t="shared" si="308"/>
        <v>0</v>
      </c>
    </row>
    <row r="6577" spans="1:9">
      <c r="A6577" s="17" t="s">
        <v>2226</v>
      </c>
      <c r="B6577" s="17" t="s">
        <v>2073</v>
      </c>
      <c r="C6577" s="17">
        <v>0</v>
      </c>
      <c r="D6577" s="17" t="s">
        <v>801</v>
      </c>
      <c r="E6577" s="18">
        <v>3005030534003</v>
      </c>
      <c r="G6577" s="20" t="str">
        <f t="shared" si="306"/>
        <v xml:space="preserve"> OCLOCKGREATDATE </v>
      </c>
      <c r="H6577" s="20" t="str">
        <f t="shared" si="307"/>
        <v>PINKB</v>
      </c>
      <c r="I6577" s="20">
        <f t="shared" si="308"/>
        <v>0</v>
      </c>
    </row>
    <row r="6578" spans="1:9">
      <c r="A6578" s="17" t="s">
        <v>2226</v>
      </c>
      <c r="B6578" s="17" t="s">
        <v>1438</v>
      </c>
      <c r="C6578" s="17">
        <v>0</v>
      </c>
      <c r="D6578" s="17" t="s">
        <v>801</v>
      </c>
      <c r="E6578" s="18">
        <v>3004370692008</v>
      </c>
      <c r="G6578" s="20" t="str">
        <f t="shared" si="306"/>
        <v xml:space="preserve"> OCLOCKGREATDATE </v>
      </c>
      <c r="H6578" s="20" t="str">
        <f t="shared" si="307"/>
        <v>POLVE</v>
      </c>
      <c r="I6578" s="20">
        <f t="shared" si="308"/>
        <v>0</v>
      </c>
    </row>
    <row r="6579" spans="1:9">
      <c r="A6579" s="17" t="s">
        <v>2226</v>
      </c>
      <c r="B6579" s="17" t="s">
        <v>1438</v>
      </c>
      <c r="C6579" s="17">
        <v>0</v>
      </c>
      <c r="D6579" s="17" t="s">
        <v>801</v>
      </c>
      <c r="E6579" s="18">
        <v>8058333587196</v>
      </c>
      <c r="G6579" s="20" t="str">
        <f t="shared" si="306"/>
        <v xml:space="preserve"> OCLOCKGREATDATE </v>
      </c>
      <c r="H6579" s="20" t="str">
        <f t="shared" si="307"/>
        <v>POLVE</v>
      </c>
      <c r="I6579" s="20">
        <f t="shared" si="308"/>
        <v>0</v>
      </c>
    </row>
    <row r="6580" spans="1:9">
      <c r="A6580" s="17" t="s">
        <v>2226</v>
      </c>
      <c r="B6580" s="17" t="s">
        <v>1080</v>
      </c>
      <c r="C6580" s="17">
        <v>0</v>
      </c>
      <c r="D6580" s="17" t="s">
        <v>801</v>
      </c>
      <c r="E6580" s="18">
        <v>3004371074001</v>
      </c>
      <c r="G6580" s="20" t="str">
        <f t="shared" si="306"/>
        <v xml:space="preserve"> OCLOCKGREATDATE </v>
      </c>
      <c r="H6580" s="20" t="str">
        <f t="shared" si="307"/>
        <v>TERRA</v>
      </c>
      <c r="I6580" s="20">
        <f t="shared" si="308"/>
        <v>0</v>
      </c>
    </row>
    <row r="6581" spans="1:9">
      <c r="A6581" s="17" t="s">
        <v>2226</v>
      </c>
      <c r="B6581" s="17" t="s">
        <v>1080</v>
      </c>
      <c r="C6581" s="17">
        <v>0</v>
      </c>
      <c r="D6581" s="17" t="s">
        <v>801</v>
      </c>
      <c r="E6581" s="18">
        <v>8056095066386</v>
      </c>
      <c r="G6581" s="20" t="str">
        <f t="shared" si="306"/>
        <v xml:space="preserve"> OCLOCKGREATDATE </v>
      </c>
      <c r="H6581" s="20" t="str">
        <f t="shared" si="307"/>
        <v>TERRA</v>
      </c>
      <c r="I6581" s="20">
        <f t="shared" si="308"/>
        <v>0</v>
      </c>
    </row>
    <row r="6582" spans="1:9">
      <c r="A6582" s="17" t="s">
        <v>2226</v>
      </c>
      <c r="B6582" s="17" t="s">
        <v>1664</v>
      </c>
      <c r="C6582" s="17">
        <v>0</v>
      </c>
      <c r="D6582" s="17" t="s">
        <v>801</v>
      </c>
      <c r="E6582" s="18">
        <v>3004371079006</v>
      </c>
      <c r="G6582" s="20" t="str">
        <f t="shared" si="306"/>
        <v xml:space="preserve"> OCLOCKGREATDATE </v>
      </c>
      <c r="H6582" s="20" t="str">
        <f t="shared" si="307"/>
        <v>VERAN</v>
      </c>
      <c r="I6582" s="20">
        <f t="shared" si="308"/>
        <v>0</v>
      </c>
    </row>
    <row r="6583" spans="1:9">
      <c r="A6583" s="17" t="s">
        <v>2226</v>
      </c>
      <c r="B6583" s="17" t="s">
        <v>1664</v>
      </c>
      <c r="C6583" s="17">
        <v>0</v>
      </c>
      <c r="D6583" s="17" t="s">
        <v>801</v>
      </c>
      <c r="E6583" s="18">
        <v>8056095066409</v>
      </c>
      <c r="G6583" s="20" t="str">
        <f t="shared" si="306"/>
        <v xml:space="preserve"> OCLOCKGREATDATE </v>
      </c>
      <c r="H6583" s="20" t="str">
        <f t="shared" si="307"/>
        <v>VERAN</v>
      </c>
      <c r="I6583" s="20">
        <f t="shared" si="308"/>
        <v>0</v>
      </c>
    </row>
    <row r="6584" spans="1:9">
      <c r="A6584" s="17" t="s">
        <v>2226</v>
      </c>
      <c r="B6584" s="17" t="s">
        <v>1024</v>
      </c>
      <c r="C6584" s="17">
        <v>0</v>
      </c>
      <c r="D6584" s="17" t="s">
        <v>801</v>
      </c>
      <c r="E6584" s="18">
        <v>3004370435001</v>
      </c>
      <c r="G6584" s="20" t="str">
        <f t="shared" si="306"/>
        <v xml:space="preserve"> OCLOCKGREATDATE </v>
      </c>
      <c r="H6584" s="20" t="str">
        <f t="shared" si="307"/>
        <v xml:space="preserve">VIOL </v>
      </c>
      <c r="I6584" s="20">
        <f t="shared" si="308"/>
        <v>0</v>
      </c>
    </row>
    <row r="6585" spans="1:9">
      <c r="A6585" s="17" t="s">
        <v>2226</v>
      </c>
      <c r="B6585" s="17" t="s">
        <v>1024</v>
      </c>
      <c r="C6585" s="17">
        <v>0</v>
      </c>
      <c r="D6585" s="17" t="s">
        <v>801</v>
      </c>
      <c r="E6585" s="18">
        <v>8058333587202</v>
      </c>
      <c r="G6585" s="20" t="str">
        <f t="shared" si="306"/>
        <v xml:space="preserve"> OCLOCKGREATDATE </v>
      </c>
      <c r="H6585" s="20" t="str">
        <f t="shared" si="307"/>
        <v xml:space="preserve">VIOL </v>
      </c>
      <c r="I6585" s="20">
        <f t="shared" si="308"/>
        <v>0</v>
      </c>
    </row>
    <row r="6586" spans="1:9">
      <c r="A6586" s="17" t="s">
        <v>2226</v>
      </c>
      <c r="B6586" s="17" t="s">
        <v>273</v>
      </c>
      <c r="C6586" s="17" t="s">
        <v>799</v>
      </c>
      <c r="D6586" s="17" t="s">
        <v>801</v>
      </c>
      <c r="E6586" s="18">
        <v>3004370440005</v>
      </c>
      <c r="G6586" s="20" t="str">
        <f t="shared" si="306"/>
        <v xml:space="preserve"> OCLOCKGREATDATE </v>
      </c>
      <c r="H6586" s="20" t="str">
        <f t="shared" si="307"/>
        <v>WHITE</v>
      </c>
      <c r="I6586" s="20" t="str">
        <f t="shared" si="308"/>
        <v xml:space="preserve">     </v>
      </c>
    </row>
    <row r="6587" spans="1:9">
      <c r="A6587" s="17" t="s">
        <v>2226</v>
      </c>
      <c r="B6587" s="17" t="s">
        <v>273</v>
      </c>
      <c r="C6587" s="17">
        <v>0</v>
      </c>
      <c r="D6587" s="17" t="s">
        <v>801</v>
      </c>
      <c r="E6587" s="18">
        <v>3005030440007</v>
      </c>
      <c r="G6587" s="20" t="str">
        <f t="shared" si="306"/>
        <v xml:space="preserve"> OCLOCKGREATDATE </v>
      </c>
      <c r="H6587" s="20" t="str">
        <f t="shared" si="307"/>
        <v>WHITE</v>
      </c>
      <c r="I6587" s="20">
        <f t="shared" si="308"/>
        <v>0</v>
      </c>
    </row>
    <row r="6588" spans="1:9">
      <c r="A6588" s="17" t="s">
        <v>2226</v>
      </c>
      <c r="B6588" s="17" t="s">
        <v>273</v>
      </c>
      <c r="C6588" s="17">
        <v>0</v>
      </c>
      <c r="D6588" s="17" t="s">
        <v>801</v>
      </c>
      <c r="E6588" s="18">
        <v>8058983590324</v>
      </c>
      <c r="G6588" s="20" t="str">
        <f t="shared" si="306"/>
        <v xml:space="preserve"> OCLOCKGREATDATE </v>
      </c>
      <c r="H6588" s="20" t="str">
        <f t="shared" si="307"/>
        <v>WHITE</v>
      </c>
      <c r="I6588" s="20">
        <f t="shared" si="308"/>
        <v>0</v>
      </c>
    </row>
    <row r="6589" spans="1:9">
      <c r="A6589" s="17" t="s">
        <v>2234</v>
      </c>
      <c r="B6589" s="17" t="s">
        <v>283</v>
      </c>
      <c r="C6589" s="17">
        <v>0</v>
      </c>
      <c r="D6589" s="17" t="s">
        <v>801</v>
      </c>
      <c r="E6589" s="18">
        <v>7056027066355</v>
      </c>
      <c r="G6589" s="20" t="str">
        <f t="shared" si="306"/>
        <v xml:space="preserve"> OCLOCKGREATDIAMO</v>
      </c>
      <c r="H6589" s="20" t="str">
        <f t="shared" si="307"/>
        <v>PHARD</v>
      </c>
      <c r="I6589" s="20">
        <f t="shared" si="308"/>
        <v>0</v>
      </c>
    </row>
    <row r="6590" spans="1:9">
      <c r="A6590" s="17" t="s">
        <v>2234</v>
      </c>
      <c r="B6590" s="17" t="s">
        <v>283</v>
      </c>
      <c r="C6590" s="17">
        <v>0</v>
      </c>
      <c r="D6590" s="17" t="s">
        <v>801</v>
      </c>
      <c r="E6590" s="18">
        <v>8056095066355</v>
      </c>
      <c r="G6590" s="20" t="str">
        <f t="shared" si="306"/>
        <v xml:space="preserve"> OCLOCKGREATDIAMO</v>
      </c>
      <c r="H6590" s="20" t="str">
        <f t="shared" si="307"/>
        <v>PHARD</v>
      </c>
      <c r="I6590" s="20">
        <f t="shared" si="308"/>
        <v>0</v>
      </c>
    </row>
    <row r="6591" spans="1:9">
      <c r="A6591" s="17" t="s">
        <v>2234</v>
      </c>
      <c r="B6591" s="17" t="s">
        <v>283</v>
      </c>
      <c r="C6591" s="17">
        <v>0</v>
      </c>
      <c r="D6591" s="17" t="s">
        <v>801</v>
      </c>
      <c r="E6591" s="18">
        <v>3005380871001</v>
      </c>
      <c r="G6591" s="20" t="str">
        <f t="shared" si="306"/>
        <v xml:space="preserve"> OCLOCKGREATDIAMO</v>
      </c>
      <c r="H6591" s="20" t="str">
        <f t="shared" si="307"/>
        <v>PHARD</v>
      </c>
      <c r="I6591" s="20">
        <f t="shared" si="308"/>
        <v>0</v>
      </c>
    </row>
    <row r="6592" spans="1:9">
      <c r="A6592" s="17" t="s">
        <v>2234</v>
      </c>
      <c r="B6592" s="17" t="s">
        <v>1079</v>
      </c>
      <c r="C6592" s="17">
        <v>0</v>
      </c>
      <c r="D6592" s="17" t="s">
        <v>801</v>
      </c>
      <c r="E6592" s="18">
        <v>8056095066362</v>
      </c>
      <c r="G6592" s="20" t="str">
        <f t="shared" si="306"/>
        <v xml:space="preserve"> OCLOCKGREATDIAMO</v>
      </c>
      <c r="H6592" s="20" t="str">
        <f t="shared" si="307"/>
        <v xml:space="preserve">SLVG </v>
      </c>
      <c r="I6592" s="20">
        <f t="shared" si="308"/>
        <v>0</v>
      </c>
    </row>
    <row r="6593" spans="1:9">
      <c r="A6593" s="17" t="s">
        <v>2234</v>
      </c>
      <c r="B6593" s="17" t="s">
        <v>1079</v>
      </c>
      <c r="C6593" s="17">
        <v>0</v>
      </c>
      <c r="D6593" s="17" t="s">
        <v>801</v>
      </c>
      <c r="E6593" s="18">
        <v>3005380410002</v>
      </c>
      <c r="G6593" s="20" t="str">
        <f t="shared" si="306"/>
        <v xml:space="preserve"> OCLOCKGREATDIAMO</v>
      </c>
      <c r="H6593" s="20" t="str">
        <f t="shared" si="307"/>
        <v xml:space="preserve">SLVG </v>
      </c>
      <c r="I6593" s="20">
        <f t="shared" si="308"/>
        <v>0</v>
      </c>
    </row>
    <row r="6594" spans="1:9">
      <c r="A6594" s="17" t="s">
        <v>2234</v>
      </c>
      <c r="B6594" s="17" t="s">
        <v>1664</v>
      </c>
      <c r="C6594" s="17">
        <v>0</v>
      </c>
      <c r="D6594" s="17" t="s">
        <v>801</v>
      </c>
      <c r="E6594" s="18">
        <v>8056095066379</v>
      </c>
      <c r="G6594" s="20" t="str">
        <f t="shared" si="306"/>
        <v xml:space="preserve"> OCLOCKGREATDIAMO</v>
      </c>
      <c r="H6594" s="20" t="str">
        <f t="shared" si="307"/>
        <v>VERAN</v>
      </c>
      <c r="I6594" s="20">
        <f t="shared" si="308"/>
        <v>0</v>
      </c>
    </row>
    <row r="6595" spans="1:9">
      <c r="A6595" s="17" t="s">
        <v>2234</v>
      </c>
      <c r="B6595" s="17" t="s">
        <v>1664</v>
      </c>
      <c r="C6595" s="17">
        <v>0</v>
      </c>
      <c r="D6595" s="17" t="s">
        <v>801</v>
      </c>
      <c r="E6595" s="18">
        <v>3005381079000</v>
      </c>
      <c r="G6595" s="20" t="str">
        <f t="shared" si="306"/>
        <v xml:space="preserve"> OCLOCKGREATDIAMO</v>
      </c>
      <c r="H6595" s="20" t="str">
        <f t="shared" si="307"/>
        <v>VERAN</v>
      </c>
      <c r="I6595" s="20">
        <f t="shared" si="308"/>
        <v>0</v>
      </c>
    </row>
    <row r="6596" spans="1:9">
      <c r="A6596" s="17" t="s">
        <v>2235</v>
      </c>
      <c r="B6596" s="17" t="s">
        <v>2236</v>
      </c>
      <c r="C6596" s="17">
        <v>0</v>
      </c>
      <c r="D6596" s="17" t="s">
        <v>801</v>
      </c>
      <c r="E6596" s="18">
        <v>8056099173271</v>
      </c>
      <c r="G6596" s="20" t="str">
        <f t="shared" si="306"/>
        <v xml:space="preserve"> OCLOCKGREATFLOWE</v>
      </c>
      <c r="H6596" s="20" t="str">
        <f t="shared" si="307"/>
        <v>LAGON</v>
      </c>
      <c r="I6596" s="20">
        <f t="shared" si="308"/>
        <v>0</v>
      </c>
    </row>
    <row r="6597" spans="1:9">
      <c r="A6597" s="17" t="s">
        <v>2235</v>
      </c>
      <c r="B6597" s="17" t="s">
        <v>2237</v>
      </c>
      <c r="C6597" s="17">
        <v>0</v>
      </c>
      <c r="D6597" s="17" t="s">
        <v>801</v>
      </c>
      <c r="E6597" s="18">
        <v>8056099173264</v>
      </c>
      <c r="G6597" s="20" t="str">
        <f t="shared" ref="G6597:G6660" si="309">A6597</f>
        <v xml:space="preserve"> OCLOCKGREATFLOWE</v>
      </c>
      <c r="H6597" s="20" t="str">
        <f t="shared" ref="H6597:H6660" si="310">B6597</f>
        <v>SUNNY</v>
      </c>
      <c r="I6597" s="20">
        <f t="shared" ref="I6597:I6660" si="311">C6597</f>
        <v>0</v>
      </c>
    </row>
    <row r="6598" spans="1:9">
      <c r="A6598" s="17" t="s">
        <v>2235</v>
      </c>
      <c r="B6598" s="17" t="s">
        <v>2238</v>
      </c>
      <c r="C6598" s="17">
        <v>0</v>
      </c>
      <c r="D6598" s="17" t="s">
        <v>801</v>
      </c>
      <c r="E6598" s="18">
        <v>8056099173257</v>
      </c>
      <c r="G6598" s="20" t="str">
        <f t="shared" si="309"/>
        <v xml:space="preserve"> OCLOCKGREATFLOWE</v>
      </c>
      <c r="H6598" s="20" t="str">
        <f t="shared" si="310"/>
        <v>SUNSE</v>
      </c>
      <c r="I6598" s="20">
        <f t="shared" si="311"/>
        <v>0</v>
      </c>
    </row>
    <row r="6599" spans="1:9">
      <c r="A6599" s="17" t="s">
        <v>2239</v>
      </c>
      <c r="B6599" s="17" t="s">
        <v>280</v>
      </c>
      <c r="C6599" s="17">
        <v>0</v>
      </c>
      <c r="D6599" s="17" t="s">
        <v>801</v>
      </c>
      <c r="E6599" s="18">
        <v>8056099172175</v>
      </c>
      <c r="G6599" s="20" t="str">
        <f t="shared" si="309"/>
        <v xml:space="preserve"> OCLOCKGREATNUMRO</v>
      </c>
      <c r="H6599" s="20" t="str">
        <f t="shared" si="310"/>
        <v>BLACK</v>
      </c>
      <c r="I6599" s="20">
        <f t="shared" si="311"/>
        <v>0</v>
      </c>
    </row>
    <row r="6600" spans="1:9">
      <c r="A6600" s="17" t="s">
        <v>2239</v>
      </c>
      <c r="B6600" s="17" t="s">
        <v>273</v>
      </c>
      <c r="C6600" s="17">
        <v>0</v>
      </c>
      <c r="D6600" s="17" t="s">
        <v>801</v>
      </c>
      <c r="E6600" s="18">
        <v>8056099172168</v>
      </c>
      <c r="G6600" s="20" t="str">
        <f t="shared" si="309"/>
        <v xml:space="preserve"> OCLOCKGREATNUMRO</v>
      </c>
      <c r="H6600" s="20" t="str">
        <f t="shared" si="310"/>
        <v>WHITE</v>
      </c>
      <c r="I6600" s="20">
        <f t="shared" si="311"/>
        <v>0</v>
      </c>
    </row>
    <row r="6601" spans="1:9">
      <c r="A6601" s="17" t="s">
        <v>2240</v>
      </c>
      <c r="B6601" s="17" t="s">
        <v>1230</v>
      </c>
      <c r="C6601" s="17">
        <v>0</v>
      </c>
      <c r="D6601" s="17" t="s">
        <v>801</v>
      </c>
      <c r="E6601" s="18">
        <v>8056099172151</v>
      </c>
      <c r="G6601" s="20" t="str">
        <f t="shared" si="309"/>
        <v xml:space="preserve"> OCLOCKGREATNUMSO</v>
      </c>
      <c r="H6601" s="20" t="str">
        <f t="shared" si="310"/>
        <v>ACQUA</v>
      </c>
      <c r="I6601" s="20">
        <f t="shared" si="311"/>
        <v>0</v>
      </c>
    </row>
    <row r="6602" spans="1:9">
      <c r="A6602" s="17" t="s">
        <v>2240</v>
      </c>
      <c r="B6602" s="17" t="s">
        <v>280</v>
      </c>
      <c r="C6602" s="17">
        <v>0</v>
      </c>
      <c r="D6602" s="17" t="s">
        <v>801</v>
      </c>
      <c r="E6602" s="18">
        <v>8056099172205</v>
      </c>
      <c r="G6602" s="20" t="str">
        <f t="shared" si="309"/>
        <v xml:space="preserve"> OCLOCKGREATNUMSO</v>
      </c>
      <c r="H6602" s="20" t="str">
        <f t="shared" si="310"/>
        <v>BLACK</v>
      </c>
      <c r="I6602" s="20">
        <f t="shared" si="311"/>
        <v>0</v>
      </c>
    </row>
    <row r="6603" spans="1:9">
      <c r="A6603" s="17" t="s">
        <v>2240</v>
      </c>
      <c r="B6603" s="17" t="s">
        <v>810</v>
      </c>
      <c r="C6603" s="17">
        <v>0</v>
      </c>
      <c r="D6603" s="17" t="s">
        <v>801</v>
      </c>
      <c r="E6603" s="18">
        <v>8056099172199</v>
      </c>
      <c r="G6603" s="20" t="str">
        <f t="shared" si="309"/>
        <v xml:space="preserve"> OCLOCKGREATNUMSO</v>
      </c>
      <c r="H6603" s="20" t="str">
        <f t="shared" si="310"/>
        <v xml:space="preserve">BLUE </v>
      </c>
      <c r="I6603" s="20">
        <f t="shared" si="311"/>
        <v>0</v>
      </c>
    </row>
    <row r="6604" spans="1:9">
      <c r="A6604" s="17" t="s">
        <v>2240</v>
      </c>
      <c r="B6604" s="17" t="s">
        <v>1080</v>
      </c>
      <c r="C6604" s="17">
        <v>0</v>
      </c>
      <c r="D6604" s="17" t="s">
        <v>801</v>
      </c>
      <c r="E6604" s="18">
        <v>8056099172137</v>
      </c>
      <c r="G6604" s="20" t="str">
        <f t="shared" si="309"/>
        <v xml:space="preserve"> OCLOCKGREATNUMSO</v>
      </c>
      <c r="H6604" s="20" t="str">
        <f t="shared" si="310"/>
        <v>TERRA</v>
      </c>
      <c r="I6604" s="20">
        <f t="shared" si="311"/>
        <v>0</v>
      </c>
    </row>
    <row r="6605" spans="1:9">
      <c r="A6605" s="17" t="s">
        <v>2240</v>
      </c>
      <c r="B6605" s="17" t="s">
        <v>1024</v>
      </c>
      <c r="C6605" s="17">
        <v>0</v>
      </c>
      <c r="D6605" s="17" t="s">
        <v>801</v>
      </c>
      <c r="E6605" s="18">
        <v>8056099172144</v>
      </c>
      <c r="G6605" s="20" t="str">
        <f t="shared" si="309"/>
        <v xml:space="preserve"> OCLOCKGREATNUMSO</v>
      </c>
      <c r="H6605" s="20" t="str">
        <f t="shared" si="310"/>
        <v xml:space="preserve">VIOL </v>
      </c>
      <c r="I6605" s="20">
        <f t="shared" si="311"/>
        <v>0</v>
      </c>
    </row>
    <row r="6606" spans="1:9">
      <c r="A6606" s="17" t="s">
        <v>2240</v>
      </c>
      <c r="B6606" s="17" t="s">
        <v>273</v>
      </c>
      <c r="C6606" s="17">
        <v>0</v>
      </c>
      <c r="D6606" s="17" t="s">
        <v>801</v>
      </c>
      <c r="E6606" s="18">
        <v>8056099172182</v>
      </c>
      <c r="G6606" s="20" t="str">
        <f t="shared" si="309"/>
        <v xml:space="preserve"> OCLOCKGREATNUMSO</v>
      </c>
      <c r="H6606" s="20" t="str">
        <f t="shared" si="310"/>
        <v>WHITE</v>
      </c>
      <c r="I6606" s="20">
        <f t="shared" si="311"/>
        <v>0</v>
      </c>
    </row>
    <row r="6607" spans="1:9">
      <c r="A6607" s="17" t="s">
        <v>2241</v>
      </c>
      <c r="B6607" s="17" t="s">
        <v>1230</v>
      </c>
      <c r="C6607" s="17">
        <v>0</v>
      </c>
      <c r="D6607" s="17" t="s">
        <v>801</v>
      </c>
      <c r="E6607" s="18">
        <v>8056099172120</v>
      </c>
      <c r="G6607" s="20" t="str">
        <f t="shared" si="309"/>
        <v xml:space="preserve"> OCLOCKGREATRACIN</v>
      </c>
      <c r="H6607" s="20" t="str">
        <f t="shared" si="310"/>
        <v>ACQUA</v>
      </c>
      <c r="I6607" s="20">
        <f t="shared" si="311"/>
        <v>0</v>
      </c>
    </row>
    <row r="6608" spans="1:9">
      <c r="A6608" s="17" t="s">
        <v>2241</v>
      </c>
      <c r="B6608" s="17" t="s">
        <v>810</v>
      </c>
      <c r="C6608" s="17">
        <v>0</v>
      </c>
      <c r="D6608" s="17" t="s">
        <v>801</v>
      </c>
      <c r="E6608" s="18">
        <v>8050538590902</v>
      </c>
      <c r="G6608" s="20" t="str">
        <f t="shared" si="309"/>
        <v xml:space="preserve"> OCLOCKGREATRACIN</v>
      </c>
      <c r="H6608" s="20" t="str">
        <f t="shared" si="310"/>
        <v xml:space="preserve">BLUE </v>
      </c>
      <c r="I6608" s="20">
        <f t="shared" si="311"/>
        <v>0</v>
      </c>
    </row>
    <row r="6609" spans="1:9">
      <c r="A6609" s="17" t="s">
        <v>2241</v>
      </c>
      <c r="B6609" s="17" t="s">
        <v>2242</v>
      </c>
      <c r="C6609" s="17">
        <v>0</v>
      </c>
      <c r="D6609" s="17" t="s">
        <v>801</v>
      </c>
      <c r="E6609" s="18">
        <v>8056099172113</v>
      </c>
      <c r="G6609" s="20" t="str">
        <f t="shared" si="309"/>
        <v xml:space="preserve"> OCLOCKGREATRACIN</v>
      </c>
      <c r="H6609" s="20" t="str">
        <f t="shared" si="310"/>
        <v xml:space="preserve">CORA </v>
      </c>
      <c r="I6609" s="20">
        <f t="shared" si="311"/>
        <v>0</v>
      </c>
    </row>
    <row r="6610" spans="1:9">
      <c r="A6610" s="17" t="s">
        <v>2241</v>
      </c>
      <c r="B6610" s="17" t="s">
        <v>2243</v>
      </c>
      <c r="C6610" s="17">
        <v>0</v>
      </c>
      <c r="D6610" s="17" t="s">
        <v>801</v>
      </c>
      <c r="E6610" s="18">
        <v>8056099177798</v>
      </c>
      <c r="G6610" s="20" t="str">
        <f t="shared" si="309"/>
        <v xml:space="preserve"> OCLOCKGREATRACIN</v>
      </c>
      <c r="H6610" s="20" t="str">
        <f t="shared" si="310"/>
        <v>GRRED</v>
      </c>
      <c r="I6610" s="20">
        <f t="shared" si="311"/>
        <v>0</v>
      </c>
    </row>
    <row r="6611" spans="1:9">
      <c r="A6611" s="17" t="s">
        <v>2241</v>
      </c>
      <c r="B6611" s="17" t="s">
        <v>892</v>
      </c>
      <c r="C6611" s="17">
        <v>0</v>
      </c>
      <c r="D6611" s="17" t="s">
        <v>801</v>
      </c>
      <c r="E6611" s="18">
        <v>8056099172090</v>
      </c>
      <c r="G6611" s="20" t="str">
        <f t="shared" si="309"/>
        <v xml:space="preserve"> OCLOCKGREATRACIN</v>
      </c>
      <c r="H6611" s="20" t="str">
        <f t="shared" si="310"/>
        <v xml:space="preserve">LIME </v>
      </c>
      <c r="I6611" s="20">
        <f t="shared" si="311"/>
        <v>0</v>
      </c>
    </row>
    <row r="6612" spans="1:9">
      <c r="A6612" s="17" t="s">
        <v>2241</v>
      </c>
      <c r="B6612" s="17" t="s">
        <v>1973</v>
      </c>
      <c r="C6612" s="17">
        <v>0</v>
      </c>
      <c r="D6612" s="17" t="s">
        <v>801</v>
      </c>
      <c r="E6612" s="18">
        <v>8056099172106</v>
      </c>
      <c r="G6612" s="20" t="str">
        <f t="shared" si="309"/>
        <v xml:space="preserve"> OCLOCKGREATRACIN</v>
      </c>
      <c r="H6612" s="20" t="str">
        <f t="shared" si="310"/>
        <v xml:space="preserve">ORAN </v>
      </c>
      <c r="I6612" s="20">
        <f t="shared" si="311"/>
        <v>0</v>
      </c>
    </row>
    <row r="6613" spans="1:9">
      <c r="A6613" s="17" t="s">
        <v>2241</v>
      </c>
      <c r="B6613" s="17" t="s">
        <v>283</v>
      </c>
      <c r="C6613" s="17">
        <v>0</v>
      </c>
      <c r="D6613" s="17" t="s">
        <v>801</v>
      </c>
      <c r="E6613" s="18">
        <v>8056099172069</v>
      </c>
      <c r="G6613" s="20" t="str">
        <f t="shared" si="309"/>
        <v xml:space="preserve"> OCLOCKGREATRACIN</v>
      </c>
      <c r="H6613" s="20" t="str">
        <f t="shared" si="310"/>
        <v>PHARD</v>
      </c>
      <c r="I6613" s="20">
        <f t="shared" si="311"/>
        <v>0</v>
      </c>
    </row>
    <row r="6614" spans="1:9">
      <c r="A6614" s="17" t="s">
        <v>2241</v>
      </c>
      <c r="B6614" s="17" t="s">
        <v>816</v>
      </c>
      <c r="C6614" s="17">
        <v>0</v>
      </c>
      <c r="D6614" s="17" t="s">
        <v>801</v>
      </c>
      <c r="E6614" s="18">
        <v>8056099111198</v>
      </c>
      <c r="G6614" s="20" t="str">
        <f t="shared" si="309"/>
        <v xml:space="preserve"> OCLOCKGREATRACIN</v>
      </c>
      <c r="H6614" s="20" t="str">
        <f t="shared" si="310"/>
        <v xml:space="preserve">RED  </v>
      </c>
      <c r="I6614" s="20">
        <f t="shared" si="311"/>
        <v>0</v>
      </c>
    </row>
    <row r="6615" spans="1:9">
      <c r="A6615" s="17" t="s">
        <v>2241</v>
      </c>
      <c r="B6615" s="17" t="s">
        <v>1079</v>
      </c>
      <c r="C6615" s="17">
        <v>0</v>
      </c>
      <c r="D6615" s="17" t="s">
        <v>801</v>
      </c>
      <c r="E6615" s="18">
        <v>8056099172083</v>
      </c>
      <c r="G6615" s="20" t="str">
        <f t="shared" si="309"/>
        <v xml:space="preserve"> OCLOCKGREATRACIN</v>
      </c>
      <c r="H6615" s="20" t="str">
        <f t="shared" si="310"/>
        <v xml:space="preserve">SLVG </v>
      </c>
      <c r="I6615" s="20">
        <f t="shared" si="311"/>
        <v>0</v>
      </c>
    </row>
    <row r="6616" spans="1:9">
      <c r="A6616" s="17" t="s">
        <v>2241</v>
      </c>
      <c r="B6616" s="17" t="s">
        <v>2244</v>
      </c>
      <c r="C6616" s="17">
        <v>0</v>
      </c>
      <c r="D6616" s="17" t="s">
        <v>801</v>
      </c>
      <c r="E6616" s="18">
        <v>8056099172076</v>
      </c>
      <c r="G6616" s="20" t="str">
        <f t="shared" si="309"/>
        <v xml:space="preserve"> OCLOCKGREATRACIN</v>
      </c>
      <c r="H6616" s="20" t="str">
        <f t="shared" si="310"/>
        <v xml:space="preserve">VERA </v>
      </c>
      <c r="I6616" s="20">
        <f t="shared" si="311"/>
        <v>0</v>
      </c>
    </row>
    <row r="6617" spans="1:9">
      <c r="A6617" s="17" t="s">
        <v>2245</v>
      </c>
      <c r="B6617" s="17" t="s">
        <v>1230</v>
      </c>
      <c r="C6617" s="17">
        <v>0</v>
      </c>
      <c r="D6617" s="17" t="s">
        <v>801</v>
      </c>
      <c r="E6617" s="18">
        <v>8056099172236</v>
      </c>
      <c r="G6617" s="20" t="str">
        <f t="shared" si="309"/>
        <v xml:space="preserve"> OCLOCKGREATSECON</v>
      </c>
      <c r="H6617" s="20" t="str">
        <f t="shared" si="310"/>
        <v>ACQUA</v>
      </c>
      <c r="I6617" s="20">
        <f t="shared" si="311"/>
        <v>0</v>
      </c>
    </row>
    <row r="6618" spans="1:9">
      <c r="A6618" s="17" t="s">
        <v>2245</v>
      </c>
      <c r="B6618" s="17" t="s">
        <v>2075</v>
      </c>
      <c r="C6618" s="17">
        <v>0</v>
      </c>
      <c r="D6618" s="17" t="s">
        <v>801</v>
      </c>
      <c r="E6618" s="18">
        <v>8056099172229</v>
      </c>
      <c r="G6618" s="20" t="str">
        <f t="shared" si="309"/>
        <v xml:space="preserve"> OCLOCKGREATSECON</v>
      </c>
      <c r="H6618" s="20" t="str">
        <f t="shared" si="310"/>
        <v>FUCHS</v>
      </c>
      <c r="I6618" s="20">
        <f t="shared" si="311"/>
        <v>0</v>
      </c>
    </row>
    <row r="6619" spans="1:9">
      <c r="A6619" s="17" t="s">
        <v>2245</v>
      </c>
      <c r="B6619" s="17" t="s">
        <v>1430</v>
      </c>
      <c r="C6619" s="17">
        <v>0</v>
      </c>
      <c r="D6619" s="17" t="s">
        <v>801</v>
      </c>
      <c r="E6619" s="18">
        <v>8056095066423</v>
      </c>
      <c r="G6619" s="20" t="str">
        <f t="shared" si="309"/>
        <v xml:space="preserve"> OCLOCKGREATSECON</v>
      </c>
      <c r="H6619" s="20" t="str">
        <f t="shared" si="310"/>
        <v xml:space="preserve">IRIS </v>
      </c>
      <c r="I6619" s="20">
        <f t="shared" si="311"/>
        <v>0</v>
      </c>
    </row>
    <row r="6620" spans="1:9">
      <c r="A6620" s="17" t="s">
        <v>2245</v>
      </c>
      <c r="B6620" s="17" t="s">
        <v>1430</v>
      </c>
      <c r="C6620" s="17">
        <v>0</v>
      </c>
      <c r="D6620" s="17" t="s">
        <v>801</v>
      </c>
      <c r="E6620" s="18">
        <v>3004350498002</v>
      </c>
      <c r="G6620" s="20" t="str">
        <f t="shared" si="309"/>
        <v xml:space="preserve"> OCLOCKGREATSECON</v>
      </c>
      <c r="H6620" s="20" t="str">
        <f t="shared" si="310"/>
        <v xml:space="preserve">IRIS </v>
      </c>
      <c r="I6620" s="20">
        <f t="shared" si="311"/>
        <v>0</v>
      </c>
    </row>
    <row r="6621" spans="1:9">
      <c r="A6621" s="17" t="s">
        <v>2245</v>
      </c>
      <c r="B6621" s="17" t="s">
        <v>1430</v>
      </c>
      <c r="C6621" s="17">
        <v>0</v>
      </c>
      <c r="D6621" s="17" t="s">
        <v>801</v>
      </c>
      <c r="E6621" s="18">
        <v>3005010230000</v>
      </c>
      <c r="G6621" s="20" t="str">
        <f t="shared" si="309"/>
        <v xml:space="preserve"> OCLOCKGREATSECON</v>
      </c>
      <c r="H6621" s="20" t="str">
        <f t="shared" si="310"/>
        <v xml:space="preserve">IRIS </v>
      </c>
      <c r="I6621" s="20">
        <f t="shared" si="311"/>
        <v>0</v>
      </c>
    </row>
    <row r="6622" spans="1:9">
      <c r="A6622" s="17" t="s">
        <v>2245</v>
      </c>
      <c r="B6622" s="17" t="s">
        <v>2031</v>
      </c>
      <c r="C6622" s="17">
        <v>0</v>
      </c>
      <c r="D6622" s="17" t="s">
        <v>801</v>
      </c>
      <c r="E6622" s="18">
        <v>8056095068434</v>
      </c>
      <c r="G6622" s="20" t="str">
        <f t="shared" si="309"/>
        <v xml:space="preserve"> OCLOCKGREATSECON</v>
      </c>
      <c r="H6622" s="20" t="str">
        <f t="shared" si="310"/>
        <v>NARCI</v>
      </c>
      <c r="I6622" s="20">
        <f t="shared" si="311"/>
        <v>0</v>
      </c>
    </row>
    <row r="6623" spans="1:9">
      <c r="A6623" s="17" t="s">
        <v>2245</v>
      </c>
      <c r="B6623" s="17" t="s">
        <v>2031</v>
      </c>
      <c r="C6623" s="17">
        <v>0</v>
      </c>
      <c r="D6623" s="17" t="s">
        <v>801</v>
      </c>
      <c r="E6623" s="18">
        <v>3004351165002</v>
      </c>
      <c r="G6623" s="20" t="str">
        <f t="shared" si="309"/>
        <v xml:space="preserve"> OCLOCKGREATSECON</v>
      </c>
      <c r="H6623" s="20" t="str">
        <f t="shared" si="310"/>
        <v>NARCI</v>
      </c>
      <c r="I6623" s="20">
        <f t="shared" si="311"/>
        <v>0</v>
      </c>
    </row>
    <row r="6624" spans="1:9">
      <c r="A6624" s="17" t="s">
        <v>2245</v>
      </c>
      <c r="B6624" s="17" t="s">
        <v>2031</v>
      </c>
      <c r="C6624" s="17">
        <v>0</v>
      </c>
      <c r="D6624" s="17" t="s">
        <v>801</v>
      </c>
      <c r="E6624" s="18">
        <v>3005010896008</v>
      </c>
      <c r="G6624" s="20" t="str">
        <f t="shared" si="309"/>
        <v xml:space="preserve"> OCLOCKGREATSECON</v>
      </c>
      <c r="H6624" s="20" t="str">
        <f t="shared" si="310"/>
        <v>NARCI</v>
      </c>
      <c r="I6624" s="20">
        <f t="shared" si="311"/>
        <v>0</v>
      </c>
    </row>
    <row r="6625" spans="1:9">
      <c r="A6625" s="17" t="s">
        <v>2245</v>
      </c>
      <c r="B6625" s="17" t="s">
        <v>1973</v>
      </c>
      <c r="C6625" s="17">
        <v>0</v>
      </c>
      <c r="D6625" s="17" t="s">
        <v>801</v>
      </c>
      <c r="E6625" s="18">
        <v>8056099172212</v>
      </c>
      <c r="G6625" s="20" t="str">
        <f t="shared" si="309"/>
        <v xml:space="preserve"> OCLOCKGREATSECON</v>
      </c>
      <c r="H6625" s="20" t="str">
        <f t="shared" si="310"/>
        <v xml:space="preserve">ORAN </v>
      </c>
      <c r="I6625" s="20">
        <f t="shared" si="311"/>
        <v>0</v>
      </c>
    </row>
    <row r="6626" spans="1:9">
      <c r="A6626" s="17" t="s">
        <v>2245</v>
      </c>
      <c r="B6626" s="17" t="s">
        <v>914</v>
      </c>
      <c r="C6626" s="17">
        <v>0</v>
      </c>
      <c r="D6626" s="17" t="s">
        <v>801</v>
      </c>
      <c r="E6626" s="18">
        <v>8056095066416</v>
      </c>
      <c r="G6626" s="20" t="str">
        <f t="shared" si="309"/>
        <v xml:space="preserve"> OCLOCKGREATSECON</v>
      </c>
      <c r="H6626" s="20" t="str">
        <f t="shared" si="310"/>
        <v xml:space="preserve">PURP </v>
      </c>
      <c r="I6626" s="20">
        <f t="shared" si="311"/>
        <v>0</v>
      </c>
    </row>
    <row r="6627" spans="1:9">
      <c r="A6627" s="17" t="s">
        <v>2245</v>
      </c>
      <c r="B6627" s="17" t="s">
        <v>914</v>
      </c>
      <c r="C6627" s="17">
        <v>0</v>
      </c>
      <c r="D6627" s="17" t="s">
        <v>801</v>
      </c>
      <c r="E6627" s="18">
        <v>3004350392003</v>
      </c>
      <c r="G6627" s="20" t="str">
        <f t="shared" si="309"/>
        <v xml:space="preserve"> OCLOCKGREATSECON</v>
      </c>
      <c r="H6627" s="20" t="str">
        <f t="shared" si="310"/>
        <v xml:space="preserve">PURP </v>
      </c>
      <c r="I6627" s="20">
        <f t="shared" si="311"/>
        <v>0</v>
      </c>
    </row>
    <row r="6628" spans="1:9">
      <c r="A6628" s="17" t="s">
        <v>2245</v>
      </c>
      <c r="B6628" s="17" t="s">
        <v>914</v>
      </c>
      <c r="C6628" s="17">
        <v>0</v>
      </c>
      <c r="D6628" s="17" t="s">
        <v>801</v>
      </c>
      <c r="E6628" s="18">
        <v>3005010610000</v>
      </c>
      <c r="G6628" s="20" t="str">
        <f t="shared" si="309"/>
        <v xml:space="preserve"> OCLOCKGREATSECON</v>
      </c>
      <c r="H6628" s="20" t="str">
        <f t="shared" si="310"/>
        <v xml:space="preserve">PURP </v>
      </c>
      <c r="I6628" s="20">
        <f t="shared" si="311"/>
        <v>0</v>
      </c>
    </row>
    <row r="6629" spans="1:9">
      <c r="A6629" s="17" t="s">
        <v>2245</v>
      </c>
      <c r="B6629" s="17" t="s">
        <v>273</v>
      </c>
      <c r="C6629" s="17" t="s">
        <v>799</v>
      </c>
      <c r="D6629" s="17" t="s">
        <v>801</v>
      </c>
      <c r="E6629" s="18">
        <v>3004350440001</v>
      </c>
      <c r="G6629" s="20" t="str">
        <f t="shared" si="309"/>
        <v xml:space="preserve"> OCLOCKGREATSECON</v>
      </c>
      <c r="H6629" s="20" t="str">
        <f t="shared" si="310"/>
        <v>WHITE</v>
      </c>
      <c r="I6629" s="20" t="str">
        <f t="shared" si="311"/>
        <v xml:space="preserve">     </v>
      </c>
    </row>
    <row r="6630" spans="1:9">
      <c r="A6630" s="17" t="s">
        <v>2245</v>
      </c>
      <c r="B6630" s="17" t="s">
        <v>273</v>
      </c>
      <c r="C6630" s="17">
        <v>0</v>
      </c>
      <c r="D6630" s="17" t="s">
        <v>801</v>
      </c>
      <c r="E6630" s="18">
        <v>3005010440003</v>
      </c>
      <c r="G6630" s="20" t="str">
        <f t="shared" si="309"/>
        <v xml:space="preserve"> OCLOCKGREATSECON</v>
      </c>
      <c r="H6630" s="20" t="str">
        <f t="shared" si="310"/>
        <v>WHITE</v>
      </c>
      <c r="I6630" s="20">
        <f t="shared" si="311"/>
        <v>0</v>
      </c>
    </row>
    <row r="6631" spans="1:9">
      <c r="A6631" s="17" t="s">
        <v>2246</v>
      </c>
      <c r="B6631" s="17" t="s">
        <v>2072</v>
      </c>
      <c r="C6631" s="17">
        <v>0</v>
      </c>
      <c r="D6631" s="17" t="s">
        <v>801</v>
      </c>
      <c r="E6631" s="18">
        <v>3005560533002</v>
      </c>
      <c r="G6631" s="20" t="str">
        <f t="shared" si="309"/>
        <v xml:space="preserve"> OCLOCKGREATSODAT</v>
      </c>
      <c r="H6631" s="20" t="str">
        <f t="shared" si="310"/>
        <v xml:space="preserve">BLGO </v>
      </c>
      <c r="I6631" s="20">
        <f t="shared" si="311"/>
        <v>0</v>
      </c>
    </row>
    <row r="6632" spans="1:9">
      <c r="A6632" s="17" t="s">
        <v>2246</v>
      </c>
      <c r="B6632" s="17" t="s">
        <v>973</v>
      </c>
      <c r="C6632" s="17">
        <v>0</v>
      </c>
      <c r="D6632" s="17" t="s">
        <v>801</v>
      </c>
      <c r="E6632" s="18">
        <v>3005560702002</v>
      </c>
      <c r="G6632" s="20" t="str">
        <f t="shared" si="309"/>
        <v xml:space="preserve"> OCLOCKGREATSODAT</v>
      </c>
      <c r="H6632" s="20" t="str">
        <f t="shared" si="310"/>
        <v xml:space="preserve">BLGR </v>
      </c>
      <c r="I6632" s="20">
        <f t="shared" si="311"/>
        <v>0</v>
      </c>
    </row>
    <row r="6633" spans="1:9">
      <c r="A6633" s="17" t="s">
        <v>2246</v>
      </c>
      <c r="B6633" s="17" t="s">
        <v>2073</v>
      </c>
      <c r="C6633" s="17">
        <v>0</v>
      </c>
      <c r="D6633" s="17" t="s">
        <v>801</v>
      </c>
      <c r="E6633" s="18">
        <v>3005560534009</v>
      </c>
      <c r="G6633" s="20" t="str">
        <f t="shared" si="309"/>
        <v xml:space="preserve"> OCLOCKGREATSODAT</v>
      </c>
      <c r="H6633" s="20" t="str">
        <f t="shared" si="310"/>
        <v>PINKB</v>
      </c>
      <c r="I6633" s="20">
        <f t="shared" si="311"/>
        <v>0</v>
      </c>
    </row>
    <row r="6634" spans="1:9">
      <c r="A6634" s="17" t="s">
        <v>2247</v>
      </c>
      <c r="B6634" s="17" t="s">
        <v>2072</v>
      </c>
      <c r="C6634" s="17">
        <v>0</v>
      </c>
      <c r="D6634" s="17" t="s">
        <v>801</v>
      </c>
      <c r="E6634" s="18">
        <v>8058983599730</v>
      </c>
      <c r="G6634" s="20" t="str">
        <f t="shared" si="309"/>
        <v xml:space="preserve"> OCLOCKGREATSOLEI</v>
      </c>
      <c r="H6634" s="20" t="str">
        <f t="shared" si="310"/>
        <v xml:space="preserve">BLGO </v>
      </c>
      <c r="I6634" s="20">
        <f t="shared" si="311"/>
        <v>0</v>
      </c>
    </row>
    <row r="6635" spans="1:9">
      <c r="A6635" s="17" t="s">
        <v>2247</v>
      </c>
      <c r="B6635" s="17" t="s">
        <v>2072</v>
      </c>
      <c r="C6635" s="17">
        <v>0</v>
      </c>
      <c r="D6635" s="17" t="s">
        <v>801</v>
      </c>
      <c r="E6635" s="18">
        <v>3005020533009</v>
      </c>
      <c r="G6635" s="20" t="str">
        <f t="shared" si="309"/>
        <v xml:space="preserve"> OCLOCKGREATSOLEI</v>
      </c>
      <c r="H6635" s="20" t="str">
        <f t="shared" si="310"/>
        <v xml:space="preserve">BLGO </v>
      </c>
      <c r="I6635" s="20">
        <f t="shared" si="311"/>
        <v>0</v>
      </c>
    </row>
    <row r="6636" spans="1:9">
      <c r="A6636" s="17" t="s">
        <v>2247</v>
      </c>
      <c r="B6636" s="17" t="s">
        <v>2227</v>
      </c>
      <c r="C6636" s="17">
        <v>0</v>
      </c>
      <c r="D6636" s="17" t="s">
        <v>801</v>
      </c>
      <c r="E6636" s="18">
        <v>8058983599747</v>
      </c>
      <c r="G6636" s="20" t="str">
        <f t="shared" si="309"/>
        <v xml:space="preserve"> OCLOCKGREATSOLEI</v>
      </c>
      <c r="H6636" s="20" t="str">
        <f t="shared" si="310"/>
        <v>BLSIL</v>
      </c>
      <c r="I6636" s="20">
        <f t="shared" si="311"/>
        <v>0</v>
      </c>
    </row>
    <row r="6637" spans="1:9">
      <c r="A6637" s="17" t="s">
        <v>2247</v>
      </c>
      <c r="B6637" s="17" t="s">
        <v>2227</v>
      </c>
      <c r="C6637" s="17">
        <v>0</v>
      </c>
      <c r="D6637" s="17" t="s">
        <v>801</v>
      </c>
      <c r="E6637" s="18">
        <v>3005020400004</v>
      </c>
      <c r="G6637" s="20" t="str">
        <f t="shared" si="309"/>
        <v xml:space="preserve"> OCLOCKGREATSOLEI</v>
      </c>
      <c r="H6637" s="20" t="str">
        <f t="shared" si="310"/>
        <v>BLSIL</v>
      </c>
      <c r="I6637" s="20">
        <f t="shared" si="311"/>
        <v>0</v>
      </c>
    </row>
    <row r="6638" spans="1:9">
      <c r="A6638" s="17" t="s">
        <v>2247</v>
      </c>
      <c r="B6638" s="17" t="s">
        <v>853</v>
      </c>
      <c r="C6638" s="17">
        <v>0</v>
      </c>
      <c r="D6638" s="17" t="s">
        <v>801</v>
      </c>
      <c r="E6638" s="18">
        <v>3004360499006</v>
      </c>
      <c r="G6638" s="20" t="str">
        <f t="shared" si="309"/>
        <v xml:space="preserve"> OCLOCKGREATSOLEI</v>
      </c>
      <c r="H6638" s="20" t="str">
        <f t="shared" si="310"/>
        <v>BRONZ</v>
      </c>
      <c r="I6638" s="20">
        <f t="shared" si="311"/>
        <v>0</v>
      </c>
    </row>
    <row r="6639" spans="1:9">
      <c r="A6639" s="17" t="s">
        <v>2247</v>
      </c>
      <c r="B6639" s="17" t="s">
        <v>890</v>
      </c>
      <c r="C6639" s="17">
        <v>0</v>
      </c>
      <c r="D6639" s="17" t="s">
        <v>801</v>
      </c>
      <c r="E6639" s="18">
        <v>3004360339005</v>
      </c>
      <c r="G6639" s="20" t="str">
        <f t="shared" si="309"/>
        <v xml:space="preserve"> OCLOCKGREATSOLEI</v>
      </c>
      <c r="H6639" s="20" t="str">
        <f t="shared" si="310"/>
        <v xml:space="preserve">GOLD </v>
      </c>
      <c r="I6639" s="20">
        <f t="shared" si="311"/>
        <v>0</v>
      </c>
    </row>
    <row r="6640" spans="1:9">
      <c r="A6640" s="17" t="s">
        <v>2247</v>
      </c>
      <c r="B6640" s="17" t="s">
        <v>890</v>
      </c>
      <c r="C6640" s="17">
        <v>0</v>
      </c>
      <c r="D6640" s="17" t="s">
        <v>801</v>
      </c>
      <c r="E6640" s="18">
        <v>8058983590386</v>
      </c>
      <c r="G6640" s="20" t="str">
        <f t="shared" si="309"/>
        <v xml:space="preserve"> OCLOCKGREATSOLEI</v>
      </c>
      <c r="H6640" s="20" t="str">
        <f t="shared" si="310"/>
        <v xml:space="preserve">GOLD </v>
      </c>
      <c r="I6640" s="20">
        <f t="shared" si="311"/>
        <v>0</v>
      </c>
    </row>
    <row r="6641" spans="1:9">
      <c r="A6641" s="17" t="s">
        <v>2247</v>
      </c>
      <c r="B6641" s="17" t="s">
        <v>2073</v>
      </c>
      <c r="C6641" s="17">
        <v>0</v>
      </c>
      <c r="D6641" s="17" t="s">
        <v>801</v>
      </c>
      <c r="E6641" s="18">
        <v>3004360833008</v>
      </c>
      <c r="G6641" s="20" t="str">
        <f t="shared" si="309"/>
        <v xml:space="preserve"> OCLOCKGREATSOLEI</v>
      </c>
      <c r="H6641" s="20" t="str">
        <f t="shared" si="310"/>
        <v>PINKB</v>
      </c>
      <c r="I6641" s="20">
        <f t="shared" si="311"/>
        <v>0</v>
      </c>
    </row>
    <row r="6642" spans="1:9">
      <c r="A6642" s="17" t="s">
        <v>2247</v>
      </c>
      <c r="B6642" s="17" t="s">
        <v>2073</v>
      </c>
      <c r="C6642" s="17">
        <v>0</v>
      </c>
      <c r="D6642" s="17" t="s">
        <v>801</v>
      </c>
      <c r="E6642" s="18">
        <v>8058983599754</v>
      </c>
      <c r="G6642" s="20" t="str">
        <f t="shared" si="309"/>
        <v xml:space="preserve"> OCLOCKGREATSOLEI</v>
      </c>
      <c r="H6642" s="20" t="str">
        <f t="shared" si="310"/>
        <v>PINKB</v>
      </c>
      <c r="I6642" s="20">
        <f t="shared" si="311"/>
        <v>0</v>
      </c>
    </row>
    <row r="6643" spans="1:9">
      <c r="A6643" s="17" t="s">
        <v>2247</v>
      </c>
      <c r="B6643" s="17" t="s">
        <v>855</v>
      </c>
      <c r="C6643" s="17">
        <v>0</v>
      </c>
      <c r="D6643" s="17" t="s">
        <v>801</v>
      </c>
      <c r="E6643" s="18">
        <v>3004360567002</v>
      </c>
      <c r="G6643" s="20" t="str">
        <f t="shared" si="309"/>
        <v xml:space="preserve"> OCLOCKGREATSOLEI</v>
      </c>
      <c r="H6643" s="20" t="str">
        <f t="shared" si="310"/>
        <v>SILVE</v>
      </c>
      <c r="I6643" s="20">
        <f t="shared" si="311"/>
        <v>0</v>
      </c>
    </row>
    <row r="6644" spans="1:9">
      <c r="A6644" s="17" t="s">
        <v>2247</v>
      </c>
      <c r="B6644" s="17" t="s">
        <v>855</v>
      </c>
      <c r="C6644" s="17">
        <v>0</v>
      </c>
      <c r="D6644" s="17" t="s">
        <v>801</v>
      </c>
      <c r="E6644" s="18">
        <v>8058983590362</v>
      </c>
      <c r="G6644" s="20" t="str">
        <f t="shared" si="309"/>
        <v xml:space="preserve"> OCLOCKGREATSOLEI</v>
      </c>
      <c r="H6644" s="20" t="str">
        <f t="shared" si="310"/>
        <v>SILVE</v>
      </c>
      <c r="I6644" s="20">
        <f t="shared" si="311"/>
        <v>0</v>
      </c>
    </row>
    <row r="6645" spans="1:9">
      <c r="A6645" s="17" t="s">
        <v>2248</v>
      </c>
      <c r="B6645" s="17" t="s">
        <v>273</v>
      </c>
      <c r="C6645" s="17">
        <v>0</v>
      </c>
      <c r="D6645" s="17" t="s">
        <v>801</v>
      </c>
      <c r="E6645" s="18">
        <v>3005340440001</v>
      </c>
      <c r="G6645" s="20" t="str">
        <f t="shared" si="309"/>
        <v xml:space="preserve"> OCLOCKGREATSUNLI</v>
      </c>
      <c r="H6645" s="20" t="str">
        <f t="shared" si="310"/>
        <v>WHITE</v>
      </c>
      <c r="I6645" s="20">
        <f t="shared" si="311"/>
        <v>0</v>
      </c>
    </row>
    <row r="6646" spans="1:9">
      <c r="A6646" s="17" t="s">
        <v>2248</v>
      </c>
      <c r="B6646" s="17" t="s">
        <v>273</v>
      </c>
      <c r="C6646" s="17">
        <v>0</v>
      </c>
      <c r="D6646" s="17" t="s">
        <v>801</v>
      </c>
      <c r="E6646" s="18">
        <v>8058983595756</v>
      </c>
      <c r="G6646" s="20" t="str">
        <f t="shared" si="309"/>
        <v xml:space="preserve"> OCLOCKGREATSUNLI</v>
      </c>
      <c r="H6646" s="20" t="str">
        <f t="shared" si="310"/>
        <v>WHITE</v>
      </c>
      <c r="I6646" s="20">
        <f t="shared" si="311"/>
        <v>0</v>
      </c>
    </row>
    <row r="6647" spans="1:9">
      <c r="A6647" s="17" t="s">
        <v>2248</v>
      </c>
      <c r="B6647" s="17" t="s">
        <v>273</v>
      </c>
      <c r="C6647" s="17">
        <v>0</v>
      </c>
      <c r="D6647" s="17" t="s">
        <v>801</v>
      </c>
      <c r="E6647" s="18">
        <v>3004680440009</v>
      </c>
      <c r="G6647" s="20" t="str">
        <f t="shared" si="309"/>
        <v xml:space="preserve"> OCLOCKGREATSUNLI</v>
      </c>
      <c r="H6647" s="20" t="str">
        <f t="shared" si="310"/>
        <v>WHITE</v>
      </c>
      <c r="I6647" s="20">
        <f t="shared" si="311"/>
        <v>0</v>
      </c>
    </row>
    <row r="6648" spans="1:9">
      <c r="A6648" s="17" t="s">
        <v>2249</v>
      </c>
      <c r="B6648" s="17" t="s">
        <v>2250</v>
      </c>
      <c r="C6648" s="17">
        <v>0</v>
      </c>
      <c r="D6648" s="17" t="s">
        <v>801</v>
      </c>
      <c r="E6648" s="18">
        <v>3006261549002</v>
      </c>
      <c r="G6648" s="20" t="str">
        <f t="shared" si="309"/>
        <v xml:space="preserve"> OCLOCKNOEL2017  </v>
      </c>
      <c r="H6648" s="20" t="str">
        <f t="shared" si="310"/>
        <v>ETOIL</v>
      </c>
      <c r="I6648" s="20">
        <f t="shared" si="311"/>
        <v>0</v>
      </c>
    </row>
    <row r="6649" spans="1:9">
      <c r="A6649" s="17" t="s">
        <v>2249</v>
      </c>
      <c r="B6649" s="17" t="s">
        <v>2250</v>
      </c>
      <c r="C6649" s="17">
        <v>0</v>
      </c>
      <c r="D6649" s="17" t="s">
        <v>801</v>
      </c>
      <c r="E6649" s="18">
        <v>8050846018921</v>
      </c>
      <c r="G6649" s="20" t="str">
        <f t="shared" si="309"/>
        <v xml:space="preserve"> OCLOCKNOEL2017  </v>
      </c>
      <c r="H6649" s="20" t="str">
        <f t="shared" si="310"/>
        <v>ETOIL</v>
      </c>
      <c r="I6649" s="20">
        <f t="shared" si="311"/>
        <v>0</v>
      </c>
    </row>
    <row r="6650" spans="1:9">
      <c r="A6650" s="17" t="s">
        <v>2249</v>
      </c>
      <c r="B6650" s="17" t="s">
        <v>2251</v>
      </c>
      <c r="C6650" s="17">
        <v>0</v>
      </c>
      <c r="D6650" s="17" t="s">
        <v>801</v>
      </c>
      <c r="E6650" s="18">
        <v>3006261546001</v>
      </c>
      <c r="G6650" s="20" t="str">
        <f t="shared" si="309"/>
        <v xml:space="preserve"> OCLOCKNOEL2017  </v>
      </c>
      <c r="H6650" s="20" t="str">
        <f t="shared" si="310"/>
        <v>FLOAR</v>
      </c>
      <c r="I6650" s="20">
        <f t="shared" si="311"/>
        <v>0</v>
      </c>
    </row>
    <row r="6651" spans="1:9">
      <c r="A6651" s="17" t="s">
        <v>2249</v>
      </c>
      <c r="B6651" s="17" t="s">
        <v>2251</v>
      </c>
      <c r="C6651" s="17">
        <v>0</v>
      </c>
      <c r="D6651" s="17" t="s">
        <v>801</v>
      </c>
      <c r="E6651" s="18">
        <v>8050846018860</v>
      </c>
      <c r="G6651" s="20" t="str">
        <f t="shared" si="309"/>
        <v xml:space="preserve"> OCLOCKNOEL2017  </v>
      </c>
      <c r="H6651" s="20" t="str">
        <f t="shared" si="310"/>
        <v>FLOAR</v>
      </c>
      <c r="I6651" s="20">
        <f t="shared" si="311"/>
        <v>0</v>
      </c>
    </row>
    <row r="6652" spans="1:9">
      <c r="A6652" s="17" t="s">
        <v>2249</v>
      </c>
      <c r="B6652" s="17" t="s">
        <v>2252</v>
      </c>
      <c r="C6652" s="17">
        <v>0</v>
      </c>
      <c r="D6652" s="17" t="s">
        <v>801</v>
      </c>
      <c r="E6652" s="18">
        <v>3006261547008</v>
      </c>
      <c r="G6652" s="20" t="str">
        <f t="shared" si="309"/>
        <v xml:space="preserve"> OCLOCKNOEL2017  </v>
      </c>
      <c r="H6652" s="20" t="str">
        <f t="shared" si="310"/>
        <v>FLOOR</v>
      </c>
      <c r="I6652" s="20">
        <f t="shared" si="311"/>
        <v>0</v>
      </c>
    </row>
    <row r="6653" spans="1:9">
      <c r="A6653" s="17" t="s">
        <v>2249</v>
      </c>
      <c r="B6653" s="17" t="s">
        <v>2252</v>
      </c>
      <c r="C6653" s="17">
        <v>0</v>
      </c>
      <c r="D6653" s="17" t="s">
        <v>801</v>
      </c>
      <c r="E6653" s="18">
        <v>8050846018877</v>
      </c>
      <c r="G6653" s="20" t="str">
        <f t="shared" si="309"/>
        <v xml:space="preserve"> OCLOCKNOEL2017  </v>
      </c>
      <c r="H6653" s="20" t="str">
        <f t="shared" si="310"/>
        <v>FLOOR</v>
      </c>
      <c r="I6653" s="20">
        <f t="shared" si="311"/>
        <v>0</v>
      </c>
    </row>
    <row r="6654" spans="1:9">
      <c r="A6654" s="17" t="s">
        <v>2249</v>
      </c>
      <c r="B6654" s="17" t="s">
        <v>2253</v>
      </c>
      <c r="C6654" s="17">
        <v>0</v>
      </c>
      <c r="D6654" s="17" t="s">
        <v>801</v>
      </c>
      <c r="E6654" s="18">
        <v>3006261548005</v>
      </c>
      <c r="G6654" s="20" t="str">
        <f t="shared" si="309"/>
        <v xml:space="preserve"> OCLOCKNOEL2017  </v>
      </c>
      <c r="H6654" s="20" t="str">
        <f t="shared" si="310"/>
        <v>FLORE</v>
      </c>
      <c r="I6654" s="20">
        <f t="shared" si="311"/>
        <v>0</v>
      </c>
    </row>
    <row r="6655" spans="1:9">
      <c r="A6655" s="17" t="s">
        <v>2249</v>
      </c>
      <c r="B6655" s="17" t="s">
        <v>2253</v>
      </c>
      <c r="C6655" s="17">
        <v>0</v>
      </c>
      <c r="D6655" s="17" t="s">
        <v>801</v>
      </c>
      <c r="E6655" s="18">
        <v>8050846018884</v>
      </c>
      <c r="G6655" s="20" t="str">
        <f t="shared" si="309"/>
        <v xml:space="preserve"> OCLOCKNOEL2017  </v>
      </c>
      <c r="H6655" s="20" t="str">
        <f t="shared" si="310"/>
        <v>FLORE</v>
      </c>
      <c r="I6655" s="20">
        <f t="shared" si="311"/>
        <v>0</v>
      </c>
    </row>
    <row r="6656" spans="1:9">
      <c r="A6656" s="17" t="s">
        <v>2249</v>
      </c>
      <c r="B6656" s="17" t="s">
        <v>1792</v>
      </c>
      <c r="C6656" s="17">
        <v>0</v>
      </c>
      <c r="D6656" s="17" t="s">
        <v>801</v>
      </c>
      <c r="E6656" s="18">
        <v>3006261254005</v>
      </c>
      <c r="G6656" s="20" t="str">
        <f t="shared" si="309"/>
        <v xml:space="preserve"> OCLOCKNOEL2017  </v>
      </c>
      <c r="H6656" s="20" t="str">
        <f t="shared" si="310"/>
        <v>NOEUD</v>
      </c>
      <c r="I6656" s="20">
        <f t="shared" si="311"/>
        <v>0</v>
      </c>
    </row>
    <row r="6657" spans="1:9">
      <c r="A6657" s="17" t="s">
        <v>2249</v>
      </c>
      <c r="B6657" s="17" t="s">
        <v>1792</v>
      </c>
      <c r="C6657" s="17">
        <v>0</v>
      </c>
      <c r="D6657" s="17" t="s">
        <v>801</v>
      </c>
      <c r="E6657" s="18">
        <v>8050846018938</v>
      </c>
      <c r="G6657" s="20" t="str">
        <f t="shared" si="309"/>
        <v xml:space="preserve"> OCLOCKNOEL2017  </v>
      </c>
      <c r="H6657" s="20" t="str">
        <f t="shared" si="310"/>
        <v>NOEUD</v>
      </c>
      <c r="I6657" s="20">
        <f t="shared" si="311"/>
        <v>0</v>
      </c>
    </row>
    <row r="6658" spans="1:9">
      <c r="A6658" s="17" t="s">
        <v>2249</v>
      </c>
      <c r="B6658" s="17" t="s">
        <v>1453</v>
      </c>
      <c r="C6658" s="17">
        <v>0</v>
      </c>
      <c r="D6658" s="17" t="s">
        <v>801</v>
      </c>
      <c r="E6658" s="18">
        <v>3006260427004</v>
      </c>
      <c r="G6658" s="20" t="str">
        <f t="shared" si="309"/>
        <v xml:space="preserve"> OCLOCKNOEL2017  </v>
      </c>
      <c r="H6658" s="20" t="str">
        <f t="shared" si="310"/>
        <v xml:space="preserve">UNI  </v>
      </c>
      <c r="I6658" s="20">
        <f t="shared" si="311"/>
        <v>0</v>
      </c>
    </row>
    <row r="6659" spans="1:9">
      <c r="A6659" s="17" t="s">
        <v>2254</v>
      </c>
      <c r="B6659" s="17">
        <v>0</v>
      </c>
      <c r="C6659" s="17">
        <v>0</v>
      </c>
      <c r="D6659" s="17" t="s">
        <v>801</v>
      </c>
      <c r="E6659" s="18">
        <v>3003770214001</v>
      </c>
      <c r="G6659" s="20" t="str">
        <f t="shared" si="309"/>
        <v xml:space="preserve"> OCLOCKPAPAGAYO  </v>
      </c>
      <c r="H6659" s="20">
        <f t="shared" si="310"/>
        <v>0</v>
      </c>
      <c r="I6659" s="20">
        <f t="shared" si="311"/>
        <v>0</v>
      </c>
    </row>
    <row r="6660" spans="1:9">
      <c r="A6660" s="17" t="s">
        <v>2255</v>
      </c>
      <c r="B6660" s="17" t="s">
        <v>2256</v>
      </c>
      <c r="C6660" s="17">
        <v>0</v>
      </c>
      <c r="D6660" s="17" t="s">
        <v>801</v>
      </c>
      <c r="E6660" s="18">
        <v>3003710125008</v>
      </c>
      <c r="G6660" s="20" t="str">
        <f t="shared" si="309"/>
        <v xml:space="preserve"> OCLOCKPEOPLE    </v>
      </c>
      <c r="H6660" s="20" t="str">
        <f t="shared" si="310"/>
        <v xml:space="preserve">AFR1 </v>
      </c>
      <c r="I6660" s="20">
        <f t="shared" si="311"/>
        <v>0</v>
      </c>
    </row>
    <row r="6661" spans="1:9">
      <c r="A6661" s="17" t="s">
        <v>2255</v>
      </c>
      <c r="B6661" s="17" t="s">
        <v>2257</v>
      </c>
      <c r="C6661" s="17">
        <v>0</v>
      </c>
      <c r="D6661" s="17" t="s">
        <v>801</v>
      </c>
      <c r="E6661" s="18">
        <v>3003710126005</v>
      </c>
      <c r="G6661" s="20" t="str">
        <f t="shared" ref="G6661:G6724" si="312">A6661</f>
        <v xml:space="preserve"> OCLOCKPEOPLE    </v>
      </c>
      <c r="H6661" s="20" t="str">
        <f t="shared" ref="H6661:H6724" si="313">B6661</f>
        <v xml:space="preserve">AFR2 </v>
      </c>
      <c r="I6661" s="20">
        <f t="shared" ref="I6661:I6724" si="314">C6661</f>
        <v>0</v>
      </c>
    </row>
    <row r="6662" spans="1:9">
      <c r="A6662" s="17" t="s">
        <v>2255</v>
      </c>
      <c r="B6662" s="17" t="s">
        <v>2258</v>
      </c>
      <c r="C6662" s="17">
        <v>0</v>
      </c>
      <c r="D6662" s="17" t="s">
        <v>801</v>
      </c>
      <c r="E6662" s="18">
        <v>3003710123004</v>
      </c>
      <c r="G6662" s="20" t="str">
        <f t="shared" si="312"/>
        <v xml:space="preserve"> OCLOCKPEOPLE    </v>
      </c>
      <c r="H6662" s="20" t="str">
        <f t="shared" si="313"/>
        <v xml:space="preserve">ALAS </v>
      </c>
      <c r="I6662" s="20">
        <f t="shared" si="314"/>
        <v>0</v>
      </c>
    </row>
    <row r="6663" spans="1:9">
      <c r="A6663" s="17" t="s">
        <v>2255</v>
      </c>
      <c r="B6663" s="17" t="s">
        <v>1592</v>
      </c>
      <c r="C6663" s="17">
        <v>0</v>
      </c>
      <c r="D6663" s="17" t="s">
        <v>801</v>
      </c>
      <c r="E6663" s="18">
        <v>3003710113005</v>
      </c>
      <c r="G6663" s="20" t="str">
        <f t="shared" si="312"/>
        <v xml:space="preserve"> OCLOCKPEOPLE    </v>
      </c>
      <c r="H6663" s="20" t="str">
        <f t="shared" si="313"/>
        <v xml:space="preserve">AMER </v>
      </c>
      <c r="I6663" s="20">
        <f t="shared" si="314"/>
        <v>0</v>
      </c>
    </row>
    <row r="6664" spans="1:9">
      <c r="A6664" s="17" t="s">
        <v>2255</v>
      </c>
      <c r="B6664" s="17" t="s">
        <v>2259</v>
      </c>
      <c r="C6664" s="17">
        <v>0</v>
      </c>
      <c r="D6664" s="17" t="s">
        <v>801</v>
      </c>
      <c r="E6664" s="18">
        <v>3003710137001</v>
      </c>
      <c r="G6664" s="20" t="str">
        <f t="shared" si="312"/>
        <v xml:space="preserve"> OCLOCKPEOPLE    </v>
      </c>
      <c r="H6664" s="20" t="str">
        <f t="shared" si="313"/>
        <v>AMER2</v>
      </c>
      <c r="I6664" s="20">
        <f t="shared" si="314"/>
        <v>0</v>
      </c>
    </row>
    <row r="6665" spans="1:9">
      <c r="A6665" s="17" t="s">
        <v>2255</v>
      </c>
      <c r="B6665" s="17" t="s">
        <v>2260</v>
      </c>
      <c r="C6665" s="17">
        <v>0</v>
      </c>
      <c r="D6665" s="17" t="s">
        <v>801</v>
      </c>
      <c r="E6665" s="18">
        <v>3003710124001</v>
      </c>
      <c r="G6665" s="20" t="str">
        <f t="shared" si="312"/>
        <v xml:space="preserve"> OCLOCKPEOPLE    </v>
      </c>
      <c r="H6665" s="20" t="str">
        <f t="shared" si="313"/>
        <v xml:space="preserve">JAP  </v>
      </c>
      <c r="I6665" s="20">
        <f t="shared" si="314"/>
        <v>0</v>
      </c>
    </row>
    <row r="6666" spans="1:9">
      <c r="A6666" s="17" t="s">
        <v>2261</v>
      </c>
      <c r="B6666" s="17" t="s">
        <v>810</v>
      </c>
      <c r="C6666" s="17">
        <v>0</v>
      </c>
      <c r="D6666" s="17" t="s">
        <v>801</v>
      </c>
      <c r="E6666" s="18">
        <v>3003700319004</v>
      </c>
      <c r="G6666" s="20" t="str">
        <f t="shared" si="312"/>
        <v xml:space="preserve"> OCLOCKTARTAN    </v>
      </c>
      <c r="H6666" s="20" t="str">
        <f t="shared" si="313"/>
        <v xml:space="preserve">BLUE </v>
      </c>
      <c r="I6666" s="20">
        <f t="shared" si="314"/>
        <v>0</v>
      </c>
    </row>
    <row r="6667" spans="1:9">
      <c r="A6667" s="17" t="s">
        <v>2261</v>
      </c>
      <c r="B6667" s="17" t="s">
        <v>816</v>
      </c>
      <c r="C6667" s="17">
        <v>0</v>
      </c>
      <c r="D6667" s="17" t="s">
        <v>801</v>
      </c>
      <c r="E6667" s="18">
        <v>3003700394001</v>
      </c>
      <c r="G6667" s="20" t="str">
        <f t="shared" si="312"/>
        <v xml:space="preserve"> OCLOCKTARTAN    </v>
      </c>
      <c r="H6667" s="20" t="str">
        <f t="shared" si="313"/>
        <v xml:space="preserve">RED  </v>
      </c>
      <c r="I6667" s="20">
        <f t="shared" si="314"/>
        <v>0</v>
      </c>
    </row>
    <row r="6668" spans="1:9">
      <c r="A6668" s="17" t="s">
        <v>2261</v>
      </c>
      <c r="B6668" s="17" t="s">
        <v>273</v>
      </c>
      <c r="C6668" s="17">
        <v>0</v>
      </c>
      <c r="D6668" s="17" t="s">
        <v>801</v>
      </c>
      <c r="E6668" s="18">
        <v>3003700005006</v>
      </c>
      <c r="G6668" s="20" t="str">
        <f t="shared" si="312"/>
        <v xml:space="preserve"> OCLOCKTARTAN    </v>
      </c>
      <c r="H6668" s="20" t="str">
        <f t="shared" si="313"/>
        <v>WHITE</v>
      </c>
      <c r="I6668" s="20">
        <f t="shared" si="314"/>
        <v>0</v>
      </c>
    </row>
    <row r="6669" spans="1:9">
      <c r="A6669" s="17" t="s">
        <v>2262</v>
      </c>
      <c r="B6669" s="17" t="s">
        <v>2263</v>
      </c>
      <c r="C6669" s="17">
        <v>0</v>
      </c>
      <c r="D6669" s="17" t="s">
        <v>801</v>
      </c>
      <c r="E6669" s="18">
        <v>8050846013223</v>
      </c>
      <c r="G6669" s="20" t="str">
        <f t="shared" si="312"/>
        <v xml:space="preserve"> OCLOCKWALL      </v>
      </c>
      <c r="H6669" s="20" t="str">
        <f t="shared" si="313"/>
        <v>BLASI</v>
      </c>
      <c r="I6669" s="20">
        <f t="shared" si="314"/>
        <v>0</v>
      </c>
    </row>
    <row r="6670" spans="1:9">
      <c r="A6670" s="17" t="s">
        <v>2262</v>
      </c>
      <c r="B6670" s="17" t="s">
        <v>2264</v>
      </c>
      <c r="C6670" s="17">
        <v>0</v>
      </c>
      <c r="D6670" s="17" t="s">
        <v>801</v>
      </c>
      <c r="E6670" s="18">
        <v>8050846013209</v>
      </c>
      <c r="G6670" s="20" t="str">
        <f t="shared" si="312"/>
        <v xml:space="preserve"> OCLOCKWALL      </v>
      </c>
      <c r="H6670" s="20" t="str">
        <f t="shared" si="313"/>
        <v>BLAWH</v>
      </c>
      <c r="I6670" s="20">
        <f t="shared" si="314"/>
        <v>0</v>
      </c>
    </row>
    <row r="6671" spans="1:9">
      <c r="A6671" s="17" t="s">
        <v>2262</v>
      </c>
      <c r="B6671" s="17" t="s">
        <v>890</v>
      </c>
      <c r="C6671" s="17">
        <v>0</v>
      </c>
      <c r="D6671" s="17" t="s">
        <v>801</v>
      </c>
      <c r="E6671" s="18">
        <v>8050846013186</v>
      </c>
      <c r="G6671" s="20" t="str">
        <f t="shared" si="312"/>
        <v xml:space="preserve"> OCLOCKWALL      </v>
      </c>
      <c r="H6671" s="20" t="str">
        <f t="shared" si="313"/>
        <v xml:space="preserve">GOLD </v>
      </c>
      <c r="I6671" s="20">
        <f t="shared" si="314"/>
        <v>0</v>
      </c>
    </row>
    <row r="6672" spans="1:9">
      <c r="A6672" s="17" t="s">
        <v>2262</v>
      </c>
      <c r="B6672" s="17" t="s">
        <v>2265</v>
      </c>
      <c r="C6672" s="17">
        <v>0</v>
      </c>
      <c r="D6672" s="17" t="s">
        <v>801</v>
      </c>
      <c r="E6672" s="18">
        <v>8050846013193</v>
      </c>
      <c r="G6672" s="20" t="str">
        <f t="shared" si="312"/>
        <v xml:space="preserve"> OCLOCKWALL      </v>
      </c>
      <c r="H6672" s="20" t="str">
        <f t="shared" si="313"/>
        <v>SILBL</v>
      </c>
      <c r="I6672" s="20">
        <f t="shared" si="314"/>
        <v>0</v>
      </c>
    </row>
    <row r="6673" spans="1:9">
      <c r="A6673" s="17" t="s">
        <v>2262</v>
      </c>
      <c r="B6673" s="17" t="s">
        <v>855</v>
      </c>
      <c r="C6673" s="17">
        <v>0</v>
      </c>
      <c r="D6673" s="17" t="s">
        <v>801</v>
      </c>
      <c r="E6673" s="18">
        <v>8050846009707</v>
      </c>
      <c r="G6673" s="20" t="str">
        <f t="shared" si="312"/>
        <v xml:space="preserve"> OCLOCKWALL      </v>
      </c>
      <c r="H6673" s="20" t="str">
        <f t="shared" si="313"/>
        <v>SILVE</v>
      </c>
      <c r="I6673" s="20">
        <f t="shared" si="314"/>
        <v>0</v>
      </c>
    </row>
    <row r="6674" spans="1:9">
      <c r="A6674" s="17" t="s">
        <v>2262</v>
      </c>
      <c r="B6674" s="17" t="s">
        <v>2266</v>
      </c>
      <c r="C6674" s="17">
        <v>0</v>
      </c>
      <c r="D6674" s="17" t="s">
        <v>801</v>
      </c>
      <c r="E6674" s="18">
        <v>8050846013216</v>
      </c>
      <c r="G6674" s="20" t="str">
        <f t="shared" si="312"/>
        <v xml:space="preserve"> OCLOCKWALL      </v>
      </c>
      <c r="H6674" s="20" t="str">
        <f t="shared" si="313"/>
        <v>WHIBL</v>
      </c>
      <c r="I6674" s="20">
        <f t="shared" si="314"/>
        <v>0</v>
      </c>
    </row>
    <row r="6675" spans="1:9">
      <c r="A6675" s="17" t="s">
        <v>2267</v>
      </c>
      <c r="B6675" s="17" t="s">
        <v>963</v>
      </c>
      <c r="C6675" s="17">
        <v>0</v>
      </c>
      <c r="D6675" s="17" t="s">
        <v>801</v>
      </c>
      <c r="E6675" s="18">
        <v>8050538599516</v>
      </c>
      <c r="G6675" s="20" t="str">
        <f t="shared" si="312"/>
        <v xml:space="preserve"> OEATATTACHE     </v>
      </c>
      <c r="H6675" s="20" t="str">
        <f t="shared" si="313"/>
        <v>AMARA</v>
      </c>
      <c r="I6675" s="20">
        <f t="shared" si="314"/>
        <v>0</v>
      </c>
    </row>
    <row r="6676" spans="1:9">
      <c r="A6676" s="17" t="s">
        <v>2267</v>
      </c>
      <c r="B6676" s="17" t="s">
        <v>963</v>
      </c>
      <c r="C6676" s="17">
        <v>0</v>
      </c>
      <c r="D6676" s="17" t="s">
        <v>801</v>
      </c>
      <c r="E6676" s="18">
        <v>3006000691009</v>
      </c>
      <c r="G6676" s="20" t="str">
        <f t="shared" si="312"/>
        <v xml:space="preserve"> OEATATTACHE     </v>
      </c>
      <c r="H6676" s="20" t="str">
        <f t="shared" si="313"/>
        <v>AMARA</v>
      </c>
      <c r="I6676" s="20">
        <f t="shared" si="314"/>
        <v>0</v>
      </c>
    </row>
    <row r="6677" spans="1:9">
      <c r="A6677" s="17" t="s">
        <v>2267</v>
      </c>
      <c r="B6677" s="17" t="s">
        <v>1423</v>
      </c>
      <c r="C6677" s="17">
        <v>0</v>
      </c>
      <c r="D6677" s="17" t="s">
        <v>801</v>
      </c>
      <c r="E6677" s="18">
        <v>8050538599554</v>
      </c>
      <c r="G6677" s="20" t="str">
        <f t="shared" si="312"/>
        <v xml:space="preserve"> OEATATTACHE     </v>
      </c>
      <c r="H6677" s="20" t="str">
        <f t="shared" si="313"/>
        <v xml:space="preserve">BLG  </v>
      </c>
      <c r="I6677" s="20">
        <f t="shared" si="314"/>
        <v>0</v>
      </c>
    </row>
    <row r="6678" spans="1:9">
      <c r="A6678" s="17" t="s">
        <v>2267</v>
      </c>
      <c r="B6678" s="17" t="s">
        <v>1423</v>
      </c>
      <c r="C6678" s="17">
        <v>0</v>
      </c>
      <c r="D6678" s="17" t="s">
        <v>801</v>
      </c>
      <c r="E6678" s="18">
        <v>3006000278002</v>
      </c>
      <c r="G6678" s="20" t="str">
        <f t="shared" si="312"/>
        <v xml:space="preserve"> OEATATTACHE     </v>
      </c>
      <c r="H6678" s="20" t="str">
        <f t="shared" si="313"/>
        <v xml:space="preserve">BLG  </v>
      </c>
      <c r="I6678" s="20">
        <f t="shared" si="314"/>
        <v>0</v>
      </c>
    </row>
    <row r="6679" spans="1:9">
      <c r="A6679" s="17" t="s">
        <v>2267</v>
      </c>
      <c r="B6679" s="17" t="s">
        <v>810</v>
      </c>
      <c r="C6679" s="17">
        <v>0</v>
      </c>
      <c r="D6679" s="17" t="s">
        <v>801</v>
      </c>
      <c r="E6679" s="18">
        <v>8050538599530</v>
      </c>
      <c r="G6679" s="20" t="str">
        <f t="shared" si="312"/>
        <v xml:space="preserve"> OEATATTACHE     </v>
      </c>
      <c r="H6679" s="20" t="str">
        <f t="shared" si="313"/>
        <v xml:space="preserve">BLUE </v>
      </c>
      <c r="I6679" s="20">
        <f t="shared" si="314"/>
        <v>0</v>
      </c>
    </row>
    <row r="6680" spans="1:9">
      <c r="A6680" s="17" t="s">
        <v>2267</v>
      </c>
      <c r="B6680" s="17" t="s">
        <v>810</v>
      </c>
      <c r="C6680" s="17">
        <v>0</v>
      </c>
      <c r="D6680" s="17" t="s">
        <v>801</v>
      </c>
      <c r="E6680" s="18">
        <v>3006000284003</v>
      </c>
      <c r="G6680" s="20" t="str">
        <f t="shared" si="312"/>
        <v xml:space="preserve"> OEATATTACHE     </v>
      </c>
      <c r="H6680" s="20" t="str">
        <f t="shared" si="313"/>
        <v xml:space="preserve">BLUE </v>
      </c>
      <c r="I6680" s="20">
        <f t="shared" si="314"/>
        <v>0</v>
      </c>
    </row>
    <row r="6681" spans="1:9">
      <c r="A6681" s="17" t="s">
        <v>2267</v>
      </c>
      <c r="B6681" s="17" t="s">
        <v>892</v>
      </c>
      <c r="C6681" s="17">
        <v>0</v>
      </c>
      <c r="D6681" s="17" t="s">
        <v>801</v>
      </c>
      <c r="E6681" s="18">
        <v>8050538599561</v>
      </c>
      <c r="G6681" s="20" t="str">
        <f t="shared" si="312"/>
        <v xml:space="preserve"> OEATATTACHE     </v>
      </c>
      <c r="H6681" s="20" t="str">
        <f t="shared" si="313"/>
        <v xml:space="preserve">LIME </v>
      </c>
      <c r="I6681" s="20">
        <f t="shared" si="314"/>
        <v>0</v>
      </c>
    </row>
    <row r="6682" spans="1:9">
      <c r="A6682" s="17" t="s">
        <v>2267</v>
      </c>
      <c r="B6682" s="17" t="s">
        <v>892</v>
      </c>
      <c r="C6682" s="17">
        <v>0</v>
      </c>
      <c r="D6682" s="17" t="s">
        <v>801</v>
      </c>
      <c r="E6682" s="18">
        <v>3006000473001</v>
      </c>
      <c r="G6682" s="20" t="str">
        <f t="shared" si="312"/>
        <v xml:space="preserve"> OEATATTACHE     </v>
      </c>
      <c r="H6682" s="20" t="str">
        <f t="shared" si="313"/>
        <v xml:space="preserve">LIME </v>
      </c>
      <c r="I6682" s="20">
        <f t="shared" si="314"/>
        <v>0</v>
      </c>
    </row>
    <row r="6683" spans="1:9">
      <c r="A6683" s="17" t="s">
        <v>2267</v>
      </c>
      <c r="B6683" s="17" t="s">
        <v>1233</v>
      </c>
      <c r="C6683" s="17">
        <v>0</v>
      </c>
      <c r="D6683" s="17" t="s">
        <v>801</v>
      </c>
      <c r="E6683" s="18">
        <v>8050538599547</v>
      </c>
      <c r="G6683" s="20" t="str">
        <f t="shared" si="312"/>
        <v xml:space="preserve"> OEATATTACHE     </v>
      </c>
      <c r="H6683" s="20" t="str">
        <f t="shared" si="313"/>
        <v>OCEAN</v>
      </c>
      <c r="I6683" s="20">
        <f t="shared" si="314"/>
        <v>0</v>
      </c>
    </row>
    <row r="6684" spans="1:9">
      <c r="A6684" s="17" t="s">
        <v>2267</v>
      </c>
      <c r="B6684" s="17" t="s">
        <v>1233</v>
      </c>
      <c r="C6684" s="17">
        <v>0</v>
      </c>
      <c r="D6684" s="17" t="s">
        <v>801</v>
      </c>
      <c r="E6684" s="18">
        <v>3006000374001</v>
      </c>
      <c r="G6684" s="20" t="str">
        <f t="shared" si="312"/>
        <v xml:space="preserve"> OEATATTACHE     </v>
      </c>
      <c r="H6684" s="20" t="str">
        <f t="shared" si="313"/>
        <v>OCEAN</v>
      </c>
      <c r="I6684" s="20">
        <f t="shared" si="314"/>
        <v>0</v>
      </c>
    </row>
    <row r="6685" spans="1:9">
      <c r="A6685" s="17" t="s">
        <v>2267</v>
      </c>
      <c r="B6685" s="17" t="s">
        <v>971</v>
      </c>
      <c r="C6685" s="17">
        <v>0</v>
      </c>
      <c r="D6685" s="17" t="s">
        <v>801</v>
      </c>
      <c r="E6685" s="18">
        <v>8050538599523</v>
      </c>
      <c r="G6685" s="20" t="str">
        <f t="shared" si="312"/>
        <v xml:space="preserve"> OEATATTACHE     </v>
      </c>
      <c r="H6685" s="20" t="str">
        <f t="shared" si="313"/>
        <v>OTTAN</v>
      </c>
      <c r="I6685" s="20">
        <f t="shared" si="314"/>
        <v>0</v>
      </c>
    </row>
    <row r="6686" spans="1:9">
      <c r="A6686" s="17" t="s">
        <v>2267</v>
      </c>
      <c r="B6686" s="17" t="s">
        <v>971</v>
      </c>
      <c r="C6686" s="17">
        <v>0</v>
      </c>
      <c r="D6686" s="17" t="s">
        <v>801</v>
      </c>
      <c r="E6686" s="18">
        <v>3006000689006</v>
      </c>
      <c r="G6686" s="20" t="str">
        <f t="shared" si="312"/>
        <v xml:space="preserve"> OEATATTACHE     </v>
      </c>
      <c r="H6686" s="20" t="str">
        <f t="shared" si="313"/>
        <v>OTTAN</v>
      </c>
      <c r="I6686" s="20">
        <f t="shared" si="314"/>
        <v>0</v>
      </c>
    </row>
    <row r="6687" spans="1:9">
      <c r="A6687" s="17" t="s">
        <v>2268</v>
      </c>
      <c r="B6687" s="17" t="s">
        <v>808</v>
      </c>
      <c r="C6687" s="17">
        <v>0</v>
      </c>
      <c r="D6687" s="17" t="s">
        <v>801</v>
      </c>
      <c r="E6687" s="18">
        <v>8050538599509</v>
      </c>
      <c r="G6687" s="20" t="str">
        <f t="shared" si="312"/>
        <v xml:space="preserve"> OEATCOQUE       </v>
      </c>
      <c r="H6687" s="20" t="str">
        <f t="shared" si="313"/>
        <v>ANTHR</v>
      </c>
      <c r="I6687" s="20">
        <f t="shared" si="314"/>
        <v>0</v>
      </c>
    </row>
    <row r="6688" spans="1:9">
      <c r="A6688" s="17" t="s">
        <v>2268</v>
      </c>
      <c r="B6688" s="17" t="s">
        <v>808</v>
      </c>
      <c r="C6688" s="17">
        <v>0</v>
      </c>
      <c r="D6688" s="17" t="s">
        <v>801</v>
      </c>
      <c r="E6688" s="18">
        <v>3005991490004</v>
      </c>
      <c r="G6688" s="20" t="str">
        <f t="shared" si="312"/>
        <v xml:space="preserve"> OEATCOQUE       </v>
      </c>
      <c r="H6688" s="20" t="str">
        <f t="shared" si="313"/>
        <v>ANTHR</v>
      </c>
      <c r="I6688" s="20">
        <f t="shared" si="314"/>
        <v>0</v>
      </c>
    </row>
    <row r="6689" spans="1:9">
      <c r="A6689" s="17" t="s">
        <v>2268</v>
      </c>
      <c r="B6689" s="17" t="s">
        <v>2006</v>
      </c>
      <c r="C6689" s="17">
        <v>0</v>
      </c>
      <c r="D6689" s="17" t="s">
        <v>801</v>
      </c>
      <c r="E6689" s="18">
        <v>8050538599455</v>
      </c>
      <c r="G6689" s="20" t="str">
        <f t="shared" si="312"/>
        <v xml:space="preserve"> OEATCOQUE       </v>
      </c>
      <c r="H6689" s="20" t="str">
        <f t="shared" si="313"/>
        <v>BECCO</v>
      </c>
      <c r="I6689" s="20">
        <f t="shared" si="314"/>
        <v>0</v>
      </c>
    </row>
    <row r="6690" spans="1:9">
      <c r="A6690" s="17" t="s">
        <v>2268</v>
      </c>
      <c r="B6690" s="17" t="s">
        <v>2006</v>
      </c>
      <c r="C6690" s="17">
        <v>0</v>
      </c>
      <c r="D6690" s="17" t="s">
        <v>801</v>
      </c>
      <c r="E6690" s="18">
        <v>3005991078004</v>
      </c>
      <c r="G6690" s="20" t="str">
        <f t="shared" si="312"/>
        <v xml:space="preserve"> OEATCOQUE       </v>
      </c>
      <c r="H6690" s="20" t="str">
        <f t="shared" si="313"/>
        <v>BECCO</v>
      </c>
      <c r="I6690" s="20">
        <f t="shared" si="314"/>
        <v>0</v>
      </c>
    </row>
    <row r="6691" spans="1:9">
      <c r="A6691" s="17" t="s">
        <v>2268</v>
      </c>
      <c r="B6691" s="17" t="s">
        <v>857</v>
      </c>
      <c r="C6691" s="17">
        <v>0</v>
      </c>
      <c r="D6691" s="17" t="s">
        <v>801</v>
      </c>
      <c r="E6691" s="18">
        <v>8050538599486</v>
      </c>
      <c r="G6691" s="20" t="str">
        <f t="shared" si="312"/>
        <v xml:space="preserve"> OEATCOQUE       </v>
      </c>
      <c r="H6691" s="20" t="str">
        <f t="shared" si="313"/>
        <v>BLUET</v>
      </c>
      <c r="I6691" s="20">
        <f t="shared" si="314"/>
        <v>0</v>
      </c>
    </row>
    <row r="6692" spans="1:9">
      <c r="A6692" s="17" t="s">
        <v>2268</v>
      </c>
      <c r="B6692" s="17" t="s">
        <v>857</v>
      </c>
      <c r="C6692" s="17">
        <v>0</v>
      </c>
      <c r="D6692" s="17" t="s">
        <v>801</v>
      </c>
      <c r="E6692" s="18">
        <v>3005991075003</v>
      </c>
      <c r="G6692" s="20" t="str">
        <f t="shared" si="312"/>
        <v xml:space="preserve"> OEATCOQUE       </v>
      </c>
      <c r="H6692" s="20" t="str">
        <f t="shared" si="313"/>
        <v>BLUET</v>
      </c>
      <c r="I6692" s="20">
        <f t="shared" si="314"/>
        <v>0</v>
      </c>
    </row>
    <row r="6693" spans="1:9">
      <c r="A6693" s="17" t="s">
        <v>2268</v>
      </c>
      <c r="B6693" s="17" t="s">
        <v>2020</v>
      </c>
      <c r="C6693" s="17">
        <v>0</v>
      </c>
      <c r="D6693" s="17" t="s">
        <v>801</v>
      </c>
      <c r="E6693" s="18">
        <v>8050538599493</v>
      </c>
      <c r="G6693" s="20" t="str">
        <f t="shared" si="312"/>
        <v xml:space="preserve"> OEATCOQUE       </v>
      </c>
      <c r="H6693" s="20" t="str">
        <f t="shared" si="313"/>
        <v>POMME</v>
      </c>
      <c r="I6693" s="20">
        <f t="shared" si="314"/>
        <v>0</v>
      </c>
    </row>
    <row r="6694" spans="1:9">
      <c r="A6694" s="17" t="s">
        <v>2268</v>
      </c>
      <c r="B6694" s="17" t="s">
        <v>2020</v>
      </c>
      <c r="C6694" s="17">
        <v>0</v>
      </c>
      <c r="D6694" s="17" t="s">
        <v>801</v>
      </c>
      <c r="E6694" s="18">
        <v>3005991080007</v>
      </c>
      <c r="G6694" s="20" t="str">
        <f t="shared" si="312"/>
        <v xml:space="preserve"> OEATCOQUE       </v>
      </c>
      <c r="H6694" s="20" t="str">
        <f t="shared" si="313"/>
        <v>POMME</v>
      </c>
      <c r="I6694" s="20">
        <f t="shared" si="314"/>
        <v>0</v>
      </c>
    </row>
    <row r="6695" spans="1:9">
      <c r="A6695" s="17" t="s">
        <v>2268</v>
      </c>
      <c r="B6695" s="17" t="s">
        <v>816</v>
      </c>
      <c r="C6695" s="17">
        <v>0</v>
      </c>
      <c r="D6695" s="17" t="s">
        <v>801</v>
      </c>
      <c r="E6695" s="18">
        <v>8050538599462</v>
      </c>
      <c r="G6695" s="20" t="str">
        <f t="shared" si="312"/>
        <v xml:space="preserve"> OEATCOQUE       </v>
      </c>
      <c r="H6695" s="20" t="str">
        <f t="shared" si="313"/>
        <v xml:space="preserve">RED  </v>
      </c>
      <c r="I6695" s="20">
        <f t="shared" si="314"/>
        <v>0</v>
      </c>
    </row>
    <row r="6696" spans="1:9">
      <c r="A6696" s="17" t="s">
        <v>2268</v>
      </c>
      <c r="B6696" s="17" t="s">
        <v>816</v>
      </c>
      <c r="C6696" s="17">
        <v>0</v>
      </c>
      <c r="D6696" s="17" t="s">
        <v>801</v>
      </c>
      <c r="E6696" s="18">
        <v>3005990395003</v>
      </c>
      <c r="G6696" s="20" t="str">
        <f t="shared" si="312"/>
        <v xml:space="preserve"> OEATCOQUE       </v>
      </c>
      <c r="H6696" s="20" t="str">
        <f t="shared" si="313"/>
        <v xml:space="preserve">RED  </v>
      </c>
      <c r="I6696" s="20">
        <f t="shared" si="314"/>
        <v>0</v>
      </c>
    </row>
    <row r="6697" spans="1:9">
      <c r="A6697" s="17" t="s">
        <v>2268</v>
      </c>
      <c r="B6697" s="17" t="s">
        <v>1663</v>
      </c>
      <c r="C6697" s="17">
        <v>0</v>
      </c>
      <c r="D6697" s="17" t="s">
        <v>801</v>
      </c>
      <c r="E6697" s="18">
        <v>8050538599479</v>
      </c>
      <c r="G6697" s="20" t="str">
        <f t="shared" si="312"/>
        <v xml:space="preserve"> OEATCOQUE       </v>
      </c>
      <c r="H6697" s="20" t="str">
        <f t="shared" si="313"/>
        <v>SANGR</v>
      </c>
      <c r="I6697" s="20">
        <f t="shared" si="314"/>
        <v>0</v>
      </c>
    </row>
    <row r="6698" spans="1:9">
      <c r="A6698" s="17" t="s">
        <v>2268</v>
      </c>
      <c r="B6698" s="17" t="s">
        <v>1663</v>
      </c>
      <c r="C6698" s="17">
        <v>0</v>
      </c>
      <c r="D6698" s="17" t="s">
        <v>801</v>
      </c>
      <c r="E6698" s="18">
        <v>3005991313006</v>
      </c>
      <c r="G6698" s="20" t="str">
        <f t="shared" si="312"/>
        <v xml:space="preserve"> OEATCOQUE       </v>
      </c>
      <c r="H6698" s="20" t="str">
        <f t="shared" si="313"/>
        <v>SANGR</v>
      </c>
      <c r="I6698" s="20">
        <f t="shared" si="314"/>
        <v>0</v>
      </c>
    </row>
    <row r="6699" spans="1:9">
      <c r="A6699" s="17" t="s">
        <v>2269</v>
      </c>
      <c r="B6699" s="17" t="s">
        <v>273</v>
      </c>
      <c r="C6699" s="17">
        <v>0</v>
      </c>
      <c r="D6699" s="17" t="s">
        <v>801</v>
      </c>
      <c r="E6699" s="18">
        <v>8050538599578</v>
      </c>
      <c r="G6699" s="20" t="str">
        <f t="shared" si="312"/>
        <v xml:space="preserve"> OEATINTERIEUR   </v>
      </c>
      <c r="H6699" s="20" t="str">
        <f t="shared" si="313"/>
        <v>WHITE</v>
      </c>
      <c r="I6699" s="20">
        <f t="shared" si="314"/>
        <v>0</v>
      </c>
    </row>
    <row r="6700" spans="1:9">
      <c r="A6700" s="17" t="s">
        <v>2269</v>
      </c>
      <c r="B6700" s="17" t="s">
        <v>273</v>
      </c>
      <c r="C6700" s="17">
        <v>0</v>
      </c>
      <c r="D6700" s="17" t="s">
        <v>801</v>
      </c>
      <c r="E6700" s="18">
        <v>3006010440000</v>
      </c>
      <c r="G6700" s="20" t="str">
        <f t="shared" si="312"/>
        <v xml:space="preserve"> OEATINTERIEUR   </v>
      </c>
      <c r="H6700" s="20" t="str">
        <f t="shared" si="313"/>
        <v>WHITE</v>
      </c>
      <c r="I6700" s="20">
        <f t="shared" si="314"/>
        <v>0</v>
      </c>
    </row>
    <row r="6701" spans="1:9">
      <c r="A6701" s="17" t="s">
        <v>2270</v>
      </c>
      <c r="B6701" s="17" t="s">
        <v>809</v>
      </c>
      <c r="C6701" s="17">
        <v>0</v>
      </c>
      <c r="D6701" s="17" t="s">
        <v>801</v>
      </c>
      <c r="E6701" s="18">
        <v>8056099179419</v>
      </c>
      <c r="G6701" s="20" t="str">
        <f t="shared" si="312"/>
        <v xml:space="preserve"> OFIFTY          </v>
      </c>
      <c r="H6701" s="20" t="str">
        <f t="shared" si="313"/>
        <v>AUBER</v>
      </c>
      <c r="I6701" s="20">
        <f t="shared" si="314"/>
        <v>0</v>
      </c>
    </row>
    <row r="6702" spans="1:9">
      <c r="A6702" s="17" t="s">
        <v>2270</v>
      </c>
      <c r="B6702" s="17" t="s">
        <v>1077</v>
      </c>
      <c r="C6702" s="17">
        <v>0</v>
      </c>
      <c r="D6702" s="17" t="s">
        <v>801</v>
      </c>
      <c r="E6702" s="18">
        <v>8056095069066</v>
      </c>
      <c r="G6702" s="20" t="str">
        <f t="shared" si="312"/>
        <v xml:space="preserve"> OFIFTY          </v>
      </c>
      <c r="H6702" s="20" t="str">
        <f t="shared" si="313"/>
        <v>BISCO</v>
      </c>
      <c r="I6702" s="20">
        <f t="shared" si="314"/>
        <v>0</v>
      </c>
    </row>
    <row r="6703" spans="1:9">
      <c r="A6703" s="17" t="s">
        <v>2270</v>
      </c>
      <c r="B6703" s="17" t="s">
        <v>1077</v>
      </c>
      <c r="C6703" s="17">
        <v>0</v>
      </c>
      <c r="D6703" s="17" t="s">
        <v>801</v>
      </c>
      <c r="E6703" s="18">
        <v>3004481073000</v>
      </c>
      <c r="G6703" s="20" t="str">
        <f t="shared" si="312"/>
        <v xml:space="preserve"> OFIFTY          </v>
      </c>
      <c r="H6703" s="20" t="str">
        <f t="shared" si="313"/>
        <v>BISCO</v>
      </c>
      <c r="I6703" s="20">
        <f t="shared" si="314"/>
        <v>0</v>
      </c>
    </row>
    <row r="6704" spans="1:9">
      <c r="A6704" s="17" t="s">
        <v>2270</v>
      </c>
      <c r="B6704" s="17" t="s">
        <v>280</v>
      </c>
      <c r="C6704" s="17">
        <v>0</v>
      </c>
      <c r="D6704" s="17" t="s">
        <v>801</v>
      </c>
      <c r="E6704" s="18">
        <v>8058983592403</v>
      </c>
      <c r="G6704" s="20" t="str">
        <f t="shared" si="312"/>
        <v xml:space="preserve"> OFIFTY          </v>
      </c>
      <c r="H6704" s="20" t="str">
        <f t="shared" si="313"/>
        <v>BLACK</v>
      </c>
      <c r="I6704" s="20">
        <f t="shared" si="314"/>
        <v>0</v>
      </c>
    </row>
    <row r="6705" spans="1:9">
      <c r="A6705" s="17" t="s">
        <v>2270</v>
      </c>
      <c r="B6705" s="17" t="s">
        <v>280</v>
      </c>
      <c r="C6705" s="17">
        <v>0</v>
      </c>
      <c r="D6705" s="17" t="s">
        <v>801</v>
      </c>
      <c r="E6705" s="18">
        <v>3005140557008</v>
      </c>
      <c r="G6705" s="20" t="str">
        <f t="shared" si="312"/>
        <v xml:space="preserve"> OFIFTY          </v>
      </c>
      <c r="H6705" s="20" t="str">
        <f t="shared" si="313"/>
        <v>BLACK</v>
      </c>
      <c r="I6705" s="20">
        <f t="shared" si="314"/>
        <v>0</v>
      </c>
    </row>
    <row r="6706" spans="1:9">
      <c r="A6706" s="17" t="s">
        <v>2270</v>
      </c>
      <c r="B6706" s="17" t="s">
        <v>930</v>
      </c>
      <c r="C6706" s="17">
        <v>0</v>
      </c>
      <c r="D6706" s="17" t="s">
        <v>801</v>
      </c>
      <c r="E6706" s="18">
        <v>3004480557006</v>
      </c>
      <c r="G6706" s="20" t="str">
        <f t="shared" si="312"/>
        <v xml:space="preserve"> OFIFTY          </v>
      </c>
      <c r="H6706" s="20" t="str">
        <f t="shared" si="313"/>
        <v xml:space="preserve">BLK  </v>
      </c>
      <c r="I6706" s="20">
        <f t="shared" si="314"/>
        <v>0</v>
      </c>
    </row>
    <row r="6707" spans="1:9">
      <c r="A6707" s="17" t="s">
        <v>2270</v>
      </c>
      <c r="B6707" s="17" t="s">
        <v>814</v>
      </c>
      <c r="C6707" s="17">
        <v>0</v>
      </c>
      <c r="D6707" s="17" t="s">
        <v>801</v>
      </c>
      <c r="E6707" s="18">
        <v>8058983596234</v>
      </c>
      <c r="G6707" s="20" t="str">
        <f t="shared" si="312"/>
        <v xml:space="preserve"> OFIFTY          </v>
      </c>
      <c r="H6707" s="20" t="str">
        <f t="shared" si="313"/>
        <v>BLUAC</v>
      </c>
      <c r="I6707" s="20">
        <f t="shared" si="314"/>
        <v>0</v>
      </c>
    </row>
    <row r="6708" spans="1:9">
      <c r="A6708" s="17" t="s">
        <v>2270</v>
      </c>
      <c r="B6708" s="17" t="s">
        <v>1026</v>
      </c>
      <c r="C6708" s="17">
        <v>0</v>
      </c>
      <c r="D6708" s="17" t="s">
        <v>801</v>
      </c>
      <c r="E6708" s="18">
        <v>3004480843000</v>
      </c>
      <c r="G6708" s="20" t="str">
        <f t="shared" si="312"/>
        <v xml:space="preserve"> OFIFTY          </v>
      </c>
      <c r="H6708" s="20" t="str">
        <f t="shared" si="313"/>
        <v>BLUAV</v>
      </c>
      <c r="I6708" s="20">
        <f t="shared" si="314"/>
        <v>0</v>
      </c>
    </row>
    <row r="6709" spans="1:9">
      <c r="A6709" s="17" t="s">
        <v>2270</v>
      </c>
      <c r="B6709" s="17" t="s">
        <v>857</v>
      </c>
      <c r="C6709" s="17">
        <v>0</v>
      </c>
      <c r="D6709" s="17" t="s">
        <v>801</v>
      </c>
      <c r="E6709" s="18">
        <v>8056095069042</v>
      </c>
      <c r="G6709" s="20" t="str">
        <f t="shared" si="312"/>
        <v xml:space="preserve"> OFIFTY          </v>
      </c>
      <c r="H6709" s="20" t="str">
        <f t="shared" si="313"/>
        <v>BLUET</v>
      </c>
      <c r="I6709" s="20">
        <f t="shared" si="314"/>
        <v>0</v>
      </c>
    </row>
    <row r="6710" spans="1:9">
      <c r="A6710" s="17" t="s">
        <v>2270</v>
      </c>
      <c r="B6710" s="17" t="s">
        <v>857</v>
      </c>
      <c r="C6710" s="17">
        <v>0</v>
      </c>
      <c r="D6710" s="17" t="s">
        <v>801</v>
      </c>
      <c r="E6710" s="18">
        <v>3004481075004</v>
      </c>
      <c r="G6710" s="20" t="str">
        <f t="shared" si="312"/>
        <v xml:space="preserve"> OFIFTY          </v>
      </c>
      <c r="H6710" s="20" t="str">
        <f t="shared" si="313"/>
        <v>BLUET</v>
      </c>
      <c r="I6710" s="20">
        <f t="shared" si="314"/>
        <v>0</v>
      </c>
    </row>
    <row r="6711" spans="1:9">
      <c r="A6711" s="17" t="s">
        <v>2270</v>
      </c>
      <c r="B6711" s="17" t="s">
        <v>1101</v>
      </c>
      <c r="C6711" s="17">
        <v>0</v>
      </c>
      <c r="D6711" s="17" t="s">
        <v>801</v>
      </c>
      <c r="E6711" s="18">
        <v>8058983596227</v>
      </c>
      <c r="G6711" s="20" t="str">
        <f t="shared" si="312"/>
        <v xml:space="preserve"> OFIFTY          </v>
      </c>
      <c r="H6711" s="20" t="str">
        <f t="shared" si="313"/>
        <v xml:space="preserve">BOR  </v>
      </c>
      <c r="I6711" s="20">
        <f t="shared" si="314"/>
        <v>0</v>
      </c>
    </row>
    <row r="6712" spans="1:9">
      <c r="A6712" s="17" t="s">
        <v>2270</v>
      </c>
      <c r="B6712" s="17" t="s">
        <v>1101</v>
      </c>
      <c r="C6712" s="17">
        <v>0</v>
      </c>
      <c r="D6712" s="17" t="s">
        <v>801</v>
      </c>
      <c r="E6712" s="18">
        <v>3005140308006</v>
      </c>
      <c r="G6712" s="20" t="str">
        <f t="shared" si="312"/>
        <v xml:space="preserve"> OFIFTY          </v>
      </c>
      <c r="H6712" s="20" t="str">
        <f t="shared" si="313"/>
        <v xml:space="preserve">BOR  </v>
      </c>
      <c r="I6712" s="20">
        <f t="shared" si="314"/>
        <v>0</v>
      </c>
    </row>
    <row r="6713" spans="1:9">
      <c r="A6713" s="17" t="s">
        <v>2270</v>
      </c>
      <c r="B6713" s="17" t="s">
        <v>1447</v>
      </c>
      <c r="C6713" s="17">
        <v>0</v>
      </c>
      <c r="D6713" s="17" t="s">
        <v>801</v>
      </c>
      <c r="E6713" s="18">
        <v>8056300459873</v>
      </c>
      <c r="G6713" s="20" t="str">
        <f t="shared" si="312"/>
        <v xml:space="preserve"> OFIFTY          </v>
      </c>
      <c r="H6713" s="20" t="str">
        <f t="shared" si="313"/>
        <v xml:space="preserve">FRAG </v>
      </c>
      <c r="I6713" s="20">
        <f t="shared" si="314"/>
        <v>0</v>
      </c>
    </row>
    <row r="6714" spans="1:9">
      <c r="A6714" s="17" t="s">
        <v>2270</v>
      </c>
      <c r="B6714" s="17" t="s">
        <v>1447</v>
      </c>
      <c r="C6714" s="17">
        <v>0</v>
      </c>
      <c r="D6714" s="17" t="s">
        <v>801</v>
      </c>
      <c r="E6714" s="18">
        <v>3004480844007</v>
      </c>
      <c r="G6714" s="20" t="str">
        <f t="shared" si="312"/>
        <v xml:space="preserve"> OFIFTY          </v>
      </c>
      <c r="H6714" s="20" t="str">
        <f t="shared" si="313"/>
        <v xml:space="preserve">FRAG </v>
      </c>
      <c r="I6714" s="20">
        <f t="shared" si="314"/>
        <v>0</v>
      </c>
    </row>
    <row r="6715" spans="1:9">
      <c r="A6715" s="17" t="s">
        <v>2270</v>
      </c>
      <c r="B6715" s="17" t="s">
        <v>1661</v>
      </c>
      <c r="C6715" s="17">
        <v>0</v>
      </c>
      <c r="D6715" s="17" t="s">
        <v>801</v>
      </c>
      <c r="E6715" s="18">
        <v>8058983596241</v>
      </c>
      <c r="G6715" s="20" t="str">
        <f t="shared" si="312"/>
        <v xml:space="preserve"> OFIFTY          </v>
      </c>
      <c r="H6715" s="20" t="str">
        <f t="shared" si="313"/>
        <v>GRAFI</v>
      </c>
      <c r="I6715" s="20">
        <f t="shared" si="314"/>
        <v>0</v>
      </c>
    </row>
    <row r="6716" spans="1:9">
      <c r="A6716" s="17" t="s">
        <v>2270</v>
      </c>
      <c r="B6716" s="17" t="s">
        <v>1430</v>
      </c>
      <c r="C6716" s="17">
        <v>0</v>
      </c>
      <c r="D6716" s="17" t="s">
        <v>801</v>
      </c>
      <c r="E6716" s="18">
        <v>3004480498002</v>
      </c>
      <c r="G6716" s="20" t="str">
        <f t="shared" si="312"/>
        <v xml:space="preserve"> OFIFTY          </v>
      </c>
      <c r="H6716" s="20" t="str">
        <f t="shared" si="313"/>
        <v xml:space="preserve">IRIS </v>
      </c>
      <c r="I6716" s="20">
        <f t="shared" si="314"/>
        <v>0</v>
      </c>
    </row>
    <row r="6717" spans="1:9">
      <c r="A6717" s="17" t="s">
        <v>2270</v>
      </c>
      <c r="B6717" s="17" t="s">
        <v>838</v>
      </c>
      <c r="C6717" s="17">
        <v>0</v>
      </c>
      <c r="D6717" s="17" t="s">
        <v>801</v>
      </c>
      <c r="E6717" s="18">
        <v>8058333588858</v>
      </c>
      <c r="G6717" s="20" t="str">
        <f t="shared" si="312"/>
        <v xml:space="preserve"> OFIFTY          </v>
      </c>
      <c r="H6717" s="20" t="str">
        <f t="shared" si="313"/>
        <v>IVOIR</v>
      </c>
      <c r="I6717" s="20">
        <f t="shared" si="314"/>
        <v>0</v>
      </c>
    </row>
    <row r="6718" spans="1:9">
      <c r="A6718" s="17" t="s">
        <v>2270</v>
      </c>
      <c r="B6718" s="17" t="s">
        <v>838</v>
      </c>
      <c r="C6718" s="17">
        <v>0</v>
      </c>
      <c r="D6718" s="17" t="s">
        <v>801</v>
      </c>
      <c r="E6718" s="18">
        <v>3005141023007</v>
      </c>
      <c r="G6718" s="20" t="str">
        <f t="shared" si="312"/>
        <v xml:space="preserve"> OFIFTY          </v>
      </c>
      <c r="H6718" s="20" t="str">
        <f t="shared" si="313"/>
        <v>IVOIR</v>
      </c>
      <c r="I6718" s="20">
        <f t="shared" si="314"/>
        <v>0</v>
      </c>
    </row>
    <row r="6719" spans="1:9">
      <c r="A6719" s="17" t="s">
        <v>2270</v>
      </c>
      <c r="B6719" s="17" t="s">
        <v>838</v>
      </c>
      <c r="C6719" s="17">
        <v>0</v>
      </c>
      <c r="D6719" s="17" t="s">
        <v>801</v>
      </c>
      <c r="E6719" s="18">
        <v>3004480503003</v>
      </c>
      <c r="G6719" s="20" t="str">
        <f t="shared" si="312"/>
        <v xml:space="preserve"> OFIFTY          </v>
      </c>
      <c r="H6719" s="20" t="str">
        <f t="shared" si="313"/>
        <v>IVOIR</v>
      </c>
      <c r="I6719" s="20">
        <f t="shared" si="314"/>
        <v>0</v>
      </c>
    </row>
    <row r="6720" spans="1:9">
      <c r="A6720" s="17" t="s">
        <v>2270</v>
      </c>
      <c r="B6720" s="17" t="s">
        <v>1105</v>
      </c>
      <c r="C6720" s="17">
        <v>0</v>
      </c>
      <c r="D6720" s="17" t="s">
        <v>801</v>
      </c>
      <c r="E6720" s="18">
        <v>3005140667004</v>
      </c>
      <c r="G6720" s="20" t="str">
        <f t="shared" si="312"/>
        <v xml:space="preserve"> OFIFTY          </v>
      </c>
      <c r="H6720" s="20" t="str">
        <f t="shared" si="313"/>
        <v>MARSA</v>
      </c>
      <c r="I6720" s="20">
        <f t="shared" si="314"/>
        <v>0</v>
      </c>
    </row>
    <row r="6721" spans="1:9">
      <c r="A6721" s="17" t="s">
        <v>2270</v>
      </c>
      <c r="B6721" s="17" t="s">
        <v>2031</v>
      </c>
      <c r="C6721" s="17">
        <v>0</v>
      </c>
      <c r="D6721" s="17" t="s">
        <v>801</v>
      </c>
      <c r="E6721" s="18">
        <v>8056300459880</v>
      </c>
      <c r="G6721" s="20" t="str">
        <f t="shared" si="312"/>
        <v xml:space="preserve"> OFIFTY          </v>
      </c>
      <c r="H6721" s="20" t="str">
        <f t="shared" si="313"/>
        <v>NARCI</v>
      </c>
      <c r="I6721" s="20">
        <f t="shared" si="314"/>
        <v>0</v>
      </c>
    </row>
    <row r="6722" spans="1:9">
      <c r="A6722" s="17" t="s">
        <v>2270</v>
      </c>
      <c r="B6722" s="17" t="s">
        <v>1078</v>
      </c>
      <c r="C6722" s="17">
        <v>0</v>
      </c>
      <c r="D6722" s="17" t="s">
        <v>801</v>
      </c>
      <c r="E6722" s="18">
        <v>8058983596210</v>
      </c>
      <c r="G6722" s="20" t="str">
        <f t="shared" si="312"/>
        <v xml:space="preserve"> OFIFTY          </v>
      </c>
      <c r="H6722" s="20" t="str">
        <f t="shared" si="313"/>
        <v xml:space="preserve">NAVY </v>
      </c>
      <c r="I6722" s="20">
        <f t="shared" si="314"/>
        <v>0</v>
      </c>
    </row>
    <row r="6723" spans="1:9">
      <c r="A6723" s="17" t="s">
        <v>2270</v>
      </c>
      <c r="B6723" s="17" t="s">
        <v>1078</v>
      </c>
      <c r="C6723" s="17">
        <v>0</v>
      </c>
      <c r="D6723" s="17" t="s">
        <v>801</v>
      </c>
      <c r="E6723" s="18">
        <v>3004480494004</v>
      </c>
      <c r="G6723" s="20" t="str">
        <f t="shared" si="312"/>
        <v xml:space="preserve"> OFIFTY          </v>
      </c>
      <c r="H6723" s="20" t="str">
        <f t="shared" si="313"/>
        <v xml:space="preserve">NAVY </v>
      </c>
      <c r="I6723" s="20">
        <f t="shared" si="314"/>
        <v>0</v>
      </c>
    </row>
    <row r="6724" spans="1:9">
      <c r="A6724" s="17" t="s">
        <v>2270</v>
      </c>
      <c r="B6724" s="17" t="s">
        <v>971</v>
      </c>
      <c r="C6724" s="17">
        <v>0</v>
      </c>
      <c r="D6724" s="17" t="s">
        <v>801</v>
      </c>
      <c r="E6724" s="18">
        <v>3005140394009</v>
      </c>
      <c r="G6724" s="20" t="str">
        <f t="shared" si="312"/>
        <v xml:space="preserve"> OFIFTY          </v>
      </c>
      <c r="H6724" s="20" t="str">
        <f t="shared" si="313"/>
        <v>OTTAN</v>
      </c>
      <c r="I6724" s="20">
        <f t="shared" si="314"/>
        <v>0</v>
      </c>
    </row>
    <row r="6725" spans="1:9">
      <c r="A6725" s="17" t="s">
        <v>2270</v>
      </c>
      <c r="B6725" s="17" t="s">
        <v>283</v>
      </c>
      <c r="C6725" s="17">
        <v>0</v>
      </c>
      <c r="D6725" s="17" t="s">
        <v>801</v>
      </c>
      <c r="E6725" s="18">
        <v>8056095069028</v>
      </c>
      <c r="G6725" s="20" t="str">
        <f t="shared" ref="G6725:G6788" si="315">A6725</f>
        <v xml:space="preserve"> OFIFTY          </v>
      </c>
      <c r="H6725" s="20" t="str">
        <f t="shared" ref="H6725:H6788" si="316">B6725</f>
        <v>PHARD</v>
      </c>
      <c r="I6725" s="20">
        <f t="shared" ref="I6725:I6788" si="317">C6725</f>
        <v>0</v>
      </c>
    </row>
    <row r="6726" spans="1:9">
      <c r="A6726" s="17" t="s">
        <v>2270</v>
      </c>
      <c r="B6726" s="17" t="s">
        <v>283</v>
      </c>
      <c r="C6726" s="17">
        <v>0</v>
      </c>
      <c r="D6726" s="17" t="s">
        <v>801</v>
      </c>
      <c r="E6726" s="18">
        <v>3004480871003</v>
      </c>
      <c r="G6726" s="20" t="str">
        <f t="shared" si="315"/>
        <v xml:space="preserve"> OFIFTY          </v>
      </c>
      <c r="H6726" s="20" t="str">
        <f t="shared" si="316"/>
        <v>PHARD</v>
      </c>
      <c r="I6726" s="20">
        <f t="shared" si="317"/>
        <v>0</v>
      </c>
    </row>
    <row r="6727" spans="1:9">
      <c r="A6727" s="17" t="s">
        <v>2270</v>
      </c>
      <c r="B6727" s="17" t="s">
        <v>1438</v>
      </c>
      <c r="C6727" s="17">
        <v>0</v>
      </c>
      <c r="D6727" s="17" t="s">
        <v>801</v>
      </c>
      <c r="E6727" s="18">
        <v>3004480692004</v>
      </c>
      <c r="G6727" s="20" t="str">
        <f t="shared" si="315"/>
        <v xml:space="preserve"> OFIFTY          </v>
      </c>
      <c r="H6727" s="20" t="str">
        <f t="shared" si="316"/>
        <v>POLVE</v>
      </c>
      <c r="I6727" s="20">
        <f t="shared" si="317"/>
        <v>0</v>
      </c>
    </row>
    <row r="6728" spans="1:9">
      <c r="A6728" s="17" t="s">
        <v>2270</v>
      </c>
      <c r="B6728" s="17" t="s">
        <v>1097</v>
      </c>
      <c r="C6728" s="17">
        <v>0</v>
      </c>
      <c r="D6728" s="17" t="s">
        <v>801</v>
      </c>
      <c r="E6728" s="18">
        <v>3005140540000</v>
      </c>
      <c r="G6728" s="20" t="str">
        <f t="shared" si="315"/>
        <v xml:space="preserve"> OFIFTY          </v>
      </c>
      <c r="H6728" s="20" t="str">
        <f t="shared" si="316"/>
        <v xml:space="preserve">PORP </v>
      </c>
      <c r="I6728" s="20">
        <f t="shared" si="317"/>
        <v>0</v>
      </c>
    </row>
    <row r="6729" spans="1:9">
      <c r="A6729" s="17" t="s">
        <v>2270</v>
      </c>
      <c r="B6729" s="17" t="s">
        <v>1097</v>
      </c>
      <c r="C6729" s="17">
        <v>0</v>
      </c>
      <c r="D6729" s="17" t="s">
        <v>801</v>
      </c>
      <c r="E6729" s="18">
        <v>8058333588889</v>
      </c>
      <c r="G6729" s="20" t="str">
        <f t="shared" si="315"/>
        <v xml:space="preserve"> OFIFTY          </v>
      </c>
      <c r="H6729" s="20" t="str">
        <f t="shared" si="316"/>
        <v xml:space="preserve">PORP </v>
      </c>
      <c r="I6729" s="20">
        <f t="shared" si="317"/>
        <v>0</v>
      </c>
    </row>
    <row r="6730" spans="1:9">
      <c r="A6730" s="17" t="s">
        <v>2270</v>
      </c>
      <c r="B6730" s="17" t="s">
        <v>816</v>
      </c>
      <c r="C6730" s="17">
        <v>0</v>
      </c>
      <c r="D6730" s="17" t="s">
        <v>801</v>
      </c>
      <c r="E6730" s="18">
        <v>8050538590964</v>
      </c>
      <c r="G6730" s="20" t="str">
        <f t="shared" si="315"/>
        <v xml:space="preserve"> OFIFTY          </v>
      </c>
      <c r="H6730" s="20" t="str">
        <f t="shared" si="316"/>
        <v xml:space="preserve">RED  </v>
      </c>
      <c r="I6730" s="20">
        <f t="shared" si="317"/>
        <v>0</v>
      </c>
    </row>
    <row r="6731" spans="1:9">
      <c r="A6731" s="17" t="s">
        <v>2270</v>
      </c>
      <c r="B6731" s="17" t="s">
        <v>1237</v>
      </c>
      <c r="C6731" s="17">
        <v>0</v>
      </c>
      <c r="D6731" s="17" t="s">
        <v>801</v>
      </c>
      <c r="E6731" s="18">
        <v>3005140612004</v>
      </c>
      <c r="G6731" s="20" t="str">
        <f t="shared" si="315"/>
        <v xml:space="preserve"> OFIFTY          </v>
      </c>
      <c r="H6731" s="20" t="str">
        <f t="shared" si="316"/>
        <v xml:space="preserve">ROCK </v>
      </c>
      <c r="I6731" s="20">
        <f t="shared" si="317"/>
        <v>0</v>
      </c>
    </row>
    <row r="6732" spans="1:9">
      <c r="A6732" s="17" t="s">
        <v>2270</v>
      </c>
      <c r="B6732" s="17" t="s">
        <v>1237</v>
      </c>
      <c r="C6732" s="17">
        <v>0</v>
      </c>
      <c r="D6732" s="17" t="s">
        <v>801</v>
      </c>
      <c r="E6732" s="18">
        <v>8058333588896</v>
      </c>
      <c r="G6732" s="20" t="str">
        <f t="shared" si="315"/>
        <v xml:space="preserve"> OFIFTY          </v>
      </c>
      <c r="H6732" s="20" t="str">
        <f t="shared" si="316"/>
        <v xml:space="preserve">ROCK </v>
      </c>
      <c r="I6732" s="20">
        <f t="shared" si="317"/>
        <v>0</v>
      </c>
    </row>
    <row r="6733" spans="1:9">
      <c r="A6733" s="17" t="s">
        <v>2270</v>
      </c>
      <c r="B6733" s="17" t="s">
        <v>1238</v>
      </c>
      <c r="C6733" s="17">
        <v>0</v>
      </c>
      <c r="D6733" s="17" t="s">
        <v>801</v>
      </c>
      <c r="E6733" s="18">
        <v>3004480479001</v>
      </c>
      <c r="G6733" s="20" t="str">
        <f t="shared" si="315"/>
        <v xml:space="preserve"> OFIFTY          </v>
      </c>
      <c r="H6733" s="20" t="str">
        <f t="shared" si="316"/>
        <v>ROSMO</v>
      </c>
      <c r="I6733" s="20">
        <f t="shared" si="317"/>
        <v>0</v>
      </c>
    </row>
    <row r="6734" spans="1:9">
      <c r="A6734" s="17" t="s">
        <v>2270</v>
      </c>
      <c r="B6734" s="17" t="s">
        <v>1238</v>
      </c>
      <c r="C6734" s="17">
        <v>0</v>
      </c>
      <c r="D6734" s="17" t="s">
        <v>801</v>
      </c>
      <c r="E6734" s="18">
        <v>8058983592427</v>
      </c>
      <c r="G6734" s="20" t="str">
        <f t="shared" si="315"/>
        <v xml:space="preserve"> OFIFTY          </v>
      </c>
      <c r="H6734" s="20" t="str">
        <f t="shared" si="316"/>
        <v>ROSMO</v>
      </c>
      <c r="I6734" s="20">
        <f t="shared" si="317"/>
        <v>0</v>
      </c>
    </row>
    <row r="6735" spans="1:9">
      <c r="A6735" s="17" t="s">
        <v>2270</v>
      </c>
      <c r="B6735" s="17" t="s">
        <v>1663</v>
      </c>
      <c r="C6735" s="17">
        <v>0</v>
      </c>
      <c r="D6735" s="17" t="s">
        <v>801</v>
      </c>
      <c r="E6735" s="18">
        <v>3004481313007</v>
      </c>
      <c r="G6735" s="20" t="str">
        <f t="shared" si="315"/>
        <v xml:space="preserve"> OFIFTY          </v>
      </c>
      <c r="H6735" s="20" t="str">
        <f t="shared" si="316"/>
        <v>SANGR</v>
      </c>
      <c r="I6735" s="20">
        <f t="shared" si="317"/>
        <v>0</v>
      </c>
    </row>
    <row r="6736" spans="1:9">
      <c r="A6736" s="17" t="s">
        <v>2270</v>
      </c>
      <c r="B6736" s="17" t="s">
        <v>1079</v>
      </c>
      <c r="C6736" s="17">
        <v>0</v>
      </c>
      <c r="D6736" s="17" t="s">
        <v>801</v>
      </c>
      <c r="E6736" s="18">
        <v>8058983596258</v>
      </c>
      <c r="G6736" s="20" t="str">
        <f t="shared" si="315"/>
        <v xml:space="preserve"> OFIFTY          </v>
      </c>
      <c r="H6736" s="20" t="str">
        <f t="shared" si="316"/>
        <v xml:space="preserve">SLVG </v>
      </c>
      <c r="I6736" s="20">
        <f t="shared" si="317"/>
        <v>0</v>
      </c>
    </row>
    <row r="6737" spans="1:9">
      <c r="A6737" s="17" t="s">
        <v>2270</v>
      </c>
      <c r="B6737" s="17" t="s">
        <v>919</v>
      </c>
      <c r="C6737" s="17">
        <v>0</v>
      </c>
      <c r="D6737" s="17" t="s">
        <v>801</v>
      </c>
      <c r="E6737" s="18">
        <v>3005141178004</v>
      </c>
      <c r="G6737" s="20" t="str">
        <f t="shared" si="315"/>
        <v xml:space="preserve"> OFIFTY          </v>
      </c>
      <c r="H6737" s="20" t="str">
        <f t="shared" si="316"/>
        <v>TESTA</v>
      </c>
      <c r="I6737" s="20">
        <f t="shared" si="317"/>
        <v>0</v>
      </c>
    </row>
    <row r="6738" spans="1:9">
      <c r="A6738" s="17" t="s">
        <v>2270</v>
      </c>
      <c r="B6738" s="17" t="s">
        <v>919</v>
      </c>
      <c r="C6738" s="17">
        <v>0</v>
      </c>
      <c r="D6738" s="17" t="s">
        <v>801</v>
      </c>
      <c r="E6738" s="18">
        <v>8058333588902</v>
      </c>
      <c r="G6738" s="20" t="str">
        <f t="shared" si="315"/>
        <v xml:space="preserve"> OFIFTY          </v>
      </c>
      <c r="H6738" s="20" t="str">
        <f t="shared" si="316"/>
        <v>TESTA</v>
      </c>
      <c r="I6738" s="20">
        <f t="shared" si="317"/>
        <v>0</v>
      </c>
    </row>
    <row r="6739" spans="1:9">
      <c r="A6739" s="17" t="s">
        <v>2270</v>
      </c>
      <c r="B6739" s="17" t="s">
        <v>1664</v>
      </c>
      <c r="C6739" s="17">
        <v>0</v>
      </c>
      <c r="D6739" s="17" t="s">
        <v>801</v>
      </c>
      <c r="E6739" s="18">
        <v>8056095069059</v>
      </c>
      <c r="G6739" s="20" t="str">
        <f t="shared" si="315"/>
        <v xml:space="preserve"> OFIFTY          </v>
      </c>
      <c r="H6739" s="20" t="str">
        <f t="shared" si="316"/>
        <v>VERAN</v>
      </c>
      <c r="I6739" s="20">
        <f t="shared" si="317"/>
        <v>0</v>
      </c>
    </row>
    <row r="6740" spans="1:9">
      <c r="A6740" s="17" t="s">
        <v>2270</v>
      </c>
      <c r="B6740" s="17" t="s">
        <v>1664</v>
      </c>
      <c r="C6740" s="17">
        <v>0</v>
      </c>
      <c r="D6740" s="17" t="s">
        <v>801</v>
      </c>
      <c r="E6740" s="18">
        <v>3004481079002</v>
      </c>
      <c r="G6740" s="20" t="str">
        <f t="shared" si="315"/>
        <v xml:space="preserve"> OFIFTY          </v>
      </c>
      <c r="H6740" s="20" t="str">
        <f t="shared" si="316"/>
        <v>VERAN</v>
      </c>
      <c r="I6740" s="20">
        <f t="shared" si="317"/>
        <v>0</v>
      </c>
    </row>
    <row r="6741" spans="1:9">
      <c r="A6741" s="17" t="s">
        <v>2270</v>
      </c>
      <c r="B6741" s="17" t="s">
        <v>811</v>
      </c>
      <c r="C6741" s="17">
        <v>0</v>
      </c>
      <c r="D6741" s="17" t="s">
        <v>801</v>
      </c>
      <c r="E6741" s="18">
        <v>8058983596265</v>
      </c>
      <c r="G6741" s="20" t="str">
        <f t="shared" si="315"/>
        <v xml:space="preserve"> OFIFTY          </v>
      </c>
      <c r="H6741" s="20" t="str">
        <f t="shared" si="316"/>
        <v xml:space="preserve">VERT </v>
      </c>
      <c r="I6741" s="20">
        <f t="shared" si="317"/>
        <v>0</v>
      </c>
    </row>
    <row r="6742" spans="1:9">
      <c r="A6742" s="17" t="s">
        <v>2270</v>
      </c>
      <c r="B6742" s="17" t="s">
        <v>811</v>
      </c>
      <c r="C6742" s="17">
        <v>0</v>
      </c>
      <c r="D6742" s="17" t="s">
        <v>801</v>
      </c>
      <c r="E6742" s="18">
        <v>3005140659009</v>
      </c>
      <c r="G6742" s="20" t="str">
        <f t="shared" si="315"/>
        <v xml:space="preserve"> OFIFTY          </v>
      </c>
      <c r="H6742" s="20" t="str">
        <f t="shared" si="316"/>
        <v xml:space="preserve">VERT </v>
      </c>
      <c r="I6742" s="20">
        <f t="shared" si="317"/>
        <v>0</v>
      </c>
    </row>
    <row r="6743" spans="1:9">
      <c r="A6743" s="17" t="s">
        <v>2270</v>
      </c>
      <c r="B6743" s="17" t="s">
        <v>1442</v>
      </c>
      <c r="C6743" s="17">
        <v>0</v>
      </c>
      <c r="D6743" s="17" t="s">
        <v>801</v>
      </c>
      <c r="E6743" s="18">
        <v>8056095069035</v>
      </c>
      <c r="G6743" s="20" t="str">
        <f t="shared" si="315"/>
        <v xml:space="preserve"> OFIFTY          </v>
      </c>
      <c r="H6743" s="20" t="str">
        <f t="shared" si="316"/>
        <v>VIODE</v>
      </c>
      <c r="I6743" s="20">
        <f t="shared" si="317"/>
        <v>0</v>
      </c>
    </row>
    <row r="6744" spans="1:9">
      <c r="A6744" s="17" t="s">
        <v>2270</v>
      </c>
      <c r="B6744" s="17" t="s">
        <v>1442</v>
      </c>
      <c r="C6744" s="17">
        <v>0</v>
      </c>
      <c r="D6744" s="17" t="s">
        <v>801</v>
      </c>
      <c r="E6744" s="18">
        <v>3004480489000</v>
      </c>
      <c r="G6744" s="20" t="str">
        <f t="shared" si="315"/>
        <v xml:space="preserve"> OFIFTY          </v>
      </c>
      <c r="H6744" s="20" t="str">
        <f t="shared" si="316"/>
        <v>VIODE</v>
      </c>
      <c r="I6744" s="20">
        <f t="shared" si="317"/>
        <v>0</v>
      </c>
    </row>
    <row r="6745" spans="1:9">
      <c r="A6745" s="17" t="s">
        <v>2270</v>
      </c>
      <c r="B6745" s="17" t="s">
        <v>927</v>
      </c>
      <c r="C6745" s="17">
        <v>0</v>
      </c>
      <c r="D6745" s="17" t="s">
        <v>801</v>
      </c>
      <c r="E6745" s="18">
        <v>3005140952001</v>
      </c>
      <c r="G6745" s="20" t="str">
        <f t="shared" si="315"/>
        <v xml:space="preserve"> OFIFTY          </v>
      </c>
      <c r="H6745" s="20" t="str">
        <f t="shared" si="316"/>
        <v xml:space="preserve">VOLC </v>
      </c>
      <c r="I6745" s="20">
        <f t="shared" si="317"/>
        <v>0</v>
      </c>
    </row>
    <row r="6746" spans="1:9">
      <c r="A6746" s="17" t="s">
        <v>2271</v>
      </c>
      <c r="B6746" s="17" t="s">
        <v>1923</v>
      </c>
      <c r="C6746" s="17">
        <v>0</v>
      </c>
      <c r="D6746" s="17" t="s">
        <v>801</v>
      </c>
      <c r="E6746" s="18">
        <v>3005410814008</v>
      </c>
      <c r="G6746" s="20" t="str">
        <f t="shared" si="315"/>
        <v xml:space="preserve"> OFIFTYSOFT      </v>
      </c>
      <c r="H6746" s="20" t="str">
        <f t="shared" si="316"/>
        <v>BROBI</v>
      </c>
      <c r="I6746" s="20">
        <f t="shared" si="317"/>
        <v>0</v>
      </c>
    </row>
    <row r="6747" spans="1:9">
      <c r="A6747" s="17" t="s">
        <v>2271</v>
      </c>
      <c r="B6747" s="17" t="s">
        <v>1923</v>
      </c>
      <c r="C6747" s="17">
        <v>0</v>
      </c>
      <c r="D6747" s="17" t="s">
        <v>801</v>
      </c>
      <c r="E6747" s="18">
        <v>8056095064566</v>
      </c>
      <c r="G6747" s="20" t="str">
        <f t="shared" si="315"/>
        <v xml:space="preserve"> OFIFTYSOFT      </v>
      </c>
      <c r="H6747" s="20" t="str">
        <f t="shared" si="316"/>
        <v>BROBI</v>
      </c>
      <c r="I6747" s="20">
        <f t="shared" si="317"/>
        <v>0</v>
      </c>
    </row>
    <row r="6748" spans="1:9">
      <c r="A6748" s="17" t="s">
        <v>2271</v>
      </c>
      <c r="B6748" s="17" t="s">
        <v>1274</v>
      </c>
      <c r="C6748" s="17">
        <v>0</v>
      </c>
      <c r="D6748" s="17" t="s">
        <v>801</v>
      </c>
      <c r="E6748" s="18">
        <v>3005410816002</v>
      </c>
      <c r="G6748" s="20" t="str">
        <f t="shared" si="315"/>
        <v xml:space="preserve"> OFIFTYSOFT      </v>
      </c>
      <c r="H6748" s="20" t="str">
        <f t="shared" si="316"/>
        <v>BRODE</v>
      </c>
      <c r="I6748" s="20">
        <f t="shared" si="317"/>
        <v>0</v>
      </c>
    </row>
    <row r="6749" spans="1:9">
      <c r="A6749" s="17" t="s">
        <v>2271</v>
      </c>
      <c r="B6749" s="17" t="s">
        <v>938</v>
      </c>
      <c r="C6749" s="17" t="s">
        <v>799</v>
      </c>
      <c r="D6749" s="17" t="s">
        <v>801</v>
      </c>
      <c r="E6749" s="18">
        <v>8056300455387</v>
      </c>
      <c r="G6749" s="20" t="str">
        <f t="shared" si="315"/>
        <v xml:space="preserve"> OFIFTYSOFT      </v>
      </c>
      <c r="H6749" s="20" t="str">
        <f t="shared" si="316"/>
        <v>CHADM</v>
      </c>
      <c r="I6749" s="20" t="str">
        <f t="shared" si="317"/>
        <v xml:space="preserve">     </v>
      </c>
    </row>
    <row r="6750" spans="1:9">
      <c r="A6750" s="17" t="s">
        <v>2271</v>
      </c>
      <c r="B6750" s="17" t="s">
        <v>938</v>
      </c>
      <c r="C6750" s="17">
        <v>0</v>
      </c>
      <c r="D6750" s="17" t="s">
        <v>801</v>
      </c>
      <c r="E6750" s="18">
        <v>3004751002006</v>
      </c>
      <c r="G6750" s="20" t="str">
        <f t="shared" si="315"/>
        <v xml:space="preserve"> OFIFTYSOFT      </v>
      </c>
      <c r="H6750" s="20" t="str">
        <f t="shared" si="316"/>
        <v>CHADM</v>
      </c>
      <c r="I6750" s="20">
        <f t="shared" si="317"/>
        <v>0</v>
      </c>
    </row>
    <row r="6751" spans="1:9">
      <c r="A6751" s="17" t="s">
        <v>2271</v>
      </c>
      <c r="B6751" s="17" t="s">
        <v>938</v>
      </c>
      <c r="C6751" s="17">
        <v>0</v>
      </c>
      <c r="D6751" s="17" t="s">
        <v>801</v>
      </c>
      <c r="E6751" s="18">
        <v>3005411002008</v>
      </c>
      <c r="G6751" s="20" t="str">
        <f t="shared" si="315"/>
        <v xml:space="preserve"> OFIFTYSOFT      </v>
      </c>
      <c r="H6751" s="20" t="str">
        <f t="shared" si="316"/>
        <v>CHADM</v>
      </c>
      <c r="I6751" s="20">
        <f t="shared" si="317"/>
        <v>0</v>
      </c>
    </row>
    <row r="6752" spans="1:9">
      <c r="A6752" s="17" t="s">
        <v>2271</v>
      </c>
      <c r="B6752" s="17" t="s">
        <v>939</v>
      </c>
      <c r="C6752" s="17">
        <v>0</v>
      </c>
      <c r="D6752" s="17" t="s">
        <v>801</v>
      </c>
      <c r="E6752" s="18">
        <v>3005410669004</v>
      </c>
      <c r="G6752" s="20" t="str">
        <f t="shared" si="315"/>
        <v xml:space="preserve"> OFIFTYSOFT      </v>
      </c>
      <c r="H6752" s="20" t="str">
        <f t="shared" si="316"/>
        <v>CHAMU</v>
      </c>
      <c r="I6752" s="20">
        <f t="shared" si="317"/>
        <v>0</v>
      </c>
    </row>
    <row r="6753" spans="1:9">
      <c r="A6753" s="17" t="s">
        <v>2271</v>
      </c>
      <c r="B6753" s="17" t="s">
        <v>1294</v>
      </c>
      <c r="C6753" s="17">
        <v>0</v>
      </c>
      <c r="D6753" s="17" t="s">
        <v>801</v>
      </c>
      <c r="E6753" s="18">
        <v>3004750846007</v>
      </c>
      <c r="G6753" s="20" t="str">
        <f t="shared" si="315"/>
        <v xml:space="preserve"> OFIFTYSOFT      </v>
      </c>
      <c r="H6753" s="20" t="str">
        <f t="shared" si="316"/>
        <v>CHARO</v>
      </c>
      <c r="I6753" s="20">
        <f t="shared" si="317"/>
        <v>0</v>
      </c>
    </row>
    <row r="6754" spans="1:9">
      <c r="A6754" s="17" t="s">
        <v>2271</v>
      </c>
      <c r="B6754" s="17" t="s">
        <v>1294</v>
      </c>
      <c r="C6754" s="17">
        <v>0</v>
      </c>
      <c r="D6754" s="17" t="s">
        <v>801</v>
      </c>
      <c r="E6754" s="18">
        <v>3005410552009</v>
      </c>
      <c r="G6754" s="20" t="str">
        <f t="shared" si="315"/>
        <v xml:space="preserve"> OFIFTYSOFT      </v>
      </c>
      <c r="H6754" s="20" t="str">
        <f t="shared" si="316"/>
        <v>CHARO</v>
      </c>
      <c r="I6754" s="20">
        <f t="shared" si="317"/>
        <v>0</v>
      </c>
    </row>
    <row r="6755" spans="1:9">
      <c r="A6755" s="17" t="s">
        <v>2271</v>
      </c>
      <c r="B6755" s="17" t="s">
        <v>1541</v>
      </c>
      <c r="C6755" s="17">
        <v>0</v>
      </c>
      <c r="D6755" s="17" t="s">
        <v>801</v>
      </c>
      <c r="E6755" s="18">
        <v>3005410828005</v>
      </c>
      <c r="G6755" s="20" t="str">
        <f t="shared" si="315"/>
        <v xml:space="preserve"> OFIFTYSOFT      </v>
      </c>
      <c r="H6755" s="20" t="str">
        <f t="shared" si="316"/>
        <v>DENIV</v>
      </c>
      <c r="I6755" s="20">
        <f t="shared" si="317"/>
        <v>0</v>
      </c>
    </row>
    <row r="6756" spans="1:9">
      <c r="A6756" s="17" t="s">
        <v>2271</v>
      </c>
      <c r="B6756" s="17" t="s">
        <v>1541</v>
      </c>
      <c r="C6756" s="17">
        <v>0</v>
      </c>
      <c r="D6756" s="17" t="s">
        <v>801</v>
      </c>
      <c r="E6756" s="18">
        <v>8056095064573</v>
      </c>
      <c r="G6756" s="20" t="str">
        <f t="shared" si="315"/>
        <v xml:space="preserve"> OFIFTYSOFT      </v>
      </c>
      <c r="H6756" s="20" t="str">
        <f t="shared" si="316"/>
        <v>DENIV</v>
      </c>
      <c r="I6756" s="20">
        <f t="shared" si="317"/>
        <v>0</v>
      </c>
    </row>
    <row r="6757" spans="1:9">
      <c r="A6757" s="17" t="s">
        <v>2271</v>
      </c>
      <c r="B6757" s="17" t="s">
        <v>2272</v>
      </c>
      <c r="C6757" s="17">
        <v>0</v>
      </c>
      <c r="D6757" s="17" t="s">
        <v>801</v>
      </c>
      <c r="E6757" s="18">
        <v>3004751330000</v>
      </c>
      <c r="G6757" s="20" t="str">
        <f t="shared" si="315"/>
        <v xml:space="preserve"> OFIFTYSOFT      </v>
      </c>
      <c r="H6757" s="20" t="str">
        <f t="shared" si="316"/>
        <v>GOMBL</v>
      </c>
      <c r="I6757" s="20">
        <f t="shared" si="317"/>
        <v>0</v>
      </c>
    </row>
    <row r="6758" spans="1:9">
      <c r="A6758" s="17" t="s">
        <v>2271</v>
      </c>
      <c r="B6758" s="17" t="s">
        <v>2272</v>
      </c>
      <c r="C6758" s="17">
        <v>0</v>
      </c>
      <c r="D6758" s="17" t="s">
        <v>801</v>
      </c>
      <c r="E6758" s="18">
        <v>8056099173219</v>
      </c>
      <c r="G6758" s="20" t="str">
        <f t="shared" si="315"/>
        <v xml:space="preserve"> OFIFTYSOFT      </v>
      </c>
      <c r="H6758" s="20" t="str">
        <f t="shared" si="316"/>
        <v>GOMBL</v>
      </c>
      <c r="I6758" s="20">
        <f t="shared" si="317"/>
        <v>0</v>
      </c>
    </row>
    <row r="6759" spans="1:9">
      <c r="A6759" s="17" t="s">
        <v>2271</v>
      </c>
      <c r="B6759" s="17" t="s">
        <v>2273</v>
      </c>
      <c r="C6759" s="17">
        <v>0</v>
      </c>
      <c r="D6759" s="17" t="s">
        <v>801</v>
      </c>
      <c r="E6759" s="18">
        <v>3004751329004</v>
      </c>
      <c r="G6759" s="20" t="str">
        <f t="shared" si="315"/>
        <v xml:space="preserve"> OFIFTYSOFT      </v>
      </c>
      <c r="H6759" s="20" t="str">
        <f t="shared" si="316"/>
        <v>GOMWH</v>
      </c>
      <c r="I6759" s="20">
        <f t="shared" si="317"/>
        <v>0</v>
      </c>
    </row>
    <row r="6760" spans="1:9">
      <c r="A6760" s="17" t="s">
        <v>2271</v>
      </c>
      <c r="B6760" s="17" t="s">
        <v>2273</v>
      </c>
      <c r="C6760" s="17">
        <v>0</v>
      </c>
      <c r="D6760" s="17" t="s">
        <v>801</v>
      </c>
      <c r="E6760" s="18">
        <v>8056099173189</v>
      </c>
      <c r="G6760" s="20" t="str">
        <f t="shared" si="315"/>
        <v xml:space="preserve"> OFIFTYSOFT      </v>
      </c>
      <c r="H6760" s="20" t="str">
        <f t="shared" si="316"/>
        <v>GOMWH</v>
      </c>
      <c r="I6760" s="20">
        <f t="shared" si="317"/>
        <v>0</v>
      </c>
    </row>
    <row r="6761" spans="1:9">
      <c r="A6761" s="17" t="s">
        <v>2271</v>
      </c>
      <c r="B6761" s="17" t="s">
        <v>2274</v>
      </c>
      <c r="C6761" s="17">
        <v>0</v>
      </c>
      <c r="D6761" s="17" t="s">
        <v>801</v>
      </c>
      <c r="E6761" s="18">
        <v>3004751328007</v>
      </c>
      <c r="G6761" s="20" t="str">
        <f t="shared" si="315"/>
        <v xml:space="preserve"> OFIFTYSOFT      </v>
      </c>
      <c r="H6761" s="20" t="str">
        <f t="shared" si="316"/>
        <v>GOMYE</v>
      </c>
      <c r="I6761" s="20">
        <f t="shared" si="317"/>
        <v>0</v>
      </c>
    </row>
    <row r="6762" spans="1:9">
      <c r="A6762" s="17" t="s">
        <v>2271</v>
      </c>
      <c r="B6762" s="17" t="s">
        <v>2274</v>
      </c>
      <c r="C6762" s="17">
        <v>0</v>
      </c>
      <c r="D6762" s="17" t="s">
        <v>801</v>
      </c>
      <c r="E6762" s="18">
        <v>8056099173196</v>
      </c>
      <c r="G6762" s="20" t="str">
        <f t="shared" si="315"/>
        <v xml:space="preserve"> OFIFTYSOFT      </v>
      </c>
      <c r="H6762" s="20" t="str">
        <f t="shared" si="316"/>
        <v>GOMYE</v>
      </c>
      <c r="I6762" s="20">
        <f t="shared" si="317"/>
        <v>0</v>
      </c>
    </row>
    <row r="6763" spans="1:9">
      <c r="A6763" s="17" t="s">
        <v>2271</v>
      </c>
      <c r="B6763" s="17" t="s">
        <v>838</v>
      </c>
      <c r="C6763" s="17" t="s">
        <v>799</v>
      </c>
      <c r="D6763" s="17" t="s">
        <v>801</v>
      </c>
      <c r="E6763" s="18">
        <v>3004750497001</v>
      </c>
      <c r="G6763" s="20" t="str">
        <f t="shared" si="315"/>
        <v xml:space="preserve"> OFIFTYSOFT      </v>
      </c>
      <c r="H6763" s="20" t="str">
        <f t="shared" si="316"/>
        <v>IVOIR</v>
      </c>
      <c r="I6763" s="20" t="str">
        <f t="shared" si="317"/>
        <v xml:space="preserve">     </v>
      </c>
    </row>
    <row r="6764" spans="1:9">
      <c r="A6764" s="17" t="s">
        <v>2271</v>
      </c>
      <c r="B6764" s="17" t="s">
        <v>838</v>
      </c>
      <c r="C6764" s="17">
        <v>0</v>
      </c>
      <c r="D6764" s="17" t="s">
        <v>801</v>
      </c>
      <c r="E6764" s="18">
        <v>3005410497003</v>
      </c>
      <c r="G6764" s="20" t="str">
        <f t="shared" si="315"/>
        <v xml:space="preserve"> OFIFTYSOFT      </v>
      </c>
      <c r="H6764" s="20" t="str">
        <f t="shared" si="316"/>
        <v>IVOIR</v>
      </c>
      <c r="I6764" s="20">
        <f t="shared" si="317"/>
        <v>0</v>
      </c>
    </row>
    <row r="6765" spans="1:9">
      <c r="A6765" s="17" t="s">
        <v>2271</v>
      </c>
      <c r="B6765" s="17" t="s">
        <v>971</v>
      </c>
      <c r="C6765" s="17" t="s">
        <v>799</v>
      </c>
      <c r="D6765" s="17" t="s">
        <v>801</v>
      </c>
      <c r="E6765" s="18">
        <v>3004750689000</v>
      </c>
      <c r="G6765" s="20" t="str">
        <f t="shared" si="315"/>
        <v xml:space="preserve"> OFIFTYSOFT      </v>
      </c>
      <c r="H6765" s="20" t="str">
        <f t="shared" si="316"/>
        <v>OTTAN</v>
      </c>
      <c r="I6765" s="20" t="str">
        <f t="shared" si="317"/>
        <v xml:space="preserve">     </v>
      </c>
    </row>
    <row r="6766" spans="1:9">
      <c r="A6766" s="17" t="s">
        <v>2271</v>
      </c>
      <c r="B6766" s="17" t="s">
        <v>971</v>
      </c>
      <c r="C6766" s="17">
        <v>0</v>
      </c>
      <c r="D6766" s="17" t="s">
        <v>801</v>
      </c>
      <c r="E6766" s="18">
        <v>3005410689002</v>
      </c>
      <c r="G6766" s="20" t="str">
        <f t="shared" si="315"/>
        <v xml:space="preserve"> OFIFTYSOFT      </v>
      </c>
      <c r="H6766" s="20" t="str">
        <f t="shared" si="316"/>
        <v>OTTAN</v>
      </c>
      <c r="I6766" s="20">
        <f t="shared" si="317"/>
        <v>0</v>
      </c>
    </row>
    <row r="6767" spans="1:9">
      <c r="A6767" s="17" t="s">
        <v>2271</v>
      </c>
      <c r="B6767" s="17" t="s">
        <v>1393</v>
      </c>
      <c r="C6767" s="17">
        <v>0</v>
      </c>
      <c r="D6767" s="17" t="s">
        <v>801</v>
      </c>
      <c r="E6767" s="18">
        <v>8050538594948</v>
      </c>
      <c r="G6767" s="20" t="str">
        <f t="shared" si="315"/>
        <v xml:space="preserve"> OFIFTYSOFT      </v>
      </c>
      <c r="H6767" s="20" t="str">
        <f t="shared" si="316"/>
        <v>POIBD</v>
      </c>
      <c r="I6767" s="20">
        <f t="shared" si="317"/>
        <v>0</v>
      </c>
    </row>
    <row r="6768" spans="1:9">
      <c r="A6768" s="17" t="s">
        <v>2271</v>
      </c>
      <c r="B6768" s="17" t="s">
        <v>1395</v>
      </c>
      <c r="C6768" s="17">
        <v>0</v>
      </c>
      <c r="D6768" s="17" t="s">
        <v>801</v>
      </c>
      <c r="E6768" s="18">
        <v>8050538594931</v>
      </c>
      <c r="G6768" s="20" t="str">
        <f t="shared" si="315"/>
        <v xml:space="preserve"> OFIFTYSOFT      </v>
      </c>
      <c r="H6768" s="20" t="str">
        <f t="shared" si="316"/>
        <v>POIWH</v>
      </c>
      <c r="I6768" s="20">
        <f t="shared" si="317"/>
        <v>0</v>
      </c>
    </row>
    <row r="6769" spans="1:9">
      <c r="A6769" s="17" t="s">
        <v>2271</v>
      </c>
      <c r="B6769" s="17" t="s">
        <v>1621</v>
      </c>
      <c r="C6769" s="17" t="s">
        <v>799</v>
      </c>
      <c r="D6769" s="17" t="s">
        <v>801</v>
      </c>
      <c r="E6769" s="18">
        <v>3004750819001</v>
      </c>
      <c r="G6769" s="20" t="str">
        <f t="shared" si="315"/>
        <v xml:space="preserve"> OFIFTYSOFT      </v>
      </c>
      <c r="H6769" s="20" t="str">
        <f t="shared" si="316"/>
        <v>PORPO</v>
      </c>
      <c r="I6769" s="20" t="str">
        <f t="shared" si="317"/>
        <v xml:space="preserve">     </v>
      </c>
    </row>
    <row r="6770" spans="1:9">
      <c r="A6770" s="17" t="s">
        <v>2271</v>
      </c>
      <c r="B6770" s="17" t="s">
        <v>1621</v>
      </c>
      <c r="C6770" s="17">
        <v>0</v>
      </c>
      <c r="D6770" s="17" t="s">
        <v>801</v>
      </c>
      <c r="E6770" s="18">
        <v>3005410819003</v>
      </c>
      <c r="G6770" s="20" t="str">
        <f t="shared" si="315"/>
        <v xml:space="preserve"> OFIFTYSOFT      </v>
      </c>
      <c r="H6770" s="20" t="str">
        <f t="shared" si="316"/>
        <v>PORPO</v>
      </c>
      <c r="I6770" s="20">
        <f t="shared" si="317"/>
        <v>0</v>
      </c>
    </row>
    <row r="6771" spans="1:9">
      <c r="A6771" s="17" t="s">
        <v>2271</v>
      </c>
      <c r="B6771" s="17" t="s">
        <v>1399</v>
      </c>
      <c r="C6771" s="17">
        <v>0</v>
      </c>
      <c r="D6771" s="17" t="s">
        <v>801</v>
      </c>
      <c r="E6771" s="18">
        <v>8056099171871</v>
      </c>
      <c r="G6771" s="20" t="str">
        <f t="shared" si="315"/>
        <v xml:space="preserve"> OFIFTYSOFT      </v>
      </c>
      <c r="H6771" s="20" t="str">
        <f t="shared" si="316"/>
        <v>RIVBL</v>
      </c>
      <c r="I6771" s="20">
        <f t="shared" si="317"/>
        <v>0</v>
      </c>
    </row>
    <row r="6772" spans="1:9">
      <c r="A6772" s="17" t="s">
        <v>2271</v>
      </c>
      <c r="B6772" s="17" t="s">
        <v>1400</v>
      </c>
      <c r="C6772" s="17">
        <v>0</v>
      </c>
      <c r="D6772" s="17" t="s">
        <v>801</v>
      </c>
      <c r="E6772" s="18">
        <v>8056099171857</v>
      </c>
      <c r="G6772" s="20" t="str">
        <f t="shared" si="315"/>
        <v xml:space="preserve"> OFIFTYSOFT      </v>
      </c>
      <c r="H6772" s="20" t="str">
        <f t="shared" si="316"/>
        <v>RIVJA</v>
      </c>
      <c r="I6772" s="20">
        <f t="shared" si="317"/>
        <v>0</v>
      </c>
    </row>
    <row r="6773" spans="1:9">
      <c r="A6773" s="17" t="s">
        <v>2271</v>
      </c>
      <c r="B6773" s="17" t="s">
        <v>1401</v>
      </c>
      <c r="C6773" s="17">
        <v>0</v>
      </c>
      <c r="D6773" s="17" t="s">
        <v>801</v>
      </c>
      <c r="E6773" s="18">
        <v>3004751205001</v>
      </c>
      <c r="G6773" s="20" t="str">
        <f t="shared" si="315"/>
        <v xml:space="preserve"> OFIFTYSOFT      </v>
      </c>
      <c r="H6773" s="20" t="str">
        <f t="shared" si="316"/>
        <v>RIVRO</v>
      </c>
      <c r="I6773" s="20">
        <f t="shared" si="317"/>
        <v>0</v>
      </c>
    </row>
    <row r="6774" spans="1:9">
      <c r="A6774" s="17" t="s">
        <v>2271</v>
      </c>
      <c r="B6774" s="17" t="s">
        <v>1401</v>
      </c>
      <c r="C6774" s="17">
        <v>0</v>
      </c>
      <c r="D6774" s="17" t="s">
        <v>801</v>
      </c>
      <c r="E6774" s="18">
        <v>8056099171864</v>
      </c>
      <c r="G6774" s="20" t="str">
        <f t="shared" si="315"/>
        <v xml:space="preserve"> OFIFTYSOFT      </v>
      </c>
      <c r="H6774" s="20" t="str">
        <f t="shared" si="316"/>
        <v>RIVRO</v>
      </c>
      <c r="I6774" s="20">
        <f t="shared" si="317"/>
        <v>0</v>
      </c>
    </row>
    <row r="6775" spans="1:9">
      <c r="A6775" s="17" t="s">
        <v>2271</v>
      </c>
      <c r="B6775" s="17" t="s">
        <v>1237</v>
      </c>
      <c r="C6775" s="17" t="s">
        <v>799</v>
      </c>
      <c r="D6775" s="17" t="s">
        <v>801</v>
      </c>
      <c r="E6775" s="18">
        <v>3004750396007</v>
      </c>
      <c r="G6775" s="20" t="str">
        <f t="shared" si="315"/>
        <v xml:space="preserve"> OFIFTYSOFT      </v>
      </c>
      <c r="H6775" s="20" t="str">
        <f t="shared" si="316"/>
        <v xml:space="preserve">ROCK </v>
      </c>
      <c r="I6775" s="20" t="str">
        <f t="shared" si="317"/>
        <v xml:space="preserve">     </v>
      </c>
    </row>
    <row r="6776" spans="1:9">
      <c r="A6776" s="17" t="s">
        <v>2271</v>
      </c>
      <c r="B6776" s="17" t="s">
        <v>1237</v>
      </c>
      <c r="C6776" s="17">
        <v>0</v>
      </c>
      <c r="D6776" s="17" t="s">
        <v>801</v>
      </c>
      <c r="E6776" s="18">
        <v>3005410396009</v>
      </c>
      <c r="G6776" s="20" t="str">
        <f t="shared" si="315"/>
        <v xml:space="preserve"> OFIFTYSOFT      </v>
      </c>
      <c r="H6776" s="20" t="str">
        <f t="shared" si="316"/>
        <v xml:space="preserve">ROCK </v>
      </c>
      <c r="I6776" s="20">
        <f t="shared" si="317"/>
        <v>0</v>
      </c>
    </row>
    <row r="6777" spans="1:9">
      <c r="A6777" s="17" t="s">
        <v>2271</v>
      </c>
      <c r="B6777" s="17" t="s">
        <v>1411</v>
      </c>
      <c r="C6777" s="17">
        <v>0</v>
      </c>
      <c r="D6777" s="17" t="s">
        <v>801</v>
      </c>
      <c r="E6777" s="18">
        <v>8056095064047</v>
      </c>
      <c r="G6777" s="20" t="str">
        <f t="shared" si="315"/>
        <v xml:space="preserve"> OFIFTYSOFT      </v>
      </c>
      <c r="H6777" s="20" t="str">
        <f t="shared" si="316"/>
        <v>SWING</v>
      </c>
      <c r="I6777" s="20">
        <f t="shared" si="317"/>
        <v>0</v>
      </c>
    </row>
    <row r="6778" spans="1:9">
      <c r="A6778" s="17" t="s">
        <v>2271</v>
      </c>
      <c r="B6778" s="17" t="s">
        <v>1411</v>
      </c>
      <c r="C6778" s="17">
        <v>0</v>
      </c>
      <c r="D6778" s="17" t="s">
        <v>801</v>
      </c>
      <c r="E6778" s="18">
        <v>3004751110008</v>
      </c>
      <c r="G6778" s="20" t="str">
        <f t="shared" si="315"/>
        <v xml:space="preserve"> OFIFTYSOFT      </v>
      </c>
      <c r="H6778" s="20" t="str">
        <f t="shared" si="316"/>
        <v>SWING</v>
      </c>
      <c r="I6778" s="20">
        <f t="shared" si="317"/>
        <v>0</v>
      </c>
    </row>
    <row r="6779" spans="1:9">
      <c r="A6779" s="17" t="s">
        <v>2271</v>
      </c>
      <c r="B6779" s="17" t="s">
        <v>1167</v>
      </c>
      <c r="C6779" s="17">
        <v>0</v>
      </c>
      <c r="D6779" s="17" t="s">
        <v>801</v>
      </c>
      <c r="E6779" s="18">
        <v>3004750852008</v>
      </c>
      <c r="G6779" s="20" t="str">
        <f t="shared" si="315"/>
        <v xml:space="preserve"> OFIFTYSOFT      </v>
      </c>
      <c r="H6779" s="20" t="str">
        <f t="shared" si="316"/>
        <v>TWEGR</v>
      </c>
      <c r="I6779" s="20">
        <f t="shared" si="317"/>
        <v>0</v>
      </c>
    </row>
    <row r="6780" spans="1:9">
      <c r="A6780" s="17" t="s">
        <v>2271</v>
      </c>
      <c r="B6780" s="17" t="s">
        <v>1167</v>
      </c>
      <c r="C6780" s="17">
        <v>0</v>
      </c>
      <c r="D6780" s="17" t="s">
        <v>801</v>
      </c>
      <c r="E6780" s="18">
        <v>3005410554003</v>
      </c>
      <c r="G6780" s="20" t="str">
        <f t="shared" si="315"/>
        <v xml:space="preserve"> OFIFTYSOFT      </v>
      </c>
      <c r="H6780" s="20" t="str">
        <f t="shared" si="316"/>
        <v>TWEGR</v>
      </c>
      <c r="I6780" s="20">
        <f t="shared" si="317"/>
        <v>0</v>
      </c>
    </row>
    <row r="6781" spans="1:9">
      <c r="A6781" s="17" t="s">
        <v>2271</v>
      </c>
      <c r="B6781" s="17" t="s">
        <v>927</v>
      </c>
      <c r="C6781" s="17" t="s">
        <v>799</v>
      </c>
      <c r="D6781" s="17" t="s">
        <v>801</v>
      </c>
      <c r="E6781" s="18">
        <v>3004750437007</v>
      </c>
      <c r="G6781" s="20" t="str">
        <f t="shared" si="315"/>
        <v xml:space="preserve"> OFIFTYSOFT      </v>
      </c>
      <c r="H6781" s="20" t="str">
        <f t="shared" si="316"/>
        <v xml:space="preserve">VOLC </v>
      </c>
      <c r="I6781" s="20" t="str">
        <f t="shared" si="317"/>
        <v xml:space="preserve">     </v>
      </c>
    </row>
    <row r="6782" spans="1:9">
      <c r="A6782" s="17" t="s">
        <v>2271</v>
      </c>
      <c r="B6782" s="17" t="s">
        <v>927</v>
      </c>
      <c r="C6782" s="17">
        <v>0</v>
      </c>
      <c r="D6782" s="17" t="s">
        <v>801</v>
      </c>
      <c r="E6782" s="18">
        <v>3005410437009</v>
      </c>
      <c r="G6782" s="20" t="str">
        <f t="shared" si="315"/>
        <v xml:space="preserve"> OFIFTYSOFT      </v>
      </c>
      <c r="H6782" s="20" t="str">
        <f t="shared" si="316"/>
        <v xml:space="preserve">VOLC </v>
      </c>
      <c r="I6782" s="20">
        <f t="shared" si="317"/>
        <v>0</v>
      </c>
    </row>
    <row r="6783" spans="1:9">
      <c r="A6783" s="17" t="s">
        <v>2275</v>
      </c>
      <c r="B6783" s="17" t="s">
        <v>892</v>
      </c>
      <c r="C6783" s="17">
        <v>0</v>
      </c>
      <c r="D6783" s="17" t="s">
        <v>801</v>
      </c>
      <c r="E6783" s="18">
        <v>3004890214001</v>
      </c>
      <c r="G6783" s="20" t="str">
        <f t="shared" si="315"/>
        <v xml:space="preserve"> OFIFTYZIP       </v>
      </c>
      <c r="H6783" s="20" t="str">
        <f t="shared" si="316"/>
        <v xml:space="preserve">LIME </v>
      </c>
      <c r="I6783" s="20">
        <f t="shared" si="317"/>
        <v>0</v>
      </c>
    </row>
    <row r="6784" spans="1:9">
      <c r="A6784" s="17" t="s">
        <v>2276</v>
      </c>
      <c r="B6784" s="17" t="s">
        <v>963</v>
      </c>
      <c r="C6784" s="17">
        <v>0</v>
      </c>
      <c r="D6784" s="17" t="s">
        <v>801</v>
      </c>
      <c r="E6784" s="18">
        <v>3003950691004</v>
      </c>
      <c r="G6784" s="20" t="str">
        <f t="shared" si="315"/>
        <v xml:space="preserve"> OFOLDER         </v>
      </c>
      <c r="H6784" s="20" t="str">
        <f t="shared" si="316"/>
        <v>AMARA</v>
      </c>
      <c r="I6784" s="20">
        <f t="shared" si="317"/>
        <v>0</v>
      </c>
    </row>
    <row r="6785" spans="1:9">
      <c r="A6785" s="17" t="s">
        <v>2276</v>
      </c>
      <c r="B6785" s="17" t="s">
        <v>879</v>
      </c>
      <c r="C6785" s="17">
        <v>0</v>
      </c>
      <c r="D6785" s="17" t="s">
        <v>801</v>
      </c>
      <c r="E6785" s="18">
        <v>3003950269005</v>
      </c>
      <c r="G6785" s="20" t="str">
        <f t="shared" si="315"/>
        <v xml:space="preserve"> OFOLDER         </v>
      </c>
      <c r="H6785" s="20" t="str">
        <f t="shared" si="316"/>
        <v xml:space="preserve">AZUR </v>
      </c>
      <c r="I6785" s="20">
        <f t="shared" si="317"/>
        <v>0</v>
      </c>
    </row>
    <row r="6786" spans="1:9">
      <c r="A6786" s="17" t="s">
        <v>2276</v>
      </c>
      <c r="B6786" s="17" t="s">
        <v>818</v>
      </c>
      <c r="C6786" s="17">
        <v>0</v>
      </c>
      <c r="D6786" s="17" t="s">
        <v>801</v>
      </c>
      <c r="E6786" s="18">
        <v>8058983596371</v>
      </c>
      <c r="G6786" s="20" t="str">
        <f t="shared" si="315"/>
        <v xml:space="preserve"> OFOLDER         </v>
      </c>
      <c r="H6786" s="20" t="str">
        <f t="shared" si="316"/>
        <v xml:space="preserve">BDX  </v>
      </c>
      <c r="I6786" s="20">
        <f t="shared" si="317"/>
        <v>0</v>
      </c>
    </row>
    <row r="6787" spans="1:9">
      <c r="A6787" s="17" t="s">
        <v>2276</v>
      </c>
      <c r="B6787" s="17" t="s">
        <v>818</v>
      </c>
      <c r="C6787" s="17">
        <v>0</v>
      </c>
      <c r="D6787" s="17" t="s">
        <v>801</v>
      </c>
      <c r="E6787" s="18">
        <v>3003950273002</v>
      </c>
      <c r="G6787" s="20" t="str">
        <f t="shared" si="315"/>
        <v xml:space="preserve"> OFOLDER         </v>
      </c>
      <c r="H6787" s="20" t="str">
        <f t="shared" si="316"/>
        <v xml:space="preserve">BDX  </v>
      </c>
      <c r="I6787" s="20">
        <f t="shared" si="317"/>
        <v>0</v>
      </c>
    </row>
    <row r="6788" spans="1:9">
      <c r="A6788" s="17" t="s">
        <v>2276</v>
      </c>
      <c r="B6788" s="17" t="s">
        <v>1077</v>
      </c>
      <c r="C6788" s="17">
        <v>0</v>
      </c>
      <c r="D6788" s="17" t="s">
        <v>801</v>
      </c>
      <c r="E6788" s="18">
        <v>8056095069325</v>
      </c>
      <c r="G6788" s="20" t="str">
        <f t="shared" si="315"/>
        <v xml:space="preserve"> OFOLDER         </v>
      </c>
      <c r="H6788" s="20" t="str">
        <f t="shared" si="316"/>
        <v>BISCO</v>
      </c>
      <c r="I6788" s="20">
        <f t="shared" si="317"/>
        <v>0</v>
      </c>
    </row>
    <row r="6789" spans="1:9">
      <c r="A6789" s="17" t="s">
        <v>2276</v>
      </c>
      <c r="B6789" s="17" t="s">
        <v>1077</v>
      </c>
      <c r="C6789" s="17">
        <v>0</v>
      </c>
      <c r="D6789" s="17" t="s">
        <v>801</v>
      </c>
      <c r="E6789" s="18">
        <v>3003951073007</v>
      </c>
      <c r="G6789" s="20" t="str">
        <f t="shared" ref="G6789:G6852" si="318">A6789</f>
        <v xml:space="preserve"> OFOLDER         </v>
      </c>
      <c r="H6789" s="20" t="str">
        <f t="shared" ref="H6789:H6852" si="319">B6789</f>
        <v>BISCO</v>
      </c>
      <c r="I6789" s="20">
        <f t="shared" ref="I6789:I6852" si="320">C6789</f>
        <v>0</v>
      </c>
    </row>
    <row r="6790" spans="1:9">
      <c r="A6790" s="17" t="s">
        <v>2276</v>
      </c>
      <c r="B6790" s="17" t="s">
        <v>280</v>
      </c>
      <c r="C6790" s="17">
        <v>0</v>
      </c>
      <c r="D6790" s="17" t="s">
        <v>801</v>
      </c>
      <c r="E6790" s="18">
        <v>8050450210711</v>
      </c>
      <c r="G6790" s="20" t="str">
        <f t="shared" si="318"/>
        <v xml:space="preserve"> OFOLDER         </v>
      </c>
      <c r="H6790" s="20" t="str">
        <f t="shared" si="319"/>
        <v>BLACK</v>
      </c>
      <c r="I6790" s="20">
        <f t="shared" si="320"/>
        <v>0</v>
      </c>
    </row>
    <row r="6791" spans="1:9">
      <c r="A6791" s="17" t="s">
        <v>2276</v>
      </c>
      <c r="B6791" s="17" t="s">
        <v>280</v>
      </c>
      <c r="C6791" s="17">
        <v>0</v>
      </c>
      <c r="D6791" s="17" t="s">
        <v>801</v>
      </c>
      <c r="E6791" s="18">
        <v>3004650004002</v>
      </c>
      <c r="G6791" s="20" t="str">
        <f t="shared" si="318"/>
        <v xml:space="preserve"> OFOLDER         </v>
      </c>
      <c r="H6791" s="20" t="str">
        <f t="shared" si="319"/>
        <v>BLACK</v>
      </c>
      <c r="I6791" s="20">
        <f t="shared" si="320"/>
        <v>0</v>
      </c>
    </row>
    <row r="6792" spans="1:9">
      <c r="A6792" s="17" t="s">
        <v>2276</v>
      </c>
      <c r="B6792" s="17" t="s">
        <v>857</v>
      </c>
      <c r="C6792" s="17">
        <v>0</v>
      </c>
      <c r="D6792" s="17" t="s">
        <v>801</v>
      </c>
      <c r="E6792" s="18">
        <v>8056095069301</v>
      </c>
      <c r="G6792" s="20" t="str">
        <f t="shared" si="318"/>
        <v xml:space="preserve"> OFOLDER         </v>
      </c>
      <c r="H6792" s="20" t="str">
        <f t="shared" si="319"/>
        <v>BLUET</v>
      </c>
      <c r="I6792" s="20">
        <f t="shared" si="320"/>
        <v>0</v>
      </c>
    </row>
    <row r="6793" spans="1:9">
      <c r="A6793" s="17" t="s">
        <v>2276</v>
      </c>
      <c r="B6793" s="17" t="s">
        <v>857</v>
      </c>
      <c r="C6793" s="17">
        <v>0</v>
      </c>
      <c r="D6793" s="17" t="s">
        <v>801</v>
      </c>
      <c r="E6793" s="18">
        <v>3003951075001</v>
      </c>
      <c r="G6793" s="20" t="str">
        <f t="shared" si="318"/>
        <v xml:space="preserve"> OFOLDER         </v>
      </c>
      <c r="H6793" s="20" t="str">
        <f t="shared" si="319"/>
        <v>BLUET</v>
      </c>
      <c r="I6793" s="20">
        <f t="shared" si="320"/>
        <v>0</v>
      </c>
    </row>
    <row r="6794" spans="1:9">
      <c r="A6794" s="17" t="s">
        <v>2276</v>
      </c>
      <c r="B6794" s="17" t="s">
        <v>2018</v>
      </c>
      <c r="C6794" s="17">
        <v>0</v>
      </c>
      <c r="D6794" s="17" t="s">
        <v>801</v>
      </c>
      <c r="E6794" s="18">
        <v>3003950493004</v>
      </c>
      <c r="G6794" s="20" t="str">
        <f t="shared" si="318"/>
        <v xml:space="preserve"> OFOLDER         </v>
      </c>
      <c r="H6794" s="20" t="str">
        <f t="shared" si="319"/>
        <v xml:space="preserve">CERI </v>
      </c>
      <c r="I6794" s="20">
        <f t="shared" si="320"/>
        <v>0</v>
      </c>
    </row>
    <row r="6795" spans="1:9">
      <c r="A6795" s="17" t="s">
        <v>2276</v>
      </c>
      <c r="B6795" s="17" t="s">
        <v>1661</v>
      </c>
      <c r="C6795" s="17">
        <v>0</v>
      </c>
      <c r="D6795" s="17" t="s">
        <v>801</v>
      </c>
      <c r="E6795" s="18">
        <v>3004650320003</v>
      </c>
      <c r="G6795" s="20" t="str">
        <f t="shared" si="318"/>
        <v xml:space="preserve"> OFOLDER         </v>
      </c>
      <c r="H6795" s="20" t="str">
        <f t="shared" si="319"/>
        <v>GRAFI</v>
      </c>
      <c r="I6795" s="20">
        <f t="shared" si="320"/>
        <v>0</v>
      </c>
    </row>
    <row r="6796" spans="1:9">
      <c r="A6796" s="17" t="s">
        <v>2276</v>
      </c>
      <c r="B6796" s="17" t="s">
        <v>1661</v>
      </c>
      <c r="C6796" s="17">
        <v>0</v>
      </c>
      <c r="D6796" s="17" t="s">
        <v>801</v>
      </c>
      <c r="E6796" s="18">
        <v>8050450213187</v>
      </c>
      <c r="G6796" s="20" t="str">
        <f t="shared" si="318"/>
        <v xml:space="preserve"> OFOLDER         </v>
      </c>
      <c r="H6796" s="20" t="str">
        <f t="shared" si="319"/>
        <v>GRAFI</v>
      </c>
      <c r="I6796" s="20">
        <f t="shared" si="320"/>
        <v>0</v>
      </c>
    </row>
    <row r="6797" spans="1:9">
      <c r="A6797" s="17" t="s">
        <v>2276</v>
      </c>
      <c r="B6797" s="17" t="s">
        <v>1430</v>
      </c>
      <c r="C6797" s="17">
        <v>0</v>
      </c>
      <c r="D6797" s="17" t="s">
        <v>801</v>
      </c>
      <c r="E6797" s="18">
        <v>3004650230005</v>
      </c>
      <c r="G6797" s="20" t="str">
        <f t="shared" si="318"/>
        <v xml:space="preserve"> OFOLDER         </v>
      </c>
      <c r="H6797" s="20" t="str">
        <f t="shared" si="319"/>
        <v xml:space="preserve">IRIS </v>
      </c>
      <c r="I6797" s="20">
        <f t="shared" si="320"/>
        <v>0</v>
      </c>
    </row>
    <row r="6798" spans="1:9">
      <c r="A6798" s="17" t="s">
        <v>2276</v>
      </c>
      <c r="B6798" s="17" t="s">
        <v>838</v>
      </c>
      <c r="C6798" s="17">
        <v>0</v>
      </c>
      <c r="D6798" s="17" t="s">
        <v>801</v>
      </c>
      <c r="E6798" s="18">
        <v>8058983596364</v>
      </c>
      <c r="G6798" s="20" t="str">
        <f t="shared" si="318"/>
        <v xml:space="preserve"> OFOLDER         </v>
      </c>
      <c r="H6798" s="20" t="str">
        <f t="shared" si="319"/>
        <v>IVOIR</v>
      </c>
      <c r="I6798" s="20">
        <f t="shared" si="320"/>
        <v>0</v>
      </c>
    </row>
    <row r="6799" spans="1:9">
      <c r="A6799" s="17" t="s">
        <v>2276</v>
      </c>
      <c r="B6799" s="17" t="s">
        <v>1078</v>
      </c>
      <c r="C6799" s="17">
        <v>0</v>
      </c>
      <c r="D6799" s="17" t="s">
        <v>801</v>
      </c>
      <c r="E6799" s="18">
        <v>8050450219394</v>
      </c>
      <c r="G6799" s="20" t="str">
        <f t="shared" si="318"/>
        <v xml:space="preserve"> OFOLDER         </v>
      </c>
      <c r="H6799" s="20" t="str">
        <f t="shared" si="319"/>
        <v xml:space="preserve">NAVY </v>
      </c>
      <c r="I6799" s="20">
        <f t="shared" si="320"/>
        <v>0</v>
      </c>
    </row>
    <row r="6800" spans="1:9">
      <c r="A6800" s="17" t="s">
        <v>2276</v>
      </c>
      <c r="B6800" s="17" t="s">
        <v>1078</v>
      </c>
      <c r="C6800" s="17">
        <v>0</v>
      </c>
      <c r="D6800" s="17" t="s">
        <v>801</v>
      </c>
      <c r="E6800" s="18">
        <v>3003950494001</v>
      </c>
      <c r="G6800" s="20" t="str">
        <f t="shared" si="318"/>
        <v xml:space="preserve"> OFOLDER         </v>
      </c>
      <c r="H6800" s="20" t="str">
        <f t="shared" si="319"/>
        <v xml:space="preserve">NAVY </v>
      </c>
      <c r="I6800" s="20">
        <f t="shared" si="320"/>
        <v>0</v>
      </c>
    </row>
    <row r="6801" spans="1:9">
      <c r="A6801" s="17" t="s">
        <v>2276</v>
      </c>
      <c r="B6801" s="17" t="s">
        <v>1078</v>
      </c>
      <c r="C6801" s="17">
        <v>0</v>
      </c>
      <c r="D6801" s="17" t="s">
        <v>801</v>
      </c>
      <c r="E6801" s="18">
        <v>3004650001001</v>
      </c>
      <c r="G6801" s="20" t="str">
        <f t="shared" si="318"/>
        <v xml:space="preserve"> OFOLDER         </v>
      </c>
      <c r="H6801" s="20" t="str">
        <f t="shared" si="319"/>
        <v xml:space="preserve">NAVY </v>
      </c>
      <c r="I6801" s="20">
        <f t="shared" si="320"/>
        <v>0</v>
      </c>
    </row>
    <row r="6802" spans="1:9">
      <c r="A6802" s="17" t="s">
        <v>2276</v>
      </c>
      <c r="B6802" s="17" t="s">
        <v>1913</v>
      </c>
      <c r="C6802" s="17">
        <v>0</v>
      </c>
      <c r="D6802" s="17" t="s">
        <v>801</v>
      </c>
      <c r="E6802" s="18">
        <v>3003950495008</v>
      </c>
      <c r="G6802" s="20" t="str">
        <f t="shared" si="318"/>
        <v xml:space="preserve"> OFOLDER         </v>
      </c>
      <c r="H6802" s="20" t="str">
        <f t="shared" si="319"/>
        <v>NEIGE</v>
      </c>
      <c r="I6802" s="20">
        <f t="shared" si="320"/>
        <v>0</v>
      </c>
    </row>
    <row r="6803" spans="1:9">
      <c r="A6803" s="17" t="s">
        <v>2276</v>
      </c>
      <c r="B6803" s="17" t="s">
        <v>1913</v>
      </c>
      <c r="C6803" s="17">
        <v>0</v>
      </c>
      <c r="D6803" s="17" t="s">
        <v>801</v>
      </c>
      <c r="E6803" s="18">
        <v>3004650228002</v>
      </c>
      <c r="G6803" s="20" t="str">
        <f t="shared" si="318"/>
        <v xml:space="preserve"> OFOLDER         </v>
      </c>
      <c r="H6803" s="20" t="str">
        <f t="shared" si="319"/>
        <v>NEIGE</v>
      </c>
      <c r="I6803" s="20">
        <f t="shared" si="320"/>
        <v>0</v>
      </c>
    </row>
    <row r="6804" spans="1:9">
      <c r="A6804" s="17" t="s">
        <v>2276</v>
      </c>
      <c r="B6804" s="17" t="s">
        <v>1235</v>
      </c>
      <c r="C6804" s="17">
        <v>0</v>
      </c>
      <c r="D6804" s="17" t="s">
        <v>801</v>
      </c>
      <c r="E6804" s="18">
        <v>3003950559007</v>
      </c>
      <c r="G6804" s="20" t="str">
        <f t="shared" si="318"/>
        <v xml:space="preserve"> OFOLDER         </v>
      </c>
      <c r="H6804" s="20" t="str">
        <f t="shared" si="319"/>
        <v>PAPAY</v>
      </c>
      <c r="I6804" s="20">
        <f t="shared" si="320"/>
        <v>0</v>
      </c>
    </row>
    <row r="6805" spans="1:9">
      <c r="A6805" s="17" t="s">
        <v>2276</v>
      </c>
      <c r="B6805" s="17" t="s">
        <v>1235</v>
      </c>
      <c r="C6805" s="17">
        <v>0</v>
      </c>
      <c r="D6805" s="17" t="s">
        <v>801</v>
      </c>
      <c r="E6805" s="18">
        <v>3004650288006</v>
      </c>
      <c r="G6805" s="20" t="str">
        <f t="shared" si="318"/>
        <v xml:space="preserve"> OFOLDER         </v>
      </c>
      <c r="H6805" s="20" t="str">
        <f t="shared" si="319"/>
        <v>PAPAY</v>
      </c>
      <c r="I6805" s="20">
        <f t="shared" si="320"/>
        <v>0</v>
      </c>
    </row>
    <row r="6806" spans="1:9">
      <c r="A6806" s="17" t="s">
        <v>2276</v>
      </c>
      <c r="B6806" s="17" t="s">
        <v>912</v>
      </c>
      <c r="C6806" s="17">
        <v>0</v>
      </c>
      <c r="D6806" s="17" t="s">
        <v>801</v>
      </c>
      <c r="E6806" s="18">
        <v>3003950380007</v>
      </c>
      <c r="G6806" s="20" t="str">
        <f t="shared" si="318"/>
        <v xml:space="preserve"> OFOLDER         </v>
      </c>
      <c r="H6806" s="20" t="str">
        <f t="shared" si="319"/>
        <v>PETRO</v>
      </c>
      <c r="I6806" s="20">
        <f t="shared" si="320"/>
        <v>0</v>
      </c>
    </row>
    <row r="6807" spans="1:9">
      <c r="A6807" s="17" t="s">
        <v>2276</v>
      </c>
      <c r="B6807" s="17" t="s">
        <v>1438</v>
      </c>
      <c r="C6807" s="17">
        <v>0</v>
      </c>
      <c r="D6807" s="17" t="s">
        <v>801</v>
      </c>
      <c r="E6807" s="18">
        <v>3003950692001</v>
      </c>
      <c r="G6807" s="20" t="str">
        <f t="shared" si="318"/>
        <v xml:space="preserve"> OFOLDER         </v>
      </c>
      <c r="H6807" s="20" t="str">
        <f t="shared" si="319"/>
        <v>POLVE</v>
      </c>
      <c r="I6807" s="20">
        <f t="shared" si="320"/>
        <v>0</v>
      </c>
    </row>
    <row r="6808" spans="1:9">
      <c r="A6808" s="17" t="s">
        <v>2276</v>
      </c>
      <c r="B6808" s="17" t="s">
        <v>816</v>
      </c>
      <c r="C6808" s="17">
        <v>0</v>
      </c>
      <c r="D6808" s="17" t="s">
        <v>801</v>
      </c>
      <c r="E6808" s="18">
        <v>3003950395001</v>
      </c>
      <c r="G6808" s="20" t="str">
        <f t="shared" si="318"/>
        <v xml:space="preserve"> OFOLDER         </v>
      </c>
      <c r="H6808" s="20" t="str">
        <f t="shared" si="319"/>
        <v xml:space="preserve">RED  </v>
      </c>
      <c r="I6808" s="20">
        <f t="shared" si="320"/>
        <v>0</v>
      </c>
    </row>
    <row r="6809" spans="1:9">
      <c r="A6809" s="17" t="s">
        <v>2276</v>
      </c>
      <c r="B6809" s="17" t="s">
        <v>1237</v>
      </c>
      <c r="C6809" s="17">
        <v>0</v>
      </c>
      <c r="D6809" s="17" t="s">
        <v>801</v>
      </c>
      <c r="E6809" s="18">
        <v>8058333588155</v>
      </c>
      <c r="G6809" s="20" t="str">
        <f t="shared" si="318"/>
        <v xml:space="preserve"> OFOLDER         </v>
      </c>
      <c r="H6809" s="20" t="str">
        <f t="shared" si="319"/>
        <v xml:space="preserve">ROCK </v>
      </c>
      <c r="I6809" s="20">
        <f t="shared" si="320"/>
        <v>0</v>
      </c>
    </row>
    <row r="6810" spans="1:9">
      <c r="A6810" s="17" t="s">
        <v>2276</v>
      </c>
      <c r="B6810" s="17" t="s">
        <v>1237</v>
      </c>
      <c r="C6810" s="17">
        <v>0</v>
      </c>
      <c r="D6810" s="17" t="s">
        <v>801</v>
      </c>
      <c r="E6810" s="18">
        <v>3003950396008</v>
      </c>
      <c r="G6810" s="20" t="str">
        <f t="shared" si="318"/>
        <v xml:space="preserve"> OFOLDER         </v>
      </c>
      <c r="H6810" s="20" t="str">
        <f t="shared" si="319"/>
        <v xml:space="preserve">ROCK </v>
      </c>
      <c r="I6810" s="20">
        <f t="shared" si="320"/>
        <v>0</v>
      </c>
    </row>
    <row r="6811" spans="1:9">
      <c r="A6811" s="17" t="s">
        <v>2276</v>
      </c>
      <c r="B6811" s="17" t="s">
        <v>1239</v>
      </c>
      <c r="C6811" s="17">
        <v>0</v>
      </c>
      <c r="D6811" s="17" t="s">
        <v>801</v>
      </c>
      <c r="E6811" s="18">
        <v>3003950400002</v>
      </c>
      <c r="G6811" s="20" t="str">
        <f t="shared" si="318"/>
        <v xml:space="preserve"> OFOLDER         </v>
      </c>
      <c r="H6811" s="20" t="str">
        <f t="shared" si="319"/>
        <v xml:space="preserve">SAND </v>
      </c>
      <c r="I6811" s="20">
        <f t="shared" si="320"/>
        <v>0</v>
      </c>
    </row>
    <row r="6812" spans="1:9">
      <c r="A6812" s="17" t="s">
        <v>2276</v>
      </c>
      <c r="B6812" s="17" t="s">
        <v>840</v>
      </c>
      <c r="C6812" s="17">
        <v>0</v>
      </c>
      <c r="D6812" s="17" t="s">
        <v>801</v>
      </c>
      <c r="E6812" s="18">
        <v>3003950403003</v>
      </c>
      <c r="G6812" s="20" t="str">
        <f t="shared" si="318"/>
        <v xml:space="preserve"> OFOLDER         </v>
      </c>
      <c r="H6812" s="20" t="str">
        <f t="shared" si="319"/>
        <v>SAUGE</v>
      </c>
      <c r="I6812" s="20">
        <f t="shared" si="320"/>
        <v>0</v>
      </c>
    </row>
    <row r="6813" spans="1:9">
      <c r="A6813" s="17" t="s">
        <v>2276</v>
      </c>
      <c r="B6813" s="17" t="s">
        <v>1079</v>
      </c>
      <c r="C6813" s="17">
        <v>0</v>
      </c>
      <c r="D6813" s="17" t="s">
        <v>801</v>
      </c>
      <c r="E6813" s="18">
        <v>8058983596395</v>
      </c>
      <c r="G6813" s="20" t="str">
        <f t="shared" si="318"/>
        <v xml:space="preserve"> OFOLDER         </v>
      </c>
      <c r="H6813" s="20" t="str">
        <f t="shared" si="319"/>
        <v xml:space="preserve">SLVG </v>
      </c>
      <c r="I6813" s="20">
        <f t="shared" si="320"/>
        <v>0</v>
      </c>
    </row>
    <row r="6814" spans="1:9">
      <c r="A6814" s="17" t="s">
        <v>2276</v>
      </c>
      <c r="B6814" s="17" t="s">
        <v>1080</v>
      </c>
      <c r="C6814" s="17">
        <v>0</v>
      </c>
      <c r="D6814" s="17" t="s">
        <v>801</v>
      </c>
      <c r="E6814" s="18">
        <v>8056095069295</v>
      </c>
      <c r="G6814" s="20" t="str">
        <f t="shared" si="318"/>
        <v xml:space="preserve"> OFOLDER         </v>
      </c>
      <c r="H6814" s="20" t="str">
        <f t="shared" si="319"/>
        <v>TERRA</v>
      </c>
      <c r="I6814" s="20">
        <f t="shared" si="320"/>
        <v>0</v>
      </c>
    </row>
    <row r="6815" spans="1:9">
      <c r="A6815" s="17" t="s">
        <v>2276</v>
      </c>
      <c r="B6815" s="17" t="s">
        <v>1080</v>
      </c>
      <c r="C6815" s="17">
        <v>0</v>
      </c>
      <c r="D6815" s="17" t="s">
        <v>801</v>
      </c>
      <c r="E6815" s="18">
        <v>3003951074004</v>
      </c>
      <c r="G6815" s="20" t="str">
        <f t="shared" si="318"/>
        <v xml:space="preserve"> OFOLDER         </v>
      </c>
      <c r="H6815" s="20" t="str">
        <f t="shared" si="319"/>
        <v>TERRA</v>
      </c>
      <c r="I6815" s="20">
        <f t="shared" si="320"/>
        <v>0</v>
      </c>
    </row>
    <row r="6816" spans="1:9">
      <c r="A6816" s="17" t="s">
        <v>2276</v>
      </c>
      <c r="B6816" s="17" t="s">
        <v>919</v>
      </c>
      <c r="C6816" s="17">
        <v>0</v>
      </c>
      <c r="D6816" s="17" t="s">
        <v>801</v>
      </c>
      <c r="E6816" s="18">
        <v>8058983596357</v>
      </c>
      <c r="G6816" s="20" t="str">
        <f t="shared" si="318"/>
        <v xml:space="preserve"> OFOLDER         </v>
      </c>
      <c r="H6816" s="20" t="str">
        <f t="shared" si="319"/>
        <v>TESTA</v>
      </c>
      <c r="I6816" s="20">
        <f t="shared" si="320"/>
        <v>0</v>
      </c>
    </row>
    <row r="6817" spans="1:9">
      <c r="A6817" s="17" t="s">
        <v>2276</v>
      </c>
      <c r="B6817" s="17" t="s">
        <v>1664</v>
      </c>
      <c r="C6817" s="17">
        <v>0</v>
      </c>
      <c r="D6817" s="17" t="s">
        <v>801</v>
      </c>
      <c r="E6817" s="18">
        <v>8056095069318</v>
      </c>
      <c r="G6817" s="20" t="str">
        <f t="shared" si="318"/>
        <v xml:space="preserve"> OFOLDER         </v>
      </c>
      <c r="H6817" s="20" t="str">
        <f t="shared" si="319"/>
        <v>VERAN</v>
      </c>
      <c r="I6817" s="20">
        <f t="shared" si="320"/>
        <v>0</v>
      </c>
    </row>
    <row r="6818" spans="1:9">
      <c r="A6818" s="17" t="s">
        <v>2276</v>
      </c>
      <c r="B6818" s="17" t="s">
        <v>1664</v>
      </c>
      <c r="C6818" s="17">
        <v>0</v>
      </c>
      <c r="D6818" s="17" t="s">
        <v>801</v>
      </c>
      <c r="E6818" s="18">
        <v>3003951079009</v>
      </c>
      <c r="G6818" s="20" t="str">
        <f t="shared" si="318"/>
        <v xml:space="preserve"> OFOLDER         </v>
      </c>
      <c r="H6818" s="20" t="str">
        <f t="shared" si="319"/>
        <v>VERAN</v>
      </c>
      <c r="I6818" s="20">
        <f t="shared" si="320"/>
        <v>0</v>
      </c>
    </row>
    <row r="6819" spans="1:9">
      <c r="A6819" s="17" t="s">
        <v>2276</v>
      </c>
      <c r="B6819" s="17" t="s">
        <v>867</v>
      </c>
      <c r="C6819" s="17">
        <v>0</v>
      </c>
      <c r="D6819" s="17" t="s">
        <v>801</v>
      </c>
      <c r="E6819" s="18">
        <v>8058983596388</v>
      </c>
      <c r="G6819" s="20" t="str">
        <f t="shared" si="318"/>
        <v xml:space="preserve"> OFOLDER         </v>
      </c>
      <c r="H6819" s="20" t="str">
        <f t="shared" si="319"/>
        <v>VERTF</v>
      </c>
      <c r="I6819" s="20">
        <f t="shared" si="320"/>
        <v>0</v>
      </c>
    </row>
    <row r="6820" spans="1:9">
      <c r="A6820" s="17" t="s">
        <v>2276</v>
      </c>
      <c r="B6820" s="17" t="s">
        <v>867</v>
      </c>
      <c r="C6820" s="17">
        <v>0</v>
      </c>
      <c r="D6820" s="17" t="s">
        <v>801</v>
      </c>
      <c r="E6820" s="18">
        <v>3003951032004</v>
      </c>
      <c r="G6820" s="20" t="str">
        <f t="shared" si="318"/>
        <v xml:space="preserve"> OFOLDER         </v>
      </c>
      <c r="H6820" s="20" t="str">
        <f t="shared" si="319"/>
        <v>VERTF</v>
      </c>
      <c r="I6820" s="20">
        <f t="shared" si="320"/>
        <v>0</v>
      </c>
    </row>
    <row r="6821" spans="1:9">
      <c r="A6821" s="17" t="s">
        <v>2276</v>
      </c>
      <c r="B6821" s="17" t="s">
        <v>927</v>
      </c>
      <c r="C6821" s="17">
        <v>0</v>
      </c>
      <c r="D6821" s="17" t="s">
        <v>801</v>
      </c>
      <c r="E6821" s="18">
        <v>3004650952006</v>
      </c>
      <c r="G6821" s="20" t="str">
        <f t="shared" si="318"/>
        <v xml:space="preserve"> OFOLDER         </v>
      </c>
      <c r="H6821" s="20" t="str">
        <f t="shared" si="319"/>
        <v xml:space="preserve">VOLC </v>
      </c>
      <c r="I6821" s="20">
        <f t="shared" si="320"/>
        <v>0</v>
      </c>
    </row>
    <row r="6822" spans="1:9">
      <c r="A6822" s="17" t="s">
        <v>2276</v>
      </c>
      <c r="B6822" s="17" t="s">
        <v>273</v>
      </c>
      <c r="C6822" s="17">
        <v>0</v>
      </c>
      <c r="D6822" s="17" t="s">
        <v>801</v>
      </c>
      <c r="E6822" s="18">
        <v>3003950440008</v>
      </c>
      <c r="G6822" s="20" t="str">
        <f t="shared" si="318"/>
        <v xml:space="preserve"> OFOLDER         </v>
      </c>
      <c r="H6822" s="20" t="str">
        <f t="shared" si="319"/>
        <v>WHITE</v>
      </c>
      <c r="I6822" s="20">
        <f t="shared" si="320"/>
        <v>0</v>
      </c>
    </row>
    <row r="6823" spans="1:9">
      <c r="A6823" s="17" t="s">
        <v>2277</v>
      </c>
      <c r="B6823" s="17" t="s">
        <v>2251</v>
      </c>
      <c r="C6823" s="17">
        <v>0</v>
      </c>
      <c r="D6823" s="17" t="s">
        <v>801</v>
      </c>
      <c r="E6823" s="18">
        <v>3006271546008</v>
      </c>
      <c r="G6823" s="20" t="str">
        <f t="shared" si="318"/>
        <v xml:space="preserve"> OGREATNOEL17    </v>
      </c>
      <c r="H6823" s="20" t="str">
        <f t="shared" si="319"/>
        <v>FLOAR</v>
      </c>
      <c r="I6823" s="20">
        <f t="shared" si="320"/>
        <v>0</v>
      </c>
    </row>
    <row r="6824" spans="1:9">
      <c r="A6824" s="17" t="s">
        <v>2277</v>
      </c>
      <c r="B6824" s="17" t="s">
        <v>2251</v>
      </c>
      <c r="C6824" s="17">
        <v>0</v>
      </c>
      <c r="D6824" s="17" t="s">
        <v>801</v>
      </c>
      <c r="E6824" s="18">
        <v>8050846018891</v>
      </c>
      <c r="G6824" s="20" t="str">
        <f t="shared" si="318"/>
        <v xml:space="preserve"> OGREATNOEL17    </v>
      </c>
      <c r="H6824" s="20" t="str">
        <f t="shared" si="319"/>
        <v>FLOAR</v>
      </c>
      <c r="I6824" s="20">
        <f t="shared" si="320"/>
        <v>0</v>
      </c>
    </row>
    <row r="6825" spans="1:9">
      <c r="A6825" s="17" t="s">
        <v>2277</v>
      </c>
      <c r="B6825" s="17" t="s">
        <v>2252</v>
      </c>
      <c r="C6825" s="17">
        <v>0</v>
      </c>
      <c r="D6825" s="17" t="s">
        <v>801</v>
      </c>
      <c r="E6825" s="18">
        <v>3006271547005</v>
      </c>
      <c r="G6825" s="20" t="str">
        <f t="shared" si="318"/>
        <v xml:space="preserve"> OGREATNOEL17    </v>
      </c>
      <c r="H6825" s="20" t="str">
        <f t="shared" si="319"/>
        <v>FLOOR</v>
      </c>
      <c r="I6825" s="20">
        <f t="shared" si="320"/>
        <v>0</v>
      </c>
    </row>
    <row r="6826" spans="1:9">
      <c r="A6826" s="17" t="s">
        <v>2277</v>
      </c>
      <c r="B6826" s="17" t="s">
        <v>2252</v>
      </c>
      <c r="C6826" s="17">
        <v>0</v>
      </c>
      <c r="D6826" s="17" t="s">
        <v>801</v>
      </c>
      <c r="E6826" s="18">
        <v>8050846018907</v>
      </c>
      <c r="G6826" s="20" t="str">
        <f t="shared" si="318"/>
        <v xml:space="preserve"> OGREATNOEL17    </v>
      </c>
      <c r="H6826" s="20" t="str">
        <f t="shared" si="319"/>
        <v>FLOOR</v>
      </c>
      <c r="I6826" s="20">
        <f t="shared" si="320"/>
        <v>0</v>
      </c>
    </row>
    <row r="6827" spans="1:9">
      <c r="A6827" s="17" t="s">
        <v>2277</v>
      </c>
      <c r="B6827" s="17" t="s">
        <v>2253</v>
      </c>
      <c r="C6827" s="17">
        <v>0</v>
      </c>
      <c r="D6827" s="17" t="s">
        <v>801</v>
      </c>
      <c r="E6827" s="18">
        <v>3006271548002</v>
      </c>
      <c r="G6827" s="20" t="str">
        <f t="shared" si="318"/>
        <v xml:space="preserve"> OGREATNOEL17    </v>
      </c>
      <c r="H6827" s="20" t="str">
        <f t="shared" si="319"/>
        <v>FLORE</v>
      </c>
      <c r="I6827" s="20">
        <f t="shared" si="320"/>
        <v>0</v>
      </c>
    </row>
    <row r="6828" spans="1:9">
      <c r="A6828" s="17" t="s">
        <v>2277</v>
      </c>
      <c r="B6828" s="17" t="s">
        <v>2253</v>
      </c>
      <c r="C6828" s="17">
        <v>0</v>
      </c>
      <c r="D6828" s="17" t="s">
        <v>801</v>
      </c>
      <c r="E6828" s="18">
        <v>8050846018914</v>
      </c>
      <c r="G6828" s="20" t="str">
        <f t="shared" si="318"/>
        <v xml:space="preserve"> OGREATNOEL17    </v>
      </c>
      <c r="H6828" s="20" t="str">
        <f t="shared" si="319"/>
        <v>FLORE</v>
      </c>
      <c r="I6828" s="20">
        <f t="shared" si="320"/>
        <v>0</v>
      </c>
    </row>
    <row r="6829" spans="1:9">
      <c r="A6829" s="17" t="s">
        <v>2277</v>
      </c>
      <c r="B6829" s="17" t="s">
        <v>1453</v>
      </c>
      <c r="C6829" s="17">
        <v>0</v>
      </c>
      <c r="D6829" s="17" t="s">
        <v>801</v>
      </c>
      <c r="E6829" s="18">
        <v>3006270427001</v>
      </c>
      <c r="G6829" s="20" t="str">
        <f t="shared" si="318"/>
        <v xml:space="preserve"> OGREATNOEL17    </v>
      </c>
      <c r="H6829" s="20" t="str">
        <f t="shared" si="319"/>
        <v xml:space="preserve">UNI  </v>
      </c>
      <c r="I6829" s="20">
        <f t="shared" si="320"/>
        <v>0</v>
      </c>
    </row>
    <row r="6830" spans="1:9">
      <c r="A6830" s="17" t="s">
        <v>2278</v>
      </c>
      <c r="B6830" s="17" t="s">
        <v>963</v>
      </c>
      <c r="C6830" s="17">
        <v>0</v>
      </c>
      <c r="D6830" s="17" t="s">
        <v>801</v>
      </c>
      <c r="E6830" s="18">
        <v>3006120395009</v>
      </c>
      <c r="G6830" s="20" t="str">
        <f t="shared" si="318"/>
        <v xml:space="preserve"> OHUG            </v>
      </c>
      <c r="H6830" s="20" t="str">
        <f t="shared" si="319"/>
        <v>AMARA</v>
      </c>
      <c r="I6830" s="20">
        <f t="shared" si="320"/>
        <v>0</v>
      </c>
    </row>
    <row r="6831" spans="1:9">
      <c r="A6831" s="17" t="s">
        <v>2278</v>
      </c>
      <c r="B6831" s="17" t="s">
        <v>280</v>
      </c>
      <c r="C6831" s="17">
        <v>0</v>
      </c>
      <c r="D6831" s="17" t="s">
        <v>801</v>
      </c>
      <c r="E6831" s="18">
        <v>3006120004000</v>
      </c>
      <c r="G6831" s="20" t="str">
        <f t="shared" si="318"/>
        <v xml:space="preserve"> OHUG            </v>
      </c>
      <c r="H6831" s="20" t="str">
        <f t="shared" si="319"/>
        <v>BLACK</v>
      </c>
      <c r="I6831" s="20">
        <f t="shared" si="320"/>
        <v>0</v>
      </c>
    </row>
    <row r="6832" spans="1:9">
      <c r="A6832" s="17" t="s">
        <v>2278</v>
      </c>
      <c r="B6832" s="17" t="s">
        <v>2279</v>
      </c>
      <c r="C6832" s="17">
        <v>0</v>
      </c>
      <c r="D6832" s="17" t="s">
        <v>801</v>
      </c>
      <c r="E6832" s="18">
        <v>3005401559000</v>
      </c>
      <c r="G6832" s="20" t="str">
        <f t="shared" si="318"/>
        <v xml:space="preserve"> OHUG            </v>
      </c>
      <c r="H6832" s="20" t="str">
        <f t="shared" si="319"/>
        <v>BRAUB</v>
      </c>
      <c r="I6832" s="20">
        <f t="shared" si="320"/>
        <v>0</v>
      </c>
    </row>
    <row r="6833" spans="1:9">
      <c r="A6833" s="17" t="s">
        <v>2278</v>
      </c>
      <c r="B6833" s="17" t="s">
        <v>2280</v>
      </c>
      <c r="C6833" s="17">
        <v>0</v>
      </c>
      <c r="D6833" s="17" t="s">
        <v>801</v>
      </c>
      <c r="E6833" s="18">
        <v>3005401564004</v>
      </c>
      <c r="G6833" s="20" t="str">
        <f t="shared" si="318"/>
        <v xml:space="preserve"> OHUG            </v>
      </c>
      <c r="H6833" s="20" t="str">
        <f t="shared" si="319"/>
        <v>BRBLA</v>
      </c>
      <c r="I6833" s="20">
        <f t="shared" si="320"/>
        <v>0</v>
      </c>
    </row>
    <row r="6834" spans="1:9">
      <c r="A6834" s="17" t="s">
        <v>2278</v>
      </c>
      <c r="B6834" s="17" t="s">
        <v>2281</v>
      </c>
      <c r="C6834" s="17">
        <v>0</v>
      </c>
      <c r="D6834" s="17" t="s">
        <v>801</v>
      </c>
      <c r="E6834" s="18">
        <v>3005401531006</v>
      </c>
      <c r="G6834" s="20" t="str">
        <f t="shared" si="318"/>
        <v xml:space="preserve"> OHUG            </v>
      </c>
      <c r="H6834" s="20" t="str">
        <f t="shared" si="319"/>
        <v>BROLI</v>
      </c>
      <c r="I6834" s="20">
        <f t="shared" si="320"/>
        <v>0</v>
      </c>
    </row>
    <row r="6835" spans="1:9">
      <c r="A6835" s="17" t="s">
        <v>2278</v>
      </c>
      <c r="B6835" s="17" t="s">
        <v>2282</v>
      </c>
      <c r="C6835" s="17">
        <v>0</v>
      </c>
      <c r="D6835" s="17" t="s">
        <v>801</v>
      </c>
      <c r="E6835" s="18">
        <v>3005401535004</v>
      </c>
      <c r="G6835" s="20" t="str">
        <f t="shared" si="318"/>
        <v xml:space="preserve"> OHUG            </v>
      </c>
      <c r="H6835" s="20" t="str">
        <f t="shared" si="319"/>
        <v>BROTT</v>
      </c>
      <c r="I6835" s="20">
        <f t="shared" si="320"/>
        <v>0</v>
      </c>
    </row>
    <row r="6836" spans="1:9">
      <c r="A6836" s="17" t="s">
        <v>2278</v>
      </c>
      <c r="B6836" s="17" t="s">
        <v>2282</v>
      </c>
      <c r="C6836" s="17">
        <v>0</v>
      </c>
      <c r="D6836" s="17" t="s">
        <v>801</v>
      </c>
      <c r="E6836" s="18">
        <v>8050846020702</v>
      </c>
      <c r="G6836" s="20" t="str">
        <f t="shared" si="318"/>
        <v xml:space="preserve"> OHUG            </v>
      </c>
      <c r="H6836" s="20" t="str">
        <f t="shared" si="319"/>
        <v>BROTT</v>
      </c>
      <c r="I6836" s="20">
        <f t="shared" si="320"/>
        <v>0</v>
      </c>
    </row>
    <row r="6837" spans="1:9">
      <c r="A6837" s="17" t="s">
        <v>2278</v>
      </c>
      <c r="B6837" s="17" t="s">
        <v>2283</v>
      </c>
      <c r="C6837" s="17">
        <v>0</v>
      </c>
      <c r="D6837" s="17" t="s">
        <v>801</v>
      </c>
      <c r="E6837" s="18">
        <v>3005401558003</v>
      </c>
      <c r="G6837" s="20" t="str">
        <f t="shared" si="318"/>
        <v xml:space="preserve"> OHUG            </v>
      </c>
      <c r="H6837" s="20" t="str">
        <f t="shared" si="319"/>
        <v>BRPHA</v>
      </c>
      <c r="I6837" s="20">
        <f t="shared" si="320"/>
        <v>0</v>
      </c>
    </row>
    <row r="6838" spans="1:9">
      <c r="A6838" s="17" t="s">
        <v>2278</v>
      </c>
      <c r="B6838" s="17" t="s">
        <v>2284</v>
      </c>
      <c r="C6838" s="17">
        <v>0</v>
      </c>
      <c r="D6838" s="17" t="s">
        <v>801</v>
      </c>
      <c r="E6838" s="18">
        <v>3005401532003</v>
      </c>
      <c r="G6838" s="20" t="str">
        <f t="shared" si="318"/>
        <v xml:space="preserve"> OHUG            </v>
      </c>
      <c r="H6838" s="20" t="str">
        <f t="shared" si="319"/>
        <v>BRRED</v>
      </c>
      <c r="I6838" s="20">
        <f t="shared" si="320"/>
        <v>0</v>
      </c>
    </row>
    <row r="6839" spans="1:9">
      <c r="A6839" s="17" t="s">
        <v>2278</v>
      </c>
      <c r="B6839" s="17" t="s">
        <v>2284</v>
      </c>
      <c r="C6839" s="17">
        <v>0</v>
      </c>
      <c r="D6839" s="17" t="s">
        <v>801</v>
      </c>
      <c r="E6839" s="18">
        <v>8050846020726</v>
      </c>
      <c r="G6839" s="20" t="str">
        <f t="shared" si="318"/>
        <v xml:space="preserve"> OHUG            </v>
      </c>
      <c r="H6839" s="20" t="str">
        <f t="shared" si="319"/>
        <v>BRRED</v>
      </c>
      <c r="I6839" s="20">
        <f t="shared" si="320"/>
        <v>0</v>
      </c>
    </row>
    <row r="6840" spans="1:9">
      <c r="A6840" s="17" t="s">
        <v>2278</v>
      </c>
      <c r="B6840" s="17" t="s">
        <v>2285</v>
      </c>
      <c r="C6840" s="17">
        <v>0</v>
      </c>
      <c r="D6840" s="17" t="s">
        <v>801</v>
      </c>
      <c r="E6840" s="18">
        <v>3005401533000</v>
      </c>
      <c r="G6840" s="20" t="str">
        <f t="shared" si="318"/>
        <v xml:space="preserve"> OHUG            </v>
      </c>
      <c r="H6840" s="20" t="str">
        <f t="shared" si="319"/>
        <v>BRSAB</v>
      </c>
      <c r="I6840" s="20">
        <f t="shared" si="320"/>
        <v>0</v>
      </c>
    </row>
    <row r="6841" spans="1:9">
      <c r="A6841" s="17" t="s">
        <v>2278</v>
      </c>
      <c r="B6841" s="17" t="s">
        <v>2285</v>
      </c>
      <c r="C6841" s="17">
        <v>0</v>
      </c>
      <c r="D6841" s="17" t="s">
        <v>801</v>
      </c>
      <c r="E6841" s="18">
        <v>8050846020733</v>
      </c>
      <c r="G6841" s="20" t="str">
        <f t="shared" si="318"/>
        <v xml:space="preserve"> OHUG            </v>
      </c>
      <c r="H6841" s="20" t="str">
        <f t="shared" si="319"/>
        <v>BRSAB</v>
      </c>
      <c r="I6841" s="20">
        <f t="shared" si="320"/>
        <v>0</v>
      </c>
    </row>
    <row r="6842" spans="1:9">
      <c r="A6842" s="17" t="s">
        <v>2278</v>
      </c>
      <c r="B6842" s="17" t="s">
        <v>2286</v>
      </c>
      <c r="C6842" s="17">
        <v>0</v>
      </c>
      <c r="D6842" s="17" t="s">
        <v>801</v>
      </c>
      <c r="E6842" s="18">
        <v>3005401530009</v>
      </c>
      <c r="G6842" s="20" t="str">
        <f t="shared" si="318"/>
        <v xml:space="preserve"> OHUG            </v>
      </c>
      <c r="H6842" s="20" t="str">
        <f t="shared" si="319"/>
        <v>BRSAN</v>
      </c>
      <c r="I6842" s="20">
        <f t="shared" si="320"/>
        <v>0</v>
      </c>
    </row>
    <row r="6843" spans="1:9">
      <c r="A6843" s="17" t="s">
        <v>2278</v>
      </c>
      <c r="B6843" s="17" t="s">
        <v>2286</v>
      </c>
      <c r="C6843" s="17">
        <v>0</v>
      </c>
      <c r="D6843" s="17" t="s">
        <v>801</v>
      </c>
      <c r="E6843" s="18">
        <v>8050846020757</v>
      </c>
      <c r="G6843" s="20" t="str">
        <f t="shared" si="318"/>
        <v xml:space="preserve"> OHUG            </v>
      </c>
      <c r="H6843" s="20" t="str">
        <f t="shared" si="319"/>
        <v>BRSAN</v>
      </c>
      <c r="I6843" s="20">
        <f t="shared" si="320"/>
        <v>0</v>
      </c>
    </row>
    <row r="6844" spans="1:9">
      <c r="A6844" s="17" t="s">
        <v>2278</v>
      </c>
      <c r="B6844" s="17" t="s">
        <v>2287</v>
      </c>
      <c r="C6844" s="17">
        <v>0</v>
      </c>
      <c r="D6844" s="17" t="s">
        <v>801</v>
      </c>
      <c r="E6844" s="18">
        <v>3005401534007</v>
      </c>
      <c r="G6844" s="20" t="str">
        <f t="shared" si="318"/>
        <v xml:space="preserve"> OHUG            </v>
      </c>
      <c r="H6844" s="20" t="str">
        <f t="shared" si="319"/>
        <v>CBTES</v>
      </c>
      <c r="I6844" s="20">
        <f t="shared" si="320"/>
        <v>0</v>
      </c>
    </row>
    <row r="6845" spans="1:9">
      <c r="A6845" s="17" t="s">
        <v>2278</v>
      </c>
      <c r="B6845" s="17" t="s">
        <v>2287</v>
      </c>
      <c r="C6845" s="17">
        <v>0</v>
      </c>
      <c r="D6845" s="17" t="s">
        <v>801</v>
      </c>
      <c r="E6845" s="18">
        <v>8050846020740</v>
      </c>
      <c r="G6845" s="20" t="str">
        <f t="shared" si="318"/>
        <v xml:space="preserve"> OHUG            </v>
      </c>
      <c r="H6845" s="20" t="str">
        <f t="shared" si="319"/>
        <v>CBTES</v>
      </c>
      <c r="I6845" s="20">
        <f t="shared" si="320"/>
        <v>0</v>
      </c>
    </row>
    <row r="6846" spans="1:9">
      <c r="A6846" s="17" t="s">
        <v>2278</v>
      </c>
      <c r="B6846" s="17" t="s">
        <v>2288</v>
      </c>
      <c r="C6846" s="17">
        <v>0</v>
      </c>
      <c r="D6846" s="17" t="s">
        <v>801</v>
      </c>
      <c r="E6846" s="18">
        <v>3005401189009</v>
      </c>
      <c r="G6846" s="20" t="str">
        <f t="shared" si="318"/>
        <v xml:space="preserve"> OHUG            </v>
      </c>
      <c r="H6846" s="20" t="str">
        <f t="shared" si="319"/>
        <v>CUBLU</v>
      </c>
      <c r="I6846" s="20">
        <f t="shared" si="320"/>
        <v>0</v>
      </c>
    </row>
    <row r="6847" spans="1:9">
      <c r="A6847" s="17" t="s">
        <v>2278</v>
      </c>
      <c r="B6847" s="17" t="s">
        <v>2289</v>
      </c>
      <c r="C6847" s="17">
        <v>0</v>
      </c>
      <c r="D6847" s="17" t="s">
        <v>801</v>
      </c>
      <c r="E6847" s="18">
        <v>3005401190005</v>
      </c>
      <c r="G6847" s="20" t="str">
        <f t="shared" si="318"/>
        <v xml:space="preserve"> OHUG            </v>
      </c>
      <c r="H6847" s="20" t="str">
        <f t="shared" si="319"/>
        <v>CUGRI</v>
      </c>
      <c r="I6847" s="20">
        <f t="shared" si="320"/>
        <v>0</v>
      </c>
    </row>
    <row r="6848" spans="1:9">
      <c r="A6848" s="17" t="s">
        <v>2278</v>
      </c>
      <c r="B6848" s="17" t="s">
        <v>1046</v>
      </c>
      <c r="C6848" s="17">
        <v>0</v>
      </c>
      <c r="D6848" s="17" t="s">
        <v>801</v>
      </c>
      <c r="E6848" s="18">
        <v>3005400234007</v>
      </c>
      <c r="G6848" s="20" t="str">
        <f t="shared" si="318"/>
        <v xml:space="preserve"> OHUG            </v>
      </c>
      <c r="H6848" s="20" t="str">
        <f t="shared" si="319"/>
        <v>CUIBL</v>
      </c>
      <c r="I6848" s="20">
        <f t="shared" si="320"/>
        <v>0</v>
      </c>
    </row>
    <row r="6849" spans="1:9">
      <c r="A6849" s="17" t="s">
        <v>2278</v>
      </c>
      <c r="B6849" s="17" t="s">
        <v>2290</v>
      </c>
      <c r="C6849" s="17">
        <v>0</v>
      </c>
      <c r="D6849" s="17" t="s">
        <v>801</v>
      </c>
      <c r="E6849" s="18">
        <v>8056300459323</v>
      </c>
      <c r="G6849" s="20" t="str">
        <f t="shared" si="318"/>
        <v xml:space="preserve"> OHUG            </v>
      </c>
      <c r="H6849" s="20" t="str">
        <f t="shared" si="319"/>
        <v>CUIBR</v>
      </c>
      <c r="I6849" s="20">
        <f t="shared" si="320"/>
        <v>0</v>
      </c>
    </row>
    <row r="6850" spans="1:9">
      <c r="A6850" s="17" t="s">
        <v>2278</v>
      </c>
      <c r="B6850" s="17" t="s">
        <v>2291</v>
      </c>
      <c r="C6850" s="17">
        <v>0</v>
      </c>
      <c r="D6850" s="17" t="s">
        <v>801</v>
      </c>
      <c r="E6850" s="18">
        <v>3005401191002</v>
      </c>
      <c r="G6850" s="20" t="str">
        <f t="shared" si="318"/>
        <v xml:space="preserve"> OHUG            </v>
      </c>
      <c r="H6850" s="20" t="str">
        <f t="shared" si="319"/>
        <v>CUICE</v>
      </c>
      <c r="I6850" s="20">
        <f t="shared" si="320"/>
        <v>0</v>
      </c>
    </row>
    <row r="6851" spans="1:9">
      <c r="A6851" s="17" t="s">
        <v>2278</v>
      </c>
      <c r="B6851" s="17" t="s">
        <v>2291</v>
      </c>
      <c r="C6851" s="17">
        <v>0</v>
      </c>
      <c r="D6851" s="17" t="s">
        <v>801</v>
      </c>
      <c r="E6851" s="18">
        <v>8056300459354</v>
      </c>
      <c r="G6851" s="20" t="str">
        <f t="shared" si="318"/>
        <v xml:space="preserve"> OHUG            </v>
      </c>
      <c r="H6851" s="20" t="str">
        <f t="shared" si="319"/>
        <v>CUICE</v>
      </c>
      <c r="I6851" s="20">
        <f t="shared" si="320"/>
        <v>0</v>
      </c>
    </row>
    <row r="6852" spans="1:9">
      <c r="A6852" s="17" t="s">
        <v>2278</v>
      </c>
      <c r="B6852" s="17" t="s">
        <v>2292</v>
      </c>
      <c r="C6852" s="17">
        <v>0</v>
      </c>
      <c r="D6852" s="17" t="s">
        <v>801</v>
      </c>
      <c r="E6852" s="18">
        <v>8056098534332</v>
      </c>
      <c r="G6852" s="20" t="str">
        <f t="shared" si="318"/>
        <v xml:space="preserve"> OHUG            </v>
      </c>
      <c r="H6852" s="20" t="str">
        <f t="shared" si="319"/>
        <v>CUIGR</v>
      </c>
      <c r="I6852" s="20">
        <f t="shared" si="320"/>
        <v>0</v>
      </c>
    </row>
    <row r="6853" spans="1:9">
      <c r="A6853" s="17" t="s">
        <v>2278</v>
      </c>
      <c r="B6853" s="17" t="s">
        <v>1048</v>
      </c>
      <c r="C6853" s="17">
        <v>0</v>
      </c>
      <c r="D6853" s="17" t="s">
        <v>801</v>
      </c>
      <c r="E6853" s="18">
        <v>8056300459330</v>
      </c>
      <c r="G6853" s="20" t="str">
        <f t="shared" ref="G6853:G6916" si="321">A6853</f>
        <v xml:space="preserve"> OHUG            </v>
      </c>
      <c r="H6853" s="20" t="str">
        <f t="shared" ref="H6853:H6916" si="322">B6853</f>
        <v>CUINO</v>
      </c>
      <c r="I6853" s="20">
        <f t="shared" ref="I6853:I6916" si="323">C6853</f>
        <v>0</v>
      </c>
    </row>
    <row r="6854" spans="1:9">
      <c r="A6854" s="17" t="s">
        <v>2278</v>
      </c>
      <c r="B6854" s="17" t="s">
        <v>2293</v>
      </c>
      <c r="C6854" s="17">
        <v>0</v>
      </c>
      <c r="D6854" s="17" t="s">
        <v>801</v>
      </c>
      <c r="E6854" s="18">
        <v>3005400923000</v>
      </c>
      <c r="G6854" s="20" t="str">
        <f t="shared" si="321"/>
        <v xml:space="preserve"> OHUG            </v>
      </c>
      <c r="H6854" s="20" t="str">
        <f t="shared" si="322"/>
        <v>CUIRO</v>
      </c>
      <c r="I6854" s="20">
        <f t="shared" si="323"/>
        <v>0</v>
      </c>
    </row>
    <row r="6855" spans="1:9">
      <c r="A6855" s="17" t="s">
        <v>2278</v>
      </c>
      <c r="B6855" s="17" t="s">
        <v>1847</v>
      </c>
      <c r="C6855" s="17">
        <v>0</v>
      </c>
      <c r="D6855" s="17" t="s">
        <v>801</v>
      </c>
      <c r="E6855" s="18">
        <v>3005400604008</v>
      </c>
      <c r="G6855" s="20" t="str">
        <f t="shared" si="321"/>
        <v xml:space="preserve"> OHUG            </v>
      </c>
      <c r="H6855" s="20" t="str">
        <f t="shared" si="322"/>
        <v>CUITE</v>
      </c>
      <c r="I6855" s="20">
        <f t="shared" si="323"/>
        <v>0</v>
      </c>
    </row>
    <row r="6856" spans="1:9">
      <c r="A6856" s="17" t="s">
        <v>2278</v>
      </c>
      <c r="B6856" s="17" t="s">
        <v>1184</v>
      </c>
      <c r="C6856" s="17">
        <v>0</v>
      </c>
      <c r="D6856" s="17" t="s">
        <v>801</v>
      </c>
      <c r="E6856" s="18">
        <v>3005401155004</v>
      </c>
      <c r="G6856" s="20" t="str">
        <f t="shared" si="321"/>
        <v xml:space="preserve"> OHUG            </v>
      </c>
      <c r="H6856" s="20" t="str">
        <f t="shared" si="322"/>
        <v>ECBLU</v>
      </c>
      <c r="I6856" s="20">
        <f t="shared" si="323"/>
        <v>0</v>
      </c>
    </row>
    <row r="6857" spans="1:9">
      <c r="A6857" s="17" t="s">
        <v>2278</v>
      </c>
      <c r="B6857" s="17" t="s">
        <v>1184</v>
      </c>
      <c r="C6857" s="17">
        <v>0</v>
      </c>
      <c r="D6857" s="17" t="s">
        <v>801</v>
      </c>
      <c r="E6857" s="18">
        <v>8056300459293</v>
      </c>
      <c r="G6857" s="20" t="str">
        <f t="shared" si="321"/>
        <v xml:space="preserve"> OHUG            </v>
      </c>
      <c r="H6857" s="20" t="str">
        <f t="shared" si="322"/>
        <v>ECBLU</v>
      </c>
      <c r="I6857" s="20">
        <f t="shared" si="323"/>
        <v>0</v>
      </c>
    </row>
    <row r="6858" spans="1:9">
      <c r="A6858" s="17" t="s">
        <v>2278</v>
      </c>
      <c r="B6858" s="17" t="s">
        <v>1185</v>
      </c>
      <c r="C6858" s="17">
        <v>0</v>
      </c>
      <c r="D6858" s="17" t="s">
        <v>801</v>
      </c>
      <c r="E6858" s="18">
        <v>3005400834009</v>
      </c>
      <c r="G6858" s="20" t="str">
        <f t="shared" si="321"/>
        <v xml:space="preserve"> OHUG            </v>
      </c>
      <c r="H6858" s="20" t="str">
        <f t="shared" si="322"/>
        <v>ECOBL</v>
      </c>
      <c r="I6858" s="20">
        <f t="shared" si="323"/>
        <v>0</v>
      </c>
    </row>
    <row r="6859" spans="1:9">
      <c r="A6859" s="17" t="s">
        <v>2278</v>
      </c>
      <c r="B6859" s="17" t="s">
        <v>2294</v>
      </c>
      <c r="C6859" s="17">
        <v>0</v>
      </c>
      <c r="D6859" s="17" t="s">
        <v>801</v>
      </c>
      <c r="E6859" s="18">
        <v>8056300459286</v>
      </c>
      <c r="G6859" s="20" t="str">
        <f t="shared" si="321"/>
        <v xml:space="preserve"> OHUG            </v>
      </c>
      <c r="H6859" s="20" t="str">
        <f t="shared" si="322"/>
        <v>ECOPO</v>
      </c>
      <c r="I6859" s="20">
        <f t="shared" si="323"/>
        <v>0</v>
      </c>
    </row>
    <row r="6860" spans="1:9">
      <c r="A6860" s="17" t="s">
        <v>2278</v>
      </c>
      <c r="B6860" s="17" t="s">
        <v>2295</v>
      </c>
      <c r="C6860" s="17">
        <v>0</v>
      </c>
      <c r="D6860" s="17" t="s">
        <v>801</v>
      </c>
      <c r="E6860" s="18">
        <v>3005401561003</v>
      </c>
      <c r="G6860" s="20" t="str">
        <f t="shared" si="321"/>
        <v xml:space="preserve"> OHUG            </v>
      </c>
      <c r="H6860" s="20" t="str">
        <f t="shared" si="322"/>
        <v>ECORO</v>
      </c>
      <c r="I6860" s="20">
        <f t="shared" si="323"/>
        <v>0</v>
      </c>
    </row>
    <row r="6861" spans="1:9">
      <c r="A6861" s="17" t="s">
        <v>2278</v>
      </c>
      <c r="B6861" s="17" t="s">
        <v>2295</v>
      </c>
      <c r="C6861" s="17">
        <v>0</v>
      </c>
      <c r="D6861" s="17" t="s">
        <v>801</v>
      </c>
      <c r="E6861" s="18">
        <v>8056300459248</v>
      </c>
      <c r="G6861" s="20" t="str">
        <f t="shared" si="321"/>
        <v xml:space="preserve"> OHUG            </v>
      </c>
      <c r="H6861" s="20" t="str">
        <f t="shared" si="322"/>
        <v>ECORO</v>
      </c>
      <c r="I6861" s="20">
        <f t="shared" si="323"/>
        <v>0</v>
      </c>
    </row>
    <row r="6862" spans="1:9">
      <c r="A6862" s="17" t="s">
        <v>2278</v>
      </c>
      <c r="B6862" s="17" t="s">
        <v>2296</v>
      </c>
      <c r="C6862" s="17">
        <v>0</v>
      </c>
      <c r="D6862" s="17" t="s">
        <v>801</v>
      </c>
      <c r="E6862" s="18">
        <v>3005401188002</v>
      </c>
      <c r="G6862" s="20" t="str">
        <f t="shared" si="321"/>
        <v xml:space="preserve"> OHUG            </v>
      </c>
      <c r="H6862" s="20" t="str">
        <f t="shared" si="322"/>
        <v>ECROC</v>
      </c>
      <c r="I6862" s="20">
        <f t="shared" si="323"/>
        <v>0</v>
      </c>
    </row>
    <row r="6863" spans="1:9">
      <c r="A6863" s="17" t="s">
        <v>2278</v>
      </c>
      <c r="B6863" s="17" t="s">
        <v>2296</v>
      </c>
      <c r="C6863" s="17">
        <v>0</v>
      </c>
      <c r="D6863" s="17" t="s">
        <v>801</v>
      </c>
      <c r="E6863" s="18">
        <v>8056300459262</v>
      </c>
      <c r="G6863" s="20" t="str">
        <f t="shared" si="321"/>
        <v xml:space="preserve"> OHUG            </v>
      </c>
      <c r="H6863" s="20" t="str">
        <f t="shared" si="322"/>
        <v>ECROC</v>
      </c>
      <c r="I6863" s="20">
        <f t="shared" si="323"/>
        <v>0</v>
      </c>
    </row>
    <row r="6864" spans="1:9">
      <c r="A6864" s="17" t="s">
        <v>2278</v>
      </c>
      <c r="B6864" s="17" t="s">
        <v>838</v>
      </c>
      <c r="C6864" s="17">
        <v>0</v>
      </c>
      <c r="D6864" s="17" t="s">
        <v>801</v>
      </c>
      <c r="E6864" s="18">
        <v>3006121023000</v>
      </c>
      <c r="G6864" s="20" t="str">
        <f t="shared" si="321"/>
        <v xml:space="preserve"> OHUG            </v>
      </c>
      <c r="H6864" s="20" t="str">
        <f t="shared" si="322"/>
        <v>IVOIR</v>
      </c>
      <c r="I6864" s="20">
        <f t="shared" si="323"/>
        <v>0</v>
      </c>
    </row>
    <row r="6865" spans="1:9">
      <c r="A6865" s="17" t="s">
        <v>2278</v>
      </c>
      <c r="B6865" s="17" t="s">
        <v>1039</v>
      </c>
      <c r="C6865" s="17">
        <v>0</v>
      </c>
      <c r="D6865" s="17" t="s">
        <v>801</v>
      </c>
      <c r="E6865" s="18">
        <v>8050538590223</v>
      </c>
      <c r="G6865" s="20" t="str">
        <f t="shared" si="321"/>
        <v xml:space="preserve"> OHUG            </v>
      </c>
      <c r="H6865" s="20" t="str">
        <f t="shared" si="322"/>
        <v>JACBL</v>
      </c>
      <c r="I6865" s="20">
        <f t="shared" si="323"/>
        <v>0</v>
      </c>
    </row>
    <row r="6866" spans="1:9">
      <c r="A6866" s="17" t="s">
        <v>2278</v>
      </c>
      <c r="B6866" s="17" t="s">
        <v>1040</v>
      </c>
      <c r="C6866" s="17">
        <v>0</v>
      </c>
      <c r="D6866" s="17" t="s">
        <v>801</v>
      </c>
      <c r="E6866" s="18">
        <v>8050538591145</v>
      </c>
      <c r="G6866" s="20" t="str">
        <f t="shared" si="321"/>
        <v xml:space="preserve"> OHUG            </v>
      </c>
      <c r="H6866" s="20" t="str">
        <f t="shared" si="322"/>
        <v>JACRO</v>
      </c>
      <c r="I6866" s="20">
        <f t="shared" si="323"/>
        <v>0</v>
      </c>
    </row>
    <row r="6867" spans="1:9">
      <c r="A6867" s="17" t="s">
        <v>2278</v>
      </c>
      <c r="B6867" s="17" t="s">
        <v>815</v>
      </c>
      <c r="C6867" s="17">
        <v>0</v>
      </c>
      <c r="D6867" s="17" t="s">
        <v>801</v>
      </c>
      <c r="E6867" s="18">
        <v>8056099178894</v>
      </c>
      <c r="G6867" s="20" t="str">
        <f t="shared" si="321"/>
        <v xml:space="preserve"> OHUG            </v>
      </c>
      <c r="H6867" s="20" t="str">
        <f t="shared" si="322"/>
        <v>OPTWH</v>
      </c>
      <c r="I6867" s="20">
        <f t="shared" si="323"/>
        <v>0</v>
      </c>
    </row>
    <row r="6868" spans="1:9">
      <c r="A6868" s="17" t="s">
        <v>2278</v>
      </c>
      <c r="B6868" s="17" t="s">
        <v>1402</v>
      </c>
      <c r="C6868" s="17">
        <v>0</v>
      </c>
      <c r="D6868" s="17" t="s">
        <v>801</v>
      </c>
      <c r="E6868" s="18">
        <v>8056099173097</v>
      </c>
      <c r="G6868" s="20" t="str">
        <f t="shared" si="321"/>
        <v xml:space="preserve"> OHUG            </v>
      </c>
      <c r="H6868" s="20" t="str">
        <f t="shared" si="322"/>
        <v>SOIBL</v>
      </c>
      <c r="I6868" s="20">
        <f t="shared" si="323"/>
        <v>0</v>
      </c>
    </row>
    <row r="6869" spans="1:9">
      <c r="A6869" s="17" t="s">
        <v>2278</v>
      </c>
      <c r="B6869" s="17" t="s">
        <v>1405</v>
      </c>
      <c r="C6869" s="17">
        <v>0</v>
      </c>
      <c r="D6869" s="17" t="s">
        <v>801</v>
      </c>
      <c r="E6869" s="18">
        <v>8056099173080</v>
      </c>
      <c r="G6869" s="20" t="str">
        <f t="shared" si="321"/>
        <v xml:space="preserve"> OHUG            </v>
      </c>
      <c r="H6869" s="20" t="str">
        <f t="shared" si="322"/>
        <v>SOIRO</v>
      </c>
      <c r="I6869" s="20">
        <f t="shared" si="323"/>
        <v>0</v>
      </c>
    </row>
    <row r="6870" spans="1:9">
      <c r="A6870" s="17" t="s">
        <v>2278</v>
      </c>
      <c r="B6870" s="17" t="s">
        <v>1319</v>
      </c>
      <c r="C6870" s="17">
        <v>0</v>
      </c>
      <c r="D6870" s="17" t="s">
        <v>801</v>
      </c>
      <c r="E6870" s="18">
        <v>8056099173103</v>
      </c>
      <c r="G6870" s="20" t="str">
        <f t="shared" si="321"/>
        <v xml:space="preserve"> OHUG            </v>
      </c>
      <c r="H6870" s="20" t="str">
        <f t="shared" si="322"/>
        <v>SOISI</v>
      </c>
      <c r="I6870" s="20">
        <f t="shared" si="323"/>
        <v>0</v>
      </c>
    </row>
    <row r="6871" spans="1:9">
      <c r="A6871" s="17" t="s">
        <v>2278</v>
      </c>
      <c r="B6871" s="17" t="s">
        <v>2297</v>
      </c>
      <c r="C6871" s="17">
        <v>0</v>
      </c>
      <c r="D6871" s="17" t="s">
        <v>801</v>
      </c>
      <c r="E6871" s="18">
        <v>3005401192009</v>
      </c>
      <c r="G6871" s="20" t="str">
        <f t="shared" si="321"/>
        <v xml:space="preserve"> OHUG            </v>
      </c>
      <c r="H6871" s="20" t="str">
        <f t="shared" si="322"/>
        <v>TISBL</v>
      </c>
      <c r="I6871" s="20">
        <f t="shared" si="323"/>
        <v>0</v>
      </c>
    </row>
    <row r="6872" spans="1:9">
      <c r="A6872" s="17" t="s">
        <v>2278</v>
      </c>
      <c r="B6872" s="17" t="s">
        <v>2297</v>
      </c>
      <c r="C6872" s="17">
        <v>0</v>
      </c>
      <c r="D6872" s="17" t="s">
        <v>801</v>
      </c>
      <c r="E6872" s="18">
        <v>8056095063644</v>
      </c>
      <c r="G6872" s="20" t="str">
        <f t="shared" si="321"/>
        <v xml:space="preserve"> OHUG            </v>
      </c>
      <c r="H6872" s="20" t="str">
        <f t="shared" si="322"/>
        <v>TISBL</v>
      </c>
      <c r="I6872" s="20">
        <f t="shared" si="323"/>
        <v>0</v>
      </c>
    </row>
    <row r="6873" spans="1:9">
      <c r="A6873" s="17" t="s">
        <v>2278</v>
      </c>
      <c r="B6873" s="17" t="s">
        <v>2298</v>
      </c>
      <c r="C6873" s="17">
        <v>0</v>
      </c>
      <c r="D6873" s="17" t="s">
        <v>801</v>
      </c>
      <c r="E6873" s="18">
        <v>3005401193006</v>
      </c>
      <c r="G6873" s="20" t="str">
        <f t="shared" si="321"/>
        <v xml:space="preserve"> OHUG            </v>
      </c>
      <c r="H6873" s="20" t="str">
        <f t="shared" si="322"/>
        <v>TISTO</v>
      </c>
      <c r="I6873" s="20">
        <f t="shared" si="323"/>
        <v>0</v>
      </c>
    </row>
    <row r="6874" spans="1:9">
      <c r="A6874" s="17" t="s">
        <v>2278</v>
      </c>
      <c r="B6874" s="17" t="s">
        <v>2298</v>
      </c>
      <c r="C6874" s="17">
        <v>0</v>
      </c>
      <c r="D6874" s="17" t="s">
        <v>801</v>
      </c>
      <c r="E6874" s="18">
        <v>8056095063668</v>
      </c>
      <c r="G6874" s="20" t="str">
        <f t="shared" si="321"/>
        <v xml:space="preserve"> OHUG            </v>
      </c>
      <c r="H6874" s="20" t="str">
        <f t="shared" si="322"/>
        <v>TISTO</v>
      </c>
      <c r="I6874" s="20">
        <f t="shared" si="323"/>
        <v>0</v>
      </c>
    </row>
    <row r="6875" spans="1:9">
      <c r="A6875" s="17" t="s">
        <v>2299</v>
      </c>
      <c r="B6875" s="17" t="s">
        <v>280</v>
      </c>
      <c r="C6875" s="17">
        <v>0</v>
      </c>
      <c r="D6875" s="17" t="s">
        <v>801</v>
      </c>
      <c r="E6875" s="18">
        <v>8056099173172</v>
      </c>
      <c r="G6875" s="20" t="str">
        <f t="shared" si="321"/>
        <v xml:space="preserve"> OHUGMEN         </v>
      </c>
      <c r="H6875" s="20" t="str">
        <f t="shared" si="322"/>
        <v>BLACK</v>
      </c>
      <c r="I6875" s="20">
        <f t="shared" si="323"/>
        <v>0</v>
      </c>
    </row>
    <row r="6876" spans="1:9">
      <c r="A6876" s="17" t="s">
        <v>2299</v>
      </c>
      <c r="B6876" s="17" t="s">
        <v>1423</v>
      </c>
      <c r="C6876" s="17">
        <v>0</v>
      </c>
      <c r="D6876" s="17" t="s">
        <v>801</v>
      </c>
      <c r="E6876" s="18">
        <v>8056099173165</v>
      </c>
      <c r="G6876" s="20" t="str">
        <f t="shared" si="321"/>
        <v xml:space="preserve"> OHUGMEN         </v>
      </c>
      <c r="H6876" s="20" t="str">
        <f t="shared" si="322"/>
        <v xml:space="preserve">BLG  </v>
      </c>
      <c r="I6876" s="20">
        <f t="shared" si="323"/>
        <v>0</v>
      </c>
    </row>
    <row r="6877" spans="1:9">
      <c r="A6877" s="17" t="s">
        <v>2299</v>
      </c>
      <c r="B6877" s="17" t="s">
        <v>857</v>
      </c>
      <c r="C6877" s="17">
        <v>0</v>
      </c>
      <c r="D6877" s="17" t="s">
        <v>801</v>
      </c>
      <c r="E6877" s="18">
        <v>8056099173158</v>
      </c>
      <c r="G6877" s="20" t="str">
        <f t="shared" si="321"/>
        <v xml:space="preserve"> OHUGMEN         </v>
      </c>
      <c r="H6877" s="20" t="str">
        <f t="shared" si="322"/>
        <v>BLUET</v>
      </c>
      <c r="I6877" s="20">
        <f t="shared" si="323"/>
        <v>0</v>
      </c>
    </row>
    <row r="6878" spans="1:9">
      <c r="A6878" s="17" t="s">
        <v>2300</v>
      </c>
      <c r="B6878" s="17" t="s">
        <v>808</v>
      </c>
      <c r="C6878" s="17">
        <v>0</v>
      </c>
      <c r="D6878" s="17" t="s">
        <v>801</v>
      </c>
      <c r="E6878" s="18">
        <v>3006111490003</v>
      </c>
      <c r="G6878" s="20" t="str">
        <f t="shared" si="321"/>
        <v xml:space="preserve"> OJOYBASE        </v>
      </c>
      <c r="H6878" s="20" t="str">
        <f t="shared" si="322"/>
        <v>ANTHR</v>
      </c>
      <c r="I6878" s="20">
        <f t="shared" si="323"/>
        <v>0</v>
      </c>
    </row>
    <row r="6879" spans="1:9">
      <c r="A6879" s="17" t="s">
        <v>2300</v>
      </c>
      <c r="B6879" s="17" t="s">
        <v>809</v>
      </c>
      <c r="C6879" s="17">
        <v>0</v>
      </c>
      <c r="D6879" s="17" t="s">
        <v>801</v>
      </c>
      <c r="E6879" s="18">
        <v>8050538599301</v>
      </c>
      <c r="G6879" s="20" t="str">
        <f t="shared" si="321"/>
        <v xml:space="preserve"> OJOYBASE        </v>
      </c>
      <c r="H6879" s="20" t="str">
        <f t="shared" si="322"/>
        <v>AUBER</v>
      </c>
      <c r="I6879" s="20">
        <f t="shared" si="323"/>
        <v>0</v>
      </c>
    </row>
    <row r="6880" spans="1:9">
      <c r="A6880" s="17" t="s">
        <v>2300</v>
      </c>
      <c r="B6880" s="17" t="s">
        <v>280</v>
      </c>
      <c r="C6880" s="17">
        <v>0</v>
      </c>
      <c r="D6880" s="17" t="s">
        <v>801</v>
      </c>
      <c r="E6880" s="18">
        <v>3006110276004</v>
      </c>
      <c r="G6880" s="20" t="str">
        <f t="shared" si="321"/>
        <v xml:space="preserve"> OJOYBASE        </v>
      </c>
      <c r="H6880" s="20" t="str">
        <f t="shared" si="322"/>
        <v>BLACK</v>
      </c>
      <c r="I6880" s="20">
        <f t="shared" si="323"/>
        <v>0</v>
      </c>
    </row>
    <row r="6881" spans="1:9">
      <c r="A6881" s="17" t="s">
        <v>2300</v>
      </c>
      <c r="B6881" s="17" t="s">
        <v>280</v>
      </c>
      <c r="C6881" s="17">
        <v>0</v>
      </c>
      <c r="D6881" s="17" t="s">
        <v>801</v>
      </c>
      <c r="E6881" s="18">
        <v>8050538599318</v>
      </c>
      <c r="G6881" s="20" t="str">
        <f t="shared" si="321"/>
        <v xml:space="preserve"> OJOYBASE        </v>
      </c>
      <c r="H6881" s="20" t="str">
        <f t="shared" si="322"/>
        <v>BLACK</v>
      </c>
      <c r="I6881" s="20">
        <f t="shared" si="323"/>
        <v>0</v>
      </c>
    </row>
    <row r="6882" spans="1:9">
      <c r="A6882" s="17" t="s">
        <v>2300</v>
      </c>
      <c r="B6882" s="17" t="s">
        <v>810</v>
      </c>
      <c r="C6882" s="17">
        <v>0</v>
      </c>
      <c r="D6882" s="17" t="s">
        <v>801</v>
      </c>
      <c r="E6882" s="18">
        <v>8050538599332</v>
      </c>
      <c r="G6882" s="20" t="str">
        <f t="shared" si="321"/>
        <v xml:space="preserve"> OJOYBASE        </v>
      </c>
      <c r="H6882" s="20" t="str">
        <f t="shared" si="322"/>
        <v xml:space="preserve">BLUE </v>
      </c>
      <c r="I6882" s="20">
        <f t="shared" si="323"/>
        <v>0</v>
      </c>
    </row>
    <row r="6883" spans="1:9">
      <c r="A6883" s="17" t="s">
        <v>2300</v>
      </c>
      <c r="B6883" s="17" t="s">
        <v>811</v>
      </c>
      <c r="C6883" s="17">
        <v>0</v>
      </c>
      <c r="D6883" s="17" t="s">
        <v>801</v>
      </c>
      <c r="E6883" s="18">
        <v>8050538599356</v>
      </c>
      <c r="G6883" s="20" t="str">
        <f t="shared" si="321"/>
        <v xml:space="preserve"> OJOYBASE        </v>
      </c>
      <c r="H6883" s="20" t="str">
        <f t="shared" si="322"/>
        <v xml:space="preserve">VERT </v>
      </c>
      <c r="I6883" s="20">
        <f t="shared" si="323"/>
        <v>0</v>
      </c>
    </row>
    <row r="6884" spans="1:9">
      <c r="A6884" s="17" t="s">
        <v>2300</v>
      </c>
      <c r="B6884" s="17" t="s">
        <v>811</v>
      </c>
      <c r="C6884" s="17">
        <v>0</v>
      </c>
      <c r="D6884" s="17" t="s">
        <v>801</v>
      </c>
      <c r="E6884" s="18">
        <v>3006110431007</v>
      </c>
      <c r="G6884" s="20" t="str">
        <f t="shared" si="321"/>
        <v xml:space="preserve"> OJOYBASE        </v>
      </c>
      <c r="H6884" s="20" t="str">
        <f t="shared" si="322"/>
        <v xml:space="preserve">VERT </v>
      </c>
      <c r="I6884" s="20">
        <f t="shared" si="323"/>
        <v>0</v>
      </c>
    </row>
    <row r="6885" spans="1:9">
      <c r="A6885" s="17" t="s">
        <v>2300</v>
      </c>
      <c r="B6885" s="17" t="s">
        <v>273</v>
      </c>
      <c r="C6885" s="17">
        <v>0</v>
      </c>
      <c r="D6885" s="17" t="s">
        <v>801</v>
      </c>
      <c r="E6885" s="18">
        <v>8050538599325</v>
      </c>
      <c r="G6885" s="20" t="str">
        <f t="shared" si="321"/>
        <v xml:space="preserve"> OJOYBASE        </v>
      </c>
      <c r="H6885" s="20" t="str">
        <f t="shared" si="322"/>
        <v>WHITE</v>
      </c>
      <c r="I6885" s="20">
        <f t="shared" si="323"/>
        <v>0</v>
      </c>
    </row>
    <row r="6886" spans="1:9">
      <c r="A6886" s="17" t="s">
        <v>2300</v>
      </c>
      <c r="B6886" s="17" t="s">
        <v>812</v>
      </c>
      <c r="C6886" s="17">
        <v>0</v>
      </c>
      <c r="D6886" s="17" t="s">
        <v>801</v>
      </c>
      <c r="E6886" s="18">
        <v>8050538599349</v>
      </c>
      <c r="G6886" s="20" t="str">
        <f t="shared" si="321"/>
        <v xml:space="preserve"> OJOYBASE        </v>
      </c>
      <c r="H6886" s="20" t="str">
        <f t="shared" si="322"/>
        <v>YELLO</v>
      </c>
      <c r="I6886" s="20">
        <f t="shared" si="323"/>
        <v>0</v>
      </c>
    </row>
    <row r="6887" spans="1:9">
      <c r="A6887" s="17" t="s">
        <v>2301</v>
      </c>
      <c r="B6887" s="17" t="s">
        <v>1453</v>
      </c>
      <c r="C6887" s="17">
        <v>0</v>
      </c>
      <c r="D6887" s="17" t="s">
        <v>801</v>
      </c>
      <c r="E6887" s="18">
        <v>3006140427001</v>
      </c>
      <c r="G6887" s="20" t="str">
        <f t="shared" si="321"/>
        <v xml:space="preserve"> OJOYCABLE       </v>
      </c>
      <c r="H6887" s="20" t="str">
        <f t="shared" si="322"/>
        <v xml:space="preserve">UNI  </v>
      </c>
      <c r="I6887" s="20">
        <f t="shared" si="323"/>
        <v>0</v>
      </c>
    </row>
    <row r="6888" spans="1:9">
      <c r="A6888" s="17" t="s">
        <v>2301</v>
      </c>
      <c r="B6888" s="17" t="s">
        <v>1453</v>
      </c>
      <c r="C6888" s="17">
        <v>0</v>
      </c>
      <c r="D6888" s="17" t="s">
        <v>801</v>
      </c>
      <c r="E6888" s="18">
        <v>8050846027213</v>
      </c>
      <c r="G6888" s="20" t="str">
        <f t="shared" si="321"/>
        <v xml:space="preserve"> OJOYCABLE       </v>
      </c>
      <c r="H6888" s="20" t="str">
        <f t="shared" si="322"/>
        <v xml:space="preserve">UNI  </v>
      </c>
      <c r="I6888" s="20">
        <f t="shared" si="323"/>
        <v>0</v>
      </c>
    </row>
    <row r="6889" spans="1:9">
      <c r="A6889" s="17" t="s">
        <v>2302</v>
      </c>
      <c r="B6889" s="17" t="s">
        <v>1453</v>
      </c>
      <c r="C6889" s="17">
        <v>0</v>
      </c>
      <c r="D6889" s="17" t="s">
        <v>801</v>
      </c>
      <c r="E6889" s="18">
        <v>8050538599424</v>
      </c>
      <c r="G6889" s="20" t="str">
        <f t="shared" si="321"/>
        <v xml:space="preserve"> OJOYENCEINTE    </v>
      </c>
      <c r="H6889" s="20" t="str">
        <f t="shared" si="322"/>
        <v xml:space="preserve">UNI  </v>
      </c>
      <c r="I6889" s="20">
        <f t="shared" si="323"/>
        <v>0</v>
      </c>
    </row>
    <row r="6890" spans="1:9">
      <c r="A6890" s="17" t="s">
        <v>2303</v>
      </c>
      <c r="B6890" s="17" t="s">
        <v>808</v>
      </c>
      <c r="C6890" s="17">
        <v>0</v>
      </c>
      <c r="D6890" s="17" t="s">
        <v>801</v>
      </c>
      <c r="E6890" s="18">
        <v>8050538599257</v>
      </c>
      <c r="G6890" s="20" t="str">
        <f t="shared" si="321"/>
        <v xml:space="preserve"> OJOYTIGE        </v>
      </c>
      <c r="H6890" s="20" t="str">
        <f t="shared" si="322"/>
        <v>ANTHR</v>
      </c>
      <c r="I6890" s="20">
        <f t="shared" si="323"/>
        <v>0</v>
      </c>
    </row>
    <row r="6891" spans="1:9">
      <c r="A6891" s="17" t="s">
        <v>2303</v>
      </c>
      <c r="B6891" s="17" t="s">
        <v>809</v>
      </c>
      <c r="C6891" s="17">
        <v>0</v>
      </c>
      <c r="D6891" s="17" t="s">
        <v>801</v>
      </c>
      <c r="E6891" s="18">
        <v>8050538599240</v>
      </c>
      <c r="G6891" s="20" t="str">
        <f t="shared" si="321"/>
        <v xml:space="preserve"> OJOYTIGE        </v>
      </c>
      <c r="H6891" s="20" t="str">
        <f t="shared" si="322"/>
        <v>AUBER</v>
      </c>
      <c r="I6891" s="20">
        <f t="shared" si="323"/>
        <v>0</v>
      </c>
    </row>
    <row r="6892" spans="1:9">
      <c r="A6892" s="17" t="s">
        <v>2303</v>
      </c>
      <c r="B6892" s="17" t="s">
        <v>810</v>
      </c>
      <c r="C6892" s="17">
        <v>0</v>
      </c>
      <c r="D6892" s="17" t="s">
        <v>801</v>
      </c>
      <c r="E6892" s="18">
        <v>8050538599271</v>
      </c>
      <c r="G6892" s="20" t="str">
        <f t="shared" si="321"/>
        <v xml:space="preserve"> OJOYTIGE        </v>
      </c>
      <c r="H6892" s="20" t="str">
        <f t="shared" si="322"/>
        <v xml:space="preserve">BLUE </v>
      </c>
      <c r="I6892" s="20">
        <f t="shared" si="323"/>
        <v>0</v>
      </c>
    </row>
    <row r="6893" spans="1:9">
      <c r="A6893" s="17" t="s">
        <v>2303</v>
      </c>
      <c r="B6893" s="17" t="s">
        <v>811</v>
      </c>
      <c r="C6893" s="17">
        <v>0</v>
      </c>
      <c r="D6893" s="17" t="s">
        <v>801</v>
      </c>
      <c r="E6893" s="18">
        <v>8050538599295</v>
      </c>
      <c r="G6893" s="20" t="str">
        <f t="shared" si="321"/>
        <v xml:space="preserve"> OJOYTIGE        </v>
      </c>
      <c r="H6893" s="20" t="str">
        <f t="shared" si="322"/>
        <v xml:space="preserve">VERT </v>
      </c>
      <c r="I6893" s="20">
        <f t="shared" si="323"/>
        <v>0</v>
      </c>
    </row>
    <row r="6894" spans="1:9">
      <c r="A6894" s="17" t="s">
        <v>2303</v>
      </c>
      <c r="B6894" s="17" t="s">
        <v>273</v>
      </c>
      <c r="C6894" s="17">
        <v>0</v>
      </c>
      <c r="D6894" s="17" t="s">
        <v>801</v>
      </c>
      <c r="E6894" s="18">
        <v>8050538599264</v>
      </c>
      <c r="G6894" s="20" t="str">
        <f t="shared" si="321"/>
        <v xml:space="preserve"> OJOYTIGE        </v>
      </c>
      <c r="H6894" s="20" t="str">
        <f t="shared" si="322"/>
        <v>WHITE</v>
      </c>
      <c r="I6894" s="20">
        <f t="shared" si="323"/>
        <v>0</v>
      </c>
    </row>
    <row r="6895" spans="1:9">
      <c r="A6895" s="17" t="s">
        <v>2303</v>
      </c>
      <c r="B6895" s="17" t="s">
        <v>812</v>
      </c>
      <c r="C6895" s="17">
        <v>0</v>
      </c>
      <c r="D6895" s="17" t="s">
        <v>801</v>
      </c>
      <c r="E6895" s="18">
        <v>8050538599288</v>
      </c>
      <c r="G6895" s="20" t="str">
        <f t="shared" si="321"/>
        <v xml:space="preserve"> OJOYTIGE        </v>
      </c>
      <c r="H6895" s="20" t="str">
        <f t="shared" si="322"/>
        <v>YELLO</v>
      </c>
      <c r="I6895" s="20">
        <f t="shared" si="323"/>
        <v>0</v>
      </c>
    </row>
    <row r="6896" spans="1:9">
      <c r="A6896" s="17" t="s">
        <v>2304</v>
      </c>
      <c r="B6896" s="17" t="s">
        <v>809</v>
      </c>
      <c r="C6896" s="17">
        <v>0</v>
      </c>
      <c r="D6896" s="17" t="s">
        <v>801</v>
      </c>
      <c r="E6896" s="18">
        <v>8050538591299</v>
      </c>
      <c r="G6896" s="20" t="str">
        <f t="shared" si="321"/>
        <v xml:space="preserve"> OMOON           </v>
      </c>
      <c r="H6896" s="20" t="str">
        <f t="shared" si="322"/>
        <v>AUBER</v>
      </c>
      <c r="I6896" s="20">
        <f t="shared" si="323"/>
        <v>0</v>
      </c>
    </row>
    <row r="6897" spans="1:9">
      <c r="A6897" s="17" t="s">
        <v>2304</v>
      </c>
      <c r="B6897" s="17" t="s">
        <v>818</v>
      </c>
      <c r="C6897" s="17">
        <v>0</v>
      </c>
      <c r="D6897" s="17" t="s">
        <v>801</v>
      </c>
      <c r="E6897" s="18">
        <v>3005440273004</v>
      </c>
      <c r="G6897" s="20" t="str">
        <f t="shared" si="321"/>
        <v xml:space="preserve"> OMOON           </v>
      </c>
      <c r="H6897" s="20" t="str">
        <f t="shared" si="322"/>
        <v xml:space="preserve">BDX  </v>
      </c>
      <c r="I6897" s="20">
        <f t="shared" si="323"/>
        <v>0</v>
      </c>
    </row>
    <row r="6898" spans="1:9">
      <c r="A6898" s="17" t="s">
        <v>2304</v>
      </c>
      <c r="B6898" s="17" t="s">
        <v>818</v>
      </c>
      <c r="C6898" s="17">
        <v>0</v>
      </c>
      <c r="D6898" s="17" t="s">
        <v>801</v>
      </c>
      <c r="E6898" s="18">
        <v>8056099179464</v>
      </c>
      <c r="G6898" s="20" t="str">
        <f t="shared" si="321"/>
        <v xml:space="preserve"> OMOON           </v>
      </c>
      <c r="H6898" s="20" t="str">
        <f t="shared" si="322"/>
        <v xml:space="preserve">BDX  </v>
      </c>
      <c r="I6898" s="20">
        <f t="shared" si="323"/>
        <v>0</v>
      </c>
    </row>
    <row r="6899" spans="1:9">
      <c r="A6899" s="17" t="s">
        <v>2304</v>
      </c>
      <c r="B6899" s="17" t="s">
        <v>2006</v>
      </c>
      <c r="C6899" s="17">
        <v>0</v>
      </c>
      <c r="D6899" s="17" t="s">
        <v>801</v>
      </c>
      <c r="E6899" s="18">
        <v>3005441078004</v>
      </c>
      <c r="G6899" s="20" t="str">
        <f t="shared" si="321"/>
        <v xml:space="preserve"> OMOON           </v>
      </c>
      <c r="H6899" s="20" t="str">
        <f t="shared" si="322"/>
        <v>BECCO</v>
      </c>
      <c r="I6899" s="20">
        <f t="shared" si="323"/>
        <v>0</v>
      </c>
    </row>
    <row r="6900" spans="1:9">
      <c r="A6900" s="17" t="s">
        <v>2304</v>
      </c>
      <c r="B6900" s="17" t="s">
        <v>2006</v>
      </c>
      <c r="C6900" s="17">
        <v>0</v>
      </c>
      <c r="D6900" s="17" t="s">
        <v>801</v>
      </c>
      <c r="E6900" s="18">
        <v>8056098539832</v>
      </c>
      <c r="G6900" s="20" t="str">
        <f t="shared" si="321"/>
        <v xml:space="preserve"> OMOON           </v>
      </c>
      <c r="H6900" s="20" t="str">
        <f t="shared" si="322"/>
        <v>BECCO</v>
      </c>
      <c r="I6900" s="20">
        <f t="shared" si="323"/>
        <v>0</v>
      </c>
    </row>
    <row r="6901" spans="1:9">
      <c r="A6901" s="17" t="s">
        <v>2304</v>
      </c>
      <c r="B6901" s="17" t="s">
        <v>280</v>
      </c>
      <c r="C6901" s="17">
        <v>0</v>
      </c>
      <c r="D6901" s="17" t="s">
        <v>801</v>
      </c>
      <c r="E6901" s="18">
        <v>3005440276005</v>
      </c>
      <c r="G6901" s="20" t="str">
        <f t="shared" si="321"/>
        <v xml:space="preserve"> OMOON           </v>
      </c>
      <c r="H6901" s="20" t="str">
        <f t="shared" si="322"/>
        <v>BLACK</v>
      </c>
      <c r="I6901" s="20">
        <f t="shared" si="323"/>
        <v>0</v>
      </c>
    </row>
    <row r="6902" spans="1:9">
      <c r="A6902" s="17" t="s">
        <v>2304</v>
      </c>
      <c r="B6902" s="17" t="s">
        <v>280</v>
      </c>
      <c r="C6902" s="17">
        <v>0</v>
      </c>
      <c r="D6902" s="17" t="s">
        <v>801</v>
      </c>
      <c r="E6902" s="18">
        <v>8056098539870</v>
      </c>
      <c r="G6902" s="20" t="str">
        <f t="shared" si="321"/>
        <v xml:space="preserve"> OMOON           </v>
      </c>
      <c r="H6902" s="20" t="str">
        <f t="shared" si="322"/>
        <v>BLACK</v>
      </c>
      <c r="I6902" s="20">
        <f t="shared" si="323"/>
        <v>0</v>
      </c>
    </row>
    <row r="6903" spans="1:9">
      <c r="A6903" s="17" t="s">
        <v>2304</v>
      </c>
      <c r="B6903" s="17" t="s">
        <v>2050</v>
      </c>
      <c r="C6903" s="17">
        <v>0</v>
      </c>
      <c r="D6903" s="17" t="s">
        <v>801</v>
      </c>
      <c r="E6903" s="18">
        <v>3005441445004</v>
      </c>
      <c r="G6903" s="20" t="str">
        <f t="shared" si="321"/>
        <v xml:space="preserve"> OMOON           </v>
      </c>
      <c r="H6903" s="20" t="str">
        <f t="shared" si="322"/>
        <v>BLUCA</v>
      </c>
      <c r="I6903" s="20">
        <f t="shared" si="323"/>
        <v>0</v>
      </c>
    </row>
    <row r="6904" spans="1:9">
      <c r="A6904" s="17" t="s">
        <v>2304</v>
      </c>
      <c r="B6904" s="17" t="s">
        <v>1447</v>
      </c>
      <c r="C6904" s="17">
        <v>0</v>
      </c>
      <c r="D6904" s="17" t="s">
        <v>801</v>
      </c>
      <c r="E6904" s="18">
        <v>3005440844006</v>
      </c>
      <c r="G6904" s="20" t="str">
        <f t="shared" si="321"/>
        <v xml:space="preserve"> OMOON           </v>
      </c>
      <c r="H6904" s="20" t="str">
        <f t="shared" si="322"/>
        <v xml:space="preserve">FRAG </v>
      </c>
      <c r="I6904" s="20">
        <f t="shared" si="323"/>
        <v>0</v>
      </c>
    </row>
    <row r="6905" spans="1:9">
      <c r="A6905" s="17" t="s">
        <v>2304</v>
      </c>
      <c r="B6905" s="17" t="s">
        <v>1447</v>
      </c>
      <c r="C6905" s="17">
        <v>0</v>
      </c>
      <c r="D6905" s="17" t="s">
        <v>801</v>
      </c>
      <c r="E6905" s="18">
        <v>8056098539849</v>
      </c>
      <c r="G6905" s="20" t="str">
        <f t="shared" si="321"/>
        <v xml:space="preserve"> OMOON           </v>
      </c>
      <c r="H6905" s="20" t="str">
        <f t="shared" si="322"/>
        <v xml:space="preserve">FRAG </v>
      </c>
      <c r="I6905" s="20">
        <f t="shared" si="323"/>
        <v>0</v>
      </c>
    </row>
    <row r="6906" spans="1:9">
      <c r="A6906" s="17" t="s">
        <v>2304</v>
      </c>
      <c r="B6906" s="17" t="s">
        <v>838</v>
      </c>
      <c r="C6906" s="17">
        <v>0</v>
      </c>
      <c r="D6906" s="17" t="s">
        <v>801</v>
      </c>
      <c r="E6906" s="18">
        <v>3005440497004</v>
      </c>
      <c r="G6906" s="20" t="str">
        <f t="shared" si="321"/>
        <v xml:space="preserve"> OMOON           </v>
      </c>
      <c r="H6906" s="20" t="str">
        <f t="shared" si="322"/>
        <v>IVOIR</v>
      </c>
      <c r="I6906" s="20">
        <f t="shared" si="323"/>
        <v>0</v>
      </c>
    </row>
    <row r="6907" spans="1:9">
      <c r="A6907" s="17" t="s">
        <v>2304</v>
      </c>
      <c r="B6907" s="17" t="s">
        <v>838</v>
      </c>
      <c r="C6907" s="17">
        <v>0</v>
      </c>
      <c r="D6907" s="17" t="s">
        <v>801</v>
      </c>
      <c r="E6907" s="18">
        <v>8056098539825</v>
      </c>
      <c r="G6907" s="20" t="str">
        <f t="shared" si="321"/>
        <v xml:space="preserve"> OMOON           </v>
      </c>
      <c r="H6907" s="20" t="str">
        <f t="shared" si="322"/>
        <v>IVOIR</v>
      </c>
      <c r="I6907" s="20">
        <f t="shared" si="323"/>
        <v>0</v>
      </c>
    </row>
    <row r="6908" spans="1:9">
      <c r="A6908" s="17" t="s">
        <v>2304</v>
      </c>
      <c r="B6908" s="17" t="s">
        <v>2031</v>
      </c>
      <c r="C6908" s="17">
        <v>0</v>
      </c>
      <c r="D6908" s="17" t="s">
        <v>801</v>
      </c>
      <c r="E6908" s="18">
        <v>8056099178122</v>
      </c>
      <c r="G6908" s="20" t="str">
        <f t="shared" si="321"/>
        <v xml:space="preserve"> OMOON           </v>
      </c>
      <c r="H6908" s="20" t="str">
        <f t="shared" si="322"/>
        <v>NARCI</v>
      </c>
      <c r="I6908" s="20">
        <f t="shared" si="323"/>
        <v>0</v>
      </c>
    </row>
    <row r="6909" spans="1:9">
      <c r="A6909" s="17" t="s">
        <v>2304</v>
      </c>
      <c r="B6909" s="17" t="s">
        <v>1078</v>
      </c>
      <c r="C6909" s="17">
        <v>0</v>
      </c>
      <c r="D6909" s="17" t="s">
        <v>801</v>
      </c>
      <c r="E6909" s="18">
        <v>3005440494003</v>
      </c>
      <c r="G6909" s="20" t="str">
        <f t="shared" si="321"/>
        <v xml:space="preserve"> OMOON           </v>
      </c>
      <c r="H6909" s="20" t="str">
        <f t="shared" si="322"/>
        <v xml:space="preserve">NAVY </v>
      </c>
      <c r="I6909" s="20">
        <f t="shared" si="323"/>
        <v>0</v>
      </c>
    </row>
    <row r="6910" spans="1:9">
      <c r="A6910" s="17" t="s">
        <v>2304</v>
      </c>
      <c r="B6910" s="17" t="s">
        <v>1078</v>
      </c>
      <c r="C6910" s="17">
        <v>0</v>
      </c>
      <c r="D6910" s="17" t="s">
        <v>801</v>
      </c>
      <c r="E6910" s="18">
        <v>8056098539863</v>
      </c>
      <c r="G6910" s="20" t="str">
        <f t="shared" si="321"/>
        <v xml:space="preserve"> OMOON           </v>
      </c>
      <c r="H6910" s="20" t="str">
        <f t="shared" si="322"/>
        <v xml:space="preserve">NAVY </v>
      </c>
      <c r="I6910" s="20">
        <f t="shared" si="323"/>
        <v>0</v>
      </c>
    </row>
    <row r="6911" spans="1:9">
      <c r="A6911" s="17" t="s">
        <v>2304</v>
      </c>
      <c r="B6911" s="17" t="s">
        <v>971</v>
      </c>
      <c r="C6911" s="17">
        <v>0</v>
      </c>
      <c r="D6911" s="17" t="s">
        <v>801</v>
      </c>
      <c r="E6911" s="18">
        <v>8056099179600</v>
      </c>
      <c r="G6911" s="20" t="str">
        <f t="shared" si="321"/>
        <v xml:space="preserve"> OMOON           </v>
      </c>
      <c r="H6911" s="20" t="str">
        <f t="shared" si="322"/>
        <v>OTTAN</v>
      </c>
      <c r="I6911" s="20">
        <f t="shared" si="323"/>
        <v>0</v>
      </c>
    </row>
    <row r="6912" spans="1:9">
      <c r="A6912" s="17" t="s">
        <v>2304</v>
      </c>
      <c r="B6912" s="17" t="s">
        <v>816</v>
      </c>
      <c r="C6912" s="17">
        <v>0</v>
      </c>
      <c r="D6912" s="17" t="s">
        <v>801</v>
      </c>
      <c r="E6912" s="18">
        <v>8050538591312</v>
      </c>
      <c r="G6912" s="20" t="str">
        <f t="shared" si="321"/>
        <v xml:space="preserve"> OMOON           </v>
      </c>
      <c r="H6912" s="20" t="str">
        <f t="shared" si="322"/>
        <v xml:space="preserve">RED  </v>
      </c>
      <c r="I6912" s="20">
        <f t="shared" si="323"/>
        <v>0</v>
      </c>
    </row>
    <row r="6913" spans="1:9">
      <c r="A6913" s="17" t="s">
        <v>2304</v>
      </c>
      <c r="B6913" s="17" t="s">
        <v>1237</v>
      </c>
      <c r="C6913" s="17">
        <v>0</v>
      </c>
      <c r="D6913" s="17" t="s">
        <v>801</v>
      </c>
      <c r="E6913" s="18">
        <v>3005440396000</v>
      </c>
      <c r="G6913" s="20" t="str">
        <f t="shared" si="321"/>
        <v xml:space="preserve"> OMOON           </v>
      </c>
      <c r="H6913" s="20" t="str">
        <f t="shared" si="322"/>
        <v xml:space="preserve">ROCK </v>
      </c>
      <c r="I6913" s="20">
        <f t="shared" si="323"/>
        <v>0</v>
      </c>
    </row>
    <row r="6914" spans="1:9">
      <c r="A6914" s="17" t="s">
        <v>2304</v>
      </c>
      <c r="B6914" s="17" t="s">
        <v>1237</v>
      </c>
      <c r="C6914" s="17">
        <v>0</v>
      </c>
      <c r="D6914" s="17" t="s">
        <v>801</v>
      </c>
      <c r="E6914" s="18">
        <v>8056098539856</v>
      </c>
      <c r="G6914" s="20" t="str">
        <f t="shared" si="321"/>
        <v xml:space="preserve"> OMOON           </v>
      </c>
      <c r="H6914" s="20" t="str">
        <f t="shared" si="322"/>
        <v xml:space="preserve">ROCK </v>
      </c>
      <c r="I6914" s="20">
        <f t="shared" si="323"/>
        <v>0</v>
      </c>
    </row>
    <row r="6915" spans="1:9">
      <c r="A6915" s="17" t="s">
        <v>2304</v>
      </c>
      <c r="B6915" s="17" t="s">
        <v>1663</v>
      </c>
      <c r="C6915" s="17">
        <v>0</v>
      </c>
      <c r="D6915" s="17" t="s">
        <v>801</v>
      </c>
      <c r="E6915" s="18">
        <v>3005441313006</v>
      </c>
      <c r="G6915" s="20" t="str">
        <f t="shared" si="321"/>
        <v xml:space="preserve"> OMOON           </v>
      </c>
      <c r="H6915" s="20" t="str">
        <f t="shared" si="322"/>
        <v>SANGR</v>
      </c>
      <c r="I6915" s="20">
        <f t="shared" si="323"/>
        <v>0</v>
      </c>
    </row>
    <row r="6916" spans="1:9">
      <c r="A6916" s="17" t="s">
        <v>2304</v>
      </c>
      <c r="B6916" s="17" t="s">
        <v>867</v>
      </c>
      <c r="C6916" s="17">
        <v>0</v>
      </c>
      <c r="D6916" s="17" t="s">
        <v>801</v>
      </c>
      <c r="E6916" s="18">
        <v>3005441032006</v>
      </c>
      <c r="G6916" s="20" t="str">
        <f t="shared" si="321"/>
        <v xml:space="preserve"> OMOON           </v>
      </c>
      <c r="H6916" s="20" t="str">
        <f t="shared" si="322"/>
        <v>VERTF</v>
      </c>
      <c r="I6916" s="20">
        <f t="shared" si="323"/>
        <v>0</v>
      </c>
    </row>
    <row r="6917" spans="1:9">
      <c r="A6917" s="17" t="s">
        <v>2304</v>
      </c>
      <c r="B6917" s="17" t="s">
        <v>927</v>
      </c>
      <c r="C6917" s="17">
        <v>0</v>
      </c>
      <c r="D6917" s="17" t="s">
        <v>801</v>
      </c>
      <c r="E6917" s="18">
        <v>3005440437000</v>
      </c>
      <c r="G6917" s="20" t="str">
        <f t="shared" ref="G6917:G6980" si="324">A6917</f>
        <v xml:space="preserve"> OMOON           </v>
      </c>
      <c r="H6917" s="20" t="str">
        <f t="shared" ref="H6917:H6980" si="325">B6917</f>
        <v xml:space="preserve">VOLC </v>
      </c>
      <c r="I6917" s="20">
        <f t="shared" ref="I6917:I6980" si="326">C6917</f>
        <v>0</v>
      </c>
    </row>
    <row r="6918" spans="1:9">
      <c r="A6918" s="17" t="s">
        <v>2305</v>
      </c>
      <c r="B6918" s="17" t="s">
        <v>838</v>
      </c>
      <c r="C6918" s="17">
        <v>0</v>
      </c>
      <c r="D6918" s="17" t="s">
        <v>801</v>
      </c>
      <c r="E6918" s="18">
        <v>3005780497009</v>
      </c>
      <c r="G6918" s="20" t="str">
        <f t="shared" si="324"/>
        <v xml:space="preserve"> OMOONBABYFLOWER </v>
      </c>
      <c r="H6918" s="20" t="str">
        <f t="shared" si="325"/>
        <v>IVOIR</v>
      </c>
      <c r="I6918" s="20">
        <f t="shared" si="326"/>
        <v>0</v>
      </c>
    </row>
    <row r="6919" spans="1:9">
      <c r="A6919" s="17" t="s">
        <v>2305</v>
      </c>
      <c r="B6919" s="17" t="s">
        <v>838</v>
      </c>
      <c r="C6919" s="17">
        <v>0</v>
      </c>
      <c r="D6919" s="17" t="s">
        <v>801</v>
      </c>
      <c r="E6919" s="18">
        <v>8050846000735</v>
      </c>
      <c r="G6919" s="20" t="str">
        <f t="shared" si="324"/>
        <v xml:space="preserve"> OMOONBABYFLOWER </v>
      </c>
      <c r="H6919" s="20" t="str">
        <f t="shared" si="325"/>
        <v>IVOIR</v>
      </c>
      <c r="I6919" s="20">
        <f t="shared" si="326"/>
        <v>0</v>
      </c>
    </row>
    <row r="6920" spans="1:9">
      <c r="A6920" s="17" t="s">
        <v>2305</v>
      </c>
      <c r="B6920" s="17" t="s">
        <v>283</v>
      </c>
      <c r="C6920" s="17">
        <v>0</v>
      </c>
      <c r="D6920" s="17" t="s">
        <v>801</v>
      </c>
      <c r="E6920" s="18">
        <v>3005780871007</v>
      </c>
      <c r="G6920" s="20" t="str">
        <f t="shared" si="324"/>
        <v xml:space="preserve"> OMOONBABYFLOWER </v>
      </c>
      <c r="H6920" s="20" t="str">
        <f t="shared" si="325"/>
        <v>PHARD</v>
      </c>
      <c r="I6920" s="20">
        <f t="shared" si="326"/>
        <v>0</v>
      </c>
    </row>
    <row r="6921" spans="1:9">
      <c r="A6921" s="17" t="s">
        <v>2305</v>
      </c>
      <c r="B6921" s="17" t="s">
        <v>283</v>
      </c>
      <c r="C6921" s="17">
        <v>0</v>
      </c>
      <c r="D6921" s="17" t="s">
        <v>801</v>
      </c>
      <c r="E6921" s="18">
        <v>8050846000704</v>
      </c>
      <c r="G6921" s="20" t="str">
        <f t="shared" si="324"/>
        <v xml:space="preserve"> OMOONBABYFLOWER </v>
      </c>
      <c r="H6921" s="20" t="str">
        <f t="shared" si="325"/>
        <v>PHARD</v>
      </c>
      <c r="I6921" s="20">
        <f t="shared" si="326"/>
        <v>0</v>
      </c>
    </row>
    <row r="6922" spans="1:9">
      <c r="A6922" s="17" t="s">
        <v>2305</v>
      </c>
      <c r="B6922" s="17" t="s">
        <v>1080</v>
      </c>
      <c r="C6922" s="17">
        <v>0</v>
      </c>
      <c r="D6922" s="17" t="s">
        <v>801</v>
      </c>
      <c r="E6922" s="18">
        <v>3005781074001</v>
      </c>
      <c r="G6922" s="20" t="str">
        <f t="shared" si="324"/>
        <v xml:space="preserve"> OMOONBABYFLOWER </v>
      </c>
      <c r="H6922" s="20" t="str">
        <f t="shared" si="325"/>
        <v>TERRA</v>
      </c>
      <c r="I6922" s="20">
        <f t="shared" si="326"/>
        <v>0</v>
      </c>
    </row>
    <row r="6923" spans="1:9">
      <c r="A6923" s="17" t="s">
        <v>2305</v>
      </c>
      <c r="B6923" s="17" t="s">
        <v>1080</v>
      </c>
      <c r="C6923" s="17">
        <v>0</v>
      </c>
      <c r="D6923" s="17" t="s">
        <v>801</v>
      </c>
      <c r="E6923" s="18">
        <v>8050846000711</v>
      </c>
      <c r="G6923" s="20" t="str">
        <f t="shared" si="324"/>
        <v xml:space="preserve"> OMOONBABYFLOWER </v>
      </c>
      <c r="H6923" s="20" t="str">
        <f t="shared" si="325"/>
        <v>TERRA</v>
      </c>
      <c r="I6923" s="20">
        <f t="shared" si="326"/>
        <v>0</v>
      </c>
    </row>
    <row r="6924" spans="1:9">
      <c r="A6924" s="17" t="s">
        <v>2305</v>
      </c>
      <c r="B6924" s="17" t="s">
        <v>1664</v>
      </c>
      <c r="C6924" s="17">
        <v>0</v>
      </c>
      <c r="D6924" s="17" t="s">
        <v>801</v>
      </c>
      <c r="E6924" s="18">
        <v>3005781079006</v>
      </c>
      <c r="G6924" s="20" t="str">
        <f t="shared" si="324"/>
        <v xml:space="preserve"> OMOONBABYFLOWER </v>
      </c>
      <c r="H6924" s="20" t="str">
        <f t="shared" si="325"/>
        <v>VERAN</v>
      </c>
      <c r="I6924" s="20">
        <f t="shared" si="326"/>
        <v>0</v>
      </c>
    </row>
    <row r="6925" spans="1:9">
      <c r="A6925" s="17" t="s">
        <v>2305</v>
      </c>
      <c r="B6925" s="17" t="s">
        <v>1664</v>
      </c>
      <c r="C6925" s="17">
        <v>0</v>
      </c>
      <c r="D6925" s="17" t="s">
        <v>801</v>
      </c>
      <c r="E6925" s="18">
        <v>8050846000728</v>
      </c>
      <c r="G6925" s="20" t="str">
        <f t="shared" si="324"/>
        <v xml:space="preserve"> OMOONBABYFLOWER </v>
      </c>
      <c r="H6925" s="20" t="str">
        <f t="shared" si="325"/>
        <v>VERAN</v>
      </c>
      <c r="I6925" s="20">
        <f t="shared" si="326"/>
        <v>0</v>
      </c>
    </row>
    <row r="6926" spans="1:9">
      <c r="A6926" s="17" t="s">
        <v>2306</v>
      </c>
      <c r="B6926" s="17" t="s">
        <v>280</v>
      </c>
      <c r="C6926" s="17">
        <v>0</v>
      </c>
      <c r="D6926" s="17" t="s">
        <v>801</v>
      </c>
      <c r="E6926" s="18">
        <v>3006240276004</v>
      </c>
      <c r="G6926" s="20" t="str">
        <f t="shared" si="324"/>
        <v xml:space="preserve"> OMOONCRYSTAL    </v>
      </c>
      <c r="H6926" s="20" t="str">
        <f t="shared" si="325"/>
        <v>BLACK</v>
      </c>
      <c r="I6926" s="20">
        <f t="shared" si="326"/>
        <v>0</v>
      </c>
    </row>
    <row r="6927" spans="1:9">
      <c r="A6927" s="17" t="s">
        <v>2306</v>
      </c>
      <c r="B6927" s="17" t="s">
        <v>280</v>
      </c>
      <c r="C6927" s="17">
        <v>0</v>
      </c>
      <c r="D6927" s="17" t="s">
        <v>801</v>
      </c>
      <c r="E6927" s="18">
        <v>8050846019690</v>
      </c>
      <c r="G6927" s="20" t="str">
        <f t="shared" si="324"/>
        <v xml:space="preserve"> OMOONCRYSTAL    </v>
      </c>
      <c r="H6927" s="20" t="str">
        <f t="shared" si="325"/>
        <v>BLACK</v>
      </c>
      <c r="I6927" s="20">
        <f t="shared" si="326"/>
        <v>0</v>
      </c>
    </row>
    <row r="6928" spans="1:9">
      <c r="A6928" s="17" t="s">
        <v>2306</v>
      </c>
      <c r="B6928" s="17" t="s">
        <v>816</v>
      </c>
      <c r="C6928" s="17">
        <v>0</v>
      </c>
      <c r="D6928" s="17" t="s">
        <v>801</v>
      </c>
      <c r="E6928" s="18">
        <v>3006240395002</v>
      </c>
      <c r="G6928" s="20" t="str">
        <f t="shared" si="324"/>
        <v xml:space="preserve"> OMOONCRYSTAL    </v>
      </c>
      <c r="H6928" s="20" t="str">
        <f t="shared" si="325"/>
        <v xml:space="preserve">RED  </v>
      </c>
      <c r="I6928" s="20">
        <f t="shared" si="326"/>
        <v>0</v>
      </c>
    </row>
    <row r="6929" spans="1:9">
      <c r="A6929" s="17" t="s">
        <v>2306</v>
      </c>
      <c r="B6929" s="17" t="s">
        <v>816</v>
      </c>
      <c r="C6929" s="17">
        <v>0</v>
      </c>
      <c r="D6929" s="17" t="s">
        <v>801</v>
      </c>
      <c r="E6929" s="18">
        <v>8050846019713</v>
      </c>
      <c r="G6929" s="20" t="str">
        <f t="shared" si="324"/>
        <v xml:space="preserve"> OMOONCRYSTAL    </v>
      </c>
      <c r="H6929" s="20" t="str">
        <f t="shared" si="325"/>
        <v xml:space="preserve">RED  </v>
      </c>
      <c r="I6929" s="20">
        <f t="shared" si="326"/>
        <v>0</v>
      </c>
    </row>
    <row r="6930" spans="1:9">
      <c r="A6930" s="17" t="s">
        <v>2306</v>
      </c>
      <c r="B6930" s="17" t="s">
        <v>273</v>
      </c>
      <c r="C6930" s="17">
        <v>0</v>
      </c>
      <c r="D6930" s="17" t="s">
        <v>801</v>
      </c>
      <c r="E6930" s="18">
        <v>3006240440009</v>
      </c>
      <c r="G6930" s="20" t="str">
        <f t="shared" si="324"/>
        <v xml:space="preserve"> OMOONCRYSTAL    </v>
      </c>
      <c r="H6930" s="20" t="str">
        <f t="shared" si="325"/>
        <v>WHITE</v>
      </c>
      <c r="I6930" s="20">
        <f t="shared" si="326"/>
        <v>0</v>
      </c>
    </row>
    <row r="6931" spans="1:9">
      <c r="A6931" s="17" t="s">
        <v>2306</v>
      </c>
      <c r="B6931" s="17" t="s">
        <v>273</v>
      </c>
      <c r="C6931" s="17">
        <v>0</v>
      </c>
      <c r="D6931" s="17" t="s">
        <v>801</v>
      </c>
      <c r="E6931" s="18">
        <v>8050846019706</v>
      </c>
      <c r="G6931" s="20" t="str">
        <f t="shared" si="324"/>
        <v xml:space="preserve"> OMOONCRYSTAL    </v>
      </c>
      <c r="H6931" s="20" t="str">
        <f t="shared" si="325"/>
        <v>WHITE</v>
      </c>
      <c r="I6931" s="20">
        <f t="shared" si="326"/>
        <v>0</v>
      </c>
    </row>
    <row r="6932" spans="1:9">
      <c r="A6932" s="17" t="s">
        <v>2307</v>
      </c>
      <c r="B6932" s="17" t="s">
        <v>799</v>
      </c>
      <c r="C6932" s="17" t="s">
        <v>799</v>
      </c>
      <c r="D6932" s="17" t="s">
        <v>801</v>
      </c>
      <c r="E6932" s="18">
        <v>3005450000003</v>
      </c>
      <c r="G6932" s="20" t="str">
        <f t="shared" si="324"/>
        <v xml:space="preserve"> OMOONLIGHT      </v>
      </c>
      <c r="H6932" s="20" t="str">
        <f t="shared" si="325"/>
        <v xml:space="preserve">     </v>
      </c>
      <c r="I6932" s="20" t="str">
        <f t="shared" si="326"/>
        <v xml:space="preserve">     </v>
      </c>
    </row>
    <row r="6933" spans="1:9">
      <c r="A6933" s="17" t="s">
        <v>2307</v>
      </c>
      <c r="B6933" s="17" t="s">
        <v>809</v>
      </c>
      <c r="C6933" s="17">
        <v>0</v>
      </c>
      <c r="D6933" s="17" t="s">
        <v>801</v>
      </c>
      <c r="E6933" s="18">
        <v>8056099176852</v>
      </c>
      <c r="G6933" s="20" t="str">
        <f t="shared" si="324"/>
        <v xml:space="preserve"> OMOONLIGHT      </v>
      </c>
      <c r="H6933" s="20" t="str">
        <f t="shared" si="325"/>
        <v>AUBER</v>
      </c>
      <c r="I6933" s="20">
        <f t="shared" si="326"/>
        <v>0</v>
      </c>
    </row>
    <row r="6934" spans="1:9">
      <c r="A6934" s="17" t="s">
        <v>2307</v>
      </c>
      <c r="B6934" s="17" t="s">
        <v>818</v>
      </c>
      <c r="C6934" s="17">
        <v>0</v>
      </c>
      <c r="D6934" s="17" t="s">
        <v>801</v>
      </c>
      <c r="E6934" s="18">
        <v>8056099178351</v>
      </c>
      <c r="G6934" s="20" t="str">
        <f t="shared" si="324"/>
        <v xml:space="preserve"> OMOONLIGHT      </v>
      </c>
      <c r="H6934" s="20" t="str">
        <f t="shared" si="325"/>
        <v xml:space="preserve">BDX  </v>
      </c>
      <c r="I6934" s="20">
        <f t="shared" si="326"/>
        <v>0</v>
      </c>
    </row>
    <row r="6935" spans="1:9">
      <c r="A6935" s="17" t="s">
        <v>2307</v>
      </c>
      <c r="B6935" s="17" t="s">
        <v>280</v>
      </c>
      <c r="C6935" s="17">
        <v>0</v>
      </c>
      <c r="D6935" s="17" t="s">
        <v>801</v>
      </c>
      <c r="E6935" s="18">
        <v>3005450276002</v>
      </c>
      <c r="G6935" s="20" t="str">
        <f t="shared" si="324"/>
        <v xml:space="preserve"> OMOONLIGHT      </v>
      </c>
      <c r="H6935" s="20" t="str">
        <f t="shared" si="325"/>
        <v>BLACK</v>
      </c>
      <c r="I6935" s="20">
        <f t="shared" si="326"/>
        <v>0</v>
      </c>
    </row>
    <row r="6936" spans="1:9">
      <c r="A6936" s="17" t="s">
        <v>2307</v>
      </c>
      <c r="B6936" s="17" t="s">
        <v>280</v>
      </c>
      <c r="C6936" s="17">
        <v>0</v>
      </c>
      <c r="D6936" s="17" t="s">
        <v>801</v>
      </c>
      <c r="E6936" s="18">
        <v>8056098539931</v>
      </c>
      <c r="G6936" s="20" t="str">
        <f t="shared" si="324"/>
        <v xml:space="preserve"> OMOONLIGHT      </v>
      </c>
      <c r="H6936" s="20" t="str">
        <f t="shared" si="325"/>
        <v>BLACK</v>
      </c>
      <c r="I6936" s="20">
        <f t="shared" si="326"/>
        <v>0</v>
      </c>
    </row>
    <row r="6937" spans="1:9">
      <c r="A6937" s="17" t="s">
        <v>2307</v>
      </c>
      <c r="B6937" s="17" t="s">
        <v>1026</v>
      </c>
      <c r="C6937" s="17">
        <v>0</v>
      </c>
      <c r="D6937" s="17" t="s">
        <v>801</v>
      </c>
      <c r="E6937" s="18">
        <v>8050538590629</v>
      </c>
      <c r="G6937" s="20" t="str">
        <f t="shared" si="324"/>
        <v xml:space="preserve"> OMOONLIGHT      </v>
      </c>
      <c r="H6937" s="20" t="str">
        <f t="shared" si="325"/>
        <v>BLUAV</v>
      </c>
      <c r="I6937" s="20">
        <f t="shared" si="326"/>
        <v>0</v>
      </c>
    </row>
    <row r="6938" spans="1:9">
      <c r="A6938" s="17" t="s">
        <v>2307</v>
      </c>
      <c r="B6938" s="17" t="s">
        <v>838</v>
      </c>
      <c r="C6938" s="17">
        <v>0</v>
      </c>
      <c r="D6938" s="17" t="s">
        <v>801</v>
      </c>
      <c r="E6938" s="18">
        <v>3005450497001</v>
      </c>
      <c r="G6938" s="20" t="str">
        <f t="shared" si="324"/>
        <v xml:space="preserve"> OMOONLIGHT      </v>
      </c>
      <c r="H6938" s="20" t="str">
        <f t="shared" si="325"/>
        <v>IVOIR</v>
      </c>
      <c r="I6938" s="20">
        <f t="shared" si="326"/>
        <v>0</v>
      </c>
    </row>
    <row r="6939" spans="1:9">
      <c r="A6939" s="17" t="s">
        <v>2307</v>
      </c>
      <c r="B6939" s="17" t="s">
        <v>838</v>
      </c>
      <c r="C6939" s="17">
        <v>0</v>
      </c>
      <c r="D6939" s="17" t="s">
        <v>801</v>
      </c>
      <c r="E6939" s="18">
        <v>8056098539887</v>
      </c>
      <c r="G6939" s="20" t="str">
        <f t="shared" si="324"/>
        <v xml:space="preserve"> OMOONLIGHT      </v>
      </c>
      <c r="H6939" s="20" t="str">
        <f t="shared" si="325"/>
        <v>IVOIR</v>
      </c>
      <c r="I6939" s="20">
        <f t="shared" si="326"/>
        <v>0</v>
      </c>
    </row>
    <row r="6940" spans="1:9">
      <c r="A6940" s="17" t="s">
        <v>2307</v>
      </c>
      <c r="B6940" s="17" t="s">
        <v>1078</v>
      </c>
      <c r="C6940" s="17">
        <v>0</v>
      </c>
      <c r="D6940" s="17" t="s">
        <v>801</v>
      </c>
      <c r="E6940" s="18">
        <v>3005450494000</v>
      </c>
      <c r="G6940" s="20" t="str">
        <f t="shared" si="324"/>
        <v xml:space="preserve"> OMOONLIGHT      </v>
      </c>
      <c r="H6940" s="20" t="str">
        <f t="shared" si="325"/>
        <v xml:space="preserve">NAVY </v>
      </c>
      <c r="I6940" s="20">
        <f t="shared" si="326"/>
        <v>0</v>
      </c>
    </row>
    <row r="6941" spans="1:9">
      <c r="A6941" s="17" t="s">
        <v>2307</v>
      </c>
      <c r="B6941" s="17" t="s">
        <v>1078</v>
      </c>
      <c r="C6941" s="17">
        <v>0</v>
      </c>
      <c r="D6941" s="17" t="s">
        <v>801</v>
      </c>
      <c r="E6941" s="18">
        <v>8056099177958</v>
      </c>
      <c r="G6941" s="20" t="str">
        <f t="shared" si="324"/>
        <v xml:space="preserve"> OMOONLIGHT      </v>
      </c>
      <c r="H6941" s="20" t="str">
        <f t="shared" si="325"/>
        <v xml:space="preserve">NAVY </v>
      </c>
      <c r="I6941" s="20">
        <f t="shared" si="326"/>
        <v>0</v>
      </c>
    </row>
    <row r="6942" spans="1:9">
      <c r="A6942" s="17" t="s">
        <v>2307</v>
      </c>
      <c r="B6942" s="17" t="s">
        <v>971</v>
      </c>
      <c r="C6942" s="17">
        <v>0</v>
      </c>
      <c r="D6942" s="17" t="s">
        <v>801</v>
      </c>
      <c r="E6942" s="18">
        <v>8056099179259</v>
      </c>
      <c r="G6942" s="20" t="str">
        <f t="shared" si="324"/>
        <v xml:space="preserve"> OMOONLIGHT      </v>
      </c>
      <c r="H6942" s="20" t="str">
        <f t="shared" si="325"/>
        <v>OTTAN</v>
      </c>
      <c r="I6942" s="20">
        <f t="shared" si="326"/>
        <v>0</v>
      </c>
    </row>
    <row r="6943" spans="1:9">
      <c r="A6943" s="17" t="s">
        <v>2307</v>
      </c>
      <c r="B6943" s="17" t="s">
        <v>283</v>
      </c>
      <c r="C6943" s="17">
        <v>0</v>
      </c>
      <c r="D6943" s="17" t="s">
        <v>801</v>
      </c>
      <c r="E6943" s="18">
        <v>8056099178238</v>
      </c>
      <c r="G6943" s="20" t="str">
        <f t="shared" si="324"/>
        <v xml:space="preserve"> OMOONLIGHT      </v>
      </c>
      <c r="H6943" s="20" t="str">
        <f t="shared" si="325"/>
        <v>PHARD</v>
      </c>
      <c r="I6943" s="20">
        <f t="shared" si="326"/>
        <v>0</v>
      </c>
    </row>
    <row r="6944" spans="1:9">
      <c r="A6944" s="17" t="s">
        <v>2307</v>
      </c>
      <c r="B6944" s="17" t="s">
        <v>2020</v>
      </c>
      <c r="C6944" s="17">
        <v>0</v>
      </c>
      <c r="D6944" s="17" t="s">
        <v>801</v>
      </c>
      <c r="E6944" s="18">
        <v>3005451080004</v>
      </c>
      <c r="G6944" s="20" t="str">
        <f t="shared" si="324"/>
        <v xml:space="preserve"> OMOONLIGHT      </v>
      </c>
      <c r="H6944" s="20" t="str">
        <f t="shared" si="325"/>
        <v>POMME</v>
      </c>
      <c r="I6944" s="20">
        <f t="shared" si="326"/>
        <v>0</v>
      </c>
    </row>
    <row r="6945" spans="1:9">
      <c r="A6945" s="17" t="s">
        <v>2307</v>
      </c>
      <c r="B6945" s="17" t="s">
        <v>2020</v>
      </c>
      <c r="C6945" s="17">
        <v>0</v>
      </c>
      <c r="D6945" s="17" t="s">
        <v>801</v>
      </c>
      <c r="E6945" s="18">
        <v>8056098539924</v>
      </c>
      <c r="G6945" s="20" t="str">
        <f t="shared" si="324"/>
        <v xml:space="preserve"> OMOONLIGHT      </v>
      </c>
      <c r="H6945" s="20" t="str">
        <f t="shared" si="325"/>
        <v>POMME</v>
      </c>
      <c r="I6945" s="20">
        <f t="shared" si="326"/>
        <v>0</v>
      </c>
    </row>
    <row r="6946" spans="1:9">
      <c r="A6946" s="17" t="s">
        <v>2307</v>
      </c>
      <c r="B6946" s="17" t="s">
        <v>816</v>
      </c>
      <c r="C6946" s="17">
        <v>0</v>
      </c>
      <c r="D6946" s="17" t="s">
        <v>801</v>
      </c>
      <c r="E6946" s="18">
        <v>8056099177385</v>
      </c>
      <c r="G6946" s="20" t="str">
        <f t="shared" si="324"/>
        <v xml:space="preserve"> OMOONLIGHT      </v>
      </c>
      <c r="H6946" s="20" t="str">
        <f t="shared" si="325"/>
        <v xml:space="preserve">RED  </v>
      </c>
      <c r="I6946" s="20">
        <f t="shared" si="326"/>
        <v>0</v>
      </c>
    </row>
    <row r="6947" spans="1:9">
      <c r="A6947" s="17" t="s">
        <v>2307</v>
      </c>
      <c r="B6947" s="17" t="s">
        <v>1237</v>
      </c>
      <c r="C6947" s="17">
        <v>0</v>
      </c>
      <c r="D6947" s="17" t="s">
        <v>801</v>
      </c>
      <c r="E6947" s="18">
        <v>3005450396007</v>
      </c>
      <c r="G6947" s="20" t="str">
        <f t="shared" si="324"/>
        <v xml:space="preserve"> OMOONLIGHT      </v>
      </c>
      <c r="H6947" s="20" t="str">
        <f t="shared" si="325"/>
        <v xml:space="preserve">ROCK </v>
      </c>
      <c r="I6947" s="20">
        <f t="shared" si="326"/>
        <v>0</v>
      </c>
    </row>
    <row r="6948" spans="1:9">
      <c r="A6948" s="17" t="s">
        <v>2307</v>
      </c>
      <c r="B6948" s="17" t="s">
        <v>1237</v>
      </c>
      <c r="C6948" s="17">
        <v>0</v>
      </c>
      <c r="D6948" s="17" t="s">
        <v>801</v>
      </c>
      <c r="E6948" s="18">
        <v>8050538590056</v>
      </c>
      <c r="G6948" s="20" t="str">
        <f t="shared" si="324"/>
        <v xml:space="preserve"> OMOONLIGHT      </v>
      </c>
      <c r="H6948" s="20" t="str">
        <f t="shared" si="325"/>
        <v xml:space="preserve">ROCK </v>
      </c>
      <c r="I6948" s="20">
        <f t="shared" si="326"/>
        <v>0</v>
      </c>
    </row>
    <row r="6949" spans="1:9">
      <c r="A6949" s="17" t="s">
        <v>2307</v>
      </c>
      <c r="B6949" s="17" t="s">
        <v>1239</v>
      </c>
      <c r="C6949" s="17">
        <v>0</v>
      </c>
      <c r="D6949" s="17" t="s">
        <v>801</v>
      </c>
      <c r="E6949" s="18">
        <v>3005450400001</v>
      </c>
      <c r="G6949" s="20" t="str">
        <f t="shared" si="324"/>
        <v xml:space="preserve"> OMOONLIGHT      </v>
      </c>
      <c r="H6949" s="20" t="str">
        <f t="shared" si="325"/>
        <v xml:space="preserve">SAND </v>
      </c>
      <c r="I6949" s="20">
        <f t="shared" si="326"/>
        <v>0</v>
      </c>
    </row>
    <row r="6950" spans="1:9">
      <c r="A6950" s="17" t="s">
        <v>2307</v>
      </c>
      <c r="B6950" s="17" t="s">
        <v>1239</v>
      </c>
      <c r="C6950" s="17">
        <v>0</v>
      </c>
      <c r="D6950" s="17" t="s">
        <v>801</v>
      </c>
      <c r="E6950" s="18">
        <v>8056098539894</v>
      </c>
      <c r="G6950" s="20" t="str">
        <f t="shared" si="324"/>
        <v xml:space="preserve"> OMOONLIGHT      </v>
      </c>
      <c r="H6950" s="20" t="str">
        <f t="shared" si="325"/>
        <v xml:space="preserve">SAND </v>
      </c>
      <c r="I6950" s="20">
        <f t="shared" si="326"/>
        <v>0</v>
      </c>
    </row>
    <row r="6951" spans="1:9">
      <c r="A6951" s="17" t="s">
        <v>2307</v>
      </c>
      <c r="B6951" s="17" t="s">
        <v>1663</v>
      </c>
      <c r="C6951" s="17">
        <v>0</v>
      </c>
      <c r="D6951" s="17" t="s">
        <v>801</v>
      </c>
      <c r="E6951" s="18">
        <v>3005451313003</v>
      </c>
      <c r="G6951" s="20" t="str">
        <f t="shared" si="324"/>
        <v xml:space="preserve"> OMOONLIGHT      </v>
      </c>
      <c r="H6951" s="20" t="str">
        <f t="shared" si="325"/>
        <v>SANGR</v>
      </c>
      <c r="I6951" s="20">
        <f t="shared" si="326"/>
        <v>0</v>
      </c>
    </row>
    <row r="6952" spans="1:9">
      <c r="A6952" s="17" t="s">
        <v>2307</v>
      </c>
      <c r="B6952" s="17" t="s">
        <v>1080</v>
      </c>
      <c r="C6952" s="17">
        <v>0</v>
      </c>
      <c r="D6952" s="17" t="s">
        <v>801</v>
      </c>
      <c r="E6952" s="18">
        <v>3005451074003</v>
      </c>
      <c r="G6952" s="20" t="str">
        <f t="shared" si="324"/>
        <v xml:space="preserve"> OMOONLIGHT      </v>
      </c>
      <c r="H6952" s="20" t="str">
        <f t="shared" si="325"/>
        <v>TERRA</v>
      </c>
      <c r="I6952" s="20">
        <f t="shared" si="326"/>
        <v>0</v>
      </c>
    </row>
    <row r="6953" spans="1:9">
      <c r="A6953" s="17" t="s">
        <v>2307</v>
      </c>
      <c r="B6953" s="17" t="s">
        <v>1080</v>
      </c>
      <c r="C6953" s="17">
        <v>0</v>
      </c>
      <c r="D6953" s="17" t="s">
        <v>801</v>
      </c>
      <c r="E6953" s="18">
        <v>8056098539900</v>
      </c>
      <c r="G6953" s="20" t="str">
        <f t="shared" si="324"/>
        <v xml:space="preserve"> OMOONLIGHT      </v>
      </c>
      <c r="H6953" s="20" t="str">
        <f t="shared" si="325"/>
        <v>TERRA</v>
      </c>
      <c r="I6953" s="20">
        <f t="shared" si="326"/>
        <v>0</v>
      </c>
    </row>
    <row r="6954" spans="1:9">
      <c r="A6954" s="17" t="s">
        <v>2307</v>
      </c>
      <c r="B6954" s="17" t="s">
        <v>1664</v>
      </c>
      <c r="C6954" s="17">
        <v>0</v>
      </c>
      <c r="D6954" s="17" t="s">
        <v>801</v>
      </c>
      <c r="E6954" s="18">
        <v>3005451079008</v>
      </c>
      <c r="G6954" s="20" t="str">
        <f t="shared" si="324"/>
        <v xml:space="preserve"> OMOONLIGHT      </v>
      </c>
      <c r="H6954" s="20" t="str">
        <f t="shared" si="325"/>
        <v>VERAN</v>
      </c>
      <c r="I6954" s="20">
        <f t="shared" si="326"/>
        <v>0</v>
      </c>
    </row>
    <row r="6955" spans="1:9">
      <c r="A6955" s="17" t="s">
        <v>2307</v>
      </c>
      <c r="B6955" s="17" t="s">
        <v>1664</v>
      </c>
      <c r="C6955" s="17">
        <v>0</v>
      </c>
      <c r="D6955" s="17" t="s">
        <v>801</v>
      </c>
      <c r="E6955" s="18">
        <v>8056098539917</v>
      </c>
      <c r="G6955" s="20" t="str">
        <f t="shared" si="324"/>
        <v xml:space="preserve"> OMOONLIGHT      </v>
      </c>
      <c r="H6955" s="20" t="str">
        <f t="shared" si="325"/>
        <v>VERAN</v>
      </c>
      <c r="I6955" s="20">
        <f t="shared" si="326"/>
        <v>0</v>
      </c>
    </row>
    <row r="6956" spans="1:9">
      <c r="A6956" s="17" t="s">
        <v>2307</v>
      </c>
      <c r="B6956" s="17" t="s">
        <v>867</v>
      </c>
      <c r="C6956" s="17">
        <v>0</v>
      </c>
      <c r="D6956" s="17" t="s">
        <v>801</v>
      </c>
      <c r="E6956" s="18">
        <v>3005451032003</v>
      </c>
      <c r="G6956" s="20" t="str">
        <f t="shared" si="324"/>
        <v xml:space="preserve"> OMOONLIGHT      </v>
      </c>
      <c r="H6956" s="20" t="str">
        <f t="shared" si="325"/>
        <v>VERTF</v>
      </c>
      <c r="I6956" s="20">
        <f t="shared" si="326"/>
        <v>0</v>
      </c>
    </row>
    <row r="6957" spans="1:9">
      <c r="A6957" s="17" t="s">
        <v>2307</v>
      </c>
      <c r="B6957" s="17" t="s">
        <v>1036</v>
      </c>
      <c r="C6957" s="17">
        <v>0</v>
      </c>
      <c r="D6957" s="17" t="s">
        <v>801</v>
      </c>
      <c r="E6957" s="18">
        <v>3005451442000</v>
      </c>
      <c r="G6957" s="20" t="str">
        <f t="shared" si="324"/>
        <v xml:space="preserve"> OMOONLIGHT      </v>
      </c>
      <c r="H6957" s="20" t="str">
        <f t="shared" si="325"/>
        <v>VOLCA</v>
      </c>
      <c r="I6957" s="20">
        <f t="shared" si="326"/>
        <v>0</v>
      </c>
    </row>
    <row r="6958" spans="1:9">
      <c r="A6958" s="17" t="s">
        <v>2308</v>
      </c>
      <c r="B6958" s="17" t="s">
        <v>280</v>
      </c>
      <c r="C6958" s="17">
        <v>0</v>
      </c>
      <c r="D6958" s="17" t="s">
        <v>801</v>
      </c>
      <c r="E6958" s="18">
        <v>3006250276001</v>
      </c>
      <c r="G6958" s="20" t="str">
        <f t="shared" si="324"/>
        <v xml:space="preserve"> OMOONPINS       </v>
      </c>
      <c r="H6958" s="20" t="str">
        <f t="shared" si="325"/>
        <v>BLACK</v>
      </c>
      <c r="I6958" s="20">
        <f t="shared" si="326"/>
        <v>0</v>
      </c>
    </row>
    <row r="6959" spans="1:9">
      <c r="A6959" s="17" t="s">
        <v>2308</v>
      </c>
      <c r="B6959" s="17" t="s">
        <v>280</v>
      </c>
      <c r="C6959" s="17">
        <v>0</v>
      </c>
      <c r="D6959" s="17" t="s">
        <v>801</v>
      </c>
      <c r="E6959" s="18">
        <v>8050846019577</v>
      </c>
      <c r="G6959" s="20" t="str">
        <f t="shared" si="324"/>
        <v xml:space="preserve"> OMOONPINS       </v>
      </c>
      <c r="H6959" s="20" t="str">
        <f t="shared" si="325"/>
        <v>BLACK</v>
      </c>
      <c r="I6959" s="20">
        <f t="shared" si="326"/>
        <v>0</v>
      </c>
    </row>
    <row r="6960" spans="1:9">
      <c r="A6960" s="17" t="s">
        <v>2308</v>
      </c>
      <c r="B6960" s="17" t="s">
        <v>816</v>
      </c>
      <c r="C6960" s="17">
        <v>0</v>
      </c>
      <c r="D6960" s="17" t="s">
        <v>801</v>
      </c>
      <c r="E6960" s="18">
        <v>3006250395009</v>
      </c>
      <c r="G6960" s="20" t="str">
        <f t="shared" si="324"/>
        <v xml:space="preserve"> OMOONPINS       </v>
      </c>
      <c r="H6960" s="20" t="str">
        <f t="shared" si="325"/>
        <v xml:space="preserve">RED  </v>
      </c>
      <c r="I6960" s="20">
        <f t="shared" si="326"/>
        <v>0</v>
      </c>
    </row>
    <row r="6961" spans="1:9">
      <c r="A6961" s="17" t="s">
        <v>2308</v>
      </c>
      <c r="B6961" s="17" t="s">
        <v>816</v>
      </c>
      <c r="C6961" s="17">
        <v>0</v>
      </c>
      <c r="D6961" s="17" t="s">
        <v>801</v>
      </c>
      <c r="E6961" s="18">
        <v>8050846019591</v>
      </c>
      <c r="G6961" s="20" t="str">
        <f t="shared" si="324"/>
        <v xml:space="preserve"> OMOONPINS       </v>
      </c>
      <c r="H6961" s="20" t="str">
        <f t="shared" si="325"/>
        <v xml:space="preserve">RED  </v>
      </c>
      <c r="I6961" s="20">
        <f t="shared" si="326"/>
        <v>0</v>
      </c>
    </row>
    <row r="6962" spans="1:9">
      <c r="A6962" s="17" t="s">
        <v>2308</v>
      </c>
      <c r="B6962" s="17" t="s">
        <v>273</v>
      </c>
      <c r="C6962" s="17">
        <v>0</v>
      </c>
      <c r="D6962" s="17" t="s">
        <v>801</v>
      </c>
      <c r="E6962" s="18">
        <v>3006250440006</v>
      </c>
      <c r="G6962" s="20" t="str">
        <f t="shared" si="324"/>
        <v xml:space="preserve"> OMOONPINS       </v>
      </c>
      <c r="H6962" s="20" t="str">
        <f t="shared" si="325"/>
        <v>WHITE</v>
      </c>
      <c r="I6962" s="20">
        <f t="shared" si="326"/>
        <v>0</v>
      </c>
    </row>
    <row r="6963" spans="1:9">
      <c r="A6963" s="17" t="s">
        <v>2308</v>
      </c>
      <c r="B6963" s="17" t="s">
        <v>273</v>
      </c>
      <c r="C6963" s="17">
        <v>0</v>
      </c>
      <c r="D6963" s="17" t="s">
        <v>801</v>
      </c>
      <c r="E6963" s="18">
        <v>8050846019584</v>
      </c>
      <c r="G6963" s="20" t="str">
        <f t="shared" si="324"/>
        <v xml:space="preserve"> OMOONPINS       </v>
      </c>
      <c r="H6963" s="20" t="str">
        <f t="shared" si="325"/>
        <v>WHITE</v>
      </c>
      <c r="I6963" s="20">
        <f t="shared" si="326"/>
        <v>0</v>
      </c>
    </row>
    <row r="6964" spans="1:9">
      <c r="A6964" s="17" t="s">
        <v>2309</v>
      </c>
      <c r="B6964" s="17" t="s">
        <v>809</v>
      </c>
      <c r="C6964" s="17">
        <v>0</v>
      </c>
      <c r="D6964" s="17" t="s">
        <v>801</v>
      </c>
      <c r="E6964" s="18">
        <v>3005951363003</v>
      </c>
      <c r="G6964" s="20" t="str">
        <f t="shared" si="324"/>
        <v xml:space="preserve"> ONE             </v>
      </c>
      <c r="H6964" s="20" t="str">
        <f t="shared" si="325"/>
        <v>AUBER</v>
      </c>
      <c r="I6964" s="20">
        <f t="shared" si="326"/>
        <v>0</v>
      </c>
    </row>
    <row r="6965" spans="1:9">
      <c r="A6965" s="17" t="s">
        <v>2309</v>
      </c>
      <c r="B6965" s="17" t="s">
        <v>809</v>
      </c>
      <c r="C6965" s="17">
        <v>0</v>
      </c>
      <c r="D6965" s="17" t="s">
        <v>801</v>
      </c>
      <c r="E6965" s="18">
        <v>8056099178535</v>
      </c>
      <c r="G6965" s="20" t="str">
        <f t="shared" si="324"/>
        <v xml:space="preserve"> ONE             </v>
      </c>
      <c r="H6965" s="20" t="str">
        <f t="shared" si="325"/>
        <v>AUBER</v>
      </c>
      <c r="I6965" s="20">
        <f t="shared" si="326"/>
        <v>0</v>
      </c>
    </row>
    <row r="6966" spans="1:9">
      <c r="A6966" s="17" t="s">
        <v>2309</v>
      </c>
      <c r="B6966" s="17" t="s">
        <v>280</v>
      </c>
      <c r="C6966" s="17">
        <v>0</v>
      </c>
      <c r="D6966" s="17" t="s">
        <v>801</v>
      </c>
      <c r="E6966" s="18">
        <v>3005950276007</v>
      </c>
      <c r="G6966" s="20" t="str">
        <f t="shared" si="324"/>
        <v xml:space="preserve"> ONE             </v>
      </c>
      <c r="H6966" s="20" t="str">
        <f t="shared" si="325"/>
        <v>BLACK</v>
      </c>
      <c r="I6966" s="20">
        <f t="shared" si="326"/>
        <v>0</v>
      </c>
    </row>
    <row r="6967" spans="1:9">
      <c r="A6967" s="17" t="s">
        <v>2309</v>
      </c>
      <c r="B6967" s="17" t="s">
        <v>280</v>
      </c>
      <c r="C6967" s="17">
        <v>0</v>
      </c>
      <c r="D6967" s="17" t="s">
        <v>801</v>
      </c>
      <c r="E6967" s="18">
        <v>8056099178115</v>
      </c>
      <c r="G6967" s="20" t="str">
        <f t="shared" si="324"/>
        <v xml:space="preserve"> ONE             </v>
      </c>
      <c r="H6967" s="20" t="str">
        <f t="shared" si="325"/>
        <v>BLACK</v>
      </c>
      <c r="I6967" s="20">
        <f t="shared" si="326"/>
        <v>0</v>
      </c>
    </row>
    <row r="6968" spans="1:9">
      <c r="A6968" s="17" t="s">
        <v>2309</v>
      </c>
      <c r="B6968" s="17" t="s">
        <v>891</v>
      </c>
      <c r="C6968" s="17">
        <v>0</v>
      </c>
      <c r="D6968" s="17" t="s">
        <v>801</v>
      </c>
      <c r="E6968" s="18">
        <v>3005950340005</v>
      </c>
      <c r="G6968" s="20" t="str">
        <f t="shared" si="324"/>
        <v xml:space="preserve"> ONE             </v>
      </c>
      <c r="H6968" s="20" t="str">
        <f t="shared" si="325"/>
        <v>GREEN</v>
      </c>
      <c r="I6968" s="20">
        <f t="shared" si="326"/>
        <v>0</v>
      </c>
    </row>
    <row r="6969" spans="1:9">
      <c r="A6969" s="17" t="s">
        <v>2309</v>
      </c>
      <c r="B6969" s="17" t="s">
        <v>891</v>
      </c>
      <c r="C6969" s="17">
        <v>0</v>
      </c>
      <c r="D6969" s="17" t="s">
        <v>801</v>
      </c>
      <c r="E6969" s="18">
        <v>8050538590094</v>
      </c>
      <c r="G6969" s="20" t="str">
        <f t="shared" si="324"/>
        <v xml:space="preserve"> ONE             </v>
      </c>
      <c r="H6969" s="20" t="str">
        <f t="shared" si="325"/>
        <v>GREEN</v>
      </c>
      <c r="I6969" s="20">
        <f t="shared" si="326"/>
        <v>0</v>
      </c>
    </row>
    <row r="6970" spans="1:9">
      <c r="A6970" s="17" t="s">
        <v>2309</v>
      </c>
      <c r="B6970" s="17" t="s">
        <v>1078</v>
      </c>
      <c r="C6970" s="17">
        <v>0</v>
      </c>
      <c r="D6970" s="17" t="s">
        <v>801</v>
      </c>
      <c r="E6970" s="18">
        <v>3005950494005</v>
      </c>
      <c r="G6970" s="20" t="str">
        <f t="shared" si="324"/>
        <v xml:space="preserve"> ONE             </v>
      </c>
      <c r="H6970" s="20" t="str">
        <f t="shared" si="325"/>
        <v xml:space="preserve">NAVY </v>
      </c>
      <c r="I6970" s="20">
        <f t="shared" si="326"/>
        <v>0</v>
      </c>
    </row>
    <row r="6971" spans="1:9">
      <c r="A6971" s="17" t="s">
        <v>2309</v>
      </c>
      <c r="B6971" s="17" t="s">
        <v>1078</v>
      </c>
      <c r="C6971" s="17">
        <v>0</v>
      </c>
      <c r="D6971" s="17" t="s">
        <v>801</v>
      </c>
      <c r="E6971" s="18">
        <v>8050538591046</v>
      </c>
      <c r="G6971" s="20" t="str">
        <f t="shared" si="324"/>
        <v xml:space="preserve"> ONE             </v>
      </c>
      <c r="H6971" s="20" t="str">
        <f t="shared" si="325"/>
        <v xml:space="preserve">NAVY </v>
      </c>
      <c r="I6971" s="20">
        <f t="shared" si="326"/>
        <v>0</v>
      </c>
    </row>
    <row r="6972" spans="1:9">
      <c r="A6972" s="17" t="s">
        <v>2309</v>
      </c>
      <c r="B6972" s="17" t="s">
        <v>919</v>
      </c>
      <c r="C6972" s="17">
        <v>0</v>
      </c>
      <c r="D6972" s="17" t="s">
        <v>801</v>
      </c>
      <c r="E6972" s="18">
        <v>3005950690001</v>
      </c>
      <c r="G6972" s="20" t="str">
        <f t="shared" si="324"/>
        <v xml:space="preserve"> ONE             </v>
      </c>
      <c r="H6972" s="20" t="str">
        <f t="shared" si="325"/>
        <v>TESTA</v>
      </c>
      <c r="I6972" s="20">
        <f t="shared" si="326"/>
        <v>0</v>
      </c>
    </row>
    <row r="6973" spans="1:9">
      <c r="A6973" s="17" t="s">
        <v>2309</v>
      </c>
      <c r="B6973" s="17" t="s">
        <v>919</v>
      </c>
      <c r="C6973" s="17">
        <v>0</v>
      </c>
      <c r="D6973" s="17" t="s">
        <v>801</v>
      </c>
      <c r="E6973" s="18">
        <v>8056099179181</v>
      </c>
      <c r="G6973" s="20" t="str">
        <f t="shared" si="324"/>
        <v xml:space="preserve"> ONE             </v>
      </c>
      <c r="H6973" s="20" t="str">
        <f t="shared" si="325"/>
        <v>TESTA</v>
      </c>
      <c r="I6973" s="20">
        <f t="shared" si="326"/>
        <v>0</v>
      </c>
    </row>
    <row r="6974" spans="1:9">
      <c r="A6974" s="17" t="s">
        <v>2309</v>
      </c>
      <c r="B6974" s="17" t="s">
        <v>812</v>
      </c>
      <c r="C6974" s="17">
        <v>0</v>
      </c>
      <c r="D6974" s="17" t="s">
        <v>801</v>
      </c>
      <c r="E6974" s="18">
        <v>3005951350003</v>
      </c>
      <c r="G6974" s="20" t="str">
        <f t="shared" si="324"/>
        <v xml:space="preserve"> ONE             </v>
      </c>
      <c r="H6974" s="20" t="str">
        <f t="shared" si="325"/>
        <v>YELLO</v>
      </c>
      <c r="I6974" s="20">
        <f t="shared" si="326"/>
        <v>0</v>
      </c>
    </row>
    <row r="6975" spans="1:9">
      <c r="A6975" s="17" t="s">
        <v>2309</v>
      </c>
      <c r="B6975" s="17" t="s">
        <v>812</v>
      </c>
      <c r="C6975" s="17">
        <v>0</v>
      </c>
      <c r="D6975" s="17" t="s">
        <v>801</v>
      </c>
      <c r="E6975" s="18">
        <v>8050538590292</v>
      </c>
      <c r="G6975" s="20" t="str">
        <f t="shared" si="324"/>
        <v xml:space="preserve"> ONE             </v>
      </c>
      <c r="H6975" s="20" t="str">
        <f t="shared" si="325"/>
        <v>YELLO</v>
      </c>
      <c r="I6975" s="20">
        <f t="shared" si="326"/>
        <v>0</v>
      </c>
    </row>
    <row r="6976" spans="1:9">
      <c r="A6976" s="17" t="s">
        <v>2310</v>
      </c>
      <c r="B6976" s="17" t="s">
        <v>930</v>
      </c>
      <c r="C6976" s="17">
        <v>0</v>
      </c>
      <c r="D6976" s="17" t="s">
        <v>801</v>
      </c>
      <c r="E6976" s="18">
        <v>3005210557006</v>
      </c>
      <c r="G6976" s="20" t="str">
        <f t="shared" si="324"/>
        <v xml:space="preserve"> ONEBODY         </v>
      </c>
      <c r="H6976" s="20" t="str">
        <f t="shared" si="325"/>
        <v xml:space="preserve">BLK  </v>
      </c>
      <c r="I6976" s="20">
        <f t="shared" si="326"/>
        <v>0</v>
      </c>
    </row>
    <row r="6977" spans="1:9">
      <c r="A6977" s="17" t="s">
        <v>2310</v>
      </c>
      <c r="B6977" s="17" t="s">
        <v>930</v>
      </c>
      <c r="C6977" s="17">
        <v>0</v>
      </c>
      <c r="D6977" s="17" t="s">
        <v>801</v>
      </c>
      <c r="E6977" s="18">
        <v>8056095069837</v>
      </c>
      <c r="G6977" s="20" t="str">
        <f t="shared" si="324"/>
        <v xml:space="preserve"> ONEBODY         </v>
      </c>
      <c r="H6977" s="20" t="str">
        <f t="shared" si="325"/>
        <v xml:space="preserve">BLK  </v>
      </c>
      <c r="I6977" s="20">
        <f t="shared" si="326"/>
        <v>0</v>
      </c>
    </row>
    <row r="6978" spans="1:9">
      <c r="A6978" s="17" t="s">
        <v>2310</v>
      </c>
      <c r="B6978" s="17" t="s">
        <v>1026</v>
      </c>
      <c r="C6978" s="17">
        <v>0</v>
      </c>
      <c r="D6978" s="17" t="s">
        <v>801</v>
      </c>
      <c r="E6978" s="18">
        <v>3005210843000</v>
      </c>
      <c r="G6978" s="20" t="str">
        <f t="shared" si="324"/>
        <v xml:space="preserve"> ONEBODY         </v>
      </c>
      <c r="H6978" s="20" t="str">
        <f t="shared" si="325"/>
        <v>BLUAV</v>
      </c>
      <c r="I6978" s="20">
        <f t="shared" si="326"/>
        <v>0</v>
      </c>
    </row>
    <row r="6979" spans="1:9">
      <c r="A6979" s="17" t="s">
        <v>2310</v>
      </c>
      <c r="B6979" s="17" t="s">
        <v>1026</v>
      </c>
      <c r="C6979" s="17">
        <v>0</v>
      </c>
      <c r="D6979" s="17" t="s">
        <v>801</v>
      </c>
      <c r="E6979" s="18">
        <v>8056095069813</v>
      </c>
      <c r="G6979" s="20" t="str">
        <f t="shared" si="324"/>
        <v xml:space="preserve"> ONEBODY         </v>
      </c>
      <c r="H6979" s="20" t="str">
        <f t="shared" si="325"/>
        <v>BLUAV</v>
      </c>
      <c r="I6979" s="20">
        <f t="shared" si="326"/>
        <v>0</v>
      </c>
    </row>
    <row r="6980" spans="1:9">
      <c r="A6980" s="17" t="s">
        <v>2310</v>
      </c>
      <c r="B6980" s="17" t="s">
        <v>1447</v>
      </c>
      <c r="C6980" s="17">
        <v>0</v>
      </c>
      <c r="D6980" s="17" t="s">
        <v>801</v>
      </c>
      <c r="E6980" s="18">
        <v>3005210844007</v>
      </c>
      <c r="G6980" s="20" t="str">
        <f t="shared" si="324"/>
        <v xml:space="preserve"> ONEBODY         </v>
      </c>
      <c r="H6980" s="20" t="str">
        <f t="shared" si="325"/>
        <v xml:space="preserve">FRAG </v>
      </c>
      <c r="I6980" s="20">
        <f t="shared" si="326"/>
        <v>0</v>
      </c>
    </row>
    <row r="6981" spans="1:9">
      <c r="A6981" s="17" t="s">
        <v>2310</v>
      </c>
      <c r="B6981" s="17" t="s">
        <v>1447</v>
      </c>
      <c r="C6981" s="17">
        <v>0</v>
      </c>
      <c r="D6981" s="17" t="s">
        <v>801</v>
      </c>
      <c r="E6981" s="18">
        <v>8056095069790</v>
      </c>
      <c r="G6981" s="20" t="str">
        <f t="shared" ref="G6981:G7044" si="327">A6981</f>
        <v xml:space="preserve"> ONEBODY         </v>
      </c>
      <c r="H6981" s="20" t="str">
        <f t="shared" ref="H6981:H7044" si="328">B6981</f>
        <v xml:space="preserve">FRAG </v>
      </c>
      <c r="I6981" s="20">
        <f t="shared" ref="I6981:I7044" si="329">C6981</f>
        <v>0</v>
      </c>
    </row>
    <row r="6982" spans="1:9">
      <c r="A6982" s="17" t="s">
        <v>2310</v>
      </c>
      <c r="B6982" s="17" t="s">
        <v>1661</v>
      </c>
      <c r="C6982" s="17">
        <v>0</v>
      </c>
      <c r="D6982" s="17" t="s">
        <v>801</v>
      </c>
      <c r="E6982" s="18">
        <v>3005210610008</v>
      </c>
      <c r="G6982" s="20" t="str">
        <f t="shared" si="327"/>
        <v xml:space="preserve"> ONEBODY         </v>
      </c>
      <c r="H6982" s="20" t="str">
        <f t="shared" si="328"/>
        <v>GRAFI</v>
      </c>
      <c r="I6982" s="20">
        <f t="shared" si="329"/>
        <v>0</v>
      </c>
    </row>
    <row r="6983" spans="1:9">
      <c r="A6983" s="17" t="s">
        <v>2310</v>
      </c>
      <c r="B6983" s="17" t="s">
        <v>1661</v>
      </c>
      <c r="C6983" s="17">
        <v>0</v>
      </c>
      <c r="D6983" s="17" t="s">
        <v>801</v>
      </c>
      <c r="E6983" s="18">
        <v>8056095069806</v>
      </c>
      <c r="G6983" s="20" t="str">
        <f t="shared" si="327"/>
        <v xml:space="preserve"> ONEBODY         </v>
      </c>
      <c r="H6983" s="20" t="str">
        <f t="shared" si="328"/>
        <v>GRAFI</v>
      </c>
      <c r="I6983" s="20">
        <f t="shared" si="329"/>
        <v>0</v>
      </c>
    </row>
    <row r="6984" spans="1:9">
      <c r="A6984" s="17" t="s">
        <v>2310</v>
      </c>
      <c r="B6984" s="17" t="s">
        <v>1078</v>
      </c>
      <c r="C6984" s="17">
        <v>0</v>
      </c>
      <c r="D6984" s="17" t="s">
        <v>801</v>
      </c>
      <c r="E6984" s="18">
        <v>3005210494004</v>
      </c>
      <c r="G6984" s="20" t="str">
        <f t="shared" si="327"/>
        <v xml:space="preserve"> ONEBODY         </v>
      </c>
      <c r="H6984" s="20" t="str">
        <f t="shared" si="328"/>
        <v xml:space="preserve">NAVY </v>
      </c>
      <c r="I6984" s="20">
        <f t="shared" si="329"/>
        <v>0</v>
      </c>
    </row>
    <row r="6985" spans="1:9">
      <c r="A6985" s="17" t="s">
        <v>2310</v>
      </c>
      <c r="B6985" s="17" t="s">
        <v>1078</v>
      </c>
      <c r="C6985" s="17">
        <v>0</v>
      </c>
      <c r="D6985" s="17" t="s">
        <v>801</v>
      </c>
      <c r="E6985" s="18">
        <v>8056095069844</v>
      </c>
      <c r="G6985" s="20" t="str">
        <f t="shared" si="327"/>
        <v xml:space="preserve"> ONEBODY         </v>
      </c>
      <c r="H6985" s="20" t="str">
        <f t="shared" si="328"/>
        <v xml:space="preserve">NAVY </v>
      </c>
      <c r="I6985" s="20">
        <f t="shared" si="329"/>
        <v>0</v>
      </c>
    </row>
    <row r="6986" spans="1:9">
      <c r="A6986" s="17" t="s">
        <v>2311</v>
      </c>
      <c r="B6986" s="17" t="s">
        <v>875</v>
      </c>
      <c r="C6986" s="17">
        <v>0</v>
      </c>
      <c r="D6986" s="17" t="s">
        <v>801</v>
      </c>
      <c r="E6986" s="18">
        <v>3020760112000</v>
      </c>
      <c r="G6986" s="20" t="str">
        <f t="shared" si="327"/>
        <v xml:space="preserve"> OPOCKET         </v>
      </c>
      <c r="H6986" s="20" t="str">
        <f t="shared" si="328"/>
        <v xml:space="preserve">ABRI </v>
      </c>
      <c r="I6986" s="20">
        <f t="shared" si="329"/>
        <v>0</v>
      </c>
    </row>
    <row r="6987" spans="1:9">
      <c r="A6987" s="17" t="s">
        <v>2311</v>
      </c>
      <c r="B6987" s="17" t="s">
        <v>2048</v>
      </c>
      <c r="C6987" s="17">
        <v>0</v>
      </c>
      <c r="D6987" s="17" t="s">
        <v>801</v>
      </c>
      <c r="E6987" s="18">
        <v>3020760162005</v>
      </c>
      <c r="G6987" s="20" t="str">
        <f t="shared" si="327"/>
        <v xml:space="preserve"> OPOCKET         </v>
      </c>
      <c r="H6987" s="20" t="str">
        <f t="shared" si="328"/>
        <v xml:space="preserve">ANGL </v>
      </c>
      <c r="I6987" s="20">
        <f t="shared" si="329"/>
        <v>0</v>
      </c>
    </row>
    <row r="6988" spans="1:9">
      <c r="A6988" s="17" t="s">
        <v>2311</v>
      </c>
      <c r="B6988" s="17" t="s">
        <v>298</v>
      </c>
      <c r="C6988" s="17">
        <v>0</v>
      </c>
      <c r="D6988" s="17" t="s">
        <v>801</v>
      </c>
      <c r="E6988" s="18">
        <v>3003330023005</v>
      </c>
      <c r="G6988" s="20" t="str">
        <f t="shared" si="327"/>
        <v xml:space="preserve"> OPOCKET         </v>
      </c>
      <c r="H6988" s="20" t="str">
        <f t="shared" si="328"/>
        <v>APPLE</v>
      </c>
      <c r="I6988" s="20">
        <f t="shared" si="329"/>
        <v>0</v>
      </c>
    </row>
    <row r="6989" spans="1:9">
      <c r="A6989" s="17" t="s">
        <v>2311</v>
      </c>
      <c r="B6989" s="17" t="s">
        <v>879</v>
      </c>
      <c r="C6989" s="17">
        <v>0</v>
      </c>
      <c r="D6989" s="17" t="s">
        <v>801</v>
      </c>
      <c r="E6989" s="18">
        <v>3020760181006</v>
      </c>
      <c r="G6989" s="20" t="str">
        <f t="shared" si="327"/>
        <v xml:space="preserve"> OPOCKET         </v>
      </c>
      <c r="H6989" s="20" t="str">
        <f t="shared" si="328"/>
        <v xml:space="preserve">AZUR </v>
      </c>
      <c r="I6989" s="20">
        <f t="shared" si="329"/>
        <v>0</v>
      </c>
    </row>
    <row r="6990" spans="1:9">
      <c r="A6990" s="17" t="s">
        <v>2311</v>
      </c>
      <c r="B6990" s="17" t="s">
        <v>280</v>
      </c>
      <c r="C6990" s="17">
        <v>0</v>
      </c>
      <c r="D6990" s="17" t="s">
        <v>801</v>
      </c>
      <c r="E6990" s="18">
        <v>3003330001003</v>
      </c>
      <c r="G6990" s="20" t="str">
        <f t="shared" si="327"/>
        <v xml:space="preserve"> OPOCKET         </v>
      </c>
      <c r="H6990" s="20" t="str">
        <f t="shared" si="328"/>
        <v>BLACK</v>
      </c>
      <c r="I6990" s="20">
        <f t="shared" si="329"/>
        <v>0</v>
      </c>
    </row>
    <row r="6991" spans="1:9">
      <c r="A6991" s="17" t="s">
        <v>2311</v>
      </c>
      <c r="B6991" s="17" t="s">
        <v>280</v>
      </c>
      <c r="C6991" s="17">
        <v>0</v>
      </c>
      <c r="D6991" s="17" t="s">
        <v>801</v>
      </c>
      <c r="E6991" s="18">
        <v>8050450213835</v>
      </c>
      <c r="G6991" s="20" t="str">
        <f t="shared" si="327"/>
        <v xml:space="preserve"> OPOCKET         </v>
      </c>
      <c r="H6991" s="20" t="str">
        <f t="shared" si="328"/>
        <v>BLACK</v>
      </c>
      <c r="I6991" s="20">
        <f t="shared" si="329"/>
        <v>0</v>
      </c>
    </row>
    <row r="6992" spans="1:9">
      <c r="A6992" s="17" t="s">
        <v>2311</v>
      </c>
      <c r="B6992" s="17" t="s">
        <v>1026</v>
      </c>
      <c r="C6992" s="17">
        <v>0</v>
      </c>
      <c r="D6992" s="17" t="s">
        <v>801</v>
      </c>
      <c r="E6992" s="18">
        <v>8058983596333</v>
      </c>
      <c r="G6992" s="20" t="str">
        <f t="shared" si="327"/>
        <v xml:space="preserve"> OPOCKET         </v>
      </c>
      <c r="H6992" s="20" t="str">
        <f t="shared" si="328"/>
        <v>BLUAV</v>
      </c>
      <c r="I6992" s="20">
        <f t="shared" si="329"/>
        <v>0</v>
      </c>
    </row>
    <row r="6993" spans="1:9">
      <c r="A6993" s="17" t="s">
        <v>2311</v>
      </c>
      <c r="B6993" s="17" t="s">
        <v>853</v>
      </c>
      <c r="C6993" s="17">
        <v>0</v>
      </c>
      <c r="D6993" s="17" t="s">
        <v>801</v>
      </c>
      <c r="E6993" s="18">
        <v>3020760255004</v>
      </c>
      <c r="G6993" s="20" t="str">
        <f t="shared" si="327"/>
        <v xml:space="preserve"> OPOCKET         </v>
      </c>
      <c r="H6993" s="20" t="str">
        <f t="shared" si="328"/>
        <v>BRONZ</v>
      </c>
      <c r="I6993" s="20">
        <f t="shared" si="329"/>
        <v>0</v>
      </c>
    </row>
    <row r="6994" spans="1:9">
      <c r="A6994" s="17" t="s">
        <v>2311</v>
      </c>
      <c r="B6994" s="17" t="s">
        <v>853</v>
      </c>
      <c r="C6994" s="17">
        <v>0</v>
      </c>
      <c r="D6994" s="17" t="s">
        <v>801</v>
      </c>
      <c r="E6994" s="18">
        <v>8058333583495</v>
      </c>
      <c r="G6994" s="20" t="str">
        <f t="shared" si="327"/>
        <v xml:space="preserve"> OPOCKET         </v>
      </c>
      <c r="H6994" s="20" t="str">
        <f t="shared" si="328"/>
        <v>BRONZ</v>
      </c>
      <c r="I6994" s="20">
        <f t="shared" si="329"/>
        <v>0</v>
      </c>
    </row>
    <row r="6995" spans="1:9">
      <c r="A6995" s="17" t="s">
        <v>2311</v>
      </c>
      <c r="B6995" s="17" t="s">
        <v>888</v>
      </c>
      <c r="C6995" s="17">
        <v>0</v>
      </c>
      <c r="D6995" s="17" t="s">
        <v>801</v>
      </c>
      <c r="E6995" s="18">
        <v>3003330099000</v>
      </c>
      <c r="G6995" s="20" t="str">
        <f t="shared" si="327"/>
        <v xml:space="preserve"> OPOCKET         </v>
      </c>
      <c r="H6995" s="20" t="str">
        <f t="shared" si="328"/>
        <v>DRKOR</v>
      </c>
      <c r="I6995" s="20">
        <f t="shared" si="329"/>
        <v>0</v>
      </c>
    </row>
    <row r="6996" spans="1:9">
      <c r="A6996" s="17" t="s">
        <v>2311</v>
      </c>
      <c r="B6996" s="17" t="s">
        <v>1661</v>
      </c>
      <c r="C6996" s="17">
        <v>0</v>
      </c>
      <c r="D6996" s="17" t="s">
        <v>801</v>
      </c>
      <c r="E6996" s="18">
        <v>3003710610009</v>
      </c>
      <c r="G6996" s="20" t="str">
        <f t="shared" si="327"/>
        <v xml:space="preserve"> OPOCKET         </v>
      </c>
      <c r="H6996" s="20" t="str">
        <f t="shared" si="328"/>
        <v>GRAFI</v>
      </c>
      <c r="I6996" s="20">
        <f t="shared" si="329"/>
        <v>0</v>
      </c>
    </row>
    <row r="6997" spans="1:9">
      <c r="A6997" s="17" t="s">
        <v>2311</v>
      </c>
      <c r="B6997" s="17" t="s">
        <v>1661</v>
      </c>
      <c r="C6997" s="17">
        <v>0</v>
      </c>
      <c r="D6997" s="17" t="s">
        <v>801</v>
      </c>
      <c r="E6997" s="18">
        <v>8058333583501</v>
      </c>
      <c r="G6997" s="20" t="str">
        <f t="shared" si="327"/>
        <v xml:space="preserve"> OPOCKET         </v>
      </c>
      <c r="H6997" s="20" t="str">
        <f t="shared" si="328"/>
        <v>GRAFI</v>
      </c>
      <c r="I6997" s="20">
        <f t="shared" si="329"/>
        <v>0</v>
      </c>
    </row>
    <row r="6998" spans="1:9">
      <c r="A6998" s="17" t="s">
        <v>2311</v>
      </c>
      <c r="B6998" s="17" t="s">
        <v>858</v>
      </c>
      <c r="C6998" s="17">
        <v>0</v>
      </c>
      <c r="D6998" s="17" t="s">
        <v>801</v>
      </c>
      <c r="E6998" s="18">
        <v>3003330003007</v>
      </c>
      <c r="G6998" s="20" t="str">
        <f t="shared" si="327"/>
        <v xml:space="preserve"> OPOCKET         </v>
      </c>
      <c r="H6998" s="20" t="str">
        <f t="shared" si="328"/>
        <v xml:space="preserve">GREY </v>
      </c>
      <c r="I6998" s="20">
        <f t="shared" si="329"/>
        <v>0</v>
      </c>
    </row>
    <row r="6999" spans="1:9">
      <c r="A6999" s="17" t="s">
        <v>2311</v>
      </c>
      <c r="B6999" s="17" t="s">
        <v>1430</v>
      </c>
      <c r="C6999" s="17">
        <v>0</v>
      </c>
      <c r="D6999" s="17" t="s">
        <v>801</v>
      </c>
      <c r="E6999" s="18">
        <v>8050450219523</v>
      </c>
      <c r="G6999" s="20" t="str">
        <f t="shared" si="327"/>
        <v xml:space="preserve"> OPOCKET         </v>
      </c>
      <c r="H6999" s="20" t="str">
        <f t="shared" si="328"/>
        <v xml:space="preserve">IRIS </v>
      </c>
      <c r="I6999" s="20">
        <f t="shared" si="329"/>
        <v>0</v>
      </c>
    </row>
    <row r="7000" spans="1:9">
      <c r="A7000" s="17" t="s">
        <v>2311</v>
      </c>
      <c r="B7000" s="17" t="s">
        <v>1430</v>
      </c>
      <c r="C7000" s="17">
        <v>0</v>
      </c>
      <c r="D7000" s="17" t="s">
        <v>801</v>
      </c>
      <c r="E7000" s="18">
        <v>3020760230001</v>
      </c>
      <c r="G7000" s="20" t="str">
        <f t="shared" si="327"/>
        <v xml:space="preserve"> OPOCKET         </v>
      </c>
      <c r="H7000" s="20" t="str">
        <f t="shared" si="328"/>
        <v xml:space="preserve">IRIS </v>
      </c>
      <c r="I7000" s="20">
        <f t="shared" si="329"/>
        <v>0</v>
      </c>
    </row>
    <row r="7001" spans="1:9">
      <c r="A7001" s="17" t="s">
        <v>2311</v>
      </c>
      <c r="B7001" s="17" t="s">
        <v>838</v>
      </c>
      <c r="C7001" s="17">
        <v>0</v>
      </c>
      <c r="D7001" s="17" t="s">
        <v>801</v>
      </c>
      <c r="E7001" s="18">
        <v>8050450219530</v>
      </c>
      <c r="G7001" s="20" t="str">
        <f t="shared" si="327"/>
        <v xml:space="preserve"> OPOCKET         </v>
      </c>
      <c r="H7001" s="20" t="str">
        <f t="shared" si="328"/>
        <v>IVOIR</v>
      </c>
      <c r="I7001" s="20">
        <f t="shared" si="329"/>
        <v>0</v>
      </c>
    </row>
    <row r="7002" spans="1:9">
      <c r="A7002" s="17" t="s">
        <v>2311</v>
      </c>
      <c r="B7002" s="17" t="s">
        <v>838</v>
      </c>
      <c r="C7002" s="17">
        <v>0</v>
      </c>
      <c r="D7002" s="17" t="s">
        <v>801</v>
      </c>
      <c r="E7002" s="18">
        <v>3003710503004</v>
      </c>
      <c r="G7002" s="20" t="str">
        <f t="shared" si="327"/>
        <v xml:space="preserve"> OPOCKET         </v>
      </c>
      <c r="H7002" s="20" t="str">
        <f t="shared" si="328"/>
        <v>IVOIR</v>
      </c>
      <c r="I7002" s="20">
        <f t="shared" si="329"/>
        <v>0</v>
      </c>
    </row>
    <row r="7003" spans="1:9">
      <c r="A7003" s="17" t="s">
        <v>2311</v>
      </c>
      <c r="B7003" s="17" t="s">
        <v>838</v>
      </c>
      <c r="C7003" s="17">
        <v>0</v>
      </c>
      <c r="D7003" s="17" t="s">
        <v>801</v>
      </c>
      <c r="E7003" s="18">
        <v>3020760167000</v>
      </c>
      <c r="G7003" s="20" t="str">
        <f t="shared" si="327"/>
        <v xml:space="preserve"> OPOCKET         </v>
      </c>
      <c r="H7003" s="20" t="str">
        <f t="shared" si="328"/>
        <v>IVOIR</v>
      </c>
      <c r="I7003" s="20">
        <f t="shared" si="329"/>
        <v>0</v>
      </c>
    </row>
    <row r="7004" spans="1:9">
      <c r="A7004" s="17" t="s">
        <v>2311</v>
      </c>
      <c r="B7004" s="17" t="s">
        <v>892</v>
      </c>
      <c r="C7004" s="17">
        <v>0</v>
      </c>
      <c r="D7004" s="17" t="s">
        <v>801</v>
      </c>
      <c r="E7004" s="18">
        <v>3003710473000</v>
      </c>
      <c r="G7004" s="20" t="str">
        <f t="shared" si="327"/>
        <v xml:space="preserve"> OPOCKET         </v>
      </c>
      <c r="H7004" s="20" t="str">
        <f t="shared" si="328"/>
        <v xml:space="preserve">LIME </v>
      </c>
      <c r="I7004" s="20">
        <f t="shared" si="329"/>
        <v>0</v>
      </c>
    </row>
    <row r="7005" spans="1:9">
      <c r="A7005" s="17" t="s">
        <v>2311</v>
      </c>
      <c r="B7005" s="17" t="s">
        <v>1057</v>
      </c>
      <c r="C7005" s="17">
        <v>0</v>
      </c>
      <c r="D7005" s="17" t="s">
        <v>801</v>
      </c>
      <c r="E7005" s="18">
        <v>3020761007008</v>
      </c>
      <c r="G7005" s="20" t="str">
        <f t="shared" si="327"/>
        <v xml:space="preserve"> OPOCKET         </v>
      </c>
      <c r="H7005" s="20" t="str">
        <f t="shared" si="328"/>
        <v xml:space="preserve">MAR  </v>
      </c>
      <c r="I7005" s="20">
        <f t="shared" si="329"/>
        <v>0</v>
      </c>
    </row>
    <row r="7006" spans="1:9">
      <c r="A7006" s="17" t="s">
        <v>2311</v>
      </c>
      <c r="B7006" s="17" t="s">
        <v>1105</v>
      </c>
      <c r="C7006" s="17">
        <v>0</v>
      </c>
      <c r="D7006" s="17" t="s">
        <v>801</v>
      </c>
      <c r="E7006" s="18">
        <v>3020760667005</v>
      </c>
      <c r="G7006" s="20" t="str">
        <f t="shared" si="327"/>
        <v xml:space="preserve"> OPOCKET         </v>
      </c>
      <c r="H7006" s="20" t="str">
        <f t="shared" si="328"/>
        <v>MARSA</v>
      </c>
      <c r="I7006" s="20">
        <f t="shared" si="329"/>
        <v>0</v>
      </c>
    </row>
    <row r="7007" spans="1:9">
      <c r="A7007" s="17" t="s">
        <v>2311</v>
      </c>
      <c r="B7007" s="17" t="s">
        <v>1787</v>
      </c>
      <c r="C7007" s="17">
        <v>0</v>
      </c>
      <c r="D7007" s="17" t="s">
        <v>801</v>
      </c>
      <c r="E7007" s="18">
        <v>3020760150002</v>
      </c>
      <c r="G7007" s="20" t="str">
        <f t="shared" si="327"/>
        <v xml:space="preserve"> OPOCKET         </v>
      </c>
      <c r="H7007" s="20" t="str">
        <f t="shared" si="328"/>
        <v xml:space="preserve">MOU  </v>
      </c>
      <c r="I7007" s="20">
        <f t="shared" si="329"/>
        <v>0</v>
      </c>
    </row>
    <row r="7008" spans="1:9">
      <c r="A7008" s="17" t="s">
        <v>2311</v>
      </c>
      <c r="B7008" s="17" t="s">
        <v>1078</v>
      </c>
      <c r="C7008" s="17">
        <v>0</v>
      </c>
      <c r="D7008" s="17" t="s">
        <v>801</v>
      </c>
      <c r="E7008" s="18">
        <v>8050450219561</v>
      </c>
      <c r="G7008" s="20" t="str">
        <f t="shared" si="327"/>
        <v xml:space="preserve"> OPOCKET         </v>
      </c>
      <c r="H7008" s="20" t="str">
        <f t="shared" si="328"/>
        <v xml:space="preserve">NAVY </v>
      </c>
      <c r="I7008" s="20">
        <f t="shared" si="329"/>
        <v>0</v>
      </c>
    </row>
    <row r="7009" spans="1:9">
      <c r="A7009" s="17" t="s">
        <v>2311</v>
      </c>
      <c r="B7009" s="17" t="s">
        <v>1078</v>
      </c>
      <c r="C7009" s="17">
        <v>0</v>
      </c>
      <c r="D7009" s="17" t="s">
        <v>801</v>
      </c>
      <c r="E7009" s="18">
        <v>3003710494005</v>
      </c>
      <c r="G7009" s="20" t="str">
        <f t="shared" si="327"/>
        <v xml:space="preserve"> OPOCKET         </v>
      </c>
      <c r="H7009" s="20" t="str">
        <f t="shared" si="328"/>
        <v xml:space="preserve">NAVY </v>
      </c>
      <c r="I7009" s="20">
        <f t="shared" si="329"/>
        <v>0</v>
      </c>
    </row>
    <row r="7010" spans="1:9">
      <c r="A7010" s="17" t="s">
        <v>2311</v>
      </c>
      <c r="B7010" s="17" t="s">
        <v>1078</v>
      </c>
      <c r="C7010" s="17">
        <v>0</v>
      </c>
      <c r="D7010" s="17" t="s">
        <v>801</v>
      </c>
      <c r="E7010" s="18">
        <v>3020760014007</v>
      </c>
      <c r="G7010" s="20" t="str">
        <f t="shared" si="327"/>
        <v xml:space="preserve"> OPOCKET         </v>
      </c>
      <c r="H7010" s="20" t="str">
        <f t="shared" si="328"/>
        <v xml:space="preserve">NAVY </v>
      </c>
      <c r="I7010" s="20">
        <f t="shared" si="329"/>
        <v>0</v>
      </c>
    </row>
    <row r="7011" spans="1:9">
      <c r="A7011" s="17" t="s">
        <v>2311</v>
      </c>
      <c r="B7011" s="17" t="s">
        <v>1233</v>
      </c>
      <c r="C7011" s="17">
        <v>0</v>
      </c>
      <c r="D7011" s="17" t="s">
        <v>801</v>
      </c>
      <c r="E7011" s="18">
        <v>3020760601009</v>
      </c>
      <c r="G7011" s="20" t="str">
        <f t="shared" si="327"/>
        <v xml:space="preserve"> OPOCKET         </v>
      </c>
      <c r="H7011" s="20" t="str">
        <f t="shared" si="328"/>
        <v>OCEAN</v>
      </c>
      <c r="I7011" s="20">
        <f t="shared" si="329"/>
        <v>0</v>
      </c>
    </row>
    <row r="7012" spans="1:9">
      <c r="A7012" s="17" t="s">
        <v>2311</v>
      </c>
      <c r="B7012" s="17" t="s">
        <v>1233</v>
      </c>
      <c r="C7012" s="17">
        <v>0</v>
      </c>
      <c r="D7012" s="17" t="s">
        <v>801</v>
      </c>
      <c r="E7012" s="18">
        <v>3020760000000</v>
      </c>
      <c r="G7012" s="20" t="str">
        <f t="shared" si="327"/>
        <v xml:space="preserve"> OPOCKET         </v>
      </c>
      <c r="H7012" s="20" t="str">
        <f t="shared" si="328"/>
        <v>OCEAN</v>
      </c>
      <c r="I7012" s="20">
        <f t="shared" si="329"/>
        <v>0</v>
      </c>
    </row>
    <row r="7013" spans="1:9">
      <c r="A7013" s="17" t="s">
        <v>2311</v>
      </c>
      <c r="B7013" s="17" t="s">
        <v>964</v>
      </c>
      <c r="C7013" s="17">
        <v>0</v>
      </c>
      <c r="D7013" s="17" t="s">
        <v>801</v>
      </c>
      <c r="E7013" s="18">
        <v>3003330009009</v>
      </c>
      <c r="G7013" s="20" t="str">
        <f t="shared" si="327"/>
        <v xml:space="preserve"> OPOCKET         </v>
      </c>
      <c r="H7013" s="20" t="str">
        <f t="shared" si="328"/>
        <v>ORANG</v>
      </c>
      <c r="I7013" s="20">
        <f t="shared" si="329"/>
        <v>0</v>
      </c>
    </row>
    <row r="7014" spans="1:9">
      <c r="A7014" s="17" t="s">
        <v>2311</v>
      </c>
      <c r="B7014" s="17" t="s">
        <v>1235</v>
      </c>
      <c r="C7014" s="17">
        <v>0</v>
      </c>
      <c r="D7014" s="17" t="s">
        <v>801</v>
      </c>
      <c r="E7014" s="18">
        <v>3003710559001</v>
      </c>
      <c r="G7014" s="20" t="str">
        <f t="shared" si="327"/>
        <v xml:space="preserve"> OPOCKET         </v>
      </c>
      <c r="H7014" s="20" t="str">
        <f t="shared" si="328"/>
        <v>PAPAY</v>
      </c>
      <c r="I7014" s="20">
        <f t="shared" si="329"/>
        <v>0</v>
      </c>
    </row>
    <row r="7015" spans="1:9">
      <c r="A7015" s="17" t="s">
        <v>2311</v>
      </c>
      <c r="B7015" s="17" t="s">
        <v>912</v>
      </c>
      <c r="C7015" s="17">
        <v>0</v>
      </c>
      <c r="D7015" s="17" t="s">
        <v>801</v>
      </c>
      <c r="E7015" s="18">
        <v>3020761008005</v>
      </c>
      <c r="G7015" s="20" t="str">
        <f t="shared" si="327"/>
        <v xml:space="preserve"> OPOCKET         </v>
      </c>
      <c r="H7015" s="20" t="str">
        <f t="shared" si="328"/>
        <v>PETRO</v>
      </c>
      <c r="I7015" s="20">
        <f t="shared" si="329"/>
        <v>0</v>
      </c>
    </row>
    <row r="7016" spans="1:9">
      <c r="A7016" s="17" t="s">
        <v>2311</v>
      </c>
      <c r="B7016" s="17" t="s">
        <v>283</v>
      </c>
      <c r="C7016" s="17">
        <v>0</v>
      </c>
      <c r="D7016" s="17" t="s">
        <v>801</v>
      </c>
      <c r="E7016" s="18">
        <v>8056095069257</v>
      </c>
      <c r="G7016" s="20" t="str">
        <f t="shared" si="327"/>
        <v xml:space="preserve"> OPOCKET         </v>
      </c>
      <c r="H7016" s="20" t="str">
        <f t="shared" si="328"/>
        <v>PHARD</v>
      </c>
      <c r="I7016" s="20">
        <f t="shared" si="329"/>
        <v>0</v>
      </c>
    </row>
    <row r="7017" spans="1:9">
      <c r="A7017" s="17" t="s">
        <v>2311</v>
      </c>
      <c r="B7017" s="17" t="s">
        <v>283</v>
      </c>
      <c r="C7017" s="17">
        <v>0</v>
      </c>
      <c r="D7017" s="17" t="s">
        <v>801</v>
      </c>
      <c r="E7017" s="18">
        <v>3003710871004</v>
      </c>
      <c r="G7017" s="20" t="str">
        <f t="shared" si="327"/>
        <v xml:space="preserve"> OPOCKET         </v>
      </c>
      <c r="H7017" s="20" t="str">
        <f t="shared" si="328"/>
        <v>PHARD</v>
      </c>
      <c r="I7017" s="20">
        <f t="shared" si="329"/>
        <v>0</v>
      </c>
    </row>
    <row r="7018" spans="1:9">
      <c r="A7018" s="17" t="s">
        <v>2311</v>
      </c>
      <c r="B7018" s="17" t="s">
        <v>1438</v>
      </c>
      <c r="C7018" s="17">
        <v>0</v>
      </c>
      <c r="D7018" s="17" t="s">
        <v>801</v>
      </c>
      <c r="E7018" s="18">
        <v>3003710692005</v>
      </c>
      <c r="G7018" s="20" t="str">
        <f t="shared" si="327"/>
        <v xml:space="preserve"> OPOCKET         </v>
      </c>
      <c r="H7018" s="20" t="str">
        <f t="shared" si="328"/>
        <v>POLVE</v>
      </c>
      <c r="I7018" s="20">
        <f t="shared" si="329"/>
        <v>0</v>
      </c>
    </row>
    <row r="7019" spans="1:9">
      <c r="A7019" s="17" t="s">
        <v>2311</v>
      </c>
      <c r="B7019" s="17" t="s">
        <v>1438</v>
      </c>
      <c r="C7019" s="17">
        <v>0</v>
      </c>
      <c r="D7019" s="17" t="s">
        <v>801</v>
      </c>
      <c r="E7019" s="18">
        <v>8058333587967</v>
      </c>
      <c r="G7019" s="20" t="str">
        <f t="shared" si="327"/>
        <v xml:space="preserve"> OPOCKET         </v>
      </c>
      <c r="H7019" s="20" t="str">
        <f t="shared" si="328"/>
        <v>POLVE</v>
      </c>
      <c r="I7019" s="20">
        <f t="shared" si="329"/>
        <v>0</v>
      </c>
    </row>
    <row r="7020" spans="1:9">
      <c r="A7020" s="17" t="s">
        <v>2311</v>
      </c>
      <c r="B7020" s="17" t="s">
        <v>1236</v>
      </c>
      <c r="C7020" s="17">
        <v>0</v>
      </c>
      <c r="D7020" s="17" t="s">
        <v>801</v>
      </c>
      <c r="E7020" s="18">
        <v>3020760609005</v>
      </c>
      <c r="G7020" s="20" t="str">
        <f t="shared" si="327"/>
        <v xml:space="preserve"> OPOCKET         </v>
      </c>
      <c r="H7020" s="20" t="str">
        <f t="shared" si="328"/>
        <v xml:space="preserve">POW  </v>
      </c>
      <c r="I7020" s="20">
        <f t="shared" si="329"/>
        <v>0</v>
      </c>
    </row>
    <row r="7021" spans="1:9">
      <c r="A7021" s="17" t="s">
        <v>2311</v>
      </c>
      <c r="B7021" s="17" t="s">
        <v>816</v>
      </c>
      <c r="C7021" s="17">
        <v>0</v>
      </c>
      <c r="D7021" s="17" t="s">
        <v>801</v>
      </c>
      <c r="E7021" s="18">
        <v>3003330010005</v>
      </c>
      <c r="G7021" s="20" t="str">
        <f t="shared" si="327"/>
        <v xml:space="preserve"> OPOCKET         </v>
      </c>
      <c r="H7021" s="20" t="str">
        <f t="shared" si="328"/>
        <v xml:space="preserve">RED  </v>
      </c>
      <c r="I7021" s="20">
        <f t="shared" si="329"/>
        <v>0</v>
      </c>
    </row>
    <row r="7022" spans="1:9">
      <c r="A7022" s="17" t="s">
        <v>2311</v>
      </c>
      <c r="B7022" s="17" t="s">
        <v>1237</v>
      </c>
      <c r="C7022" s="17">
        <v>0</v>
      </c>
      <c r="D7022" s="17" t="s">
        <v>801</v>
      </c>
      <c r="E7022" s="18">
        <v>3003330027003</v>
      </c>
      <c r="G7022" s="20" t="str">
        <f t="shared" si="327"/>
        <v xml:space="preserve"> OPOCKET         </v>
      </c>
      <c r="H7022" s="20" t="str">
        <f t="shared" si="328"/>
        <v xml:space="preserve">ROCK </v>
      </c>
      <c r="I7022" s="20">
        <f t="shared" si="329"/>
        <v>0</v>
      </c>
    </row>
    <row r="7023" spans="1:9">
      <c r="A7023" s="17" t="s">
        <v>2311</v>
      </c>
      <c r="B7023" s="17" t="s">
        <v>1237</v>
      </c>
      <c r="C7023" s="17">
        <v>0</v>
      </c>
      <c r="D7023" s="17" t="s">
        <v>801</v>
      </c>
      <c r="E7023" s="18">
        <v>8050450213842</v>
      </c>
      <c r="G7023" s="20" t="str">
        <f t="shared" si="327"/>
        <v xml:space="preserve"> OPOCKET         </v>
      </c>
      <c r="H7023" s="20" t="str">
        <f t="shared" si="328"/>
        <v xml:space="preserve">ROCK </v>
      </c>
      <c r="I7023" s="20">
        <f t="shared" si="329"/>
        <v>0</v>
      </c>
    </row>
    <row r="7024" spans="1:9">
      <c r="A7024" s="17" t="s">
        <v>2311</v>
      </c>
      <c r="B7024" s="17" t="s">
        <v>1238</v>
      </c>
      <c r="C7024" s="17">
        <v>0</v>
      </c>
      <c r="D7024" s="17" t="s">
        <v>801</v>
      </c>
      <c r="E7024" s="18">
        <v>8050450219578</v>
      </c>
      <c r="G7024" s="20" t="str">
        <f t="shared" si="327"/>
        <v xml:space="preserve"> OPOCKET         </v>
      </c>
      <c r="H7024" s="20" t="str">
        <f t="shared" si="328"/>
        <v>ROSMO</v>
      </c>
      <c r="I7024" s="20">
        <f t="shared" si="329"/>
        <v>0</v>
      </c>
    </row>
    <row r="7025" spans="1:9">
      <c r="A7025" s="17" t="s">
        <v>2311</v>
      </c>
      <c r="B7025" s="17" t="s">
        <v>1238</v>
      </c>
      <c r="C7025" s="17">
        <v>0</v>
      </c>
      <c r="D7025" s="17" t="s">
        <v>801</v>
      </c>
      <c r="E7025" s="18">
        <v>3020760215008</v>
      </c>
      <c r="G7025" s="20" t="str">
        <f t="shared" si="327"/>
        <v xml:space="preserve"> OPOCKET         </v>
      </c>
      <c r="H7025" s="20" t="str">
        <f t="shared" si="328"/>
        <v>ROSMO</v>
      </c>
      <c r="I7025" s="20">
        <f t="shared" si="329"/>
        <v>0</v>
      </c>
    </row>
    <row r="7026" spans="1:9">
      <c r="A7026" s="17" t="s">
        <v>2311</v>
      </c>
      <c r="B7026" s="17" t="s">
        <v>1439</v>
      </c>
      <c r="C7026" s="17">
        <v>0</v>
      </c>
      <c r="D7026" s="17" t="s">
        <v>801</v>
      </c>
      <c r="E7026" s="18">
        <v>3003330084006</v>
      </c>
      <c r="G7026" s="20" t="str">
        <f t="shared" si="327"/>
        <v xml:space="preserve"> OPOCKET         </v>
      </c>
      <c r="H7026" s="20" t="str">
        <f t="shared" si="328"/>
        <v xml:space="preserve">RUBY </v>
      </c>
      <c r="I7026" s="20">
        <f t="shared" si="329"/>
        <v>0</v>
      </c>
    </row>
    <row r="7027" spans="1:9">
      <c r="A7027" s="17" t="s">
        <v>2311</v>
      </c>
      <c r="B7027" s="17" t="s">
        <v>1239</v>
      </c>
      <c r="C7027" s="17">
        <v>0</v>
      </c>
      <c r="D7027" s="17" t="s">
        <v>801</v>
      </c>
      <c r="E7027" s="18">
        <v>3020760337007</v>
      </c>
      <c r="G7027" s="20" t="str">
        <f t="shared" si="327"/>
        <v xml:space="preserve"> OPOCKET         </v>
      </c>
      <c r="H7027" s="20" t="str">
        <f t="shared" si="328"/>
        <v xml:space="preserve">SAND </v>
      </c>
      <c r="I7027" s="20">
        <f t="shared" si="329"/>
        <v>0</v>
      </c>
    </row>
    <row r="7028" spans="1:9">
      <c r="A7028" s="17" t="s">
        <v>2311</v>
      </c>
      <c r="B7028" s="17" t="s">
        <v>1239</v>
      </c>
      <c r="C7028" s="17">
        <v>0</v>
      </c>
      <c r="D7028" s="17" t="s">
        <v>801</v>
      </c>
      <c r="E7028" s="18">
        <v>8050450215648</v>
      </c>
      <c r="G7028" s="20" t="str">
        <f t="shared" si="327"/>
        <v xml:space="preserve"> OPOCKET         </v>
      </c>
      <c r="H7028" s="20" t="str">
        <f t="shared" si="328"/>
        <v xml:space="preserve">SAND </v>
      </c>
      <c r="I7028" s="20">
        <f t="shared" si="329"/>
        <v>0</v>
      </c>
    </row>
    <row r="7029" spans="1:9">
      <c r="A7029" s="17" t="s">
        <v>2311</v>
      </c>
      <c r="B7029" s="17" t="s">
        <v>1240</v>
      </c>
      <c r="C7029" s="17">
        <v>0</v>
      </c>
      <c r="D7029" s="17" t="s">
        <v>801</v>
      </c>
      <c r="E7029" s="18">
        <v>3020760111003</v>
      </c>
      <c r="G7029" s="20" t="str">
        <f t="shared" si="327"/>
        <v xml:space="preserve"> OPOCKET         </v>
      </c>
      <c r="H7029" s="20" t="str">
        <f t="shared" si="328"/>
        <v xml:space="preserve">SAU  </v>
      </c>
      <c r="I7029" s="20">
        <f t="shared" si="329"/>
        <v>0</v>
      </c>
    </row>
    <row r="7030" spans="1:9">
      <c r="A7030" s="17" t="s">
        <v>2311</v>
      </c>
      <c r="B7030" s="17" t="s">
        <v>1241</v>
      </c>
      <c r="C7030" s="17">
        <v>0</v>
      </c>
      <c r="D7030" s="17" t="s">
        <v>801</v>
      </c>
      <c r="E7030" s="18">
        <v>3020760616003</v>
      </c>
      <c r="G7030" s="20" t="str">
        <f t="shared" si="327"/>
        <v xml:space="preserve"> OPOCKET         </v>
      </c>
      <c r="H7030" s="20" t="str">
        <f t="shared" si="328"/>
        <v>SBLUE</v>
      </c>
      <c r="I7030" s="20">
        <f t="shared" si="329"/>
        <v>0</v>
      </c>
    </row>
    <row r="7031" spans="1:9">
      <c r="A7031" s="17" t="s">
        <v>2311</v>
      </c>
      <c r="B7031" s="17" t="s">
        <v>872</v>
      </c>
      <c r="C7031" s="17">
        <v>0</v>
      </c>
      <c r="D7031" s="17" t="s">
        <v>801</v>
      </c>
      <c r="E7031" s="18">
        <v>3020760618007</v>
      </c>
      <c r="G7031" s="20" t="str">
        <f t="shared" si="327"/>
        <v xml:space="preserve"> OPOCKET         </v>
      </c>
      <c r="H7031" s="20" t="str">
        <f t="shared" si="328"/>
        <v xml:space="preserve">SKB  </v>
      </c>
      <c r="I7031" s="20">
        <f t="shared" si="329"/>
        <v>0</v>
      </c>
    </row>
    <row r="7032" spans="1:9">
      <c r="A7032" s="17" t="s">
        <v>2311</v>
      </c>
      <c r="B7032" s="17" t="s">
        <v>1079</v>
      </c>
      <c r="C7032" s="17">
        <v>0</v>
      </c>
      <c r="D7032" s="17" t="s">
        <v>801</v>
      </c>
      <c r="E7032" s="18">
        <v>8056300459897</v>
      </c>
      <c r="G7032" s="20" t="str">
        <f t="shared" si="327"/>
        <v xml:space="preserve"> OPOCKET         </v>
      </c>
      <c r="H7032" s="20" t="str">
        <f t="shared" si="328"/>
        <v xml:space="preserve">SLVG </v>
      </c>
      <c r="I7032" s="20">
        <f t="shared" si="329"/>
        <v>0</v>
      </c>
    </row>
    <row r="7033" spans="1:9">
      <c r="A7033" s="17" t="s">
        <v>2311</v>
      </c>
      <c r="B7033" s="17" t="s">
        <v>1079</v>
      </c>
      <c r="C7033" s="17">
        <v>0</v>
      </c>
      <c r="D7033" s="17" t="s">
        <v>801</v>
      </c>
      <c r="E7033" s="18">
        <v>3003710410005</v>
      </c>
      <c r="G7033" s="20" t="str">
        <f t="shared" si="327"/>
        <v xml:space="preserve"> OPOCKET         </v>
      </c>
      <c r="H7033" s="20" t="str">
        <f t="shared" si="328"/>
        <v xml:space="preserve">SLVG </v>
      </c>
      <c r="I7033" s="20">
        <f t="shared" si="329"/>
        <v>0</v>
      </c>
    </row>
    <row r="7034" spans="1:9">
      <c r="A7034" s="17" t="s">
        <v>2311</v>
      </c>
      <c r="B7034" s="17" t="s">
        <v>2021</v>
      </c>
      <c r="C7034" s="17">
        <v>0</v>
      </c>
      <c r="D7034" s="17" t="s">
        <v>801</v>
      </c>
      <c r="E7034" s="18">
        <v>3003330085003</v>
      </c>
      <c r="G7034" s="20" t="str">
        <f t="shared" si="327"/>
        <v xml:space="preserve"> OPOCKET         </v>
      </c>
      <c r="H7034" s="20" t="str">
        <f t="shared" si="328"/>
        <v>STEEL</v>
      </c>
      <c r="I7034" s="20">
        <f t="shared" si="329"/>
        <v>0</v>
      </c>
    </row>
    <row r="7035" spans="1:9">
      <c r="A7035" s="17" t="s">
        <v>2311</v>
      </c>
      <c r="B7035" s="17" t="s">
        <v>919</v>
      </c>
      <c r="C7035" s="17">
        <v>0</v>
      </c>
      <c r="D7035" s="17" t="s">
        <v>801</v>
      </c>
      <c r="E7035" s="18">
        <v>3003710690001</v>
      </c>
      <c r="G7035" s="20" t="str">
        <f t="shared" si="327"/>
        <v xml:space="preserve"> OPOCKET         </v>
      </c>
      <c r="H7035" s="20" t="str">
        <f t="shared" si="328"/>
        <v>TESTA</v>
      </c>
      <c r="I7035" s="20">
        <f t="shared" si="329"/>
        <v>0</v>
      </c>
    </row>
    <row r="7036" spans="1:9">
      <c r="A7036" s="17" t="s">
        <v>2311</v>
      </c>
      <c r="B7036" s="17" t="s">
        <v>919</v>
      </c>
      <c r="C7036" s="17">
        <v>80589</v>
      </c>
      <c r="D7036" s="17" t="s">
        <v>801</v>
      </c>
      <c r="E7036" s="18">
        <v>8058983596340</v>
      </c>
      <c r="G7036" s="20" t="str">
        <f t="shared" si="327"/>
        <v xml:space="preserve"> OPOCKET         </v>
      </c>
      <c r="H7036" s="20" t="str">
        <f t="shared" si="328"/>
        <v>TESTA</v>
      </c>
      <c r="I7036" s="20">
        <f t="shared" si="329"/>
        <v>80589</v>
      </c>
    </row>
    <row r="7037" spans="1:9">
      <c r="A7037" s="17" t="s">
        <v>2311</v>
      </c>
      <c r="B7037" s="17" t="s">
        <v>1013</v>
      </c>
      <c r="C7037" s="17">
        <v>0</v>
      </c>
      <c r="D7037" s="17" t="s">
        <v>801</v>
      </c>
      <c r="E7037" s="18">
        <v>3003330026006</v>
      </c>
      <c r="G7037" s="20" t="str">
        <f t="shared" si="327"/>
        <v xml:space="preserve"> OPOCKET         </v>
      </c>
      <c r="H7037" s="20" t="str">
        <f t="shared" si="328"/>
        <v xml:space="preserve">TURQ </v>
      </c>
      <c r="I7037" s="20">
        <f t="shared" si="329"/>
        <v>0</v>
      </c>
    </row>
    <row r="7038" spans="1:9">
      <c r="A7038" s="17" t="s">
        <v>2311</v>
      </c>
      <c r="B7038" s="17" t="s">
        <v>1664</v>
      </c>
      <c r="C7038" s="17">
        <v>0</v>
      </c>
      <c r="D7038" s="17" t="s">
        <v>801</v>
      </c>
      <c r="E7038" s="18">
        <v>8056095069271</v>
      </c>
      <c r="G7038" s="20" t="str">
        <f t="shared" si="327"/>
        <v xml:space="preserve"> OPOCKET         </v>
      </c>
      <c r="H7038" s="20" t="str">
        <f t="shared" si="328"/>
        <v>VERAN</v>
      </c>
      <c r="I7038" s="20">
        <f t="shared" si="329"/>
        <v>0</v>
      </c>
    </row>
    <row r="7039" spans="1:9">
      <c r="A7039" s="17" t="s">
        <v>2311</v>
      </c>
      <c r="B7039" s="17" t="s">
        <v>1664</v>
      </c>
      <c r="C7039" s="17">
        <v>0</v>
      </c>
      <c r="D7039" s="17" t="s">
        <v>801</v>
      </c>
      <c r="E7039" s="18">
        <v>3003711079003</v>
      </c>
      <c r="G7039" s="20" t="str">
        <f t="shared" si="327"/>
        <v xml:space="preserve"> OPOCKET         </v>
      </c>
      <c r="H7039" s="20" t="str">
        <f t="shared" si="328"/>
        <v>VERAN</v>
      </c>
      <c r="I7039" s="20">
        <f t="shared" si="329"/>
        <v>0</v>
      </c>
    </row>
    <row r="7040" spans="1:9">
      <c r="A7040" s="17" t="s">
        <v>2311</v>
      </c>
      <c r="B7040" s="17" t="s">
        <v>867</v>
      </c>
      <c r="C7040" s="17">
        <v>0</v>
      </c>
      <c r="D7040" s="17" t="s">
        <v>801</v>
      </c>
      <c r="E7040" s="18">
        <v>8056095069288</v>
      </c>
      <c r="G7040" s="20" t="str">
        <f t="shared" si="327"/>
        <v xml:space="preserve"> OPOCKET         </v>
      </c>
      <c r="H7040" s="20" t="str">
        <f t="shared" si="328"/>
        <v>VERTF</v>
      </c>
      <c r="I7040" s="20">
        <f t="shared" si="329"/>
        <v>0</v>
      </c>
    </row>
    <row r="7041" spans="1:9">
      <c r="A7041" s="17" t="s">
        <v>2311</v>
      </c>
      <c r="B7041" s="17" t="s">
        <v>867</v>
      </c>
      <c r="C7041" s="17">
        <v>0</v>
      </c>
      <c r="D7041" s="17" t="s">
        <v>801</v>
      </c>
      <c r="E7041" s="18">
        <v>3003711032008</v>
      </c>
      <c r="G7041" s="20" t="str">
        <f t="shared" si="327"/>
        <v xml:space="preserve"> OPOCKET         </v>
      </c>
      <c r="H7041" s="20" t="str">
        <f t="shared" si="328"/>
        <v>VERTF</v>
      </c>
      <c r="I7041" s="20">
        <f t="shared" si="329"/>
        <v>0</v>
      </c>
    </row>
    <row r="7042" spans="1:9">
      <c r="A7042" s="17" t="s">
        <v>2311</v>
      </c>
      <c r="B7042" s="17" t="s">
        <v>1442</v>
      </c>
      <c r="C7042" s="17">
        <v>0</v>
      </c>
      <c r="D7042" s="17" t="s">
        <v>801</v>
      </c>
      <c r="E7042" s="18">
        <v>3020760225007</v>
      </c>
      <c r="G7042" s="20" t="str">
        <f t="shared" si="327"/>
        <v xml:space="preserve"> OPOCKET         </v>
      </c>
      <c r="H7042" s="20" t="str">
        <f t="shared" si="328"/>
        <v>VIODE</v>
      </c>
      <c r="I7042" s="20">
        <f t="shared" si="329"/>
        <v>0</v>
      </c>
    </row>
    <row r="7043" spans="1:9">
      <c r="A7043" s="17" t="s">
        <v>2311</v>
      </c>
      <c r="B7043" s="17" t="s">
        <v>927</v>
      </c>
      <c r="C7043" s="17">
        <v>0</v>
      </c>
      <c r="D7043" s="17" t="s">
        <v>801</v>
      </c>
      <c r="E7043" s="18">
        <v>3020760952002</v>
      </c>
      <c r="G7043" s="20" t="str">
        <f t="shared" si="327"/>
        <v xml:space="preserve"> OPOCKET         </v>
      </c>
      <c r="H7043" s="20" t="str">
        <f t="shared" si="328"/>
        <v xml:space="preserve">VOLC </v>
      </c>
      <c r="I7043" s="20">
        <f t="shared" si="329"/>
        <v>0</v>
      </c>
    </row>
    <row r="7044" spans="1:9">
      <c r="A7044" s="17" t="s">
        <v>2311</v>
      </c>
      <c r="B7044" s="17" t="s">
        <v>928</v>
      </c>
      <c r="C7044" s="17">
        <v>0</v>
      </c>
      <c r="D7044" s="17" t="s">
        <v>801</v>
      </c>
      <c r="E7044" s="18">
        <v>3003330025009</v>
      </c>
      <c r="G7044" s="20" t="str">
        <f t="shared" si="327"/>
        <v xml:space="preserve"> OPOCKET         </v>
      </c>
      <c r="H7044" s="20" t="str">
        <f t="shared" si="328"/>
        <v>WBLUE</v>
      </c>
      <c r="I7044" s="20">
        <f t="shared" si="329"/>
        <v>0</v>
      </c>
    </row>
    <row r="7045" spans="1:9">
      <c r="A7045" s="17" t="s">
        <v>2311</v>
      </c>
      <c r="B7045" s="17" t="s">
        <v>273</v>
      </c>
      <c r="C7045" s="17">
        <v>0</v>
      </c>
      <c r="D7045" s="17" t="s">
        <v>801</v>
      </c>
      <c r="E7045" s="18">
        <v>3003330004004</v>
      </c>
      <c r="G7045" s="20" t="str">
        <f t="shared" ref="G7045:G7108" si="330">A7045</f>
        <v xml:space="preserve"> OPOCKET         </v>
      </c>
      <c r="H7045" s="20" t="str">
        <f t="shared" ref="H7045:H7108" si="331">B7045</f>
        <v>WHITE</v>
      </c>
      <c r="I7045" s="20">
        <f t="shared" ref="I7045:I7108" si="332">C7045</f>
        <v>0</v>
      </c>
    </row>
    <row r="7046" spans="1:9">
      <c r="A7046" s="17" t="s">
        <v>2311</v>
      </c>
      <c r="B7046" s="17" t="s">
        <v>2025</v>
      </c>
      <c r="C7046" s="17">
        <v>0</v>
      </c>
      <c r="D7046" s="17" t="s">
        <v>801</v>
      </c>
      <c r="E7046" s="18">
        <v>3003330086000</v>
      </c>
      <c r="G7046" s="20" t="str">
        <f t="shared" si="330"/>
        <v xml:space="preserve"> OPOCKET         </v>
      </c>
      <c r="H7046" s="20" t="str">
        <f t="shared" si="331"/>
        <v>YELCH</v>
      </c>
      <c r="I7046" s="20">
        <f t="shared" si="332"/>
        <v>0</v>
      </c>
    </row>
    <row r="7047" spans="1:9">
      <c r="A7047" s="17" t="s">
        <v>2311</v>
      </c>
      <c r="B7047" s="17" t="s">
        <v>825</v>
      </c>
      <c r="C7047" s="17">
        <v>0</v>
      </c>
      <c r="D7047" s="17" t="s">
        <v>801</v>
      </c>
      <c r="E7047" s="18">
        <v>3003330011002</v>
      </c>
      <c r="G7047" s="20" t="str">
        <f t="shared" si="330"/>
        <v xml:space="preserve"> OPOCKET         </v>
      </c>
      <c r="H7047" s="20" t="str">
        <f t="shared" si="331"/>
        <v xml:space="preserve">YELL </v>
      </c>
      <c r="I7047" s="20">
        <f t="shared" si="332"/>
        <v>0</v>
      </c>
    </row>
    <row r="7048" spans="1:9">
      <c r="A7048" s="17" t="s">
        <v>2312</v>
      </c>
      <c r="B7048" s="17" t="s">
        <v>280</v>
      </c>
      <c r="C7048" s="17">
        <v>0</v>
      </c>
      <c r="D7048" s="17" t="s">
        <v>801</v>
      </c>
      <c r="E7048" s="18">
        <v>3005860276005</v>
      </c>
      <c r="G7048" s="20" t="str">
        <f t="shared" si="330"/>
        <v xml:space="preserve"> OSHIFTBRACELET  </v>
      </c>
      <c r="H7048" s="20" t="str">
        <f t="shared" si="331"/>
        <v>BLACK</v>
      </c>
      <c r="I7048" s="20">
        <f t="shared" si="332"/>
        <v>0</v>
      </c>
    </row>
    <row r="7049" spans="1:9">
      <c r="A7049" s="17" t="s">
        <v>2312</v>
      </c>
      <c r="B7049" s="17" t="s">
        <v>280</v>
      </c>
      <c r="C7049" s="17">
        <v>0</v>
      </c>
      <c r="D7049" s="17" t="s">
        <v>801</v>
      </c>
      <c r="E7049" s="18">
        <v>8050846008212</v>
      </c>
      <c r="G7049" s="20" t="str">
        <f t="shared" si="330"/>
        <v xml:space="preserve"> OSHIFTBRACELET  </v>
      </c>
      <c r="H7049" s="20" t="str">
        <f t="shared" si="331"/>
        <v>BLACK</v>
      </c>
      <c r="I7049" s="20">
        <f t="shared" si="332"/>
        <v>0</v>
      </c>
    </row>
    <row r="7050" spans="1:9">
      <c r="A7050" s="17" t="s">
        <v>2312</v>
      </c>
      <c r="B7050" s="17" t="s">
        <v>1233</v>
      </c>
      <c r="C7050" s="17">
        <v>0</v>
      </c>
      <c r="D7050" s="17" t="s">
        <v>801</v>
      </c>
      <c r="E7050" s="18">
        <v>3005860374008</v>
      </c>
      <c r="G7050" s="20" t="str">
        <f t="shared" si="330"/>
        <v xml:space="preserve"> OSHIFTBRACELET  </v>
      </c>
      <c r="H7050" s="20" t="str">
        <f t="shared" si="331"/>
        <v>OCEAN</v>
      </c>
      <c r="I7050" s="20">
        <f t="shared" si="332"/>
        <v>0</v>
      </c>
    </row>
    <row r="7051" spans="1:9">
      <c r="A7051" s="17" t="s">
        <v>2312</v>
      </c>
      <c r="B7051" s="17" t="s">
        <v>1233</v>
      </c>
      <c r="C7051" s="17">
        <v>0</v>
      </c>
      <c r="D7051" s="17" t="s">
        <v>801</v>
      </c>
      <c r="E7051" s="18">
        <v>8050846008250</v>
      </c>
      <c r="G7051" s="20" t="str">
        <f t="shared" si="330"/>
        <v xml:space="preserve"> OSHIFTBRACELET  </v>
      </c>
      <c r="H7051" s="20" t="str">
        <f t="shared" si="331"/>
        <v>OCEAN</v>
      </c>
      <c r="I7051" s="20">
        <f t="shared" si="332"/>
        <v>0</v>
      </c>
    </row>
    <row r="7052" spans="1:9">
      <c r="A7052" s="17" t="s">
        <v>2312</v>
      </c>
      <c r="B7052" s="17" t="s">
        <v>1234</v>
      </c>
      <c r="C7052" s="17">
        <v>0</v>
      </c>
      <c r="D7052" s="17" t="s">
        <v>801</v>
      </c>
      <c r="E7052" s="18">
        <v>3005860375005</v>
      </c>
      <c r="G7052" s="20" t="str">
        <f t="shared" si="330"/>
        <v xml:space="preserve"> OSHIFTBRACELET  </v>
      </c>
      <c r="H7052" s="20" t="str">
        <f t="shared" si="331"/>
        <v>OLIVE</v>
      </c>
      <c r="I7052" s="20">
        <f t="shared" si="332"/>
        <v>0</v>
      </c>
    </row>
    <row r="7053" spans="1:9">
      <c r="A7053" s="17" t="s">
        <v>2312</v>
      </c>
      <c r="B7053" s="17" t="s">
        <v>1234</v>
      </c>
      <c r="C7053" s="17">
        <v>0</v>
      </c>
      <c r="D7053" s="17" t="s">
        <v>801</v>
      </c>
      <c r="E7053" s="18">
        <v>8050846008236</v>
      </c>
      <c r="G7053" s="20" t="str">
        <f t="shared" si="330"/>
        <v xml:space="preserve"> OSHIFTBRACELET  </v>
      </c>
      <c r="H7053" s="20" t="str">
        <f t="shared" si="331"/>
        <v>OLIVE</v>
      </c>
      <c r="I7053" s="20">
        <f t="shared" si="332"/>
        <v>0</v>
      </c>
    </row>
    <row r="7054" spans="1:9">
      <c r="A7054" s="17" t="s">
        <v>2312</v>
      </c>
      <c r="B7054" s="17" t="s">
        <v>971</v>
      </c>
      <c r="C7054" s="17">
        <v>0</v>
      </c>
      <c r="D7054" s="17" t="s">
        <v>801</v>
      </c>
      <c r="E7054" s="18">
        <v>3005860689003</v>
      </c>
      <c r="G7054" s="20" t="str">
        <f t="shared" si="330"/>
        <v xml:space="preserve"> OSHIFTBRACELET  </v>
      </c>
      <c r="H7054" s="20" t="str">
        <f t="shared" si="331"/>
        <v>OTTAN</v>
      </c>
      <c r="I7054" s="20">
        <f t="shared" si="332"/>
        <v>0</v>
      </c>
    </row>
    <row r="7055" spans="1:9">
      <c r="A7055" s="17" t="s">
        <v>2312</v>
      </c>
      <c r="B7055" s="17" t="s">
        <v>971</v>
      </c>
      <c r="C7055" s="17">
        <v>0</v>
      </c>
      <c r="D7055" s="17" t="s">
        <v>801</v>
      </c>
      <c r="E7055" s="18">
        <v>8050846008229</v>
      </c>
      <c r="G7055" s="20" t="str">
        <f t="shared" si="330"/>
        <v xml:space="preserve"> OSHIFTBRACELET  </v>
      </c>
      <c r="H7055" s="20" t="str">
        <f t="shared" si="331"/>
        <v>OTTAN</v>
      </c>
      <c r="I7055" s="20">
        <f t="shared" si="332"/>
        <v>0</v>
      </c>
    </row>
    <row r="7056" spans="1:9">
      <c r="A7056" s="17" t="s">
        <v>2312</v>
      </c>
      <c r="B7056" s="17" t="s">
        <v>816</v>
      </c>
      <c r="C7056" s="17">
        <v>0</v>
      </c>
      <c r="D7056" s="17" t="s">
        <v>801</v>
      </c>
      <c r="E7056" s="18">
        <v>3005860395003</v>
      </c>
      <c r="G7056" s="20" t="str">
        <f t="shared" si="330"/>
        <v xml:space="preserve"> OSHIFTBRACELET  </v>
      </c>
      <c r="H7056" s="20" t="str">
        <f t="shared" si="331"/>
        <v xml:space="preserve">RED  </v>
      </c>
      <c r="I7056" s="20">
        <f t="shared" si="332"/>
        <v>0</v>
      </c>
    </row>
    <row r="7057" spans="1:9">
      <c r="A7057" s="17" t="s">
        <v>2312</v>
      </c>
      <c r="B7057" s="17" t="s">
        <v>816</v>
      </c>
      <c r="C7057" s="17">
        <v>0</v>
      </c>
      <c r="D7057" s="17" t="s">
        <v>801</v>
      </c>
      <c r="E7057" s="18">
        <v>8050846008205</v>
      </c>
      <c r="G7057" s="20" t="str">
        <f t="shared" si="330"/>
        <v xml:space="preserve"> OSHIFTBRACELET  </v>
      </c>
      <c r="H7057" s="20" t="str">
        <f t="shared" si="331"/>
        <v xml:space="preserve">RED  </v>
      </c>
      <c r="I7057" s="20">
        <f t="shared" si="332"/>
        <v>0</v>
      </c>
    </row>
    <row r="7058" spans="1:9">
      <c r="A7058" s="17" t="s">
        <v>2312</v>
      </c>
      <c r="B7058" s="17" t="s">
        <v>1663</v>
      </c>
      <c r="C7058" s="17">
        <v>0</v>
      </c>
      <c r="D7058" s="17" t="s">
        <v>801</v>
      </c>
      <c r="E7058" s="18">
        <v>3005861313006</v>
      </c>
      <c r="G7058" s="20" t="str">
        <f t="shared" si="330"/>
        <v xml:space="preserve"> OSHIFTBRACELET  </v>
      </c>
      <c r="H7058" s="20" t="str">
        <f t="shared" si="331"/>
        <v>SANGR</v>
      </c>
      <c r="I7058" s="20">
        <f t="shared" si="332"/>
        <v>0</v>
      </c>
    </row>
    <row r="7059" spans="1:9">
      <c r="A7059" s="17" t="s">
        <v>2312</v>
      </c>
      <c r="B7059" s="17" t="s">
        <v>1663</v>
      </c>
      <c r="C7059" s="17">
        <v>0</v>
      </c>
      <c r="D7059" s="17" t="s">
        <v>801</v>
      </c>
      <c r="E7059" s="18">
        <v>8050846008267</v>
      </c>
      <c r="G7059" s="20" t="str">
        <f t="shared" si="330"/>
        <v xml:space="preserve"> OSHIFTBRACELET  </v>
      </c>
      <c r="H7059" s="20" t="str">
        <f t="shared" si="331"/>
        <v>SANGR</v>
      </c>
      <c r="I7059" s="20">
        <f t="shared" si="332"/>
        <v>0</v>
      </c>
    </row>
    <row r="7060" spans="1:9">
      <c r="A7060" s="17" t="s">
        <v>2312</v>
      </c>
      <c r="B7060" s="17" t="s">
        <v>273</v>
      </c>
      <c r="C7060" s="17">
        <v>0</v>
      </c>
      <c r="D7060" s="17" t="s">
        <v>801</v>
      </c>
      <c r="E7060" s="18">
        <v>3005860440000</v>
      </c>
      <c r="G7060" s="20" t="str">
        <f t="shared" si="330"/>
        <v xml:space="preserve"> OSHIFTBRACELET  </v>
      </c>
      <c r="H7060" s="20" t="str">
        <f t="shared" si="331"/>
        <v>WHITE</v>
      </c>
      <c r="I7060" s="20">
        <f t="shared" si="332"/>
        <v>0</v>
      </c>
    </row>
    <row r="7061" spans="1:9">
      <c r="A7061" s="17" t="s">
        <v>2312</v>
      </c>
      <c r="B7061" s="17" t="s">
        <v>273</v>
      </c>
      <c r="C7061" s="17">
        <v>0</v>
      </c>
      <c r="D7061" s="17" t="s">
        <v>801</v>
      </c>
      <c r="E7061" s="18">
        <v>8050846008199</v>
      </c>
      <c r="G7061" s="20" t="str">
        <f t="shared" si="330"/>
        <v xml:space="preserve"> OSHIFTBRACELET  </v>
      </c>
      <c r="H7061" s="20" t="str">
        <f t="shared" si="331"/>
        <v>WHITE</v>
      </c>
      <c r="I7061" s="20">
        <f t="shared" si="332"/>
        <v>0</v>
      </c>
    </row>
    <row r="7062" spans="1:9">
      <c r="A7062" s="17" t="s">
        <v>2312</v>
      </c>
      <c r="B7062" s="17" t="s">
        <v>812</v>
      </c>
      <c r="C7062" s="17">
        <v>0</v>
      </c>
      <c r="D7062" s="17" t="s">
        <v>801</v>
      </c>
      <c r="E7062" s="18">
        <v>3005861350001</v>
      </c>
      <c r="G7062" s="20" t="str">
        <f t="shared" si="330"/>
        <v xml:space="preserve"> OSHIFTBRACELET  </v>
      </c>
      <c r="H7062" s="20" t="str">
        <f t="shared" si="331"/>
        <v>YELLO</v>
      </c>
      <c r="I7062" s="20">
        <f t="shared" si="332"/>
        <v>0</v>
      </c>
    </row>
    <row r="7063" spans="1:9">
      <c r="A7063" s="17" t="s">
        <v>2312</v>
      </c>
      <c r="B7063" s="17" t="s">
        <v>812</v>
      </c>
      <c r="C7063" s="17">
        <v>0</v>
      </c>
      <c r="D7063" s="17" t="s">
        <v>801</v>
      </c>
      <c r="E7063" s="18">
        <v>8050846008243</v>
      </c>
      <c r="G7063" s="20" t="str">
        <f t="shared" si="330"/>
        <v xml:space="preserve"> OSHIFTBRACELET  </v>
      </c>
      <c r="H7063" s="20" t="str">
        <f t="shared" si="331"/>
        <v>YELLO</v>
      </c>
      <c r="I7063" s="20">
        <f t="shared" si="332"/>
        <v>0</v>
      </c>
    </row>
    <row r="7064" spans="1:9">
      <c r="A7064" s="17" t="s">
        <v>2313</v>
      </c>
      <c r="B7064" s="17" t="s">
        <v>280</v>
      </c>
      <c r="C7064" s="17">
        <v>0</v>
      </c>
      <c r="D7064" s="17" t="s">
        <v>801</v>
      </c>
      <c r="E7064" s="18">
        <v>3005850276008</v>
      </c>
      <c r="G7064" s="20" t="str">
        <f t="shared" si="330"/>
        <v xml:space="preserve"> OSHIFTCADRAN    </v>
      </c>
      <c r="H7064" s="20" t="str">
        <f t="shared" si="331"/>
        <v>BLACK</v>
      </c>
      <c r="I7064" s="20">
        <f t="shared" si="332"/>
        <v>0</v>
      </c>
    </row>
    <row r="7065" spans="1:9">
      <c r="A7065" s="17" t="s">
        <v>2313</v>
      </c>
      <c r="B7065" s="17" t="s">
        <v>280</v>
      </c>
      <c r="C7065" s="17">
        <v>0</v>
      </c>
      <c r="D7065" s="17" t="s">
        <v>801</v>
      </c>
      <c r="E7065" s="18">
        <v>8050846008137</v>
      </c>
      <c r="G7065" s="20" t="str">
        <f t="shared" si="330"/>
        <v xml:space="preserve"> OSHIFTCADRAN    </v>
      </c>
      <c r="H7065" s="20" t="str">
        <f t="shared" si="331"/>
        <v>BLACK</v>
      </c>
      <c r="I7065" s="20">
        <f t="shared" si="332"/>
        <v>0</v>
      </c>
    </row>
    <row r="7066" spans="1:9">
      <c r="A7066" s="17" t="s">
        <v>2313</v>
      </c>
      <c r="B7066" s="17" t="s">
        <v>1233</v>
      </c>
      <c r="C7066" s="17">
        <v>0</v>
      </c>
      <c r="D7066" s="17" t="s">
        <v>801</v>
      </c>
      <c r="E7066" s="18">
        <v>3005850374001</v>
      </c>
      <c r="G7066" s="20" t="str">
        <f t="shared" si="330"/>
        <v xml:space="preserve"> OSHIFTCADRAN    </v>
      </c>
      <c r="H7066" s="20" t="str">
        <f t="shared" si="331"/>
        <v>OCEAN</v>
      </c>
      <c r="I7066" s="20">
        <f t="shared" si="332"/>
        <v>0</v>
      </c>
    </row>
    <row r="7067" spans="1:9">
      <c r="A7067" s="17" t="s">
        <v>2313</v>
      </c>
      <c r="B7067" s="17" t="s">
        <v>1233</v>
      </c>
      <c r="C7067" s="17">
        <v>0</v>
      </c>
      <c r="D7067" s="17" t="s">
        <v>801</v>
      </c>
      <c r="E7067" s="18">
        <v>8050846008175</v>
      </c>
      <c r="G7067" s="20" t="str">
        <f t="shared" si="330"/>
        <v xml:space="preserve"> OSHIFTCADRAN    </v>
      </c>
      <c r="H7067" s="20" t="str">
        <f t="shared" si="331"/>
        <v>OCEAN</v>
      </c>
      <c r="I7067" s="20">
        <f t="shared" si="332"/>
        <v>0</v>
      </c>
    </row>
    <row r="7068" spans="1:9">
      <c r="A7068" s="17" t="s">
        <v>2313</v>
      </c>
      <c r="B7068" s="17" t="s">
        <v>1234</v>
      </c>
      <c r="C7068" s="17">
        <v>0</v>
      </c>
      <c r="D7068" s="17" t="s">
        <v>801</v>
      </c>
      <c r="E7068" s="18">
        <v>3005850375008</v>
      </c>
      <c r="G7068" s="20" t="str">
        <f t="shared" si="330"/>
        <v xml:space="preserve"> OSHIFTCADRAN    </v>
      </c>
      <c r="H7068" s="20" t="str">
        <f t="shared" si="331"/>
        <v>OLIVE</v>
      </c>
      <c r="I7068" s="20">
        <f t="shared" si="332"/>
        <v>0</v>
      </c>
    </row>
    <row r="7069" spans="1:9">
      <c r="A7069" s="17" t="s">
        <v>2313</v>
      </c>
      <c r="B7069" s="17" t="s">
        <v>1234</v>
      </c>
      <c r="C7069" s="17">
        <v>0</v>
      </c>
      <c r="D7069" s="17" t="s">
        <v>801</v>
      </c>
      <c r="E7069" s="18">
        <v>8050846008151</v>
      </c>
      <c r="G7069" s="20" t="str">
        <f t="shared" si="330"/>
        <v xml:space="preserve"> OSHIFTCADRAN    </v>
      </c>
      <c r="H7069" s="20" t="str">
        <f t="shared" si="331"/>
        <v>OLIVE</v>
      </c>
      <c r="I7069" s="20">
        <f t="shared" si="332"/>
        <v>0</v>
      </c>
    </row>
    <row r="7070" spans="1:9">
      <c r="A7070" s="17" t="s">
        <v>2313</v>
      </c>
      <c r="B7070" s="17" t="s">
        <v>971</v>
      </c>
      <c r="C7070" s="17">
        <v>0</v>
      </c>
      <c r="D7070" s="17" t="s">
        <v>801</v>
      </c>
      <c r="E7070" s="18">
        <v>3005850689006</v>
      </c>
      <c r="G7070" s="20" t="str">
        <f t="shared" si="330"/>
        <v xml:space="preserve"> OSHIFTCADRAN    </v>
      </c>
      <c r="H7070" s="20" t="str">
        <f t="shared" si="331"/>
        <v>OTTAN</v>
      </c>
      <c r="I7070" s="20">
        <f t="shared" si="332"/>
        <v>0</v>
      </c>
    </row>
    <row r="7071" spans="1:9">
      <c r="A7071" s="17" t="s">
        <v>2313</v>
      </c>
      <c r="B7071" s="17" t="s">
        <v>971</v>
      </c>
      <c r="C7071" s="17">
        <v>0</v>
      </c>
      <c r="D7071" s="17" t="s">
        <v>801</v>
      </c>
      <c r="E7071" s="18">
        <v>8050846008144</v>
      </c>
      <c r="G7071" s="20" t="str">
        <f t="shared" si="330"/>
        <v xml:space="preserve"> OSHIFTCADRAN    </v>
      </c>
      <c r="H7071" s="20" t="str">
        <f t="shared" si="331"/>
        <v>OTTAN</v>
      </c>
      <c r="I7071" s="20">
        <f t="shared" si="332"/>
        <v>0</v>
      </c>
    </row>
    <row r="7072" spans="1:9">
      <c r="A7072" s="17" t="s">
        <v>2313</v>
      </c>
      <c r="B7072" s="17" t="s">
        <v>816</v>
      </c>
      <c r="C7072" s="17">
        <v>0</v>
      </c>
      <c r="D7072" s="17" t="s">
        <v>801</v>
      </c>
      <c r="E7072" s="18">
        <v>3005850395006</v>
      </c>
      <c r="G7072" s="20" t="str">
        <f t="shared" si="330"/>
        <v xml:space="preserve"> OSHIFTCADRAN    </v>
      </c>
      <c r="H7072" s="20" t="str">
        <f t="shared" si="331"/>
        <v xml:space="preserve">RED  </v>
      </c>
      <c r="I7072" s="20">
        <f t="shared" si="332"/>
        <v>0</v>
      </c>
    </row>
    <row r="7073" spans="1:9">
      <c r="A7073" s="17" t="s">
        <v>2313</v>
      </c>
      <c r="B7073" s="17" t="s">
        <v>816</v>
      </c>
      <c r="C7073" s="17">
        <v>0</v>
      </c>
      <c r="D7073" s="17" t="s">
        <v>801</v>
      </c>
      <c r="E7073" s="18">
        <v>8050846008120</v>
      </c>
      <c r="G7073" s="20" t="str">
        <f t="shared" si="330"/>
        <v xml:space="preserve"> OSHIFTCADRAN    </v>
      </c>
      <c r="H7073" s="20" t="str">
        <f t="shared" si="331"/>
        <v xml:space="preserve">RED  </v>
      </c>
      <c r="I7073" s="20">
        <f t="shared" si="332"/>
        <v>0</v>
      </c>
    </row>
    <row r="7074" spans="1:9">
      <c r="A7074" s="17" t="s">
        <v>2313</v>
      </c>
      <c r="B7074" s="17" t="s">
        <v>1663</v>
      </c>
      <c r="C7074" s="17">
        <v>0</v>
      </c>
      <c r="D7074" s="17" t="s">
        <v>801</v>
      </c>
      <c r="E7074" s="18">
        <v>3005851313009</v>
      </c>
      <c r="G7074" s="20" t="str">
        <f t="shared" si="330"/>
        <v xml:space="preserve"> OSHIFTCADRAN    </v>
      </c>
      <c r="H7074" s="20" t="str">
        <f t="shared" si="331"/>
        <v>SANGR</v>
      </c>
      <c r="I7074" s="20">
        <f t="shared" si="332"/>
        <v>0</v>
      </c>
    </row>
    <row r="7075" spans="1:9">
      <c r="A7075" s="17" t="s">
        <v>2313</v>
      </c>
      <c r="B7075" s="17" t="s">
        <v>1663</v>
      </c>
      <c r="C7075" s="17">
        <v>0</v>
      </c>
      <c r="D7075" s="17" t="s">
        <v>801</v>
      </c>
      <c r="E7075" s="18">
        <v>8050846008182</v>
      </c>
      <c r="G7075" s="20" t="str">
        <f t="shared" si="330"/>
        <v xml:space="preserve"> OSHIFTCADRAN    </v>
      </c>
      <c r="H7075" s="20" t="str">
        <f t="shared" si="331"/>
        <v>SANGR</v>
      </c>
      <c r="I7075" s="20">
        <f t="shared" si="332"/>
        <v>0</v>
      </c>
    </row>
    <row r="7076" spans="1:9">
      <c r="A7076" s="17" t="s">
        <v>2313</v>
      </c>
      <c r="B7076" s="17" t="s">
        <v>273</v>
      </c>
      <c r="C7076" s="17">
        <v>0</v>
      </c>
      <c r="D7076" s="17" t="s">
        <v>801</v>
      </c>
      <c r="E7076" s="18">
        <v>3005850440003</v>
      </c>
      <c r="G7076" s="20" t="str">
        <f t="shared" si="330"/>
        <v xml:space="preserve"> OSHIFTCADRAN    </v>
      </c>
      <c r="H7076" s="20" t="str">
        <f t="shared" si="331"/>
        <v>WHITE</v>
      </c>
      <c r="I7076" s="20">
        <f t="shared" si="332"/>
        <v>0</v>
      </c>
    </row>
    <row r="7077" spans="1:9">
      <c r="A7077" s="17" t="s">
        <v>2313</v>
      </c>
      <c r="B7077" s="17" t="s">
        <v>273</v>
      </c>
      <c r="C7077" s="17">
        <v>0</v>
      </c>
      <c r="D7077" s="17" t="s">
        <v>801</v>
      </c>
      <c r="E7077" s="18">
        <v>8050846008113</v>
      </c>
      <c r="G7077" s="20" t="str">
        <f t="shared" si="330"/>
        <v xml:space="preserve"> OSHIFTCADRAN    </v>
      </c>
      <c r="H7077" s="20" t="str">
        <f t="shared" si="331"/>
        <v>WHITE</v>
      </c>
      <c r="I7077" s="20">
        <f t="shared" si="332"/>
        <v>0</v>
      </c>
    </row>
    <row r="7078" spans="1:9">
      <c r="A7078" s="17" t="s">
        <v>2313</v>
      </c>
      <c r="B7078" s="17" t="s">
        <v>812</v>
      </c>
      <c r="C7078" s="17">
        <v>0</v>
      </c>
      <c r="D7078" s="17" t="s">
        <v>801</v>
      </c>
      <c r="E7078" s="18">
        <v>3005851350004</v>
      </c>
      <c r="G7078" s="20" t="str">
        <f t="shared" si="330"/>
        <v xml:space="preserve"> OSHIFTCADRAN    </v>
      </c>
      <c r="H7078" s="20" t="str">
        <f t="shared" si="331"/>
        <v>YELLO</v>
      </c>
      <c r="I7078" s="20">
        <f t="shared" si="332"/>
        <v>0</v>
      </c>
    </row>
    <row r="7079" spans="1:9">
      <c r="A7079" s="17" t="s">
        <v>2313</v>
      </c>
      <c r="B7079" s="17" t="s">
        <v>812</v>
      </c>
      <c r="C7079" s="17">
        <v>0</v>
      </c>
      <c r="D7079" s="17" t="s">
        <v>801</v>
      </c>
      <c r="E7079" s="18">
        <v>8050846008168</v>
      </c>
      <c r="G7079" s="20" t="str">
        <f t="shared" si="330"/>
        <v xml:space="preserve"> OSHIFTCADRAN    </v>
      </c>
      <c r="H7079" s="20" t="str">
        <f t="shared" si="331"/>
        <v>YELLO</v>
      </c>
      <c r="I7079" s="20">
        <f t="shared" si="332"/>
        <v>0</v>
      </c>
    </row>
    <row r="7080" spans="1:9">
      <c r="A7080" s="17" t="s">
        <v>2314</v>
      </c>
      <c r="B7080" s="17" t="s">
        <v>1230</v>
      </c>
      <c r="C7080" s="17" t="s">
        <v>2315</v>
      </c>
      <c r="D7080" s="17" t="s">
        <v>801</v>
      </c>
      <c r="E7080" s="18">
        <v>8056098538514</v>
      </c>
      <c r="G7080" s="20" t="str">
        <f t="shared" si="330"/>
        <v xml:space="preserve"> OSHOES          </v>
      </c>
      <c r="H7080" s="20" t="str">
        <f t="shared" si="331"/>
        <v>ACQUA</v>
      </c>
      <c r="I7080" s="20" t="str">
        <f t="shared" si="332"/>
        <v>35/36</v>
      </c>
    </row>
    <row r="7081" spans="1:9">
      <c r="A7081" s="17" t="s">
        <v>2314</v>
      </c>
      <c r="B7081" s="17" t="s">
        <v>1230</v>
      </c>
      <c r="C7081" s="17" t="s">
        <v>2315</v>
      </c>
      <c r="D7081" s="17" t="s">
        <v>801</v>
      </c>
      <c r="E7081" s="18">
        <v>3005830694006</v>
      </c>
      <c r="G7081" s="20" t="str">
        <f t="shared" si="330"/>
        <v xml:space="preserve"> OSHOES          </v>
      </c>
      <c r="H7081" s="20" t="str">
        <f t="shared" si="331"/>
        <v>ACQUA</v>
      </c>
      <c r="I7081" s="20" t="str">
        <f t="shared" si="332"/>
        <v>35/36</v>
      </c>
    </row>
    <row r="7082" spans="1:9">
      <c r="A7082" s="17" t="s">
        <v>2314</v>
      </c>
      <c r="B7082" s="17" t="s">
        <v>1230</v>
      </c>
      <c r="C7082" s="17">
        <v>37</v>
      </c>
      <c r="D7082" s="17" t="s">
        <v>801</v>
      </c>
      <c r="E7082" s="18">
        <v>8056098538521</v>
      </c>
      <c r="G7082" s="20" t="str">
        <f t="shared" si="330"/>
        <v xml:space="preserve"> OSHOES          </v>
      </c>
      <c r="H7082" s="20" t="str">
        <f t="shared" si="331"/>
        <v>ACQUA</v>
      </c>
      <c r="I7082" s="20">
        <f t="shared" si="332"/>
        <v>37</v>
      </c>
    </row>
    <row r="7083" spans="1:9">
      <c r="A7083" s="17" t="s">
        <v>2314</v>
      </c>
      <c r="B7083" s="17" t="s">
        <v>1230</v>
      </c>
      <c r="C7083" s="17">
        <v>37</v>
      </c>
      <c r="D7083" s="17" t="s">
        <v>801</v>
      </c>
      <c r="E7083" s="18">
        <v>3005830694013</v>
      </c>
      <c r="G7083" s="20" t="str">
        <f t="shared" si="330"/>
        <v xml:space="preserve"> OSHOES          </v>
      </c>
      <c r="H7083" s="20" t="str">
        <f t="shared" si="331"/>
        <v>ACQUA</v>
      </c>
      <c r="I7083" s="20">
        <f t="shared" si="332"/>
        <v>37</v>
      </c>
    </row>
    <row r="7084" spans="1:9">
      <c r="A7084" s="17" t="s">
        <v>2314</v>
      </c>
      <c r="B7084" s="17" t="s">
        <v>1230</v>
      </c>
      <c r="C7084" s="17">
        <v>38</v>
      </c>
      <c r="D7084" s="17" t="s">
        <v>801</v>
      </c>
      <c r="E7084" s="18">
        <v>8056098538538</v>
      </c>
      <c r="G7084" s="20" t="str">
        <f t="shared" si="330"/>
        <v xml:space="preserve"> OSHOES          </v>
      </c>
      <c r="H7084" s="20" t="str">
        <f t="shared" si="331"/>
        <v>ACQUA</v>
      </c>
      <c r="I7084" s="20">
        <f t="shared" si="332"/>
        <v>38</v>
      </c>
    </row>
    <row r="7085" spans="1:9">
      <c r="A7085" s="17" t="s">
        <v>2314</v>
      </c>
      <c r="B7085" s="17" t="s">
        <v>1230</v>
      </c>
      <c r="C7085" s="17">
        <v>38</v>
      </c>
      <c r="D7085" s="17" t="s">
        <v>801</v>
      </c>
      <c r="E7085" s="18">
        <v>3005830694020</v>
      </c>
      <c r="G7085" s="20" t="str">
        <f t="shared" si="330"/>
        <v xml:space="preserve"> OSHOES          </v>
      </c>
      <c r="H7085" s="20" t="str">
        <f t="shared" si="331"/>
        <v>ACQUA</v>
      </c>
      <c r="I7085" s="20">
        <f t="shared" si="332"/>
        <v>38</v>
      </c>
    </row>
    <row r="7086" spans="1:9">
      <c r="A7086" s="17" t="s">
        <v>2314</v>
      </c>
      <c r="B7086" s="17" t="s">
        <v>1230</v>
      </c>
      <c r="C7086" s="17">
        <v>39</v>
      </c>
      <c r="D7086" s="17" t="s">
        <v>801</v>
      </c>
      <c r="E7086" s="18">
        <v>8056098538545</v>
      </c>
      <c r="G7086" s="20" t="str">
        <f t="shared" si="330"/>
        <v xml:space="preserve"> OSHOES          </v>
      </c>
      <c r="H7086" s="20" t="str">
        <f t="shared" si="331"/>
        <v>ACQUA</v>
      </c>
      <c r="I7086" s="20">
        <f t="shared" si="332"/>
        <v>39</v>
      </c>
    </row>
    <row r="7087" spans="1:9">
      <c r="A7087" s="17" t="s">
        <v>2314</v>
      </c>
      <c r="B7087" s="17" t="s">
        <v>1230</v>
      </c>
      <c r="C7087" s="17">
        <v>39</v>
      </c>
      <c r="D7087" s="17" t="s">
        <v>801</v>
      </c>
      <c r="E7087" s="18">
        <v>3005830694037</v>
      </c>
      <c r="G7087" s="20" t="str">
        <f t="shared" si="330"/>
        <v xml:space="preserve"> OSHOES          </v>
      </c>
      <c r="H7087" s="20" t="str">
        <f t="shared" si="331"/>
        <v>ACQUA</v>
      </c>
      <c r="I7087" s="20">
        <f t="shared" si="332"/>
        <v>39</v>
      </c>
    </row>
    <row r="7088" spans="1:9">
      <c r="A7088" s="17" t="s">
        <v>2314</v>
      </c>
      <c r="B7088" s="17" t="s">
        <v>1230</v>
      </c>
      <c r="C7088" s="17" t="s">
        <v>2316</v>
      </c>
      <c r="D7088" s="17" t="s">
        <v>801</v>
      </c>
      <c r="E7088" s="18">
        <v>3005830694044</v>
      </c>
      <c r="G7088" s="20" t="str">
        <f t="shared" si="330"/>
        <v xml:space="preserve"> OSHOES          </v>
      </c>
      <c r="H7088" s="20" t="str">
        <f t="shared" si="331"/>
        <v>ACQUA</v>
      </c>
      <c r="I7088" s="20" t="str">
        <f t="shared" si="332"/>
        <v>39/40</v>
      </c>
    </row>
    <row r="7089" spans="1:9">
      <c r="A7089" s="17" t="s">
        <v>2314</v>
      </c>
      <c r="B7089" s="17" t="s">
        <v>1230</v>
      </c>
      <c r="C7089" s="17">
        <v>40</v>
      </c>
      <c r="D7089" s="17" t="s">
        <v>801</v>
      </c>
      <c r="E7089" s="18">
        <v>8056098538552</v>
      </c>
      <c r="G7089" s="20" t="str">
        <f t="shared" si="330"/>
        <v xml:space="preserve"> OSHOES          </v>
      </c>
      <c r="H7089" s="20" t="str">
        <f t="shared" si="331"/>
        <v>ACQUA</v>
      </c>
      <c r="I7089" s="20">
        <f t="shared" si="332"/>
        <v>40</v>
      </c>
    </row>
    <row r="7090" spans="1:9">
      <c r="A7090" s="17" t="s">
        <v>2314</v>
      </c>
      <c r="B7090" s="17" t="s">
        <v>1230</v>
      </c>
      <c r="C7090" s="17">
        <v>40</v>
      </c>
      <c r="D7090" s="17" t="s">
        <v>801</v>
      </c>
      <c r="E7090" s="18">
        <v>3005830694051</v>
      </c>
      <c r="G7090" s="20" t="str">
        <f t="shared" si="330"/>
        <v xml:space="preserve"> OSHOES          </v>
      </c>
      <c r="H7090" s="20" t="str">
        <f t="shared" si="331"/>
        <v>ACQUA</v>
      </c>
      <c r="I7090" s="20">
        <f t="shared" si="332"/>
        <v>40</v>
      </c>
    </row>
    <row r="7091" spans="1:9">
      <c r="A7091" s="17" t="s">
        <v>2314</v>
      </c>
      <c r="B7091" s="17" t="s">
        <v>1230</v>
      </c>
      <c r="C7091" s="17">
        <v>40</v>
      </c>
      <c r="D7091" s="17" t="s">
        <v>801</v>
      </c>
      <c r="E7091" s="18">
        <v>8056098538484</v>
      </c>
      <c r="G7091" s="20" t="str">
        <f t="shared" si="330"/>
        <v xml:space="preserve"> OSHOES          </v>
      </c>
      <c r="H7091" s="20" t="str">
        <f t="shared" si="331"/>
        <v>ACQUA</v>
      </c>
      <c r="I7091" s="20">
        <f t="shared" si="332"/>
        <v>40</v>
      </c>
    </row>
    <row r="7092" spans="1:9">
      <c r="A7092" s="17" t="s">
        <v>2314</v>
      </c>
      <c r="B7092" s="17" t="s">
        <v>1230</v>
      </c>
      <c r="C7092" s="17">
        <v>41</v>
      </c>
      <c r="D7092" s="17" t="s">
        <v>801</v>
      </c>
      <c r="E7092" s="18">
        <v>3005830694068</v>
      </c>
      <c r="G7092" s="20" t="str">
        <f t="shared" si="330"/>
        <v xml:space="preserve"> OSHOES          </v>
      </c>
      <c r="H7092" s="20" t="str">
        <f t="shared" si="331"/>
        <v>ACQUA</v>
      </c>
      <c r="I7092" s="20">
        <f t="shared" si="332"/>
        <v>41</v>
      </c>
    </row>
    <row r="7093" spans="1:9">
      <c r="A7093" s="17" t="s">
        <v>2314</v>
      </c>
      <c r="B7093" s="17" t="s">
        <v>1230</v>
      </c>
      <c r="C7093" s="17" t="s">
        <v>2317</v>
      </c>
      <c r="D7093" s="17" t="s">
        <v>801</v>
      </c>
      <c r="E7093" s="18">
        <v>8056098538576</v>
      </c>
      <c r="G7093" s="20" t="str">
        <f t="shared" si="330"/>
        <v xml:space="preserve"> OSHOES          </v>
      </c>
      <c r="H7093" s="20" t="str">
        <f t="shared" si="331"/>
        <v>ACQUA</v>
      </c>
      <c r="I7093" s="20" t="str">
        <f t="shared" si="332"/>
        <v>41/42</v>
      </c>
    </row>
    <row r="7094" spans="1:9">
      <c r="A7094" s="17" t="s">
        <v>2314</v>
      </c>
      <c r="B7094" s="17" t="s">
        <v>1230</v>
      </c>
      <c r="C7094" s="17" t="s">
        <v>2317</v>
      </c>
      <c r="D7094" s="17" t="s">
        <v>801</v>
      </c>
      <c r="E7094" s="18">
        <v>3005830694075</v>
      </c>
      <c r="G7094" s="20" t="str">
        <f t="shared" si="330"/>
        <v xml:space="preserve"> OSHOES          </v>
      </c>
      <c r="H7094" s="20" t="str">
        <f t="shared" si="331"/>
        <v>ACQUA</v>
      </c>
      <c r="I7094" s="20" t="str">
        <f t="shared" si="332"/>
        <v>41/42</v>
      </c>
    </row>
    <row r="7095" spans="1:9">
      <c r="A7095" s="17" t="s">
        <v>2314</v>
      </c>
      <c r="B7095" s="17" t="s">
        <v>1230</v>
      </c>
      <c r="C7095" s="17">
        <v>42</v>
      </c>
      <c r="D7095" s="17" t="s">
        <v>801</v>
      </c>
      <c r="E7095" s="18">
        <v>3005830694082</v>
      </c>
      <c r="G7095" s="20" t="str">
        <f t="shared" si="330"/>
        <v xml:space="preserve"> OSHOES          </v>
      </c>
      <c r="H7095" s="20" t="str">
        <f t="shared" si="331"/>
        <v>ACQUA</v>
      </c>
      <c r="I7095" s="20">
        <f t="shared" si="332"/>
        <v>42</v>
      </c>
    </row>
    <row r="7096" spans="1:9">
      <c r="A7096" s="17" t="s">
        <v>2314</v>
      </c>
      <c r="B7096" s="17" t="s">
        <v>1230</v>
      </c>
      <c r="C7096" s="17">
        <v>43</v>
      </c>
      <c r="D7096" s="17" t="s">
        <v>801</v>
      </c>
      <c r="E7096" s="18">
        <v>3005830694099</v>
      </c>
      <c r="G7096" s="20" t="str">
        <f t="shared" si="330"/>
        <v xml:space="preserve"> OSHOES          </v>
      </c>
      <c r="H7096" s="20" t="str">
        <f t="shared" si="331"/>
        <v>ACQUA</v>
      </c>
      <c r="I7096" s="20">
        <f t="shared" si="332"/>
        <v>43</v>
      </c>
    </row>
    <row r="7097" spans="1:9">
      <c r="A7097" s="17" t="s">
        <v>2314</v>
      </c>
      <c r="B7097" s="17" t="s">
        <v>1230</v>
      </c>
      <c r="C7097" s="17">
        <v>44</v>
      </c>
      <c r="D7097" s="17" t="s">
        <v>801</v>
      </c>
      <c r="E7097" s="18">
        <v>3005830694105</v>
      </c>
      <c r="G7097" s="20" t="str">
        <f t="shared" si="330"/>
        <v xml:space="preserve"> OSHOES          </v>
      </c>
      <c r="H7097" s="20" t="str">
        <f t="shared" si="331"/>
        <v>ACQUA</v>
      </c>
      <c r="I7097" s="20">
        <f t="shared" si="332"/>
        <v>44</v>
      </c>
    </row>
    <row r="7098" spans="1:9">
      <c r="A7098" s="17" t="s">
        <v>2314</v>
      </c>
      <c r="B7098" s="17" t="s">
        <v>1230</v>
      </c>
      <c r="C7098" s="17" t="s">
        <v>2318</v>
      </c>
      <c r="D7098" s="17" t="s">
        <v>801</v>
      </c>
      <c r="E7098" s="18">
        <v>3005830694112</v>
      </c>
      <c r="G7098" s="20" t="str">
        <f t="shared" si="330"/>
        <v xml:space="preserve"> OSHOES          </v>
      </c>
      <c r="H7098" s="20" t="str">
        <f t="shared" si="331"/>
        <v>ACQUA</v>
      </c>
      <c r="I7098" s="20" t="str">
        <f t="shared" si="332"/>
        <v>45/46</v>
      </c>
    </row>
    <row r="7099" spans="1:9">
      <c r="A7099" s="17" t="s">
        <v>2314</v>
      </c>
      <c r="B7099" s="17" t="s">
        <v>298</v>
      </c>
      <c r="C7099" s="17" t="s">
        <v>2315</v>
      </c>
      <c r="D7099" s="17" t="s">
        <v>801</v>
      </c>
      <c r="E7099" s="18">
        <v>3005830267002</v>
      </c>
      <c r="G7099" s="20" t="str">
        <f t="shared" si="330"/>
        <v xml:space="preserve"> OSHOES          </v>
      </c>
      <c r="H7099" s="20" t="str">
        <f t="shared" si="331"/>
        <v>APPLE</v>
      </c>
      <c r="I7099" s="20" t="str">
        <f t="shared" si="332"/>
        <v>35/36</v>
      </c>
    </row>
    <row r="7100" spans="1:9">
      <c r="A7100" s="17" t="s">
        <v>2314</v>
      </c>
      <c r="B7100" s="17" t="s">
        <v>298</v>
      </c>
      <c r="C7100" s="17">
        <v>37</v>
      </c>
      <c r="D7100" s="17" t="s">
        <v>801</v>
      </c>
      <c r="E7100" s="18">
        <v>3005830267019</v>
      </c>
      <c r="G7100" s="20" t="str">
        <f t="shared" si="330"/>
        <v xml:space="preserve"> OSHOES          </v>
      </c>
      <c r="H7100" s="20" t="str">
        <f t="shared" si="331"/>
        <v>APPLE</v>
      </c>
      <c r="I7100" s="20">
        <f t="shared" si="332"/>
        <v>37</v>
      </c>
    </row>
    <row r="7101" spans="1:9">
      <c r="A7101" s="17" t="s">
        <v>2314</v>
      </c>
      <c r="B7101" s="17" t="s">
        <v>298</v>
      </c>
      <c r="C7101" s="17">
        <v>38</v>
      </c>
      <c r="D7101" s="17" t="s">
        <v>801</v>
      </c>
      <c r="E7101" s="18">
        <v>3005830267026</v>
      </c>
      <c r="G7101" s="20" t="str">
        <f t="shared" si="330"/>
        <v xml:space="preserve"> OSHOES          </v>
      </c>
      <c r="H7101" s="20" t="str">
        <f t="shared" si="331"/>
        <v>APPLE</v>
      </c>
      <c r="I7101" s="20">
        <f t="shared" si="332"/>
        <v>38</v>
      </c>
    </row>
    <row r="7102" spans="1:9">
      <c r="A7102" s="17" t="s">
        <v>2314</v>
      </c>
      <c r="B7102" s="17" t="s">
        <v>298</v>
      </c>
      <c r="C7102" s="17">
        <v>39</v>
      </c>
      <c r="D7102" s="17" t="s">
        <v>801</v>
      </c>
      <c r="E7102" s="18">
        <v>3005830267033</v>
      </c>
      <c r="G7102" s="20" t="str">
        <f t="shared" si="330"/>
        <v xml:space="preserve"> OSHOES          </v>
      </c>
      <c r="H7102" s="20" t="str">
        <f t="shared" si="331"/>
        <v>APPLE</v>
      </c>
      <c r="I7102" s="20">
        <f t="shared" si="332"/>
        <v>39</v>
      </c>
    </row>
    <row r="7103" spans="1:9">
      <c r="A7103" s="17" t="s">
        <v>2314</v>
      </c>
      <c r="B7103" s="17" t="s">
        <v>298</v>
      </c>
      <c r="C7103" s="17" t="s">
        <v>2316</v>
      </c>
      <c r="D7103" s="17" t="s">
        <v>801</v>
      </c>
      <c r="E7103" s="18">
        <v>3005830267040</v>
      </c>
      <c r="G7103" s="20" t="str">
        <f t="shared" si="330"/>
        <v xml:space="preserve"> OSHOES          </v>
      </c>
      <c r="H7103" s="20" t="str">
        <f t="shared" si="331"/>
        <v>APPLE</v>
      </c>
      <c r="I7103" s="20" t="str">
        <f t="shared" si="332"/>
        <v>39/40</v>
      </c>
    </row>
    <row r="7104" spans="1:9">
      <c r="A7104" s="17" t="s">
        <v>2314</v>
      </c>
      <c r="B7104" s="17" t="s">
        <v>298</v>
      </c>
      <c r="C7104" s="17">
        <v>40</v>
      </c>
      <c r="D7104" s="17" t="s">
        <v>801</v>
      </c>
      <c r="E7104" s="18">
        <v>3005830267057</v>
      </c>
      <c r="G7104" s="20" t="str">
        <f t="shared" si="330"/>
        <v xml:space="preserve"> OSHOES          </v>
      </c>
      <c r="H7104" s="20" t="str">
        <f t="shared" si="331"/>
        <v>APPLE</v>
      </c>
      <c r="I7104" s="20">
        <f t="shared" si="332"/>
        <v>40</v>
      </c>
    </row>
    <row r="7105" spans="1:9">
      <c r="A7105" s="17" t="s">
        <v>2314</v>
      </c>
      <c r="B7105" s="17" t="s">
        <v>298</v>
      </c>
      <c r="C7105" s="17">
        <v>41</v>
      </c>
      <c r="D7105" s="17" t="s">
        <v>801</v>
      </c>
      <c r="E7105" s="18">
        <v>3005830267064</v>
      </c>
      <c r="G7105" s="20" t="str">
        <f t="shared" si="330"/>
        <v xml:space="preserve"> OSHOES          </v>
      </c>
      <c r="H7105" s="20" t="str">
        <f t="shared" si="331"/>
        <v>APPLE</v>
      </c>
      <c r="I7105" s="20">
        <f t="shared" si="332"/>
        <v>41</v>
      </c>
    </row>
    <row r="7106" spans="1:9">
      <c r="A7106" s="17" t="s">
        <v>2314</v>
      </c>
      <c r="B7106" s="17" t="s">
        <v>298</v>
      </c>
      <c r="C7106" s="17" t="s">
        <v>2317</v>
      </c>
      <c r="D7106" s="17" t="s">
        <v>801</v>
      </c>
      <c r="E7106" s="18">
        <v>3005830267071</v>
      </c>
      <c r="G7106" s="20" t="str">
        <f t="shared" si="330"/>
        <v xml:space="preserve"> OSHOES          </v>
      </c>
      <c r="H7106" s="20" t="str">
        <f t="shared" si="331"/>
        <v>APPLE</v>
      </c>
      <c r="I7106" s="20" t="str">
        <f t="shared" si="332"/>
        <v>41/42</v>
      </c>
    </row>
    <row r="7107" spans="1:9">
      <c r="A7107" s="17" t="s">
        <v>2314</v>
      </c>
      <c r="B7107" s="17" t="s">
        <v>298</v>
      </c>
      <c r="C7107" s="17">
        <v>42</v>
      </c>
      <c r="D7107" s="17" t="s">
        <v>801</v>
      </c>
      <c r="E7107" s="18">
        <v>3005830267088</v>
      </c>
      <c r="G7107" s="20" t="str">
        <f t="shared" si="330"/>
        <v xml:space="preserve"> OSHOES          </v>
      </c>
      <c r="H7107" s="20" t="str">
        <f t="shared" si="331"/>
        <v>APPLE</v>
      </c>
      <c r="I7107" s="20">
        <f t="shared" si="332"/>
        <v>42</v>
      </c>
    </row>
    <row r="7108" spans="1:9">
      <c r="A7108" s="17" t="s">
        <v>2314</v>
      </c>
      <c r="B7108" s="17" t="s">
        <v>298</v>
      </c>
      <c r="C7108" s="17">
        <v>43</v>
      </c>
      <c r="D7108" s="17" t="s">
        <v>801</v>
      </c>
      <c r="E7108" s="18">
        <v>3005830267095</v>
      </c>
      <c r="G7108" s="20" t="str">
        <f t="shared" si="330"/>
        <v xml:space="preserve"> OSHOES          </v>
      </c>
      <c r="H7108" s="20" t="str">
        <f t="shared" si="331"/>
        <v>APPLE</v>
      </c>
      <c r="I7108" s="20">
        <f t="shared" si="332"/>
        <v>43</v>
      </c>
    </row>
    <row r="7109" spans="1:9">
      <c r="A7109" s="17" t="s">
        <v>2314</v>
      </c>
      <c r="B7109" s="17" t="s">
        <v>298</v>
      </c>
      <c r="C7109" s="17">
        <v>44</v>
      </c>
      <c r="D7109" s="17" t="s">
        <v>801</v>
      </c>
      <c r="E7109" s="18">
        <v>3005830267101</v>
      </c>
      <c r="G7109" s="20" t="str">
        <f t="shared" ref="G7109:G7172" si="333">A7109</f>
        <v xml:space="preserve"> OSHOES          </v>
      </c>
      <c r="H7109" s="20" t="str">
        <f t="shared" ref="H7109:H7172" si="334">B7109</f>
        <v>APPLE</v>
      </c>
      <c r="I7109" s="20">
        <f t="shared" ref="I7109:I7172" si="335">C7109</f>
        <v>44</v>
      </c>
    </row>
    <row r="7110" spans="1:9">
      <c r="A7110" s="17" t="s">
        <v>2314</v>
      </c>
      <c r="B7110" s="17" t="s">
        <v>298</v>
      </c>
      <c r="C7110" s="17" t="s">
        <v>2318</v>
      </c>
      <c r="D7110" s="17" t="s">
        <v>801</v>
      </c>
      <c r="E7110" s="18">
        <v>3005830267118</v>
      </c>
      <c r="G7110" s="20" t="str">
        <f t="shared" si="333"/>
        <v xml:space="preserve"> OSHOES          </v>
      </c>
      <c r="H7110" s="20" t="str">
        <f t="shared" si="334"/>
        <v>APPLE</v>
      </c>
      <c r="I7110" s="20" t="str">
        <f t="shared" si="335"/>
        <v>45/46</v>
      </c>
    </row>
    <row r="7111" spans="1:9">
      <c r="A7111" s="17" t="s">
        <v>2314</v>
      </c>
      <c r="B7111" s="17" t="s">
        <v>2006</v>
      </c>
      <c r="C7111" s="17" t="s">
        <v>2315</v>
      </c>
      <c r="D7111" s="17" t="s">
        <v>801</v>
      </c>
      <c r="E7111" s="18">
        <v>8056098538309</v>
      </c>
      <c r="G7111" s="20" t="str">
        <f t="shared" si="333"/>
        <v xml:space="preserve"> OSHOES          </v>
      </c>
      <c r="H7111" s="20" t="str">
        <f t="shared" si="334"/>
        <v>BECCO</v>
      </c>
      <c r="I7111" s="20" t="str">
        <f t="shared" si="335"/>
        <v>35/36</v>
      </c>
    </row>
    <row r="7112" spans="1:9">
      <c r="A7112" s="17" t="s">
        <v>2314</v>
      </c>
      <c r="B7112" s="17" t="s">
        <v>2006</v>
      </c>
      <c r="C7112" s="17" t="s">
        <v>2315</v>
      </c>
      <c r="D7112" s="17" t="s">
        <v>801</v>
      </c>
      <c r="E7112" s="18">
        <v>3005831078003</v>
      </c>
      <c r="G7112" s="20" t="str">
        <f t="shared" si="333"/>
        <v xml:space="preserve"> OSHOES          </v>
      </c>
      <c r="H7112" s="20" t="str">
        <f t="shared" si="334"/>
        <v>BECCO</v>
      </c>
      <c r="I7112" s="20" t="str">
        <f t="shared" si="335"/>
        <v>35/36</v>
      </c>
    </row>
    <row r="7113" spans="1:9">
      <c r="A7113" s="17" t="s">
        <v>2314</v>
      </c>
      <c r="B7113" s="17" t="s">
        <v>2006</v>
      </c>
      <c r="C7113" s="17">
        <v>37</v>
      </c>
      <c r="D7113" s="17" t="s">
        <v>801</v>
      </c>
      <c r="E7113" s="18">
        <v>8056098538316</v>
      </c>
      <c r="G7113" s="20" t="str">
        <f t="shared" si="333"/>
        <v xml:space="preserve"> OSHOES          </v>
      </c>
      <c r="H7113" s="20" t="str">
        <f t="shared" si="334"/>
        <v>BECCO</v>
      </c>
      <c r="I7113" s="20">
        <f t="shared" si="335"/>
        <v>37</v>
      </c>
    </row>
    <row r="7114" spans="1:9">
      <c r="A7114" s="17" t="s">
        <v>2314</v>
      </c>
      <c r="B7114" s="17" t="s">
        <v>2006</v>
      </c>
      <c r="C7114" s="17">
        <v>37</v>
      </c>
      <c r="D7114" s="17" t="s">
        <v>801</v>
      </c>
      <c r="E7114" s="18">
        <v>3005831078010</v>
      </c>
      <c r="G7114" s="20" t="str">
        <f t="shared" si="333"/>
        <v xml:space="preserve"> OSHOES          </v>
      </c>
      <c r="H7114" s="20" t="str">
        <f t="shared" si="334"/>
        <v>BECCO</v>
      </c>
      <c r="I7114" s="20">
        <f t="shared" si="335"/>
        <v>37</v>
      </c>
    </row>
    <row r="7115" spans="1:9">
      <c r="A7115" s="17" t="s">
        <v>2314</v>
      </c>
      <c r="B7115" s="17" t="s">
        <v>2006</v>
      </c>
      <c r="C7115" s="17">
        <v>38</v>
      </c>
      <c r="D7115" s="17" t="s">
        <v>801</v>
      </c>
      <c r="E7115" s="18">
        <v>8056098538323</v>
      </c>
      <c r="G7115" s="20" t="str">
        <f t="shared" si="333"/>
        <v xml:space="preserve"> OSHOES          </v>
      </c>
      <c r="H7115" s="20" t="str">
        <f t="shared" si="334"/>
        <v>BECCO</v>
      </c>
      <c r="I7115" s="20">
        <f t="shared" si="335"/>
        <v>38</v>
      </c>
    </row>
    <row r="7116" spans="1:9">
      <c r="A7116" s="17" t="s">
        <v>2314</v>
      </c>
      <c r="B7116" s="17" t="s">
        <v>2006</v>
      </c>
      <c r="C7116" s="17">
        <v>38</v>
      </c>
      <c r="D7116" s="17" t="s">
        <v>801</v>
      </c>
      <c r="E7116" s="18">
        <v>3005831078027</v>
      </c>
      <c r="G7116" s="20" t="str">
        <f t="shared" si="333"/>
        <v xml:space="preserve"> OSHOES          </v>
      </c>
      <c r="H7116" s="20" t="str">
        <f t="shared" si="334"/>
        <v>BECCO</v>
      </c>
      <c r="I7116" s="20">
        <f t="shared" si="335"/>
        <v>38</v>
      </c>
    </row>
    <row r="7117" spans="1:9">
      <c r="A7117" s="17" t="s">
        <v>2314</v>
      </c>
      <c r="B7117" s="17" t="s">
        <v>2006</v>
      </c>
      <c r="C7117" s="17">
        <v>39</v>
      </c>
      <c r="D7117" s="17" t="s">
        <v>801</v>
      </c>
      <c r="E7117" s="18">
        <v>8056098538330</v>
      </c>
      <c r="G7117" s="20" t="str">
        <f t="shared" si="333"/>
        <v xml:space="preserve"> OSHOES          </v>
      </c>
      <c r="H7117" s="20" t="str">
        <f t="shared" si="334"/>
        <v>BECCO</v>
      </c>
      <c r="I7117" s="20">
        <f t="shared" si="335"/>
        <v>39</v>
      </c>
    </row>
    <row r="7118" spans="1:9">
      <c r="A7118" s="17" t="s">
        <v>2314</v>
      </c>
      <c r="B7118" s="17" t="s">
        <v>2006</v>
      </c>
      <c r="C7118" s="17">
        <v>39</v>
      </c>
      <c r="D7118" s="17" t="s">
        <v>801</v>
      </c>
      <c r="E7118" s="18">
        <v>3005831078034</v>
      </c>
      <c r="G7118" s="20" t="str">
        <f t="shared" si="333"/>
        <v xml:space="preserve"> OSHOES          </v>
      </c>
      <c r="H7118" s="20" t="str">
        <f t="shared" si="334"/>
        <v>BECCO</v>
      </c>
      <c r="I7118" s="20">
        <f t="shared" si="335"/>
        <v>39</v>
      </c>
    </row>
    <row r="7119" spans="1:9">
      <c r="A7119" s="17" t="s">
        <v>2314</v>
      </c>
      <c r="B7119" s="17" t="s">
        <v>2006</v>
      </c>
      <c r="C7119" s="17" t="s">
        <v>2316</v>
      </c>
      <c r="D7119" s="17" t="s">
        <v>801</v>
      </c>
      <c r="E7119" s="18">
        <v>3005831078041</v>
      </c>
      <c r="G7119" s="20" t="str">
        <f t="shared" si="333"/>
        <v xml:space="preserve"> OSHOES          </v>
      </c>
      <c r="H7119" s="20" t="str">
        <f t="shared" si="334"/>
        <v>BECCO</v>
      </c>
      <c r="I7119" s="20" t="str">
        <f t="shared" si="335"/>
        <v>39/40</v>
      </c>
    </row>
    <row r="7120" spans="1:9">
      <c r="A7120" s="17" t="s">
        <v>2314</v>
      </c>
      <c r="B7120" s="17" t="s">
        <v>2006</v>
      </c>
      <c r="C7120" s="17">
        <v>40</v>
      </c>
      <c r="D7120" s="17" t="s">
        <v>801</v>
      </c>
      <c r="E7120" s="18">
        <v>8056098538347</v>
      </c>
      <c r="G7120" s="20" t="str">
        <f t="shared" si="333"/>
        <v xml:space="preserve"> OSHOES          </v>
      </c>
      <c r="H7120" s="20" t="str">
        <f t="shared" si="334"/>
        <v>BECCO</v>
      </c>
      <c r="I7120" s="20">
        <f t="shared" si="335"/>
        <v>40</v>
      </c>
    </row>
    <row r="7121" spans="1:9">
      <c r="A7121" s="17" t="s">
        <v>2314</v>
      </c>
      <c r="B7121" s="17" t="s">
        <v>2006</v>
      </c>
      <c r="C7121" s="17">
        <v>40</v>
      </c>
      <c r="D7121" s="17" t="s">
        <v>801</v>
      </c>
      <c r="E7121" s="18">
        <v>3005831078058</v>
      </c>
      <c r="G7121" s="20" t="str">
        <f t="shared" si="333"/>
        <v xml:space="preserve"> OSHOES          </v>
      </c>
      <c r="H7121" s="20" t="str">
        <f t="shared" si="334"/>
        <v>BECCO</v>
      </c>
      <c r="I7121" s="20">
        <f t="shared" si="335"/>
        <v>40</v>
      </c>
    </row>
    <row r="7122" spans="1:9">
      <c r="A7122" s="17" t="s">
        <v>2314</v>
      </c>
      <c r="B7122" s="17" t="s">
        <v>2006</v>
      </c>
      <c r="C7122" s="17">
        <v>41</v>
      </c>
      <c r="D7122" s="17" t="s">
        <v>801</v>
      </c>
      <c r="E7122" s="18">
        <v>3005831078065</v>
      </c>
      <c r="G7122" s="20" t="str">
        <f t="shared" si="333"/>
        <v xml:space="preserve"> OSHOES          </v>
      </c>
      <c r="H7122" s="20" t="str">
        <f t="shared" si="334"/>
        <v>BECCO</v>
      </c>
      <c r="I7122" s="20">
        <f t="shared" si="335"/>
        <v>41</v>
      </c>
    </row>
    <row r="7123" spans="1:9">
      <c r="A7123" s="17" t="s">
        <v>2314</v>
      </c>
      <c r="B7123" s="17" t="s">
        <v>2006</v>
      </c>
      <c r="C7123" s="17" t="s">
        <v>2317</v>
      </c>
      <c r="D7123" s="17" t="s">
        <v>801</v>
      </c>
      <c r="E7123" s="18">
        <v>8056098538361</v>
      </c>
      <c r="G7123" s="20" t="str">
        <f t="shared" si="333"/>
        <v xml:space="preserve"> OSHOES          </v>
      </c>
      <c r="H7123" s="20" t="str">
        <f t="shared" si="334"/>
        <v>BECCO</v>
      </c>
      <c r="I7123" s="20" t="str">
        <f t="shared" si="335"/>
        <v>41/42</v>
      </c>
    </row>
    <row r="7124" spans="1:9">
      <c r="A7124" s="17" t="s">
        <v>2314</v>
      </c>
      <c r="B7124" s="17" t="s">
        <v>2006</v>
      </c>
      <c r="C7124" s="17" t="s">
        <v>2317</v>
      </c>
      <c r="D7124" s="17" t="s">
        <v>801</v>
      </c>
      <c r="E7124" s="18">
        <v>3005831078072</v>
      </c>
      <c r="G7124" s="20" t="str">
        <f t="shared" si="333"/>
        <v xml:space="preserve"> OSHOES          </v>
      </c>
      <c r="H7124" s="20" t="str">
        <f t="shared" si="334"/>
        <v>BECCO</v>
      </c>
      <c r="I7124" s="20" t="str">
        <f t="shared" si="335"/>
        <v>41/42</v>
      </c>
    </row>
    <row r="7125" spans="1:9">
      <c r="A7125" s="17" t="s">
        <v>2314</v>
      </c>
      <c r="B7125" s="17" t="s">
        <v>2006</v>
      </c>
      <c r="C7125" s="17">
        <v>42</v>
      </c>
      <c r="D7125" s="17" t="s">
        <v>801</v>
      </c>
      <c r="E7125" s="18">
        <v>3005831078089</v>
      </c>
      <c r="G7125" s="20" t="str">
        <f t="shared" si="333"/>
        <v xml:space="preserve"> OSHOES          </v>
      </c>
      <c r="H7125" s="20" t="str">
        <f t="shared" si="334"/>
        <v>BECCO</v>
      </c>
      <c r="I7125" s="20">
        <f t="shared" si="335"/>
        <v>42</v>
      </c>
    </row>
    <row r="7126" spans="1:9">
      <c r="A7126" s="17" t="s">
        <v>2314</v>
      </c>
      <c r="B7126" s="17" t="s">
        <v>2006</v>
      </c>
      <c r="C7126" s="17">
        <v>43</v>
      </c>
      <c r="D7126" s="17" t="s">
        <v>801</v>
      </c>
      <c r="E7126" s="18">
        <v>3005831078096</v>
      </c>
      <c r="G7126" s="20" t="str">
        <f t="shared" si="333"/>
        <v xml:space="preserve"> OSHOES          </v>
      </c>
      <c r="H7126" s="20" t="str">
        <f t="shared" si="334"/>
        <v>BECCO</v>
      </c>
      <c r="I7126" s="20">
        <f t="shared" si="335"/>
        <v>43</v>
      </c>
    </row>
    <row r="7127" spans="1:9">
      <c r="A7127" s="17" t="s">
        <v>2314</v>
      </c>
      <c r="B7127" s="17" t="s">
        <v>2006</v>
      </c>
      <c r="C7127" s="17">
        <v>44</v>
      </c>
      <c r="D7127" s="17" t="s">
        <v>801</v>
      </c>
      <c r="E7127" s="18">
        <v>3005831078102</v>
      </c>
      <c r="G7127" s="20" t="str">
        <f t="shared" si="333"/>
        <v xml:space="preserve"> OSHOES          </v>
      </c>
      <c r="H7127" s="20" t="str">
        <f t="shared" si="334"/>
        <v>BECCO</v>
      </c>
      <c r="I7127" s="20">
        <f t="shared" si="335"/>
        <v>44</v>
      </c>
    </row>
    <row r="7128" spans="1:9">
      <c r="A7128" s="17" t="s">
        <v>2314</v>
      </c>
      <c r="B7128" s="17" t="s">
        <v>2006</v>
      </c>
      <c r="C7128" s="17" t="s">
        <v>2318</v>
      </c>
      <c r="D7128" s="17" t="s">
        <v>801</v>
      </c>
      <c r="E7128" s="18">
        <v>3005831078119</v>
      </c>
      <c r="G7128" s="20" t="str">
        <f t="shared" si="333"/>
        <v xml:space="preserve"> OSHOES          </v>
      </c>
      <c r="H7128" s="20" t="str">
        <f t="shared" si="334"/>
        <v>BECCO</v>
      </c>
      <c r="I7128" s="20" t="str">
        <f t="shared" si="335"/>
        <v>45/46</v>
      </c>
    </row>
    <row r="7129" spans="1:9">
      <c r="A7129" s="17" t="s">
        <v>2314</v>
      </c>
      <c r="B7129" s="17" t="s">
        <v>280</v>
      </c>
      <c r="C7129" s="17" t="s">
        <v>2315</v>
      </c>
      <c r="D7129" s="17" t="s">
        <v>801</v>
      </c>
      <c r="E7129" s="18">
        <v>8056098538651</v>
      </c>
      <c r="G7129" s="20" t="str">
        <f t="shared" si="333"/>
        <v xml:space="preserve"> OSHOES          </v>
      </c>
      <c r="H7129" s="20" t="str">
        <f t="shared" si="334"/>
        <v>BLACK</v>
      </c>
      <c r="I7129" s="20" t="str">
        <f t="shared" si="335"/>
        <v>35/36</v>
      </c>
    </row>
    <row r="7130" spans="1:9">
      <c r="A7130" s="17" t="s">
        <v>2314</v>
      </c>
      <c r="B7130" s="17" t="s">
        <v>280</v>
      </c>
      <c r="C7130" s="17" t="s">
        <v>2315</v>
      </c>
      <c r="D7130" s="17" t="s">
        <v>801</v>
      </c>
      <c r="E7130" s="18">
        <v>3005830276004</v>
      </c>
      <c r="G7130" s="20" t="str">
        <f t="shared" si="333"/>
        <v xml:space="preserve"> OSHOES          </v>
      </c>
      <c r="H7130" s="20" t="str">
        <f t="shared" si="334"/>
        <v>BLACK</v>
      </c>
      <c r="I7130" s="20" t="str">
        <f t="shared" si="335"/>
        <v>35/36</v>
      </c>
    </row>
    <row r="7131" spans="1:9">
      <c r="A7131" s="17" t="s">
        <v>2314</v>
      </c>
      <c r="B7131" s="17" t="s">
        <v>280</v>
      </c>
      <c r="C7131" s="17">
        <v>37</v>
      </c>
      <c r="D7131" s="17" t="s">
        <v>801</v>
      </c>
      <c r="E7131" s="18">
        <v>8056098538668</v>
      </c>
      <c r="G7131" s="20" t="str">
        <f t="shared" si="333"/>
        <v xml:space="preserve"> OSHOES          </v>
      </c>
      <c r="H7131" s="20" t="str">
        <f t="shared" si="334"/>
        <v>BLACK</v>
      </c>
      <c r="I7131" s="20">
        <f t="shared" si="335"/>
        <v>37</v>
      </c>
    </row>
    <row r="7132" spans="1:9">
      <c r="A7132" s="17" t="s">
        <v>2314</v>
      </c>
      <c r="B7132" s="17" t="s">
        <v>280</v>
      </c>
      <c r="C7132" s="17">
        <v>37</v>
      </c>
      <c r="D7132" s="17" t="s">
        <v>801</v>
      </c>
      <c r="E7132" s="18">
        <v>3005830276011</v>
      </c>
      <c r="G7132" s="20" t="str">
        <f t="shared" si="333"/>
        <v xml:space="preserve"> OSHOES          </v>
      </c>
      <c r="H7132" s="20" t="str">
        <f t="shared" si="334"/>
        <v>BLACK</v>
      </c>
      <c r="I7132" s="20">
        <f t="shared" si="335"/>
        <v>37</v>
      </c>
    </row>
    <row r="7133" spans="1:9">
      <c r="A7133" s="17" t="s">
        <v>2314</v>
      </c>
      <c r="B7133" s="17" t="s">
        <v>280</v>
      </c>
      <c r="C7133" s="17">
        <v>38</v>
      </c>
      <c r="D7133" s="17" t="s">
        <v>801</v>
      </c>
      <c r="E7133" s="18">
        <v>8056098538675</v>
      </c>
      <c r="G7133" s="20" t="str">
        <f t="shared" si="333"/>
        <v xml:space="preserve"> OSHOES          </v>
      </c>
      <c r="H7133" s="20" t="str">
        <f t="shared" si="334"/>
        <v>BLACK</v>
      </c>
      <c r="I7133" s="20">
        <f t="shared" si="335"/>
        <v>38</v>
      </c>
    </row>
    <row r="7134" spans="1:9">
      <c r="A7134" s="17" t="s">
        <v>2314</v>
      </c>
      <c r="B7134" s="17" t="s">
        <v>280</v>
      </c>
      <c r="C7134" s="17">
        <v>38</v>
      </c>
      <c r="D7134" s="17" t="s">
        <v>801</v>
      </c>
      <c r="E7134" s="18">
        <v>3005830276028</v>
      </c>
      <c r="G7134" s="20" t="str">
        <f t="shared" si="333"/>
        <v xml:space="preserve"> OSHOES          </v>
      </c>
      <c r="H7134" s="20" t="str">
        <f t="shared" si="334"/>
        <v>BLACK</v>
      </c>
      <c r="I7134" s="20">
        <f t="shared" si="335"/>
        <v>38</v>
      </c>
    </row>
    <row r="7135" spans="1:9">
      <c r="A7135" s="17" t="s">
        <v>2314</v>
      </c>
      <c r="B7135" s="17" t="s">
        <v>280</v>
      </c>
      <c r="C7135" s="17">
        <v>39</v>
      </c>
      <c r="D7135" s="17" t="s">
        <v>801</v>
      </c>
      <c r="E7135" s="18">
        <v>8056098538682</v>
      </c>
      <c r="G7135" s="20" t="str">
        <f t="shared" si="333"/>
        <v xml:space="preserve"> OSHOES          </v>
      </c>
      <c r="H7135" s="20" t="str">
        <f t="shared" si="334"/>
        <v>BLACK</v>
      </c>
      <c r="I7135" s="20">
        <f t="shared" si="335"/>
        <v>39</v>
      </c>
    </row>
    <row r="7136" spans="1:9">
      <c r="A7136" s="17" t="s">
        <v>2314</v>
      </c>
      <c r="B7136" s="17" t="s">
        <v>280</v>
      </c>
      <c r="C7136" s="17">
        <v>39</v>
      </c>
      <c r="D7136" s="17" t="s">
        <v>801</v>
      </c>
      <c r="E7136" s="18">
        <v>3005830276035</v>
      </c>
      <c r="G7136" s="20" t="str">
        <f t="shared" si="333"/>
        <v xml:space="preserve"> OSHOES          </v>
      </c>
      <c r="H7136" s="20" t="str">
        <f t="shared" si="334"/>
        <v>BLACK</v>
      </c>
      <c r="I7136" s="20">
        <f t="shared" si="335"/>
        <v>39</v>
      </c>
    </row>
    <row r="7137" spans="1:9">
      <c r="A7137" s="17" t="s">
        <v>2314</v>
      </c>
      <c r="B7137" s="17" t="s">
        <v>280</v>
      </c>
      <c r="C7137" s="17" t="s">
        <v>2316</v>
      </c>
      <c r="D7137" s="17" t="s">
        <v>801</v>
      </c>
      <c r="E7137" s="18">
        <v>3005830276042</v>
      </c>
      <c r="G7137" s="20" t="str">
        <f t="shared" si="333"/>
        <v xml:space="preserve"> OSHOES          </v>
      </c>
      <c r="H7137" s="20" t="str">
        <f t="shared" si="334"/>
        <v>BLACK</v>
      </c>
      <c r="I7137" s="20" t="str">
        <f t="shared" si="335"/>
        <v>39/40</v>
      </c>
    </row>
    <row r="7138" spans="1:9">
      <c r="A7138" s="17" t="s">
        <v>2314</v>
      </c>
      <c r="B7138" s="17" t="s">
        <v>280</v>
      </c>
      <c r="C7138" s="17">
        <v>40</v>
      </c>
      <c r="D7138" s="17" t="s">
        <v>801</v>
      </c>
      <c r="E7138" s="18">
        <v>8056098538699</v>
      </c>
      <c r="G7138" s="20" t="str">
        <f t="shared" si="333"/>
        <v xml:space="preserve"> OSHOES          </v>
      </c>
      <c r="H7138" s="20" t="str">
        <f t="shared" si="334"/>
        <v>BLACK</v>
      </c>
      <c r="I7138" s="20">
        <f t="shared" si="335"/>
        <v>40</v>
      </c>
    </row>
    <row r="7139" spans="1:9">
      <c r="A7139" s="17" t="s">
        <v>2314</v>
      </c>
      <c r="B7139" s="17" t="s">
        <v>280</v>
      </c>
      <c r="C7139" s="17">
        <v>40</v>
      </c>
      <c r="D7139" s="17" t="s">
        <v>801</v>
      </c>
      <c r="E7139" s="18">
        <v>3005830276059</v>
      </c>
      <c r="G7139" s="20" t="str">
        <f t="shared" si="333"/>
        <v xml:space="preserve"> OSHOES          </v>
      </c>
      <c r="H7139" s="20" t="str">
        <f t="shared" si="334"/>
        <v>BLACK</v>
      </c>
      <c r="I7139" s="20">
        <f t="shared" si="335"/>
        <v>40</v>
      </c>
    </row>
    <row r="7140" spans="1:9">
      <c r="A7140" s="17" t="s">
        <v>2314</v>
      </c>
      <c r="B7140" s="17" t="s">
        <v>280</v>
      </c>
      <c r="C7140" s="17">
        <v>41</v>
      </c>
      <c r="D7140" s="17" t="s">
        <v>801</v>
      </c>
      <c r="E7140" s="18">
        <v>3005830276066</v>
      </c>
      <c r="G7140" s="20" t="str">
        <f t="shared" si="333"/>
        <v xml:space="preserve"> OSHOES          </v>
      </c>
      <c r="H7140" s="20" t="str">
        <f t="shared" si="334"/>
        <v>BLACK</v>
      </c>
      <c r="I7140" s="20">
        <f t="shared" si="335"/>
        <v>41</v>
      </c>
    </row>
    <row r="7141" spans="1:9">
      <c r="A7141" s="17" t="s">
        <v>2314</v>
      </c>
      <c r="B7141" s="17" t="s">
        <v>280</v>
      </c>
      <c r="C7141" s="17" t="s">
        <v>2317</v>
      </c>
      <c r="D7141" s="17" t="s">
        <v>801</v>
      </c>
      <c r="E7141" s="18">
        <v>8056098538712</v>
      </c>
      <c r="G7141" s="20" t="str">
        <f t="shared" si="333"/>
        <v xml:space="preserve"> OSHOES          </v>
      </c>
      <c r="H7141" s="20" t="str">
        <f t="shared" si="334"/>
        <v>BLACK</v>
      </c>
      <c r="I7141" s="20" t="str">
        <f t="shared" si="335"/>
        <v>41/42</v>
      </c>
    </row>
    <row r="7142" spans="1:9">
      <c r="A7142" s="17" t="s">
        <v>2314</v>
      </c>
      <c r="B7142" s="17" t="s">
        <v>280</v>
      </c>
      <c r="C7142" s="17" t="s">
        <v>2317</v>
      </c>
      <c r="D7142" s="17" t="s">
        <v>801</v>
      </c>
      <c r="E7142" s="18">
        <v>3005830276073</v>
      </c>
      <c r="G7142" s="20" t="str">
        <f t="shared" si="333"/>
        <v xml:space="preserve"> OSHOES          </v>
      </c>
      <c r="H7142" s="20" t="str">
        <f t="shared" si="334"/>
        <v>BLACK</v>
      </c>
      <c r="I7142" s="20" t="str">
        <f t="shared" si="335"/>
        <v>41/42</v>
      </c>
    </row>
    <row r="7143" spans="1:9">
      <c r="A7143" s="17" t="s">
        <v>2314</v>
      </c>
      <c r="B7143" s="17" t="s">
        <v>280</v>
      </c>
      <c r="C7143" s="17">
        <v>42</v>
      </c>
      <c r="D7143" s="17" t="s">
        <v>801</v>
      </c>
      <c r="E7143" s="18">
        <v>3005830276080</v>
      </c>
      <c r="G7143" s="20" t="str">
        <f t="shared" si="333"/>
        <v xml:space="preserve"> OSHOES          </v>
      </c>
      <c r="H7143" s="20" t="str">
        <f t="shared" si="334"/>
        <v>BLACK</v>
      </c>
      <c r="I7143" s="20">
        <f t="shared" si="335"/>
        <v>42</v>
      </c>
    </row>
    <row r="7144" spans="1:9">
      <c r="A7144" s="17" t="s">
        <v>2314</v>
      </c>
      <c r="B7144" s="17" t="s">
        <v>280</v>
      </c>
      <c r="C7144" s="17">
        <v>43</v>
      </c>
      <c r="D7144" s="17" t="s">
        <v>801</v>
      </c>
      <c r="E7144" s="18">
        <v>3005830276097</v>
      </c>
      <c r="G7144" s="20" t="str">
        <f t="shared" si="333"/>
        <v xml:space="preserve"> OSHOES          </v>
      </c>
      <c r="H7144" s="20" t="str">
        <f t="shared" si="334"/>
        <v>BLACK</v>
      </c>
      <c r="I7144" s="20">
        <f t="shared" si="335"/>
        <v>43</v>
      </c>
    </row>
    <row r="7145" spans="1:9">
      <c r="A7145" s="17" t="s">
        <v>2314</v>
      </c>
      <c r="B7145" s="17" t="s">
        <v>280</v>
      </c>
      <c r="C7145" s="17">
        <v>44</v>
      </c>
      <c r="D7145" s="17" t="s">
        <v>801</v>
      </c>
      <c r="E7145" s="18">
        <v>3005830276103</v>
      </c>
      <c r="G7145" s="20" t="str">
        <f t="shared" si="333"/>
        <v xml:space="preserve"> OSHOES          </v>
      </c>
      <c r="H7145" s="20" t="str">
        <f t="shared" si="334"/>
        <v>BLACK</v>
      </c>
      <c r="I7145" s="20">
        <f t="shared" si="335"/>
        <v>44</v>
      </c>
    </row>
    <row r="7146" spans="1:9">
      <c r="A7146" s="17" t="s">
        <v>2314</v>
      </c>
      <c r="B7146" s="17" t="s">
        <v>280</v>
      </c>
      <c r="C7146" s="17" t="s">
        <v>2318</v>
      </c>
      <c r="D7146" s="17" t="s">
        <v>801</v>
      </c>
      <c r="E7146" s="18">
        <v>3005830276110</v>
      </c>
      <c r="G7146" s="20" t="str">
        <f t="shared" si="333"/>
        <v xml:space="preserve"> OSHOES          </v>
      </c>
      <c r="H7146" s="20" t="str">
        <f t="shared" si="334"/>
        <v>BLACK</v>
      </c>
      <c r="I7146" s="20" t="str">
        <f t="shared" si="335"/>
        <v>45/46</v>
      </c>
    </row>
    <row r="7147" spans="1:9">
      <c r="A7147" s="17" t="s">
        <v>2314</v>
      </c>
      <c r="B7147" s="17" t="s">
        <v>857</v>
      </c>
      <c r="C7147" s="17" t="s">
        <v>2315</v>
      </c>
      <c r="D7147" s="17" t="s">
        <v>801</v>
      </c>
      <c r="E7147" s="18">
        <v>8056098538583</v>
      </c>
      <c r="G7147" s="20" t="str">
        <f t="shared" si="333"/>
        <v xml:space="preserve"> OSHOES          </v>
      </c>
      <c r="H7147" s="20" t="str">
        <f t="shared" si="334"/>
        <v>BLUET</v>
      </c>
      <c r="I7147" s="20" t="str">
        <f t="shared" si="335"/>
        <v>35/36</v>
      </c>
    </row>
    <row r="7148" spans="1:9">
      <c r="A7148" s="17" t="s">
        <v>2314</v>
      </c>
      <c r="B7148" s="17" t="s">
        <v>857</v>
      </c>
      <c r="C7148" s="17" t="s">
        <v>2315</v>
      </c>
      <c r="D7148" s="17" t="s">
        <v>801</v>
      </c>
      <c r="E7148" s="18">
        <v>3005831075002</v>
      </c>
      <c r="G7148" s="20" t="str">
        <f t="shared" si="333"/>
        <v xml:space="preserve"> OSHOES          </v>
      </c>
      <c r="H7148" s="20" t="str">
        <f t="shared" si="334"/>
        <v>BLUET</v>
      </c>
      <c r="I7148" s="20" t="str">
        <f t="shared" si="335"/>
        <v>35/36</v>
      </c>
    </row>
    <row r="7149" spans="1:9">
      <c r="A7149" s="17" t="s">
        <v>2314</v>
      </c>
      <c r="B7149" s="17" t="s">
        <v>857</v>
      </c>
      <c r="C7149" s="17">
        <v>37</v>
      </c>
      <c r="D7149" s="17" t="s">
        <v>801</v>
      </c>
      <c r="E7149" s="18">
        <v>8056098538590</v>
      </c>
      <c r="G7149" s="20" t="str">
        <f t="shared" si="333"/>
        <v xml:space="preserve"> OSHOES          </v>
      </c>
      <c r="H7149" s="20" t="str">
        <f t="shared" si="334"/>
        <v>BLUET</v>
      </c>
      <c r="I7149" s="20">
        <f t="shared" si="335"/>
        <v>37</v>
      </c>
    </row>
    <row r="7150" spans="1:9">
      <c r="A7150" s="17" t="s">
        <v>2314</v>
      </c>
      <c r="B7150" s="17" t="s">
        <v>857</v>
      </c>
      <c r="C7150" s="17">
        <v>37</v>
      </c>
      <c r="D7150" s="17" t="s">
        <v>801</v>
      </c>
      <c r="E7150" s="18">
        <v>3005831075019</v>
      </c>
      <c r="G7150" s="20" t="str">
        <f t="shared" si="333"/>
        <v xml:space="preserve"> OSHOES          </v>
      </c>
      <c r="H7150" s="20" t="str">
        <f t="shared" si="334"/>
        <v>BLUET</v>
      </c>
      <c r="I7150" s="20">
        <f t="shared" si="335"/>
        <v>37</v>
      </c>
    </row>
    <row r="7151" spans="1:9">
      <c r="A7151" s="17" t="s">
        <v>2314</v>
      </c>
      <c r="B7151" s="17" t="s">
        <v>857</v>
      </c>
      <c r="C7151" s="17">
        <v>38</v>
      </c>
      <c r="D7151" s="17" t="s">
        <v>801</v>
      </c>
      <c r="E7151" s="18">
        <v>8056098538606</v>
      </c>
      <c r="G7151" s="20" t="str">
        <f t="shared" si="333"/>
        <v xml:space="preserve"> OSHOES          </v>
      </c>
      <c r="H7151" s="20" t="str">
        <f t="shared" si="334"/>
        <v>BLUET</v>
      </c>
      <c r="I7151" s="20">
        <f t="shared" si="335"/>
        <v>38</v>
      </c>
    </row>
    <row r="7152" spans="1:9">
      <c r="A7152" s="17" t="s">
        <v>2314</v>
      </c>
      <c r="B7152" s="17" t="s">
        <v>857</v>
      </c>
      <c r="C7152" s="17">
        <v>38</v>
      </c>
      <c r="D7152" s="17" t="s">
        <v>801</v>
      </c>
      <c r="E7152" s="18">
        <v>3005831075026</v>
      </c>
      <c r="G7152" s="20" t="str">
        <f t="shared" si="333"/>
        <v xml:space="preserve"> OSHOES          </v>
      </c>
      <c r="H7152" s="20" t="str">
        <f t="shared" si="334"/>
        <v>BLUET</v>
      </c>
      <c r="I7152" s="20">
        <f t="shared" si="335"/>
        <v>38</v>
      </c>
    </row>
    <row r="7153" spans="1:9">
      <c r="A7153" s="17" t="s">
        <v>2314</v>
      </c>
      <c r="B7153" s="17" t="s">
        <v>857</v>
      </c>
      <c r="C7153" s="17">
        <v>39</v>
      </c>
      <c r="D7153" s="17" t="s">
        <v>801</v>
      </c>
      <c r="E7153" s="18">
        <v>8056098538613</v>
      </c>
      <c r="G7153" s="20" t="str">
        <f t="shared" si="333"/>
        <v xml:space="preserve"> OSHOES          </v>
      </c>
      <c r="H7153" s="20" t="str">
        <f t="shared" si="334"/>
        <v>BLUET</v>
      </c>
      <c r="I7153" s="20">
        <f t="shared" si="335"/>
        <v>39</v>
      </c>
    </row>
    <row r="7154" spans="1:9">
      <c r="A7154" s="17" t="s">
        <v>2314</v>
      </c>
      <c r="B7154" s="17" t="s">
        <v>857</v>
      </c>
      <c r="C7154" s="17">
        <v>39</v>
      </c>
      <c r="D7154" s="17" t="s">
        <v>801</v>
      </c>
      <c r="E7154" s="18">
        <v>3005831075033</v>
      </c>
      <c r="G7154" s="20" t="str">
        <f t="shared" si="333"/>
        <v xml:space="preserve"> OSHOES          </v>
      </c>
      <c r="H7154" s="20" t="str">
        <f t="shared" si="334"/>
        <v>BLUET</v>
      </c>
      <c r="I7154" s="20">
        <f t="shared" si="335"/>
        <v>39</v>
      </c>
    </row>
    <row r="7155" spans="1:9">
      <c r="A7155" s="17" t="s">
        <v>2314</v>
      </c>
      <c r="B7155" s="17" t="s">
        <v>857</v>
      </c>
      <c r="C7155" s="17" t="s">
        <v>2316</v>
      </c>
      <c r="D7155" s="17" t="s">
        <v>801</v>
      </c>
      <c r="E7155" s="18">
        <v>3005831075040</v>
      </c>
      <c r="G7155" s="20" t="str">
        <f t="shared" si="333"/>
        <v xml:space="preserve"> OSHOES          </v>
      </c>
      <c r="H7155" s="20" t="str">
        <f t="shared" si="334"/>
        <v>BLUET</v>
      </c>
      <c r="I7155" s="20" t="str">
        <f t="shared" si="335"/>
        <v>39/40</v>
      </c>
    </row>
    <row r="7156" spans="1:9">
      <c r="A7156" s="17" t="s">
        <v>2314</v>
      </c>
      <c r="B7156" s="17" t="s">
        <v>857</v>
      </c>
      <c r="C7156" s="17">
        <v>40</v>
      </c>
      <c r="D7156" s="17" t="s">
        <v>801</v>
      </c>
      <c r="E7156" s="18">
        <v>8056098538620</v>
      </c>
      <c r="G7156" s="20" t="str">
        <f t="shared" si="333"/>
        <v xml:space="preserve"> OSHOES          </v>
      </c>
      <c r="H7156" s="20" t="str">
        <f t="shared" si="334"/>
        <v>BLUET</v>
      </c>
      <c r="I7156" s="20">
        <f t="shared" si="335"/>
        <v>40</v>
      </c>
    </row>
    <row r="7157" spans="1:9">
      <c r="A7157" s="17" t="s">
        <v>2314</v>
      </c>
      <c r="B7157" s="17" t="s">
        <v>857</v>
      </c>
      <c r="C7157" s="17">
        <v>40</v>
      </c>
      <c r="D7157" s="17" t="s">
        <v>801</v>
      </c>
      <c r="E7157" s="18">
        <v>3005831075057</v>
      </c>
      <c r="G7157" s="20" t="str">
        <f t="shared" si="333"/>
        <v xml:space="preserve"> OSHOES          </v>
      </c>
      <c r="H7157" s="20" t="str">
        <f t="shared" si="334"/>
        <v>BLUET</v>
      </c>
      <c r="I7157" s="20">
        <f t="shared" si="335"/>
        <v>40</v>
      </c>
    </row>
    <row r="7158" spans="1:9">
      <c r="A7158" s="17" t="s">
        <v>2314</v>
      </c>
      <c r="B7158" s="17" t="s">
        <v>857</v>
      </c>
      <c r="C7158" s="17">
        <v>41</v>
      </c>
      <c r="D7158" s="17" t="s">
        <v>801</v>
      </c>
      <c r="E7158" s="18">
        <v>3005831075064</v>
      </c>
      <c r="G7158" s="20" t="str">
        <f t="shared" si="333"/>
        <v xml:space="preserve"> OSHOES          </v>
      </c>
      <c r="H7158" s="20" t="str">
        <f t="shared" si="334"/>
        <v>BLUET</v>
      </c>
      <c r="I7158" s="20">
        <f t="shared" si="335"/>
        <v>41</v>
      </c>
    </row>
    <row r="7159" spans="1:9">
      <c r="A7159" s="17" t="s">
        <v>2314</v>
      </c>
      <c r="B7159" s="17" t="s">
        <v>857</v>
      </c>
      <c r="C7159" s="17" t="s">
        <v>2317</v>
      </c>
      <c r="D7159" s="17" t="s">
        <v>801</v>
      </c>
      <c r="E7159" s="18">
        <v>8056098538644</v>
      </c>
      <c r="G7159" s="20" t="str">
        <f t="shared" si="333"/>
        <v xml:space="preserve"> OSHOES          </v>
      </c>
      <c r="H7159" s="20" t="str">
        <f t="shared" si="334"/>
        <v>BLUET</v>
      </c>
      <c r="I7159" s="20" t="str">
        <f t="shared" si="335"/>
        <v>41/42</v>
      </c>
    </row>
    <row r="7160" spans="1:9">
      <c r="A7160" s="17" t="s">
        <v>2314</v>
      </c>
      <c r="B7160" s="17" t="s">
        <v>857</v>
      </c>
      <c r="C7160" s="17" t="s">
        <v>2317</v>
      </c>
      <c r="D7160" s="17" t="s">
        <v>801</v>
      </c>
      <c r="E7160" s="18">
        <v>3005831075071</v>
      </c>
      <c r="G7160" s="20" t="str">
        <f t="shared" si="333"/>
        <v xml:space="preserve"> OSHOES          </v>
      </c>
      <c r="H7160" s="20" t="str">
        <f t="shared" si="334"/>
        <v>BLUET</v>
      </c>
      <c r="I7160" s="20" t="str">
        <f t="shared" si="335"/>
        <v>41/42</v>
      </c>
    </row>
    <row r="7161" spans="1:9">
      <c r="A7161" s="17" t="s">
        <v>2314</v>
      </c>
      <c r="B7161" s="17" t="s">
        <v>857</v>
      </c>
      <c r="C7161" s="17">
        <v>42</v>
      </c>
      <c r="D7161" s="17" t="s">
        <v>801</v>
      </c>
      <c r="E7161" s="18">
        <v>3005831075088</v>
      </c>
      <c r="G7161" s="20" t="str">
        <f t="shared" si="333"/>
        <v xml:space="preserve"> OSHOES          </v>
      </c>
      <c r="H7161" s="20" t="str">
        <f t="shared" si="334"/>
        <v>BLUET</v>
      </c>
      <c r="I7161" s="20">
        <f t="shared" si="335"/>
        <v>42</v>
      </c>
    </row>
    <row r="7162" spans="1:9">
      <c r="A7162" s="17" t="s">
        <v>2314</v>
      </c>
      <c r="B7162" s="17" t="s">
        <v>857</v>
      </c>
      <c r="C7162" s="17">
        <v>43</v>
      </c>
      <c r="D7162" s="17" t="s">
        <v>801</v>
      </c>
      <c r="E7162" s="18">
        <v>3005831075095</v>
      </c>
      <c r="G7162" s="20" t="str">
        <f t="shared" si="333"/>
        <v xml:space="preserve"> OSHOES          </v>
      </c>
      <c r="H7162" s="20" t="str">
        <f t="shared" si="334"/>
        <v>BLUET</v>
      </c>
      <c r="I7162" s="20">
        <f t="shared" si="335"/>
        <v>43</v>
      </c>
    </row>
    <row r="7163" spans="1:9">
      <c r="A7163" s="17" t="s">
        <v>2314</v>
      </c>
      <c r="B7163" s="17" t="s">
        <v>857</v>
      </c>
      <c r="C7163" s="17">
        <v>44</v>
      </c>
      <c r="D7163" s="17" t="s">
        <v>801</v>
      </c>
      <c r="E7163" s="18">
        <v>3005831075101</v>
      </c>
      <c r="G7163" s="20" t="str">
        <f t="shared" si="333"/>
        <v xml:space="preserve"> OSHOES          </v>
      </c>
      <c r="H7163" s="20" t="str">
        <f t="shared" si="334"/>
        <v>BLUET</v>
      </c>
      <c r="I7163" s="20">
        <f t="shared" si="335"/>
        <v>44</v>
      </c>
    </row>
    <row r="7164" spans="1:9">
      <c r="A7164" s="17" t="s">
        <v>2314</v>
      </c>
      <c r="B7164" s="17" t="s">
        <v>857</v>
      </c>
      <c r="C7164" s="17" t="s">
        <v>2318</v>
      </c>
      <c r="D7164" s="17" t="s">
        <v>801</v>
      </c>
      <c r="E7164" s="18">
        <v>3005831075118</v>
      </c>
      <c r="G7164" s="20" t="str">
        <f t="shared" si="333"/>
        <v xml:space="preserve"> OSHOES          </v>
      </c>
      <c r="H7164" s="20" t="str">
        <f t="shared" si="334"/>
        <v>BLUET</v>
      </c>
      <c r="I7164" s="20" t="str">
        <f t="shared" si="335"/>
        <v>45/46</v>
      </c>
    </row>
    <row r="7165" spans="1:9">
      <c r="A7165" s="17" t="s">
        <v>2314</v>
      </c>
      <c r="B7165" s="17" t="s">
        <v>1447</v>
      </c>
      <c r="C7165" s="17" t="s">
        <v>2315</v>
      </c>
      <c r="D7165" s="17" t="s">
        <v>801</v>
      </c>
      <c r="E7165" s="18">
        <v>8056098538378</v>
      </c>
      <c r="G7165" s="20" t="str">
        <f t="shared" si="333"/>
        <v xml:space="preserve"> OSHOES          </v>
      </c>
      <c r="H7165" s="20" t="str">
        <f t="shared" si="334"/>
        <v xml:space="preserve">FRAG </v>
      </c>
      <c r="I7165" s="20" t="str">
        <f t="shared" si="335"/>
        <v>35/36</v>
      </c>
    </row>
    <row r="7166" spans="1:9">
      <c r="A7166" s="17" t="s">
        <v>2314</v>
      </c>
      <c r="B7166" s="17" t="s">
        <v>1447</v>
      </c>
      <c r="C7166" s="17" t="s">
        <v>2315</v>
      </c>
      <c r="D7166" s="17" t="s">
        <v>801</v>
      </c>
      <c r="E7166" s="18">
        <v>3005830844005</v>
      </c>
      <c r="G7166" s="20" t="str">
        <f t="shared" si="333"/>
        <v xml:space="preserve"> OSHOES          </v>
      </c>
      <c r="H7166" s="20" t="str">
        <f t="shared" si="334"/>
        <v xml:space="preserve">FRAG </v>
      </c>
      <c r="I7166" s="20" t="str">
        <f t="shared" si="335"/>
        <v>35/36</v>
      </c>
    </row>
    <row r="7167" spans="1:9">
      <c r="A7167" s="17" t="s">
        <v>2314</v>
      </c>
      <c r="B7167" s="17" t="s">
        <v>1447</v>
      </c>
      <c r="C7167" s="17">
        <v>37</v>
      </c>
      <c r="D7167" s="17" t="s">
        <v>801</v>
      </c>
      <c r="E7167" s="18">
        <v>8056098538385</v>
      </c>
      <c r="G7167" s="20" t="str">
        <f t="shared" si="333"/>
        <v xml:space="preserve"> OSHOES          </v>
      </c>
      <c r="H7167" s="20" t="str">
        <f t="shared" si="334"/>
        <v xml:space="preserve">FRAG </v>
      </c>
      <c r="I7167" s="20">
        <f t="shared" si="335"/>
        <v>37</v>
      </c>
    </row>
    <row r="7168" spans="1:9">
      <c r="A7168" s="17" t="s">
        <v>2314</v>
      </c>
      <c r="B7168" s="17" t="s">
        <v>1447</v>
      </c>
      <c r="C7168" s="17">
        <v>37</v>
      </c>
      <c r="D7168" s="17" t="s">
        <v>801</v>
      </c>
      <c r="E7168" s="18">
        <v>3005830844012</v>
      </c>
      <c r="G7168" s="20" t="str">
        <f t="shared" si="333"/>
        <v xml:space="preserve"> OSHOES          </v>
      </c>
      <c r="H7168" s="20" t="str">
        <f t="shared" si="334"/>
        <v xml:space="preserve">FRAG </v>
      </c>
      <c r="I7168" s="20">
        <f t="shared" si="335"/>
        <v>37</v>
      </c>
    </row>
    <row r="7169" spans="1:9">
      <c r="A7169" s="17" t="s">
        <v>2314</v>
      </c>
      <c r="B7169" s="17" t="s">
        <v>1447</v>
      </c>
      <c r="C7169" s="17">
        <v>38</v>
      </c>
      <c r="D7169" s="17" t="s">
        <v>801</v>
      </c>
      <c r="E7169" s="18">
        <v>8056098538392</v>
      </c>
      <c r="G7169" s="20" t="str">
        <f t="shared" si="333"/>
        <v xml:space="preserve"> OSHOES          </v>
      </c>
      <c r="H7169" s="20" t="str">
        <f t="shared" si="334"/>
        <v xml:space="preserve">FRAG </v>
      </c>
      <c r="I7169" s="20">
        <f t="shared" si="335"/>
        <v>38</v>
      </c>
    </row>
    <row r="7170" spans="1:9">
      <c r="A7170" s="17" t="s">
        <v>2314</v>
      </c>
      <c r="B7170" s="17" t="s">
        <v>1447</v>
      </c>
      <c r="C7170" s="17">
        <v>38</v>
      </c>
      <c r="D7170" s="17" t="s">
        <v>801</v>
      </c>
      <c r="E7170" s="18">
        <v>3005830844029</v>
      </c>
      <c r="G7170" s="20" t="str">
        <f t="shared" si="333"/>
        <v xml:space="preserve"> OSHOES          </v>
      </c>
      <c r="H7170" s="20" t="str">
        <f t="shared" si="334"/>
        <v xml:space="preserve">FRAG </v>
      </c>
      <c r="I7170" s="20">
        <f t="shared" si="335"/>
        <v>38</v>
      </c>
    </row>
    <row r="7171" spans="1:9">
      <c r="A7171" s="17" t="s">
        <v>2314</v>
      </c>
      <c r="B7171" s="17" t="s">
        <v>1447</v>
      </c>
      <c r="C7171" s="17">
        <v>39</v>
      </c>
      <c r="D7171" s="17" t="s">
        <v>801</v>
      </c>
      <c r="E7171" s="18">
        <v>3005830844036</v>
      </c>
      <c r="G7171" s="20" t="str">
        <f t="shared" si="333"/>
        <v xml:space="preserve"> OSHOES          </v>
      </c>
      <c r="H7171" s="20" t="str">
        <f t="shared" si="334"/>
        <v xml:space="preserve">FRAG </v>
      </c>
      <c r="I7171" s="20">
        <f t="shared" si="335"/>
        <v>39</v>
      </c>
    </row>
    <row r="7172" spans="1:9">
      <c r="A7172" s="17" t="s">
        <v>2314</v>
      </c>
      <c r="B7172" s="17" t="s">
        <v>1447</v>
      </c>
      <c r="C7172" s="17" t="s">
        <v>2316</v>
      </c>
      <c r="D7172" s="17" t="s">
        <v>801</v>
      </c>
      <c r="E7172" s="18">
        <v>3005830844043</v>
      </c>
      <c r="G7172" s="20" t="str">
        <f t="shared" si="333"/>
        <v xml:space="preserve"> OSHOES          </v>
      </c>
      <c r="H7172" s="20" t="str">
        <f t="shared" si="334"/>
        <v xml:space="preserve">FRAG </v>
      </c>
      <c r="I7172" s="20" t="str">
        <f t="shared" si="335"/>
        <v>39/40</v>
      </c>
    </row>
    <row r="7173" spans="1:9">
      <c r="A7173" s="17" t="s">
        <v>2314</v>
      </c>
      <c r="B7173" s="17" t="s">
        <v>1447</v>
      </c>
      <c r="C7173" s="17">
        <v>40</v>
      </c>
      <c r="D7173" s="17" t="s">
        <v>801</v>
      </c>
      <c r="E7173" s="18">
        <v>8056098538408</v>
      </c>
      <c r="G7173" s="20" t="str">
        <f t="shared" ref="G7173:G7236" si="336">A7173</f>
        <v xml:space="preserve"> OSHOES          </v>
      </c>
      <c r="H7173" s="20" t="str">
        <f t="shared" ref="H7173:H7236" si="337">B7173</f>
        <v xml:space="preserve">FRAG </v>
      </c>
      <c r="I7173" s="20">
        <f t="shared" ref="I7173:I7236" si="338">C7173</f>
        <v>40</v>
      </c>
    </row>
    <row r="7174" spans="1:9">
      <c r="A7174" s="17" t="s">
        <v>2314</v>
      </c>
      <c r="B7174" s="17" t="s">
        <v>1447</v>
      </c>
      <c r="C7174" s="17">
        <v>40</v>
      </c>
      <c r="D7174" s="17" t="s">
        <v>801</v>
      </c>
      <c r="E7174" s="18">
        <v>3005830844050</v>
      </c>
      <c r="G7174" s="20" t="str">
        <f t="shared" si="336"/>
        <v xml:space="preserve"> OSHOES          </v>
      </c>
      <c r="H7174" s="20" t="str">
        <f t="shared" si="337"/>
        <v xml:space="preserve">FRAG </v>
      </c>
      <c r="I7174" s="20">
        <f t="shared" si="338"/>
        <v>40</v>
      </c>
    </row>
    <row r="7175" spans="1:9">
      <c r="A7175" s="17" t="s">
        <v>2314</v>
      </c>
      <c r="B7175" s="17" t="s">
        <v>1447</v>
      </c>
      <c r="C7175" s="17">
        <v>40</v>
      </c>
      <c r="D7175" s="17" t="s">
        <v>801</v>
      </c>
      <c r="E7175" s="18">
        <v>8056098538415</v>
      </c>
      <c r="G7175" s="20" t="str">
        <f t="shared" si="336"/>
        <v xml:space="preserve"> OSHOES          </v>
      </c>
      <c r="H7175" s="20" t="str">
        <f t="shared" si="337"/>
        <v xml:space="preserve">FRAG </v>
      </c>
      <c r="I7175" s="20">
        <f t="shared" si="338"/>
        <v>40</v>
      </c>
    </row>
    <row r="7176" spans="1:9">
      <c r="A7176" s="17" t="s">
        <v>2314</v>
      </c>
      <c r="B7176" s="17" t="s">
        <v>1447</v>
      </c>
      <c r="C7176" s="17">
        <v>41</v>
      </c>
      <c r="D7176" s="17" t="s">
        <v>801</v>
      </c>
      <c r="E7176" s="18">
        <v>3005830844067</v>
      </c>
      <c r="G7176" s="20" t="str">
        <f t="shared" si="336"/>
        <v xml:space="preserve"> OSHOES          </v>
      </c>
      <c r="H7176" s="20" t="str">
        <f t="shared" si="337"/>
        <v xml:space="preserve">FRAG </v>
      </c>
      <c r="I7176" s="20">
        <f t="shared" si="338"/>
        <v>41</v>
      </c>
    </row>
    <row r="7177" spans="1:9">
      <c r="A7177" s="17" t="s">
        <v>2314</v>
      </c>
      <c r="B7177" s="17" t="s">
        <v>1447</v>
      </c>
      <c r="C7177" s="17" t="s">
        <v>2317</v>
      </c>
      <c r="D7177" s="17" t="s">
        <v>801</v>
      </c>
      <c r="E7177" s="18">
        <v>8056098538439</v>
      </c>
      <c r="G7177" s="20" t="str">
        <f t="shared" si="336"/>
        <v xml:space="preserve"> OSHOES          </v>
      </c>
      <c r="H7177" s="20" t="str">
        <f t="shared" si="337"/>
        <v xml:space="preserve">FRAG </v>
      </c>
      <c r="I7177" s="20" t="str">
        <f t="shared" si="338"/>
        <v>41/42</v>
      </c>
    </row>
    <row r="7178" spans="1:9">
      <c r="A7178" s="17" t="s">
        <v>2314</v>
      </c>
      <c r="B7178" s="17" t="s">
        <v>1447</v>
      </c>
      <c r="C7178" s="17" t="s">
        <v>2317</v>
      </c>
      <c r="D7178" s="17" t="s">
        <v>801</v>
      </c>
      <c r="E7178" s="18">
        <v>3005830844074</v>
      </c>
      <c r="G7178" s="20" t="str">
        <f t="shared" si="336"/>
        <v xml:space="preserve"> OSHOES          </v>
      </c>
      <c r="H7178" s="20" t="str">
        <f t="shared" si="337"/>
        <v xml:space="preserve">FRAG </v>
      </c>
      <c r="I7178" s="20" t="str">
        <f t="shared" si="338"/>
        <v>41/42</v>
      </c>
    </row>
    <row r="7179" spans="1:9">
      <c r="A7179" s="17" t="s">
        <v>2314</v>
      </c>
      <c r="B7179" s="17" t="s">
        <v>1447</v>
      </c>
      <c r="C7179" s="17">
        <v>42</v>
      </c>
      <c r="D7179" s="17" t="s">
        <v>801</v>
      </c>
      <c r="E7179" s="18">
        <v>3005830844081</v>
      </c>
      <c r="G7179" s="20" t="str">
        <f t="shared" si="336"/>
        <v xml:space="preserve"> OSHOES          </v>
      </c>
      <c r="H7179" s="20" t="str">
        <f t="shared" si="337"/>
        <v xml:space="preserve">FRAG </v>
      </c>
      <c r="I7179" s="20">
        <f t="shared" si="338"/>
        <v>42</v>
      </c>
    </row>
    <row r="7180" spans="1:9">
      <c r="A7180" s="17" t="s">
        <v>2314</v>
      </c>
      <c r="B7180" s="17" t="s">
        <v>1447</v>
      </c>
      <c r="C7180" s="17">
        <v>43</v>
      </c>
      <c r="D7180" s="17" t="s">
        <v>801</v>
      </c>
      <c r="E7180" s="18">
        <v>3005830844098</v>
      </c>
      <c r="G7180" s="20" t="str">
        <f t="shared" si="336"/>
        <v xml:space="preserve"> OSHOES          </v>
      </c>
      <c r="H7180" s="20" t="str">
        <f t="shared" si="337"/>
        <v xml:space="preserve">FRAG </v>
      </c>
      <c r="I7180" s="20">
        <f t="shared" si="338"/>
        <v>43</v>
      </c>
    </row>
    <row r="7181" spans="1:9">
      <c r="A7181" s="17" t="s">
        <v>2314</v>
      </c>
      <c r="B7181" s="17" t="s">
        <v>1447</v>
      </c>
      <c r="C7181" s="17">
        <v>44</v>
      </c>
      <c r="D7181" s="17" t="s">
        <v>801</v>
      </c>
      <c r="E7181" s="18">
        <v>3005830844104</v>
      </c>
      <c r="G7181" s="20" t="str">
        <f t="shared" si="336"/>
        <v xml:space="preserve"> OSHOES          </v>
      </c>
      <c r="H7181" s="20" t="str">
        <f t="shared" si="337"/>
        <v xml:space="preserve">FRAG </v>
      </c>
      <c r="I7181" s="20">
        <f t="shared" si="338"/>
        <v>44</v>
      </c>
    </row>
    <row r="7182" spans="1:9">
      <c r="A7182" s="17" t="s">
        <v>2314</v>
      </c>
      <c r="B7182" s="17" t="s">
        <v>1447</v>
      </c>
      <c r="C7182" s="17" t="s">
        <v>2318</v>
      </c>
      <c r="D7182" s="17" t="s">
        <v>801</v>
      </c>
      <c r="E7182" s="18">
        <v>3005830844111</v>
      </c>
      <c r="G7182" s="20" t="str">
        <f t="shared" si="336"/>
        <v xml:space="preserve"> OSHOES          </v>
      </c>
      <c r="H7182" s="20" t="str">
        <f t="shared" si="337"/>
        <v xml:space="preserve">FRAG </v>
      </c>
      <c r="I7182" s="20" t="str">
        <f t="shared" si="338"/>
        <v>45/46</v>
      </c>
    </row>
    <row r="7183" spans="1:9">
      <c r="A7183" s="17" t="s">
        <v>2314</v>
      </c>
      <c r="B7183" s="17" t="s">
        <v>1079</v>
      </c>
      <c r="C7183" s="17" t="s">
        <v>2315</v>
      </c>
      <c r="D7183" s="17" t="s">
        <v>801</v>
      </c>
      <c r="E7183" s="18">
        <v>3005830410002</v>
      </c>
      <c r="G7183" s="20" t="str">
        <f t="shared" si="336"/>
        <v xml:space="preserve"> OSHOES          </v>
      </c>
      <c r="H7183" s="20" t="str">
        <f t="shared" si="337"/>
        <v xml:space="preserve">SLVG </v>
      </c>
      <c r="I7183" s="20" t="str">
        <f t="shared" si="338"/>
        <v>35/36</v>
      </c>
    </row>
    <row r="7184" spans="1:9">
      <c r="A7184" s="17" t="s">
        <v>2314</v>
      </c>
      <c r="B7184" s="17" t="s">
        <v>1079</v>
      </c>
      <c r="C7184" s="17">
        <v>37</v>
      </c>
      <c r="D7184" s="17" t="s">
        <v>801</v>
      </c>
      <c r="E7184" s="18">
        <v>3005830410019</v>
      </c>
      <c r="G7184" s="20" t="str">
        <f t="shared" si="336"/>
        <v xml:space="preserve"> OSHOES          </v>
      </c>
      <c r="H7184" s="20" t="str">
        <f t="shared" si="337"/>
        <v xml:space="preserve">SLVG </v>
      </c>
      <c r="I7184" s="20">
        <f t="shared" si="338"/>
        <v>37</v>
      </c>
    </row>
    <row r="7185" spans="1:9">
      <c r="A7185" s="17" t="s">
        <v>2314</v>
      </c>
      <c r="B7185" s="17" t="s">
        <v>1079</v>
      </c>
      <c r="C7185" s="17">
        <v>38</v>
      </c>
      <c r="D7185" s="17" t="s">
        <v>801</v>
      </c>
      <c r="E7185" s="18">
        <v>3005830410026</v>
      </c>
      <c r="G7185" s="20" t="str">
        <f t="shared" si="336"/>
        <v xml:space="preserve"> OSHOES          </v>
      </c>
      <c r="H7185" s="20" t="str">
        <f t="shared" si="337"/>
        <v xml:space="preserve">SLVG </v>
      </c>
      <c r="I7185" s="20">
        <f t="shared" si="338"/>
        <v>38</v>
      </c>
    </row>
    <row r="7186" spans="1:9">
      <c r="A7186" s="17" t="s">
        <v>2314</v>
      </c>
      <c r="B7186" s="17" t="s">
        <v>1079</v>
      </c>
      <c r="C7186" s="17">
        <v>39</v>
      </c>
      <c r="D7186" s="17" t="s">
        <v>801</v>
      </c>
      <c r="E7186" s="18">
        <v>3005830410033</v>
      </c>
      <c r="G7186" s="20" t="str">
        <f t="shared" si="336"/>
        <v xml:space="preserve"> OSHOES          </v>
      </c>
      <c r="H7186" s="20" t="str">
        <f t="shared" si="337"/>
        <v xml:space="preserve">SLVG </v>
      </c>
      <c r="I7186" s="20">
        <f t="shared" si="338"/>
        <v>39</v>
      </c>
    </row>
    <row r="7187" spans="1:9">
      <c r="A7187" s="17" t="s">
        <v>2314</v>
      </c>
      <c r="B7187" s="17" t="s">
        <v>1079</v>
      </c>
      <c r="C7187" s="17" t="s">
        <v>2316</v>
      </c>
      <c r="D7187" s="17" t="s">
        <v>801</v>
      </c>
      <c r="E7187" s="18">
        <v>3005830410040</v>
      </c>
      <c r="G7187" s="20" t="str">
        <f t="shared" si="336"/>
        <v xml:space="preserve"> OSHOES          </v>
      </c>
      <c r="H7187" s="20" t="str">
        <f t="shared" si="337"/>
        <v xml:space="preserve">SLVG </v>
      </c>
      <c r="I7187" s="20" t="str">
        <f t="shared" si="338"/>
        <v>39/40</v>
      </c>
    </row>
    <row r="7188" spans="1:9">
      <c r="A7188" s="17" t="s">
        <v>2314</v>
      </c>
      <c r="B7188" s="17" t="s">
        <v>1079</v>
      </c>
      <c r="C7188" s="17">
        <v>40</v>
      </c>
      <c r="D7188" s="17" t="s">
        <v>801</v>
      </c>
      <c r="E7188" s="18">
        <v>3005830410057</v>
      </c>
      <c r="G7188" s="20" t="str">
        <f t="shared" si="336"/>
        <v xml:space="preserve"> OSHOES          </v>
      </c>
      <c r="H7188" s="20" t="str">
        <f t="shared" si="337"/>
        <v xml:space="preserve">SLVG </v>
      </c>
      <c r="I7188" s="20">
        <f t="shared" si="338"/>
        <v>40</v>
      </c>
    </row>
    <row r="7189" spans="1:9">
      <c r="A7189" s="17" t="s">
        <v>2314</v>
      </c>
      <c r="B7189" s="17" t="s">
        <v>1079</v>
      </c>
      <c r="C7189" s="17">
        <v>41</v>
      </c>
      <c r="D7189" s="17" t="s">
        <v>801</v>
      </c>
      <c r="E7189" s="18">
        <v>3005830410064</v>
      </c>
      <c r="G7189" s="20" t="str">
        <f t="shared" si="336"/>
        <v xml:space="preserve"> OSHOES          </v>
      </c>
      <c r="H7189" s="20" t="str">
        <f t="shared" si="337"/>
        <v xml:space="preserve">SLVG </v>
      </c>
      <c r="I7189" s="20">
        <f t="shared" si="338"/>
        <v>41</v>
      </c>
    </row>
    <row r="7190" spans="1:9">
      <c r="A7190" s="17" t="s">
        <v>2314</v>
      </c>
      <c r="B7190" s="17" t="s">
        <v>1079</v>
      </c>
      <c r="C7190" s="17" t="s">
        <v>2317</v>
      </c>
      <c r="D7190" s="17" t="s">
        <v>801</v>
      </c>
      <c r="E7190" s="18">
        <v>3005830410071</v>
      </c>
      <c r="G7190" s="20" t="str">
        <f t="shared" si="336"/>
        <v xml:space="preserve"> OSHOES          </v>
      </c>
      <c r="H7190" s="20" t="str">
        <f t="shared" si="337"/>
        <v xml:space="preserve">SLVG </v>
      </c>
      <c r="I7190" s="20" t="str">
        <f t="shared" si="338"/>
        <v>41/42</v>
      </c>
    </row>
    <row r="7191" spans="1:9">
      <c r="A7191" s="17" t="s">
        <v>2314</v>
      </c>
      <c r="B7191" s="17" t="s">
        <v>1079</v>
      </c>
      <c r="C7191" s="17">
        <v>42</v>
      </c>
      <c r="D7191" s="17" t="s">
        <v>801</v>
      </c>
      <c r="E7191" s="18">
        <v>3005830410088</v>
      </c>
      <c r="G7191" s="20" t="str">
        <f t="shared" si="336"/>
        <v xml:space="preserve"> OSHOES          </v>
      </c>
      <c r="H7191" s="20" t="str">
        <f t="shared" si="337"/>
        <v xml:space="preserve">SLVG </v>
      </c>
      <c r="I7191" s="20">
        <f t="shared" si="338"/>
        <v>42</v>
      </c>
    </row>
    <row r="7192" spans="1:9">
      <c r="A7192" s="17" t="s">
        <v>2314</v>
      </c>
      <c r="B7192" s="17" t="s">
        <v>1079</v>
      </c>
      <c r="C7192" s="17">
        <v>43</v>
      </c>
      <c r="D7192" s="17" t="s">
        <v>801</v>
      </c>
      <c r="E7192" s="18">
        <v>3005830410095</v>
      </c>
      <c r="G7192" s="20" t="str">
        <f t="shared" si="336"/>
        <v xml:space="preserve"> OSHOES          </v>
      </c>
      <c r="H7192" s="20" t="str">
        <f t="shared" si="337"/>
        <v xml:space="preserve">SLVG </v>
      </c>
      <c r="I7192" s="20">
        <f t="shared" si="338"/>
        <v>43</v>
      </c>
    </row>
    <row r="7193" spans="1:9">
      <c r="A7193" s="17" t="s">
        <v>2314</v>
      </c>
      <c r="B7193" s="17" t="s">
        <v>1079</v>
      </c>
      <c r="C7193" s="17">
        <v>44</v>
      </c>
      <c r="D7193" s="17" t="s">
        <v>801</v>
      </c>
      <c r="E7193" s="18">
        <v>3005830410101</v>
      </c>
      <c r="G7193" s="20" t="str">
        <f t="shared" si="336"/>
        <v xml:space="preserve"> OSHOES          </v>
      </c>
      <c r="H7193" s="20" t="str">
        <f t="shared" si="337"/>
        <v xml:space="preserve">SLVG </v>
      </c>
      <c r="I7193" s="20">
        <f t="shared" si="338"/>
        <v>44</v>
      </c>
    </row>
    <row r="7194" spans="1:9">
      <c r="A7194" s="17" t="s">
        <v>2314</v>
      </c>
      <c r="B7194" s="17" t="s">
        <v>1079</v>
      </c>
      <c r="C7194" s="17" t="s">
        <v>2318</v>
      </c>
      <c r="D7194" s="17" t="s">
        <v>801</v>
      </c>
      <c r="E7194" s="18">
        <v>3005830410118</v>
      </c>
      <c r="G7194" s="20" t="str">
        <f t="shared" si="336"/>
        <v xml:space="preserve"> OSHOES          </v>
      </c>
      <c r="H7194" s="20" t="str">
        <f t="shared" si="337"/>
        <v xml:space="preserve">SLVG </v>
      </c>
      <c r="I7194" s="20" t="str">
        <f t="shared" si="338"/>
        <v>45/46</v>
      </c>
    </row>
    <row r="7195" spans="1:9">
      <c r="A7195" s="17" t="s">
        <v>2314</v>
      </c>
      <c r="B7195" s="17" t="s">
        <v>273</v>
      </c>
      <c r="C7195" s="17" t="s">
        <v>2315</v>
      </c>
      <c r="D7195" s="17" t="s">
        <v>801</v>
      </c>
      <c r="E7195" s="18">
        <v>8056098538231</v>
      </c>
      <c r="G7195" s="20" t="str">
        <f t="shared" si="336"/>
        <v xml:space="preserve"> OSHOES          </v>
      </c>
      <c r="H7195" s="20" t="str">
        <f t="shared" si="337"/>
        <v>WHITE</v>
      </c>
      <c r="I7195" s="20" t="str">
        <f t="shared" si="338"/>
        <v>35/36</v>
      </c>
    </row>
    <row r="7196" spans="1:9">
      <c r="A7196" s="17" t="s">
        <v>2314</v>
      </c>
      <c r="B7196" s="17" t="s">
        <v>273</v>
      </c>
      <c r="C7196" s="17" t="s">
        <v>2315</v>
      </c>
      <c r="D7196" s="17" t="s">
        <v>801</v>
      </c>
      <c r="E7196" s="18">
        <v>3005830440009</v>
      </c>
      <c r="G7196" s="20" t="str">
        <f t="shared" si="336"/>
        <v xml:space="preserve"> OSHOES          </v>
      </c>
      <c r="H7196" s="20" t="str">
        <f t="shared" si="337"/>
        <v>WHITE</v>
      </c>
      <c r="I7196" s="20" t="str">
        <f t="shared" si="338"/>
        <v>35/36</v>
      </c>
    </row>
    <row r="7197" spans="1:9">
      <c r="A7197" s="17" t="s">
        <v>2314</v>
      </c>
      <c r="B7197" s="17" t="s">
        <v>273</v>
      </c>
      <c r="C7197" s="17">
        <v>37</v>
      </c>
      <c r="D7197" s="17" t="s">
        <v>801</v>
      </c>
      <c r="E7197" s="18">
        <v>8056098538248</v>
      </c>
      <c r="G7197" s="20" t="str">
        <f t="shared" si="336"/>
        <v xml:space="preserve"> OSHOES          </v>
      </c>
      <c r="H7197" s="20" t="str">
        <f t="shared" si="337"/>
        <v>WHITE</v>
      </c>
      <c r="I7197" s="20">
        <f t="shared" si="338"/>
        <v>37</v>
      </c>
    </row>
    <row r="7198" spans="1:9">
      <c r="A7198" s="17" t="s">
        <v>2314</v>
      </c>
      <c r="B7198" s="17" t="s">
        <v>273</v>
      </c>
      <c r="C7198" s="17">
        <v>37</v>
      </c>
      <c r="D7198" s="17" t="s">
        <v>801</v>
      </c>
      <c r="E7198" s="18">
        <v>3005830440016</v>
      </c>
      <c r="G7198" s="20" t="str">
        <f t="shared" si="336"/>
        <v xml:space="preserve"> OSHOES          </v>
      </c>
      <c r="H7198" s="20" t="str">
        <f t="shared" si="337"/>
        <v>WHITE</v>
      </c>
      <c r="I7198" s="20">
        <f t="shared" si="338"/>
        <v>37</v>
      </c>
    </row>
    <row r="7199" spans="1:9">
      <c r="A7199" s="17" t="s">
        <v>2314</v>
      </c>
      <c r="B7199" s="17" t="s">
        <v>273</v>
      </c>
      <c r="C7199" s="17">
        <v>38</v>
      </c>
      <c r="D7199" s="17" t="s">
        <v>801</v>
      </c>
      <c r="E7199" s="18">
        <v>8056098538255</v>
      </c>
      <c r="G7199" s="20" t="str">
        <f t="shared" si="336"/>
        <v xml:space="preserve"> OSHOES          </v>
      </c>
      <c r="H7199" s="20" t="str">
        <f t="shared" si="337"/>
        <v>WHITE</v>
      </c>
      <c r="I7199" s="20">
        <f t="shared" si="338"/>
        <v>38</v>
      </c>
    </row>
    <row r="7200" spans="1:9">
      <c r="A7200" s="17" t="s">
        <v>2314</v>
      </c>
      <c r="B7200" s="17" t="s">
        <v>273</v>
      </c>
      <c r="C7200" s="17">
        <v>38</v>
      </c>
      <c r="D7200" s="17" t="s">
        <v>801</v>
      </c>
      <c r="E7200" s="18">
        <v>3005830440023</v>
      </c>
      <c r="G7200" s="20" t="str">
        <f t="shared" si="336"/>
        <v xml:space="preserve"> OSHOES          </v>
      </c>
      <c r="H7200" s="20" t="str">
        <f t="shared" si="337"/>
        <v>WHITE</v>
      </c>
      <c r="I7200" s="20">
        <f t="shared" si="338"/>
        <v>38</v>
      </c>
    </row>
    <row r="7201" spans="1:9">
      <c r="A7201" s="17" t="s">
        <v>2314</v>
      </c>
      <c r="B7201" s="17" t="s">
        <v>273</v>
      </c>
      <c r="C7201" s="17">
        <v>39</v>
      </c>
      <c r="D7201" s="17" t="s">
        <v>801</v>
      </c>
      <c r="E7201" s="18">
        <v>8056098538262</v>
      </c>
      <c r="G7201" s="20" t="str">
        <f t="shared" si="336"/>
        <v xml:space="preserve"> OSHOES          </v>
      </c>
      <c r="H7201" s="20" t="str">
        <f t="shared" si="337"/>
        <v>WHITE</v>
      </c>
      <c r="I7201" s="20">
        <f t="shared" si="338"/>
        <v>39</v>
      </c>
    </row>
    <row r="7202" spans="1:9">
      <c r="A7202" s="17" t="s">
        <v>2314</v>
      </c>
      <c r="B7202" s="17" t="s">
        <v>273</v>
      </c>
      <c r="C7202" s="17">
        <v>39</v>
      </c>
      <c r="D7202" s="17" t="s">
        <v>801</v>
      </c>
      <c r="E7202" s="18">
        <v>3005830440030</v>
      </c>
      <c r="G7202" s="20" t="str">
        <f t="shared" si="336"/>
        <v xml:space="preserve"> OSHOES          </v>
      </c>
      <c r="H7202" s="20" t="str">
        <f t="shared" si="337"/>
        <v>WHITE</v>
      </c>
      <c r="I7202" s="20">
        <f t="shared" si="338"/>
        <v>39</v>
      </c>
    </row>
    <row r="7203" spans="1:9">
      <c r="A7203" s="17" t="s">
        <v>2314</v>
      </c>
      <c r="B7203" s="17" t="s">
        <v>273</v>
      </c>
      <c r="C7203" s="17" t="s">
        <v>2316</v>
      </c>
      <c r="D7203" s="17" t="s">
        <v>801</v>
      </c>
      <c r="E7203" s="18">
        <v>3005830440047</v>
      </c>
      <c r="G7203" s="20" t="str">
        <f t="shared" si="336"/>
        <v xml:space="preserve"> OSHOES          </v>
      </c>
      <c r="H7203" s="20" t="str">
        <f t="shared" si="337"/>
        <v>WHITE</v>
      </c>
      <c r="I7203" s="20" t="str">
        <f t="shared" si="338"/>
        <v>39/40</v>
      </c>
    </row>
    <row r="7204" spans="1:9">
      <c r="A7204" s="17" t="s">
        <v>2314</v>
      </c>
      <c r="B7204" s="17" t="s">
        <v>273</v>
      </c>
      <c r="C7204" s="17">
        <v>40</v>
      </c>
      <c r="D7204" s="17" t="s">
        <v>801</v>
      </c>
      <c r="E7204" s="18">
        <v>8056098538279</v>
      </c>
      <c r="G7204" s="20" t="str">
        <f t="shared" si="336"/>
        <v xml:space="preserve"> OSHOES          </v>
      </c>
      <c r="H7204" s="20" t="str">
        <f t="shared" si="337"/>
        <v>WHITE</v>
      </c>
      <c r="I7204" s="20">
        <f t="shared" si="338"/>
        <v>40</v>
      </c>
    </row>
    <row r="7205" spans="1:9">
      <c r="A7205" s="17" t="s">
        <v>2314</v>
      </c>
      <c r="B7205" s="17" t="s">
        <v>273</v>
      </c>
      <c r="C7205" s="17">
        <v>40</v>
      </c>
      <c r="D7205" s="17" t="s">
        <v>801</v>
      </c>
      <c r="E7205" s="18">
        <v>3005830440054</v>
      </c>
      <c r="G7205" s="20" t="str">
        <f t="shared" si="336"/>
        <v xml:space="preserve"> OSHOES          </v>
      </c>
      <c r="H7205" s="20" t="str">
        <f t="shared" si="337"/>
        <v>WHITE</v>
      </c>
      <c r="I7205" s="20">
        <f t="shared" si="338"/>
        <v>40</v>
      </c>
    </row>
    <row r="7206" spans="1:9">
      <c r="A7206" s="17" t="s">
        <v>2314</v>
      </c>
      <c r="B7206" s="17" t="s">
        <v>273</v>
      </c>
      <c r="C7206" s="17">
        <v>41</v>
      </c>
      <c r="D7206" s="17" t="s">
        <v>801</v>
      </c>
      <c r="E7206" s="18">
        <v>3005830440061</v>
      </c>
      <c r="G7206" s="20" t="str">
        <f t="shared" si="336"/>
        <v xml:space="preserve"> OSHOES          </v>
      </c>
      <c r="H7206" s="20" t="str">
        <f t="shared" si="337"/>
        <v>WHITE</v>
      </c>
      <c r="I7206" s="20">
        <f t="shared" si="338"/>
        <v>41</v>
      </c>
    </row>
    <row r="7207" spans="1:9">
      <c r="A7207" s="17" t="s">
        <v>2314</v>
      </c>
      <c r="B7207" s="17" t="s">
        <v>273</v>
      </c>
      <c r="C7207" s="17" t="s">
        <v>2317</v>
      </c>
      <c r="D7207" s="17" t="s">
        <v>801</v>
      </c>
      <c r="E7207" s="18">
        <v>8056098538293</v>
      </c>
      <c r="G7207" s="20" t="str">
        <f t="shared" si="336"/>
        <v xml:space="preserve"> OSHOES          </v>
      </c>
      <c r="H7207" s="20" t="str">
        <f t="shared" si="337"/>
        <v>WHITE</v>
      </c>
      <c r="I7207" s="20" t="str">
        <f t="shared" si="338"/>
        <v>41/42</v>
      </c>
    </row>
    <row r="7208" spans="1:9">
      <c r="A7208" s="17" t="s">
        <v>2314</v>
      </c>
      <c r="B7208" s="17" t="s">
        <v>273</v>
      </c>
      <c r="C7208" s="17" t="s">
        <v>2317</v>
      </c>
      <c r="D7208" s="17" t="s">
        <v>801</v>
      </c>
      <c r="E7208" s="18">
        <v>3005830440078</v>
      </c>
      <c r="G7208" s="20" t="str">
        <f t="shared" si="336"/>
        <v xml:space="preserve"> OSHOES          </v>
      </c>
      <c r="H7208" s="20" t="str">
        <f t="shared" si="337"/>
        <v>WHITE</v>
      </c>
      <c r="I7208" s="20" t="str">
        <f t="shared" si="338"/>
        <v>41/42</v>
      </c>
    </row>
    <row r="7209" spans="1:9">
      <c r="A7209" s="17" t="s">
        <v>2314</v>
      </c>
      <c r="B7209" s="17" t="s">
        <v>273</v>
      </c>
      <c r="C7209" s="17">
        <v>42</v>
      </c>
      <c r="D7209" s="17" t="s">
        <v>801</v>
      </c>
      <c r="E7209" s="18">
        <v>3005830440085</v>
      </c>
      <c r="G7209" s="20" t="str">
        <f t="shared" si="336"/>
        <v xml:space="preserve"> OSHOES          </v>
      </c>
      <c r="H7209" s="20" t="str">
        <f t="shared" si="337"/>
        <v>WHITE</v>
      </c>
      <c r="I7209" s="20">
        <f t="shared" si="338"/>
        <v>42</v>
      </c>
    </row>
    <row r="7210" spans="1:9">
      <c r="A7210" s="17" t="s">
        <v>2314</v>
      </c>
      <c r="B7210" s="17" t="s">
        <v>273</v>
      </c>
      <c r="C7210" s="17">
        <v>43</v>
      </c>
      <c r="D7210" s="17" t="s">
        <v>801</v>
      </c>
      <c r="E7210" s="18">
        <v>3005830440092</v>
      </c>
      <c r="G7210" s="20" t="str">
        <f t="shared" si="336"/>
        <v xml:space="preserve"> OSHOES          </v>
      </c>
      <c r="H7210" s="20" t="str">
        <f t="shared" si="337"/>
        <v>WHITE</v>
      </c>
      <c r="I7210" s="20">
        <f t="shared" si="338"/>
        <v>43</v>
      </c>
    </row>
    <row r="7211" spans="1:9">
      <c r="A7211" s="17" t="s">
        <v>2314</v>
      </c>
      <c r="B7211" s="17" t="s">
        <v>273</v>
      </c>
      <c r="C7211" s="17">
        <v>44</v>
      </c>
      <c r="D7211" s="17" t="s">
        <v>801</v>
      </c>
      <c r="E7211" s="18">
        <v>3005830440108</v>
      </c>
      <c r="G7211" s="20" t="str">
        <f t="shared" si="336"/>
        <v xml:space="preserve"> OSHOES          </v>
      </c>
      <c r="H7211" s="20" t="str">
        <f t="shared" si="337"/>
        <v>WHITE</v>
      </c>
      <c r="I7211" s="20">
        <f t="shared" si="338"/>
        <v>44</v>
      </c>
    </row>
    <row r="7212" spans="1:9">
      <c r="A7212" s="17" t="s">
        <v>2314</v>
      </c>
      <c r="B7212" s="17" t="s">
        <v>273</v>
      </c>
      <c r="C7212" s="17" t="s">
        <v>2318</v>
      </c>
      <c r="D7212" s="17" t="s">
        <v>801</v>
      </c>
      <c r="E7212" s="18">
        <v>3005830440115</v>
      </c>
      <c r="G7212" s="20" t="str">
        <f t="shared" si="336"/>
        <v xml:space="preserve"> OSHOES          </v>
      </c>
      <c r="H7212" s="20" t="str">
        <f t="shared" si="337"/>
        <v>WHITE</v>
      </c>
      <c r="I7212" s="20" t="str">
        <f t="shared" si="338"/>
        <v>45/46</v>
      </c>
    </row>
    <row r="7213" spans="1:9">
      <c r="A7213" s="17" t="s">
        <v>2319</v>
      </c>
      <c r="B7213" s="17" t="s">
        <v>298</v>
      </c>
      <c r="C7213" s="17" t="s">
        <v>2315</v>
      </c>
      <c r="D7213" s="17" t="s">
        <v>801</v>
      </c>
      <c r="E7213" s="18">
        <v>3005790267005</v>
      </c>
      <c r="G7213" s="20" t="str">
        <f t="shared" si="336"/>
        <v xml:space="preserve"> OSHOESFLOWER    </v>
      </c>
      <c r="H7213" s="20" t="str">
        <f t="shared" si="337"/>
        <v>APPLE</v>
      </c>
      <c r="I7213" s="20" t="str">
        <f t="shared" si="338"/>
        <v>35/36</v>
      </c>
    </row>
    <row r="7214" spans="1:9">
      <c r="A7214" s="17" t="s">
        <v>2319</v>
      </c>
      <c r="B7214" s="17" t="s">
        <v>298</v>
      </c>
      <c r="C7214" s="17">
        <v>37</v>
      </c>
      <c r="D7214" s="17" t="s">
        <v>801</v>
      </c>
      <c r="E7214" s="18">
        <v>3005790267012</v>
      </c>
      <c r="G7214" s="20" t="str">
        <f t="shared" si="336"/>
        <v xml:space="preserve"> OSHOESFLOWER    </v>
      </c>
      <c r="H7214" s="20" t="str">
        <f t="shared" si="337"/>
        <v>APPLE</v>
      </c>
      <c r="I7214" s="20">
        <f t="shared" si="338"/>
        <v>37</v>
      </c>
    </row>
    <row r="7215" spans="1:9">
      <c r="A7215" s="17" t="s">
        <v>2319</v>
      </c>
      <c r="B7215" s="17" t="s">
        <v>298</v>
      </c>
      <c r="C7215" s="17">
        <v>38</v>
      </c>
      <c r="D7215" s="17" t="s">
        <v>801</v>
      </c>
      <c r="E7215" s="18">
        <v>3005790267029</v>
      </c>
      <c r="G7215" s="20" t="str">
        <f t="shared" si="336"/>
        <v xml:space="preserve"> OSHOESFLOWER    </v>
      </c>
      <c r="H7215" s="20" t="str">
        <f t="shared" si="337"/>
        <v>APPLE</v>
      </c>
      <c r="I7215" s="20">
        <f t="shared" si="338"/>
        <v>38</v>
      </c>
    </row>
    <row r="7216" spans="1:9">
      <c r="A7216" s="17" t="s">
        <v>2319</v>
      </c>
      <c r="B7216" s="17" t="s">
        <v>298</v>
      </c>
      <c r="C7216" s="17">
        <v>39</v>
      </c>
      <c r="D7216" s="17" t="s">
        <v>801</v>
      </c>
      <c r="E7216" s="18">
        <v>3005790267036</v>
      </c>
      <c r="G7216" s="20" t="str">
        <f t="shared" si="336"/>
        <v xml:space="preserve"> OSHOESFLOWER    </v>
      </c>
      <c r="H7216" s="20" t="str">
        <f t="shared" si="337"/>
        <v>APPLE</v>
      </c>
      <c r="I7216" s="20">
        <f t="shared" si="338"/>
        <v>39</v>
      </c>
    </row>
    <row r="7217" spans="1:9">
      <c r="A7217" s="17" t="s">
        <v>2319</v>
      </c>
      <c r="B7217" s="17" t="s">
        <v>298</v>
      </c>
      <c r="C7217" s="17">
        <v>40</v>
      </c>
      <c r="D7217" s="17" t="s">
        <v>801</v>
      </c>
      <c r="E7217" s="18">
        <v>3005790267043</v>
      </c>
      <c r="G7217" s="20" t="str">
        <f t="shared" si="336"/>
        <v xml:space="preserve"> OSHOESFLOWER    </v>
      </c>
      <c r="H7217" s="20" t="str">
        <f t="shared" si="337"/>
        <v>APPLE</v>
      </c>
      <c r="I7217" s="20">
        <f t="shared" si="338"/>
        <v>40</v>
      </c>
    </row>
    <row r="7218" spans="1:9">
      <c r="A7218" s="17" t="s">
        <v>2319</v>
      </c>
      <c r="B7218" s="17" t="s">
        <v>298</v>
      </c>
      <c r="C7218" s="17" t="s">
        <v>2317</v>
      </c>
      <c r="D7218" s="17" t="s">
        <v>801</v>
      </c>
      <c r="E7218" s="18">
        <v>3005790267050</v>
      </c>
      <c r="G7218" s="20" t="str">
        <f t="shared" si="336"/>
        <v xml:space="preserve"> OSHOESFLOWER    </v>
      </c>
      <c r="H7218" s="20" t="str">
        <f t="shared" si="337"/>
        <v>APPLE</v>
      </c>
      <c r="I7218" s="20" t="str">
        <f t="shared" si="338"/>
        <v>41/42</v>
      </c>
    </row>
    <row r="7219" spans="1:9">
      <c r="A7219" s="17" t="s">
        <v>2319</v>
      </c>
      <c r="B7219" s="17" t="s">
        <v>298</v>
      </c>
      <c r="C7219" s="17" t="s">
        <v>2317</v>
      </c>
      <c r="D7219" s="17" t="s">
        <v>801</v>
      </c>
      <c r="E7219" s="18">
        <v>8050846001169</v>
      </c>
      <c r="G7219" s="20" t="str">
        <f t="shared" si="336"/>
        <v xml:space="preserve"> OSHOESFLOWER    </v>
      </c>
      <c r="H7219" s="20" t="str">
        <f t="shared" si="337"/>
        <v>APPLE</v>
      </c>
      <c r="I7219" s="20" t="str">
        <f t="shared" si="338"/>
        <v>41/42</v>
      </c>
    </row>
    <row r="7220" spans="1:9">
      <c r="A7220" s="17" t="s">
        <v>2319</v>
      </c>
      <c r="B7220" s="17" t="s">
        <v>2006</v>
      </c>
      <c r="C7220" s="17" t="s">
        <v>2315</v>
      </c>
      <c r="D7220" s="17" t="s">
        <v>801</v>
      </c>
      <c r="E7220" s="18">
        <v>8050846001114</v>
      </c>
      <c r="G7220" s="20" t="str">
        <f t="shared" si="336"/>
        <v xml:space="preserve"> OSHOESFLOWER    </v>
      </c>
      <c r="H7220" s="20" t="str">
        <f t="shared" si="337"/>
        <v>BECCO</v>
      </c>
      <c r="I7220" s="20" t="str">
        <f t="shared" si="338"/>
        <v>35/36</v>
      </c>
    </row>
    <row r="7221" spans="1:9">
      <c r="A7221" s="17" t="s">
        <v>2319</v>
      </c>
      <c r="B7221" s="17" t="s">
        <v>2006</v>
      </c>
      <c r="C7221" s="17" t="s">
        <v>2315</v>
      </c>
      <c r="D7221" s="17" t="s">
        <v>801</v>
      </c>
      <c r="E7221" s="18">
        <v>3005791078006</v>
      </c>
      <c r="G7221" s="20" t="str">
        <f t="shared" si="336"/>
        <v xml:space="preserve"> OSHOESFLOWER    </v>
      </c>
      <c r="H7221" s="20" t="str">
        <f t="shared" si="337"/>
        <v>BECCO</v>
      </c>
      <c r="I7221" s="20" t="str">
        <f t="shared" si="338"/>
        <v>35/36</v>
      </c>
    </row>
    <row r="7222" spans="1:9">
      <c r="A7222" s="17" t="s">
        <v>2319</v>
      </c>
      <c r="B7222" s="17" t="s">
        <v>2006</v>
      </c>
      <c r="C7222" s="17" t="s">
        <v>2315</v>
      </c>
      <c r="D7222" s="17" t="s">
        <v>801</v>
      </c>
      <c r="E7222" s="18">
        <v>8050846001053</v>
      </c>
      <c r="G7222" s="20" t="str">
        <f t="shared" si="336"/>
        <v xml:space="preserve"> OSHOESFLOWER    </v>
      </c>
      <c r="H7222" s="20" t="str">
        <f t="shared" si="337"/>
        <v>BECCO</v>
      </c>
      <c r="I7222" s="20" t="str">
        <f t="shared" si="338"/>
        <v>35/36</v>
      </c>
    </row>
    <row r="7223" spans="1:9">
      <c r="A7223" s="17" t="s">
        <v>2319</v>
      </c>
      <c r="B7223" s="17" t="s">
        <v>2006</v>
      </c>
      <c r="C7223" s="17">
        <v>37</v>
      </c>
      <c r="D7223" s="17" t="s">
        <v>801</v>
      </c>
      <c r="E7223" s="18">
        <v>8050846001121</v>
      </c>
      <c r="G7223" s="20" t="str">
        <f t="shared" si="336"/>
        <v xml:space="preserve"> OSHOESFLOWER    </v>
      </c>
      <c r="H7223" s="20" t="str">
        <f t="shared" si="337"/>
        <v>BECCO</v>
      </c>
      <c r="I7223" s="20">
        <f t="shared" si="338"/>
        <v>37</v>
      </c>
    </row>
    <row r="7224" spans="1:9">
      <c r="A7224" s="17" t="s">
        <v>2319</v>
      </c>
      <c r="B7224" s="17" t="s">
        <v>2006</v>
      </c>
      <c r="C7224" s="17">
        <v>37</v>
      </c>
      <c r="D7224" s="17" t="s">
        <v>801</v>
      </c>
      <c r="E7224" s="18">
        <v>3005791078013</v>
      </c>
      <c r="G7224" s="20" t="str">
        <f t="shared" si="336"/>
        <v xml:space="preserve"> OSHOESFLOWER    </v>
      </c>
      <c r="H7224" s="20" t="str">
        <f t="shared" si="337"/>
        <v>BECCO</v>
      </c>
      <c r="I7224" s="20">
        <f t="shared" si="338"/>
        <v>37</v>
      </c>
    </row>
    <row r="7225" spans="1:9">
      <c r="A7225" s="17" t="s">
        <v>2319</v>
      </c>
      <c r="B7225" s="17" t="s">
        <v>2006</v>
      </c>
      <c r="C7225" s="17">
        <v>37</v>
      </c>
      <c r="D7225" s="17" t="s">
        <v>801</v>
      </c>
      <c r="E7225" s="18">
        <v>8050846001060</v>
      </c>
      <c r="G7225" s="20" t="str">
        <f t="shared" si="336"/>
        <v xml:space="preserve"> OSHOESFLOWER    </v>
      </c>
      <c r="H7225" s="20" t="str">
        <f t="shared" si="337"/>
        <v>BECCO</v>
      </c>
      <c r="I7225" s="20">
        <f t="shared" si="338"/>
        <v>37</v>
      </c>
    </row>
    <row r="7226" spans="1:9">
      <c r="A7226" s="17" t="s">
        <v>2319</v>
      </c>
      <c r="B7226" s="17" t="s">
        <v>2006</v>
      </c>
      <c r="C7226" s="17">
        <v>38</v>
      </c>
      <c r="D7226" s="17" t="s">
        <v>801</v>
      </c>
      <c r="E7226" s="18">
        <v>8050846001138</v>
      </c>
      <c r="G7226" s="20" t="str">
        <f t="shared" si="336"/>
        <v xml:space="preserve"> OSHOESFLOWER    </v>
      </c>
      <c r="H7226" s="20" t="str">
        <f t="shared" si="337"/>
        <v>BECCO</v>
      </c>
      <c r="I7226" s="20">
        <f t="shared" si="338"/>
        <v>38</v>
      </c>
    </row>
    <row r="7227" spans="1:9">
      <c r="A7227" s="17" t="s">
        <v>2319</v>
      </c>
      <c r="B7227" s="17" t="s">
        <v>2006</v>
      </c>
      <c r="C7227" s="17">
        <v>38</v>
      </c>
      <c r="D7227" s="17" t="s">
        <v>801</v>
      </c>
      <c r="E7227" s="18">
        <v>3005791078020</v>
      </c>
      <c r="G7227" s="20" t="str">
        <f t="shared" si="336"/>
        <v xml:space="preserve"> OSHOESFLOWER    </v>
      </c>
      <c r="H7227" s="20" t="str">
        <f t="shared" si="337"/>
        <v>BECCO</v>
      </c>
      <c r="I7227" s="20">
        <f t="shared" si="338"/>
        <v>38</v>
      </c>
    </row>
    <row r="7228" spans="1:9">
      <c r="A7228" s="17" t="s">
        <v>2319</v>
      </c>
      <c r="B7228" s="17" t="s">
        <v>2006</v>
      </c>
      <c r="C7228" s="17">
        <v>38</v>
      </c>
      <c r="D7228" s="17" t="s">
        <v>801</v>
      </c>
      <c r="E7228" s="18">
        <v>8050846001077</v>
      </c>
      <c r="G7228" s="20" t="str">
        <f t="shared" si="336"/>
        <v xml:space="preserve"> OSHOESFLOWER    </v>
      </c>
      <c r="H7228" s="20" t="str">
        <f t="shared" si="337"/>
        <v>BECCO</v>
      </c>
      <c r="I7228" s="20">
        <f t="shared" si="338"/>
        <v>38</v>
      </c>
    </row>
    <row r="7229" spans="1:9">
      <c r="A7229" s="17" t="s">
        <v>2319</v>
      </c>
      <c r="B7229" s="17" t="s">
        <v>2006</v>
      </c>
      <c r="C7229" s="17">
        <v>39</v>
      </c>
      <c r="D7229" s="17" t="s">
        <v>801</v>
      </c>
      <c r="E7229" s="18">
        <v>8050846001145</v>
      </c>
      <c r="G7229" s="20" t="str">
        <f t="shared" si="336"/>
        <v xml:space="preserve"> OSHOESFLOWER    </v>
      </c>
      <c r="H7229" s="20" t="str">
        <f t="shared" si="337"/>
        <v>BECCO</v>
      </c>
      <c r="I7229" s="20">
        <f t="shared" si="338"/>
        <v>39</v>
      </c>
    </row>
    <row r="7230" spans="1:9">
      <c r="A7230" s="17" t="s">
        <v>2319</v>
      </c>
      <c r="B7230" s="17" t="s">
        <v>2006</v>
      </c>
      <c r="C7230" s="17">
        <v>39</v>
      </c>
      <c r="D7230" s="17" t="s">
        <v>801</v>
      </c>
      <c r="E7230" s="18">
        <v>3005791078037</v>
      </c>
      <c r="G7230" s="20" t="str">
        <f t="shared" si="336"/>
        <v xml:space="preserve"> OSHOESFLOWER    </v>
      </c>
      <c r="H7230" s="20" t="str">
        <f t="shared" si="337"/>
        <v>BECCO</v>
      </c>
      <c r="I7230" s="20">
        <f t="shared" si="338"/>
        <v>39</v>
      </c>
    </row>
    <row r="7231" spans="1:9">
      <c r="A7231" s="17" t="s">
        <v>2319</v>
      </c>
      <c r="B7231" s="17" t="s">
        <v>2006</v>
      </c>
      <c r="C7231" s="17">
        <v>39</v>
      </c>
      <c r="D7231" s="17" t="s">
        <v>801</v>
      </c>
      <c r="E7231" s="18">
        <v>8050846001084</v>
      </c>
      <c r="G7231" s="20" t="str">
        <f t="shared" si="336"/>
        <v xml:space="preserve"> OSHOESFLOWER    </v>
      </c>
      <c r="H7231" s="20" t="str">
        <f t="shared" si="337"/>
        <v>BECCO</v>
      </c>
      <c r="I7231" s="20">
        <f t="shared" si="338"/>
        <v>39</v>
      </c>
    </row>
    <row r="7232" spans="1:9">
      <c r="A7232" s="17" t="s">
        <v>2319</v>
      </c>
      <c r="B7232" s="17" t="s">
        <v>2006</v>
      </c>
      <c r="C7232" s="17">
        <v>40</v>
      </c>
      <c r="D7232" s="17" t="s">
        <v>801</v>
      </c>
      <c r="E7232" s="18">
        <v>8050846001152</v>
      </c>
      <c r="G7232" s="20" t="str">
        <f t="shared" si="336"/>
        <v xml:space="preserve"> OSHOESFLOWER    </v>
      </c>
      <c r="H7232" s="20" t="str">
        <f t="shared" si="337"/>
        <v>BECCO</v>
      </c>
      <c r="I7232" s="20">
        <f t="shared" si="338"/>
        <v>40</v>
      </c>
    </row>
    <row r="7233" spans="1:9">
      <c r="A7233" s="17" t="s">
        <v>2319</v>
      </c>
      <c r="B7233" s="17" t="s">
        <v>2006</v>
      </c>
      <c r="C7233" s="17">
        <v>40</v>
      </c>
      <c r="D7233" s="17" t="s">
        <v>801</v>
      </c>
      <c r="E7233" s="18">
        <v>3005791078044</v>
      </c>
      <c r="G7233" s="20" t="str">
        <f t="shared" si="336"/>
        <v xml:space="preserve"> OSHOESFLOWER    </v>
      </c>
      <c r="H7233" s="20" t="str">
        <f t="shared" si="337"/>
        <v>BECCO</v>
      </c>
      <c r="I7233" s="20">
        <f t="shared" si="338"/>
        <v>40</v>
      </c>
    </row>
    <row r="7234" spans="1:9">
      <c r="A7234" s="17" t="s">
        <v>2319</v>
      </c>
      <c r="B7234" s="17" t="s">
        <v>2006</v>
      </c>
      <c r="C7234" s="17">
        <v>40</v>
      </c>
      <c r="D7234" s="17" t="s">
        <v>801</v>
      </c>
      <c r="E7234" s="18">
        <v>8050846001091</v>
      </c>
      <c r="G7234" s="20" t="str">
        <f t="shared" si="336"/>
        <v xml:space="preserve"> OSHOESFLOWER    </v>
      </c>
      <c r="H7234" s="20" t="str">
        <f t="shared" si="337"/>
        <v>BECCO</v>
      </c>
      <c r="I7234" s="20">
        <f t="shared" si="338"/>
        <v>40</v>
      </c>
    </row>
    <row r="7235" spans="1:9">
      <c r="A7235" s="17" t="s">
        <v>2319</v>
      </c>
      <c r="B7235" s="17" t="s">
        <v>2006</v>
      </c>
      <c r="C7235" s="17" t="s">
        <v>2317</v>
      </c>
      <c r="D7235" s="17" t="s">
        <v>801</v>
      </c>
      <c r="E7235" s="18">
        <v>3005791078051</v>
      </c>
      <c r="G7235" s="20" t="str">
        <f t="shared" si="336"/>
        <v xml:space="preserve"> OSHOESFLOWER    </v>
      </c>
      <c r="H7235" s="20" t="str">
        <f t="shared" si="337"/>
        <v>BECCO</v>
      </c>
      <c r="I7235" s="20" t="str">
        <f t="shared" si="338"/>
        <v>41/42</v>
      </c>
    </row>
    <row r="7236" spans="1:9">
      <c r="A7236" s="17" t="s">
        <v>2319</v>
      </c>
      <c r="B7236" s="17" t="s">
        <v>2006</v>
      </c>
      <c r="C7236" s="17" t="s">
        <v>2317</v>
      </c>
      <c r="D7236" s="17" t="s">
        <v>801</v>
      </c>
      <c r="E7236" s="18">
        <v>8050846001107</v>
      </c>
      <c r="G7236" s="20" t="str">
        <f t="shared" si="336"/>
        <v xml:space="preserve"> OSHOESFLOWER    </v>
      </c>
      <c r="H7236" s="20" t="str">
        <f t="shared" si="337"/>
        <v>BECCO</v>
      </c>
      <c r="I7236" s="20" t="str">
        <f t="shared" si="338"/>
        <v>41/42</v>
      </c>
    </row>
    <row r="7237" spans="1:9">
      <c r="A7237" s="17" t="s">
        <v>2319</v>
      </c>
      <c r="B7237" s="17" t="s">
        <v>283</v>
      </c>
      <c r="C7237" s="17" t="s">
        <v>2315</v>
      </c>
      <c r="D7237" s="17" t="s">
        <v>801</v>
      </c>
      <c r="E7237" s="18">
        <v>3005790871004</v>
      </c>
      <c r="G7237" s="20" t="str">
        <f t="shared" ref="G7237:G7300" si="339">A7237</f>
        <v xml:space="preserve"> OSHOESFLOWER    </v>
      </c>
      <c r="H7237" s="20" t="str">
        <f t="shared" ref="H7237:H7300" si="340">B7237</f>
        <v>PHARD</v>
      </c>
      <c r="I7237" s="20" t="str">
        <f t="shared" ref="I7237:I7300" si="341">C7237</f>
        <v>35/36</v>
      </c>
    </row>
    <row r="7238" spans="1:9">
      <c r="A7238" s="17" t="s">
        <v>2319</v>
      </c>
      <c r="B7238" s="17" t="s">
        <v>283</v>
      </c>
      <c r="C7238" s="17" t="s">
        <v>2315</v>
      </c>
      <c r="D7238" s="17" t="s">
        <v>801</v>
      </c>
      <c r="E7238" s="18">
        <v>8050846000742</v>
      </c>
      <c r="G7238" s="20" t="str">
        <f t="shared" si="339"/>
        <v xml:space="preserve"> OSHOESFLOWER    </v>
      </c>
      <c r="H7238" s="20" t="str">
        <f t="shared" si="340"/>
        <v>PHARD</v>
      </c>
      <c r="I7238" s="20" t="str">
        <f t="shared" si="341"/>
        <v>35/36</v>
      </c>
    </row>
    <row r="7239" spans="1:9">
      <c r="A7239" s="17" t="s">
        <v>2319</v>
      </c>
      <c r="B7239" s="17" t="s">
        <v>283</v>
      </c>
      <c r="C7239" s="17">
        <v>37</v>
      </c>
      <c r="D7239" s="17" t="s">
        <v>801</v>
      </c>
      <c r="E7239" s="18">
        <v>3005790871011</v>
      </c>
      <c r="G7239" s="20" t="str">
        <f t="shared" si="339"/>
        <v xml:space="preserve"> OSHOESFLOWER    </v>
      </c>
      <c r="H7239" s="20" t="str">
        <f t="shared" si="340"/>
        <v>PHARD</v>
      </c>
      <c r="I7239" s="20">
        <f t="shared" si="341"/>
        <v>37</v>
      </c>
    </row>
    <row r="7240" spans="1:9">
      <c r="A7240" s="17" t="s">
        <v>2319</v>
      </c>
      <c r="B7240" s="17" t="s">
        <v>283</v>
      </c>
      <c r="C7240" s="17">
        <v>37</v>
      </c>
      <c r="D7240" s="17" t="s">
        <v>801</v>
      </c>
      <c r="E7240" s="18">
        <v>8050846000759</v>
      </c>
      <c r="G7240" s="20" t="str">
        <f t="shared" si="339"/>
        <v xml:space="preserve"> OSHOESFLOWER    </v>
      </c>
      <c r="H7240" s="20" t="str">
        <f t="shared" si="340"/>
        <v>PHARD</v>
      </c>
      <c r="I7240" s="20">
        <f t="shared" si="341"/>
        <v>37</v>
      </c>
    </row>
    <row r="7241" spans="1:9">
      <c r="A7241" s="17" t="s">
        <v>2319</v>
      </c>
      <c r="B7241" s="17" t="s">
        <v>283</v>
      </c>
      <c r="C7241" s="17">
        <v>38</v>
      </c>
      <c r="D7241" s="17" t="s">
        <v>801</v>
      </c>
      <c r="E7241" s="18">
        <v>3005790871028</v>
      </c>
      <c r="G7241" s="20" t="str">
        <f t="shared" si="339"/>
        <v xml:space="preserve"> OSHOESFLOWER    </v>
      </c>
      <c r="H7241" s="20" t="str">
        <f t="shared" si="340"/>
        <v>PHARD</v>
      </c>
      <c r="I7241" s="20">
        <f t="shared" si="341"/>
        <v>38</v>
      </c>
    </row>
    <row r="7242" spans="1:9">
      <c r="A7242" s="17" t="s">
        <v>2319</v>
      </c>
      <c r="B7242" s="17" t="s">
        <v>283</v>
      </c>
      <c r="C7242" s="17">
        <v>38</v>
      </c>
      <c r="D7242" s="17" t="s">
        <v>801</v>
      </c>
      <c r="E7242" s="18">
        <v>8050846000766</v>
      </c>
      <c r="G7242" s="20" t="str">
        <f t="shared" si="339"/>
        <v xml:space="preserve"> OSHOESFLOWER    </v>
      </c>
      <c r="H7242" s="20" t="str">
        <f t="shared" si="340"/>
        <v>PHARD</v>
      </c>
      <c r="I7242" s="20">
        <f t="shared" si="341"/>
        <v>38</v>
      </c>
    </row>
    <row r="7243" spans="1:9">
      <c r="A7243" s="17" t="s">
        <v>2319</v>
      </c>
      <c r="B7243" s="17" t="s">
        <v>283</v>
      </c>
      <c r="C7243" s="17">
        <v>39</v>
      </c>
      <c r="D7243" s="17" t="s">
        <v>801</v>
      </c>
      <c r="E7243" s="18">
        <v>3005790871035</v>
      </c>
      <c r="G7243" s="20" t="str">
        <f t="shared" si="339"/>
        <v xml:space="preserve"> OSHOESFLOWER    </v>
      </c>
      <c r="H7243" s="20" t="str">
        <f t="shared" si="340"/>
        <v>PHARD</v>
      </c>
      <c r="I7243" s="20">
        <f t="shared" si="341"/>
        <v>39</v>
      </c>
    </row>
    <row r="7244" spans="1:9">
      <c r="A7244" s="17" t="s">
        <v>2319</v>
      </c>
      <c r="B7244" s="17" t="s">
        <v>283</v>
      </c>
      <c r="C7244" s="17">
        <v>39</v>
      </c>
      <c r="D7244" s="17" t="s">
        <v>801</v>
      </c>
      <c r="E7244" s="18">
        <v>8050846000773</v>
      </c>
      <c r="G7244" s="20" t="str">
        <f t="shared" si="339"/>
        <v xml:space="preserve"> OSHOESFLOWER    </v>
      </c>
      <c r="H7244" s="20" t="str">
        <f t="shared" si="340"/>
        <v>PHARD</v>
      </c>
      <c r="I7244" s="20">
        <f t="shared" si="341"/>
        <v>39</v>
      </c>
    </row>
    <row r="7245" spans="1:9">
      <c r="A7245" s="17" t="s">
        <v>2319</v>
      </c>
      <c r="B7245" s="17" t="s">
        <v>283</v>
      </c>
      <c r="C7245" s="17">
        <v>40</v>
      </c>
      <c r="D7245" s="17" t="s">
        <v>801</v>
      </c>
      <c r="E7245" s="18">
        <v>3005790871042</v>
      </c>
      <c r="G7245" s="20" t="str">
        <f t="shared" si="339"/>
        <v xml:space="preserve"> OSHOESFLOWER    </v>
      </c>
      <c r="H7245" s="20" t="str">
        <f t="shared" si="340"/>
        <v>PHARD</v>
      </c>
      <c r="I7245" s="20">
        <f t="shared" si="341"/>
        <v>40</v>
      </c>
    </row>
    <row r="7246" spans="1:9">
      <c r="A7246" s="17" t="s">
        <v>2319</v>
      </c>
      <c r="B7246" s="17" t="s">
        <v>283</v>
      </c>
      <c r="C7246" s="17">
        <v>40</v>
      </c>
      <c r="D7246" s="17" t="s">
        <v>801</v>
      </c>
      <c r="E7246" s="18">
        <v>8050846000971</v>
      </c>
      <c r="G7246" s="20" t="str">
        <f t="shared" si="339"/>
        <v xml:space="preserve"> OSHOESFLOWER    </v>
      </c>
      <c r="H7246" s="20" t="str">
        <f t="shared" si="340"/>
        <v>PHARD</v>
      </c>
      <c r="I7246" s="20">
        <f t="shared" si="341"/>
        <v>40</v>
      </c>
    </row>
    <row r="7247" spans="1:9">
      <c r="A7247" s="17" t="s">
        <v>2319</v>
      </c>
      <c r="B7247" s="17" t="s">
        <v>283</v>
      </c>
      <c r="C7247" s="17" t="s">
        <v>2317</v>
      </c>
      <c r="D7247" s="17" t="s">
        <v>801</v>
      </c>
      <c r="E7247" s="18">
        <v>3005790871059</v>
      </c>
      <c r="G7247" s="20" t="str">
        <f t="shared" si="339"/>
        <v xml:space="preserve"> OSHOESFLOWER    </v>
      </c>
      <c r="H7247" s="20" t="str">
        <f t="shared" si="340"/>
        <v>PHARD</v>
      </c>
      <c r="I7247" s="20" t="str">
        <f t="shared" si="341"/>
        <v>41/42</v>
      </c>
    </row>
    <row r="7248" spans="1:9">
      <c r="A7248" s="17" t="s">
        <v>2319</v>
      </c>
      <c r="B7248" s="17" t="s">
        <v>283</v>
      </c>
      <c r="C7248" s="17" t="s">
        <v>2317</v>
      </c>
      <c r="D7248" s="17" t="s">
        <v>801</v>
      </c>
      <c r="E7248" s="18">
        <v>8050846000988</v>
      </c>
      <c r="G7248" s="20" t="str">
        <f t="shared" si="339"/>
        <v xml:space="preserve"> OSHOESFLOWER    </v>
      </c>
      <c r="H7248" s="20" t="str">
        <f t="shared" si="340"/>
        <v>PHARD</v>
      </c>
      <c r="I7248" s="20" t="str">
        <f t="shared" si="341"/>
        <v>41/42</v>
      </c>
    </row>
    <row r="7249" spans="1:9">
      <c r="A7249" s="17" t="s">
        <v>2319</v>
      </c>
      <c r="B7249" s="17" t="s">
        <v>1664</v>
      </c>
      <c r="C7249" s="17" t="s">
        <v>2315</v>
      </c>
      <c r="D7249" s="17" t="s">
        <v>801</v>
      </c>
      <c r="E7249" s="18">
        <v>3005791079003</v>
      </c>
      <c r="G7249" s="20" t="str">
        <f t="shared" si="339"/>
        <v xml:space="preserve"> OSHOESFLOWER    </v>
      </c>
      <c r="H7249" s="20" t="str">
        <f t="shared" si="340"/>
        <v>VERAN</v>
      </c>
      <c r="I7249" s="20" t="str">
        <f t="shared" si="341"/>
        <v>35/36</v>
      </c>
    </row>
    <row r="7250" spans="1:9">
      <c r="A7250" s="17" t="s">
        <v>2319</v>
      </c>
      <c r="B7250" s="17" t="s">
        <v>1664</v>
      </c>
      <c r="C7250" s="17" t="s">
        <v>2315</v>
      </c>
      <c r="D7250" s="17" t="s">
        <v>801</v>
      </c>
      <c r="E7250" s="18">
        <v>8050846000995</v>
      </c>
      <c r="G7250" s="20" t="str">
        <f t="shared" si="339"/>
        <v xml:space="preserve"> OSHOESFLOWER    </v>
      </c>
      <c r="H7250" s="20" t="str">
        <f t="shared" si="340"/>
        <v>VERAN</v>
      </c>
      <c r="I7250" s="20" t="str">
        <f t="shared" si="341"/>
        <v>35/36</v>
      </c>
    </row>
    <row r="7251" spans="1:9">
      <c r="A7251" s="17" t="s">
        <v>2319</v>
      </c>
      <c r="B7251" s="17" t="s">
        <v>1664</v>
      </c>
      <c r="C7251" s="17">
        <v>37</v>
      </c>
      <c r="D7251" s="17" t="s">
        <v>801</v>
      </c>
      <c r="E7251" s="18">
        <v>3005791079010</v>
      </c>
      <c r="G7251" s="20" t="str">
        <f t="shared" si="339"/>
        <v xml:space="preserve"> OSHOESFLOWER    </v>
      </c>
      <c r="H7251" s="20" t="str">
        <f t="shared" si="340"/>
        <v>VERAN</v>
      </c>
      <c r="I7251" s="20">
        <f t="shared" si="341"/>
        <v>37</v>
      </c>
    </row>
    <row r="7252" spans="1:9">
      <c r="A7252" s="17" t="s">
        <v>2319</v>
      </c>
      <c r="B7252" s="17" t="s">
        <v>1664</v>
      </c>
      <c r="C7252" s="17">
        <v>37</v>
      </c>
      <c r="D7252" s="17" t="s">
        <v>801</v>
      </c>
      <c r="E7252" s="18">
        <v>8050846001008</v>
      </c>
      <c r="G7252" s="20" t="str">
        <f t="shared" si="339"/>
        <v xml:space="preserve"> OSHOESFLOWER    </v>
      </c>
      <c r="H7252" s="20" t="str">
        <f t="shared" si="340"/>
        <v>VERAN</v>
      </c>
      <c r="I7252" s="20">
        <f t="shared" si="341"/>
        <v>37</v>
      </c>
    </row>
    <row r="7253" spans="1:9">
      <c r="A7253" s="17" t="s">
        <v>2319</v>
      </c>
      <c r="B7253" s="17" t="s">
        <v>1664</v>
      </c>
      <c r="C7253" s="17">
        <v>38</v>
      </c>
      <c r="D7253" s="17" t="s">
        <v>801</v>
      </c>
      <c r="E7253" s="18">
        <v>3005791079027</v>
      </c>
      <c r="G7253" s="20" t="str">
        <f t="shared" si="339"/>
        <v xml:space="preserve"> OSHOESFLOWER    </v>
      </c>
      <c r="H7253" s="20" t="str">
        <f t="shared" si="340"/>
        <v>VERAN</v>
      </c>
      <c r="I7253" s="20">
        <f t="shared" si="341"/>
        <v>38</v>
      </c>
    </row>
    <row r="7254" spans="1:9">
      <c r="A7254" s="17" t="s">
        <v>2319</v>
      </c>
      <c r="B7254" s="17" t="s">
        <v>1664</v>
      </c>
      <c r="C7254" s="17">
        <v>38</v>
      </c>
      <c r="D7254" s="17" t="s">
        <v>801</v>
      </c>
      <c r="E7254" s="18">
        <v>8050846001015</v>
      </c>
      <c r="G7254" s="20" t="str">
        <f t="shared" si="339"/>
        <v xml:space="preserve"> OSHOESFLOWER    </v>
      </c>
      <c r="H7254" s="20" t="str">
        <f t="shared" si="340"/>
        <v>VERAN</v>
      </c>
      <c r="I7254" s="20">
        <f t="shared" si="341"/>
        <v>38</v>
      </c>
    </row>
    <row r="7255" spans="1:9">
      <c r="A7255" s="17" t="s">
        <v>2319</v>
      </c>
      <c r="B7255" s="17" t="s">
        <v>1664</v>
      </c>
      <c r="C7255" s="17">
        <v>39</v>
      </c>
      <c r="D7255" s="17" t="s">
        <v>801</v>
      </c>
      <c r="E7255" s="18">
        <v>3005791079034</v>
      </c>
      <c r="G7255" s="20" t="str">
        <f t="shared" si="339"/>
        <v xml:space="preserve"> OSHOESFLOWER    </v>
      </c>
      <c r="H7255" s="20" t="str">
        <f t="shared" si="340"/>
        <v>VERAN</v>
      </c>
      <c r="I7255" s="20">
        <f t="shared" si="341"/>
        <v>39</v>
      </c>
    </row>
    <row r="7256" spans="1:9">
      <c r="A7256" s="17" t="s">
        <v>2319</v>
      </c>
      <c r="B7256" s="17" t="s">
        <v>1664</v>
      </c>
      <c r="C7256" s="17">
        <v>39</v>
      </c>
      <c r="D7256" s="17" t="s">
        <v>801</v>
      </c>
      <c r="E7256" s="18">
        <v>8050846001022</v>
      </c>
      <c r="G7256" s="20" t="str">
        <f t="shared" si="339"/>
        <v xml:space="preserve"> OSHOESFLOWER    </v>
      </c>
      <c r="H7256" s="20" t="str">
        <f t="shared" si="340"/>
        <v>VERAN</v>
      </c>
      <c r="I7256" s="20">
        <f t="shared" si="341"/>
        <v>39</v>
      </c>
    </row>
    <row r="7257" spans="1:9">
      <c r="A7257" s="17" t="s">
        <v>2319</v>
      </c>
      <c r="B7257" s="17" t="s">
        <v>1664</v>
      </c>
      <c r="C7257" s="17">
        <v>40</v>
      </c>
      <c r="D7257" s="17" t="s">
        <v>801</v>
      </c>
      <c r="E7257" s="18">
        <v>3005791079041</v>
      </c>
      <c r="G7257" s="20" t="str">
        <f t="shared" si="339"/>
        <v xml:space="preserve"> OSHOESFLOWER    </v>
      </c>
      <c r="H7257" s="20" t="str">
        <f t="shared" si="340"/>
        <v>VERAN</v>
      </c>
      <c r="I7257" s="20">
        <f t="shared" si="341"/>
        <v>40</v>
      </c>
    </row>
    <row r="7258" spans="1:9">
      <c r="A7258" s="17" t="s">
        <v>2319</v>
      </c>
      <c r="B7258" s="17" t="s">
        <v>1664</v>
      </c>
      <c r="C7258" s="17">
        <v>40</v>
      </c>
      <c r="D7258" s="17" t="s">
        <v>801</v>
      </c>
      <c r="E7258" s="18">
        <v>8050846001039</v>
      </c>
      <c r="G7258" s="20" t="str">
        <f t="shared" si="339"/>
        <v xml:space="preserve"> OSHOESFLOWER    </v>
      </c>
      <c r="H7258" s="20" t="str">
        <f t="shared" si="340"/>
        <v>VERAN</v>
      </c>
      <c r="I7258" s="20">
        <f t="shared" si="341"/>
        <v>40</v>
      </c>
    </row>
    <row r="7259" spans="1:9">
      <c r="A7259" s="17" t="s">
        <v>2319</v>
      </c>
      <c r="B7259" s="17" t="s">
        <v>1664</v>
      </c>
      <c r="C7259" s="17" t="s">
        <v>2317</v>
      </c>
      <c r="D7259" s="17" t="s">
        <v>801</v>
      </c>
      <c r="E7259" s="18">
        <v>3005791079058</v>
      </c>
      <c r="G7259" s="20" t="str">
        <f t="shared" si="339"/>
        <v xml:space="preserve"> OSHOESFLOWER    </v>
      </c>
      <c r="H7259" s="20" t="str">
        <f t="shared" si="340"/>
        <v>VERAN</v>
      </c>
      <c r="I7259" s="20" t="str">
        <f t="shared" si="341"/>
        <v>41/42</v>
      </c>
    </row>
    <row r="7260" spans="1:9">
      <c r="A7260" s="17" t="s">
        <v>2319</v>
      </c>
      <c r="B7260" s="17" t="s">
        <v>1664</v>
      </c>
      <c r="C7260" s="17" t="s">
        <v>2317</v>
      </c>
      <c r="D7260" s="17" t="s">
        <v>801</v>
      </c>
      <c r="E7260" s="18">
        <v>8050846001046</v>
      </c>
      <c r="G7260" s="20" t="str">
        <f t="shared" si="339"/>
        <v xml:space="preserve"> OSHOESFLOWER    </v>
      </c>
      <c r="H7260" s="20" t="str">
        <f t="shared" si="340"/>
        <v>VERAN</v>
      </c>
      <c r="I7260" s="20" t="str">
        <f t="shared" si="341"/>
        <v>41/42</v>
      </c>
    </row>
    <row r="7261" spans="1:9">
      <c r="A7261" s="17" t="s">
        <v>2319</v>
      </c>
      <c r="B7261" s="17" t="s">
        <v>273</v>
      </c>
      <c r="C7261" s="17" t="s">
        <v>2315</v>
      </c>
      <c r="D7261" s="17" t="s">
        <v>801</v>
      </c>
      <c r="E7261" s="18">
        <v>3005790440002</v>
      </c>
      <c r="G7261" s="20" t="str">
        <f t="shared" si="339"/>
        <v xml:space="preserve"> OSHOESFLOWER    </v>
      </c>
      <c r="H7261" s="20" t="str">
        <f t="shared" si="340"/>
        <v>WHITE</v>
      </c>
      <c r="I7261" s="20" t="str">
        <f t="shared" si="341"/>
        <v>35/36</v>
      </c>
    </row>
    <row r="7262" spans="1:9">
      <c r="A7262" s="17" t="s">
        <v>2319</v>
      </c>
      <c r="B7262" s="17" t="s">
        <v>273</v>
      </c>
      <c r="C7262" s="17" t="s">
        <v>2315</v>
      </c>
      <c r="D7262" s="17" t="s">
        <v>801</v>
      </c>
      <c r="E7262" s="18">
        <v>8050846008564</v>
      </c>
      <c r="G7262" s="20" t="str">
        <f t="shared" si="339"/>
        <v xml:space="preserve"> OSHOESFLOWER    </v>
      </c>
      <c r="H7262" s="20" t="str">
        <f t="shared" si="340"/>
        <v>WHITE</v>
      </c>
      <c r="I7262" s="20" t="str">
        <f t="shared" si="341"/>
        <v>35/36</v>
      </c>
    </row>
    <row r="7263" spans="1:9">
      <c r="A7263" s="17" t="s">
        <v>2319</v>
      </c>
      <c r="B7263" s="17" t="s">
        <v>273</v>
      </c>
      <c r="C7263" s="17">
        <v>37</v>
      </c>
      <c r="D7263" s="17" t="s">
        <v>801</v>
      </c>
      <c r="E7263" s="18">
        <v>3005790440019</v>
      </c>
      <c r="G7263" s="20" t="str">
        <f t="shared" si="339"/>
        <v xml:space="preserve"> OSHOESFLOWER    </v>
      </c>
      <c r="H7263" s="20" t="str">
        <f t="shared" si="340"/>
        <v>WHITE</v>
      </c>
      <c r="I7263" s="20">
        <f t="shared" si="341"/>
        <v>37</v>
      </c>
    </row>
    <row r="7264" spans="1:9">
      <c r="A7264" s="17" t="s">
        <v>2319</v>
      </c>
      <c r="B7264" s="17" t="s">
        <v>273</v>
      </c>
      <c r="C7264" s="17">
        <v>37</v>
      </c>
      <c r="D7264" s="17" t="s">
        <v>801</v>
      </c>
      <c r="E7264" s="18">
        <v>8050846008571</v>
      </c>
      <c r="G7264" s="20" t="str">
        <f t="shared" si="339"/>
        <v xml:space="preserve"> OSHOESFLOWER    </v>
      </c>
      <c r="H7264" s="20" t="str">
        <f t="shared" si="340"/>
        <v>WHITE</v>
      </c>
      <c r="I7264" s="20">
        <f t="shared" si="341"/>
        <v>37</v>
      </c>
    </row>
    <row r="7265" spans="1:9">
      <c r="A7265" s="17" t="s">
        <v>2319</v>
      </c>
      <c r="B7265" s="17" t="s">
        <v>273</v>
      </c>
      <c r="C7265" s="17">
        <v>38</v>
      </c>
      <c r="D7265" s="17" t="s">
        <v>801</v>
      </c>
      <c r="E7265" s="18">
        <v>3005790440026</v>
      </c>
      <c r="G7265" s="20" t="str">
        <f t="shared" si="339"/>
        <v xml:space="preserve"> OSHOESFLOWER    </v>
      </c>
      <c r="H7265" s="20" t="str">
        <f t="shared" si="340"/>
        <v>WHITE</v>
      </c>
      <c r="I7265" s="20">
        <f t="shared" si="341"/>
        <v>38</v>
      </c>
    </row>
    <row r="7266" spans="1:9">
      <c r="A7266" s="17" t="s">
        <v>2319</v>
      </c>
      <c r="B7266" s="17" t="s">
        <v>273</v>
      </c>
      <c r="C7266" s="17">
        <v>38</v>
      </c>
      <c r="D7266" s="17" t="s">
        <v>801</v>
      </c>
      <c r="E7266" s="18">
        <v>8050846008588</v>
      </c>
      <c r="G7266" s="20" t="str">
        <f t="shared" si="339"/>
        <v xml:space="preserve"> OSHOESFLOWER    </v>
      </c>
      <c r="H7266" s="20" t="str">
        <f t="shared" si="340"/>
        <v>WHITE</v>
      </c>
      <c r="I7266" s="20">
        <f t="shared" si="341"/>
        <v>38</v>
      </c>
    </row>
    <row r="7267" spans="1:9">
      <c r="A7267" s="17" t="s">
        <v>2319</v>
      </c>
      <c r="B7267" s="17" t="s">
        <v>273</v>
      </c>
      <c r="C7267" s="17">
        <v>39</v>
      </c>
      <c r="D7267" s="17" t="s">
        <v>801</v>
      </c>
      <c r="E7267" s="18">
        <v>3005790440033</v>
      </c>
      <c r="G7267" s="20" t="str">
        <f t="shared" si="339"/>
        <v xml:space="preserve"> OSHOESFLOWER    </v>
      </c>
      <c r="H7267" s="20" t="str">
        <f t="shared" si="340"/>
        <v>WHITE</v>
      </c>
      <c r="I7267" s="20">
        <f t="shared" si="341"/>
        <v>39</v>
      </c>
    </row>
    <row r="7268" spans="1:9">
      <c r="A7268" s="17" t="s">
        <v>2319</v>
      </c>
      <c r="B7268" s="17" t="s">
        <v>273</v>
      </c>
      <c r="C7268" s="17">
        <v>39</v>
      </c>
      <c r="D7268" s="17" t="s">
        <v>801</v>
      </c>
      <c r="E7268" s="18">
        <v>8050846008595</v>
      </c>
      <c r="G7268" s="20" t="str">
        <f t="shared" si="339"/>
        <v xml:space="preserve"> OSHOESFLOWER    </v>
      </c>
      <c r="H7268" s="20" t="str">
        <f t="shared" si="340"/>
        <v>WHITE</v>
      </c>
      <c r="I7268" s="20">
        <f t="shared" si="341"/>
        <v>39</v>
      </c>
    </row>
    <row r="7269" spans="1:9">
      <c r="A7269" s="17" t="s">
        <v>2319</v>
      </c>
      <c r="B7269" s="17" t="s">
        <v>273</v>
      </c>
      <c r="C7269" s="17">
        <v>40</v>
      </c>
      <c r="D7269" s="17" t="s">
        <v>801</v>
      </c>
      <c r="E7269" s="18">
        <v>3005790440040</v>
      </c>
      <c r="G7269" s="20" t="str">
        <f t="shared" si="339"/>
        <v xml:space="preserve"> OSHOESFLOWER    </v>
      </c>
      <c r="H7269" s="20" t="str">
        <f t="shared" si="340"/>
        <v>WHITE</v>
      </c>
      <c r="I7269" s="20">
        <f t="shared" si="341"/>
        <v>40</v>
      </c>
    </row>
    <row r="7270" spans="1:9">
      <c r="A7270" s="17" t="s">
        <v>2319</v>
      </c>
      <c r="B7270" s="17" t="s">
        <v>273</v>
      </c>
      <c r="C7270" s="17">
        <v>40</v>
      </c>
      <c r="D7270" s="17" t="s">
        <v>801</v>
      </c>
      <c r="E7270" s="18">
        <v>8050846008601</v>
      </c>
      <c r="G7270" s="20" t="str">
        <f t="shared" si="339"/>
        <v xml:space="preserve"> OSHOESFLOWER    </v>
      </c>
      <c r="H7270" s="20" t="str">
        <f t="shared" si="340"/>
        <v>WHITE</v>
      </c>
      <c r="I7270" s="20">
        <f t="shared" si="341"/>
        <v>40</v>
      </c>
    </row>
    <row r="7271" spans="1:9">
      <c r="A7271" s="17" t="s">
        <v>2319</v>
      </c>
      <c r="B7271" s="17" t="s">
        <v>273</v>
      </c>
      <c r="C7271" s="17" t="s">
        <v>2317</v>
      </c>
      <c r="D7271" s="17" t="s">
        <v>801</v>
      </c>
      <c r="E7271" s="18">
        <v>3005790440057</v>
      </c>
      <c r="G7271" s="20" t="str">
        <f t="shared" si="339"/>
        <v xml:space="preserve"> OSHOESFLOWER    </v>
      </c>
      <c r="H7271" s="20" t="str">
        <f t="shared" si="340"/>
        <v>WHITE</v>
      </c>
      <c r="I7271" s="20" t="str">
        <f t="shared" si="341"/>
        <v>41/42</v>
      </c>
    </row>
    <row r="7272" spans="1:9">
      <c r="A7272" s="17" t="s">
        <v>2319</v>
      </c>
      <c r="B7272" s="17" t="s">
        <v>273</v>
      </c>
      <c r="C7272" s="17" t="s">
        <v>2317</v>
      </c>
      <c r="D7272" s="17" t="s">
        <v>801</v>
      </c>
      <c r="E7272" s="18">
        <v>8050846008618</v>
      </c>
      <c r="G7272" s="20" t="str">
        <f t="shared" si="339"/>
        <v xml:space="preserve"> OSHOESFLOWER    </v>
      </c>
      <c r="H7272" s="20" t="str">
        <f t="shared" si="340"/>
        <v>WHITE</v>
      </c>
      <c r="I7272" s="20" t="str">
        <f t="shared" si="341"/>
        <v>41/42</v>
      </c>
    </row>
    <row r="7273" spans="1:9">
      <c r="A7273" s="17" t="s">
        <v>2320</v>
      </c>
      <c r="B7273" s="17" t="s">
        <v>963</v>
      </c>
      <c r="C7273" s="17" t="s">
        <v>2315</v>
      </c>
      <c r="D7273" s="17" t="s">
        <v>801</v>
      </c>
      <c r="E7273" s="18">
        <v>3004730691009</v>
      </c>
      <c r="G7273" s="20" t="str">
        <f t="shared" si="339"/>
        <v xml:space="preserve"> OSHOESHIGH      </v>
      </c>
      <c r="H7273" s="20" t="str">
        <f t="shared" si="340"/>
        <v>AMARA</v>
      </c>
      <c r="I7273" s="20" t="str">
        <f t="shared" si="341"/>
        <v>35/36</v>
      </c>
    </row>
    <row r="7274" spans="1:9">
      <c r="A7274" s="17" t="s">
        <v>2320</v>
      </c>
      <c r="B7274" s="17" t="s">
        <v>963</v>
      </c>
      <c r="C7274" s="17">
        <v>37</v>
      </c>
      <c r="D7274" s="17" t="s">
        <v>801</v>
      </c>
      <c r="E7274" s="18">
        <v>3004730691016</v>
      </c>
      <c r="G7274" s="20" t="str">
        <f t="shared" si="339"/>
        <v xml:space="preserve"> OSHOESHIGH      </v>
      </c>
      <c r="H7274" s="20" t="str">
        <f t="shared" si="340"/>
        <v>AMARA</v>
      </c>
      <c r="I7274" s="20">
        <f t="shared" si="341"/>
        <v>37</v>
      </c>
    </row>
    <row r="7275" spans="1:9">
      <c r="A7275" s="17" t="s">
        <v>2320</v>
      </c>
      <c r="B7275" s="17" t="s">
        <v>963</v>
      </c>
      <c r="C7275" s="17">
        <v>38</v>
      </c>
      <c r="D7275" s="17" t="s">
        <v>801</v>
      </c>
      <c r="E7275" s="18">
        <v>3004730691023</v>
      </c>
      <c r="G7275" s="20" t="str">
        <f t="shared" si="339"/>
        <v xml:space="preserve"> OSHOESHIGH      </v>
      </c>
      <c r="H7275" s="20" t="str">
        <f t="shared" si="340"/>
        <v>AMARA</v>
      </c>
      <c r="I7275" s="20">
        <f t="shared" si="341"/>
        <v>38</v>
      </c>
    </row>
    <row r="7276" spans="1:9">
      <c r="A7276" s="17" t="s">
        <v>2320</v>
      </c>
      <c r="B7276" s="17" t="s">
        <v>963</v>
      </c>
      <c r="C7276" s="17">
        <v>39</v>
      </c>
      <c r="D7276" s="17" t="s">
        <v>801</v>
      </c>
      <c r="E7276" s="18">
        <v>3004730691030</v>
      </c>
      <c r="G7276" s="20" t="str">
        <f t="shared" si="339"/>
        <v xml:space="preserve"> OSHOESHIGH      </v>
      </c>
      <c r="H7276" s="20" t="str">
        <f t="shared" si="340"/>
        <v>AMARA</v>
      </c>
      <c r="I7276" s="20">
        <f t="shared" si="341"/>
        <v>39</v>
      </c>
    </row>
    <row r="7277" spans="1:9">
      <c r="A7277" s="17" t="s">
        <v>2320</v>
      </c>
      <c r="B7277" s="17" t="s">
        <v>963</v>
      </c>
      <c r="C7277" s="17" t="s">
        <v>2316</v>
      </c>
      <c r="D7277" s="17" t="s">
        <v>801</v>
      </c>
      <c r="E7277" s="18">
        <v>3004730691047</v>
      </c>
      <c r="G7277" s="20" t="str">
        <f t="shared" si="339"/>
        <v xml:space="preserve"> OSHOESHIGH      </v>
      </c>
      <c r="H7277" s="20" t="str">
        <f t="shared" si="340"/>
        <v>AMARA</v>
      </c>
      <c r="I7277" s="20" t="str">
        <f t="shared" si="341"/>
        <v>39/40</v>
      </c>
    </row>
    <row r="7278" spans="1:9">
      <c r="A7278" s="17" t="s">
        <v>2320</v>
      </c>
      <c r="B7278" s="17" t="s">
        <v>963</v>
      </c>
      <c r="C7278" s="17">
        <v>40</v>
      </c>
      <c r="D7278" s="17" t="s">
        <v>801</v>
      </c>
      <c r="E7278" s="18">
        <v>3004730691054</v>
      </c>
      <c r="G7278" s="20" t="str">
        <f t="shared" si="339"/>
        <v xml:space="preserve"> OSHOESHIGH      </v>
      </c>
      <c r="H7278" s="20" t="str">
        <f t="shared" si="340"/>
        <v>AMARA</v>
      </c>
      <c r="I7278" s="20">
        <f t="shared" si="341"/>
        <v>40</v>
      </c>
    </row>
    <row r="7279" spans="1:9">
      <c r="A7279" s="17" t="s">
        <v>2320</v>
      </c>
      <c r="B7279" s="17" t="s">
        <v>963</v>
      </c>
      <c r="C7279" s="17">
        <v>41</v>
      </c>
      <c r="D7279" s="17" t="s">
        <v>801</v>
      </c>
      <c r="E7279" s="18">
        <v>3004730691061</v>
      </c>
      <c r="G7279" s="20" t="str">
        <f t="shared" si="339"/>
        <v xml:space="preserve"> OSHOESHIGH      </v>
      </c>
      <c r="H7279" s="20" t="str">
        <f t="shared" si="340"/>
        <v>AMARA</v>
      </c>
      <c r="I7279" s="20">
        <f t="shared" si="341"/>
        <v>41</v>
      </c>
    </row>
    <row r="7280" spans="1:9">
      <c r="A7280" s="17" t="s">
        <v>2320</v>
      </c>
      <c r="B7280" s="17" t="s">
        <v>963</v>
      </c>
      <c r="C7280" s="17" t="s">
        <v>2317</v>
      </c>
      <c r="D7280" s="17" t="s">
        <v>801</v>
      </c>
      <c r="E7280" s="18">
        <v>3004730691078</v>
      </c>
      <c r="G7280" s="20" t="str">
        <f t="shared" si="339"/>
        <v xml:space="preserve"> OSHOESHIGH      </v>
      </c>
      <c r="H7280" s="20" t="str">
        <f t="shared" si="340"/>
        <v>AMARA</v>
      </c>
      <c r="I7280" s="20" t="str">
        <f t="shared" si="341"/>
        <v>41/42</v>
      </c>
    </row>
    <row r="7281" spans="1:9">
      <c r="A7281" s="17" t="s">
        <v>2320</v>
      </c>
      <c r="B7281" s="17" t="s">
        <v>963</v>
      </c>
      <c r="C7281" s="17">
        <v>42</v>
      </c>
      <c r="D7281" s="17" t="s">
        <v>801</v>
      </c>
      <c r="E7281" s="18">
        <v>3004730691085</v>
      </c>
      <c r="G7281" s="20" t="str">
        <f t="shared" si="339"/>
        <v xml:space="preserve"> OSHOESHIGH      </v>
      </c>
      <c r="H7281" s="20" t="str">
        <f t="shared" si="340"/>
        <v>AMARA</v>
      </c>
      <c r="I7281" s="20">
        <f t="shared" si="341"/>
        <v>42</v>
      </c>
    </row>
    <row r="7282" spans="1:9">
      <c r="A7282" s="17" t="s">
        <v>2320</v>
      </c>
      <c r="B7282" s="17" t="s">
        <v>963</v>
      </c>
      <c r="C7282" s="17">
        <v>43</v>
      </c>
      <c r="D7282" s="17" t="s">
        <v>801</v>
      </c>
      <c r="E7282" s="18">
        <v>3004730691092</v>
      </c>
      <c r="G7282" s="20" t="str">
        <f t="shared" si="339"/>
        <v xml:space="preserve"> OSHOESHIGH      </v>
      </c>
      <c r="H7282" s="20" t="str">
        <f t="shared" si="340"/>
        <v>AMARA</v>
      </c>
      <c r="I7282" s="20">
        <f t="shared" si="341"/>
        <v>43</v>
      </c>
    </row>
    <row r="7283" spans="1:9">
      <c r="A7283" s="17" t="s">
        <v>2320</v>
      </c>
      <c r="B7283" s="17" t="s">
        <v>963</v>
      </c>
      <c r="C7283" s="17">
        <v>44</v>
      </c>
      <c r="D7283" s="17" t="s">
        <v>801</v>
      </c>
      <c r="E7283" s="18">
        <v>3004730691108</v>
      </c>
      <c r="G7283" s="20" t="str">
        <f t="shared" si="339"/>
        <v xml:space="preserve"> OSHOESHIGH      </v>
      </c>
      <c r="H7283" s="20" t="str">
        <f t="shared" si="340"/>
        <v>AMARA</v>
      </c>
      <c r="I7283" s="20">
        <f t="shared" si="341"/>
        <v>44</v>
      </c>
    </row>
    <row r="7284" spans="1:9">
      <c r="A7284" s="17" t="s">
        <v>2320</v>
      </c>
      <c r="B7284" s="17" t="s">
        <v>963</v>
      </c>
      <c r="C7284" s="17" t="s">
        <v>2318</v>
      </c>
      <c r="D7284" s="17" t="s">
        <v>801</v>
      </c>
      <c r="E7284" s="18">
        <v>3004730691115</v>
      </c>
      <c r="G7284" s="20" t="str">
        <f t="shared" si="339"/>
        <v xml:space="preserve"> OSHOESHIGH      </v>
      </c>
      <c r="H7284" s="20" t="str">
        <f t="shared" si="340"/>
        <v>AMARA</v>
      </c>
      <c r="I7284" s="20" t="str">
        <f t="shared" si="341"/>
        <v>45/46</v>
      </c>
    </row>
    <row r="7285" spans="1:9">
      <c r="A7285" s="17" t="s">
        <v>2320</v>
      </c>
      <c r="B7285" s="17" t="s">
        <v>1430</v>
      </c>
      <c r="C7285" s="17" t="s">
        <v>2315</v>
      </c>
      <c r="D7285" s="17" t="s">
        <v>801</v>
      </c>
      <c r="E7285" s="18">
        <v>3004730498004</v>
      </c>
      <c r="G7285" s="20" t="str">
        <f t="shared" si="339"/>
        <v xml:space="preserve"> OSHOESHIGH      </v>
      </c>
      <c r="H7285" s="20" t="str">
        <f t="shared" si="340"/>
        <v xml:space="preserve">IRIS </v>
      </c>
      <c r="I7285" s="20" t="str">
        <f t="shared" si="341"/>
        <v>35/36</v>
      </c>
    </row>
    <row r="7286" spans="1:9">
      <c r="A7286" s="17" t="s">
        <v>2320</v>
      </c>
      <c r="B7286" s="17" t="s">
        <v>1430</v>
      </c>
      <c r="C7286" s="17">
        <v>37</v>
      </c>
      <c r="D7286" s="17" t="s">
        <v>801</v>
      </c>
      <c r="E7286" s="18">
        <v>3004730498011</v>
      </c>
      <c r="G7286" s="20" t="str">
        <f t="shared" si="339"/>
        <v xml:space="preserve"> OSHOESHIGH      </v>
      </c>
      <c r="H7286" s="20" t="str">
        <f t="shared" si="340"/>
        <v xml:space="preserve">IRIS </v>
      </c>
      <c r="I7286" s="20">
        <f t="shared" si="341"/>
        <v>37</v>
      </c>
    </row>
    <row r="7287" spans="1:9">
      <c r="A7287" s="17" t="s">
        <v>2320</v>
      </c>
      <c r="B7287" s="17" t="s">
        <v>1430</v>
      </c>
      <c r="C7287" s="17">
        <v>38</v>
      </c>
      <c r="D7287" s="17" t="s">
        <v>801</v>
      </c>
      <c r="E7287" s="18">
        <v>3004730498028</v>
      </c>
      <c r="G7287" s="20" t="str">
        <f t="shared" si="339"/>
        <v xml:space="preserve"> OSHOESHIGH      </v>
      </c>
      <c r="H7287" s="20" t="str">
        <f t="shared" si="340"/>
        <v xml:space="preserve">IRIS </v>
      </c>
      <c r="I7287" s="20">
        <f t="shared" si="341"/>
        <v>38</v>
      </c>
    </row>
    <row r="7288" spans="1:9">
      <c r="A7288" s="17" t="s">
        <v>2320</v>
      </c>
      <c r="B7288" s="17" t="s">
        <v>1430</v>
      </c>
      <c r="C7288" s="17">
        <v>39</v>
      </c>
      <c r="D7288" s="17" t="s">
        <v>801</v>
      </c>
      <c r="E7288" s="18">
        <v>3004730498035</v>
      </c>
      <c r="G7288" s="20" t="str">
        <f t="shared" si="339"/>
        <v xml:space="preserve"> OSHOESHIGH      </v>
      </c>
      <c r="H7288" s="20" t="str">
        <f t="shared" si="340"/>
        <v xml:space="preserve">IRIS </v>
      </c>
      <c r="I7288" s="20">
        <f t="shared" si="341"/>
        <v>39</v>
      </c>
    </row>
    <row r="7289" spans="1:9">
      <c r="A7289" s="17" t="s">
        <v>2320</v>
      </c>
      <c r="B7289" s="17" t="s">
        <v>1430</v>
      </c>
      <c r="C7289" s="17">
        <v>40</v>
      </c>
      <c r="D7289" s="17" t="s">
        <v>801</v>
      </c>
      <c r="E7289" s="18">
        <v>3004730498042</v>
      </c>
      <c r="G7289" s="20" t="str">
        <f t="shared" si="339"/>
        <v xml:space="preserve"> OSHOESHIGH      </v>
      </c>
      <c r="H7289" s="20" t="str">
        <f t="shared" si="340"/>
        <v xml:space="preserve">IRIS </v>
      </c>
      <c r="I7289" s="20">
        <f t="shared" si="341"/>
        <v>40</v>
      </c>
    </row>
    <row r="7290" spans="1:9">
      <c r="A7290" s="17" t="s">
        <v>2320</v>
      </c>
      <c r="B7290" s="17" t="s">
        <v>273</v>
      </c>
      <c r="C7290" s="17" t="s">
        <v>2315</v>
      </c>
      <c r="D7290" s="17" t="s">
        <v>801</v>
      </c>
      <c r="E7290" s="18">
        <v>3004730440003</v>
      </c>
      <c r="G7290" s="20" t="str">
        <f t="shared" si="339"/>
        <v xml:space="preserve"> OSHOESHIGH      </v>
      </c>
      <c r="H7290" s="20" t="str">
        <f t="shared" si="340"/>
        <v>WHITE</v>
      </c>
      <c r="I7290" s="20" t="str">
        <f t="shared" si="341"/>
        <v>35/36</v>
      </c>
    </row>
    <row r="7291" spans="1:9">
      <c r="A7291" s="17" t="s">
        <v>2320</v>
      </c>
      <c r="B7291" s="17" t="s">
        <v>273</v>
      </c>
      <c r="C7291" s="17">
        <v>37</v>
      </c>
      <c r="D7291" s="17" t="s">
        <v>801</v>
      </c>
      <c r="E7291" s="18">
        <v>3004730440010</v>
      </c>
      <c r="G7291" s="20" t="str">
        <f t="shared" si="339"/>
        <v xml:space="preserve"> OSHOESHIGH      </v>
      </c>
      <c r="H7291" s="20" t="str">
        <f t="shared" si="340"/>
        <v>WHITE</v>
      </c>
      <c r="I7291" s="20">
        <f t="shared" si="341"/>
        <v>37</v>
      </c>
    </row>
    <row r="7292" spans="1:9">
      <c r="A7292" s="17" t="s">
        <v>2320</v>
      </c>
      <c r="B7292" s="17" t="s">
        <v>273</v>
      </c>
      <c r="C7292" s="17">
        <v>38</v>
      </c>
      <c r="D7292" s="17" t="s">
        <v>801</v>
      </c>
      <c r="E7292" s="18">
        <v>3004730440027</v>
      </c>
      <c r="G7292" s="20" t="str">
        <f t="shared" si="339"/>
        <v xml:space="preserve"> OSHOESHIGH      </v>
      </c>
      <c r="H7292" s="20" t="str">
        <f t="shared" si="340"/>
        <v>WHITE</v>
      </c>
      <c r="I7292" s="20">
        <f t="shared" si="341"/>
        <v>38</v>
      </c>
    </row>
    <row r="7293" spans="1:9">
      <c r="A7293" s="17" t="s">
        <v>2320</v>
      </c>
      <c r="B7293" s="17" t="s">
        <v>273</v>
      </c>
      <c r="C7293" s="17">
        <v>39</v>
      </c>
      <c r="D7293" s="17" t="s">
        <v>801</v>
      </c>
      <c r="E7293" s="18">
        <v>3004730440034</v>
      </c>
      <c r="G7293" s="20" t="str">
        <f t="shared" si="339"/>
        <v xml:space="preserve"> OSHOESHIGH      </v>
      </c>
      <c r="H7293" s="20" t="str">
        <f t="shared" si="340"/>
        <v>WHITE</v>
      </c>
      <c r="I7293" s="20">
        <f t="shared" si="341"/>
        <v>39</v>
      </c>
    </row>
    <row r="7294" spans="1:9">
      <c r="A7294" s="17" t="s">
        <v>2320</v>
      </c>
      <c r="B7294" s="17" t="s">
        <v>273</v>
      </c>
      <c r="C7294" s="17">
        <v>40</v>
      </c>
      <c r="D7294" s="17" t="s">
        <v>801</v>
      </c>
      <c r="E7294" s="18">
        <v>3004730440041</v>
      </c>
      <c r="G7294" s="20" t="str">
        <f t="shared" si="339"/>
        <v xml:space="preserve"> OSHOESHIGH      </v>
      </c>
      <c r="H7294" s="20" t="str">
        <f t="shared" si="340"/>
        <v>WHITE</v>
      </c>
      <c r="I7294" s="20">
        <f t="shared" si="341"/>
        <v>40</v>
      </c>
    </row>
    <row r="7295" spans="1:9">
      <c r="A7295" s="17" t="s">
        <v>2321</v>
      </c>
      <c r="B7295" s="17" t="s">
        <v>818</v>
      </c>
      <c r="C7295" s="17">
        <v>0</v>
      </c>
      <c r="D7295" s="17" t="s">
        <v>801</v>
      </c>
      <c r="E7295" s="18">
        <v>8050538591121</v>
      </c>
      <c r="G7295" s="20" t="str">
        <f t="shared" si="339"/>
        <v xml:space="preserve"> OSQUARE         </v>
      </c>
      <c r="H7295" s="20" t="str">
        <f t="shared" si="340"/>
        <v xml:space="preserve">BDX  </v>
      </c>
      <c r="I7295" s="20">
        <f t="shared" si="341"/>
        <v>0</v>
      </c>
    </row>
    <row r="7296" spans="1:9">
      <c r="A7296" s="17" t="s">
        <v>2321</v>
      </c>
      <c r="B7296" s="17" t="s">
        <v>1077</v>
      </c>
      <c r="C7296" s="17">
        <v>0</v>
      </c>
      <c r="D7296" s="17" t="s">
        <v>801</v>
      </c>
      <c r="E7296" s="18">
        <v>3005231073004</v>
      </c>
      <c r="G7296" s="20" t="str">
        <f t="shared" si="339"/>
        <v xml:space="preserve"> OSQUARE         </v>
      </c>
      <c r="H7296" s="20" t="str">
        <f t="shared" si="340"/>
        <v>BISCO</v>
      </c>
      <c r="I7296" s="20">
        <f t="shared" si="341"/>
        <v>0</v>
      </c>
    </row>
    <row r="7297" spans="1:9">
      <c r="A7297" s="17" t="s">
        <v>2321</v>
      </c>
      <c r="B7297" s="17" t="s">
        <v>1077</v>
      </c>
      <c r="C7297" s="17">
        <v>0</v>
      </c>
      <c r="D7297" s="17" t="s">
        <v>801</v>
      </c>
      <c r="E7297" s="18">
        <v>8056098539948</v>
      </c>
      <c r="G7297" s="20" t="str">
        <f t="shared" si="339"/>
        <v xml:space="preserve"> OSQUARE         </v>
      </c>
      <c r="H7297" s="20" t="str">
        <f t="shared" si="340"/>
        <v>BISCO</v>
      </c>
      <c r="I7297" s="20">
        <f t="shared" si="341"/>
        <v>0</v>
      </c>
    </row>
    <row r="7298" spans="1:9">
      <c r="A7298" s="17" t="s">
        <v>2321</v>
      </c>
      <c r="B7298" s="17" t="s">
        <v>930</v>
      </c>
      <c r="C7298" s="17">
        <v>0</v>
      </c>
      <c r="D7298" s="17" t="s">
        <v>801</v>
      </c>
      <c r="E7298" s="18">
        <v>3005230557000</v>
      </c>
      <c r="G7298" s="20" t="str">
        <f t="shared" si="339"/>
        <v xml:space="preserve"> OSQUARE         </v>
      </c>
      <c r="H7298" s="20" t="str">
        <f t="shared" si="340"/>
        <v xml:space="preserve">BLK  </v>
      </c>
      <c r="I7298" s="20">
        <f t="shared" si="341"/>
        <v>0</v>
      </c>
    </row>
    <row r="7299" spans="1:9">
      <c r="A7299" s="17" t="s">
        <v>2321</v>
      </c>
      <c r="B7299" s="17" t="s">
        <v>930</v>
      </c>
      <c r="C7299" s="17">
        <v>0</v>
      </c>
      <c r="D7299" s="17" t="s">
        <v>801</v>
      </c>
      <c r="E7299" s="18">
        <v>8056099170003</v>
      </c>
      <c r="G7299" s="20" t="str">
        <f t="shared" si="339"/>
        <v xml:space="preserve"> OSQUARE         </v>
      </c>
      <c r="H7299" s="20" t="str">
        <f t="shared" si="340"/>
        <v xml:space="preserve">BLK  </v>
      </c>
      <c r="I7299" s="20">
        <f t="shared" si="341"/>
        <v>0</v>
      </c>
    </row>
    <row r="7300" spans="1:9">
      <c r="A7300" s="17" t="s">
        <v>2321</v>
      </c>
      <c r="B7300" s="17" t="s">
        <v>1078</v>
      </c>
      <c r="C7300" s="17">
        <v>0</v>
      </c>
      <c r="D7300" s="17" t="s">
        <v>801</v>
      </c>
      <c r="E7300" s="18">
        <v>3005230494008</v>
      </c>
      <c r="G7300" s="20" t="str">
        <f t="shared" si="339"/>
        <v xml:space="preserve"> OSQUARE         </v>
      </c>
      <c r="H7300" s="20" t="str">
        <f t="shared" si="340"/>
        <v xml:space="preserve">NAVY </v>
      </c>
      <c r="I7300" s="20">
        <f t="shared" si="341"/>
        <v>0</v>
      </c>
    </row>
    <row r="7301" spans="1:9">
      <c r="A7301" s="17" t="s">
        <v>2321</v>
      </c>
      <c r="B7301" s="17" t="s">
        <v>1078</v>
      </c>
      <c r="C7301" s="17">
        <v>0</v>
      </c>
      <c r="D7301" s="17" t="s">
        <v>801</v>
      </c>
      <c r="E7301" s="18">
        <v>8056098539986</v>
      </c>
      <c r="G7301" s="20" t="str">
        <f t="shared" ref="G7301:G7364" si="342">A7301</f>
        <v xml:space="preserve"> OSQUARE         </v>
      </c>
      <c r="H7301" s="20" t="str">
        <f t="shared" ref="H7301:H7364" si="343">B7301</f>
        <v xml:space="preserve">NAVY </v>
      </c>
      <c r="I7301" s="20">
        <f t="shared" ref="I7301:I7364" si="344">C7301</f>
        <v>0</v>
      </c>
    </row>
    <row r="7302" spans="1:9">
      <c r="A7302" s="17" t="s">
        <v>2321</v>
      </c>
      <c r="B7302" s="17" t="s">
        <v>283</v>
      </c>
      <c r="C7302" s="17">
        <v>0</v>
      </c>
      <c r="D7302" s="17" t="s">
        <v>801</v>
      </c>
      <c r="E7302" s="18">
        <v>3005230871007</v>
      </c>
      <c r="G7302" s="20" t="str">
        <f t="shared" si="342"/>
        <v xml:space="preserve"> OSQUARE         </v>
      </c>
      <c r="H7302" s="20" t="str">
        <f t="shared" si="343"/>
        <v>PHARD</v>
      </c>
      <c r="I7302" s="20">
        <f t="shared" si="344"/>
        <v>0</v>
      </c>
    </row>
    <row r="7303" spans="1:9">
      <c r="A7303" s="17" t="s">
        <v>2321</v>
      </c>
      <c r="B7303" s="17" t="s">
        <v>283</v>
      </c>
      <c r="C7303" s="17">
        <v>0</v>
      </c>
      <c r="D7303" s="17" t="s">
        <v>801</v>
      </c>
      <c r="E7303" s="18">
        <v>8056098539955</v>
      </c>
      <c r="G7303" s="20" t="str">
        <f t="shared" si="342"/>
        <v xml:space="preserve"> OSQUARE         </v>
      </c>
      <c r="H7303" s="20" t="str">
        <f t="shared" si="343"/>
        <v>PHARD</v>
      </c>
      <c r="I7303" s="20">
        <f t="shared" si="344"/>
        <v>0</v>
      </c>
    </row>
    <row r="7304" spans="1:9">
      <c r="A7304" s="17" t="s">
        <v>2321</v>
      </c>
      <c r="B7304" s="17" t="s">
        <v>1079</v>
      </c>
      <c r="C7304" s="17">
        <v>0</v>
      </c>
      <c r="D7304" s="17" t="s">
        <v>801</v>
      </c>
      <c r="E7304" s="18">
        <v>3005230410008</v>
      </c>
      <c r="G7304" s="20" t="str">
        <f t="shared" si="342"/>
        <v xml:space="preserve"> OSQUARE         </v>
      </c>
      <c r="H7304" s="20" t="str">
        <f t="shared" si="343"/>
        <v xml:space="preserve">SLVG </v>
      </c>
      <c r="I7304" s="20">
        <f t="shared" si="344"/>
        <v>0</v>
      </c>
    </row>
    <row r="7305" spans="1:9">
      <c r="A7305" s="17" t="s">
        <v>2321</v>
      </c>
      <c r="B7305" s="17" t="s">
        <v>1079</v>
      </c>
      <c r="C7305" s="17">
        <v>0</v>
      </c>
      <c r="D7305" s="17" t="s">
        <v>801</v>
      </c>
      <c r="E7305" s="18">
        <v>8056098539993</v>
      </c>
      <c r="G7305" s="20" t="str">
        <f t="shared" si="342"/>
        <v xml:space="preserve"> OSQUARE         </v>
      </c>
      <c r="H7305" s="20" t="str">
        <f t="shared" si="343"/>
        <v xml:space="preserve">SLVG </v>
      </c>
      <c r="I7305" s="20">
        <f t="shared" si="344"/>
        <v>0</v>
      </c>
    </row>
    <row r="7306" spans="1:9">
      <c r="A7306" s="17" t="s">
        <v>2321</v>
      </c>
      <c r="B7306" s="17" t="s">
        <v>1080</v>
      </c>
      <c r="C7306" s="17">
        <v>0</v>
      </c>
      <c r="D7306" s="17" t="s">
        <v>801</v>
      </c>
      <c r="E7306" s="18">
        <v>3005231074001</v>
      </c>
      <c r="G7306" s="20" t="str">
        <f t="shared" si="342"/>
        <v xml:space="preserve"> OSQUARE         </v>
      </c>
      <c r="H7306" s="20" t="str">
        <f t="shared" si="343"/>
        <v>TERRA</v>
      </c>
      <c r="I7306" s="20">
        <f t="shared" si="344"/>
        <v>0</v>
      </c>
    </row>
    <row r="7307" spans="1:9">
      <c r="A7307" s="17" t="s">
        <v>2321</v>
      </c>
      <c r="B7307" s="17" t="s">
        <v>1080</v>
      </c>
      <c r="C7307" s="17">
        <v>0</v>
      </c>
      <c r="D7307" s="17" t="s">
        <v>801</v>
      </c>
      <c r="E7307" s="18">
        <v>8056098539962</v>
      </c>
      <c r="G7307" s="20" t="str">
        <f t="shared" si="342"/>
        <v xml:space="preserve"> OSQUARE         </v>
      </c>
      <c r="H7307" s="20" t="str">
        <f t="shared" si="343"/>
        <v>TERRA</v>
      </c>
      <c r="I7307" s="20">
        <f t="shared" si="344"/>
        <v>0</v>
      </c>
    </row>
    <row r="7308" spans="1:9">
      <c r="A7308" s="17" t="s">
        <v>2321</v>
      </c>
      <c r="B7308" s="17" t="s">
        <v>867</v>
      </c>
      <c r="C7308" s="17">
        <v>0</v>
      </c>
      <c r="D7308" s="17" t="s">
        <v>801</v>
      </c>
      <c r="E7308" s="18">
        <v>3005231032001</v>
      </c>
      <c r="G7308" s="20" t="str">
        <f t="shared" si="342"/>
        <v xml:space="preserve"> OSQUARE         </v>
      </c>
      <c r="H7308" s="20" t="str">
        <f t="shared" si="343"/>
        <v>VERTF</v>
      </c>
      <c r="I7308" s="20">
        <f t="shared" si="344"/>
        <v>0</v>
      </c>
    </row>
    <row r="7309" spans="1:9">
      <c r="A7309" s="17" t="s">
        <v>2321</v>
      </c>
      <c r="B7309" s="17" t="s">
        <v>867</v>
      </c>
      <c r="C7309" s="17">
        <v>0</v>
      </c>
      <c r="D7309" s="17" t="s">
        <v>801</v>
      </c>
      <c r="E7309" s="18">
        <v>8056098539979</v>
      </c>
      <c r="G7309" s="20" t="str">
        <f t="shared" si="342"/>
        <v xml:space="preserve"> OSQUARE         </v>
      </c>
      <c r="H7309" s="20" t="str">
        <f t="shared" si="343"/>
        <v>VERTF</v>
      </c>
      <c r="I7309" s="20">
        <f t="shared" si="344"/>
        <v>0</v>
      </c>
    </row>
    <row r="7310" spans="1:9">
      <c r="A7310" s="17" t="s">
        <v>2322</v>
      </c>
      <c r="B7310" s="17" t="s">
        <v>2323</v>
      </c>
      <c r="C7310" s="17">
        <v>0</v>
      </c>
      <c r="D7310" s="17" t="s">
        <v>801</v>
      </c>
      <c r="E7310" s="18">
        <v>3005691314006</v>
      </c>
      <c r="G7310" s="20" t="str">
        <f t="shared" si="342"/>
        <v xml:space="preserve"> OSWING          </v>
      </c>
      <c r="H7310" s="20" t="str">
        <f t="shared" si="343"/>
        <v>AMARI</v>
      </c>
      <c r="I7310" s="20">
        <f t="shared" si="344"/>
        <v>0</v>
      </c>
    </row>
    <row r="7311" spans="1:9">
      <c r="A7311" s="17" t="s">
        <v>2322</v>
      </c>
      <c r="B7311" s="17" t="s">
        <v>280</v>
      </c>
      <c r="C7311" s="17">
        <v>0</v>
      </c>
      <c r="D7311" s="17" t="s">
        <v>801</v>
      </c>
      <c r="E7311" s="18">
        <v>3005690276008</v>
      </c>
      <c r="G7311" s="20" t="str">
        <f t="shared" si="342"/>
        <v xml:space="preserve"> OSWING          </v>
      </c>
      <c r="H7311" s="20" t="str">
        <f t="shared" si="343"/>
        <v>BLACK</v>
      </c>
      <c r="I7311" s="20">
        <f t="shared" si="344"/>
        <v>0</v>
      </c>
    </row>
    <row r="7312" spans="1:9">
      <c r="A7312" s="17" t="s">
        <v>2322</v>
      </c>
      <c r="B7312" s="17" t="s">
        <v>857</v>
      </c>
      <c r="C7312" s="17">
        <v>0</v>
      </c>
      <c r="D7312" s="17" t="s">
        <v>801</v>
      </c>
      <c r="E7312" s="18">
        <v>3005691075006</v>
      </c>
      <c r="G7312" s="20" t="str">
        <f t="shared" si="342"/>
        <v xml:space="preserve"> OSWING          </v>
      </c>
      <c r="H7312" s="20" t="str">
        <f t="shared" si="343"/>
        <v>BLUET</v>
      </c>
      <c r="I7312" s="20">
        <f t="shared" si="344"/>
        <v>0</v>
      </c>
    </row>
    <row r="7313" spans="1:9">
      <c r="A7313" s="17" t="s">
        <v>2322</v>
      </c>
      <c r="B7313" s="17" t="s">
        <v>1078</v>
      </c>
      <c r="C7313" s="17">
        <v>0</v>
      </c>
      <c r="D7313" s="17" t="s">
        <v>801</v>
      </c>
      <c r="E7313" s="18">
        <v>3005690494006</v>
      </c>
      <c r="G7313" s="20" t="str">
        <f t="shared" si="342"/>
        <v xml:space="preserve"> OSWING          </v>
      </c>
      <c r="H7313" s="20" t="str">
        <f t="shared" si="343"/>
        <v xml:space="preserve">NAVY </v>
      </c>
      <c r="I7313" s="20">
        <f t="shared" si="344"/>
        <v>0</v>
      </c>
    </row>
    <row r="7314" spans="1:9">
      <c r="A7314" s="17" t="s">
        <v>2322</v>
      </c>
      <c r="B7314" s="17" t="s">
        <v>1663</v>
      </c>
      <c r="C7314" s="17">
        <v>0</v>
      </c>
      <c r="D7314" s="17" t="s">
        <v>801</v>
      </c>
      <c r="E7314" s="18">
        <v>3005691313009</v>
      </c>
      <c r="G7314" s="20" t="str">
        <f t="shared" si="342"/>
        <v xml:space="preserve"> OSWING          </v>
      </c>
      <c r="H7314" s="20" t="str">
        <f t="shared" si="343"/>
        <v>SANGR</v>
      </c>
      <c r="I7314" s="20">
        <f t="shared" si="344"/>
        <v>0</v>
      </c>
    </row>
    <row r="7315" spans="1:9">
      <c r="A7315" s="17" t="s">
        <v>2322</v>
      </c>
      <c r="B7315" s="17" t="s">
        <v>273</v>
      </c>
      <c r="C7315" s="17">
        <v>0</v>
      </c>
      <c r="D7315" s="17" t="s">
        <v>801</v>
      </c>
      <c r="E7315" s="18">
        <v>3005690440003</v>
      </c>
      <c r="G7315" s="20" t="str">
        <f t="shared" si="342"/>
        <v xml:space="preserve"> OSWING          </v>
      </c>
      <c r="H7315" s="20" t="str">
        <f t="shared" si="343"/>
        <v>WHITE</v>
      </c>
      <c r="I7315" s="20">
        <f t="shared" si="344"/>
        <v>0</v>
      </c>
    </row>
    <row r="7316" spans="1:9">
      <c r="A7316" s="17" t="s">
        <v>2324</v>
      </c>
      <c r="B7316" s="17" t="s">
        <v>1453</v>
      </c>
      <c r="C7316" s="17">
        <v>0</v>
      </c>
      <c r="D7316" s="17" t="s">
        <v>801</v>
      </c>
      <c r="E7316" s="18">
        <v>3006200427002</v>
      </c>
      <c r="G7316" s="20" t="str">
        <f t="shared" si="342"/>
        <v xml:space="preserve"> PARFUMOJOY      </v>
      </c>
      <c r="H7316" s="20" t="str">
        <f t="shared" si="343"/>
        <v xml:space="preserve">UNI  </v>
      </c>
      <c r="I7316" s="20">
        <f t="shared" si="344"/>
        <v>0</v>
      </c>
    </row>
    <row r="7317" spans="1:9">
      <c r="A7317" s="17" t="s">
        <v>2324</v>
      </c>
      <c r="B7317" s="17" t="s">
        <v>1453</v>
      </c>
      <c r="C7317" s="17">
        <v>0</v>
      </c>
      <c r="D7317" s="17" t="s">
        <v>801</v>
      </c>
      <c r="E7317" s="18">
        <v>8050538598755</v>
      </c>
      <c r="G7317" s="20" t="str">
        <f t="shared" si="342"/>
        <v xml:space="preserve"> PARFUMOJOY      </v>
      </c>
      <c r="H7317" s="20" t="str">
        <f t="shared" si="343"/>
        <v xml:space="preserve">UNI  </v>
      </c>
      <c r="I7317" s="20">
        <f t="shared" si="344"/>
        <v>0</v>
      </c>
    </row>
    <row r="7318" spans="1:9">
      <c r="A7318" s="17" t="s">
        <v>2325</v>
      </c>
      <c r="B7318" s="17" t="s">
        <v>1530</v>
      </c>
      <c r="C7318" s="17">
        <v>0</v>
      </c>
      <c r="D7318" s="17" t="s">
        <v>801</v>
      </c>
      <c r="E7318" s="18">
        <v>3004621048004</v>
      </c>
      <c r="G7318" s="20" t="str">
        <f t="shared" si="342"/>
        <v xml:space="preserve"> PATTAOCITY      </v>
      </c>
      <c r="H7318" s="20" t="str">
        <f t="shared" si="343"/>
        <v>ANTRA</v>
      </c>
      <c r="I7318" s="20">
        <f t="shared" si="344"/>
        <v>0</v>
      </c>
    </row>
    <row r="7319" spans="1:9">
      <c r="A7319" s="17" t="s">
        <v>2325</v>
      </c>
      <c r="B7319" s="17" t="s">
        <v>1530</v>
      </c>
      <c r="C7319" s="17">
        <v>0</v>
      </c>
      <c r="D7319" s="17" t="s">
        <v>801</v>
      </c>
      <c r="E7319" s="18">
        <v>3005281048007</v>
      </c>
      <c r="G7319" s="20" t="str">
        <f t="shared" si="342"/>
        <v xml:space="preserve"> PATTAOCITY      </v>
      </c>
      <c r="H7319" s="20" t="str">
        <f t="shared" si="343"/>
        <v>ANTRA</v>
      </c>
      <c r="I7319" s="20">
        <f t="shared" si="344"/>
        <v>0</v>
      </c>
    </row>
    <row r="7320" spans="1:9">
      <c r="A7320" s="17" t="s">
        <v>2325</v>
      </c>
      <c r="B7320" s="17" t="s">
        <v>2326</v>
      </c>
      <c r="C7320" s="17">
        <v>0</v>
      </c>
      <c r="D7320" s="17" t="s">
        <v>801</v>
      </c>
      <c r="E7320" s="18">
        <v>3004621012005</v>
      </c>
      <c r="G7320" s="20" t="str">
        <f t="shared" si="342"/>
        <v xml:space="preserve"> PATTAOCITY      </v>
      </c>
      <c r="H7320" s="20" t="str">
        <f t="shared" si="343"/>
        <v xml:space="preserve">APGR </v>
      </c>
      <c r="I7320" s="20">
        <f t="shared" si="344"/>
        <v>0</v>
      </c>
    </row>
    <row r="7321" spans="1:9">
      <c r="A7321" s="17" t="s">
        <v>2325</v>
      </c>
      <c r="B7321" s="17" t="s">
        <v>1755</v>
      </c>
      <c r="C7321" s="17">
        <v>0</v>
      </c>
      <c r="D7321" s="17" t="s">
        <v>801</v>
      </c>
      <c r="E7321" s="18">
        <v>8056095064252</v>
      </c>
      <c r="G7321" s="20" t="str">
        <f t="shared" si="342"/>
        <v xml:space="preserve"> PATTAOCITY      </v>
      </c>
      <c r="H7321" s="20" t="str">
        <f t="shared" si="343"/>
        <v>BICIE</v>
      </c>
      <c r="I7321" s="20">
        <f t="shared" si="344"/>
        <v>0</v>
      </c>
    </row>
    <row r="7322" spans="1:9">
      <c r="A7322" s="17" t="s">
        <v>2325</v>
      </c>
      <c r="B7322" s="17" t="s">
        <v>1755</v>
      </c>
      <c r="C7322" s="17">
        <v>0</v>
      </c>
      <c r="D7322" s="17" t="s">
        <v>801</v>
      </c>
      <c r="E7322" s="18">
        <v>3004621147004</v>
      </c>
      <c r="G7322" s="20" t="str">
        <f t="shared" si="342"/>
        <v xml:space="preserve"> PATTAOCITY      </v>
      </c>
      <c r="H7322" s="20" t="str">
        <f t="shared" si="343"/>
        <v>BICIE</v>
      </c>
      <c r="I7322" s="20">
        <f t="shared" si="344"/>
        <v>0</v>
      </c>
    </row>
    <row r="7323" spans="1:9">
      <c r="A7323" s="17" t="s">
        <v>2325</v>
      </c>
      <c r="B7323" s="17" t="s">
        <v>1756</v>
      </c>
      <c r="C7323" s="17">
        <v>0</v>
      </c>
      <c r="D7323" s="17" t="s">
        <v>801</v>
      </c>
      <c r="E7323" s="18">
        <v>8056095064245</v>
      </c>
      <c r="G7323" s="20" t="str">
        <f t="shared" si="342"/>
        <v xml:space="preserve"> PATTAOCITY      </v>
      </c>
      <c r="H7323" s="20" t="str">
        <f t="shared" si="343"/>
        <v>BIGLI</v>
      </c>
      <c r="I7323" s="20">
        <f t="shared" si="344"/>
        <v>0</v>
      </c>
    </row>
    <row r="7324" spans="1:9">
      <c r="A7324" s="17" t="s">
        <v>2325</v>
      </c>
      <c r="B7324" s="17" t="s">
        <v>1756</v>
      </c>
      <c r="C7324" s="17">
        <v>0</v>
      </c>
      <c r="D7324" s="17" t="s">
        <v>801</v>
      </c>
      <c r="E7324" s="18">
        <v>3004621146007</v>
      </c>
      <c r="G7324" s="20" t="str">
        <f t="shared" si="342"/>
        <v xml:space="preserve"> PATTAOCITY      </v>
      </c>
      <c r="H7324" s="20" t="str">
        <f t="shared" si="343"/>
        <v>BIGLI</v>
      </c>
      <c r="I7324" s="20">
        <f t="shared" si="344"/>
        <v>0</v>
      </c>
    </row>
    <row r="7325" spans="1:9">
      <c r="A7325" s="17" t="s">
        <v>2325</v>
      </c>
      <c r="B7325" s="17" t="s">
        <v>814</v>
      </c>
      <c r="C7325" s="17">
        <v>0</v>
      </c>
      <c r="D7325" s="17" t="s">
        <v>801</v>
      </c>
      <c r="E7325" s="18">
        <v>3004621364005</v>
      </c>
      <c r="G7325" s="20" t="str">
        <f t="shared" si="342"/>
        <v xml:space="preserve"> PATTAOCITY      </v>
      </c>
      <c r="H7325" s="20" t="str">
        <f t="shared" si="343"/>
        <v>BLUAC</v>
      </c>
      <c r="I7325" s="20">
        <f t="shared" si="344"/>
        <v>0</v>
      </c>
    </row>
    <row r="7326" spans="1:9">
      <c r="A7326" s="17" t="s">
        <v>2325</v>
      </c>
      <c r="B7326" s="17" t="s">
        <v>814</v>
      </c>
      <c r="C7326" s="17">
        <v>0</v>
      </c>
      <c r="D7326" s="17" t="s">
        <v>801</v>
      </c>
      <c r="E7326" s="18">
        <v>8050538591091</v>
      </c>
      <c r="G7326" s="20" t="str">
        <f t="shared" si="342"/>
        <v xml:space="preserve"> PATTAOCITY      </v>
      </c>
      <c r="H7326" s="20" t="str">
        <f t="shared" si="343"/>
        <v>BLUAC</v>
      </c>
      <c r="I7326" s="20">
        <f t="shared" si="344"/>
        <v>0</v>
      </c>
    </row>
    <row r="7327" spans="1:9">
      <c r="A7327" s="17" t="s">
        <v>2325</v>
      </c>
      <c r="B7327" s="17" t="s">
        <v>857</v>
      </c>
      <c r="C7327" s="17">
        <v>0</v>
      </c>
      <c r="D7327" s="17" t="s">
        <v>801</v>
      </c>
      <c r="E7327" s="18">
        <v>8056099171840</v>
      </c>
      <c r="G7327" s="20" t="str">
        <f t="shared" si="342"/>
        <v xml:space="preserve"> PATTAOCITY      </v>
      </c>
      <c r="H7327" s="20" t="str">
        <f t="shared" si="343"/>
        <v>BLUET</v>
      </c>
      <c r="I7327" s="20">
        <f t="shared" si="344"/>
        <v>0</v>
      </c>
    </row>
    <row r="7328" spans="1:9">
      <c r="A7328" s="17" t="s">
        <v>2325</v>
      </c>
      <c r="B7328" s="17" t="s">
        <v>1027</v>
      </c>
      <c r="C7328" s="17">
        <v>0</v>
      </c>
      <c r="D7328" s="17" t="s">
        <v>801</v>
      </c>
      <c r="E7328" s="18">
        <v>3004621151001</v>
      </c>
      <c r="G7328" s="20" t="str">
        <f t="shared" si="342"/>
        <v xml:space="preserve"> PATTAOCITY      </v>
      </c>
      <c r="H7328" s="20" t="str">
        <f t="shared" si="343"/>
        <v>BNIVO</v>
      </c>
      <c r="I7328" s="20">
        <f t="shared" si="344"/>
        <v>0</v>
      </c>
    </row>
    <row r="7329" spans="1:9">
      <c r="A7329" s="17" t="s">
        <v>2325</v>
      </c>
      <c r="B7329" s="17" t="s">
        <v>1027</v>
      </c>
      <c r="C7329" s="17">
        <v>0</v>
      </c>
      <c r="D7329" s="17" t="s">
        <v>801</v>
      </c>
      <c r="E7329" s="18">
        <v>8056095065167</v>
      </c>
      <c r="G7329" s="20" t="str">
        <f t="shared" si="342"/>
        <v xml:space="preserve"> PATTAOCITY      </v>
      </c>
      <c r="H7329" s="20" t="str">
        <f t="shared" si="343"/>
        <v>BNIVO</v>
      </c>
      <c r="I7329" s="20">
        <f t="shared" si="344"/>
        <v>0</v>
      </c>
    </row>
    <row r="7330" spans="1:9">
      <c r="A7330" s="17" t="s">
        <v>2325</v>
      </c>
      <c r="B7330" s="17" t="s">
        <v>1181</v>
      </c>
      <c r="C7330" s="17">
        <v>0</v>
      </c>
      <c r="D7330" s="17" t="s">
        <v>801</v>
      </c>
      <c r="E7330" s="18">
        <v>3004621152008</v>
      </c>
      <c r="G7330" s="20" t="str">
        <f t="shared" si="342"/>
        <v xml:space="preserve"> PATTAOCITY      </v>
      </c>
      <c r="H7330" s="20" t="str">
        <f t="shared" si="343"/>
        <v>BNTAU</v>
      </c>
      <c r="I7330" s="20">
        <f t="shared" si="344"/>
        <v>0</v>
      </c>
    </row>
    <row r="7331" spans="1:9">
      <c r="A7331" s="17" t="s">
        <v>2325</v>
      </c>
      <c r="B7331" s="17" t="s">
        <v>1181</v>
      </c>
      <c r="C7331" s="17">
        <v>0</v>
      </c>
      <c r="D7331" s="17" t="s">
        <v>801</v>
      </c>
      <c r="E7331" s="18">
        <v>8056095065174</v>
      </c>
      <c r="G7331" s="20" t="str">
        <f t="shared" si="342"/>
        <v xml:space="preserve"> PATTAOCITY      </v>
      </c>
      <c r="H7331" s="20" t="str">
        <f t="shared" si="343"/>
        <v>BNTAU</v>
      </c>
      <c r="I7331" s="20">
        <f t="shared" si="344"/>
        <v>0</v>
      </c>
    </row>
    <row r="7332" spans="1:9">
      <c r="A7332" s="17" t="s">
        <v>2325</v>
      </c>
      <c r="B7332" s="17" t="s">
        <v>2327</v>
      </c>
      <c r="C7332" s="17">
        <v>0</v>
      </c>
      <c r="D7332" s="17" t="s">
        <v>801</v>
      </c>
      <c r="E7332" s="18">
        <v>3004621156006</v>
      </c>
      <c r="G7332" s="20" t="str">
        <f t="shared" si="342"/>
        <v xml:space="preserve"> PATTAOCITY      </v>
      </c>
      <c r="H7332" s="20" t="str">
        <f t="shared" si="343"/>
        <v>EBLUE</v>
      </c>
      <c r="I7332" s="20">
        <f t="shared" si="344"/>
        <v>0</v>
      </c>
    </row>
    <row r="7333" spans="1:9">
      <c r="A7333" s="17" t="s">
        <v>2325</v>
      </c>
      <c r="B7333" s="17" t="s">
        <v>2327</v>
      </c>
      <c r="C7333" s="17">
        <v>0</v>
      </c>
      <c r="D7333" s="17" t="s">
        <v>801</v>
      </c>
      <c r="E7333" s="18">
        <v>3005281156009</v>
      </c>
      <c r="G7333" s="20" t="str">
        <f t="shared" si="342"/>
        <v xml:space="preserve"> PATTAOCITY      </v>
      </c>
      <c r="H7333" s="20" t="str">
        <f t="shared" si="343"/>
        <v>EBLUE</v>
      </c>
      <c r="I7333" s="20">
        <f t="shared" si="344"/>
        <v>0</v>
      </c>
    </row>
    <row r="7334" spans="1:9">
      <c r="A7334" s="17" t="s">
        <v>2325</v>
      </c>
      <c r="B7334" s="17" t="s">
        <v>820</v>
      </c>
      <c r="C7334" s="17" t="s">
        <v>799</v>
      </c>
      <c r="D7334" s="17" t="s">
        <v>801</v>
      </c>
      <c r="E7334" s="18">
        <v>3004620744006</v>
      </c>
      <c r="G7334" s="20" t="str">
        <f t="shared" si="342"/>
        <v xml:space="preserve"> PATTAOCITY      </v>
      </c>
      <c r="H7334" s="20" t="str">
        <f t="shared" si="343"/>
        <v>ECBLA</v>
      </c>
      <c r="I7334" s="20" t="str">
        <f t="shared" si="344"/>
        <v xml:space="preserve">     </v>
      </c>
    </row>
    <row r="7335" spans="1:9">
      <c r="A7335" s="17" t="s">
        <v>2325</v>
      </c>
      <c r="B7335" s="17" t="s">
        <v>820</v>
      </c>
      <c r="C7335" s="17">
        <v>0</v>
      </c>
      <c r="D7335" s="17" t="s">
        <v>801</v>
      </c>
      <c r="E7335" s="18">
        <v>3005280744009</v>
      </c>
      <c r="G7335" s="20" t="str">
        <f t="shared" si="342"/>
        <v xml:space="preserve"> PATTAOCITY      </v>
      </c>
      <c r="H7335" s="20" t="str">
        <f t="shared" si="343"/>
        <v>ECBLA</v>
      </c>
      <c r="I7335" s="20">
        <f t="shared" si="344"/>
        <v>0</v>
      </c>
    </row>
    <row r="7336" spans="1:9">
      <c r="A7336" s="17" t="s">
        <v>2325</v>
      </c>
      <c r="B7336" s="17" t="s">
        <v>820</v>
      </c>
      <c r="C7336" s="17">
        <v>0</v>
      </c>
      <c r="D7336" s="17" t="s">
        <v>801</v>
      </c>
      <c r="E7336" s="18">
        <v>8057014140491</v>
      </c>
      <c r="G7336" s="20" t="str">
        <f t="shared" si="342"/>
        <v xml:space="preserve"> PATTAOCITY      </v>
      </c>
      <c r="H7336" s="20" t="str">
        <f t="shared" si="343"/>
        <v>ECBLA</v>
      </c>
      <c r="I7336" s="20">
        <f t="shared" si="344"/>
        <v>0</v>
      </c>
    </row>
    <row r="7337" spans="1:9">
      <c r="A7337" s="17" t="s">
        <v>2325</v>
      </c>
      <c r="B7337" s="17" t="s">
        <v>1184</v>
      </c>
      <c r="C7337" s="17">
        <v>0</v>
      </c>
      <c r="D7337" s="17" t="s">
        <v>801</v>
      </c>
      <c r="E7337" s="18">
        <v>3004621155009</v>
      </c>
      <c r="G7337" s="20" t="str">
        <f t="shared" si="342"/>
        <v xml:space="preserve"> PATTAOCITY      </v>
      </c>
      <c r="H7337" s="20" t="str">
        <f t="shared" si="343"/>
        <v>ECBLU</v>
      </c>
      <c r="I7337" s="20">
        <f t="shared" si="344"/>
        <v>0</v>
      </c>
    </row>
    <row r="7338" spans="1:9">
      <c r="A7338" s="17" t="s">
        <v>2325</v>
      </c>
      <c r="B7338" s="17" t="s">
        <v>821</v>
      </c>
      <c r="C7338" s="17" t="s">
        <v>799</v>
      </c>
      <c r="D7338" s="17" t="s">
        <v>801</v>
      </c>
      <c r="E7338" s="18">
        <v>3004620743009</v>
      </c>
      <c r="G7338" s="20" t="str">
        <f t="shared" si="342"/>
        <v xml:space="preserve"> PATTAOCITY      </v>
      </c>
      <c r="H7338" s="20" t="str">
        <f t="shared" si="343"/>
        <v>ECNAT</v>
      </c>
      <c r="I7338" s="20" t="str">
        <f t="shared" si="344"/>
        <v xml:space="preserve">     </v>
      </c>
    </row>
    <row r="7339" spans="1:9">
      <c r="A7339" s="17" t="s">
        <v>2325</v>
      </c>
      <c r="B7339" s="17" t="s">
        <v>821</v>
      </c>
      <c r="C7339" s="17">
        <v>0</v>
      </c>
      <c r="D7339" s="17" t="s">
        <v>801</v>
      </c>
      <c r="E7339" s="18">
        <v>3005280743002</v>
      </c>
      <c r="G7339" s="20" t="str">
        <f t="shared" si="342"/>
        <v xml:space="preserve"> PATTAOCITY      </v>
      </c>
      <c r="H7339" s="20" t="str">
        <f t="shared" si="343"/>
        <v>ECNAT</v>
      </c>
      <c r="I7339" s="20">
        <f t="shared" si="344"/>
        <v>0</v>
      </c>
    </row>
    <row r="7340" spans="1:9">
      <c r="A7340" s="17" t="s">
        <v>2325</v>
      </c>
      <c r="B7340" s="17" t="s">
        <v>1185</v>
      </c>
      <c r="C7340" s="17">
        <v>0</v>
      </c>
      <c r="D7340" s="17" t="s">
        <v>801</v>
      </c>
      <c r="E7340" s="18">
        <v>8056095063637</v>
      </c>
      <c r="G7340" s="20" t="str">
        <f t="shared" si="342"/>
        <v xml:space="preserve"> PATTAOCITY      </v>
      </c>
      <c r="H7340" s="20" t="str">
        <f t="shared" si="343"/>
        <v>ECOBL</v>
      </c>
      <c r="I7340" s="20">
        <f t="shared" si="344"/>
        <v>0</v>
      </c>
    </row>
    <row r="7341" spans="1:9">
      <c r="A7341" s="17" t="s">
        <v>2325</v>
      </c>
      <c r="B7341" s="17" t="s">
        <v>1185</v>
      </c>
      <c r="C7341" s="17">
        <v>0</v>
      </c>
      <c r="D7341" s="17" t="s">
        <v>801</v>
      </c>
      <c r="E7341" s="18">
        <v>3004620834004</v>
      </c>
      <c r="G7341" s="20" t="str">
        <f t="shared" si="342"/>
        <v xml:space="preserve"> PATTAOCITY      </v>
      </c>
      <c r="H7341" s="20" t="str">
        <f t="shared" si="343"/>
        <v>ECOBL</v>
      </c>
      <c r="I7341" s="20">
        <f t="shared" si="344"/>
        <v>0</v>
      </c>
    </row>
    <row r="7342" spans="1:9">
      <c r="A7342" s="17" t="s">
        <v>2325</v>
      </c>
      <c r="B7342" s="17" t="s">
        <v>2328</v>
      </c>
      <c r="C7342" s="17">
        <v>0</v>
      </c>
      <c r="D7342" s="17" t="s">
        <v>801</v>
      </c>
      <c r="E7342" s="18">
        <v>8056095063620</v>
      </c>
      <c r="G7342" s="20" t="str">
        <f t="shared" si="342"/>
        <v xml:space="preserve"> PATTAOCITY      </v>
      </c>
      <c r="H7342" s="20" t="str">
        <f t="shared" si="343"/>
        <v>ECOIV</v>
      </c>
      <c r="I7342" s="20">
        <f t="shared" si="344"/>
        <v>0</v>
      </c>
    </row>
    <row r="7343" spans="1:9">
      <c r="A7343" s="17" t="s">
        <v>2325</v>
      </c>
      <c r="B7343" s="17" t="s">
        <v>2328</v>
      </c>
      <c r="C7343" s="17">
        <v>0</v>
      </c>
      <c r="D7343" s="17" t="s">
        <v>801</v>
      </c>
      <c r="E7343" s="18">
        <v>3004621154002</v>
      </c>
      <c r="G7343" s="20" t="str">
        <f t="shared" si="342"/>
        <v xml:space="preserve"> PATTAOCITY      </v>
      </c>
      <c r="H7343" s="20" t="str">
        <f t="shared" si="343"/>
        <v>ECOIV</v>
      </c>
      <c r="I7343" s="20">
        <f t="shared" si="344"/>
        <v>0</v>
      </c>
    </row>
    <row r="7344" spans="1:9">
      <c r="A7344" s="17" t="s">
        <v>2325</v>
      </c>
      <c r="B7344" s="17" t="s">
        <v>1324</v>
      </c>
      <c r="C7344" s="17">
        <v>0</v>
      </c>
      <c r="D7344" s="17" t="s">
        <v>801</v>
      </c>
      <c r="E7344" s="18">
        <v>8056095063613</v>
      </c>
      <c r="G7344" s="20" t="str">
        <f t="shared" si="342"/>
        <v xml:space="preserve"> PATTAOCITY      </v>
      </c>
      <c r="H7344" s="20" t="str">
        <f t="shared" si="343"/>
        <v>ECOPH</v>
      </c>
      <c r="I7344" s="20">
        <f t="shared" si="344"/>
        <v>0</v>
      </c>
    </row>
    <row r="7345" spans="1:9">
      <c r="A7345" s="17" t="s">
        <v>2325</v>
      </c>
      <c r="B7345" s="17" t="s">
        <v>1324</v>
      </c>
      <c r="C7345" s="17">
        <v>0</v>
      </c>
      <c r="D7345" s="17" t="s">
        <v>801</v>
      </c>
      <c r="E7345" s="18">
        <v>3004621128003</v>
      </c>
      <c r="G7345" s="20" t="str">
        <f t="shared" si="342"/>
        <v xml:space="preserve"> PATTAOCITY      </v>
      </c>
      <c r="H7345" s="20" t="str">
        <f t="shared" si="343"/>
        <v>ECOPH</v>
      </c>
      <c r="I7345" s="20">
        <f t="shared" si="344"/>
        <v>0</v>
      </c>
    </row>
    <row r="7346" spans="1:9">
      <c r="A7346" s="17" t="s">
        <v>2325</v>
      </c>
      <c r="B7346" s="17" t="s">
        <v>1186</v>
      </c>
      <c r="C7346" s="17">
        <v>0</v>
      </c>
      <c r="D7346" s="17" t="s">
        <v>801</v>
      </c>
      <c r="E7346" s="18">
        <v>3004620713002</v>
      </c>
      <c r="G7346" s="20" t="str">
        <f t="shared" si="342"/>
        <v xml:space="preserve"> PATTAOCITY      </v>
      </c>
      <c r="H7346" s="20" t="str">
        <f t="shared" si="343"/>
        <v>ECOTE</v>
      </c>
      <c r="I7346" s="20">
        <f t="shared" si="344"/>
        <v>0</v>
      </c>
    </row>
    <row r="7347" spans="1:9">
      <c r="A7347" s="17" t="s">
        <v>2325</v>
      </c>
      <c r="B7347" s="17" t="s">
        <v>1186</v>
      </c>
      <c r="C7347" s="17">
        <v>0</v>
      </c>
      <c r="D7347" s="17" t="s">
        <v>801</v>
      </c>
      <c r="E7347" s="18">
        <v>3005280713005</v>
      </c>
      <c r="G7347" s="20" t="str">
        <f t="shared" si="342"/>
        <v xml:space="preserve"> PATTAOCITY      </v>
      </c>
      <c r="H7347" s="20" t="str">
        <f t="shared" si="343"/>
        <v>ECOTE</v>
      </c>
      <c r="I7347" s="20">
        <f t="shared" si="344"/>
        <v>0</v>
      </c>
    </row>
    <row r="7348" spans="1:9">
      <c r="A7348" s="17" t="s">
        <v>2325</v>
      </c>
      <c r="B7348" s="17" t="s">
        <v>1209</v>
      </c>
      <c r="C7348" s="17">
        <v>0</v>
      </c>
      <c r="D7348" s="17" t="s">
        <v>801</v>
      </c>
      <c r="E7348" s="18">
        <v>3004621129000</v>
      </c>
      <c r="G7348" s="20" t="str">
        <f t="shared" si="342"/>
        <v xml:space="preserve"> PATTAOCITY      </v>
      </c>
      <c r="H7348" s="20" t="str">
        <f t="shared" si="343"/>
        <v>ECTER</v>
      </c>
      <c r="I7348" s="20">
        <f t="shared" si="344"/>
        <v>0</v>
      </c>
    </row>
    <row r="7349" spans="1:9">
      <c r="A7349" s="17" t="s">
        <v>2325</v>
      </c>
      <c r="B7349" s="17" t="s">
        <v>822</v>
      </c>
      <c r="C7349" s="17" t="s">
        <v>799</v>
      </c>
      <c r="D7349" s="17" t="s">
        <v>801</v>
      </c>
      <c r="E7349" s="18">
        <v>3004620745003</v>
      </c>
      <c r="G7349" s="20" t="str">
        <f t="shared" si="342"/>
        <v xml:space="preserve"> PATTAOCITY      </v>
      </c>
      <c r="H7349" s="20" t="str">
        <f t="shared" si="343"/>
        <v>ECTES</v>
      </c>
      <c r="I7349" s="20" t="str">
        <f t="shared" si="344"/>
        <v xml:space="preserve">     </v>
      </c>
    </row>
    <row r="7350" spans="1:9">
      <c r="A7350" s="17" t="s">
        <v>2325</v>
      </c>
      <c r="B7350" s="17" t="s">
        <v>822</v>
      </c>
      <c r="C7350" s="17">
        <v>0</v>
      </c>
      <c r="D7350" s="17" t="s">
        <v>801</v>
      </c>
      <c r="E7350" s="18">
        <v>3005280745006</v>
      </c>
      <c r="G7350" s="20" t="str">
        <f t="shared" si="342"/>
        <v xml:space="preserve"> PATTAOCITY      </v>
      </c>
      <c r="H7350" s="20" t="str">
        <f t="shared" si="343"/>
        <v>ECTES</v>
      </c>
      <c r="I7350" s="20">
        <f t="shared" si="344"/>
        <v>0</v>
      </c>
    </row>
    <row r="7351" spans="1:9">
      <c r="A7351" s="17" t="s">
        <v>2325</v>
      </c>
      <c r="B7351" s="17" t="s">
        <v>822</v>
      </c>
      <c r="C7351" s="17">
        <v>0</v>
      </c>
      <c r="D7351" s="17" t="s">
        <v>801</v>
      </c>
      <c r="E7351" s="18">
        <v>8057014140781</v>
      </c>
      <c r="G7351" s="20" t="str">
        <f t="shared" si="342"/>
        <v xml:space="preserve"> PATTAOCITY      </v>
      </c>
      <c r="H7351" s="20" t="str">
        <f t="shared" si="343"/>
        <v>ECTES</v>
      </c>
      <c r="I7351" s="20">
        <f t="shared" si="344"/>
        <v>0</v>
      </c>
    </row>
    <row r="7352" spans="1:9">
      <c r="A7352" s="17" t="s">
        <v>2325</v>
      </c>
      <c r="B7352" s="17" t="s">
        <v>1513</v>
      </c>
      <c r="C7352" s="17">
        <v>0</v>
      </c>
      <c r="D7352" s="17" t="s">
        <v>801</v>
      </c>
      <c r="E7352" s="18">
        <v>3004621024008</v>
      </c>
      <c r="G7352" s="20" t="str">
        <f t="shared" si="342"/>
        <v xml:space="preserve"> PATTAOCITY      </v>
      </c>
      <c r="H7352" s="20" t="str">
        <f t="shared" si="343"/>
        <v>FLABL</v>
      </c>
      <c r="I7352" s="20">
        <f t="shared" si="344"/>
        <v>0</v>
      </c>
    </row>
    <row r="7353" spans="1:9">
      <c r="A7353" s="17" t="s">
        <v>2325</v>
      </c>
      <c r="B7353" s="17" t="s">
        <v>1513</v>
      </c>
      <c r="C7353" s="17">
        <v>0</v>
      </c>
      <c r="D7353" s="17" t="s">
        <v>801</v>
      </c>
      <c r="E7353" s="18">
        <v>3005281024001</v>
      </c>
      <c r="G7353" s="20" t="str">
        <f t="shared" si="342"/>
        <v xml:space="preserve"> PATTAOCITY      </v>
      </c>
      <c r="H7353" s="20" t="str">
        <f t="shared" si="343"/>
        <v>FLABL</v>
      </c>
      <c r="I7353" s="20">
        <f t="shared" si="344"/>
        <v>0</v>
      </c>
    </row>
    <row r="7354" spans="1:9">
      <c r="A7354" s="17" t="s">
        <v>2325</v>
      </c>
      <c r="B7354" s="17" t="s">
        <v>1543</v>
      </c>
      <c r="C7354" s="17">
        <v>0</v>
      </c>
      <c r="D7354" s="17" t="s">
        <v>801</v>
      </c>
      <c r="E7354" s="18">
        <v>3004621049001</v>
      </c>
      <c r="G7354" s="20" t="str">
        <f t="shared" si="342"/>
        <v xml:space="preserve"> PATTAOCITY      </v>
      </c>
      <c r="H7354" s="20" t="str">
        <f t="shared" si="343"/>
        <v>FLANE</v>
      </c>
      <c r="I7354" s="20">
        <f t="shared" si="344"/>
        <v>0</v>
      </c>
    </row>
    <row r="7355" spans="1:9">
      <c r="A7355" s="17" t="s">
        <v>2325</v>
      </c>
      <c r="B7355" s="17" t="s">
        <v>1543</v>
      </c>
      <c r="C7355" s="17">
        <v>0</v>
      </c>
      <c r="D7355" s="17" t="s">
        <v>801</v>
      </c>
      <c r="E7355" s="18">
        <v>3005281049004</v>
      </c>
      <c r="G7355" s="20" t="str">
        <f t="shared" si="342"/>
        <v xml:space="preserve"> PATTAOCITY      </v>
      </c>
      <c r="H7355" s="20" t="str">
        <f t="shared" si="343"/>
        <v>FLANE</v>
      </c>
      <c r="I7355" s="20">
        <f t="shared" si="344"/>
        <v>0</v>
      </c>
    </row>
    <row r="7356" spans="1:9">
      <c r="A7356" s="17" t="s">
        <v>2325</v>
      </c>
      <c r="B7356" s="17" t="s">
        <v>2329</v>
      </c>
      <c r="C7356" s="17">
        <v>0</v>
      </c>
      <c r="D7356" s="17" t="s">
        <v>801</v>
      </c>
      <c r="E7356" s="18">
        <v>8056099179341</v>
      </c>
      <c r="G7356" s="20" t="str">
        <f t="shared" si="342"/>
        <v xml:space="preserve"> PATTAOCITY      </v>
      </c>
      <c r="H7356" s="20" t="str">
        <f t="shared" si="343"/>
        <v>FLKBD</v>
      </c>
      <c r="I7356" s="20">
        <f t="shared" si="344"/>
        <v>0</v>
      </c>
    </row>
    <row r="7357" spans="1:9">
      <c r="A7357" s="17" t="s">
        <v>2325</v>
      </c>
      <c r="B7357" s="17" t="s">
        <v>2330</v>
      </c>
      <c r="C7357" s="17">
        <v>0</v>
      </c>
      <c r="D7357" s="17" t="s">
        <v>801</v>
      </c>
      <c r="E7357" s="18">
        <v>8056099177835</v>
      </c>
      <c r="G7357" s="20" t="str">
        <f t="shared" si="342"/>
        <v xml:space="preserve"> PATTAOCITY      </v>
      </c>
      <c r="H7357" s="20" t="str">
        <f t="shared" si="343"/>
        <v>FLKBL</v>
      </c>
      <c r="I7357" s="20">
        <f t="shared" si="344"/>
        <v>0</v>
      </c>
    </row>
    <row r="7358" spans="1:9">
      <c r="A7358" s="17" t="s">
        <v>2325</v>
      </c>
      <c r="B7358" s="17" t="s">
        <v>945</v>
      </c>
      <c r="C7358" s="17">
        <v>0</v>
      </c>
      <c r="D7358" s="17" t="s">
        <v>801</v>
      </c>
      <c r="E7358" s="18">
        <v>3004621056009</v>
      </c>
      <c r="G7358" s="20" t="str">
        <f t="shared" si="342"/>
        <v xml:space="preserve"> PATTAOCITY      </v>
      </c>
      <c r="H7358" s="20" t="str">
        <f t="shared" si="343"/>
        <v>FOLKB</v>
      </c>
      <c r="I7358" s="20">
        <f t="shared" si="344"/>
        <v>0</v>
      </c>
    </row>
    <row r="7359" spans="1:9">
      <c r="A7359" s="17" t="s">
        <v>2325</v>
      </c>
      <c r="B7359" s="17" t="s">
        <v>967</v>
      </c>
      <c r="C7359" s="17">
        <v>0</v>
      </c>
      <c r="D7359" s="17" t="s">
        <v>801</v>
      </c>
      <c r="E7359" s="18">
        <v>3004621063007</v>
      </c>
      <c r="G7359" s="20" t="str">
        <f t="shared" si="342"/>
        <v xml:space="preserve"> PATTAOCITY      </v>
      </c>
      <c r="H7359" s="20" t="str">
        <f t="shared" si="343"/>
        <v>FOLKO</v>
      </c>
      <c r="I7359" s="20">
        <f t="shared" si="344"/>
        <v>0</v>
      </c>
    </row>
    <row r="7360" spans="1:9">
      <c r="A7360" s="17" t="s">
        <v>2325</v>
      </c>
      <c r="B7360" s="17" t="s">
        <v>1028</v>
      </c>
      <c r="C7360" s="17">
        <v>0</v>
      </c>
      <c r="D7360" s="17" t="s">
        <v>801</v>
      </c>
      <c r="E7360" s="18">
        <v>3004621006004</v>
      </c>
      <c r="G7360" s="20" t="str">
        <f t="shared" si="342"/>
        <v xml:space="preserve"> PATTAOCITY      </v>
      </c>
      <c r="H7360" s="20" t="str">
        <f t="shared" si="343"/>
        <v>GEBLU</v>
      </c>
      <c r="I7360" s="20">
        <f t="shared" si="344"/>
        <v>0</v>
      </c>
    </row>
    <row r="7361" spans="1:9">
      <c r="A7361" s="17" t="s">
        <v>2325</v>
      </c>
      <c r="B7361" s="17" t="s">
        <v>1028</v>
      </c>
      <c r="C7361" s="17">
        <v>0</v>
      </c>
      <c r="D7361" s="17" t="s">
        <v>801</v>
      </c>
      <c r="E7361" s="18">
        <v>8056300454120</v>
      </c>
      <c r="G7361" s="20" t="str">
        <f t="shared" si="342"/>
        <v xml:space="preserve"> PATTAOCITY      </v>
      </c>
      <c r="H7361" s="20" t="str">
        <f t="shared" si="343"/>
        <v>GEBLU</v>
      </c>
      <c r="I7361" s="20">
        <f t="shared" si="344"/>
        <v>0</v>
      </c>
    </row>
    <row r="7362" spans="1:9">
      <c r="A7362" s="17" t="s">
        <v>2325</v>
      </c>
      <c r="B7362" s="17" t="s">
        <v>1029</v>
      </c>
      <c r="C7362" s="17">
        <v>0</v>
      </c>
      <c r="D7362" s="17" t="s">
        <v>801</v>
      </c>
      <c r="E7362" s="18">
        <v>3004621004000</v>
      </c>
      <c r="G7362" s="20" t="str">
        <f t="shared" si="342"/>
        <v xml:space="preserve"> PATTAOCITY      </v>
      </c>
      <c r="H7362" s="20" t="str">
        <f t="shared" si="343"/>
        <v>GEOBL</v>
      </c>
      <c r="I7362" s="20">
        <f t="shared" si="344"/>
        <v>0</v>
      </c>
    </row>
    <row r="7363" spans="1:9">
      <c r="A7363" s="17" t="s">
        <v>2325</v>
      </c>
      <c r="B7363" s="17" t="s">
        <v>1029</v>
      </c>
      <c r="C7363" s="17">
        <v>0</v>
      </c>
      <c r="D7363" s="17" t="s">
        <v>801</v>
      </c>
      <c r="E7363" s="18">
        <v>8056300454137</v>
      </c>
      <c r="G7363" s="20" t="str">
        <f t="shared" si="342"/>
        <v xml:space="preserve"> PATTAOCITY      </v>
      </c>
      <c r="H7363" s="20" t="str">
        <f t="shared" si="343"/>
        <v>GEOBL</v>
      </c>
      <c r="I7363" s="20">
        <f t="shared" si="344"/>
        <v>0</v>
      </c>
    </row>
    <row r="7364" spans="1:9">
      <c r="A7364" s="17" t="s">
        <v>2325</v>
      </c>
      <c r="B7364" s="17" t="s">
        <v>1030</v>
      </c>
      <c r="C7364" s="17">
        <v>0</v>
      </c>
      <c r="D7364" s="17" t="s">
        <v>801</v>
      </c>
      <c r="E7364" s="18">
        <v>3004621031006</v>
      </c>
      <c r="G7364" s="20" t="str">
        <f t="shared" si="342"/>
        <v xml:space="preserve"> PATTAOCITY      </v>
      </c>
      <c r="H7364" s="20" t="str">
        <f t="shared" si="343"/>
        <v>GEOBO</v>
      </c>
      <c r="I7364" s="20">
        <f t="shared" si="344"/>
        <v>0</v>
      </c>
    </row>
    <row r="7365" spans="1:9">
      <c r="A7365" s="17" t="s">
        <v>2325</v>
      </c>
      <c r="B7365" s="17" t="s">
        <v>1030</v>
      </c>
      <c r="C7365" s="17">
        <v>0</v>
      </c>
      <c r="D7365" s="17" t="s">
        <v>801</v>
      </c>
      <c r="E7365" s="18">
        <v>8056300454113</v>
      </c>
      <c r="G7365" s="20" t="str">
        <f t="shared" ref="G7365:G7428" si="345">A7365</f>
        <v xml:space="preserve"> PATTAOCITY      </v>
      </c>
      <c r="H7365" s="20" t="str">
        <f t="shared" ref="H7365:H7428" si="346">B7365</f>
        <v>GEOBO</v>
      </c>
      <c r="I7365" s="20">
        <f t="shared" ref="I7365:I7428" si="347">C7365</f>
        <v>0</v>
      </c>
    </row>
    <row r="7366" spans="1:9">
      <c r="A7366" s="17" t="s">
        <v>2325</v>
      </c>
      <c r="B7366" s="17" t="s">
        <v>1040</v>
      </c>
      <c r="C7366" s="17">
        <v>0</v>
      </c>
      <c r="D7366" s="17" t="s">
        <v>801</v>
      </c>
      <c r="E7366" s="18">
        <v>3004621064004</v>
      </c>
      <c r="G7366" s="20" t="str">
        <f t="shared" si="345"/>
        <v xml:space="preserve"> PATTAOCITY      </v>
      </c>
      <c r="H7366" s="20" t="str">
        <f t="shared" si="346"/>
        <v>JACRO</v>
      </c>
      <c r="I7366" s="20">
        <f t="shared" si="347"/>
        <v>0</v>
      </c>
    </row>
    <row r="7367" spans="1:9">
      <c r="A7367" s="17" t="s">
        <v>2325</v>
      </c>
      <c r="B7367" s="17" t="s">
        <v>2331</v>
      </c>
      <c r="C7367" s="17">
        <v>0</v>
      </c>
      <c r="D7367" s="17" t="s">
        <v>801</v>
      </c>
      <c r="E7367" s="18">
        <v>8056099177521</v>
      </c>
      <c r="G7367" s="20" t="str">
        <f t="shared" si="345"/>
        <v xml:space="preserve"> PATTAOCITY      </v>
      </c>
      <c r="H7367" s="20" t="str">
        <f t="shared" si="346"/>
        <v>JAQRE</v>
      </c>
      <c r="I7367" s="20">
        <f t="shared" si="347"/>
        <v>0</v>
      </c>
    </row>
    <row r="7368" spans="1:9">
      <c r="A7368" s="17" t="s">
        <v>2325</v>
      </c>
      <c r="B7368" s="17" t="s">
        <v>1369</v>
      </c>
      <c r="C7368" s="17">
        <v>0</v>
      </c>
      <c r="D7368" s="17" t="s">
        <v>801</v>
      </c>
      <c r="E7368" s="18">
        <v>8056095064443</v>
      </c>
      <c r="G7368" s="20" t="str">
        <f t="shared" si="345"/>
        <v xml:space="preserve"> PATTAOCITY      </v>
      </c>
      <c r="H7368" s="20" t="str">
        <f t="shared" si="346"/>
        <v>LIEDE</v>
      </c>
      <c r="I7368" s="20">
        <f t="shared" si="347"/>
        <v>0</v>
      </c>
    </row>
    <row r="7369" spans="1:9">
      <c r="A7369" s="17" t="s">
        <v>2325</v>
      </c>
      <c r="B7369" s="17" t="s">
        <v>1369</v>
      </c>
      <c r="C7369" s="17">
        <v>0</v>
      </c>
      <c r="D7369" s="17" t="s">
        <v>801</v>
      </c>
      <c r="E7369" s="18">
        <v>3004621153005</v>
      </c>
      <c r="G7369" s="20" t="str">
        <f t="shared" si="345"/>
        <v xml:space="preserve"> PATTAOCITY      </v>
      </c>
      <c r="H7369" s="20" t="str">
        <f t="shared" si="346"/>
        <v>LIEDE</v>
      </c>
      <c r="I7369" s="20">
        <f t="shared" si="347"/>
        <v>0</v>
      </c>
    </row>
    <row r="7370" spans="1:9">
      <c r="A7370" s="17" t="s">
        <v>2325</v>
      </c>
      <c r="B7370" s="17" t="s">
        <v>1138</v>
      </c>
      <c r="C7370" s="17">
        <v>0</v>
      </c>
      <c r="D7370" s="17" t="s">
        <v>801</v>
      </c>
      <c r="E7370" s="18">
        <v>8056095064436</v>
      </c>
      <c r="G7370" s="20" t="str">
        <f t="shared" si="345"/>
        <v xml:space="preserve"> PATTAOCITY      </v>
      </c>
      <c r="H7370" s="20" t="str">
        <f t="shared" si="346"/>
        <v>LIEIV</v>
      </c>
      <c r="I7370" s="20">
        <f t="shared" si="347"/>
        <v>0</v>
      </c>
    </row>
    <row r="7371" spans="1:9">
      <c r="A7371" s="17" t="s">
        <v>2325</v>
      </c>
      <c r="B7371" s="17" t="s">
        <v>1138</v>
      </c>
      <c r="C7371" s="17">
        <v>0</v>
      </c>
      <c r="D7371" s="17" t="s">
        <v>801</v>
      </c>
      <c r="E7371" s="18">
        <v>3004621096005</v>
      </c>
      <c r="G7371" s="20" t="str">
        <f t="shared" si="345"/>
        <v xml:space="preserve"> PATTAOCITY      </v>
      </c>
      <c r="H7371" s="20" t="str">
        <f t="shared" si="346"/>
        <v>LIEIV</v>
      </c>
      <c r="I7371" s="20">
        <f t="shared" si="347"/>
        <v>0</v>
      </c>
    </row>
    <row r="7372" spans="1:9">
      <c r="A7372" s="17" t="s">
        <v>2325</v>
      </c>
      <c r="B7372" s="17" t="s">
        <v>1041</v>
      </c>
      <c r="C7372" s="17">
        <v>0</v>
      </c>
      <c r="D7372" s="17" t="s">
        <v>801</v>
      </c>
      <c r="E7372" s="18">
        <v>8050538595389</v>
      </c>
      <c r="G7372" s="20" t="str">
        <f t="shared" si="345"/>
        <v xml:space="preserve"> PATTAOCITY      </v>
      </c>
      <c r="H7372" s="20" t="str">
        <f t="shared" si="346"/>
        <v>LIGBL</v>
      </c>
      <c r="I7372" s="20">
        <f t="shared" si="347"/>
        <v>0</v>
      </c>
    </row>
    <row r="7373" spans="1:9">
      <c r="A7373" s="17" t="s">
        <v>2325</v>
      </c>
      <c r="B7373" s="17" t="s">
        <v>1042</v>
      </c>
      <c r="C7373" s="17">
        <v>0</v>
      </c>
      <c r="D7373" s="17" t="s">
        <v>801</v>
      </c>
      <c r="E7373" s="18">
        <v>8050538595372</v>
      </c>
      <c r="G7373" s="20" t="str">
        <f t="shared" si="345"/>
        <v xml:space="preserve"> PATTAOCITY      </v>
      </c>
      <c r="H7373" s="20" t="str">
        <f t="shared" si="346"/>
        <v>LIGRO</v>
      </c>
      <c r="I7373" s="20">
        <f t="shared" si="347"/>
        <v>0</v>
      </c>
    </row>
    <row r="7374" spans="1:9">
      <c r="A7374" s="17" t="s">
        <v>2325</v>
      </c>
      <c r="B7374" s="17" t="s">
        <v>893</v>
      </c>
      <c r="C7374" s="17">
        <v>0</v>
      </c>
      <c r="D7374" s="17" t="s">
        <v>801</v>
      </c>
      <c r="E7374" s="18">
        <v>3004620589003</v>
      </c>
      <c r="G7374" s="20" t="str">
        <f t="shared" si="345"/>
        <v xml:space="preserve"> PATTAOCITY      </v>
      </c>
      <c r="H7374" s="20" t="str">
        <f t="shared" si="346"/>
        <v xml:space="preserve">MAG  </v>
      </c>
      <c r="I7374" s="20">
        <f t="shared" si="347"/>
        <v>0</v>
      </c>
    </row>
    <row r="7375" spans="1:9">
      <c r="A7375" s="17" t="s">
        <v>2325</v>
      </c>
      <c r="B7375" s="17" t="s">
        <v>1121</v>
      </c>
      <c r="C7375" s="17" t="s">
        <v>799</v>
      </c>
      <c r="D7375" s="17" t="s">
        <v>801</v>
      </c>
      <c r="E7375" s="18">
        <v>3004620748004</v>
      </c>
      <c r="G7375" s="20" t="str">
        <f t="shared" si="345"/>
        <v xml:space="preserve"> PATTAOCITY      </v>
      </c>
      <c r="H7375" s="20" t="str">
        <f t="shared" si="346"/>
        <v>SABLU</v>
      </c>
      <c r="I7375" s="20" t="str">
        <f t="shared" si="347"/>
        <v xml:space="preserve">     </v>
      </c>
    </row>
    <row r="7376" spans="1:9">
      <c r="A7376" s="17" t="s">
        <v>2325</v>
      </c>
      <c r="B7376" s="17" t="s">
        <v>1121</v>
      </c>
      <c r="C7376" s="17">
        <v>0</v>
      </c>
      <c r="D7376" s="17" t="s">
        <v>801</v>
      </c>
      <c r="E7376" s="18">
        <v>3005280748007</v>
      </c>
      <c r="G7376" s="20" t="str">
        <f t="shared" si="345"/>
        <v xml:space="preserve"> PATTAOCITY      </v>
      </c>
      <c r="H7376" s="20" t="str">
        <f t="shared" si="346"/>
        <v>SABLU</v>
      </c>
      <c r="I7376" s="20">
        <f t="shared" si="347"/>
        <v>0</v>
      </c>
    </row>
    <row r="7377" spans="1:9">
      <c r="A7377" s="17" t="s">
        <v>2325</v>
      </c>
      <c r="B7377" s="17" t="s">
        <v>1122</v>
      </c>
      <c r="C7377" s="17" t="s">
        <v>799</v>
      </c>
      <c r="D7377" s="17" t="s">
        <v>801</v>
      </c>
      <c r="E7377" s="18">
        <v>3004620747007</v>
      </c>
      <c r="G7377" s="20" t="str">
        <f t="shared" si="345"/>
        <v xml:space="preserve"> PATTAOCITY      </v>
      </c>
      <c r="H7377" s="20" t="str">
        <f t="shared" si="346"/>
        <v>SAFAB</v>
      </c>
      <c r="I7377" s="20" t="str">
        <f t="shared" si="347"/>
        <v xml:space="preserve">     </v>
      </c>
    </row>
    <row r="7378" spans="1:9">
      <c r="A7378" s="17" t="s">
        <v>2325</v>
      </c>
      <c r="B7378" s="17" t="s">
        <v>1122</v>
      </c>
      <c r="C7378" s="17">
        <v>0</v>
      </c>
      <c r="D7378" s="17" t="s">
        <v>801</v>
      </c>
      <c r="E7378" s="18">
        <v>3005280747000</v>
      </c>
      <c r="G7378" s="20" t="str">
        <f t="shared" si="345"/>
        <v xml:space="preserve"> PATTAOCITY      </v>
      </c>
      <c r="H7378" s="20" t="str">
        <f t="shared" si="346"/>
        <v>SAFAB</v>
      </c>
      <c r="I7378" s="20">
        <f t="shared" si="347"/>
        <v>0</v>
      </c>
    </row>
    <row r="7379" spans="1:9">
      <c r="A7379" s="17" t="s">
        <v>2325</v>
      </c>
      <c r="B7379" s="17" t="s">
        <v>2332</v>
      </c>
      <c r="C7379" s="17">
        <v>0</v>
      </c>
      <c r="D7379" s="17" t="s">
        <v>801</v>
      </c>
      <c r="E7379" s="18">
        <v>3005280458005</v>
      </c>
      <c r="G7379" s="20" t="str">
        <f t="shared" si="345"/>
        <v xml:space="preserve"> PATTAOCITY      </v>
      </c>
      <c r="H7379" s="20" t="str">
        <f t="shared" si="346"/>
        <v>SAFOR</v>
      </c>
      <c r="I7379" s="20">
        <f t="shared" si="347"/>
        <v>0</v>
      </c>
    </row>
    <row r="7380" spans="1:9">
      <c r="A7380" s="17" t="s">
        <v>2325</v>
      </c>
      <c r="B7380" s="17" t="s">
        <v>1557</v>
      </c>
      <c r="C7380" s="17">
        <v>0</v>
      </c>
      <c r="D7380" s="17" t="s">
        <v>801</v>
      </c>
      <c r="E7380" s="18">
        <v>8058983599303</v>
      </c>
      <c r="G7380" s="20" t="str">
        <f t="shared" si="345"/>
        <v xml:space="preserve"> PATTAOCITY      </v>
      </c>
      <c r="H7380" s="20" t="str">
        <f t="shared" si="346"/>
        <v>SAFOT</v>
      </c>
      <c r="I7380" s="20">
        <f t="shared" si="347"/>
        <v>0</v>
      </c>
    </row>
    <row r="7381" spans="1:9">
      <c r="A7381" s="17" t="s">
        <v>2325</v>
      </c>
      <c r="B7381" s="17" t="s">
        <v>1557</v>
      </c>
      <c r="C7381" s="17">
        <v>0</v>
      </c>
      <c r="D7381" s="17" t="s">
        <v>801</v>
      </c>
      <c r="E7381" s="18">
        <v>3005280636007</v>
      </c>
      <c r="G7381" s="20" t="str">
        <f t="shared" si="345"/>
        <v xml:space="preserve"> PATTAOCITY      </v>
      </c>
      <c r="H7381" s="20" t="str">
        <f t="shared" si="346"/>
        <v>SAFOT</v>
      </c>
      <c r="I7381" s="20">
        <f t="shared" si="347"/>
        <v>0</v>
      </c>
    </row>
    <row r="7382" spans="1:9">
      <c r="A7382" s="17" t="s">
        <v>2325</v>
      </c>
      <c r="B7382" s="17" t="s">
        <v>2333</v>
      </c>
      <c r="C7382" s="17">
        <v>0</v>
      </c>
      <c r="D7382" s="17" t="s">
        <v>801</v>
      </c>
      <c r="E7382" s="18">
        <v>8058983599310</v>
      </c>
      <c r="G7382" s="20" t="str">
        <f t="shared" si="345"/>
        <v xml:space="preserve"> PATTAOCITY      </v>
      </c>
      <c r="H7382" s="20" t="str">
        <f t="shared" si="346"/>
        <v>SAFPO</v>
      </c>
      <c r="I7382" s="20">
        <f t="shared" si="347"/>
        <v>0</v>
      </c>
    </row>
    <row r="7383" spans="1:9">
      <c r="A7383" s="17" t="s">
        <v>2325</v>
      </c>
      <c r="B7383" s="17" t="s">
        <v>2333</v>
      </c>
      <c r="C7383" s="17">
        <v>0</v>
      </c>
      <c r="D7383" s="17" t="s">
        <v>801</v>
      </c>
      <c r="E7383" s="18">
        <v>3005280635000</v>
      </c>
      <c r="G7383" s="20" t="str">
        <f t="shared" si="345"/>
        <v xml:space="preserve"> PATTAOCITY      </v>
      </c>
      <c r="H7383" s="20" t="str">
        <f t="shared" si="346"/>
        <v>SAFPO</v>
      </c>
      <c r="I7383" s="20">
        <f t="shared" si="347"/>
        <v>0</v>
      </c>
    </row>
    <row r="7384" spans="1:9">
      <c r="A7384" s="17" t="s">
        <v>2325</v>
      </c>
      <c r="B7384" s="17" t="s">
        <v>1558</v>
      </c>
      <c r="C7384" s="17">
        <v>0</v>
      </c>
      <c r="D7384" s="17" t="s">
        <v>801</v>
      </c>
      <c r="E7384" s="18">
        <v>8058983599327</v>
      </c>
      <c r="G7384" s="20" t="str">
        <f t="shared" si="345"/>
        <v xml:space="preserve"> PATTAOCITY      </v>
      </c>
      <c r="H7384" s="20" t="str">
        <f t="shared" si="346"/>
        <v>SAFTE</v>
      </c>
      <c r="I7384" s="20">
        <f t="shared" si="347"/>
        <v>0</v>
      </c>
    </row>
    <row r="7385" spans="1:9">
      <c r="A7385" s="17" t="s">
        <v>2325</v>
      </c>
      <c r="B7385" s="17" t="s">
        <v>1558</v>
      </c>
      <c r="C7385" s="17">
        <v>0</v>
      </c>
      <c r="D7385" s="17" t="s">
        <v>801</v>
      </c>
      <c r="E7385" s="18">
        <v>3005280637004</v>
      </c>
      <c r="G7385" s="20" t="str">
        <f t="shared" si="345"/>
        <v xml:space="preserve"> PATTAOCITY      </v>
      </c>
      <c r="H7385" s="20" t="str">
        <f t="shared" si="346"/>
        <v>SAFTE</v>
      </c>
      <c r="I7385" s="20">
        <f t="shared" si="347"/>
        <v>0</v>
      </c>
    </row>
    <row r="7386" spans="1:9">
      <c r="A7386" s="17" t="s">
        <v>2325</v>
      </c>
      <c r="B7386" s="17" t="s">
        <v>1559</v>
      </c>
      <c r="C7386" s="17">
        <v>0</v>
      </c>
      <c r="D7386" s="17" t="s">
        <v>801</v>
      </c>
      <c r="E7386" s="18">
        <v>8058983599334</v>
      </c>
      <c r="G7386" s="20" t="str">
        <f t="shared" si="345"/>
        <v xml:space="preserve"> PATTAOCITY      </v>
      </c>
      <c r="H7386" s="20" t="str">
        <f t="shared" si="346"/>
        <v>SAFVE</v>
      </c>
      <c r="I7386" s="20">
        <f t="shared" si="347"/>
        <v>0</v>
      </c>
    </row>
    <row r="7387" spans="1:9">
      <c r="A7387" s="17" t="s">
        <v>2325</v>
      </c>
      <c r="B7387" s="17" t="s">
        <v>1559</v>
      </c>
      <c r="C7387" s="17">
        <v>0</v>
      </c>
      <c r="D7387" s="17" t="s">
        <v>801</v>
      </c>
      <c r="E7387" s="18">
        <v>3005280638001</v>
      </c>
      <c r="G7387" s="20" t="str">
        <f t="shared" si="345"/>
        <v xml:space="preserve"> PATTAOCITY      </v>
      </c>
      <c r="H7387" s="20" t="str">
        <f t="shared" si="346"/>
        <v>SAFVE</v>
      </c>
      <c r="I7387" s="20">
        <f t="shared" si="347"/>
        <v>0</v>
      </c>
    </row>
    <row r="7388" spans="1:9">
      <c r="A7388" s="17" t="s">
        <v>2325</v>
      </c>
      <c r="B7388" s="17" t="s">
        <v>1124</v>
      </c>
      <c r="C7388" s="17" t="s">
        <v>799</v>
      </c>
      <c r="D7388" s="17" t="s">
        <v>801</v>
      </c>
      <c r="E7388" s="18">
        <v>3004620749001</v>
      </c>
      <c r="G7388" s="20" t="str">
        <f t="shared" si="345"/>
        <v xml:space="preserve"> PATTAOCITY      </v>
      </c>
      <c r="H7388" s="20" t="str">
        <f t="shared" si="346"/>
        <v>SAROS</v>
      </c>
      <c r="I7388" s="20" t="str">
        <f t="shared" si="347"/>
        <v xml:space="preserve">     </v>
      </c>
    </row>
    <row r="7389" spans="1:9">
      <c r="A7389" s="17" t="s">
        <v>2325</v>
      </c>
      <c r="B7389" s="17" t="s">
        <v>1124</v>
      </c>
      <c r="C7389" s="17">
        <v>0</v>
      </c>
      <c r="D7389" s="17" t="s">
        <v>801</v>
      </c>
      <c r="E7389" s="18">
        <v>3005280749004</v>
      </c>
      <c r="G7389" s="20" t="str">
        <f t="shared" si="345"/>
        <v xml:space="preserve"> PATTAOCITY      </v>
      </c>
      <c r="H7389" s="20" t="str">
        <f t="shared" si="346"/>
        <v>SAROS</v>
      </c>
      <c r="I7389" s="20">
        <f t="shared" si="347"/>
        <v>0</v>
      </c>
    </row>
    <row r="7390" spans="1:9">
      <c r="A7390" s="17" t="s">
        <v>2325</v>
      </c>
      <c r="B7390" s="17" t="s">
        <v>1125</v>
      </c>
      <c r="C7390" s="17" t="s">
        <v>799</v>
      </c>
      <c r="D7390" s="17" t="s">
        <v>801</v>
      </c>
      <c r="E7390" s="18">
        <v>3004620750007</v>
      </c>
      <c r="G7390" s="20" t="str">
        <f t="shared" si="345"/>
        <v xml:space="preserve"> PATTAOCITY      </v>
      </c>
      <c r="H7390" s="20" t="str">
        <f t="shared" si="346"/>
        <v>SAROU</v>
      </c>
      <c r="I7390" s="20" t="str">
        <f t="shared" si="347"/>
        <v xml:space="preserve">     </v>
      </c>
    </row>
    <row r="7391" spans="1:9">
      <c r="A7391" s="17" t="s">
        <v>2325</v>
      </c>
      <c r="B7391" s="17" t="s">
        <v>1125</v>
      </c>
      <c r="C7391" s="17">
        <v>0</v>
      </c>
      <c r="D7391" s="17" t="s">
        <v>801</v>
      </c>
      <c r="E7391" s="18">
        <v>3005280750000</v>
      </c>
      <c r="G7391" s="20" t="str">
        <f t="shared" si="345"/>
        <v xml:space="preserve"> PATTAOCITY      </v>
      </c>
      <c r="H7391" s="20" t="str">
        <f t="shared" si="346"/>
        <v>SAROU</v>
      </c>
      <c r="I7391" s="20">
        <f t="shared" si="347"/>
        <v>0</v>
      </c>
    </row>
    <row r="7392" spans="1:9">
      <c r="A7392" s="17" t="s">
        <v>2325</v>
      </c>
      <c r="B7392" s="17" t="s">
        <v>1129</v>
      </c>
      <c r="C7392" s="17" t="s">
        <v>799</v>
      </c>
      <c r="D7392" s="17" t="s">
        <v>801</v>
      </c>
      <c r="E7392" s="18">
        <v>3004620746000</v>
      </c>
      <c r="G7392" s="20" t="str">
        <f t="shared" si="345"/>
        <v xml:space="preserve"> PATTAOCITY      </v>
      </c>
      <c r="H7392" s="20" t="str">
        <f t="shared" si="346"/>
        <v>SUNAT</v>
      </c>
      <c r="I7392" s="20" t="str">
        <f t="shared" si="347"/>
        <v xml:space="preserve">     </v>
      </c>
    </row>
    <row r="7393" spans="1:9">
      <c r="A7393" s="17" t="s">
        <v>2325</v>
      </c>
      <c r="B7393" s="17" t="s">
        <v>1129</v>
      </c>
      <c r="C7393" s="17">
        <v>0</v>
      </c>
      <c r="D7393" s="17" t="s">
        <v>801</v>
      </c>
      <c r="E7393" s="18">
        <v>3005280746003</v>
      </c>
      <c r="G7393" s="20" t="str">
        <f t="shared" si="345"/>
        <v xml:space="preserve"> PATTAOCITY      </v>
      </c>
      <c r="H7393" s="20" t="str">
        <f t="shared" si="346"/>
        <v>SUNAT</v>
      </c>
      <c r="I7393" s="20">
        <f t="shared" si="347"/>
        <v>0</v>
      </c>
    </row>
    <row r="7394" spans="1:9">
      <c r="A7394" s="17" t="s">
        <v>2325</v>
      </c>
      <c r="B7394" s="17" t="s">
        <v>1129</v>
      </c>
      <c r="C7394" s="17">
        <v>0</v>
      </c>
      <c r="D7394" s="17" t="s">
        <v>801</v>
      </c>
      <c r="E7394" s="18">
        <v>8057014140484</v>
      </c>
      <c r="G7394" s="20" t="str">
        <f t="shared" si="345"/>
        <v xml:space="preserve"> PATTAOCITY      </v>
      </c>
      <c r="H7394" s="20" t="str">
        <f t="shared" si="346"/>
        <v>SUNAT</v>
      </c>
      <c r="I7394" s="20">
        <f t="shared" si="347"/>
        <v>0</v>
      </c>
    </row>
    <row r="7395" spans="1:9">
      <c r="A7395" s="17" t="s">
        <v>2325</v>
      </c>
      <c r="B7395" s="17" t="s">
        <v>1080</v>
      </c>
      <c r="C7395" s="17">
        <v>0</v>
      </c>
      <c r="D7395" s="17" t="s">
        <v>801</v>
      </c>
      <c r="E7395" s="18">
        <v>8056099171833</v>
      </c>
      <c r="G7395" s="20" t="str">
        <f t="shared" si="345"/>
        <v xml:space="preserve"> PATTAOCITY      </v>
      </c>
      <c r="H7395" s="20" t="str">
        <f t="shared" si="346"/>
        <v>TERRA</v>
      </c>
      <c r="I7395" s="20">
        <f t="shared" si="347"/>
        <v>0</v>
      </c>
    </row>
    <row r="7396" spans="1:9">
      <c r="A7396" s="17" t="s">
        <v>2325</v>
      </c>
      <c r="B7396" s="17" t="s">
        <v>1417</v>
      </c>
      <c r="C7396" s="17">
        <v>0</v>
      </c>
      <c r="D7396" s="17" t="s">
        <v>801</v>
      </c>
      <c r="E7396" s="18">
        <v>3004621061003</v>
      </c>
      <c r="G7396" s="20" t="str">
        <f t="shared" si="345"/>
        <v xml:space="preserve"> PATTAOCITY      </v>
      </c>
      <c r="H7396" s="20" t="str">
        <f t="shared" si="346"/>
        <v>VELAI</v>
      </c>
      <c r="I7396" s="20">
        <f t="shared" si="347"/>
        <v>0</v>
      </c>
    </row>
    <row r="7397" spans="1:9">
      <c r="A7397" s="17" t="s">
        <v>2325</v>
      </c>
      <c r="B7397" s="17" t="s">
        <v>920</v>
      </c>
      <c r="C7397" s="17">
        <v>0</v>
      </c>
      <c r="D7397" s="17" t="s">
        <v>801</v>
      </c>
      <c r="E7397" s="18">
        <v>3005280220008</v>
      </c>
      <c r="G7397" s="20" t="str">
        <f t="shared" si="345"/>
        <v xml:space="preserve"> PATTAOCITY      </v>
      </c>
      <c r="H7397" s="20" t="str">
        <f t="shared" si="346"/>
        <v>VERBL</v>
      </c>
      <c r="I7397" s="20">
        <f t="shared" si="347"/>
        <v>0</v>
      </c>
    </row>
    <row r="7398" spans="1:9">
      <c r="A7398" s="17" t="s">
        <v>2325</v>
      </c>
      <c r="B7398" s="17" t="s">
        <v>1014</v>
      </c>
      <c r="C7398" s="17">
        <v>0</v>
      </c>
      <c r="D7398" s="17" t="s">
        <v>801</v>
      </c>
      <c r="E7398" s="18">
        <v>3005280369004</v>
      </c>
      <c r="G7398" s="20" t="str">
        <f t="shared" si="345"/>
        <v xml:space="preserve"> PATTAOCITY      </v>
      </c>
      <c r="H7398" s="20" t="str">
        <f t="shared" si="346"/>
        <v>VERBO</v>
      </c>
      <c r="I7398" s="20">
        <f t="shared" si="347"/>
        <v>0</v>
      </c>
    </row>
    <row r="7399" spans="1:9">
      <c r="A7399" s="17" t="s">
        <v>2325</v>
      </c>
      <c r="B7399" s="17" t="s">
        <v>2334</v>
      </c>
      <c r="C7399" s="17">
        <v>0</v>
      </c>
      <c r="D7399" s="17" t="s">
        <v>801</v>
      </c>
      <c r="E7399" s="18">
        <v>8050538590537</v>
      </c>
      <c r="G7399" s="20" t="str">
        <f t="shared" si="345"/>
        <v xml:space="preserve"> PATTAOCITY      </v>
      </c>
      <c r="H7399" s="20" t="str">
        <f t="shared" si="346"/>
        <v>VINTL</v>
      </c>
      <c r="I7399" s="20">
        <f t="shared" si="347"/>
        <v>0</v>
      </c>
    </row>
    <row r="7400" spans="1:9">
      <c r="A7400" s="17" t="s">
        <v>2325</v>
      </c>
      <c r="B7400" s="17" t="s">
        <v>927</v>
      </c>
      <c r="C7400" s="17">
        <v>0</v>
      </c>
      <c r="D7400" s="17" t="s">
        <v>801</v>
      </c>
      <c r="E7400" s="18">
        <v>8056099177170</v>
      </c>
      <c r="G7400" s="20" t="str">
        <f t="shared" si="345"/>
        <v xml:space="preserve"> PATTAOCITY      </v>
      </c>
      <c r="H7400" s="20" t="str">
        <f t="shared" si="346"/>
        <v xml:space="preserve">VOLC </v>
      </c>
      <c r="I7400" s="20">
        <f t="shared" si="347"/>
        <v>0</v>
      </c>
    </row>
    <row r="7401" spans="1:9">
      <c r="A7401" s="17" t="s">
        <v>2335</v>
      </c>
      <c r="B7401" s="17" t="s">
        <v>799</v>
      </c>
      <c r="C7401" s="17">
        <v>0</v>
      </c>
      <c r="D7401" s="17" t="s">
        <v>801</v>
      </c>
      <c r="E7401" s="18">
        <v>3005430000009</v>
      </c>
      <c r="G7401" s="20" t="str">
        <f t="shared" si="345"/>
        <v xml:space="preserve"> PILEMONTRE      </v>
      </c>
      <c r="H7401" s="20" t="str">
        <f t="shared" si="346"/>
        <v xml:space="preserve">     </v>
      </c>
      <c r="I7401" s="20">
        <f t="shared" si="347"/>
        <v>0</v>
      </c>
    </row>
    <row r="7402" spans="1:9">
      <c r="A7402" s="17" t="s">
        <v>2335</v>
      </c>
      <c r="B7402" s="17">
        <v>0</v>
      </c>
      <c r="C7402" s="17">
        <v>0</v>
      </c>
      <c r="D7402" s="17" t="s">
        <v>801</v>
      </c>
      <c r="E7402" s="18">
        <v>3005430254006</v>
      </c>
      <c r="G7402" s="20" t="str">
        <f t="shared" si="345"/>
        <v xml:space="preserve"> PILEMONTRE      </v>
      </c>
      <c r="H7402" s="20">
        <f t="shared" si="346"/>
        <v>0</v>
      </c>
      <c r="I7402" s="20">
        <f t="shared" si="347"/>
        <v>0</v>
      </c>
    </row>
    <row r="7403" spans="1:9">
      <c r="A7403" s="17" t="s">
        <v>2336</v>
      </c>
      <c r="B7403" s="17" t="s">
        <v>2337</v>
      </c>
      <c r="C7403" s="17">
        <v>0</v>
      </c>
      <c r="D7403" s="17" t="s">
        <v>801</v>
      </c>
      <c r="E7403" s="18">
        <v>8050846016675</v>
      </c>
      <c r="G7403" s="20" t="str">
        <f t="shared" si="345"/>
        <v xml:space="preserve"> PINSBODY        </v>
      </c>
      <c r="H7403" s="20" t="str">
        <f t="shared" si="346"/>
        <v>BONHO</v>
      </c>
      <c r="I7403" s="20">
        <f t="shared" si="347"/>
        <v>0</v>
      </c>
    </row>
    <row r="7404" spans="1:9">
      <c r="A7404" s="17" t="s">
        <v>2336</v>
      </c>
      <c r="B7404" s="17" t="s">
        <v>2338</v>
      </c>
      <c r="C7404" s="17">
        <v>0</v>
      </c>
      <c r="D7404" s="17" t="s">
        <v>801</v>
      </c>
      <c r="E7404" s="18">
        <v>8050846019720</v>
      </c>
      <c r="G7404" s="20" t="str">
        <f t="shared" si="345"/>
        <v xml:space="preserve"> PINSBODY        </v>
      </c>
      <c r="H7404" s="20" t="str">
        <f t="shared" si="346"/>
        <v>BONNE</v>
      </c>
      <c r="I7404" s="20">
        <f t="shared" si="347"/>
        <v>0</v>
      </c>
    </row>
    <row r="7405" spans="1:9">
      <c r="A7405" s="17" t="s">
        <v>2336</v>
      </c>
      <c r="B7405" s="17" t="s">
        <v>1185</v>
      </c>
      <c r="C7405" s="17">
        <v>0</v>
      </c>
      <c r="D7405" s="17" t="s">
        <v>801</v>
      </c>
      <c r="E7405" s="18">
        <v>8050846019898</v>
      </c>
      <c r="G7405" s="20" t="str">
        <f t="shared" si="345"/>
        <v xml:space="preserve"> PINSBODY        </v>
      </c>
      <c r="H7405" s="20" t="str">
        <f t="shared" si="346"/>
        <v>ECOBL</v>
      </c>
      <c r="I7405" s="20">
        <f t="shared" si="347"/>
        <v>0</v>
      </c>
    </row>
    <row r="7406" spans="1:9">
      <c r="A7406" s="17" t="s">
        <v>2336</v>
      </c>
      <c r="B7406" s="17" t="s">
        <v>1606</v>
      </c>
      <c r="C7406" s="17">
        <v>0</v>
      </c>
      <c r="D7406" s="17" t="s">
        <v>801</v>
      </c>
      <c r="E7406" s="18">
        <v>8050846017207</v>
      </c>
      <c r="G7406" s="20" t="str">
        <f t="shared" si="345"/>
        <v xml:space="preserve"> PINSBODY        </v>
      </c>
      <c r="H7406" s="20" t="str">
        <f t="shared" si="346"/>
        <v>FLBLA</v>
      </c>
      <c r="I7406" s="20">
        <f t="shared" si="347"/>
        <v>0</v>
      </c>
    </row>
    <row r="7407" spans="1:9">
      <c r="A7407" s="17" t="s">
        <v>2336</v>
      </c>
      <c r="B7407" s="17" t="s">
        <v>2339</v>
      </c>
      <c r="C7407" s="17">
        <v>0</v>
      </c>
      <c r="D7407" s="17" t="s">
        <v>801</v>
      </c>
      <c r="E7407" s="18">
        <v>8050846019881</v>
      </c>
      <c r="G7407" s="20" t="str">
        <f t="shared" si="345"/>
        <v xml:space="preserve"> PINSBODY        </v>
      </c>
      <c r="H7407" s="20" t="str">
        <f t="shared" si="346"/>
        <v>FLWHI</v>
      </c>
      <c r="I7407" s="20">
        <f t="shared" si="347"/>
        <v>0</v>
      </c>
    </row>
    <row r="7408" spans="1:9">
      <c r="A7408" s="17" t="s">
        <v>2336</v>
      </c>
      <c r="B7408" s="17" t="s">
        <v>2340</v>
      </c>
      <c r="C7408" s="17">
        <v>0</v>
      </c>
      <c r="D7408" s="17" t="s">
        <v>801</v>
      </c>
      <c r="E7408" s="18">
        <v>8050846016392</v>
      </c>
      <c r="G7408" s="20" t="str">
        <f t="shared" si="345"/>
        <v xml:space="preserve"> PINSBODY        </v>
      </c>
      <c r="H7408" s="20" t="str">
        <f t="shared" si="346"/>
        <v>NORED</v>
      </c>
      <c r="I7408" s="20">
        <f t="shared" si="347"/>
        <v>0</v>
      </c>
    </row>
    <row r="7409" spans="1:9">
      <c r="A7409" s="17" t="s">
        <v>2336</v>
      </c>
      <c r="B7409" s="17" t="s">
        <v>2341</v>
      </c>
      <c r="C7409" s="17">
        <v>0</v>
      </c>
      <c r="D7409" s="17" t="s">
        <v>801</v>
      </c>
      <c r="E7409" s="18">
        <v>3006301541003</v>
      </c>
      <c r="G7409" s="20" t="str">
        <f t="shared" si="345"/>
        <v xml:space="preserve"> PINSBODY        </v>
      </c>
      <c r="H7409" s="20" t="str">
        <f t="shared" si="346"/>
        <v>NOVER</v>
      </c>
      <c r="I7409" s="20">
        <f t="shared" si="347"/>
        <v>0</v>
      </c>
    </row>
    <row r="7410" spans="1:9">
      <c r="A7410" s="17" t="s">
        <v>2336</v>
      </c>
      <c r="B7410" s="17" t="s">
        <v>2342</v>
      </c>
      <c r="C7410" s="17">
        <v>0</v>
      </c>
      <c r="D7410" s="17" t="s">
        <v>801</v>
      </c>
      <c r="E7410" s="18">
        <v>8050846019737</v>
      </c>
      <c r="G7410" s="20" t="str">
        <f t="shared" si="345"/>
        <v xml:space="preserve"> PINSBODY        </v>
      </c>
      <c r="H7410" s="20" t="str">
        <f t="shared" si="346"/>
        <v>SAPIN</v>
      </c>
      <c r="I7410" s="20">
        <f t="shared" si="347"/>
        <v>0</v>
      </c>
    </row>
    <row r="7411" spans="1:9">
      <c r="A7411" s="17" t="s">
        <v>2343</v>
      </c>
      <c r="B7411" s="17" t="s">
        <v>1645</v>
      </c>
      <c r="C7411" s="17">
        <v>0</v>
      </c>
      <c r="D7411" s="17" t="s">
        <v>801</v>
      </c>
      <c r="E7411" s="18">
        <v>3004520698003</v>
      </c>
      <c r="G7411" s="20" t="str">
        <f t="shared" si="345"/>
        <v xml:space="preserve"> POCHCARTECREDIT </v>
      </c>
      <c r="H7411" s="20" t="str">
        <f t="shared" si="346"/>
        <v>ETNSA</v>
      </c>
      <c r="I7411" s="20">
        <f t="shared" si="347"/>
        <v>0</v>
      </c>
    </row>
    <row r="7412" spans="1:9">
      <c r="A7412" s="17" t="s">
        <v>2343</v>
      </c>
      <c r="B7412" s="17" t="s">
        <v>1645</v>
      </c>
      <c r="C7412" s="17">
        <v>0</v>
      </c>
      <c r="D7412" s="17" t="s">
        <v>801</v>
      </c>
      <c r="E7412" s="18">
        <v>3005180698006</v>
      </c>
      <c r="G7412" s="20" t="str">
        <f t="shared" si="345"/>
        <v xml:space="preserve"> POCHCARTECREDIT </v>
      </c>
      <c r="H7412" s="20" t="str">
        <f t="shared" si="346"/>
        <v>ETNSA</v>
      </c>
      <c r="I7412" s="20">
        <f t="shared" si="347"/>
        <v>0</v>
      </c>
    </row>
    <row r="7413" spans="1:9">
      <c r="A7413" s="17" t="s">
        <v>2343</v>
      </c>
      <c r="B7413" s="17" t="s">
        <v>1646</v>
      </c>
      <c r="C7413" s="17">
        <v>0</v>
      </c>
      <c r="D7413" s="17" t="s">
        <v>801</v>
      </c>
      <c r="E7413" s="18">
        <v>3004520699000</v>
      </c>
      <c r="G7413" s="20" t="str">
        <f t="shared" si="345"/>
        <v xml:space="preserve"> POCHCARTECREDIT </v>
      </c>
      <c r="H7413" s="20" t="str">
        <f t="shared" si="346"/>
        <v>ETNVE</v>
      </c>
      <c r="I7413" s="20">
        <f t="shared" si="347"/>
        <v>0</v>
      </c>
    </row>
    <row r="7414" spans="1:9">
      <c r="A7414" s="17" t="s">
        <v>2343</v>
      </c>
      <c r="B7414" s="17" t="s">
        <v>1646</v>
      </c>
      <c r="C7414" s="17">
        <v>0</v>
      </c>
      <c r="D7414" s="17" t="s">
        <v>801</v>
      </c>
      <c r="E7414" s="18">
        <v>3005180699003</v>
      </c>
      <c r="G7414" s="20" t="str">
        <f t="shared" si="345"/>
        <v xml:space="preserve"> POCHCARTECREDIT </v>
      </c>
      <c r="H7414" s="20" t="str">
        <f t="shared" si="346"/>
        <v>ETNVE</v>
      </c>
      <c r="I7414" s="20">
        <f t="shared" si="347"/>
        <v>0</v>
      </c>
    </row>
    <row r="7415" spans="1:9">
      <c r="A7415" s="17" t="s">
        <v>2343</v>
      </c>
      <c r="B7415" s="17" t="s">
        <v>844</v>
      </c>
      <c r="C7415" s="17">
        <v>0</v>
      </c>
      <c r="D7415" s="17" t="s">
        <v>801</v>
      </c>
      <c r="E7415" s="18">
        <v>3004520715007</v>
      </c>
      <c r="G7415" s="20" t="str">
        <f t="shared" si="345"/>
        <v xml:space="preserve"> POCHCARTECREDIT </v>
      </c>
      <c r="H7415" s="20" t="str">
        <f t="shared" si="346"/>
        <v>VERCI</v>
      </c>
      <c r="I7415" s="20">
        <f t="shared" si="347"/>
        <v>0</v>
      </c>
    </row>
    <row r="7416" spans="1:9">
      <c r="A7416" s="17" t="s">
        <v>2343</v>
      </c>
      <c r="B7416" s="17" t="s">
        <v>844</v>
      </c>
      <c r="C7416" s="17">
        <v>0</v>
      </c>
      <c r="D7416" s="17" t="s">
        <v>801</v>
      </c>
      <c r="E7416" s="18">
        <v>3005180715000</v>
      </c>
      <c r="G7416" s="20" t="str">
        <f t="shared" si="345"/>
        <v xml:space="preserve"> POCHCARTECREDIT </v>
      </c>
      <c r="H7416" s="20" t="str">
        <f t="shared" si="346"/>
        <v>VERCI</v>
      </c>
      <c r="I7416" s="20">
        <f t="shared" si="347"/>
        <v>0</v>
      </c>
    </row>
    <row r="7417" spans="1:9">
      <c r="A7417" s="17" t="s">
        <v>2343</v>
      </c>
      <c r="B7417" s="17" t="s">
        <v>845</v>
      </c>
      <c r="C7417" s="17">
        <v>0</v>
      </c>
      <c r="D7417" s="17" t="s">
        <v>801</v>
      </c>
      <c r="E7417" s="18">
        <v>3004520714000</v>
      </c>
      <c r="G7417" s="20" t="str">
        <f t="shared" si="345"/>
        <v xml:space="preserve"> POCHCARTECREDIT </v>
      </c>
      <c r="H7417" s="20" t="str">
        <f t="shared" si="346"/>
        <v>VERRO</v>
      </c>
      <c r="I7417" s="20">
        <f t="shared" si="347"/>
        <v>0</v>
      </c>
    </row>
    <row r="7418" spans="1:9">
      <c r="A7418" s="17" t="s">
        <v>2343</v>
      </c>
      <c r="B7418" s="17" t="s">
        <v>845</v>
      </c>
      <c r="C7418" s="17">
        <v>0</v>
      </c>
      <c r="D7418" s="17" t="s">
        <v>801</v>
      </c>
      <c r="E7418" s="18">
        <v>3005180714003</v>
      </c>
      <c r="G7418" s="20" t="str">
        <f t="shared" si="345"/>
        <v xml:space="preserve"> POCHCARTECREDIT </v>
      </c>
      <c r="H7418" s="20" t="str">
        <f t="shared" si="346"/>
        <v>VERRO</v>
      </c>
      <c r="I7418" s="20">
        <f t="shared" si="347"/>
        <v>0</v>
      </c>
    </row>
    <row r="7419" spans="1:9">
      <c r="A7419" s="17" t="s">
        <v>2344</v>
      </c>
      <c r="B7419" s="17" t="s">
        <v>2345</v>
      </c>
      <c r="C7419" s="17">
        <v>0</v>
      </c>
      <c r="D7419" s="17" t="s">
        <v>801</v>
      </c>
      <c r="E7419" s="18">
        <v>3004041015006</v>
      </c>
      <c r="G7419" s="20" t="str">
        <f t="shared" si="345"/>
        <v xml:space="preserve"> POCHETTE        </v>
      </c>
      <c r="H7419" s="20" t="str">
        <f t="shared" si="346"/>
        <v>ACQBL</v>
      </c>
      <c r="I7419" s="20">
        <f t="shared" si="347"/>
        <v>0</v>
      </c>
    </row>
    <row r="7420" spans="1:9">
      <c r="A7420" s="17" t="s">
        <v>2344</v>
      </c>
      <c r="B7420" s="17" t="s">
        <v>280</v>
      </c>
      <c r="C7420" s="17">
        <v>0</v>
      </c>
      <c r="D7420" s="17" t="s">
        <v>801</v>
      </c>
      <c r="E7420" s="18">
        <v>3004040004001</v>
      </c>
      <c r="G7420" s="20" t="str">
        <f t="shared" si="345"/>
        <v xml:space="preserve"> POCHETTE        </v>
      </c>
      <c r="H7420" s="20" t="str">
        <f t="shared" si="346"/>
        <v>BLACK</v>
      </c>
      <c r="I7420" s="20">
        <f t="shared" si="347"/>
        <v>0</v>
      </c>
    </row>
    <row r="7421" spans="1:9">
      <c r="A7421" s="17" t="s">
        <v>2344</v>
      </c>
      <c r="B7421" s="17" t="s">
        <v>2346</v>
      </c>
      <c r="C7421" s="17">
        <v>0</v>
      </c>
      <c r="D7421" s="17" t="s">
        <v>801</v>
      </c>
      <c r="E7421" s="18">
        <v>3004041019004</v>
      </c>
      <c r="G7421" s="20" t="str">
        <f t="shared" si="345"/>
        <v xml:space="preserve"> POCHETTE        </v>
      </c>
      <c r="H7421" s="20" t="str">
        <f t="shared" si="346"/>
        <v>GREJA</v>
      </c>
      <c r="I7421" s="20">
        <f t="shared" si="347"/>
        <v>0</v>
      </c>
    </row>
    <row r="7422" spans="1:9">
      <c r="A7422" s="17" t="s">
        <v>2344</v>
      </c>
      <c r="B7422" s="17" t="s">
        <v>2347</v>
      </c>
      <c r="C7422" s="17">
        <v>0</v>
      </c>
      <c r="D7422" s="17" t="s">
        <v>801</v>
      </c>
      <c r="E7422" s="18">
        <v>3004041014009</v>
      </c>
      <c r="G7422" s="20" t="str">
        <f t="shared" si="345"/>
        <v xml:space="preserve"> POCHETTE        </v>
      </c>
      <c r="H7422" s="20" t="str">
        <f t="shared" si="346"/>
        <v>GREOR</v>
      </c>
      <c r="I7422" s="20">
        <f t="shared" si="347"/>
        <v>0</v>
      </c>
    </row>
    <row r="7423" spans="1:9">
      <c r="A7423" s="17" t="s">
        <v>2344</v>
      </c>
      <c r="B7423" s="17" t="s">
        <v>1039</v>
      </c>
      <c r="C7423" s="17">
        <v>0</v>
      </c>
      <c r="D7423" s="17" t="s">
        <v>801</v>
      </c>
      <c r="E7423" s="18">
        <v>8056099177293</v>
      </c>
      <c r="G7423" s="20" t="str">
        <f t="shared" si="345"/>
        <v xml:space="preserve"> POCHETTE        </v>
      </c>
      <c r="H7423" s="20" t="str">
        <f t="shared" si="346"/>
        <v>JACBL</v>
      </c>
      <c r="I7423" s="20">
        <f t="shared" si="347"/>
        <v>0</v>
      </c>
    </row>
    <row r="7424" spans="1:9">
      <c r="A7424" s="17" t="s">
        <v>2344</v>
      </c>
      <c r="B7424" s="17" t="s">
        <v>1040</v>
      </c>
      <c r="C7424" s="17">
        <v>0</v>
      </c>
      <c r="D7424" s="17" t="s">
        <v>801</v>
      </c>
      <c r="E7424" s="18">
        <v>8056099178740</v>
      </c>
      <c r="G7424" s="20" t="str">
        <f t="shared" si="345"/>
        <v xml:space="preserve"> POCHETTE        </v>
      </c>
      <c r="H7424" s="20" t="str">
        <f t="shared" si="346"/>
        <v>JACRO</v>
      </c>
      <c r="I7424" s="20">
        <f t="shared" si="347"/>
        <v>0</v>
      </c>
    </row>
    <row r="7425" spans="1:9">
      <c r="A7425" s="17" t="s">
        <v>2348</v>
      </c>
      <c r="B7425" s="17" t="s">
        <v>1529</v>
      </c>
      <c r="C7425" s="17">
        <v>0</v>
      </c>
      <c r="D7425" s="17" t="s">
        <v>801</v>
      </c>
      <c r="E7425" s="18">
        <v>3005391294004</v>
      </c>
      <c r="G7425" s="20" t="str">
        <f t="shared" si="345"/>
        <v xml:space="preserve"> POCHETTE/ETE2017</v>
      </c>
      <c r="H7425" s="20" t="str">
        <f t="shared" si="346"/>
        <v>AJCOG</v>
      </c>
      <c r="I7425" s="20">
        <f t="shared" si="347"/>
        <v>0</v>
      </c>
    </row>
    <row r="7426" spans="1:9">
      <c r="A7426" s="17" t="s">
        <v>2348</v>
      </c>
      <c r="B7426" s="17" t="s">
        <v>1529</v>
      </c>
      <c r="C7426" s="17">
        <v>0</v>
      </c>
      <c r="D7426" s="17" t="s">
        <v>801</v>
      </c>
      <c r="E7426" s="18">
        <v>8056099172915</v>
      </c>
      <c r="G7426" s="20" t="str">
        <f t="shared" si="345"/>
        <v xml:space="preserve"> POCHETTE/ETE2017</v>
      </c>
      <c r="H7426" s="20" t="str">
        <f t="shared" si="346"/>
        <v>AJCOG</v>
      </c>
      <c r="I7426" s="20">
        <f t="shared" si="347"/>
        <v>0</v>
      </c>
    </row>
    <row r="7427" spans="1:9">
      <c r="A7427" s="17" t="s">
        <v>2348</v>
      </c>
      <c r="B7427" s="17" t="s">
        <v>1475</v>
      </c>
      <c r="C7427" s="17">
        <v>0</v>
      </c>
      <c r="D7427" s="17" t="s">
        <v>801</v>
      </c>
      <c r="E7427" s="18">
        <v>3005391295001</v>
      </c>
      <c r="G7427" s="20" t="str">
        <f t="shared" si="345"/>
        <v xml:space="preserve"> POCHETTE/ETE2017</v>
      </c>
      <c r="H7427" s="20" t="str">
        <f t="shared" si="346"/>
        <v>AJNAT</v>
      </c>
      <c r="I7427" s="20">
        <f t="shared" si="347"/>
        <v>0</v>
      </c>
    </row>
    <row r="7428" spans="1:9">
      <c r="A7428" s="17" t="s">
        <v>2348</v>
      </c>
      <c r="B7428" s="17" t="s">
        <v>1475</v>
      </c>
      <c r="C7428" s="17">
        <v>0</v>
      </c>
      <c r="D7428" s="17" t="s">
        <v>801</v>
      </c>
      <c r="E7428" s="18">
        <v>8056099172892</v>
      </c>
      <c r="G7428" s="20" t="str">
        <f t="shared" si="345"/>
        <v xml:space="preserve"> POCHETTE/ETE2017</v>
      </c>
      <c r="H7428" s="20" t="str">
        <f t="shared" si="346"/>
        <v>AJNAT</v>
      </c>
      <c r="I7428" s="20">
        <f t="shared" si="347"/>
        <v>0</v>
      </c>
    </row>
    <row r="7429" spans="1:9">
      <c r="A7429" s="17" t="s">
        <v>2348</v>
      </c>
      <c r="B7429" s="17" t="s">
        <v>1753</v>
      </c>
      <c r="C7429" s="17">
        <v>0</v>
      </c>
      <c r="D7429" s="17" t="s">
        <v>801</v>
      </c>
      <c r="E7429" s="18">
        <v>3005391311008</v>
      </c>
      <c r="G7429" s="20" t="str">
        <f t="shared" ref="G7429:G7492" si="348">A7429</f>
        <v xml:space="preserve"> POCHETTE/ETE2017</v>
      </c>
      <c r="H7429" s="20" t="str">
        <f t="shared" ref="H7429:H7492" si="349">B7429</f>
        <v>AJOCR</v>
      </c>
      <c r="I7429" s="20">
        <f t="shared" ref="I7429:I7492" si="350">C7429</f>
        <v>0</v>
      </c>
    </row>
    <row r="7430" spans="1:9">
      <c r="A7430" s="17" t="s">
        <v>2348</v>
      </c>
      <c r="B7430" s="17" t="s">
        <v>1753</v>
      </c>
      <c r="C7430" s="17">
        <v>0</v>
      </c>
      <c r="D7430" s="17" t="s">
        <v>801</v>
      </c>
      <c r="E7430" s="18">
        <v>8056099172908</v>
      </c>
      <c r="G7430" s="20" t="str">
        <f t="shared" si="348"/>
        <v xml:space="preserve"> POCHETTE/ETE2017</v>
      </c>
      <c r="H7430" s="20" t="str">
        <f t="shared" si="349"/>
        <v>AJOCR</v>
      </c>
      <c r="I7430" s="20">
        <f t="shared" si="350"/>
        <v>0</v>
      </c>
    </row>
    <row r="7431" spans="1:9">
      <c r="A7431" s="17" t="s">
        <v>2348</v>
      </c>
      <c r="B7431" s="17" t="s">
        <v>1476</v>
      </c>
      <c r="C7431" s="17">
        <v>0</v>
      </c>
      <c r="D7431" s="17" t="s">
        <v>801</v>
      </c>
      <c r="E7431" s="18">
        <v>3005391293007</v>
      </c>
      <c r="G7431" s="20" t="str">
        <f t="shared" si="348"/>
        <v xml:space="preserve"> POCHETTE/ETE2017</v>
      </c>
      <c r="H7431" s="20" t="str">
        <f t="shared" si="349"/>
        <v>AJWHI</v>
      </c>
      <c r="I7431" s="20">
        <f t="shared" si="350"/>
        <v>0</v>
      </c>
    </row>
    <row r="7432" spans="1:9">
      <c r="A7432" s="17" t="s">
        <v>2348</v>
      </c>
      <c r="B7432" s="17" t="s">
        <v>1476</v>
      </c>
      <c r="C7432" s="17">
        <v>0</v>
      </c>
      <c r="D7432" s="17" t="s">
        <v>801</v>
      </c>
      <c r="E7432" s="18">
        <v>8056099172885</v>
      </c>
      <c r="G7432" s="20" t="str">
        <f t="shared" si="348"/>
        <v xml:space="preserve"> POCHETTE/ETE2017</v>
      </c>
      <c r="H7432" s="20" t="str">
        <f t="shared" si="349"/>
        <v>AJWHI</v>
      </c>
      <c r="I7432" s="20">
        <f t="shared" si="350"/>
        <v>0</v>
      </c>
    </row>
    <row r="7433" spans="1:9">
      <c r="A7433" s="17" t="s">
        <v>2348</v>
      </c>
      <c r="B7433" s="17" t="s">
        <v>1276</v>
      </c>
      <c r="C7433" s="17">
        <v>0</v>
      </c>
      <c r="D7433" s="17" t="s">
        <v>801</v>
      </c>
      <c r="E7433" s="18">
        <v>8056095064672</v>
      </c>
      <c r="G7433" s="20" t="str">
        <f t="shared" si="348"/>
        <v xml:space="preserve"> POCHETTE/ETE2017</v>
      </c>
      <c r="H7433" s="20" t="str">
        <f t="shared" si="349"/>
        <v>CANFR</v>
      </c>
      <c r="I7433" s="20">
        <f t="shared" si="350"/>
        <v>0</v>
      </c>
    </row>
    <row r="7434" spans="1:9">
      <c r="A7434" s="17" t="s">
        <v>2348</v>
      </c>
      <c r="B7434" s="17" t="s">
        <v>1276</v>
      </c>
      <c r="C7434" s="17">
        <v>0</v>
      </c>
      <c r="D7434" s="17" t="s">
        <v>801</v>
      </c>
      <c r="E7434" s="18">
        <v>3005391119000</v>
      </c>
      <c r="G7434" s="20" t="str">
        <f t="shared" si="348"/>
        <v xml:space="preserve"> POCHETTE/ETE2017</v>
      </c>
      <c r="H7434" s="20" t="str">
        <f t="shared" si="349"/>
        <v>CANFR</v>
      </c>
      <c r="I7434" s="20">
        <f t="shared" si="350"/>
        <v>0</v>
      </c>
    </row>
    <row r="7435" spans="1:9">
      <c r="A7435" s="17" t="s">
        <v>2348</v>
      </c>
      <c r="B7435" s="17" t="s">
        <v>1564</v>
      </c>
      <c r="C7435" s="17">
        <v>0</v>
      </c>
      <c r="D7435" s="17" t="s">
        <v>801</v>
      </c>
      <c r="E7435" s="18">
        <v>8056095064665</v>
      </c>
      <c r="G7435" s="20" t="str">
        <f t="shared" si="348"/>
        <v xml:space="preserve"> POCHETTE/ETE2017</v>
      </c>
      <c r="H7435" s="20" t="str">
        <f t="shared" si="349"/>
        <v>CANIV</v>
      </c>
      <c r="I7435" s="20">
        <f t="shared" si="350"/>
        <v>0</v>
      </c>
    </row>
    <row r="7436" spans="1:9">
      <c r="A7436" s="17" t="s">
        <v>2348</v>
      </c>
      <c r="B7436" s="17" t="s">
        <v>1564</v>
      </c>
      <c r="C7436" s="17">
        <v>0</v>
      </c>
      <c r="D7436" s="17" t="s">
        <v>801</v>
      </c>
      <c r="E7436" s="18">
        <v>3005391118003</v>
      </c>
      <c r="G7436" s="20" t="str">
        <f t="shared" si="348"/>
        <v xml:space="preserve"> POCHETTE/ETE2017</v>
      </c>
      <c r="H7436" s="20" t="str">
        <f t="shared" si="349"/>
        <v>CANIV</v>
      </c>
      <c r="I7436" s="20">
        <f t="shared" si="350"/>
        <v>0</v>
      </c>
    </row>
    <row r="7437" spans="1:9">
      <c r="A7437" s="17" t="s">
        <v>2348</v>
      </c>
      <c r="B7437" s="17" t="s">
        <v>1990</v>
      </c>
      <c r="C7437" s="17">
        <v>0</v>
      </c>
      <c r="D7437" s="17" t="s">
        <v>801</v>
      </c>
      <c r="E7437" s="18">
        <v>3005390998002</v>
      </c>
      <c r="G7437" s="20" t="str">
        <f t="shared" si="348"/>
        <v xml:space="preserve"> POCHETTE/ETE2017</v>
      </c>
      <c r="H7437" s="20" t="str">
        <f t="shared" si="349"/>
        <v>REBLA</v>
      </c>
      <c r="I7437" s="20">
        <f t="shared" si="350"/>
        <v>0</v>
      </c>
    </row>
    <row r="7438" spans="1:9">
      <c r="A7438" s="17" t="s">
        <v>2348</v>
      </c>
      <c r="B7438" s="17" t="s">
        <v>1399</v>
      </c>
      <c r="C7438" s="17">
        <v>0</v>
      </c>
      <c r="D7438" s="17" t="s">
        <v>801</v>
      </c>
      <c r="E7438" s="18">
        <v>3005391207004</v>
      </c>
      <c r="G7438" s="20" t="str">
        <f t="shared" si="348"/>
        <v xml:space="preserve"> POCHETTE/ETE2017</v>
      </c>
      <c r="H7438" s="20" t="str">
        <f t="shared" si="349"/>
        <v>RIVBL</v>
      </c>
      <c r="I7438" s="20">
        <f t="shared" si="350"/>
        <v>0</v>
      </c>
    </row>
    <row r="7439" spans="1:9">
      <c r="A7439" s="17" t="s">
        <v>2348</v>
      </c>
      <c r="B7439" s="17" t="s">
        <v>1399</v>
      </c>
      <c r="C7439" s="17">
        <v>0</v>
      </c>
      <c r="D7439" s="17" t="s">
        <v>801</v>
      </c>
      <c r="E7439" s="18">
        <v>8056099172878</v>
      </c>
      <c r="G7439" s="20" t="str">
        <f t="shared" si="348"/>
        <v xml:space="preserve"> POCHETTE/ETE2017</v>
      </c>
      <c r="H7439" s="20" t="str">
        <f t="shared" si="349"/>
        <v>RIVBL</v>
      </c>
      <c r="I7439" s="20">
        <f t="shared" si="350"/>
        <v>0</v>
      </c>
    </row>
    <row r="7440" spans="1:9">
      <c r="A7440" s="17" t="s">
        <v>2348</v>
      </c>
      <c r="B7440" s="17" t="s">
        <v>1401</v>
      </c>
      <c r="C7440" s="17">
        <v>0</v>
      </c>
      <c r="D7440" s="17" t="s">
        <v>801</v>
      </c>
      <c r="E7440" s="18">
        <v>3005391205000</v>
      </c>
      <c r="G7440" s="20" t="str">
        <f t="shared" si="348"/>
        <v xml:space="preserve"> POCHETTE/ETE2017</v>
      </c>
      <c r="H7440" s="20" t="str">
        <f t="shared" si="349"/>
        <v>RIVRO</v>
      </c>
      <c r="I7440" s="20">
        <f t="shared" si="350"/>
        <v>0</v>
      </c>
    </row>
    <row r="7441" spans="1:9">
      <c r="A7441" s="17" t="s">
        <v>2348</v>
      </c>
      <c r="B7441" s="17" t="s">
        <v>1401</v>
      </c>
      <c r="C7441" s="17">
        <v>0</v>
      </c>
      <c r="D7441" s="17" t="s">
        <v>801</v>
      </c>
      <c r="E7441" s="18">
        <v>8056099172854</v>
      </c>
      <c r="G7441" s="20" t="str">
        <f t="shared" si="348"/>
        <v xml:space="preserve"> POCHETTE/ETE2017</v>
      </c>
      <c r="H7441" s="20" t="str">
        <f t="shared" si="349"/>
        <v>RIVRO</v>
      </c>
      <c r="I7441" s="20">
        <f t="shared" si="350"/>
        <v>0</v>
      </c>
    </row>
    <row r="7442" spans="1:9">
      <c r="A7442" s="17" t="s">
        <v>2348</v>
      </c>
      <c r="B7442" s="17" t="s">
        <v>2349</v>
      </c>
      <c r="C7442" s="17">
        <v>0</v>
      </c>
      <c r="D7442" s="17" t="s">
        <v>801</v>
      </c>
      <c r="E7442" s="18">
        <v>3005391206007</v>
      </c>
      <c r="G7442" s="20" t="str">
        <f t="shared" si="348"/>
        <v xml:space="preserve"> POCHETTE/ETE2017</v>
      </c>
      <c r="H7442" s="20" t="str">
        <f t="shared" si="349"/>
        <v>RIVYE</v>
      </c>
      <c r="I7442" s="20">
        <f t="shared" si="350"/>
        <v>0</v>
      </c>
    </row>
    <row r="7443" spans="1:9">
      <c r="A7443" s="17" t="s">
        <v>2348</v>
      </c>
      <c r="B7443" s="17" t="s">
        <v>2349</v>
      </c>
      <c r="C7443" s="17">
        <v>0</v>
      </c>
      <c r="D7443" s="17" t="s">
        <v>801</v>
      </c>
      <c r="E7443" s="18">
        <v>8056099172847</v>
      </c>
      <c r="G7443" s="20" t="str">
        <f t="shared" si="348"/>
        <v xml:space="preserve"> POCHETTE/ETE2017</v>
      </c>
      <c r="H7443" s="20" t="str">
        <f t="shared" si="349"/>
        <v>RIVYE</v>
      </c>
      <c r="I7443" s="20">
        <f t="shared" si="350"/>
        <v>0</v>
      </c>
    </row>
    <row r="7444" spans="1:9">
      <c r="A7444" s="17" t="s">
        <v>2348</v>
      </c>
      <c r="B7444" s="17" t="s">
        <v>1798</v>
      </c>
      <c r="C7444" s="17">
        <v>0</v>
      </c>
      <c r="D7444" s="17" t="s">
        <v>801</v>
      </c>
      <c r="E7444" s="18">
        <v>8056095064351</v>
      </c>
      <c r="G7444" s="20" t="str">
        <f t="shared" si="348"/>
        <v xml:space="preserve"> POCHETTE/ETE2017</v>
      </c>
      <c r="H7444" s="20" t="str">
        <f t="shared" si="349"/>
        <v>SLIBL</v>
      </c>
      <c r="I7444" s="20">
        <f t="shared" si="350"/>
        <v>0</v>
      </c>
    </row>
    <row r="7445" spans="1:9">
      <c r="A7445" s="17" t="s">
        <v>2348</v>
      </c>
      <c r="B7445" s="17" t="s">
        <v>1798</v>
      </c>
      <c r="C7445" s="17">
        <v>0</v>
      </c>
      <c r="D7445" s="17" t="s">
        <v>801</v>
      </c>
      <c r="E7445" s="18">
        <v>3005391150003</v>
      </c>
      <c r="G7445" s="20" t="str">
        <f t="shared" si="348"/>
        <v xml:space="preserve"> POCHETTE/ETE2017</v>
      </c>
      <c r="H7445" s="20" t="str">
        <f t="shared" si="349"/>
        <v>SLIBL</v>
      </c>
      <c r="I7445" s="20">
        <f t="shared" si="350"/>
        <v>0</v>
      </c>
    </row>
    <row r="7446" spans="1:9">
      <c r="A7446" s="17" t="s">
        <v>2348</v>
      </c>
      <c r="B7446" s="17" t="s">
        <v>1799</v>
      </c>
      <c r="C7446" s="17">
        <v>0</v>
      </c>
      <c r="D7446" s="17" t="s">
        <v>801</v>
      </c>
      <c r="E7446" s="18">
        <v>8056095064344</v>
      </c>
      <c r="G7446" s="20" t="str">
        <f t="shared" si="348"/>
        <v xml:space="preserve"> POCHETTE/ETE2017</v>
      </c>
      <c r="H7446" s="20" t="str">
        <f t="shared" si="349"/>
        <v>SLIGL</v>
      </c>
      <c r="I7446" s="20">
        <f t="shared" si="350"/>
        <v>0</v>
      </c>
    </row>
    <row r="7447" spans="1:9">
      <c r="A7447" s="17" t="s">
        <v>2348</v>
      </c>
      <c r="B7447" s="17" t="s">
        <v>1799</v>
      </c>
      <c r="C7447" s="17">
        <v>0</v>
      </c>
      <c r="D7447" s="17" t="s">
        <v>801</v>
      </c>
      <c r="E7447" s="18">
        <v>3005391149007</v>
      </c>
      <c r="G7447" s="20" t="str">
        <f t="shared" si="348"/>
        <v xml:space="preserve"> POCHETTE/ETE2017</v>
      </c>
      <c r="H7447" s="20" t="str">
        <f t="shared" si="349"/>
        <v>SLIGL</v>
      </c>
      <c r="I7447" s="20">
        <f t="shared" si="350"/>
        <v>0</v>
      </c>
    </row>
    <row r="7448" spans="1:9">
      <c r="A7448" s="17" t="s">
        <v>2348</v>
      </c>
      <c r="B7448" s="17" t="s">
        <v>1800</v>
      </c>
      <c r="C7448" s="17">
        <v>0</v>
      </c>
      <c r="D7448" s="17" t="s">
        <v>801</v>
      </c>
      <c r="E7448" s="18">
        <v>8056095064337</v>
      </c>
      <c r="G7448" s="20" t="str">
        <f t="shared" si="348"/>
        <v xml:space="preserve"> POCHETTE/ETE2017</v>
      </c>
      <c r="H7448" s="20" t="str">
        <f t="shared" si="349"/>
        <v>SLISA</v>
      </c>
      <c r="I7448" s="20">
        <f t="shared" si="350"/>
        <v>0</v>
      </c>
    </row>
    <row r="7449" spans="1:9">
      <c r="A7449" s="17" t="s">
        <v>2348</v>
      </c>
      <c r="B7449" s="17" t="s">
        <v>1800</v>
      </c>
      <c r="C7449" s="17">
        <v>0</v>
      </c>
      <c r="D7449" s="17" t="s">
        <v>801</v>
      </c>
      <c r="E7449" s="18">
        <v>3005391148000</v>
      </c>
      <c r="G7449" s="20" t="str">
        <f t="shared" si="348"/>
        <v xml:space="preserve"> POCHETTE/ETE2017</v>
      </c>
      <c r="H7449" s="20" t="str">
        <f t="shared" si="349"/>
        <v>SLISA</v>
      </c>
      <c r="I7449" s="20">
        <f t="shared" si="350"/>
        <v>0</v>
      </c>
    </row>
    <row r="7450" spans="1:9">
      <c r="A7450" s="17" t="s">
        <v>2348</v>
      </c>
      <c r="B7450" s="17" t="s">
        <v>1957</v>
      </c>
      <c r="C7450" s="17">
        <v>0</v>
      </c>
      <c r="D7450" s="17" t="s">
        <v>801</v>
      </c>
      <c r="E7450" s="18">
        <v>8056098539702</v>
      </c>
      <c r="G7450" s="20" t="str">
        <f t="shared" si="348"/>
        <v xml:space="preserve"> POCHETTE/ETE2017</v>
      </c>
      <c r="H7450" s="20" t="str">
        <f t="shared" si="349"/>
        <v>TRACQ</v>
      </c>
      <c r="I7450" s="20">
        <f t="shared" si="350"/>
        <v>0</v>
      </c>
    </row>
    <row r="7451" spans="1:9">
      <c r="A7451" s="17" t="s">
        <v>2348</v>
      </c>
      <c r="B7451" s="17" t="s">
        <v>1957</v>
      </c>
      <c r="C7451" s="17">
        <v>0</v>
      </c>
      <c r="D7451" s="17" t="s">
        <v>801</v>
      </c>
      <c r="E7451" s="18">
        <v>3005391339002</v>
      </c>
      <c r="G7451" s="20" t="str">
        <f t="shared" si="348"/>
        <v xml:space="preserve"> POCHETTE/ETE2017</v>
      </c>
      <c r="H7451" s="20" t="str">
        <f t="shared" si="349"/>
        <v>TRACQ</v>
      </c>
      <c r="I7451" s="20">
        <f t="shared" si="350"/>
        <v>0</v>
      </c>
    </row>
    <row r="7452" spans="1:9">
      <c r="A7452" s="17" t="s">
        <v>2348</v>
      </c>
      <c r="B7452" s="17" t="s">
        <v>1499</v>
      </c>
      <c r="C7452" s="17">
        <v>0</v>
      </c>
      <c r="D7452" s="17" t="s">
        <v>801</v>
      </c>
      <c r="E7452" s="18">
        <v>8056098539665</v>
      </c>
      <c r="G7452" s="20" t="str">
        <f t="shared" si="348"/>
        <v xml:space="preserve"> POCHETTE/ETE2017</v>
      </c>
      <c r="H7452" s="20" t="str">
        <f t="shared" si="349"/>
        <v>TRAPP</v>
      </c>
      <c r="I7452" s="20">
        <f t="shared" si="350"/>
        <v>0</v>
      </c>
    </row>
    <row r="7453" spans="1:9">
      <c r="A7453" s="17" t="s">
        <v>2348</v>
      </c>
      <c r="B7453" s="17" t="s">
        <v>1499</v>
      </c>
      <c r="C7453" s="17">
        <v>0</v>
      </c>
      <c r="D7453" s="17" t="s">
        <v>801</v>
      </c>
      <c r="E7453" s="18">
        <v>3005391338005</v>
      </c>
      <c r="G7453" s="20" t="str">
        <f t="shared" si="348"/>
        <v xml:space="preserve"> POCHETTE/ETE2017</v>
      </c>
      <c r="H7453" s="20" t="str">
        <f t="shared" si="349"/>
        <v>TRAPP</v>
      </c>
      <c r="I7453" s="20">
        <f t="shared" si="350"/>
        <v>0</v>
      </c>
    </row>
    <row r="7454" spans="1:9">
      <c r="A7454" s="17" t="s">
        <v>2348</v>
      </c>
      <c r="B7454" s="17" t="s">
        <v>1500</v>
      </c>
      <c r="C7454" s="17">
        <v>0</v>
      </c>
      <c r="D7454" s="17" t="s">
        <v>801</v>
      </c>
      <c r="E7454" s="18">
        <v>8056098539719</v>
      </c>
      <c r="G7454" s="20" t="str">
        <f t="shared" si="348"/>
        <v xml:space="preserve"> POCHETTE/ETE2017</v>
      </c>
      <c r="H7454" s="20" t="str">
        <f t="shared" si="349"/>
        <v>TRBBL</v>
      </c>
      <c r="I7454" s="20">
        <f t="shared" si="350"/>
        <v>0</v>
      </c>
    </row>
    <row r="7455" spans="1:9">
      <c r="A7455" s="17" t="s">
        <v>2348</v>
      </c>
      <c r="B7455" s="17" t="s">
        <v>1500</v>
      </c>
      <c r="C7455" s="17">
        <v>0</v>
      </c>
      <c r="D7455" s="17" t="s">
        <v>801</v>
      </c>
      <c r="E7455" s="18">
        <v>3005391342002</v>
      </c>
      <c r="G7455" s="20" t="str">
        <f t="shared" si="348"/>
        <v xml:space="preserve"> POCHETTE/ETE2017</v>
      </c>
      <c r="H7455" s="20" t="str">
        <f t="shared" si="349"/>
        <v>TRBBL</v>
      </c>
      <c r="I7455" s="20">
        <f t="shared" si="350"/>
        <v>0</v>
      </c>
    </row>
    <row r="7456" spans="1:9">
      <c r="A7456" s="17" t="s">
        <v>2348</v>
      </c>
      <c r="B7456" s="17" t="s">
        <v>1501</v>
      </c>
      <c r="C7456" s="17">
        <v>0</v>
      </c>
      <c r="D7456" s="17" t="s">
        <v>801</v>
      </c>
      <c r="E7456" s="18">
        <v>8056098539672</v>
      </c>
      <c r="G7456" s="20" t="str">
        <f t="shared" si="348"/>
        <v xml:space="preserve"> POCHETTE/ETE2017</v>
      </c>
      <c r="H7456" s="20" t="str">
        <f t="shared" si="349"/>
        <v>TRBLA</v>
      </c>
      <c r="I7456" s="20">
        <f t="shared" si="350"/>
        <v>0</v>
      </c>
    </row>
    <row r="7457" spans="1:9">
      <c r="A7457" s="17" t="s">
        <v>2348</v>
      </c>
      <c r="B7457" s="17" t="s">
        <v>1501</v>
      </c>
      <c r="C7457" s="17">
        <v>0</v>
      </c>
      <c r="D7457" s="17" t="s">
        <v>801</v>
      </c>
      <c r="E7457" s="18">
        <v>3005391335004</v>
      </c>
      <c r="G7457" s="20" t="str">
        <f t="shared" si="348"/>
        <v xml:space="preserve"> POCHETTE/ETE2017</v>
      </c>
      <c r="H7457" s="20" t="str">
        <f t="shared" si="349"/>
        <v>TRBLA</v>
      </c>
      <c r="I7457" s="20">
        <f t="shared" si="350"/>
        <v>0</v>
      </c>
    </row>
    <row r="7458" spans="1:9">
      <c r="A7458" s="17" t="s">
        <v>2348</v>
      </c>
      <c r="B7458" s="17" t="s">
        <v>1958</v>
      </c>
      <c r="C7458" s="17">
        <v>0</v>
      </c>
      <c r="D7458" s="17" t="s">
        <v>801</v>
      </c>
      <c r="E7458" s="18">
        <v>8056098539696</v>
      </c>
      <c r="G7458" s="20" t="str">
        <f t="shared" si="348"/>
        <v xml:space="preserve"> POCHETTE/ETE2017</v>
      </c>
      <c r="H7458" s="20" t="str">
        <f t="shared" si="349"/>
        <v>TRORA</v>
      </c>
      <c r="I7458" s="20">
        <f t="shared" si="350"/>
        <v>0</v>
      </c>
    </row>
    <row r="7459" spans="1:9">
      <c r="A7459" s="17" t="s">
        <v>2348</v>
      </c>
      <c r="B7459" s="17" t="s">
        <v>1958</v>
      </c>
      <c r="C7459" s="17">
        <v>0</v>
      </c>
      <c r="D7459" s="17" t="s">
        <v>801</v>
      </c>
      <c r="E7459" s="18">
        <v>3005391341005</v>
      </c>
      <c r="G7459" s="20" t="str">
        <f t="shared" si="348"/>
        <v xml:space="preserve"> POCHETTE/ETE2017</v>
      </c>
      <c r="H7459" s="20" t="str">
        <f t="shared" si="349"/>
        <v>TRORA</v>
      </c>
      <c r="I7459" s="20">
        <f t="shared" si="350"/>
        <v>0</v>
      </c>
    </row>
    <row r="7460" spans="1:9">
      <c r="A7460" s="17" t="s">
        <v>2348</v>
      </c>
      <c r="B7460" s="17" t="s">
        <v>1502</v>
      </c>
      <c r="C7460" s="17">
        <v>0</v>
      </c>
      <c r="D7460" s="17" t="s">
        <v>801</v>
      </c>
      <c r="E7460" s="18">
        <v>8056098539658</v>
      </c>
      <c r="G7460" s="20" t="str">
        <f t="shared" si="348"/>
        <v xml:space="preserve"> POCHETTE/ETE2017</v>
      </c>
      <c r="H7460" s="20" t="str">
        <f t="shared" si="349"/>
        <v>TRRED</v>
      </c>
      <c r="I7460" s="20">
        <f t="shared" si="350"/>
        <v>0</v>
      </c>
    </row>
    <row r="7461" spans="1:9">
      <c r="A7461" s="17" t="s">
        <v>2348</v>
      </c>
      <c r="B7461" s="17" t="s">
        <v>1502</v>
      </c>
      <c r="C7461" s="17">
        <v>0</v>
      </c>
      <c r="D7461" s="17" t="s">
        <v>801</v>
      </c>
      <c r="E7461" s="18">
        <v>3005391336001</v>
      </c>
      <c r="G7461" s="20" t="str">
        <f t="shared" si="348"/>
        <v xml:space="preserve"> POCHETTE/ETE2017</v>
      </c>
      <c r="H7461" s="20" t="str">
        <f t="shared" si="349"/>
        <v>TRRED</v>
      </c>
      <c r="I7461" s="20">
        <f t="shared" si="350"/>
        <v>0</v>
      </c>
    </row>
    <row r="7462" spans="1:9">
      <c r="A7462" s="17" t="s">
        <v>2348</v>
      </c>
      <c r="B7462" s="17" t="s">
        <v>1503</v>
      </c>
      <c r="C7462" s="17">
        <v>0</v>
      </c>
      <c r="D7462" s="17" t="s">
        <v>801</v>
      </c>
      <c r="E7462" s="18">
        <v>8056098539641</v>
      </c>
      <c r="G7462" s="20" t="str">
        <f t="shared" si="348"/>
        <v xml:space="preserve"> POCHETTE/ETE2017</v>
      </c>
      <c r="H7462" s="20" t="str">
        <f t="shared" si="349"/>
        <v>TRWHI</v>
      </c>
      <c r="I7462" s="20">
        <f t="shared" si="350"/>
        <v>0</v>
      </c>
    </row>
    <row r="7463" spans="1:9">
      <c r="A7463" s="17" t="s">
        <v>2348</v>
      </c>
      <c r="B7463" s="17" t="s">
        <v>1503</v>
      </c>
      <c r="C7463" s="17">
        <v>0</v>
      </c>
      <c r="D7463" s="17" t="s">
        <v>801</v>
      </c>
      <c r="E7463" s="18">
        <v>3005391337008</v>
      </c>
      <c r="G7463" s="20" t="str">
        <f t="shared" si="348"/>
        <v xml:space="preserve"> POCHETTE/ETE2017</v>
      </c>
      <c r="H7463" s="20" t="str">
        <f t="shared" si="349"/>
        <v>TRWHI</v>
      </c>
      <c r="I7463" s="20">
        <f t="shared" si="350"/>
        <v>0</v>
      </c>
    </row>
    <row r="7464" spans="1:9">
      <c r="A7464" s="17" t="s">
        <v>2348</v>
      </c>
      <c r="B7464" s="17" t="s">
        <v>1959</v>
      </c>
      <c r="C7464" s="17">
        <v>0</v>
      </c>
      <c r="D7464" s="17" t="s">
        <v>801</v>
      </c>
      <c r="E7464" s="18">
        <v>8056098539689</v>
      </c>
      <c r="G7464" s="20" t="str">
        <f t="shared" si="348"/>
        <v xml:space="preserve"> POCHETTE/ETE2017</v>
      </c>
      <c r="H7464" s="20" t="str">
        <f t="shared" si="349"/>
        <v>TRYEL</v>
      </c>
      <c r="I7464" s="20">
        <f t="shared" si="350"/>
        <v>0</v>
      </c>
    </row>
    <row r="7465" spans="1:9">
      <c r="A7465" s="17" t="s">
        <v>2348</v>
      </c>
      <c r="B7465" s="17" t="s">
        <v>1959</v>
      </c>
      <c r="C7465" s="17">
        <v>0</v>
      </c>
      <c r="D7465" s="17" t="s">
        <v>801</v>
      </c>
      <c r="E7465" s="18">
        <v>3005391340008</v>
      </c>
      <c r="G7465" s="20" t="str">
        <f t="shared" si="348"/>
        <v xml:space="preserve"> POCHETTE/ETE2017</v>
      </c>
      <c r="H7465" s="20" t="str">
        <f t="shared" si="349"/>
        <v>TRYEL</v>
      </c>
      <c r="I7465" s="20">
        <f t="shared" si="350"/>
        <v>0</v>
      </c>
    </row>
    <row r="7466" spans="1:9">
      <c r="A7466" s="17" t="s">
        <v>2350</v>
      </c>
      <c r="B7466" s="17" t="s">
        <v>969</v>
      </c>
      <c r="C7466" s="17">
        <v>0</v>
      </c>
      <c r="D7466" s="17" t="s">
        <v>801</v>
      </c>
      <c r="E7466" s="18">
        <v>8050538595143</v>
      </c>
      <c r="G7466" s="20" t="str">
        <f t="shared" si="348"/>
        <v xml:space="preserve"> POCHETTE/HIVER17</v>
      </c>
      <c r="H7466" s="20" t="str">
        <f t="shared" si="349"/>
        <v>3DLAT</v>
      </c>
      <c r="I7466" s="20">
        <f t="shared" si="350"/>
        <v>0</v>
      </c>
    </row>
    <row r="7467" spans="1:9">
      <c r="A7467" s="17" t="s">
        <v>2350</v>
      </c>
      <c r="B7467" s="17" t="s">
        <v>1365</v>
      </c>
      <c r="C7467" s="17">
        <v>0</v>
      </c>
      <c r="D7467" s="17" t="s">
        <v>801</v>
      </c>
      <c r="E7467" s="18">
        <v>8050538595433</v>
      </c>
      <c r="G7467" s="20" t="str">
        <f t="shared" si="348"/>
        <v xml:space="preserve"> POCHETTE/HIVER17</v>
      </c>
      <c r="H7467" s="20" t="str">
        <f t="shared" si="349"/>
        <v>KALAU</v>
      </c>
      <c r="I7467" s="20">
        <f t="shared" si="350"/>
        <v>0</v>
      </c>
    </row>
    <row r="7468" spans="1:9">
      <c r="A7468" s="17" t="s">
        <v>2350</v>
      </c>
      <c r="B7468" s="17" t="s">
        <v>1366</v>
      </c>
      <c r="C7468" s="17">
        <v>0</v>
      </c>
      <c r="D7468" s="17" t="s">
        <v>801</v>
      </c>
      <c r="E7468" s="18">
        <v>8050538595440</v>
      </c>
      <c r="G7468" s="20" t="str">
        <f t="shared" si="348"/>
        <v xml:space="preserve"> POCHETTE/HIVER17</v>
      </c>
      <c r="H7468" s="20" t="str">
        <f t="shared" si="349"/>
        <v>KALOT</v>
      </c>
      <c r="I7468" s="20">
        <f t="shared" si="350"/>
        <v>0</v>
      </c>
    </row>
    <row r="7469" spans="1:9">
      <c r="A7469" s="17" t="s">
        <v>2350</v>
      </c>
      <c r="B7469" s="17" t="s">
        <v>1393</v>
      </c>
      <c r="C7469" s="17">
        <v>0</v>
      </c>
      <c r="D7469" s="17" t="s">
        <v>801</v>
      </c>
      <c r="E7469" s="18">
        <v>8050538595167</v>
      </c>
      <c r="G7469" s="20" t="str">
        <f t="shared" si="348"/>
        <v xml:space="preserve"> POCHETTE/HIVER17</v>
      </c>
      <c r="H7469" s="20" t="str">
        <f t="shared" si="349"/>
        <v>POIBD</v>
      </c>
      <c r="I7469" s="20">
        <f t="shared" si="350"/>
        <v>0</v>
      </c>
    </row>
    <row r="7470" spans="1:9">
      <c r="A7470" s="17" t="s">
        <v>2350</v>
      </c>
      <c r="B7470" s="17" t="s">
        <v>1395</v>
      </c>
      <c r="C7470" s="17">
        <v>0</v>
      </c>
      <c r="D7470" s="17" t="s">
        <v>801</v>
      </c>
      <c r="E7470" s="18">
        <v>8050538595150</v>
      </c>
      <c r="G7470" s="20" t="str">
        <f t="shared" si="348"/>
        <v xml:space="preserve"> POCHETTE/HIVER17</v>
      </c>
      <c r="H7470" s="20" t="str">
        <f t="shared" si="349"/>
        <v>POIWH</v>
      </c>
      <c r="I7470" s="20">
        <f t="shared" si="350"/>
        <v>0</v>
      </c>
    </row>
    <row r="7471" spans="1:9">
      <c r="A7471" s="17" t="s">
        <v>2351</v>
      </c>
      <c r="B7471" s="17" t="s">
        <v>991</v>
      </c>
      <c r="C7471" s="17">
        <v>0</v>
      </c>
      <c r="D7471" s="17" t="s">
        <v>801</v>
      </c>
      <c r="E7471" s="18">
        <v>3005550571007</v>
      </c>
      <c r="G7471" s="20" t="str">
        <f t="shared" si="348"/>
        <v xml:space="preserve"> POCHETTEECO     </v>
      </c>
      <c r="H7471" s="20" t="str">
        <f t="shared" si="349"/>
        <v>CROBL</v>
      </c>
      <c r="I7471" s="20">
        <f t="shared" si="350"/>
        <v>0</v>
      </c>
    </row>
    <row r="7472" spans="1:9">
      <c r="A7472" s="17" t="s">
        <v>2351</v>
      </c>
      <c r="B7472" s="17" t="s">
        <v>992</v>
      </c>
      <c r="C7472" s="17">
        <v>0</v>
      </c>
      <c r="D7472" s="17" t="s">
        <v>801</v>
      </c>
      <c r="E7472" s="18">
        <v>3005550572004</v>
      </c>
      <c r="G7472" s="20" t="str">
        <f t="shared" si="348"/>
        <v xml:space="preserve"> POCHETTEECO     </v>
      </c>
      <c r="H7472" s="20" t="str">
        <f t="shared" si="349"/>
        <v>CROBR</v>
      </c>
      <c r="I7472" s="20">
        <f t="shared" si="350"/>
        <v>0</v>
      </c>
    </row>
    <row r="7473" spans="1:9">
      <c r="A7473" s="17" t="s">
        <v>2352</v>
      </c>
      <c r="B7473" s="17" t="s">
        <v>1492</v>
      </c>
      <c r="C7473" s="17" t="s">
        <v>800</v>
      </c>
      <c r="D7473" s="17" t="s">
        <v>801</v>
      </c>
      <c r="E7473" s="18">
        <v>3004270643032</v>
      </c>
      <c r="G7473" s="20" t="str">
        <f t="shared" si="348"/>
        <v xml:space="preserve"> POCHETTEENDUITE </v>
      </c>
      <c r="H7473" s="20" t="str">
        <f t="shared" si="349"/>
        <v>TENBL</v>
      </c>
      <c r="I7473" s="20" t="str">
        <f t="shared" si="350"/>
        <v xml:space="preserve">L    </v>
      </c>
    </row>
    <row r="7474" spans="1:9">
      <c r="A7474" s="17" t="s">
        <v>2352</v>
      </c>
      <c r="B7474" s="17" t="s">
        <v>1492</v>
      </c>
      <c r="C7474" s="17" t="s">
        <v>802</v>
      </c>
      <c r="D7474" s="17" t="s">
        <v>801</v>
      </c>
      <c r="E7474" s="18">
        <v>3004270643025</v>
      </c>
      <c r="G7474" s="20" t="str">
        <f t="shared" si="348"/>
        <v xml:space="preserve"> POCHETTEENDUITE </v>
      </c>
      <c r="H7474" s="20" t="str">
        <f t="shared" si="349"/>
        <v>TENBL</v>
      </c>
      <c r="I7474" s="20" t="str">
        <f t="shared" si="350"/>
        <v xml:space="preserve">M    </v>
      </c>
    </row>
    <row r="7475" spans="1:9">
      <c r="A7475" s="17" t="s">
        <v>2352</v>
      </c>
      <c r="B7475" s="17" t="s">
        <v>1492</v>
      </c>
      <c r="C7475" s="17" t="s">
        <v>803</v>
      </c>
      <c r="D7475" s="17" t="s">
        <v>801</v>
      </c>
      <c r="E7475" s="18">
        <v>3004270643018</v>
      </c>
      <c r="G7475" s="20" t="str">
        <f t="shared" si="348"/>
        <v xml:space="preserve"> POCHETTEENDUITE </v>
      </c>
      <c r="H7475" s="20" t="str">
        <f t="shared" si="349"/>
        <v>TENBL</v>
      </c>
      <c r="I7475" s="20" t="str">
        <f t="shared" si="350"/>
        <v xml:space="preserve">S    </v>
      </c>
    </row>
    <row r="7476" spans="1:9">
      <c r="A7476" s="17" t="s">
        <v>2352</v>
      </c>
      <c r="B7476" s="17" t="s">
        <v>1492</v>
      </c>
      <c r="C7476" s="17" t="s">
        <v>804</v>
      </c>
      <c r="D7476" s="17" t="s">
        <v>801</v>
      </c>
      <c r="E7476" s="18">
        <v>3004270643049</v>
      </c>
      <c r="G7476" s="20" t="str">
        <f t="shared" si="348"/>
        <v xml:space="preserve"> POCHETTEENDUITE </v>
      </c>
      <c r="H7476" s="20" t="str">
        <f t="shared" si="349"/>
        <v>TENBL</v>
      </c>
      <c r="I7476" s="20" t="str">
        <f t="shared" si="350"/>
        <v xml:space="preserve">XL   </v>
      </c>
    </row>
    <row r="7477" spans="1:9">
      <c r="A7477" s="17" t="s">
        <v>2352</v>
      </c>
      <c r="B7477" s="17" t="s">
        <v>1492</v>
      </c>
      <c r="C7477" s="17" t="s">
        <v>805</v>
      </c>
      <c r="D7477" s="17" t="s">
        <v>801</v>
      </c>
      <c r="E7477" s="18">
        <v>3004270643001</v>
      </c>
      <c r="G7477" s="20" t="str">
        <f t="shared" si="348"/>
        <v xml:space="preserve"> POCHETTEENDUITE </v>
      </c>
      <c r="H7477" s="20" t="str">
        <f t="shared" si="349"/>
        <v>TENBL</v>
      </c>
      <c r="I7477" s="20" t="str">
        <f t="shared" si="350"/>
        <v xml:space="preserve">XS   </v>
      </c>
    </row>
    <row r="7478" spans="1:9">
      <c r="A7478" s="17" t="s">
        <v>2352</v>
      </c>
      <c r="B7478" s="17" t="s">
        <v>2353</v>
      </c>
      <c r="C7478" s="17" t="s">
        <v>800</v>
      </c>
      <c r="D7478" s="17" t="s">
        <v>801</v>
      </c>
      <c r="E7478" s="18">
        <v>3004270657039</v>
      </c>
      <c r="G7478" s="20" t="str">
        <f t="shared" si="348"/>
        <v xml:space="preserve"> POCHETTEENDUITE </v>
      </c>
      <c r="H7478" s="20" t="str">
        <f t="shared" si="349"/>
        <v>TENDO</v>
      </c>
      <c r="I7478" s="20" t="str">
        <f t="shared" si="350"/>
        <v xml:space="preserve">L    </v>
      </c>
    </row>
    <row r="7479" spans="1:9">
      <c r="A7479" s="17" t="s">
        <v>2352</v>
      </c>
      <c r="B7479" s="17" t="s">
        <v>2353</v>
      </c>
      <c r="C7479" s="17" t="s">
        <v>802</v>
      </c>
      <c r="D7479" s="17" t="s">
        <v>801</v>
      </c>
      <c r="E7479" s="18">
        <v>3004270657022</v>
      </c>
      <c r="G7479" s="20" t="str">
        <f t="shared" si="348"/>
        <v xml:space="preserve"> POCHETTEENDUITE </v>
      </c>
      <c r="H7479" s="20" t="str">
        <f t="shared" si="349"/>
        <v>TENDO</v>
      </c>
      <c r="I7479" s="20" t="str">
        <f t="shared" si="350"/>
        <v xml:space="preserve">M    </v>
      </c>
    </row>
    <row r="7480" spans="1:9">
      <c r="A7480" s="17" t="s">
        <v>2352</v>
      </c>
      <c r="B7480" s="17" t="s">
        <v>2353</v>
      </c>
      <c r="C7480" s="17" t="s">
        <v>803</v>
      </c>
      <c r="D7480" s="17" t="s">
        <v>801</v>
      </c>
      <c r="E7480" s="18">
        <v>3004270657015</v>
      </c>
      <c r="G7480" s="20" t="str">
        <f t="shared" si="348"/>
        <v xml:space="preserve"> POCHETTEENDUITE </v>
      </c>
      <c r="H7480" s="20" t="str">
        <f t="shared" si="349"/>
        <v>TENDO</v>
      </c>
      <c r="I7480" s="20" t="str">
        <f t="shared" si="350"/>
        <v xml:space="preserve">S    </v>
      </c>
    </row>
    <row r="7481" spans="1:9">
      <c r="A7481" s="17" t="s">
        <v>2352</v>
      </c>
      <c r="B7481" s="17" t="s">
        <v>2353</v>
      </c>
      <c r="C7481" s="17" t="s">
        <v>804</v>
      </c>
      <c r="D7481" s="17" t="s">
        <v>801</v>
      </c>
      <c r="E7481" s="18">
        <v>3004270657046</v>
      </c>
      <c r="G7481" s="20" t="str">
        <f t="shared" si="348"/>
        <v xml:space="preserve"> POCHETTEENDUITE </v>
      </c>
      <c r="H7481" s="20" t="str">
        <f t="shared" si="349"/>
        <v>TENDO</v>
      </c>
      <c r="I7481" s="20" t="str">
        <f t="shared" si="350"/>
        <v xml:space="preserve">XL   </v>
      </c>
    </row>
    <row r="7482" spans="1:9">
      <c r="A7482" s="17" t="s">
        <v>2352</v>
      </c>
      <c r="B7482" s="17" t="s">
        <v>2353</v>
      </c>
      <c r="C7482" s="17" t="s">
        <v>805</v>
      </c>
      <c r="D7482" s="17" t="s">
        <v>801</v>
      </c>
      <c r="E7482" s="18">
        <v>3004270657008</v>
      </c>
      <c r="G7482" s="20" t="str">
        <f t="shared" si="348"/>
        <v xml:space="preserve"> POCHETTEENDUITE </v>
      </c>
      <c r="H7482" s="20" t="str">
        <f t="shared" si="349"/>
        <v>TENDO</v>
      </c>
      <c r="I7482" s="20" t="str">
        <f t="shared" si="350"/>
        <v xml:space="preserve">XS   </v>
      </c>
    </row>
    <row r="7483" spans="1:9">
      <c r="A7483" s="17" t="s">
        <v>2352</v>
      </c>
      <c r="B7483" s="17" t="s">
        <v>1493</v>
      </c>
      <c r="C7483" s="17" t="s">
        <v>800</v>
      </c>
      <c r="D7483" s="17" t="s">
        <v>801</v>
      </c>
      <c r="E7483" s="18">
        <v>3004270644039</v>
      </c>
      <c r="G7483" s="20" t="str">
        <f t="shared" si="348"/>
        <v xml:space="preserve"> POCHETTEENDUITE </v>
      </c>
      <c r="H7483" s="20" t="str">
        <f t="shared" si="349"/>
        <v>TENGR</v>
      </c>
      <c r="I7483" s="20" t="str">
        <f t="shared" si="350"/>
        <v xml:space="preserve">L    </v>
      </c>
    </row>
    <row r="7484" spans="1:9">
      <c r="A7484" s="17" t="s">
        <v>2352</v>
      </c>
      <c r="B7484" s="17" t="s">
        <v>1493</v>
      </c>
      <c r="C7484" s="17" t="s">
        <v>802</v>
      </c>
      <c r="D7484" s="17" t="s">
        <v>801</v>
      </c>
      <c r="E7484" s="18">
        <v>3004270644022</v>
      </c>
      <c r="G7484" s="20" t="str">
        <f t="shared" si="348"/>
        <v xml:space="preserve"> POCHETTEENDUITE </v>
      </c>
      <c r="H7484" s="20" t="str">
        <f t="shared" si="349"/>
        <v>TENGR</v>
      </c>
      <c r="I7484" s="20" t="str">
        <f t="shared" si="350"/>
        <v xml:space="preserve">M    </v>
      </c>
    </row>
    <row r="7485" spans="1:9">
      <c r="A7485" s="17" t="s">
        <v>2352</v>
      </c>
      <c r="B7485" s="17" t="s">
        <v>1493</v>
      </c>
      <c r="C7485" s="17" t="s">
        <v>803</v>
      </c>
      <c r="D7485" s="17" t="s">
        <v>801</v>
      </c>
      <c r="E7485" s="18">
        <v>3004270644015</v>
      </c>
      <c r="G7485" s="20" t="str">
        <f t="shared" si="348"/>
        <v xml:space="preserve"> POCHETTEENDUITE </v>
      </c>
      <c r="H7485" s="20" t="str">
        <f t="shared" si="349"/>
        <v>TENGR</v>
      </c>
      <c r="I7485" s="20" t="str">
        <f t="shared" si="350"/>
        <v xml:space="preserve">S    </v>
      </c>
    </row>
    <row r="7486" spans="1:9">
      <c r="A7486" s="17" t="s">
        <v>2352</v>
      </c>
      <c r="B7486" s="17" t="s">
        <v>1493</v>
      </c>
      <c r="C7486" s="17" t="s">
        <v>804</v>
      </c>
      <c r="D7486" s="17" t="s">
        <v>801</v>
      </c>
      <c r="E7486" s="18">
        <v>3004270644046</v>
      </c>
      <c r="G7486" s="20" t="str">
        <f t="shared" si="348"/>
        <v xml:space="preserve"> POCHETTEENDUITE </v>
      </c>
      <c r="H7486" s="20" t="str">
        <f t="shared" si="349"/>
        <v>TENGR</v>
      </c>
      <c r="I7486" s="20" t="str">
        <f t="shared" si="350"/>
        <v xml:space="preserve">XL   </v>
      </c>
    </row>
    <row r="7487" spans="1:9">
      <c r="A7487" s="17" t="s">
        <v>2352</v>
      </c>
      <c r="B7487" s="17" t="s">
        <v>1493</v>
      </c>
      <c r="C7487" s="17" t="s">
        <v>805</v>
      </c>
      <c r="D7487" s="17" t="s">
        <v>801</v>
      </c>
      <c r="E7487" s="18">
        <v>3004270644008</v>
      </c>
      <c r="G7487" s="20" t="str">
        <f t="shared" si="348"/>
        <v xml:space="preserve"> POCHETTEENDUITE </v>
      </c>
      <c r="H7487" s="20" t="str">
        <f t="shared" si="349"/>
        <v>TENGR</v>
      </c>
      <c r="I7487" s="20" t="str">
        <f t="shared" si="350"/>
        <v xml:space="preserve">XS   </v>
      </c>
    </row>
    <row r="7488" spans="1:9">
      <c r="A7488" s="17" t="s">
        <v>2354</v>
      </c>
      <c r="B7488" s="17" t="s">
        <v>1107</v>
      </c>
      <c r="C7488" s="17">
        <v>0</v>
      </c>
      <c r="D7488" s="17" t="s">
        <v>801</v>
      </c>
      <c r="E7488" s="18">
        <v>3005540588008</v>
      </c>
      <c r="G7488" s="20" t="str">
        <f t="shared" si="348"/>
        <v xml:space="preserve"> POCHETTEFEU     </v>
      </c>
      <c r="H7488" s="20" t="str">
        <f t="shared" si="349"/>
        <v>FEUBE</v>
      </c>
      <c r="I7488" s="20">
        <f t="shared" si="350"/>
        <v>0</v>
      </c>
    </row>
    <row r="7489" spans="1:9">
      <c r="A7489" s="17" t="s">
        <v>2354</v>
      </c>
      <c r="B7489" s="17" t="s">
        <v>1108</v>
      </c>
      <c r="C7489" s="17">
        <v>0</v>
      </c>
      <c r="D7489" s="17" t="s">
        <v>801</v>
      </c>
      <c r="E7489" s="18">
        <v>3005540246007</v>
      </c>
      <c r="G7489" s="20" t="str">
        <f t="shared" si="348"/>
        <v xml:space="preserve"> POCHETTEFEU     </v>
      </c>
      <c r="H7489" s="20" t="str">
        <f t="shared" si="349"/>
        <v>FEUBL</v>
      </c>
      <c r="I7489" s="20">
        <f t="shared" si="350"/>
        <v>0</v>
      </c>
    </row>
    <row r="7490" spans="1:9">
      <c r="A7490" s="17" t="s">
        <v>2354</v>
      </c>
      <c r="B7490" s="17" t="s">
        <v>1109</v>
      </c>
      <c r="C7490" s="17">
        <v>0</v>
      </c>
      <c r="D7490" s="17" t="s">
        <v>801</v>
      </c>
      <c r="E7490" s="18">
        <v>3005540589005</v>
      </c>
      <c r="G7490" s="20" t="str">
        <f t="shared" si="348"/>
        <v xml:space="preserve"> POCHETTEFEU     </v>
      </c>
      <c r="H7490" s="20" t="str">
        <f t="shared" si="349"/>
        <v>FEUJA</v>
      </c>
      <c r="I7490" s="20">
        <f t="shared" si="350"/>
        <v>0</v>
      </c>
    </row>
    <row r="7491" spans="1:9">
      <c r="A7491" s="17" t="s">
        <v>2354</v>
      </c>
      <c r="B7491" s="17" t="s">
        <v>1088</v>
      </c>
      <c r="C7491" s="17">
        <v>0</v>
      </c>
      <c r="D7491" s="17" t="s">
        <v>801</v>
      </c>
      <c r="E7491" s="18">
        <v>3005540242009</v>
      </c>
      <c r="G7491" s="20" t="str">
        <f t="shared" si="348"/>
        <v xml:space="preserve"> POCHETTEFEU     </v>
      </c>
      <c r="H7491" s="20" t="str">
        <f t="shared" si="349"/>
        <v xml:space="preserve">FEUR </v>
      </c>
      <c r="I7491" s="20">
        <f t="shared" si="350"/>
        <v>0</v>
      </c>
    </row>
    <row r="7492" spans="1:9">
      <c r="A7492" s="17" t="s">
        <v>2354</v>
      </c>
      <c r="B7492" s="17" t="s">
        <v>1088</v>
      </c>
      <c r="C7492" s="17">
        <v>0</v>
      </c>
      <c r="D7492" s="17" t="s">
        <v>801</v>
      </c>
      <c r="E7492" s="18">
        <v>8058983598276</v>
      </c>
      <c r="G7492" s="20" t="str">
        <f t="shared" si="348"/>
        <v xml:space="preserve"> POCHETTEFEU     </v>
      </c>
      <c r="H7492" s="20" t="str">
        <f t="shared" si="349"/>
        <v xml:space="preserve">FEUR </v>
      </c>
      <c r="I7492" s="20">
        <f t="shared" si="350"/>
        <v>0</v>
      </c>
    </row>
    <row r="7493" spans="1:9">
      <c r="A7493" s="17" t="s">
        <v>2354</v>
      </c>
      <c r="B7493" s="17" t="s">
        <v>2355</v>
      </c>
      <c r="C7493" s="17">
        <v>0</v>
      </c>
      <c r="D7493" s="17" t="s">
        <v>801</v>
      </c>
      <c r="E7493" s="18">
        <v>8056300454854</v>
      </c>
      <c r="G7493" s="20" t="str">
        <f t="shared" ref="G7493:G7556" si="351">A7493</f>
        <v xml:space="preserve"> POCHETTEFEU     </v>
      </c>
      <c r="H7493" s="20" t="str">
        <f t="shared" ref="H7493:H7556" si="352">B7493</f>
        <v>RAMBU</v>
      </c>
      <c r="I7493" s="20">
        <f t="shared" ref="I7493:I7556" si="353">C7493</f>
        <v>0</v>
      </c>
    </row>
    <row r="7494" spans="1:9">
      <c r="A7494" s="17" t="s">
        <v>2354</v>
      </c>
      <c r="B7494" s="17" t="s">
        <v>2355</v>
      </c>
      <c r="C7494" s="17">
        <v>0</v>
      </c>
      <c r="D7494" s="17" t="s">
        <v>801</v>
      </c>
      <c r="E7494" s="18">
        <v>3004881051004</v>
      </c>
      <c r="G7494" s="20" t="str">
        <f t="shared" si="351"/>
        <v xml:space="preserve"> POCHETTEFEU     </v>
      </c>
      <c r="H7494" s="20" t="str">
        <f t="shared" si="352"/>
        <v>RAMBU</v>
      </c>
      <c r="I7494" s="20">
        <f t="shared" si="353"/>
        <v>0</v>
      </c>
    </row>
    <row r="7495" spans="1:9">
      <c r="A7495" s="17" t="s">
        <v>2354</v>
      </c>
      <c r="B7495" s="17" t="s">
        <v>2356</v>
      </c>
      <c r="C7495" s="17">
        <v>0</v>
      </c>
      <c r="D7495" s="17" t="s">
        <v>801</v>
      </c>
      <c r="E7495" s="18">
        <v>8056300454847</v>
      </c>
      <c r="G7495" s="20" t="str">
        <f t="shared" si="351"/>
        <v xml:space="preserve"> POCHETTEFEU     </v>
      </c>
      <c r="H7495" s="20" t="str">
        <f t="shared" si="352"/>
        <v>RAMIV</v>
      </c>
      <c r="I7495" s="20">
        <f t="shared" si="353"/>
        <v>0</v>
      </c>
    </row>
    <row r="7496" spans="1:9">
      <c r="A7496" s="17" t="s">
        <v>2354</v>
      </c>
      <c r="B7496" s="17" t="s">
        <v>2356</v>
      </c>
      <c r="C7496" s="17">
        <v>0</v>
      </c>
      <c r="D7496" s="17" t="s">
        <v>801</v>
      </c>
      <c r="E7496" s="18">
        <v>3004881050007</v>
      </c>
      <c r="G7496" s="20" t="str">
        <f t="shared" si="351"/>
        <v xml:space="preserve"> POCHETTEFEU     </v>
      </c>
      <c r="H7496" s="20" t="str">
        <f t="shared" si="352"/>
        <v>RAMIV</v>
      </c>
      <c r="I7496" s="20">
        <f t="shared" si="353"/>
        <v>0</v>
      </c>
    </row>
    <row r="7497" spans="1:9">
      <c r="A7497" s="17" t="s">
        <v>2357</v>
      </c>
      <c r="B7497" s="17" t="s">
        <v>1107</v>
      </c>
      <c r="C7497" s="17">
        <v>0</v>
      </c>
      <c r="D7497" s="17" t="s">
        <v>801</v>
      </c>
      <c r="E7497" s="18">
        <v>3005190588007</v>
      </c>
      <c r="G7497" s="20" t="str">
        <f t="shared" si="351"/>
        <v xml:space="preserve"> POCHETTEPHONE   </v>
      </c>
      <c r="H7497" s="20" t="str">
        <f t="shared" si="352"/>
        <v>FEUBE</v>
      </c>
      <c r="I7497" s="20">
        <f t="shared" si="353"/>
        <v>0</v>
      </c>
    </row>
    <row r="7498" spans="1:9">
      <c r="A7498" s="17" t="s">
        <v>2357</v>
      </c>
      <c r="B7498" s="17" t="s">
        <v>1108</v>
      </c>
      <c r="C7498" s="17">
        <v>0</v>
      </c>
      <c r="D7498" s="17" t="s">
        <v>801</v>
      </c>
      <c r="E7498" s="18">
        <v>3005190246006</v>
      </c>
      <c r="G7498" s="20" t="str">
        <f t="shared" si="351"/>
        <v xml:space="preserve"> POCHETTEPHONE   </v>
      </c>
      <c r="H7498" s="20" t="str">
        <f t="shared" si="352"/>
        <v>FEUBL</v>
      </c>
      <c r="I7498" s="20">
        <f t="shared" si="353"/>
        <v>0</v>
      </c>
    </row>
    <row r="7499" spans="1:9">
      <c r="A7499" s="17" t="s">
        <v>2357</v>
      </c>
      <c r="B7499" s="17" t="s">
        <v>1109</v>
      </c>
      <c r="C7499" s="17">
        <v>0</v>
      </c>
      <c r="D7499" s="17" t="s">
        <v>801</v>
      </c>
      <c r="E7499" s="18">
        <v>3005190589004</v>
      </c>
      <c r="G7499" s="20" t="str">
        <f t="shared" si="351"/>
        <v xml:space="preserve"> POCHETTEPHONE   </v>
      </c>
      <c r="H7499" s="20" t="str">
        <f t="shared" si="352"/>
        <v>FEUJA</v>
      </c>
      <c r="I7499" s="20">
        <f t="shared" si="353"/>
        <v>0</v>
      </c>
    </row>
    <row r="7500" spans="1:9">
      <c r="A7500" s="17" t="s">
        <v>2357</v>
      </c>
      <c r="B7500" s="17" t="s">
        <v>1088</v>
      </c>
      <c r="C7500" s="17">
        <v>0</v>
      </c>
      <c r="D7500" s="17" t="s">
        <v>801</v>
      </c>
      <c r="E7500" s="18">
        <v>3005190242008</v>
      </c>
      <c r="G7500" s="20" t="str">
        <f t="shared" si="351"/>
        <v xml:space="preserve"> POCHETTEPHONE   </v>
      </c>
      <c r="H7500" s="20" t="str">
        <f t="shared" si="352"/>
        <v xml:space="preserve">FEUR </v>
      </c>
      <c r="I7500" s="20">
        <f t="shared" si="353"/>
        <v>0</v>
      </c>
    </row>
    <row r="7501" spans="1:9">
      <c r="A7501" s="17" t="s">
        <v>2357</v>
      </c>
      <c r="B7501" s="17" t="s">
        <v>833</v>
      </c>
      <c r="C7501" s="17">
        <v>0</v>
      </c>
      <c r="D7501" s="17" t="s">
        <v>801</v>
      </c>
      <c r="E7501" s="18">
        <v>3004530700000</v>
      </c>
      <c r="G7501" s="20" t="str">
        <f t="shared" si="351"/>
        <v xml:space="preserve"> POCHETTEPHONE   </v>
      </c>
      <c r="H7501" s="20" t="str">
        <f t="shared" si="352"/>
        <v>FLACQ</v>
      </c>
      <c r="I7501" s="20">
        <f t="shared" si="353"/>
        <v>0</v>
      </c>
    </row>
    <row r="7502" spans="1:9">
      <c r="A7502" s="17" t="s">
        <v>2357</v>
      </c>
      <c r="B7502" s="17" t="s">
        <v>833</v>
      </c>
      <c r="C7502" s="17">
        <v>0</v>
      </c>
      <c r="D7502" s="17" t="s">
        <v>801</v>
      </c>
      <c r="E7502" s="18">
        <v>3005190700003</v>
      </c>
      <c r="G7502" s="20" t="str">
        <f t="shared" si="351"/>
        <v xml:space="preserve"> POCHETTEPHONE   </v>
      </c>
      <c r="H7502" s="20" t="str">
        <f t="shared" si="352"/>
        <v>FLACQ</v>
      </c>
      <c r="I7502" s="20">
        <f t="shared" si="353"/>
        <v>0</v>
      </c>
    </row>
    <row r="7503" spans="1:9">
      <c r="A7503" s="17" t="s">
        <v>2357</v>
      </c>
      <c r="B7503" s="17" t="s">
        <v>1429</v>
      </c>
      <c r="C7503" s="17">
        <v>0</v>
      </c>
      <c r="D7503" s="17" t="s">
        <v>801</v>
      </c>
      <c r="E7503" s="18">
        <v>3004530345003</v>
      </c>
      <c r="G7503" s="20" t="str">
        <f t="shared" si="351"/>
        <v xml:space="preserve"> POCHETTEPHONE   </v>
      </c>
      <c r="H7503" s="20" t="str">
        <f t="shared" si="352"/>
        <v xml:space="preserve">ICE  </v>
      </c>
      <c r="I7503" s="20">
        <f t="shared" si="353"/>
        <v>0</v>
      </c>
    </row>
    <row r="7504" spans="1:9">
      <c r="A7504" s="17" t="s">
        <v>2357</v>
      </c>
      <c r="B7504" s="17" t="s">
        <v>1430</v>
      </c>
      <c r="C7504" s="17">
        <v>0</v>
      </c>
      <c r="D7504" s="17" t="s">
        <v>801</v>
      </c>
      <c r="E7504" s="18">
        <v>3004530498006</v>
      </c>
      <c r="G7504" s="20" t="str">
        <f t="shared" si="351"/>
        <v xml:space="preserve"> POCHETTEPHONE   </v>
      </c>
      <c r="H7504" s="20" t="str">
        <f t="shared" si="352"/>
        <v xml:space="preserve">IRIS </v>
      </c>
      <c r="I7504" s="20">
        <f t="shared" si="353"/>
        <v>0</v>
      </c>
    </row>
    <row r="7505" spans="1:9">
      <c r="A7505" s="17" t="s">
        <v>2357</v>
      </c>
      <c r="B7505" s="17" t="s">
        <v>1120</v>
      </c>
      <c r="C7505" s="17">
        <v>0</v>
      </c>
      <c r="D7505" s="17" t="s">
        <v>801</v>
      </c>
      <c r="E7505" s="18">
        <v>3004530779006</v>
      </c>
      <c r="G7505" s="20" t="str">
        <f t="shared" si="351"/>
        <v xml:space="preserve"> POCHETTEPHONE   </v>
      </c>
      <c r="H7505" s="20" t="str">
        <f t="shared" si="352"/>
        <v>MAGEN</v>
      </c>
      <c r="I7505" s="20">
        <f t="shared" si="353"/>
        <v>0</v>
      </c>
    </row>
    <row r="7506" spans="1:9">
      <c r="A7506" s="17" t="s">
        <v>2357</v>
      </c>
      <c r="B7506" s="17" t="s">
        <v>1485</v>
      </c>
      <c r="C7506" s="17">
        <v>0</v>
      </c>
      <c r="D7506" s="17" t="s">
        <v>801</v>
      </c>
      <c r="E7506" s="18">
        <v>3004530697003</v>
      </c>
      <c r="G7506" s="20" t="str">
        <f t="shared" si="351"/>
        <v xml:space="preserve"> POCHETTEPHONE   </v>
      </c>
      <c r="H7506" s="20" t="str">
        <f t="shared" si="352"/>
        <v>MAIGR</v>
      </c>
      <c r="I7506" s="20">
        <f t="shared" si="353"/>
        <v>0</v>
      </c>
    </row>
    <row r="7507" spans="1:9">
      <c r="A7507" s="17" t="s">
        <v>2357</v>
      </c>
      <c r="B7507" s="17" t="s">
        <v>1485</v>
      </c>
      <c r="C7507" s="17">
        <v>0</v>
      </c>
      <c r="D7507" s="17" t="s">
        <v>801</v>
      </c>
      <c r="E7507" s="18">
        <v>3005190697006</v>
      </c>
      <c r="G7507" s="20" t="str">
        <f t="shared" si="351"/>
        <v xml:space="preserve"> POCHETTEPHONE   </v>
      </c>
      <c r="H7507" s="20" t="str">
        <f t="shared" si="352"/>
        <v>MAIGR</v>
      </c>
      <c r="I7507" s="20">
        <f t="shared" si="353"/>
        <v>0</v>
      </c>
    </row>
    <row r="7508" spans="1:9">
      <c r="A7508" s="17" t="s">
        <v>2357</v>
      </c>
      <c r="B7508" s="17" t="s">
        <v>1235</v>
      </c>
      <c r="C7508" s="17">
        <v>0</v>
      </c>
      <c r="D7508" s="17" t="s">
        <v>801</v>
      </c>
      <c r="E7508" s="18">
        <v>3004530559004</v>
      </c>
      <c r="G7508" s="20" t="str">
        <f t="shared" si="351"/>
        <v xml:space="preserve"> POCHETTEPHONE   </v>
      </c>
      <c r="H7508" s="20" t="str">
        <f t="shared" si="352"/>
        <v>PAPAY</v>
      </c>
      <c r="I7508" s="20">
        <f t="shared" si="353"/>
        <v>0</v>
      </c>
    </row>
    <row r="7509" spans="1:9">
      <c r="A7509" s="17" t="s">
        <v>2357</v>
      </c>
      <c r="B7509" s="17" t="s">
        <v>1009</v>
      </c>
      <c r="C7509" s="17">
        <v>0</v>
      </c>
      <c r="D7509" s="17" t="s">
        <v>801</v>
      </c>
      <c r="E7509" s="18">
        <v>3004530695009</v>
      </c>
      <c r="G7509" s="20" t="str">
        <f t="shared" si="351"/>
        <v xml:space="preserve"> POCHETTEPHONE   </v>
      </c>
      <c r="H7509" s="20" t="str">
        <f t="shared" si="352"/>
        <v>SALMO</v>
      </c>
      <c r="I7509" s="20">
        <f t="shared" si="353"/>
        <v>0</v>
      </c>
    </row>
    <row r="7510" spans="1:9">
      <c r="A7510" s="17" t="s">
        <v>2357</v>
      </c>
      <c r="B7510" s="17" t="s">
        <v>1009</v>
      </c>
      <c r="C7510" s="17">
        <v>0</v>
      </c>
      <c r="D7510" s="17" t="s">
        <v>801</v>
      </c>
      <c r="E7510" s="18">
        <v>3005190695002</v>
      </c>
      <c r="G7510" s="20" t="str">
        <f t="shared" si="351"/>
        <v xml:space="preserve"> POCHETTEPHONE   </v>
      </c>
      <c r="H7510" s="20" t="str">
        <f t="shared" si="352"/>
        <v>SALMO</v>
      </c>
      <c r="I7510" s="20">
        <f t="shared" si="353"/>
        <v>0</v>
      </c>
    </row>
    <row r="7511" spans="1:9">
      <c r="A7511" s="17" t="s">
        <v>2357</v>
      </c>
      <c r="B7511" s="17" t="s">
        <v>840</v>
      </c>
      <c r="C7511" s="17">
        <v>0</v>
      </c>
      <c r="D7511" s="17" t="s">
        <v>801</v>
      </c>
      <c r="E7511" s="18">
        <v>3004530403000</v>
      </c>
      <c r="G7511" s="20" t="str">
        <f t="shared" si="351"/>
        <v xml:space="preserve"> POCHETTEPHONE   </v>
      </c>
      <c r="H7511" s="20" t="str">
        <f t="shared" si="352"/>
        <v>SAUGE</v>
      </c>
      <c r="I7511" s="20">
        <f t="shared" si="353"/>
        <v>0</v>
      </c>
    </row>
    <row r="7512" spans="1:9">
      <c r="A7512" s="17" t="s">
        <v>2357</v>
      </c>
      <c r="B7512" s="17" t="s">
        <v>840</v>
      </c>
      <c r="C7512" s="17">
        <v>0</v>
      </c>
      <c r="D7512" s="17" t="s">
        <v>801</v>
      </c>
      <c r="E7512" s="18">
        <v>3005190403003</v>
      </c>
      <c r="G7512" s="20" t="str">
        <f t="shared" si="351"/>
        <v xml:space="preserve"> POCHETTEPHONE   </v>
      </c>
      <c r="H7512" s="20" t="str">
        <f t="shared" si="352"/>
        <v>SAUGE</v>
      </c>
      <c r="I7512" s="20">
        <f t="shared" si="353"/>
        <v>0</v>
      </c>
    </row>
    <row r="7513" spans="1:9">
      <c r="A7513" s="17" t="s">
        <v>2358</v>
      </c>
      <c r="B7513" s="17" t="s">
        <v>1230</v>
      </c>
      <c r="C7513" s="17">
        <v>0</v>
      </c>
      <c r="D7513" s="17" t="s">
        <v>801</v>
      </c>
      <c r="E7513" s="18">
        <v>3004760694001</v>
      </c>
      <c r="G7513" s="20" t="str">
        <f t="shared" si="351"/>
        <v xml:space="preserve"> POCHETTEPVC     </v>
      </c>
      <c r="H7513" s="20" t="str">
        <f t="shared" si="352"/>
        <v>ACQUA</v>
      </c>
      <c r="I7513" s="20">
        <f t="shared" si="353"/>
        <v>0</v>
      </c>
    </row>
    <row r="7514" spans="1:9">
      <c r="A7514" s="17" t="s">
        <v>2358</v>
      </c>
      <c r="B7514" s="17" t="s">
        <v>963</v>
      </c>
      <c r="C7514" s="17">
        <v>0</v>
      </c>
      <c r="D7514" s="17" t="s">
        <v>801</v>
      </c>
      <c r="E7514" s="18">
        <v>3004760691000</v>
      </c>
      <c r="G7514" s="20" t="str">
        <f t="shared" si="351"/>
        <v xml:space="preserve"> POCHETTEPVC     </v>
      </c>
      <c r="H7514" s="20" t="str">
        <f t="shared" si="352"/>
        <v>AMARA</v>
      </c>
      <c r="I7514" s="20">
        <f t="shared" si="353"/>
        <v>0</v>
      </c>
    </row>
    <row r="7515" spans="1:9">
      <c r="A7515" s="17" t="s">
        <v>2358</v>
      </c>
      <c r="B7515" s="17" t="s">
        <v>280</v>
      </c>
      <c r="C7515" s="17">
        <v>0</v>
      </c>
      <c r="D7515" s="17" t="s">
        <v>801</v>
      </c>
      <c r="E7515" s="18">
        <v>3004760276009</v>
      </c>
      <c r="G7515" s="20" t="str">
        <f t="shared" si="351"/>
        <v xml:space="preserve"> POCHETTEPVC     </v>
      </c>
      <c r="H7515" s="20" t="str">
        <f t="shared" si="352"/>
        <v>BLACK</v>
      </c>
      <c r="I7515" s="20">
        <f t="shared" si="353"/>
        <v>0</v>
      </c>
    </row>
    <row r="7516" spans="1:9">
      <c r="A7516" s="17" t="s">
        <v>2358</v>
      </c>
      <c r="B7516" s="17" t="s">
        <v>1356</v>
      </c>
      <c r="C7516" s="17">
        <v>0</v>
      </c>
      <c r="D7516" s="17" t="s">
        <v>801</v>
      </c>
      <c r="E7516" s="18">
        <v>3004760761000</v>
      </c>
      <c r="G7516" s="20" t="str">
        <f t="shared" si="351"/>
        <v xml:space="preserve"> POCHETTEPVC     </v>
      </c>
      <c r="H7516" s="20" t="str">
        <f t="shared" si="352"/>
        <v>FLOWE</v>
      </c>
      <c r="I7516" s="20">
        <f t="shared" si="353"/>
        <v>0</v>
      </c>
    </row>
    <row r="7517" spans="1:9">
      <c r="A7517" s="17" t="s">
        <v>2358</v>
      </c>
      <c r="B7517" s="17" t="s">
        <v>1430</v>
      </c>
      <c r="C7517" s="17">
        <v>0</v>
      </c>
      <c r="D7517" s="17" t="s">
        <v>801</v>
      </c>
      <c r="E7517" s="18">
        <v>3004760498005</v>
      </c>
      <c r="G7517" s="20" t="str">
        <f t="shared" si="351"/>
        <v xml:space="preserve"> POCHETTEPVC     </v>
      </c>
      <c r="H7517" s="20" t="str">
        <f t="shared" si="352"/>
        <v xml:space="preserve">IRIS </v>
      </c>
      <c r="I7517" s="20">
        <f t="shared" si="353"/>
        <v>0</v>
      </c>
    </row>
    <row r="7518" spans="1:9">
      <c r="A7518" s="17" t="s">
        <v>2358</v>
      </c>
      <c r="B7518" s="17" t="s">
        <v>892</v>
      </c>
      <c r="C7518" s="17">
        <v>0</v>
      </c>
      <c r="D7518" s="17" t="s">
        <v>801</v>
      </c>
      <c r="E7518" s="18">
        <v>3004760473002</v>
      </c>
      <c r="G7518" s="20" t="str">
        <f t="shared" si="351"/>
        <v xml:space="preserve"> POCHETTEPVC     </v>
      </c>
      <c r="H7518" s="20" t="str">
        <f t="shared" si="352"/>
        <v xml:space="preserve">LIME </v>
      </c>
      <c r="I7518" s="20">
        <f t="shared" si="353"/>
        <v>0</v>
      </c>
    </row>
    <row r="7519" spans="1:9">
      <c r="A7519" s="17" t="s">
        <v>2358</v>
      </c>
      <c r="B7519" s="17" t="s">
        <v>1092</v>
      </c>
      <c r="C7519" s="17">
        <v>0</v>
      </c>
      <c r="D7519" s="17" t="s">
        <v>801</v>
      </c>
      <c r="E7519" s="18">
        <v>3004760455008</v>
      </c>
      <c r="G7519" s="20" t="str">
        <f t="shared" si="351"/>
        <v xml:space="preserve"> POCHETTEPVC     </v>
      </c>
      <c r="H7519" s="20" t="str">
        <f t="shared" si="352"/>
        <v>MULTI</v>
      </c>
      <c r="I7519" s="20">
        <f t="shared" si="353"/>
        <v>0</v>
      </c>
    </row>
    <row r="7520" spans="1:9">
      <c r="A7520" s="17" t="s">
        <v>2358</v>
      </c>
      <c r="B7520" s="17" t="s">
        <v>1235</v>
      </c>
      <c r="C7520" s="17">
        <v>0</v>
      </c>
      <c r="D7520" s="17" t="s">
        <v>801</v>
      </c>
      <c r="E7520" s="18">
        <v>3004760559003</v>
      </c>
      <c r="G7520" s="20" t="str">
        <f t="shared" si="351"/>
        <v xml:space="preserve"> POCHETTEPVC     </v>
      </c>
      <c r="H7520" s="20" t="str">
        <f t="shared" si="352"/>
        <v>PAPAY</v>
      </c>
      <c r="I7520" s="20">
        <f t="shared" si="353"/>
        <v>0</v>
      </c>
    </row>
    <row r="7521" spans="1:9">
      <c r="A7521" s="17" t="s">
        <v>2358</v>
      </c>
      <c r="B7521" s="17" t="s">
        <v>1237</v>
      </c>
      <c r="C7521" s="17">
        <v>0</v>
      </c>
      <c r="D7521" s="17" t="s">
        <v>801</v>
      </c>
      <c r="E7521" s="18">
        <v>3004760396004</v>
      </c>
      <c r="G7521" s="20" t="str">
        <f t="shared" si="351"/>
        <v xml:space="preserve"> POCHETTEPVC     </v>
      </c>
      <c r="H7521" s="20" t="str">
        <f t="shared" si="352"/>
        <v xml:space="preserve">ROCK </v>
      </c>
      <c r="I7521" s="20">
        <f t="shared" si="353"/>
        <v>0</v>
      </c>
    </row>
    <row r="7522" spans="1:9">
      <c r="A7522" s="17" t="s">
        <v>2358</v>
      </c>
      <c r="B7522" s="17" t="s">
        <v>1415</v>
      </c>
      <c r="C7522" s="17">
        <v>0</v>
      </c>
      <c r="D7522" s="17" t="s">
        <v>801</v>
      </c>
      <c r="E7522" s="18">
        <v>3004760760003</v>
      </c>
      <c r="G7522" s="20" t="str">
        <f t="shared" si="351"/>
        <v xml:space="preserve"> POCHETTEPVC     </v>
      </c>
      <c r="H7522" s="20" t="str">
        <f t="shared" si="352"/>
        <v>TOUCA</v>
      </c>
      <c r="I7522" s="20">
        <f t="shared" si="353"/>
        <v>0</v>
      </c>
    </row>
    <row r="7523" spans="1:9">
      <c r="A7523" s="17" t="s">
        <v>2358</v>
      </c>
      <c r="B7523" s="17" t="s">
        <v>273</v>
      </c>
      <c r="C7523" s="17">
        <v>0</v>
      </c>
      <c r="D7523" s="17" t="s">
        <v>801</v>
      </c>
      <c r="E7523" s="18">
        <v>3004760440004</v>
      </c>
      <c r="G7523" s="20" t="str">
        <f t="shared" si="351"/>
        <v xml:space="preserve"> POCHETTEPVC     </v>
      </c>
      <c r="H7523" s="20" t="str">
        <f t="shared" si="352"/>
        <v>WHITE</v>
      </c>
      <c r="I7523" s="20">
        <f t="shared" si="353"/>
        <v>0</v>
      </c>
    </row>
    <row r="7524" spans="1:9">
      <c r="A7524" s="17" t="s">
        <v>2359</v>
      </c>
      <c r="B7524" s="17" t="s">
        <v>280</v>
      </c>
      <c r="C7524" s="17">
        <v>0</v>
      </c>
      <c r="D7524" s="17" t="s">
        <v>801</v>
      </c>
      <c r="E7524" s="18">
        <v>3004740004004</v>
      </c>
      <c r="G7524" s="20" t="str">
        <f t="shared" si="351"/>
        <v xml:space="preserve"> POCHFOLDER      </v>
      </c>
      <c r="H7524" s="20" t="str">
        <f t="shared" si="352"/>
        <v>BLACK</v>
      </c>
      <c r="I7524" s="20">
        <f t="shared" si="353"/>
        <v>0</v>
      </c>
    </row>
    <row r="7525" spans="1:9">
      <c r="A7525" s="17" t="s">
        <v>2359</v>
      </c>
      <c r="B7525" s="17" t="s">
        <v>280</v>
      </c>
      <c r="C7525" s="17">
        <v>0</v>
      </c>
      <c r="D7525" s="17" t="s">
        <v>801</v>
      </c>
      <c r="E7525" s="18">
        <v>8058983590867</v>
      </c>
      <c r="G7525" s="20" t="str">
        <f t="shared" si="351"/>
        <v xml:space="preserve"> POCHFOLDER      </v>
      </c>
      <c r="H7525" s="20" t="str">
        <f t="shared" si="352"/>
        <v>BLACK</v>
      </c>
      <c r="I7525" s="20">
        <f t="shared" si="353"/>
        <v>0</v>
      </c>
    </row>
    <row r="7526" spans="1:9">
      <c r="A7526" s="17" t="s">
        <v>2359</v>
      </c>
      <c r="B7526" s="17" t="s">
        <v>280</v>
      </c>
      <c r="C7526" s="17">
        <v>0</v>
      </c>
      <c r="D7526" s="17" t="s">
        <v>801</v>
      </c>
      <c r="E7526" s="18">
        <v>3004680004003</v>
      </c>
      <c r="G7526" s="20" t="str">
        <f t="shared" si="351"/>
        <v xml:space="preserve"> POCHFOLDER      </v>
      </c>
      <c r="H7526" s="20" t="str">
        <f t="shared" si="352"/>
        <v>BLACK</v>
      </c>
      <c r="I7526" s="20">
        <f t="shared" si="353"/>
        <v>0</v>
      </c>
    </row>
    <row r="7527" spans="1:9">
      <c r="A7527" s="17" t="s">
        <v>2359</v>
      </c>
      <c r="B7527" s="17" t="s">
        <v>978</v>
      </c>
      <c r="C7527" s="17">
        <v>0</v>
      </c>
      <c r="D7527" s="17" t="s">
        <v>801</v>
      </c>
      <c r="E7527" s="18">
        <v>3003981000004</v>
      </c>
      <c r="G7527" s="20" t="str">
        <f t="shared" si="351"/>
        <v xml:space="preserve"> POCHFOLDER      </v>
      </c>
      <c r="H7527" s="20" t="str">
        <f t="shared" si="352"/>
        <v>GRIGI</v>
      </c>
      <c r="I7527" s="20">
        <f t="shared" si="353"/>
        <v>0</v>
      </c>
    </row>
    <row r="7528" spans="1:9">
      <c r="A7528" s="17" t="s">
        <v>2360</v>
      </c>
      <c r="B7528" s="17" t="s">
        <v>280</v>
      </c>
      <c r="C7528" s="17">
        <v>0</v>
      </c>
      <c r="D7528" s="17" t="s">
        <v>801</v>
      </c>
      <c r="E7528" s="18">
        <v>3003550001005</v>
      </c>
      <c r="G7528" s="20" t="str">
        <f t="shared" si="351"/>
        <v xml:space="preserve"> POCKETHIDE      </v>
      </c>
      <c r="H7528" s="20" t="str">
        <f t="shared" si="352"/>
        <v>BLACK</v>
      </c>
      <c r="I7528" s="20">
        <f t="shared" si="353"/>
        <v>0</v>
      </c>
    </row>
    <row r="7529" spans="1:9">
      <c r="A7529" s="17" t="s">
        <v>2360</v>
      </c>
      <c r="B7529" s="17" t="s">
        <v>869</v>
      </c>
      <c r="C7529" s="17">
        <v>0</v>
      </c>
      <c r="D7529" s="17" t="s">
        <v>801</v>
      </c>
      <c r="E7529" s="18">
        <v>3003550008004</v>
      </c>
      <c r="G7529" s="20" t="str">
        <f t="shared" si="351"/>
        <v xml:space="preserve"> POCKETHIDE      </v>
      </c>
      <c r="H7529" s="20" t="str">
        <f t="shared" si="352"/>
        <v>BROWN</v>
      </c>
      <c r="I7529" s="20">
        <f t="shared" si="353"/>
        <v>0</v>
      </c>
    </row>
    <row r="7530" spans="1:9">
      <c r="A7530" s="17" t="s">
        <v>2360</v>
      </c>
      <c r="B7530" s="17" t="s">
        <v>869</v>
      </c>
      <c r="C7530" s="17">
        <v>0</v>
      </c>
      <c r="D7530" s="17" t="s">
        <v>801</v>
      </c>
      <c r="E7530" s="18">
        <v>3003550005003</v>
      </c>
      <c r="G7530" s="20" t="str">
        <f t="shared" si="351"/>
        <v xml:space="preserve"> POCKETHIDE      </v>
      </c>
      <c r="H7530" s="20" t="str">
        <f t="shared" si="352"/>
        <v>BROWN</v>
      </c>
      <c r="I7530" s="20">
        <f t="shared" si="353"/>
        <v>0</v>
      </c>
    </row>
    <row r="7531" spans="1:9">
      <c r="A7531" s="17" t="s">
        <v>2360</v>
      </c>
      <c r="B7531" s="17" t="s">
        <v>859</v>
      </c>
      <c r="C7531" s="17">
        <v>0</v>
      </c>
      <c r="D7531" s="17" t="s">
        <v>801</v>
      </c>
      <c r="E7531" s="18">
        <v>3003550002002</v>
      </c>
      <c r="G7531" s="20" t="str">
        <f t="shared" si="351"/>
        <v xml:space="preserve"> POCKETHIDE      </v>
      </c>
      <c r="H7531" s="20" t="str">
        <f t="shared" si="352"/>
        <v>NATUR</v>
      </c>
      <c r="I7531" s="20">
        <f t="shared" si="353"/>
        <v>0</v>
      </c>
    </row>
    <row r="7532" spans="1:9">
      <c r="A7532" s="17" t="s">
        <v>2361</v>
      </c>
      <c r="B7532" s="17" t="s">
        <v>1145</v>
      </c>
      <c r="C7532" s="17">
        <v>0</v>
      </c>
      <c r="D7532" s="17" t="s">
        <v>801</v>
      </c>
      <c r="E7532" s="18">
        <v>3005160274008</v>
      </c>
      <c r="G7532" s="20" t="str">
        <f t="shared" si="351"/>
        <v xml:space="preserve"> POMPON          </v>
      </c>
      <c r="H7532" s="20" t="str">
        <f t="shared" si="352"/>
        <v>BEIGE</v>
      </c>
      <c r="I7532" s="20">
        <f t="shared" si="353"/>
        <v>0</v>
      </c>
    </row>
    <row r="7533" spans="1:9">
      <c r="A7533" s="17" t="s">
        <v>2361</v>
      </c>
      <c r="B7533" s="17" t="s">
        <v>1145</v>
      </c>
      <c r="C7533" s="17">
        <v>0</v>
      </c>
      <c r="D7533" s="17" t="s">
        <v>801</v>
      </c>
      <c r="E7533" s="18">
        <v>8050846014862</v>
      </c>
      <c r="G7533" s="20" t="str">
        <f t="shared" si="351"/>
        <v xml:space="preserve"> POMPON          </v>
      </c>
      <c r="H7533" s="20" t="str">
        <f t="shared" si="352"/>
        <v>BEIGE</v>
      </c>
      <c r="I7533" s="20">
        <f t="shared" si="353"/>
        <v>0</v>
      </c>
    </row>
    <row r="7534" spans="1:9">
      <c r="A7534" s="17" t="s">
        <v>2361</v>
      </c>
      <c r="B7534" s="17" t="s">
        <v>280</v>
      </c>
      <c r="C7534" s="17">
        <v>0</v>
      </c>
      <c r="D7534" s="17" t="s">
        <v>801</v>
      </c>
      <c r="E7534" s="18">
        <v>3005160276002</v>
      </c>
      <c r="G7534" s="20" t="str">
        <f t="shared" si="351"/>
        <v xml:space="preserve"> POMPON          </v>
      </c>
      <c r="H7534" s="20" t="str">
        <f t="shared" si="352"/>
        <v>BLACK</v>
      </c>
      <c r="I7534" s="20">
        <f t="shared" si="353"/>
        <v>0</v>
      </c>
    </row>
    <row r="7535" spans="1:9">
      <c r="A7535" s="17" t="s">
        <v>2361</v>
      </c>
      <c r="B7535" s="17" t="s">
        <v>280</v>
      </c>
      <c r="C7535" s="17">
        <v>0</v>
      </c>
      <c r="D7535" s="17" t="s">
        <v>801</v>
      </c>
      <c r="E7535" s="18">
        <v>8050846016316</v>
      </c>
      <c r="G7535" s="20" t="str">
        <f t="shared" si="351"/>
        <v xml:space="preserve"> POMPON          </v>
      </c>
      <c r="H7535" s="20" t="str">
        <f t="shared" si="352"/>
        <v>BLACK</v>
      </c>
      <c r="I7535" s="20">
        <f t="shared" si="353"/>
        <v>0</v>
      </c>
    </row>
    <row r="7536" spans="1:9">
      <c r="A7536" s="17" t="s">
        <v>2361</v>
      </c>
      <c r="B7536" s="17" t="s">
        <v>1092</v>
      </c>
      <c r="C7536" s="17">
        <v>0</v>
      </c>
      <c r="D7536" s="17" t="s">
        <v>801</v>
      </c>
      <c r="E7536" s="18">
        <v>8050538595211</v>
      </c>
      <c r="G7536" s="20" t="str">
        <f t="shared" si="351"/>
        <v xml:space="preserve"> POMPON          </v>
      </c>
      <c r="H7536" s="20" t="str">
        <f t="shared" si="352"/>
        <v>MULTI</v>
      </c>
      <c r="I7536" s="20">
        <f t="shared" si="353"/>
        <v>0</v>
      </c>
    </row>
    <row r="7537" spans="1:9">
      <c r="A7537" s="17" t="s">
        <v>2361</v>
      </c>
      <c r="B7537" s="17" t="s">
        <v>816</v>
      </c>
      <c r="C7537" s="17">
        <v>0</v>
      </c>
      <c r="D7537" s="17" t="s">
        <v>801</v>
      </c>
      <c r="E7537" s="18">
        <v>3005160395000</v>
      </c>
      <c r="G7537" s="20" t="str">
        <f t="shared" si="351"/>
        <v xml:space="preserve"> POMPON          </v>
      </c>
      <c r="H7537" s="20" t="str">
        <f t="shared" si="352"/>
        <v xml:space="preserve">RED  </v>
      </c>
      <c r="I7537" s="20">
        <f t="shared" si="353"/>
        <v>0</v>
      </c>
    </row>
    <row r="7538" spans="1:9">
      <c r="A7538" s="17" t="s">
        <v>2361</v>
      </c>
      <c r="B7538" s="17" t="s">
        <v>816</v>
      </c>
      <c r="C7538" s="17">
        <v>0</v>
      </c>
      <c r="D7538" s="17" t="s">
        <v>801</v>
      </c>
      <c r="E7538" s="18">
        <v>8050846016330</v>
      </c>
      <c r="G7538" s="20" t="str">
        <f t="shared" si="351"/>
        <v xml:space="preserve"> POMPON          </v>
      </c>
      <c r="H7538" s="20" t="str">
        <f t="shared" si="352"/>
        <v xml:space="preserve">RED  </v>
      </c>
      <c r="I7538" s="20">
        <f t="shared" si="353"/>
        <v>0</v>
      </c>
    </row>
    <row r="7539" spans="1:9">
      <c r="A7539" s="17" t="s">
        <v>2361</v>
      </c>
      <c r="B7539" s="17" t="s">
        <v>1453</v>
      </c>
      <c r="C7539" s="17">
        <v>0</v>
      </c>
      <c r="D7539" s="17" t="s">
        <v>801</v>
      </c>
      <c r="E7539" s="18">
        <v>3005160427008</v>
      </c>
      <c r="G7539" s="20" t="str">
        <f t="shared" si="351"/>
        <v xml:space="preserve"> POMPON          </v>
      </c>
      <c r="H7539" s="20" t="str">
        <f t="shared" si="352"/>
        <v xml:space="preserve">UNI  </v>
      </c>
      <c r="I7539" s="20">
        <f t="shared" si="353"/>
        <v>0</v>
      </c>
    </row>
    <row r="7540" spans="1:9">
      <c r="A7540" s="17" t="s">
        <v>2361</v>
      </c>
      <c r="B7540" s="17" t="s">
        <v>273</v>
      </c>
      <c r="C7540" s="17">
        <v>0</v>
      </c>
      <c r="D7540" s="17" t="s">
        <v>801</v>
      </c>
      <c r="E7540" s="18">
        <v>3005160440007</v>
      </c>
      <c r="G7540" s="20" t="str">
        <f t="shared" si="351"/>
        <v xml:space="preserve"> POMPON          </v>
      </c>
      <c r="H7540" s="20" t="str">
        <f t="shared" si="352"/>
        <v>WHITE</v>
      </c>
      <c r="I7540" s="20">
        <f t="shared" si="353"/>
        <v>0</v>
      </c>
    </row>
    <row r="7541" spans="1:9">
      <c r="A7541" s="17" t="s">
        <v>2361</v>
      </c>
      <c r="B7541" s="17" t="s">
        <v>273</v>
      </c>
      <c r="C7541" s="17">
        <v>0</v>
      </c>
      <c r="D7541" s="17" t="s">
        <v>801</v>
      </c>
      <c r="E7541" s="18">
        <v>8050846016293</v>
      </c>
      <c r="G7541" s="20" t="str">
        <f t="shared" si="351"/>
        <v xml:space="preserve"> POMPON          </v>
      </c>
      <c r="H7541" s="20" t="str">
        <f t="shared" si="352"/>
        <v>WHITE</v>
      </c>
      <c r="I7541" s="20">
        <f t="shared" si="353"/>
        <v>0</v>
      </c>
    </row>
    <row r="7542" spans="1:9">
      <c r="A7542" s="17" t="s">
        <v>2362</v>
      </c>
      <c r="B7542" s="17" t="s">
        <v>280</v>
      </c>
      <c r="C7542" s="17">
        <v>0</v>
      </c>
      <c r="D7542" s="17" t="s">
        <v>801</v>
      </c>
      <c r="E7542" s="18">
        <v>3005720276008</v>
      </c>
      <c r="G7542" s="20" t="str">
        <f t="shared" si="351"/>
        <v xml:space="preserve"> POMPONETE2017   </v>
      </c>
      <c r="H7542" s="20" t="str">
        <f t="shared" si="352"/>
        <v>BLACK</v>
      </c>
      <c r="I7542" s="20">
        <f t="shared" si="353"/>
        <v>0</v>
      </c>
    </row>
    <row r="7543" spans="1:9">
      <c r="A7543" s="17" t="s">
        <v>2362</v>
      </c>
      <c r="B7543" s="17" t="s">
        <v>810</v>
      </c>
      <c r="C7543" s="17">
        <v>0</v>
      </c>
      <c r="D7543" s="17" t="s">
        <v>801</v>
      </c>
      <c r="E7543" s="18">
        <v>3005720284003</v>
      </c>
      <c r="G7543" s="20" t="str">
        <f t="shared" si="351"/>
        <v xml:space="preserve"> POMPONETE2017   </v>
      </c>
      <c r="H7543" s="20" t="str">
        <f t="shared" si="352"/>
        <v xml:space="preserve">BLUE </v>
      </c>
      <c r="I7543" s="20">
        <f t="shared" si="353"/>
        <v>0</v>
      </c>
    </row>
    <row r="7544" spans="1:9">
      <c r="A7544" s="17" t="s">
        <v>2362</v>
      </c>
      <c r="B7544" s="17" t="s">
        <v>859</v>
      </c>
      <c r="C7544" s="17">
        <v>0</v>
      </c>
      <c r="D7544" s="17" t="s">
        <v>801</v>
      </c>
      <c r="E7544" s="18">
        <v>3005720371000</v>
      </c>
      <c r="G7544" s="20" t="str">
        <f t="shared" si="351"/>
        <v xml:space="preserve"> POMPONETE2017   </v>
      </c>
      <c r="H7544" s="20" t="str">
        <f t="shared" si="352"/>
        <v>NATUR</v>
      </c>
      <c r="I7544" s="20">
        <f t="shared" si="353"/>
        <v>0</v>
      </c>
    </row>
    <row r="7545" spans="1:9">
      <c r="A7545" s="17" t="s">
        <v>2362</v>
      </c>
      <c r="B7545" s="17" t="s">
        <v>919</v>
      </c>
      <c r="C7545" s="17">
        <v>0</v>
      </c>
      <c r="D7545" s="17" t="s">
        <v>801</v>
      </c>
      <c r="E7545" s="18">
        <v>3005720690002</v>
      </c>
      <c r="G7545" s="20" t="str">
        <f t="shared" si="351"/>
        <v xml:space="preserve"> POMPONETE2017   </v>
      </c>
      <c r="H7545" s="20" t="str">
        <f t="shared" si="352"/>
        <v>TESTA</v>
      </c>
      <c r="I7545" s="20">
        <f t="shared" si="353"/>
        <v>0</v>
      </c>
    </row>
    <row r="7546" spans="1:9">
      <c r="A7546" s="17" t="s">
        <v>2362</v>
      </c>
      <c r="B7546" s="17" t="s">
        <v>1074</v>
      </c>
      <c r="C7546" s="17">
        <v>0</v>
      </c>
      <c r="D7546" s="17" t="s">
        <v>801</v>
      </c>
      <c r="E7546" s="18">
        <v>3005720769005</v>
      </c>
      <c r="G7546" s="20" t="str">
        <f t="shared" si="351"/>
        <v xml:space="preserve"> POMPONETE2017   </v>
      </c>
      <c r="H7546" s="20" t="str">
        <f t="shared" si="352"/>
        <v>TURQU</v>
      </c>
      <c r="I7546" s="20">
        <f t="shared" si="353"/>
        <v>0</v>
      </c>
    </row>
    <row r="7547" spans="1:9">
      <c r="A7547" s="17" t="s">
        <v>2362</v>
      </c>
      <c r="B7547" s="17" t="s">
        <v>2363</v>
      </c>
      <c r="C7547" s="17">
        <v>0</v>
      </c>
      <c r="D7547" s="17" t="s">
        <v>801</v>
      </c>
      <c r="E7547" s="18">
        <v>3005721327006</v>
      </c>
      <c r="G7547" s="20" t="str">
        <f t="shared" si="351"/>
        <v xml:space="preserve"> POMPONETE2017   </v>
      </c>
      <c r="H7547" s="20" t="str">
        <f t="shared" si="352"/>
        <v xml:space="preserve">VIN  </v>
      </c>
      <c r="I7547" s="20">
        <f t="shared" si="353"/>
        <v>0</v>
      </c>
    </row>
    <row r="7548" spans="1:9">
      <c r="A7548" s="17" t="s">
        <v>2364</v>
      </c>
      <c r="B7548" s="17" t="s">
        <v>799</v>
      </c>
      <c r="C7548" s="17" t="s">
        <v>799</v>
      </c>
      <c r="D7548" s="17" t="s">
        <v>801</v>
      </c>
      <c r="E7548" s="18">
        <v>3004450000006</v>
      </c>
      <c r="G7548" s="20" t="str">
        <f t="shared" si="351"/>
        <v xml:space="preserve"> PORT1           </v>
      </c>
      <c r="H7548" s="20" t="str">
        <f t="shared" si="352"/>
        <v xml:space="preserve">     </v>
      </c>
      <c r="I7548" s="20" t="str">
        <f t="shared" si="353"/>
        <v xml:space="preserve">     </v>
      </c>
    </row>
    <row r="7549" spans="1:9">
      <c r="A7549" s="17" t="s">
        <v>2365</v>
      </c>
      <c r="B7549" s="17" t="s">
        <v>1453</v>
      </c>
      <c r="C7549" s="17">
        <v>0</v>
      </c>
      <c r="D7549" s="17" t="s">
        <v>801</v>
      </c>
      <c r="E7549" s="18">
        <v>3006150427008</v>
      </c>
      <c r="G7549" s="20" t="str">
        <f t="shared" si="351"/>
        <v xml:space="preserve"> PORTE-CLEFSNOEL </v>
      </c>
      <c r="H7549" s="20" t="str">
        <f t="shared" si="352"/>
        <v xml:space="preserve">UNI  </v>
      </c>
      <c r="I7549" s="20">
        <f t="shared" si="353"/>
        <v>0</v>
      </c>
    </row>
    <row r="7550" spans="1:9">
      <c r="A7550" s="17" t="s">
        <v>2366</v>
      </c>
      <c r="B7550" s="17" t="s">
        <v>890</v>
      </c>
      <c r="C7550" s="17">
        <v>0</v>
      </c>
      <c r="D7550" s="17" t="s">
        <v>801</v>
      </c>
      <c r="E7550" s="18">
        <v>3005650522008</v>
      </c>
      <c r="G7550" s="20" t="str">
        <f t="shared" si="351"/>
        <v xml:space="preserve"> PORTECLE        </v>
      </c>
      <c r="H7550" s="20" t="str">
        <f t="shared" si="352"/>
        <v xml:space="preserve">GOLD </v>
      </c>
      <c r="I7550" s="20">
        <f t="shared" si="353"/>
        <v>0</v>
      </c>
    </row>
    <row r="7551" spans="1:9">
      <c r="A7551" s="17" t="s">
        <v>2366</v>
      </c>
      <c r="B7551" s="17" t="s">
        <v>971</v>
      </c>
      <c r="C7551" s="17">
        <v>0</v>
      </c>
      <c r="D7551" s="17" t="s">
        <v>801</v>
      </c>
      <c r="E7551" s="18">
        <v>3005650394001</v>
      </c>
      <c r="G7551" s="20" t="str">
        <f t="shared" si="351"/>
        <v xml:space="preserve"> PORTECLE        </v>
      </c>
      <c r="H7551" s="20" t="str">
        <f t="shared" si="352"/>
        <v>OTTAN</v>
      </c>
      <c r="I7551" s="20">
        <f t="shared" si="353"/>
        <v>0</v>
      </c>
    </row>
    <row r="7552" spans="1:9">
      <c r="A7552" s="17" t="s">
        <v>2366</v>
      </c>
      <c r="B7552" s="17" t="s">
        <v>855</v>
      </c>
      <c r="C7552" s="17">
        <v>0</v>
      </c>
      <c r="D7552" s="17" t="s">
        <v>801</v>
      </c>
      <c r="E7552" s="18">
        <v>3005651029001</v>
      </c>
      <c r="G7552" s="20" t="str">
        <f t="shared" si="351"/>
        <v xml:space="preserve"> PORTECLE        </v>
      </c>
      <c r="H7552" s="20" t="str">
        <f t="shared" si="352"/>
        <v>SILVE</v>
      </c>
      <c r="I7552" s="20">
        <f t="shared" si="353"/>
        <v>0</v>
      </c>
    </row>
    <row r="7553" spans="1:9">
      <c r="A7553" s="17" t="s">
        <v>2367</v>
      </c>
      <c r="B7553" s="17" t="s">
        <v>1041</v>
      </c>
      <c r="C7553" s="17">
        <v>0</v>
      </c>
      <c r="D7553" s="17" t="s">
        <v>801</v>
      </c>
      <c r="E7553" s="18">
        <v>8050538595518</v>
      </c>
      <c r="G7553" s="20" t="str">
        <f t="shared" si="351"/>
        <v xml:space="preserve"> PORTECLES       </v>
      </c>
      <c r="H7553" s="20" t="str">
        <f t="shared" si="352"/>
        <v>LIGBL</v>
      </c>
      <c r="I7553" s="20">
        <f t="shared" si="353"/>
        <v>0</v>
      </c>
    </row>
    <row r="7554" spans="1:9">
      <c r="A7554" s="17" t="s">
        <v>2367</v>
      </c>
      <c r="B7554" s="17" t="s">
        <v>1042</v>
      </c>
      <c r="C7554" s="17">
        <v>0</v>
      </c>
      <c r="D7554" s="17" t="s">
        <v>801</v>
      </c>
      <c r="E7554" s="18">
        <v>8050538595501</v>
      </c>
      <c r="G7554" s="20" t="str">
        <f t="shared" si="351"/>
        <v xml:space="preserve"> PORTECLES       </v>
      </c>
      <c r="H7554" s="20" t="str">
        <f t="shared" si="352"/>
        <v>LIGRO</v>
      </c>
      <c r="I7554" s="20">
        <f t="shared" si="353"/>
        <v>0</v>
      </c>
    </row>
    <row r="7555" spans="1:9">
      <c r="A7555" s="17" t="s">
        <v>2367</v>
      </c>
      <c r="B7555" s="17" t="s">
        <v>1371</v>
      </c>
      <c r="C7555" s="17">
        <v>0</v>
      </c>
      <c r="D7555" s="17" t="s">
        <v>801</v>
      </c>
      <c r="E7555" s="18">
        <v>3005661115008</v>
      </c>
      <c r="G7555" s="20" t="str">
        <f t="shared" si="351"/>
        <v xml:space="preserve"> PORTECLES       </v>
      </c>
      <c r="H7555" s="20" t="str">
        <f t="shared" si="352"/>
        <v>LINBL</v>
      </c>
      <c r="I7555" s="20">
        <f t="shared" si="353"/>
        <v>0</v>
      </c>
    </row>
    <row r="7556" spans="1:9">
      <c r="A7556" s="17" t="s">
        <v>2367</v>
      </c>
      <c r="B7556" s="17" t="s">
        <v>1399</v>
      </c>
      <c r="C7556" s="17">
        <v>0</v>
      </c>
      <c r="D7556" s="17" t="s">
        <v>801</v>
      </c>
      <c r="E7556" s="18">
        <v>8056099172991</v>
      </c>
      <c r="G7556" s="20" t="str">
        <f t="shared" si="351"/>
        <v xml:space="preserve"> PORTECLES       </v>
      </c>
      <c r="H7556" s="20" t="str">
        <f t="shared" si="352"/>
        <v>RIVBL</v>
      </c>
      <c r="I7556" s="20">
        <f t="shared" si="353"/>
        <v>0</v>
      </c>
    </row>
    <row r="7557" spans="1:9">
      <c r="A7557" s="17" t="s">
        <v>2367</v>
      </c>
      <c r="B7557" s="17" t="s">
        <v>1400</v>
      </c>
      <c r="C7557" s="17">
        <v>0</v>
      </c>
      <c r="D7557" s="17" t="s">
        <v>801</v>
      </c>
      <c r="E7557" s="18">
        <v>8056099172960</v>
      </c>
      <c r="G7557" s="20" t="str">
        <f t="shared" ref="G7557:G7620" si="354">A7557</f>
        <v xml:space="preserve"> PORTECLES       </v>
      </c>
      <c r="H7557" s="20" t="str">
        <f t="shared" ref="H7557:H7620" si="355">B7557</f>
        <v>RIVJA</v>
      </c>
      <c r="I7557" s="20">
        <f t="shared" ref="I7557:I7620" si="356">C7557</f>
        <v>0</v>
      </c>
    </row>
    <row r="7558" spans="1:9">
      <c r="A7558" s="17" t="s">
        <v>2367</v>
      </c>
      <c r="B7558" s="17" t="s">
        <v>1401</v>
      </c>
      <c r="C7558" s="17">
        <v>0</v>
      </c>
      <c r="D7558" s="17" t="s">
        <v>801</v>
      </c>
      <c r="E7558" s="18">
        <v>8056099172977</v>
      </c>
      <c r="G7558" s="20" t="str">
        <f t="shared" si="354"/>
        <v xml:space="preserve"> PORTECLES       </v>
      </c>
      <c r="H7558" s="20" t="str">
        <f t="shared" si="355"/>
        <v>RIVRO</v>
      </c>
      <c r="I7558" s="20">
        <f t="shared" si="356"/>
        <v>0</v>
      </c>
    </row>
    <row r="7559" spans="1:9">
      <c r="A7559" s="17" t="s">
        <v>2368</v>
      </c>
      <c r="B7559" s="17" t="s">
        <v>1810</v>
      </c>
      <c r="C7559" s="17">
        <v>0</v>
      </c>
      <c r="D7559" s="17" t="s">
        <v>801</v>
      </c>
      <c r="E7559" s="18">
        <v>3005971486003</v>
      </c>
      <c r="G7559" s="20" t="str">
        <f t="shared" si="354"/>
        <v xml:space="preserve"> PORTECLESDISNEY </v>
      </c>
      <c r="H7559" s="20" t="str">
        <f t="shared" si="355"/>
        <v>MINBL</v>
      </c>
      <c r="I7559" s="20">
        <f t="shared" si="356"/>
        <v>0</v>
      </c>
    </row>
    <row r="7560" spans="1:9">
      <c r="A7560" s="17" t="s">
        <v>2368</v>
      </c>
      <c r="B7560" s="17" t="s">
        <v>1810</v>
      </c>
      <c r="C7560" s="17">
        <v>0</v>
      </c>
      <c r="D7560" s="17" t="s">
        <v>801</v>
      </c>
      <c r="E7560" s="18">
        <v>8050846007550</v>
      </c>
      <c r="G7560" s="20" t="str">
        <f t="shared" si="354"/>
        <v xml:space="preserve"> PORTECLESDISNEY </v>
      </c>
      <c r="H7560" s="20" t="str">
        <f t="shared" si="355"/>
        <v>MINBL</v>
      </c>
      <c r="I7560" s="20">
        <f t="shared" si="356"/>
        <v>0</v>
      </c>
    </row>
    <row r="7561" spans="1:9">
      <c r="A7561" s="17" t="s">
        <v>2368</v>
      </c>
      <c r="B7561" s="17" t="s">
        <v>2369</v>
      </c>
      <c r="C7561" s="17">
        <v>0</v>
      </c>
      <c r="D7561" s="17" t="s">
        <v>801</v>
      </c>
      <c r="E7561" s="18">
        <v>3005971484009</v>
      </c>
      <c r="G7561" s="20" t="str">
        <f t="shared" si="354"/>
        <v xml:space="preserve"> PORTECLESDISNEY </v>
      </c>
      <c r="H7561" s="20" t="str">
        <f t="shared" si="355"/>
        <v>MINFU</v>
      </c>
      <c r="I7561" s="20">
        <f t="shared" si="356"/>
        <v>0</v>
      </c>
    </row>
    <row r="7562" spans="1:9">
      <c r="A7562" s="17" t="s">
        <v>2368</v>
      </c>
      <c r="B7562" s="17" t="s">
        <v>2369</v>
      </c>
      <c r="C7562" s="17">
        <v>0</v>
      </c>
      <c r="D7562" s="17" t="s">
        <v>801</v>
      </c>
      <c r="E7562" s="18">
        <v>8050846007574</v>
      </c>
      <c r="G7562" s="20" t="str">
        <f t="shared" si="354"/>
        <v xml:space="preserve"> PORTECLESDISNEY </v>
      </c>
      <c r="H7562" s="20" t="str">
        <f t="shared" si="355"/>
        <v>MINFU</v>
      </c>
      <c r="I7562" s="20">
        <f t="shared" si="356"/>
        <v>0</v>
      </c>
    </row>
    <row r="7563" spans="1:9">
      <c r="A7563" s="17" t="s">
        <v>2368</v>
      </c>
      <c r="B7563" s="17" t="s">
        <v>1811</v>
      </c>
      <c r="C7563" s="17">
        <v>0</v>
      </c>
      <c r="D7563" s="17" t="s">
        <v>801</v>
      </c>
      <c r="E7563" s="18">
        <v>3005971482005</v>
      </c>
      <c r="G7563" s="20" t="str">
        <f t="shared" si="354"/>
        <v xml:space="preserve"> PORTECLESDISNEY </v>
      </c>
      <c r="H7563" s="20" t="str">
        <f t="shared" si="355"/>
        <v>MINJA</v>
      </c>
      <c r="I7563" s="20">
        <f t="shared" si="356"/>
        <v>0</v>
      </c>
    </row>
    <row r="7564" spans="1:9">
      <c r="A7564" s="17" t="s">
        <v>2368</v>
      </c>
      <c r="B7564" s="17" t="s">
        <v>1811</v>
      </c>
      <c r="C7564" s="17">
        <v>0</v>
      </c>
      <c r="D7564" s="17" t="s">
        <v>801</v>
      </c>
      <c r="E7564" s="18">
        <v>8050846007567</v>
      </c>
      <c r="G7564" s="20" t="str">
        <f t="shared" si="354"/>
        <v xml:space="preserve"> PORTECLESDISNEY </v>
      </c>
      <c r="H7564" s="20" t="str">
        <f t="shared" si="355"/>
        <v>MINJA</v>
      </c>
      <c r="I7564" s="20">
        <f t="shared" si="356"/>
        <v>0</v>
      </c>
    </row>
    <row r="7565" spans="1:9">
      <c r="A7565" s="17" t="s">
        <v>2368</v>
      </c>
      <c r="B7565" s="17" t="s">
        <v>2370</v>
      </c>
      <c r="C7565" s="17">
        <v>0</v>
      </c>
      <c r="D7565" s="17" t="s">
        <v>801</v>
      </c>
      <c r="E7565" s="18">
        <v>8050846019157</v>
      </c>
      <c r="G7565" s="20" t="str">
        <f t="shared" si="354"/>
        <v xml:space="preserve"> PORTECLESDISNEY </v>
      </c>
      <c r="H7565" s="20" t="str">
        <f t="shared" si="355"/>
        <v>MINOR</v>
      </c>
      <c r="I7565" s="20">
        <f t="shared" si="356"/>
        <v>0</v>
      </c>
    </row>
    <row r="7566" spans="1:9">
      <c r="A7566" s="17" t="s">
        <v>2368</v>
      </c>
      <c r="B7566" s="17" t="s">
        <v>1814</v>
      </c>
      <c r="C7566" s="17">
        <v>0</v>
      </c>
      <c r="D7566" s="17" t="s">
        <v>801</v>
      </c>
      <c r="E7566" s="18">
        <v>8050846019140</v>
      </c>
      <c r="G7566" s="20" t="str">
        <f t="shared" si="354"/>
        <v xml:space="preserve"> PORTECLESDISNEY </v>
      </c>
      <c r="H7566" s="20" t="str">
        <f t="shared" si="355"/>
        <v>MINRE</v>
      </c>
      <c r="I7566" s="20">
        <f t="shared" si="356"/>
        <v>0</v>
      </c>
    </row>
    <row r="7567" spans="1:9">
      <c r="A7567" s="17" t="s">
        <v>2368</v>
      </c>
      <c r="B7567" s="17" t="s">
        <v>1814</v>
      </c>
      <c r="C7567" s="17">
        <v>0</v>
      </c>
      <c r="D7567" s="17" t="s">
        <v>801</v>
      </c>
      <c r="E7567" s="18">
        <v>3005971483002</v>
      </c>
      <c r="G7567" s="20" t="str">
        <f t="shared" si="354"/>
        <v xml:space="preserve"> PORTECLESDISNEY </v>
      </c>
      <c r="H7567" s="20" t="str">
        <f t="shared" si="355"/>
        <v>MINRE</v>
      </c>
      <c r="I7567" s="20">
        <f t="shared" si="356"/>
        <v>0</v>
      </c>
    </row>
    <row r="7568" spans="1:9">
      <c r="A7568" s="17" t="s">
        <v>2368</v>
      </c>
      <c r="B7568" s="17" t="s">
        <v>2371</v>
      </c>
      <c r="C7568" s="17">
        <v>0</v>
      </c>
      <c r="D7568" s="17" t="s">
        <v>801</v>
      </c>
      <c r="E7568" s="18">
        <v>3005971485006</v>
      </c>
      <c r="G7568" s="20" t="str">
        <f t="shared" si="354"/>
        <v xml:space="preserve"> PORTECLESDISNEY </v>
      </c>
      <c r="H7568" s="20" t="str">
        <f t="shared" si="355"/>
        <v>MINRO</v>
      </c>
      <c r="I7568" s="20">
        <f t="shared" si="356"/>
        <v>0</v>
      </c>
    </row>
    <row r="7569" spans="1:9">
      <c r="A7569" s="17" t="s">
        <v>2368</v>
      </c>
      <c r="B7569" s="17" t="s">
        <v>2371</v>
      </c>
      <c r="C7569" s="17">
        <v>0</v>
      </c>
      <c r="D7569" s="17" t="s">
        <v>801</v>
      </c>
      <c r="E7569" s="18">
        <v>8050846007581</v>
      </c>
      <c r="G7569" s="20" t="str">
        <f t="shared" si="354"/>
        <v xml:space="preserve"> PORTECLESDISNEY </v>
      </c>
      <c r="H7569" s="20" t="str">
        <f t="shared" si="355"/>
        <v>MINRO</v>
      </c>
      <c r="I7569" s="20">
        <f t="shared" si="356"/>
        <v>0</v>
      </c>
    </row>
    <row r="7570" spans="1:9">
      <c r="A7570" s="17" t="s">
        <v>2372</v>
      </c>
      <c r="B7570" s="17" t="s">
        <v>2373</v>
      </c>
      <c r="C7570" s="17">
        <v>0</v>
      </c>
      <c r="D7570" s="17" t="s">
        <v>801</v>
      </c>
      <c r="E7570" s="18">
        <v>3005981489001</v>
      </c>
      <c r="G7570" s="20" t="str">
        <f t="shared" si="354"/>
        <v xml:space="preserve"> PORTEMONNAIE    </v>
      </c>
      <c r="H7570" s="20" t="str">
        <f t="shared" si="355"/>
        <v>DAIJA</v>
      </c>
      <c r="I7570" s="20">
        <f t="shared" si="356"/>
        <v>0</v>
      </c>
    </row>
    <row r="7571" spans="1:9">
      <c r="A7571" s="17" t="s">
        <v>2372</v>
      </c>
      <c r="B7571" s="17" t="s">
        <v>2373</v>
      </c>
      <c r="C7571" s="17">
        <v>0</v>
      </c>
      <c r="D7571" s="17" t="s">
        <v>801</v>
      </c>
      <c r="E7571" s="18">
        <v>8050846007543</v>
      </c>
      <c r="G7571" s="20" t="str">
        <f t="shared" si="354"/>
        <v xml:space="preserve"> PORTEMONNAIE    </v>
      </c>
      <c r="H7571" s="20" t="str">
        <f t="shared" si="355"/>
        <v>DAIJA</v>
      </c>
      <c r="I7571" s="20">
        <f t="shared" si="356"/>
        <v>0</v>
      </c>
    </row>
    <row r="7572" spans="1:9">
      <c r="A7572" s="17" t="s">
        <v>2372</v>
      </c>
      <c r="B7572" s="17" t="s">
        <v>2371</v>
      </c>
      <c r="C7572" s="17">
        <v>0</v>
      </c>
      <c r="D7572" s="17" t="s">
        <v>801</v>
      </c>
      <c r="E7572" s="18">
        <v>3005981485003</v>
      </c>
      <c r="G7572" s="20" t="str">
        <f t="shared" si="354"/>
        <v xml:space="preserve"> PORTEMONNAIE    </v>
      </c>
      <c r="H7572" s="20" t="str">
        <f t="shared" si="355"/>
        <v>MINRO</v>
      </c>
      <c r="I7572" s="20">
        <f t="shared" si="356"/>
        <v>0</v>
      </c>
    </row>
    <row r="7573" spans="1:9">
      <c r="A7573" s="17" t="s">
        <v>2372</v>
      </c>
      <c r="B7573" s="17" t="s">
        <v>2371</v>
      </c>
      <c r="C7573" s="17">
        <v>0</v>
      </c>
      <c r="D7573" s="17" t="s">
        <v>801</v>
      </c>
      <c r="E7573" s="18">
        <v>8050846007536</v>
      </c>
      <c r="G7573" s="20" t="str">
        <f t="shared" si="354"/>
        <v xml:space="preserve"> PORTEMONNAIE    </v>
      </c>
      <c r="H7573" s="20" t="str">
        <f t="shared" si="355"/>
        <v>MINRO</v>
      </c>
      <c r="I7573" s="20">
        <f t="shared" si="356"/>
        <v>0</v>
      </c>
    </row>
    <row r="7574" spans="1:9">
      <c r="A7574" s="17" t="s">
        <v>2374</v>
      </c>
      <c r="B7574" s="17" t="s">
        <v>280</v>
      </c>
      <c r="C7574" s="17">
        <v>0</v>
      </c>
      <c r="D7574" s="17" t="s">
        <v>801</v>
      </c>
      <c r="E7574" s="18">
        <v>3003260001005</v>
      </c>
      <c r="G7574" s="20" t="str">
        <f t="shared" si="354"/>
        <v xml:space="preserve"> RABANNE         </v>
      </c>
      <c r="H7574" s="20" t="str">
        <f t="shared" si="355"/>
        <v>BLACK</v>
      </c>
      <c r="I7574" s="20">
        <f t="shared" si="356"/>
        <v>0</v>
      </c>
    </row>
    <row r="7575" spans="1:9">
      <c r="A7575" s="17" t="s">
        <v>2374</v>
      </c>
      <c r="B7575" s="17" t="s">
        <v>810</v>
      </c>
      <c r="C7575" s="17">
        <v>0</v>
      </c>
      <c r="D7575" s="17" t="s">
        <v>801</v>
      </c>
      <c r="E7575" s="18">
        <v>3003260012001</v>
      </c>
      <c r="G7575" s="20" t="str">
        <f t="shared" si="354"/>
        <v xml:space="preserve"> RABANNE         </v>
      </c>
      <c r="H7575" s="20" t="str">
        <f t="shared" si="355"/>
        <v xml:space="preserve">BLUE </v>
      </c>
      <c r="I7575" s="20">
        <f t="shared" si="356"/>
        <v>0</v>
      </c>
    </row>
    <row r="7576" spans="1:9">
      <c r="A7576" s="17" t="s">
        <v>2374</v>
      </c>
      <c r="B7576" s="17" t="s">
        <v>964</v>
      </c>
      <c r="C7576" s="17">
        <v>0</v>
      </c>
      <c r="D7576" s="17" t="s">
        <v>801</v>
      </c>
      <c r="E7576" s="18">
        <v>3003260009001</v>
      </c>
      <c r="G7576" s="20" t="str">
        <f t="shared" si="354"/>
        <v xml:space="preserve"> RABANNE         </v>
      </c>
      <c r="H7576" s="20" t="str">
        <f t="shared" si="355"/>
        <v>ORANG</v>
      </c>
      <c r="I7576" s="20">
        <f t="shared" si="356"/>
        <v>0</v>
      </c>
    </row>
    <row r="7577" spans="1:9">
      <c r="A7577" s="17" t="s">
        <v>2374</v>
      </c>
      <c r="B7577" s="17" t="s">
        <v>816</v>
      </c>
      <c r="C7577" s="17">
        <v>0</v>
      </c>
      <c r="D7577" s="17" t="s">
        <v>801</v>
      </c>
      <c r="E7577" s="18">
        <v>3003260010007</v>
      </c>
      <c r="G7577" s="20" t="str">
        <f t="shared" si="354"/>
        <v xml:space="preserve"> RABANNE         </v>
      </c>
      <c r="H7577" s="20" t="str">
        <f t="shared" si="355"/>
        <v xml:space="preserve">RED  </v>
      </c>
      <c r="I7577" s="20">
        <f t="shared" si="356"/>
        <v>0</v>
      </c>
    </row>
    <row r="7578" spans="1:9">
      <c r="A7578" s="17" t="s">
        <v>2374</v>
      </c>
      <c r="B7578" s="17" t="s">
        <v>273</v>
      </c>
      <c r="C7578" s="17">
        <v>0</v>
      </c>
      <c r="D7578" s="17" t="s">
        <v>801</v>
      </c>
      <c r="E7578" s="18">
        <v>3003260004006</v>
      </c>
      <c r="G7578" s="20" t="str">
        <f t="shared" si="354"/>
        <v xml:space="preserve"> RABANNE         </v>
      </c>
      <c r="H7578" s="20" t="str">
        <f t="shared" si="355"/>
        <v>WHITE</v>
      </c>
      <c r="I7578" s="20">
        <f t="shared" si="356"/>
        <v>0</v>
      </c>
    </row>
    <row r="7579" spans="1:9">
      <c r="A7579" s="17" t="s">
        <v>2374</v>
      </c>
      <c r="B7579" s="17" t="s">
        <v>825</v>
      </c>
      <c r="C7579" s="17">
        <v>0</v>
      </c>
      <c r="D7579" s="17" t="s">
        <v>801</v>
      </c>
      <c r="E7579" s="18">
        <v>3003260011004</v>
      </c>
      <c r="G7579" s="20" t="str">
        <f t="shared" si="354"/>
        <v xml:space="preserve"> RABANNE         </v>
      </c>
      <c r="H7579" s="20" t="str">
        <f t="shared" si="355"/>
        <v xml:space="preserve">YELL </v>
      </c>
      <c r="I7579" s="20">
        <f t="shared" si="356"/>
        <v>0</v>
      </c>
    </row>
    <row r="7580" spans="1:9">
      <c r="A7580" s="17" t="s">
        <v>2375</v>
      </c>
      <c r="B7580" s="17" t="s">
        <v>858</v>
      </c>
      <c r="C7580" s="17">
        <v>0</v>
      </c>
      <c r="D7580" s="17" t="s">
        <v>801</v>
      </c>
      <c r="E7580" s="18">
        <v>3004380002002</v>
      </c>
      <c r="G7580" s="20" t="str">
        <f t="shared" si="354"/>
        <v xml:space="preserve"> RENARD          </v>
      </c>
      <c r="H7580" s="20" t="str">
        <f t="shared" si="355"/>
        <v xml:space="preserve">GREY </v>
      </c>
      <c r="I7580" s="20">
        <f t="shared" si="356"/>
        <v>0</v>
      </c>
    </row>
    <row r="7581" spans="1:9">
      <c r="A7581" s="17" t="s">
        <v>2375</v>
      </c>
      <c r="B7581" s="17" t="s">
        <v>859</v>
      </c>
      <c r="C7581" s="17">
        <v>0</v>
      </c>
      <c r="D7581" s="17" t="s">
        <v>801</v>
      </c>
      <c r="E7581" s="18">
        <v>3004380597003</v>
      </c>
      <c r="G7581" s="20" t="str">
        <f t="shared" si="354"/>
        <v xml:space="preserve"> RENARD          </v>
      </c>
      <c r="H7581" s="20" t="str">
        <f t="shared" si="355"/>
        <v>NATUR</v>
      </c>
      <c r="I7581" s="20">
        <f t="shared" si="356"/>
        <v>0</v>
      </c>
    </row>
    <row r="7582" spans="1:9">
      <c r="A7582" s="17" t="s">
        <v>2375</v>
      </c>
      <c r="B7582" s="17" t="s">
        <v>1024</v>
      </c>
      <c r="C7582" s="17">
        <v>0</v>
      </c>
      <c r="D7582" s="17" t="s">
        <v>801</v>
      </c>
      <c r="E7582" s="18">
        <v>3004380628004</v>
      </c>
      <c r="G7582" s="20" t="str">
        <f t="shared" si="354"/>
        <v xml:space="preserve"> RENARD          </v>
      </c>
      <c r="H7582" s="20" t="str">
        <f t="shared" si="355"/>
        <v xml:space="preserve">VIOL </v>
      </c>
      <c r="I7582" s="20">
        <f t="shared" si="356"/>
        <v>0</v>
      </c>
    </row>
    <row r="7583" spans="1:9">
      <c r="A7583" s="17" t="s">
        <v>2375</v>
      </c>
      <c r="B7583" s="17" t="s">
        <v>273</v>
      </c>
      <c r="C7583" s="17">
        <v>0</v>
      </c>
      <c r="D7583" s="17" t="s">
        <v>801</v>
      </c>
      <c r="E7583" s="18">
        <v>3004380005003</v>
      </c>
      <c r="G7583" s="20" t="str">
        <f t="shared" si="354"/>
        <v xml:space="preserve"> RENARD          </v>
      </c>
      <c r="H7583" s="20" t="str">
        <f t="shared" si="355"/>
        <v>WHITE</v>
      </c>
      <c r="I7583" s="20">
        <f t="shared" si="356"/>
        <v>0</v>
      </c>
    </row>
    <row r="7584" spans="1:9">
      <c r="A7584" s="17" t="s">
        <v>2376</v>
      </c>
      <c r="B7584" s="17" t="s">
        <v>2377</v>
      </c>
      <c r="C7584" s="17">
        <v>0</v>
      </c>
      <c r="D7584" s="17" t="s">
        <v>801</v>
      </c>
      <c r="E7584" s="18">
        <v>3004250618005</v>
      </c>
      <c r="G7584" s="20" t="str">
        <f t="shared" si="354"/>
        <v xml:space="preserve"> SUEDINE+ANSES   </v>
      </c>
      <c r="H7584" s="20" t="str">
        <f t="shared" si="355"/>
        <v>MAROS</v>
      </c>
      <c r="I7584" s="20">
        <f t="shared" si="356"/>
        <v>0</v>
      </c>
    </row>
    <row r="7585" spans="1:9">
      <c r="A7585" s="17" t="s">
        <v>2376</v>
      </c>
      <c r="B7585" s="17" t="s">
        <v>1078</v>
      </c>
      <c r="C7585" s="17">
        <v>0</v>
      </c>
      <c r="D7585" s="17" t="s">
        <v>801</v>
      </c>
      <c r="E7585" s="18">
        <v>3004250494005</v>
      </c>
      <c r="G7585" s="20" t="str">
        <f t="shared" si="354"/>
        <v xml:space="preserve"> SUEDINE+ANSES   </v>
      </c>
      <c r="H7585" s="20" t="str">
        <f t="shared" si="355"/>
        <v xml:space="preserve">NAVY </v>
      </c>
      <c r="I7585" s="20">
        <f t="shared" si="356"/>
        <v>0</v>
      </c>
    </row>
    <row r="7586" spans="1:9">
      <c r="A7586" s="17" t="s">
        <v>2376</v>
      </c>
      <c r="B7586" s="17" t="s">
        <v>2378</v>
      </c>
      <c r="C7586" s="17">
        <v>0</v>
      </c>
      <c r="D7586" s="17" t="s">
        <v>801</v>
      </c>
      <c r="E7586" s="18">
        <v>3004250617008</v>
      </c>
      <c r="G7586" s="20" t="str">
        <f t="shared" si="354"/>
        <v xml:space="preserve"> SUEDINE+ANSES   </v>
      </c>
      <c r="H7586" s="20" t="str">
        <f t="shared" si="355"/>
        <v>ROBOR</v>
      </c>
      <c r="I7586" s="20">
        <f t="shared" si="356"/>
        <v>0</v>
      </c>
    </row>
    <row r="7587" spans="1:9">
      <c r="A7587" s="17" t="s">
        <v>2379</v>
      </c>
      <c r="B7587" s="17" t="s">
        <v>1453</v>
      </c>
      <c r="C7587" s="17">
        <v>0</v>
      </c>
      <c r="D7587" s="17" t="s">
        <v>801</v>
      </c>
      <c r="E7587" s="18">
        <v>3004090133003</v>
      </c>
      <c r="G7587" s="20" t="str">
        <f t="shared" si="354"/>
        <v xml:space="preserve"> VERRES          </v>
      </c>
      <c r="H7587" s="20" t="str">
        <f t="shared" si="355"/>
        <v xml:space="preserve">UNI  </v>
      </c>
      <c r="I7587" s="20">
        <f t="shared" si="356"/>
        <v>0</v>
      </c>
    </row>
    <row r="7588" spans="1:9">
      <c r="A7588" s="17" t="s">
        <v>2380</v>
      </c>
      <c r="B7588" s="17" t="s">
        <v>2381</v>
      </c>
      <c r="C7588" s="17">
        <v>0</v>
      </c>
      <c r="D7588" s="17" t="s">
        <v>801</v>
      </c>
      <c r="E7588" s="18">
        <v>3005131053007</v>
      </c>
      <c r="G7588" s="20" t="str">
        <f t="shared" si="354"/>
        <v xml:space="preserve"> VERRESAVIATOR   </v>
      </c>
      <c r="H7588" s="20" t="str">
        <f t="shared" si="355"/>
        <v>COULE</v>
      </c>
      <c r="I7588" s="20">
        <f t="shared" si="356"/>
        <v>0</v>
      </c>
    </row>
    <row r="7589" spans="1:9">
      <c r="A7589" s="17" t="s">
        <v>2380</v>
      </c>
      <c r="B7589" s="17" t="s">
        <v>2382</v>
      </c>
      <c r="C7589" s="17">
        <v>0</v>
      </c>
      <c r="D7589" s="17" t="s">
        <v>801</v>
      </c>
      <c r="E7589" s="18">
        <v>3005131052000</v>
      </c>
      <c r="G7589" s="20" t="str">
        <f t="shared" si="354"/>
        <v xml:space="preserve"> VERRESAVIATOR   </v>
      </c>
      <c r="H7589" s="20" t="str">
        <f t="shared" si="355"/>
        <v>METAL</v>
      </c>
      <c r="I7589" s="20">
        <f t="shared" si="356"/>
        <v>0</v>
      </c>
    </row>
    <row r="7590" spans="1:9">
      <c r="A7590" s="17" t="s">
        <v>2380</v>
      </c>
      <c r="B7590" s="17" t="s">
        <v>1453</v>
      </c>
      <c r="C7590" s="17">
        <v>0</v>
      </c>
      <c r="D7590" s="17" t="s">
        <v>801</v>
      </c>
      <c r="E7590" s="18">
        <v>3005130427007</v>
      </c>
      <c r="G7590" s="20" t="str">
        <f t="shared" si="354"/>
        <v xml:space="preserve"> VERRESAVIATOR   </v>
      </c>
      <c r="H7590" s="20" t="str">
        <f t="shared" si="355"/>
        <v xml:space="preserve">UNI  </v>
      </c>
      <c r="I7590" s="20">
        <f t="shared" si="356"/>
        <v>0</v>
      </c>
    </row>
    <row r="7591" spans="1:9">
      <c r="A7591" s="17" t="s">
        <v>2383</v>
      </c>
      <c r="B7591" s="17" t="s">
        <v>1895</v>
      </c>
      <c r="C7591" s="17">
        <v>0</v>
      </c>
      <c r="D7591" s="17" t="s">
        <v>801</v>
      </c>
      <c r="E7591" s="18">
        <v>3003630015007</v>
      </c>
      <c r="G7591" s="20" t="str">
        <f t="shared" si="354"/>
        <v xml:space="preserve"> VISON           </v>
      </c>
      <c r="H7591" s="20" t="str">
        <f t="shared" si="355"/>
        <v xml:space="preserve">BLGM </v>
      </c>
      <c r="I7591" s="20">
        <f t="shared" si="356"/>
        <v>0</v>
      </c>
    </row>
    <row r="7592" spans="1:9">
      <c r="A7592" s="17" t="s">
        <v>2383</v>
      </c>
      <c r="B7592" s="17" t="s">
        <v>1896</v>
      </c>
      <c r="C7592" s="17">
        <v>0</v>
      </c>
      <c r="D7592" s="17" t="s">
        <v>801</v>
      </c>
      <c r="E7592" s="18">
        <v>3003630013003</v>
      </c>
      <c r="G7592" s="20" t="str">
        <f t="shared" si="354"/>
        <v xml:space="preserve"> VISON           </v>
      </c>
      <c r="H7592" s="20" t="str">
        <f t="shared" si="355"/>
        <v xml:space="preserve">BLM  </v>
      </c>
      <c r="I7592" s="20">
        <f t="shared" si="356"/>
        <v>0</v>
      </c>
    </row>
    <row r="7593" spans="1:9">
      <c r="A7593" s="17" t="s">
        <v>2383</v>
      </c>
      <c r="B7593" s="17" t="s">
        <v>2384</v>
      </c>
      <c r="C7593" s="17">
        <v>0</v>
      </c>
      <c r="D7593" s="17" t="s">
        <v>801</v>
      </c>
      <c r="E7593" s="18">
        <v>3003630096006</v>
      </c>
      <c r="G7593" s="20" t="str">
        <f t="shared" si="354"/>
        <v xml:space="preserve"> VISON           </v>
      </c>
      <c r="H7593" s="20" t="str">
        <f t="shared" si="355"/>
        <v>BLMIN</v>
      </c>
      <c r="I7593" s="20">
        <f t="shared" si="356"/>
        <v>0</v>
      </c>
    </row>
    <row r="7594" spans="1:9">
      <c r="A7594" s="17" t="s">
        <v>2383</v>
      </c>
      <c r="B7594" s="17" t="s">
        <v>1675</v>
      </c>
      <c r="C7594" s="17">
        <v>0</v>
      </c>
      <c r="D7594" s="17" t="s">
        <v>801</v>
      </c>
      <c r="E7594" s="18">
        <v>3003630077005</v>
      </c>
      <c r="G7594" s="20" t="str">
        <f t="shared" si="354"/>
        <v xml:space="preserve"> VISON           </v>
      </c>
      <c r="H7594" s="20" t="str">
        <f t="shared" si="355"/>
        <v>BMINK</v>
      </c>
      <c r="I7594" s="20">
        <f t="shared" si="356"/>
        <v>0</v>
      </c>
    </row>
    <row r="7595" spans="1:9">
      <c r="A7595" s="17" t="s">
        <v>2383</v>
      </c>
      <c r="B7595" s="17" t="s">
        <v>1682</v>
      </c>
      <c r="C7595" s="17">
        <v>0</v>
      </c>
      <c r="D7595" s="17" t="s">
        <v>801</v>
      </c>
      <c r="E7595" s="18">
        <v>3003630076008</v>
      </c>
      <c r="G7595" s="20" t="str">
        <f t="shared" si="354"/>
        <v xml:space="preserve"> VISON           </v>
      </c>
      <c r="H7595" s="20" t="str">
        <f t="shared" si="355"/>
        <v>GMINK</v>
      </c>
      <c r="I7595" s="20">
        <f t="shared" si="356"/>
        <v>0</v>
      </c>
    </row>
    <row r="7596" spans="1:9">
      <c r="A7596" s="17" t="s">
        <v>2383</v>
      </c>
      <c r="B7596" s="17" t="s">
        <v>1981</v>
      </c>
      <c r="C7596" s="17">
        <v>0</v>
      </c>
      <c r="D7596" s="17" t="s">
        <v>801</v>
      </c>
      <c r="E7596" s="18">
        <v>3003630095009</v>
      </c>
      <c r="G7596" s="20" t="str">
        <f t="shared" si="354"/>
        <v xml:space="preserve"> VISON           </v>
      </c>
      <c r="H7596" s="20" t="str">
        <f t="shared" si="355"/>
        <v>GRMIN</v>
      </c>
      <c r="I7596" s="20">
        <f t="shared" si="356"/>
        <v>0</v>
      </c>
    </row>
    <row r="7597" spans="1:9">
      <c r="A7597" s="17" t="s">
        <v>2383</v>
      </c>
      <c r="B7597" s="17" t="s">
        <v>859</v>
      </c>
      <c r="C7597" s="17">
        <v>0</v>
      </c>
      <c r="D7597" s="17" t="s">
        <v>801</v>
      </c>
      <c r="E7597" s="18">
        <v>3020790598003</v>
      </c>
      <c r="G7597" s="20" t="str">
        <f t="shared" si="354"/>
        <v xml:space="preserve"> VISON           </v>
      </c>
      <c r="H7597" s="20" t="str">
        <f t="shared" si="355"/>
        <v>NATUR</v>
      </c>
      <c r="I7597" s="20">
        <f t="shared" si="356"/>
        <v>0</v>
      </c>
    </row>
    <row r="7598" spans="1:9">
      <c r="A7598" s="17" t="s">
        <v>2385</v>
      </c>
      <c r="B7598" s="17" t="s">
        <v>280</v>
      </c>
      <c r="C7598" s="17">
        <v>0</v>
      </c>
      <c r="D7598" s="17" t="s">
        <v>801</v>
      </c>
      <c r="E7598" s="18">
        <v>3003680001005</v>
      </c>
      <c r="G7598" s="20" t="str">
        <f t="shared" si="354"/>
        <v xml:space="preserve"> VISON/LAPIN     </v>
      </c>
      <c r="H7598" s="20" t="str">
        <f t="shared" si="355"/>
        <v>BLACK</v>
      </c>
      <c r="I7598" s="20">
        <f t="shared" si="356"/>
        <v>0</v>
      </c>
    </row>
    <row r="7599" spans="1:9">
      <c r="A7599" s="17" t="s">
        <v>2385</v>
      </c>
      <c r="B7599" s="17" t="s">
        <v>810</v>
      </c>
      <c r="C7599" s="17">
        <v>0</v>
      </c>
      <c r="D7599" s="17" t="s">
        <v>801</v>
      </c>
      <c r="E7599" s="18">
        <v>3003680012001</v>
      </c>
      <c r="G7599" s="20" t="str">
        <f t="shared" si="354"/>
        <v xml:space="preserve"> VISON/LAPIN     </v>
      </c>
      <c r="H7599" s="20" t="str">
        <f t="shared" si="355"/>
        <v xml:space="preserve">BLUE </v>
      </c>
      <c r="I7599" s="20">
        <f t="shared" si="356"/>
        <v>0</v>
      </c>
    </row>
    <row r="7600" spans="1:9">
      <c r="A7600" s="17" t="s">
        <v>2385</v>
      </c>
      <c r="B7600" s="17" t="s">
        <v>891</v>
      </c>
      <c r="C7600" s="17">
        <v>0</v>
      </c>
      <c r="D7600" s="17" t="s">
        <v>801</v>
      </c>
      <c r="E7600" s="18">
        <v>3003680063003</v>
      </c>
      <c r="G7600" s="20" t="str">
        <f t="shared" si="354"/>
        <v xml:space="preserve"> VISON/LAPIN     </v>
      </c>
      <c r="H7600" s="20" t="str">
        <f t="shared" si="355"/>
        <v>GREEN</v>
      </c>
      <c r="I7600" s="20">
        <f t="shared" si="356"/>
        <v>0</v>
      </c>
    </row>
    <row r="7601" spans="1:9">
      <c r="A7601" s="17" t="s">
        <v>2385</v>
      </c>
      <c r="B7601" s="17" t="s">
        <v>858</v>
      </c>
      <c r="C7601" s="17">
        <v>0</v>
      </c>
      <c r="D7601" s="17" t="s">
        <v>801</v>
      </c>
      <c r="E7601" s="18">
        <v>3003680003009</v>
      </c>
      <c r="G7601" s="20" t="str">
        <f t="shared" si="354"/>
        <v xml:space="preserve"> VISON/LAPIN     </v>
      </c>
      <c r="H7601" s="20" t="str">
        <f t="shared" si="355"/>
        <v xml:space="preserve">GREY </v>
      </c>
      <c r="I7601" s="20">
        <f t="shared" si="356"/>
        <v>0</v>
      </c>
    </row>
    <row r="7602" spans="1:9">
      <c r="A7602" s="17" t="s">
        <v>2386</v>
      </c>
      <c r="B7602" s="17" t="s">
        <v>280</v>
      </c>
      <c r="C7602" s="17">
        <v>0</v>
      </c>
      <c r="D7602" s="17" t="s">
        <v>801</v>
      </c>
      <c r="E7602" s="18">
        <v>3020810004002</v>
      </c>
      <c r="G7602" s="20" t="str">
        <f t="shared" si="354"/>
        <v xml:space="preserve"> WOOL            </v>
      </c>
      <c r="H7602" s="20" t="str">
        <f t="shared" si="355"/>
        <v>BLACK</v>
      </c>
      <c r="I7602" s="20">
        <f t="shared" si="356"/>
        <v>0</v>
      </c>
    </row>
    <row r="7603" spans="1:9">
      <c r="A7603" s="17" t="s">
        <v>2386</v>
      </c>
      <c r="B7603" s="17" t="s">
        <v>280</v>
      </c>
      <c r="C7603" s="17">
        <v>0</v>
      </c>
      <c r="D7603" s="17" t="s">
        <v>801</v>
      </c>
      <c r="E7603" s="18">
        <v>3003290001006</v>
      </c>
      <c r="G7603" s="20" t="str">
        <f t="shared" si="354"/>
        <v xml:space="preserve"> WOOL            </v>
      </c>
      <c r="H7603" s="20" t="str">
        <f t="shared" si="355"/>
        <v>BLACK</v>
      </c>
      <c r="I7603" s="20">
        <f t="shared" si="356"/>
        <v>0</v>
      </c>
    </row>
    <row r="7604" spans="1:9">
      <c r="A7604" s="17" t="s">
        <v>2386</v>
      </c>
      <c r="B7604" s="17" t="s">
        <v>2387</v>
      </c>
      <c r="C7604" s="17">
        <v>0</v>
      </c>
      <c r="D7604" s="17" t="s">
        <v>801</v>
      </c>
      <c r="E7604" s="18">
        <v>3020810585006</v>
      </c>
      <c r="G7604" s="20" t="str">
        <f t="shared" si="354"/>
        <v xml:space="preserve"> WOOL            </v>
      </c>
      <c r="H7604" s="20" t="str">
        <f t="shared" si="355"/>
        <v>BOUGR</v>
      </c>
      <c r="I7604" s="20">
        <f t="shared" si="356"/>
        <v>0</v>
      </c>
    </row>
    <row r="7605" spans="1:9">
      <c r="A7605" s="17" t="s">
        <v>2386</v>
      </c>
      <c r="B7605" s="17" t="s">
        <v>2387</v>
      </c>
      <c r="C7605" s="17">
        <v>0</v>
      </c>
      <c r="D7605" s="17" t="s">
        <v>801</v>
      </c>
      <c r="E7605" s="18">
        <v>8058983597262</v>
      </c>
      <c r="G7605" s="20" t="str">
        <f t="shared" si="354"/>
        <v xml:space="preserve"> WOOL            </v>
      </c>
      <c r="H7605" s="20" t="str">
        <f t="shared" si="355"/>
        <v>BOUGR</v>
      </c>
      <c r="I7605" s="20">
        <f t="shared" si="356"/>
        <v>0</v>
      </c>
    </row>
    <row r="7606" spans="1:9">
      <c r="A7606" s="17" t="s">
        <v>2386</v>
      </c>
      <c r="B7606" s="17" t="s">
        <v>1330</v>
      </c>
      <c r="C7606" s="17">
        <v>0</v>
      </c>
      <c r="D7606" s="17" t="s">
        <v>801</v>
      </c>
      <c r="E7606" s="18">
        <v>3020810584009</v>
      </c>
      <c r="G7606" s="20" t="str">
        <f t="shared" si="354"/>
        <v xml:space="preserve"> WOOL            </v>
      </c>
      <c r="H7606" s="20" t="str">
        <f t="shared" si="355"/>
        <v>BOUJA</v>
      </c>
      <c r="I7606" s="20">
        <f t="shared" si="356"/>
        <v>0</v>
      </c>
    </row>
    <row r="7607" spans="1:9">
      <c r="A7607" s="17" t="s">
        <v>2386</v>
      </c>
      <c r="B7607" s="17" t="s">
        <v>1330</v>
      </c>
      <c r="C7607" s="17">
        <v>0</v>
      </c>
      <c r="D7607" s="17" t="s">
        <v>801</v>
      </c>
      <c r="E7607" s="18">
        <v>8058983597255</v>
      </c>
      <c r="G7607" s="20" t="str">
        <f t="shared" si="354"/>
        <v xml:space="preserve"> WOOL            </v>
      </c>
      <c r="H7607" s="20" t="str">
        <f t="shared" si="355"/>
        <v>BOUJA</v>
      </c>
      <c r="I7607" s="20">
        <f t="shared" si="356"/>
        <v>0</v>
      </c>
    </row>
    <row r="7608" spans="1:9">
      <c r="A7608" s="17" t="s">
        <v>2386</v>
      </c>
      <c r="B7608" s="17" t="s">
        <v>1331</v>
      </c>
      <c r="C7608" s="17">
        <v>0</v>
      </c>
      <c r="D7608" s="17" t="s">
        <v>801</v>
      </c>
      <c r="E7608" s="18">
        <v>3020810542009</v>
      </c>
      <c r="G7608" s="20" t="str">
        <f t="shared" si="354"/>
        <v xml:space="preserve"> WOOL            </v>
      </c>
      <c r="H7608" s="20" t="str">
        <f t="shared" si="355"/>
        <v>BOUOR</v>
      </c>
      <c r="I7608" s="20">
        <f t="shared" si="356"/>
        <v>0</v>
      </c>
    </row>
    <row r="7609" spans="1:9">
      <c r="A7609" s="17" t="s">
        <v>2386</v>
      </c>
      <c r="B7609" s="17" t="s">
        <v>1331</v>
      </c>
      <c r="C7609" s="17">
        <v>0</v>
      </c>
      <c r="D7609" s="17" t="s">
        <v>801</v>
      </c>
      <c r="E7609" s="18">
        <v>8058983597200</v>
      </c>
      <c r="G7609" s="20" t="str">
        <f t="shared" si="354"/>
        <v xml:space="preserve"> WOOL            </v>
      </c>
      <c r="H7609" s="20" t="str">
        <f t="shared" si="355"/>
        <v>BOUOR</v>
      </c>
      <c r="I7609" s="20">
        <f t="shared" si="356"/>
        <v>0</v>
      </c>
    </row>
    <row r="7610" spans="1:9">
      <c r="A7610" s="17" t="s">
        <v>2386</v>
      </c>
      <c r="B7610" s="17" t="s">
        <v>1331</v>
      </c>
      <c r="C7610" s="17">
        <v>0</v>
      </c>
      <c r="D7610" s="17" t="s">
        <v>801</v>
      </c>
      <c r="E7610" s="18">
        <v>8058983597248</v>
      </c>
      <c r="G7610" s="20" t="str">
        <f t="shared" si="354"/>
        <v xml:space="preserve"> WOOL            </v>
      </c>
      <c r="H7610" s="20" t="str">
        <f t="shared" si="355"/>
        <v>BOUOR</v>
      </c>
      <c r="I7610" s="20">
        <f t="shared" si="356"/>
        <v>0</v>
      </c>
    </row>
    <row r="7611" spans="1:9">
      <c r="A7611" s="17" t="s">
        <v>2386</v>
      </c>
      <c r="B7611" s="17" t="s">
        <v>1292</v>
      </c>
      <c r="C7611" s="17">
        <v>0</v>
      </c>
      <c r="D7611" s="17" t="s">
        <v>801</v>
      </c>
      <c r="E7611" s="18">
        <v>3003801012002</v>
      </c>
      <c r="G7611" s="20" t="str">
        <f t="shared" si="354"/>
        <v xml:space="preserve"> WOOL            </v>
      </c>
      <c r="H7611" s="20" t="str">
        <f t="shared" si="355"/>
        <v>CHABW</v>
      </c>
      <c r="I7611" s="20">
        <f t="shared" si="356"/>
        <v>0</v>
      </c>
    </row>
    <row r="7612" spans="1:9">
      <c r="A7612" s="17" t="s">
        <v>2386</v>
      </c>
      <c r="B7612" s="17" t="s">
        <v>1292</v>
      </c>
      <c r="C7612" s="17">
        <v>0</v>
      </c>
      <c r="D7612" s="17" t="s">
        <v>801</v>
      </c>
      <c r="E7612" s="18">
        <v>8056300454274</v>
      </c>
      <c r="G7612" s="20" t="str">
        <f t="shared" si="354"/>
        <v xml:space="preserve"> WOOL            </v>
      </c>
      <c r="H7612" s="20" t="str">
        <f t="shared" si="355"/>
        <v>CHABW</v>
      </c>
      <c r="I7612" s="20">
        <f t="shared" si="356"/>
        <v>0</v>
      </c>
    </row>
    <row r="7613" spans="1:9">
      <c r="A7613" s="17" t="s">
        <v>2386</v>
      </c>
      <c r="B7613" s="17" t="s">
        <v>938</v>
      </c>
      <c r="C7613" s="17">
        <v>0</v>
      </c>
      <c r="D7613" s="17" t="s">
        <v>801</v>
      </c>
      <c r="E7613" s="18">
        <v>3003801002003</v>
      </c>
      <c r="G7613" s="20" t="str">
        <f t="shared" si="354"/>
        <v xml:space="preserve"> WOOL            </v>
      </c>
      <c r="H7613" s="20" t="str">
        <f t="shared" si="355"/>
        <v>CHADM</v>
      </c>
      <c r="I7613" s="20">
        <f t="shared" si="356"/>
        <v>0</v>
      </c>
    </row>
    <row r="7614" spans="1:9">
      <c r="A7614" s="17" t="s">
        <v>2386</v>
      </c>
      <c r="B7614" s="17" t="s">
        <v>938</v>
      </c>
      <c r="C7614" s="17">
        <v>0</v>
      </c>
      <c r="D7614" s="17" t="s">
        <v>801</v>
      </c>
      <c r="E7614" s="18">
        <v>8056300454267</v>
      </c>
      <c r="G7614" s="20" t="str">
        <f t="shared" si="354"/>
        <v xml:space="preserve"> WOOL            </v>
      </c>
      <c r="H7614" s="20" t="str">
        <f t="shared" si="355"/>
        <v>CHADM</v>
      </c>
      <c r="I7614" s="20">
        <f t="shared" si="356"/>
        <v>0</v>
      </c>
    </row>
    <row r="7615" spans="1:9">
      <c r="A7615" s="17" t="s">
        <v>2386</v>
      </c>
      <c r="B7615" s="17" t="s">
        <v>1924</v>
      </c>
      <c r="C7615" s="17">
        <v>0</v>
      </c>
      <c r="D7615" s="17" t="s">
        <v>801</v>
      </c>
      <c r="E7615" s="18">
        <v>8050538590766</v>
      </c>
      <c r="G7615" s="20" t="str">
        <f t="shared" si="354"/>
        <v xml:space="preserve"> WOOL            </v>
      </c>
      <c r="H7615" s="20" t="str">
        <f t="shared" si="355"/>
        <v>CHADO</v>
      </c>
      <c r="I7615" s="20">
        <f t="shared" si="356"/>
        <v>0</v>
      </c>
    </row>
    <row r="7616" spans="1:9">
      <c r="A7616" s="17" t="s">
        <v>2386</v>
      </c>
      <c r="B7616" s="17" t="s">
        <v>1925</v>
      </c>
      <c r="C7616" s="17">
        <v>0</v>
      </c>
      <c r="D7616" s="17" t="s">
        <v>801</v>
      </c>
      <c r="E7616" s="18">
        <v>8056099179136</v>
      </c>
      <c r="G7616" s="20" t="str">
        <f t="shared" si="354"/>
        <v xml:space="preserve"> WOOL            </v>
      </c>
      <c r="H7616" s="20" t="str">
        <f t="shared" si="355"/>
        <v>CHANO</v>
      </c>
      <c r="I7616" s="20">
        <f t="shared" si="356"/>
        <v>0</v>
      </c>
    </row>
    <row r="7617" spans="1:9">
      <c r="A7617" s="17" t="s">
        <v>2386</v>
      </c>
      <c r="B7617" s="17" t="s">
        <v>1926</v>
      </c>
      <c r="C7617" s="17">
        <v>0</v>
      </c>
      <c r="D7617" s="17" t="s">
        <v>801</v>
      </c>
      <c r="E7617" s="18">
        <v>8056099179891</v>
      </c>
      <c r="G7617" s="20" t="str">
        <f t="shared" si="354"/>
        <v xml:space="preserve"> WOOL            </v>
      </c>
      <c r="H7617" s="20" t="str">
        <f t="shared" si="355"/>
        <v>CHAPH</v>
      </c>
      <c r="I7617" s="20">
        <f t="shared" si="356"/>
        <v>0</v>
      </c>
    </row>
    <row r="7618" spans="1:9">
      <c r="A7618" s="17" t="s">
        <v>2386</v>
      </c>
      <c r="B7618" s="17" t="s">
        <v>1342</v>
      </c>
      <c r="C7618" s="17">
        <v>0</v>
      </c>
      <c r="D7618" s="17" t="s">
        <v>801</v>
      </c>
      <c r="E7618" s="18">
        <v>3003800975001</v>
      </c>
      <c r="G7618" s="20" t="str">
        <f t="shared" si="354"/>
        <v xml:space="preserve"> WOOL            </v>
      </c>
      <c r="H7618" s="20" t="str">
        <f t="shared" si="355"/>
        <v>COTBL</v>
      </c>
      <c r="I7618" s="20">
        <f t="shared" si="356"/>
        <v>0</v>
      </c>
    </row>
    <row r="7619" spans="1:9">
      <c r="A7619" s="17" t="s">
        <v>2386</v>
      </c>
      <c r="B7619" s="17" t="s">
        <v>1342</v>
      </c>
      <c r="C7619" s="17">
        <v>0</v>
      </c>
      <c r="D7619" s="17" t="s">
        <v>801</v>
      </c>
      <c r="E7619" s="18">
        <v>8058983597309</v>
      </c>
      <c r="G7619" s="20" t="str">
        <f t="shared" si="354"/>
        <v xml:space="preserve"> WOOL            </v>
      </c>
      <c r="H7619" s="20" t="str">
        <f t="shared" si="355"/>
        <v>COTBL</v>
      </c>
      <c r="I7619" s="20">
        <f t="shared" si="356"/>
        <v>0</v>
      </c>
    </row>
    <row r="7620" spans="1:9">
      <c r="A7620" s="17" t="s">
        <v>2386</v>
      </c>
      <c r="B7620" s="17" t="s">
        <v>1343</v>
      </c>
      <c r="C7620" s="17">
        <v>0</v>
      </c>
      <c r="D7620" s="17" t="s">
        <v>801</v>
      </c>
      <c r="E7620" s="18">
        <v>3003800976008</v>
      </c>
      <c r="G7620" s="20" t="str">
        <f t="shared" si="354"/>
        <v xml:space="preserve"> WOOL            </v>
      </c>
      <c r="H7620" s="20" t="str">
        <f t="shared" si="355"/>
        <v>COTDO</v>
      </c>
      <c r="I7620" s="20">
        <f t="shared" si="356"/>
        <v>0</v>
      </c>
    </row>
    <row r="7621" spans="1:9">
      <c r="A7621" s="17" t="s">
        <v>2386</v>
      </c>
      <c r="B7621" s="17" t="s">
        <v>1343</v>
      </c>
      <c r="C7621" s="17">
        <v>0</v>
      </c>
      <c r="D7621" s="17" t="s">
        <v>801</v>
      </c>
      <c r="E7621" s="18">
        <v>8058983597316</v>
      </c>
      <c r="G7621" s="20" t="str">
        <f t="shared" ref="G7621:G7668" si="357">A7621</f>
        <v xml:space="preserve"> WOOL            </v>
      </c>
      <c r="H7621" s="20" t="str">
        <f t="shared" ref="H7621:H7668" si="358">B7621</f>
        <v>COTDO</v>
      </c>
      <c r="I7621" s="20">
        <f t="shared" ref="I7621:I7668" si="359">C7621</f>
        <v>0</v>
      </c>
    </row>
    <row r="7622" spans="1:9">
      <c r="A7622" s="17" t="s">
        <v>2386</v>
      </c>
      <c r="B7622" s="17" t="s">
        <v>1344</v>
      </c>
      <c r="C7622" s="17">
        <v>0</v>
      </c>
      <c r="D7622" s="17" t="s">
        <v>801</v>
      </c>
      <c r="E7622" s="18">
        <v>3003800977005</v>
      </c>
      <c r="G7622" s="20" t="str">
        <f t="shared" si="357"/>
        <v xml:space="preserve"> WOOL            </v>
      </c>
      <c r="H7622" s="20" t="str">
        <f t="shared" si="358"/>
        <v>COTWH</v>
      </c>
      <c r="I7622" s="20">
        <f t="shared" si="359"/>
        <v>0</v>
      </c>
    </row>
    <row r="7623" spans="1:9">
      <c r="A7623" s="17" t="s">
        <v>2386</v>
      </c>
      <c r="B7623" s="17" t="s">
        <v>1344</v>
      </c>
      <c r="C7623" s="17">
        <v>0</v>
      </c>
      <c r="D7623" s="17" t="s">
        <v>801</v>
      </c>
      <c r="E7623" s="18">
        <v>8058983597323</v>
      </c>
      <c r="G7623" s="20" t="str">
        <f t="shared" si="357"/>
        <v xml:space="preserve"> WOOL            </v>
      </c>
      <c r="H7623" s="20" t="str">
        <f t="shared" si="358"/>
        <v>COTWH</v>
      </c>
      <c r="I7623" s="20">
        <f t="shared" si="359"/>
        <v>0</v>
      </c>
    </row>
    <row r="7624" spans="1:9">
      <c r="A7624" s="17" t="s">
        <v>2386</v>
      </c>
      <c r="B7624" s="17" t="s">
        <v>819</v>
      </c>
      <c r="C7624" s="17">
        <v>0</v>
      </c>
      <c r="D7624" s="17" t="s">
        <v>801</v>
      </c>
      <c r="E7624" s="18">
        <v>3020810570002</v>
      </c>
      <c r="G7624" s="20" t="str">
        <f t="shared" si="357"/>
        <v xml:space="preserve"> WOOL            </v>
      </c>
      <c r="H7624" s="20" t="str">
        <f t="shared" si="358"/>
        <v xml:space="preserve">DOVE </v>
      </c>
      <c r="I7624" s="20">
        <f t="shared" si="359"/>
        <v>0</v>
      </c>
    </row>
    <row r="7625" spans="1:9">
      <c r="A7625" s="17" t="s">
        <v>2386</v>
      </c>
      <c r="B7625" s="17" t="s">
        <v>858</v>
      </c>
      <c r="C7625" s="17">
        <v>0</v>
      </c>
      <c r="D7625" s="17" t="s">
        <v>801</v>
      </c>
      <c r="E7625" s="18">
        <v>3020810001001</v>
      </c>
      <c r="G7625" s="20" t="str">
        <f t="shared" si="357"/>
        <v xml:space="preserve"> WOOL            </v>
      </c>
      <c r="H7625" s="20" t="str">
        <f t="shared" si="358"/>
        <v xml:space="preserve">GREY </v>
      </c>
      <c r="I7625" s="20">
        <f t="shared" si="359"/>
        <v>0</v>
      </c>
    </row>
    <row r="7626" spans="1:9">
      <c r="A7626" s="17" t="s">
        <v>2386</v>
      </c>
      <c r="B7626" s="17" t="s">
        <v>858</v>
      </c>
      <c r="C7626" s="17">
        <v>0</v>
      </c>
      <c r="D7626" s="17" t="s">
        <v>801</v>
      </c>
      <c r="E7626" s="18">
        <v>3003290003000</v>
      </c>
      <c r="G7626" s="20" t="str">
        <f t="shared" si="357"/>
        <v xml:space="preserve"> WOOL            </v>
      </c>
      <c r="H7626" s="20" t="str">
        <f t="shared" si="358"/>
        <v xml:space="preserve">GREY </v>
      </c>
      <c r="I7626" s="20">
        <f t="shared" si="359"/>
        <v>0</v>
      </c>
    </row>
    <row r="7627" spans="1:9">
      <c r="A7627" s="17" t="s">
        <v>2386</v>
      </c>
      <c r="B7627" s="17" t="s">
        <v>1039</v>
      </c>
      <c r="C7627" s="17">
        <v>0</v>
      </c>
      <c r="D7627" s="17" t="s">
        <v>801</v>
      </c>
      <c r="E7627" s="18">
        <v>3003800980005</v>
      </c>
      <c r="G7627" s="20" t="str">
        <f t="shared" si="357"/>
        <v xml:space="preserve"> WOOL            </v>
      </c>
      <c r="H7627" s="20" t="str">
        <f t="shared" si="358"/>
        <v>JACBL</v>
      </c>
      <c r="I7627" s="20">
        <f t="shared" si="359"/>
        <v>0</v>
      </c>
    </row>
    <row r="7628" spans="1:9">
      <c r="A7628" s="17" t="s">
        <v>2386</v>
      </c>
      <c r="B7628" s="17" t="s">
        <v>1039</v>
      </c>
      <c r="C7628" s="17">
        <v>0</v>
      </c>
      <c r="D7628" s="17" t="s">
        <v>801</v>
      </c>
      <c r="E7628" s="18">
        <v>8058983597293</v>
      </c>
      <c r="G7628" s="20" t="str">
        <f t="shared" si="357"/>
        <v xml:space="preserve"> WOOL            </v>
      </c>
      <c r="H7628" s="20" t="str">
        <f t="shared" si="358"/>
        <v>JACBL</v>
      </c>
      <c r="I7628" s="20">
        <f t="shared" si="359"/>
        <v>0</v>
      </c>
    </row>
    <row r="7629" spans="1:9">
      <c r="A7629" s="17" t="s">
        <v>2386</v>
      </c>
      <c r="B7629" s="17" t="s">
        <v>2388</v>
      </c>
      <c r="C7629" s="17">
        <v>0</v>
      </c>
      <c r="D7629" s="17" t="s">
        <v>801</v>
      </c>
      <c r="E7629" s="18">
        <v>3003800981002</v>
      </c>
      <c r="G7629" s="20" t="str">
        <f t="shared" si="357"/>
        <v xml:space="preserve"> WOOL            </v>
      </c>
      <c r="H7629" s="20" t="str">
        <f t="shared" si="358"/>
        <v>JAQOR</v>
      </c>
      <c r="I7629" s="20">
        <f t="shared" si="359"/>
        <v>0</v>
      </c>
    </row>
    <row r="7630" spans="1:9">
      <c r="A7630" s="17" t="s">
        <v>2386</v>
      </c>
      <c r="B7630" s="17" t="s">
        <v>2388</v>
      </c>
      <c r="C7630" s="17">
        <v>0</v>
      </c>
      <c r="D7630" s="17" t="s">
        <v>801</v>
      </c>
      <c r="E7630" s="18">
        <v>8058983597286</v>
      </c>
      <c r="G7630" s="20" t="str">
        <f t="shared" si="357"/>
        <v xml:space="preserve"> WOOL            </v>
      </c>
      <c r="H7630" s="20" t="str">
        <f t="shared" si="358"/>
        <v>JAQOR</v>
      </c>
      <c r="I7630" s="20">
        <f t="shared" si="359"/>
        <v>0</v>
      </c>
    </row>
    <row r="7631" spans="1:9">
      <c r="A7631" s="17" t="s">
        <v>2386</v>
      </c>
      <c r="B7631" s="17" t="s">
        <v>2389</v>
      </c>
      <c r="C7631" s="17">
        <v>0</v>
      </c>
      <c r="D7631" s="17" t="s">
        <v>801</v>
      </c>
      <c r="E7631" s="18">
        <v>3020810595005</v>
      </c>
      <c r="G7631" s="20" t="str">
        <f t="shared" si="357"/>
        <v xml:space="preserve"> WOOL            </v>
      </c>
      <c r="H7631" s="20" t="str">
        <f t="shared" si="358"/>
        <v>MOUDO</v>
      </c>
      <c r="I7631" s="20">
        <f t="shared" si="359"/>
        <v>0</v>
      </c>
    </row>
    <row r="7632" spans="1:9">
      <c r="A7632" s="17" t="s">
        <v>2386</v>
      </c>
      <c r="B7632" s="17" t="s">
        <v>2390</v>
      </c>
      <c r="C7632" s="17">
        <v>0</v>
      </c>
      <c r="D7632" s="17" t="s">
        <v>801</v>
      </c>
      <c r="E7632" s="18">
        <v>3020810594008</v>
      </c>
      <c r="G7632" s="20" t="str">
        <f t="shared" si="357"/>
        <v xml:space="preserve"> WOOL            </v>
      </c>
      <c r="H7632" s="20" t="str">
        <f t="shared" si="358"/>
        <v>MOUGR</v>
      </c>
      <c r="I7632" s="20">
        <f t="shared" si="359"/>
        <v>0</v>
      </c>
    </row>
    <row r="7633" spans="1:9">
      <c r="A7633" s="17" t="s">
        <v>2386</v>
      </c>
      <c r="B7633" s="17" t="s">
        <v>2390</v>
      </c>
      <c r="C7633" s="17">
        <v>0</v>
      </c>
      <c r="D7633" s="17" t="s">
        <v>801</v>
      </c>
      <c r="E7633" s="18">
        <v>8058983597347</v>
      </c>
      <c r="G7633" s="20" t="str">
        <f t="shared" si="357"/>
        <v xml:space="preserve"> WOOL            </v>
      </c>
      <c r="H7633" s="20" t="str">
        <f t="shared" si="358"/>
        <v>MOUGR</v>
      </c>
      <c r="I7633" s="20">
        <f t="shared" si="359"/>
        <v>0</v>
      </c>
    </row>
    <row r="7634" spans="1:9">
      <c r="A7634" s="17" t="s">
        <v>2386</v>
      </c>
      <c r="B7634" s="17" t="s">
        <v>2391</v>
      </c>
      <c r="C7634" s="17">
        <v>0</v>
      </c>
      <c r="D7634" s="17" t="s">
        <v>801</v>
      </c>
      <c r="E7634" s="18">
        <v>3020810593001</v>
      </c>
      <c r="G7634" s="20" t="str">
        <f t="shared" si="357"/>
        <v xml:space="preserve"> WOOL            </v>
      </c>
      <c r="H7634" s="20" t="str">
        <f t="shared" si="358"/>
        <v>MOUOR</v>
      </c>
      <c r="I7634" s="20">
        <f t="shared" si="359"/>
        <v>0</v>
      </c>
    </row>
    <row r="7635" spans="1:9">
      <c r="A7635" s="17" t="s">
        <v>2386</v>
      </c>
      <c r="B7635" s="17" t="s">
        <v>2391</v>
      </c>
      <c r="C7635" s="17">
        <v>0</v>
      </c>
      <c r="D7635" s="17" t="s">
        <v>801</v>
      </c>
      <c r="E7635" s="18">
        <v>8058983597330</v>
      </c>
      <c r="G7635" s="20" t="str">
        <f t="shared" si="357"/>
        <v xml:space="preserve"> WOOL            </v>
      </c>
      <c r="H7635" s="20" t="str">
        <f t="shared" si="358"/>
        <v>MOUOR</v>
      </c>
      <c r="I7635" s="20">
        <f t="shared" si="359"/>
        <v>0</v>
      </c>
    </row>
    <row r="7636" spans="1:9">
      <c r="A7636" s="17" t="s">
        <v>2386</v>
      </c>
      <c r="B7636" s="17" t="s">
        <v>2392</v>
      </c>
      <c r="C7636" s="17">
        <v>0</v>
      </c>
      <c r="D7636" s="17" t="s">
        <v>801</v>
      </c>
      <c r="E7636" s="18">
        <v>3003800972000</v>
      </c>
      <c r="G7636" s="20" t="str">
        <f t="shared" si="357"/>
        <v xml:space="preserve"> WOOL            </v>
      </c>
      <c r="H7636" s="20" t="str">
        <f t="shared" si="358"/>
        <v>MOUPO</v>
      </c>
      <c r="I7636" s="20">
        <f t="shared" si="359"/>
        <v>0</v>
      </c>
    </row>
    <row r="7637" spans="1:9">
      <c r="A7637" s="17" t="s">
        <v>2386</v>
      </c>
      <c r="B7637" s="17" t="s">
        <v>2392</v>
      </c>
      <c r="C7637" s="17">
        <v>0</v>
      </c>
      <c r="D7637" s="17" t="s">
        <v>801</v>
      </c>
      <c r="E7637" s="18">
        <v>3020810664008</v>
      </c>
      <c r="G7637" s="20" t="str">
        <f t="shared" si="357"/>
        <v xml:space="preserve"> WOOL            </v>
      </c>
      <c r="H7637" s="20" t="str">
        <f t="shared" si="358"/>
        <v>MOUPO</v>
      </c>
      <c r="I7637" s="20">
        <f t="shared" si="359"/>
        <v>0</v>
      </c>
    </row>
    <row r="7638" spans="1:9">
      <c r="A7638" s="17" t="s">
        <v>2386</v>
      </c>
      <c r="B7638" s="17" t="s">
        <v>2392</v>
      </c>
      <c r="C7638" s="17">
        <v>0</v>
      </c>
      <c r="D7638" s="17" t="s">
        <v>801</v>
      </c>
      <c r="E7638" s="18">
        <v>8058983597354</v>
      </c>
      <c r="G7638" s="20" t="str">
        <f t="shared" si="357"/>
        <v xml:space="preserve"> WOOL            </v>
      </c>
      <c r="H7638" s="20" t="str">
        <f t="shared" si="358"/>
        <v>MOUPO</v>
      </c>
      <c r="I7638" s="20">
        <f t="shared" si="359"/>
        <v>0</v>
      </c>
    </row>
    <row r="7639" spans="1:9">
      <c r="A7639" s="17" t="s">
        <v>2386</v>
      </c>
      <c r="B7639" s="17" t="s">
        <v>2393</v>
      </c>
      <c r="C7639" s="17">
        <v>0</v>
      </c>
      <c r="D7639" s="17" t="s">
        <v>801</v>
      </c>
      <c r="E7639" s="18">
        <v>3020810596002</v>
      </c>
      <c r="G7639" s="20" t="str">
        <f t="shared" si="357"/>
        <v xml:space="preserve"> WOOL            </v>
      </c>
      <c r="H7639" s="20" t="str">
        <f t="shared" si="358"/>
        <v>MOUTE</v>
      </c>
      <c r="I7639" s="20">
        <f t="shared" si="359"/>
        <v>0</v>
      </c>
    </row>
    <row r="7640" spans="1:9">
      <c r="A7640" s="17" t="s">
        <v>2386</v>
      </c>
      <c r="B7640" s="17" t="s">
        <v>2393</v>
      </c>
      <c r="C7640" s="17">
        <v>0</v>
      </c>
      <c r="D7640" s="17" t="s">
        <v>801</v>
      </c>
      <c r="E7640" s="18">
        <v>8058983597361</v>
      </c>
      <c r="G7640" s="20" t="str">
        <f t="shared" si="357"/>
        <v xml:space="preserve"> WOOL            </v>
      </c>
      <c r="H7640" s="20" t="str">
        <f t="shared" si="358"/>
        <v>MOUTE</v>
      </c>
      <c r="I7640" s="20">
        <f t="shared" si="359"/>
        <v>0</v>
      </c>
    </row>
    <row r="7641" spans="1:9">
      <c r="A7641" s="17" t="s">
        <v>2386</v>
      </c>
      <c r="B7641" s="17" t="s">
        <v>971</v>
      </c>
      <c r="C7641" s="17">
        <v>0</v>
      </c>
      <c r="D7641" s="17" t="s">
        <v>801</v>
      </c>
      <c r="E7641" s="18">
        <v>8050846001329</v>
      </c>
      <c r="G7641" s="20" t="str">
        <f t="shared" si="357"/>
        <v xml:space="preserve"> WOOL            </v>
      </c>
      <c r="H7641" s="20" t="str">
        <f t="shared" si="358"/>
        <v>OTTAN</v>
      </c>
      <c r="I7641" s="20">
        <f t="shared" si="359"/>
        <v>0</v>
      </c>
    </row>
    <row r="7642" spans="1:9">
      <c r="A7642" s="17" t="s">
        <v>2386</v>
      </c>
      <c r="B7642" s="17" t="s">
        <v>971</v>
      </c>
      <c r="C7642" s="17">
        <v>0</v>
      </c>
      <c r="D7642" s="17" t="s">
        <v>801</v>
      </c>
      <c r="E7642" s="18">
        <v>8050538591961</v>
      </c>
      <c r="G7642" s="20" t="str">
        <f t="shared" si="357"/>
        <v xml:space="preserve"> WOOL            </v>
      </c>
      <c r="H7642" s="20" t="str">
        <f t="shared" si="358"/>
        <v>OTTAN</v>
      </c>
      <c r="I7642" s="20">
        <f t="shared" si="359"/>
        <v>0</v>
      </c>
    </row>
    <row r="7643" spans="1:9">
      <c r="A7643" s="17" t="s">
        <v>2386</v>
      </c>
      <c r="B7643" s="17" t="s">
        <v>2394</v>
      </c>
      <c r="C7643" s="17">
        <v>0</v>
      </c>
      <c r="D7643" s="17" t="s">
        <v>801</v>
      </c>
      <c r="E7643" s="18">
        <v>3003801040005</v>
      </c>
      <c r="G7643" s="20" t="str">
        <f t="shared" si="357"/>
        <v xml:space="preserve"> WOOL            </v>
      </c>
      <c r="H7643" s="20" t="str">
        <f t="shared" si="358"/>
        <v>TFBEI</v>
      </c>
      <c r="I7643" s="20">
        <f t="shared" si="359"/>
        <v>0</v>
      </c>
    </row>
    <row r="7644" spans="1:9">
      <c r="A7644" s="17" t="s">
        <v>2386</v>
      </c>
      <c r="B7644" s="17" t="s">
        <v>2394</v>
      </c>
      <c r="C7644" s="17">
        <v>0</v>
      </c>
      <c r="D7644" s="17" t="s">
        <v>801</v>
      </c>
      <c r="E7644" s="18">
        <v>8056300454328</v>
      </c>
      <c r="G7644" s="20" t="str">
        <f t="shared" si="357"/>
        <v xml:space="preserve"> WOOL            </v>
      </c>
      <c r="H7644" s="20" t="str">
        <f t="shared" si="358"/>
        <v>TFBEI</v>
      </c>
      <c r="I7644" s="20">
        <f t="shared" si="359"/>
        <v>0</v>
      </c>
    </row>
    <row r="7645" spans="1:9">
      <c r="A7645" s="17" t="s">
        <v>2386</v>
      </c>
      <c r="B7645" s="17" t="s">
        <v>2395</v>
      </c>
      <c r="C7645" s="17">
        <v>0</v>
      </c>
      <c r="D7645" s="17" t="s">
        <v>801</v>
      </c>
      <c r="E7645" s="18">
        <v>3003801042009</v>
      </c>
      <c r="G7645" s="20" t="str">
        <f t="shared" si="357"/>
        <v xml:space="preserve"> WOOL            </v>
      </c>
      <c r="H7645" s="20" t="str">
        <f t="shared" si="358"/>
        <v>TFBLU</v>
      </c>
      <c r="I7645" s="20">
        <f t="shared" si="359"/>
        <v>0</v>
      </c>
    </row>
    <row r="7646" spans="1:9">
      <c r="A7646" s="17" t="s">
        <v>2386</v>
      </c>
      <c r="B7646" s="17" t="s">
        <v>2395</v>
      </c>
      <c r="C7646" s="17">
        <v>0</v>
      </c>
      <c r="D7646" s="17" t="s">
        <v>801</v>
      </c>
      <c r="E7646" s="18">
        <v>8056300454342</v>
      </c>
      <c r="G7646" s="20" t="str">
        <f t="shared" si="357"/>
        <v xml:space="preserve"> WOOL            </v>
      </c>
      <c r="H7646" s="20" t="str">
        <f t="shared" si="358"/>
        <v>TFBLU</v>
      </c>
      <c r="I7646" s="20">
        <f t="shared" si="359"/>
        <v>0</v>
      </c>
    </row>
    <row r="7647" spans="1:9">
      <c r="A7647" s="17" t="s">
        <v>2386</v>
      </c>
      <c r="B7647" s="17" t="s">
        <v>2396</v>
      </c>
      <c r="C7647" s="17">
        <v>0</v>
      </c>
      <c r="D7647" s="17" t="s">
        <v>801</v>
      </c>
      <c r="E7647" s="18">
        <v>3003801041002</v>
      </c>
      <c r="G7647" s="20" t="str">
        <f t="shared" si="357"/>
        <v xml:space="preserve"> WOOL            </v>
      </c>
      <c r="H7647" s="20" t="str">
        <f t="shared" si="358"/>
        <v>TFWBL</v>
      </c>
      <c r="I7647" s="20">
        <f t="shared" si="359"/>
        <v>0</v>
      </c>
    </row>
    <row r="7648" spans="1:9">
      <c r="A7648" s="17" t="s">
        <v>2386</v>
      </c>
      <c r="B7648" s="17" t="s">
        <v>2396</v>
      </c>
      <c r="C7648" s="17">
        <v>0</v>
      </c>
      <c r="D7648" s="17" t="s">
        <v>801</v>
      </c>
      <c r="E7648" s="18">
        <v>8056300454335</v>
      </c>
      <c r="G7648" s="20" t="str">
        <f t="shared" si="357"/>
        <v xml:space="preserve"> WOOL            </v>
      </c>
      <c r="H7648" s="20" t="str">
        <f t="shared" si="358"/>
        <v>TFWBL</v>
      </c>
      <c r="I7648" s="20">
        <f t="shared" si="359"/>
        <v>0</v>
      </c>
    </row>
    <row r="7649" spans="1:9">
      <c r="A7649" s="17" t="s">
        <v>2386</v>
      </c>
      <c r="B7649" s="17" t="s">
        <v>2397</v>
      </c>
      <c r="C7649" s="17">
        <v>0</v>
      </c>
      <c r="D7649" s="17" t="s">
        <v>801</v>
      </c>
      <c r="E7649" s="18">
        <v>3020810169008</v>
      </c>
      <c r="G7649" s="20" t="str">
        <f t="shared" si="357"/>
        <v xml:space="preserve"> WOOL            </v>
      </c>
      <c r="H7649" s="20" t="str">
        <f t="shared" si="358"/>
        <v>TORBL</v>
      </c>
      <c r="I7649" s="20">
        <f t="shared" si="359"/>
        <v>0</v>
      </c>
    </row>
    <row r="7650" spans="1:9">
      <c r="A7650" s="17" t="s">
        <v>2386</v>
      </c>
      <c r="B7650" s="17" t="s">
        <v>2398</v>
      </c>
      <c r="C7650" s="17">
        <v>0</v>
      </c>
      <c r="D7650" s="17" t="s">
        <v>801</v>
      </c>
      <c r="E7650" s="18">
        <v>3020810170004</v>
      </c>
      <c r="G7650" s="20" t="str">
        <f t="shared" si="357"/>
        <v xml:space="preserve"> WOOL            </v>
      </c>
      <c r="H7650" s="20" t="str">
        <f t="shared" si="358"/>
        <v>TORGR</v>
      </c>
      <c r="I7650" s="20">
        <f t="shared" si="359"/>
        <v>0</v>
      </c>
    </row>
    <row r="7651" spans="1:9">
      <c r="A7651" s="17" t="s">
        <v>2386</v>
      </c>
      <c r="B7651" s="17" t="s">
        <v>2399</v>
      </c>
      <c r="C7651" s="17">
        <v>0</v>
      </c>
      <c r="D7651" s="17" t="s">
        <v>801</v>
      </c>
      <c r="E7651" s="18">
        <v>3020810168001</v>
      </c>
      <c r="G7651" s="20" t="str">
        <f t="shared" si="357"/>
        <v xml:space="preserve"> WOOL            </v>
      </c>
      <c r="H7651" s="20" t="str">
        <f t="shared" si="358"/>
        <v>TORNA</v>
      </c>
      <c r="I7651" s="20">
        <f t="shared" si="359"/>
        <v>0</v>
      </c>
    </row>
    <row r="7652" spans="1:9">
      <c r="A7652" s="17" t="s">
        <v>2386</v>
      </c>
      <c r="B7652" s="17" t="s">
        <v>2400</v>
      </c>
      <c r="C7652" s="17">
        <v>0</v>
      </c>
      <c r="D7652" s="17" t="s">
        <v>801</v>
      </c>
      <c r="E7652" s="18">
        <v>3003801043006</v>
      </c>
      <c r="G7652" s="20" t="str">
        <f t="shared" si="357"/>
        <v xml:space="preserve"> WOOL            </v>
      </c>
      <c r="H7652" s="20" t="str">
        <f t="shared" si="358"/>
        <v>TREBO</v>
      </c>
      <c r="I7652" s="20">
        <f t="shared" si="359"/>
        <v>0</v>
      </c>
    </row>
    <row r="7653" spans="1:9">
      <c r="A7653" s="17" t="s">
        <v>2386</v>
      </c>
      <c r="B7653" s="17" t="s">
        <v>2400</v>
      </c>
      <c r="C7653" s="17">
        <v>0</v>
      </c>
      <c r="D7653" s="17" t="s">
        <v>801</v>
      </c>
      <c r="E7653" s="18">
        <v>8056300454366</v>
      </c>
      <c r="G7653" s="20" t="str">
        <f t="shared" si="357"/>
        <v xml:space="preserve"> WOOL            </v>
      </c>
      <c r="H7653" s="20" t="str">
        <f t="shared" si="358"/>
        <v>TREBO</v>
      </c>
      <c r="I7653" s="20">
        <f t="shared" si="359"/>
        <v>0</v>
      </c>
    </row>
    <row r="7654" spans="1:9">
      <c r="A7654" s="17" t="s">
        <v>2386</v>
      </c>
      <c r="B7654" s="17" t="s">
        <v>2401</v>
      </c>
      <c r="C7654" s="17">
        <v>0</v>
      </c>
      <c r="D7654" s="17" t="s">
        <v>801</v>
      </c>
      <c r="E7654" s="18">
        <v>3003801044003</v>
      </c>
      <c r="G7654" s="20" t="str">
        <f t="shared" si="357"/>
        <v xml:space="preserve"> WOOL            </v>
      </c>
      <c r="H7654" s="20" t="str">
        <f t="shared" si="358"/>
        <v>TREBU</v>
      </c>
      <c r="I7654" s="20">
        <f t="shared" si="359"/>
        <v>0</v>
      </c>
    </row>
    <row r="7655" spans="1:9">
      <c r="A7655" s="17" t="s">
        <v>2386</v>
      </c>
      <c r="B7655" s="17" t="s">
        <v>2401</v>
      </c>
      <c r="C7655" s="17">
        <v>0</v>
      </c>
      <c r="D7655" s="17" t="s">
        <v>801</v>
      </c>
      <c r="E7655" s="18">
        <v>8056300454373</v>
      </c>
      <c r="G7655" s="20" t="str">
        <f t="shared" si="357"/>
        <v xml:space="preserve"> WOOL            </v>
      </c>
      <c r="H7655" s="20" t="str">
        <f t="shared" si="358"/>
        <v>TREBU</v>
      </c>
      <c r="I7655" s="20">
        <f t="shared" si="359"/>
        <v>0</v>
      </c>
    </row>
    <row r="7656" spans="1:9">
      <c r="A7656" s="17" t="s">
        <v>2386</v>
      </c>
      <c r="B7656" s="17" t="s">
        <v>2402</v>
      </c>
      <c r="C7656" s="17">
        <v>0</v>
      </c>
      <c r="D7656" s="17" t="s">
        <v>801</v>
      </c>
      <c r="E7656" s="18">
        <v>8056099179112</v>
      </c>
      <c r="G7656" s="20" t="str">
        <f t="shared" si="357"/>
        <v xml:space="preserve"> WOOL            </v>
      </c>
      <c r="H7656" s="20" t="str">
        <f t="shared" si="358"/>
        <v>TREDO</v>
      </c>
      <c r="I7656" s="20">
        <f t="shared" si="359"/>
        <v>0</v>
      </c>
    </row>
    <row r="7657" spans="1:9">
      <c r="A7657" s="17" t="s">
        <v>2386</v>
      </c>
      <c r="B7657" s="17" t="s">
        <v>2403</v>
      </c>
      <c r="C7657" s="17">
        <v>0</v>
      </c>
      <c r="D7657" s="17" t="s">
        <v>801</v>
      </c>
      <c r="E7657" s="18">
        <v>8050538590803</v>
      </c>
      <c r="G7657" s="20" t="str">
        <f t="shared" si="357"/>
        <v xml:space="preserve"> WOOL            </v>
      </c>
      <c r="H7657" s="20" t="str">
        <f t="shared" si="358"/>
        <v>TRELA</v>
      </c>
      <c r="I7657" s="20">
        <f t="shared" si="359"/>
        <v>0</v>
      </c>
    </row>
    <row r="7658" spans="1:9">
      <c r="A7658" s="17" t="s">
        <v>2386</v>
      </c>
      <c r="B7658" s="17" t="s">
        <v>2404</v>
      </c>
      <c r="C7658" s="17">
        <v>0</v>
      </c>
      <c r="D7658" s="17" t="s">
        <v>801</v>
      </c>
      <c r="E7658" s="18">
        <v>8056099179556</v>
      </c>
      <c r="G7658" s="20" t="str">
        <f t="shared" si="357"/>
        <v xml:space="preserve"> WOOL            </v>
      </c>
      <c r="H7658" s="20" t="str">
        <f t="shared" si="358"/>
        <v>TRENO</v>
      </c>
      <c r="I7658" s="20">
        <f t="shared" si="359"/>
        <v>0</v>
      </c>
    </row>
    <row r="7659" spans="1:9">
      <c r="A7659" s="17" t="s">
        <v>2386</v>
      </c>
      <c r="B7659" s="17" t="s">
        <v>1279</v>
      </c>
      <c r="C7659" s="17">
        <v>0</v>
      </c>
      <c r="D7659" s="17" t="s">
        <v>801</v>
      </c>
      <c r="E7659" s="18">
        <v>3003801045000</v>
      </c>
      <c r="G7659" s="20" t="str">
        <f t="shared" si="357"/>
        <v xml:space="preserve"> WOOL            </v>
      </c>
      <c r="H7659" s="20" t="str">
        <f t="shared" si="358"/>
        <v>TRESA</v>
      </c>
      <c r="I7659" s="20">
        <f t="shared" si="359"/>
        <v>0</v>
      </c>
    </row>
    <row r="7660" spans="1:9">
      <c r="A7660" s="17" t="s">
        <v>2386</v>
      </c>
      <c r="B7660" s="17" t="s">
        <v>1279</v>
      </c>
      <c r="C7660" s="17">
        <v>0</v>
      </c>
      <c r="D7660" s="17" t="s">
        <v>801</v>
      </c>
      <c r="E7660" s="18">
        <v>8056300454359</v>
      </c>
      <c r="G7660" s="20" t="str">
        <f t="shared" si="357"/>
        <v xml:space="preserve"> WOOL            </v>
      </c>
      <c r="H7660" s="20" t="str">
        <f t="shared" si="358"/>
        <v>TRESA</v>
      </c>
      <c r="I7660" s="20">
        <f t="shared" si="359"/>
        <v>0</v>
      </c>
    </row>
    <row r="7661" spans="1:9">
      <c r="A7661" s="17" t="s">
        <v>2386</v>
      </c>
      <c r="B7661" s="17" t="s">
        <v>2405</v>
      </c>
      <c r="C7661" s="17">
        <v>0</v>
      </c>
      <c r="D7661" s="17" t="s">
        <v>801</v>
      </c>
      <c r="E7661" s="18">
        <v>3003801011005</v>
      </c>
      <c r="G7661" s="20" t="str">
        <f t="shared" si="357"/>
        <v xml:space="preserve"> WOOL            </v>
      </c>
      <c r="H7661" s="20" t="str">
        <f t="shared" si="358"/>
        <v>TRIBO</v>
      </c>
      <c r="I7661" s="20">
        <f t="shared" si="359"/>
        <v>0</v>
      </c>
    </row>
    <row r="7662" spans="1:9">
      <c r="A7662" s="17" t="s">
        <v>2386</v>
      </c>
      <c r="B7662" s="17" t="s">
        <v>2405</v>
      </c>
      <c r="C7662" s="17">
        <v>0</v>
      </c>
      <c r="D7662" s="17" t="s">
        <v>801</v>
      </c>
      <c r="E7662" s="18">
        <v>8056300455318</v>
      </c>
      <c r="G7662" s="20" t="str">
        <f t="shared" si="357"/>
        <v xml:space="preserve"> WOOL            </v>
      </c>
      <c r="H7662" s="20" t="str">
        <f t="shared" si="358"/>
        <v>TRIBO</v>
      </c>
      <c r="I7662" s="20">
        <f t="shared" si="359"/>
        <v>0</v>
      </c>
    </row>
    <row r="7663" spans="1:9">
      <c r="A7663" s="17" t="s">
        <v>2386</v>
      </c>
      <c r="B7663" s="17" t="s">
        <v>2406</v>
      </c>
      <c r="C7663" s="17">
        <v>0</v>
      </c>
      <c r="D7663" s="17" t="s">
        <v>801</v>
      </c>
      <c r="E7663" s="18">
        <v>3003801010008</v>
      </c>
      <c r="G7663" s="20" t="str">
        <f t="shared" si="357"/>
        <v xml:space="preserve"> WOOL            </v>
      </c>
      <c r="H7663" s="20" t="str">
        <f t="shared" si="358"/>
        <v>TRIVE</v>
      </c>
      <c r="I7663" s="20">
        <f t="shared" si="359"/>
        <v>0</v>
      </c>
    </row>
    <row r="7664" spans="1:9">
      <c r="A7664" s="17" t="s">
        <v>2386</v>
      </c>
      <c r="B7664" s="17" t="s">
        <v>2406</v>
      </c>
      <c r="C7664" s="17">
        <v>0</v>
      </c>
      <c r="D7664" s="17" t="s">
        <v>801</v>
      </c>
      <c r="E7664" s="18">
        <v>8056300455301</v>
      </c>
      <c r="G7664" s="20" t="str">
        <f t="shared" si="357"/>
        <v xml:space="preserve"> WOOL            </v>
      </c>
      <c r="H7664" s="20" t="str">
        <f t="shared" si="358"/>
        <v>TRIVE</v>
      </c>
      <c r="I7664" s="20">
        <f t="shared" si="359"/>
        <v>0</v>
      </c>
    </row>
    <row r="7665" spans="1:9">
      <c r="A7665" s="17" t="s">
        <v>2386</v>
      </c>
      <c r="B7665" s="17" t="s">
        <v>2407</v>
      </c>
      <c r="C7665" s="17">
        <v>0</v>
      </c>
      <c r="D7665" s="17" t="s">
        <v>801</v>
      </c>
      <c r="E7665" s="18">
        <v>3020810244002</v>
      </c>
      <c r="G7665" s="20" t="str">
        <f t="shared" si="357"/>
        <v xml:space="preserve"> WOOL            </v>
      </c>
      <c r="H7665" s="20" t="str">
        <f t="shared" si="358"/>
        <v xml:space="preserve">TWEB </v>
      </c>
      <c r="I7665" s="20">
        <f t="shared" si="359"/>
        <v>0</v>
      </c>
    </row>
    <row r="7666" spans="1:9">
      <c r="A7666" s="17" t="s">
        <v>2386</v>
      </c>
      <c r="B7666" s="17" t="s">
        <v>2408</v>
      </c>
      <c r="C7666" s="17">
        <v>0</v>
      </c>
      <c r="D7666" s="17" t="s">
        <v>801</v>
      </c>
      <c r="E7666" s="18">
        <v>3020810245009</v>
      </c>
      <c r="G7666" s="20" t="str">
        <f t="shared" si="357"/>
        <v xml:space="preserve"> WOOL            </v>
      </c>
      <c r="H7666" s="20" t="str">
        <f t="shared" si="358"/>
        <v xml:space="preserve">TWEG </v>
      </c>
      <c r="I7666" s="20">
        <f t="shared" si="359"/>
        <v>0</v>
      </c>
    </row>
    <row r="7667" spans="1:9">
      <c r="A7667" s="17" t="s">
        <v>2386</v>
      </c>
      <c r="B7667" s="17" t="s">
        <v>273</v>
      </c>
      <c r="C7667" s="17">
        <v>0</v>
      </c>
      <c r="D7667" s="17" t="s">
        <v>801</v>
      </c>
      <c r="E7667" s="18">
        <v>3020810002008</v>
      </c>
      <c r="G7667" s="20" t="str">
        <f t="shared" si="357"/>
        <v xml:space="preserve"> WOOL            </v>
      </c>
      <c r="H7667" s="20" t="str">
        <f t="shared" si="358"/>
        <v>WHITE</v>
      </c>
      <c r="I7667" s="20">
        <f t="shared" si="359"/>
        <v>0</v>
      </c>
    </row>
    <row r="7668" spans="1:9">
      <c r="A7668" s="17" t="s">
        <v>2386</v>
      </c>
      <c r="B7668" s="17" t="s">
        <v>273</v>
      </c>
      <c r="C7668" s="17">
        <v>0</v>
      </c>
      <c r="D7668" s="17" t="s">
        <v>801</v>
      </c>
      <c r="E7668" s="18">
        <v>3003290004007</v>
      </c>
      <c r="G7668" s="20" t="str">
        <f t="shared" si="357"/>
        <v xml:space="preserve"> WOOL            </v>
      </c>
      <c r="H7668" s="20" t="str">
        <f t="shared" si="358"/>
        <v>WHITE</v>
      </c>
      <c r="I7668" s="20">
        <f t="shared" si="359"/>
        <v>0</v>
      </c>
    </row>
    <row r="7669" spans="1:9">
      <c r="A7669" s="17" t="s">
        <v>2409</v>
      </c>
    </row>
    <row r="7670" spans="1:9">
      <c r="A7670" s="17" t="s">
        <v>2410</v>
      </c>
    </row>
  </sheetData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 enableFormatConditionsCalculation="0"/>
  <dimension ref="A1:B78"/>
  <sheetViews>
    <sheetView topLeftCell="A52" workbookViewId="0">
      <selection activeCell="I65" sqref="I65"/>
    </sheetView>
  </sheetViews>
  <sheetFormatPr baseColWidth="10" defaultRowHeight="15" x14ac:dyDescent="0"/>
  <cols>
    <col min="1" max="16384" width="10.83203125" style="10"/>
  </cols>
  <sheetData>
    <row r="1" spans="1:2">
      <c r="A1" s="9" t="s">
        <v>266</v>
      </c>
      <c r="B1" s="9" t="s">
        <v>267</v>
      </c>
    </row>
    <row r="3" spans="1:2">
      <c r="A3" s="11">
        <v>1</v>
      </c>
      <c r="B3" s="10" t="s">
        <v>268</v>
      </c>
    </row>
    <row r="4" spans="1:2">
      <c r="A4" s="11">
        <v>2</v>
      </c>
      <c r="B4" s="10" t="s">
        <v>269</v>
      </c>
    </row>
    <row r="5" spans="1:2">
      <c r="A5" s="11">
        <v>3</v>
      </c>
      <c r="B5" s="12"/>
    </row>
    <row r="6" spans="1:2">
      <c r="A6" s="11">
        <v>4</v>
      </c>
      <c r="B6" s="12" t="s">
        <v>270</v>
      </c>
    </row>
    <row r="7" spans="1:2">
      <c r="A7" s="11">
        <v>5</v>
      </c>
      <c r="B7" s="12" t="s">
        <v>271</v>
      </c>
    </row>
    <row r="8" spans="1:2">
      <c r="A8" s="11">
        <v>6</v>
      </c>
      <c r="B8" s="12" t="s">
        <v>272</v>
      </c>
    </row>
    <row r="9" spans="1:2">
      <c r="A9" s="11">
        <v>8</v>
      </c>
      <c r="B9" s="12" t="s">
        <v>273</v>
      </c>
    </row>
    <row r="10" spans="1:2">
      <c r="A10" s="11">
        <v>9</v>
      </c>
      <c r="B10" s="12"/>
    </row>
    <row r="11" spans="1:2">
      <c r="A11" s="11">
        <v>11</v>
      </c>
      <c r="B11" s="12"/>
    </row>
    <row r="12" spans="1:2">
      <c r="A12" s="11">
        <v>15</v>
      </c>
      <c r="B12" s="12" t="s">
        <v>274</v>
      </c>
    </row>
    <row r="13" spans="1:2">
      <c r="A13" s="11">
        <v>17</v>
      </c>
      <c r="B13" s="12" t="s">
        <v>275</v>
      </c>
    </row>
    <row r="14" spans="1:2">
      <c r="A14" s="11">
        <v>18</v>
      </c>
      <c r="B14" s="12" t="s">
        <v>276</v>
      </c>
    </row>
    <row r="15" spans="1:2">
      <c r="A15" s="11">
        <v>20</v>
      </c>
      <c r="B15" s="12"/>
    </row>
    <row r="16" spans="1:2">
      <c r="A16" s="11">
        <v>25</v>
      </c>
      <c r="B16" s="12"/>
    </row>
    <row r="17" spans="1:2">
      <c r="A17" s="11">
        <v>26</v>
      </c>
      <c r="B17" s="12"/>
    </row>
    <row r="18" spans="1:2">
      <c r="A18" s="11">
        <v>28</v>
      </c>
      <c r="B18" s="12"/>
    </row>
    <row r="19" spans="1:2">
      <c r="A19" s="11">
        <v>38</v>
      </c>
      <c r="B19" s="12"/>
    </row>
    <row r="20" spans="1:2">
      <c r="A20" s="11">
        <v>39</v>
      </c>
      <c r="B20" s="12" t="s">
        <v>277</v>
      </c>
    </row>
    <row r="21" spans="1:2">
      <c r="A21" s="11">
        <v>40</v>
      </c>
      <c r="B21" s="12"/>
    </row>
    <row r="22" spans="1:2">
      <c r="A22" s="11">
        <v>44</v>
      </c>
      <c r="B22" s="12" t="s">
        <v>278</v>
      </c>
    </row>
    <row r="23" spans="1:2">
      <c r="A23" s="11">
        <v>50</v>
      </c>
      <c r="B23" s="12"/>
    </row>
    <row r="24" spans="1:2">
      <c r="A24" s="11">
        <v>53</v>
      </c>
      <c r="B24" s="12" t="s">
        <v>279</v>
      </c>
    </row>
    <row r="25" spans="1:2">
      <c r="A25" s="11">
        <v>54</v>
      </c>
      <c r="B25" s="12"/>
    </row>
    <row r="26" spans="1:2">
      <c r="A26" s="11">
        <v>55</v>
      </c>
      <c r="B26" s="12" t="s">
        <v>280</v>
      </c>
    </row>
    <row r="27" spans="1:2">
      <c r="A27" s="11">
        <v>61</v>
      </c>
      <c r="B27" s="12" t="s">
        <v>281</v>
      </c>
    </row>
    <row r="28" spans="1:2">
      <c r="A28" s="11">
        <v>63</v>
      </c>
      <c r="B28" s="12"/>
    </row>
    <row r="29" spans="1:2">
      <c r="A29" s="11">
        <v>66</v>
      </c>
      <c r="B29" s="12" t="s">
        <v>282</v>
      </c>
    </row>
    <row r="30" spans="1:2">
      <c r="A30" s="11">
        <v>67</v>
      </c>
      <c r="B30" s="12" t="s">
        <v>283</v>
      </c>
    </row>
    <row r="31" spans="1:2">
      <c r="A31" s="11">
        <v>68</v>
      </c>
      <c r="B31" s="12" t="s">
        <v>284</v>
      </c>
    </row>
    <row r="32" spans="1:2">
      <c r="A32" s="11">
        <v>71</v>
      </c>
      <c r="B32" s="12" t="s">
        <v>285</v>
      </c>
    </row>
    <row r="33" spans="1:2">
      <c r="A33" s="11">
        <v>72</v>
      </c>
      <c r="B33" s="12"/>
    </row>
    <row r="34" spans="1:2">
      <c r="A34" s="11">
        <v>75</v>
      </c>
      <c r="B34" s="12"/>
    </row>
    <row r="35" spans="1:2">
      <c r="A35" s="11">
        <v>76</v>
      </c>
      <c r="B35" s="12"/>
    </row>
    <row r="36" spans="1:2">
      <c r="A36" s="11">
        <v>78</v>
      </c>
      <c r="B36" s="12" t="s">
        <v>286</v>
      </c>
    </row>
    <row r="37" spans="1:2">
      <c r="A37" s="11">
        <v>80</v>
      </c>
      <c r="B37" s="12" t="s">
        <v>287</v>
      </c>
    </row>
    <row r="38" spans="1:2">
      <c r="A38" s="11">
        <v>82</v>
      </c>
      <c r="B38" s="12"/>
    </row>
    <row r="39" spans="1:2">
      <c r="A39" s="11">
        <v>84</v>
      </c>
      <c r="B39" s="12" t="s">
        <v>288</v>
      </c>
    </row>
    <row r="40" spans="1:2">
      <c r="A40" s="11">
        <v>86</v>
      </c>
      <c r="B40" s="12"/>
    </row>
    <row r="41" spans="1:2">
      <c r="A41" s="11">
        <v>88</v>
      </c>
      <c r="B41" s="12"/>
    </row>
    <row r="42" spans="1:2">
      <c r="A42" s="11">
        <v>92</v>
      </c>
      <c r="B42" s="12" t="s">
        <v>289</v>
      </c>
    </row>
    <row r="43" spans="1:2">
      <c r="A43" s="11">
        <v>93</v>
      </c>
      <c r="B43" s="12"/>
    </row>
    <row r="44" spans="1:2">
      <c r="A44" s="11">
        <v>95</v>
      </c>
      <c r="B44" s="12" t="s">
        <v>290</v>
      </c>
    </row>
    <row r="45" spans="1:2">
      <c r="A45" s="11">
        <v>97</v>
      </c>
      <c r="B45" s="12"/>
    </row>
    <row r="46" spans="1:2">
      <c r="A46" s="11">
        <v>108</v>
      </c>
      <c r="B46" s="12" t="s">
        <v>291</v>
      </c>
    </row>
    <row r="47" spans="1:2">
      <c r="A47" s="11">
        <v>119</v>
      </c>
      <c r="B47" s="12" t="s">
        <v>292</v>
      </c>
    </row>
    <row r="48" spans="1:2">
      <c r="A48" s="11">
        <v>120</v>
      </c>
      <c r="B48" s="12"/>
    </row>
    <row r="49" spans="1:2">
      <c r="A49" s="11">
        <v>125</v>
      </c>
      <c r="B49" s="12"/>
    </row>
    <row r="50" spans="1:2">
      <c r="A50" s="11">
        <v>132</v>
      </c>
      <c r="B50" s="12" t="s">
        <v>293</v>
      </c>
    </row>
    <row r="51" spans="1:2">
      <c r="A51" s="11">
        <v>131</v>
      </c>
      <c r="B51" s="12" t="s">
        <v>294</v>
      </c>
    </row>
    <row r="52" spans="1:2">
      <c r="A52" s="11">
        <v>132</v>
      </c>
      <c r="B52" s="12" t="s">
        <v>293</v>
      </c>
    </row>
    <row r="53" spans="1:2">
      <c r="A53" s="11">
        <v>133</v>
      </c>
      <c r="B53" s="12" t="s">
        <v>295</v>
      </c>
    </row>
    <row r="54" spans="1:2">
      <c r="A54" s="11">
        <v>134</v>
      </c>
      <c r="B54" s="12"/>
    </row>
    <row r="55" spans="1:2">
      <c r="A55" s="11">
        <v>135</v>
      </c>
      <c r="B55" s="12"/>
    </row>
    <row r="56" spans="1:2">
      <c r="A56" s="11">
        <v>136</v>
      </c>
      <c r="B56" s="12" t="s">
        <v>296</v>
      </c>
    </row>
    <row r="57" spans="1:2">
      <c r="A57" s="11">
        <v>137</v>
      </c>
      <c r="B57" s="12" t="s">
        <v>297</v>
      </c>
    </row>
    <row r="58" spans="1:2">
      <c r="A58" s="11">
        <v>139</v>
      </c>
      <c r="B58" s="12" t="s">
        <v>298</v>
      </c>
    </row>
    <row r="59" spans="1:2">
      <c r="A59" s="11">
        <v>143</v>
      </c>
      <c r="B59" s="12" t="s">
        <v>299</v>
      </c>
    </row>
    <row r="60" spans="1:2">
      <c r="A60" s="11">
        <v>144</v>
      </c>
      <c r="B60" s="12" t="s">
        <v>300</v>
      </c>
    </row>
    <row r="61" spans="1:2">
      <c r="A61" s="11">
        <v>154</v>
      </c>
      <c r="B61" s="12" t="s">
        <v>301</v>
      </c>
    </row>
    <row r="62" spans="1:2">
      <c r="A62" s="11">
        <v>158</v>
      </c>
      <c r="B62" s="12" t="s">
        <v>302</v>
      </c>
    </row>
    <row r="63" spans="1:2">
      <c r="A63" s="11">
        <v>216</v>
      </c>
      <c r="B63" s="12" t="s">
        <v>303</v>
      </c>
    </row>
    <row r="64" spans="1:2">
      <c r="A64" s="11">
        <v>221</v>
      </c>
      <c r="B64" s="12"/>
    </row>
    <row r="65" spans="1:2">
      <c r="A65" s="11">
        <v>227</v>
      </c>
      <c r="B65" s="12"/>
    </row>
    <row r="66" spans="1:2">
      <c r="A66" s="11">
        <v>231</v>
      </c>
      <c r="B66" s="12"/>
    </row>
    <row r="67" spans="1:2">
      <c r="A67" s="11">
        <v>232</v>
      </c>
      <c r="B67" s="12"/>
    </row>
    <row r="68" spans="1:2">
      <c r="A68" s="11">
        <v>308</v>
      </c>
      <c r="B68" s="12"/>
    </row>
    <row r="69" spans="1:2">
      <c r="A69" s="11">
        <v>348</v>
      </c>
      <c r="B69" s="12" t="s">
        <v>304</v>
      </c>
    </row>
    <row r="70" spans="1:2">
      <c r="A70" s="11">
        <v>371</v>
      </c>
      <c r="B70" s="12" t="s">
        <v>305</v>
      </c>
    </row>
    <row r="71" spans="1:2">
      <c r="A71" s="11">
        <v>379</v>
      </c>
      <c r="B71" s="12"/>
    </row>
    <row r="72" spans="1:2">
      <c r="A72" s="11">
        <v>422</v>
      </c>
      <c r="B72" s="12" t="s">
        <v>306</v>
      </c>
    </row>
    <row r="73" spans="1:2">
      <c r="A73" s="11">
        <v>423</v>
      </c>
      <c r="B73" s="12"/>
    </row>
    <row r="74" spans="1:2">
      <c r="A74" s="11">
        <v>424</v>
      </c>
      <c r="B74" s="12"/>
    </row>
    <row r="75" spans="1:2">
      <c r="A75" s="11">
        <v>426</v>
      </c>
      <c r="B75" s="12"/>
    </row>
    <row r="76" spans="1:2">
      <c r="A76" s="11">
        <v>429</v>
      </c>
      <c r="B76" s="12"/>
    </row>
    <row r="77" spans="1:2">
      <c r="A77" s="11">
        <v>430</v>
      </c>
      <c r="B77" s="12"/>
    </row>
    <row r="78" spans="1:2">
      <c r="A78" s="11">
        <v>530</v>
      </c>
      <c r="B78" s="12"/>
    </row>
  </sheetData>
  <pageMargins left="0.75000000000000011" right="0.75000000000000011" top="1" bottom="1" header="0.5" footer="0.5"/>
  <pageSetup paperSize="9" orientation="portrait" horizontalDpi="4294967292" verticalDpi="4294967292"/>
  <headerFooter>
    <oddFooter>&amp;L&amp;"Calibri,Normal"&amp;K000000&amp;F &amp;A&amp;R&amp;"Calibri,Normal"&amp;K000000&amp;P / &amp;N - &amp;D &amp;T</oddFooter>
  </headerFooter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 enableFormatConditionsCalculation="0">
    <pageSetUpPr fitToPage="1"/>
  </sheetPr>
  <dimension ref="A3:C643"/>
  <sheetViews>
    <sheetView workbookViewId="0">
      <selection activeCell="A20" sqref="A20"/>
    </sheetView>
  </sheetViews>
  <sheetFormatPr baseColWidth="10" defaultRowHeight="14" x14ac:dyDescent="0"/>
  <cols>
    <col min="1" max="1" width="81.5" customWidth="1"/>
    <col min="2" max="2" width="12.83203125" customWidth="1"/>
    <col min="3" max="3" width="15.1640625" customWidth="1"/>
    <col min="4" max="4" width="62.6640625" customWidth="1"/>
    <col min="5" max="5" width="62.33203125" customWidth="1"/>
    <col min="6" max="6" width="61.6640625" customWidth="1"/>
    <col min="7" max="7" width="67.6640625" customWidth="1"/>
    <col min="8" max="8" width="63.1640625" bestFit="1" customWidth="1"/>
    <col min="9" max="9" width="64.1640625" customWidth="1"/>
    <col min="10" max="10" width="74.83203125" customWidth="1"/>
    <col min="11" max="11" width="62" customWidth="1"/>
    <col min="12" max="12" width="62.83203125" customWidth="1"/>
    <col min="13" max="13" width="58.1640625" customWidth="1"/>
    <col min="14" max="14" width="59" customWidth="1"/>
    <col min="15" max="15" width="58.1640625" customWidth="1"/>
    <col min="16" max="16" width="5" customWidth="1"/>
    <col min="17" max="17" width="12.83203125" customWidth="1"/>
    <col min="18" max="18" width="74.83203125" customWidth="1"/>
    <col min="19" max="19" width="12.83203125" customWidth="1"/>
    <col min="20" max="20" width="62" customWidth="1"/>
    <col min="21" max="21" width="12.83203125" customWidth="1"/>
    <col min="22" max="22" width="62.83203125" customWidth="1"/>
    <col min="23" max="23" width="12.83203125" customWidth="1"/>
    <col min="24" max="24" width="58.1640625" customWidth="1"/>
    <col min="25" max="25" width="12.83203125" customWidth="1"/>
    <col min="26" max="26" width="59" bestFit="1" customWidth="1"/>
    <col min="27" max="27" width="12.83203125" customWidth="1"/>
    <col min="28" max="28" width="58.1640625" bestFit="1" customWidth="1"/>
    <col min="29" max="29" width="12.83203125" customWidth="1"/>
    <col min="30" max="30" width="15.83203125" customWidth="1"/>
    <col min="31" max="31" width="17" customWidth="1"/>
    <col min="32" max="32" width="54.83203125" bestFit="1" customWidth="1"/>
    <col min="33" max="33" width="12.83203125" customWidth="1"/>
    <col min="34" max="34" width="52.83203125" bestFit="1" customWidth="1"/>
    <col min="35" max="35" width="12.83203125" customWidth="1"/>
    <col min="36" max="36" width="50.83203125" bestFit="1" customWidth="1"/>
    <col min="37" max="37" width="12.83203125" customWidth="1"/>
    <col min="38" max="38" width="47.5" customWidth="1"/>
    <col min="39" max="39" width="12.83203125" customWidth="1"/>
    <col min="40" max="40" width="47.1640625" bestFit="1" customWidth="1"/>
    <col min="41" max="41" width="12.83203125" customWidth="1"/>
    <col min="42" max="42" width="46.5" customWidth="1"/>
    <col min="43" max="43" width="12.83203125" customWidth="1"/>
    <col min="44" max="44" width="52.5" customWidth="1"/>
    <col min="45" max="45" width="12.83203125" customWidth="1"/>
    <col min="46" max="46" width="48" bestFit="1" customWidth="1"/>
    <col min="47" max="47" width="12.83203125" customWidth="1"/>
    <col min="48" max="48" width="49.33203125" bestFit="1" customWidth="1"/>
    <col min="49" max="49" width="12.83203125" customWidth="1"/>
    <col min="50" max="50" width="48.83203125" bestFit="1" customWidth="1"/>
    <col min="51" max="51" width="12.83203125" customWidth="1"/>
    <col min="52" max="52" width="46.5" customWidth="1"/>
    <col min="53" max="53" width="12.83203125" customWidth="1"/>
    <col min="54" max="54" width="45" customWidth="1"/>
    <col min="55" max="55" width="12.83203125" customWidth="1"/>
    <col min="56" max="56" width="46" customWidth="1"/>
    <col min="57" max="57" width="12.83203125" customWidth="1"/>
    <col min="58" max="58" width="46.5" bestFit="1" customWidth="1"/>
    <col min="59" max="59" width="12.83203125" customWidth="1"/>
    <col min="60" max="60" width="50.1640625" bestFit="1" customWidth="1"/>
    <col min="61" max="61" width="12.83203125" customWidth="1"/>
    <col min="62" max="62" width="45" bestFit="1" customWidth="1"/>
    <col min="63" max="63" width="12.83203125" customWidth="1"/>
    <col min="64" max="64" width="44.6640625" bestFit="1" customWidth="1"/>
    <col min="65" max="65" width="12.83203125" customWidth="1"/>
    <col min="66" max="66" width="44.1640625" customWidth="1"/>
    <col min="67" max="67" width="12.83203125" customWidth="1"/>
    <col min="68" max="68" width="44" customWidth="1"/>
    <col min="69" max="69" width="12.83203125" customWidth="1"/>
    <col min="70" max="70" width="45.5" customWidth="1"/>
    <col min="71" max="71" width="12.83203125" customWidth="1"/>
    <col min="72" max="72" width="74.6640625" bestFit="1" customWidth="1"/>
    <col min="73" max="73" width="12.83203125" customWidth="1"/>
    <col min="74" max="74" width="53.33203125" customWidth="1"/>
    <col min="75" max="75" width="12.83203125" customWidth="1"/>
    <col min="76" max="76" width="49.83203125" customWidth="1"/>
    <col min="77" max="77" width="12.83203125" customWidth="1"/>
    <col min="78" max="78" width="46.6640625" customWidth="1"/>
    <col min="79" max="79" width="12.83203125" customWidth="1"/>
    <col min="80" max="80" width="43.33203125" customWidth="1"/>
    <col min="81" max="81" width="12.83203125" customWidth="1"/>
    <col min="82" max="82" width="48" customWidth="1"/>
    <col min="83" max="83" width="12.83203125" customWidth="1"/>
    <col min="84" max="84" width="44.33203125" customWidth="1"/>
    <col min="85" max="85" width="12.83203125" customWidth="1"/>
    <col min="86" max="86" width="60.33203125" customWidth="1"/>
    <col min="87" max="87" width="12.83203125" customWidth="1"/>
    <col min="88" max="88" width="50.1640625" customWidth="1"/>
    <col min="89" max="89" width="12.83203125" customWidth="1"/>
    <col min="90" max="90" width="45" customWidth="1"/>
    <col min="91" max="91" width="12.83203125" customWidth="1"/>
    <col min="92" max="92" width="44.5" customWidth="1"/>
    <col min="93" max="93" width="12.83203125" customWidth="1"/>
    <col min="94" max="94" width="44.1640625" customWidth="1"/>
    <col min="95" max="95" width="12.83203125" customWidth="1"/>
    <col min="96" max="96" width="44" customWidth="1"/>
    <col min="97" max="97" width="12.83203125" customWidth="1"/>
    <col min="98" max="98" width="45.5" customWidth="1"/>
    <col min="99" max="99" width="12.83203125" customWidth="1"/>
    <col min="100" max="100" width="68.83203125" bestFit="1" customWidth="1"/>
    <col min="101" max="101" width="12.83203125" customWidth="1"/>
    <col min="102" max="102" width="68" bestFit="1" customWidth="1"/>
    <col min="103" max="103" width="12.83203125" customWidth="1"/>
    <col min="104" max="104" width="76.6640625" bestFit="1" customWidth="1"/>
    <col min="105" max="105" width="12.83203125" customWidth="1"/>
    <col min="106" max="106" width="48.33203125" bestFit="1" customWidth="1"/>
    <col min="107" max="107" width="12.83203125" customWidth="1"/>
    <col min="108" max="108" width="66.1640625" bestFit="1" customWidth="1"/>
    <col min="109" max="109" width="12.83203125" customWidth="1"/>
    <col min="110" max="110" width="63.1640625" bestFit="1" customWidth="1"/>
    <col min="111" max="111" width="12.83203125" customWidth="1"/>
    <col min="112" max="112" width="37.33203125" customWidth="1"/>
    <col min="113" max="113" width="12.83203125" customWidth="1"/>
    <col min="114" max="114" width="37.1640625" customWidth="1"/>
    <col min="115" max="115" width="12.83203125" customWidth="1"/>
    <col min="116" max="116" width="32.1640625" customWidth="1"/>
    <col min="117" max="117" width="12.83203125" customWidth="1"/>
    <col min="118" max="118" width="31.6640625" customWidth="1"/>
    <col min="119" max="119" width="12.83203125" customWidth="1"/>
    <col min="120" max="120" width="31.33203125" customWidth="1"/>
    <col min="121" max="121" width="12.83203125" customWidth="1"/>
    <col min="122" max="122" width="31.1640625" customWidth="1"/>
    <col min="123" max="123" width="12.83203125" customWidth="1"/>
    <col min="124" max="124" width="32.6640625" bestFit="1" customWidth="1"/>
    <col min="125" max="125" width="12.83203125" customWidth="1"/>
    <col min="126" max="126" width="34" customWidth="1"/>
    <col min="127" max="127" width="12.83203125" customWidth="1"/>
    <col min="128" max="128" width="53" bestFit="1" customWidth="1"/>
    <col min="129" max="129" width="12.83203125" customWidth="1"/>
    <col min="130" max="130" width="56.1640625" bestFit="1" customWidth="1"/>
    <col min="131" max="131" width="12.83203125" customWidth="1"/>
    <col min="132" max="132" width="54.33203125" bestFit="1" customWidth="1"/>
    <col min="133" max="133" width="12.83203125" customWidth="1"/>
    <col min="134" max="134" width="48" customWidth="1"/>
    <col min="135" max="135" width="12.83203125" customWidth="1"/>
    <col min="136" max="136" width="47.6640625" customWidth="1"/>
    <col min="137" max="137" width="12.83203125" customWidth="1"/>
    <col min="138" max="138" width="53.6640625" bestFit="1" customWidth="1"/>
    <col min="139" max="139" width="12.83203125" customWidth="1"/>
    <col min="140" max="140" width="50.1640625" customWidth="1"/>
    <col min="141" max="141" width="12.83203125" customWidth="1"/>
    <col min="142" max="142" width="37.83203125" customWidth="1"/>
    <col min="143" max="143" width="12.83203125" customWidth="1"/>
    <col min="144" max="144" width="75.1640625" bestFit="1" customWidth="1"/>
    <col min="145" max="145" width="12.83203125" customWidth="1"/>
    <col min="146" max="146" width="64.6640625" bestFit="1" customWidth="1"/>
    <col min="147" max="147" width="12.83203125" customWidth="1"/>
    <col min="148" max="148" width="54.33203125" bestFit="1" customWidth="1"/>
    <col min="149" max="149" width="12.83203125" customWidth="1"/>
    <col min="150" max="150" width="69" bestFit="1" customWidth="1"/>
    <col min="151" max="151" width="12.83203125" customWidth="1"/>
    <col min="152" max="152" width="69.1640625" bestFit="1" customWidth="1"/>
    <col min="153" max="153" width="12.83203125" customWidth="1"/>
    <col min="154" max="154" width="71.6640625" bestFit="1" customWidth="1"/>
    <col min="155" max="155" width="12.83203125" customWidth="1"/>
    <col min="156" max="156" width="72.1640625" bestFit="1" customWidth="1"/>
    <col min="157" max="157" width="12.83203125" customWidth="1"/>
    <col min="158" max="158" width="73.5" bestFit="1" customWidth="1"/>
    <col min="159" max="159" width="12.83203125" customWidth="1"/>
    <col min="160" max="160" width="50.6640625" bestFit="1" customWidth="1"/>
    <col min="161" max="161" width="12.83203125" customWidth="1"/>
    <col min="162" max="162" width="50.5" bestFit="1" customWidth="1"/>
    <col min="163" max="163" width="12.83203125" customWidth="1"/>
    <col min="164" max="164" width="49.5" bestFit="1" customWidth="1"/>
    <col min="165" max="165" width="12.83203125" customWidth="1"/>
    <col min="166" max="166" width="51" bestFit="1" customWidth="1"/>
    <col min="167" max="167" width="12.83203125" customWidth="1"/>
    <col min="168" max="168" width="52.33203125" bestFit="1" customWidth="1"/>
    <col min="169" max="169" width="12.83203125" customWidth="1"/>
    <col min="170" max="170" width="76" bestFit="1" customWidth="1"/>
    <col min="171" max="171" width="12.83203125" customWidth="1"/>
    <col min="172" max="172" width="75.5" bestFit="1" customWidth="1"/>
    <col min="173" max="173" width="12.83203125" customWidth="1"/>
    <col min="174" max="174" width="65.83203125" bestFit="1" customWidth="1"/>
    <col min="175" max="175" width="12.83203125" customWidth="1"/>
    <col min="176" max="176" width="70.33203125" bestFit="1" customWidth="1"/>
    <col min="177" max="177" width="12.83203125" customWidth="1"/>
    <col min="178" max="178" width="66.83203125" bestFit="1" customWidth="1"/>
    <col min="179" max="179" width="12.83203125" customWidth="1"/>
    <col min="180" max="180" width="67" bestFit="1" customWidth="1"/>
    <col min="181" max="181" width="12.83203125" customWidth="1"/>
    <col min="182" max="182" width="66.5" bestFit="1" customWidth="1"/>
    <col min="183" max="183" width="12.83203125" customWidth="1"/>
    <col min="184" max="184" width="66" bestFit="1" customWidth="1"/>
    <col min="185" max="185" width="12.83203125" customWidth="1"/>
    <col min="186" max="186" width="67.5" bestFit="1" customWidth="1"/>
    <col min="187" max="187" width="12.83203125" customWidth="1"/>
    <col min="188" max="188" width="68.83203125" bestFit="1" customWidth="1"/>
    <col min="189" max="189" width="12.83203125" customWidth="1"/>
    <col min="190" max="190" width="60.33203125" bestFit="1" customWidth="1"/>
    <col min="191" max="191" width="12.83203125" customWidth="1"/>
    <col min="192" max="192" width="60.83203125" bestFit="1" customWidth="1"/>
    <col min="193" max="193" width="12.83203125" customWidth="1"/>
    <col min="194" max="194" width="49" bestFit="1" customWidth="1"/>
    <col min="195" max="195" width="12.83203125" customWidth="1"/>
    <col min="196" max="196" width="51.33203125" bestFit="1" customWidth="1"/>
    <col min="197" max="197" width="12.83203125" customWidth="1"/>
    <col min="198" max="198" width="40.6640625" bestFit="1" customWidth="1"/>
    <col min="199" max="199" width="12.83203125" customWidth="1"/>
    <col min="200" max="200" width="50.5" bestFit="1" customWidth="1"/>
    <col min="201" max="201" width="12.83203125" customWidth="1"/>
    <col min="202" max="202" width="48.1640625" bestFit="1" customWidth="1"/>
    <col min="203" max="203" width="12.83203125" customWidth="1"/>
    <col min="204" max="204" width="76.1640625" bestFit="1" customWidth="1"/>
    <col min="205" max="205" width="12.83203125" customWidth="1"/>
    <col min="206" max="206" width="61.1640625" bestFit="1" customWidth="1"/>
    <col min="207" max="207" width="12.83203125" customWidth="1"/>
    <col min="208" max="208" width="46.5" customWidth="1"/>
    <col min="209" max="209" width="12.83203125" customWidth="1"/>
    <col min="210" max="210" width="41.1640625" bestFit="1" customWidth="1"/>
    <col min="211" max="211" width="12.83203125" customWidth="1"/>
    <col min="212" max="212" width="44.33203125" bestFit="1" customWidth="1"/>
    <col min="213" max="213" width="12.83203125" customWidth="1"/>
    <col min="214" max="214" width="40.83203125" bestFit="1" customWidth="1"/>
    <col min="215" max="215" width="12.83203125" customWidth="1"/>
    <col min="216" max="216" width="40.33203125" customWidth="1"/>
    <col min="217" max="217" width="12.83203125" customWidth="1"/>
    <col min="218" max="218" width="40.1640625" bestFit="1" customWidth="1"/>
    <col min="219" max="219" width="12.83203125" customWidth="1"/>
    <col min="220" max="220" width="46.1640625" bestFit="1" customWidth="1"/>
    <col min="221" max="221" width="12.83203125" customWidth="1"/>
    <col min="222" max="222" width="41.6640625" customWidth="1"/>
    <col min="223" max="223" width="12.83203125" customWidth="1"/>
    <col min="224" max="224" width="40.83203125" bestFit="1" customWidth="1"/>
    <col min="225" max="225" width="12.83203125" customWidth="1"/>
    <col min="226" max="226" width="42.5" bestFit="1" customWidth="1"/>
    <col min="227" max="227" width="12.83203125" customWidth="1"/>
    <col min="228" max="228" width="41.1640625" bestFit="1" customWidth="1"/>
    <col min="229" max="229" width="12.83203125" customWidth="1"/>
    <col min="230" max="230" width="42.5" bestFit="1" customWidth="1"/>
    <col min="231" max="231" width="12.83203125" customWidth="1"/>
    <col min="232" max="232" width="53.6640625" bestFit="1" customWidth="1"/>
    <col min="233" max="233" width="12.83203125" customWidth="1"/>
    <col min="234" max="234" width="59" bestFit="1" customWidth="1"/>
    <col min="235" max="235" width="12.83203125" customWidth="1"/>
    <col min="236" max="236" width="55.33203125" bestFit="1" customWidth="1"/>
    <col min="237" max="237" width="12.83203125" customWidth="1"/>
    <col min="238" max="238" width="37.6640625" customWidth="1"/>
    <col min="239" max="239" width="12.83203125" customWidth="1"/>
    <col min="240" max="240" width="32.33203125" customWidth="1"/>
    <col min="241" max="241" width="12.83203125" customWidth="1"/>
    <col min="242" max="242" width="35.6640625" customWidth="1"/>
    <col min="243" max="243" width="12.83203125" customWidth="1"/>
    <col min="244" max="244" width="39" customWidth="1"/>
    <col min="245" max="245" width="12.83203125" customWidth="1"/>
    <col min="246" max="246" width="32" customWidth="1"/>
    <col min="247" max="247" width="12.83203125" customWidth="1"/>
    <col min="248" max="248" width="31.6640625" customWidth="1"/>
    <col min="249" max="249" width="12.83203125" customWidth="1"/>
    <col min="250" max="250" width="37.33203125" customWidth="1"/>
    <col min="251" max="251" width="12.83203125" customWidth="1"/>
    <col min="252" max="252" width="33" customWidth="1"/>
    <col min="253" max="253" width="12.83203125" customWidth="1"/>
    <col min="254" max="254" width="32" customWidth="1"/>
    <col min="255" max="255" width="12.83203125" customWidth="1"/>
    <col min="256" max="256" width="34.33203125" customWidth="1"/>
    <col min="257" max="257" width="12.83203125" customWidth="1"/>
    <col min="258" max="258" width="33.83203125" customWidth="1"/>
    <col min="259" max="259" width="12.83203125" customWidth="1"/>
    <col min="260" max="260" width="32.5" customWidth="1"/>
    <col min="261" max="261" width="12.83203125" customWidth="1"/>
    <col min="262" max="262" width="33.83203125" customWidth="1"/>
    <col min="263" max="263" width="12.83203125" customWidth="1"/>
    <col min="264" max="264" width="54.6640625" bestFit="1" customWidth="1"/>
    <col min="265" max="265" width="12.83203125" customWidth="1"/>
    <col min="266" max="266" width="49.33203125" customWidth="1"/>
    <col min="267" max="267" width="12.83203125" customWidth="1"/>
    <col min="268" max="268" width="49" bestFit="1" customWidth="1"/>
    <col min="269" max="269" width="12.83203125" customWidth="1"/>
    <col min="270" max="270" width="48.6640625" bestFit="1" customWidth="1"/>
    <col min="271" max="271" width="12.83203125" customWidth="1"/>
    <col min="272" max="272" width="48.33203125" bestFit="1" customWidth="1"/>
    <col min="273" max="273" width="12.83203125" customWidth="1"/>
    <col min="274" max="274" width="49.83203125" bestFit="1" customWidth="1"/>
    <col min="275" max="275" width="12.83203125" customWidth="1"/>
    <col min="276" max="276" width="51.33203125" bestFit="1" customWidth="1"/>
    <col min="277" max="277" width="12.83203125" customWidth="1"/>
    <col min="278" max="278" width="50.6640625" bestFit="1" customWidth="1"/>
    <col min="279" max="279" width="12.83203125" customWidth="1"/>
    <col min="280" max="280" width="46.1640625" bestFit="1" customWidth="1"/>
    <col min="281" max="281" width="12.83203125" customWidth="1"/>
    <col min="282" max="282" width="46.1640625" bestFit="1" customWidth="1"/>
    <col min="283" max="283" width="12.83203125" customWidth="1"/>
    <col min="284" max="284" width="45.1640625" customWidth="1"/>
    <col min="285" max="285" width="12.83203125" customWidth="1"/>
    <col min="286" max="286" width="46.6640625" customWidth="1"/>
    <col min="287" max="287" width="12.83203125" customWidth="1"/>
    <col min="288" max="288" width="48" bestFit="1" customWidth="1"/>
    <col min="289" max="289" width="12.83203125" customWidth="1"/>
    <col min="290" max="290" width="32.5" customWidth="1"/>
    <col min="291" max="291" width="12.83203125" customWidth="1"/>
    <col min="292" max="292" width="35.33203125" customWidth="1"/>
    <col min="293" max="293" width="12.83203125" customWidth="1"/>
    <col min="294" max="294" width="30.1640625" customWidth="1"/>
    <col min="295" max="295" width="12.83203125" customWidth="1"/>
    <col min="296" max="296" width="35.1640625" customWidth="1"/>
    <col min="297" max="297" width="12.83203125" customWidth="1"/>
    <col min="298" max="298" width="30.6640625" customWidth="1"/>
    <col min="299" max="299" width="12.83203125" customWidth="1"/>
    <col min="300" max="300" width="36.6640625" customWidth="1"/>
    <col min="301" max="301" width="12.83203125" customWidth="1"/>
    <col min="302" max="302" width="29.6640625" customWidth="1"/>
    <col min="303" max="303" width="12.83203125" customWidth="1"/>
    <col min="304" max="304" width="29.33203125" customWidth="1"/>
    <col min="305" max="305" width="12.83203125" customWidth="1"/>
    <col min="306" max="306" width="29.1640625" customWidth="1"/>
    <col min="307" max="307" width="12.83203125" customWidth="1"/>
    <col min="308" max="308" width="28.83203125" customWidth="1"/>
    <col min="309" max="309" width="12.83203125" customWidth="1"/>
    <col min="310" max="310" width="35" customWidth="1"/>
    <col min="311" max="311" width="12.83203125" customWidth="1"/>
    <col min="312" max="312" width="30.6640625" customWidth="1"/>
    <col min="313" max="313" width="12.83203125" customWidth="1"/>
    <col min="314" max="314" width="29.83203125" customWidth="1"/>
    <col min="315" max="315" width="12.83203125" customWidth="1"/>
    <col min="316" max="316" width="32" customWidth="1"/>
    <col min="317" max="317" width="12.83203125" customWidth="1"/>
    <col min="318" max="318" width="31.5" customWidth="1"/>
    <col min="319" max="319" width="12.83203125" customWidth="1"/>
    <col min="320" max="320" width="30.1640625" customWidth="1"/>
    <col min="321" max="321" width="12.83203125" customWidth="1"/>
    <col min="322" max="322" width="31.5" customWidth="1"/>
    <col min="323" max="323" width="12.83203125" customWidth="1"/>
    <col min="324" max="324" width="36.6640625" customWidth="1"/>
    <col min="325" max="325" width="12.83203125" customWidth="1"/>
    <col min="326" max="326" width="39.5" customWidth="1"/>
    <col min="327" max="327" width="12.83203125" customWidth="1"/>
    <col min="328" max="328" width="34.1640625" customWidth="1"/>
    <col min="329" max="329" width="12.83203125" customWidth="1"/>
    <col min="330" max="330" width="39.33203125" customWidth="1"/>
    <col min="331" max="331" width="12.83203125" customWidth="1"/>
    <col min="332" max="332" width="34.83203125" customWidth="1"/>
    <col min="333" max="333" width="12.83203125" customWidth="1"/>
    <col min="334" max="334" width="37.5" customWidth="1"/>
    <col min="335" max="335" width="12.83203125" customWidth="1"/>
    <col min="336" max="336" width="40.83203125" customWidth="1"/>
    <col min="337" max="337" width="12.83203125" customWidth="1"/>
    <col min="338" max="338" width="33.83203125" customWidth="1"/>
    <col min="339" max="339" width="12.83203125" customWidth="1"/>
    <col min="340" max="340" width="33.5" customWidth="1"/>
    <col min="341" max="341" width="12.83203125" customWidth="1"/>
    <col min="342" max="342" width="32.83203125" customWidth="1"/>
    <col min="343" max="343" width="12.83203125" customWidth="1"/>
    <col min="344" max="344" width="39.1640625" customWidth="1"/>
    <col min="345" max="345" width="12.83203125" customWidth="1"/>
    <col min="346" max="346" width="34.83203125" customWidth="1"/>
    <col min="347" max="347" width="12.83203125" customWidth="1"/>
    <col min="348" max="348" width="33.83203125" customWidth="1"/>
    <col min="349" max="349" width="12.83203125" customWidth="1"/>
    <col min="350" max="350" width="36.1640625" customWidth="1"/>
    <col min="351" max="351" width="12.83203125" customWidth="1"/>
    <col min="352" max="352" width="35.6640625" customWidth="1"/>
    <col min="353" max="353" width="12.83203125" customWidth="1"/>
    <col min="354" max="354" width="34.33203125" customWidth="1"/>
    <col min="355" max="355" width="12.83203125" customWidth="1"/>
    <col min="356" max="356" width="51.5" customWidth="1"/>
    <col min="357" max="357" width="12.83203125" customWidth="1"/>
    <col min="358" max="358" width="51.1640625" customWidth="1"/>
    <col min="359" max="359" width="12.83203125" customWidth="1"/>
    <col min="360" max="360" width="50.5" customWidth="1"/>
    <col min="361" max="361" width="12.83203125" customWidth="1"/>
    <col min="362" max="362" width="52.1640625" customWidth="1"/>
    <col min="363" max="363" width="12.83203125" customWidth="1"/>
    <col min="364" max="364" width="53.5" customWidth="1"/>
    <col min="365" max="365" width="12.83203125" customWidth="1"/>
    <col min="366" max="366" width="35.6640625" customWidth="1"/>
    <col min="367" max="367" width="12.83203125" customWidth="1"/>
    <col min="368" max="368" width="35.33203125" customWidth="1"/>
    <col min="369" max="369" width="12.83203125" customWidth="1"/>
    <col min="370" max="370" width="30.1640625" customWidth="1"/>
    <col min="371" max="371" width="12.83203125" customWidth="1"/>
    <col min="372" max="372" width="29.6640625" customWidth="1"/>
    <col min="373" max="373" width="12.83203125" customWidth="1"/>
    <col min="374" max="374" width="29.33203125" customWidth="1"/>
    <col min="375" max="375" width="12.83203125" customWidth="1"/>
    <col min="376" max="376" width="29.1640625" customWidth="1"/>
    <col min="377" max="377" width="12.83203125" customWidth="1"/>
    <col min="378" max="378" width="35.1640625" customWidth="1"/>
    <col min="379" max="379" width="12.83203125" customWidth="1"/>
    <col min="380" max="380" width="30.6640625" customWidth="1"/>
    <col min="381" max="381" width="12.83203125" customWidth="1"/>
    <col min="382" max="382" width="29.83203125" customWidth="1"/>
    <col min="383" max="383" width="12.83203125" customWidth="1"/>
    <col min="384" max="384" width="32" customWidth="1"/>
    <col min="385" max="385" width="12.83203125" customWidth="1"/>
    <col min="386" max="386" width="31.5" customWidth="1"/>
    <col min="387" max="387" width="12.83203125" customWidth="1"/>
    <col min="388" max="388" width="30.1640625" customWidth="1"/>
    <col min="389" max="389" width="12.83203125" customWidth="1"/>
    <col min="390" max="390" width="31.5" customWidth="1"/>
    <col min="391" max="391" width="12.83203125" customWidth="1"/>
    <col min="392" max="392" width="37.33203125" customWidth="1"/>
    <col min="393" max="393" width="12.83203125" customWidth="1"/>
    <col min="394" max="394" width="32.1640625" customWidth="1"/>
    <col min="395" max="395" width="12.83203125" customWidth="1"/>
    <col min="396" max="396" width="31.6640625" customWidth="1"/>
    <col min="397" max="397" width="12.83203125" customWidth="1"/>
    <col min="398" max="398" width="31" customWidth="1"/>
    <col min="399" max="399" width="12.83203125" customWidth="1"/>
    <col min="400" max="400" width="37" customWidth="1"/>
    <col min="401" max="401" width="12.83203125" customWidth="1"/>
    <col min="402" max="402" width="32.6640625" customWidth="1"/>
    <col min="403" max="403" width="12.83203125" customWidth="1"/>
    <col min="404" max="404" width="31.83203125" customWidth="1"/>
    <col min="405" max="405" width="12.83203125" customWidth="1"/>
    <col min="406" max="406" width="33.5" customWidth="1"/>
    <col min="407" max="407" width="12.83203125" customWidth="1"/>
    <col min="408" max="408" width="32.1640625" customWidth="1"/>
    <col min="409" max="409" width="12.83203125" customWidth="1"/>
    <col min="410" max="410" width="56" customWidth="1"/>
    <col min="411" max="411" width="12.83203125" customWidth="1"/>
    <col min="412" max="412" width="50.5" customWidth="1"/>
    <col min="413" max="413" width="12.83203125" customWidth="1"/>
    <col min="414" max="414" width="55.83203125" customWidth="1"/>
    <col min="415" max="415" width="12.83203125" customWidth="1"/>
    <col min="416" max="416" width="52.1640625" customWidth="1"/>
    <col min="417" max="417" width="12.83203125" customWidth="1"/>
    <col min="418" max="418" width="33.5" customWidth="1"/>
    <col min="419" max="419" width="12.83203125" customWidth="1"/>
    <col min="420" max="420" width="42.1640625" bestFit="1" customWidth="1"/>
    <col min="421" max="421" width="12.83203125" customWidth="1"/>
    <col min="422" max="422" width="37" customWidth="1"/>
    <col min="423" max="423" width="12.83203125" customWidth="1"/>
    <col min="424" max="424" width="36.5" customWidth="1"/>
    <col min="425" max="425" width="12.83203125" customWidth="1"/>
    <col min="426" max="426" width="36.1640625" customWidth="1"/>
    <col min="427" max="427" width="12.83203125" customWidth="1"/>
    <col min="428" max="428" width="36" customWidth="1"/>
    <col min="429" max="429" width="12.83203125" customWidth="1"/>
    <col min="430" max="430" width="41.83203125" customWidth="1"/>
    <col min="431" max="431" width="12.83203125" customWidth="1"/>
    <col min="432" max="432" width="38.33203125" customWidth="1"/>
    <col min="433" max="433" width="12.83203125" customWidth="1"/>
    <col min="434" max="434" width="37" customWidth="1"/>
    <col min="435" max="435" width="12.83203125" customWidth="1"/>
    <col min="436" max="436" width="38.33203125" customWidth="1"/>
    <col min="437" max="437" width="12.83203125" customWidth="1"/>
    <col min="438" max="438" width="43.6640625" customWidth="1"/>
    <col min="439" max="439" width="12.83203125" customWidth="1"/>
    <col min="440" max="440" width="38.5" customWidth="1"/>
    <col min="441" max="441" width="12.83203125" customWidth="1"/>
    <col min="442" max="442" width="43.5" customWidth="1"/>
    <col min="443" max="443" width="12.83203125" customWidth="1"/>
    <col min="444" max="444" width="38" customWidth="1"/>
    <col min="445" max="445" width="12.83203125" customWidth="1"/>
    <col min="446" max="446" width="37.33203125" customWidth="1"/>
    <col min="447" max="447" width="12.83203125" customWidth="1"/>
    <col min="448" max="448" width="43.33203125" customWidth="1"/>
    <col min="449" max="449" width="12.83203125" customWidth="1"/>
    <col min="450" max="450" width="39" customWidth="1"/>
    <col min="451" max="451" width="12.83203125" customWidth="1"/>
    <col min="452" max="452" width="40.33203125" customWidth="1"/>
    <col min="453" max="453" width="12.83203125" customWidth="1"/>
    <col min="454" max="454" width="39.83203125" customWidth="1"/>
    <col min="455" max="455" width="12.83203125" customWidth="1"/>
    <col min="456" max="456" width="38.33203125" customWidth="1"/>
    <col min="457" max="457" width="12.83203125" customWidth="1"/>
    <col min="458" max="458" width="33.1640625" customWidth="1"/>
    <col min="459" max="459" width="12.83203125" customWidth="1"/>
    <col min="460" max="460" width="32.6640625" customWidth="1"/>
    <col min="461" max="461" width="12.83203125" customWidth="1"/>
    <col min="462" max="462" width="32.1640625" customWidth="1"/>
    <col min="463" max="463" width="12.83203125" customWidth="1"/>
    <col min="464" max="464" width="33.6640625" customWidth="1"/>
    <col min="465" max="465" width="12.83203125" customWidth="1"/>
    <col min="466" max="466" width="32.83203125" customWidth="1"/>
    <col min="467" max="467" width="12.83203125" customWidth="1"/>
    <col min="468" max="468" width="35" customWidth="1"/>
    <col min="469" max="469" width="12.83203125" customWidth="1"/>
    <col min="470" max="470" width="34.5" customWidth="1"/>
    <col min="471" max="471" width="12.83203125" bestFit="1" customWidth="1"/>
    <col min="472" max="472" width="47.1640625" bestFit="1" customWidth="1"/>
    <col min="473" max="473" width="12.83203125" bestFit="1" customWidth="1"/>
    <col min="474" max="474" width="41.5" bestFit="1" customWidth="1"/>
    <col min="475" max="475" width="12.83203125" bestFit="1" customWidth="1"/>
    <col min="476" max="476" width="41.1640625" bestFit="1" customWidth="1"/>
    <col min="477" max="477" width="12.83203125" bestFit="1" customWidth="1"/>
    <col min="478" max="478" width="40.83203125" bestFit="1" customWidth="1"/>
    <col min="479" max="479" width="12.83203125" bestFit="1" customWidth="1"/>
    <col min="480" max="480" width="42.33203125" bestFit="1" customWidth="1"/>
    <col min="481" max="481" width="12.83203125" bestFit="1" customWidth="1"/>
    <col min="482" max="482" width="41.5" bestFit="1" customWidth="1"/>
    <col min="483" max="483" width="12.83203125" bestFit="1" customWidth="1"/>
    <col min="484" max="484" width="43.1640625" bestFit="1" customWidth="1"/>
    <col min="485" max="485" width="12.83203125" bestFit="1" customWidth="1"/>
    <col min="486" max="486" width="52.33203125" bestFit="1" customWidth="1"/>
    <col min="487" max="487" width="12.83203125" bestFit="1" customWidth="1"/>
    <col min="488" max="488" width="52.83203125" bestFit="1" customWidth="1"/>
    <col min="489" max="489" width="12.83203125" bestFit="1" customWidth="1"/>
    <col min="490" max="490" width="75.33203125" bestFit="1" customWidth="1"/>
    <col min="491" max="491" width="12.83203125" bestFit="1" customWidth="1"/>
    <col min="492" max="492" width="51.1640625" bestFit="1" customWidth="1"/>
    <col min="493" max="493" width="12.83203125" bestFit="1" customWidth="1"/>
    <col min="494" max="494" width="51.6640625" bestFit="1" customWidth="1"/>
    <col min="495" max="495" width="12.83203125" bestFit="1" customWidth="1"/>
    <col min="496" max="496" width="55.33203125" bestFit="1" customWidth="1"/>
    <col min="497" max="497" width="12.83203125" bestFit="1" customWidth="1"/>
    <col min="498" max="498" width="56" bestFit="1" customWidth="1"/>
    <col min="499" max="499" width="12.83203125" bestFit="1" customWidth="1"/>
    <col min="500" max="500" width="41.1640625" bestFit="1" customWidth="1"/>
    <col min="501" max="501" width="12.83203125" bestFit="1" customWidth="1"/>
    <col min="502" max="502" width="40.1640625" bestFit="1" customWidth="1"/>
    <col min="503" max="503" width="12.83203125" bestFit="1" customWidth="1"/>
    <col min="504" max="504" width="41.6640625" bestFit="1" customWidth="1"/>
    <col min="505" max="505" width="12.83203125" bestFit="1" customWidth="1"/>
    <col min="506" max="506" width="41.1640625" bestFit="1" customWidth="1"/>
    <col min="507" max="507" width="12.83203125" bestFit="1" customWidth="1"/>
    <col min="508" max="508" width="41.6640625" bestFit="1" customWidth="1"/>
    <col min="509" max="509" width="12.83203125" bestFit="1" customWidth="1"/>
    <col min="510" max="510" width="42.1640625" bestFit="1" customWidth="1"/>
    <col min="511" max="511" width="12.83203125" bestFit="1" customWidth="1"/>
    <col min="512" max="512" width="41" bestFit="1" customWidth="1"/>
    <col min="513" max="513" width="12.83203125" bestFit="1" customWidth="1"/>
    <col min="514" max="514" width="47.1640625" bestFit="1" customWidth="1"/>
    <col min="515" max="515" width="12.83203125" bestFit="1" customWidth="1"/>
    <col min="516" max="516" width="47" bestFit="1" customWidth="1"/>
    <col min="517" max="517" width="12.83203125" bestFit="1" customWidth="1"/>
    <col min="518" max="518" width="54.6640625" bestFit="1" customWidth="1"/>
    <col min="519" max="519" width="12.83203125" bestFit="1" customWidth="1"/>
    <col min="520" max="520" width="51.33203125" bestFit="1" customWidth="1"/>
    <col min="521" max="521" width="12.83203125" bestFit="1" customWidth="1"/>
    <col min="522" max="522" width="48.83203125" bestFit="1" customWidth="1"/>
    <col min="523" max="523" width="12.83203125" bestFit="1" customWidth="1"/>
    <col min="524" max="524" width="48.5" bestFit="1" customWidth="1"/>
    <col min="525" max="525" width="12.83203125" bestFit="1" customWidth="1"/>
    <col min="526" max="526" width="48.6640625" bestFit="1" customWidth="1"/>
    <col min="527" max="527" width="12.83203125" bestFit="1" customWidth="1"/>
    <col min="528" max="528" width="50.1640625" bestFit="1" customWidth="1"/>
    <col min="529" max="529" width="12.83203125" bestFit="1" customWidth="1"/>
    <col min="530" max="530" width="51" bestFit="1" customWidth="1"/>
    <col min="531" max="531" width="12.83203125" bestFit="1" customWidth="1"/>
    <col min="532" max="532" width="45.1640625" bestFit="1" customWidth="1"/>
    <col min="533" max="533" width="12.83203125" bestFit="1" customWidth="1"/>
    <col min="534" max="534" width="45.83203125" bestFit="1" customWidth="1"/>
    <col min="535" max="535" width="12.83203125" bestFit="1" customWidth="1"/>
    <col min="536" max="536" width="41.5" bestFit="1" customWidth="1"/>
    <col min="537" max="537" width="12.83203125" bestFit="1" customWidth="1"/>
    <col min="538" max="538" width="35.5" bestFit="1" customWidth="1"/>
    <col min="539" max="539" width="12.83203125" bestFit="1" customWidth="1"/>
    <col min="540" max="540" width="38.5" bestFit="1" customWidth="1"/>
    <col min="541" max="541" width="12.83203125" bestFit="1" customWidth="1"/>
    <col min="542" max="542" width="32.1640625" bestFit="1" customWidth="1"/>
    <col min="543" max="543" width="12.83203125" bestFit="1" customWidth="1"/>
    <col min="544" max="544" width="35.1640625" bestFit="1" customWidth="1"/>
    <col min="545" max="545" width="12.83203125" bestFit="1" customWidth="1"/>
    <col min="546" max="546" width="32.6640625" bestFit="1" customWidth="1"/>
    <col min="547" max="547" width="12.83203125" bestFit="1" customWidth="1"/>
    <col min="548" max="548" width="33.1640625" bestFit="1" customWidth="1"/>
    <col min="549" max="549" width="12.83203125" bestFit="1" customWidth="1"/>
    <col min="550" max="550" width="31" bestFit="1" customWidth="1"/>
    <col min="551" max="551" width="12.83203125" bestFit="1" customWidth="1"/>
    <col min="552" max="552" width="30" bestFit="1" customWidth="1"/>
    <col min="553" max="553" width="12.83203125" bestFit="1" customWidth="1"/>
    <col min="554" max="554" width="31.6640625" bestFit="1" customWidth="1"/>
    <col min="555" max="555" width="12.83203125" bestFit="1" customWidth="1"/>
    <col min="556" max="556" width="41.1640625" bestFit="1" customWidth="1"/>
    <col min="557" max="557" width="12.83203125" bestFit="1" customWidth="1"/>
    <col min="558" max="558" width="42.1640625" bestFit="1" customWidth="1"/>
    <col min="559" max="559" width="12.83203125" bestFit="1" customWidth="1"/>
    <col min="560" max="560" width="51.83203125" bestFit="1" customWidth="1"/>
    <col min="561" max="561" width="12.83203125" bestFit="1" customWidth="1"/>
    <col min="562" max="562" width="39.33203125" bestFit="1" customWidth="1"/>
    <col min="563" max="563" width="12.83203125" bestFit="1" customWidth="1"/>
    <col min="564" max="564" width="45.33203125" bestFit="1" customWidth="1"/>
    <col min="565" max="565" width="12.83203125" bestFit="1" customWidth="1"/>
    <col min="566" max="566" width="48" bestFit="1" customWidth="1"/>
    <col min="567" max="567" width="12.83203125" bestFit="1" customWidth="1"/>
    <col min="568" max="568" width="47.83203125" bestFit="1" customWidth="1"/>
    <col min="569" max="569" width="12.83203125" bestFit="1" customWidth="1"/>
    <col min="570" max="570" width="46.83203125" bestFit="1" customWidth="1"/>
    <col min="571" max="571" width="12.83203125" bestFit="1" customWidth="1"/>
    <col min="572" max="572" width="48.33203125" bestFit="1" customWidth="1"/>
    <col min="573" max="573" width="12.83203125" bestFit="1" customWidth="1"/>
    <col min="574" max="574" width="47.33203125" bestFit="1" customWidth="1"/>
    <col min="575" max="575" width="12.83203125" bestFit="1" customWidth="1"/>
    <col min="576" max="576" width="48.33203125" bestFit="1" customWidth="1"/>
    <col min="577" max="577" width="12.83203125" bestFit="1" customWidth="1"/>
    <col min="578" max="578" width="49.6640625" bestFit="1" customWidth="1"/>
    <col min="579" max="579" width="12.83203125" bestFit="1" customWidth="1"/>
    <col min="580" max="580" width="43.6640625" bestFit="1" customWidth="1"/>
    <col min="581" max="581" width="12.83203125" bestFit="1" customWidth="1"/>
    <col min="582" max="582" width="43.6640625" bestFit="1" customWidth="1"/>
    <col min="583" max="583" width="12.83203125" bestFit="1" customWidth="1"/>
    <col min="584" max="584" width="42.5" bestFit="1" customWidth="1"/>
    <col min="585" max="585" width="12.83203125" bestFit="1" customWidth="1"/>
    <col min="586" max="586" width="44" bestFit="1" customWidth="1"/>
    <col min="587" max="587" width="12.83203125" bestFit="1" customWidth="1"/>
    <col min="588" max="588" width="43.1640625" bestFit="1" customWidth="1"/>
    <col min="589" max="589" width="12.83203125" bestFit="1" customWidth="1"/>
    <col min="590" max="590" width="45.5" bestFit="1" customWidth="1"/>
    <col min="591" max="591" width="12.83203125" bestFit="1" customWidth="1"/>
    <col min="592" max="592" width="66.6640625" bestFit="1" customWidth="1"/>
    <col min="593" max="593" width="12.83203125" bestFit="1" customWidth="1"/>
    <col min="594" max="594" width="68" bestFit="1" customWidth="1"/>
    <col min="595" max="595" width="12.83203125" bestFit="1" customWidth="1"/>
    <col min="596" max="596" width="62.6640625" bestFit="1" customWidth="1"/>
    <col min="597" max="597" width="12.83203125" bestFit="1" customWidth="1"/>
    <col min="598" max="598" width="62.33203125" bestFit="1" customWidth="1"/>
    <col min="599" max="599" width="12.83203125" bestFit="1" customWidth="1"/>
    <col min="600" max="600" width="61.6640625" bestFit="1" customWidth="1"/>
    <col min="601" max="601" width="12.83203125" bestFit="1" customWidth="1"/>
    <col min="602" max="602" width="67.6640625" bestFit="1" customWidth="1"/>
    <col min="603" max="603" width="12.83203125" bestFit="1" customWidth="1"/>
    <col min="604" max="604" width="63.1640625" bestFit="1" customWidth="1"/>
    <col min="605" max="605" width="12.83203125" bestFit="1" customWidth="1"/>
    <col min="606" max="606" width="64.1640625" bestFit="1" customWidth="1"/>
    <col min="607" max="607" width="12.83203125" bestFit="1" customWidth="1"/>
    <col min="608" max="608" width="74.83203125" bestFit="1" customWidth="1"/>
    <col min="609" max="609" width="12.83203125" bestFit="1" customWidth="1"/>
    <col min="610" max="610" width="62" bestFit="1" customWidth="1"/>
    <col min="611" max="611" width="12.83203125" bestFit="1" customWidth="1"/>
    <col min="612" max="612" width="62.83203125" bestFit="1" customWidth="1"/>
    <col min="613" max="613" width="12.83203125" bestFit="1" customWidth="1"/>
    <col min="614" max="614" width="58.1640625" bestFit="1" customWidth="1"/>
    <col min="615" max="615" width="12.83203125" bestFit="1" customWidth="1"/>
    <col min="616" max="616" width="59" bestFit="1" customWidth="1"/>
    <col min="617" max="617" width="12.83203125" bestFit="1" customWidth="1"/>
    <col min="618" max="618" width="58.1640625" bestFit="1" customWidth="1"/>
    <col min="619" max="619" width="12.83203125" bestFit="1" customWidth="1"/>
    <col min="620" max="620" width="74.1640625" bestFit="1" customWidth="1"/>
    <col min="621" max="621" width="12.83203125" bestFit="1" customWidth="1"/>
    <col min="622" max="622" width="74.83203125" bestFit="1" customWidth="1"/>
    <col min="623" max="623" width="12.83203125" bestFit="1" customWidth="1"/>
    <col min="624" max="624" width="63.83203125" bestFit="1" customWidth="1"/>
    <col min="625" max="625" width="12.83203125" bestFit="1" customWidth="1"/>
    <col min="626" max="626" width="61.5" bestFit="1" customWidth="1"/>
    <col min="627" max="627" width="12.83203125" bestFit="1" customWidth="1"/>
    <col min="628" max="628" width="53" bestFit="1" customWidth="1"/>
    <col min="629" max="629" width="12.83203125" bestFit="1" customWidth="1"/>
    <col min="630" max="630" width="53.5" bestFit="1" customWidth="1"/>
    <col min="631" max="631" width="12.83203125" bestFit="1" customWidth="1"/>
    <col min="632" max="632" width="74.6640625" bestFit="1" customWidth="1"/>
    <col min="633" max="633" width="12.83203125" bestFit="1" customWidth="1"/>
    <col min="634" max="634" width="74.83203125" bestFit="1" customWidth="1"/>
    <col min="635" max="635" width="12.83203125" bestFit="1" customWidth="1"/>
    <col min="636" max="636" width="52.33203125" bestFit="1" customWidth="1"/>
    <col min="637" max="637" width="12.83203125" bestFit="1" customWidth="1"/>
    <col min="638" max="638" width="75" bestFit="1" customWidth="1"/>
    <col min="639" max="639" width="12.83203125" bestFit="1" customWidth="1"/>
    <col min="640" max="640" width="59.1640625" bestFit="1" customWidth="1"/>
    <col min="641" max="641" width="12.83203125" bestFit="1" customWidth="1"/>
    <col min="642" max="642" width="65.5" bestFit="1" customWidth="1"/>
    <col min="643" max="643" width="12.83203125" bestFit="1" customWidth="1"/>
    <col min="644" max="644" width="60.1640625" bestFit="1" customWidth="1"/>
    <col min="645" max="645" width="12.83203125" bestFit="1" customWidth="1"/>
    <col min="646" max="646" width="65.1640625" bestFit="1" customWidth="1"/>
    <col min="647" max="647" width="12.83203125" bestFit="1" customWidth="1"/>
    <col min="648" max="648" width="60.83203125" bestFit="1" customWidth="1"/>
    <col min="649" max="649" width="12.83203125" bestFit="1" customWidth="1"/>
    <col min="650" max="650" width="62.1640625" bestFit="1" customWidth="1"/>
    <col min="651" max="651" width="12.83203125" bestFit="1" customWidth="1"/>
    <col min="652" max="652" width="74.33203125" bestFit="1" customWidth="1"/>
    <col min="653" max="653" width="12.83203125" bestFit="1" customWidth="1"/>
    <col min="654" max="654" width="73.83203125" bestFit="1" customWidth="1"/>
    <col min="655" max="655" width="12.83203125" bestFit="1" customWidth="1"/>
    <col min="656" max="656" width="74" bestFit="1" customWidth="1"/>
    <col min="657" max="657" width="12.83203125" bestFit="1" customWidth="1"/>
    <col min="658" max="658" width="75.33203125" bestFit="1" customWidth="1"/>
    <col min="659" max="659" width="12.83203125" bestFit="1" customWidth="1"/>
    <col min="660" max="660" width="69.1640625" bestFit="1" customWidth="1"/>
    <col min="661" max="661" width="12.83203125" bestFit="1" customWidth="1"/>
    <col min="662" max="662" width="68" bestFit="1" customWidth="1"/>
    <col min="663" max="663" width="12.83203125" bestFit="1" customWidth="1"/>
    <col min="664" max="664" width="74.6640625" bestFit="1" customWidth="1"/>
    <col min="665" max="665" width="12.83203125" bestFit="1" customWidth="1"/>
    <col min="666" max="666" width="75" bestFit="1" customWidth="1"/>
    <col min="667" max="667" width="12.83203125" bestFit="1" customWidth="1"/>
    <col min="668" max="668" width="63.6640625" bestFit="1" customWidth="1"/>
    <col min="669" max="669" width="12.83203125" bestFit="1" customWidth="1"/>
    <col min="670" max="670" width="64.1640625" bestFit="1" customWidth="1"/>
    <col min="671" max="671" width="12.83203125" bestFit="1" customWidth="1"/>
    <col min="672" max="672" width="64.5" bestFit="1" customWidth="1"/>
    <col min="673" max="673" width="12.83203125" bestFit="1" customWidth="1"/>
    <col min="674" max="674" width="65.6640625" bestFit="1" customWidth="1"/>
    <col min="675" max="675" width="12.83203125" bestFit="1" customWidth="1"/>
    <col min="676" max="676" width="57" bestFit="1" customWidth="1"/>
    <col min="677" max="677" width="12.83203125" bestFit="1" customWidth="1"/>
    <col min="678" max="678" width="63.33203125" bestFit="1" customWidth="1"/>
    <col min="679" max="679" width="12.83203125" bestFit="1" customWidth="1"/>
    <col min="680" max="680" width="58" bestFit="1" customWidth="1"/>
    <col min="681" max="681" width="12.83203125" bestFit="1" customWidth="1"/>
    <col min="682" max="682" width="63" bestFit="1" customWidth="1"/>
    <col min="683" max="683" width="12.83203125" bestFit="1" customWidth="1"/>
    <col min="684" max="684" width="58.5" bestFit="1" customWidth="1"/>
    <col min="685" max="685" width="12.83203125" bestFit="1" customWidth="1"/>
    <col min="686" max="686" width="59.83203125" bestFit="1" customWidth="1"/>
    <col min="687" max="687" width="12.83203125" bestFit="1" customWidth="1"/>
    <col min="688" max="688" width="74.33203125" bestFit="1" customWidth="1"/>
    <col min="689" max="689" width="12.83203125" bestFit="1" customWidth="1"/>
    <col min="690" max="690" width="74" bestFit="1" customWidth="1"/>
    <col min="691" max="691" width="12.83203125" bestFit="1" customWidth="1"/>
    <col min="692" max="692" width="74.1640625" bestFit="1" customWidth="1"/>
    <col min="693" max="693" width="12.83203125" bestFit="1" customWidth="1"/>
    <col min="694" max="694" width="74.33203125" bestFit="1" customWidth="1"/>
    <col min="695" max="695" width="12.83203125" bestFit="1" customWidth="1"/>
    <col min="696" max="696" width="71.6640625" bestFit="1" customWidth="1"/>
    <col min="697" max="697" width="12.83203125" bestFit="1" customWidth="1"/>
    <col min="698" max="698" width="70.5" bestFit="1" customWidth="1"/>
    <col min="699" max="699" width="12.83203125" bestFit="1" customWidth="1"/>
    <col min="700" max="700" width="72.1640625" bestFit="1" customWidth="1"/>
    <col min="701" max="701" width="12.83203125" bestFit="1" customWidth="1"/>
    <col min="702" max="702" width="63.33203125" bestFit="1" customWidth="1"/>
    <col min="703" max="703" width="12.83203125" bestFit="1" customWidth="1"/>
    <col min="704" max="704" width="63.83203125" bestFit="1" customWidth="1"/>
    <col min="705" max="705" width="12.83203125" bestFit="1" customWidth="1"/>
    <col min="706" max="706" width="74.83203125" bestFit="1" customWidth="1"/>
    <col min="707" max="707" width="12.83203125" bestFit="1" customWidth="1"/>
    <col min="708" max="708" width="70.83203125" bestFit="1" customWidth="1"/>
    <col min="709" max="709" width="12.83203125" bestFit="1" customWidth="1"/>
    <col min="710" max="710" width="69.83203125" bestFit="1" customWidth="1"/>
    <col min="711" max="711" width="12.83203125" bestFit="1" customWidth="1"/>
    <col min="712" max="712" width="67.6640625" bestFit="1" customWidth="1"/>
    <col min="713" max="713" width="12.83203125" bestFit="1" customWidth="1"/>
    <col min="714" max="714" width="68.1640625" bestFit="1" customWidth="1"/>
    <col min="715" max="715" width="12.83203125" bestFit="1" customWidth="1"/>
    <col min="716" max="716" width="68.5" bestFit="1" customWidth="1"/>
    <col min="717" max="717" width="12.83203125" bestFit="1" customWidth="1"/>
    <col min="718" max="718" width="69.83203125" bestFit="1" customWidth="1"/>
    <col min="719" max="719" width="12.83203125" bestFit="1" customWidth="1"/>
    <col min="720" max="720" width="61" bestFit="1" customWidth="1"/>
    <col min="721" max="721" width="12.83203125" bestFit="1" customWidth="1"/>
    <col min="722" max="722" width="67.33203125" bestFit="1" customWidth="1"/>
    <col min="723" max="723" width="12.83203125" bestFit="1" customWidth="1"/>
    <col min="724" max="724" width="62.1640625" bestFit="1" customWidth="1"/>
    <col min="725" max="725" width="12.83203125" bestFit="1" customWidth="1"/>
    <col min="726" max="726" width="67" bestFit="1" customWidth="1"/>
    <col min="727" max="727" width="12.83203125" bestFit="1" customWidth="1"/>
    <col min="728" max="728" width="62.6640625" bestFit="1" customWidth="1"/>
    <col min="729" max="729" width="12.83203125" bestFit="1" customWidth="1"/>
    <col min="730" max="730" width="64" bestFit="1" customWidth="1"/>
    <col min="731" max="731" width="12.83203125" bestFit="1" customWidth="1"/>
    <col min="732" max="732" width="73.6640625" bestFit="1" customWidth="1"/>
    <col min="733" max="733" width="12.83203125" bestFit="1" customWidth="1"/>
    <col min="734" max="734" width="75.33203125" bestFit="1" customWidth="1"/>
    <col min="735" max="735" width="12.83203125" bestFit="1" customWidth="1"/>
    <col min="736" max="736" width="74.33203125" bestFit="1" customWidth="1"/>
    <col min="737" max="737" width="12.83203125" bestFit="1" customWidth="1"/>
    <col min="738" max="738" width="74.83203125" bestFit="1" customWidth="1"/>
    <col min="739" max="739" width="12.83203125" bestFit="1" customWidth="1"/>
    <col min="740" max="740" width="74.6640625" bestFit="1" customWidth="1"/>
    <col min="741" max="741" width="12.83203125" bestFit="1" customWidth="1"/>
    <col min="742" max="742" width="74.1640625" bestFit="1" customWidth="1"/>
    <col min="743" max="743" width="12.83203125" bestFit="1" customWidth="1"/>
    <col min="744" max="744" width="67.33203125" bestFit="1" customWidth="1"/>
    <col min="745" max="745" width="12.83203125" bestFit="1" customWidth="1"/>
    <col min="746" max="746" width="68" bestFit="1" customWidth="1"/>
    <col min="747" max="747" width="12.83203125" bestFit="1" customWidth="1"/>
    <col min="748" max="748" width="75.6640625" bestFit="1" customWidth="1"/>
    <col min="749" max="749" width="12.83203125" bestFit="1" customWidth="1"/>
    <col min="750" max="750" width="65.83203125" bestFit="1" customWidth="1"/>
    <col min="751" max="751" width="12.83203125" bestFit="1" customWidth="1"/>
    <col min="752" max="752" width="64.5" bestFit="1" customWidth="1"/>
    <col min="753" max="753" width="12.83203125" bestFit="1" customWidth="1"/>
    <col min="754" max="754" width="65.6640625" bestFit="1" customWidth="1"/>
    <col min="755" max="755" width="12.83203125" bestFit="1" customWidth="1"/>
    <col min="756" max="756" width="63.33203125" bestFit="1" customWidth="1"/>
    <col min="757" max="757" width="12.83203125" bestFit="1" customWidth="1"/>
    <col min="758" max="758" width="58" bestFit="1" customWidth="1"/>
    <col min="759" max="759" width="12.83203125" bestFit="1" customWidth="1"/>
    <col min="760" max="760" width="74.33203125" bestFit="1" customWidth="1"/>
    <col min="761" max="761" width="12.83203125" bestFit="1" customWidth="1"/>
    <col min="762" max="762" width="63" bestFit="1" customWidth="1"/>
    <col min="763" max="763" width="12.83203125" bestFit="1" customWidth="1"/>
    <col min="764" max="764" width="58.5" bestFit="1" customWidth="1"/>
    <col min="765" max="765" width="12.83203125" bestFit="1" customWidth="1"/>
    <col min="766" max="766" width="59.83203125" bestFit="1" customWidth="1"/>
    <col min="767" max="767" width="12.83203125" bestFit="1" customWidth="1"/>
    <col min="768" max="768" width="74.1640625" bestFit="1" customWidth="1"/>
    <col min="769" max="769" width="12.83203125" bestFit="1" customWidth="1"/>
    <col min="770" max="770" width="73.5" bestFit="1" customWidth="1"/>
    <col min="771" max="771" width="12.83203125" bestFit="1" customWidth="1"/>
    <col min="772" max="772" width="64.5" bestFit="1" customWidth="1"/>
    <col min="773" max="773" width="12.83203125" bestFit="1" customWidth="1"/>
    <col min="774" max="774" width="74.33203125" bestFit="1" customWidth="1"/>
    <col min="775" max="775" width="12.83203125" bestFit="1" customWidth="1"/>
    <col min="776" max="776" width="65.6640625" bestFit="1" customWidth="1"/>
    <col min="777" max="777" width="12.83203125" bestFit="1" customWidth="1"/>
    <col min="778" max="778" width="65.1640625" bestFit="1" customWidth="1"/>
    <col min="779" max="779" width="12.83203125" bestFit="1" customWidth="1"/>
    <col min="780" max="780" width="60" bestFit="1" customWidth="1"/>
    <col min="781" max="781" width="12.83203125" bestFit="1" customWidth="1"/>
    <col min="782" max="782" width="64.83203125" bestFit="1" customWidth="1"/>
    <col min="783" max="783" width="12.83203125" bestFit="1" customWidth="1"/>
    <col min="784" max="784" width="60.5" bestFit="1" customWidth="1"/>
    <col min="785" max="785" width="12.83203125" bestFit="1" customWidth="1"/>
    <col min="786" max="786" width="61.83203125" bestFit="1" customWidth="1"/>
    <col min="787" max="787" width="12.83203125" bestFit="1" customWidth="1"/>
    <col min="788" max="788" width="61.5" bestFit="1" customWidth="1"/>
    <col min="789" max="789" width="12.83203125" bestFit="1" customWidth="1"/>
    <col min="790" max="790" width="60.33203125" bestFit="1" customWidth="1"/>
    <col min="791" max="791" width="12.83203125" bestFit="1" customWidth="1"/>
    <col min="792" max="792" width="61" bestFit="1" customWidth="1"/>
    <col min="793" max="793" width="12.83203125" bestFit="1" customWidth="1"/>
    <col min="794" max="794" width="74.33203125" bestFit="1" customWidth="1"/>
    <col min="795" max="795" width="12.83203125" bestFit="1" customWidth="1"/>
    <col min="796" max="796" width="74.1640625" bestFit="1" customWidth="1"/>
    <col min="797" max="797" width="12.83203125" bestFit="1" customWidth="1"/>
    <col min="798" max="798" width="75.33203125" bestFit="1" customWidth="1"/>
    <col min="799" max="799" width="12.83203125" bestFit="1" customWidth="1"/>
    <col min="800" max="800" width="73.5" bestFit="1" customWidth="1"/>
    <col min="801" max="801" width="12.83203125" bestFit="1" customWidth="1"/>
    <col min="802" max="802" width="72.5" bestFit="1" customWidth="1"/>
    <col min="803" max="803" width="12.83203125" bestFit="1" customWidth="1"/>
    <col min="804" max="804" width="74.1640625" bestFit="1" customWidth="1"/>
    <col min="805" max="805" width="12.83203125" bestFit="1" customWidth="1"/>
    <col min="806" max="806" width="73.5" bestFit="1" customWidth="1"/>
    <col min="807" max="807" width="12.83203125" bestFit="1" customWidth="1"/>
    <col min="808" max="808" width="72.5" bestFit="1" customWidth="1"/>
    <col min="809" max="809" width="12.83203125" bestFit="1" customWidth="1"/>
    <col min="810" max="810" width="70.5" bestFit="1" customWidth="1"/>
    <col min="811" max="811" width="12.83203125" bestFit="1" customWidth="1"/>
    <col min="812" max="812" width="65.1640625" bestFit="1" customWidth="1"/>
    <col min="813" max="813" width="12.83203125" bestFit="1" customWidth="1"/>
    <col min="814" max="814" width="65.83203125" bestFit="1" customWidth="1"/>
    <col min="815" max="815" width="12.83203125" bestFit="1" customWidth="1"/>
    <col min="816" max="816" width="74.5" bestFit="1" customWidth="1"/>
    <col min="817" max="817" width="12.83203125" bestFit="1" customWidth="1"/>
    <col min="818" max="818" width="74.1640625" bestFit="1" customWidth="1"/>
    <col min="819" max="819" width="12.83203125" bestFit="1" customWidth="1"/>
    <col min="820" max="820" width="74.6640625" bestFit="1" customWidth="1"/>
    <col min="821" max="821" width="12.83203125" bestFit="1" customWidth="1"/>
    <col min="822" max="822" width="74.5" bestFit="1" customWidth="1"/>
    <col min="823" max="823" width="12.83203125" bestFit="1" customWidth="1"/>
    <col min="824" max="824" width="71.33203125" bestFit="1" customWidth="1"/>
    <col min="825" max="825" width="12.83203125" bestFit="1" customWidth="1"/>
    <col min="826" max="826" width="61.33203125" bestFit="1" customWidth="1"/>
    <col min="827" max="827" width="12.83203125" bestFit="1" customWidth="1"/>
    <col min="828" max="828" width="63.33203125" bestFit="1" customWidth="1"/>
    <col min="829" max="829" width="12.83203125" bestFit="1" customWidth="1"/>
    <col min="830" max="830" width="59.6640625" bestFit="1" customWidth="1"/>
    <col min="831" max="831" width="12.83203125" bestFit="1" customWidth="1"/>
    <col min="832" max="832" width="60.33203125" bestFit="1" customWidth="1"/>
    <col min="833" max="833" width="12.83203125" bestFit="1" customWidth="1"/>
    <col min="834" max="834" width="61.83203125" bestFit="1" customWidth="1"/>
    <col min="835" max="835" width="12.83203125" bestFit="1" customWidth="1"/>
    <col min="836" max="836" width="68.5" bestFit="1" customWidth="1"/>
    <col min="837" max="837" width="12.83203125" bestFit="1" customWidth="1"/>
    <col min="838" max="838" width="41.5" bestFit="1" customWidth="1"/>
    <col min="839" max="839" width="12.83203125" bestFit="1" customWidth="1"/>
    <col min="840" max="840" width="42" bestFit="1" customWidth="1"/>
    <col min="841" max="841" width="12.83203125" bestFit="1" customWidth="1"/>
    <col min="842" max="842" width="41" bestFit="1" customWidth="1"/>
    <col min="843" max="843" width="12.83203125" bestFit="1" customWidth="1"/>
    <col min="844" max="844" width="42.6640625" bestFit="1" customWidth="1"/>
    <col min="845" max="845" width="12.83203125" bestFit="1" customWidth="1"/>
    <col min="846" max="846" width="44.1640625" bestFit="1" customWidth="1"/>
    <col min="847" max="847" width="12.83203125" bestFit="1" customWidth="1"/>
    <col min="848" max="848" width="42.6640625" bestFit="1" customWidth="1"/>
    <col min="849" max="849" width="12.83203125" bestFit="1" customWidth="1"/>
    <col min="850" max="850" width="40.1640625" bestFit="1" customWidth="1"/>
    <col min="851" max="851" width="12.83203125" bestFit="1" customWidth="1"/>
    <col min="852" max="852" width="55.6640625" bestFit="1" customWidth="1"/>
    <col min="853" max="853" width="12.83203125" bestFit="1" customWidth="1"/>
    <col min="854" max="854" width="56.83203125" bestFit="1" customWidth="1"/>
    <col min="855" max="855" width="12.83203125" bestFit="1" customWidth="1"/>
    <col min="856" max="856" width="45.33203125" bestFit="1" customWidth="1"/>
    <col min="857" max="857" width="12.83203125" bestFit="1" customWidth="1"/>
    <col min="858" max="858" width="48.6640625" bestFit="1" customWidth="1"/>
    <col min="859" max="859" width="12.83203125" bestFit="1" customWidth="1"/>
    <col min="860" max="860" width="46.83203125" bestFit="1" customWidth="1"/>
    <col min="861" max="861" width="12.83203125" bestFit="1" customWidth="1"/>
    <col min="862" max="862" width="55.33203125" bestFit="1" customWidth="1"/>
    <col min="863" max="863" width="12.83203125" bestFit="1" customWidth="1"/>
    <col min="864" max="864" width="54.83203125" bestFit="1" customWidth="1"/>
    <col min="865" max="865" width="12.83203125" bestFit="1" customWidth="1"/>
    <col min="866" max="866" width="51" bestFit="1" customWidth="1"/>
    <col min="867" max="867" width="12.83203125" bestFit="1" customWidth="1"/>
    <col min="868" max="868" width="50.83203125" bestFit="1" customWidth="1"/>
    <col min="869" max="869" width="12.83203125" bestFit="1" customWidth="1"/>
    <col min="870" max="870" width="49.83203125" bestFit="1" customWidth="1"/>
    <col min="871" max="871" width="12.83203125" bestFit="1" customWidth="1"/>
    <col min="872" max="872" width="51.33203125" bestFit="1" customWidth="1"/>
    <col min="873" max="873" width="12.83203125" bestFit="1" customWidth="1"/>
    <col min="874" max="874" width="52.83203125" bestFit="1" customWidth="1"/>
    <col min="875" max="875" width="12.83203125" bestFit="1" customWidth="1"/>
    <col min="876" max="876" width="42.5" bestFit="1" customWidth="1"/>
    <col min="877" max="877" width="12.83203125" bestFit="1" customWidth="1"/>
    <col min="878" max="878" width="43.83203125" bestFit="1" customWidth="1"/>
    <col min="879" max="879" width="12.83203125" bestFit="1" customWidth="1"/>
    <col min="880" max="880" width="44.6640625" bestFit="1" customWidth="1"/>
    <col min="881" max="881" width="12.83203125" bestFit="1" customWidth="1"/>
    <col min="882" max="882" width="72.83203125" bestFit="1" customWidth="1"/>
    <col min="883" max="883" width="12.83203125" bestFit="1" customWidth="1"/>
    <col min="884" max="884" width="74.5" bestFit="1" customWidth="1"/>
    <col min="885" max="885" width="12.83203125" bestFit="1" customWidth="1"/>
    <col min="886" max="886" width="61.6640625" bestFit="1" customWidth="1"/>
    <col min="887" max="887" width="12.83203125" bestFit="1" customWidth="1"/>
    <col min="888" max="888" width="64.83203125" bestFit="1" customWidth="1"/>
    <col min="889" max="889" width="12.83203125" bestFit="1" customWidth="1"/>
    <col min="890" max="890" width="63" bestFit="1" customWidth="1"/>
    <col min="891" max="891" width="12.83203125" bestFit="1" customWidth="1"/>
    <col min="892" max="892" width="71.5" bestFit="1" customWidth="1"/>
    <col min="893" max="893" width="12.83203125" bestFit="1" customWidth="1"/>
    <col min="894" max="894" width="71.1640625" bestFit="1" customWidth="1"/>
    <col min="895" max="895" width="12.83203125" bestFit="1" customWidth="1"/>
    <col min="896" max="896" width="59.5" bestFit="1" customWidth="1"/>
    <col min="897" max="897" width="12.83203125" bestFit="1" customWidth="1"/>
    <col min="898" max="898" width="59.33203125" bestFit="1" customWidth="1"/>
    <col min="899" max="899" width="12.83203125" bestFit="1" customWidth="1"/>
    <col min="900" max="900" width="58.33203125" bestFit="1" customWidth="1"/>
    <col min="901" max="901" width="12.83203125" bestFit="1" customWidth="1"/>
    <col min="902" max="902" width="59.83203125" bestFit="1" customWidth="1"/>
    <col min="903" max="903" width="12.83203125" bestFit="1" customWidth="1"/>
    <col min="904" max="904" width="61.1640625" bestFit="1" customWidth="1"/>
    <col min="905" max="905" width="12.83203125" bestFit="1" customWidth="1"/>
    <col min="906" max="906" width="50.33203125" bestFit="1" customWidth="1"/>
    <col min="907" max="907" width="12.83203125" bestFit="1" customWidth="1"/>
    <col min="908" max="908" width="37" bestFit="1" customWidth="1"/>
    <col min="909" max="909" width="12.83203125" bestFit="1" customWidth="1"/>
    <col min="910" max="910" width="64.83203125" bestFit="1" customWidth="1"/>
    <col min="911" max="911" width="12.83203125" bestFit="1" customWidth="1"/>
    <col min="912" max="912" width="53.6640625" bestFit="1" customWidth="1"/>
    <col min="913" max="913" width="12.83203125" bestFit="1" customWidth="1"/>
    <col min="914" max="914" width="54.83203125" bestFit="1" customWidth="1"/>
    <col min="915" max="915" width="12.83203125" bestFit="1" customWidth="1"/>
    <col min="916" max="916" width="57" bestFit="1" customWidth="1"/>
    <col min="917" max="917" width="12.83203125" bestFit="1" customWidth="1"/>
    <col min="918" max="918" width="54.1640625" bestFit="1" customWidth="1"/>
    <col min="919" max="919" width="12.83203125" bestFit="1" customWidth="1"/>
    <col min="920" max="920" width="52.83203125" bestFit="1" customWidth="1"/>
    <col min="921" max="921" width="12.83203125" bestFit="1" customWidth="1"/>
    <col min="922" max="922" width="37.83203125" bestFit="1" customWidth="1"/>
    <col min="923" max="923" width="12.83203125" bestFit="1" customWidth="1"/>
    <col min="924" max="924" width="41" bestFit="1" customWidth="1"/>
    <col min="925" max="925" width="12.83203125" bestFit="1" customWidth="1"/>
    <col min="926" max="926" width="69" bestFit="1" customWidth="1"/>
    <col min="927" max="927" width="12.83203125" bestFit="1" customWidth="1"/>
    <col min="928" max="928" width="58.33203125" bestFit="1" customWidth="1"/>
    <col min="929" max="929" width="12.83203125" bestFit="1" customWidth="1"/>
    <col min="930" max="930" width="59.6640625" bestFit="1" customWidth="1"/>
    <col min="931" max="931" width="12.83203125" bestFit="1" customWidth="1"/>
    <col min="932" max="932" width="57.33203125" bestFit="1" customWidth="1"/>
    <col min="933" max="933" width="12.83203125" bestFit="1" customWidth="1"/>
    <col min="934" max="934" width="57" bestFit="1" customWidth="1"/>
    <col min="935" max="935" width="12.83203125" bestFit="1" customWidth="1"/>
    <col min="936" max="936" width="41.83203125" bestFit="1" customWidth="1"/>
    <col min="937" max="937" width="12.83203125" bestFit="1" customWidth="1"/>
    <col min="938" max="938" width="15.83203125" bestFit="1" customWidth="1"/>
    <col min="939" max="939" width="17" bestFit="1" customWidth="1"/>
  </cols>
  <sheetData>
    <row r="3" spans="1:3">
      <c r="B3" s="4" t="s">
        <v>264</v>
      </c>
    </row>
    <row r="4" spans="1:3">
      <c r="A4" s="4" t="s">
        <v>263</v>
      </c>
      <c r="B4" t="s">
        <v>4201</v>
      </c>
      <c r="C4" t="s">
        <v>4202</v>
      </c>
    </row>
    <row r="5" spans="1:3">
      <c r="A5" s="5" t="s">
        <v>29</v>
      </c>
      <c r="B5" s="6">
        <v>22</v>
      </c>
      <c r="C5" s="6">
        <v>155.76</v>
      </c>
    </row>
    <row r="6" spans="1:3">
      <c r="A6" s="7" t="s">
        <v>4070</v>
      </c>
      <c r="B6" s="6">
        <v>3</v>
      </c>
      <c r="C6" s="6">
        <v>21.240000000000002</v>
      </c>
    </row>
    <row r="7" spans="1:3">
      <c r="A7" s="7" t="s">
        <v>4140</v>
      </c>
      <c r="B7" s="6">
        <v>2</v>
      </c>
      <c r="C7" s="6">
        <v>14.16</v>
      </c>
    </row>
    <row r="8" spans="1:3">
      <c r="A8" s="7" t="s">
        <v>4091</v>
      </c>
      <c r="B8" s="6">
        <v>2</v>
      </c>
      <c r="C8" s="6">
        <v>14.16</v>
      </c>
    </row>
    <row r="9" spans="1:3">
      <c r="A9" s="7" t="s">
        <v>4043</v>
      </c>
      <c r="B9" s="6">
        <v>3</v>
      </c>
      <c r="C9" s="6">
        <v>21.240000000000002</v>
      </c>
    </row>
    <row r="10" spans="1:3">
      <c r="A10" s="7" t="s">
        <v>4156</v>
      </c>
      <c r="B10" s="6">
        <v>2</v>
      </c>
      <c r="C10" s="6">
        <v>14.16</v>
      </c>
    </row>
    <row r="11" spans="1:3">
      <c r="A11" s="7" t="s">
        <v>3916</v>
      </c>
      <c r="B11" s="6">
        <v>2</v>
      </c>
      <c r="C11" s="6">
        <v>14.16</v>
      </c>
    </row>
    <row r="12" spans="1:3">
      <c r="A12" s="7" t="s">
        <v>4068</v>
      </c>
      <c r="B12" s="6">
        <v>2</v>
      </c>
      <c r="C12" s="6">
        <v>14.16</v>
      </c>
    </row>
    <row r="13" spans="1:3">
      <c r="A13" s="7" t="s">
        <v>4010</v>
      </c>
      <c r="B13" s="6">
        <v>2</v>
      </c>
      <c r="C13" s="6">
        <v>14.16</v>
      </c>
    </row>
    <row r="14" spans="1:3">
      <c r="A14" s="7" t="s">
        <v>4126</v>
      </c>
      <c r="B14" s="6">
        <v>2</v>
      </c>
      <c r="C14" s="6">
        <v>14.16</v>
      </c>
    </row>
    <row r="15" spans="1:3">
      <c r="A15" s="7" t="s">
        <v>4152</v>
      </c>
      <c r="B15" s="6">
        <v>2</v>
      </c>
      <c r="C15" s="6">
        <v>14.16</v>
      </c>
    </row>
    <row r="16" spans="1:3">
      <c r="A16" s="5" t="s">
        <v>8</v>
      </c>
      <c r="B16" s="6">
        <v>8</v>
      </c>
      <c r="C16" s="6">
        <v>62.4</v>
      </c>
    </row>
    <row r="17" spans="1:3">
      <c r="A17" s="7" t="s">
        <v>4032</v>
      </c>
      <c r="B17" s="6">
        <v>2</v>
      </c>
      <c r="C17" s="6">
        <v>15.6</v>
      </c>
    </row>
    <row r="18" spans="1:3">
      <c r="A18" s="7" t="s">
        <v>4079</v>
      </c>
      <c r="B18" s="6">
        <v>2</v>
      </c>
      <c r="C18" s="6">
        <v>15.6</v>
      </c>
    </row>
    <row r="19" spans="1:3">
      <c r="A19" s="7" t="s">
        <v>3701</v>
      </c>
      <c r="B19" s="6">
        <v>2</v>
      </c>
      <c r="C19" s="6">
        <v>15.6</v>
      </c>
    </row>
    <row r="20" spans="1:3">
      <c r="A20" s="7" t="s">
        <v>3896</v>
      </c>
      <c r="B20" s="6">
        <v>2</v>
      </c>
      <c r="C20" s="6">
        <v>15.6</v>
      </c>
    </row>
    <row r="21" spans="1:3">
      <c r="A21" s="5" t="s">
        <v>2420</v>
      </c>
      <c r="B21" s="6">
        <v>4</v>
      </c>
      <c r="C21" s="6">
        <v>28.32</v>
      </c>
    </row>
    <row r="22" spans="1:3">
      <c r="A22" s="7" t="s">
        <v>4089</v>
      </c>
      <c r="B22" s="6">
        <v>4</v>
      </c>
      <c r="C22" s="6">
        <v>28.32</v>
      </c>
    </row>
    <row r="23" spans="1:3">
      <c r="A23" s="5" t="s">
        <v>2475</v>
      </c>
      <c r="B23" s="6">
        <v>4</v>
      </c>
      <c r="C23" s="6">
        <v>28.32</v>
      </c>
    </row>
    <row r="24" spans="1:3">
      <c r="A24" s="7" t="s">
        <v>4040</v>
      </c>
      <c r="B24" s="6">
        <v>4</v>
      </c>
      <c r="C24" s="6">
        <v>28.32</v>
      </c>
    </row>
    <row r="25" spans="1:3">
      <c r="A25" s="5" t="s">
        <v>2452</v>
      </c>
      <c r="B25" s="6">
        <v>4</v>
      </c>
      <c r="C25" s="6">
        <v>28.32</v>
      </c>
    </row>
    <row r="26" spans="1:3">
      <c r="A26" s="7" t="s">
        <v>3678</v>
      </c>
      <c r="B26" s="6">
        <v>4</v>
      </c>
      <c r="C26" s="6">
        <v>28.32</v>
      </c>
    </row>
    <row r="27" spans="1:3">
      <c r="A27" s="5" t="s">
        <v>45</v>
      </c>
      <c r="B27" s="6">
        <v>9</v>
      </c>
      <c r="C27" s="6">
        <v>70.199999999999989</v>
      </c>
    </row>
    <row r="28" spans="1:3">
      <c r="A28" s="7" t="s">
        <v>3675</v>
      </c>
      <c r="B28" s="6">
        <v>3</v>
      </c>
      <c r="C28" s="6">
        <v>23.4</v>
      </c>
    </row>
    <row r="29" spans="1:3">
      <c r="A29" s="7" t="s">
        <v>3751</v>
      </c>
      <c r="B29" s="6">
        <v>3</v>
      </c>
      <c r="C29" s="6">
        <v>23.4</v>
      </c>
    </row>
    <row r="30" spans="1:3">
      <c r="A30" s="7" t="s">
        <v>4167</v>
      </c>
      <c r="B30" s="6">
        <v>3</v>
      </c>
      <c r="C30" s="6">
        <v>23.4</v>
      </c>
    </row>
    <row r="31" spans="1:3">
      <c r="A31" s="5" t="s">
        <v>19</v>
      </c>
      <c r="B31" s="6">
        <v>19</v>
      </c>
      <c r="C31" s="6">
        <v>182.39999999999998</v>
      </c>
    </row>
    <row r="32" spans="1:3">
      <c r="A32" s="7" t="s">
        <v>4177</v>
      </c>
      <c r="B32" s="6">
        <v>3</v>
      </c>
      <c r="C32" s="6">
        <v>28.799999999999997</v>
      </c>
    </row>
    <row r="33" spans="1:3">
      <c r="A33" s="7" t="s">
        <v>3918</v>
      </c>
      <c r="B33" s="6">
        <v>3</v>
      </c>
      <c r="C33" s="6">
        <v>28.799999999999997</v>
      </c>
    </row>
    <row r="34" spans="1:3">
      <c r="A34" s="7" t="s">
        <v>3791</v>
      </c>
      <c r="B34" s="6">
        <v>3</v>
      </c>
      <c r="C34" s="6">
        <v>28.799999999999997</v>
      </c>
    </row>
    <row r="35" spans="1:3">
      <c r="A35" s="7" t="s">
        <v>4149</v>
      </c>
      <c r="B35" s="6">
        <v>3</v>
      </c>
      <c r="C35" s="6">
        <v>28.799999999999997</v>
      </c>
    </row>
    <row r="36" spans="1:3">
      <c r="A36" s="7" t="s">
        <v>4035</v>
      </c>
      <c r="B36" s="6">
        <v>4</v>
      </c>
      <c r="C36" s="6">
        <v>38.4</v>
      </c>
    </row>
    <row r="37" spans="1:3">
      <c r="A37" s="7" t="s">
        <v>3873</v>
      </c>
      <c r="B37" s="6">
        <v>3</v>
      </c>
      <c r="C37" s="6">
        <v>28.799999999999997</v>
      </c>
    </row>
    <row r="38" spans="1:3">
      <c r="A38" s="5" t="s">
        <v>51</v>
      </c>
      <c r="B38" s="6">
        <v>75</v>
      </c>
      <c r="C38" s="6">
        <v>342</v>
      </c>
    </row>
    <row r="39" spans="1:3">
      <c r="A39" s="7" t="s">
        <v>4110</v>
      </c>
      <c r="B39" s="6">
        <v>8</v>
      </c>
      <c r="C39" s="6">
        <v>36.479999999999997</v>
      </c>
    </row>
    <row r="40" spans="1:3">
      <c r="A40" s="7" t="s">
        <v>2664</v>
      </c>
      <c r="B40" s="6">
        <v>8</v>
      </c>
      <c r="C40" s="6">
        <v>36.479999999999997</v>
      </c>
    </row>
    <row r="41" spans="1:3">
      <c r="A41" s="7" t="s">
        <v>3858</v>
      </c>
      <c r="B41" s="6">
        <v>8</v>
      </c>
      <c r="C41" s="6">
        <v>36.479999999999997</v>
      </c>
    </row>
    <row r="42" spans="1:3">
      <c r="A42" s="7" t="s">
        <v>2668</v>
      </c>
      <c r="B42" s="6">
        <v>8</v>
      </c>
      <c r="C42" s="6">
        <v>36.479999999999997</v>
      </c>
    </row>
    <row r="43" spans="1:3">
      <c r="A43" s="7" t="s">
        <v>3957</v>
      </c>
      <c r="B43" s="6">
        <v>14</v>
      </c>
      <c r="C43" s="6">
        <v>63.839999999999996</v>
      </c>
    </row>
    <row r="44" spans="1:3">
      <c r="A44" s="7" t="s">
        <v>4066</v>
      </c>
      <c r="B44" s="6">
        <v>15</v>
      </c>
      <c r="C44" s="6">
        <v>68.399999999999991</v>
      </c>
    </row>
    <row r="45" spans="1:3">
      <c r="A45" s="7" t="s">
        <v>4022</v>
      </c>
      <c r="B45" s="6">
        <v>8</v>
      </c>
      <c r="C45" s="6">
        <v>36.479999999999997</v>
      </c>
    </row>
    <row r="46" spans="1:3">
      <c r="A46" s="7" t="s">
        <v>3773</v>
      </c>
      <c r="B46" s="6">
        <v>6</v>
      </c>
      <c r="C46" s="6">
        <v>27.36</v>
      </c>
    </row>
    <row r="47" spans="1:3">
      <c r="A47" s="5" t="s">
        <v>32</v>
      </c>
      <c r="B47" s="6">
        <v>16</v>
      </c>
      <c r="C47" s="6">
        <v>72.959999999999994</v>
      </c>
    </row>
    <row r="48" spans="1:3">
      <c r="A48" s="7" t="s">
        <v>3934</v>
      </c>
      <c r="B48" s="6">
        <v>8</v>
      </c>
      <c r="C48" s="6">
        <v>36.479999999999997</v>
      </c>
    </row>
    <row r="49" spans="1:3">
      <c r="A49" s="7" t="s">
        <v>3726</v>
      </c>
      <c r="B49" s="6">
        <v>8</v>
      </c>
      <c r="C49" s="6">
        <v>36.479999999999997</v>
      </c>
    </row>
    <row r="50" spans="1:3">
      <c r="A50" s="5" t="s">
        <v>9</v>
      </c>
      <c r="B50" s="6">
        <v>19</v>
      </c>
      <c r="C50" s="6">
        <v>273.60000000000002</v>
      </c>
    </row>
    <row r="51" spans="1:3">
      <c r="A51" s="7" t="s">
        <v>3908</v>
      </c>
      <c r="B51" s="6">
        <v>3</v>
      </c>
      <c r="C51" s="6">
        <v>43.2</v>
      </c>
    </row>
    <row r="52" spans="1:3">
      <c r="A52" s="7" t="s">
        <v>3759</v>
      </c>
      <c r="B52" s="6">
        <v>3</v>
      </c>
      <c r="C52" s="6">
        <v>43.2</v>
      </c>
    </row>
    <row r="53" spans="1:3">
      <c r="A53" s="7" t="s">
        <v>3924</v>
      </c>
      <c r="B53" s="6">
        <v>3</v>
      </c>
      <c r="C53" s="6">
        <v>43.2</v>
      </c>
    </row>
    <row r="54" spans="1:3">
      <c r="A54" s="7" t="s">
        <v>4083</v>
      </c>
      <c r="B54" s="6">
        <v>3</v>
      </c>
      <c r="C54" s="6">
        <v>43.2</v>
      </c>
    </row>
    <row r="55" spans="1:3">
      <c r="A55" s="7" t="s">
        <v>3895</v>
      </c>
      <c r="B55" s="6">
        <v>4</v>
      </c>
      <c r="C55" s="6">
        <v>57.6</v>
      </c>
    </row>
    <row r="56" spans="1:3">
      <c r="A56" s="7" t="s">
        <v>2661</v>
      </c>
      <c r="B56" s="6">
        <v>3</v>
      </c>
      <c r="C56" s="6">
        <v>43.2</v>
      </c>
    </row>
    <row r="57" spans="1:3">
      <c r="A57" s="5" t="s">
        <v>46</v>
      </c>
      <c r="B57" s="6">
        <v>23</v>
      </c>
      <c r="C57" s="6">
        <v>309.12</v>
      </c>
    </row>
    <row r="58" spans="1:3">
      <c r="A58" s="7" t="s">
        <v>4062</v>
      </c>
      <c r="B58" s="6">
        <v>9</v>
      </c>
      <c r="C58" s="6">
        <v>120.96000000000001</v>
      </c>
    </row>
    <row r="59" spans="1:3">
      <c r="A59" s="7" t="s">
        <v>3965</v>
      </c>
      <c r="B59" s="6">
        <v>9</v>
      </c>
      <c r="C59" s="6">
        <v>120.96000000000001</v>
      </c>
    </row>
    <row r="60" spans="1:3">
      <c r="A60" s="7" t="s">
        <v>4005</v>
      </c>
      <c r="B60" s="6">
        <v>5</v>
      </c>
      <c r="C60" s="6">
        <v>67.2</v>
      </c>
    </row>
    <row r="61" spans="1:3">
      <c r="A61" s="5" t="s">
        <v>67</v>
      </c>
      <c r="B61" s="6">
        <v>8</v>
      </c>
      <c r="C61" s="6">
        <v>62.4</v>
      </c>
    </row>
    <row r="62" spans="1:3">
      <c r="A62" s="7" t="s">
        <v>3923</v>
      </c>
      <c r="B62" s="6">
        <v>8</v>
      </c>
      <c r="C62" s="6">
        <v>62.4</v>
      </c>
    </row>
    <row r="63" spans="1:3">
      <c r="A63" s="5" t="s">
        <v>96</v>
      </c>
      <c r="B63" s="6">
        <v>9</v>
      </c>
      <c r="C63" s="6">
        <v>146.88</v>
      </c>
    </row>
    <row r="64" spans="1:3">
      <c r="A64" s="7" t="s">
        <v>3862</v>
      </c>
      <c r="B64" s="6">
        <v>3</v>
      </c>
      <c r="C64" s="6">
        <v>48.96</v>
      </c>
    </row>
    <row r="65" spans="1:3">
      <c r="A65" s="7" t="s">
        <v>3945</v>
      </c>
      <c r="B65" s="6">
        <v>3</v>
      </c>
      <c r="C65" s="6">
        <v>48.96</v>
      </c>
    </row>
    <row r="66" spans="1:3">
      <c r="A66" s="7" t="s">
        <v>4146</v>
      </c>
      <c r="B66" s="6">
        <v>3</v>
      </c>
      <c r="C66" s="6">
        <v>48.96</v>
      </c>
    </row>
    <row r="67" spans="1:3">
      <c r="A67" s="5" t="s">
        <v>118</v>
      </c>
      <c r="B67" s="6">
        <v>6</v>
      </c>
      <c r="C67" s="6">
        <v>39.599999999999994</v>
      </c>
    </row>
    <row r="68" spans="1:3">
      <c r="A68" s="7" t="s">
        <v>4069</v>
      </c>
      <c r="B68" s="6">
        <v>6</v>
      </c>
      <c r="C68" s="6">
        <v>39.599999999999994</v>
      </c>
    </row>
    <row r="69" spans="1:3">
      <c r="A69" s="5" t="s">
        <v>1</v>
      </c>
      <c r="B69" s="6">
        <v>30</v>
      </c>
      <c r="C69" s="6">
        <v>381.6</v>
      </c>
    </row>
    <row r="70" spans="1:3">
      <c r="A70" s="7" t="s">
        <v>3846</v>
      </c>
      <c r="B70" s="6">
        <v>4</v>
      </c>
      <c r="C70" s="6">
        <v>50.88</v>
      </c>
    </row>
    <row r="71" spans="1:3">
      <c r="A71" s="7" t="s">
        <v>3819</v>
      </c>
      <c r="B71" s="6">
        <v>6</v>
      </c>
      <c r="C71" s="6">
        <v>76.320000000000007</v>
      </c>
    </row>
    <row r="72" spans="1:3">
      <c r="A72" s="7" t="s">
        <v>3845</v>
      </c>
      <c r="B72" s="6">
        <v>4</v>
      </c>
      <c r="C72" s="6">
        <v>50.88</v>
      </c>
    </row>
    <row r="73" spans="1:3">
      <c r="A73" s="7" t="s">
        <v>3774</v>
      </c>
      <c r="B73" s="6">
        <v>4</v>
      </c>
      <c r="C73" s="6">
        <v>50.88</v>
      </c>
    </row>
    <row r="74" spans="1:3">
      <c r="A74" s="7" t="s">
        <v>4115</v>
      </c>
      <c r="B74" s="6">
        <v>4</v>
      </c>
      <c r="C74" s="6">
        <v>50.88</v>
      </c>
    </row>
    <row r="75" spans="1:3">
      <c r="A75" s="7" t="s">
        <v>3968</v>
      </c>
      <c r="B75" s="6">
        <v>4</v>
      </c>
      <c r="C75" s="6">
        <v>50.88</v>
      </c>
    </row>
    <row r="76" spans="1:3">
      <c r="A76" s="7" t="s">
        <v>3723</v>
      </c>
      <c r="B76" s="6">
        <v>4</v>
      </c>
      <c r="C76" s="6">
        <v>50.88</v>
      </c>
    </row>
    <row r="77" spans="1:3">
      <c r="A77" s="5" t="s">
        <v>115</v>
      </c>
      <c r="B77" s="6">
        <v>6</v>
      </c>
      <c r="C77" s="6">
        <v>54</v>
      </c>
    </row>
    <row r="78" spans="1:3">
      <c r="A78" s="7" t="s">
        <v>3776</v>
      </c>
      <c r="B78" s="6">
        <v>6</v>
      </c>
      <c r="C78" s="6">
        <v>54</v>
      </c>
    </row>
    <row r="79" spans="1:3">
      <c r="A79" s="5" t="s">
        <v>2461</v>
      </c>
      <c r="B79" s="6">
        <v>11</v>
      </c>
      <c r="C79" s="6">
        <v>158.4</v>
      </c>
    </row>
    <row r="80" spans="1:3">
      <c r="A80" s="7" t="s">
        <v>3899</v>
      </c>
      <c r="B80" s="6">
        <v>11</v>
      </c>
      <c r="C80" s="6">
        <v>158.4</v>
      </c>
    </row>
    <row r="81" spans="1:3">
      <c r="A81" s="5" t="s">
        <v>2423</v>
      </c>
      <c r="B81" s="6">
        <v>4</v>
      </c>
      <c r="C81" s="6">
        <v>72</v>
      </c>
    </row>
    <row r="82" spans="1:3">
      <c r="A82" s="7" t="s">
        <v>3867</v>
      </c>
      <c r="B82" s="6">
        <v>4</v>
      </c>
      <c r="C82" s="6">
        <v>72</v>
      </c>
    </row>
    <row r="83" spans="1:3">
      <c r="A83" s="5" t="s">
        <v>2483</v>
      </c>
      <c r="B83" s="6">
        <v>3</v>
      </c>
      <c r="C83" s="6">
        <v>54</v>
      </c>
    </row>
    <row r="84" spans="1:3">
      <c r="A84" s="7" t="s">
        <v>4178</v>
      </c>
      <c r="B84" s="6">
        <v>3</v>
      </c>
      <c r="C84" s="6">
        <v>54</v>
      </c>
    </row>
    <row r="85" spans="1:3">
      <c r="A85" s="5" t="s">
        <v>2658</v>
      </c>
      <c r="B85" s="6">
        <v>1</v>
      </c>
      <c r="C85" s="6">
        <v>9</v>
      </c>
    </row>
    <row r="86" spans="1:3">
      <c r="A86" s="7">
        <v>1</v>
      </c>
      <c r="B86" s="6">
        <v>1</v>
      </c>
      <c r="C86" s="6">
        <v>9</v>
      </c>
    </row>
    <row r="87" spans="1:3">
      <c r="A87" s="5" t="s">
        <v>33</v>
      </c>
      <c r="B87" s="6">
        <v>12</v>
      </c>
      <c r="C87" s="6">
        <v>36</v>
      </c>
    </row>
    <row r="88" spans="1:3">
      <c r="A88" s="7" t="s">
        <v>4034</v>
      </c>
      <c r="B88" s="6">
        <v>6</v>
      </c>
      <c r="C88" s="6">
        <v>18</v>
      </c>
    </row>
    <row r="89" spans="1:3">
      <c r="A89" s="7" t="s">
        <v>3840</v>
      </c>
      <c r="B89" s="6">
        <v>6</v>
      </c>
      <c r="C89" s="6">
        <v>18</v>
      </c>
    </row>
    <row r="90" spans="1:3">
      <c r="A90" s="5" t="s">
        <v>54</v>
      </c>
      <c r="B90" s="6">
        <v>40</v>
      </c>
      <c r="C90" s="6">
        <v>144</v>
      </c>
    </row>
    <row r="91" spans="1:3">
      <c r="A91" s="7" t="s">
        <v>3946</v>
      </c>
      <c r="B91" s="6">
        <v>6</v>
      </c>
      <c r="C91" s="6">
        <v>21.6</v>
      </c>
    </row>
    <row r="92" spans="1:3">
      <c r="A92" s="7" t="s">
        <v>4165</v>
      </c>
      <c r="B92" s="6">
        <v>6</v>
      </c>
      <c r="C92" s="6">
        <v>21.6</v>
      </c>
    </row>
    <row r="93" spans="1:3">
      <c r="A93" s="7" t="s">
        <v>3749</v>
      </c>
      <c r="B93" s="6">
        <v>6</v>
      </c>
      <c r="C93" s="6">
        <v>21.6</v>
      </c>
    </row>
    <row r="94" spans="1:3">
      <c r="A94" s="7" t="s">
        <v>3876</v>
      </c>
      <c r="B94" s="6">
        <v>4</v>
      </c>
      <c r="C94" s="6">
        <v>14.4</v>
      </c>
    </row>
    <row r="95" spans="1:3">
      <c r="A95" s="7" t="s">
        <v>3670</v>
      </c>
      <c r="B95" s="6">
        <v>6</v>
      </c>
      <c r="C95" s="6">
        <v>21.6</v>
      </c>
    </row>
    <row r="96" spans="1:3">
      <c r="A96" s="7" t="s">
        <v>4044</v>
      </c>
      <c r="B96" s="6">
        <v>6</v>
      </c>
      <c r="C96" s="6">
        <v>21.6</v>
      </c>
    </row>
    <row r="97" spans="1:3">
      <c r="A97" s="7" t="s">
        <v>3752</v>
      </c>
      <c r="B97" s="6">
        <v>6</v>
      </c>
      <c r="C97" s="6">
        <v>21.6</v>
      </c>
    </row>
    <row r="98" spans="1:3">
      <c r="A98" s="5" t="s">
        <v>21</v>
      </c>
      <c r="B98" s="6">
        <v>39</v>
      </c>
      <c r="C98" s="6">
        <v>561.5999999999998</v>
      </c>
    </row>
    <row r="99" spans="1:3">
      <c r="A99" s="7" t="s">
        <v>4099</v>
      </c>
      <c r="B99" s="6">
        <v>3</v>
      </c>
      <c r="C99" s="6">
        <v>43.2</v>
      </c>
    </row>
    <row r="100" spans="1:3">
      <c r="A100" s="7" t="s">
        <v>3958</v>
      </c>
      <c r="B100" s="6">
        <v>3</v>
      </c>
      <c r="C100" s="6">
        <v>43.2</v>
      </c>
    </row>
    <row r="101" spans="1:3">
      <c r="A101" s="7" t="s">
        <v>3792</v>
      </c>
      <c r="B101" s="6">
        <v>4</v>
      </c>
      <c r="C101" s="6">
        <v>57.6</v>
      </c>
    </row>
    <row r="102" spans="1:3">
      <c r="A102" s="7" t="s">
        <v>3748</v>
      </c>
      <c r="B102" s="6">
        <v>3</v>
      </c>
      <c r="C102" s="6">
        <v>43.2</v>
      </c>
    </row>
    <row r="103" spans="1:3">
      <c r="A103" s="7" t="s">
        <v>3865</v>
      </c>
      <c r="B103" s="6">
        <v>3</v>
      </c>
      <c r="C103" s="6">
        <v>43.2</v>
      </c>
    </row>
    <row r="104" spans="1:3">
      <c r="A104" s="7" t="s">
        <v>3718</v>
      </c>
      <c r="B104" s="6">
        <v>2</v>
      </c>
      <c r="C104" s="6">
        <v>28.8</v>
      </c>
    </row>
    <row r="105" spans="1:3">
      <c r="A105" s="7" t="s">
        <v>4009</v>
      </c>
      <c r="B105" s="6">
        <v>1</v>
      </c>
      <c r="C105" s="6">
        <v>14.4</v>
      </c>
    </row>
    <row r="106" spans="1:3">
      <c r="A106" s="7" t="s">
        <v>3959</v>
      </c>
      <c r="B106" s="6">
        <v>1</v>
      </c>
      <c r="C106" s="6">
        <v>14.4</v>
      </c>
    </row>
    <row r="107" spans="1:3">
      <c r="A107" s="7" t="s">
        <v>4059</v>
      </c>
      <c r="B107" s="6">
        <v>1</v>
      </c>
      <c r="C107" s="6">
        <v>14.4</v>
      </c>
    </row>
    <row r="108" spans="1:3">
      <c r="A108" s="7" t="s">
        <v>3910</v>
      </c>
      <c r="B108" s="6">
        <v>3</v>
      </c>
      <c r="C108" s="6">
        <v>43.2</v>
      </c>
    </row>
    <row r="109" spans="1:3">
      <c r="A109" s="7" t="s">
        <v>4121</v>
      </c>
      <c r="B109" s="6">
        <v>3</v>
      </c>
      <c r="C109" s="6">
        <v>43.2</v>
      </c>
    </row>
    <row r="110" spans="1:3">
      <c r="A110" s="7" t="s">
        <v>4017</v>
      </c>
      <c r="B110" s="6">
        <v>3</v>
      </c>
      <c r="C110" s="6">
        <v>43.2</v>
      </c>
    </row>
    <row r="111" spans="1:3">
      <c r="A111" s="7" t="s">
        <v>3811</v>
      </c>
      <c r="B111" s="6">
        <v>1</v>
      </c>
      <c r="C111" s="6">
        <v>14.4</v>
      </c>
    </row>
    <row r="112" spans="1:3">
      <c r="A112" s="7" t="s">
        <v>4127</v>
      </c>
      <c r="B112" s="6">
        <v>3</v>
      </c>
      <c r="C112" s="6">
        <v>43.2</v>
      </c>
    </row>
    <row r="113" spans="1:3">
      <c r="A113" s="7" t="s">
        <v>3761</v>
      </c>
      <c r="B113" s="6">
        <v>3</v>
      </c>
      <c r="C113" s="6">
        <v>43.2</v>
      </c>
    </row>
    <row r="114" spans="1:3">
      <c r="A114" s="7" t="s">
        <v>4192</v>
      </c>
      <c r="B114" s="6">
        <v>1</v>
      </c>
      <c r="C114" s="6">
        <v>14.4</v>
      </c>
    </row>
    <row r="115" spans="1:3">
      <c r="A115" s="7" t="s">
        <v>3950</v>
      </c>
      <c r="B115" s="6">
        <v>1</v>
      </c>
      <c r="C115" s="6">
        <v>14.4</v>
      </c>
    </row>
    <row r="116" spans="1:3">
      <c r="A116" s="5" t="s">
        <v>100</v>
      </c>
      <c r="B116" s="6">
        <v>15</v>
      </c>
      <c r="C116" s="6">
        <v>495</v>
      </c>
    </row>
    <row r="117" spans="1:3">
      <c r="A117" s="7" t="s">
        <v>4082</v>
      </c>
      <c r="B117" s="6">
        <v>3</v>
      </c>
      <c r="C117" s="6">
        <v>99</v>
      </c>
    </row>
    <row r="118" spans="1:3">
      <c r="A118" s="7" t="s">
        <v>3893</v>
      </c>
      <c r="B118" s="6">
        <v>3</v>
      </c>
      <c r="C118" s="6">
        <v>99</v>
      </c>
    </row>
    <row r="119" spans="1:3">
      <c r="A119" s="7" t="s">
        <v>3942</v>
      </c>
      <c r="B119" s="6">
        <v>3</v>
      </c>
      <c r="C119" s="6">
        <v>99</v>
      </c>
    </row>
    <row r="120" spans="1:3">
      <c r="A120" s="7" t="s">
        <v>4006</v>
      </c>
      <c r="B120" s="6">
        <v>3</v>
      </c>
      <c r="C120" s="6">
        <v>99</v>
      </c>
    </row>
    <row r="121" spans="1:3">
      <c r="A121" s="7" t="s">
        <v>4019</v>
      </c>
      <c r="B121" s="6">
        <v>3</v>
      </c>
      <c r="C121" s="6">
        <v>99</v>
      </c>
    </row>
    <row r="122" spans="1:3">
      <c r="A122" s="5" t="s">
        <v>26</v>
      </c>
      <c r="B122" s="6">
        <v>39</v>
      </c>
      <c r="C122" s="6">
        <v>561.59999999999991</v>
      </c>
    </row>
    <row r="123" spans="1:3">
      <c r="A123" s="7" t="s">
        <v>4119</v>
      </c>
      <c r="B123" s="6">
        <v>3</v>
      </c>
      <c r="C123" s="6">
        <v>43.2</v>
      </c>
    </row>
    <row r="124" spans="1:3">
      <c r="A124" s="7" t="s">
        <v>3936</v>
      </c>
      <c r="B124" s="6">
        <v>3</v>
      </c>
      <c r="C124" s="6">
        <v>43.2</v>
      </c>
    </row>
    <row r="125" spans="1:3">
      <c r="A125" s="7" t="s">
        <v>3739</v>
      </c>
      <c r="B125" s="6">
        <v>3</v>
      </c>
      <c r="C125" s="6">
        <v>43.2</v>
      </c>
    </row>
    <row r="126" spans="1:3">
      <c r="A126" s="7" t="s">
        <v>4004</v>
      </c>
      <c r="B126" s="6">
        <v>3</v>
      </c>
      <c r="C126" s="6">
        <v>43.2</v>
      </c>
    </row>
    <row r="127" spans="1:3">
      <c r="A127" s="7" t="s">
        <v>4176</v>
      </c>
      <c r="B127" s="6">
        <v>3</v>
      </c>
      <c r="C127" s="6">
        <v>43.2</v>
      </c>
    </row>
    <row r="128" spans="1:3">
      <c r="A128" s="7" t="s">
        <v>4086</v>
      </c>
      <c r="B128" s="6">
        <v>1</v>
      </c>
      <c r="C128" s="6">
        <v>14.4</v>
      </c>
    </row>
    <row r="129" spans="1:3">
      <c r="A129" s="7" t="s">
        <v>3832</v>
      </c>
      <c r="B129" s="6">
        <v>3</v>
      </c>
      <c r="C129" s="6">
        <v>43.2</v>
      </c>
    </row>
    <row r="130" spans="1:3">
      <c r="A130" s="7" t="s">
        <v>3898</v>
      </c>
      <c r="B130" s="6">
        <v>1</v>
      </c>
      <c r="C130" s="6">
        <v>14.4</v>
      </c>
    </row>
    <row r="131" spans="1:3">
      <c r="A131" s="7" t="s">
        <v>3697</v>
      </c>
      <c r="B131" s="6">
        <v>1</v>
      </c>
      <c r="C131" s="6">
        <v>14.4</v>
      </c>
    </row>
    <row r="132" spans="1:3">
      <c r="A132" s="7" t="s">
        <v>3989</v>
      </c>
      <c r="B132" s="6">
        <v>3</v>
      </c>
      <c r="C132" s="6">
        <v>43.2</v>
      </c>
    </row>
    <row r="133" spans="1:3">
      <c r="A133" s="7" t="s">
        <v>3847</v>
      </c>
      <c r="B133" s="6">
        <v>3</v>
      </c>
      <c r="C133" s="6">
        <v>43.2</v>
      </c>
    </row>
    <row r="134" spans="1:3">
      <c r="A134" s="7" t="s">
        <v>3859</v>
      </c>
      <c r="B134" s="6">
        <v>3</v>
      </c>
      <c r="C134" s="6">
        <v>43.2</v>
      </c>
    </row>
    <row r="135" spans="1:3">
      <c r="A135" s="7" t="s">
        <v>3935</v>
      </c>
      <c r="B135" s="6">
        <v>1</v>
      </c>
      <c r="C135" s="6">
        <v>14.4</v>
      </c>
    </row>
    <row r="136" spans="1:3">
      <c r="A136" s="7" t="s">
        <v>4180</v>
      </c>
      <c r="B136" s="6">
        <v>3</v>
      </c>
      <c r="C136" s="6">
        <v>43.2</v>
      </c>
    </row>
    <row r="137" spans="1:3">
      <c r="A137" s="7" t="s">
        <v>4162</v>
      </c>
      <c r="B137" s="6">
        <v>3</v>
      </c>
      <c r="C137" s="6">
        <v>43.2</v>
      </c>
    </row>
    <row r="138" spans="1:3">
      <c r="A138" s="7" t="s">
        <v>3824</v>
      </c>
      <c r="B138" s="6">
        <v>1</v>
      </c>
      <c r="C138" s="6">
        <v>14.4</v>
      </c>
    </row>
    <row r="139" spans="1:3">
      <c r="A139" s="7" t="s">
        <v>4081</v>
      </c>
      <c r="B139" s="6">
        <v>1</v>
      </c>
      <c r="C139" s="6">
        <v>14.4</v>
      </c>
    </row>
    <row r="140" spans="1:3">
      <c r="A140" s="5" t="s">
        <v>50</v>
      </c>
      <c r="B140" s="6">
        <v>15</v>
      </c>
      <c r="C140" s="6">
        <v>234</v>
      </c>
    </row>
    <row r="141" spans="1:3">
      <c r="A141" s="7" t="s">
        <v>4123</v>
      </c>
      <c r="B141" s="6">
        <v>3</v>
      </c>
      <c r="C141" s="6">
        <v>46.8</v>
      </c>
    </row>
    <row r="142" spans="1:3">
      <c r="A142" s="7" t="s">
        <v>4041</v>
      </c>
      <c r="B142" s="6">
        <v>3</v>
      </c>
      <c r="C142" s="6">
        <v>46.8</v>
      </c>
    </row>
    <row r="143" spans="1:3">
      <c r="A143" s="7" t="s">
        <v>4138</v>
      </c>
      <c r="B143" s="6">
        <v>3</v>
      </c>
      <c r="C143" s="6">
        <v>46.8</v>
      </c>
    </row>
    <row r="144" spans="1:3">
      <c r="A144" s="7" t="s">
        <v>4148</v>
      </c>
      <c r="B144" s="6">
        <v>3</v>
      </c>
      <c r="C144" s="6">
        <v>46.8</v>
      </c>
    </row>
    <row r="145" spans="1:3">
      <c r="A145" s="7" t="s">
        <v>4112</v>
      </c>
      <c r="B145" s="6">
        <v>3</v>
      </c>
      <c r="C145" s="6">
        <v>46.8</v>
      </c>
    </row>
    <row r="146" spans="1:3">
      <c r="A146" s="5" t="s">
        <v>22</v>
      </c>
      <c r="B146" s="6">
        <v>20</v>
      </c>
      <c r="C146" s="6">
        <v>288</v>
      </c>
    </row>
    <row r="147" spans="1:3">
      <c r="A147" s="7" t="s">
        <v>3997</v>
      </c>
      <c r="B147" s="6">
        <v>2</v>
      </c>
      <c r="C147" s="6">
        <v>28.8</v>
      </c>
    </row>
    <row r="148" spans="1:3">
      <c r="A148" s="7" t="s">
        <v>3931</v>
      </c>
      <c r="B148" s="6">
        <v>2</v>
      </c>
      <c r="C148" s="6">
        <v>28.8</v>
      </c>
    </row>
    <row r="149" spans="1:3">
      <c r="A149" s="7" t="s">
        <v>3971</v>
      </c>
      <c r="B149" s="6">
        <v>1</v>
      </c>
      <c r="C149" s="6">
        <v>14.4</v>
      </c>
    </row>
    <row r="150" spans="1:3">
      <c r="A150" s="7" t="s">
        <v>3784</v>
      </c>
      <c r="B150" s="6">
        <v>2</v>
      </c>
      <c r="C150" s="6">
        <v>28.8</v>
      </c>
    </row>
    <row r="151" spans="1:3">
      <c r="A151" s="7" t="s">
        <v>3967</v>
      </c>
      <c r="B151" s="6">
        <v>1</v>
      </c>
      <c r="C151" s="6">
        <v>14.4</v>
      </c>
    </row>
    <row r="152" spans="1:3">
      <c r="A152" s="7" t="s">
        <v>3930</v>
      </c>
      <c r="B152" s="6">
        <v>1</v>
      </c>
      <c r="C152" s="6">
        <v>14.4</v>
      </c>
    </row>
    <row r="153" spans="1:3">
      <c r="A153" s="7" t="s">
        <v>4000</v>
      </c>
      <c r="B153" s="6">
        <v>2</v>
      </c>
      <c r="C153" s="6">
        <v>28.8</v>
      </c>
    </row>
    <row r="154" spans="1:3">
      <c r="A154" s="7" t="s">
        <v>4159</v>
      </c>
      <c r="B154" s="6">
        <v>2</v>
      </c>
      <c r="C154" s="6">
        <v>28.8</v>
      </c>
    </row>
    <row r="155" spans="1:3">
      <c r="A155" s="7" t="s">
        <v>4175</v>
      </c>
      <c r="B155" s="6">
        <v>1</v>
      </c>
      <c r="C155" s="6">
        <v>14.4</v>
      </c>
    </row>
    <row r="156" spans="1:3">
      <c r="A156" s="7" t="s">
        <v>3886</v>
      </c>
      <c r="B156" s="6">
        <v>2</v>
      </c>
      <c r="C156" s="6">
        <v>28.8</v>
      </c>
    </row>
    <row r="157" spans="1:3">
      <c r="A157" s="7" t="s">
        <v>4023</v>
      </c>
      <c r="B157" s="6">
        <v>2</v>
      </c>
      <c r="C157" s="6">
        <v>28.8</v>
      </c>
    </row>
    <row r="158" spans="1:3">
      <c r="A158" s="7" t="s">
        <v>3986</v>
      </c>
      <c r="B158" s="6">
        <v>1</v>
      </c>
      <c r="C158" s="6">
        <v>14.4</v>
      </c>
    </row>
    <row r="159" spans="1:3">
      <c r="A159" s="7" t="s">
        <v>3707</v>
      </c>
      <c r="B159" s="6">
        <v>1</v>
      </c>
      <c r="C159" s="6">
        <v>14.4</v>
      </c>
    </row>
    <row r="160" spans="1:3">
      <c r="A160" s="5" t="s">
        <v>88</v>
      </c>
      <c r="B160" s="6">
        <v>6</v>
      </c>
      <c r="C160" s="6">
        <v>144</v>
      </c>
    </row>
    <row r="161" spans="1:3">
      <c r="A161" s="7" t="s">
        <v>4048</v>
      </c>
      <c r="B161" s="6">
        <v>2</v>
      </c>
      <c r="C161" s="6">
        <v>48</v>
      </c>
    </row>
    <row r="162" spans="1:3">
      <c r="A162" s="7" t="s">
        <v>4015</v>
      </c>
      <c r="B162" s="6">
        <v>2</v>
      </c>
      <c r="C162" s="6">
        <v>48</v>
      </c>
    </row>
    <row r="163" spans="1:3">
      <c r="A163" s="7" t="s">
        <v>4064</v>
      </c>
      <c r="B163" s="6">
        <v>2</v>
      </c>
      <c r="C163" s="6">
        <v>48</v>
      </c>
    </row>
    <row r="164" spans="1:3">
      <c r="A164" s="5" t="s">
        <v>23</v>
      </c>
      <c r="B164" s="6">
        <v>18</v>
      </c>
      <c r="C164" s="6">
        <v>235.44000000000003</v>
      </c>
    </row>
    <row r="165" spans="1:3">
      <c r="A165" s="7" t="s">
        <v>3775</v>
      </c>
      <c r="B165" s="6">
        <v>2</v>
      </c>
      <c r="C165" s="6">
        <v>26.16</v>
      </c>
    </row>
    <row r="166" spans="1:3">
      <c r="A166" s="7" t="s">
        <v>4046</v>
      </c>
      <c r="B166" s="6">
        <v>2</v>
      </c>
      <c r="C166" s="6">
        <v>26.16</v>
      </c>
    </row>
    <row r="167" spans="1:3">
      <c r="A167" s="7" t="s">
        <v>3912</v>
      </c>
      <c r="B167" s="6">
        <v>1</v>
      </c>
      <c r="C167" s="6">
        <v>13.08</v>
      </c>
    </row>
    <row r="168" spans="1:3">
      <c r="A168" s="7" t="s">
        <v>3834</v>
      </c>
      <c r="B168" s="6">
        <v>1</v>
      </c>
      <c r="C168" s="6">
        <v>13.08</v>
      </c>
    </row>
    <row r="169" spans="1:3">
      <c r="A169" s="7" t="s">
        <v>3717</v>
      </c>
      <c r="B169" s="6">
        <v>1</v>
      </c>
      <c r="C169" s="6">
        <v>13.08</v>
      </c>
    </row>
    <row r="170" spans="1:3">
      <c r="A170" s="7" t="s">
        <v>3746</v>
      </c>
      <c r="B170" s="6">
        <v>2</v>
      </c>
      <c r="C170" s="6">
        <v>26.16</v>
      </c>
    </row>
    <row r="171" spans="1:3">
      <c r="A171" s="7" t="s">
        <v>3996</v>
      </c>
      <c r="B171" s="6">
        <v>2</v>
      </c>
      <c r="C171" s="6">
        <v>26.16</v>
      </c>
    </row>
    <row r="172" spans="1:3">
      <c r="A172" s="7" t="s">
        <v>3671</v>
      </c>
      <c r="B172" s="6">
        <v>1</v>
      </c>
      <c r="C172" s="6">
        <v>13.08</v>
      </c>
    </row>
    <row r="173" spans="1:3">
      <c r="A173" s="7" t="s">
        <v>3952</v>
      </c>
      <c r="B173" s="6">
        <v>2</v>
      </c>
      <c r="C173" s="6">
        <v>26.16</v>
      </c>
    </row>
    <row r="174" spans="1:3">
      <c r="A174" s="7" t="s">
        <v>3905</v>
      </c>
      <c r="B174" s="6">
        <v>2</v>
      </c>
      <c r="C174" s="6">
        <v>26.16</v>
      </c>
    </row>
    <row r="175" spans="1:3">
      <c r="A175" s="7" t="s">
        <v>4120</v>
      </c>
      <c r="B175" s="6">
        <v>1</v>
      </c>
      <c r="C175" s="6">
        <v>13.08</v>
      </c>
    </row>
    <row r="176" spans="1:3">
      <c r="A176" s="7" t="s">
        <v>3816</v>
      </c>
      <c r="B176" s="6">
        <v>1</v>
      </c>
      <c r="C176" s="6">
        <v>13.08</v>
      </c>
    </row>
    <row r="177" spans="1:3">
      <c r="A177" s="5" t="s">
        <v>25</v>
      </c>
      <c r="B177" s="6">
        <v>20</v>
      </c>
      <c r="C177" s="6">
        <v>251.99999999999994</v>
      </c>
    </row>
    <row r="178" spans="1:3">
      <c r="A178" s="7" t="s">
        <v>3835</v>
      </c>
      <c r="B178" s="6">
        <v>2</v>
      </c>
      <c r="C178" s="6">
        <v>25.2</v>
      </c>
    </row>
    <row r="179" spans="1:3">
      <c r="A179" s="7" t="s">
        <v>4145</v>
      </c>
      <c r="B179" s="6">
        <v>2</v>
      </c>
      <c r="C179" s="6">
        <v>25.2</v>
      </c>
    </row>
    <row r="180" spans="1:3">
      <c r="A180" s="7" t="s">
        <v>2660</v>
      </c>
      <c r="B180" s="6">
        <v>2</v>
      </c>
      <c r="C180" s="6">
        <v>25.2</v>
      </c>
    </row>
    <row r="181" spans="1:3">
      <c r="A181" s="7" t="s">
        <v>3814</v>
      </c>
      <c r="B181" s="6">
        <v>2</v>
      </c>
      <c r="C181" s="6">
        <v>25.2</v>
      </c>
    </row>
    <row r="182" spans="1:3">
      <c r="A182" s="7" t="s">
        <v>4098</v>
      </c>
      <c r="B182" s="6">
        <v>2</v>
      </c>
      <c r="C182" s="6">
        <v>25.2</v>
      </c>
    </row>
    <row r="183" spans="1:3">
      <c r="A183" s="7" t="s">
        <v>3715</v>
      </c>
      <c r="B183" s="6">
        <v>2</v>
      </c>
      <c r="C183" s="6">
        <v>25.2</v>
      </c>
    </row>
    <row r="184" spans="1:3">
      <c r="A184" s="7" t="s">
        <v>3770</v>
      </c>
      <c r="B184" s="6">
        <v>2</v>
      </c>
      <c r="C184" s="6">
        <v>25.2</v>
      </c>
    </row>
    <row r="185" spans="1:3">
      <c r="A185" s="7" t="s">
        <v>3900</v>
      </c>
      <c r="B185" s="6">
        <v>2</v>
      </c>
      <c r="C185" s="6">
        <v>25.2</v>
      </c>
    </row>
    <row r="186" spans="1:3">
      <c r="A186" s="7" t="s">
        <v>3973</v>
      </c>
      <c r="B186" s="6">
        <v>2</v>
      </c>
      <c r="C186" s="6">
        <v>25.2</v>
      </c>
    </row>
    <row r="187" spans="1:3">
      <c r="A187" s="7" t="s">
        <v>4087</v>
      </c>
      <c r="B187" s="6">
        <v>2</v>
      </c>
      <c r="C187" s="6">
        <v>25.2</v>
      </c>
    </row>
    <row r="188" spans="1:3">
      <c r="A188" s="5" t="s">
        <v>59</v>
      </c>
      <c r="B188" s="6">
        <v>8</v>
      </c>
      <c r="C188" s="6">
        <v>110.4</v>
      </c>
    </row>
    <row r="189" spans="1:3">
      <c r="A189" s="7" t="s">
        <v>4045</v>
      </c>
      <c r="B189" s="6">
        <v>2</v>
      </c>
      <c r="C189" s="6">
        <v>27.6</v>
      </c>
    </row>
    <row r="190" spans="1:3">
      <c r="A190" s="7" t="s">
        <v>4157</v>
      </c>
      <c r="B190" s="6">
        <v>2</v>
      </c>
      <c r="C190" s="6">
        <v>27.6</v>
      </c>
    </row>
    <row r="191" spans="1:3">
      <c r="A191" s="7" t="s">
        <v>4117</v>
      </c>
      <c r="B191" s="6">
        <v>2</v>
      </c>
      <c r="C191" s="6">
        <v>27.6</v>
      </c>
    </row>
    <row r="192" spans="1:3">
      <c r="A192" s="7" t="s">
        <v>3889</v>
      </c>
      <c r="B192" s="6">
        <v>2</v>
      </c>
      <c r="C192" s="6">
        <v>27.6</v>
      </c>
    </row>
    <row r="193" spans="1:3">
      <c r="A193" s="5" t="s">
        <v>34</v>
      </c>
      <c r="B193" s="6">
        <v>18</v>
      </c>
      <c r="C193" s="6">
        <v>198.71999999999997</v>
      </c>
    </row>
    <row r="194" spans="1:3">
      <c r="A194" s="7" t="s">
        <v>4129</v>
      </c>
      <c r="B194" s="6">
        <v>2</v>
      </c>
      <c r="C194" s="6">
        <v>22.08</v>
      </c>
    </row>
    <row r="195" spans="1:3">
      <c r="A195" s="7" t="s">
        <v>4065</v>
      </c>
      <c r="B195" s="6">
        <v>2</v>
      </c>
      <c r="C195" s="6">
        <v>22.08</v>
      </c>
    </row>
    <row r="196" spans="1:3">
      <c r="A196" s="7" t="s">
        <v>3887</v>
      </c>
      <c r="B196" s="6">
        <v>2</v>
      </c>
      <c r="C196" s="6">
        <v>22.08</v>
      </c>
    </row>
    <row r="197" spans="1:3">
      <c r="A197" s="7" t="s">
        <v>4026</v>
      </c>
      <c r="B197" s="6">
        <v>2</v>
      </c>
      <c r="C197" s="6">
        <v>22.08</v>
      </c>
    </row>
    <row r="198" spans="1:3">
      <c r="A198" s="7" t="s">
        <v>3940</v>
      </c>
      <c r="B198" s="6">
        <v>2</v>
      </c>
      <c r="C198" s="6">
        <v>22.08</v>
      </c>
    </row>
    <row r="199" spans="1:3">
      <c r="A199" s="7" t="s">
        <v>3839</v>
      </c>
      <c r="B199" s="6">
        <v>2</v>
      </c>
      <c r="C199" s="6">
        <v>22.08</v>
      </c>
    </row>
    <row r="200" spans="1:3">
      <c r="A200" s="7" t="s">
        <v>3699</v>
      </c>
      <c r="B200" s="6">
        <v>2</v>
      </c>
      <c r="C200" s="6">
        <v>22.08</v>
      </c>
    </row>
    <row r="201" spans="1:3">
      <c r="A201" s="7" t="s">
        <v>4060</v>
      </c>
      <c r="B201" s="6">
        <v>2</v>
      </c>
      <c r="C201" s="6">
        <v>22.08</v>
      </c>
    </row>
    <row r="202" spans="1:3">
      <c r="A202" s="7" t="s">
        <v>4103</v>
      </c>
      <c r="B202" s="6">
        <v>2</v>
      </c>
      <c r="C202" s="6">
        <v>22.08</v>
      </c>
    </row>
    <row r="203" spans="1:3">
      <c r="A203" s="5" t="s">
        <v>2431</v>
      </c>
      <c r="B203" s="6">
        <v>22</v>
      </c>
      <c r="C203" s="6">
        <v>261.35999999999996</v>
      </c>
    </row>
    <row r="204" spans="1:3">
      <c r="A204" s="7" t="s">
        <v>4100</v>
      </c>
      <c r="B204" s="6">
        <v>3</v>
      </c>
      <c r="C204" s="6">
        <v>35.64</v>
      </c>
    </row>
    <row r="205" spans="1:3">
      <c r="A205" s="7" t="s">
        <v>4113</v>
      </c>
      <c r="B205" s="6">
        <v>3</v>
      </c>
      <c r="C205" s="6">
        <v>35.64</v>
      </c>
    </row>
    <row r="206" spans="1:3">
      <c r="A206" s="7" t="s">
        <v>3762</v>
      </c>
      <c r="B206" s="6">
        <v>3</v>
      </c>
      <c r="C206" s="6">
        <v>35.64</v>
      </c>
    </row>
    <row r="207" spans="1:3">
      <c r="A207" s="7" t="s">
        <v>3897</v>
      </c>
      <c r="B207" s="6">
        <v>2</v>
      </c>
      <c r="C207" s="6">
        <v>23.76</v>
      </c>
    </row>
    <row r="208" spans="1:3">
      <c r="A208" s="7" t="s">
        <v>3831</v>
      </c>
      <c r="B208" s="6">
        <v>2</v>
      </c>
      <c r="C208" s="6">
        <v>23.76</v>
      </c>
    </row>
    <row r="209" spans="1:3">
      <c r="A209" s="7" t="s">
        <v>3702</v>
      </c>
      <c r="B209" s="6">
        <v>3</v>
      </c>
      <c r="C209" s="6">
        <v>35.64</v>
      </c>
    </row>
    <row r="210" spans="1:3">
      <c r="A210" s="7" t="s">
        <v>4150</v>
      </c>
      <c r="B210" s="6">
        <v>3</v>
      </c>
      <c r="C210" s="6">
        <v>35.64</v>
      </c>
    </row>
    <row r="211" spans="1:3">
      <c r="A211" s="7" t="s">
        <v>3944</v>
      </c>
      <c r="B211" s="6">
        <v>3</v>
      </c>
      <c r="C211" s="6">
        <v>35.64</v>
      </c>
    </row>
    <row r="212" spans="1:3">
      <c r="A212" s="5" t="s">
        <v>2429</v>
      </c>
      <c r="B212" s="6">
        <v>16</v>
      </c>
      <c r="C212" s="6">
        <v>222.72</v>
      </c>
    </row>
    <row r="213" spans="1:3">
      <c r="A213" s="7" t="s">
        <v>3928</v>
      </c>
      <c r="B213" s="6">
        <v>2</v>
      </c>
      <c r="C213" s="6">
        <v>27.84</v>
      </c>
    </row>
    <row r="214" spans="1:3">
      <c r="A214" s="7" t="s">
        <v>3854</v>
      </c>
      <c r="B214" s="6">
        <v>2</v>
      </c>
      <c r="C214" s="6">
        <v>27.84</v>
      </c>
    </row>
    <row r="215" spans="1:3">
      <c r="A215" s="7" t="s">
        <v>4118</v>
      </c>
      <c r="B215" s="6">
        <v>2</v>
      </c>
      <c r="C215" s="6">
        <v>27.84</v>
      </c>
    </row>
    <row r="216" spans="1:3">
      <c r="A216" s="7" t="s">
        <v>4124</v>
      </c>
      <c r="B216" s="6">
        <v>2</v>
      </c>
      <c r="C216" s="6">
        <v>27.84</v>
      </c>
    </row>
    <row r="217" spans="1:3">
      <c r="A217" s="7" t="s">
        <v>4012</v>
      </c>
      <c r="B217" s="6">
        <v>2</v>
      </c>
      <c r="C217" s="6">
        <v>27.84</v>
      </c>
    </row>
    <row r="218" spans="1:3">
      <c r="A218" s="7" t="s">
        <v>4018</v>
      </c>
      <c r="B218" s="6">
        <v>2</v>
      </c>
      <c r="C218" s="6">
        <v>27.84</v>
      </c>
    </row>
    <row r="219" spans="1:3">
      <c r="A219" s="7" t="s">
        <v>3951</v>
      </c>
      <c r="B219" s="6">
        <v>2</v>
      </c>
      <c r="C219" s="6">
        <v>27.84</v>
      </c>
    </row>
    <row r="220" spans="1:3">
      <c r="A220" s="7" t="s">
        <v>4088</v>
      </c>
      <c r="B220" s="6">
        <v>2</v>
      </c>
      <c r="C220" s="6">
        <v>27.84</v>
      </c>
    </row>
    <row r="221" spans="1:3">
      <c r="A221" s="5" t="s">
        <v>2418</v>
      </c>
      <c r="B221" s="6">
        <v>17</v>
      </c>
      <c r="C221" s="6">
        <v>201.95999999999998</v>
      </c>
    </row>
    <row r="222" spans="1:3">
      <c r="A222" s="7" t="s">
        <v>4185</v>
      </c>
      <c r="B222" s="6">
        <v>3</v>
      </c>
      <c r="C222" s="6">
        <v>35.64</v>
      </c>
    </row>
    <row r="223" spans="1:3">
      <c r="A223" s="7" t="s">
        <v>3943</v>
      </c>
      <c r="B223" s="6">
        <v>2</v>
      </c>
      <c r="C223" s="6">
        <v>23.76</v>
      </c>
    </row>
    <row r="224" spans="1:3">
      <c r="A224" s="7" t="s">
        <v>4039</v>
      </c>
      <c r="B224" s="6">
        <v>2</v>
      </c>
      <c r="C224" s="6">
        <v>23.76</v>
      </c>
    </row>
    <row r="225" spans="1:3">
      <c r="A225" s="7" t="s">
        <v>3857</v>
      </c>
      <c r="B225" s="6">
        <v>2</v>
      </c>
      <c r="C225" s="6">
        <v>23.76</v>
      </c>
    </row>
    <row r="226" spans="1:3">
      <c r="A226" s="7" t="s">
        <v>4025</v>
      </c>
      <c r="B226" s="6">
        <v>3</v>
      </c>
      <c r="C226" s="6">
        <v>35.64</v>
      </c>
    </row>
    <row r="227" spans="1:3">
      <c r="A227" s="7" t="s">
        <v>2680</v>
      </c>
      <c r="B227" s="6">
        <v>2</v>
      </c>
      <c r="C227" s="6">
        <v>23.76</v>
      </c>
    </row>
    <row r="228" spans="1:3">
      <c r="A228" s="7" t="s">
        <v>3970</v>
      </c>
      <c r="B228" s="6">
        <v>3</v>
      </c>
      <c r="C228" s="6">
        <v>35.64</v>
      </c>
    </row>
    <row r="229" spans="1:3">
      <c r="A229" s="5" t="s">
        <v>2</v>
      </c>
      <c r="B229" s="6">
        <v>27</v>
      </c>
      <c r="C229" s="6">
        <v>129.60000000000002</v>
      </c>
    </row>
    <row r="230" spans="1:3">
      <c r="A230" s="7" t="s">
        <v>2669</v>
      </c>
      <c r="B230" s="6">
        <v>3</v>
      </c>
      <c r="C230" s="6">
        <v>14.399999999999999</v>
      </c>
    </row>
    <row r="231" spans="1:3">
      <c r="A231" s="7" t="s">
        <v>3907</v>
      </c>
      <c r="B231" s="6">
        <v>3</v>
      </c>
      <c r="C231" s="6">
        <v>14.399999999999999</v>
      </c>
    </row>
    <row r="232" spans="1:3">
      <c r="A232" s="7" t="s">
        <v>3679</v>
      </c>
      <c r="B232" s="6">
        <v>3</v>
      </c>
      <c r="C232" s="6">
        <v>14.399999999999999</v>
      </c>
    </row>
    <row r="233" spans="1:3">
      <c r="A233" s="7" t="s">
        <v>3937</v>
      </c>
      <c r="B233" s="6">
        <v>3</v>
      </c>
      <c r="C233" s="6">
        <v>14.399999999999999</v>
      </c>
    </row>
    <row r="234" spans="1:3">
      <c r="A234" s="7" t="s">
        <v>4071</v>
      </c>
      <c r="B234" s="6">
        <v>3</v>
      </c>
      <c r="C234" s="6">
        <v>14.399999999999999</v>
      </c>
    </row>
    <row r="235" spans="1:3">
      <c r="A235" s="7" t="s">
        <v>2673</v>
      </c>
      <c r="B235" s="6">
        <v>3</v>
      </c>
      <c r="C235" s="6">
        <v>14.399999999999999</v>
      </c>
    </row>
    <row r="236" spans="1:3">
      <c r="A236" s="7" t="s">
        <v>4184</v>
      </c>
      <c r="B236" s="6">
        <v>3</v>
      </c>
      <c r="C236" s="6">
        <v>14.399999999999999</v>
      </c>
    </row>
    <row r="237" spans="1:3">
      <c r="A237" s="7" t="s">
        <v>2672</v>
      </c>
      <c r="B237" s="6">
        <v>3</v>
      </c>
      <c r="C237" s="6">
        <v>14.399999999999999</v>
      </c>
    </row>
    <row r="238" spans="1:3">
      <c r="A238" s="7" t="s">
        <v>4132</v>
      </c>
      <c r="B238" s="6">
        <v>3</v>
      </c>
      <c r="C238" s="6">
        <v>14.399999999999999</v>
      </c>
    </row>
    <row r="239" spans="1:3">
      <c r="A239" s="5" t="s">
        <v>24</v>
      </c>
      <c r="B239" s="6">
        <v>22</v>
      </c>
      <c r="C239" s="6">
        <v>105.59999999999997</v>
      </c>
    </row>
    <row r="240" spans="1:3">
      <c r="A240" s="7" t="s">
        <v>4053</v>
      </c>
      <c r="B240" s="6">
        <v>3</v>
      </c>
      <c r="C240" s="6">
        <v>14.399999999999999</v>
      </c>
    </row>
    <row r="241" spans="1:3">
      <c r="A241" s="7" t="s">
        <v>3875</v>
      </c>
      <c r="B241" s="6">
        <v>3</v>
      </c>
      <c r="C241" s="6">
        <v>14.399999999999999</v>
      </c>
    </row>
    <row r="242" spans="1:3">
      <c r="A242" s="7" t="s">
        <v>4077</v>
      </c>
      <c r="B242" s="6">
        <v>1</v>
      </c>
      <c r="C242" s="6">
        <v>4.8</v>
      </c>
    </row>
    <row r="243" spans="1:3">
      <c r="A243" s="7" t="s">
        <v>3948</v>
      </c>
      <c r="B243" s="6">
        <v>1</v>
      </c>
      <c r="C243" s="6">
        <v>4.8</v>
      </c>
    </row>
    <row r="244" spans="1:3">
      <c r="A244" s="7" t="s">
        <v>3719</v>
      </c>
      <c r="B244" s="6">
        <v>1</v>
      </c>
      <c r="C244" s="6">
        <v>4.8</v>
      </c>
    </row>
    <row r="245" spans="1:3">
      <c r="A245" s="7" t="s">
        <v>3709</v>
      </c>
      <c r="B245" s="6">
        <v>1</v>
      </c>
      <c r="C245" s="6">
        <v>4.8</v>
      </c>
    </row>
    <row r="246" spans="1:3">
      <c r="A246" s="7" t="s">
        <v>4104</v>
      </c>
      <c r="B246" s="6">
        <v>3</v>
      </c>
      <c r="C246" s="6">
        <v>14.399999999999999</v>
      </c>
    </row>
    <row r="247" spans="1:3">
      <c r="A247" s="7" t="s">
        <v>4153</v>
      </c>
      <c r="B247" s="6">
        <v>3</v>
      </c>
      <c r="C247" s="6">
        <v>14.399999999999999</v>
      </c>
    </row>
    <row r="248" spans="1:3">
      <c r="A248" s="7" t="s">
        <v>4179</v>
      </c>
      <c r="B248" s="6">
        <v>1</v>
      </c>
      <c r="C248" s="6">
        <v>4.8</v>
      </c>
    </row>
    <row r="249" spans="1:3">
      <c r="A249" s="7" t="s">
        <v>3981</v>
      </c>
      <c r="B249" s="6">
        <v>3</v>
      </c>
      <c r="C249" s="6">
        <v>14.399999999999999</v>
      </c>
    </row>
    <row r="250" spans="1:3">
      <c r="A250" s="7" t="s">
        <v>3993</v>
      </c>
      <c r="B250" s="6">
        <v>1</v>
      </c>
      <c r="C250" s="6">
        <v>4.8</v>
      </c>
    </row>
    <row r="251" spans="1:3">
      <c r="A251" s="7" t="s">
        <v>4080</v>
      </c>
      <c r="B251" s="6">
        <v>1</v>
      </c>
      <c r="C251" s="6">
        <v>4.8</v>
      </c>
    </row>
    <row r="252" spans="1:3">
      <c r="A252" s="5" t="s">
        <v>103</v>
      </c>
      <c r="B252" s="6">
        <v>4</v>
      </c>
      <c r="C252" s="6">
        <v>117.6</v>
      </c>
    </row>
    <row r="253" spans="1:3">
      <c r="A253" s="7" t="s">
        <v>3782</v>
      </c>
      <c r="B253" s="6">
        <v>2</v>
      </c>
      <c r="C253" s="6">
        <v>58.8</v>
      </c>
    </row>
    <row r="254" spans="1:3">
      <c r="A254" s="7" t="s">
        <v>4085</v>
      </c>
      <c r="B254" s="6">
        <v>2</v>
      </c>
      <c r="C254" s="6">
        <v>58.8</v>
      </c>
    </row>
    <row r="255" spans="1:3">
      <c r="A255" s="5" t="s">
        <v>30</v>
      </c>
      <c r="B255" s="6">
        <v>3</v>
      </c>
      <c r="C255" s="6">
        <v>88.199999999999989</v>
      </c>
    </row>
    <row r="256" spans="1:3">
      <c r="A256" s="7" t="s">
        <v>3744</v>
      </c>
      <c r="B256" s="6">
        <v>3</v>
      </c>
      <c r="C256" s="6">
        <v>88.199999999999989</v>
      </c>
    </row>
    <row r="257" spans="1:3">
      <c r="A257" s="5" t="s">
        <v>124</v>
      </c>
      <c r="B257" s="6">
        <v>2</v>
      </c>
      <c r="C257" s="6">
        <v>59.76</v>
      </c>
    </row>
    <row r="258" spans="1:3">
      <c r="A258" s="7" t="s">
        <v>3894</v>
      </c>
      <c r="B258" s="6">
        <v>2</v>
      </c>
      <c r="C258" s="6">
        <v>59.76</v>
      </c>
    </row>
    <row r="259" spans="1:3">
      <c r="A259" s="5" t="s">
        <v>80</v>
      </c>
      <c r="B259" s="6">
        <v>2</v>
      </c>
      <c r="C259" s="6">
        <v>40.799999999999997</v>
      </c>
    </row>
    <row r="260" spans="1:3">
      <c r="A260" s="7" t="s">
        <v>4171</v>
      </c>
      <c r="B260" s="6">
        <v>2</v>
      </c>
      <c r="C260" s="6">
        <v>40.799999999999997</v>
      </c>
    </row>
    <row r="261" spans="1:3">
      <c r="A261" s="5" t="s">
        <v>43</v>
      </c>
      <c r="B261" s="6">
        <v>2</v>
      </c>
      <c r="C261" s="6">
        <v>59.76</v>
      </c>
    </row>
    <row r="262" spans="1:3">
      <c r="A262" s="7" t="s">
        <v>3850</v>
      </c>
      <c r="B262" s="6">
        <v>2</v>
      </c>
      <c r="C262" s="6">
        <v>59.76</v>
      </c>
    </row>
    <row r="263" spans="1:3">
      <c r="A263" s="5" t="s">
        <v>121</v>
      </c>
      <c r="B263" s="6">
        <v>2</v>
      </c>
      <c r="C263" s="6">
        <v>51.12</v>
      </c>
    </row>
    <row r="264" spans="1:3">
      <c r="A264" s="7" t="s">
        <v>4095</v>
      </c>
      <c r="B264" s="6">
        <v>2</v>
      </c>
      <c r="C264" s="6">
        <v>51.12</v>
      </c>
    </row>
    <row r="265" spans="1:3">
      <c r="A265" s="5" t="s">
        <v>2657</v>
      </c>
      <c r="B265" s="6">
        <v>3</v>
      </c>
      <c r="C265" s="6">
        <v>18</v>
      </c>
    </row>
    <row r="266" spans="1:3">
      <c r="A266" s="7">
        <v>6</v>
      </c>
      <c r="B266" s="6">
        <v>3</v>
      </c>
      <c r="C266" s="6">
        <v>18</v>
      </c>
    </row>
    <row r="267" spans="1:3">
      <c r="A267" s="5" t="s">
        <v>60</v>
      </c>
      <c r="B267" s="6">
        <v>6</v>
      </c>
      <c r="C267" s="6">
        <v>108.72</v>
      </c>
    </row>
    <row r="268" spans="1:3">
      <c r="A268" s="7" t="s">
        <v>3844</v>
      </c>
      <c r="B268" s="6">
        <v>2</v>
      </c>
      <c r="C268" s="6">
        <v>36.24</v>
      </c>
    </row>
    <row r="269" spans="1:3">
      <c r="A269" s="7" t="s">
        <v>3713</v>
      </c>
      <c r="B269" s="6">
        <v>2</v>
      </c>
      <c r="C269" s="6">
        <v>36.24</v>
      </c>
    </row>
    <row r="270" spans="1:3">
      <c r="A270" s="7" t="s">
        <v>3901</v>
      </c>
      <c r="B270" s="6">
        <v>2</v>
      </c>
      <c r="C270" s="6">
        <v>36.24</v>
      </c>
    </row>
    <row r="271" spans="1:3">
      <c r="A271" s="5" t="s">
        <v>71</v>
      </c>
      <c r="B271" s="6">
        <v>2</v>
      </c>
      <c r="C271" s="6">
        <v>25.44</v>
      </c>
    </row>
    <row r="272" spans="1:3">
      <c r="A272" s="7" t="s">
        <v>4052</v>
      </c>
      <c r="B272" s="6">
        <v>2</v>
      </c>
      <c r="C272" s="6">
        <v>25.44</v>
      </c>
    </row>
    <row r="273" spans="1:3">
      <c r="A273" s="5" t="s">
        <v>91</v>
      </c>
      <c r="B273" s="6">
        <v>2</v>
      </c>
      <c r="C273" s="6">
        <v>36.24</v>
      </c>
    </row>
    <row r="274" spans="1:3">
      <c r="A274" s="7" t="s">
        <v>4188</v>
      </c>
      <c r="B274" s="6">
        <v>2</v>
      </c>
      <c r="C274" s="6">
        <v>36.24</v>
      </c>
    </row>
    <row r="275" spans="1:3">
      <c r="A275" s="5" t="s">
        <v>2471</v>
      </c>
      <c r="B275" s="6">
        <v>2</v>
      </c>
      <c r="C275" s="6">
        <v>36.24</v>
      </c>
    </row>
    <row r="276" spans="1:3">
      <c r="A276" s="7" t="s">
        <v>3802</v>
      </c>
      <c r="B276" s="6">
        <v>2</v>
      </c>
      <c r="C276" s="6">
        <v>36.24</v>
      </c>
    </row>
    <row r="277" spans="1:3">
      <c r="A277" s="5" t="s">
        <v>84</v>
      </c>
      <c r="B277" s="6">
        <v>2</v>
      </c>
      <c r="C277" s="6">
        <v>36.24</v>
      </c>
    </row>
    <row r="278" spans="1:3">
      <c r="A278" s="7" t="s">
        <v>3998</v>
      </c>
      <c r="B278" s="6">
        <v>2</v>
      </c>
      <c r="C278" s="6">
        <v>36.24</v>
      </c>
    </row>
    <row r="279" spans="1:3">
      <c r="A279" s="5" t="s">
        <v>85</v>
      </c>
      <c r="B279" s="6">
        <v>2</v>
      </c>
      <c r="C279" s="6">
        <v>36.24</v>
      </c>
    </row>
    <row r="280" spans="1:3">
      <c r="A280" s="7" t="s">
        <v>4187</v>
      </c>
      <c r="B280" s="6">
        <v>2</v>
      </c>
      <c r="C280" s="6">
        <v>36.24</v>
      </c>
    </row>
    <row r="281" spans="1:3">
      <c r="A281" s="5" t="s">
        <v>86</v>
      </c>
      <c r="B281" s="6">
        <v>4</v>
      </c>
      <c r="C281" s="6">
        <v>47.52</v>
      </c>
    </row>
    <row r="282" spans="1:3">
      <c r="A282" s="7" t="s">
        <v>3885</v>
      </c>
      <c r="B282" s="6">
        <v>2</v>
      </c>
      <c r="C282" s="6">
        <v>23.76</v>
      </c>
    </row>
    <row r="283" spans="1:3">
      <c r="A283" s="7" t="s">
        <v>4063</v>
      </c>
      <c r="B283" s="6">
        <v>2</v>
      </c>
      <c r="C283" s="6">
        <v>23.76</v>
      </c>
    </row>
    <row r="284" spans="1:3">
      <c r="A284" s="5" t="s">
        <v>128</v>
      </c>
      <c r="B284" s="6">
        <v>2</v>
      </c>
      <c r="C284" s="6">
        <v>31.2</v>
      </c>
    </row>
    <row r="285" spans="1:3">
      <c r="A285" s="7" t="s">
        <v>2670</v>
      </c>
      <c r="B285" s="6">
        <v>2</v>
      </c>
      <c r="C285" s="6">
        <v>31.2</v>
      </c>
    </row>
    <row r="286" spans="1:3">
      <c r="A286" s="5" t="s">
        <v>2467</v>
      </c>
      <c r="B286" s="6">
        <v>4</v>
      </c>
      <c r="C286" s="6">
        <v>50.88</v>
      </c>
    </row>
    <row r="287" spans="1:3">
      <c r="A287" s="7" t="s">
        <v>4111</v>
      </c>
      <c r="B287" s="6">
        <v>2</v>
      </c>
      <c r="C287" s="6">
        <v>25.44</v>
      </c>
    </row>
    <row r="288" spans="1:3">
      <c r="A288" s="7" t="s">
        <v>4093</v>
      </c>
      <c r="B288" s="6">
        <v>2</v>
      </c>
      <c r="C288" s="6">
        <v>25.44</v>
      </c>
    </row>
    <row r="289" spans="1:3">
      <c r="A289" s="5" t="s">
        <v>3733</v>
      </c>
      <c r="B289" s="6">
        <v>10</v>
      </c>
      <c r="C289" s="6">
        <v>144</v>
      </c>
    </row>
    <row r="290" spans="1:3">
      <c r="A290" s="7" t="s">
        <v>4186</v>
      </c>
      <c r="B290" s="6">
        <v>2</v>
      </c>
      <c r="C290" s="6">
        <v>28.8</v>
      </c>
    </row>
    <row r="291" spans="1:3">
      <c r="A291" s="7" t="s">
        <v>3984</v>
      </c>
      <c r="B291" s="6">
        <v>2</v>
      </c>
      <c r="C291" s="6">
        <v>28.8</v>
      </c>
    </row>
    <row r="292" spans="1:3">
      <c r="A292" s="7" t="s">
        <v>4169</v>
      </c>
      <c r="B292" s="6">
        <v>2</v>
      </c>
      <c r="C292" s="6">
        <v>28.8</v>
      </c>
    </row>
    <row r="293" spans="1:3">
      <c r="A293" s="7" t="s">
        <v>3826</v>
      </c>
      <c r="B293" s="6">
        <v>2</v>
      </c>
      <c r="C293" s="6">
        <v>28.8</v>
      </c>
    </row>
    <row r="294" spans="1:3">
      <c r="A294" s="7" t="s">
        <v>3734</v>
      </c>
      <c r="B294" s="6">
        <v>2</v>
      </c>
      <c r="C294" s="6">
        <v>28.8</v>
      </c>
    </row>
    <row r="295" spans="1:3">
      <c r="A295" s="5" t="s">
        <v>75</v>
      </c>
      <c r="B295" s="6">
        <v>4</v>
      </c>
      <c r="C295" s="6">
        <v>62.4</v>
      </c>
    </row>
    <row r="296" spans="1:3">
      <c r="A296" s="7" t="s">
        <v>3864</v>
      </c>
      <c r="B296" s="6">
        <v>2</v>
      </c>
      <c r="C296" s="6">
        <v>31.2</v>
      </c>
    </row>
    <row r="297" spans="1:3">
      <c r="A297" s="7" t="s">
        <v>4200</v>
      </c>
      <c r="B297" s="6">
        <v>2</v>
      </c>
      <c r="C297" s="6">
        <v>31.2</v>
      </c>
    </row>
    <row r="298" spans="1:3">
      <c r="A298" s="5" t="s">
        <v>69</v>
      </c>
      <c r="B298" s="6">
        <v>4</v>
      </c>
      <c r="C298" s="6">
        <v>77.28</v>
      </c>
    </row>
    <row r="299" spans="1:3">
      <c r="A299" s="7" t="s">
        <v>3913</v>
      </c>
      <c r="B299" s="6">
        <v>2</v>
      </c>
      <c r="C299" s="6">
        <v>38.64</v>
      </c>
    </row>
    <row r="300" spans="1:3">
      <c r="A300" s="7" t="s">
        <v>3822</v>
      </c>
      <c r="B300" s="6">
        <v>2</v>
      </c>
      <c r="C300" s="6">
        <v>38.64</v>
      </c>
    </row>
    <row r="301" spans="1:3">
      <c r="A301" s="5" t="s">
        <v>94</v>
      </c>
      <c r="B301" s="6">
        <v>2</v>
      </c>
      <c r="C301" s="6">
        <v>28.8</v>
      </c>
    </row>
    <row r="302" spans="1:3">
      <c r="A302" s="7" t="s">
        <v>4055</v>
      </c>
      <c r="B302" s="6">
        <v>2</v>
      </c>
      <c r="C302" s="6">
        <v>28.8</v>
      </c>
    </row>
    <row r="303" spans="1:3">
      <c r="A303" s="5" t="s">
        <v>66</v>
      </c>
      <c r="B303" s="6">
        <v>2</v>
      </c>
      <c r="C303" s="6">
        <v>28.8</v>
      </c>
    </row>
    <row r="304" spans="1:3">
      <c r="A304" s="7" t="s">
        <v>3812</v>
      </c>
      <c r="B304" s="6">
        <v>2</v>
      </c>
      <c r="C304" s="6">
        <v>28.8</v>
      </c>
    </row>
    <row r="305" spans="1:3">
      <c r="A305" s="5" t="s">
        <v>2435</v>
      </c>
      <c r="B305" s="6">
        <v>2</v>
      </c>
      <c r="C305" s="6">
        <v>21.6</v>
      </c>
    </row>
    <row r="306" spans="1:3">
      <c r="A306" s="7" t="s">
        <v>3949</v>
      </c>
      <c r="B306" s="6">
        <v>2</v>
      </c>
      <c r="C306" s="6">
        <v>21.6</v>
      </c>
    </row>
    <row r="307" spans="1:3">
      <c r="A307" s="5" t="s">
        <v>6</v>
      </c>
      <c r="B307" s="6">
        <v>10</v>
      </c>
      <c r="C307" s="6">
        <v>127.2</v>
      </c>
    </row>
    <row r="308" spans="1:3">
      <c r="A308" s="7" t="s">
        <v>3705</v>
      </c>
      <c r="B308" s="6">
        <v>2</v>
      </c>
      <c r="C308" s="6">
        <v>25.44</v>
      </c>
    </row>
    <row r="309" spans="1:3">
      <c r="A309" s="7" t="s">
        <v>4163</v>
      </c>
      <c r="B309" s="6">
        <v>2</v>
      </c>
      <c r="C309" s="6">
        <v>25.44</v>
      </c>
    </row>
    <row r="310" spans="1:3">
      <c r="A310" s="7" t="s">
        <v>3838</v>
      </c>
      <c r="B310" s="6">
        <v>2</v>
      </c>
      <c r="C310" s="6">
        <v>25.44</v>
      </c>
    </row>
    <row r="311" spans="1:3">
      <c r="A311" s="7" t="s">
        <v>4191</v>
      </c>
      <c r="B311" s="6">
        <v>2</v>
      </c>
      <c r="C311" s="6">
        <v>25.44</v>
      </c>
    </row>
    <row r="312" spans="1:3">
      <c r="A312" s="7" t="s">
        <v>4122</v>
      </c>
      <c r="B312" s="6">
        <v>2</v>
      </c>
      <c r="C312" s="6">
        <v>25.44</v>
      </c>
    </row>
    <row r="313" spans="1:3">
      <c r="A313" s="5" t="s">
        <v>18</v>
      </c>
      <c r="B313" s="6">
        <v>6</v>
      </c>
      <c r="C313" s="6">
        <v>40.32</v>
      </c>
    </row>
    <row r="314" spans="1:3">
      <c r="A314" s="7" t="s">
        <v>4058</v>
      </c>
      <c r="B314" s="6">
        <v>2</v>
      </c>
      <c r="C314" s="6">
        <v>13.44</v>
      </c>
    </row>
    <row r="315" spans="1:3">
      <c r="A315" s="7" t="s">
        <v>3926</v>
      </c>
      <c r="B315" s="6">
        <v>2</v>
      </c>
      <c r="C315" s="6">
        <v>13.44</v>
      </c>
    </row>
    <row r="316" spans="1:3">
      <c r="A316" s="7" t="s">
        <v>4196</v>
      </c>
      <c r="B316" s="6">
        <v>2</v>
      </c>
      <c r="C316" s="6">
        <v>13.44</v>
      </c>
    </row>
    <row r="317" spans="1:3">
      <c r="A317" s="5" t="s">
        <v>104</v>
      </c>
      <c r="B317" s="6">
        <v>4</v>
      </c>
      <c r="C317" s="6">
        <v>62.4</v>
      </c>
    </row>
    <row r="318" spans="1:3">
      <c r="A318" s="7" t="s">
        <v>2678</v>
      </c>
      <c r="B318" s="6">
        <v>2</v>
      </c>
      <c r="C318" s="6">
        <v>31.2</v>
      </c>
    </row>
    <row r="319" spans="1:3">
      <c r="A319" s="7" t="s">
        <v>4198</v>
      </c>
      <c r="B319" s="6">
        <v>2</v>
      </c>
      <c r="C319" s="6">
        <v>31.2</v>
      </c>
    </row>
    <row r="320" spans="1:3">
      <c r="A320" s="5" t="s">
        <v>53</v>
      </c>
      <c r="B320" s="6">
        <v>2</v>
      </c>
      <c r="C320" s="6">
        <v>25.2</v>
      </c>
    </row>
    <row r="321" spans="1:3">
      <c r="A321" s="7" t="s">
        <v>2667</v>
      </c>
      <c r="B321" s="6">
        <v>2</v>
      </c>
      <c r="C321" s="6">
        <v>25.2</v>
      </c>
    </row>
    <row r="322" spans="1:3">
      <c r="A322" s="5" t="s">
        <v>2459</v>
      </c>
      <c r="B322" s="6">
        <v>2</v>
      </c>
      <c r="C322" s="6">
        <v>31.2</v>
      </c>
    </row>
    <row r="323" spans="1:3">
      <c r="A323" s="7" t="s">
        <v>3882</v>
      </c>
      <c r="B323" s="6">
        <v>2</v>
      </c>
      <c r="C323" s="6">
        <v>31.2</v>
      </c>
    </row>
    <row r="324" spans="1:3">
      <c r="A324" s="5" t="s">
        <v>110</v>
      </c>
      <c r="B324" s="6">
        <v>2</v>
      </c>
      <c r="C324" s="6">
        <v>31.2</v>
      </c>
    </row>
    <row r="325" spans="1:3">
      <c r="A325" s="7" t="s">
        <v>4128</v>
      </c>
      <c r="B325" s="6">
        <v>2</v>
      </c>
      <c r="C325" s="6">
        <v>31.2</v>
      </c>
    </row>
    <row r="326" spans="1:3">
      <c r="A326" s="5" t="s">
        <v>87</v>
      </c>
      <c r="B326" s="6">
        <v>2</v>
      </c>
      <c r="C326" s="6">
        <v>31.2</v>
      </c>
    </row>
    <row r="327" spans="1:3">
      <c r="A327" s="7" t="s">
        <v>3860</v>
      </c>
      <c r="B327" s="6">
        <v>2</v>
      </c>
      <c r="C327" s="6">
        <v>31.2</v>
      </c>
    </row>
    <row r="328" spans="1:3">
      <c r="A328" s="5" t="s">
        <v>117</v>
      </c>
      <c r="B328" s="6">
        <v>2</v>
      </c>
      <c r="C328" s="6">
        <v>28.8</v>
      </c>
    </row>
    <row r="329" spans="1:3">
      <c r="A329" s="7" t="s">
        <v>2666</v>
      </c>
      <c r="B329" s="6">
        <v>2</v>
      </c>
      <c r="C329" s="6">
        <v>28.8</v>
      </c>
    </row>
    <row r="330" spans="1:3">
      <c r="A330" s="5" t="s">
        <v>0</v>
      </c>
      <c r="B330" s="6">
        <v>15</v>
      </c>
      <c r="C330" s="6">
        <v>116.99999999999999</v>
      </c>
    </row>
    <row r="331" spans="1:3">
      <c r="A331" s="7" t="s">
        <v>3815</v>
      </c>
      <c r="B331" s="6">
        <v>3</v>
      </c>
      <c r="C331" s="6">
        <v>23.4</v>
      </c>
    </row>
    <row r="332" spans="1:3">
      <c r="A332" s="7" t="s">
        <v>4076</v>
      </c>
      <c r="B332" s="6">
        <v>3</v>
      </c>
      <c r="C332" s="6">
        <v>23.4</v>
      </c>
    </row>
    <row r="333" spans="1:3">
      <c r="A333" s="7" t="s">
        <v>3836</v>
      </c>
      <c r="B333" s="6">
        <v>2</v>
      </c>
      <c r="C333" s="6">
        <v>15.6</v>
      </c>
    </row>
    <row r="334" spans="1:3">
      <c r="A334" s="7" t="s">
        <v>4061</v>
      </c>
      <c r="B334" s="6">
        <v>3</v>
      </c>
      <c r="C334" s="6">
        <v>23.4</v>
      </c>
    </row>
    <row r="335" spans="1:3">
      <c r="A335" s="7" t="s">
        <v>3914</v>
      </c>
      <c r="B335" s="6">
        <v>2</v>
      </c>
      <c r="C335" s="6">
        <v>15.6</v>
      </c>
    </row>
    <row r="336" spans="1:3">
      <c r="A336" s="7" t="s">
        <v>4139</v>
      </c>
      <c r="B336" s="6">
        <v>2</v>
      </c>
      <c r="C336" s="6">
        <v>15.6</v>
      </c>
    </row>
    <row r="337" spans="1:3">
      <c r="A337" s="5" t="s">
        <v>119</v>
      </c>
      <c r="B337" s="6">
        <v>4</v>
      </c>
      <c r="C337" s="6">
        <v>43.2</v>
      </c>
    </row>
    <row r="338" spans="1:3">
      <c r="A338" s="7" t="s">
        <v>3725</v>
      </c>
      <c r="B338" s="6">
        <v>2</v>
      </c>
      <c r="C338" s="6">
        <v>21.6</v>
      </c>
    </row>
    <row r="339" spans="1:3">
      <c r="A339" s="7" t="s">
        <v>3902</v>
      </c>
      <c r="B339" s="6">
        <v>2</v>
      </c>
      <c r="C339" s="6">
        <v>21.6</v>
      </c>
    </row>
    <row r="340" spans="1:3">
      <c r="A340" s="5" t="s">
        <v>2465</v>
      </c>
      <c r="B340" s="6">
        <v>6</v>
      </c>
      <c r="C340" s="6">
        <v>64.800000000000011</v>
      </c>
    </row>
    <row r="341" spans="1:3">
      <c r="A341" s="7" t="s">
        <v>3941</v>
      </c>
      <c r="B341" s="6">
        <v>2</v>
      </c>
      <c r="C341" s="6">
        <v>21.6</v>
      </c>
    </row>
    <row r="342" spans="1:3">
      <c r="A342" s="7" t="s">
        <v>4014</v>
      </c>
      <c r="B342" s="6">
        <v>2</v>
      </c>
      <c r="C342" s="6">
        <v>21.6</v>
      </c>
    </row>
    <row r="343" spans="1:3">
      <c r="A343" s="7" t="s">
        <v>3903</v>
      </c>
      <c r="B343" s="6">
        <v>2</v>
      </c>
      <c r="C343" s="6">
        <v>21.6</v>
      </c>
    </row>
    <row r="344" spans="1:3">
      <c r="A344" s="5" t="s">
        <v>114</v>
      </c>
      <c r="B344" s="6">
        <v>2</v>
      </c>
      <c r="C344" s="6">
        <v>25.44</v>
      </c>
    </row>
    <row r="345" spans="1:3">
      <c r="A345" s="7" t="s">
        <v>3969</v>
      </c>
      <c r="B345" s="6">
        <v>2</v>
      </c>
      <c r="C345" s="6">
        <v>25.44</v>
      </c>
    </row>
    <row r="346" spans="1:3">
      <c r="A346" s="5" t="s">
        <v>95</v>
      </c>
      <c r="B346" s="6">
        <v>3</v>
      </c>
      <c r="C346" s="6">
        <v>32.04</v>
      </c>
    </row>
    <row r="347" spans="1:3">
      <c r="A347" s="7" t="s">
        <v>3842</v>
      </c>
      <c r="B347" s="6">
        <v>3</v>
      </c>
      <c r="C347" s="6">
        <v>32.04</v>
      </c>
    </row>
    <row r="348" spans="1:3">
      <c r="A348" s="5" t="s">
        <v>58</v>
      </c>
      <c r="B348" s="6">
        <v>6</v>
      </c>
      <c r="C348" s="6">
        <v>64.800000000000011</v>
      </c>
    </row>
    <row r="349" spans="1:3">
      <c r="A349" s="7" t="s">
        <v>3877</v>
      </c>
      <c r="B349" s="6">
        <v>2</v>
      </c>
      <c r="C349" s="6">
        <v>21.6</v>
      </c>
    </row>
    <row r="350" spans="1:3">
      <c r="A350" s="7" t="s">
        <v>3904</v>
      </c>
      <c r="B350" s="6">
        <v>2</v>
      </c>
      <c r="C350" s="6">
        <v>21.6</v>
      </c>
    </row>
    <row r="351" spans="1:3">
      <c r="A351" s="7" t="s">
        <v>3695</v>
      </c>
      <c r="B351" s="6">
        <v>2</v>
      </c>
      <c r="C351" s="6">
        <v>21.6</v>
      </c>
    </row>
    <row r="352" spans="1:3">
      <c r="A352" s="5" t="s">
        <v>38</v>
      </c>
      <c r="B352" s="6">
        <v>4</v>
      </c>
      <c r="C352" s="6">
        <v>47.52</v>
      </c>
    </row>
    <row r="353" spans="1:3">
      <c r="A353" s="7" t="s">
        <v>3953</v>
      </c>
      <c r="B353" s="6">
        <v>2</v>
      </c>
      <c r="C353" s="6">
        <v>23.76</v>
      </c>
    </row>
    <row r="354" spans="1:3">
      <c r="A354" s="7" t="s">
        <v>4094</v>
      </c>
      <c r="B354" s="6">
        <v>2</v>
      </c>
      <c r="C354" s="6">
        <v>23.76</v>
      </c>
    </row>
    <row r="355" spans="1:3">
      <c r="A355" s="5" t="s">
        <v>129</v>
      </c>
      <c r="B355" s="6">
        <v>2</v>
      </c>
      <c r="C355" s="6">
        <v>19.2</v>
      </c>
    </row>
    <row r="356" spans="1:3">
      <c r="A356" s="7" t="s">
        <v>3673</v>
      </c>
      <c r="B356" s="6">
        <v>2</v>
      </c>
      <c r="C356" s="6">
        <v>19.2</v>
      </c>
    </row>
    <row r="357" spans="1:3">
      <c r="A357" s="5" t="s">
        <v>125</v>
      </c>
      <c r="B357" s="6">
        <v>2</v>
      </c>
      <c r="C357" s="6">
        <v>21.6</v>
      </c>
    </row>
    <row r="358" spans="1:3">
      <c r="A358" s="7" t="s">
        <v>3785</v>
      </c>
      <c r="B358" s="6">
        <v>2</v>
      </c>
      <c r="C358" s="6">
        <v>21.6</v>
      </c>
    </row>
    <row r="359" spans="1:3">
      <c r="A359" s="5" t="s">
        <v>49</v>
      </c>
      <c r="B359" s="6">
        <v>18</v>
      </c>
      <c r="C359" s="6">
        <v>127.44000000000003</v>
      </c>
    </row>
    <row r="360" spans="1:3">
      <c r="A360" s="7" t="s">
        <v>3878</v>
      </c>
      <c r="B360" s="6">
        <v>3</v>
      </c>
      <c r="C360" s="6">
        <v>21.240000000000002</v>
      </c>
    </row>
    <row r="361" spans="1:3">
      <c r="A361" s="7" t="s">
        <v>4114</v>
      </c>
      <c r="B361" s="6">
        <v>3</v>
      </c>
      <c r="C361" s="6">
        <v>21.240000000000002</v>
      </c>
    </row>
    <row r="362" spans="1:3">
      <c r="A362" s="7" t="s">
        <v>4078</v>
      </c>
      <c r="B362" s="6">
        <v>3</v>
      </c>
      <c r="C362" s="6">
        <v>21.240000000000002</v>
      </c>
    </row>
    <row r="363" spans="1:3">
      <c r="A363" s="7" t="s">
        <v>2674</v>
      </c>
      <c r="B363" s="6">
        <v>3</v>
      </c>
      <c r="C363" s="6">
        <v>21.240000000000002</v>
      </c>
    </row>
    <row r="364" spans="1:3">
      <c r="A364" s="7" t="s">
        <v>2665</v>
      </c>
      <c r="B364" s="6">
        <v>3</v>
      </c>
      <c r="C364" s="6">
        <v>21.240000000000002</v>
      </c>
    </row>
    <row r="365" spans="1:3">
      <c r="A365" s="7" t="s">
        <v>3813</v>
      </c>
      <c r="B365" s="6">
        <v>3</v>
      </c>
      <c r="C365" s="6">
        <v>21.240000000000002</v>
      </c>
    </row>
    <row r="366" spans="1:3">
      <c r="A366" s="5" t="s">
        <v>68</v>
      </c>
      <c r="B366" s="6">
        <v>4</v>
      </c>
      <c r="C366" s="6">
        <v>43.2</v>
      </c>
    </row>
    <row r="367" spans="1:3">
      <c r="A367" s="7" t="s">
        <v>3990</v>
      </c>
      <c r="B367" s="6">
        <v>2</v>
      </c>
      <c r="C367" s="6">
        <v>21.6</v>
      </c>
    </row>
    <row r="368" spans="1:3">
      <c r="A368" s="7" t="s">
        <v>3999</v>
      </c>
      <c r="B368" s="6">
        <v>2</v>
      </c>
      <c r="C368" s="6">
        <v>21.6</v>
      </c>
    </row>
    <row r="369" spans="1:3">
      <c r="A369" s="5" t="s">
        <v>2446</v>
      </c>
      <c r="B369" s="6">
        <v>6</v>
      </c>
      <c r="C369" s="6">
        <v>64.800000000000011</v>
      </c>
    </row>
    <row r="370" spans="1:3">
      <c r="A370" s="7" t="s">
        <v>3818</v>
      </c>
      <c r="B370" s="6">
        <v>2</v>
      </c>
      <c r="C370" s="6">
        <v>21.6</v>
      </c>
    </row>
    <row r="371" spans="1:3">
      <c r="A371" s="7" t="s">
        <v>3972</v>
      </c>
      <c r="B371" s="6">
        <v>2</v>
      </c>
      <c r="C371" s="6">
        <v>21.6</v>
      </c>
    </row>
    <row r="372" spans="1:3">
      <c r="A372" s="7" t="s">
        <v>4190</v>
      </c>
      <c r="B372" s="6">
        <v>2</v>
      </c>
      <c r="C372" s="6">
        <v>21.6</v>
      </c>
    </row>
    <row r="373" spans="1:3">
      <c r="A373" s="5" t="s">
        <v>101</v>
      </c>
      <c r="B373" s="6">
        <v>2</v>
      </c>
      <c r="C373" s="6">
        <v>25.44</v>
      </c>
    </row>
    <row r="374" spans="1:3">
      <c r="A374" s="7" t="s">
        <v>3975</v>
      </c>
      <c r="B374" s="6">
        <v>2</v>
      </c>
      <c r="C374" s="6">
        <v>25.44</v>
      </c>
    </row>
    <row r="375" spans="1:3">
      <c r="A375" s="5" t="s">
        <v>109</v>
      </c>
      <c r="B375" s="6">
        <v>4</v>
      </c>
      <c r="C375" s="6">
        <v>43.2</v>
      </c>
    </row>
    <row r="376" spans="1:3">
      <c r="A376" s="7" t="s">
        <v>4016</v>
      </c>
      <c r="B376" s="6">
        <v>4</v>
      </c>
      <c r="C376" s="6">
        <v>43.2</v>
      </c>
    </row>
    <row r="377" spans="1:3">
      <c r="A377" s="5" t="s">
        <v>123</v>
      </c>
      <c r="B377" s="6">
        <v>3</v>
      </c>
      <c r="C377" s="6">
        <v>32.400000000000006</v>
      </c>
    </row>
    <row r="378" spans="1:3">
      <c r="A378" s="7" t="s">
        <v>3728</v>
      </c>
      <c r="B378" s="6">
        <v>3</v>
      </c>
      <c r="C378" s="6">
        <v>32.400000000000006</v>
      </c>
    </row>
    <row r="379" spans="1:3">
      <c r="A379" s="5" t="s">
        <v>13</v>
      </c>
      <c r="B379" s="6">
        <v>6</v>
      </c>
      <c r="C379" s="6">
        <v>58.320000000000007</v>
      </c>
    </row>
    <row r="380" spans="1:3">
      <c r="A380" s="7" t="s">
        <v>3710</v>
      </c>
      <c r="B380" s="6">
        <v>2</v>
      </c>
      <c r="C380" s="6">
        <v>19.440000000000001</v>
      </c>
    </row>
    <row r="381" spans="1:3">
      <c r="A381" s="7" t="s">
        <v>3676</v>
      </c>
      <c r="B381" s="6">
        <v>2</v>
      </c>
      <c r="C381" s="6">
        <v>19.440000000000001</v>
      </c>
    </row>
    <row r="382" spans="1:3">
      <c r="A382" s="7" t="s">
        <v>3976</v>
      </c>
      <c r="B382" s="6">
        <v>2</v>
      </c>
      <c r="C382" s="6">
        <v>19.440000000000001</v>
      </c>
    </row>
    <row r="383" spans="1:3">
      <c r="A383" s="5" t="s">
        <v>78</v>
      </c>
      <c r="B383" s="6">
        <v>2</v>
      </c>
      <c r="C383" s="6">
        <v>19.2</v>
      </c>
    </row>
    <row r="384" spans="1:3">
      <c r="A384" s="7" t="s">
        <v>3884</v>
      </c>
      <c r="B384" s="6">
        <v>2</v>
      </c>
      <c r="C384" s="6">
        <v>19.2</v>
      </c>
    </row>
    <row r="385" spans="1:3">
      <c r="A385" s="5" t="s">
        <v>41</v>
      </c>
      <c r="B385" s="6">
        <v>2</v>
      </c>
      <c r="C385" s="6">
        <v>19.440000000000001</v>
      </c>
    </row>
    <row r="386" spans="1:3">
      <c r="A386" s="7" t="s">
        <v>3932</v>
      </c>
      <c r="B386" s="6">
        <v>2</v>
      </c>
      <c r="C386" s="6">
        <v>19.440000000000001</v>
      </c>
    </row>
    <row r="387" spans="1:3">
      <c r="A387" s="5" t="s">
        <v>2433</v>
      </c>
      <c r="B387" s="6">
        <v>4</v>
      </c>
      <c r="C387" s="6">
        <v>50.88</v>
      </c>
    </row>
    <row r="388" spans="1:3">
      <c r="A388" s="7" t="s">
        <v>4090</v>
      </c>
      <c r="B388" s="6">
        <v>2</v>
      </c>
      <c r="C388" s="6">
        <v>25.44</v>
      </c>
    </row>
    <row r="389" spans="1:3">
      <c r="A389" s="7" t="s">
        <v>3833</v>
      </c>
      <c r="B389" s="6">
        <v>2</v>
      </c>
      <c r="C389" s="6">
        <v>25.44</v>
      </c>
    </row>
    <row r="390" spans="1:3">
      <c r="A390" s="5" t="s">
        <v>15</v>
      </c>
      <c r="B390" s="6">
        <v>12</v>
      </c>
      <c r="C390" s="6">
        <v>117.36</v>
      </c>
    </row>
    <row r="391" spans="1:3">
      <c r="A391" s="7" t="s">
        <v>3921</v>
      </c>
      <c r="B391" s="6">
        <v>2</v>
      </c>
      <c r="C391" s="6">
        <v>19.559999999999999</v>
      </c>
    </row>
    <row r="392" spans="1:3">
      <c r="A392" s="7" t="s">
        <v>4166</v>
      </c>
      <c r="B392" s="6">
        <v>2</v>
      </c>
      <c r="C392" s="6">
        <v>19.559999999999999</v>
      </c>
    </row>
    <row r="393" spans="1:3">
      <c r="A393" s="7" t="s">
        <v>3829</v>
      </c>
      <c r="B393" s="6">
        <v>2</v>
      </c>
      <c r="C393" s="6">
        <v>19.559999999999999</v>
      </c>
    </row>
    <row r="394" spans="1:3">
      <c r="A394" s="7" t="s">
        <v>3837</v>
      </c>
      <c r="B394" s="6">
        <v>2</v>
      </c>
      <c r="C394" s="6">
        <v>19.559999999999999</v>
      </c>
    </row>
    <row r="395" spans="1:3">
      <c r="A395" s="7" t="s">
        <v>4189</v>
      </c>
      <c r="B395" s="6">
        <v>2</v>
      </c>
      <c r="C395" s="6">
        <v>19.559999999999999</v>
      </c>
    </row>
    <row r="396" spans="1:3">
      <c r="A396" s="7" t="s">
        <v>3933</v>
      </c>
      <c r="B396" s="6">
        <v>2</v>
      </c>
      <c r="C396" s="6">
        <v>19.559999999999999</v>
      </c>
    </row>
    <row r="397" spans="1:3">
      <c r="A397" s="5" t="s">
        <v>105</v>
      </c>
      <c r="B397" s="6">
        <v>2</v>
      </c>
      <c r="C397" s="6">
        <v>21.6</v>
      </c>
    </row>
    <row r="398" spans="1:3">
      <c r="A398" s="7" t="s">
        <v>2662</v>
      </c>
      <c r="B398" s="6">
        <v>2</v>
      </c>
      <c r="C398" s="6">
        <v>21.6</v>
      </c>
    </row>
    <row r="399" spans="1:3">
      <c r="A399" s="5" t="s">
        <v>5</v>
      </c>
      <c r="B399" s="6">
        <v>10</v>
      </c>
      <c r="C399" s="6">
        <v>93.6</v>
      </c>
    </row>
    <row r="400" spans="1:3">
      <c r="A400" s="7" t="s">
        <v>3979</v>
      </c>
      <c r="B400" s="6">
        <v>2</v>
      </c>
      <c r="C400" s="6">
        <v>18.72</v>
      </c>
    </row>
    <row r="401" spans="1:3">
      <c r="A401" s="7" t="s">
        <v>4050</v>
      </c>
      <c r="B401" s="6">
        <v>2</v>
      </c>
      <c r="C401" s="6">
        <v>18.72</v>
      </c>
    </row>
    <row r="402" spans="1:3">
      <c r="A402" s="7" t="s">
        <v>3805</v>
      </c>
      <c r="B402" s="6">
        <v>2</v>
      </c>
      <c r="C402" s="6">
        <v>18.72</v>
      </c>
    </row>
    <row r="403" spans="1:3">
      <c r="A403" s="7" t="s">
        <v>4109</v>
      </c>
      <c r="B403" s="6">
        <v>2</v>
      </c>
      <c r="C403" s="6">
        <v>18.72</v>
      </c>
    </row>
    <row r="404" spans="1:3">
      <c r="A404" s="7" t="s">
        <v>4136</v>
      </c>
      <c r="B404" s="6">
        <v>2</v>
      </c>
      <c r="C404" s="6">
        <v>18.72</v>
      </c>
    </row>
    <row r="405" spans="1:3">
      <c r="A405" s="5" t="s">
        <v>122</v>
      </c>
      <c r="B405" s="6">
        <v>2</v>
      </c>
      <c r="C405" s="6">
        <v>25.44</v>
      </c>
    </row>
    <row r="406" spans="1:3">
      <c r="A406" s="7" t="s">
        <v>4033</v>
      </c>
      <c r="B406" s="6">
        <v>2</v>
      </c>
      <c r="C406" s="6">
        <v>25.44</v>
      </c>
    </row>
    <row r="407" spans="1:3">
      <c r="A407" s="5" t="s">
        <v>116</v>
      </c>
      <c r="B407" s="6">
        <v>2</v>
      </c>
      <c r="C407" s="6">
        <v>31.2</v>
      </c>
    </row>
    <row r="408" spans="1:3">
      <c r="A408" s="7" t="s">
        <v>4013</v>
      </c>
      <c r="B408" s="6">
        <v>2</v>
      </c>
      <c r="C408" s="6">
        <v>31.2</v>
      </c>
    </row>
    <row r="409" spans="1:3">
      <c r="A409" s="5" t="s">
        <v>113</v>
      </c>
      <c r="B409" s="6">
        <v>2</v>
      </c>
      <c r="C409" s="6">
        <v>28.8</v>
      </c>
    </row>
    <row r="410" spans="1:3">
      <c r="A410" s="7" t="s">
        <v>3740</v>
      </c>
      <c r="B410" s="6">
        <v>2</v>
      </c>
      <c r="C410" s="6">
        <v>28.8</v>
      </c>
    </row>
    <row r="411" spans="1:3">
      <c r="A411" s="5" t="s">
        <v>11</v>
      </c>
      <c r="B411" s="6">
        <v>4</v>
      </c>
      <c r="C411" s="6">
        <v>50.88</v>
      </c>
    </row>
    <row r="412" spans="1:3">
      <c r="A412" s="7" t="s">
        <v>3711</v>
      </c>
      <c r="B412" s="6">
        <v>2</v>
      </c>
      <c r="C412" s="6">
        <v>25.44</v>
      </c>
    </row>
    <row r="413" spans="1:3">
      <c r="A413" s="7" t="s">
        <v>3760</v>
      </c>
      <c r="B413" s="6">
        <v>2</v>
      </c>
      <c r="C413" s="6">
        <v>25.44</v>
      </c>
    </row>
    <row r="414" spans="1:3">
      <c r="A414" s="5" t="s">
        <v>14</v>
      </c>
      <c r="B414" s="6">
        <v>4</v>
      </c>
      <c r="C414" s="6">
        <v>57.6</v>
      </c>
    </row>
    <row r="415" spans="1:3">
      <c r="A415" s="7" t="s">
        <v>3742</v>
      </c>
      <c r="B415" s="6">
        <v>2</v>
      </c>
      <c r="C415" s="6">
        <v>28.8</v>
      </c>
    </row>
    <row r="416" spans="1:3">
      <c r="A416" s="7" t="s">
        <v>4183</v>
      </c>
      <c r="B416" s="6">
        <v>2</v>
      </c>
      <c r="C416" s="6">
        <v>28.8</v>
      </c>
    </row>
    <row r="417" spans="1:3">
      <c r="A417" s="5" t="s">
        <v>42</v>
      </c>
      <c r="B417" s="6">
        <v>2</v>
      </c>
      <c r="C417" s="6">
        <v>25.2</v>
      </c>
    </row>
    <row r="418" spans="1:3">
      <c r="A418" s="7" t="s">
        <v>3708</v>
      </c>
      <c r="B418" s="6">
        <v>2</v>
      </c>
      <c r="C418" s="6">
        <v>25.2</v>
      </c>
    </row>
    <row r="419" spans="1:3">
      <c r="A419" s="5" t="s">
        <v>31</v>
      </c>
      <c r="B419" s="6">
        <v>10</v>
      </c>
      <c r="C419" s="6">
        <v>108</v>
      </c>
    </row>
    <row r="420" spans="1:3">
      <c r="A420" s="7" t="s">
        <v>3915</v>
      </c>
      <c r="B420" s="6">
        <v>2</v>
      </c>
      <c r="C420" s="6">
        <v>21.6</v>
      </c>
    </row>
    <row r="421" spans="1:3">
      <c r="A421" s="7" t="s">
        <v>2677</v>
      </c>
      <c r="B421" s="6">
        <v>2</v>
      </c>
      <c r="C421" s="6">
        <v>21.6</v>
      </c>
    </row>
    <row r="422" spans="1:3">
      <c r="A422" s="7" t="s">
        <v>3954</v>
      </c>
      <c r="B422" s="6">
        <v>2</v>
      </c>
      <c r="C422" s="6">
        <v>21.6</v>
      </c>
    </row>
    <row r="423" spans="1:3">
      <c r="A423" s="7" t="s">
        <v>4158</v>
      </c>
      <c r="B423" s="6">
        <v>2</v>
      </c>
      <c r="C423" s="6">
        <v>21.6</v>
      </c>
    </row>
    <row r="424" spans="1:3">
      <c r="A424" s="7" t="s">
        <v>3947</v>
      </c>
      <c r="B424" s="6">
        <v>2</v>
      </c>
      <c r="C424" s="6">
        <v>21.6</v>
      </c>
    </row>
    <row r="425" spans="1:3">
      <c r="A425" s="5" t="s">
        <v>52</v>
      </c>
      <c r="B425" s="6">
        <v>6</v>
      </c>
      <c r="C425" s="6">
        <v>68.400000000000006</v>
      </c>
    </row>
    <row r="426" spans="1:3">
      <c r="A426" s="7" t="s">
        <v>3879</v>
      </c>
      <c r="B426" s="6">
        <v>2</v>
      </c>
      <c r="C426" s="6">
        <v>22.8</v>
      </c>
    </row>
    <row r="427" spans="1:3">
      <c r="A427" s="7" t="s">
        <v>3696</v>
      </c>
      <c r="B427" s="6">
        <v>2</v>
      </c>
      <c r="C427" s="6">
        <v>22.8</v>
      </c>
    </row>
    <row r="428" spans="1:3">
      <c r="A428" s="7" t="s">
        <v>3677</v>
      </c>
      <c r="B428" s="6">
        <v>2</v>
      </c>
      <c r="C428" s="6">
        <v>22.8</v>
      </c>
    </row>
    <row r="429" spans="1:3">
      <c r="A429" s="5" t="s">
        <v>70</v>
      </c>
      <c r="B429" s="6">
        <v>6</v>
      </c>
      <c r="C429" s="6">
        <v>71.28</v>
      </c>
    </row>
    <row r="430" spans="1:3">
      <c r="A430" s="7" t="s">
        <v>3750</v>
      </c>
      <c r="B430" s="6">
        <v>2</v>
      </c>
      <c r="C430" s="6">
        <v>23.76</v>
      </c>
    </row>
    <row r="431" spans="1:3">
      <c r="A431" s="7" t="s">
        <v>4151</v>
      </c>
      <c r="B431" s="6">
        <v>2</v>
      </c>
      <c r="C431" s="6">
        <v>23.76</v>
      </c>
    </row>
    <row r="432" spans="1:3">
      <c r="A432" s="7" t="s">
        <v>4164</v>
      </c>
      <c r="B432" s="6">
        <v>2</v>
      </c>
      <c r="C432" s="6">
        <v>23.76</v>
      </c>
    </row>
    <row r="433" spans="1:3">
      <c r="A433" s="5" t="s">
        <v>63</v>
      </c>
      <c r="B433" s="6">
        <v>4</v>
      </c>
      <c r="C433" s="6">
        <v>47.52</v>
      </c>
    </row>
    <row r="434" spans="1:3">
      <c r="A434" s="7" t="s">
        <v>3927</v>
      </c>
      <c r="B434" s="6">
        <v>2</v>
      </c>
      <c r="C434" s="6">
        <v>23.76</v>
      </c>
    </row>
    <row r="435" spans="1:3">
      <c r="A435" s="7" t="s">
        <v>3961</v>
      </c>
      <c r="B435" s="6">
        <v>2</v>
      </c>
      <c r="C435" s="6">
        <v>23.76</v>
      </c>
    </row>
    <row r="436" spans="1:3">
      <c r="A436" s="5" t="s">
        <v>106</v>
      </c>
      <c r="B436" s="6">
        <v>2</v>
      </c>
      <c r="C436" s="6">
        <v>23.76</v>
      </c>
    </row>
    <row r="437" spans="1:3">
      <c r="A437" s="7" t="s">
        <v>4028</v>
      </c>
      <c r="B437" s="6">
        <v>2</v>
      </c>
      <c r="C437" s="6">
        <v>23.76</v>
      </c>
    </row>
    <row r="438" spans="1:3">
      <c r="A438" s="5" t="s">
        <v>62</v>
      </c>
      <c r="B438" s="6">
        <v>2</v>
      </c>
      <c r="C438" s="6">
        <v>25.44</v>
      </c>
    </row>
    <row r="439" spans="1:3">
      <c r="A439" s="7" t="s">
        <v>4199</v>
      </c>
      <c r="B439" s="6">
        <v>2</v>
      </c>
      <c r="C439" s="6">
        <v>25.44</v>
      </c>
    </row>
    <row r="440" spans="1:3">
      <c r="A440" s="5" t="s">
        <v>112</v>
      </c>
      <c r="B440" s="6">
        <v>4</v>
      </c>
      <c r="C440" s="6">
        <v>41.76</v>
      </c>
    </row>
    <row r="441" spans="1:3">
      <c r="A441" s="7" t="s">
        <v>3757</v>
      </c>
      <c r="B441" s="6">
        <v>2</v>
      </c>
      <c r="C441" s="6">
        <v>20.88</v>
      </c>
    </row>
    <row r="442" spans="1:3">
      <c r="A442" s="7" t="s">
        <v>4075</v>
      </c>
      <c r="B442" s="6">
        <v>2</v>
      </c>
      <c r="C442" s="6">
        <v>20.88</v>
      </c>
    </row>
    <row r="443" spans="1:3">
      <c r="A443" s="5" t="s">
        <v>36</v>
      </c>
      <c r="B443" s="6">
        <v>2</v>
      </c>
      <c r="C443" s="6">
        <v>21.6</v>
      </c>
    </row>
    <row r="444" spans="1:3">
      <c r="A444" s="7" t="s">
        <v>3694</v>
      </c>
      <c r="B444" s="6">
        <v>2</v>
      </c>
      <c r="C444" s="6">
        <v>21.6</v>
      </c>
    </row>
    <row r="445" spans="1:3">
      <c r="A445" s="5" t="s">
        <v>76</v>
      </c>
      <c r="B445" s="6">
        <v>6</v>
      </c>
      <c r="C445" s="6">
        <v>71.28</v>
      </c>
    </row>
    <row r="446" spans="1:3">
      <c r="A446" s="7" t="s">
        <v>3738</v>
      </c>
      <c r="B446" s="6">
        <v>2</v>
      </c>
      <c r="C446" s="6">
        <v>23.76</v>
      </c>
    </row>
    <row r="447" spans="1:3">
      <c r="A447" s="7" t="s">
        <v>4173</v>
      </c>
      <c r="B447" s="6">
        <v>2</v>
      </c>
      <c r="C447" s="6">
        <v>23.76</v>
      </c>
    </row>
    <row r="448" spans="1:3">
      <c r="A448" s="7" t="s">
        <v>4144</v>
      </c>
      <c r="B448" s="6">
        <v>2</v>
      </c>
      <c r="C448" s="6">
        <v>23.76</v>
      </c>
    </row>
    <row r="449" spans="1:3">
      <c r="A449" s="5" t="s">
        <v>107</v>
      </c>
      <c r="B449" s="6">
        <v>4</v>
      </c>
      <c r="C449" s="6">
        <v>43.2</v>
      </c>
    </row>
    <row r="450" spans="1:3">
      <c r="A450" s="7" t="s">
        <v>3807</v>
      </c>
      <c r="B450" s="6">
        <v>4</v>
      </c>
      <c r="C450" s="6">
        <v>43.2</v>
      </c>
    </row>
    <row r="451" spans="1:3">
      <c r="A451" s="5" t="s">
        <v>126</v>
      </c>
      <c r="B451" s="6">
        <v>2</v>
      </c>
      <c r="C451" s="6">
        <v>25.44</v>
      </c>
    </row>
    <row r="452" spans="1:3">
      <c r="A452" s="7" t="s">
        <v>3978</v>
      </c>
      <c r="B452" s="6">
        <v>2</v>
      </c>
      <c r="C452" s="6">
        <v>25.44</v>
      </c>
    </row>
    <row r="453" spans="1:3">
      <c r="A453" s="5" t="s">
        <v>90</v>
      </c>
      <c r="B453" s="6">
        <v>4</v>
      </c>
      <c r="C453" s="6">
        <v>50.88</v>
      </c>
    </row>
    <row r="454" spans="1:3">
      <c r="A454" s="7" t="s">
        <v>3956</v>
      </c>
      <c r="B454" s="6">
        <v>2</v>
      </c>
      <c r="C454" s="6">
        <v>25.44</v>
      </c>
    </row>
    <row r="455" spans="1:3">
      <c r="A455" s="7" t="s">
        <v>4137</v>
      </c>
      <c r="B455" s="6">
        <v>2</v>
      </c>
      <c r="C455" s="6">
        <v>25.44</v>
      </c>
    </row>
    <row r="456" spans="1:3">
      <c r="A456" s="5" t="s">
        <v>2481</v>
      </c>
      <c r="B456" s="6">
        <v>4</v>
      </c>
      <c r="C456" s="6">
        <v>43.2</v>
      </c>
    </row>
    <row r="457" spans="1:3">
      <c r="A457" s="7" t="s">
        <v>3906</v>
      </c>
      <c r="B457" s="6">
        <v>2</v>
      </c>
      <c r="C457" s="6">
        <v>21.6</v>
      </c>
    </row>
    <row r="458" spans="1:3">
      <c r="A458" s="7" t="s">
        <v>4197</v>
      </c>
      <c r="B458" s="6">
        <v>2</v>
      </c>
      <c r="C458" s="6">
        <v>21.6</v>
      </c>
    </row>
    <row r="459" spans="1:3">
      <c r="A459" s="5" t="s">
        <v>2473</v>
      </c>
      <c r="B459" s="6">
        <v>2</v>
      </c>
      <c r="C459" s="6">
        <v>26.88</v>
      </c>
    </row>
    <row r="460" spans="1:3">
      <c r="A460" s="7" t="s">
        <v>3772</v>
      </c>
      <c r="B460" s="6">
        <v>2</v>
      </c>
      <c r="C460" s="6">
        <v>26.88</v>
      </c>
    </row>
    <row r="461" spans="1:3">
      <c r="A461" s="5" t="s">
        <v>2437</v>
      </c>
      <c r="B461" s="6">
        <v>2</v>
      </c>
      <c r="C461" s="6">
        <v>26.88</v>
      </c>
    </row>
    <row r="462" spans="1:3">
      <c r="A462" s="7" t="s">
        <v>3674</v>
      </c>
      <c r="B462" s="6">
        <v>2</v>
      </c>
      <c r="C462" s="6">
        <v>26.88</v>
      </c>
    </row>
    <row r="463" spans="1:3">
      <c r="A463" s="5" t="s">
        <v>2425</v>
      </c>
      <c r="B463" s="6">
        <v>6</v>
      </c>
      <c r="C463" s="6">
        <v>76.320000000000007</v>
      </c>
    </row>
    <row r="464" spans="1:3">
      <c r="A464" s="7" t="s">
        <v>3939</v>
      </c>
      <c r="B464" s="6">
        <v>2</v>
      </c>
      <c r="C464" s="6">
        <v>25.44</v>
      </c>
    </row>
    <row r="465" spans="1:3">
      <c r="A465" s="7" t="s">
        <v>3732</v>
      </c>
      <c r="B465" s="6">
        <v>2</v>
      </c>
      <c r="C465" s="6">
        <v>25.44</v>
      </c>
    </row>
    <row r="466" spans="1:3">
      <c r="A466" s="7" t="s">
        <v>3794</v>
      </c>
      <c r="B466" s="6">
        <v>2</v>
      </c>
      <c r="C466" s="6">
        <v>25.44</v>
      </c>
    </row>
    <row r="467" spans="1:3">
      <c r="A467" s="5" t="s">
        <v>2457</v>
      </c>
      <c r="B467" s="6">
        <v>18</v>
      </c>
      <c r="C467" s="6">
        <v>226.79999999999998</v>
      </c>
    </row>
    <row r="468" spans="1:3">
      <c r="A468" s="7" t="s">
        <v>3789</v>
      </c>
      <c r="B468" s="6">
        <v>18</v>
      </c>
      <c r="C468" s="6">
        <v>226.79999999999998</v>
      </c>
    </row>
    <row r="469" spans="1:3">
      <c r="A469" s="5" t="s">
        <v>81</v>
      </c>
      <c r="B469" s="6">
        <v>4</v>
      </c>
      <c r="C469" s="6">
        <v>47.52</v>
      </c>
    </row>
    <row r="470" spans="1:3">
      <c r="A470" s="7" t="s">
        <v>3929</v>
      </c>
      <c r="B470" s="6">
        <v>4</v>
      </c>
      <c r="C470" s="6">
        <v>47.52</v>
      </c>
    </row>
    <row r="471" spans="1:3">
      <c r="A471" s="5" t="s">
        <v>2479</v>
      </c>
      <c r="B471" s="6">
        <v>4</v>
      </c>
      <c r="C471" s="6">
        <v>47.52</v>
      </c>
    </row>
    <row r="472" spans="1:3">
      <c r="A472" s="7" t="s">
        <v>3672</v>
      </c>
      <c r="B472" s="6">
        <v>4</v>
      </c>
      <c r="C472" s="6">
        <v>47.52</v>
      </c>
    </row>
    <row r="473" spans="1:3">
      <c r="A473" s="5" t="s">
        <v>2441</v>
      </c>
      <c r="B473" s="6">
        <v>4</v>
      </c>
      <c r="C473" s="6">
        <v>53.76</v>
      </c>
    </row>
    <row r="474" spans="1:3">
      <c r="A474" s="7" t="s">
        <v>2676</v>
      </c>
      <c r="B474" s="6">
        <v>2</v>
      </c>
      <c r="C474" s="6">
        <v>26.88</v>
      </c>
    </row>
    <row r="475" spans="1:3">
      <c r="A475" s="7" t="s">
        <v>3766</v>
      </c>
      <c r="B475" s="6">
        <v>2</v>
      </c>
      <c r="C475" s="6">
        <v>26.88</v>
      </c>
    </row>
    <row r="476" spans="1:3">
      <c r="A476" s="5" t="s">
        <v>2416</v>
      </c>
      <c r="B476" s="6">
        <v>6</v>
      </c>
      <c r="C476" s="6">
        <v>46.8</v>
      </c>
    </row>
    <row r="477" spans="1:3">
      <c r="A477" s="7" t="s">
        <v>3909</v>
      </c>
      <c r="B477" s="6">
        <v>3</v>
      </c>
      <c r="C477" s="6">
        <v>23.4</v>
      </c>
    </row>
    <row r="478" spans="1:3">
      <c r="A478" s="7" t="s">
        <v>4029</v>
      </c>
      <c r="B478" s="6">
        <v>3</v>
      </c>
      <c r="C478" s="6">
        <v>23.4</v>
      </c>
    </row>
    <row r="479" spans="1:3">
      <c r="A479" s="5" t="s">
        <v>2448</v>
      </c>
      <c r="B479" s="6">
        <v>4</v>
      </c>
      <c r="C479" s="6">
        <v>57.6</v>
      </c>
    </row>
    <row r="480" spans="1:3">
      <c r="A480" s="7" t="s">
        <v>4105</v>
      </c>
      <c r="B480" s="6">
        <v>4</v>
      </c>
      <c r="C480" s="6">
        <v>57.6</v>
      </c>
    </row>
    <row r="481" spans="1:3">
      <c r="A481" s="5" t="s">
        <v>2469</v>
      </c>
      <c r="B481" s="6">
        <v>3</v>
      </c>
      <c r="C481" s="6">
        <v>37.799999999999997</v>
      </c>
    </row>
    <row r="482" spans="1:3">
      <c r="A482" s="7" t="s">
        <v>4133</v>
      </c>
      <c r="B482" s="6">
        <v>3</v>
      </c>
      <c r="C482" s="6">
        <v>37.799999999999997</v>
      </c>
    </row>
    <row r="483" spans="1:3">
      <c r="A483" s="5" t="s">
        <v>2439</v>
      </c>
      <c r="B483" s="6">
        <v>4</v>
      </c>
      <c r="C483" s="6">
        <v>43.2</v>
      </c>
    </row>
    <row r="484" spans="1:3">
      <c r="A484" s="7" t="s">
        <v>2671</v>
      </c>
      <c r="B484" s="6">
        <v>4</v>
      </c>
      <c r="C484" s="6">
        <v>43.2</v>
      </c>
    </row>
    <row r="485" spans="1:3">
      <c r="A485" s="5" t="s">
        <v>16</v>
      </c>
      <c r="B485" s="6">
        <v>2</v>
      </c>
      <c r="C485" s="6">
        <v>31.2</v>
      </c>
    </row>
    <row r="486" spans="1:3">
      <c r="A486" s="7" t="s">
        <v>3669</v>
      </c>
      <c r="B486" s="6">
        <v>2</v>
      </c>
      <c r="C486" s="6">
        <v>31.2</v>
      </c>
    </row>
    <row r="487" spans="1:3">
      <c r="A487" s="5" t="s">
        <v>39</v>
      </c>
      <c r="B487" s="6">
        <v>2</v>
      </c>
      <c r="C487" s="6">
        <v>21.6</v>
      </c>
    </row>
    <row r="488" spans="1:3">
      <c r="A488" s="7" t="s">
        <v>3848</v>
      </c>
      <c r="B488" s="6">
        <v>2</v>
      </c>
      <c r="C488" s="6">
        <v>21.6</v>
      </c>
    </row>
    <row r="489" spans="1:3">
      <c r="A489" s="5" t="s">
        <v>65</v>
      </c>
      <c r="B489" s="6">
        <v>2</v>
      </c>
      <c r="C489" s="6">
        <v>28.8</v>
      </c>
    </row>
    <row r="490" spans="1:3">
      <c r="A490" s="7" t="s">
        <v>3982</v>
      </c>
      <c r="B490" s="6">
        <v>2</v>
      </c>
      <c r="C490" s="6">
        <v>28.8</v>
      </c>
    </row>
    <row r="491" spans="1:3">
      <c r="A491" s="5" t="s">
        <v>2463</v>
      </c>
      <c r="B491" s="6">
        <v>2</v>
      </c>
      <c r="C491" s="6">
        <v>28.8</v>
      </c>
    </row>
    <row r="492" spans="1:3">
      <c r="A492" s="7" t="s">
        <v>3991</v>
      </c>
      <c r="B492" s="6">
        <v>2</v>
      </c>
      <c r="C492" s="6">
        <v>28.8</v>
      </c>
    </row>
    <row r="493" spans="1:3">
      <c r="A493" s="5" t="s">
        <v>120</v>
      </c>
      <c r="B493" s="6">
        <v>4</v>
      </c>
      <c r="C493" s="6">
        <v>42.72</v>
      </c>
    </row>
    <row r="494" spans="1:3">
      <c r="A494" s="7" t="s">
        <v>4002</v>
      </c>
      <c r="B494" s="6">
        <v>2</v>
      </c>
      <c r="C494" s="6">
        <v>21.36</v>
      </c>
    </row>
    <row r="495" spans="1:3">
      <c r="A495" s="7" t="s">
        <v>3987</v>
      </c>
      <c r="B495" s="6">
        <v>2</v>
      </c>
      <c r="C495" s="6">
        <v>21.36</v>
      </c>
    </row>
    <row r="496" spans="1:3">
      <c r="A496" s="5" t="s">
        <v>93</v>
      </c>
      <c r="B496" s="6">
        <v>2</v>
      </c>
      <c r="C496" s="6">
        <v>21.36</v>
      </c>
    </row>
    <row r="497" spans="1:3">
      <c r="A497" s="7" t="s">
        <v>2675</v>
      </c>
      <c r="B497" s="6">
        <v>2</v>
      </c>
      <c r="C497" s="6">
        <v>21.36</v>
      </c>
    </row>
    <row r="498" spans="1:3">
      <c r="A498" s="5" t="s">
        <v>97</v>
      </c>
      <c r="B498" s="6">
        <v>2</v>
      </c>
      <c r="C498" s="6">
        <v>40.08</v>
      </c>
    </row>
    <row r="499" spans="1:3">
      <c r="A499" s="7" t="s">
        <v>4030</v>
      </c>
      <c r="B499" s="6">
        <v>2</v>
      </c>
      <c r="C499" s="6">
        <v>40.08</v>
      </c>
    </row>
    <row r="500" spans="1:3">
      <c r="A500" s="5" t="s">
        <v>108</v>
      </c>
      <c r="B500" s="6">
        <v>2</v>
      </c>
      <c r="C500" s="6">
        <v>25.44</v>
      </c>
    </row>
    <row r="501" spans="1:3">
      <c r="A501" s="7" t="s">
        <v>3922</v>
      </c>
      <c r="B501" s="6">
        <v>2</v>
      </c>
      <c r="C501" s="6">
        <v>25.44</v>
      </c>
    </row>
    <row r="502" spans="1:3">
      <c r="A502" s="5" t="s">
        <v>44</v>
      </c>
      <c r="B502" s="6">
        <v>2</v>
      </c>
      <c r="C502" s="6">
        <v>21.6</v>
      </c>
    </row>
    <row r="503" spans="1:3">
      <c r="A503" s="7" t="s">
        <v>3868</v>
      </c>
      <c r="B503" s="6">
        <v>2</v>
      </c>
      <c r="C503" s="6">
        <v>21.6</v>
      </c>
    </row>
    <row r="504" spans="1:3">
      <c r="A504" s="5" t="s">
        <v>99</v>
      </c>
      <c r="B504" s="6">
        <v>2</v>
      </c>
      <c r="C504" s="6">
        <v>25.44</v>
      </c>
    </row>
    <row r="505" spans="1:3">
      <c r="A505" s="7" t="s">
        <v>3920</v>
      </c>
      <c r="B505" s="6">
        <v>2</v>
      </c>
      <c r="C505" s="6">
        <v>25.44</v>
      </c>
    </row>
    <row r="506" spans="1:3">
      <c r="A506" s="5" t="s">
        <v>2477</v>
      </c>
      <c r="B506" s="6">
        <v>2</v>
      </c>
      <c r="C506" s="6">
        <v>25.44</v>
      </c>
    </row>
    <row r="507" spans="1:3">
      <c r="A507" s="7" t="s">
        <v>4116</v>
      </c>
      <c r="B507" s="6">
        <v>2</v>
      </c>
      <c r="C507" s="6">
        <v>25.44</v>
      </c>
    </row>
    <row r="508" spans="1:3">
      <c r="A508" s="5" t="s">
        <v>37</v>
      </c>
      <c r="B508" s="6">
        <v>4</v>
      </c>
      <c r="C508" s="6">
        <v>43.2</v>
      </c>
    </row>
    <row r="509" spans="1:3">
      <c r="A509" s="7" t="s">
        <v>4155</v>
      </c>
      <c r="B509" s="6">
        <v>2</v>
      </c>
      <c r="C509" s="6">
        <v>21.6</v>
      </c>
    </row>
    <row r="510" spans="1:3">
      <c r="A510" s="7" t="s">
        <v>4024</v>
      </c>
      <c r="B510" s="6">
        <v>2</v>
      </c>
      <c r="C510" s="6">
        <v>21.6</v>
      </c>
    </row>
    <row r="511" spans="1:3">
      <c r="A511" s="5" t="s">
        <v>98</v>
      </c>
      <c r="B511" s="6">
        <v>2</v>
      </c>
      <c r="C511" s="6">
        <v>36.479999999999997</v>
      </c>
    </row>
    <row r="512" spans="1:3">
      <c r="A512" s="7" t="s">
        <v>3804</v>
      </c>
      <c r="B512" s="6">
        <v>2</v>
      </c>
      <c r="C512" s="6">
        <v>36.479999999999997</v>
      </c>
    </row>
    <row r="513" spans="1:3">
      <c r="A513" s="5" t="s">
        <v>40</v>
      </c>
      <c r="B513" s="6">
        <v>2</v>
      </c>
      <c r="C513" s="6">
        <v>25.44</v>
      </c>
    </row>
    <row r="514" spans="1:3">
      <c r="A514" s="7" t="s">
        <v>3795</v>
      </c>
      <c r="B514" s="6">
        <v>2</v>
      </c>
      <c r="C514" s="6">
        <v>25.44</v>
      </c>
    </row>
    <row r="515" spans="1:3">
      <c r="A515" s="5" t="s">
        <v>72</v>
      </c>
      <c r="B515" s="6">
        <v>6</v>
      </c>
      <c r="C515" s="6">
        <v>54</v>
      </c>
    </row>
    <row r="516" spans="1:3">
      <c r="A516" s="7" t="s">
        <v>4193</v>
      </c>
      <c r="B516" s="6">
        <v>3</v>
      </c>
      <c r="C516" s="6">
        <v>27</v>
      </c>
    </row>
    <row r="517" spans="1:3">
      <c r="A517" s="7" t="s">
        <v>4051</v>
      </c>
      <c r="B517" s="6">
        <v>3</v>
      </c>
      <c r="C517" s="6">
        <v>27</v>
      </c>
    </row>
    <row r="518" spans="1:3">
      <c r="A518" s="5" t="s">
        <v>12</v>
      </c>
      <c r="B518" s="6">
        <v>6</v>
      </c>
      <c r="C518" s="6">
        <v>54</v>
      </c>
    </row>
    <row r="519" spans="1:3">
      <c r="A519" s="7" t="s">
        <v>3995</v>
      </c>
      <c r="B519" s="6">
        <v>3</v>
      </c>
      <c r="C519" s="6">
        <v>27</v>
      </c>
    </row>
    <row r="520" spans="1:3">
      <c r="A520" s="7" t="s">
        <v>3763</v>
      </c>
      <c r="B520" s="6">
        <v>3</v>
      </c>
      <c r="C520" s="6">
        <v>27</v>
      </c>
    </row>
    <row r="521" spans="1:3">
      <c r="A521" s="5" t="s">
        <v>61</v>
      </c>
      <c r="B521" s="6">
        <v>6</v>
      </c>
      <c r="C521" s="6">
        <v>54</v>
      </c>
    </row>
    <row r="522" spans="1:3">
      <c r="A522" s="7" t="s">
        <v>3797</v>
      </c>
      <c r="B522" s="6">
        <v>3</v>
      </c>
      <c r="C522" s="6">
        <v>27</v>
      </c>
    </row>
    <row r="523" spans="1:3">
      <c r="A523" s="7" t="s">
        <v>4101</v>
      </c>
      <c r="B523" s="6">
        <v>3</v>
      </c>
      <c r="C523" s="6">
        <v>27</v>
      </c>
    </row>
    <row r="524" spans="1:3">
      <c r="A524" s="5" t="s">
        <v>111</v>
      </c>
      <c r="B524" s="6">
        <v>3</v>
      </c>
      <c r="C524" s="6">
        <v>28.08</v>
      </c>
    </row>
    <row r="525" spans="1:3">
      <c r="A525" s="7" t="s">
        <v>3754</v>
      </c>
      <c r="B525" s="6">
        <v>3</v>
      </c>
      <c r="C525" s="6">
        <v>28.08</v>
      </c>
    </row>
    <row r="526" spans="1:3">
      <c r="A526" s="5" t="s">
        <v>17</v>
      </c>
      <c r="B526" s="6">
        <v>6</v>
      </c>
      <c r="C526" s="6">
        <v>50.400000000000006</v>
      </c>
    </row>
    <row r="527" spans="1:3">
      <c r="A527" s="7" t="s">
        <v>3787</v>
      </c>
      <c r="B527" s="6">
        <v>3</v>
      </c>
      <c r="C527" s="6">
        <v>25.200000000000003</v>
      </c>
    </row>
    <row r="528" spans="1:3">
      <c r="A528" s="7" t="s">
        <v>4097</v>
      </c>
      <c r="B528" s="6">
        <v>3</v>
      </c>
      <c r="C528" s="6">
        <v>25.200000000000003</v>
      </c>
    </row>
    <row r="529" spans="1:3">
      <c r="A529" s="5" t="s">
        <v>55</v>
      </c>
      <c r="B529" s="6">
        <v>9</v>
      </c>
      <c r="C529" s="6">
        <v>75.600000000000009</v>
      </c>
    </row>
    <row r="530" spans="1:3">
      <c r="A530" s="7" t="s">
        <v>4054</v>
      </c>
      <c r="B530" s="6">
        <v>3</v>
      </c>
      <c r="C530" s="6">
        <v>25.200000000000003</v>
      </c>
    </row>
    <row r="531" spans="1:3">
      <c r="A531" s="7" t="s">
        <v>3788</v>
      </c>
      <c r="B531" s="6">
        <v>3</v>
      </c>
      <c r="C531" s="6">
        <v>25.200000000000003</v>
      </c>
    </row>
    <row r="532" spans="1:3">
      <c r="A532" s="7" t="s">
        <v>3964</v>
      </c>
      <c r="B532" s="6">
        <v>3</v>
      </c>
      <c r="C532" s="6">
        <v>25.200000000000003</v>
      </c>
    </row>
    <row r="533" spans="1:3">
      <c r="A533" s="5" t="s">
        <v>82</v>
      </c>
      <c r="B533" s="6">
        <v>9</v>
      </c>
      <c r="C533" s="6">
        <v>75.600000000000009</v>
      </c>
    </row>
    <row r="534" spans="1:3">
      <c r="A534" s="7" t="s">
        <v>4160</v>
      </c>
      <c r="B534" s="6">
        <v>3</v>
      </c>
      <c r="C534" s="6">
        <v>25.200000000000003</v>
      </c>
    </row>
    <row r="535" spans="1:3">
      <c r="A535" s="7" t="s">
        <v>3852</v>
      </c>
      <c r="B535" s="6">
        <v>3</v>
      </c>
      <c r="C535" s="6">
        <v>25.200000000000003</v>
      </c>
    </row>
    <row r="536" spans="1:3">
      <c r="A536" s="7" t="s">
        <v>4161</v>
      </c>
      <c r="B536" s="6">
        <v>3</v>
      </c>
      <c r="C536" s="6">
        <v>25.200000000000003</v>
      </c>
    </row>
    <row r="537" spans="1:3">
      <c r="A537" s="5" t="s">
        <v>83</v>
      </c>
      <c r="B537" s="6">
        <v>6</v>
      </c>
      <c r="C537" s="6">
        <v>50.400000000000006</v>
      </c>
    </row>
    <row r="538" spans="1:3">
      <c r="A538" s="7" t="s">
        <v>3821</v>
      </c>
      <c r="B538" s="6">
        <v>3</v>
      </c>
      <c r="C538" s="6">
        <v>25.200000000000003</v>
      </c>
    </row>
    <row r="539" spans="1:3">
      <c r="A539" s="7" t="s">
        <v>4001</v>
      </c>
      <c r="B539" s="6">
        <v>3</v>
      </c>
      <c r="C539" s="6">
        <v>25.200000000000003</v>
      </c>
    </row>
    <row r="540" spans="1:3">
      <c r="A540" s="5" t="s">
        <v>89</v>
      </c>
      <c r="B540" s="6">
        <v>9</v>
      </c>
      <c r="C540" s="6">
        <v>81</v>
      </c>
    </row>
    <row r="541" spans="1:3">
      <c r="A541" s="7" t="s">
        <v>3874</v>
      </c>
      <c r="B541" s="6">
        <v>3</v>
      </c>
      <c r="C541" s="6">
        <v>27</v>
      </c>
    </row>
    <row r="542" spans="1:3">
      <c r="A542" s="7" t="s">
        <v>4037</v>
      </c>
      <c r="B542" s="6">
        <v>3</v>
      </c>
      <c r="C542" s="6">
        <v>27</v>
      </c>
    </row>
    <row r="543" spans="1:3">
      <c r="A543" s="7" t="s">
        <v>3716</v>
      </c>
      <c r="B543" s="6">
        <v>3</v>
      </c>
      <c r="C543" s="6">
        <v>27</v>
      </c>
    </row>
    <row r="544" spans="1:3">
      <c r="A544" s="5" t="s">
        <v>102</v>
      </c>
      <c r="B544" s="6">
        <v>3</v>
      </c>
      <c r="C544" s="6">
        <v>27</v>
      </c>
    </row>
    <row r="545" spans="1:3">
      <c r="A545" s="7" t="s">
        <v>4027</v>
      </c>
      <c r="B545" s="6">
        <v>3</v>
      </c>
      <c r="C545" s="6">
        <v>27</v>
      </c>
    </row>
    <row r="546" spans="1:3">
      <c r="A546" s="5" t="s">
        <v>56</v>
      </c>
      <c r="B546" s="6">
        <v>6</v>
      </c>
      <c r="C546" s="6">
        <v>51.12</v>
      </c>
    </row>
    <row r="547" spans="1:3">
      <c r="A547" s="7" t="s">
        <v>2659</v>
      </c>
      <c r="B547" s="6">
        <v>3</v>
      </c>
      <c r="C547" s="6">
        <v>25.56</v>
      </c>
    </row>
    <row r="548" spans="1:3">
      <c r="A548" s="7" t="s">
        <v>4049</v>
      </c>
      <c r="B548" s="6">
        <v>3</v>
      </c>
      <c r="C548" s="6">
        <v>25.56</v>
      </c>
    </row>
    <row r="549" spans="1:3">
      <c r="A549" s="5" t="s">
        <v>57</v>
      </c>
      <c r="B549" s="6">
        <v>9</v>
      </c>
      <c r="C549" s="6">
        <v>170.64000000000001</v>
      </c>
    </row>
    <row r="550" spans="1:3">
      <c r="A550" s="7" t="s">
        <v>4143</v>
      </c>
      <c r="B550" s="6">
        <v>3</v>
      </c>
      <c r="C550" s="6">
        <v>56.88</v>
      </c>
    </row>
    <row r="551" spans="1:3">
      <c r="A551" s="7" t="s">
        <v>3798</v>
      </c>
      <c r="B551" s="6">
        <v>3</v>
      </c>
      <c r="C551" s="6">
        <v>56.88</v>
      </c>
    </row>
    <row r="552" spans="1:3">
      <c r="A552" s="7" t="s">
        <v>3768</v>
      </c>
      <c r="B552" s="6">
        <v>3</v>
      </c>
      <c r="C552" s="6">
        <v>56.88</v>
      </c>
    </row>
    <row r="553" spans="1:3">
      <c r="A553" s="5" t="s">
        <v>27</v>
      </c>
      <c r="B553" s="6">
        <v>42</v>
      </c>
      <c r="C553" s="6">
        <v>80.64</v>
      </c>
    </row>
    <row r="554" spans="1:3">
      <c r="A554" s="7" t="s">
        <v>4056</v>
      </c>
      <c r="B554" s="6">
        <v>6</v>
      </c>
      <c r="C554" s="6">
        <v>11.52</v>
      </c>
    </row>
    <row r="555" spans="1:3">
      <c r="A555" s="7" t="s">
        <v>4007</v>
      </c>
      <c r="B555" s="6">
        <v>6</v>
      </c>
      <c r="C555" s="6">
        <v>11.52</v>
      </c>
    </row>
    <row r="556" spans="1:3">
      <c r="A556" s="7" t="s">
        <v>4011</v>
      </c>
      <c r="B556" s="6">
        <v>6</v>
      </c>
      <c r="C556" s="6">
        <v>11.52</v>
      </c>
    </row>
    <row r="557" spans="1:3">
      <c r="A557" s="7" t="s">
        <v>4195</v>
      </c>
      <c r="B557" s="6">
        <v>6</v>
      </c>
      <c r="C557" s="6">
        <v>11.52</v>
      </c>
    </row>
    <row r="558" spans="1:3">
      <c r="A558" s="7" t="s">
        <v>3736</v>
      </c>
      <c r="B558" s="6">
        <v>12</v>
      </c>
      <c r="C558" s="6">
        <v>23.04</v>
      </c>
    </row>
    <row r="559" spans="1:3">
      <c r="A559" s="7" t="s">
        <v>4057</v>
      </c>
      <c r="B559" s="6">
        <v>6</v>
      </c>
      <c r="C559" s="6">
        <v>11.52</v>
      </c>
    </row>
    <row r="560" spans="1:3">
      <c r="A560" s="5" t="s">
        <v>35</v>
      </c>
      <c r="B560" s="6">
        <v>48</v>
      </c>
      <c r="C560" s="6">
        <v>120.96000000000001</v>
      </c>
    </row>
    <row r="561" spans="1:3">
      <c r="A561" s="7" t="s">
        <v>3919</v>
      </c>
      <c r="B561" s="6">
        <v>6</v>
      </c>
      <c r="C561" s="6">
        <v>15.120000000000001</v>
      </c>
    </row>
    <row r="562" spans="1:3">
      <c r="A562" s="7" t="s">
        <v>3765</v>
      </c>
      <c r="B562" s="6">
        <v>6</v>
      </c>
      <c r="C562" s="6">
        <v>15.120000000000001</v>
      </c>
    </row>
    <row r="563" spans="1:3">
      <c r="A563" s="7" t="s">
        <v>4107</v>
      </c>
      <c r="B563" s="6">
        <v>6</v>
      </c>
      <c r="C563" s="6">
        <v>15.120000000000001</v>
      </c>
    </row>
    <row r="564" spans="1:3">
      <c r="A564" s="7" t="s">
        <v>3883</v>
      </c>
      <c r="B564" s="6">
        <v>6</v>
      </c>
      <c r="C564" s="6">
        <v>15.120000000000001</v>
      </c>
    </row>
    <row r="565" spans="1:3">
      <c r="A565" s="7" t="s">
        <v>4084</v>
      </c>
      <c r="B565" s="6">
        <v>12</v>
      </c>
      <c r="C565" s="6">
        <v>30.240000000000002</v>
      </c>
    </row>
    <row r="566" spans="1:3">
      <c r="A566" s="7" t="s">
        <v>3721</v>
      </c>
      <c r="B566" s="6">
        <v>6</v>
      </c>
      <c r="C566" s="6">
        <v>15.120000000000001</v>
      </c>
    </row>
    <row r="567" spans="1:3">
      <c r="A567" s="7" t="s">
        <v>4047</v>
      </c>
      <c r="B567" s="6">
        <v>6</v>
      </c>
      <c r="C567" s="6">
        <v>15.120000000000001</v>
      </c>
    </row>
    <row r="568" spans="1:3">
      <c r="A568" s="5" t="s">
        <v>2427</v>
      </c>
      <c r="B568" s="6">
        <v>20</v>
      </c>
      <c r="C568" s="6">
        <v>132</v>
      </c>
    </row>
    <row r="569" spans="1:3">
      <c r="A569" s="7" t="s">
        <v>4038</v>
      </c>
      <c r="B569" s="6">
        <v>1</v>
      </c>
      <c r="C569" s="6">
        <v>6.6</v>
      </c>
    </row>
    <row r="570" spans="1:3">
      <c r="A570" s="7" t="s">
        <v>3680</v>
      </c>
      <c r="B570" s="6">
        <v>3</v>
      </c>
      <c r="C570" s="6">
        <v>19.799999999999997</v>
      </c>
    </row>
    <row r="571" spans="1:3">
      <c r="A571" s="7" t="s">
        <v>3841</v>
      </c>
      <c r="B571" s="6">
        <v>3</v>
      </c>
      <c r="C571" s="6">
        <v>19.799999999999997</v>
      </c>
    </row>
    <row r="572" spans="1:3">
      <c r="A572" s="7" t="s">
        <v>4092</v>
      </c>
      <c r="B572" s="6">
        <v>2</v>
      </c>
      <c r="C572" s="6">
        <v>13.2</v>
      </c>
    </row>
    <row r="573" spans="1:3">
      <c r="A573" s="7" t="s">
        <v>4020</v>
      </c>
      <c r="B573" s="6">
        <v>2</v>
      </c>
      <c r="C573" s="6">
        <v>13.2</v>
      </c>
    </row>
    <row r="574" spans="1:3">
      <c r="A574" s="7" t="s">
        <v>3866</v>
      </c>
      <c r="B574" s="6">
        <v>3</v>
      </c>
      <c r="C574" s="6">
        <v>19.799999999999997</v>
      </c>
    </row>
    <row r="575" spans="1:3">
      <c r="A575" s="7" t="s">
        <v>3955</v>
      </c>
      <c r="B575" s="6">
        <v>3</v>
      </c>
      <c r="C575" s="6">
        <v>19.799999999999997</v>
      </c>
    </row>
    <row r="576" spans="1:3">
      <c r="A576" s="7" t="s">
        <v>3960</v>
      </c>
      <c r="B576" s="6">
        <v>3</v>
      </c>
      <c r="C576" s="6">
        <v>19.799999999999997</v>
      </c>
    </row>
    <row r="577" spans="1:3">
      <c r="A577" s="5" t="s">
        <v>2450</v>
      </c>
      <c r="B577" s="6">
        <v>4</v>
      </c>
      <c r="C577" s="6">
        <v>72.48</v>
      </c>
    </row>
    <row r="578" spans="1:3">
      <c r="A578" s="7" t="s">
        <v>3777</v>
      </c>
      <c r="B578" s="6">
        <v>4</v>
      </c>
      <c r="C578" s="6">
        <v>72.48</v>
      </c>
    </row>
    <row r="579" spans="1:3">
      <c r="A579" s="5" t="s">
        <v>4073</v>
      </c>
      <c r="B579" s="6">
        <v>4</v>
      </c>
      <c r="C579" s="6">
        <v>72.48</v>
      </c>
    </row>
    <row r="580" spans="1:3">
      <c r="A580" s="7" t="s">
        <v>4074</v>
      </c>
      <c r="B580" s="6">
        <v>4</v>
      </c>
      <c r="C580" s="6">
        <v>72.48</v>
      </c>
    </row>
    <row r="581" spans="1:3">
      <c r="A581" s="5" t="s">
        <v>2455</v>
      </c>
      <c r="B581" s="6">
        <v>4</v>
      </c>
      <c r="C581" s="6">
        <v>72.48</v>
      </c>
    </row>
    <row r="582" spans="1:3">
      <c r="A582" s="7" t="s">
        <v>4106</v>
      </c>
      <c r="B582" s="6">
        <v>4</v>
      </c>
      <c r="C582" s="6">
        <v>72.48</v>
      </c>
    </row>
    <row r="583" spans="1:3">
      <c r="A583" s="5" t="s">
        <v>2414</v>
      </c>
      <c r="B583" s="6">
        <v>9</v>
      </c>
      <c r="C583" s="6">
        <v>173.88</v>
      </c>
    </row>
    <row r="584" spans="1:3">
      <c r="A584" s="7" t="s">
        <v>4102</v>
      </c>
      <c r="B584" s="6">
        <v>3</v>
      </c>
      <c r="C584" s="6">
        <v>57.96</v>
      </c>
    </row>
    <row r="585" spans="1:3">
      <c r="A585" s="7" t="s">
        <v>4194</v>
      </c>
      <c r="B585" s="6">
        <v>3</v>
      </c>
      <c r="C585" s="6">
        <v>57.96</v>
      </c>
    </row>
    <row r="586" spans="1:3">
      <c r="A586" s="7" t="s">
        <v>3809</v>
      </c>
      <c r="B586" s="6">
        <v>3</v>
      </c>
      <c r="C586" s="6">
        <v>57.96</v>
      </c>
    </row>
    <row r="587" spans="1:3">
      <c r="A587" s="5" t="s">
        <v>74</v>
      </c>
      <c r="B587" s="6">
        <v>10</v>
      </c>
      <c r="C587" s="6">
        <v>36</v>
      </c>
    </row>
    <row r="588" spans="1:3">
      <c r="A588" s="7" t="s">
        <v>3974</v>
      </c>
      <c r="B588" s="6">
        <v>10</v>
      </c>
      <c r="C588" s="6">
        <v>36</v>
      </c>
    </row>
    <row r="589" spans="1:3">
      <c r="A589" s="5" t="s">
        <v>10</v>
      </c>
      <c r="B589" s="6">
        <v>12</v>
      </c>
      <c r="C589" s="6">
        <v>86.4</v>
      </c>
    </row>
    <row r="590" spans="1:3">
      <c r="A590" s="7" t="s">
        <v>3992</v>
      </c>
      <c r="B590" s="6">
        <v>6</v>
      </c>
      <c r="C590" s="6">
        <v>43.2</v>
      </c>
    </row>
    <row r="591" spans="1:3">
      <c r="A591" s="7" t="s">
        <v>3980</v>
      </c>
      <c r="B591" s="6">
        <v>2</v>
      </c>
      <c r="C591" s="6">
        <v>14.4</v>
      </c>
    </row>
    <row r="592" spans="1:3">
      <c r="A592" s="7" t="s">
        <v>3911</v>
      </c>
      <c r="B592" s="6">
        <v>2</v>
      </c>
      <c r="C592" s="6">
        <v>14.4</v>
      </c>
    </row>
    <row r="593" spans="1:3">
      <c r="A593" s="7" t="s">
        <v>4003</v>
      </c>
      <c r="B593" s="6">
        <v>2</v>
      </c>
      <c r="C593" s="6">
        <v>14.4</v>
      </c>
    </row>
    <row r="594" spans="1:3">
      <c r="A594" s="5" t="s">
        <v>130</v>
      </c>
      <c r="B594" s="6">
        <v>3</v>
      </c>
      <c r="C594" s="6">
        <v>21.6</v>
      </c>
    </row>
    <row r="595" spans="1:3">
      <c r="A595" s="7" t="s">
        <v>4154</v>
      </c>
      <c r="B595" s="6">
        <v>3</v>
      </c>
      <c r="C595" s="6">
        <v>21.6</v>
      </c>
    </row>
    <row r="596" spans="1:3">
      <c r="A596" s="5" t="s">
        <v>64</v>
      </c>
      <c r="B596" s="6">
        <v>3</v>
      </c>
      <c r="C596" s="6">
        <v>28.799999999999997</v>
      </c>
    </row>
    <row r="597" spans="1:3">
      <c r="A597" s="7" t="s">
        <v>3938</v>
      </c>
      <c r="B597" s="6">
        <v>3</v>
      </c>
      <c r="C597" s="6">
        <v>28.799999999999997</v>
      </c>
    </row>
    <row r="598" spans="1:3">
      <c r="A598" s="5" t="s">
        <v>3869</v>
      </c>
      <c r="B598" s="6">
        <v>14</v>
      </c>
      <c r="C598" s="6">
        <v>142.79999999999998</v>
      </c>
    </row>
    <row r="599" spans="1:3">
      <c r="A599" s="7" t="s">
        <v>4130</v>
      </c>
      <c r="B599" s="6">
        <v>8</v>
      </c>
      <c r="C599" s="6">
        <v>81.599999999999994</v>
      </c>
    </row>
    <row r="600" spans="1:3">
      <c r="A600" s="7" t="s">
        <v>3871</v>
      </c>
      <c r="B600" s="6">
        <v>6</v>
      </c>
      <c r="C600" s="6">
        <v>61.199999999999996</v>
      </c>
    </row>
    <row r="601" spans="1:3">
      <c r="A601" s="5" t="s">
        <v>7</v>
      </c>
      <c r="B601" s="6">
        <v>24</v>
      </c>
      <c r="C601" s="6">
        <v>285.12</v>
      </c>
    </row>
    <row r="602" spans="1:3">
      <c r="A602" s="7" t="s">
        <v>3891</v>
      </c>
      <c r="B602" s="6">
        <v>6</v>
      </c>
      <c r="C602" s="6">
        <v>71.28</v>
      </c>
    </row>
    <row r="603" spans="1:3">
      <c r="A603" s="7" t="s">
        <v>4174</v>
      </c>
      <c r="B603" s="6">
        <v>4</v>
      </c>
      <c r="C603" s="6">
        <v>47.52</v>
      </c>
    </row>
    <row r="604" spans="1:3">
      <c r="A604" s="7" t="s">
        <v>4108</v>
      </c>
      <c r="B604" s="6">
        <v>6</v>
      </c>
      <c r="C604" s="6">
        <v>71.28</v>
      </c>
    </row>
    <row r="605" spans="1:3">
      <c r="A605" s="7" t="s">
        <v>3730</v>
      </c>
      <c r="B605" s="6">
        <v>4</v>
      </c>
      <c r="C605" s="6">
        <v>47.52</v>
      </c>
    </row>
    <row r="606" spans="1:3">
      <c r="A606" s="7" t="s">
        <v>3827</v>
      </c>
      <c r="B606" s="6">
        <v>4</v>
      </c>
      <c r="C606" s="6">
        <v>47.52</v>
      </c>
    </row>
    <row r="607" spans="1:3">
      <c r="A607" s="5" t="s">
        <v>3799</v>
      </c>
      <c r="B607" s="6">
        <v>14</v>
      </c>
      <c r="C607" s="6">
        <v>100.80000000000001</v>
      </c>
    </row>
    <row r="608" spans="1:3">
      <c r="A608" s="7" t="s">
        <v>3801</v>
      </c>
      <c r="B608" s="6">
        <v>8</v>
      </c>
      <c r="C608" s="6">
        <v>57.6</v>
      </c>
    </row>
    <row r="609" spans="1:3">
      <c r="A609" s="7" t="s">
        <v>4168</v>
      </c>
      <c r="B609" s="6">
        <v>6</v>
      </c>
      <c r="C609" s="6">
        <v>43.2</v>
      </c>
    </row>
    <row r="610" spans="1:3">
      <c r="A610" s="5" t="s">
        <v>20</v>
      </c>
      <c r="B610" s="6">
        <v>18</v>
      </c>
      <c r="C610" s="6">
        <v>172.8</v>
      </c>
    </row>
    <row r="611" spans="1:3">
      <c r="A611" s="7" t="s">
        <v>3796</v>
      </c>
      <c r="B611" s="6">
        <v>10</v>
      </c>
      <c r="C611" s="6">
        <v>96</v>
      </c>
    </row>
    <row r="612" spans="1:3">
      <c r="A612" s="7" t="s">
        <v>4141</v>
      </c>
      <c r="B612" s="6">
        <v>8</v>
      </c>
      <c r="C612" s="6">
        <v>76.8</v>
      </c>
    </row>
    <row r="613" spans="1:3">
      <c r="A613" s="5" t="s">
        <v>28</v>
      </c>
      <c r="B613" s="6">
        <v>2</v>
      </c>
      <c r="C613" s="6">
        <v>26.88</v>
      </c>
    </row>
    <row r="614" spans="1:3">
      <c r="A614" s="7" t="s">
        <v>3994</v>
      </c>
      <c r="B614" s="6">
        <v>2</v>
      </c>
      <c r="C614" s="6">
        <v>26.88</v>
      </c>
    </row>
    <row r="615" spans="1:3">
      <c r="A615" s="5" t="s">
        <v>77</v>
      </c>
      <c r="B615" s="6">
        <v>2</v>
      </c>
      <c r="C615" s="6">
        <v>26.88</v>
      </c>
    </row>
    <row r="616" spans="1:3">
      <c r="A616" s="7" t="s">
        <v>3985</v>
      </c>
      <c r="B616" s="6">
        <v>2</v>
      </c>
      <c r="C616" s="6">
        <v>26.88</v>
      </c>
    </row>
    <row r="617" spans="1:3">
      <c r="A617" s="5" t="s">
        <v>3</v>
      </c>
      <c r="B617" s="6">
        <v>7</v>
      </c>
      <c r="C617" s="6">
        <v>94.08</v>
      </c>
    </row>
    <row r="618" spans="1:3">
      <c r="A618" s="7" t="s">
        <v>3741</v>
      </c>
      <c r="B618" s="6">
        <v>2</v>
      </c>
      <c r="C618" s="6">
        <v>26.88</v>
      </c>
    </row>
    <row r="619" spans="1:3">
      <c r="A619" s="7" t="s">
        <v>3880</v>
      </c>
      <c r="B619" s="6">
        <v>3</v>
      </c>
      <c r="C619" s="6">
        <v>40.32</v>
      </c>
    </row>
    <row r="620" spans="1:3">
      <c r="A620" s="7" t="s">
        <v>3764</v>
      </c>
      <c r="B620" s="6">
        <v>2</v>
      </c>
      <c r="C620" s="6">
        <v>26.88</v>
      </c>
    </row>
    <row r="621" spans="1:3">
      <c r="A621" s="5" t="s">
        <v>92</v>
      </c>
      <c r="B621" s="6">
        <v>4</v>
      </c>
      <c r="C621" s="6">
        <v>50.4</v>
      </c>
    </row>
    <row r="622" spans="1:3">
      <c r="A622" s="7" t="s">
        <v>3962</v>
      </c>
      <c r="B622" s="6">
        <v>4</v>
      </c>
      <c r="C622" s="6">
        <v>50.4</v>
      </c>
    </row>
    <row r="623" spans="1:3">
      <c r="A623" s="5" t="s">
        <v>47</v>
      </c>
      <c r="B623" s="6">
        <v>4</v>
      </c>
      <c r="C623" s="6">
        <v>53.76</v>
      </c>
    </row>
    <row r="624" spans="1:3">
      <c r="A624" s="7" t="s">
        <v>4181</v>
      </c>
      <c r="B624" s="6">
        <v>4</v>
      </c>
      <c r="C624" s="6">
        <v>53.76</v>
      </c>
    </row>
    <row r="625" spans="1:3">
      <c r="A625" s="5" t="s">
        <v>4</v>
      </c>
      <c r="B625" s="6">
        <v>10</v>
      </c>
      <c r="C625" s="6">
        <v>181.20000000000002</v>
      </c>
    </row>
    <row r="626" spans="1:3">
      <c r="A626" s="7" t="s">
        <v>4125</v>
      </c>
      <c r="B626" s="6">
        <v>2</v>
      </c>
      <c r="C626" s="6">
        <v>36.24</v>
      </c>
    </row>
    <row r="627" spans="1:3">
      <c r="A627" s="7" t="s">
        <v>3825</v>
      </c>
      <c r="B627" s="6">
        <v>2</v>
      </c>
      <c r="C627" s="6">
        <v>36.24</v>
      </c>
    </row>
    <row r="628" spans="1:3">
      <c r="A628" s="7" t="s">
        <v>4147</v>
      </c>
      <c r="B628" s="6">
        <v>2</v>
      </c>
      <c r="C628" s="6">
        <v>36.24</v>
      </c>
    </row>
    <row r="629" spans="1:3">
      <c r="A629" s="7" t="s">
        <v>3988</v>
      </c>
      <c r="B629" s="6">
        <v>2</v>
      </c>
      <c r="C629" s="6">
        <v>36.24</v>
      </c>
    </row>
    <row r="630" spans="1:3">
      <c r="A630" s="7" t="s">
        <v>4072</v>
      </c>
      <c r="B630" s="6">
        <v>2</v>
      </c>
      <c r="C630" s="6">
        <v>36.24</v>
      </c>
    </row>
    <row r="631" spans="1:3">
      <c r="A631" s="5" t="s">
        <v>73</v>
      </c>
      <c r="B631" s="6">
        <v>9</v>
      </c>
      <c r="C631" s="6">
        <v>197.64</v>
      </c>
    </row>
    <row r="632" spans="1:3">
      <c r="A632" s="7" t="s">
        <v>2663</v>
      </c>
      <c r="B632" s="6">
        <v>3</v>
      </c>
      <c r="C632" s="6">
        <v>65.88</v>
      </c>
    </row>
    <row r="633" spans="1:3">
      <c r="A633" s="7" t="s">
        <v>3856</v>
      </c>
      <c r="B633" s="6">
        <v>3</v>
      </c>
      <c r="C633" s="6">
        <v>65.88</v>
      </c>
    </row>
    <row r="634" spans="1:3">
      <c r="A634" s="7" t="s">
        <v>3983</v>
      </c>
      <c r="B634" s="6">
        <v>3</v>
      </c>
      <c r="C634" s="6">
        <v>65.88</v>
      </c>
    </row>
    <row r="635" spans="1:3">
      <c r="A635" s="5" t="s">
        <v>48</v>
      </c>
      <c r="B635" s="6">
        <v>6</v>
      </c>
      <c r="C635" s="6">
        <v>120.24</v>
      </c>
    </row>
    <row r="636" spans="1:3">
      <c r="A636" s="7" t="s">
        <v>3977</v>
      </c>
      <c r="B636" s="6">
        <v>3</v>
      </c>
      <c r="C636" s="6">
        <v>60.12</v>
      </c>
    </row>
    <row r="637" spans="1:3">
      <c r="A637" s="7" t="s">
        <v>2679</v>
      </c>
      <c r="B637" s="6">
        <v>3</v>
      </c>
      <c r="C637" s="6">
        <v>60.12</v>
      </c>
    </row>
    <row r="638" spans="1:3">
      <c r="A638" s="5" t="s">
        <v>2444</v>
      </c>
      <c r="B638" s="6">
        <v>2</v>
      </c>
      <c r="C638" s="6">
        <v>25.44</v>
      </c>
    </row>
    <row r="639" spans="1:3">
      <c r="A639" s="7" t="s">
        <v>4008</v>
      </c>
      <c r="B639" s="6">
        <v>2</v>
      </c>
      <c r="C639" s="6">
        <v>25.44</v>
      </c>
    </row>
    <row r="640" spans="1:3">
      <c r="A640" s="5" t="s">
        <v>79</v>
      </c>
      <c r="B640" s="6">
        <v>6</v>
      </c>
      <c r="C640" s="6">
        <v>79.92</v>
      </c>
    </row>
    <row r="641" spans="1:3">
      <c r="A641" s="7" t="s">
        <v>3780</v>
      </c>
      <c r="B641" s="6">
        <v>3</v>
      </c>
      <c r="C641" s="6">
        <v>39.96</v>
      </c>
    </row>
    <row r="642" spans="1:3">
      <c r="A642" s="7" t="s">
        <v>4135</v>
      </c>
      <c r="B642" s="6">
        <v>3</v>
      </c>
      <c r="C642" s="6">
        <v>39.96</v>
      </c>
    </row>
    <row r="643" spans="1:3">
      <c r="A643" s="5" t="s">
        <v>131</v>
      </c>
      <c r="B643" s="6">
        <v>1372</v>
      </c>
      <c r="C643" s="6">
        <v>14647.200000000008</v>
      </c>
    </row>
  </sheetData>
  <phoneticPr fontId="8" type="noConversion"/>
  <pageMargins left="0" right="0" top="0" bottom="0" header="0.5" footer="0.5"/>
  <pageSetup paperSize="9" scale="84" fitToHeight="0" orientation="portrait" horizontalDpi="4294967292" verticalDpi="4294967292"/>
  <headerFooter>
    <oddFooter>&amp;L&amp;K000000&amp;F &amp;A&amp;R&amp;K000000&amp;P / &amp;N &amp;D&amp;T</oddFooter>
  </headerFooter>
  <extLst>
    <ext xmlns:mx="http://schemas.microsoft.com/office/mac/excel/2008/main" uri="{64002731-A6B0-56B0-2670-7721B7C09600}">
      <mx:PLV Mode="0" OnePage="0" WScale="6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 enableFormatConditionsCalculation="0"/>
  <dimension ref="A1:M491"/>
  <sheetViews>
    <sheetView tabSelected="1" workbookViewId="0">
      <pane xSplit="2" ySplit="4" topLeftCell="C76" activePane="bottomRight" state="frozen"/>
      <selection pane="topRight" activeCell="C1" sqref="C1"/>
      <selection pane="bottomLeft" activeCell="A5" sqref="A5"/>
      <selection pane="bottomRight" activeCell="H93" sqref="H93"/>
    </sheetView>
  </sheetViews>
  <sheetFormatPr baseColWidth="10" defaultRowHeight="14" x14ac:dyDescent="0"/>
  <cols>
    <col min="1" max="1" width="18.33203125" bestFit="1" customWidth="1"/>
    <col min="2" max="2" width="4.1640625" bestFit="1" customWidth="1"/>
    <col min="3" max="3" width="15.33203125" bestFit="1" customWidth="1"/>
    <col min="4" max="4" width="5.6640625" customWidth="1"/>
    <col min="5" max="5" width="9.6640625" bestFit="1" customWidth="1"/>
    <col min="6" max="6" width="79.1640625" style="1" bestFit="1" customWidth="1"/>
    <col min="7" max="7" width="4.1640625" bestFit="1" customWidth="1"/>
    <col min="8" max="8" width="14.33203125" customWidth="1"/>
    <col min="12" max="28" width="5.33203125" bestFit="1" customWidth="1"/>
  </cols>
  <sheetData>
    <row r="1" spans="1:13">
      <c r="B1" t="s">
        <v>2409</v>
      </c>
      <c r="C1">
        <f ca="1">MATCH("*Total Facture*",INDIRECT("Feuille1!A:A"), 0)</f>
        <v>21</v>
      </c>
      <c r="F1" t="str">
        <f ca="1">INDEX(INDIRECT("Feuille1!A:A"),Extraction!C1)</f>
        <v>Total FACTURE 14.935,20 EUR</v>
      </c>
    </row>
    <row r="2" spans="1:13" ht="18">
      <c r="C2" s="2">
        <f>SUM(J:J)</f>
        <v>14648.199999999997</v>
      </c>
      <c r="F2" s="3" t="e">
        <f>INDEX(#REF!,MATCH("*Document Date *",#REF!, 0))</f>
        <v>#REF!</v>
      </c>
      <c r="J2">
        <f>COUNTIF(K:K, FALSE)</f>
        <v>1</v>
      </c>
      <c r="K2" t="s">
        <v>127</v>
      </c>
    </row>
    <row r="4" spans="1:13">
      <c r="B4" t="s">
        <v>421</v>
      </c>
      <c r="C4" t="s">
        <v>261</v>
      </c>
      <c r="D4" t="s">
        <v>266</v>
      </c>
      <c r="E4" t="s">
        <v>267</v>
      </c>
      <c r="F4" s="1" t="s">
        <v>422</v>
      </c>
      <c r="G4" t="s">
        <v>262</v>
      </c>
      <c r="H4" t="s">
        <v>423</v>
      </c>
      <c r="I4" t="s">
        <v>424</v>
      </c>
      <c r="J4" t="s">
        <v>425</v>
      </c>
      <c r="K4" t="s">
        <v>426</v>
      </c>
      <c r="L4" s="21"/>
      <c r="M4" s="21"/>
    </row>
    <row r="5" spans="1:13">
      <c r="A5" s="21"/>
      <c r="B5">
        <v>78</v>
      </c>
      <c r="C5" t="s">
        <v>2657</v>
      </c>
      <c r="D5">
        <v>232</v>
      </c>
      <c r="E5" t="str">
        <f>IF(VLOOKUP(D5,Couleurs!A:B,2) = 0, "[" &amp; D5 &amp; "]",VLOOKUP(D5,Couleurs!A:B,2))</f>
        <v>[232]</v>
      </c>
      <c r="F5" s="1">
        <v>6</v>
      </c>
      <c r="G5">
        <v>1</v>
      </c>
      <c r="H5">
        <v>6</v>
      </c>
      <c r="I5">
        <v>6</v>
      </c>
      <c r="J5">
        <f t="shared" ref="J5:J68" si="0">G5*H5</f>
        <v>6</v>
      </c>
      <c r="K5" t="b">
        <f t="shared" ref="K5:K68" si="1">(0+I5)=J5</f>
        <v>1</v>
      </c>
      <c r="L5" s="21"/>
      <c r="M5" s="21"/>
    </row>
    <row r="6" spans="1:13">
      <c r="A6" s="21"/>
      <c r="B6">
        <v>78</v>
      </c>
      <c r="C6" t="s">
        <v>2657</v>
      </c>
      <c r="D6">
        <v>232</v>
      </c>
      <c r="E6" t="str">
        <f>IF(VLOOKUP(D6,Couleurs!A:B,2) = 0, "[" &amp; D6 &amp; "]",VLOOKUP(D6,Couleurs!A:B,2))</f>
        <v>[232]</v>
      </c>
      <c r="F6" s="1">
        <v>6</v>
      </c>
      <c r="G6">
        <v>1</v>
      </c>
      <c r="H6">
        <v>6</v>
      </c>
      <c r="I6">
        <v>6</v>
      </c>
      <c r="J6">
        <f t="shared" si="0"/>
        <v>6</v>
      </c>
      <c r="K6" t="b">
        <f t="shared" si="1"/>
        <v>1</v>
      </c>
      <c r="L6" s="21"/>
      <c r="M6" s="21"/>
    </row>
    <row r="7" spans="1:13">
      <c r="A7" s="21"/>
      <c r="B7">
        <v>78</v>
      </c>
      <c r="C7" t="s">
        <v>2657</v>
      </c>
      <c r="D7">
        <v>232</v>
      </c>
      <c r="E7" t="str">
        <f>IF(VLOOKUP(D7,Couleurs!A:B,2) = 0, "[" &amp; D7 &amp; "]",VLOOKUP(D7,Couleurs!A:B,2))</f>
        <v>[232]</v>
      </c>
      <c r="F7" s="1">
        <v>6</v>
      </c>
      <c r="G7">
        <v>1</v>
      </c>
      <c r="H7">
        <v>6</v>
      </c>
      <c r="I7">
        <v>6</v>
      </c>
      <c r="J7">
        <f t="shared" si="0"/>
        <v>6</v>
      </c>
      <c r="K7" t="b">
        <f t="shared" si="1"/>
        <v>1</v>
      </c>
      <c r="L7" s="21"/>
      <c r="M7" s="21"/>
    </row>
    <row r="8" spans="1:13">
      <c r="A8" s="21"/>
      <c r="B8">
        <v>259</v>
      </c>
      <c r="C8" t="s">
        <v>2658</v>
      </c>
      <c r="D8">
        <v>232</v>
      </c>
      <c r="E8" t="str">
        <f>IF(VLOOKUP(D8,Couleurs!A:B,2) = 0, "[" &amp; D8 &amp; "]",VLOOKUP(D8,Couleurs!A:B,2))</f>
        <v>[232]</v>
      </c>
      <c r="F8" s="1">
        <v>1</v>
      </c>
      <c r="G8">
        <v>1</v>
      </c>
      <c r="H8">
        <v>9</v>
      </c>
      <c r="I8">
        <v>9</v>
      </c>
      <c r="J8">
        <f t="shared" si="0"/>
        <v>9</v>
      </c>
      <c r="K8" t="b">
        <f t="shared" si="1"/>
        <v>1</v>
      </c>
      <c r="L8" s="21"/>
      <c r="M8" s="21"/>
    </row>
    <row r="9" spans="1:13">
      <c r="A9" s="21"/>
      <c r="B9">
        <v>1</v>
      </c>
      <c r="C9" t="s">
        <v>56</v>
      </c>
      <c r="D9">
        <v>8</v>
      </c>
      <c r="E9" t="str">
        <f>IF(VLOOKUP(D9,Couleurs!A:B,2) = 0, "[" &amp; D9 &amp; "]",VLOOKUP(D9,Couleurs!A:B,2))</f>
        <v>WHITE</v>
      </c>
      <c r="F9" s="1" t="s">
        <v>2659</v>
      </c>
      <c r="G9">
        <v>3</v>
      </c>
      <c r="H9" t="s">
        <v>445</v>
      </c>
      <c r="I9" t="s">
        <v>446</v>
      </c>
      <c r="J9">
        <f t="shared" si="0"/>
        <v>25.56</v>
      </c>
      <c r="K9" t="b">
        <f t="shared" si="1"/>
        <v>1</v>
      </c>
      <c r="L9" s="21"/>
      <c r="M9" s="21"/>
    </row>
    <row r="10" spans="1:13">
      <c r="A10" s="21"/>
      <c r="B10">
        <v>2</v>
      </c>
      <c r="C10" t="s">
        <v>25</v>
      </c>
      <c r="D10">
        <v>371</v>
      </c>
      <c r="E10" t="str">
        <f>IF(VLOOKUP(D10,Couleurs!A:B,2) = 0, "[" &amp; D10 &amp; "]",VLOOKUP(D10,Couleurs!A:B,2))</f>
        <v>MILK</v>
      </c>
      <c r="F10" s="1" t="s">
        <v>2660</v>
      </c>
      <c r="G10">
        <v>2</v>
      </c>
      <c r="H10" t="s">
        <v>437</v>
      </c>
      <c r="I10" t="s">
        <v>435</v>
      </c>
      <c r="J10">
        <f t="shared" si="0"/>
        <v>25.2</v>
      </c>
      <c r="K10" t="b">
        <f t="shared" si="1"/>
        <v>1</v>
      </c>
      <c r="L10" s="21"/>
      <c r="M10" s="21"/>
    </row>
    <row r="11" spans="1:13">
      <c r="A11" s="21"/>
      <c r="B11">
        <v>3</v>
      </c>
      <c r="C11" t="s">
        <v>9</v>
      </c>
      <c r="D11">
        <v>76</v>
      </c>
      <c r="E11" t="str">
        <f>IF(VLOOKUP(D11,Couleurs!A:B,2) = 0, "[" &amp; D11 &amp; "]",VLOOKUP(D11,Couleurs!A:B,2))</f>
        <v>[76]</v>
      </c>
      <c r="F11" s="1" t="s">
        <v>2661</v>
      </c>
      <c r="G11">
        <v>3</v>
      </c>
      <c r="H11" t="s">
        <v>428</v>
      </c>
      <c r="I11" t="s">
        <v>433</v>
      </c>
      <c r="J11">
        <f t="shared" si="0"/>
        <v>43.2</v>
      </c>
      <c r="K11" t="b">
        <f t="shared" si="1"/>
        <v>1</v>
      </c>
      <c r="L11" s="21"/>
      <c r="M11" s="21"/>
    </row>
    <row r="12" spans="1:13">
      <c r="A12" s="21"/>
      <c r="B12">
        <v>4</v>
      </c>
      <c r="C12" t="s">
        <v>105</v>
      </c>
      <c r="D12">
        <v>125</v>
      </c>
      <c r="E12" t="str">
        <f>IF(VLOOKUP(D12,Couleurs!A:B,2) = 0, "[" &amp; D12 &amp; "]",VLOOKUP(D12,Couleurs!A:B,2))</f>
        <v>[125]</v>
      </c>
      <c r="F12" s="1" t="s">
        <v>2662</v>
      </c>
      <c r="G12">
        <v>2</v>
      </c>
      <c r="H12" t="s">
        <v>439</v>
      </c>
      <c r="I12" t="s">
        <v>440</v>
      </c>
      <c r="J12">
        <f t="shared" si="0"/>
        <v>21.6</v>
      </c>
      <c r="K12" t="b">
        <f t="shared" si="1"/>
        <v>1</v>
      </c>
      <c r="L12" s="21"/>
      <c r="M12" s="21"/>
    </row>
    <row r="13" spans="1:13">
      <c r="A13" s="21"/>
      <c r="B13">
        <v>5</v>
      </c>
      <c r="C13" t="s">
        <v>73</v>
      </c>
      <c r="D13">
        <v>215</v>
      </c>
      <c r="E13" t="str">
        <f>IF(VLOOKUP(D13,Couleurs!A:B,2) = 0, "[" &amp; D13 &amp; "]",VLOOKUP(D13,Couleurs!A:B,2))</f>
        <v>VOLCANO</v>
      </c>
      <c r="F13" s="1" t="s">
        <v>2663</v>
      </c>
      <c r="G13">
        <v>3</v>
      </c>
      <c r="H13" t="s">
        <v>447</v>
      </c>
      <c r="I13" t="s">
        <v>2454</v>
      </c>
      <c r="J13">
        <f t="shared" si="0"/>
        <v>65.88</v>
      </c>
      <c r="K13" t="b">
        <f t="shared" si="1"/>
        <v>1</v>
      </c>
      <c r="L13" s="21"/>
      <c r="M13" s="21"/>
    </row>
    <row r="14" spans="1:13">
      <c r="A14" s="21"/>
      <c r="B14">
        <v>6</v>
      </c>
      <c r="C14" t="s">
        <v>51</v>
      </c>
      <c r="D14">
        <v>483</v>
      </c>
      <c r="E14" t="str">
        <f>IF(VLOOKUP(D14,Couleurs!A:B,2) = 0, "[" &amp; D14 &amp; "]",VLOOKUP(D14,Couleurs!A:B,2))</f>
        <v>[483]</v>
      </c>
      <c r="F14" s="1" t="s">
        <v>2664</v>
      </c>
      <c r="G14">
        <v>8</v>
      </c>
      <c r="H14" t="s">
        <v>441</v>
      </c>
      <c r="I14" t="s">
        <v>444</v>
      </c>
      <c r="J14">
        <f t="shared" si="0"/>
        <v>36.479999999999997</v>
      </c>
      <c r="K14" t="b">
        <f t="shared" si="1"/>
        <v>1</v>
      </c>
      <c r="L14" s="21"/>
      <c r="M14" s="21"/>
    </row>
    <row r="15" spans="1:13">
      <c r="A15" s="21"/>
      <c r="B15">
        <v>7</v>
      </c>
      <c r="C15" t="s">
        <v>49</v>
      </c>
      <c r="D15">
        <v>76</v>
      </c>
      <c r="E15" t="str">
        <f>IF(VLOOKUP(D15,Couleurs!A:B,2) = 0, "[" &amp; D15 &amp; "]",VLOOKUP(D15,Couleurs!A:B,2))</f>
        <v>[76]</v>
      </c>
      <c r="F15" s="1" t="s">
        <v>2665</v>
      </c>
      <c r="G15">
        <v>3</v>
      </c>
      <c r="H15" t="s">
        <v>438</v>
      </c>
      <c r="I15" t="s">
        <v>2422</v>
      </c>
      <c r="J15">
        <f t="shared" si="0"/>
        <v>21.240000000000002</v>
      </c>
      <c r="K15" t="b">
        <f t="shared" si="1"/>
        <v>1</v>
      </c>
      <c r="L15" s="21"/>
      <c r="M15" s="21"/>
    </row>
    <row r="16" spans="1:13">
      <c r="A16" s="21"/>
      <c r="B16">
        <v>8</v>
      </c>
      <c r="C16" t="s">
        <v>117</v>
      </c>
      <c r="D16">
        <v>61</v>
      </c>
      <c r="E16" t="str">
        <f>IF(VLOOKUP(D16,Couleurs!A:B,2) = 0, "[" &amp; D16 &amp; "]",VLOOKUP(D16,Couleurs!A:B,2))</f>
        <v>GOLD</v>
      </c>
      <c r="F16" s="97" t="s">
        <v>2666</v>
      </c>
      <c r="G16">
        <v>2</v>
      </c>
      <c r="H16" t="s">
        <v>428</v>
      </c>
      <c r="I16" t="s">
        <v>436</v>
      </c>
      <c r="J16">
        <f t="shared" si="0"/>
        <v>28.8</v>
      </c>
      <c r="K16" t="b">
        <f t="shared" si="1"/>
        <v>1</v>
      </c>
      <c r="L16" s="21"/>
      <c r="M16" s="21"/>
    </row>
    <row r="17" spans="1:13">
      <c r="A17" s="21"/>
      <c r="B17">
        <v>9</v>
      </c>
      <c r="C17" t="s">
        <v>2418</v>
      </c>
      <c r="D17">
        <v>78</v>
      </c>
      <c r="E17" t="str">
        <f>IF(VLOOKUP(D17,Couleurs!A:B,2) = 0, "[" &amp; D17 &amp; "]",VLOOKUP(D17,Couleurs!A:B,2))</f>
        <v>SAND</v>
      </c>
      <c r="F17" s="97" t="s">
        <v>2680</v>
      </c>
      <c r="G17">
        <v>2</v>
      </c>
      <c r="H17" t="s">
        <v>431</v>
      </c>
      <c r="I17">
        <v>6307909899</v>
      </c>
      <c r="J17">
        <f t="shared" si="0"/>
        <v>23.76</v>
      </c>
      <c r="K17" t="b">
        <f t="shared" si="1"/>
        <v>0</v>
      </c>
      <c r="L17" s="21"/>
      <c r="M17" s="21"/>
    </row>
    <row r="18" spans="1:13">
      <c r="A18" s="21"/>
      <c r="B18">
        <v>10</v>
      </c>
      <c r="C18" t="s">
        <v>54</v>
      </c>
      <c r="D18">
        <v>76</v>
      </c>
      <c r="E18" t="str">
        <f>IF(VLOOKUP(D18,Couleurs!A:B,2) = 0, "[" &amp; D18 &amp; "]",VLOOKUP(D18,Couleurs!A:B,2))</f>
        <v>[76]</v>
      </c>
      <c r="F18" s="97" t="s">
        <v>3670</v>
      </c>
      <c r="G18">
        <v>6</v>
      </c>
      <c r="H18" t="s">
        <v>3681</v>
      </c>
      <c r="I18" t="s">
        <v>440</v>
      </c>
      <c r="J18">
        <f t="shared" si="0"/>
        <v>21.6</v>
      </c>
      <c r="K18" t="b">
        <f t="shared" si="1"/>
        <v>1</v>
      </c>
      <c r="L18" s="21"/>
      <c r="M18" s="21"/>
    </row>
    <row r="19" spans="1:13">
      <c r="A19" s="21"/>
      <c r="B19">
        <v>11</v>
      </c>
      <c r="C19" t="s">
        <v>23</v>
      </c>
      <c r="D19">
        <v>78</v>
      </c>
      <c r="E19" t="str">
        <f>IF(VLOOKUP(D19,Couleurs!A:B,2) = 0, "[" &amp; D19 &amp; "]",VLOOKUP(D19,Couleurs!A:B,2))</f>
        <v>SAND</v>
      </c>
      <c r="F19" s="97" t="s">
        <v>3671</v>
      </c>
      <c r="G19">
        <v>1</v>
      </c>
      <c r="H19" t="s">
        <v>3682</v>
      </c>
      <c r="I19" t="s">
        <v>3682</v>
      </c>
      <c r="J19">
        <f t="shared" si="0"/>
        <v>13.08</v>
      </c>
      <c r="K19" t="b">
        <f t="shared" si="1"/>
        <v>1</v>
      </c>
      <c r="L19" s="21"/>
      <c r="M19" s="21"/>
    </row>
    <row r="20" spans="1:13">
      <c r="A20" s="21"/>
      <c r="B20">
        <v>12</v>
      </c>
      <c r="C20" t="s">
        <v>2479</v>
      </c>
      <c r="D20">
        <v>17</v>
      </c>
      <c r="E20" t="str">
        <f>IF(VLOOKUP(D20,Couleurs!A:B,2) = 0, "[" &amp; D20 &amp; "]",VLOOKUP(D20,Couleurs!A:B,2))</f>
        <v>NAVY BLUE</v>
      </c>
      <c r="F20" s="97" t="s">
        <v>3672</v>
      </c>
      <c r="G20">
        <v>2</v>
      </c>
      <c r="H20" t="s">
        <v>431</v>
      </c>
      <c r="I20" t="s">
        <v>442</v>
      </c>
      <c r="J20">
        <f t="shared" si="0"/>
        <v>23.76</v>
      </c>
      <c r="K20" t="b">
        <f t="shared" si="1"/>
        <v>1</v>
      </c>
      <c r="L20" s="21"/>
      <c r="M20" s="21"/>
    </row>
    <row r="21" spans="1:13">
      <c r="A21" s="21"/>
      <c r="B21">
        <v>13</v>
      </c>
      <c r="C21" t="s">
        <v>129</v>
      </c>
      <c r="D21">
        <v>125</v>
      </c>
      <c r="E21" t="str">
        <f>IF(VLOOKUP(D21,Couleurs!A:B,2) = 0, "[" &amp; D21 &amp; "]",VLOOKUP(D21,Couleurs!A:B,2))</f>
        <v>[125]</v>
      </c>
      <c r="F21" s="97" t="s">
        <v>3673</v>
      </c>
      <c r="G21">
        <v>2</v>
      </c>
      <c r="H21" t="s">
        <v>3683</v>
      </c>
      <c r="I21" t="s">
        <v>3684</v>
      </c>
      <c r="J21">
        <f t="shared" si="0"/>
        <v>19.2</v>
      </c>
      <c r="K21" t="b">
        <f t="shared" si="1"/>
        <v>1</v>
      </c>
      <c r="L21" s="21"/>
      <c r="M21" s="21"/>
    </row>
    <row r="22" spans="1:13">
      <c r="A22" s="21"/>
      <c r="B22">
        <v>14</v>
      </c>
      <c r="C22" t="s">
        <v>16</v>
      </c>
      <c r="D22">
        <v>61</v>
      </c>
      <c r="E22" t="str">
        <f>IF(VLOOKUP(D22,Couleurs!A:B,2) = 0, "[" &amp; D22 &amp; "]",VLOOKUP(D22,Couleurs!A:B,2))</f>
        <v>GOLD</v>
      </c>
      <c r="F22" s="97" t="s">
        <v>3669</v>
      </c>
      <c r="G22">
        <v>2</v>
      </c>
      <c r="H22" t="s">
        <v>432</v>
      </c>
      <c r="I22" t="s">
        <v>434</v>
      </c>
      <c r="J22">
        <f t="shared" si="0"/>
        <v>31.2</v>
      </c>
      <c r="K22" t="b">
        <f t="shared" si="1"/>
        <v>1</v>
      </c>
      <c r="L22" s="21"/>
      <c r="M22" s="21"/>
    </row>
    <row r="23" spans="1:13">
      <c r="A23" s="21"/>
      <c r="B23">
        <v>15</v>
      </c>
      <c r="C23" t="s">
        <v>2437</v>
      </c>
      <c r="D23">
        <v>254</v>
      </c>
      <c r="E23" t="str">
        <f>IF(VLOOKUP(D23,Couleurs!A:B,2) = 0, "[" &amp; D23 &amp; "]",VLOOKUP(D23,Couleurs!A:B,2))</f>
        <v>[254]</v>
      </c>
      <c r="F23" s="97" t="s">
        <v>3674</v>
      </c>
      <c r="G23">
        <v>2</v>
      </c>
      <c r="H23" t="s">
        <v>429</v>
      </c>
      <c r="I23" t="s">
        <v>430</v>
      </c>
      <c r="J23">
        <f t="shared" si="0"/>
        <v>26.88</v>
      </c>
      <c r="K23" t="b">
        <f t="shared" si="1"/>
        <v>1</v>
      </c>
      <c r="L23" s="21"/>
      <c r="M23" s="21"/>
    </row>
    <row r="24" spans="1:13">
      <c r="A24" s="21"/>
      <c r="B24">
        <v>16</v>
      </c>
      <c r="C24" t="s">
        <v>45</v>
      </c>
      <c r="D24">
        <v>9</v>
      </c>
      <c r="E24" t="str">
        <f>IF(VLOOKUP(D24,Couleurs!A:B,2) = 0, "[" &amp; D24 &amp; "]",VLOOKUP(D24,Couleurs!A:B,2))</f>
        <v>[9]</v>
      </c>
      <c r="F24" s="97" t="s">
        <v>3675</v>
      </c>
      <c r="G24">
        <v>3</v>
      </c>
      <c r="H24" t="s">
        <v>3685</v>
      </c>
      <c r="I24" t="s">
        <v>3686</v>
      </c>
      <c r="J24">
        <f t="shared" si="0"/>
        <v>23.4</v>
      </c>
      <c r="K24" t="b">
        <f t="shared" si="1"/>
        <v>1</v>
      </c>
      <c r="L24" s="21"/>
      <c r="M24" s="21"/>
    </row>
    <row r="25" spans="1:13">
      <c r="A25" s="21"/>
      <c r="B25">
        <v>17</v>
      </c>
      <c r="C25" t="s">
        <v>13</v>
      </c>
      <c r="D25">
        <v>17</v>
      </c>
      <c r="E25" t="str">
        <f>IF(VLOOKUP(D25,Couleurs!A:B,2) = 0, "[" &amp; D25 &amp; "]",VLOOKUP(D25,Couleurs!A:B,2))</f>
        <v>NAVY BLUE</v>
      </c>
      <c r="F25" s="97" t="s">
        <v>3676</v>
      </c>
      <c r="G25">
        <v>2</v>
      </c>
      <c r="H25" t="s">
        <v>3687</v>
      </c>
      <c r="I25" t="s">
        <v>3688</v>
      </c>
      <c r="J25">
        <f t="shared" si="0"/>
        <v>19.440000000000001</v>
      </c>
      <c r="K25" t="b">
        <f t="shared" si="1"/>
        <v>1</v>
      </c>
      <c r="L25" s="21"/>
      <c r="M25" s="21"/>
    </row>
    <row r="26" spans="1:13">
      <c r="A26" s="21"/>
      <c r="B26">
        <v>18</v>
      </c>
      <c r="C26" t="s">
        <v>52</v>
      </c>
      <c r="D26">
        <v>78</v>
      </c>
      <c r="E26" t="str">
        <f>IF(VLOOKUP(D26,Couleurs!A:B,2) = 0, "[" &amp; D26 &amp; "]",VLOOKUP(D26,Couleurs!A:B,2))</f>
        <v>SAND</v>
      </c>
      <c r="F26" s="97" t="s">
        <v>3677</v>
      </c>
      <c r="G26">
        <v>2</v>
      </c>
      <c r="H26" t="s">
        <v>3689</v>
      </c>
      <c r="I26" t="s">
        <v>3690</v>
      </c>
      <c r="J26">
        <f t="shared" si="0"/>
        <v>22.8</v>
      </c>
      <c r="K26" t="b">
        <f t="shared" si="1"/>
        <v>1</v>
      </c>
      <c r="L26" s="21"/>
      <c r="M26" s="21"/>
    </row>
    <row r="27" spans="1:13">
      <c r="A27" s="21"/>
      <c r="B27">
        <v>19</v>
      </c>
      <c r="C27" t="s">
        <v>2452</v>
      </c>
      <c r="D27">
        <v>474</v>
      </c>
      <c r="E27" t="str">
        <f>IF(VLOOKUP(D27,Couleurs!A:B,2) = 0, "[" &amp; D27 &amp; "]",VLOOKUP(D27,Couleurs!A:B,2))</f>
        <v>[474]</v>
      </c>
      <c r="F27" s="97" t="s">
        <v>3678</v>
      </c>
      <c r="G27">
        <v>4</v>
      </c>
      <c r="H27" t="s">
        <v>438</v>
      </c>
      <c r="I27" t="s">
        <v>3691</v>
      </c>
      <c r="J27">
        <f t="shared" si="0"/>
        <v>28.32</v>
      </c>
      <c r="K27" t="b">
        <f t="shared" si="1"/>
        <v>1</v>
      </c>
      <c r="L27" s="21"/>
      <c r="M27" s="21"/>
    </row>
    <row r="28" spans="1:13">
      <c r="A28" s="21"/>
      <c r="B28">
        <v>20</v>
      </c>
      <c r="C28" t="s">
        <v>2</v>
      </c>
      <c r="D28">
        <v>483</v>
      </c>
      <c r="E28" t="str">
        <f>IF(VLOOKUP(D28,Couleurs!A:B,2) = 0, "[" &amp; D28 &amp; "]",VLOOKUP(D28,Couleurs!A:B,2))</f>
        <v>[483]</v>
      </c>
      <c r="F28" s="97" t="s">
        <v>3679</v>
      </c>
      <c r="G28">
        <v>3</v>
      </c>
      <c r="H28" t="s">
        <v>427</v>
      </c>
      <c r="I28" t="s">
        <v>428</v>
      </c>
      <c r="J28">
        <f t="shared" si="0"/>
        <v>14.399999999999999</v>
      </c>
      <c r="K28" t="b">
        <f t="shared" si="1"/>
        <v>1</v>
      </c>
      <c r="L28" s="21"/>
      <c r="M28" s="21"/>
    </row>
    <row r="29" spans="1:13">
      <c r="A29" s="21"/>
      <c r="B29">
        <v>21</v>
      </c>
      <c r="C29" t="s">
        <v>2427</v>
      </c>
      <c r="D29">
        <v>26</v>
      </c>
      <c r="E29" t="str">
        <f>IF(VLOOKUP(D29,Couleurs!A:B,2) = 0, "[" &amp; D29 &amp; "]",VLOOKUP(D29,Couleurs!A:B,2))</f>
        <v>[26]</v>
      </c>
      <c r="F29" s="1" t="s">
        <v>3680</v>
      </c>
      <c r="G29">
        <v>3</v>
      </c>
      <c r="H29" t="s">
        <v>3692</v>
      </c>
      <c r="I29" t="s">
        <v>3693</v>
      </c>
      <c r="J29">
        <f t="shared" si="0"/>
        <v>19.799999999999997</v>
      </c>
      <c r="K29" t="b">
        <f t="shared" si="1"/>
        <v>1</v>
      </c>
      <c r="L29" s="21"/>
      <c r="M29" s="21"/>
    </row>
    <row r="30" spans="1:13">
      <c r="A30" s="21"/>
      <c r="B30">
        <v>22</v>
      </c>
      <c r="C30" t="s">
        <v>2</v>
      </c>
      <c r="D30">
        <v>26</v>
      </c>
      <c r="E30" t="str">
        <f>IF(VLOOKUP(D30,Couleurs!A:B,2) = 0, "[" &amp; D30 &amp; "]",VLOOKUP(D30,Couleurs!A:B,2))</f>
        <v>[26]</v>
      </c>
      <c r="F30" s="1" t="s">
        <v>2669</v>
      </c>
      <c r="G30">
        <v>3</v>
      </c>
      <c r="H30" t="s">
        <v>427</v>
      </c>
      <c r="I30" t="s">
        <v>428</v>
      </c>
      <c r="J30">
        <f t="shared" si="0"/>
        <v>14.399999999999999</v>
      </c>
      <c r="K30" t="b">
        <f t="shared" si="1"/>
        <v>1</v>
      </c>
      <c r="L30" s="21"/>
      <c r="M30" s="21"/>
    </row>
    <row r="31" spans="1:13">
      <c r="A31" s="21"/>
      <c r="B31">
        <v>23</v>
      </c>
      <c r="C31" t="s">
        <v>128</v>
      </c>
      <c r="D31">
        <v>61</v>
      </c>
      <c r="E31" t="str">
        <f>IF(VLOOKUP(D31,Couleurs!A:B,2) = 0, "[" &amp; D31 &amp; "]",VLOOKUP(D31,Couleurs!A:B,2))</f>
        <v>GOLD</v>
      </c>
      <c r="F31" s="1" t="s">
        <v>2670</v>
      </c>
      <c r="G31">
        <v>2</v>
      </c>
      <c r="H31" t="s">
        <v>432</v>
      </c>
      <c r="I31" t="s">
        <v>434</v>
      </c>
      <c r="J31">
        <f t="shared" si="0"/>
        <v>31.2</v>
      </c>
      <c r="K31" t="b">
        <f t="shared" si="1"/>
        <v>1</v>
      </c>
      <c r="L31" s="21"/>
      <c r="M31" s="21"/>
    </row>
    <row r="32" spans="1:13">
      <c r="A32" s="21"/>
      <c r="B32">
        <v>24</v>
      </c>
      <c r="C32" t="s">
        <v>2439</v>
      </c>
      <c r="D32">
        <v>254</v>
      </c>
      <c r="E32" t="str">
        <f>IF(VLOOKUP(D32,Couleurs!A:B,2) = 0, "[" &amp; D32 &amp; "]",VLOOKUP(D32,Couleurs!A:B,2))</f>
        <v>[254]</v>
      </c>
      <c r="F32" s="1" t="s">
        <v>2671</v>
      </c>
      <c r="G32">
        <v>4</v>
      </c>
      <c r="H32" t="s">
        <v>439</v>
      </c>
      <c r="I32" t="s">
        <v>433</v>
      </c>
      <c r="J32">
        <f t="shared" si="0"/>
        <v>43.2</v>
      </c>
      <c r="K32" t="b">
        <f t="shared" si="1"/>
        <v>1</v>
      </c>
      <c r="L32" s="21"/>
      <c r="M32" s="21"/>
    </row>
    <row r="33" spans="1:13">
      <c r="A33" s="21"/>
      <c r="B33">
        <v>25</v>
      </c>
      <c r="C33" t="s">
        <v>2</v>
      </c>
      <c r="D33">
        <v>422</v>
      </c>
      <c r="E33" t="str">
        <f>IF(VLOOKUP(D33,Couleurs!A:B,2) = 0, "[" &amp; D33 &amp; "]",VLOOKUP(D33,Couleurs!A:B,2))</f>
        <v>SANGRIA</v>
      </c>
      <c r="F33" s="1" t="s">
        <v>2672</v>
      </c>
      <c r="G33">
        <v>3</v>
      </c>
      <c r="H33" t="s">
        <v>427</v>
      </c>
      <c r="I33" t="s">
        <v>428</v>
      </c>
      <c r="J33">
        <f t="shared" si="0"/>
        <v>14.399999999999999</v>
      </c>
      <c r="K33" t="b">
        <f t="shared" si="1"/>
        <v>1</v>
      </c>
      <c r="L33" s="21"/>
      <c r="M33" s="21"/>
    </row>
    <row r="34" spans="1:13">
      <c r="A34" s="21"/>
      <c r="B34">
        <v>26</v>
      </c>
      <c r="C34" t="s">
        <v>53</v>
      </c>
      <c r="D34">
        <v>227</v>
      </c>
      <c r="E34" t="str">
        <f>IF(VLOOKUP(D34,Couleurs!A:B,2) = 0, "[" &amp; D34 &amp; "]",VLOOKUP(D34,Couleurs!A:B,2))</f>
        <v>[227]</v>
      </c>
      <c r="F34" s="1" t="s">
        <v>2667</v>
      </c>
      <c r="G34">
        <v>2</v>
      </c>
      <c r="H34" t="s">
        <v>437</v>
      </c>
      <c r="I34" t="s">
        <v>435</v>
      </c>
      <c r="J34">
        <f t="shared" si="0"/>
        <v>25.2</v>
      </c>
      <c r="K34" t="b">
        <f t="shared" si="1"/>
        <v>1</v>
      </c>
      <c r="L34" s="21"/>
      <c r="M34" s="21"/>
    </row>
    <row r="35" spans="1:13">
      <c r="A35" s="21"/>
      <c r="B35">
        <v>27</v>
      </c>
      <c r="C35" t="s">
        <v>51</v>
      </c>
      <c r="D35">
        <v>371</v>
      </c>
      <c r="E35" t="str">
        <f>IF(VLOOKUP(D35,Couleurs!A:B,2) = 0, "[" &amp; D35 &amp; "]",VLOOKUP(D35,Couleurs!A:B,2))</f>
        <v>MILK</v>
      </c>
      <c r="F35" s="1" t="s">
        <v>2668</v>
      </c>
      <c r="G35">
        <v>8</v>
      </c>
      <c r="H35" t="s">
        <v>441</v>
      </c>
      <c r="I35" t="s">
        <v>444</v>
      </c>
      <c r="J35">
        <f t="shared" si="0"/>
        <v>36.479999999999997</v>
      </c>
      <c r="K35" t="b">
        <f t="shared" si="1"/>
        <v>1</v>
      </c>
      <c r="L35" s="21"/>
      <c r="M35" s="21"/>
    </row>
    <row r="36" spans="1:13">
      <c r="A36" s="21"/>
      <c r="B36">
        <v>28</v>
      </c>
      <c r="C36" t="s">
        <v>2</v>
      </c>
      <c r="D36">
        <v>75</v>
      </c>
      <c r="E36" t="str">
        <f>IF(VLOOKUP(D36,Couleurs!A:B,2) = 0, "[" &amp; D36 &amp; "]",VLOOKUP(D36,Couleurs!A:B,2))</f>
        <v>[75]</v>
      </c>
      <c r="F36" s="1" t="s">
        <v>2673</v>
      </c>
      <c r="G36">
        <v>3</v>
      </c>
      <c r="H36" t="s">
        <v>427</v>
      </c>
      <c r="I36" t="s">
        <v>428</v>
      </c>
      <c r="J36">
        <f t="shared" si="0"/>
        <v>14.399999999999999</v>
      </c>
      <c r="K36" t="b">
        <f t="shared" si="1"/>
        <v>1</v>
      </c>
      <c r="L36" s="21"/>
      <c r="M36" s="21"/>
    </row>
    <row r="37" spans="1:13">
      <c r="A37" s="21"/>
      <c r="B37">
        <v>29</v>
      </c>
      <c r="C37" t="s">
        <v>49</v>
      </c>
      <c r="D37">
        <v>75</v>
      </c>
      <c r="E37" t="str">
        <f>IF(VLOOKUP(D37,Couleurs!A:B,2) = 0, "[" &amp; D37 &amp; "]",VLOOKUP(D37,Couleurs!A:B,2))</f>
        <v>[75]</v>
      </c>
      <c r="F37" s="1" t="s">
        <v>2674</v>
      </c>
      <c r="G37">
        <v>3</v>
      </c>
      <c r="H37" t="s">
        <v>438</v>
      </c>
      <c r="I37" t="s">
        <v>2422</v>
      </c>
      <c r="J37">
        <f t="shared" si="0"/>
        <v>21.240000000000002</v>
      </c>
      <c r="K37" t="b">
        <f t="shared" si="1"/>
        <v>1</v>
      </c>
      <c r="L37" s="21"/>
      <c r="M37" s="21"/>
    </row>
    <row r="38" spans="1:13">
      <c r="A38" s="21"/>
      <c r="B38">
        <v>30</v>
      </c>
      <c r="C38" t="s">
        <v>93</v>
      </c>
      <c r="D38">
        <v>254</v>
      </c>
      <c r="E38" t="str">
        <f>IF(VLOOKUP(D38,Couleurs!A:B,2) = 0, "[" &amp; D38 &amp; "]",VLOOKUP(D38,Couleurs!A:B,2))</f>
        <v>[254]</v>
      </c>
      <c r="F38" s="1" t="s">
        <v>2675</v>
      </c>
      <c r="G38">
        <v>2</v>
      </c>
      <c r="H38" t="s">
        <v>448</v>
      </c>
      <c r="I38" t="s">
        <v>449</v>
      </c>
      <c r="J38">
        <f t="shared" si="0"/>
        <v>21.36</v>
      </c>
      <c r="K38" t="b">
        <f t="shared" si="1"/>
        <v>1</v>
      </c>
      <c r="L38" s="21"/>
      <c r="M38" s="21"/>
    </row>
    <row r="39" spans="1:13">
      <c r="A39" s="21"/>
      <c r="B39">
        <v>31</v>
      </c>
      <c r="C39" t="s">
        <v>2441</v>
      </c>
      <c r="D39">
        <v>55</v>
      </c>
      <c r="E39" t="str">
        <f>IF(VLOOKUP(D39,Couleurs!A:B,2) = 0, "[" &amp; D39 &amp; "]",VLOOKUP(D39,Couleurs!A:B,2))</f>
        <v>BLACK</v>
      </c>
      <c r="F39" s="1" t="s">
        <v>2676</v>
      </c>
      <c r="G39">
        <v>2</v>
      </c>
      <c r="H39" t="s">
        <v>429</v>
      </c>
      <c r="I39" t="s">
        <v>430</v>
      </c>
      <c r="J39">
        <f t="shared" si="0"/>
        <v>26.88</v>
      </c>
      <c r="K39" t="b">
        <f t="shared" si="1"/>
        <v>1</v>
      </c>
      <c r="L39" s="21"/>
      <c r="M39" s="21"/>
    </row>
    <row r="40" spans="1:13">
      <c r="A40" s="21"/>
      <c r="B40">
        <v>32</v>
      </c>
      <c r="C40" t="s">
        <v>31</v>
      </c>
      <c r="D40">
        <v>347</v>
      </c>
      <c r="E40" t="str">
        <f>IF(VLOOKUP(D40,Couleurs!A:B,2) = 0, "[" &amp; D40 &amp; "]",VLOOKUP(D40,Couleurs!A:B,2))</f>
        <v>[347]</v>
      </c>
      <c r="F40" s="1" t="s">
        <v>2677</v>
      </c>
      <c r="G40">
        <v>2</v>
      </c>
      <c r="H40" t="s">
        <v>439</v>
      </c>
      <c r="I40" t="s">
        <v>440</v>
      </c>
      <c r="J40">
        <f t="shared" si="0"/>
        <v>21.6</v>
      </c>
      <c r="K40" t="b">
        <f t="shared" si="1"/>
        <v>1</v>
      </c>
      <c r="L40" s="21"/>
      <c r="M40" s="21"/>
    </row>
    <row r="41" spans="1:13">
      <c r="A41" s="21"/>
      <c r="B41">
        <v>33</v>
      </c>
      <c r="C41" t="s">
        <v>104</v>
      </c>
      <c r="D41">
        <v>61</v>
      </c>
      <c r="E41" t="str">
        <f>IF(VLOOKUP(D41,Couleurs!A:B,2) = 0, "[" &amp; D41 &amp; "]",VLOOKUP(D41,Couleurs!A:B,2))</f>
        <v>GOLD</v>
      </c>
      <c r="F41" s="1" t="s">
        <v>2678</v>
      </c>
      <c r="G41">
        <v>2</v>
      </c>
      <c r="H41" t="s">
        <v>432</v>
      </c>
      <c r="I41" t="s">
        <v>434</v>
      </c>
      <c r="J41">
        <f t="shared" si="0"/>
        <v>31.2</v>
      </c>
      <c r="K41" t="b">
        <f t="shared" si="1"/>
        <v>1</v>
      </c>
      <c r="L41" s="21"/>
      <c r="M41" s="21"/>
    </row>
    <row r="42" spans="1:13">
      <c r="A42" s="21"/>
      <c r="B42">
        <v>34</v>
      </c>
      <c r="C42" t="s">
        <v>48</v>
      </c>
      <c r="D42">
        <v>479</v>
      </c>
      <c r="E42" t="str">
        <f>IF(VLOOKUP(D42,Couleurs!A:B,2) = 0, "[" &amp; D42 &amp; "]",VLOOKUP(D42,Couleurs!A:B,2))</f>
        <v>[479]</v>
      </c>
      <c r="F42" s="1" t="s">
        <v>2679</v>
      </c>
      <c r="G42">
        <v>3</v>
      </c>
      <c r="H42" t="s">
        <v>443</v>
      </c>
      <c r="I42" t="s">
        <v>2443</v>
      </c>
      <c r="J42">
        <f t="shared" si="0"/>
        <v>60.12</v>
      </c>
      <c r="K42" t="b">
        <f t="shared" si="1"/>
        <v>1</v>
      </c>
      <c r="L42" s="21"/>
      <c r="M42" s="21"/>
    </row>
    <row r="43" spans="1:13">
      <c r="A43" s="21"/>
      <c r="B43">
        <v>35</v>
      </c>
      <c r="C43" t="s">
        <v>36</v>
      </c>
      <c r="D43">
        <v>227</v>
      </c>
      <c r="E43" t="str">
        <f>IF(VLOOKUP(D43,Couleurs!A:B,2) = 0, "[" &amp; D43 &amp; "]",VLOOKUP(D43,Couleurs!A:B,2))</f>
        <v>[227]</v>
      </c>
      <c r="F43" s="1" t="s">
        <v>3694</v>
      </c>
      <c r="G43">
        <v>2</v>
      </c>
      <c r="H43" t="s">
        <v>439</v>
      </c>
      <c r="I43" t="s">
        <v>440</v>
      </c>
      <c r="J43">
        <f t="shared" si="0"/>
        <v>21.6</v>
      </c>
      <c r="K43" t="b">
        <f t="shared" si="1"/>
        <v>1</v>
      </c>
      <c r="L43" s="21"/>
      <c r="M43" s="21"/>
    </row>
    <row r="44" spans="1:13">
      <c r="A44" s="21"/>
      <c r="B44">
        <v>36</v>
      </c>
      <c r="C44" t="s">
        <v>58</v>
      </c>
      <c r="D44">
        <v>76</v>
      </c>
      <c r="E44" t="str">
        <f>IF(VLOOKUP(D44,Couleurs!A:B,2) = 0, "[" &amp; D44 &amp; "]",VLOOKUP(D44,Couleurs!A:B,2))</f>
        <v>[76]</v>
      </c>
      <c r="F44" s="1" t="s">
        <v>3695</v>
      </c>
      <c r="G44">
        <v>2</v>
      </c>
      <c r="H44" t="s">
        <v>439</v>
      </c>
      <c r="I44" t="s">
        <v>440</v>
      </c>
      <c r="J44">
        <f t="shared" si="0"/>
        <v>21.6</v>
      </c>
      <c r="K44" t="b">
        <f t="shared" si="1"/>
        <v>1</v>
      </c>
      <c r="L44" s="21"/>
      <c r="M44" s="21"/>
    </row>
    <row r="45" spans="1:13">
      <c r="A45" s="21"/>
      <c r="B45">
        <v>37</v>
      </c>
      <c r="C45" t="s">
        <v>52</v>
      </c>
      <c r="D45">
        <v>55</v>
      </c>
      <c r="E45" t="str">
        <f>IF(VLOOKUP(D45,Couleurs!A:B,2) = 0, "[" &amp; D45 &amp; "]",VLOOKUP(D45,Couleurs!A:B,2))</f>
        <v>BLACK</v>
      </c>
      <c r="F45" s="1" t="s">
        <v>3696</v>
      </c>
      <c r="G45">
        <v>2</v>
      </c>
      <c r="H45" t="s">
        <v>3689</v>
      </c>
      <c r="I45" t="s">
        <v>3690</v>
      </c>
      <c r="J45">
        <f t="shared" si="0"/>
        <v>22.8</v>
      </c>
      <c r="K45" t="b">
        <f t="shared" si="1"/>
        <v>1</v>
      </c>
      <c r="L45" s="21"/>
      <c r="M45" s="21"/>
    </row>
    <row r="46" spans="1:13">
      <c r="A46" s="21"/>
      <c r="B46">
        <v>38</v>
      </c>
      <c r="C46" t="s">
        <v>26</v>
      </c>
      <c r="D46">
        <v>17</v>
      </c>
      <c r="E46" t="str">
        <f>IF(VLOOKUP(D46,Couleurs!A:B,2) = 0, "[" &amp; D46 &amp; "]",VLOOKUP(D46,Couleurs!A:B,2))</f>
        <v>NAVY BLUE</v>
      </c>
      <c r="F46" s="1" t="s">
        <v>3697</v>
      </c>
      <c r="G46">
        <v>1</v>
      </c>
      <c r="H46" t="s">
        <v>428</v>
      </c>
      <c r="I46" t="s">
        <v>428</v>
      </c>
      <c r="J46">
        <f t="shared" si="0"/>
        <v>14.4</v>
      </c>
      <c r="K46" t="b">
        <f t="shared" si="1"/>
        <v>1</v>
      </c>
      <c r="L46" s="21"/>
      <c r="M46" s="21"/>
    </row>
    <row r="47" spans="1:13">
      <c r="A47" s="21"/>
      <c r="B47">
        <v>39</v>
      </c>
      <c r="C47" t="s">
        <v>34</v>
      </c>
      <c r="D47">
        <v>479</v>
      </c>
      <c r="E47" t="str">
        <f>IF(VLOOKUP(D47,Couleurs!A:B,2) = 0, "[" &amp; D47 &amp; "]",VLOOKUP(D47,Couleurs!A:B,2))</f>
        <v>[479]</v>
      </c>
      <c r="F47" s="1" t="s">
        <v>3699</v>
      </c>
      <c r="G47">
        <v>2</v>
      </c>
      <c r="H47" t="s">
        <v>3698</v>
      </c>
      <c r="I47" t="s">
        <v>3700</v>
      </c>
      <c r="J47">
        <f t="shared" si="0"/>
        <v>22.08</v>
      </c>
      <c r="K47" t="b">
        <f t="shared" si="1"/>
        <v>1</v>
      </c>
      <c r="L47" s="21"/>
      <c r="M47" s="21"/>
    </row>
    <row r="48" spans="1:13">
      <c r="A48" s="21"/>
      <c r="B48">
        <v>40</v>
      </c>
      <c r="C48" t="s">
        <v>8</v>
      </c>
      <c r="D48">
        <v>76</v>
      </c>
      <c r="E48" t="str">
        <f>IF(VLOOKUP(D48,Couleurs!A:B,2) = 0, "[" &amp; D48 &amp; "]",VLOOKUP(D48,Couleurs!A:B,2))</f>
        <v>[76]</v>
      </c>
      <c r="F48" s="1" t="s">
        <v>3701</v>
      </c>
      <c r="G48">
        <v>2</v>
      </c>
      <c r="H48" t="s">
        <v>3685</v>
      </c>
      <c r="I48" t="s">
        <v>432</v>
      </c>
      <c r="J48">
        <f t="shared" si="0"/>
        <v>15.6</v>
      </c>
      <c r="K48" t="b">
        <f t="shared" si="1"/>
        <v>1</v>
      </c>
      <c r="L48" s="21"/>
      <c r="M48" s="21"/>
    </row>
    <row r="49" spans="1:13">
      <c r="A49" s="21"/>
      <c r="B49">
        <v>41</v>
      </c>
      <c r="C49" t="s">
        <v>2431</v>
      </c>
      <c r="D49">
        <v>76</v>
      </c>
      <c r="E49" t="str">
        <f>IF(VLOOKUP(D49,Couleurs!A:B,2) = 0, "[" &amp; D49 &amp; "]",VLOOKUP(D49,Couleurs!A:B,2))</f>
        <v>[76]</v>
      </c>
      <c r="F49" s="1" t="s">
        <v>3702</v>
      </c>
      <c r="G49">
        <v>3</v>
      </c>
      <c r="H49" t="s">
        <v>431</v>
      </c>
      <c r="I49" t="s">
        <v>3703</v>
      </c>
      <c r="J49">
        <f t="shared" si="0"/>
        <v>35.64</v>
      </c>
      <c r="K49" t="b">
        <f t="shared" si="1"/>
        <v>1</v>
      </c>
      <c r="L49" s="21"/>
      <c r="M49" s="21"/>
    </row>
    <row r="50" spans="1:13">
      <c r="A50" s="21"/>
      <c r="B50">
        <v>42</v>
      </c>
      <c r="C50" t="s">
        <v>6</v>
      </c>
      <c r="D50">
        <v>8</v>
      </c>
      <c r="E50" t="str">
        <f>IF(VLOOKUP(D50,Couleurs!A:B,2) = 0, "[" &amp; D50 &amp; "]",VLOOKUP(D50,Couleurs!A:B,2))</f>
        <v>WHITE</v>
      </c>
      <c r="F50" s="1" t="s">
        <v>3705</v>
      </c>
      <c r="G50">
        <v>2</v>
      </c>
      <c r="H50" t="s">
        <v>3704</v>
      </c>
      <c r="I50" t="s">
        <v>3706</v>
      </c>
      <c r="J50">
        <f t="shared" si="0"/>
        <v>25.44</v>
      </c>
      <c r="K50" t="b">
        <f t="shared" si="1"/>
        <v>1</v>
      </c>
      <c r="L50" s="21"/>
      <c r="M50" s="21"/>
    </row>
    <row r="51" spans="1:13">
      <c r="A51" s="21"/>
      <c r="B51">
        <v>43</v>
      </c>
      <c r="C51" t="s">
        <v>22</v>
      </c>
      <c r="D51">
        <v>158</v>
      </c>
      <c r="E51" t="str">
        <f>IF(VLOOKUP(D51,Couleurs!A:B,2) = 0, "[" &amp; D51 &amp; "]",VLOOKUP(D51,Couleurs!A:B,2))</f>
        <v>VOLCANO</v>
      </c>
      <c r="F51" s="1" t="s">
        <v>3707</v>
      </c>
      <c r="G51">
        <v>1</v>
      </c>
      <c r="H51" t="s">
        <v>428</v>
      </c>
      <c r="I51" t="s">
        <v>428</v>
      </c>
      <c r="J51">
        <f t="shared" si="0"/>
        <v>14.4</v>
      </c>
      <c r="K51" t="b">
        <f t="shared" si="1"/>
        <v>1</v>
      </c>
      <c r="L51" s="21"/>
      <c r="M51" s="21"/>
    </row>
    <row r="52" spans="1:13">
      <c r="A52" s="21"/>
      <c r="B52">
        <v>44</v>
      </c>
      <c r="C52" t="s">
        <v>42</v>
      </c>
      <c r="D52">
        <v>476</v>
      </c>
      <c r="E52" t="str">
        <f>IF(VLOOKUP(D52,Couleurs!A:B,2) = 0, "[" &amp; D52 &amp; "]",VLOOKUP(D52,Couleurs!A:B,2))</f>
        <v>[476]</v>
      </c>
      <c r="F52" s="1" t="s">
        <v>3708</v>
      </c>
      <c r="G52">
        <v>2</v>
      </c>
      <c r="H52" t="s">
        <v>437</v>
      </c>
      <c r="I52" t="s">
        <v>435</v>
      </c>
      <c r="J52">
        <f t="shared" si="0"/>
        <v>25.2</v>
      </c>
      <c r="K52" t="b">
        <f t="shared" si="1"/>
        <v>1</v>
      </c>
      <c r="L52" s="21"/>
      <c r="M52" s="21"/>
    </row>
    <row r="53" spans="1:13">
      <c r="A53" s="21"/>
      <c r="B53">
        <v>45</v>
      </c>
      <c r="C53" t="s">
        <v>24</v>
      </c>
      <c r="D53">
        <v>55</v>
      </c>
      <c r="E53" t="str">
        <f>IF(VLOOKUP(D53,Couleurs!A:B,2) = 0, "[" &amp; D53 &amp; "]",VLOOKUP(D53,Couleurs!A:B,2))</f>
        <v>BLACK</v>
      </c>
      <c r="F53" s="1" t="s">
        <v>3709</v>
      </c>
      <c r="G53">
        <v>1</v>
      </c>
      <c r="H53" t="s">
        <v>427</v>
      </c>
      <c r="I53" t="s">
        <v>427</v>
      </c>
      <c r="J53">
        <f t="shared" si="0"/>
        <v>4.8</v>
      </c>
      <c r="K53" t="b">
        <f t="shared" si="1"/>
        <v>1</v>
      </c>
      <c r="L53" s="21"/>
      <c r="M53" s="21"/>
    </row>
    <row r="54" spans="1:13">
      <c r="A54" s="21"/>
      <c r="B54">
        <v>46</v>
      </c>
      <c r="C54" t="s">
        <v>13</v>
      </c>
      <c r="D54">
        <v>130</v>
      </c>
      <c r="E54" t="str">
        <f>IF(VLOOKUP(D54,Couleurs!A:B,2) = 0, "[" &amp; D54 &amp; "]",VLOOKUP(D54,Couleurs!A:B,2))</f>
        <v>[130]</v>
      </c>
      <c r="F54" s="1" t="s">
        <v>3710</v>
      </c>
      <c r="G54">
        <v>2</v>
      </c>
      <c r="H54" t="s">
        <v>3687</v>
      </c>
      <c r="I54" t="s">
        <v>3688</v>
      </c>
      <c r="J54">
        <f t="shared" si="0"/>
        <v>19.440000000000001</v>
      </c>
      <c r="K54" t="b">
        <f t="shared" si="1"/>
        <v>1</v>
      </c>
      <c r="L54" s="21"/>
      <c r="M54" s="21"/>
    </row>
    <row r="55" spans="1:13">
      <c r="A55" s="21"/>
      <c r="B55">
        <v>47</v>
      </c>
      <c r="C55" t="s">
        <v>11</v>
      </c>
      <c r="D55">
        <v>480</v>
      </c>
      <c r="E55" t="str">
        <f>IF(VLOOKUP(D55,Couleurs!A:B,2) = 0, "[" &amp; D55 &amp; "]",VLOOKUP(D55,Couleurs!A:B,2))</f>
        <v>[480]</v>
      </c>
      <c r="F55" s="1" t="s">
        <v>3711</v>
      </c>
      <c r="G55">
        <v>2</v>
      </c>
      <c r="H55" t="s">
        <v>3704</v>
      </c>
      <c r="I55" t="s">
        <v>3706</v>
      </c>
      <c r="J55">
        <f t="shared" si="0"/>
        <v>25.44</v>
      </c>
      <c r="K55" t="b">
        <f t="shared" si="1"/>
        <v>1</v>
      </c>
      <c r="L55" s="21"/>
      <c r="M55" s="21"/>
    </row>
    <row r="56" spans="1:13">
      <c r="A56" s="21"/>
      <c r="B56">
        <v>48</v>
      </c>
      <c r="C56" t="s">
        <v>60</v>
      </c>
      <c r="D56">
        <v>215</v>
      </c>
      <c r="E56" t="str">
        <f>IF(VLOOKUP(D56,Couleurs!A:B,2) = 0, "[" &amp; D56 &amp; "]",VLOOKUP(D56,Couleurs!A:B,2))</f>
        <v>VOLCANO</v>
      </c>
      <c r="F56" s="1" t="s">
        <v>3713</v>
      </c>
      <c r="G56">
        <v>2</v>
      </c>
      <c r="H56" t="s">
        <v>3712</v>
      </c>
      <c r="I56" t="s">
        <v>3714</v>
      </c>
      <c r="J56">
        <f t="shared" si="0"/>
        <v>36.24</v>
      </c>
      <c r="K56" t="b">
        <f t="shared" si="1"/>
        <v>1</v>
      </c>
      <c r="L56" s="21"/>
      <c r="M56" s="21"/>
    </row>
    <row r="57" spans="1:13">
      <c r="A57" s="21"/>
      <c r="B57">
        <v>49</v>
      </c>
      <c r="C57" t="s">
        <v>25</v>
      </c>
      <c r="D57">
        <v>76</v>
      </c>
      <c r="E57" t="str">
        <f>IF(VLOOKUP(D57,Couleurs!A:B,2) = 0, "[" &amp; D57 &amp; "]",VLOOKUP(D57,Couleurs!A:B,2))</f>
        <v>[76]</v>
      </c>
      <c r="F57" s="1" t="s">
        <v>3715</v>
      </c>
      <c r="G57">
        <v>2</v>
      </c>
      <c r="H57" t="s">
        <v>437</v>
      </c>
      <c r="I57" t="s">
        <v>435</v>
      </c>
      <c r="J57">
        <f t="shared" si="0"/>
        <v>25.2</v>
      </c>
      <c r="K57" t="b">
        <f t="shared" si="1"/>
        <v>1</v>
      </c>
      <c r="L57" s="21"/>
      <c r="M57" s="21"/>
    </row>
    <row r="58" spans="1:13">
      <c r="A58" s="21"/>
      <c r="B58">
        <v>50</v>
      </c>
      <c r="C58" t="s">
        <v>89</v>
      </c>
      <c r="D58">
        <v>75</v>
      </c>
      <c r="E58" t="str">
        <f>IF(VLOOKUP(D58,Couleurs!A:B,2) = 0, "[" &amp; D58 &amp; "]",VLOOKUP(D58,Couleurs!A:B,2))</f>
        <v>[75]</v>
      </c>
      <c r="F58" s="1" t="s">
        <v>3716</v>
      </c>
      <c r="G58">
        <v>3</v>
      </c>
      <c r="H58">
        <v>9</v>
      </c>
      <c r="I58">
        <v>27</v>
      </c>
      <c r="J58">
        <f t="shared" si="0"/>
        <v>27</v>
      </c>
      <c r="K58" t="b">
        <f t="shared" si="1"/>
        <v>1</v>
      </c>
      <c r="L58" s="21"/>
      <c r="M58" s="21"/>
    </row>
    <row r="59" spans="1:13">
      <c r="A59" s="21"/>
      <c r="B59">
        <v>51</v>
      </c>
      <c r="C59" t="s">
        <v>23</v>
      </c>
      <c r="D59">
        <v>55</v>
      </c>
      <c r="E59" t="str">
        <f>IF(VLOOKUP(D59,Couleurs!A:B,2) = 0, "[" &amp; D59 &amp; "]",VLOOKUP(D59,Couleurs!A:B,2))</f>
        <v>BLACK</v>
      </c>
      <c r="F59" s="1" t="s">
        <v>3717</v>
      </c>
      <c r="G59">
        <v>1</v>
      </c>
      <c r="H59" t="s">
        <v>3682</v>
      </c>
      <c r="I59" t="s">
        <v>3682</v>
      </c>
      <c r="J59">
        <f t="shared" si="0"/>
        <v>13.08</v>
      </c>
      <c r="K59" t="b">
        <f t="shared" si="1"/>
        <v>1</v>
      </c>
      <c r="L59" s="21"/>
      <c r="M59" s="21"/>
    </row>
    <row r="60" spans="1:13">
      <c r="A60" s="21"/>
      <c r="B60">
        <v>52</v>
      </c>
      <c r="C60" t="s">
        <v>21</v>
      </c>
      <c r="D60">
        <v>38</v>
      </c>
      <c r="E60" t="str">
        <f>IF(VLOOKUP(D60,Couleurs!A:B,2) = 0, "[" &amp; D60 &amp; "]",VLOOKUP(D60,Couleurs!A:B,2))</f>
        <v>[38]</v>
      </c>
      <c r="F60" s="1" t="s">
        <v>3718</v>
      </c>
      <c r="G60">
        <v>2</v>
      </c>
      <c r="H60" t="s">
        <v>428</v>
      </c>
      <c r="I60" t="s">
        <v>436</v>
      </c>
      <c r="J60">
        <f t="shared" si="0"/>
        <v>28.8</v>
      </c>
      <c r="K60" t="b">
        <f t="shared" si="1"/>
        <v>1</v>
      </c>
      <c r="L60" s="21"/>
      <c r="M60" s="21"/>
    </row>
    <row r="61" spans="1:13">
      <c r="A61" s="21"/>
      <c r="B61">
        <v>53</v>
      </c>
      <c r="C61" t="s">
        <v>24</v>
      </c>
      <c r="D61">
        <v>17</v>
      </c>
      <c r="E61" t="str">
        <f>IF(VLOOKUP(D61,Couleurs!A:B,2) = 0, "[" &amp; D61 &amp; "]",VLOOKUP(D61,Couleurs!A:B,2))</f>
        <v>NAVY BLUE</v>
      </c>
      <c r="F61" s="1" t="s">
        <v>3719</v>
      </c>
      <c r="G61">
        <v>1</v>
      </c>
      <c r="H61" t="s">
        <v>427</v>
      </c>
      <c r="I61" t="s">
        <v>427</v>
      </c>
      <c r="J61">
        <f t="shared" si="0"/>
        <v>4.8</v>
      </c>
      <c r="K61" t="b">
        <f t="shared" si="1"/>
        <v>1</v>
      </c>
      <c r="L61" s="21"/>
      <c r="M61" s="21"/>
    </row>
    <row r="62" spans="1:13">
      <c r="A62" s="21"/>
      <c r="B62">
        <v>54</v>
      </c>
      <c r="C62" t="s">
        <v>35</v>
      </c>
      <c r="D62">
        <v>76</v>
      </c>
      <c r="E62" t="str">
        <f>IF(VLOOKUP(D62,Couleurs!A:B,2) = 0, "[" &amp; D62 &amp; "]",VLOOKUP(D62,Couleurs!A:B,2))</f>
        <v>[76]</v>
      </c>
      <c r="F62" s="1" t="s">
        <v>3721</v>
      </c>
      <c r="G62">
        <v>6</v>
      </c>
      <c r="H62" t="s">
        <v>3720</v>
      </c>
      <c r="I62" t="s">
        <v>3722</v>
      </c>
      <c r="J62">
        <f t="shared" si="0"/>
        <v>15.120000000000001</v>
      </c>
      <c r="K62" t="b">
        <f t="shared" si="1"/>
        <v>1</v>
      </c>
      <c r="L62" s="21"/>
      <c r="M62" s="21"/>
    </row>
    <row r="63" spans="1:13">
      <c r="A63" s="21"/>
      <c r="B63">
        <v>55</v>
      </c>
      <c r="C63" t="s">
        <v>1</v>
      </c>
      <c r="D63">
        <v>479</v>
      </c>
      <c r="E63" t="str">
        <f>IF(VLOOKUP(D63,Couleurs!A:B,2) = 0, "[" &amp; D63 &amp; "]",VLOOKUP(D63,Couleurs!A:B,2))</f>
        <v>[479]</v>
      </c>
      <c r="F63" s="1" t="s">
        <v>3723</v>
      </c>
      <c r="G63">
        <v>4</v>
      </c>
      <c r="H63" t="s">
        <v>3704</v>
      </c>
      <c r="I63" t="s">
        <v>3724</v>
      </c>
      <c r="J63">
        <f t="shared" si="0"/>
        <v>50.88</v>
      </c>
      <c r="K63" t="b">
        <f t="shared" si="1"/>
        <v>1</v>
      </c>
      <c r="L63" s="21"/>
      <c r="M63" s="21"/>
    </row>
    <row r="64" spans="1:13">
      <c r="A64" s="21"/>
      <c r="B64">
        <v>56</v>
      </c>
      <c r="C64" t="s">
        <v>119</v>
      </c>
      <c r="D64">
        <v>36</v>
      </c>
      <c r="E64" t="str">
        <f>IF(VLOOKUP(D64,Couleurs!A:B,2) = 0, "[" &amp; D64 &amp; "]",VLOOKUP(D64,Couleurs!A:B,2))</f>
        <v>[36]</v>
      </c>
      <c r="F64" s="1" t="s">
        <v>3725</v>
      </c>
      <c r="G64">
        <v>2</v>
      </c>
      <c r="H64" t="s">
        <v>439</v>
      </c>
      <c r="I64" t="s">
        <v>440</v>
      </c>
      <c r="J64">
        <f t="shared" si="0"/>
        <v>21.6</v>
      </c>
      <c r="K64" t="b">
        <f t="shared" si="1"/>
        <v>1</v>
      </c>
      <c r="L64" s="21"/>
      <c r="M64" s="21"/>
    </row>
    <row r="65" spans="1:13">
      <c r="A65" s="21"/>
      <c r="B65">
        <v>57</v>
      </c>
      <c r="C65" t="s">
        <v>32</v>
      </c>
      <c r="D65">
        <v>479</v>
      </c>
      <c r="E65" t="str">
        <f>IF(VLOOKUP(D65,Couleurs!A:B,2) = 0, "[" &amp; D65 &amp; "]",VLOOKUP(D65,Couleurs!A:B,2))</f>
        <v>[479]</v>
      </c>
      <c r="F65" s="1" t="s">
        <v>3726</v>
      </c>
      <c r="G65">
        <v>6</v>
      </c>
      <c r="H65" t="s">
        <v>441</v>
      </c>
      <c r="I65" t="s">
        <v>3727</v>
      </c>
      <c r="J65">
        <f t="shared" si="0"/>
        <v>27.36</v>
      </c>
      <c r="K65" t="b">
        <f t="shared" si="1"/>
        <v>1</v>
      </c>
      <c r="L65" s="21"/>
      <c r="M65" s="21"/>
    </row>
    <row r="66" spans="1:13">
      <c r="A66" s="21"/>
      <c r="B66">
        <v>58</v>
      </c>
      <c r="C66" t="s">
        <v>123</v>
      </c>
      <c r="D66">
        <v>254</v>
      </c>
      <c r="E66" t="str">
        <f>IF(VLOOKUP(D66,Couleurs!A:B,2) = 0, "[" &amp; D66 &amp; "]",VLOOKUP(D66,Couleurs!A:B,2))</f>
        <v>[254]</v>
      </c>
      <c r="F66" s="1" t="s">
        <v>3728</v>
      </c>
      <c r="G66">
        <v>3</v>
      </c>
      <c r="H66" t="s">
        <v>439</v>
      </c>
      <c r="I66" t="s">
        <v>3729</v>
      </c>
      <c r="J66">
        <f t="shared" si="0"/>
        <v>32.400000000000006</v>
      </c>
      <c r="K66" t="b">
        <f t="shared" si="1"/>
        <v>1</v>
      </c>
      <c r="L66" s="21"/>
      <c r="M66" s="21"/>
    </row>
    <row r="67" spans="1:13">
      <c r="A67" s="21"/>
      <c r="B67">
        <v>59</v>
      </c>
      <c r="C67" t="s">
        <v>7</v>
      </c>
      <c r="D67">
        <v>76</v>
      </c>
      <c r="E67" t="str">
        <f>IF(VLOOKUP(D67,Couleurs!A:B,2) = 0, "[" &amp; D67 &amp; "]",VLOOKUP(D67,Couleurs!A:B,2))</f>
        <v>[76]</v>
      </c>
      <c r="F67" s="1" t="s">
        <v>3730</v>
      </c>
      <c r="G67">
        <v>4</v>
      </c>
      <c r="H67" t="s">
        <v>431</v>
      </c>
      <c r="I67" t="s">
        <v>3731</v>
      </c>
      <c r="J67">
        <f t="shared" si="0"/>
        <v>47.52</v>
      </c>
      <c r="K67" t="b">
        <f t="shared" si="1"/>
        <v>1</v>
      </c>
      <c r="L67" s="21"/>
      <c r="M67" s="21"/>
    </row>
    <row r="68" spans="1:13">
      <c r="A68" s="21"/>
      <c r="B68">
        <v>60</v>
      </c>
      <c r="C68" t="s">
        <v>2425</v>
      </c>
      <c r="D68">
        <v>17</v>
      </c>
      <c r="E68" t="str">
        <f>IF(VLOOKUP(D68,Couleurs!A:B,2) = 0, "[" &amp; D68 &amp; "]",VLOOKUP(D68,Couleurs!A:B,2))</f>
        <v>NAVY BLUE</v>
      </c>
      <c r="F68" s="1" t="s">
        <v>3732</v>
      </c>
      <c r="G68">
        <v>2</v>
      </c>
      <c r="H68" t="s">
        <v>3704</v>
      </c>
      <c r="I68" t="s">
        <v>3706</v>
      </c>
      <c r="J68">
        <f t="shared" si="0"/>
        <v>25.44</v>
      </c>
      <c r="K68" t="b">
        <f t="shared" si="1"/>
        <v>1</v>
      </c>
      <c r="L68" s="21"/>
      <c r="M68" s="21"/>
    </row>
    <row r="69" spans="1:13">
      <c r="A69" s="21"/>
      <c r="B69">
        <v>61</v>
      </c>
      <c r="C69" t="s">
        <v>3733</v>
      </c>
      <c r="D69">
        <v>422</v>
      </c>
      <c r="E69" t="str">
        <f>IF(VLOOKUP(D69,Couleurs!A:B,2) = 0, "[" &amp; D69 &amp; "]",VLOOKUP(D69,Couleurs!A:B,2))</f>
        <v>SANGRIA</v>
      </c>
      <c r="F69" s="1" t="s">
        <v>3734</v>
      </c>
      <c r="G69">
        <v>2</v>
      </c>
      <c r="H69" t="s">
        <v>428</v>
      </c>
      <c r="I69" t="s">
        <v>436</v>
      </c>
      <c r="J69">
        <f t="shared" ref="J69:J132" si="2">G69*H69</f>
        <v>28.8</v>
      </c>
      <c r="K69" t="b">
        <f t="shared" ref="K69:K132" si="3">(0+I69)=J69</f>
        <v>1</v>
      </c>
      <c r="L69" s="21"/>
      <c r="M69" s="21"/>
    </row>
    <row r="70" spans="1:13">
      <c r="A70" s="21"/>
      <c r="B70">
        <v>62</v>
      </c>
      <c r="C70" t="s">
        <v>27</v>
      </c>
      <c r="D70">
        <v>63</v>
      </c>
      <c r="E70" t="str">
        <f>IF(VLOOKUP(D70,Couleurs!A:B,2) = 0, "[" &amp; D70 &amp; "]",VLOOKUP(D70,Couleurs!A:B,2))</f>
        <v>[63]</v>
      </c>
      <c r="F70" s="1" t="s">
        <v>3736</v>
      </c>
      <c r="G70">
        <v>6</v>
      </c>
      <c r="H70" t="s">
        <v>3735</v>
      </c>
      <c r="I70" t="s">
        <v>3737</v>
      </c>
      <c r="J70">
        <f t="shared" si="2"/>
        <v>11.52</v>
      </c>
      <c r="K70" t="b">
        <f t="shared" si="3"/>
        <v>1</v>
      </c>
      <c r="L70" s="21"/>
      <c r="M70" s="21"/>
    </row>
    <row r="71" spans="1:13">
      <c r="A71" s="21"/>
      <c r="B71">
        <v>63</v>
      </c>
      <c r="C71" t="s">
        <v>76</v>
      </c>
      <c r="D71">
        <v>36</v>
      </c>
      <c r="E71" t="str">
        <f>IF(VLOOKUP(D71,Couleurs!A:B,2) = 0, "[" &amp; D71 &amp; "]",VLOOKUP(D71,Couleurs!A:B,2))</f>
        <v>[36]</v>
      </c>
      <c r="F71" s="1" t="s">
        <v>3738</v>
      </c>
      <c r="G71">
        <v>2</v>
      </c>
      <c r="H71" t="s">
        <v>431</v>
      </c>
      <c r="I71" t="s">
        <v>442</v>
      </c>
      <c r="J71">
        <f t="shared" si="2"/>
        <v>23.76</v>
      </c>
      <c r="K71" t="b">
        <f t="shared" si="3"/>
        <v>1</v>
      </c>
      <c r="L71" s="21"/>
      <c r="M71" s="21"/>
    </row>
    <row r="72" spans="1:13">
      <c r="A72" s="21"/>
      <c r="B72">
        <v>64</v>
      </c>
      <c r="C72" t="s">
        <v>26</v>
      </c>
      <c r="D72">
        <v>347</v>
      </c>
      <c r="E72" t="str">
        <f>IF(VLOOKUP(D72,Couleurs!A:B,2) = 0, "[" &amp; D72 &amp; "]",VLOOKUP(D72,Couleurs!A:B,2))</f>
        <v>[347]</v>
      </c>
      <c r="F72" s="1" t="s">
        <v>3739</v>
      </c>
      <c r="G72">
        <v>3</v>
      </c>
      <c r="H72" t="s">
        <v>428</v>
      </c>
      <c r="I72" t="s">
        <v>433</v>
      </c>
      <c r="J72">
        <f t="shared" si="2"/>
        <v>43.2</v>
      </c>
      <c r="K72" t="b">
        <f t="shared" si="3"/>
        <v>1</v>
      </c>
      <c r="L72" s="21"/>
      <c r="M72" s="21"/>
    </row>
    <row r="73" spans="1:13">
      <c r="A73" s="21"/>
      <c r="B73">
        <v>65</v>
      </c>
      <c r="C73" t="s">
        <v>113</v>
      </c>
      <c r="D73">
        <v>227</v>
      </c>
      <c r="E73" t="str">
        <f>IF(VLOOKUP(D73,Couleurs!A:B,2) = 0, "[" &amp; D73 &amp; "]",VLOOKUP(D73,Couleurs!A:B,2))</f>
        <v>[227]</v>
      </c>
      <c r="F73" s="1" t="s">
        <v>3740</v>
      </c>
      <c r="G73">
        <v>2</v>
      </c>
      <c r="H73" t="s">
        <v>428</v>
      </c>
      <c r="I73" t="s">
        <v>436</v>
      </c>
      <c r="J73">
        <f t="shared" si="2"/>
        <v>28.8</v>
      </c>
      <c r="K73" t="b">
        <f t="shared" si="3"/>
        <v>1</v>
      </c>
      <c r="L73" s="21"/>
      <c r="M73" s="21"/>
    </row>
    <row r="74" spans="1:13">
      <c r="A74" s="21"/>
      <c r="B74">
        <v>66</v>
      </c>
      <c r="C74" t="s">
        <v>3</v>
      </c>
      <c r="D74">
        <v>470</v>
      </c>
      <c r="E74" t="str">
        <f>IF(VLOOKUP(D74,Couleurs!A:B,2) = 0, "[" &amp; D74 &amp; "]",VLOOKUP(D74,Couleurs!A:B,2))</f>
        <v>[470]</v>
      </c>
      <c r="F74" s="1" t="s">
        <v>3741</v>
      </c>
      <c r="G74">
        <v>2</v>
      </c>
      <c r="H74" t="s">
        <v>429</v>
      </c>
      <c r="I74" t="s">
        <v>430</v>
      </c>
      <c r="J74">
        <f t="shared" si="2"/>
        <v>26.88</v>
      </c>
      <c r="K74" t="b">
        <f t="shared" si="3"/>
        <v>1</v>
      </c>
      <c r="L74" s="21"/>
      <c r="M74" s="21"/>
    </row>
    <row r="75" spans="1:13">
      <c r="A75" s="21"/>
      <c r="B75">
        <v>67</v>
      </c>
      <c r="C75" t="s">
        <v>14</v>
      </c>
      <c r="D75">
        <v>17</v>
      </c>
      <c r="E75" t="str">
        <f>IF(VLOOKUP(D75,Couleurs!A:B,2) = 0, "[" &amp; D75 &amp; "]",VLOOKUP(D75,Couleurs!A:B,2))</f>
        <v>NAVY BLUE</v>
      </c>
      <c r="F75" s="1" t="s">
        <v>3742</v>
      </c>
      <c r="G75">
        <v>2</v>
      </c>
      <c r="H75" t="s">
        <v>428</v>
      </c>
      <c r="I75" t="s">
        <v>436</v>
      </c>
      <c r="J75">
        <f t="shared" si="2"/>
        <v>28.8</v>
      </c>
      <c r="K75" t="b">
        <f t="shared" si="3"/>
        <v>1</v>
      </c>
      <c r="L75" s="21"/>
      <c r="M75" s="21"/>
    </row>
    <row r="76" spans="1:13">
      <c r="A76" s="21"/>
      <c r="B76">
        <v>68</v>
      </c>
      <c r="C76" t="s">
        <v>30</v>
      </c>
      <c r="D76">
        <v>55</v>
      </c>
      <c r="E76" t="str">
        <f>IF(VLOOKUP(D76,Couleurs!A:B,2) = 0, "[" &amp; D76 &amp; "]",VLOOKUP(D76,Couleurs!A:B,2))</f>
        <v>BLACK</v>
      </c>
      <c r="F76" s="1" t="s">
        <v>3744</v>
      </c>
      <c r="G76">
        <v>3</v>
      </c>
      <c r="H76" t="s">
        <v>3743</v>
      </c>
      <c r="I76" t="s">
        <v>3745</v>
      </c>
      <c r="J76">
        <f t="shared" si="2"/>
        <v>88.199999999999989</v>
      </c>
      <c r="K76" t="b">
        <f t="shared" si="3"/>
        <v>1</v>
      </c>
      <c r="L76" s="21"/>
      <c r="M76" s="21"/>
    </row>
    <row r="77" spans="1:13">
      <c r="A77" s="21"/>
      <c r="B77">
        <v>69</v>
      </c>
      <c r="C77" t="s">
        <v>23</v>
      </c>
      <c r="D77">
        <v>75</v>
      </c>
      <c r="E77" t="str">
        <f>IF(VLOOKUP(D77,Couleurs!A:B,2) = 0, "[" &amp; D77 &amp; "]",VLOOKUP(D77,Couleurs!A:B,2))</f>
        <v>[75]</v>
      </c>
      <c r="F77" s="1" t="s">
        <v>3746</v>
      </c>
      <c r="G77">
        <v>2</v>
      </c>
      <c r="H77" t="s">
        <v>3682</v>
      </c>
      <c r="I77" t="s">
        <v>3747</v>
      </c>
      <c r="J77">
        <f t="shared" si="2"/>
        <v>26.16</v>
      </c>
      <c r="K77" t="b">
        <f t="shared" si="3"/>
        <v>1</v>
      </c>
      <c r="L77" s="21"/>
      <c r="M77" s="21"/>
    </row>
    <row r="78" spans="1:13">
      <c r="A78" s="21"/>
      <c r="B78">
        <v>70</v>
      </c>
      <c r="C78" t="s">
        <v>21</v>
      </c>
      <c r="D78">
        <v>483</v>
      </c>
      <c r="E78" t="str">
        <f>IF(VLOOKUP(D78,Couleurs!A:B,2) = 0, "[" &amp; D78 &amp; "]",VLOOKUP(D78,Couleurs!A:B,2))</f>
        <v>[483]</v>
      </c>
      <c r="F78" s="1" t="s">
        <v>3748</v>
      </c>
      <c r="G78">
        <v>3</v>
      </c>
      <c r="H78" t="s">
        <v>428</v>
      </c>
      <c r="I78" t="s">
        <v>433</v>
      </c>
      <c r="J78">
        <f t="shared" si="2"/>
        <v>43.2</v>
      </c>
      <c r="K78" t="b">
        <f t="shared" si="3"/>
        <v>1</v>
      </c>
      <c r="L78" s="21"/>
      <c r="M78" s="21"/>
    </row>
    <row r="79" spans="1:13">
      <c r="A79" s="21"/>
      <c r="B79">
        <v>71</v>
      </c>
      <c r="C79" t="s">
        <v>54</v>
      </c>
      <c r="D79">
        <v>371</v>
      </c>
      <c r="E79" t="str">
        <f>IF(VLOOKUP(D79,Couleurs!A:B,2) = 0, "[" &amp; D79 &amp; "]",VLOOKUP(D79,Couleurs!A:B,2))</f>
        <v>MILK</v>
      </c>
      <c r="F79" s="1" t="s">
        <v>3749</v>
      </c>
      <c r="G79">
        <v>6</v>
      </c>
      <c r="H79" t="s">
        <v>3681</v>
      </c>
      <c r="I79" t="s">
        <v>440</v>
      </c>
      <c r="J79">
        <f t="shared" si="2"/>
        <v>21.6</v>
      </c>
      <c r="K79" t="b">
        <f t="shared" si="3"/>
        <v>1</v>
      </c>
      <c r="L79" s="21"/>
      <c r="M79" s="21"/>
    </row>
    <row r="80" spans="1:13">
      <c r="A80" s="21"/>
      <c r="B80">
        <v>72</v>
      </c>
      <c r="C80" t="s">
        <v>70</v>
      </c>
      <c r="D80">
        <v>36</v>
      </c>
      <c r="E80" t="str">
        <f>IF(VLOOKUP(D80,Couleurs!A:B,2) = 0, "[" &amp; D80 &amp; "]",VLOOKUP(D80,Couleurs!A:B,2))</f>
        <v>[36]</v>
      </c>
      <c r="F80" s="1" t="s">
        <v>3750</v>
      </c>
      <c r="G80">
        <v>2</v>
      </c>
      <c r="H80" t="s">
        <v>431</v>
      </c>
      <c r="I80" t="s">
        <v>442</v>
      </c>
      <c r="J80">
        <f t="shared" si="2"/>
        <v>23.76</v>
      </c>
      <c r="K80" t="b">
        <f t="shared" si="3"/>
        <v>1</v>
      </c>
      <c r="L80" s="21"/>
      <c r="M80" s="21"/>
    </row>
    <row r="81" spans="1:13">
      <c r="A81" s="21"/>
      <c r="B81">
        <v>73</v>
      </c>
      <c r="C81" t="s">
        <v>45</v>
      </c>
      <c r="D81">
        <v>36</v>
      </c>
      <c r="E81" t="str">
        <f>IF(VLOOKUP(D81,Couleurs!A:B,2) = 0, "[" &amp; D81 &amp; "]",VLOOKUP(D81,Couleurs!A:B,2))</f>
        <v>[36]</v>
      </c>
      <c r="F81" s="1" t="s">
        <v>3751</v>
      </c>
      <c r="G81">
        <v>3</v>
      </c>
      <c r="H81" t="s">
        <v>3685</v>
      </c>
      <c r="I81" t="s">
        <v>3686</v>
      </c>
      <c r="J81">
        <f t="shared" si="2"/>
        <v>23.4</v>
      </c>
      <c r="K81" t="b">
        <f t="shared" si="3"/>
        <v>1</v>
      </c>
      <c r="L81" s="21"/>
      <c r="M81" s="21"/>
    </row>
    <row r="82" spans="1:13">
      <c r="A82" s="21"/>
      <c r="B82">
        <v>74</v>
      </c>
      <c r="C82" t="s">
        <v>54</v>
      </c>
      <c r="D82">
        <v>479</v>
      </c>
      <c r="E82" t="str">
        <f>IF(VLOOKUP(D82,Couleurs!A:B,2) = 0, "[" &amp; D82 &amp; "]",VLOOKUP(D82,Couleurs!A:B,2))</f>
        <v>[479]</v>
      </c>
      <c r="F82" s="1" t="s">
        <v>3752</v>
      </c>
      <c r="G82">
        <v>6</v>
      </c>
      <c r="H82" t="s">
        <v>3681</v>
      </c>
      <c r="I82" t="s">
        <v>440</v>
      </c>
      <c r="J82">
        <f t="shared" si="2"/>
        <v>21.6</v>
      </c>
      <c r="K82" t="b">
        <f t="shared" si="3"/>
        <v>1</v>
      </c>
      <c r="L82" s="21"/>
      <c r="M82" s="21"/>
    </row>
    <row r="83" spans="1:13">
      <c r="A83" s="21"/>
      <c r="B83">
        <v>75</v>
      </c>
      <c r="C83" t="s">
        <v>111</v>
      </c>
      <c r="D83">
        <v>134</v>
      </c>
      <c r="E83" t="str">
        <f>IF(VLOOKUP(D83,Couleurs!A:B,2) = 0, "[" &amp; D83 &amp; "]",VLOOKUP(D83,Couleurs!A:B,2))</f>
        <v>[134]</v>
      </c>
      <c r="F83" s="1" t="s">
        <v>3754</v>
      </c>
      <c r="G83">
        <v>3</v>
      </c>
      <c r="H83" t="s">
        <v>3753</v>
      </c>
      <c r="I83" t="s">
        <v>3755</v>
      </c>
      <c r="J83">
        <f t="shared" si="2"/>
        <v>28.08</v>
      </c>
      <c r="K83" t="b">
        <f t="shared" si="3"/>
        <v>1</v>
      </c>
      <c r="L83" s="21"/>
      <c r="M83" s="21"/>
    </row>
    <row r="84" spans="1:13">
      <c r="A84" s="21"/>
      <c r="B84">
        <v>76</v>
      </c>
      <c r="C84" t="s">
        <v>112</v>
      </c>
      <c r="D84">
        <v>55</v>
      </c>
      <c r="E84" t="str">
        <f>IF(VLOOKUP(D84,Couleurs!A:B,2) = 0, "[" &amp; D84 &amp; "]",VLOOKUP(D84,Couleurs!A:B,2))</f>
        <v>BLACK</v>
      </c>
      <c r="F84" s="1" t="s">
        <v>3757</v>
      </c>
      <c r="G84">
        <v>2</v>
      </c>
      <c r="H84" t="s">
        <v>3756</v>
      </c>
      <c r="I84" t="s">
        <v>3758</v>
      </c>
      <c r="J84">
        <f t="shared" si="2"/>
        <v>20.88</v>
      </c>
      <c r="K84" t="b">
        <f t="shared" si="3"/>
        <v>1</v>
      </c>
      <c r="L84" s="21"/>
      <c r="M84" s="21"/>
    </row>
    <row r="85" spans="1:13">
      <c r="A85" s="21"/>
      <c r="B85">
        <v>77</v>
      </c>
      <c r="C85" t="s">
        <v>9</v>
      </c>
      <c r="D85">
        <v>36</v>
      </c>
      <c r="E85" t="str">
        <f>IF(VLOOKUP(D85,Couleurs!A:B,2) = 0, "[" &amp; D85 &amp; "]",VLOOKUP(D85,Couleurs!A:B,2))</f>
        <v>[36]</v>
      </c>
      <c r="F85" s="1" t="s">
        <v>3759</v>
      </c>
      <c r="G85">
        <v>3</v>
      </c>
      <c r="H85" t="s">
        <v>428</v>
      </c>
      <c r="I85" t="s">
        <v>433</v>
      </c>
      <c r="J85">
        <f t="shared" si="2"/>
        <v>43.2</v>
      </c>
      <c r="K85" t="b">
        <f t="shared" si="3"/>
        <v>1</v>
      </c>
      <c r="L85" s="21"/>
      <c r="M85" s="21"/>
    </row>
    <row r="86" spans="1:13">
      <c r="A86" s="21"/>
      <c r="B86">
        <v>79</v>
      </c>
      <c r="C86" t="s">
        <v>11</v>
      </c>
      <c r="D86">
        <v>481</v>
      </c>
      <c r="E86" t="str">
        <f>IF(VLOOKUP(D86,Couleurs!A:B,2) = 0, "[" &amp; D86 &amp; "]",VLOOKUP(D86,Couleurs!A:B,2))</f>
        <v>[481]</v>
      </c>
      <c r="F86" s="1" t="s">
        <v>3760</v>
      </c>
      <c r="G86">
        <v>2</v>
      </c>
      <c r="H86" t="s">
        <v>3704</v>
      </c>
      <c r="I86" t="s">
        <v>3706</v>
      </c>
      <c r="J86">
        <f t="shared" si="2"/>
        <v>25.44</v>
      </c>
      <c r="K86" t="b">
        <f t="shared" si="3"/>
        <v>1</v>
      </c>
      <c r="L86" s="21"/>
      <c r="M86" s="21"/>
    </row>
    <row r="87" spans="1:13">
      <c r="A87" s="21"/>
      <c r="B87">
        <v>80</v>
      </c>
      <c r="C87" t="s">
        <v>21</v>
      </c>
      <c r="D87">
        <v>479</v>
      </c>
      <c r="E87" t="str">
        <f>IF(VLOOKUP(D87,Couleurs!A:B,2) = 0, "[" &amp; D87 &amp; "]",VLOOKUP(D87,Couleurs!A:B,2))</f>
        <v>[479]</v>
      </c>
      <c r="F87" s="1" t="s">
        <v>3761</v>
      </c>
      <c r="G87">
        <v>3</v>
      </c>
      <c r="H87" t="s">
        <v>428</v>
      </c>
      <c r="I87" t="s">
        <v>433</v>
      </c>
      <c r="J87">
        <f t="shared" si="2"/>
        <v>43.2</v>
      </c>
      <c r="K87" t="b">
        <f t="shared" si="3"/>
        <v>1</v>
      </c>
      <c r="L87" s="21"/>
      <c r="M87" s="21"/>
    </row>
    <row r="88" spans="1:13">
      <c r="A88" s="21"/>
      <c r="B88">
        <v>81</v>
      </c>
      <c r="C88" t="s">
        <v>2431</v>
      </c>
      <c r="D88">
        <v>371</v>
      </c>
      <c r="E88" t="str">
        <f>IF(VLOOKUP(D88,Couleurs!A:B,2) = 0, "[" &amp; D88 &amp; "]",VLOOKUP(D88,Couleurs!A:B,2))</f>
        <v>MILK</v>
      </c>
      <c r="F88" s="1" t="s">
        <v>3762</v>
      </c>
      <c r="G88">
        <v>3</v>
      </c>
      <c r="H88" t="s">
        <v>431</v>
      </c>
      <c r="I88" t="s">
        <v>3703</v>
      </c>
      <c r="J88">
        <f t="shared" si="2"/>
        <v>35.64</v>
      </c>
      <c r="K88" t="b">
        <f t="shared" si="3"/>
        <v>1</v>
      </c>
      <c r="L88" s="21"/>
      <c r="M88" s="21"/>
    </row>
    <row r="89" spans="1:13">
      <c r="A89" s="21"/>
      <c r="B89">
        <v>82</v>
      </c>
      <c r="C89" t="s">
        <v>12</v>
      </c>
      <c r="D89">
        <v>17</v>
      </c>
      <c r="E89" t="str">
        <f>IF(VLOOKUP(D89,Couleurs!A:B,2) = 0, "[" &amp; D89 &amp; "]",VLOOKUP(D89,Couleurs!A:B,2))</f>
        <v>NAVY BLUE</v>
      </c>
      <c r="F89" s="1" t="s">
        <v>3763</v>
      </c>
      <c r="G89">
        <v>3</v>
      </c>
      <c r="H89">
        <v>9</v>
      </c>
      <c r="I89">
        <v>27</v>
      </c>
      <c r="J89">
        <f t="shared" si="2"/>
        <v>27</v>
      </c>
      <c r="K89" t="b">
        <f t="shared" si="3"/>
        <v>1</v>
      </c>
      <c r="L89" s="21"/>
      <c r="M89" s="21"/>
    </row>
    <row r="90" spans="1:13">
      <c r="A90" s="21"/>
      <c r="B90">
        <v>83</v>
      </c>
      <c r="C90" t="s">
        <v>3</v>
      </c>
      <c r="D90">
        <v>471</v>
      </c>
      <c r="E90" t="str">
        <f>IF(VLOOKUP(D90,Couleurs!A:B,2) = 0, "[" &amp; D90 &amp; "]",VLOOKUP(D90,Couleurs!A:B,2))</f>
        <v>[471]</v>
      </c>
      <c r="F90" s="1" t="s">
        <v>3764</v>
      </c>
      <c r="G90">
        <v>2</v>
      </c>
      <c r="H90" t="s">
        <v>429</v>
      </c>
      <c r="I90" t="s">
        <v>430</v>
      </c>
      <c r="J90">
        <f t="shared" si="2"/>
        <v>26.88</v>
      </c>
      <c r="K90" t="b">
        <f t="shared" si="3"/>
        <v>1</v>
      </c>
      <c r="L90" s="21"/>
      <c r="M90" s="21"/>
    </row>
    <row r="91" spans="1:13">
      <c r="A91" s="21"/>
      <c r="B91">
        <v>84</v>
      </c>
      <c r="C91" t="s">
        <v>35</v>
      </c>
      <c r="D91">
        <v>36</v>
      </c>
      <c r="E91" t="str">
        <f>IF(VLOOKUP(D91,Couleurs!A:B,2) = 0, "[" &amp; D91 &amp; "]",VLOOKUP(D91,Couleurs!A:B,2))</f>
        <v>[36]</v>
      </c>
      <c r="F91" s="1" t="s">
        <v>3765</v>
      </c>
      <c r="G91">
        <v>6</v>
      </c>
      <c r="H91" t="s">
        <v>3720</v>
      </c>
      <c r="I91" t="s">
        <v>3722</v>
      </c>
      <c r="J91">
        <f t="shared" si="2"/>
        <v>15.120000000000001</v>
      </c>
      <c r="K91" t="b">
        <f t="shared" si="3"/>
        <v>1</v>
      </c>
      <c r="L91" s="21"/>
      <c r="M91" s="21"/>
    </row>
    <row r="92" spans="1:13">
      <c r="A92" s="21"/>
      <c r="B92">
        <v>85</v>
      </c>
      <c r="C92" t="s">
        <v>2441</v>
      </c>
      <c r="D92">
        <v>76</v>
      </c>
      <c r="E92" t="str">
        <f>IF(VLOOKUP(D92,Couleurs!A:B,2) = 0, "[" &amp; D92 &amp; "]",VLOOKUP(D92,Couleurs!A:B,2))</f>
        <v>[76]</v>
      </c>
      <c r="F92" s="1" t="s">
        <v>3766</v>
      </c>
      <c r="G92">
        <v>2</v>
      </c>
      <c r="H92" t="s">
        <v>429</v>
      </c>
      <c r="I92" t="s">
        <v>430</v>
      </c>
      <c r="J92">
        <f t="shared" si="2"/>
        <v>26.88</v>
      </c>
      <c r="K92" t="b">
        <f t="shared" si="3"/>
        <v>1</v>
      </c>
      <c r="L92" s="21"/>
      <c r="M92" s="21"/>
    </row>
    <row r="93" spans="1:13">
      <c r="A93" s="21"/>
      <c r="B93">
        <v>86</v>
      </c>
      <c r="C93" t="s">
        <v>57</v>
      </c>
      <c r="D93">
        <v>497</v>
      </c>
      <c r="E93" t="str">
        <f>IF(VLOOKUP(D93,Couleurs!A:B,2) = 0, "[" &amp; D93 &amp; "]",VLOOKUP(D93,Couleurs!A:B,2))</f>
        <v>[497]</v>
      </c>
      <c r="F93" s="1" t="s">
        <v>3768</v>
      </c>
      <c r="G93">
        <v>3</v>
      </c>
      <c r="H93" t="s">
        <v>3767</v>
      </c>
      <c r="I93" t="s">
        <v>3769</v>
      </c>
      <c r="J93">
        <f t="shared" si="2"/>
        <v>56.88</v>
      </c>
      <c r="K93" t="b">
        <f t="shared" si="3"/>
        <v>1</v>
      </c>
      <c r="L93" s="21"/>
      <c r="M93" s="21"/>
    </row>
    <row r="94" spans="1:13">
      <c r="A94" s="21"/>
      <c r="B94">
        <v>87</v>
      </c>
      <c r="C94" t="s">
        <v>25</v>
      </c>
      <c r="D94">
        <v>78</v>
      </c>
      <c r="E94" t="str">
        <f>IF(VLOOKUP(D94,Couleurs!A:B,2) = 0, "[" &amp; D94 &amp; "]",VLOOKUP(D94,Couleurs!A:B,2))</f>
        <v>SAND</v>
      </c>
      <c r="F94" s="1" t="s">
        <v>3770</v>
      </c>
      <c r="G94">
        <v>2</v>
      </c>
      <c r="H94" t="s">
        <v>437</v>
      </c>
      <c r="I94" t="s">
        <v>435</v>
      </c>
      <c r="J94">
        <f t="shared" si="2"/>
        <v>25.2</v>
      </c>
      <c r="K94" t="b">
        <f t="shared" si="3"/>
        <v>1</v>
      </c>
      <c r="L94" s="21"/>
      <c r="M94" s="21"/>
    </row>
    <row r="95" spans="1:13">
      <c r="A95" s="21"/>
      <c r="B95">
        <v>88</v>
      </c>
      <c r="C95" t="s">
        <v>2473</v>
      </c>
      <c r="D95">
        <v>36</v>
      </c>
      <c r="E95" t="str">
        <f>IF(VLOOKUP(D95,Couleurs!A:B,2) = 0, "[" &amp; D95 &amp; "]",VLOOKUP(D95,Couleurs!A:B,2))</f>
        <v>[36]</v>
      </c>
      <c r="F95" s="1" t="s">
        <v>3772</v>
      </c>
      <c r="G95">
        <v>2</v>
      </c>
      <c r="H95" t="s">
        <v>429</v>
      </c>
      <c r="I95" t="s">
        <v>430</v>
      </c>
      <c r="J95">
        <f t="shared" si="2"/>
        <v>26.88</v>
      </c>
      <c r="K95" t="b">
        <f t="shared" si="3"/>
        <v>1</v>
      </c>
      <c r="L95" s="21"/>
      <c r="M95" s="21"/>
    </row>
    <row r="96" spans="1:13">
      <c r="A96" s="21"/>
      <c r="B96">
        <v>89</v>
      </c>
      <c r="C96" t="s">
        <v>51</v>
      </c>
      <c r="D96">
        <v>422</v>
      </c>
      <c r="E96" t="str">
        <f>IF(VLOOKUP(D96,Couleurs!A:B,2) = 0, "[" &amp; D96 &amp; "]",VLOOKUP(D96,Couleurs!A:B,2))</f>
        <v>SANGRIA</v>
      </c>
      <c r="F96" s="1" t="s">
        <v>3773</v>
      </c>
      <c r="G96">
        <v>6</v>
      </c>
      <c r="H96" t="s">
        <v>441</v>
      </c>
      <c r="I96" t="s">
        <v>3727</v>
      </c>
      <c r="J96">
        <f t="shared" si="2"/>
        <v>27.36</v>
      </c>
      <c r="K96" t="b">
        <f t="shared" si="3"/>
        <v>1</v>
      </c>
      <c r="L96" s="21"/>
      <c r="M96" s="21"/>
    </row>
    <row r="97" spans="1:13">
      <c r="A97" s="21"/>
      <c r="B97">
        <v>90</v>
      </c>
      <c r="C97" t="s">
        <v>1</v>
      </c>
      <c r="D97">
        <v>55</v>
      </c>
      <c r="E97" t="str">
        <f>IF(VLOOKUP(D97,Couleurs!A:B,2) = 0, "[" &amp; D97 &amp; "]",VLOOKUP(D97,Couleurs!A:B,2))</f>
        <v>BLACK</v>
      </c>
      <c r="F97" s="1" t="s">
        <v>3774</v>
      </c>
      <c r="G97">
        <v>4</v>
      </c>
      <c r="H97" t="s">
        <v>3704</v>
      </c>
      <c r="I97" t="s">
        <v>3724</v>
      </c>
      <c r="J97">
        <f t="shared" si="2"/>
        <v>50.88</v>
      </c>
      <c r="K97" t="b">
        <f t="shared" si="3"/>
        <v>1</v>
      </c>
      <c r="L97" s="21"/>
      <c r="M97" s="21"/>
    </row>
    <row r="98" spans="1:13">
      <c r="A98" s="21"/>
      <c r="B98">
        <v>91</v>
      </c>
      <c r="C98" t="s">
        <v>23</v>
      </c>
      <c r="D98">
        <v>26</v>
      </c>
      <c r="E98" t="str">
        <f>IF(VLOOKUP(D98,Couleurs!A:B,2) = 0, "[" &amp; D98 &amp; "]",VLOOKUP(D98,Couleurs!A:B,2))</f>
        <v>[26]</v>
      </c>
      <c r="F98" s="1" t="s">
        <v>3775</v>
      </c>
      <c r="G98">
        <v>2</v>
      </c>
      <c r="H98" t="s">
        <v>3682</v>
      </c>
      <c r="I98" t="s">
        <v>3747</v>
      </c>
      <c r="J98">
        <f t="shared" si="2"/>
        <v>26.16</v>
      </c>
      <c r="K98" t="b">
        <f t="shared" si="3"/>
        <v>1</v>
      </c>
      <c r="L98" s="21"/>
      <c r="M98" s="21"/>
    </row>
    <row r="99" spans="1:13">
      <c r="A99" s="21"/>
      <c r="B99">
        <v>92</v>
      </c>
      <c r="C99" t="s">
        <v>115</v>
      </c>
      <c r="D99">
        <v>55</v>
      </c>
      <c r="E99" t="str">
        <f>IF(VLOOKUP(D99,Couleurs!A:B,2) = 0, "[" &amp; D99 &amp; "]",VLOOKUP(D99,Couleurs!A:B,2))</f>
        <v>BLACK</v>
      </c>
      <c r="F99" s="1" t="s">
        <v>3776</v>
      </c>
      <c r="G99">
        <v>6</v>
      </c>
      <c r="H99">
        <v>9</v>
      </c>
      <c r="I99">
        <v>54</v>
      </c>
      <c r="J99">
        <f t="shared" si="2"/>
        <v>54</v>
      </c>
      <c r="K99" t="b">
        <f t="shared" si="3"/>
        <v>1</v>
      </c>
      <c r="L99" s="21"/>
      <c r="M99" s="21"/>
    </row>
    <row r="100" spans="1:13">
      <c r="A100" s="21"/>
      <c r="B100">
        <v>93</v>
      </c>
      <c r="C100" t="s">
        <v>2450</v>
      </c>
      <c r="D100">
        <v>227</v>
      </c>
      <c r="E100" t="str">
        <f>IF(VLOOKUP(D100,Couleurs!A:B,2) = 0, "[" &amp; D100 &amp; "]",VLOOKUP(D100,Couleurs!A:B,2))</f>
        <v>[227]</v>
      </c>
      <c r="F100" s="1" t="s">
        <v>3777</v>
      </c>
      <c r="G100">
        <v>4</v>
      </c>
      <c r="H100" t="s">
        <v>3712</v>
      </c>
      <c r="I100" t="s">
        <v>3778</v>
      </c>
      <c r="J100">
        <f t="shared" si="2"/>
        <v>72.48</v>
      </c>
      <c r="K100" t="b">
        <f t="shared" si="3"/>
        <v>1</v>
      </c>
      <c r="L100" s="21"/>
      <c r="M100" s="21"/>
    </row>
    <row r="101" spans="1:13">
      <c r="A101" s="21"/>
      <c r="B101">
        <v>94</v>
      </c>
      <c r="C101" t="s">
        <v>79</v>
      </c>
      <c r="D101">
        <v>36</v>
      </c>
      <c r="E101" t="str">
        <f>IF(VLOOKUP(D101,Couleurs!A:B,2) = 0, "[" &amp; D101 &amp; "]",VLOOKUP(D101,Couleurs!A:B,2))</f>
        <v>[36]</v>
      </c>
      <c r="F101" s="1" t="s">
        <v>3780</v>
      </c>
      <c r="G101">
        <v>3</v>
      </c>
      <c r="H101" t="s">
        <v>3779</v>
      </c>
      <c r="I101" t="s">
        <v>3781</v>
      </c>
      <c r="J101">
        <f t="shared" si="2"/>
        <v>39.96</v>
      </c>
      <c r="K101" t="b">
        <f t="shared" si="3"/>
        <v>1</v>
      </c>
      <c r="L101" s="21"/>
      <c r="M101" s="21"/>
    </row>
    <row r="102" spans="1:13">
      <c r="A102" s="21"/>
      <c r="B102">
        <v>95</v>
      </c>
      <c r="C102" t="s">
        <v>103</v>
      </c>
      <c r="D102">
        <v>72</v>
      </c>
      <c r="E102" t="str">
        <f>IF(VLOOKUP(D102,Couleurs!A:B,2) = 0, "[" &amp; D102 &amp; "]",VLOOKUP(D102,Couleurs!A:B,2))</f>
        <v>[72]</v>
      </c>
      <c r="F102" s="1" t="s">
        <v>3782</v>
      </c>
      <c r="G102">
        <v>2</v>
      </c>
      <c r="H102" t="s">
        <v>3743</v>
      </c>
      <c r="I102" t="s">
        <v>3783</v>
      </c>
      <c r="J102">
        <f t="shared" si="2"/>
        <v>58.8</v>
      </c>
      <c r="K102" t="b">
        <f t="shared" si="3"/>
        <v>1</v>
      </c>
      <c r="L102" s="21"/>
      <c r="M102" s="21"/>
    </row>
    <row r="103" spans="1:13">
      <c r="A103" s="21"/>
      <c r="B103">
        <v>96</v>
      </c>
      <c r="C103" t="s">
        <v>22</v>
      </c>
      <c r="D103">
        <v>38</v>
      </c>
      <c r="E103" t="str">
        <f>IF(VLOOKUP(D103,Couleurs!A:B,2) = 0, "[" &amp; D103 &amp; "]",VLOOKUP(D103,Couleurs!A:B,2))</f>
        <v>[38]</v>
      </c>
      <c r="F103" s="1" t="s">
        <v>3784</v>
      </c>
      <c r="G103">
        <v>2</v>
      </c>
      <c r="H103" t="s">
        <v>428</v>
      </c>
      <c r="I103" t="s">
        <v>436</v>
      </c>
      <c r="J103">
        <f t="shared" si="2"/>
        <v>28.8</v>
      </c>
      <c r="K103" t="b">
        <f t="shared" si="3"/>
        <v>1</v>
      </c>
      <c r="L103" s="21"/>
      <c r="M103" s="21"/>
    </row>
    <row r="104" spans="1:13">
      <c r="A104" s="21"/>
      <c r="B104">
        <v>97</v>
      </c>
      <c r="C104" t="s">
        <v>125</v>
      </c>
      <c r="D104">
        <v>8</v>
      </c>
      <c r="E104" t="str">
        <f>IF(VLOOKUP(D104,Couleurs!A:B,2) = 0, "[" &amp; D104 &amp; "]",VLOOKUP(D104,Couleurs!A:B,2))</f>
        <v>WHITE</v>
      </c>
      <c r="F104" s="1" t="s">
        <v>3785</v>
      </c>
      <c r="G104">
        <v>2</v>
      </c>
      <c r="H104" t="s">
        <v>439</v>
      </c>
      <c r="I104" t="s">
        <v>440</v>
      </c>
      <c r="J104">
        <f t="shared" si="2"/>
        <v>21.6</v>
      </c>
      <c r="K104" t="b">
        <f t="shared" si="3"/>
        <v>1</v>
      </c>
      <c r="L104" s="21"/>
      <c r="M104" s="21"/>
    </row>
    <row r="105" spans="1:13">
      <c r="A105" s="21"/>
      <c r="B105">
        <v>98</v>
      </c>
      <c r="C105" t="s">
        <v>17</v>
      </c>
      <c r="D105">
        <v>130</v>
      </c>
      <c r="E105" t="str">
        <f>IF(VLOOKUP(D105,Couleurs!A:B,2) = 0, "[" &amp; D105 &amp; "]",VLOOKUP(D105,Couleurs!A:B,2))</f>
        <v>[130]</v>
      </c>
      <c r="F105" s="1" t="s">
        <v>3787</v>
      </c>
      <c r="G105">
        <v>3</v>
      </c>
      <c r="H105" t="s">
        <v>3786</v>
      </c>
      <c r="I105" t="s">
        <v>435</v>
      </c>
      <c r="J105">
        <f t="shared" si="2"/>
        <v>25.200000000000003</v>
      </c>
      <c r="K105" t="b">
        <f t="shared" si="3"/>
        <v>1</v>
      </c>
      <c r="L105" s="21"/>
      <c r="M105" s="21"/>
    </row>
    <row r="106" spans="1:13">
      <c r="A106" s="21"/>
      <c r="B106">
        <v>99</v>
      </c>
      <c r="C106" t="s">
        <v>55</v>
      </c>
      <c r="D106">
        <v>55</v>
      </c>
      <c r="E106" t="str">
        <f>IF(VLOOKUP(D106,Couleurs!A:B,2) = 0, "[" &amp; D106 &amp; "]",VLOOKUP(D106,Couleurs!A:B,2))</f>
        <v>BLACK</v>
      </c>
      <c r="F106" s="1" t="s">
        <v>3788</v>
      </c>
      <c r="G106">
        <v>3</v>
      </c>
      <c r="H106" t="s">
        <v>3786</v>
      </c>
      <c r="I106" t="s">
        <v>435</v>
      </c>
      <c r="J106">
        <f t="shared" si="2"/>
        <v>25.200000000000003</v>
      </c>
      <c r="K106" t="b">
        <f t="shared" si="3"/>
        <v>1</v>
      </c>
      <c r="L106" s="21"/>
      <c r="M106" s="21"/>
    </row>
    <row r="107" spans="1:13">
      <c r="A107" s="21"/>
      <c r="B107">
        <v>100</v>
      </c>
      <c r="C107" t="s">
        <v>2457</v>
      </c>
      <c r="D107">
        <v>55</v>
      </c>
      <c r="E107" t="str">
        <f>IF(VLOOKUP(D107,Couleurs!A:B,2) = 0, "[" &amp; D107 &amp; "]",VLOOKUP(D107,Couleurs!A:B,2))</f>
        <v>BLACK</v>
      </c>
      <c r="F107" s="1" t="s">
        <v>3789</v>
      </c>
      <c r="G107">
        <v>18</v>
      </c>
      <c r="H107" t="s">
        <v>437</v>
      </c>
      <c r="I107" t="s">
        <v>3790</v>
      </c>
      <c r="J107">
        <f t="shared" si="2"/>
        <v>226.79999999999998</v>
      </c>
      <c r="K107" t="b">
        <f t="shared" si="3"/>
        <v>1</v>
      </c>
      <c r="L107" s="21"/>
      <c r="M107" s="21"/>
    </row>
    <row r="108" spans="1:13">
      <c r="A108" s="21"/>
      <c r="B108">
        <v>101</v>
      </c>
      <c r="C108" t="s">
        <v>3733</v>
      </c>
      <c r="D108">
        <v>76</v>
      </c>
      <c r="E108" t="str">
        <f>IF(VLOOKUP(D108,Couleurs!A:B,2) = 0, "[" &amp; D108 &amp; "]",VLOOKUP(D108,Couleurs!A:B,2))</f>
        <v>[76]</v>
      </c>
      <c r="F108" s="1" t="s">
        <v>3826</v>
      </c>
      <c r="G108">
        <v>2</v>
      </c>
      <c r="H108" t="s">
        <v>428</v>
      </c>
      <c r="I108" t="s">
        <v>436</v>
      </c>
      <c r="J108">
        <f t="shared" si="2"/>
        <v>28.8</v>
      </c>
      <c r="K108" t="b">
        <f t="shared" si="3"/>
        <v>1</v>
      </c>
      <c r="L108" s="21"/>
      <c r="M108" s="21"/>
    </row>
    <row r="109" spans="1:13">
      <c r="A109" s="21"/>
      <c r="B109">
        <v>102</v>
      </c>
      <c r="C109" t="s">
        <v>7</v>
      </c>
      <c r="D109">
        <v>422</v>
      </c>
      <c r="E109" t="str">
        <f>IF(VLOOKUP(D109,Couleurs!A:B,2) = 0, "[" &amp; D109 &amp; "]",VLOOKUP(D109,Couleurs!A:B,2))</f>
        <v>SANGRIA</v>
      </c>
      <c r="F109" s="1" t="s">
        <v>3827</v>
      </c>
      <c r="G109">
        <v>4</v>
      </c>
      <c r="H109" t="s">
        <v>431</v>
      </c>
      <c r="I109" t="s">
        <v>3731</v>
      </c>
      <c r="J109">
        <f t="shared" si="2"/>
        <v>47.52</v>
      </c>
      <c r="K109" t="b">
        <f t="shared" si="3"/>
        <v>1</v>
      </c>
      <c r="L109" s="21"/>
      <c r="M109" s="21"/>
    </row>
    <row r="110" spans="1:13">
      <c r="A110" s="21"/>
      <c r="B110">
        <v>103</v>
      </c>
      <c r="C110" t="s">
        <v>15</v>
      </c>
      <c r="D110">
        <v>347</v>
      </c>
      <c r="E110" t="str">
        <f>IF(VLOOKUP(D110,Couleurs!A:B,2) = 0, "[" &amp; D110 &amp; "]",VLOOKUP(D110,Couleurs!A:B,2))</f>
        <v>[347]</v>
      </c>
      <c r="F110" s="1" t="s">
        <v>3829</v>
      </c>
      <c r="G110">
        <v>2</v>
      </c>
      <c r="H110" t="s">
        <v>3828</v>
      </c>
      <c r="I110" t="s">
        <v>3830</v>
      </c>
      <c r="J110">
        <f t="shared" si="2"/>
        <v>19.559999999999999</v>
      </c>
      <c r="K110" t="b">
        <f t="shared" si="3"/>
        <v>1</v>
      </c>
      <c r="L110" s="21"/>
      <c r="M110" s="21"/>
    </row>
    <row r="111" spans="1:13">
      <c r="A111" s="21"/>
      <c r="B111">
        <v>104</v>
      </c>
      <c r="C111" t="s">
        <v>2431</v>
      </c>
      <c r="D111">
        <v>55</v>
      </c>
      <c r="E111" t="str">
        <f>IF(VLOOKUP(D111,Couleurs!A:B,2) = 0, "[" &amp; D111 &amp; "]",VLOOKUP(D111,Couleurs!A:B,2))</f>
        <v>BLACK</v>
      </c>
      <c r="F111" s="1" t="s">
        <v>3831</v>
      </c>
      <c r="G111">
        <v>2</v>
      </c>
      <c r="H111" t="s">
        <v>431</v>
      </c>
      <c r="I111" t="s">
        <v>442</v>
      </c>
      <c r="J111">
        <f t="shared" si="2"/>
        <v>23.76</v>
      </c>
      <c r="K111" t="b">
        <f t="shared" si="3"/>
        <v>1</v>
      </c>
      <c r="L111" s="21"/>
      <c r="M111" s="21"/>
    </row>
    <row r="112" spans="1:13">
      <c r="A112" s="21"/>
      <c r="B112">
        <v>105</v>
      </c>
      <c r="C112" t="s">
        <v>26</v>
      </c>
      <c r="D112">
        <v>38</v>
      </c>
      <c r="E112" t="str">
        <f>IF(VLOOKUP(D112,Couleurs!A:B,2) = 0, "[" &amp; D112 &amp; "]",VLOOKUP(D112,Couleurs!A:B,2))</f>
        <v>[38]</v>
      </c>
      <c r="F112" s="1" t="s">
        <v>3832</v>
      </c>
      <c r="G112">
        <v>3</v>
      </c>
      <c r="H112" t="s">
        <v>428</v>
      </c>
      <c r="I112" t="s">
        <v>433</v>
      </c>
      <c r="J112">
        <f t="shared" si="2"/>
        <v>43.2</v>
      </c>
      <c r="K112" t="b">
        <f t="shared" si="3"/>
        <v>1</v>
      </c>
      <c r="L112" s="21"/>
      <c r="M112" s="21"/>
    </row>
    <row r="113" spans="1:13">
      <c r="A113" s="21"/>
      <c r="B113">
        <v>106</v>
      </c>
      <c r="C113" t="s">
        <v>2433</v>
      </c>
      <c r="D113">
        <v>72</v>
      </c>
      <c r="E113" t="str">
        <f>IF(VLOOKUP(D113,Couleurs!A:B,2) = 0, "[" &amp; D113 &amp; "]",VLOOKUP(D113,Couleurs!A:B,2))</f>
        <v>[72]</v>
      </c>
      <c r="F113" s="1" t="s">
        <v>3833</v>
      </c>
      <c r="G113">
        <v>2</v>
      </c>
      <c r="H113" t="s">
        <v>3704</v>
      </c>
      <c r="I113" t="s">
        <v>3706</v>
      </c>
      <c r="J113">
        <f t="shared" si="2"/>
        <v>25.44</v>
      </c>
      <c r="K113" t="b">
        <f t="shared" si="3"/>
        <v>1</v>
      </c>
      <c r="L113" s="21"/>
      <c r="M113" s="21"/>
    </row>
    <row r="114" spans="1:13">
      <c r="A114" s="21"/>
      <c r="B114">
        <v>107</v>
      </c>
      <c r="C114" t="s">
        <v>23</v>
      </c>
      <c r="D114">
        <v>17</v>
      </c>
      <c r="E114" t="str">
        <f>IF(VLOOKUP(D114,Couleurs!A:B,2) = 0, "[" &amp; D114 &amp; "]",VLOOKUP(D114,Couleurs!A:B,2))</f>
        <v>NAVY BLUE</v>
      </c>
      <c r="F114" s="1" t="s">
        <v>3834</v>
      </c>
      <c r="G114">
        <v>1</v>
      </c>
      <c r="H114" t="s">
        <v>3682</v>
      </c>
      <c r="I114" t="s">
        <v>3682</v>
      </c>
      <c r="J114">
        <f t="shared" si="2"/>
        <v>13.08</v>
      </c>
      <c r="K114" t="b">
        <f t="shared" si="3"/>
        <v>1</v>
      </c>
      <c r="L114" s="21"/>
      <c r="M114" s="21"/>
    </row>
    <row r="115" spans="1:13">
      <c r="A115" s="21"/>
      <c r="B115">
        <v>108</v>
      </c>
      <c r="C115" t="s">
        <v>25</v>
      </c>
      <c r="D115">
        <v>26</v>
      </c>
      <c r="E115" t="str">
        <f>IF(VLOOKUP(D115,Couleurs!A:B,2) = 0, "[" &amp; D115 &amp; "]",VLOOKUP(D115,Couleurs!A:B,2))</f>
        <v>[26]</v>
      </c>
      <c r="F115" s="1" t="s">
        <v>3835</v>
      </c>
      <c r="G115">
        <v>2</v>
      </c>
      <c r="H115" t="s">
        <v>437</v>
      </c>
      <c r="I115" t="s">
        <v>435</v>
      </c>
      <c r="J115">
        <f t="shared" si="2"/>
        <v>25.2</v>
      </c>
      <c r="K115" t="b">
        <f t="shared" si="3"/>
        <v>1</v>
      </c>
      <c r="L115" s="21"/>
      <c r="M115" s="21"/>
    </row>
    <row r="116" spans="1:13">
      <c r="A116" s="21"/>
      <c r="B116">
        <v>109</v>
      </c>
      <c r="C116" t="s">
        <v>0</v>
      </c>
      <c r="D116">
        <v>347</v>
      </c>
      <c r="E116" t="str">
        <f>IF(VLOOKUP(D116,Couleurs!A:B,2) = 0, "[" &amp; D116 &amp; "]",VLOOKUP(D116,Couleurs!A:B,2))</f>
        <v>[347]</v>
      </c>
      <c r="F116" s="1" t="s">
        <v>3836</v>
      </c>
      <c r="G116">
        <v>2</v>
      </c>
      <c r="H116" t="s">
        <v>3685</v>
      </c>
      <c r="I116" t="s">
        <v>432</v>
      </c>
      <c r="J116">
        <f t="shared" si="2"/>
        <v>15.6</v>
      </c>
      <c r="K116" t="b">
        <f t="shared" si="3"/>
        <v>1</v>
      </c>
      <c r="L116" s="21"/>
      <c r="M116" s="21"/>
    </row>
    <row r="117" spans="1:13">
      <c r="A117" s="21"/>
      <c r="B117">
        <v>110</v>
      </c>
      <c r="C117" t="s">
        <v>15</v>
      </c>
      <c r="D117">
        <v>75</v>
      </c>
      <c r="E117" t="str">
        <f>IF(VLOOKUP(D117,Couleurs!A:B,2) = 0, "[" &amp; D117 &amp; "]",VLOOKUP(D117,Couleurs!A:B,2))</f>
        <v>[75]</v>
      </c>
      <c r="F117" s="1" t="s">
        <v>3837</v>
      </c>
      <c r="G117">
        <v>2</v>
      </c>
      <c r="H117" t="s">
        <v>3828</v>
      </c>
      <c r="I117" t="s">
        <v>3830</v>
      </c>
      <c r="J117">
        <f t="shared" si="2"/>
        <v>19.559999999999999</v>
      </c>
      <c r="K117" t="b">
        <f t="shared" si="3"/>
        <v>1</v>
      </c>
      <c r="L117" s="21"/>
      <c r="M117" s="21"/>
    </row>
    <row r="118" spans="1:13">
      <c r="A118" s="21"/>
      <c r="B118">
        <v>111</v>
      </c>
      <c r="C118" t="s">
        <v>6</v>
      </c>
      <c r="D118">
        <v>55</v>
      </c>
      <c r="E118" t="str">
        <f>IF(VLOOKUP(D118,Couleurs!A:B,2) = 0, "[" &amp; D118 &amp; "]",VLOOKUP(D118,Couleurs!A:B,2))</f>
        <v>BLACK</v>
      </c>
      <c r="F118" s="1" t="s">
        <v>3838</v>
      </c>
      <c r="G118">
        <v>2</v>
      </c>
      <c r="H118" t="s">
        <v>3704</v>
      </c>
      <c r="I118" t="s">
        <v>3706</v>
      </c>
      <c r="J118">
        <f t="shared" si="2"/>
        <v>25.44</v>
      </c>
      <c r="K118" t="b">
        <f t="shared" si="3"/>
        <v>1</v>
      </c>
      <c r="L118" s="21"/>
      <c r="M118" s="21"/>
    </row>
    <row r="119" spans="1:13">
      <c r="A119" s="21"/>
      <c r="B119">
        <v>112</v>
      </c>
      <c r="C119" t="s">
        <v>34</v>
      </c>
      <c r="D119">
        <v>75</v>
      </c>
      <c r="E119" t="str">
        <f>IF(VLOOKUP(D119,Couleurs!A:B,2) = 0, "[" &amp; D119 &amp; "]",VLOOKUP(D119,Couleurs!A:B,2))</f>
        <v>[75]</v>
      </c>
      <c r="F119" s="1" t="s">
        <v>3839</v>
      </c>
      <c r="G119">
        <v>2</v>
      </c>
      <c r="H119" t="s">
        <v>3698</v>
      </c>
      <c r="I119" t="s">
        <v>3700</v>
      </c>
      <c r="J119">
        <f t="shared" si="2"/>
        <v>22.08</v>
      </c>
      <c r="K119" t="b">
        <f t="shared" si="3"/>
        <v>1</v>
      </c>
      <c r="L119" s="21"/>
      <c r="M119" s="21"/>
    </row>
    <row r="120" spans="1:13">
      <c r="A120" s="21"/>
      <c r="B120">
        <v>113</v>
      </c>
      <c r="C120" t="s">
        <v>33</v>
      </c>
      <c r="D120">
        <v>75</v>
      </c>
      <c r="E120" t="str">
        <f>IF(VLOOKUP(D120,Couleurs!A:B,2) = 0, "[" &amp; D120 &amp; "]",VLOOKUP(D120,Couleurs!A:B,2))</f>
        <v>[75]</v>
      </c>
      <c r="F120" s="1" t="s">
        <v>3840</v>
      </c>
      <c r="G120">
        <v>6</v>
      </c>
      <c r="H120">
        <v>3</v>
      </c>
      <c r="I120">
        <v>18</v>
      </c>
      <c r="J120">
        <f t="shared" si="2"/>
        <v>18</v>
      </c>
      <c r="K120" t="b">
        <f t="shared" si="3"/>
        <v>1</v>
      </c>
      <c r="L120" s="21"/>
      <c r="M120" s="21"/>
    </row>
    <row r="121" spans="1:13">
      <c r="A121" s="21"/>
      <c r="B121">
        <v>114</v>
      </c>
      <c r="C121" t="s">
        <v>19</v>
      </c>
      <c r="D121">
        <v>371</v>
      </c>
      <c r="E121" t="str">
        <f>IF(VLOOKUP(D121,Couleurs!A:B,2) = 0, "[" &amp; D121 &amp; "]",VLOOKUP(D121,Couleurs!A:B,2))</f>
        <v>MILK</v>
      </c>
      <c r="F121" s="1" t="s">
        <v>3791</v>
      </c>
      <c r="G121">
        <v>3</v>
      </c>
      <c r="H121" t="s">
        <v>3683</v>
      </c>
      <c r="I121" t="s">
        <v>436</v>
      </c>
      <c r="J121">
        <f t="shared" si="2"/>
        <v>28.799999999999997</v>
      </c>
      <c r="K121" t="b">
        <f t="shared" si="3"/>
        <v>1</v>
      </c>
      <c r="L121" s="21"/>
      <c r="M121" s="21"/>
    </row>
    <row r="122" spans="1:13">
      <c r="A122" s="21"/>
      <c r="B122">
        <v>115</v>
      </c>
      <c r="C122" t="s">
        <v>21</v>
      </c>
      <c r="D122">
        <v>347</v>
      </c>
      <c r="E122" t="str">
        <f>IF(VLOOKUP(D122,Couleurs!A:B,2) = 0, "[" &amp; D122 &amp; "]",VLOOKUP(D122,Couleurs!A:B,2))</f>
        <v>[347]</v>
      </c>
      <c r="F122" s="1" t="s">
        <v>3792</v>
      </c>
      <c r="G122">
        <v>4</v>
      </c>
      <c r="H122" t="s">
        <v>428</v>
      </c>
      <c r="I122" t="s">
        <v>3793</v>
      </c>
      <c r="J122">
        <f t="shared" si="2"/>
        <v>57.6</v>
      </c>
      <c r="K122" t="b">
        <f t="shared" si="3"/>
        <v>1</v>
      </c>
      <c r="L122" s="21"/>
      <c r="M122" s="21"/>
    </row>
    <row r="123" spans="1:13">
      <c r="A123" s="21"/>
      <c r="B123">
        <v>116</v>
      </c>
      <c r="C123" t="s">
        <v>2425</v>
      </c>
      <c r="D123">
        <v>76</v>
      </c>
      <c r="E123" t="str">
        <f>IF(VLOOKUP(D123,Couleurs!A:B,2) = 0, "[" &amp; D123 &amp; "]",VLOOKUP(D123,Couleurs!A:B,2))</f>
        <v>[76]</v>
      </c>
      <c r="F123" s="1" t="s">
        <v>3794</v>
      </c>
      <c r="G123">
        <v>2</v>
      </c>
      <c r="H123" t="s">
        <v>3704</v>
      </c>
      <c r="I123" t="s">
        <v>3706</v>
      </c>
      <c r="J123">
        <f t="shared" si="2"/>
        <v>25.44</v>
      </c>
      <c r="K123" t="b">
        <f t="shared" si="3"/>
        <v>1</v>
      </c>
      <c r="L123" s="21"/>
      <c r="M123" s="21"/>
    </row>
    <row r="124" spans="1:13">
      <c r="A124" s="21"/>
      <c r="B124">
        <v>117</v>
      </c>
      <c r="C124" t="s">
        <v>40</v>
      </c>
      <c r="D124">
        <v>8</v>
      </c>
      <c r="E124" t="str">
        <f>IF(VLOOKUP(D124,Couleurs!A:B,2) = 0, "[" &amp; D124 &amp; "]",VLOOKUP(D124,Couleurs!A:B,2))</f>
        <v>WHITE</v>
      </c>
      <c r="F124" s="1" t="s">
        <v>3795</v>
      </c>
      <c r="G124">
        <v>2</v>
      </c>
      <c r="H124" t="s">
        <v>3704</v>
      </c>
      <c r="I124" t="s">
        <v>3706</v>
      </c>
      <c r="J124">
        <f t="shared" si="2"/>
        <v>25.44</v>
      </c>
      <c r="K124" t="b">
        <f t="shared" si="3"/>
        <v>1</v>
      </c>
      <c r="L124" s="21"/>
      <c r="M124" s="21"/>
    </row>
    <row r="125" spans="1:13">
      <c r="A125" s="21"/>
      <c r="B125">
        <v>118</v>
      </c>
      <c r="C125" t="s">
        <v>20</v>
      </c>
      <c r="D125">
        <v>55</v>
      </c>
      <c r="E125" t="str">
        <f>IF(VLOOKUP(D125,Couleurs!A:B,2) = 0, "[" &amp; D125 &amp; "]",VLOOKUP(D125,Couleurs!A:B,2))</f>
        <v>BLACK</v>
      </c>
      <c r="F125" s="1" t="s">
        <v>3796</v>
      </c>
      <c r="G125">
        <v>10</v>
      </c>
      <c r="H125" t="s">
        <v>3683</v>
      </c>
      <c r="I125">
        <v>96</v>
      </c>
      <c r="J125">
        <f t="shared" si="2"/>
        <v>96</v>
      </c>
      <c r="K125" t="b">
        <f t="shared" si="3"/>
        <v>1</v>
      </c>
      <c r="L125" s="21"/>
      <c r="M125" s="21"/>
    </row>
    <row r="126" spans="1:13">
      <c r="A126" s="21"/>
      <c r="B126">
        <v>119</v>
      </c>
      <c r="C126" t="s">
        <v>61</v>
      </c>
      <c r="D126">
        <v>130</v>
      </c>
      <c r="E126" t="str">
        <f>IF(VLOOKUP(D126,Couleurs!A:B,2) = 0, "[" &amp; D126 &amp; "]",VLOOKUP(D126,Couleurs!A:B,2))</f>
        <v>[130]</v>
      </c>
      <c r="F126" s="1" t="s">
        <v>3797</v>
      </c>
      <c r="G126">
        <v>3</v>
      </c>
      <c r="H126">
        <v>9</v>
      </c>
      <c r="I126">
        <v>27</v>
      </c>
      <c r="J126">
        <f t="shared" si="2"/>
        <v>27</v>
      </c>
      <c r="K126" t="b">
        <f t="shared" si="3"/>
        <v>1</v>
      </c>
      <c r="L126" s="21"/>
      <c r="M126" s="21"/>
    </row>
    <row r="127" spans="1:13">
      <c r="A127" s="21"/>
      <c r="B127">
        <v>120</v>
      </c>
      <c r="C127" t="s">
        <v>57</v>
      </c>
      <c r="D127">
        <v>498</v>
      </c>
      <c r="E127" t="str">
        <f>IF(VLOOKUP(D127,Couleurs!A:B,2) = 0, "[" &amp; D127 &amp; "]",VLOOKUP(D127,Couleurs!A:B,2))</f>
        <v>[498]</v>
      </c>
      <c r="F127" s="1" t="s">
        <v>3798</v>
      </c>
      <c r="G127">
        <v>3</v>
      </c>
      <c r="H127" t="s">
        <v>3767</v>
      </c>
      <c r="I127" t="s">
        <v>3769</v>
      </c>
      <c r="J127">
        <f t="shared" si="2"/>
        <v>56.88</v>
      </c>
      <c r="K127" t="b">
        <f t="shared" si="3"/>
        <v>1</v>
      </c>
      <c r="L127" s="21"/>
      <c r="M127" s="21"/>
    </row>
    <row r="128" spans="1:13">
      <c r="A128" s="21"/>
      <c r="B128">
        <v>121</v>
      </c>
      <c r="C128" t="s">
        <v>3799</v>
      </c>
      <c r="D128">
        <v>55</v>
      </c>
      <c r="E128" t="str">
        <f>IF(VLOOKUP(D128,Couleurs!A:B,2) = 0, "[" &amp; D128 &amp; "]",VLOOKUP(D128,Couleurs!A:B,2))</f>
        <v>BLACK</v>
      </c>
      <c r="F128" s="1" t="s">
        <v>3801</v>
      </c>
      <c r="G128">
        <v>8</v>
      </c>
      <c r="H128" t="s">
        <v>3800</v>
      </c>
      <c r="I128" t="s">
        <v>3793</v>
      </c>
      <c r="J128">
        <f t="shared" si="2"/>
        <v>57.6</v>
      </c>
      <c r="K128" t="b">
        <f t="shared" si="3"/>
        <v>1</v>
      </c>
      <c r="L128" s="21"/>
      <c r="M128" s="21"/>
    </row>
    <row r="129" spans="1:13">
      <c r="A129" s="21"/>
      <c r="B129">
        <v>122</v>
      </c>
      <c r="C129" t="s">
        <v>2471</v>
      </c>
      <c r="D129">
        <v>473</v>
      </c>
      <c r="E129" t="str">
        <f>IF(VLOOKUP(D129,Couleurs!A:B,2) = 0, "[" &amp; D129 &amp; "]",VLOOKUP(D129,Couleurs!A:B,2))</f>
        <v>[473]</v>
      </c>
      <c r="F129" s="1" t="s">
        <v>3802</v>
      </c>
      <c r="G129">
        <v>2</v>
      </c>
      <c r="H129" t="s">
        <v>3712</v>
      </c>
      <c r="I129" t="s">
        <v>3714</v>
      </c>
      <c r="J129">
        <f t="shared" si="2"/>
        <v>36.24</v>
      </c>
      <c r="K129" t="b">
        <f t="shared" si="3"/>
        <v>1</v>
      </c>
      <c r="L129" s="21"/>
      <c r="M129" s="21"/>
    </row>
    <row r="130" spans="1:13">
      <c r="A130" s="21"/>
      <c r="B130">
        <v>123</v>
      </c>
      <c r="C130" t="s">
        <v>98</v>
      </c>
      <c r="D130">
        <v>61</v>
      </c>
      <c r="E130" t="str">
        <f>IF(VLOOKUP(D130,Couleurs!A:B,2) = 0, "[" &amp; D130 &amp; "]",VLOOKUP(D130,Couleurs!A:B,2))</f>
        <v>GOLD</v>
      </c>
      <c r="F130" s="1" t="s">
        <v>3804</v>
      </c>
      <c r="G130">
        <v>2</v>
      </c>
      <c r="H130" t="s">
        <v>3803</v>
      </c>
      <c r="I130" t="s">
        <v>444</v>
      </c>
      <c r="J130">
        <f t="shared" si="2"/>
        <v>36.479999999999997</v>
      </c>
      <c r="K130" t="b">
        <f t="shared" si="3"/>
        <v>1</v>
      </c>
      <c r="L130" s="21"/>
      <c r="M130" s="21"/>
    </row>
    <row r="131" spans="1:13">
      <c r="A131" s="21"/>
      <c r="B131">
        <v>124</v>
      </c>
      <c r="C131" t="s">
        <v>5</v>
      </c>
      <c r="D131">
        <v>75</v>
      </c>
      <c r="E131" t="str">
        <f>IF(VLOOKUP(D131,Couleurs!A:B,2) = 0, "[" &amp; D131 &amp; "]",VLOOKUP(D131,Couleurs!A:B,2))</f>
        <v>[75]</v>
      </c>
      <c r="F131" s="1" t="s">
        <v>3805</v>
      </c>
      <c r="G131">
        <v>2</v>
      </c>
      <c r="H131" t="s">
        <v>3753</v>
      </c>
      <c r="I131" t="s">
        <v>3806</v>
      </c>
      <c r="J131">
        <f t="shared" si="2"/>
        <v>18.72</v>
      </c>
      <c r="K131" t="b">
        <f t="shared" si="3"/>
        <v>1</v>
      </c>
      <c r="L131" s="21"/>
      <c r="M131" s="21"/>
    </row>
    <row r="132" spans="1:13">
      <c r="A132" s="21"/>
      <c r="B132">
        <v>125</v>
      </c>
      <c r="C132" t="s">
        <v>107</v>
      </c>
      <c r="D132">
        <v>480</v>
      </c>
      <c r="E132" t="str">
        <f>IF(VLOOKUP(D132,Couleurs!A:B,2) = 0, "[" &amp; D132 &amp; "]",VLOOKUP(D132,Couleurs!A:B,2))</f>
        <v>[480]</v>
      </c>
      <c r="F132" s="1" t="s">
        <v>3807</v>
      </c>
      <c r="G132">
        <v>2</v>
      </c>
      <c r="H132" t="s">
        <v>439</v>
      </c>
      <c r="I132" t="s">
        <v>440</v>
      </c>
      <c r="J132">
        <f t="shared" si="2"/>
        <v>21.6</v>
      </c>
      <c r="K132" t="b">
        <f t="shared" si="3"/>
        <v>1</v>
      </c>
      <c r="L132" s="21"/>
      <c r="M132" s="21"/>
    </row>
    <row r="133" spans="1:13">
      <c r="A133" s="21"/>
      <c r="B133">
        <v>126</v>
      </c>
      <c r="C133" t="s">
        <v>2414</v>
      </c>
      <c r="D133">
        <v>479</v>
      </c>
      <c r="E133" t="str">
        <f>IF(VLOOKUP(D133,Couleurs!A:B,2) = 0, "[" &amp; D133 &amp; "]",VLOOKUP(D133,Couleurs!A:B,2))</f>
        <v>[479]</v>
      </c>
      <c r="F133" s="1" t="s">
        <v>3809</v>
      </c>
      <c r="G133">
        <v>3</v>
      </c>
      <c r="H133" t="s">
        <v>3808</v>
      </c>
      <c r="I133" t="s">
        <v>3810</v>
      </c>
      <c r="J133">
        <f t="shared" ref="J133:J196" si="4">G133*H133</f>
        <v>57.96</v>
      </c>
      <c r="K133" t="b">
        <f t="shared" ref="K133:K196" si="5">(0+I133)=J133</f>
        <v>1</v>
      </c>
      <c r="L133" s="21"/>
      <c r="M133" s="21"/>
    </row>
    <row r="134" spans="1:13">
      <c r="A134" s="21"/>
      <c r="B134">
        <v>127</v>
      </c>
      <c r="C134" t="s">
        <v>21</v>
      </c>
      <c r="D134">
        <v>78</v>
      </c>
      <c r="E134" t="str">
        <f>IF(VLOOKUP(D134,Couleurs!A:B,2) = 0, "[" &amp; D134 &amp; "]",VLOOKUP(D134,Couleurs!A:B,2))</f>
        <v>SAND</v>
      </c>
      <c r="F134" s="1" t="s">
        <v>3811</v>
      </c>
      <c r="G134">
        <v>1</v>
      </c>
      <c r="H134" t="s">
        <v>428</v>
      </c>
      <c r="I134" t="s">
        <v>428</v>
      </c>
      <c r="J134">
        <f t="shared" si="4"/>
        <v>14.4</v>
      </c>
      <c r="K134" t="b">
        <f t="shared" si="5"/>
        <v>1</v>
      </c>
      <c r="L134" s="21"/>
      <c r="M134" s="21"/>
    </row>
    <row r="135" spans="1:13">
      <c r="A135" s="21"/>
      <c r="B135">
        <v>128</v>
      </c>
      <c r="C135" t="s">
        <v>66</v>
      </c>
      <c r="D135">
        <v>476</v>
      </c>
      <c r="E135" t="str">
        <f>IF(VLOOKUP(D135,Couleurs!A:B,2) = 0, "[" &amp; D135 &amp; "]",VLOOKUP(D135,Couleurs!A:B,2))</f>
        <v>[476]</v>
      </c>
      <c r="F135" s="1" t="s">
        <v>3812</v>
      </c>
      <c r="G135">
        <v>2</v>
      </c>
      <c r="H135" t="s">
        <v>428</v>
      </c>
      <c r="I135" t="s">
        <v>436</v>
      </c>
      <c r="J135">
        <f t="shared" si="4"/>
        <v>28.8</v>
      </c>
      <c r="K135" t="b">
        <f t="shared" si="5"/>
        <v>1</v>
      </c>
      <c r="L135" s="21"/>
      <c r="M135" s="21"/>
    </row>
    <row r="136" spans="1:13">
      <c r="A136" s="21"/>
      <c r="B136">
        <v>129</v>
      </c>
      <c r="C136" t="s">
        <v>49</v>
      </c>
      <c r="D136">
        <v>422</v>
      </c>
      <c r="E136" t="str">
        <f>IF(VLOOKUP(D136,Couleurs!A:B,2) = 0, "[" &amp; D136 &amp; "]",VLOOKUP(D136,Couleurs!A:B,2))</f>
        <v>SANGRIA</v>
      </c>
      <c r="F136" s="1" t="s">
        <v>3813</v>
      </c>
      <c r="G136">
        <v>3</v>
      </c>
      <c r="H136" t="s">
        <v>438</v>
      </c>
      <c r="I136" t="s">
        <v>2422</v>
      </c>
      <c r="J136">
        <f t="shared" si="4"/>
        <v>21.240000000000002</v>
      </c>
      <c r="K136" t="b">
        <f t="shared" si="5"/>
        <v>1</v>
      </c>
      <c r="L136" s="21"/>
      <c r="M136" s="21"/>
    </row>
    <row r="137" spans="1:13">
      <c r="A137" s="21"/>
      <c r="B137">
        <v>130</v>
      </c>
      <c r="C137" t="s">
        <v>25</v>
      </c>
      <c r="D137">
        <v>55</v>
      </c>
      <c r="E137" t="str">
        <f>IF(VLOOKUP(D137,Couleurs!A:B,2) = 0, "[" &amp; D137 &amp; "]",VLOOKUP(D137,Couleurs!A:B,2))</f>
        <v>BLACK</v>
      </c>
      <c r="F137" s="1" t="s">
        <v>3814</v>
      </c>
      <c r="G137">
        <v>2</v>
      </c>
      <c r="H137" t="s">
        <v>437</v>
      </c>
      <c r="I137" t="s">
        <v>435</v>
      </c>
      <c r="J137">
        <f t="shared" si="4"/>
        <v>25.2</v>
      </c>
      <c r="K137" t="b">
        <f t="shared" si="5"/>
        <v>1</v>
      </c>
      <c r="L137" s="21"/>
      <c r="M137" s="21"/>
    </row>
    <row r="138" spans="1:13">
      <c r="A138" s="21"/>
      <c r="B138">
        <v>131</v>
      </c>
      <c r="C138" t="s">
        <v>0</v>
      </c>
      <c r="D138">
        <v>130</v>
      </c>
      <c r="E138" t="str">
        <f>IF(VLOOKUP(D138,Couleurs!A:B,2) = 0, "[" &amp; D138 &amp; "]",VLOOKUP(D138,Couleurs!A:B,2))</f>
        <v>[130]</v>
      </c>
      <c r="F138" s="1" t="s">
        <v>3815</v>
      </c>
      <c r="G138">
        <v>3</v>
      </c>
      <c r="H138" t="s">
        <v>3685</v>
      </c>
      <c r="I138" t="s">
        <v>3686</v>
      </c>
      <c r="J138">
        <f t="shared" si="4"/>
        <v>23.4</v>
      </c>
      <c r="K138" t="b">
        <f t="shared" si="5"/>
        <v>1</v>
      </c>
      <c r="L138" s="21"/>
      <c r="M138" s="21"/>
    </row>
    <row r="139" spans="1:13">
      <c r="A139" s="21"/>
      <c r="B139">
        <v>132</v>
      </c>
      <c r="C139" t="s">
        <v>23</v>
      </c>
      <c r="D139">
        <v>158</v>
      </c>
      <c r="E139" t="str">
        <f>IF(VLOOKUP(D139,Couleurs!A:B,2) = 0, "[" &amp; D139 &amp; "]",VLOOKUP(D139,Couleurs!A:B,2))</f>
        <v>VOLCANO</v>
      </c>
      <c r="F139" s="1" t="s">
        <v>3816</v>
      </c>
      <c r="G139">
        <v>1</v>
      </c>
      <c r="H139" t="s">
        <v>3682</v>
      </c>
      <c r="I139" t="s">
        <v>3682</v>
      </c>
      <c r="J139">
        <f t="shared" si="4"/>
        <v>13.08</v>
      </c>
      <c r="K139" t="b">
        <f t="shared" si="5"/>
        <v>1</v>
      </c>
      <c r="L139" s="21"/>
      <c r="M139" s="21"/>
    </row>
    <row r="140" spans="1:13">
      <c r="A140" s="21"/>
      <c r="B140">
        <v>133</v>
      </c>
      <c r="C140" t="s">
        <v>32</v>
      </c>
      <c r="D140">
        <v>479</v>
      </c>
      <c r="E140" t="str">
        <f>IF(VLOOKUP(D140,Couleurs!A:B,2) = 0, "[" &amp; D140 &amp; "]",VLOOKUP(D140,Couleurs!A:B,2))</f>
        <v>[479]</v>
      </c>
      <c r="F140" s="1" t="s">
        <v>3726</v>
      </c>
      <c r="G140">
        <v>2</v>
      </c>
      <c r="H140" t="s">
        <v>441</v>
      </c>
      <c r="I140" t="s">
        <v>3817</v>
      </c>
      <c r="J140">
        <f t="shared" si="4"/>
        <v>9.1199999999999992</v>
      </c>
      <c r="K140" t="b">
        <f t="shared" si="5"/>
        <v>1</v>
      </c>
      <c r="L140" s="21"/>
      <c r="M140" s="21"/>
    </row>
    <row r="141" spans="1:13">
      <c r="A141" s="21"/>
      <c r="B141">
        <v>134</v>
      </c>
      <c r="C141" t="s">
        <v>2446</v>
      </c>
      <c r="D141">
        <v>36</v>
      </c>
      <c r="E141" t="str">
        <f>IF(VLOOKUP(D141,Couleurs!A:B,2) = 0, "[" &amp; D141 &amp; "]",VLOOKUP(D141,Couleurs!A:B,2))</f>
        <v>[36]</v>
      </c>
      <c r="F141" s="1" t="s">
        <v>3818</v>
      </c>
      <c r="G141">
        <v>2</v>
      </c>
      <c r="H141" t="s">
        <v>439</v>
      </c>
      <c r="I141" t="s">
        <v>440</v>
      </c>
      <c r="J141">
        <f t="shared" si="4"/>
        <v>21.6</v>
      </c>
      <c r="K141" t="b">
        <f t="shared" si="5"/>
        <v>1</v>
      </c>
      <c r="L141" s="21"/>
      <c r="M141" s="21"/>
    </row>
    <row r="142" spans="1:13">
      <c r="A142" s="21"/>
      <c r="B142">
        <v>135</v>
      </c>
      <c r="C142" t="s">
        <v>1</v>
      </c>
      <c r="D142">
        <v>221</v>
      </c>
      <c r="E142" t="str">
        <f>IF(VLOOKUP(D142,Couleurs!A:B,2) = 0, "[" &amp; D142 &amp; "]",VLOOKUP(D142,Couleurs!A:B,2))</f>
        <v>[221]</v>
      </c>
      <c r="F142" s="1" t="s">
        <v>3819</v>
      </c>
      <c r="G142">
        <v>6</v>
      </c>
      <c r="H142" t="s">
        <v>3704</v>
      </c>
      <c r="I142" t="s">
        <v>3820</v>
      </c>
      <c r="J142">
        <f t="shared" si="4"/>
        <v>76.320000000000007</v>
      </c>
      <c r="K142" t="b">
        <f t="shared" si="5"/>
        <v>1</v>
      </c>
      <c r="L142" s="21"/>
      <c r="M142" s="21"/>
    </row>
    <row r="143" spans="1:13">
      <c r="A143" s="21"/>
      <c r="B143">
        <v>136</v>
      </c>
      <c r="C143" t="s">
        <v>83</v>
      </c>
      <c r="D143">
        <v>347</v>
      </c>
      <c r="E143" t="str">
        <f>IF(VLOOKUP(D143,Couleurs!A:B,2) = 0, "[" &amp; D143 &amp; "]",VLOOKUP(D143,Couleurs!A:B,2))</f>
        <v>[347]</v>
      </c>
      <c r="F143" s="1" t="s">
        <v>3821</v>
      </c>
      <c r="G143">
        <v>3</v>
      </c>
      <c r="H143" t="s">
        <v>3786</v>
      </c>
      <c r="I143" t="s">
        <v>435</v>
      </c>
      <c r="J143">
        <f t="shared" si="4"/>
        <v>25.200000000000003</v>
      </c>
      <c r="K143" t="b">
        <f t="shared" si="5"/>
        <v>1</v>
      </c>
      <c r="L143" s="21"/>
      <c r="M143" s="21"/>
    </row>
    <row r="144" spans="1:13">
      <c r="A144" s="21"/>
      <c r="B144">
        <v>137</v>
      </c>
      <c r="C144" t="s">
        <v>69</v>
      </c>
      <c r="D144">
        <v>479</v>
      </c>
      <c r="E144" t="str">
        <f>IF(VLOOKUP(D144,Couleurs!A:B,2) = 0, "[" &amp; D144 &amp; "]",VLOOKUP(D144,Couleurs!A:B,2))</f>
        <v>[479]</v>
      </c>
      <c r="F144" s="1" t="s">
        <v>3822</v>
      </c>
      <c r="G144">
        <v>2</v>
      </c>
      <c r="H144" t="s">
        <v>3808</v>
      </c>
      <c r="I144" t="s">
        <v>3823</v>
      </c>
      <c r="J144">
        <f t="shared" si="4"/>
        <v>38.64</v>
      </c>
      <c r="K144" t="b">
        <f t="shared" si="5"/>
        <v>1</v>
      </c>
      <c r="L144" s="21"/>
      <c r="M144" s="21"/>
    </row>
    <row r="145" spans="1:13">
      <c r="A145" s="21"/>
      <c r="B145">
        <v>138</v>
      </c>
      <c r="C145" t="s">
        <v>26</v>
      </c>
      <c r="D145">
        <v>71</v>
      </c>
      <c r="E145" t="str">
        <f>IF(VLOOKUP(D145,Couleurs!A:B,2) = 0, "[" &amp; D145 &amp; "]",VLOOKUP(D145,Couleurs!A:B,2))</f>
        <v>ROCK</v>
      </c>
      <c r="F145" s="1" t="s">
        <v>3824</v>
      </c>
      <c r="G145">
        <v>1</v>
      </c>
      <c r="H145" t="s">
        <v>428</v>
      </c>
      <c r="I145" t="s">
        <v>428</v>
      </c>
      <c r="J145">
        <f t="shared" si="4"/>
        <v>14.4</v>
      </c>
      <c r="K145" t="b">
        <f t="shared" si="5"/>
        <v>1</v>
      </c>
      <c r="L145" s="21"/>
      <c r="M145" s="21"/>
    </row>
    <row r="146" spans="1:13">
      <c r="A146" s="21"/>
      <c r="B146">
        <v>139</v>
      </c>
      <c r="C146" t="s">
        <v>4</v>
      </c>
      <c r="D146">
        <v>371</v>
      </c>
      <c r="E146" t="str">
        <f>IF(VLOOKUP(D146,Couleurs!A:B,2) = 0, "[" &amp; D146 &amp; "]",VLOOKUP(D146,Couleurs!A:B,2))</f>
        <v>MILK</v>
      </c>
      <c r="F146" s="1" t="s">
        <v>3825</v>
      </c>
      <c r="G146">
        <v>2</v>
      </c>
      <c r="H146" t="s">
        <v>3712</v>
      </c>
      <c r="I146" t="s">
        <v>3714</v>
      </c>
      <c r="J146">
        <f t="shared" si="4"/>
        <v>36.24</v>
      </c>
      <c r="K146" t="b">
        <f t="shared" si="5"/>
        <v>1</v>
      </c>
      <c r="L146" s="21"/>
      <c r="M146" s="21"/>
    </row>
    <row r="147" spans="1:13">
      <c r="A147" s="21"/>
      <c r="B147">
        <v>140</v>
      </c>
      <c r="C147" t="s">
        <v>2427</v>
      </c>
      <c r="D147">
        <v>347</v>
      </c>
      <c r="E147" t="str">
        <f>IF(VLOOKUP(D147,Couleurs!A:B,2) = 0, "[" &amp; D147 &amp; "]",VLOOKUP(D147,Couleurs!A:B,2))</f>
        <v>[347]</v>
      </c>
      <c r="F147" s="1" t="s">
        <v>3841</v>
      </c>
      <c r="G147">
        <v>3</v>
      </c>
      <c r="H147" t="s">
        <v>3692</v>
      </c>
      <c r="I147" t="s">
        <v>3693</v>
      </c>
      <c r="J147">
        <f t="shared" si="4"/>
        <v>19.799999999999997</v>
      </c>
      <c r="K147" t="b">
        <f t="shared" si="5"/>
        <v>1</v>
      </c>
      <c r="L147" s="21"/>
      <c r="M147" s="21"/>
    </row>
    <row r="148" spans="1:13">
      <c r="A148" s="21"/>
      <c r="B148">
        <v>141</v>
      </c>
      <c r="C148" t="s">
        <v>95</v>
      </c>
      <c r="D148">
        <v>254</v>
      </c>
      <c r="E148" t="str">
        <f>IF(VLOOKUP(D148,Couleurs!A:B,2) = 0, "[" &amp; D148 &amp; "]",VLOOKUP(D148,Couleurs!A:B,2))</f>
        <v>[254]</v>
      </c>
      <c r="F148" s="1" t="s">
        <v>3842</v>
      </c>
      <c r="G148">
        <v>3</v>
      </c>
      <c r="H148" t="s">
        <v>448</v>
      </c>
      <c r="I148" t="s">
        <v>3843</v>
      </c>
      <c r="J148">
        <f t="shared" si="4"/>
        <v>32.04</v>
      </c>
      <c r="K148" t="b">
        <f t="shared" si="5"/>
        <v>1</v>
      </c>
      <c r="L148" s="21"/>
      <c r="M148" s="21"/>
    </row>
    <row r="149" spans="1:13">
      <c r="A149" s="21"/>
      <c r="B149">
        <v>142</v>
      </c>
      <c r="C149" t="s">
        <v>60</v>
      </c>
      <c r="D149">
        <v>130</v>
      </c>
      <c r="E149" t="str">
        <f>IF(VLOOKUP(D149,Couleurs!A:B,2) = 0, "[" &amp; D149 &amp; "]",VLOOKUP(D149,Couleurs!A:B,2))</f>
        <v>[130]</v>
      </c>
      <c r="F149" s="1" t="s">
        <v>3844</v>
      </c>
      <c r="G149">
        <v>2</v>
      </c>
      <c r="H149" t="s">
        <v>3712</v>
      </c>
      <c r="I149" t="s">
        <v>3714</v>
      </c>
      <c r="J149">
        <f t="shared" si="4"/>
        <v>36.24</v>
      </c>
      <c r="K149" t="b">
        <f t="shared" si="5"/>
        <v>1</v>
      </c>
      <c r="L149" s="21"/>
      <c r="M149" s="21"/>
    </row>
    <row r="150" spans="1:13">
      <c r="A150" s="21"/>
      <c r="B150">
        <v>143</v>
      </c>
      <c r="C150" t="s">
        <v>1</v>
      </c>
      <c r="D150">
        <v>17</v>
      </c>
      <c r="E150" t="str">
        <f>IF(VLOOKUP(D150,Couleurs!A:B,2) = 0, "[" &amp; D150 &amp; "]",VLOOKUP(D150,Couleurs!A:B,2))</f>
        <v>NAVY BLUE</v>
      </c>
      <c r="F150" s="1" t="s">
        <v>3845</v>
      </c>
      <c r="G150">
        <v>4</v>
      </c>
      <c r="H150" t="s">
        <v>3704</v>
      </c>
      <c r="I150" t="s">
        <v>3724</v>
      </c>
      <c r="J150">
        <f t="shared" si="4"/>
        <v>50.88</v>
      </c>
      <c r="K150" t="b">
        <f t="shared" si="5"/>
        <v>1</v>
      </c>
      <c r="L150" s="21"/>
      <c r="M150" s="21"/>
    </row>
    <row r="151" spans="1:13">
      <c r="A151" s="21"/>
      <c r="B151">
        <v>144</v>
      </c>
      <c r="C151" t="s">
        <v>1</v>
      </c>
      <c r="D151">
        <v>483</v>
      </c>
      <c r="E151" t="str">
        <f>IF(VLOOKUP(D151,Couleurs!A:B,2) = 0, "[" &amp; D151 &amp; "]",VLOOKUP(D151,Couleurs!A:B,2))</f>
        <v>[483]</v>
      </c>
      <c r="F151" s="1" t="s">
        <v>3846</v>
      </c>
      <c r="G151">
        <v>4</v>
      </c>
      <c r="H151" t="s">
        <v>3704</v>
      </c>
      <c r="I151" t="s">
        <v>3724</v>
      </c>
      <c r="J151">
        <f t="shared" si="4"/>
        <v>50.88</v>
      </c>
      <c r="K151" t="b">
        <f t="shared" si="5"/>
        <v>1</v>
      </c>
      <c r="L151" s="21"/>
      <c r="M151" s="21"/>
    </row>
    <row r="152" spans="1:13">
      <c r="A152" s="21"/>
      <c r="B152">
        <v>145</v>
      </c>
      <c r="C152" t="s">
        <v>26</v>
      </c>
      <c r="D152">
        <v>75</v>
      </c>
      <c r="E152" t="str">
        <f>IF(VLOOKUP(D152,Couleurs!A:B,2) = 0, "[" &amp; D152 &amp; "]",VLOOKUP(D152,Couleurs!A:B,2))</f>
        <v>[75]</v>
      </c>
      <c r="F152" s="1" t="s">
        <v>3847</v>
      </c>
      <c r="G152">
        <v>3</v>
      </c>
      <c r="H152" t="s">
        <v>428</v>
      </c>
      <c r="I152" t="s">
        <v>433</v>
      </c>
      <c r="J152">
        <f t="shared" si="4"/>
        <v>43.2</v>
      </c>
      <c r="K152" t="b">
        <f t="shared" si="5"/>
        <v>1</v>
      </c>
      <c r="L152" s="21"/>
      <c r="M152" s="21"/>
    </row>
    <row r="153" spans="1:13">
      <c r="A153" s="21"/>
      <c r="B153">
        <v>146</v>
      </c>
      <c r="C153" t="s">
        <v>39</v>
      </c>
      <c r="D153">
        <v>227</v>
      </c>
      <c r="E153" t="str">
        <f>IF(VLOOKUP(D153,Couleurs!A:B,2) = 0, "[" &amp; D153 &amp; "]",VLOOKUP(D153,Couleurs!A:B,2))</f>
        <v>[227]</v>
      </c>
      <c r="F153" s="1" t="s">
        <v>3848</v>
      </c>
      <c r="G153">
        <v>2</v>
      </c>
      <c r="H153" t="s">
        <v>439</v>
      </c>
      <c r="I153" t="s">
        <v>440</v>
      </c>
      <c r="J153">
        <f t="shared" si="4"/>
        <v>21.6</v>
      </c>
      <c r="K153" t="b">
        <f t="shared" si="5"/>
        <v>1</v>
      </c>
      <c r="L153" s="21"/>
      <c r="M153" s="21"/>
    </row>
    <row r="154" spans="1:13">
      <c r="A154" s="21"/>
      <c r="B154">
        <v>147</v>
      </c>
      <c r="C154" t="s">
        <v>43</v>
      </c>
      <c r="D154">
        <v>408</v>
      </c>
      <c r="E154" t="str">
        <f>IF(VLOOKUP(D154,Couleurs!A:B,2) = 0, "[" &amp; D154 &amp; "]",VLOOKUP(D154,Couleurs!A:B,2))</f>
        <v>[408]</v>
      </c>
      <c r="F154" s="1" t="s">
        <v>3850</v>
      </c>
      <c r="G154">
        <v>2</v>
      </c>
      <c r="H154" t="s">
        <v>3849</v>
      </c>
      <c r="I154" t="s">
        <v>3851</v>
      </c>
      <c r="J154">
        <f t="shared" si="4"/>
        <v>59.76</v>
      </c>
      <c r="K154" t="b">
        <f t="shared" si="5"/>
        <v>1</v>
      </c>
      <c r="L154" s="21"/>
      <c r="M154" s="21"/>
    </row>
    <row r="155" spans="1:13">
      <c r="A155" s="21"/>
      <c r="B155">
        <v>148</v>
      </c>
      <c r="C155" t="s">
        <v>82</v>
      </c>
      <c r="D155">
        <v>55</v>
      </c>
      <c r="E155" t="str">
        <f>IF(VLOOKUP(D155,Couleurs!A:B,2) = 0, "[" &amp; D155 &amp; "]",VLOOKUP(D155,Couleurs!A:B,2))</f>
        <v>BLACK</v>
      </c>
      <c r="F155" s="1" t="s">
        <v>3852</v>
      </c>
      <c r="G155">
        <v>3</v>
      </c>
      <c r="H155" t="s">
        <v>3786</v>
      </c>
      <c r="I155" t="s">
        <v>435</v>
      </c>
      <c r="J155">
        <f t="shared" si="4"/>
        <v>25.200000000000003</v>
      </c>
      <c r="K155" t="b">
        <f t="shared" si="5"/>
        <v>1</v>
      </c>
      <c r="L155" s="21"/>
      <c r="M155" s="21"/>
    </row>
    <row r="156" spans="1:13">
      <c r="A156" s="21"/>
      <c r="B156">
        <v>149</v>
      </c>
      <c r="C156" t="s">
        <v>2429</v>
      </c>
      <c r="D156">
        <v>347</v>
      </c>
      <c r="E156" t="str">
        <f>IF(VLOOKUP(D156,Couleurs!A:B,2) = 0, "[" &amp; D156 &amp; "]",VLOOKUP(D156,Couleurs!A:B,2))</f>
        <v>[347]</v>
      </c>
      <c r="F156" s="1" t="s">
        <v>3854</v>
      </c>
      <c r="G156">
        <v>2</v>
      </c>
      <c r="H156" t="s">
        <v>3853</v>
      </c>
      <c r="I156" t="s">
        <v>3855</v>
      </c>
      <c r="J156">
        <f t="shared" si="4"/>
        <v>27.84</v>
      </c>
      <c r="K156" t="b">
        <f t="shared" si="5"/>
        <v>1</v>
      </c>
      <c r="L156" s="21"/>
      <c r="M156" s="21"/>
    </row>
    <row r="157" spans="1:13">
      <c r="A157" s="21"/>
      <c r="B157">
        <v>150</v>
      </c>
      <c r="C157" t="s">
        <v>73</v>
      </c>
      <c r="D157">
        <v>75</v>
      </c>
      <c r="E157" t="str">
        <f>IF(VLOOKUP(D157,Couleurs!A:B,2) = 0, "[" &amp; D157 &amp; "]",VLOOKUP(D157,Couleurs!A:B,2))</f>
        <v>[75]</v>
      </c>
      <c r="F157" s="1" t="s">
        <v>3856</v>
      </c>
      <c r="G157">
        <v>3</v>
      </c>
      <c r="H157" t="s">
        <v>447</v>
      </c>
      <c r="I157" t="s">
        <v>2454</v>
      </c>
      <c r="J157">
        <f t="shared" si="4"/>
        <v>65.88</v>
      </c>
      <c r="K157" t="b">
        <f t="shared" si="5"/>
        <v>1</v>
      </c>
      <c r="L157" s="21"/>
      <c r="M157" s="21"/>
    </row>
    <row r="158" spans="1:13">
      <c r="A158" s="21"/>
      <c r="B158">
        <v>151</v>
      </c>
      <c r="C158" t="s">
        <v>2418</v>
      </c>
      <c r="D158">
        <v>55</v>
      </c>
      <c r="E158" t="str">
        <f>IF(VLOOKUP(D158,Couleurs!A:B,2) = 0, "[" &amp; D158 &amp; "]",VLOOKUP(D158,Couleurs!A:B,2))</f>
        <v>BLACK</v>
      </c>
      <c r="F158" s="1" t="s">
        <v>3857</v>
      </c>
      <c r="G158">
        <v>2</v>
      </c>
      <c r="H158" t="s">
        <v>431</v>
      </c>
      <c r="I158" t="s">
        <v>442</v>
      </c>
      <c r="J158">
        <f t="shared" si="4"/>
        <v>23.76</v>
      </c>
      <c r="K158" t="b">
        <f t="shared" si="5"/>
        <v>1</v>
      </c>
      <c r="L158" s="21"/>
      <c r="M158" s="21"/>
    </row>
    <row r="159" spans="1:13">
      <c r="A159" s="21"/>
      <c r="B159">
        <v>152</v>
      </c>
      <c r="C159" t="s">
        <v>51</v>
      </c>
      <c r="D159">
        <v>36</v>
      </c>
      <c r="E159" t="str">
        <f>IF(VLOOKUP(D159,Couleurs!A:B,2) = 0, "[" &amp; D159 &amp; "]",VLOOKUP(D159,Couleurs!A:B,2))</f>
        <v>[36]</v>
      </c>
      <c r="F159" s="1" t="s">
        <v>3858</v>
      </c>
      <c r="G159">
        <v>8</v>
      </c>
      <c r="H159" t="s">
        <v>441</v>
      </c>
      <c r="I159" t="s">
        <v>444</v>
      </c>
      <c r="J159">
        <f t="shared" si="4"/>
        <v>36.479999999999997</v>
      </c>
      <c r="K159" t="b">
        <f t="shared" si="5"/>
        <v>1</v>
      </c>
      <c r="L159" s="21"/>
      <c r="M159" s="21"/>
    </row>
    <row r="160" spans="1:13">
      <c r="A160" s="21"/>
      <c r="B160">
        <v>153</v>
      </c>
      <c r="C160" t="s">
        <v>26</v>
      </c>
      <c r="D160">
        <v>76</v>
      </c>
      <c r="E160" t="str">
        <f>IF(VLOOKUP(D160,Couleurs!A:B,2) = 0, "[" &amp; D160 &amp; "]",VLOOKUP(D160,Couleurs!A:B,2))</f>
        <v>[76]</v>
      </c>
      <c r="F160" s="1" t="s">
        <v>3859</v>
      </c>
      <c r="G160">
        <v>3</v>
      </c>
      <c r="H160" t="s">
        <v>428</v>
      </c>
      <c r="I160" t="s">
        <v>433</v>
      </c>
      <c r="J160">
        <f t="shared" si="4"/>
        <v>43.2</v>
      </c>
      <c r="K160" t="b">
        <f t="shared" si="5"/>
        <v>1</v>
      </c>
      <c r="L160" s="21"/>
      <c r="M160" s="21"/>
    </row>
    <row r="161" spans="1:13">
      <c r="A161" s="21"/>
      <c r="B161">
        <v>154</v>
      </c>
      <c r="C161" t="s">
        <v>87</v>
      </c>
      <c r="D161">
        <v>474</v>
      </c>
      <c r="E161" t="str">
        <f>IF(VLOOKUP(D161,Couleurs!A:B,2) = 0, "[" &amp; D161 &amp; "]",VLOOKUP(D161,Couleurs!A:B,2))</f>
        <v>[474]</v>
      </c>
      <c r="F161" s="1" t="s">
        <v>3860</v>
      </c>
      <c r="G161">
        <v>2</v>
      </c>
      <c r="H161" t="s">
        <v>432</v>
      </c>
      <c r="I161" t="s">
        <v>434</v>
      </c>
      <c r="J161">
        <f t="shared" si="4"/>
        <v>31.2</v>
      </c>
      <c r="K161" t="b">
        <f t="shared" si="5"/>
        <v>1</v>
      </c>
      <c r="L161" s="21"/>
      <c r="M161" s="21"/>
    </row>
    <row r="162" spans="1:13">
      <c r="A162" s="21"/>
      <c r="B162">
        <v>155</v>
      </c>
      <c r="C162" t="s">
        <v>96</v>
      </c>
      <c r="D162">
        <v>215</v>
      </c>
      <c r="E162" t="str">
        <f>IF(VLOOKUP(D162,Couleurs!A:B,2) = 0, "[" &amp; D162 &amp; "]",VLOOKUP(D162,Couleurs!A:B,2))</f>
        <v>VOLCANO</v>
      </c>
      <c r="F162" s="1" t="s">
        <v>3862</v>
      </c>
      <c r="G162">
        <v>3</v>
      </c>
      <c r="H162" t="s">
        <v>3861</v>
      </c>
      <c r="I162" t="s">
        <v>3863</v>
      </c>
      <c r="J162">
        <f t="shared" si="4"/>
        <v>48.96</v>
      </c>
      <c r="K162" t="b">
        <f t="shared" si="5"/>
        <v>1</v>
      </c>
      <c r="L162" s="21"/>
      <c r="M162" s="21"/>
    </row>
    <row r="163" spans="1:13">
      <c r="A163" s="21"/>
      <c r="B163">
        <v>156</v>
      </c>
      <c r="C163" t="s">
        <v>75</v>
      </c>
      <c r="D163">
        <v>55</v>
      </c>
      <c r="E163" t="str">
        <f>IF(VLOOKUP(D163,Couleurs!A:B,2) = 0, "[" &amp; D163 &amp; "]",VLOOKUP(D163,Couleurs!A:B,2))</f>
        <v>BLACK</v>
      </c>
      <c r="F163" s="1" t="s">
        <v>3864</v>
      </c>
      <c r="G163">
        <v>2</v>
      </c>
      <c r="H163" t="s">
        <v>432</v>
      </c>
      <c r="I163" t="s">
        <v>434</v>
      </c>
      <c r="J163">
        <f t="shared" si="4"/>
        <v>31.2</v>
      </c>
      <c r="K163" t="b">
        <f t="shared" si="5"/>
        <v>1</v>
      </c>
      <c r="L163" s="21"/>
      <c r="M163" s="21"/>
    </row>
    <row r="164" spans="1:13">
      <c r="A164" s="21"/>
      <c r="B164">
        <v>157</v>
      </c>
      <c r="C164" t="s">
        <v>21</v>
      </c>
      <c r="D164">
        <v>484</v>
      </c>
      <c r="E164" t="str">
        <f>IF(VLOOKUP(D164,Couleurs!A:B,2) = 0, "[" &amp; D164 &amp; "]",VLOOKUP(D164,Couleurs!A:B,2))</f>
        <v>[484]</v>
      </c>
      <c r="F164" s="1" t="s">
        <v>3865</v>
      </c>
      <c r="G164">
        <v>3</v>
      </c>
      <c r="H164" t="s">
        <v>428</v>
      </c>
      <c r="I164" t="s">
        <v>433</v>
      </c>
      <c r="J164">
        <f t="shared" si="4"/>
        <v>43.2</v>
      </c>
      <c r="K164" t="b">
        <f t="shared" si="5"/>
        <v>1</v>
      </c>
      <c r="L164" s="21"/>
      <c r="M164" s="21"/>
    </row>
    <row r="165" spans="1:13">
      <c r="A165" s="21"/>
      <c r="B165">
        <v>158</v>
      </c>
      <c r="C165" t="s">
        <v>27</v>
      </c>
      <c r="D165">
        <v>60</v>
      </c>
      <c r="E165" t="str">
        <f>IF(VLOOKUP(D165,Couleurs!A:B,2) = 0, "[" &amp; D165 &amp; "]",VLOOKUP(D165,Couleurs!A:B,2))</f>
        <v>BLACK</v>
      </c>
      <c r="F165" s="1" t="s">
        <v>3736</v>
      </c>
      <c r="G165">
        <v>6</v>
      </c>
      <c r="H165" t="s">
        <v>3735</v>
      </c>
      <c r="I165" t="s">
        <v>3737</v>
      </c>
      <c r="J165">
        <f t="shared" si="4"/>
        <v>11.52</v>
      </c>
      <c r="K165" t="b">
        <f t="shared" si="5"/>
        <v>1</v>
      </c>
      <c r="L165" s="21"/>
      <c r="M165" s="21"/>
    </row>
    <row r="166" spans="1:13">
      <c r="A166" s="21"/>
      <c r="B166">
        <v>159</v>
      </c>
      <c r="C166" t="s">
        <v>2427</v>
      </c>
      <c r="D166">
        <v>75</v>
      </c>
      <c r="E166" t="str">
        <f>IF(VLOOKUP(D166,Couleurs!A:B,2) = 0, "[" &amp; D166 &amp; "]",VLOOKUP(D166,Couleurs!A:B,2))</f>
        <v>[75]</v>
      </c>
      <c r="F166" s="1" t="s">
        <v>3866</v>
      </c>
      <c r="G166">
        <v>3</v>
      </c>
      <c r="H166" t="s">
        <v>3692</v>
      </c>
      <c r="I166" t="s">
        <v>3693</v>
      </c>
      <c r="J166">
        <f t="shared" si="4"/>
        <v>19.799999999999997</v>
      </c>
      <c r="K166" t="b">
        <f t="shared" si="5"/>
        <v>1</v>
      </c>
      <c r="L166" s="21"/>
      <c r="M166" s="21"/>
    </row>
    <row r="167" spans="1:13">
      <c r="A167" s="21"/>
      <c r="B167">
        <v>160</v>
      </c>
      <c r="C167" t="s">
        <v>2423</v>
      </c>
      <c r="D167">
        <v>241</v>
      </c>
      <c r="E167" t="str">
        <f>IF(VLOOKUP(D167,Couleurs!A:B,2) = 0, "[" &amp; D167 &amp; "]",VLOOKUP(D167,Couleurs!A:B,2))</f>
        <v>[241]</v>
      </c>
      <c r="F167" s="1" t="s">
        <v>3867</v>
      </c>
      <c r="G167">
        <v>4</v>
      </c>
      <c r="H167">
        <v>18</v>
      </c>
      <c r="I167">
        <v>72</v>
      </c>
      <c r="J167">
        <f t="shared" si="4"/>
        <v>72</v>
      </c>
      <c r="K167" t="b">
        <f t="shared" si="5"/>
        <v>1</v>
      </c>
      <c r="L167" s="21"/>
      <c r="M167" s="21"/>
    </row>
    <row r="168" spans="1:13">
      <c r="A168" s="21"/>
      <c r="B168">
        <v>161</v>
      </c>
      <c r="C168" t="s">
        <v>44</v>
      </c>
      <c r="D168">
        <v>227</v>
      </c>
      <c r="E168" t="str">
        <f>IF(VLOOKUP(D168,Couleurs!A:B,2) = 0, "[" &amp; D168 &amp; "]",VLOOKUP(D168,Couleurs!A:B,2))</f>
        <v>[227]</v>
      </c>
      <c r="F168" s="1" t="s">
        <v>3868</v>
      </c>
      <c r="G168">
        <v>2</v>
      </c>
      <c r="H168" t="s">
        <v>439</v>
      </c>
      <c r="I168" t="s">
        <v>440</v>
      </c>
      <c r="J168">
        <f t="shared" si="4"/>
        <v>21.6</v>
      </c>
      <c r="K168" t="b">
        <f t="shared" si="5"/>
        <v>1</v>
      </c>
      <c r="L168" s="21"/>
      <c r="M168" s="21"/>
    </row>
    <row r="169" spans="1:13">
      <c r="A169" s="21"/>
      <c r="B169">
        <v>162</v>
      </c>
      <c r="C169" t="s">
        <v>3869</v>
      </c>
      <c r="D169">
        <v>54</v>
      </c>
      <c r="E169" t="str">
        <f>IF(VLOOKUP(D169,Couleurs!A:B,2) = 0, "[" &amp; D169 &amp; "]",VLOOKUP(D169,Couleurs!A:B,2))</f>
        <v>[54]</v>
      </c>
      <c r="F169" s="1" t="s">
        <v>3871</v>
      </c>
      <c r="G169">
        <v>6</v>
      </c>
      <c r="H169" t="s">
        <v>3870</v>
      </c>
      <c r="I169" t="s">
        <v>3872</v>
      </c>
      <c r="J169">
        <f t="shared" si="4"/>
        <v>61.199999999999996</v>
      </c>
      <c r="K169" t="b">
        <f t="shared" si="5"/>
        <v>1</v>
      </c>
      <c r="L169" s="21"/>
      <c r="M169" s="21"/>
    </row>
    <row r="170" spans="1:13">
      <c r="A170" s="21"/>
      <c r="B170">
        <v>163</v>
      </c>
      <c r="C170" t="s">
        <v>19</v>
      </c>
      <c r="D170">
        <v>76</v>
      </c>
      <c r="E170" t="str">
        <f>IF(VLOOKUP(D170,Couleurs!A:B,2) = 0, "[" &amp; D170 &amp; "]",VLOOKUP(D170,Couleurs!A:B,2))</f>
        <v>[76]</v>
      </c>
      <c r="F170" s="1" t="s">
        <v>3873</v>
      </c>
      <c r="G170">
        <v>3</v>
      </c>
      <c r="H170" t="s">
        <v>3683</v>
      </c>
      <c r="I170" t="s">
        <v>436</v>
      </c>
      <c r="J170">
        <f t="shared" si="4"/>
        <v>28.799999999999997</v>
      </c>
      <c r="K170" t="b">
        <f t="shared" si="5"/>
        <v>1</v>
      </c>
      <c r="L170" s="21"/>
      <c r="M170" s="21"/>
    </row>
    <row r="171" spans="1:13">
      <c r="A171" s="21"/>
      <c r="B171">
        <v>164</v>
      </c>
      <c r="C171" t="s">
        <v>89</v>
      </c>
      <c r="D171">
        <v>130</v>
      </c>
      <c r="E171" t="str">
        <f>IF(VLOOKUP(D171,Couleurs!A:B,2) = 0, "[" &amp; D171 &amp; "]",VLOOKUP(D171,Couleurs!A:B,2))</f>
        <v>[130]</v>
      </c>
      <c r="F171" s="1" t="s">
        <v>3874</v>
      </c>
      <c r="G171">
        <v>3</v>
      </c>
      <c r="H171">
        <v>9</v>
      </c>
      <c r="I171">
        <v>27</v>
      </c>
      <c r="J171">
        <f t="shared" si="4"/>
        <v>27</v>
      </c>
      <c r="K171" t="b">
        <f t="shared" si="5"/>
        <v>1</v>
      </c>
      <c r="L171" s="21"/>
      <c r="M171" s="21"/>
    </row>
    <row r="172" spans="1:13">
      <c r="A172" s="21"/>
      <c r="B172">
        <v>165</v>
      </c>
      <c r="C172" t="s">
        <v>24</v>
      </c>
      <c r="D172">
        <v>347</v>
      </c>
      <c r="E172" t="str">
        <f>IF(VLOOKUP(D172,Couleurs!A:B,2) = 0, "[" &amp; D172 &amp; "]",VLOOKUP(D172,Couleurs!A:B,2))</f>
        <v>[347]</v>
      </c>
      <c r="F172" s="1" t="s">
        <v>3875</v>
      </c>
      <c r="G172">
        <v>3</v>
      </c>
      <c r="H172" t="s">
        <v>427</v>
      </c>
      <c r="I172" t="s">
        <v>428</v>
      </c>
      <c r="J172">
        <f t="shared" si="4"/>
        <v>14.399999999999999</v>
      </c>
      <c r="K172" t="b">
        <f t="shared" si="5"/>
        <v>1</v>
      </c>
      <c r="L172" s="21"/>
      <c r="M172" s="21"/>
    </row>
    <row r="173" spans="1:13">
      <c r="A173" s="21"/>
      <c r="B173">
        <v>166</v>
      </c>
      <c r="C173" t="s">
        <v>54</v>
      </c>
      <c r="D173">
        <v>17</v>
      </c>
      <c r="E173" t="str">
        <f>IF(VLOOKUP(D173,Couleurs!A:B,2) = 0, "[" &amp; D173 &amp; "]",VLOOKUP(D173,Couleurs!A:B,2))</f>
        <v>NAVY BLUE</v>
      </c>
      <c r="F173" s="1" t="s">
        <v>3876</v>
      </c>
      <c r="G173">
        <v>4</v>
      </c>
      <c r="H173" t="s">
        <v>3681</v>
      </c>
      <c r="I173" t="s">
        <v>428</v>
      </c>
      <c r="J173">
        <f t="shared" si="4"/>
        <v>14.4</v>
      </c>
      <c r="K173" t="b">
        <f t="shared" si="5"/>
        <v>1</v>
      </c>
      <c r="L173" s="21"/>
      <c r="M173" s="21"/>
    </row>
    <row r="174" spans="1:13">
      <c r="A174" s="21"/>
      <c r="B174">
        <v>167</v>
      </c>
      <c r="C174" t="s">
        <v>58</v>
      </c>
      <c r="D174">
        <v>130</v>
      </c>
      <c r="E174" t="str">
        <f>IF(VLOOKUP(D174,Couleurs!A:B,2) = 0, "[" &amp; D174 &amp; "]",VLOOKUP(D174,Couleurs!A:B,2))</f>
        <v>[130]</v>
      </c>
      <c r="F174" s="1" t="s">
        <v>3877</v>
      </c>
      <c r="G174">
        <v>2</v>
      </c>
      <c r="H174" t="s">
        <v>439</v>
      </c>
      <c r="I174" t="s">
        <v>440</v>
      </c>
      <c r="J174">
        <f t="shared" si="4"/>
        <v>21.6</v>
      </c>
      <c r="K174" t="b">
        <f t="shared" si="5"/>
        <v>1</v>
      </c>
      <c r="L174" s="21"/>
      <c r="M174" s="21"/>
    </row>
    <row r="175" spans="1:13">
      <c r="A175" s="21"/>
      <c r="B175">
        <v>168</v>
      </c>
      <c r="C175" t="s">
        <v>49</v>
      </c>
      <c r="D175">
        <v>130</v>
      </c>
      <c r="E175" t="str">
        <f>IF(VLOOKUP(D175,Couleurs!A:B,2) = 0, "[" &amp; D175 &amp; "]",VLOOKUP(D175,Couleurs!A:B,2))</f>
        <v>[130]</v>
      </c>
      <c r="F175" s="1" t="s">
        <v>3878</v>
      </c>
      <c r="G175">
        <v>3</v>
      </c>
      <c r="H175" t="s">
        <v>438</v>
      </c>
      <c r="I175" t="s">
        <v>2422</v>
      </c>
      <c r="J175">
        <f t="shared" si="4"/>
        <v>21.240000000000002</v>
      </c>
      <c r="K175" t="b">
        <f t="shared" si="5"/>
        <v>1</v>
      </c>
      <c r="L175" s="21"/>
      <c r="M175" s="21"/>
    </row>
    <row r="176" spans="1:13">
      <c r="A176" s="21"/>
      <c r="B176">
        <v>169</v>
      </c>
      <c r="C176" t="s">
        <v>52</v>
      </c>
      <c r="D176">
        <v>8</v>
      </c>
      <c r="E176" t="str">
        <f>IF(VLOOKUP(D176,Couleurs!A:B,2) = 0, "[" &amp; D176 &amp; "]",VLOOKUP(D176,Couleurs!A:B,2))</f>
        <v>WHITE</v>
      </c>
      <c r="F176" s="1" t="s">
        <v>3879</v>
      </c>
      <c r="G176">
        <v>2</v>
      </c>
      <c r="H176" t="s">
        <v>3689</v>
      </c>
      <c r="I176" t="s">
        <v>3690</v>
      </c>
      <c r="J176">
        <f t="shared" si="4"/>
        <v>22.8</v>
      </c>
      <c r="K176" t="b">
        <f t="shared" si="5"/>
        <v>1</v>
      </c>
      <c r="L176" s="21"/>
      <c r="M176" s="21"/>
    </row>
    <row r="177" spans="1:13">
      <c r="A177" s="21"/>
      <c r="B177">
        <v>170</v>
      </c>
      <c r="C177" t="s">
        <v>3</v>
      </c>
      <c r="D177">
        <v>472</v>
      </c>
      <c r="E177" t="str">
        <f>IF(VLOOKUP(D177,Couleurs!A:B,2) = 0, "[" &amp; D177 &amp; "]",VLOOKUP(D177,Couleurs!A:B,2))</f>
        <v>[472]</v>
      </c>
      <c r="F177" s="1" t="s">
        <v>3880</v>
      </c>
      <c r="G177">
        <v>3</v>
      </c>
      <c r="H177" t="s">
        <v>429</v>
      </c>
      <c r="I177" t="s">
        <v>3881</v>
      </c>
      <c r="J177">
        <f t="shared" si="4"/>
        <v>40.32</v>
      </c>
      <c r="K177" t="b">
        <f t="shared" si="5"/>
        <v>1</v>
      </c>
      <c r="L177" s="21"/>
      <c r="M177" s="21"/>
    </row>
    <row r="178" spans="1:13">
      <c r="A178" s="21"/>
      <c r="B178">
        <v>171</v>
      </c>
      <c r="C178" t="s">
        <v>2459</v>
      </c>
      <c r="D178">
        <v>473</v>
      </c>
      <c r="E178" t="str">
        <f>IF(VLOOKUP(D178,Couleurs!A:B,2) = 0, "[" &amp; D178 &amp; "]",VLOOKUP(D178,Couleurs!A:B,2))</f>
        <v>[473]</v>
      </c>
      <c r="F178" s="1" t="s">
        <v>3882</v>
      </c>
      <c r="G178">
        <v>2</v>
      </c>
      <c r="H178" t="s">
        <v>432</v>
      </c>
      <c r="I178" t="s">
        <v>434</v>
      </c>
      <c r="J178">
        <f t="shared" si="4"/>
        <v>31.2</v>
      </c>
      <c r="K178" t="b">
        <f t="shared" si="5"/>
        <v>1</v>
      </c>
      <c r="L178" s="21"/>
      <c r="M178" s="21"/>
    </row>
    <row r="179" spans="1:13">
      <c r="A179" s="21"/>
      <c r="B179">
        <v>172</v>
      </c>
      <c r="C179" t="s">
        <v>35</v>
      </c>
      <c r="D179">
        <v>59</v>
      </c>
      <c r="E179" t="str">
        <f>IF(VLOOKUP(D179,Couleurs!A:B,2) = 0, "[" &amp; D179 &amp; "]",VLOOKUP(D179,Couleurs!A:B,2))</f>
        <v>BLACK</v>
      </c>
      <c r="F179" s="1" t="s">
        <v>3883</v>
      </c>
      <c r="G179">
        <v>6</v>
      </c>
      <c r="H179" t="s">
        <v>3720</v>
      </c>
      <c r="I179" t="s">
        <v>3722</v>
      </c>
      <c r="J179">
        <f t="shared" si="4"/>
        <v>15.120000000000001</v>
      </c>
      <c r="K179" t="b">
        <f t="shared" si="5"/>
        <v>1</v>
      </c>
      <c r="L179" s="21"/>
      <c r="M179" s="21"/>
    </row>
    <row r="180" spans="1:13">
      <c r="A180" s="21"/>
      <c r="B180">
        <v>173</v>
      </c>
      <c r="C180" t="s">
        <v>78</v>
      </c>
      <c r="D180">
        <v>125</v>
      </c>
      <c r="E180" t="str">
        <f>IF(VLOOKUP(D180,Couleurs!A:B,2) = 0, "[" &amp; D180 &amp; "]",VLOOKUP(D180,Couleurs!A:B,2))</f>
        <v>[125]</v>
      </c>
      <c r="F180" s="1" t="s">
        <v>3884</v>
      </c>
      <c r="G180">
        <v>2</v>
      </c>
      <c r="H180" t="s">
        <v>3683</v>
      </c>
      <c r="I180" t="s">
        <v>3684</v>
      </c>
      <c r="J180">
        <f t="shared" si="4"/>
        <v>19.2</v>
      </c>
      <c r="K180" t="b">
        <f t="shared" si="5"/>
        <v>1</v>
      </c>
      <c r="L180" s="21"/>
      <c r="M180" s="21"/>
    </row>
    <row r="181" spans="1:13">
      <c r="A181" s="21"/>
      <c r="B181">
        <v>174</v>
      </c>
      <c r="C181" t="s">
        <v>86</v>
      </c>
      <c r="D181">
        <v>480</v>
      </c>
      <c r="E181" t="str">
        <f>IF(VLOOKUP(D181,Couleurs!A:B,2) = 0, "[" &amp; D181 &amp; "]",VLOOKUP(D181,Couleurs!A:B,2))</f>
        <v>[480]</v>
      </c>
      <c r="F181" s="1" t="s">
        <v>3885</v>
      </c>
      <c r="G181">
        <v>2</v>
      </c>
      <c r="H181" t="s">
        <v>431</v>
      </c>
      <c r="I181" t="s">
        <v>442</v>
      </c>
      <c r="J181">
        <f t="shared" si="4"/>
        <v>23.76</v>
      </c>
      <c r="K181" t="b">
        <f t="shared" si="5"/>
        <v>1</v>
      </c>
      <c r="L181" s="21"/>
      <c r="M181" s="21"/>
    </row>
    <row r="182" spans="1:13">
      <c r="A182" s="21"/>
      <c r="B182">
        <v>175</v>
      </c>
      <c r="C182" t="s">
        <v>22</v>
      </c>
      <c r="D182">
        <v>422</v>
      </c>
      <c r="E182" t="str">
        <f>IF(VLOOKUP(D182,Couleurs!A:B,2) = 0, "[" &amp; D182 &amp; "]",VLOOKUP(D182,Couleurs!A:B,2))</f>
        <v>SANGRIA</v>
      </c>
      <c r="F182" s="1" t="s">
        <v>3886</v>
      </c>
      <c r="G182">
        <v>2</v>
      </c>
      <c r="H182" t="s">
        <v>428</v>
      </c>
      <c r="I182" t="s">
        <v>436</v>
      </c>
      <c r="J182">
        <f t="shared" si="4"/>
        <v>28.8</v>
      </c>
      <c r="K182" t="b">
        <f t="shared" si="5"/>
        <v>1</v>
      </c>
      <c r="L182" s="21"/>
      <c r="M182" s="21"/>
    </row>
    <row r="183" spans="1:13">
      <c r="A183" s="21"/>
      <c r="B183">
        <v>176</v>
      </c>
      <c r="C183" t="s">
        <v>34</v>
      </c>
      <c r="D183">
        <v>371</v>
      </c>
      <c r="E183" t="str">
        <f>IF(VLOOKUP(D183,Couleurs!A:B,2) = 0, "[" &amp; D183 &amp; "]",VLOOKUP(D183,Couleurs!A:B,2))</f>
        <v>MILK</v>
      </c>
      <c r="F183" s="1" t="s">
        <v>3887</v>
      </c>
      <c r="G183">
        <v>2</v>
      </c>
      <c r="H183" t="s">
        <v>3698</v>
      </c>
      <c r="I183" t="s">
        <v>3700</v>
      </c>
      <c r="J183">
        <f t="shared" si="4"/>
        <v>22.08</v>
      </c>
      <c r="K183" t="b">
        <f t="shared" si="5"/>
        <v>1</v>
      </c>
      <c r="L183" s="21"/>
      <c r="M183" s="21"/>
    </row>
    <row r="184" spans="1:13">
      <c r="A184" s="21"/>
      <c r="B184">
        <v>177</v>
      </c>
      <c r="C184" t="s">
        <v>59</v>
      </c>
      <c r="D184">
        <v>479</v>
      </c>
      <c r="E184" t="str">
        <f>IF(VLOOKUP(D184,Couleurs!A:B,2) = 0, "[" &amp; D184 &amp; "]",VLOOKUP(D184,Couleurs!A:B,2))</f>
        <v>[479]</v>
      </c>
      <c r="F184" s="1" t="s">
        <v>3889</v>
      </c>
      <c r="G184">
        <v>2</v>
      </c>
      <c r="H184" t="s">
        <v>3888</v>
      </c>
      <c r="I184" t="s">
        <v>3890</v>
      </c>
      <c r="J184">
        <f t="shared" si="4"/>
        <v>27.6</v>
      </c>
      <c r="K184" t="b">
        <f t="shared" si="5"/>
        <v>1</v>
      </c>
      <c r="L184" s="21"/>
      <c r="M184" s="21"/>
    </row>
    <row r="185" spans="1:13">
      <c r="A185" s="21"/>
      <c r="B185">
        <v>178</v>
      </c>
      <c r="C185" t="s">
        <v>7</v>
      </c>
      <c r="D185">
        <v>8</v>
      </c>
      <c r="E185" t="str">
        <f>IF(VLOOKUP(D185,Couleurs!A:B,2) = 0, "[" &amp; D185 &amp; "]",VLOOKUP(D185,Couleurs!A:B,2))</f>
        <v>WHITE</v>
      </c>
      <c r="F185" s="1" t="s">
        <v>3891</v>
      </c>
      <c r="G185">
        <v>6</v>
      </c>
      <c r="H185" t="s">
        <v>431</v>
      </c>
      <c r="I185" t="s">
        <v>3892</v>
      </c>
      <c r="J185">
        <f t="shared" si="4"/>
        <v>71.28</v>
      </c>
      <c r="K185" t="b">
        <f t="shared" si="5"/>
        <v>1</v>
      </c>
      <c r="L185" s="21"/>
      <c r="M185" s="21"/>
    </row>
    <row r="186" spans="1:13">
      <c r="A186" s="21"/>
      <c r="B186">
        <v>179</v>
      </c>
      <c r="C186" t="s">
        <v>100</v>
      </c>
      <c r="D186">
        <v>347</v>
      </c>
      <c r="E186" t="str">
        <f>IF(VLOOKUP(D186,Couleurs!A:B,2) = 0, "[" &amp; D186 &amp; "]",VLOOKUP(D186,Couleurs!A:B,2))</f>
        <v>[347]</v>
      </c>
      <c r="F186" s="1" t="s">
        <v>3893</v>
      </c>
      <c r="G186">
        <v>3</v>
      </c>
      <c r="H186">
        <v>33</v>
      </c>
      <c r="I186">
        <v>99</v>
      </c>
      <c r="J186">
        <f t="shared" si="4"/>
        <v>99</v>
      </c>
      <c r="K186" t="b">
        <f t="shared" si="5"/>
        <v>1</v>
      </c>
      <c r="L186" s="21"/>
      <c r="M186" s="21"/>
    </row>
    <row r="187" spans="1:13">
      <c r="A187" s="21"/>
      <c r="B187">
        <v>180</v>
      </c>
      <c r="C187" t="s">
        <v>124</v>
      </c>
      <c r="D187">
        <v>475</v>
      </c>
      <c r="E187" t="str">
        <f>IF(VLOOKUP(D187,Couleurs!A:B,2) = 0, "[" &amp; D187 &amp; "]",VLOOKUP(D187,Couleurs!A:B,2))</f>
        <v>[475]</v>
      </c>
      <c r="F187" s="1" t="s">
        <v>3894</v>
      </c>
      <c r="G187">
        <v>2</v>
      </c>
      <c r="H187" t="s">
        <v>3849</v>
      </c>
      <c r="I187" t="s">
        <v>3851</v>
      </c>
      <c r="J187">
        <f t="shared" si="4"/>
        <v>59.76</v>
      </c>
      <c r="K187" t="b">
        <f t="shared" si="5"/>
        <v>1</v>
      </c>
      <c r="L187" s="21"/>
      <c r="M187" s="21"/>
    </row>
    <row r="188" spans="1:13">
      <c r="A188" s="21"/>
      <c r="B188">
        <v>181</v>
      </c>
      <c r="C188" t="s">
        <v>9</v>
      </c>
      <c r="D188">
        <v>55</v>
      </c>
      <c r="E188" t="str">
        <f>IF(VLOOKUP(D188,Couleurs!A:B,2) = 0, "[" &amp; D188 &amp; "]",VLOOKUP(D188,Couleurs!A:B,2))</f>
        <v>BLACK</v>
      </c>
      <c r="F188" s="1" t="s">
        <v>3895</v>
      </c>
      <c r="G188">
        <v>4</v>
      </c>
      <c r="H188" t="s">
        <v>428</v>
      </c>
      <c r="I188" t="s">
        <v>3793</v>
      </c>
      <c r="J188">
        <f t="shared" si="4"/>
        <v>57.6</v>
      </c>
      <c r="K188" t="b">
        <f t="shared" si="5"/>
        <v>1</v>
      </c>
      <c r="L188" s="21"/>
      <c r="M188" s="21"/>
    </row>
    <row r="189" spans="1:13">
      <c r="A189" s="21"/>
      <c r="B189">
        <v>182</v>
      </c>
      <c r="C189" t="s">
        <v>8</v>
      </c>
      <c r="D189">
        <v>422</v>
      </c>
      <c r="E189" t="str">
        <f>IF(VLOOKUP(D189,Couleurs!A:B,2) = 0, "[" &amp; D189 &amp; "]",VLOOKUP(D189,Couleurs!A:B,2))</f>
        <v>SANGRIA</v>
      </c>
      <c r="F189" s="1" t="s">
        <v>3896</v>
      </c>
      <c r="G189">
        <v>2</v>
      </c>
      <c r="H189" t="s">
        <v>3685</v>
      </c>
      <c r="I189" t="s">
        <v>432</v>
      </c>
      <c r="J189">
        <f t="shared" si="4"/>
        <v>15.6</v>
      </c>
      <c r="K189" t="b">
        <f t="shared" si="5"/>
        <v>1</v>
      </c>
      <c r="L189" s="21"/>
      <c r="M189" s="21"/>
    </row>
    <row r="190" spans="1:13">
      <c r="A190" s="21"/>
      <c r="B190">
        <v>183</v>
      </c>
      <c r="C190" t="s">
        <v>2431</v>
      </c>
      <c r="D190">
        <v>17</v>
      </c>
      <c r="E190" t="str">
        <f>IF(VLOOKUP(D190,Couleurs!A:B,2) = 0, "[" &amp; D190 &amp; "]",VLOOKUP(D190,Couleurs!A:B,2))</f>
        <v>NAVY BLUE</v>
      </c>
      <c r="F190" s="1" t="s">
        <v>3897</v>
      </c>
      <c r="G190">
        <v>2</v>
      </c>
      <c r="H190" t="s">
        <v>431</v>
      </c>
      <c r="I190" t="s">
        <v>442</v>
      </c>
      <c r="J190">
        <f t="shared" si="4"/>
        <v>23.76</v>
      </c>
      <c r="K190" t="b">
        <f t="shared" si="5"/>
        <v>1</v>
      </c>
      <c r="L190" s="21"/>
      <c r="M190" s="21"/>
    </row>
    <row r="191" spans="1:13">
      <c r="A191" s="21"/>
      <c r="B191">
        <v>184</v>
      </c>
      <c r="C191" t="s">
        <v>26</v>
      </c>
      <c r="D191">
        <v>371</v>
      </c>
      <c r="E191" t="str">
        <f>IF(VLOOKUP(D191,Couleurs!A:B,2) = 0, "[" &amp; D191 &amp; "]",VLOOKUP(D191,Couleurs!A:B,2))</f>
        <v>MILK</v>
      </c>
      <c r="F191" s="1" t="s">
        <v>3898</v>
      </c>
      <c r="G191">
        <v>1</v>
      </c>
      <c r="H191" t="s">
        <v>428</v>
      </c>
      <c r="I191" t="s">
        <v>428</v>
      </c>
      <c r="J191">
        <f t="shared" si="4"/>
        <v>14.4</v>
      </c>
      <c r="K191" t="b">
        <f t="shared" si="5"/>
        <v>1</v>
      </c>
      <c r="L191" s="21"/>
      <c r="M191" s="21"/>
    </row>
    <row r="192" spans="1:13">
      <c r="A192" s="21"/>
      <c r="B192">
        <v>185</v>
      </c>
      <c r="C192" t="s">
        <v>2461</v>
      </c>
      <c r="D192">
        <v>36</v>
      </c>
      <c r="E192" t="str">
        <f>IF(VLOOKUP(D192,Couleurs!A:B,2) = 0, "[" &amp; D192 &amp; "]",VLOOKUP(D192,Couleurs!A:B,2))</f>
        <v>[36]</v>
      </c>
      <c r="F192" s="1" t="s">
        <v>3899</v>
      </c>
      <c r="G192">
        <v>3</v>
      </c>
      <c r="H192" t="s">
        <v>428</v>
      </c>
      <c r="I192" t="s">
        <v>433</v>
      </c>
      <c r="J192">
        <f t="shared" si="4"/>
        <v>43.2</v>
      </c>
      <c r="K192" t="b">
        <f t="shared" si="5"/>
        <v>1</v>
      </c>
      <c r="L192" s="21"/>
      <c r="M192" s="21"/>
    </row>
    <row r="193" spans="1:13">
      <c r="A193" s="21"/>
      <c r="B193">
        <v>186</v>
      </c>
      <c r="C193" t="s">
        <v>25</v>
      </c>
      <c r="D193">
        <v>479</v>
      </c>
      <c r="E193" t="str">
        <f>IF(VLOOKUP(D193,Couleurs!A:B,2) = 0, "[" &amp; D193 &amp; "]",VLOOKUP(D193,Couleurs!A:B,2))</f>
        <v>[479]</v>
      </c>
      <c r="F193" s="1" t="s">
        <v>3900</v>
      </c>
      <c r="G193">
        <v>2</v>
      </c>
      <c r="H193" t="s">
        <v>437</v>
      </c>
      <c r="I193" t="s">
        <v>435</v>
      </c>
      <c r="J193">
        <f t="shared" si="4"/>
        <v>25.2</v>
      </c>
      <c r="K193" t="b">
        <f t="shared" si="5"/>
        <v>1</v>
      </c>
      <c r="L193" s="21"/>
      <c r="M193" s="21"/>
    </row>
    <row r="194" spans="1:13">
      <c r="A194" s="21"/>
      <c r="B194">
        <v>187</v>
      </c>
      <c r="C194" t="s">
        <v>60</v>
      </c>
      <c r="D194">
        <v>72</v>
      </c>
      <c r="E194" t="str">
        <f>IF(VLOOKUP(D194,Couleurs!A:B,2) = 0, "[" &amp; D194 &amp; "]",VLOOKUP(D194,Couleurs!A:B,2))</f>
        <v>[72]</v>
      </c>
      <c r="F194" s="1" t="s">
        <v>3901</v>
      </c>
      <c r="G194">
        <v>2</v>
      </c>
      <c r="H194" t="s">
        <v>3712</v>
      </c>
      <c r="I194" t="s">
        <v>3714</v>
      </c>
      <c r="J194">
        <f t="shared" si="4"/>
        <v>36.24</v>
      </c>
      <c r="K194" t="b">
        <f t="shared" si="5"/>
        <v>1</v>
      </c>
      <c r="L194" s="21"/>
      <c r="M194" s="21"/>
    </row>
    <row r="195" spans="1:13">
      <c r="A195" s="21"/>
      <c r="B195">
        <v>188</v>
      </c>
      <c r="C195" t="s">
        <v>119</v>
      </c>
      <c r="D195">
        <v>76</v>
      </c>
      <c r="E195" t="str">
        <f>IF(VLOOKUP(D195,Couleurs!A:B,2) = 0, "[" &amp; D195 &amp; "]",VLOOKUP(D195,Couleurs!A:B,2))</f>
        <v>[76]</v>
      </c>
      <c r="F195" s="1" t="s">
        <v>3902</v>
      </c>
      <c r="G195">
        <v>2</v>
      </c>
      <c r="H195" t="s">
        <v>439</v>
      </c>
      <c r="I195" t="s">
        <v>440</v>
      </c>
      <c r="J195">
        <f t="shared" si="4"/>
        <v>21.6</v>
      </c>
      <c r="K195" t="b">
        <f t="shared" si="5"/>
        <v>1</v>
      </c>
      <c r="L195" s="21"/>
      <c r="M195" s="21"/>
    </row>
    <row r="196" spans="1:13">
      <c r="A196" s="21"/>
      <c r="B196">
        <v>189</v>
      </c>
      <c r="C196" t="s">
        <v>2465</v>
      </c>
      <c r="D196">
        <v>76</v>
      </c>
      <c r="E196" t="str">
        <f>IF(VLOOKUP(D196,Couleurs!A:B,2) = 0, "[" &amp; D196 &amp; "]",VLOOKUP(D196,Couleurs!A:B,2))</f>
        <v>[76]</v>
      </c>
      <c r="F196" s="1" t="s">
        <v>3903</v>
      </c>
      <c r="G196">
        <v>2</v>
      </c>
      <c r="H196" t="s">
        <v>439</v>
      </c>
      <c r="I196" t="s">
        <v>440</v>
      </c>
      <c r="J196">
        <f t="shared" si="4"/>
        <v>21.6</v>
      </c>
      <c r="K196" t="b">
        <f t="shared" si="5"/>
        <v>1</v>
      </c>
      <c r="L196" s="21"/>
      <c r="M196" s="21"/>
    </row>
    <row r="197" spans="1:13">
      <c r="A197" s="21"/>
      <c r="B197">
        <v>190</v>
      </c>
      <c r="C197" t="s">
        <v>58</v>
      </c>
      <c r="D197">
        <v>17</v>
      </c>
      <c r="E197" t="str">
        <f>IF(VLOOKUP(D197,Couleurs!A:B,2) = 0, "[" &amp; D197 &amp; "]",VLOOKUP(D197,Couleurs!A:B,2))</f>
        <v>NAVY BLUE</v>
      </c>
      <c r="F197" s="1" t="s">
        <v>3904</v>
      </c>
      <c r="G197">
        <v>2</v>
      </c>
      <c r="H197" t="s">
        <v>439</v>
      </c>
      <c r="I197" t="s">
        <v>440</v>
      </c>
      <c r="J197">
        <f t="shared" ref="J197:J260" si="6">G197*H197</f>
        <v>21.6</v>
      </c>
      <c r="K197" t="b">
        <f t="shared" ref="K197:K260" si="7">(0+I197)=J197</f>
        <v>1</v>
      </c>
      <c r="L197" s="21"/>
      <c r="M197" s="21"/>
    </row>
    <row r="198" spans="1:13">
      <c r="A198" s="21"/>
      <c r="B198">
        <v>191</v>
      </c>
      <c r="C198" t="s">
        <v>23</v>
      </c>
      <c r="D198">
        <v>479</v>
      </c>
      <c r="E198" t="str">
        <f>IF(VLOOKUP(D198,Couleurs!A:B,2) = 0, "[" &amp; D198 &amp; "]",VLOOKUP(D198,Couleurs!A:B,2))</f>
        <v>[479]</v>
      </c>
      <c r="F198" s="1" t="s">
        <v>3905</v>
      </c>
      <c r="G198">
        <v>2</v>
      </c>
      <c r="H198" t="s">
        <v>3682</v>
      </c>
      <c r="I198" t="s">
        <v>3747</v>
      </c>
      <c r="J198">
        <f t="shared" si="6"/>
        <v>26.16</v>
      </c>
      <c r="K198" t="b">
        <f t="shared" si="7"/>
        <v>1</v>
      </c>
      <c r="L198" s="21"/>
      <c r="M198" s="21"/>
    </row>
    <row r="199" spans="1:13">
      <c r="A199" s="21"/>
      <c r="B199">
        <v>192</v>
      </c>
      <c r="C199" t="s">
        <v>2481</v>
      </c>
      <c r="D199">
        <v>8</v>
      </c>
      <c r="E199" t="str">
        <f>IF(VLOOKUP(D199,Couleurs!A:B,2) = 0, "[" &amp; D199 &amp; "]",VLOOKUP(D199,Couleurs!A:B,2))</f>
        <v>WHITE</v>
      </c>
      <c r="F199" s="1" t="s">
        <v>3906</v>
      </c>
      <c r="G199">
        <v>2</v>
      </c>
      <c r="H199" t="s">
        <v>439</v>
      </c>
      <c r="I199" t="s">
        <v>440</v>
      </c>
      <c r="J199">
        <f t="shared" si="6"/>
        <v>21.6</v>
      </c>
      <c r="K199" t="b">
        <f t="shared" si="7"/>
        <v>1</v>
      </c>
      <c r="L199" s="21"/>
      <c r="M199" s="21"/>
    </row>
    <row r="200" spans="1:13">
      <c r="A200" s="21"/>
      <c r="B200">
        <v>193</v>
      </c>
      <c r="C200" t="s">
        <v>2</v>
      </c>
      <c r="D200">
        <v>347</v>
      </c>
      <c r="E200" t="str">
        <f>IF(VLOOKUP(D200,Couleurs!A:B,2) = 0, "[" &amp; D200 &amp; "]",VLOOKUP(D200,Couleurs!A:B,2))</f>
        <v>[347]</v>
      </c>
      <c r="F200" s="1" t="s">
        <v>3907</v>
      </c>
      <c r="G200">
        <v>3</v>
      </c>
      <c r="H200" t="s">
        <v>427</v>
      </c>
      <c r="I200" t="s">
        <v>428</v>
      </c>
      <c r="J200">
        <f t="shared" si="6"/>
        <v>14.399999999999999</v>
      </c>
      <c r="K200" t="b">
        <f t="shared" si="7"/>
        <v>1</v>
      </c>
      <c r="L200" s="21"/>
      <c r="M200" s="21"/>
    </row>
    <row r="201" spans="1:13">
      <c r="A201" s="21"/>
      <c r="B201">
        <v>194</v>
      </c>
      <c r="C201" t="s">
        <v>9</v>
      </c>
      <c r="D201">
        <v>26</v>
      </c>
      <c r="E201" t="str">
        <f>IF(VLOOKUP(D201,Couleurs!A:B,2) = 0, "[" &amp; D201 &amp; "]",VLOOKUP(D201,Couleurs!A:B,2))</f>
        <v>[26]</v>
      </c>
      <c r="F201" s="1" t="s">
        <v>3908</v>
      </c>
      <c r="G201">
        <v>3</v>
      </c>
      <c r="H201" t="s">
        <v>428</v>
      </c>
      <c r="I201" t="s">
        <v>433</v>
      </c>
      <c r="J201">
        <f t="shared" si="6"/>
        <v>43.2</v>
      </c>
      <c r="K201" t="b">
        <f t="shared" si="7"/>
        <v>1</v>
      </c>
      <c r="L201" s="21"/>
      <c r="M201" s="21"/>
    </row>
    <row r="202" spans="1:13">
      <c r="A202" s="21"/>
      <c r="B202">
        <v>195</v>
      </c>
      <c r="C202" t="s">
        <v>2416</v>
      </c>
      <c r="D202">
        <v>55</v>
      </c>
      <c r="E202" t="str">
        <f>IF(VLOOKUP(D202,Couleurs!A:B,2) = 0, "[" &amp; D202 &amp; "]",VLOOKUP(D202,Couleurs!A:B,2))</f>
        <v>BLACK</v>
      </c>
      <c r="F202" s="1" t="s">
        <v>3909</v>
      </c>
      <c r="G202">
        <v>3</v>
      </c>
      <c r="H202" t="s">
        <v>3685</v>
      </c>
      <c r="I202" t="s">
        <v>3686</v>
      </c>
      <c r="J202">
        <f t="shared" si="6"/>
        <v>23.4</v>
      </c>
      <c r="K202" t="b">
        <f t="shared" si="7"/>
        <v>1</v>
      </c>
      <c r="L202" s="21"/>
      <c r="M202" s="21"/>
    </row>
    <row r="203" spans="1:13">
      <c r="A203" s="21"/>
      <c r="B203">
        <v>196</v>
      </c>
      <c r="C203" t="s">
        <v>21</v>
      </c>
      <c r="D203">
        <v>486</v>
      </c>
      <c r="E203" t="str">
        <f>IF(VLOOKUP(D203,Couleurs!A:B,2) = 0, "[" &amp; D203 &amp; "]",VLOOKUP(D203,Couleurs!A:B,2))</f>
        <v>[486]</v>
      </c>
      <c r="F203" s="1" t="s">
        <v>3910</v>
      </c>
      <c r="G203">
        <v>3</v>
      </c>
      <c r="H203" t="s">
        <v>428</v>
      </c>
      <c r="I203" t="s">
        <v>433</v>
      </c>
      <c r="J203">
        <f t="shared" si="6"/>
        <v>43.2</v>
      </c>
      <c r="K203" t="b">
        <f t="shared" si="7"/>
        <v>1</v>
      </c>
      <c r="L203" s="21"/>
      <c r="M203" s="21"/>
    </row>
    <row r="204" spans="1:13">
      <c r="A204" s="21"/>
      <c r="B204">
        <v>197</v>
      </c>
      <c r="C204" t="s">
        <v>10</v>
      </c>
      <c r="D204">
        <v>75</v>
      </c>
      <c r="E204" t="str">
        <f>IF(VLOOKUP(D204,Couleurs!A:B,2) = 0, "[" &amp; D204 &amp; "]",VLOOKUP(D204,Couleurs!A:B,2))</f>
        <v>[75]</v>
      </c>
      <c r="F204" s="1" t="s">
        <v>3911</v>
      </c>
      <c r="G204">
        <v>2</v>
      </c>
      <c r="H204" t="s">
        <v>3800</v>
      </c>
      <c r="I204" t="s">
        <v>428</v>
      </c>
      <c r="J204">
        <f t="shared" si="6"/>
        <v>14.4</v>
      </c>
      <c r="K204" t="b">
        <f t="shared" si="7"/>
        <v>1</v>
      </c>
      <c r="L204" s="21"/>
      <c r="M204" s="21"/>
    </row>
    <row r="205" spans="1:13">
      <c r="A205" s="21"/>
      <c r="B205">
        <v>198</v>
      </c>
      <c r="C205" t="s">
        <v>23</v>
      </c>
      <c r="D205">
        <v>371</v>
      </c>
      <c r="E205" t="str">
        <f>IF(VLOOKUP(D205,Couleurs!A:B,2) = 0, "[" &amp; D205 &amp; "]",VLOOKUP(D205,Couleurs!A:B,2))</f>
        <v>MILK</v>
      </c>
      <c r="F205" s="1" t="s">
        <v>3912</v>
      </c>
      <c r="G205">
        <v>1</v>
      </c>
      <c r="H205" t="s">
        <v>3682</v>
      </c>
      <c r="I205" t="s">
        <v>3682</v>
      </c>
      <c r="J205">
        <f t="shared" si="6"/>
        <v>13.08</v>
      </c>
      <c r="K205" t="b">
        <f t="shared" si="7"/>
        <v>1</v>
      </c>
      <c r="L205" s="21"/>
      <c r="M205" s="21"/>
    </row>
    <row r="206" spans="1:13">
      <c r="A206" s="21"/>
      <c r="B206">
        <v>199</v>
      </c>
      <c r="C206" t="s">
        <v>69</v>
      </c>
      <c r="D206">
        <v>75</v>
      </c>
      <c r="E206" t="str">
        <f>IF(VLOOKUP(D206,Couleurs!A:B,2) = 0, "[" &amp; D206 &amp; "]",VLOOKUP(D206,Couleurs!A:B,2))</f>
        <v>[75]</v>
      </c>
      <c r="F206" s="1" t="s">
        <v>3913</v>
      </c>
      <c r="G206">
        <v>2</v>
      </c>
      <c r="H206" t="s">
        <v>3808</v>
      </c>
      <c r="I206" t="s">
        <v>3823</v>
      </c>
      <c r="J206">
        <f t="shared" si="6"/>
        <v>38.64</v>
      </c>
      <c r="K206" t="b">
        <f t="shared" si="7"/>
        <v>1</v>
      </c>
      <c r="L206" s="21"/>
      <c r="M206" s="21"/>
    </row>
    <row r="207" spans="1:13">
      <c r="A207" s="21"/>
      <c r="B207">
        <v>200</v>
      </c>
      <c r="C207" t="s">
        <v>0</v>
      </c>
      <c r="D207">
        <v>76</v>
      </c>
      <c r="E207" t="str">
        <f>IF(VLOOKUP(D207,Couleurs!A:B,2) = 0, "[" &amp; D207 &amp; "]",VLOOKUP(D207,Couleurs!A:B,2))</f>
        <v>[76]</v>
      </c>
      <c r="F207" s="1" t="s">
        <v>3914</v>
      </c>
      <c r="G207">
        <v>2</v>
      </c>
      <c r="H207" t="s">
        <v>3685</v>
      </c>
      <c r="I207" t="s">
        <v>432</v>
      </c>
      <c r="J207">
        <f t="shared" si="6"/>
        <v>15.6</v>
      </c>
      <c r="K207" t="b">
        <f t="shared" si="7"/>
        <v>1</v>
      </c>
      <c r="L207" s="21"/>
      <c r="M207" s="21"/>
    </row>
    <row r="208" spans="1:13">
      <c r="A208" s="21"/>
      <c r="B208">
        <v>201</v>
      </c>
      <c r="C208" t="s">
        <v>31</v>
      </c>
      <c r="D208">
        <v>26</v>
      </c>
      <c r="E208" t="str">
        <f>IF(VLOOKUP(D208,Couleurs!A:B,2) = 0, "[" &amp; D208 &amp; "]",VLOOKUP(D208,Couleurs!A:B,2))</f>
        <v>[26]</v>
      </c>
      <c r="F208" s="1" t="s">
        <v>3915</v>
      </c>
      <c r="G208">
        <v>2</v>
      </c>
      <c r="H208" t="s">
        <v>439</v>
      </c>
      <c r="I208" t="s">
        <v>440</v>
      </c>
      <c r="J208">
        <f t="shared" si="6"/>
        <v>21.6</v>
      </c>
      <c r="K208" t="b">
        <f t="shared" si="7"/>
        <v>1</v>
      </c>
      <c r="L208" s="21"/>
      <c r="M208" s="21"/>
    </row>
    <row r="209" spans="1:13">
      <c r="A209" s="21"/>
      <c r="B209">
        <v>202</v>
      </c>
      <c r="C209" t="s">
        <v>29</v>
      </c>
      <c r="D209">
        <v>75</v>
      </c>
      <c r="E209" t="str">
        <f>IF(VLOOKUP(D209,Couleurs!A:B,2) = 0, "[" &amp; D209 &amp; "]",VLOOKUP(D209,Couleurs!A:B,2))</f>
        <v>[75]</v>
      </c>
      <c r="F209" s="1" t="s">
        <v>3916</v>
      </c>
      <c r="G209">
        <v>2</v>
      </c>
      <c r="H209" t="s">
        <v>438</v>
      </c>
      <c r="I209" t="s">
        <v>3917</v>
      </c>
      <c r="J209">
        <f t="shared" si="6"/>
        <v>14.16</v>
      </c>
      <c r="K209" t="b">
        <f t="shared" si="7"/>
        <v>1</v>
      </c>
      <c r="L209" s="21"/>
      <c r="M209" s="21"/>
    </row>
    <row r="210" spans="1:13">
      <c r="A210" s="21"/>
      <c r="B210">
        <v>203</v>
      </c>
      <c r="C210" t="s">
        <v>19</v>
      </c>
      <c r="D210">
        <v>36</v>
      </c>
      <c r="E210" t="str">
        <f>IF(VLOOKUP(D210,Couleurs!A:B,2) = 0, "[" &amp; D210 &amp; "]",VLOOKUP(D210,Couleurs!A:B,2))</f>
        <v>[36]</v>
      </c>
      <c r="F210" s="1" t="s">
        <v>3918</v>
      </c>
      <c r="G210">
        <v>3</v>
      </c>
      <c r="H210" t="s">
        <v>3683</v>
      </c>
      <c r="I210" t="s">
        <v>436</v>
      </c>
      <c r="J210">
        <f t="shared" si="6"/>
        <v>28.799999999999997</v>
      </c>
      <c r="K210" t="b">
        <f t="shared" si="7"/>
        <v>1</v>
      </c>
      <c r="L210" s="21"/>
      <c r="M210" s="21"/>
    </row>
    <row r="211" spans="1:13">
      <c r="A211" s="21"/>
      <c r="B211">
        <v>204</v>
      </c>
      <c r="C211" t="s">
        <v>35</v>
      </c>
      <c r="D211">
        <v>8</v>
      </c>
      <c r="E211" t="str">
        <f>IF(VLOOKUP(D211,Couleurs!A:B,2) = 0, "[" &amp; D211 &amp; "]",VLOOKUP(D211,Couleurs!A:B,2))</f>
        <v>WHITE</v>
      </c>
      <c r="F211" s="1" t="s">
        <v>3919</v>
      </c>
      <c r="G211">
        <v>6</v>
      </c>
      <c r="H211" t="s">
        <v>3720</v>
      </c>
      <c r="I211" t="s">
        <v>3722</v>
      </c>
      <c r="J211">
        <f t="shared" si="6"/>
        <v>15.120000000000001</v>
      </c>
      <c r="K211" t="b">
        <f t="shared" si="7"/>
        <v>1</v>
      </c>
      <c r="L211" s="21"/>
      <c r="M211" s="21"/>
    </row>
    <row r="212" spans="1:13">
      <c r="A212" s="21"/>
      <c r="B212">
        <v>205</v>
      </c>
      <c r="C212" t="s">
        <v>99</v>
      </c>
      <c r="D212">
        <v>227</v>
      </c>
      <c r="E212" t="str">
        <f>IF(VLOOKUP(D212,Couleurs!A:B,2) = 0, "[" &amp; D212 &amp; "]",VLOOKUP(D212,Couleurs!A:B,2))</f>
        <v>[227]</v>
      </c>
      <c r="F212" s="1" t="s">
        <v>3920</v>
      </c>
      <c r="G212">
        <v>2</v>
      </c>
      <c r="H212" t="s">
        <v>3704</v>
      </c>
      <c r="I212" t="s">
        <v>3706</v>
      </c>
      <c r="J212">
        <f t="shared" si="6"/>
        <v>25.44</v>
      </c>
      <c r="K212" t="b">
        <f t="shared" si="7"/>
        <v>1</v>
      </c>
      <c r="L212" s="21"/>
      <c r="M212" s="21"/>
    </row>
    <row r="213" spans="1:13">
      <c r="A213" s="21"/>
      <c r="B213">
        <v>206</v>
      </c>
      <c r="C213" t="s">
        <v>15</v>
      </c>
      <c r="D213">
        <v>130</v>
      </c>
      <c r="E213" t="str">
        <f>IF(VLOOKUP(D213,Couleurs!A:B,2) = 0, "[" &amp; D213 &amp; "]",VLOOKUP(D213,Couleurs!A:B,2))</f>
        <v>[130]</v>
      </c>
      <c r="F213" s="1" t="s">
        <v>3921</v>
      </c>
      <c r="G213">
        <v>2</v>
      </c>
      <c r="H213" t="s">
        <v>3828</v>
      </c>
      <c r="I213" t="s">
        <v>3830</v>
      </c>
      <c r="J213">
        <f t="shared" si="6"/>
        <v>19.559999999999999</v>
      </c>
      <c r="K213" t="b">
        <f t="shared" si="7"/>
        <v>1</v>
      </c>
      <c r="L213" s="21"/>
      <c r="M213" s="21"/>
    </row>
    <row r="214" spans="1:13">
      <c r="A214" s="21"/>
      <c r="B214">
        <v>207</v>
      </c>
      <c r="C214" t="s">
        <v>108</v>
      </c>
      <c r="D214">
        <v>8</v>
      </c>
      <c r="E214" t="str">
        <f>IF(VLOOKUP(D214,Couleurs!A:B,2) = 0, "[" &amp; D214 &amp; "]",VLOOKUP(D214,Couleurs!A:B,2))</f>
        <v>WHITE</v>
      </c>
      <c r="F214" s="1" t="s">
        <v>3922</v>
      </c>
      <c r="G214">
        <v>2</v>
      </c>
      <c r="H214" t="s">
        <v>3704</v>
      </c>
      <c r="I214" t="s">
        <v>3706</v>
      </c>
      <c r="J214">
        <f t="shared" si="6"/>
        <v>25.44</v>
      </c>
      <c r="K214" t="b">
        <f t="shared" si="7"/>
        <v>1</v>
      </c>
      <c r="L214" s="21"/>
      <c r="M214" s="21"/>
    </row>
    <row r="215" spans="1:13">
      <c r="A215" s="21"/>
      <c r="B215">
        <v>208</v>
      </c>
      <c r="C215" t="s">
        <v>67</v>
      </c>
      <c r="D215">
        <v>500</v>
      </c>
      <c r="E215" t="str">
        <f>IF(VLOOKUP(D215,Couleurs!A:B,2) = 0, "[" &amp; D215 &amp; "]",VLOOKUP(D215,Couleurs!A:B,2))</f>
        <v>[500]</v>
      </c>
      <c r="F215" s="1" t="s">
        <v>3923</v>
      </c>
      <c r="G215">
        <v>4</v>
      </c>
      <c r="H215" t="s">
        <v>3685</v>
      </c>
      <c r="I215" t="s">
        <v>434</v>
      </c>
      <c r="J215">
        <f t="shared" si="6"/>
        <v>31.2</v>
      </c>
      <c r="K215" t="b">
        <f t="shared" si="7"/>
        <v>1</v>
      </c>
      <c r="L215" s="21"/>
      <c r="M215" s="21"/>
    </row>
    <row r="216" spans="1:13">
      <c r="A216" s="21"/>
      <c r="B216">
        <v>209</v>
      </c>
      <c r="C216" t="s">
        <v>9</v>
      </c>
      <c r="D216">
        <v>371</v>
      </c>
      <c r="E216" t="str">
        <f>IF(VLOOKUP(D216,Couleurs!A:B,2) = 0, "[" &amp; D216 &amp; "]",VLOOKUP(D216,Couleurs!A:B,2))</f>
        <v>MILK</v>
      </c>
      <c r="F216" s="1" t="s">
        <v>3924</v>
      </c>
      <c r="G216">
        <v>3</v>
      </c>
      <c r="H216" t="s">
        <v>428</v>
      </c>
      <c r="I216" t="s">
        <v>433</v>
      </c>
      <c r="J216">
        <f t="shared" si="6"/>
        <v>43.2</v>
      </c>
      <c r="K216" t="b">
        <f t="shared" si="7"/>
        <v>1</v>
      </c>
      <c r="L216" s="21"/>
      <c r="M216" s="21"/>
    </row>
    <row r="217" spans="1:13">
      <c r="A217" s="21"/>
      <c r="B217">
        <v>210</v>
      </c>
      <c r="C217" t="s">
        <v>18</v>
      </c>
      <c r="D217">
        <v>76</v>
      </c>
      <c r="E217" t="str">
        <f>IF(VLOOKUP(D217,Couleurs!A:B,2) = 0, "[" &amp; D217 &amp; "]",VLOOKUP(D217,Couleurs!A:B,2))</f>
        <v>[76]</v>
      </c>
      <c r="F217" s="1" t="s">
        <v>3926</v>
      </c>
      <c r="G217">
        <v>2</v>
      </c>
      <c r="H217" t="s">
        <v>3925</v>
      </c>
      <c r="I217" t="s">
        <v>429</v>
      </c>
      <c r="J217">
        <f t="shared" si="6"/>
        <v>13.44</v>
      </c>
      <c r="K217" t="b">
        <f t="shared" si="7"/>
        <v>1</v>
      </c>
      <c r="L217" s="21"/>
      <c r="M217" s="21"/>
    </row>
    <row r="218" spans="1:13">
      <c r="A218" s="21"/>
      <c r="B218">
        <v>211</v>
      </c>
      <c r="C218" t="s">
        <v>63</v>
      </c>
      <c r="D218">
        <v>480</v>
      </c>
      <c r="E218" t="str">
        <f>IF(VLOOKUP(D218,Couleurs!A:B,2) = 0, "[" &amp; D218 &amp; "]",VLOOKUP(D218,Couleurs!A:B,2))</f>
        <v>[480]</v>
      </c>
      <c r="F218" s="1" t="s">
        <v>3927</v>
      </c>
      <c r="G218">
        <v>2</v>
      </c>
      <c r="H218" t="s">
        <v>431</v>
      </c>
      <c r="I218" t="s">
        <v>442</v>
      </c>
      <c r="J218">
        <f t="shared" si="6"/>
        <v>23.76</v>
      </c>
      <c r="K218" t="b">
        <f t="shared" si="7"/>
        <v>1</v>
      </c>
      <c r="L218" s="21"/>
      <c r="M218" s="21"/>
    </row>
    <row r="219" spans="1:13">
      <c r="A219" s="21"/>
      <c r="B219">
        <v>212</v>
      </c>
      <c r="C219" t="s">
        <v>2429</v>
      </c>
      <c r="D219">
        <v>26</v>
      </c>
      <c r="E219" t="str">
        <f>IF(VLOOKUP(D219,Couleurs!A:B,2) = 0, "[" &amp; D219 &amp; "]",VLOOKUP(D219,Couleurs!A:B,2))</f>
        <v>[26]</v>
      </c>
      <c r="F219" s="1" t="s">
        <v>3928</v>
      </c>
      <c r="G219">
        <v>2</v>
      </c>
      <c r="H219" t="s">
        <v>3853</v>
      </c>
      <c r="I219" t="s">
        <v>3855</v>
      </c>
      <c r="J219">
        <f t="shared" si="6"/>
        <v>27.84</v>
      </c>
      <c r="K219" t="b">
        <f t="shared" si="7"/>
        <v>1</v>
      </c>
      <c r="L219" s="21"/>
      <c r="M219" s="21"/>
    </row>
    <row r="220" spans="1:13">
      <c r="A220" s="21"/>
      <c r="B220">
        <v>213</v>
      </c>
      <c r="C220" t="s">
        <v>81</v>
      </c>
      <c r="D220">
        <v>408</v>
      </c>
      <c r="E220" t="str">
        <f>IF(VLOOKUP(D220,Couleurs!A:B,2) = 0, "[" &amp; D220 &amp; "]",VLOOKUP(D220,Couleurs!A:B,2))</f>
        <v>[408]</v>
      </c>
      <c r="F220" s="1" t="s">
        <v>3929</v>
      </c>
      <c r="G220">
        <v>2</v>
      </c>
      <c r="H220" t="s">
        <v>431</v>
      </c>
      <c r="I220" t="s">
        <v>442</v>
      </c>
      <c r="J220">
        <f t="shared" si="6"/>
        <v>23.76</v>
      </c>
      <c r="K220" t="b">
        <f t="shared" si="7"/>
        <v>1</v>
      </c>
      <c r="L220" s="21"/>
      <c r="M220" s="21"/>
    </row>
    <row r="221" spans="1:13">
      <c r="A221" s="21"/>
      <c r="B221">
        <v>214</v>
      </c>
      <c r="C221" t="s">
        <v>22</v>
      </c>
      <c r="D221">
        <v>17</v>
      </c>
      <c r="E221" t="str">
        <f>IF(VLOOKUP(D221,Couleurs!A:B,2) = 0, "[" &amp; D221 &amp; "]",VLOOKUP(D221,Couleurs!A:B,2))</f>
        <v>NAVY BLUE</v>
      </c>
      <c r="F221" s="1" t="s">
        <v>3930</v>
      </c>
      <c r="G221">
        <v>1</v>
      </c>
      <c r="H221" t="s">
        <v>428</v>
      </c>
      <c r="I221" t="s">
        <v>428</v>
      </c>
      <c r="J221">
        <f t="shared" si="6"/>
        <v>14.4</v>
      </c>
      <c r="K221" t="b">
        <f t="shared" si="7"/>
        <v>1</v>
      </c>
      <c r="L221" s="21"/>
      <c r="M221" s="21"/>
    </row>
    <row r="222" spans="1:13">
      <c r="A222" s="21"/>
      <c r="B222">
        <v>215</v>
      </c>
      <c r="C222" t="s">
        <v>22</v>
      </c>
      <c r="D222">
        <v>347</v>
      </c>
      <c r="E222" t="str">
        <f>IF(VLOOKUP(D222,Couleurs!A:B,2) = 0, "[" &amp; D222 &amp; "]",VLOOKUP(D222,Couleurs!A:B,2))</f>
        <v>[347]</v>
      </c>
      <c r="F222" s="1" t="s">
        <v>3931</v>
      </c>
      <c r="G222">
        <v>2</v>
      </c>
      <c r="H222" t="s">
        <v>428</v>
      </c>
      <c r="I222" t="s">
        <v>436</v>
      </c>
      <c r="J222">
        <f t="shared" si="6"/>
        <v>28.8</v>
      </c>
      <c r="K222" t="b">
        <f t="shared" si="7"/>
        <v>1</v>
      </c>
      <c r="L222" s="21"/>
      <c r="M222" s="21"/>
    </row>
    <row r="223" spans="1:13">
      <c r="A223" s="21"/>
      <c r="B223">
        <v>216</v>
      </c>
      <c r="C223" t="s">
        <v>41</v>
      </c>
      <c r="D223">
        <v>8</v>
      </c>
      <c r="E223" t="str">
        <f>IF(VLOOKUP(D223,Couleurs!A:B,2) = 0, "[" &amp; D223 &amp; "]",VLOOKUP(D223,Couleurs!A:B,2))</f>
        <v>WHITE</v>
      </c>
      <c r="F223" s="1" t="s">
        <v>3932</v>
      </c>
      <c r="G223">
        <v>2</v>
      </c>
      <c r="H223" t="s">
        <v>3687</v>
      </c>
      <c r="I223" t="s">
        <v>3688</v>
      </c>
      <c r="J223">
        <f t="shared" si="6"/>
        <v>19.440000000000001</v>
      </c>
      <c r="K223" t="b">
        <f t="shared" si="7"/>
        <v>1</v>
      </c>
      <c r="L223" s="21"/>
      <c r="M223" s="21"/>
    </row>
    <row r="224" spans="1:13">
      <c r="A224" s="21"/>
      <c r="B224">
        <v>217</v>
      </c>
      <c r="C224" t="s">
        <v>15</v>
      </c>
      <c r="D224">
        <v>422</v>
      </c>
      <c r="E224" t="str">
        <f>IF(VLOOKUP(D224,Couleurs!A:B,2) = 0, "[" &amp; D224 &amp; "]",VLOOKUP(D224,Couleurs!A:B,2))</f>
        <v>SANGRIA</v>
      </c>
      <c r="F224" s="1" t="s">
        <v>3933</v>
      </c>
      <c r="G224">
        <v>2</v>
      </c>
      <c r="H224" t="s">
        <v>3828</v>
      </c>
      <c r="I224" t="s">
        <v>3830</v>
      </c>
      <c r="J224">
        <f t="shared" si="6"/>
        <v>19.559999999999999</v>
      </c>
      <c r="K224" t="b">
        <f t="shared" si="7"/>
        <v>1</v>
      </c>
      <c r="L224" s="21"/>
      <c r="M224" s="21"/>
    </row>
    <row r="225" spans="1:13">
      <c r="A225" s="21"/>
      <c r="B225">
        <v>218</v>
      </c>
      <c r="C225" t="s">
        <v>32</v>
      </c>
      <c r="D225">
        <v>75</v>
      </c>
      <c r="E225" t="str">
        <f>IF(VLOOKUP(D225,Couleurs!A:B,2) = 0, "[" &amp; D225 &amp; "]",VLOOKUP(D225,Couleurs!A:B,2))</f>
        <v>[75]</v>
      </c>
      <c r="F225" s="1" t="s">
        <v>3934</v>
      </c>
      <c r="G225">
        <v>6</v>
      </c>
      <c r="H225" t="s">
        <v>441</v>
      </c>
      <c r="I225" t="s">
        <v>3727</v>
      </c>
      <c r="J225">
        <f t="shared" si="6"/>
        <v>27.36</v>
      </c>
      <c r="K225" t="b">
        <f t="shared" si="7"/>
        <v>1</v>
      </c>
      <c r="L225" s="21"/>
      <c r="M225" s="21"/>
    </row>
    <row r="226" spans="1:13">
      <c r="A226" s="21"/>
      <c r="B226">
        <v>219</v>
      </c>
      <c r="C226" t="s">
        <v>26</v>
      </c>
      <c r="D226">
        <v>78</v>
      </c>
      <c r="E226" t="str">
        <f>IF(VLOOKUP(D226,Couleurs!A:B,2) = 0, "[" &amp; D226 &amp; "]",VLOOKUP(D226,Couleurs!A:B,2))</f>
        <v>SAND</v>
      </c>
      <c r="F226" s="1" t="s">
        <v>3935</v>
      </c>
      <c r="G226">
        <v>1</v>
      </c>
      <c r="H226" t="s">
        <v>428</v>
      </c>
      <c r="I226" t="s">
        <v>428</v>
      </c>
      <c r="J226">
        <f t="shared" si="6"/>
        <v>14.4</v>
      </c>
      <c r="K226" t="b">
        <f t="shared" si="7"/>
        <v>1</v>
      </c>
      <c r="L226" s="21"/>
      <c r="M226" s="21"/>
    </row>
    <row r="227" spans="1:13">
      <c r="A227" s="21"/>
      <c r="B227">
        <v>220</v>
      </c>
      <c r="C227" t="s">
        <v>26</v>
      </c>
      <c r="D227">
        <v>26</v>
      </c>
      <c r="E227" t="str">
        <f>IF(VLOOKUP(D227,Couleurs!A:B,2) = 0, "[" &amp; D227 &amp; "]",VLOOKUP(D227,Couleurs!A:B,2))</f>
        <v>[26]</v>
      </c>
      <c r="F227" s="1" t="s">
        <v>3936</v>
      </c>
      <c r="G227">
        <v>3</v>
      </c>
      <c r="H227" t="s">
        <v>428</v>
      </c>
      <c r="I227" t="s">
        <v>433</v>
      </c>
      <c r="J227">
        <f t="shared" si="6"/>
        <v>43.2</v>
      </c>
      <c r="K227" t="b">
        <f t="shared" si="7"/>
        <v>1</v>
      </c>
      <c r="L227" s="21"/>
      <c r="M227" s="21"/>
    </row>
    <row r="228" spans="1:13">
      <c r="A228" s="21"/>
      <c r="B228">
        <v>221</v>
      </c>
      <c r="C228" t="s">
        <v>2</v>
      </c>
      <c r="D228">
        <v>371</v>
      </c>
      <c r="E228" t="str">
        <f>IF(VLOOKUP(D228,Couleurs!A:B,2) = 0, "[" &amp; D228 &amp; "]",VLOOKUP(D228,Couleurs!A:B,2))</f>
        <v>MILK</v>
      </c>
      <c r="F228" s="1" t="s">
        <v>3937</v>
      </c>
      <c r="G228">
        <v>3</v>
      </c>
      <c r="H228" t="s">
        <v>427</v>
      </c>
      <c r="I228" t="s">
        <v>428</v>
      </c>
      <c r="J228">
        <f t="shared" si="6"/>
        <v>14.399999999999999</v>
      </c>
      <c r="K228" t="b">
        <f t="shared" si="7"/>
        <v>1</v>
      </c>
      <c r="L228" s="21"/>
      <c r="M228" s="21"/>
    </row>
    <row r="229" spans="1:13">
      <c r="A229" s="21"/>
      <c r="B229">
        <v>222</v>
      </c>
      <c r="C229" t="s">
        <v>64</v>
      </c>
      <c r="D229">
        <v>483</v>
      </c>
      <c r="E229" t="str">
        <f>IF(VLOOKUP(D229,Couleurs!A:B,2) = 0, "[" &amp; D229 &amp; "]",VLOOKUP(D229,Couleurs!A:B,2))</f>
        <v>[483]</v>
      </c>
      <c r="F229" s="1" t="s">
        <v>3938</v>
      </c>
      <c r="G229">
        <v>3</v>
      </c>
      <c r="H229" t="s">
        <v>3683</v>
      </c>
      <c r="I229" t="s">
        <v>436</v>
      </c>
      <c r="J229">
        <f t="shared" si="6"/>
        <v>28.799999999999997</v>
      </c>
      <c r="K229" t="b">
        <f t="shared" si="7"/>
        <v>1</v>
      </c>
      <c r="L229" s="21"/>
      <c r="M229" s="21"/>
    </row>
    <row r="230" spans="1:13">
      <c r="A230" s="21"/>
      <c r="B230">
        <v>223</v>
      </c>
      <c r="C230" t="s">
        <v>2425</v>
      </c>
      <c r="D230">
        <v>130</v>
      </c>
      <c r="E230" t="str">
        <f>IF(VLOOKUP(D230,Couleurs!A:B,2) = 0, "[" &amp; D230 &amp; "]",VLOOKUP(D230,Couleurs!A:B,2))</f>
        <v>[130]</v>
      </c>
      <c r="F230" s="1" t="s">
        <v>3939</v>
      </c>
      <c r="G230">
        <v>2</v>
      </c>
      <c r="H230" t="s">
        <v>3704</v>
      </c>
      <c r="I230" t="s">
        <v>3706</v>
      </c>
      <c r="J230">
        <f t="shared" si="6"/>
        <v>25.44</v>
      </c>
      <c r="K230" t="b">
        <f t="shared" si="7"/>
        <v>1</v>
      </c>
      <c r="L230" s="21"/>
      <c r="M230" s="21"/>
    </row>
    <row r="231" spans="1:13">
      <c r="A231" s="21"/>
      <c r="B231">
        <v>224</v>
      </c>
      <c r="C231" t="s">
        <v>34</v>
      </c>
      <c r="D231">
        <v>55</v>
      </c>
      <c r="E231" t="str">
        <f>IF(VLOOKUP(D231,Couleurs!A:B,2) = 0, "[" &amp; D231 &amp; "]",VLOOKUP(D231,Couleurs!A:B,2))</f>
        <v>BLACK</v>
      </c>
      <c r="F231" s="1" t="s">
        <v>3940</v>
      </c>
      <c r="G231">
        <v>2</v>
      </c>
      <c r="H231" t="s">
        <v>3698</v>
      </c>
      <c r="I231" t="s">
        <v>3700</v>
      </c>
      <c r="J231">
        <f t="shared" si="6"/>
        <v>22.08</v>
      </c>
      <c r="K231" t="b">
        <f t="shared" si="7"/>
        <v>1</v>
      </c>
      <c r="L231" s="21"/>
      <c r="M231" s="21"/>
    </row>
    <row r="232" spans="1:13">
      <c r="A232" s="21"/>
      <c r="B232">
        <v>225</v>
      </c>
      <c r="C232" t="s">
        <v>2465</v>
      </c>
      <c r="D232">
        <v>36</v>
      </c>
      <c r="E232" t="str">
        <f>IF(VLOOKUP(D232,Couleurs!A:B,2) = 0, "[" &amp; D232 &amp; "]",VLOOKUP(D232,Couleurs!A:B,2))</f>
        <v>[36]</v>
      </c>
      <c r="F232" s="1" t="s">
        <v>3941</v>
      </c>
      <c r="G232">
        <v>2</v>
      </c>
      <c r="H232" t="s">
        <v>439</v>
      </c>
      <c r="I232" t="s">
        <v>440</v>
      </c>
      <c r="J232">
        <f t="shared" si="6"/>
        <v>21.6</v>
      </c>
      <c r="K232" t="b">
        <f t="shared" si="7"/>
        <v>1</v>
      </c>
      <c r="L232" s="21"/>
      <c r="M232" s="21"/>
    </row>
    <row r="233" spans="1:13">
      <c r="A233" s="21"/>
      <c r="B233">
        <v>226</v>
      </c>
      <c r="C233" t="s">
        <v>100</v>
      </c>
      <c r="D233">
        <v>55</v>
      </c>
      <c r="E233" t="str">
        <f>IF(VLOOKUP(D233,Couleurs!A:B,2) = 0, "[" &amp; D233 &amp; "]",VLOOKUP(D233,Couleurs!A:B,2))</f>
        <v>BLACK</v>
      </c>
      <c r="F233" s="1" t="s">
        <v>3942</v>
      </c>
      <c r="G233">
        <v>3</v>
      </c>
      <c r="H233">
        <v>33</v>
      </c>
      <c r="I233">
        <v>99</v>
      </c>
      <c r="J233">
        <f t="shared" si="6"/>
        <v>99</v>
      </c>
      <c r="K233" t="b">
        <f t="shared" si="7"/>
        <v>1</v>
      </c>
      <c r="L233" s="21"/>
      <c r="M233" s="21"/>
    </row>
    <row r="234" spans="1:13">
      <c r="A234" s="21"/>
      <c r="B234">
        <v>227</v>
      </c>
      <c r="C234" t="s">
        <v>2418</v>
      </c>
      <c r="D234">
        <v>371</v>
      </c>
      <c r="E234" t="str">
        <f>IF(VLOOKUP(D234,Couleurs!A:B,2) = 0, "[" &amp; D234 &amp; "]",VLOOKUP(D234,Couleurs!A:B,2))</f>
        <v>MILK</v>
      </c>
      <c r="F234" s="1" t="s">
        <v>3943</v>
      </c>
      <c r="G234">
        <v>2</v>
      </c>
      <c r="H234" t="s">
        <v>431</v>
      </c>
      <c r="I234" t="s">
        <v>442</v>
      </c>
      <c r="J234">
        <f t="shared" si="6"/>
        <v>23.76</v>
      </c>
      <c r="K234" t="b">
        <f t="shared" si="7"/>
        <v>1</v>
      </c>
      <c r="L234" s="21"/>
      <c r="M234" s="21"/>
    </row>
    <row r="235" spans="1:13">
      <c r="A235" s="21"/>
      <c r="B235">
        <v>228</v>
      </c>
      <c r="C235" t="s">
        <v>2431</v>
      </c>
      <c r="D235">
        <v>479</v>
      </c>
      <c r="E235" t="str">
        <f>IF(VLOOKUP(D235,Couleurs!A:B,2) = 0, "[" &amp; D235 &amp; "]",VLOOKUP(D235,Couleurs!A:B,2))</f>
        <v>[479]</v>
      </c>
      <c r="F235" s="1" t="s">
        <v>3944</v>
      </c>
      <c r="G235">
        <v>3</v>
      </c>
      <c r="H235" t="s">
        <v>431</v>
      </c>
      <c r="I235" t="s">
        <v>3703</v>
      </c>
      <c r="J235">
        <f t="shared" si="6"/>
        <v>35.64</v>
      </c>
      <c r="K235" t="b">
        <f t="shared" si="7"/>
        <v>1</v>
      </c>
      <c r="L235" s="21"/>
      <c r="M235" s="21"/>
    </row>
    <row r="236" spans="1:13">
      <c r="A236" s="21"/>
      <c r="B236">
        <v>229</v>
      </c>
      <c r="C236" t="s">
        <v>96</v>
      </c>
      <c r="D236">
        <v>75</v>
      </c>
      <c r="E236" t="str">
        <f>IF(VLOOKUP(D236,Couleurs!A:B,2) = 0, "[" &amp; D236 &amp; "]",VLOOKUP(D236,Couleurs!A:B,2))</f>
        <v>[75]</v>
      </c>
      <c r="F236" s="1" t="s">
        <v>3945</v>
      </c>
      <c r="G236">
        <v>3</v>
      </c>
      <c r="H236" t="s">
        <v>3861</v>
      </c>
      <c r="I236" t="s">
        <v>3863</v>
      </c>
      <c r="J236">
        <f t="shared" si="6"/>
        <v>48.96</v>
      </c>
      <c r="K236" t="b">
        <f t="shared" si="7"/>
        <v>1</v>
      </c>
      <c r="L236" s="21"/>
      <c r="M236" s="21"/>
    </row>
    <row r="237" spans="1:13">
      <c r="A237" s="21"/>
      <c r="B237">
        <v>230</v>
      </c>
      <c r="C237" t="s">
        <v>54</v>
      </c>
      <c r="D237">
        <v>26</v>
      </c>
      <c r="E237" t="str">
        <f>IF(VLOOKUP(D237,Couleurs!A:B,2) = 0, "[" &amp; D237 &amp; "]",VLOOKUP(D237,Couleurs!A:B,2))</f>
        <v>[26]</v>
      </c>
      <c r="F237" s="1" t="s">
        <v>3946</v>
      </c>
      <c r="G237">
        <v>6</v>
      </c>
      <c r="H237" t="s">
        <v>3681</v>
      </c>
      <c r="I237" t="s">
        <v>440</v>
      </c>
      <c r="J237">
        <f t="shared" si="6"/>
        <v>21.6</v>
      </c>
      <c r="K237" t="b">
        <f t="shared" si="7"/>
        <v>1</v>
      </c>
      <c r="L237" s="21"/>
      <c r="M237" s="21"/>
    </row>
    <row r="238" spans="1:13">
      <c r="A238" s="21"/>
      <c r="B238">
        <v>231</v>
      </c>
      <c r="C238" t="s">
        <v>31</v>
      </c>
      <c r="D238">
        <v>422</v>
      </c>
      <c r="E238" t="str">
        <f>IF(VLOOKUP(D238,Couleurs!A:B,2) = 0, "[" &amp; D238 &amp; "]",VLOOKUP(D238,Couleurs!A:B,2))</f>
        <v>SANGRIA</v>
      </c>
      <c r="F238" s="1" t="s">
        <v>3947</v>
      </c>
      <c r="G238">
        <v>2</v>
      </c>
      <c r="H238" t="s">
        <v>439</v>
      </c>
      <c r="I238" t="s">
        <v>440</v>
      </c>
      <c r="J238">
        <f t="shared" si="6"/>
        <v>21.6</v>
      </c>
      <c r="K238" t="b">
        <f t="shared" si="7"/>
        <v>1</v>
      </c>
      <c r="L238" s="21"/>
      <c r="M238" s="21"/>
    </row>
    <row r="239" spans="1:13">
      <c r="A239" s="21"/>
      <c r="B239">
        <v>232</v>
      </c>
      <c r="C239" t="s">
        <v>24</v>
      </c>
      <c r="D239">
        <v>371</v>
      </c>
      <c r="E239" t="str">
        <f>IF(VLOOKUP(D239,Couleurs!A:B,2) = 0, "[" &amp; D239 &amp; "]",VLOOKUP(D239,Couleurs!A:B,2))</f>
        <v>MILK</v>
      </c>
      <c r="F239" s="1" t="s">
        <v>3948</v>
      </c>
      <c r="G239">
        <v>1</v>
      </c>
      <c r="H239" t="s">
        <v>427</v>
      </c>
      <c r="I239" t="s">
        <v>427</v>
      </c>
      <c r="J239">
        <f t="shared" si="6"/>
        <v>4.8</v>
      </c>
      <c r="K239" t="b">
        <f t="shared" si="7"/>
        <v>1</v>
      </c>
      <c r="L239" s="21"/>
      <c r="M239" s="21"/>
    </row>
    <row r="240" spans="1:13">
      <c r="A240" s="21"/>
      <c r="B240">
        <v>233</v>
      </c>
      <c r="C240" t="s">
        <v>2435</v>
      </c>
      <c r="D240">
        <v>227</v>
      </c>
      <c r="E240" t="str">
        <f>IF(VLOOKUP(D240,Couleurs!A:B,2) = 0, "[" &amp; D240 &amp; "]",VLOOKUP(D240,Couleurs!A:B,2))</f>
        <v>[227]</v>
      </c>
      <c r="F240" s="1" t="s">
        <v>3949</v>
      </c>
      <c r="G240">
        <v>2</v>
      </c>
      <c r="H240" t="s">
        <v>439</v>
      </c>
      <c r="I240" t="s">
        <v>440</v>
      </c>
      <c r="J240">
        <f t="shared" si="6"/>
        <v>21.6</v>
      </c>
      <c r="K240" t="b">
        <f t="shared" si="7"/>
        <v>1</v>
      </c>
      <c r="L240" s="21"/>
      <c r="M240" s="21"/>
    </row>
    <row r="241" spans="1:13">
      <c r="A241" s="21"/>
      <c r="B241">
        <v>234</v>
      </c>
      <c r="C241" t="s">
        <v>21</v>
      </c>
      <c r="D241">
        <v>158</v>
      </c>
      <c r="E241" t="str">
        <f>IF(VLOOKUP(D241,Couleurs!A:B,2) = 0, "[" &amp; D241 &amp; "]",VLOOKUP(D241,Couleurs!A:B,2))</f>
        <v>VOLCANO</v>
      </c>
      <c r="F241" s="1" t="s">
        <v>3950</v>
      </c>
      <c r="G241">
        <v>1</v>
      </c>
      <c r="H241" t="s">
        <v>428</v>
      </c>
      <c r="I241" t="s">
        <v>428</v>
      </c>
      <c r="J241">
        <f t="shared" si="6"/>
        <v>14.4</v>
      </c>
      <c r="K241" t="b">
        <f t="shared" si="7"/>
        <v>1</v>
      </c>
      <c r="L241" s="21"/>
      <c r="M241" s="21"/>
    </row>
    <row r="242" spans="1:13">
      <c r="A242" s="21"/>
      <c r="B242">
        <v>235</v>
      </c>
      <c r="C242" t="s">
        <v>2429</v>
      </c>
      <c r="D242">
        <v>422</v>
      </c>
      <c r="E242" t="str">
        <f>IF(VLOOKUP(D242,Couleurs!A:B,2) = 0, "[" &amp; D242 &amp; "]",VLOOKUP(D242,Couleurs!A:B,2))</f>
        <v>SANGRIA</v>
      </c>
      <c r="F242" s="1" t="s">
        <v>3951</v>
      </c>
      <c r="G242">
        <v>2</v>
      </c>
      <c r="H242" t="s">
        <v>3853</v>
      </c>
      <c r="I242" t="s">
        <v>3855</v>
      </c>
      <c r="J242">
        <f t="shared" si="6"/>
        <v>27.84</v>
      </c>
      <c r="K242" t="b">
        <f t="shared" si="7"/>
        <v>1</v>
      </c>
      <c r="L242" s="21"/>
      <c r="M242" s="21"/>
    </row>
    <row r="243" spans="1:13">
      <c r="A243" s="21"/>
      <c r="B243">
        <v>236</v>
      </c>
      <c r="C243" t="s">
        <v>23</v>
      </c>
      <c r="D243">
        <v>422</v>
      </c>
      <c r="E243" t="str">
        <f>IF(VLOOKUP(D243,Couleurs!A:B,2) = 0, "[" &amp; D243 &amp; "]",VLOOKUP(D243,Couleurs!A:B,2))</f>
        <v>SANGRIA</v>
      </c>
      <c r="F243" s="1" t="s">
        <v>3952</v>
      </c>
      <c r="G243">
        <v>2</v>
      </c>
      <c r="H243" t="s">
        <v>3682</v>
      </c>
      <c r="I243" t="s">
        <v>3747</v>
      </c>
      <c r="J243">
        <f t="shared" si="6"/>
        <v>26.16</v>
      </c>
      <c r="K243" t="b">
        <f t="shared" si="7"/>
        <v>1</v>
      </c>
      <c r="L243" s="21"/>
      <c r="M243" s="21"/>
    </row>
    <row r="244" spans="1:13">
      <c r="A244" s="21"/>
      <c r="B244">
        <v>237</v>
      </c>
      <c r="C244" t="s">
        <v>38</v>
      </c>
      <c r="D244">
        <v>480</v>
      </c>
      <c r="E244" t="str">
        <f>IF(VLOOKUP(D244,Couleurs!A:B,2) = 0, "[" &amp; D244 &amp; "]",VLOOKUP(D244,Couleurs!A:B,2))</f>
        <v>[480]</v>
      </c>
      <c r="F244" s="1" t="s">
        <v>3953</v>
      </c>
      <c r="G244">
        <v>2</v>
      </c>
      <c r="H244" t="s">
        <v>431</v>
      </c>
      <c r="I244" t="s">
        <v>442</v>
      </c>
      <c r="J244">
        <f t="shared" si="6"/>
        <v>23.76</v>
      </c>
      <c r="K244" t="b">
        <f t="shared" si="7"/>
        <v>1</v>
      </c>
      <c r="L244" s="21"/>
      <c r="M244" s="21"/>
    </row>
    <row r="245" spans="1:13">
      <c r="A245" s="21"/>
      <c r="B245">
        <v>238</v>
      </c>
      <c r="C245" t="s">
        <v>31</v>
      </c>
      <c r="D245">
        <v>75</v>
      </c>
      <c r="E245" t="str">
        <f>IF(VLOOKUP(D245,Couleurs!A:B,2) = 0, "[" &amp; D245 &amp; "]",VLOOKUP(D245,Couleurs!A:B,2))</f>
        <v>[75]</v>
      </c>
      <c r="F245" s="1" t="s">
        <v>3954</v>
      </c>
      <c r="G245">
        <v>2</v>
      </c>
      <c r="H245" t="s">
        <v>439</v>
      </c>
      <c r="I245" t="s">
        <v>440</v>
      </c>
      <c r="J245">
        <f t="shared" si="6"/>
        <v>21.6</v>
      </c>
      <c r="K245" t="b">
        <f t="shared" si="7"/>
        <v>1</v>
      </c>
      <c r="L245" s="21"/>
      <c r="M245" s="21"/>
    </row>
    <row r="246" spans="1:13">
      <c r="A246" s="21"/>
      <c r="B246">
        <v>239</v>
      </c>
      <c r="C246" t="s">
        <v>2427</v>
      </c>
      <c r="D246">
        <v>76</v>
      </c>
      <c r="E246" t="str">
        <f>IF(VLOOKUP(D246,Couleurs!A:B,2) = 0, "[" &amp; D246 &amp; "]",VLOOKUP(D246,Couleurs!A:B,2))</f>
        <v>[76]</v>
      </c>
      <c r="F246" s="1" t="s">
        <v>3955</v>
      </c>
      <c r="G246">
        <v>3</v>
      </c>
      <c r="H246" t="s">
        <v>3692</v>
      </c>
      <c r="I246" t="s">
        <v>3693</v>
      </c>
      <c r="J246">
        <f t="shared" si="6"/>
        <v>19.799999999999997</v>
      </c>
      <c r="K246" t="b">
        <f t="shared" si="7"/>
        <v>1</v>
      </c>
      <c r="L246" s="21"/>
      <c r="M246" s="21"/>
    </row>
    <row r="247" spans="1:13">
      <c r="A247" s="21"/>
      <c r="B247">
        <v>240</v>
      </c>
      <c r="C247" t="s">
        <v>2461</v>
      </c>
      <c r="D247">
        <v>55</v>
      </c>
      <c r="E247" t="str">
        <f>IF(VLOOKUP(D247,Couleurs!A:B,2) = 0, "[" &amp; D247 &amp; "]",VLOOKUP(D247,Couleurs!A:B,2))</f>
        <v>BLACK</v>
      </c>
      <c r="F247" s="1" t="s">
        <v>3899</v>
      </c>
      <c r="G247">
        <v>5</v>
      </c>
      <c r="H247" t="s">
        <v>428</v>
      </c>
      <c r="I247">
        <v>72</v>
      </c>
      <c r="J247">
        <f t="shared" si="6"/>
        <v>72</v>
      </c>
      <c r="K247" t="b">
        <f t="shared" si="7"/>
        <v>1</v>
      </c>
      <c r="L247" s="21"/>
      <c r="M247" s="21"/>
    </row>
    <row r="248" spans="1:13">
      <c r="A248" s="21"/>
      <c r="B248">
        <v>241</v>
      </c>
      <c r="C248" t="s">
        <v>90</v>
      </c>
      <c r="D248">
        <v>36</v>
      </c>
      <c r="E248" t="str">
        <f>IF(VLOOKUP(D248,Couleurs!A:B,2) = 0, "[" &amp; D248 &amp; "]",VLOOKUP(D248,Couleurs!A:B,2))</f>
        <v>[36]</v>
      </c>
      <c r="F248" s="1" t="s">
        <v>3956</v>
      </c>
      <c r="G248">
        <v>2</v>
      </c>
      <c r="H248" t="s">
        <v>3704</v>
      </c>
      <c r="I248" t="s">
        <v>3706</v>
      </c>
      <c r="J248">
        <f t="shared" si="6"/>
        <v>25.44</v>
      </c>
      <c r="K248" t="b">
        <f t="shared" si="7"/>
        <v>1</v>
      </c>
      <c r="L248" s="21"/>
      <c r="M248" s="21"/>
    </row>
    <row r="249" spans="1:13">
      <c r="A249" s="21"/>
      <c r="B249">
        <v>242</v>
      </c>
      <c r="C249" t="s">
        <v>51</v>
      </c>
      <c r="D249">
        <v>17</v>
      </c>
      <c r="E249" t="str">
        <f>IF(VLOOKUP(D249,Couleurs!A:B,2) = 0, "[" &amp; D249 &amp; "]",VLOOKUP(D249,Couleurs!A:B,2))</f>
        <v>NAVY BLUE</v>
      </c>
      <c r="F249" s="1" t="s">
        <v>3957</v>
      </c>
      <c r="G249">
        <v>8</v>
      </c>
      <c r="H249" t="s">
        <v>441</v>
      </c>
      <c r="I249" t="s">
        <v>444</v>
      </c>
      <c r="J249">
        <f t="shared" si="6"/>
        <v>36.479999999999997</v>
      </c>
      <c r="K249" t="b">
        <f t="shared" si="7"/>
        <v>1</v>
      </c>
      <c r="L249" s="21"/>
      <c r="M249" s="21"/>
    </row>
    <row r="250" spans="1:13">
      <c r="A250" s="21"/>
      <c r="B250">
        <v>243</v>
      </c>
      <c r="C250" t="s">
        <v>21</v>
      </c>
      <c r="D250">
        <v>26</v>
      </c>
      <c r="E250" t="str">
        <f>IF(VLOOKUP(D250,Couleurs!A:B,2) = 0, "[" &amp; D250 &amp; "]",VLOOKUP(D250,Couleurs!A:B,2))</f>
        <v>[26]</v>
      </c>
      <c r="F250" s="1" t="s">
        <v>3958</v>
      </c>
      <c r="G250">
        <v>3</v>
      </c>
      <c r="H250" t="s">
        <v>428</v>
      </c>
      <c r="I250" t="s">
        <v>433</v>
      </c>
      <c r="J250">
        <f t="shared" si="6"/>
        <v>43.2</v>
      </c>
      <c r="K250" t="b">
        <f t="shared" si="7"/>
        <v>1</v>
      </c>
      <c r="L250" s="21"/>
      <c r="M250" s="21"/>
    </row>
    <row r="251" spans="1:13">
      <c r="A251" s="21"/>
      <c r="B251">
        <v>244</v>
      </c>
      <c r="C251" t="s">
        <v>21</v>
      </c>
      <c r="D251">
        <v>17</v>
      </c>
      <c r="E251" t="str">
        <f>IF(VLOOKUP(D251,Couleurs!A:B,2) = 0, "[" &amp; D251 &amp; "]",VLOOKUP(D251,Couleurs!A:B,2))</f>
        <v>NAVY BLUE</v>
      </c>
      <c r="F251" s="1" t="s">
        <v>3959</v>
      </c>
      <c r="G251">
        <v>1</v>
      </c>
      <c r="H251" t="s">
        <v>428</v>
      </c>
      <c r="I251" t="s">
        <v>428</v>
      </c>
      <c r="J251">
        <f t="shared" si="6"/>
        <v>14.4</v>
      </c>
      <c r="K251" t="b">
        <f t="shared" si="7"/>
        <v>1</v>
      </c>
      <c r="L251" s="21"/>
      <c r="M251" s="21"/>
    </row>
    <row r="252" spans="1:13">
      <c r="A252" s="21"/>
      <c r="B252">
        <v>245</v>
      </c>
      <c r="C252" t="s">
        <v>2427</v>
      </c>
      <c r="D252">
        <v>479</v>
      </c>
      <c r="E252" t="str">
        <f>IF(VLOOKUP(D252,Couleurs!A:B,2) = 0, "[" &amp; D252 &amp; "]",VLOOKUP(D252,Couleurs!A:B,2))</f>
        <v>[479]</v>
      </c>
      <c r="F252" s="1" t="s">
        <v>3960</v>
      </c>
      <c r="G252">
        <v>3</v>
      </c>
      <c r="H252" t="s">
        <v>3692</v>
      </c>
      <c r="I252" t="s">
        <v>3693</v>
      </c>
      <c r="J252">
        <f t="shared" si="6"/>
        <v>19.799999999999997</v>
      </c>
      <c r="K252" t="b">
        <f t="shared" si="7"/>
        <v>1</v>
      </c>
      <c r="L252" s="21"/>
      <c r="M252" s="21"/>
    </row>
    <row r="253" spans="1:13">
      <c r="A253" s="21"/>
      <c r="B253">
        <v>246</v>
      </c>
      <c r="C253" t="s">
        <v>63</v>
      </c>
      <c r="D253">
        <v>481</v>
      </c>
      <c r="E253" t="str">
        <f>IF(VLOOKUP(D253,Couleurs!A:B,2) = 0, "[" &amp; D253 &amp; "]",VLOOKUP(D253,Couleurs!A:B,2))</f>
        <v>[481]</v>
      </c>
      <c r="F253" s="1" t="s">
        <v>3961</v>
      </c>
      <c r="G253">
        <v>2</v>
      </c>
      <c r="H253" t="s">
        <v>431</v>
      </c>
      <c r="I253" t="s">
        <v>442</v>
      </c>
      <c r="J253">
        <f t="shared" si="6"/>
        <v>23.76</v>
      </c>
      <c r="K253" t="b">
        <f t="shared" si="7"/>
        <v>1</v>
      </c>
      <c r="L253" s="21"/>
      <c r="M253" s="21"/>
    </row>
    <row r="254" spans="1:13">
      <c r="A254" s="21"/>
      <c r="B254">
        <v>247</v>
      </c>
      <c r="C254" t="s">
        <v>92</v>
      </c>
      <c r="D254">
        <v>241</v>
      </c>
      <c r="E254" t="str">
        <f>IF(VLOOKUP(D254,Couleurs!A:B,2) = 0, "[" &amp; D254 &amp; "]",VLOOKUP(D254,Couleurs!A:B,2))</f>
        <v>[241]</v>
      </c>
      <c r="F254" s="1" t="s">
        <v>3962</v>
      </c>
      <c r="G254">
        <v>4</v>
      </c>
      <c r="H254" t="s">
        <v>437</v>
      </c>
      <c r="I254" t="s">
        <v>3963</v>
      </c>
      <c r="J254">
        <f t="shared" si="6"/>
        <v>50.4</v>
      </c>
      <c r="K254" t="b">
        <f t="shared" si="7"/>
        <v>1</v>
      </c>
      <c r="L254" s="21"/>
      <c r="M254" s="21"/>
    </row>
    <row r="255" spans="1:13">
      <c r="A255" s="21"/>
      <c r="B255">
        <v>248</v>
      </c>
      <c r="C255" t="s">
        <v>55</v>
      </c>
      <c r="D255">
        <v>76</v>
      </c>
      <c r="E255" t="str">
        <f>IF(VLOOKUP(D255,Couleurs!A:B,2) = 0, "[" &amp; D255 &amp; "]",VLOOKUP(D255,Couleurs!A:B,2))</f>
        <v>[76]</v>
      </c>
      <c r="F255" s="1" t="s">
        <v>3964</v>
      </c>
      <c r="G255">
        <v>3</v>
      </c>
      <c r="H255" t="s">
        <v>3786</v>
      </c>
      <c r="I255" t="s">
        <v>435</v>
      </c>
      <c r="J255">
        <f t="shared" si="6"/>
        <v>25.200000000000003</v>
      </c>
      <c r="K255" t="b">
        <f t="shared" si="7"/>
        <v>1</v>
      </c>
      <c r="L255" s="21"/>
      <c r="M255" s="21"/>
    </row>
    <row r="256" spans="1:13">
      <c r="A256" s="21"/>
      <c r="B256">
        <v>249</v>
      </c>
      <c r="C256" t="s">
        <v>46</v>
      </c>
      <c r="D256">
        <v>17</v>
      </c>
      <c r="E256" t="str">
        <f>IF(VLOOKUP(D256,Couleurs!A:B,2) = 0, "[" &amp; D256 &amp; "]",VLOOKUP(D256,Couleurs!A:B,2))</f>
        <v>NAVY BLUE</v>
      </c>
      <c r="F256" s="1" t="s">
        <v>3965</v>
      </c>
      <c r="G256">
        <v>6</v>
      </c>
      <c r="H256" t="s">
        <v>429</v>
      </c>
      <c r="I256" t="s">
        <v>3966</v>
      </c>
      <c r="J256">
        <f t="shared" si="6"/>
        <v>80.64</v>
      </c>
      <c r="K256" t="b">
        <f t="shared" si="7"/>
        <v>1</v>
      </c>
      <c r="L256" s="21"/>
      <c r="M256" s="21"/>
    </row>
    <row r="257" spans="1:13">
      <c r="A257" s="21"/>
      <c r="B257">
        <v>250</v>
      </c>
      <c r="C257" t="s">
        <v>22</v>
      </c>
      <c r="D257">
        <v>371</v>
      </c>
      <c r="E257" t="str">
        <f>IF(VLOOKUP(D257,Couleurs!A:B,2) = 0, "[" &amp; D257 &amp; "]",VLOOKUP(D257,Couleurs!A:B,2))</f>
        <v>MILK</v>
      </c>
      <c r="F257" s="1" t="s">
        <v>3967</v>
      </c>
      <c r="G257">
        <v>1</v>
      </c>
      <c r="H257" t="s">
        <v>428</v>
      </c>
      <c r="I257" t="s">
        <v>428</v>
      </c>
      <c r="J257">
        <f t="shared" si="6"/>
        <v>14.4</v>
      </c>
      <c r="K257" t="b">
        <f t="shared" si="7"/>
        <v>1</v>
      </c>
      <c r="L257" s="21"/>
      <c r="M257" s="21"/>
    </row>
    <row r="258" spans="1:13">
      <c r="A258" s="21"/>
      <c r="B258">
        <v>251</v>
      </c>
      <c r="C258" t="s">
        <v>1</v>
      </c>
      <c r="D258">
        <v>76</v>
      </c>
      <c r="E258" t="str">
        <f>IF(VLOOKUP(D258,Couleurs!A:B,2) = 0, "[" &amp; D258 &amp; "]",VLOOKUP(D258,Couleurs!A:B,2))</f>
        <v>[76]</v>
      </c>
      <c r="F258" s="1" t="s">
        <v>3968</v>
      </c>
      <c r="G258">
        <v>4</v>
      </c>
      <c r="H258" t="s">
        <v>3704</v>
      </c>
      <c r="I258" t="s">
        <v>3724</v>
      </c>
      <c r="J258">
        <f t="shared" si="6"/>
        <v>50.88</v>
      </c>
      <c r="K258" t="b">
        <f t="shared" si="7"/>
        <v>1</v>
      </c>
      <c r="L258" s="21"/>
      <c r="M258" s="21"/>
    </row>
    <row r="259" spans="1:13">
      <c r="A259" s="21"/>
      <c r="B259">
        <v>252</v>
      </c>
      <c r="C259" t="s">
        <v>114</v>
      </c>
      <c r="D259">
        <v>55</v>
      </c>
      <c r="E259" t="str">
        <f>IF(VLOOKUP(D259,Couleurs!A:B,2) = 0, "[" &amp; D259 &amp; "]",VLOOKUP(D259,Couleurs!A:B,2))</f>
        <v>BLACK</v>
      </c>
      <c r="F259" s="1" t="s">
        <v>3969</v>
      </c>
      <c r="G259">
        <v>2</v>
      </c>
      <c r="H259" t="s">
        <v>3704</v>
      </c>
      <c r="I259" t="s">
        <v>3706</v>
      </c>
      <c r="J259">
        <f t="shared" si="6"/>
        <v>25.44</v>
      </c>
      <c r="K259" t="b">
        <f t="shared" si="7"/>
        <v>1</v>
      </c>
      <c r="L259" s="21"/>
      <c r="M259" s="21"/>
    </row>
    <row r="260" spans="1:13">
      <c r="A260" s="21"/>
      <c r="B260">
        <v>253</v>
      </c>
      <c r="C260" t="s">
        <v>2418</v>
      </c>
      <c r="D260">
        <v>479</v>
      </c>
      <c r="E260" t="str">
        <f>IF(VLOOKUP(D260,Couleurs!A:B,2) = 0, "[" &amp; D260 &amp; "]",VLOOKUP(D260,Couleurs!A:B,2))</f>
        <v>[479]</v>
      </c>
      <c r="F260" s="1" t="s">
        <v>3970</v>
      </c>
      <c r="G260">
        <v>3</v>
      </c>
      <c r="H260" t="s">
        <v>431</v>
      </c>
      <c r="I260" t="s">
        <v>3703</v>
      </c>
      <c r="J260">
        <f t="shared" si="6"/>
        <v>35.64</v>
      </c>
      <c r="K260" t="b">
        <f t="shared" si="7"/>
        <v>1</v>
      </c>
      <c r="L260" s="21"/>
      <c r="M260" s="21"/>
    </row>
    <row r="261" spans="1:13">
      <c r="A261" s="21"/>
      <c r="B261">
        <v>254</v>
      </c>
      <c r="C261" t="s">
        <v>22</v>
      </c>
      <c r="D261">
        <v>133</v>
      </c>
      <c r="E261" t="str">
        <f>IF(VLOOKUP(D261,Couleurs!A:B,2) = 0, "[" &amp; D261 &amp; "]",VLOOKUP(D261,Couleurs!A:B,2))</f>
        <v>LIGHT GREY</v>
      </c>
      <c r="F261" s="1" t="s">
        <v>3971</v>
      </c>
      <c r="G261">
        <v>1</v>
      </c>
      <c r="H261" t="s">
        <v>428</v>
      </c>
      <c r="I261" t="s">
        <v>428</v>
      </c>
      <c r="J261">
        <f t="shared" ref="J261:J324" si="8">G261*H261</f>
        <v>14.4</v>
      </c>
      <c r="K261" t="b">
        <f t="shared" ref="K261:K324" si="9">(0+I261)=J261</f>
        <v>1</v>
      </c>
      <c r="L261" s="21"/>
      <c r="M261" s="21"/>
    </row>
    <row r="262" spans="1:13">
      <c r="A262" s="21"/>
      <c r="B262">
        <v>255</v>
      </c>
      <c r="C262" t="s">
        <v>2446</v>
      </c>
      <c r="D262">
        <v>55</v>
      </c>
      <c r="E262" t="str">
        <f>IF(VLOOKUP(D262,Couleurs!A:B,2) = 0, "[" &amp; D262 &amp; "]",VLOOKUP(D262,Couleurs!A:B,2))</f>
        <v>BLACK</v>
      </c>
      <c r="F262" s="1" t="s">
        <v>3972</v>
      </c>
      <c r="G262">
        <v>2</v>
      </c>
      <c r="H262" t="s">
        <v>439</v>
      </c>
      <c r="I262" t="s">
        <v>440</v>
      </c>
      <c r="J262">
        <f t="shared" si="8"/>
        <v>21.6</v>
      </c>
      <c r="K262" t="b">
        <f t="shared" si="9"/>
        <v>1</v>
      </c>
      <c r="L262" s="21"/>
      <c r="M262" s="21"/>
    </row>
    <row r="263" spans="1:13">
      <c r="A263" s="21"/>
      <c r="B263">
        <v>256</v>
      </c>
      <c r="C263" t="s">
        <v>25</v>
      </c>
      <c r="D263">
        <v>71</v>
      </c>
      <c r="E263" t="str">
        <f>IF(VLOOKUP(D263,Couleurs!A:B,2) = 0, "[" &amp; D263 &amp; "]",VLOOKUP(D263,Couleurs!A:B,2))</f>
        <v>ROCK</v>
      </c>
      <c r="F263" s="1" t="s">
        <v>3973</v>
      </c>
      <c r="G263">
        <v>2</v>
      </c>
      <c r="H263" t="s">
        <v>437</v>
      </c>
      <c r="I263" t="s">
        <v>435</v>
      </c>
      <c r="J263">
        <f t="shared" si="8"/>
        <v>25.2</v>
      </c>
      <c r="K263" t="b">
        <f t="shared" si="9"/>
        <v>1</v>
      </c>
      <c r="L263" s="21"/>
      <c r="M263" s="21"/>
    </row>
    <row r="264" spans="1:13">
      <c r="A264" s="21"/>
      <c r="B264">
        <v>257</v>
      </c>
      <c r="C264" t="s">
        <v>74</v>
      </c>
      <c r="D264">
        <v>55</v>
      </c>
      <c r="E264" t="str">
        <f>IF(VLOOKUP(D264,Couleurs!A:B,2) = 0, "[" &amp; D264 &amp; "]",VLOOKUP(D264,Couleurs!A:B,2))</f>
        <v>BLACK</v>
      </c>
      <c r="F264" s="1" t="s">
        <v>3974</v>
      </c>
      <c r="G264">
        <v>10</v>
      </c>
      <c r="H264" t="s">
        <v>3681</v>
      </c>
      <c r="I264">
        <v>36</v>
      </c>
      <c r="J264">
        <f t="shared" si="8"/>
        <v>36</v>
      </c>
      <c r="K264" t="b">
        <f t="shared" si="9"/>
        <v>1</v>
      </c>
      <c r="L264" s="21"/>
      <c r="M264" s="21"/>
    </row>
    <row r="265" spans="1:13">
      <c r="A265" s="21"/>
      <c r="B265">
        <v>258</v>
      </c>
      <c r="C265" t="s">
        <v>101</v>
      </c>
      <c r="D265">
        <v>55</v>
      </c>
      <c r="E265" t="str">
        <f>IF(VLOOKUP(D265,Couleurs!A:B,2) = 0, "[" &amp; D265 &amp; "]",VLOOKUP(D265,Couleurs!A:B,2))</f>
        <v>BLACK</v>
      </c>
      <c r="F265" s="1" t="s">
        <v>3975</v>
      </c>
      <c r="G265">
        <v>2</v>
      </c>
      <c r="H265" t="s">
        <v>3704</v>
      </c>
      <c r="I265" t="s">
        <v>3706</v>
      </c>
      <c r="J265">
        <f t="shared" si="8"/>
        <v>25.44</v>
      </c>
      <c r="K265" t="b">
        <f t="shared" si="9"/>
        <v>1</v>
      </c>
      <c r="L265" s="21"/>
      <c r="M265" s="21"/>
    </row>
    <row r="266" spans="1:13">
      <c r="A266" s="21"/>
      <c r="B266">
        <v>260</v>
      </c>
      <c r="C266" t="s">
        <v>81</v>
      </c>
      <c r="D266">
        <v>408</v>
      </c>
      <c r="E266" t="str">
        <f>IF(VLOOKUP(D266,Couleurs!A:B,2) = 0, "[" &amp; D266 &amp; "]",VLOOKUP(D266,Couleurs!A:B,2))</f>
        <v>[408]</v>
      </c>
      <c r="F266" s="1" t="s">
        <v>3929</v>
      </c>
      <c r="G266">
        <v>2</v>
      </c>
      <c r="H266" t="s">
        <v>431</v>
      </c>
      <c r="I266" t="s">
        <v>442</v>
      </c>
      <c r="J266">
        <f t="shared" si="8"/>
        <v>23.76</v>
      </c>
      <c r="K266" t="b">
        <f t="shared" si="9"/>
        <v>1</v>
      </c>
      <c r="L266" s="21"/>
      <c r="M266" s="21"/>
    </row>
    <row r="267" spans="1:13">
      <c r="A267" s="21"/>
      <c r="B267">
        <v>261</v>
      </c>
      <c r="C267" t="s">
        <v>13</v>
      </c>
      <c r="D267">
        <v>76</v>
      </c>
      <c r="E267" t="str">
        <f>IF(VLOOKUP(D267,Couleurs!A:B,2) = 0, "[" &amp; D267 &amp; "]",VLOOKUP(D267,Couleurs!A:B,2))</f>
        <v>[76]</v>
      </c>
      <c r="F267" s="1" t="s">
        <v>3976</v>
      </c>
      <c r="G267">
        <v>2</v>
      </c>
      <c r="H267" t="s">
        <v>3687</v>
      </c>
      <c r="I267" t="s">
        <v>3688</v>
      </c>
      <c r="J267">
        <f t="shared" si="8"/>
        <v>19.440000000000001</v>
      </c>
      <c r="K267" t="b">
        <f t="shared" si="9"/>
        <v>1</v>
      </c>
      <c r="L267" s="21"/>
      <c r="M267" s="21"/>
    </row>
    <row r="268" spans="1:13">
      <c r="A268" s="21"/>
      <c r="B268">
        <v>262</v>
      </c>
      <c r="C268" t="s">
        <v>48</v>
      </c>
      <c r="D268">
        <v>75</v>
      </c>
      <c r="E268" t="str">
        <f>IF(VLOOKUP(D268,Couleurs!A:B,2) = 0, "[" &amp; D268 &amp; "]",VLOOKUP(D268,Couleurs!A:B,2))</f>
        <v>[75]</v>
      </c>
      <c r="F268" s="1" t="s">
        <v>3977</v>
      </c>
      <c r="G268">
        <v>3</v>
      </c>
      <c r="H268" t="s">
        <v>443</v>
      </c>
      <c r="I268" t="s">
        <v>2443</v>
      </c>
      <c r="J268">
        <f t="shared" si="8"/>
        <v>60.12</v>
      </c>
      <c r="K268" t="b">
        <f t="shared" si="9"/>
        <v>1</v>
      </c>
      <c r="L268" s="21"/>
      <c r="M268" s="21"/>
    </row>
    <row r="269" spans="1:13">
      <c r="A269" s="21"/>
      <c r="B269">
        <v>263</v>
      </c>
      <c r="C269" t="s">
        <v>126</v>
      </c>
      <c r="D269">
        <v>8</v>
      </c>
      <c r="E269" t="str">
        <f>IF(VLOOKUP(D269,Couleurs!A:B,2) = 0, "[" &amp; D269 &amp; "]",VLOOKUP(D269,Couleurs!A:B,2))</f>
        <v>WHITE</v>
      </c>
      <c r="F269" s="1" t="s">
        <v>3978</v>
      </c>
      <c r="G269">
        <v>2</v>
      </c>
      <c r="H269" t="s">
        <v>3704</v>
      </c>
      <c r="I269" t="s">
        <v>3706</v>
      </c>
      <c r="J269">
        <f t="shared" si="8"/>
        <v>25.44</v>
      </c>
      <c r="K269" t="b">
        <f t="shared" si="9"/>
        <v>1</v>
      </c>
      <c r="L269" s="21"/>
      <c r="M269" s="21"/>
    </row>
    <row r="270" spans="1:13">
      <c r="A270" s="21"/>
      <c r="B270">
        <v>264</v>
      </c>
      <c r="C270" t="s">
        <v>5</v>
      </c>
      <c r="D270">
        <v>26</v>
      </c>
      <c r="E270" t="str">
        <f>IF(VLOOKUP(D270,Couleurs!A:B,2) = 0, "[" &amp; D270 &amp; "]",VLOOKUP(D270,Couleurs!A:B,2))</f>
        <v>[26]</v>
      </c>
      <c r="F270" s="1" t="s">
        <v>3979</v>
      </c>
      <c r="G270">
        <v>2</v>
      </c>
      <c r="H270" t="s">
        <v>3753</v>
      </c>
      <c r="I270" t="s">
        <v>3806</v>
      </c>
      <c r="J270">
        <f t="shared" si="8"/>
        <v>18.72</v>
      </c>
      <c r="K270" t="b">
        <f t="shared" si="9"/>
        <v>1</v>
      </c>
      <c r="L270" s="21"/>
      <c r="M270" s="21"/>
    </row>
    <row r="271" spans="1:13">
      <c r="A271" s="21"/>
      <c r="B271">
        <v>265</v>
      </c>
      <c r="C271" t="s">
        <v>10</v>
      </c>
      <c r="D271">
        <v>55</v>
      </c>
      <c r="E271" t="str">
        <f>IF(VLOOKUP(D271,Couleurs!A:B,2) = 0, "[" &amp; D271 &amp; "]",VLOOKUP(D271,Couleurs!A:B,2))</f>
        <v>BLACK</v>
      </c>
      <c r="F271" s="1" t="s">
        <v>3980</v>
      </c>
      <c r="G271">
        <v>2</v>
      </c>
      <c r="H271" t="s">
        <v>3800</v>
      </c>
      <c r="I271" t="s">
        <v>428</v>
      </c>
      <c r="J271">
        <f t="shared" si="8"/>
        <v>14.4</v>
      </c>
      <c r="K271" t="b">
        <f t="shared" si="9"/>
        <v>1</v>
      </c>
      <c r="L271" s="21"/>
      <c r="M271" s="21"/>
    </row>
    <row r="272" spans="1:13">
      <c r="A272" s="21"/>
      <c r="B272">
        <v>266</v>
      </c>
      <c r="C272" t="s">
        <v>24</v>
      </c>
      <c r="D272">
        <v>479</v>
      </c>
      <c r="E272" t="str">
        <f>IF(VLOOKUP(D272,Couleurs!A:B,2) = 0, "[" &amp; D272 &amp; "]",VLOOKUP(D272,Couleurs!A:B,2))</f>
        <v>[479]</v>
      </c>
      <c r="F272" s="1" t="s">
        <v>3981</v>
      </c>
      <c r="G272">
        <v>3</v>
      </c>
      <c r="H272" t="s">
        <v>427</v>
      </c>
      <c r="I272" t="s">
        <v>428</v>
      </c>
      <c r="J272">
        <f t="shared" si="8"/>
        <v>14.399999999999999</v>
      </c>
      <c r="K272" t="b">
        <f t="shared" si="9"/>
        <v>1</v>
      </c>
      <c r="L272" s="21"/>
      <c r="M272" s="21"/>
    </row>
    <row r="273" spans="1:13">
      <c r="A273" s="21"/>
      <c r="B273">
        <v>267</v>
      </c>
      <c r="C273" t="s">
        <v>65</v>
      </c>
      <c r="D273">
        <v>227</v>
      </c>
      <c r="E273" t="str">
        <f>IF(VLOOKUP(D273,Couleurs!A:B,2) = 0, "[" &amp; D273 &amp; "]",VLOOKUP(D273,Couleurs!A:B,2))</f>
        <v>[227]</v>
      </c>
      <c r="F273" s="1" t="s">
        <v>3982</v>
      </c>
      <c r="G273">
        <v>2</v>
      </c>
      <c r="H273" t="s">
        <v>428</v>
      </c>
      <c r="I273" t="s">
        <v>436</v>
      </c>
      <c r="J273">
        <f t="shared" si="8"/>
        <v>28.8</v>
      </c>
      <c r="K273" t="b">
        <f t="shared" si="9"/>
        <v>1</v>
      </c>
      <c r="L273" s="21"/>
      <c r="M273" s="21"/>
    </row>
    <row r="274" spans="1:13">
      <c r="A274" s="21"/>
      <c r="B274">
        <v>268</v>
      </c>
      <c r="C274" t="s">
        <v>73</v>
      </c>
      <c r="D274">
        <v>479</v>
      </c>
      <c r="E274" t="str">
        <f>IF(VLOOKUP(D274,Couleurs!A:B,2) = 0, "[" &amp; D274 &amp; "]",VLOOKUP(D274,Couleurs!A:B,2))</f>
        <v>[479]</v>
      </c>
      <c r="F274" s="1" t="s">
        <v>3983</v>
      </c>
      <c r="G274">
        <v>3</v>
      </c>
      <c r="H274" t="s">
        <v>447</v>
      </c>
      <c r="I274" t="s">
        <v>2454</v>
      </c>
      <c r="J274">
        <f t="shared" si="8"/>
        <v>65.88</v>
      </c>
      <c r="K274" t="b">
        <f t="shared" si="9"/>
        <v>1</v>
      </c>
      <c r="L274" s="21"/>
      <c r="M274" s="21"/>
    </row>
    <row r="275" spans="1:13">
      <c r="A275" s="21"/>
      <c r="B275">
        <v>269</v>
      </c>
      <c r="C275" t="s">
        <v>3733</v>
      </c>
      <c r="D275">
        <v>36</v>
      </c>
      <c r="E275" t="str">
        <f>IF(VLOOKUP(D275,Couleurs!A:B,2) = 0, "[" &amp; D275 &amp; "]",VLOOKUP(D275,Couleurs!A:B,2))</f>
        <v>[36]</v>
      </c>
      <c r="F275" s="1" t="s">
        <v>3984</v>
      </c>
      <c r="G275">
        <v>2</v>
      </c>
      <c r="H275" t="s">
        <v>428</v>
      </c>
      <c r="I275" t="s">
        <v>436</v>
      </c>
      <c r="J275">
        <f t="shared" si="8"/>
        <v>28.8</v>
      </c>
      <c r="K275" t="b">
        <f t="shared" si="9"/>
        <v>1</v>
      </c>
      <c r="L275" s="21"/>
      <c r="M275" s="21"/>
    </row>
    <row r="276" spans="1:13">
      <c r="A276" s="21"/>
      <c r="B276">
        <v>270</v>
      </c>
      <c r="C276" t="s">
        <v>77</v>
      </c>
      <c r="D276">
        <v>227</v>
      </c>
      <c r="E276" t="str">
        <f>IF(VLOOKUP(D276,Couleurs!A:B,2) = 0, "[" &amp; D276 &amp; "]",VLOOKUP(D276,Couleurs!A:B,2))</f>
        <v>[227]</v>
      </c>
      <c r="F276" s="1" t="s">
        <v>3985</v>
      </c>
      <c r="G276">
        <v>2</v>
      </c>
      <c r="H276" t="s">
        <v>429</v>
      </c>
      <c r="I276" t="s">
        <v>430</v>
      </c>
      <c r="J276">
        <f t="shared" si="8"/>
        <v>26.88</v>
      </c>
      <c r="K276" t="b">
        <f t="shared" si="9"/>
        <v>1</v>
      </c>
      <c r="L276" s="21"/>
      <c r="M276" s="21"/>
    </row>
    <row r="277" spans="1:13">
      <c r="A277" s="21"/>
      <c r="B277">
        <v>271</v>
      </c>
      <c r="C277" t="s">
        <v>22</v>
      </c>
      <c r="D277">
        <v>71</v>
      </c>
      <c r="E277" t="str">
        <f>IF(VLOOKUP(D277,Couleurs!A:B,2) = 0, "[" &amp; D277 &amp; "]",VLOOKUP(D277,Couleurs!A:B,2))</f>
        <v>ROCK</v>
      </c>
      <c r="F277" s="1" t="s">
        <v>3986</v>
      </c>
      <c r="G277">
        <v>1</v>
      </c>
      <c r="H277" t="s">
        <v>428</v>
      </c>
      <c r="I277" t="s">
        <v>428</v>
      </c>
      <c r="J277">
        <f t="shared" si="8"/>
        <v>14.4</v>
      </c>
      <c r="K277" t="b">
        <f t="shared" si="9"/>
        <v>1</v>
      </c>
      <c r="L277" s="21"/>
      <c r="M277" s="21"/>
    </row>
    <row r="278" spans="1:13">
      <c r="A278" s="21"/>
      <c r="B278">
        <v>272</v>
      </c>
      <c r="C278" t="s">
        <v>120</v>
      </c>
      <c r="D278">
        <v>481</v>
      </c>
      <c r="E278" t="str">
        <f>IF(VLOOKUP(D278,Couleurs!A:B,2) = 0, "[" &amp; D278 &amp; "]",VLOOKUP(D278,Couleurs!A:B,2))</f>
        <v>[481]</v>
      </c>
      <c r="F278" s="1" t="s">
        <v>3987</v>
      </c>
      <c r="G278">
        <v>2</v>
      </c>
      <c r="H278" t="s">
        <v>448</v>
      </c>
      <c r="I278" t="s">
        <v>449</v>
      </c>
      <c r="J278">
        <f t="shared" si="8"/>
        <v>21.36</v>
      </c>
      <c r="K278" t="b">
        <f t="shared" si="9"/>
        <v>1</v>
      </c>
      <c r="L278" s="21"/>
      <c r="M278" s="21"/>
    </row>
    <row r="279" spans="1:13">
      <c r="A279" s="21"/>
      <c r="B279">
        <v>273</v>
      </c>
      <c r="C279" t="s">
        <v>4</v>
      </c>
      <c r="D279">
        <v>76</v>
      </c>
      <c r="E279" t="str">
        <f>IF(VLOOKUP(D279,Couleurs!A:B,2) = 0, "[" &amp; D279 &amp; "]",VLOOKUP(D279,Couleurs!A:B,2))</f>
        <v>[76]</v>
      </c>
      <c r="F279" s="1" t="s">
        <v>3988</v>
      </c>
      <c r="G279">
        <v>2</v>
      </c>
      <c r="H279" t="s">
        <v>3712</v>
      </c>
      <c r="I279" t="s">
        <v>3714</v>
      </c>
      <c r="J279">
        <f t="shared" si="8"/>
        <v>36.24</v>
      </c>
      <c r="K279" t="b">
        <f t="shared" si="9"/>
        <v>1</v>
      </c>
      <c r="L279" s="21"/>
      <c r="M279" s="21"/>
    </row>
    <row r="280" spans="1:13">
      <c r="A280" s="21"/>
      <c r="B280">
        <v>274</v>
      </c>
      <c r="C280" t="s">
        <v>26</v>
      </c>
      <c r="D280">
        <v>486</v>
      </c>
      <c r="E280" t="str">
        <f>IF(VLOOKUP(D280,Couleurs!A:B,2) = 0, "[" &amp; D280 &amp; "]",VLOOKUP(D280,Couleurs!A:B,2))</f>
        <v>[486]</v>
      </c>
      <c r="F280" s="1" t="s">
        <v>3989</v>
      </c>
      <c r="G280">
        <v>3</v>
      </c>
      <c r="H280" t="s">
        <v>428</v>
      </c>
      <c r="I280" t="s">
        <v>433</v>
      </c>
      <c r="J280">
        <f t="shared" si="8"/>
        <v>43.2</v>
      </c>
      <c r="K280" t="b">
        <f t="shared" si="9"/>
        <v>1</v>
      </c>
      <c r="L280" s="21"/>
      <c r="M280" s="21"/>
    </row>
    <row r="281" spans="1:13">
      <c r="A281" s="21"/>
      <c r="B281">
        <v>275</v>
      </c>
      <c r="C281" t="s">
        <v>68</v>
      </c>
      <c r="D281">
        <v>36</v>
      </c>
      <c r="E281" t="str">
        <f>IF(VLOOKUP(D281,Couleurs!A:B,2) = 0, "[" &amp; D281 &amp; "]",VLOOKUP(D281,Couleurs!A:B,2))</f>
        <v>[36]</v>
      </c>
      <c r="F281" s="1" t="s">
        <v>3990</v>
      </c>
      <c r="G281">
        <v>2</v>
      </c>
      <c r="H281" t="s">
        <v>439</v>
      </c>
      <c r="I281" t="s">
        <v>440</v>
      </c>
      <c r="J281">
        <f t="shared" si="8"/>
        <v>21.6</v>
      </c>
      <c r="K281" t="b">
        <f t="shared" si="9"/>
        <v>1</v>
      </c>
      <c r="L281" s="21"/>
      <c r="M281" s="21"/>
    </row>
    <row r="282" spans="1:13">
      <c r="A282" s="21"/>
      <c r="B282">
        <v>276</v>
      </c>
      <c r="C282" t="s">
        <v>2463</v>
      </c>
      <c r="D282">
        <v>475</v>
      </c>
      <c r="E282" t="str">
        <f>IF(VLOOKUP(D282,Couleurs!A:B,2) = 0, "[" &amp; D282 &amp; "]",VLOOKUP(D282,Couleurs!A:B,2))</f>
        <v>[475]</v>
      </c>
      <c r="F282" s="1" t="s">
        <v>3991</v>
      </c>
      <c r="G282">
        <v>2</v>
      </c>
      <c r="H282" t="s">
        <v>428</v>
      </c>
      <c r="I282" t="s">
        <v>436</v>
      </c>
      <c r="J282">
        <f t="shared" si="8"/>
        <v>28.8</v>
      </c>
      <c r="K282" t="b">
        <f t="shared" si="9"/>
        <v>1</v>
      </c>
      <c r="L282" s="21"/>
      <c r="M282" s="21"/>
    </row>
    <row r="283" spans="1:13">
      <c r="A283" s="21"/>
      <c r="B283">
        <v>277</v>
      </c>
      <c r="C283" t="s">
        <v>10</v>
      </c>
      <c r="D283">
        <v>17</v>
      </c>
      <c r="E283" t="str">
        <f>IF(VLOOKUP(D283,Couleurs!A:B,2) = 0, "[" &amp; D283 &amp; "]",VLOOKUP(D283,Couleurs!A:B,2))</f>
        <v>NAVY BLUE</v>
      </c>
      <c r="F283" s="1" t="s">
        <v>3992</v>
      </c>
      <c r="G283">
        <v>6</v>
      </c>
      <c r="H283" t="s">
        <v>3800</v>
      </c>
      <c r="I283" t="s">
        <v>433</v>
      </c>
      <c r="J283">
        <f t="shared" si="8"/>
        <v>43.2</v>
      </c>
      <c r="K283" t="b">
        <f t="shared" si="9"/>
        <v>1</v>
      </c>
      <c r="L283" s="21"/>
      <c r="M283" s="21"/>
    </row>
    <row r="284" spans="1:13">
      <c r="A284" s="21"/>
      <c r="B284">
        <v>278</v>
      </c>
      <c r="C284" t="s">
        <v>24</v>
      </c>
      <c r="D284">
        <v>71</v>
      </c>
      <c r="E284" t="str">
        <f>IF(VLOOKUP(D284,Couleurs!A:B,2) = 0, "[" &amp; D284 &amp; "]",VLOOKUP(D284,Couleurs!A:B,2))</f>
        <v>ROCK</v>
      </c>
      <c r="F284" s="1" t="s">
        <v>3993</v>
      </c>
      <c r="G284">
        <v>1</v>
      </c>
      <c r="H284" t="s">
        <v>427</v>
      </c>
      <c r="I284" t="s">
        <v>427</v>
      </c>
      <c r="J284">
        <f t="shared" si="8"/>
        <v>4.8</v>
      </c>
      <c r="K284" t="b">
        <f t="shared" si="9"/>
        <v>1</v>
      </c>
      <c r="L284" s="21"/>
      <c r="M284" s="21"/>
    </row>
    <row r="285" spans="1:13">
      <c r="A285" s="21"/>
      <c r="B285">
        <v>279</v>
      </c>
      <c r="C285" t="s">
        <v>28</v>
      </c>
      <c r="D285">
        <v>227</v>
      </c>
      <c r="E285" t="str">
        <f>IF(VLOOKUP(D285,Couleurs!A:B,2) = 0, "[" &amp; D285 &amp; "]",VLOOKUP(D285,Couleurs!A:B,2))</f>
        <v>[227]</v>
      </c>
      <c r="F285" s="1" t="s">
        <v>3994</v>
      </c>
      <c r="G285">
        <v>2</v>
      </c>
      <c r="H285" t="s">
        <v>429</v>
      </c>
      <c r="I285" t="s">
        <v>430</v>
      </c>
      <c r="J285">
        <f t="shared" si="8"/>
        <v>26.88</v>
      </c>
      <c r="K285" t="b">
        <f t="shared" si="9"/>
        <v>1</v>
      </c>
      <c r="L285" s="21"/>
      <c r="M285" s="21"/>
    </row>
    <row r="286" spans="1:13">
      <c r="A286" s="21"/>
      <c r="B286">
        <v>280</v>
      </c>
      <c r="C286" t="s">
        <v>12</v>
      </c>
      <c r="D286">
        <v>26</v>
      </c>
      <c r="E286" t="str">
        <f>IF(VLOOKUP(D286,Couleurs!A:B,2) = 0, "[" &amp; D286 &amp; "]",VLOOKUP(D286,Couleurs!A:B,2))</f>
        <v>[26]</v>
      </c>
      <c r="F286" s="1" t="s">
        <v>3995</v>
      </c>
      <c r="G286">
        <v>3</v>
      </c>
      <c r="H286">
        <v>9</v>
      </c>
      <c r="I286">
        <v>27</v>
      </c>
      <c r="J286">
        <f t="shared" si="8"/>
        <v>27</v>
      </c>
      <c r="K286" t="b">
        <f t="shared" si="9"/>
        <v>1</v>
      </c>
      <c r="L286" s="21"/>
      <c r="M286" s="21"/>
    </row>
    <row r="287" spans="1:13">
      <c r="A287" s="21"/>
      <c r="B287">
        <v>281</v>
      </c>
      <c r="C287" t="s">
        <v>23</v>
      </c>
      <c r="D287">
        <v>76</v>
      </c>
      <c r="E287" t="str">
        <f>IF(VLOOKUP(D287,Couleurs!A:B,2) = 0, "[" &amp; D287 &amp; "]",VLOOKUP(D287,Couleurs!A:B,2))</f>
        <v>[76]</v>
      </c>
      <c r="F287" s="1" t="s">
        <v>3996</v>
      </c>
      <c r="G287">
        <v>2</v>
      </c>
      <c r="H287" t="s">
        <v>3682</v>
      </c>
      <c r="I287" t="s">
        <v>3747</v>
      </c>
      <c r="J287">
        <f t="shared" si="8"/>
        <v>26.16</v>
      </c>
      <c r="K287" t="b">
        <f t="shared" si="9"/>
        <v>1</v>
      </c>
      <c r="L287" s="21"/>
      <c r="M287" s="21"/>
    </row>
    <row r="288" spans="1:13">
      <c r="A288" s="21"/>
      <c r="B288">
        <v>282</v>
      </c>
      <c r="C288" t="s">
        <v>22</v>
      </c>
      <c r="D288">
        <v>26</v>
      </c>
      <c r="E288" t="str">
        <f>IF(VLOOKUP(D288,Couleurs!A:B,2) = 0, "[" &amp; D288 &amp; "]",VLOOKUP(D288,Couleurs!A:B,2))</f>
        <v>[26]</v>
      </c>
      <c r="F288" s="1" t="s">
        <v>3997</v>
      </c>
      <c r="G288">
        <v>2</v>
      </c>
      <c r="H288" t="s">
        <v>428</v>
      </c>
      <c r="I288" t="s">
        <v>436</v>
      </c>
      <c r="J288">
        <f t="shared" si="8"/>
        <v>28.8</v>
      </c>
      <c r="K288" t="b">
        <f t="shared" si="9"/>
        <v>1</v>
      </c>
      <c r="L288" s="21"/>
      <c r="M288" s="21"/>
    </row>
    <row r="289" spans="1:13">
      <c r="A289" s="21"/>
      <c r="B289">
        <v>283</v>
      </c>
      <c r="C289" t="s">
        <v>84</v>
      </c>
      <c r="D289">
        <v>441</v>
      </c>
      <c r="E289" t="str">
        <f>IF(VLOOKUP(D289,Couleurs!A:B,2) = 0, "[" &amp; D289 &amp; "]",VLOOKUP(D289,Couleurs!A:B,2))</f>
        <v>[441]</v>
      </c>
      <c r="F289" s="1" t="s">
        <v>3998</v>
      </c>
      <c r="G289">
        <v>2</v>
      </c>
      <c r="H289" t="s">
        <v>3712</v>
      </c>
      <c r="I289" t="s">
        <v>3714</v>
      </c>
      <c r="J289">
        <f t="shared" si="8"/>
        <v>36.24</v>
      </c>
      <c r="K289" t="b">
        <f t="shared" si="9"/>
        <v>1</v>
      </c>
      <c r="L289" s="21"/>
      <c r="M289" s="21"/>
    </row>
    <row r="290" spans="1:13">
      <c r="A290" s="21"/>
      <c r="B290">
        <v>284</v>
      </c>
      <c r="C290" t="s">
        <v>68</v>
      </c>
      <c r="D290">
        <v>76</v>
      </c>
      <c r="E290" t="str">
        <f>IF(VLOOKUP(D290,Couleurs!A:B,2) = 0, "[" &amp; D290 &amp; "]",VLOOKUP(D290,Couleurs!A:B,2))</f>
        <v>[76]</v>
      </c>
      <c r="F290" s="1" t="s">
        <v>3999</v>
      </c>
      <c r="G290">
        <v>2</v>
      </c>
      <c r="H290" t="s">
        <v>439</v>
      </c>
      <c r="I290" t="s">
        <v>440</v>
      </c>
      <c r="J290">
        <f t="shared" si="8"/>
        <v>21.6</v>
      </c>
      <c r="K290" t="b">
        <f t="shared" si="9"/>
        <v>1</v>
      </c>
      <c r="L290" s="21"/>
      <c r="M290" s="21"/>
    </row>
    <row r="291" spans="1:13">
      <c r="A291" s="21"/>
      <c r="B291">
        <v>285</v>
      </c>
      <c r="C291" t="s">
        <v>22</v>
      </c>
      <c r="D291">
        <v>75</v>
      </c>
      <c r="E291" t="str">
        <f>IF(VLOOKUP(D291,Couleurs!A:B,2) = 0, "[" &amp; D291 &amp; "]",VLOOKUP(D291,Couleurs!A:B,2))</f>
        <v>[75]</v>
      </c>
      <c r="F291" s="1" t="s">
        <v>4000</v>
      </c>
      <c r="G291">
        <v>2</v>
      </c>
      <c r="H291" t="s">
        <v>428</v>
      </c>
      <c r="I291" t="s">
        <v>436</v>
      </c>
      <c r="J291">
        <f t="shared" si="8"/>
        <v>28.8</v>
      </c>
      <c r="K291" t="b">
        <f t="shared" si="9"/>
        <v>1</v>
      </c>
      <c r="L291" s="21"/>
      <c r="M291" s="21"/>
    </row>
    <row r="292" spans="1:13">
      <c r="A292" s="21"/>
      <c r="B292">
        <v>286</v>
      </c>
      <c r="C292" t="s">
        <v>83</v>
      </c>
      <c r="D292">
        <v>76</v>
      </c>
      <c r="E292" t="str">
        <f>IF(VLOOKUP(D292,Couleurs!A:B,2) = 0, "[" &amp; D292 &amp; "]",VLOOKUP(D292,Couleurs!A:B,2))</f>
        <v>[76]</v>
      </c>
      <c r="F292" s="1" t="s">
        <v>4001</v>
      </c>
      <c r="G292">
        <v>3</v>
      </c>
      <c r="H292" t="s">
        <v>3786</v>
      </c>
      <c r="I292" t="s">
        <v>435</v>
      </c>
      <c r="J292">
        <f t="shared" si="8"/>
        <v>25.200000000000003</v>
      </c>
      <c r="K292" t="b">
        <f t="shared" si="9"/>
        <v>1</v>
      </c>
      <c r="L292" s="21"/>
      <c r="M292" s="21"/>
    </row>
    <row r="293" spans="1:13">
      <c r="A293" s="21"/>
      <c r="B293">
        <v>287</v>
      </c>
      <c r="C293" t="s">
        <v>120</v>
      </c>
      <c r="D293">
        <v>480</v>
      </c>
      <c r="E293" t="str">
        <f>IF(VLOOKUP(D293,Couleurs!A:B,2) = 0, "[" &amp; D293 &amp; "]",VLOOKUP(D293,Couleurs!A:B,2))</f>
        <v>[480]</v>
      </c>
      <c r="F293" s="1" t="s">
        <v>4002</v>
      </c>
      <c r="G293">
        <v>2</v>
      </c>
      <c r="H293" t="s">
        <v>448</v>
      </c>
      <c r="I293" t="s">
        <v>449</v>
      </c>
      <c r="J293">
        <f t="shared" si="8"/>
        <v>21.36</v>
      </c>
      <c r="K293" t="b">
        <f t="shared" si="9"/>
        <v>1</v>
      </c>
      <c r="L293" s="21"/>
      <c r="M293" s="21"/>
    </row>
    <row r="294" spans="1:13">
      <c r="A294" s="21"/>
      <c r="B294">
        <v>288</v>
      </c>
      <c r="C294" t="s">
        <v>10</v>
      </c>
      <c r="D294">
        <v>479</v>
      </c>
      <c r="E294" t="str">
        <f>IF(VLOOKUP(D294,Couleurs!A:B,2) = 0, "[" &amp; D294 &amp; "]",VLOOKUP(D294,Couleurs!A:B,2))</f>
        <v>[479]</v>
      </c>
      <c r="F294" s="1" t="s">
        <v>4003</v>
      </c>
      <c r="G294">
        <v>2</v>
      </c>
      <c r="H294" t="s">
        <v>3800</v>
      </c>
      <c r="I294" t="s">
        <v>428</v>
      </c>
      <c r="J294">
        <f t="shared" si="8"/>
        <v>14.4</v>
      </c>
      <c r="K294" t="b">
        <f t="shared" si="9"/>
        <v>1</v>
      </c>
      <c r="L294" s="21"/>
      <c r="M294" s="21"/>
    </row>
    <row r="295" spans="1:13">
      <c r="A295" s="21"/>
      <c r="B295">
        <v>289</v>
      </c>
      <c r="C295" t="s">
        <v>26</v>
      </c>
      <c r="D295">
        <v>483</v>
      </c>
      <c r="E295" t="str">
        <f>IF(VLOOKUP(D295,Couleurs!A:B,2) = 0, "[" &amp; D295 &amp; "]",VLOOKUP(D295,Couleurs!A:B,2))</f>
        <v>[483]</v>
      </c>
      <c r="F295" s="1" t="s">
        <v>4004</v>
      </c>
      <c r="G295">
        <v>3</v>
      </c>
      <c r="H295" t="s">
        <v>428</v>
      </c>
      <c r="I295" t="s">
        <v>433</v>
      </c>
      <c r="J295">
        <f t="shared" si="8"/>
        <v>43.2</v>
      </c>
      <c r="K295" t="b">
        <f t="shared" si="9"/>
        <v>1</v>
      </c>
      <c r="L295" s="21"/>
      <c r="M295" s="21"/>
    </row>
    <row r="296" spans="1:13">
      <c r="A296" s="21"/>
      <c r="B296">
        <v>290</v>
      </c>
      <c r="C296" t="s">
        <v>46</v>
      </c>
      <c r="D296">
        <v>489</v>
      </c>
      <c r="E296" t="str">
        <f>IF(VLOOKUP(D296,Couleurs!A:B,2) = 0, "[" &amp; D296 &amp; "]",VLOOKUP(D296,Couleurs!A:B,2))</f>
        <v>[489]</v>
      </c>
      <c r="F296" s="1" t="s">
        <v>4005</v>
      </c>
      <c r="G296">
        <v>2</v>
      </c>
      <c r="H296" t="s">
        <v>429</v>
      </c>
      <c r="I296" t="s">
        <v>430</v>
      </c>
      <c r="J296">
        <f t="shared" si="8"/>
        <v>26.88</v>
      </c>
      <c r="K296" t="b">
        <f t="shared" si="9"/>
        <v>1</v>
      </c>
      <c r="L296" s="21"/>
      <c r="M296" s="21"/>
    </row>
    <row r="297" spans="1:13">
      <c r="A297" s="21"/>
      <c r="B297">
        <v>291</v>
      </c>
      <c r="C297" t="s">
        <v>100</v>
      </c>
      <c r="D297">
        <v>76</v>
      </c>
      <c r="E297" t="str">
        <f>IF(VLOOKUP(D297,Couleurs!A:B,2) = 0, "[" &amp; D297 &amp; "]",VLOOKUP(D297,Couleurs!A:B,2))</f>
        <v>[76]</v>
      </c>
      <c r="F297" s="1" t="s">
        <v>4006</v>
      </c>
      <c r="G297">
        <v>3</v>
      </c>
      <c r="H297">
        <v>33</v>
      </c>
      <c r="I297">
        <v>99</v>
      </c>
      <c r="J297">
        <f t="shared" si="8"/>
        <v>99</v>
      </c>
      <c r="K297" t="b">
        <f t="shared" si="9"/>
        <v>1</v>
      </c>
      <c r="L297" s="21"/>
      <c r="M297" s="21"/>
    </row>
    <row r="298" spans="1:13">
      <c r="A298" s="21"/>
      <c r="B298">
        <v>292</v>
      </c>
      <c r="C298" t="s">
        <v>27</v>
      </c>
      <c r="D298">
        <v>36</v>
      </c>
      <c r="E298" t="str">
        <f>IF(VLOOKUP(D298,Couleurs!A:B,2) = 0, "[" &amp; D298 &amp; "]",VLOOKUP(D298,Couleurs!A:B,2))</f>
        <v>[36]</v>
      </c>
      <c r="F298" s="1" t="s">
        <v>4007</v>
      </c>
      <c r="G298">
        <v>6</v>
      </c>
      <c r="H298" t="s">
        <v>3735</v>
      </c>
      <c r="I298" t="s">
        <v>3737</v>
      </c>
      <c r="J298">
        <f t="shared" si="8"/>
        <v>11.52</v>
      </c>
      <c r="K298" t="b">
        <f t="shared" si="9"/>
        <v>1</v>
      </c>
      <c r="L298" s="21"/>
      <c r="M298" s="21"/>
    </row>
    <row r="299" spans="1:13">
      <c r="A299" s="21"/>
      <c r="B299">
        <v>293</v>
      </c>
      <c r="C299" t="s">
        <v>2444</v>
      </c>
      <c r="D299">
        <v>475</v>
      </c>
      <c r="E299" t="str">
        <f>IF(VLOOKUP(D299,Couleurs!A:B,2) = 0, "[" &amp; D299 &amp; "]",VLOOKUP(D299,Couleurs!A:B,2))</f>
        <v>[475]</v>
      </c>
      <c r="F299" s="1" t="s">
        <v>4008</v>
      </c>
      <c r="G299">
        <v>2</v>
      </c>
      <c r="H299" t="s">
        <v>3704</v>
      </c>
      <c r="I299" t="s">
        <v>3706</v>
      </c>
      <c r="J299">
        <f t="shared" si="8"/>
        <v>25.44</v>
      </c>
      <c r="K299" t="b">
        <f t="shared" si="9"/>
        <v>1</v>
      </c>
      <c r="L299" s="21"/>
      <c r="M299" s="21"/>
    </row>
    <row r="300" spans="1:13">
      <c r="A300" s="21"/>
      <c r="B300">
        <v>294</v>
      </c>
      <c r="C300" t="s">
        <v>21</v>
      </c>
      <c r="D300">
        <v>371</v>
      </c>
      <c r="E300" t="str">
        <f>IF(VLOOKUP(D300,Couleurs!A:B,2) = 0, "[" &amp; D300 &amp; "]",VLOOKUP(D300,Couleurs!A:B,2))</f>
        <v>MILK</v>
      </c>
      <c r="F300" s="1" t="s">
        <v>4009</v>
      </c>
      <c r="G300">
        <v>1</v>
      </c>
      <c r="H300" t="s">
        <v>428</v>
      </c>
      <c r="I300" t="s">
        <v>428</v>
      </c>
      <c r="J300">
        <f t="shared" si="8"/>
        <v>14.4</v>
      </c>
      <c r="K300" t="b">
        <f t="shared" si="9"/>
        <v>1</v>
      </c>
      <c r="L300" s="21"/>
      <c r="M300" s="21"/>
    </row>
    <row r="301" spans="1:13">
      <c r="A301" s="21"/>
      <c r="B301">
        <v>295</v>
      </c>
      <c r="C301" t="s">
        <v>29</v>
      </c>
      <c r="D301">
        <v>422</v>
      </c>
      <c r="E301" t="str">
        <f>IF(VLOOKUP(D301,Couleurs!A:B,2) = 0, "[" &amp; D301 &amp; "]",VLOOKUP(D301,Couleurs!A:B,2))</f>
        <v>SANGRIA</v>
      </c>
      <c r="F301" s="1" t="s">
        <v>4010</v>
      </c>
      <c r="G301">
        <v>2</v>
      </c>
      <c r="H301" t="s">
        <v>438</v>
      </c>
      <c r="I301" t="s">
        <v>3917</v>
      </c>
      <c r="J301">
        <f t="shared" si="8"/>
        <v>14.16</v>
      </c>
      <c r="K301" t="b">
        <f t="shared" si="9"/>
        <v>1</v>
      </c>
      <c r="L301" s="21"/>
      <c r="M301" s="21"/>
    </row>
    <row r="302" spans="1:13">
      <c r="A302" s="21"/>
      <c r="B302">
        <v>296</v>
      </c>
      <c r="C302" t="s">
        <v>27</v>
      </c>
      <c r="D302">
        <v>55</v>
      </c>
      <c r="E302" t="str">
        <f>IF(VLOOKUP(D302,Couleurs!A:B,2) = 0, "[" &amp; D302 &amp; "]",VLOOKUP(D302,Couleurs!A:B,2))</f>
        <v>BLACK</v>
      </c>
      <c r="F302" s="1" t="s">
        <v>4011</v>
      </c>
      <c r="G302">
        <v>6</v>
      </c>
      <c r="H302" t="s">
        <v>3735</v>
      </c>
      <c r="I302" t="s">
        <v>3737</v>
      </c>
      <c r="J302">
        <f t="shared" si="8"/>
        <v>11.52</v>
      </c>
      <c r="K302" t="b">
        <f t="shared" si="9"/>
        <v>1</v>
      </c>
      <c r="L302" s="21"/>
      <c r="M302" s="21"/>
    </row>
    <row r="303" spans="1:13">
      <c r="A303" s="21"/>
      <c r="B303">
        <v>297</v>
      </c>
      <c r="C303" t="s">
        <v>2429</v>
      </c>
      <c r="D303">
        <v>76</v>
      </c>
      <c r="E303" t="str">
        <f>IF(VLOOKUP(D303,Couleurs!A:B,2) = 0, "[" &amp; D303 &amp; "]",VLOOKUP(D303,Couleurs!A:B,2))</f>
        <v>[76]</v>
      </c>
      <c r="F303" s="1" t="s">
        <v>4012</v>
      </c>
      <c r="G303">
        <v>2</v>
      </c>
      <c r="H303" t="s">
        <v>3853</v>
      </c>
      <c r="I303" t="s">
        <v>3855</v>
      </c>
      <c r="J303">
        <f t="shared" si="8"/>
        <v>27.84</v>
      </c>
      <c r="K303" t="b">
        <f t="shared" si="9"/>
        <v>1</v>
      </c>
      <c r="L303" s="21"/>
      <c r="M303" s="21"/>
    </row>
    <row r="304" spans="1:13">
      <c r="A304" s="21"/>
      <c r="B304">
        <v>298</v>
      </c>
      <c r="C304" t="s">
        <v>116</v>
      </c>
      <c r="D304">
        <v>55</v>
      </c>
      <c r="E304" t="str">
        <f>IF(VLOOKUP(D304,Couleurs!A:B,2) = 0, "[" &amp; D304 &amp; "]",VLOOKUP(D304,Couleurs!A:B,2))</f>
        <v>BLACK</v>
      </c>
      <c r="F304" s="1" t="s">
        <v>4013</v>
      </c>
      <c r="G304">
        <v>2</v>
      </c>
      <c r="H304" t="s">
        <v>432</v>
      </c>
      <c r="I304" t="s">
        <v>434</v>
      </c>
      <c r="J304">
        <f t="shared" si="8"/>
        <v>31.2</v>
      </c>
      <c r="K304" t="b">
        <f t="shared" si="9"/>
        <v>1</v>
      </c>
      <c r="L304" s="21"/>
      <c r="M304" s="21"/>
    </row>
    <row r="305" spans="1:13">
      <c r="A305" s="21"/>
      <c r="B305">
        <v>299</v>
      </c>
      <c r="C305" t="s">
        <v>2465</v>
      </c>
      <c r="D305">
        <v>55</v>
      </c>
      <c r="E305" t="str">
        <f>IF(VLOOKUP(D305,Couleurs!A:B,2) = 0, "[" &amp; D305 &amp; "]",VLOOKUP(D305,Couleurs!A:B,2))</f>
        <v>BLACK</v>
      </c>
      <c r="F305" s="1" t="s">
        <v>4014</v>
      </c>
      <c r="G305">
        <v>2</v>
      </c>
      <c r="H305" t="s">
        <v>439</v>
      </c>
      <c r="I305" t="s">
        <v>440</v>
      </c>
      <c r="J305">
        <f t="shared" si="8"/>
        <v>21.6</v>
      </c>
      <c r="K305" t="b">
        <f t="shared" si="9"/>
        <v>1</v>
      </c>
      <c r="L305" s="21"/>
      <c r="M305" s="21"/>
    </row>
    <row r="306" spans="1:13">
      <c r="A306" s="21"/>
      <c r="B306">
        <v>300</v>
      </c>
      <c r="C306" t="s">
        <v>88</v>
      </c>
      <c r="D306">
        <v>75</v>
      </c>
      <c r="E306" t="str">
        <f>IF(VLOOKUP(D306,Couleurs!A:B,2) = 0, "[" &amp; D306 &amp; "]",VLOOKUP(D306,Couleurs!A:B,2))</f>
        <v>[75]</v>
      </c>
      <c r="F306" s="1" t="s">
        <v>4015</v>
      </c>
      <c r="G306">
        <v>2</v>
      </c>
      <c r="H306">
        <v>24</v>
      </c>
      <c r="I306">
        <v>48</v>
      </c>
      <c r="J306">
        <f t="shared" si="8"/>
        <v>48</v>
      </c>
      <c r="K306" t="b">
        <f t="shared" si="9"/>
        <v>1</v>
      </c>
      <c r="L306" s="21"/>
      <c r="M306" s="21"/>
    </row>
    <row r="307" spans="1:13">
      <c r="A307" s="21"/>
      <c r="B307">
        <v>301</v>
      </c>
      <c r="C307" t="s">
        <v>109</v>
      </c>
      <c r="D307">
        <v>480</v>
      </c>
      <c r="E307" t="str">
        <f>IF(VLOOKUP(D307,Couleurs!A:B,2) = 0, "[" &amp; D307 &amp; "]",VLOOKUP(D307,Couleurs!A:B,2))</f>
        <v>[480]</v>
      </c>
      <c r="F307" s="1" t="s">
        <v>4016</v>
      </c>
      <c r="G307">
        <v>2</v>
      </c>
      <c r="H307" t="s">
        <v>439</v>
      </c>
      <c r="I307" t="s">
        <v>440</v>
      </c>
      <c r="J307">
        <f t="shared" si="8"/>
        <v>21.6</v>
      </c>
      <c r="K307" t="b">
        <f t="shared" si="9"/>
        <v>1</v>
      </c>
      <c r="L307" s="21"/>
      <c r="M307" s="21"/>
    </row>
    <row r="308" spans="1:13">
      <c r="A308" s="21"/>
      <c r="B308">
        <v>302</v>
      </c>
      <c r="C308" t="s">
        <v>21</v>
      </c>
      <c r="D308">
        <v>76</v>
      </c>
      <c r="E308" t="str">
        <f>IF(VLOOKUP(D308,Couleurs!A:B,2) = 0, "[" &amp; D308 &amp; "]",VLOOKUP(D308,Couleurs!A:B,2))</f>
        <v>[76]</v>
      </c>
      <c r="F308" s="1" t="s">
        <v>4017</v>
      </c>
      <c r="G308">
        <v>3</v>
      </c>
      <c r="H308" t="s">
        <v>428</v>
      </c>
      <c r="I308" t="s">
        <v>433</v>
      </c>
      <c r="J308">
        <f t="shared" si="8"/>
        <v>43.2</v>
      </c>
      <c r="K308" t="b">
        <f t="shared" si="9"/>
        <v>1</v>
      </c>
      <c r="L308" s="21"/>
      <c r="M308" s="21"/>
    </row>
    <row r="309" spans="1:13">
      <c r="A309" s="21"/>
      <c r="B309">
        <v>303</v>
      </c>
      <c r="C309" t="s">
        <v>2429</v>
      </c>
      <c r="D309">
        <v>78</v>
      </c>
      <c r="E309" t="str">
        <f>IF(VLOOKUP(D309,Couleurs!A:B,2) = 0, "[" &amp; D309 &amp; "]",VLOOKUP(D309,Couleurs!A:B,2))</f>
        <v>SAND</v>
      </c>
      <c r="F309" s="1" t="s">
        <v>4018</v>
      </c>
      <c r="G309">
        <v>2</v>
      </c>
      <c r="H309" t="s">
        <v>3853</v>
      </c>
      <c r="I309" t="s">
        <v>3855</v>
      </c>
      <c r="J309">
        <f t="shared" si="8"/>
        <v>27.84</v>
      </c>
      <c r="K309" t="b">
        <f t="shared" si="9"/>
        <v>1</v>
      </c>
      <c r="L309" s="21"/>
      <c r="M309" s="21"/>
    </row>
    <row r="310" spans="1:13">
      <c r="A310" s="21"/>
      <c r="B310">
        <v>304</v>
      </c>
      <c r="C310" t="s">
        <v>100</v>
      </c>
      <c r="D310">
        <v>422</v>
      </c>
      <c r="E310" t="str">
        <f>IF(VLOOKUP(D310,Couleurs!A:B,2) = 0, "[" &amp; D310 &amp; "]",VLOOKUP(D310,Couleurs!A:B,2))</f>
        <v>SANGRIA</v>
      </c>
      <c r="F310" s="1" t="s">
        <v>4019</v>
      </c>
      <c r="G310">
        <v>3</v>
      </c>
      <c r="H310">
        <v>33</v>
      </c>
      <c r="I310">
        <v>99</v>
      </c>
      <c r="J310">
        <f t="shared" si="8"/>
        <v>99</v>
      </c>
      <c r="K310" t="b">
        <f t="shared" si="9"/>
        <v>1</v>
      </c>
      <c r="L310" s="21"/>
      <c r="M310" s="21"/>
    </row>
    <row r="311" spans="1:13">
      <c r="A311" s="21"/>
      <c r="B311">
        <v>305</v>
      </c>
      <c r="C311" t="s">
        <v>2427</v>
      </c>
      <c r="D311">
        <v>55</v>
      </c>
      <c r="E311" t="str">
        <f>IF(VLOOKUP(D311,Couleurs!A:B,2) = 0, "[" &amp; D311 &amp; "]",VLOOKUP(D311,Couleurs!A:B,2))</f>
        <v>BLACK</v>
      </c>
      <c r="F311" s="1" t="s">
        <v>4020</v>
      </c>
      <c r="G311">
        <v>2</v>
      </c>
      <c r="H311" t="s">
        <v>3692</v>
      </c>
      <c r="I311" t="s">
        <v>4021</v>
      </c>
      <c r="J311">
        <f t="shared" si="8"/>
        <v>13.2</v>
      </c>
      <c r="K311" t="b">
        <f t="shared" si="9"/>
        <v>1</v>
      </c>
      <c r="L311" s="21"/>
      <c r="M311" s="21"/>
    </row>
    <row r="312" spans="1:13">
      <c r="A312" s="21"/>
      <c r="B312">
        <v>306</v>
      </c>
      <c r="C312" t="s">
        <v>51</v>
      </c>
      <c r="D312">
        <v>76</v>
      </c>
      <c r="E312" t="str">
        <f>IF(VLOOKUP(D312,Couleurs!A:B,2) = 0, "[" &amp; D312 &amp; "]",VLOOKUP(D312,Couleurs!A:B,2))</f>
        <v>[76]</v>
      </c>
      <c r="F312" s="1" t="s">
        <v>4022</v>
      </c>
      <c r="G312">
        <v>8</v>
      </c>
      <c r="H312" t="s">
        <v>441</v>
      </c>
      <c r="I312" t="s">
        <v>444</v>
      </c>
      <c r="J312">
        <f t="shared" si="8"/>
        <v>36.479999999999997</v>
      </c>
      <c r="K312" t="b">
        <f t="shared" si="9"/>
        <v>1</v>
      </c>
      <c r="L312" s="21"/>
      <c r="M312" s="21"/>
    </row>
    <row r="313" spans="1:13">
      <c r="A313" s="21"/>
      <c r="B313">
        <v>307</v>
      </c>
      <c r="C313" t="s">
        <v>22</v>
      </c>
      <c r="D313">
        <v>479</v>
      </c>
      <c r="E313" t="str">
        <f>IF(VLOOKUP(D313,Couleurs!A:B,2) = 0, "[" &amp; D313 &amp; "]",VLOOKUP(D313,Couleurs!A:B,2))</f>
        <v>[479]</v>
      </c>
      <c r="F313" s="1" t="s">
        <v>4023</v>
      </c>
      <c r="G313">
        <v>2</v>
      </c>
      <c r="H313" t="s">
        <v>428</v>
      </c>
      <c r="I313" t="s">
        <v>436</v>
      </c>
      <c r="J313">
        <f t="shared" si="8"/>
        <v>28.8</v>
      </c>
      <c r="K313" t="b">
        <f t="shared" si="9"/>
        <v>1</v>
      </c>
      <c r="L313" s="21"/>
      <c r="M313" s="21"/>
    </row>
    <row r="314" spans="1:13">
      <c r="A314" s="21"/>
      <c r="B314">
        <v>308</v>
      </c>
      <c r="C314" t="s">
        <v>37</v>
      </c>
      <c r="D314">
        <v>481</v>
      </c>
      <c r="E314" t="str">
        <f>IF(VLOOKUP(D314,Couleurs!A:B,2) = 0, "[" &amp; D314 &amp; "]",VLOOKUP(D314,Couleurs!A:B,2))</f>
        <v>[481]</v>
      </c>
      <c r="F314" s="1" t="s">
        <v>4024</v>
      </c>
      <c r="G314">
        <v>2</v>
      </c>
      <c r="H314" t="s">
        <v>439</v>
      </c>
      <c r="I314" t="s">
        <v>440</v>
      </c>
      <c r="J314">
        <f t="shared" si="8"/>
        <v>21.6</v>
      </c>
      <c r="K314" t="b">
        <f t="shared" si="9"/>
        <v>1</v>
      </c>
      <c r="L314" s="21"/>
      <c r="M314" s="21"/>
    </row>
    <row r="315" spans="1:13">
      <c r="A315" s="21"/>
      <c r="B315">
        <v>309</v>
      </c>
      <c r="C315" t="s">
        <v>2418</v>
      </c>
      <c r="D315">
        <v>76</v>
      </c>
      <c r="E315" t="str">
        <f>IF(VLOOKUP(D315,Couleurs!A:B,2) = 0, "[" &amp; D315 &amp; "]",VLOOKUP(D315,Couleurs!A:B,2))</f>
        <v>[76]</v>
      </c>
      <c r="F315" s="1" t="s">
        <v>4025</v>
      </c>
      <c r="G315">
        <v>3</v>
      </c>
      <c r="H315" t="s">
        <v>431</v>
      </c>
      <c r="I315" t="s">
        <v>3703</v>
      </c>
      <c r="J315">
        <f t="shared" si="8"/>
        <v>35.64</v>
      </c>
      <c r="K315" t="b">
        <f t="shared" si="9"/>
        <v>1</v>
      </c>
      <c r="L315" s="21"/>
      <c r="M315" s="21"/>
    </row>
    <row r="316" spans="1:13">
      <c r="A316" s="21"/>
      <c r="B316">
        <v>310</v>
      </c>
      <c r="C316" t="s">
        <v>34</v>
      </c>
      <c r="D316">
        <v>17</v>
      </c>
      <c r="E316" t="str">
        <f>IF(VLOOKUP(D316,Couleurs!A:B,2) = 0, "[" &amp; D316 &amp; "]",VLOOKUP(D316,Couleurs!A:B,2))</f>
        <v>NAVY BLUE</v>
      </c>
      <c r="F316" s="1" t="s">
        <v>4026</v>
      </c>
      <c r="G316">
        <v>2</v>
      </c>
      <c r="H316" t="s">
        <v>3698</v>
      </c>
      <c r="I316" t="s">
        <v>3700</v>
      </c>
      <c r="J316">
        <f t="shared" si="8"/>
        <v>22.08</v>
      </c>
      <c r="K316" t="b">
        <f t="shared" si="9"/>
        <v>1</v>
      </c>
      <c r="L316" s="21"/>
      <c r="M316" s="21"/>
    </row>
    <row r="317" spans="1:13">
      <c r="A317" s="21"/>
      <c r="B317">
        <v>311</v>
      </c>
      <c r="C317" t="s">
        <v>102</v>
      </c>
      <c r="D317">
        <v>487</v>
      </c>
      <c r="E317" t="str">
        <f>IF(VLOOKUP(D317,Couleurs!A:B,2) = 0, "[" &amp; D317 &amp; "]",VLOOKUP(D317,Couleurs!A:B,2))</f>
        <v>[487]</v>
      </c>
      <c r="F317" s="1" t="s">
        <v>4027</v>
      </c>
      <c r="G317">
        <v>3</v>
      </c>
      <c r="H317">
        <v>9</v>
      </c>
      <c r="I317">
        <v>27</v>
      </c>
      <c r="J317">
        <f t="shared" si="8"/>
        <v>27</v>
      </c>
      <c r="K317" t="b">
        <f t="shared" si="9"/>
        <v>1</v>
      </c>
      <c r="L317" s="21"/>
      <c r="M317" s="21"/>
    </row>
    <row r="318" spans="1:13">
      <c r="A318" s="21"/>
      <c r="B318">
        <v>312</v>
      </c>
      <c r="C318" t="s">
        <v>106</v>
      </c>
      <c r="D318">
        <v>125</v>
      </c>
      <c r="E318" t="str">
        <f>IF(VLOOKUP(D318,Couleurs!A:B,2) = 0, "[" &amp; D318 &amp; "]",VLOOKUP(D318,Couleurs!A:B,2))</f>
        <v>[125]</v>
      </c>
      <c r="F318" s="1" t="s">
        <v>4028</v>
      </c>
      <c r="G318">
        <v>2</v>
      </c>
      <c r="H318" t="s">
        <v>431</v>
      </c>
      <c r="I318" t="s">
        <v>442</v>
      </c>
      <c r="J318">
        <f t="shared" si="8"/>
        <v>23.76</v>
      </c>
      <c r="K318" t="b">
        <f t="shared" si="9"/>
        <v>1</v>
      </c>
      <c r="L318" s="21"/>
      <c r="M318" s="21"/>
    </row>
    <row r="319" spans="1:13">
      <c r="A319" s="21"/>
      <c r="B319">
        <v>313</v>
      </c>
      <c r="C319" t="s">
        <v>2416</v>
      </c>
      <c r="D319">
        <v>54</v>
      </c>
      <c r="E319" t="str">
        <f>IF(VLOOKUP(D319,Couleurs!A:B,2) = 0, "[" &amp; D319 &amp; "]",VLOOKUP(D319,Couleurs!A:B,2))</f>
        <v>[54]</v>
      </c>
      <c r="F319" s="1" t="s">
        <v>4029</v>
      </c>
      <c r="G319">
        <v>3</v>
      </c>
      <c r="H319" t="s">
        <v>3685</v>
      </c>
      <c r="I319" t="s">
        <v>3686</v>
      </c>
      <c r="J319">
        <f t="shared" si="8"/>
        <v>23.4</v>
      </c>
      <c r="K319" t="b">
        <f t="shared" si="9"/>
        <v>1</v>
      </c>
      <c r="L319" s="21"/>
      <c r="M319" s="21"/>
    </row>
    <row r="320" spans="1:13">
      <c r="A320" s="21"/>
      <c r="B320">
        <v>314</v>
      </c>
      <c r="C320" t="s">
        <v>97</v>
      </c>
      <c r="D320">
        <v>61</v>
      </c>
      <c r="E320" t="str">
        <f>IF(VLOOKUP(D320,Couleurs!A:B,2) = 0, "[" &amp; D320 &amp; "]",VLOOKUP(D320,Couleurs!A:B,2))</f>
        <v>GOLD</v>
      </c>
      <c r="F320" s="1" t="s">
        <v>4030</v>
      </c>
      <c r="G320">
        <v>2</v>
      </c>
      <c r="H320" t="s">
        <v>443</v>
      </c>
      <c r="I320" t="s">
        <v>4031</v>
      </c>
      <c r="J320">
        <f t="shared" si="8"/>
        <v>40.08</v>
      </c>
      <c r="K320" t="b">
        <f t="shared" si="9"/>
        <v>1</v>
      </c>
      <c r="L320" s="21"/>
      <c r="M320" s="21"/>
    </row>
    <row r="321" spans="1:13">
      <c r="A321" s="21"/>
      <c r="B321">
        <v>315</v>
      </c>
      <c r="C321" t="s">
        <v>8</v>
      </c>
      <c r="D321">
        <v>36</v>
      </c>
      <c r="E321" t="str">
        <f>IF(VLOOKUP(D321,Couleurs!A:B,2) = 0, "[" &amp; D321 &amp; "]",VLOOKUP(D321,Couleurs!A:B,2))</f>
        <v>[36]</v>
      </c>
      <c r="F321" s="1" t="s">
        <v>4032</v>
      </c>
      <c r="G321">
        <v>2</v>
      </c>
      <c r="H321" t="s">
        <v>3685</v>
      </c>
      <c r="I321" t="s">
        <v>432</v>
      </c>
      <c r="J321">
        <f t="shared" si="8"/>
        <v>15.6</v>
      </c>
      <c r="K321" t="b">
        <f t="shared" si="9"/>
        <v>1</v>
      </c>
      <c r="L321" s="21"/>
      <c r="M321" s="21"/>
    </row>
    <row r="322" spans="1:13">
      <c r="A322" s="21"/>
      <c r="B322">
        <v>316</v>
      </c>
      <c r="C322" t="s">
        <v>122</v>
      </c>
      <c r="D322">
        <v>227</v>
      </c>
      <c r="E322" t="str">
        <f>IF(VLOOKUP(D322,Couleurs!A:B,2) = 0, "[" &amp; D322 &amp; "]",VLOOKUP(D322,Couleurs!A:B,2))</f>
        <v>[227]</v>
      </c>
      <c r="F322" s="1" t="s">
        <v>4033</v>
      </c>
      <c r="G322">
        <v>2</v>
      </c>
      <c r="H322" t="s">
        <v>3704</v>
      </c>
      <c r="I322" t="s">
        <v>3706</v>
      </c>
      <c r="J322">
        <f t="shared" si="8"/>
        <v>25.44</v>
      </c>
      <c r="K322" t="b">
        <f t="shared" si="9"/>
        <v>1</v>
      </c>
      <c r="L322" s="21"/>
      <c r="M322" s="21"/>
    </row>
    <row r="323" spans="1:13">
      <c r="A323" s="21"/>
      <c r="B323">
        <v>317</v>
      </c>
      <c r="C323" t="s">
        <v>33</v>
      </c>
      <c r="D323">
        <v>483</v>
      </c>
      <c r="E323" t="str">
        <f>IF(VLOOKUP(D323,Couleurs!A:B,2) = 0, "[" &amp; D323 &amp; "]",VLOOKUP(D323,Couleurs!A:B,2))</f>
        <v>[483]</v>
      </c>
      <c r="F323" s="1" t="s">
        <v>4034</v>
      </c>
      <c r="G323">
        <v>6</v>
      </c>
      <c r="H323">
        <v>3</v>
      </c>
      <c r="I323">
        <v>18</v>
      </c>
      <c r="J323">
        <f t="shared" si="8"/>
        <v>18</v>
      </c>
      <c r="K323" t="b">
        <f t="shared" si="9"/>
        <v>1</v>
      </c>
      <c r="L323" s="21"/>
      <c r="M323" s="21"/>
    </row>
    <row r="324" spans="1:13">
      <c r="A324" s="21"/>
      <c r="B324">
        <v>318</v>
      </c>
      <c r="C324" t="s">
        <v>19</v>
      </c>
      <c r="D324">
        <v>55</v>
      </c>
      <c r="E324" t="str">
        <f>IF(VLOOKUP(D324,Couleurs!A:B,2) = 0, "[" &amp; D324 &amp; "]",VLOOKUP(D324,Couleurs!A:B,2))</f>
        <v>BLACK</v>
      </c>
      <c r="F324" s="1" t="s">
        <v>4035</v>
      </c>
      <c r="G324">
        <v>4</v>
      </c>
      <c r="H324" t="s">
        <v>3683</v>
      </c>
      <c r="I324" t="s">
        <v>4036</v>
      </c>
      <c r="J324">
        <f t="shared" si="8"/>
        <v>38.4</v>
      </c>
      <c r="K324" t="b">
        <f t="shared" si="9"/>
        <v>1</v>
      </c>
      <c r="L324" s="21"/>
      <c r="M324" s="21"/>
    </row>
    <row r="325" spans="1:13">
      <c r="A325" s="21"/>
      <c r="B325">
        <v>319</v>
      </c>
      <c r="C325" t="s">
        <v>89</v>
      </c>
      <c r="D325">
        <v>483</v>
      </c>
      <c r="E325" t="str">
        <f>IF(VLOOKUP(D325,Couleurs!A:B,2) = 0, "[" &amp; D325 &amp; "]",VLOOKUP(D325,Couleurs!A:B,2))</f>
        <v>[483]</v>
      </c>
      <c r="F325" s="1" t="s">
        <v>4037</v>
      </c>
      <c r="G325">
        <v>3</v>
      </c>
      <c r="H325">
        <v>9</v>
      </c>
      <c r="I325">
        <v>27</v>
      </c>
      <c r="J325">
        <f t="shared" ref="J325:J388" si="10">G325*H325</f>
        <v>27</v>
      </c>
      <c r="K325" t="b">
        <f t="shared" ref="K325:K388" si="11">(0+I325)=J325</f>
        <v>1</v>
      </c>
      <c r="L325" s="21"/>
      <c r="M325" s="21"/>
    </row>
    <row r="326" spans="1:13">
      <c r="A326" s="21"/>
      <c r="B326">
        <v>320</v>
      </c>
      <c r="C326" t="s">
        <v>2427</v>
      </c>
      <c r="D326">
        <v>50</v>
      </c>
      <c r="E326" t="str">
        <f>IF(VLOOKUP(D326,Couleurs!A:B,2) = 0, "[" &amp; D326 &amp; "]",VLOOKUP(D326,Couleurs!A:B,2))</f>
        <v>[50]</v>
      </c>
      <c r="F326" s="1" t="s">
        <v>4038</v>
      </c>
      <c r="G326">
        <v>1</v>
      </c>
      <c r="H326" t="s">
        <v>3692</v>
      </c>
      <c r="I326" t="s">
        <v>3692</v>
      </c>
      <c r="J326">
        <f t="shared" si="10"/>
        <v>6.6</v>
      </c>
      <c r="K326" t="b">
        <f t="shared" si="11"/>
        <v>1</v>
      </c>
      <c r="L326" s="21"/>
      <c r="M326" s="21"/>
    </row>
    <row r="327" spans="1:13">
      <c r="A327" s="21"/>
      <c r="B327">
        <v>321</v>
      </c>
      <c r="C327" t="s">
        <v>2418</v>
      </c>
      <c r="D327">
        <v>17</v>
      </c>
      <c r="E327" t="str">
        <f>IF(VLOOKUP(D327,Couleurs!A:B,2) = 0, "[" &amp; D327 &amp; "]",VLOOKUP(D327,Couleurs!A:B,2))</f>
        <v>NAVY BLUE</v>
      </c>
      <c r="F327" s="1" t="s">
        <v>4039</v>
      </c>
      <c r="G327">
        <v>2</v>
      </c>
      <c r="H327" t="s">
        <v>431</v>
      </c>
      <c r="I327" t="s">
        <v>442</v>
      </c>
      <c r="J327">
        <f t="shared" si="10"/>
        <v>23.76</v>
      </c>
      <c r="K327" t="b">
        <f t="shared" si="11"/>
        <v>1</v>
      </c>
      <c r="L327" s="21"/>
      <c r="M327" s="21"/>
    </row>
    <row r="328" spans="1:13">
      <c r="A328" s="21"/>
      <c r="B328">
        <v>322</v>
      </c>
      <c r="C328" t="s">
        <v>2475</v>
      </c>
      <c r="D328">
        <v>478</v>
      </c>
      <c r="E328" t="str">
        <f>IF(VLOOKUP(D328,Couleurs!A:B,2) = 0, "[" &amp; D328 &amp; "]",VLOOKUP(D328,Couleurs!A:B,2))</f>
        <v>[478]</v>
      </c>
      <c r="F328" s="1" t="s">
        <v>4040</v>
      </c>
      <c r="G328">
        <v>4</v>
      </c>
      <c r="H328" t="s">
        <v>438</v>
      </c>
      <c r="I328" t="s">
        <v>3691</v>
      </c>
      <c r="J328">
        <f t="shared" si="10"/>
        <v>28.32</v>
      </c>
      <c r="K328" t="b">
        <f t="shared" si="11"/>
        <v>1</v>
      </c>
      <c r="L328" s="21"/>
      <c r="M328" s="21"/>
    </row>
    <row r="329" spans="1:13">
      <c r="A329" s="21"/>
      <c r="B329">
        <v>323</v>
      </c>
      <c r="C329" t="s">
        <v>50</v>
      </c>
      <c r="D329">
        <v>371</v>
      </c>
      <c r="E329" t="str">
        <f>IF(VLOOKUP(D329,Couleurs!A:B,2) = 0, "[" &amp; D329 &amp; "]",VLOOKUP(D329,Couleurs!A:B,2))</f>
        <v>MILK</v>
      </c>
      <c r="F329" s="1" t="s">
        <v>4041</v>
      </c>
      <c r="G329">
        <v>3</v>
      </c>
      <c r="H329" t="s">
        <v>432</v>
      </c>
      <c r="I329" t="s">
        <v>4042</v>
      </c>
      <c r="J329">
        <f t="shared" si="10"/>
        <v>46.8</v>
      </c>
      <c r="K329" t="b">
        <f t="shared" si="11"/>
        <v>1</v>
      </c>
      <c r="L329" s="21"/>
      <c r="M329" s="21"/>
    </row>
    <row r="330" spans="1:13">
      <c r="A330" s="21"/>
      <c r="B330">
        <v>324</v>
      </c>
      <c r="C330" t="s">
        <v>29</v>
      </c>
      <c r="D330">
        <v>371</v>
      </c>
      <c r="E330" t="str">
        <f>IF(VLOOKUP(D330,Couleurs!A:B,2) = 0, "[" &amp; D330 &amp; "]",VLOOKUP(D330,Couleurs!A:B,2))</f>
        <v>MILK</v>
      </c>
      <c r="F330" s="1" t="s">
        <v>4043</v>
      </c>
      <c r="G330">
        <v>3</v>
      </c>
      <c r="H330" t="s">
        <v>438</v>
      </c>
      <c r="I330" t="s">
        <v>2422</v>
      </c>
      <c r="J330">
        <f t="shared" si="10"/>
        <v>21.240000000000002</v>
      </c>
      <c r="K330" t="b">
        <f t="shared" si="11"/>
        <v>1</v>
      </c>
      <c r="L330" s="21"/>
      <c r="M330" s="21"/>
    </row>
    <row r="331" spans="1:13">
      <c r="A331" s="21"/>
      <c r="B331">
        <v>325</v>
      </c>
      <c r="C331" t="s">
        <v>54</v>
      </c>
      <c r="D331">
        <v>422</v>
      </c>
      <c r="E331" t="str">
        <f>IF(VLOOKUP(D331,Couleurs!A:B,2) = 0, "[" &amp; D331 &amp; "]",VLOOKUP(D331,Couleurs!A:B,2))</f>
        <v>SANGRIA</v>
      </c>
      <c r="F331" s="1" t="s">
        <v>4044</v>
      </c>
      <c r="G331">
        <v>6</v>
      </c>
      <c r="H331" t="s">
        <v>3681</v>
      </c>
      <c r="I331" t="s">
        <v>440</v>
      </c>
      <c r="J331">
        <f t="shared" si="10"/>
        <v>21.6</v>
      </c>
      <c r="K331" t="b">
        <f t="shared" si="11"/>
        <v>1</v>
      </c>
      <c r="L331" s="21"/>
      <c r="M331" s="21"/>
    </row>
    <row r="332" spans="1:13">
      <c r="A332" s="21"/>
      <c r="B332">
        <v>326</v>
      </c>
      <c r="C332" t="s">
        <v>59</v>
      </c>
      <c r="D332">
        <v>483</v>
      </c>
      <c r="E332" t="str">
        <f>IF(VLOOKUP(D332,Couleurs!A:B,2) = 0, "[" &amp; D332 &amp; "]",VLOOKUP(D332,Couleurs!A:B,2))</f>
        <v>[483]</v>
      </c>
      <c r="F332" s="1" t="s">
        <v>4045</v>
      </c>
      <c r="G332">
        <v>2</v>
      </c>
      <c r="H332" t="s">
        <v>3888</v>
      </c>
      <c r="I332" t="s">
        <v>3890</v>
      </c>
      <c r="J332">
        <f t="shared" si="10"/>
        <v>27.6</v>
      </c>
      <c r="K332" t="b">
        <f t="shared" si="11"/>
        <v>1</v>
      </c>
      <c r="L332" s="21"/>
      <c r="M332" s="21"/>
    </row>
    <row r="333" spans="1:13">
      <c r="A333" s="21"/>
      <c r="B333">
        <v>327</v>
      </c>
      <c r="C333" t="s">
        <v>23</v>
      </c>
      <c r="D333">
        <v>347</v>
      </c>
      <c r="E333" t="str">
        <f>IF(VLOOKUP(D333,Couleurs!A:B,2) = 0, "[" &amp; D333 &amp; "]",VLOOKUP(D333,Couleurs!A:B,2))</f>
        <v>[347]</v>
      </c>
      <c r="F333" s="1" t="s">
        <v>4046</v>
      </c>
      <c r="G333">
        <v>2</v>
      </c>
      <c r="H333" t="s">
        <v>3682</v>
      </c>
      <c r="I333" t="s">
        <v>3747</v>
      </c>
      <c r="J333">
        <f t="shared" si="10"/>
        <v>26.16</v>
      </c>
      <c r="K333" t="b">
        <f t="shared" si="11"/>
        <v>1</v>
      </c>
      <c r="L333" s="21"/>
      <c r="M333" s="21"/>
    </row>
    <row r="334" spans="1:13">
      <c r="A334" s="21"/>
      <c r="B334">
        <v>328</v>
      </c>
      <c r="C334" t="s">
        <v>35</v>
      </c>
      <c r="D334">
        <v>422</v>
      </c>
      <c r="E334" t="str">
        <f>IF(VLOOKUP(D334,Couleurs!A:B,2) = 0, "[" &amp; D334 &amp; "]",VLOOKUP(D334,Couleurs!A:B,2))</f>
        <v>SANGRIA</v>
      </c>
      <c r="F334" s="1" t="s">
        <v>4047</v>
      </c>
      <c r="G334">
        <v>6</v>
      </c>
      <c r="H334" t="s">
        <v>3720</v>
      </c>
      <c r="I334" t="s">
        <v>3722</v>
      </c>
      <c r="J334">
        <f t="shared" si="10"/>
        <v>15.120000000000001</v>
      </c>
      <c r="K334" t="b">
        <f t="shared" si="11"/>
        <v>1</v>
      </c>
      <c r="L334" s="21"/>
      <c r="M334" s="21"/>
    </row>
    <row r="335" spans="1:13">
      <c r="A335" s="21"/>
      <c r="B335">
        <v>329</v>
      </c>
      <c r="C335" t="s">
        <v>88</v>
      </c>
      <c r="D335">
        <v>371</v>
      </c>
      <c r="E335" t="str">
        <f>IF(VLOOKUP(D335,Couleurs!A:B,2) = 0, "[" &amp; D335 &amp; "]",VLOOKUP(D335,Couleurs!A:B,2))</f>
        <v>MILK</v>
      </c>
      <c r="F335" s="1" t="s">
        <v>4048</v>
      </c>
      <c r="G335">
        <v>2</v>
      </c>
      <c r="H335">
        <v>24</v>
      </c>
      <c r="I335">
        <v>48</v>
      </c>
      <c r="J335">
        <f t="shared" si="10"/>
        <v>48</v>
      </c>
      <c r="K335" t="b">
        <f t="shared" si="11"/>
        <v>1</v>
      </c>
      <c r="L335" s="21"/>
      <c r="M335" s="21"/>
    </row>
    <row r="336" spans="1:13">
      <c r="A336" s="21"/>
      <c r="B336">
        <v>330</v>
      </c>
      <c r="C336" t="s">
        <v>56</v>
      </c>
      <c r="D336">
        <v>55</v>
      </c>
      <c r="E336" t="str">
        <f>IF(VLOOKUP(D336,Couleurs!A:B,2) = 0, "[" &amp; D336 &amp; "]",VLOOKUP(D336,Couleurs!A:B,2))</f>
        <v>BLACK</v>
      </c>
      <c r="F336" s="1" t="s">
        <v>4049</v>
      </c>
      <c r="G336">
        <v>3</v>
      </c>
      <c r="H336" t="s">
        <v>445</v>
      </c>
      <c r="I336" t="s">
        <v>446</v>
      </c>
      <c r="J336">
        <f t="shared" si="10"/>
        <v>25.56</v>
      </c>
      <c r="K336" t="b">
        <f t="shared" si="11"/>
        <v>1</v>
      </c>
      <c r="L336" s="21"/>
      <c r="M336" s="21"/>
    </row>
    <row r="337" spans="1:13">
      <c r="A337" s="21"/>
      <c r="B337">
        <v>331</v>
      </c>
      <c r="C337" t="s">
        <v>5</v>
      </c>
      <c r="D337">
        <v>347</v>
      </c>
      <c r="E337" t="str">
        <f>IF(VLOOKUP(D337,Couleurs!A:B,2) = 0, "[" &amp; D337 &amp; "]",VLOOKUP(D337,Couleurs!A:B,2))</f>
        <v>[347]</v>
      </c>
      <c r="F337" s="1" t="s">
        <v>4050</v>
      </c>
      <c r="G337">
        <v>2</v>
      </c>
      <c r="H337" t="s">
        <v>3753</v>
      </c>
      <c r="I337" t="s">
        <v>3806</v>
      </c>
      <c r="J337">
        <f t="shared" si="10"/>
        <v>18.72</v>
      </c>
      <c r="K337" t="b">
        <f t="shared" si="11"/>
        <v>1</v>
      </c>
      <c r="L337" s="21"/>
      <c r="M337" s="21"/>
    </row>
    <row r="338" spans="1:13">
      <c r="A338" s="21"/>
      <c r="B338">
        <v>332</v>
      </c>
      <c r="C338" t="s">
        <v>67</v>
      </c>
      <c r="D338">
        <v>500</v>
      </c>
      <c r="E338" t="str">
        <f>IF(VLOOKUP(D338,Couleurs!A:B,2) = 0, "[" &amp; D338 &amp; "]",VLOOKUP(D338,Couleurs!A:B,2))</f>
        <v>[500]</v>
      </c>
      <c r="F338" s="1" t="s">
        <v>3923</v>
      </c>
      <c r="G338">
        <v>4</v>
      </c>
      <c r="H338" t="s">
        <v>3685</v>
      </c>
      <c r="I338" t="s">
        <v>434</v>
      </c>
      <c r="J338">
        <f t="shared" si="10"/>
        <v>31.2</v>
      </c>
      <c r="K338" t="b">
        <f t="shared" si="11"/>
        <v>1</v>
      </c>
      <c r="L338" s="21"/>
      <c r="M338" s="21"/>
    </row>
    <row r="339" spans="1:13">
      <c r="A339" s="21"/>
      <c r="B339">
        <v>333</v>
      </c>
      <c r="C339" t="s">
        <v>72</v>
      </c>
      <c r="D339">
        <v>484</v>
      </c>
      <c r="E339" t="str">
        <f>IF(VLOOKUP(D339,Couleurs!A:B,2) = 0, "[" &amp; D339 &amp; "]",VLOOKUP(D339,Couleurs!A:B,2))</f>
        <v>[484]</v>
      </c>
      <c r="F339" s="1" t="s">
        <v>4051</v>
      </c>
      <c r="G339">
        <v>3</v>
      </c>
      <c r="H339">
        <v>9</v>
      </c>
      <c r="I339">
        <v>27</v>
      </c>
      <c r="J339">
        <f t="shared" si="10"/>
        <v>27</v>
      </c>
      <c r="K339" t="b">
        <f t="shared" si="11"/>
        <v>1</v>
      </c>
      <c r="L339" s="21"/>
      <c r="M339" s="21"/>
    </row>
    <row r="340" spans="1:13">
      <c r="A340" s="21"/>
      <c r="B340">
        <v>334</v>
      </c>
      <c r="C340" t="s">
        <v>71</v>
      </c>
      <c r="D340">
        <v>227</v>
      </c>
      <c r="E340" t="str">
        <f>IF(VLOOKUP(D340,Couleurs!A:B,2) = 0, "[" &amp; D340 &amp; "]",VLOOKUP(D340,Couleurs!A:B,2))</f>
        <v>[227]</v>
      </c>
      <c r="F340" s="1" t="s">
        <v>4052</v>
      </c>
      <c r="G340">
        <v>2</v>
      </c>
      <c r="H340" t="s">
        <v>3704</v>
      </c>
      <c r="I340" t="s">
        <v>3706</v>
      </c>
      <c r="J340">
        <f t="shared" si="10"/>
        <v>25.44</v>
      </c>
      <c r="K340" t="b">
        <f t="shared" si="11"/>
        <v>1</v>
      </c>
      <c r="L340" s="21"/>
      <c r="M340" s="21"/>
    </row>
    <row r="341" spans="1:13">
      <c r="A341" s="21"/>
      <c r="B341">
        <v>335</v>
      </c>
      <c r="C341" t="s">
        <v>24</v>
      </c>
      <c r="D341">
        <v>26</v>
      </c>
      <c r="E341" t="str">
        <f>IF(VLOOKUP(D341,Couleurs!A:B,2) = 0, "[" &amp; D341 &amp; "]",VLOOKUP(D341,Couleurs!A:B,2))</f>
        <v>[26]</v>
      </c>
      <c r="F341" s="1" t="s">
        <v>4053</v>
      </c>
      <c r="G341">
        <v>3</v>
      </c>
      <c r="H341" t="s">
        <v>427</v>
      </c>
      <c r="I341" t="s">
        <v>428</v>
      </c>
      <c r="J341">
        <f t="shared" si="10"/>
        <v>14.399999999999999</v>
      </c>
      <c r="K341" t="b">
        <f t="shared" si="11"/>
        <v>1</v>
      </c>
      <c r="L341" s="21"/>
      <c r="M341" s="21"/>
    </row>
    <row r="342" spans="1:13">
      <c r="A342" s="21"/>
      <c r="B342">
        <v>336</v>
      </c>
      <c r="C342" t="s">
        <v>55</v>
      </c>
      <c r="D342">
        <v>347</v>
      </c>
      <c r="E342" t="str">
        <f>IF(VLOOKUP(D342,Couleurs!A:B,2) = 0, "[" &amp; D342 &amp; "]",VLOOKUP(D342,Couleurs!A:B,2))</f>
        <v>[347]</v>
      </c>
      <c r="F342" s="1" t="s">
        <v>4054</v>
      </c>
      <c r="G342">
        <v>3</v>
      </c>
      <c r="H342" t="s">
        <v>3786</v>
      </c>
      <c r="I342" t="s">
        <v>435</v>
      </c>
      <c r="J342">
        <f t="shared" si="10"/>
        <v>25.200000000000003</v>
      </c>
      <c r="K342" t="b">
        <f t="shared" si="11"/>
        <v>1</v>
      </c>
      <c r="L342" s="21"/>
      <c r="M342" s="21"/>
    </row>
    <row r="343" spans="1:13">
      <c r="A343" s="21"/>
      <c r="B343">
        <v>337</v>
      </c>
      <c r="C343" t="s">
        <v>94</v>
      </c>
      <c r="D343">
        <v>17</v>
      </c>
      <c r="E343" t="str">
        <f>IF(VLOOKUP(D343,Couleurs!A:B,2) = 0, "[" &amp; D343 &amp; "]",VLOOKUP(D343,Couleurs!A:B,2))</f>
        <v>NAVY BLUE</v>
      </c>
      <c r="F343" s="1" t="s">
        <v>4055</v>
      </c>
      <c r="G343">
        <v>2</v>
      </c>
      <c r="H343" t="s">
        <v>428</v>
      </c>
      <c r="I343" t="s">
        <v>436</v>
      </c>
      <c r="J343">
        <f t="shared" si="10"/>
        <v>28.8</v>
      </c>
      <c r="K343" t="b">
        <f t="shared" si="11"/>
        <v>1</v>
      </c>
      <c r="L343" s="21"/>
      <c r="M343" s="21"/>
    </row>
    <row r="344" spans="1:13">
      <c r="A344" s="21"/>
      <c r="B344">
        <v>338</v>
      </c>
      <c r="C344" t="s">
        <v>27</v>
      </c>
      <c r="D344">
        <v>8</v>
      </c>
      <c r="E344" t="str">
        <f>IF(VLOOKUP(D344,Couleurs!A:B,2) = 0, "[" &amp; D344 &amp; "]",VLOOKUP(D344,Couleurs!A:B,2))</f>
        <v>WHITE</v>
      </c>
      <c r="F344" s="1" t="s">
        <v>4056</v>
      </c>
      <c r="G344">
        <v>6</v>
      </c>
      <c r="H344" t="s">
        <v>3735</v>
      </c>
      <c r="I344" t="s">
        <v>3737</v>
      </c>
      <c r="J344">
        <f t="shared" si="10"/>
        <v>11.52</v>
      </c>
      <c r="K344" t="b">
        <f t="shared" si="11"/>
        <v>1</v>
      </c>
      <c r="L344" s="21"/>
      <c r="M344" s="21"/>
    </row>
    <row r="345" spans="1:13">
      <c r="A345" s="21"/>
      <c r="B345">
        <v>339</v>
      </c>
      <c r="C345" t="s">
        <v>27</v>
      </c>
      <c r="D345">
        <v>422</v>
      </c>
      <c r="E345" t="str">
        <f>IF(VLOOKUP(D345,Couleurs!A:B,2) = 0, "[" &amp; D345 &amp; "]",VLOOKUP(D345,Couleurs!A:B,2))</f>
        <v>SANGRIA</v>
      </c>
      <c r="F345" s="1" t="s">
        <v>4057</v>
      </c>
      <c r="G345">
        <v>6</v>
      </c>
      <c r="H345" t="s">
        <v>3735</v>
      </c>
      <c r="I345" t="s">
        <v>3737</v>
      </c>
      <c r="J345">
        <f t="shared" si="10"/>
        <v>11.52</v>
      </c>
      <c r="K345" t="b">
        <f t="shared" si="11"/>
        <v>1</v>
      </c>
      <c r="L345" s="21"/>
      <c r="M345" s="21"/>
    </row>
    <row r="346" spans="1:13">
      <c r="A346" s="21"/>
      <c r="B346">
        <v>340</v>
      </c>
      <c r="C346" t="s">
        <v>18</v>
      </c>
      <c r="D346">
        <v>17</v>
      </c>
      <c r="E346" t="str">
        <f>IF(VLOOKUP(D346,Couleurs!A:B,2) = 0, "[" &amp; D346 &amp; "]",VLOOKUP(D346,Couleurs!A:B,2))</f>
        <v>NAVY BLUE</v>
      </c>
      <c r="F346" s="1" t="s">
        <v>4058</v>
      </c>
      <c r="G346">
        <v>2</v>
      </c>
      <c r="H346" t="s">
        <v>3925</v>
      </c>
      <c r="I346" t="s">
        <v>429</v>
      </c>
      <c r="J346">
        <f t="shared" si="10"/>
        <v>13.44</v>
      </c>
      <c r="K346" t="b">
        <f t="shared" si="11"/>
        <v>1</v>
      </c>
      <c r="L346" s="21"/>
      <c r="M346" s="21"/>
    </row>
    <row r="347" spans="1:13">
      <c r="A347" s="21"/>
      <c r="B347">
        <v>341</v>
      </c>
      <c r="C347" t="s">
        <v>21</v>
      </c>
      <c r="D347">
        <v>55</v>
      </c>
      <c r="E347" t="str">
        <f>IF(VLOOKUP(D347,Couleurs!A:B,2) = 0, "[" &amp; D347 &amp; "]",VLOOKUP(D347,Couleurs!A:B,2))</f>
        <v>BLACK</v>
      </c>
      <c r="F347" s="1" t="s">
        <v>4059</v>
      </c>
      <c r="G347">
        <v>1</v>
      </c>
      <c r="H347" t="s">
        <v>428</v>
      </c>
      <c r="I347" t="s">
        <v>428</v>
      </c>
      <c r="J347">
        <f t="shared" si="10"/>
        <v>14.4</v>
      </c>
      <c r="K347" t="b">
        <f t="shared" si="11"/>
        <v>1</v>
      </c>
      <c r="L347" s="21"/>
      <c r="M347" s="21"/>
    </row>
    <row r="348" spans="1:13">
      <c r="A348" s="21"/>
      <c r="B348">
        <v>342</v>
      </c>
      <c r="C348" t="s">
        <v>34</v>
      </c>
      <c r="D348">
        <v>71</v>
      </c>
      <c r="E348" t="str">
        <f>IF(VLOOKUP(D348,Couleurs!A:B,2) = 0, "[" &amp; D348 &amp; "]",VLOOKUP(D348,Couleurs!A:B,2))</f>
        <v>ROCK</v>
      </c>
      <c r="F348" s="1" t="s">
        <v>4060</v>
      </c>
      <c r="G348">
        <v>2</v>
      </c>
      <c r="H348" t="s">
        <v>3698</v>
      </c>
      <c r="I348" t="s">
        <v>3700</v>
      </c>
      <c r="J348">
        <f t="shared" si="10"/>
        <v>22.08</v>
      </c>
      <c r="K348" t="b">
        <f t="shared" si="11"/>
        <v>1</v>
      </c>
      <c r="L348" s="21"/>
      <c r="M348" s="21"/>
    </row>
    <row r="349" spans="1:13">
      <c r="A349" s="21"/>
      <c r="B349">
        <v>343</v>
      </c>
      <c r="C349" t="s">
        <v>0</v>
      </c>
      <c r="D349">
        <v>75</v>
      </c>
      <c r="E349" t="str">
        <f>IF(VLOOKUP(D349,Couleurs!A:B,2) = 0, "[" &amp; D349 &amp; "]",VLOOKUP(D349,Couleurs!A:B,2))</f>
        <v>[75]</v>
      </c>
      <c r="F349" s="1" t="s">
        <v>4061</v>
      </c>
      <c r="G349">
        <v>3</v>
      </c>
      <c r="H349" t="s">
        <v>3685</v>
      </c>
      <c r="I349" t="s">
        <v>3686</v>
      </c>
      <c r="J349">
        <f t="shared" si="10"/>
        <v>23.4</v>
      </c>
      <c r="K349" t="b">
        <f t="shared" si="11"/>
        <v>1</v>
      </c>
      <c r="L349" s="21"/>
      <c r="M349" s="21"/>
    </row>
    <row r="350" spans="1:13">
      <c r="A350" s="21"/>
      <c r="B350">
        <v>344</v>
      </c>
      <c r="C350" t="s">
        <v>46</v>
      </c>
      <c r="D350">
        <v>8</v>
      </c>
      <c r="E350" t="str">
        <f>IF(VLOOKUP(D350,Couleurs!A:B,2) = 0, "[" &amp; D350 &amp; "]",VLOOKUP(D350,Couleurs!A:B,2))</f>
        <v>WHITE</v>
      </c>
      <c r="F350" s="1" t="s">
        <v>4062</v>
      </c>
      <c r="G350">
        <v>6</v>
      </c>
      <c r="H350" t="s">
        <v>429</v>
      </c>
      <c r="I350" t="s">
        <v>3966</v>
      </c>
      <c r="J350">
        <f t="shared" si="10"/>
        <v>80.64</v>
      </c>
      <c r="K350" t="b">
        <f t="shared" si="11"/>
        <v>1</v>
      </c>
      <c r="L350" s="21"/>
      <c r="M350" s="21"/>
    </row>
    <row r="351" spans="1:13">
      <c r="A351" s="21"/>
      <c r="B351">
        <v>345</v>
      </c>
      <c r="C351" t="s">
        <v>86</v>
      </c>
      <c r="D351">
        <v>481</v>
      </c>
      <c r="E351" t="str">
        <f>IF(VLOOKUP(D351,Couleurs!A:B,2) = 0, "[" &amp; D351 &amp; "]",VLOOKUP(D351,Couleurs!A:B,2))</f>
        <v>[481]</v>
      </c>
      <c r="F351" s="1" t="s">
        <v>4063</v>
      </c>
      <c r="G351">
        <v>2</v>
      </c>
      <c r="H351" t="s">
        <v>431</v>
      </c>
      <c r="I351" t="s">
        <v>442</v>
      </c>
      <c r="J351">
        <f t="shared" si="10"/>
        <v>23.76</v>
      </c>
      <c r="K351" t="b">
        <f t="shared" si="11"/>
        <v>1</v>
      </c>
      <c r="L351" s="21"/>
      <c r="M351" s="21"/>
    </row>
    <row r="352" spans="1:13">
      <c r="A352" s="21"/>
      <c r="B352">
        <v>346</v>
      </c>
      <c r="C352" t="s">
        <v>88</v>
      </c>
      <c r="D352">
        <v>479</v>
      </c>
      <c r="E352" t="str">
        <f>IF(VLOOKUP(D352,Couleurs!A:B,2) = 0, "[" &amp; D352 &amp; "]",VLOOKUP(D352,Couleurs!A:B,2))</f>
        <v>[479]</v>
      </c>
      <c r="F352" s="1" t="s">
        <v>4064</v>
      </c>
      <c r="G352">
        <v>2</v>
      </c>
      <c r="H352">
        <v>24</v>
      </c>
      <c r="I352">
        <v>48</v>
      </c>
      <c r="J352">
        <f t="shared" si="10"/>
        <v>48</v>
      </c>
      <c r="K352" t="b">
        <f t="shared" si="11"/>
        <v>1</v>
      </c>
      <c r="L352" s="21"/>
      <c r="M352" s="21"/>
    </row>
    <row r="353" spans="1:13">
      <c r="A353" s="21"/>
      <c r="B353">
        <v>347</v>
      </c>
      <c r="C353" t="s">
        <v>34</v>
      </c>
      <c r="D353">
        <v>347</v>
      </c>
      <c r="E353" t="str">
        <f>IF(VLOOKUP(D353,Couleurs!A:B,2) = 0, "[" &amp; D353 &amp; "]",VLOOKUP(D353,Couleurs!A:B,2))</f>
        <v>[347]</v>
      </c>
      <c r="F353" s="1" t="s">
        <v>4065</v>
      </c>
      <c r="G353">
        <v>2</v>
      </c>
      <c r="H353" t="s">
        <v>3698</v>
      </c>
      <c r="I353" t="s">
        <v>3700</v>
      </c>
      <c r="J353">
        <f t="shared" si="10"/>
        <v>22.08</v>
      </c>
      <c r="K353" t="b">
        <f t="shared" si="11"/>
        <v>1</v>
      </c>
      <c r="L353" s="21"/>
      <c r="M353" s="21"/>
    </row>
    <row r="354" spans="1:13">
      <c r="A354" s="21"/>
      <c r="B354">
        <v>348</v>
      </c>
      <c r="C354" t="s">
        <v>51</v>
      </c>
      <c r="D354">
        <v>55</v>
      </c>
      <c r="E354" t="str">
        <f>IF(VLOOKUP(D354,Couleurs!A:B,2) = 0, "[" &amp; D354 &amp; "]",VLOOKUP(D354,Couleurs!A:B,2))</f>
        <v>BLACK</v>
      </c>
      <c r="F354" s="1" t="s">
        <v>4066</v>
      </c>
      <c r="G354">
        <v>10</v>
      </c>
      <c r="H354" t="s">
        <v>441</v>
      </c>
      <c r="I354" t="s">
        <v>4067</v>
      </c>
      <c r="J354">
        <f t="shared" si="10"/>
        <v>45.599999999999994</v>
      </c>
      <c r="K354" t="b">
        <f t="shared" si="11"/>
        <v>1</v>
      </c>
      <c r="L354" s="21"/>
      <c r="M354" s="21"/>
    </row>
    <row r="355" spans="1:13">
      <c r="A355" s="21"/>
      <c r="B355">
        <v>349</v>
      </c>
      <c r="C355" t="s">
        <v>29</v>
      </c>
      <c r="D355">
        <v>76</v>
      </c>
      <c r="E355" t="str">
        <f>IF(VLOOKUP(D355,Couleurs!A:B,2) = 0, "[" &amp; D355 &amp; "]",VLOOKUP(D355,Couleurs!A:B,2))</f>
        <v>[76]</v>
      </c>
      <c r="F355" s="1" t="s">
        <v>4068</v>
      </c>
      <c r="G355">
        <v>2</v>
      </c>
      <c r="H355" t="s">
        <v>438</v>
      </c>
      <c r="I355" t="s">
        <v>3917</v>
      </c>
      <c r="J355">
        <f t="shared" si="10"/>
        <v>14.16</v>
      </c>
      <c r="K355" t="b">
        <f t="shared" si="11"/>
        <v>1</v>
      </c>
      <c r="L355" s="21"/>
      <c r="M355" s="21"/>
    </row>
    <row r="356" spans="1:13">
      <c r="A356" s="21"/>
      <c r="B356">
        <v>350</v>
      </c>
      <c r="C356" t="s">
        <v>118</v>
      </c>
      <c r="D356">
        <v>475</v>
      </c>
      <c r="E356" t="str">
        <f>IF(VLOOKUP(D356,Couleurs!A:B,2) = 0, "[" &amp; D356 &amp; "]",VLOOKUP(D356,Couleurs!A:B,2))</f>
        <v>[475]</v>
      </c>
      <c r="F356" s="1" t="s">
        <v>4069</v>
      </c>
      <c r="G356">
        <v>3</v>
      </c>
      <c r="H356" t="s">
        <v>3692</v>
      </c>
      <c r="I356" t="s">
        <v>3693</v>
      </c>
      <c r="J356">
        <f t="shared" si="10"/>
        <v>19.799999999999997</v>
      </c>
      <c r="K356" t="b">
        <f t="shared" si="11"/>
        <v>1</v>
      </c>
      <c r="L356" s="21"/>
      <c r="M356" s="21"/>
    </row>
    <row r="357" spans="1:13">
      <c r="A357" s="21"/>
      <c r="B357">
        <v>351</v>
      </c>
      <c r="C357" t="s">
        <v>29</v>
      </c>
      <c r="D357">
        <v>26</v>
      </c>
      <c r="E357" t="str">
        <f>IF(VLOOKUP(D357,Couleurs!A:B,2) = 0, "[" &amp; D357 &amp; "]",VLOOKUP(D357,Couleurs!A:B,2))</f>
        <v>[26]</v>
      </c>
      <c r="F357" s="1" t="s">
        <v>4070</v>
      </c>
      <c r="G357">
        <v>3</v>
      </c>
      <c r="H357" t="s">
        <v>438</v>
      </c>
      <c r="I357" t="s">
        <v>2422</v>
      </c>
      <c r="J357">
        <f t="shared" si="10"/>
        <v>21.240000000000002</v>
      </c>
      <c r="K357" t="b">
        <f t="shared" si="11"/>
        <v>1</v>
      </c>
      <c r="L357" s="21"/>
      <c r="M357" s="21"/>
    </row>
    <row r="358" spans="1:13">
      <c r="A358" s="21"/>
      <c r="B358">
        <v>352</v>
      </c>
      <c r="C358" t="s">
        <v>2</v>
      </c>
      <c r="D358">
        <v>55</v>
      </c>
      <c r="E358" t="str">
        <f>IF(VLOOKUP(D358,Couleurs!A:B,2) = 0, "[" &amp; D358 &amp; "]",VLOOKUP(D358,Couleurs!A:B,2))</f>
        <v>BLACK</v>
      </c>
      <c r="F358" s="1" t="s">
        <v>4071</v>
      </c>
      <c r="G358">
        <v>3</v>
      </c>
      <c r="H358" t="s">
        <v>427</v>
      </c>
      <c r="I358" t="s">
        <v>428</v>
      </c>
      <c r="J358">
        <f t="shared" si="10"/>
        <v>14.399999999999999</v>
      </c>
      <c r="K358" t="b">
        <f t="shared" si="11"/>
        <v>1</v>
      </c>
      <c r="L358" s="21"/>
      <c r="M358" s="21"/>
    </row>
    <row r="359" spans="1:13">
      <c r="A359" s="21"/>
      <c r="B359">
        <v>353</v>
      </c>
      <c r="C359" t="s">
        <v>4</v>
      </c>
      <c r="D359">
        <v>422</v>
      </c>
      <c r="E359" t="str">
        <f>IF(VLOOKUP(D359,Couleurs!A:B,2) = 0, "[" &amp; D359 &amp; "]",VLOOKUP(D359,Couleurs!A:B,2))</f>
        <v>SANGRIA</v>
      </c>
      <c r="F359" s="1" t="s">
        <v>4072</v>
      </c>
      <c r="G359">
        <v>2</v>
      </c>
      <c r="H359" t="s">
        <v>3712</v>
      </c>
      <c r="I359" t="s">
        <v>3714</v>
      </c>
      <c r="J359">
        <f t="shared" si="10"/>
        <v>36.24</v>
      </c>
      <c r="K359" t="b">
        <f t="shared" si="11"/>
        <v>1</v>
      </c>
      <c r="L359" s="21"/>
      <c r="M359" s="21"/>
    </row>
    <row r="360" spans="1:13">
      <c r="A360" s="21"/>
      <c r="B360">
        <v>354</v>
      </c>
      <c r="C360" t="s">
        <v>4073</v>
      </c>
      <c r="D360">
        <v>227</v>
      </c>
      <c r="E360" t="str">
        <f>IF(VLOOKUP(D360,Couleurs!A:B,2) = 0, "[" &amp; D360 &amp; "]",VLOOKUP(D360,Couleurs!A:B,2))</f>
        <v>[227]</v>
      </c>
      <c r="F360" s="1" t="s">
        <v>4074</v>
      </c>
      <c r="G360">
        <v>4</v>
      </c>
      <c r="H360" t="s">
        <v>3712</v>
      </c>
      <c r="I360" t="s">
        <v>3778</v>
      </c>
      <c r="J360">
        <f t="shared" si="10"/>
        <v>72.48</v>
      </c>
      <c r="K360" t="b">
        <f t="shared" si="11"/>
        <v>1</v>
      </c>
      <c r="L360" s="21"/>
      <c r="M360" s="21"/>
    </row>
    <row r="361" spans="1:13">
      <c r="A361" s="21"/>
      <c r="B361">
        <v>355</v>
      </c>
      <c r="C361" t="s">
        <v>51</v>
      </c>
      <c r="D361">
        <v>17</v>
      </c>
      <c r="E361" t="str">
        <f>IF(VLOOKUP(D361,Couleurs!A:B,2) = 0, "[" &amp; D361 &amp; "]",VLOOKUP(D361,Couleurs!A:B,2))</f>
        <v>NAVY BLUE</v>
      </c>
      <c r="F361" s="1" t="s">
        <v>3957</v>
      </c>
      <c r="G361">
        <v>6</v>
      </c>
      <c r="H361" t="s">
        <v>441</v>
      </c>
      <c r="I361" t="s">
        <v>3727</v>
      </c>
      <c r="J361">
        <f t="shared" si="10"/>
        <v>27.36</v>
      </c>
      <c r="K361" t="b">
        <f t="shared" si="11"/>
        <v>1</v>
      </c>
      <c r="L361" s="21"/>
      <c r="M361" s="21"/>
    </row>
    <row r="362" spans="1:13">
      <c r="A362" s="21"/>
      <c r="B362">
        <v>356</v>
      </c>
      <c r="C362" t="s">
        <v>32</v>
      </c>
      <c r="D362">
        <v>75</v>
      </c>
      <c r="E362" t="str">
        <f>IF(VLOOKUP(D362,Couleurs!A:B,2) = 0, "[" &amp; D362 &amp; "]",VLOOKUP(D362,Couleurs!A:B,2))</f>
        <v>[75]</v>
      </c>
      <c r="F362" s="1" t="s">
        <v>3934</v>
      </c>
      <c r="G362">
        <v>2</v>
      </c>
      <c r="H362" t="s">
        <v>441</v>
      </c>
      <c r="I362" t="s">
        <v>3817</v>
      </c>
      <c r="J362">
        <f t="shared" si="10"/>
        <v>9.1199999999999992</v>
      </c>
      <c r="K362" t="b">
        <f t="shared" si="11"/>
        <v>1</v>
      </c>
      <c r="L362" s="21"/>
      <c r="M362" s="21"/>
    </row>
    <row r="363" spans="1:13">
      <c r="A363" s="21"/>
      <c r="B363">
        <v>357</v>
      </c>
      <c r="C363" t="s">
        <v>107</v>
      </c>
      <c r="D363">
        <v>481</v>
      </c>
      <c r="E363" t="str">
        <f>IF(VLOOKUP(D363,Couleurs!A:B,2) = 0, "[" &amp; D363 &amp; "]",VLOOKUP(D363,Couleurs!A:B,2))</f>
        <v>[481]</v>
      </c>
      <c r="F363" s="1" t="s">
        <v>3807</v>
      </c>
      <c r="G363">
        <v>2</v>
      </c>
      <c r="H363" t="s">
        <v>439</v>
      </c>
      <c r="I363" t="s">
        <v>440</v>
      </c>
      <c r="J363">
        <f t="shared" si="10"/>
        <v>21.6</v>
      </c>
      <c r="K363" t="b">
        <f t="shared" si="11"/>
        <v>1</v>
      </c>
      <c r="L363" s="21"/>
      <c r="M363" s="21"/>
    </row>
    <row r="364" spans="1:13">
      <c r="A364" s="21"/>
      <c r="B364">
        <v>358</v>
      </c>
      <c r="C364" t="s">
        <v>112</v>
      </c>
      <c r="D364">
        <v>78</v>
      </c>
      <c r="E364" t="str">
        <f>IF(VLOOKUP(D364,Couleurs!A:B,2) = 0, "[" &amp; D364 &amp; "]",VLOOKUP(D364,Couleurs!A:B,2))</f>
        <v>SAND</v>
      </c>
      <c r="F364" s="1" t="s">
        <v>4075</v>
      </c>
      <c r="G364">
        <v>2</v>
      </c>
      <c r="H364" t="s">
        <v>3756</v>
      </c>
      <c r="I364" t="s">
        <v>3758</v>
      </c>
      <c r="J364">
        <f t="shared" si="10"/>
        <v>20.88</v>
      </c>
      <c r="K364" t="b">
        <f t="shared" si="11"/>
        <v>1</v>
      </c>
      <c r="L364" s="21"/>
      <c r="M364" s="21"/>
    </row>
    <row r="365" spans="1:13">
      <c r="A365" s="21"/>
      <c r="B365">
        <v>359</v>
      </c>
      <c r="C365" t="s">
        <v>0</v>
      </c>
      <c r="D365">
        <v>26</v>
      </c>
      <c r="E365" t="str">
        <f>IF(VLOOKUP(D365,Couleurs!A:B,2) = 0, "[" &amp; D365 &amp; "]",VLOOKUP(D365,Couleurs!A:B,2))</f>
        <v>[26]</v>
      </c>
      <c r="F365" s="1" t="s">
        <v>4076</v>
      </c>
      <c r="G365">
        <v>3</v>
      </c>
      <c r="H365" t="s">
        <v>3685</v>
      </c>
      <c r="I365" t="s">
        <v>3686</v>
      </c>
      <c r="J365">
        <f t="shared" si="10"/>
        <v>23.4</v>
      </c>
      <c r="K365" t="b">
        <f t="shared" si="11"/>
        <v>1</v>
      </c>
      <c r="L365" s="21"/>
      <c r="M365" s="21"/>
    </row>
    <row r="366" spans="1:13">
      <c r="A366" s="21"/>
      <c r="B366">
        <v>360</v>
      </c>
      <c r="C366" t="s">
        <v>24</v>
      </c>
      <c r="D366">
        <v>133</v>
      </c>
      <c r="E366" t="str">
        <f>IF(VLOOKUP(D366,Couleurs!A:B,2) = 0, "[" &amp; D366 &amp; "]",VLOOKUP(D366,Couleurs!A:B,2))</f>
        <v>LIGHT GREY</v>
      </c>
      <c r="F366" s="1" t="s">
        <v>4077</v>
      </c>
      <c r="G366">
        <v>1</v>
      </c>
      <c r="H366" t="s">
        <v>427</v>
      </c>
      <c r="I366" t="s">
        <v>427</v>
      </c>
      <c r="J366">
        <f t="shared" si="10"/>
        <v>4.8</v>
      </c>
      <c r="K366" t="b">
        <f t="shared" si="11"/>
        <v>1</v>
      </c>
      <c r="L366" s="21"/>
      <c r="M366" s="21"/>
    </row>
    <row r="367" spans="1:13">
      <c r="A367" s="21"/>
      <c r="B367">
        <v>361</v>
      </c>
      <c r="C367" t="s">
        <v>49</v>
      </c>
      <c r="D367">
        <v>347</v>
      </c>
      <c r="E367" t="str">
        <f>IF(VLOOKUP(D367,Couleurs!A:B,2) = 0, "[" &amp; D367 &amp; "]",VLOOKUP(D367,Couleurs!A:B,2))</f>
        <v>[347]</v>
      </c>
      <c r="F367" s="1" t="s">
        <v>4078</v>
      </c>
      <c r="G367">
        <v>3</v>
      </c>
      <c r="H367" t="s">
        <v>438</v>
      </c>
      <c r="I367" t="s">
        <v>2422</v>
      </c>
      <c r="J367">
        <f t="shared" si="10"/>
        <v>21.240000000000002</v>
      </c>
      <c r="K367" t="b">
        <f t="shared" si="11"/>
        <v>1</v>
      </c>
      <c r="L367" s="21"/>
      <c r="M367" s="21"/>
    </row>
    <row r="368" spans="1:13">
      <c r="A368" s="21"/>
      <c r="B368">
        <v>362</v>
      </c>
      <c r="C368" t="s">
        <v>8</v>
      </c>
      <c r="D368">
        <v>55</v>
      </c>
      <c r="E368" t="str">
        <f>IF(VLOOKUP(D368,Couleurs!A:B,2) = 0, "[" &amp; D368 &amp; "]",VLOOKUP(D368,Couleurs!A:B,2))</f>
        <v>BLACK</v>
      </c>
      <c r="F368" s="1" t="s">
        <v>4079</v>
      </c>
      <c r="G368">
        <v>2</v>
      </c>
      <c r="H368" t="s">
        <v>3685</v>
      </c>
      <c r="I368" t="s">
        <v>432</v>
      </c>
      <c r="J368">
        <f t="shared" si="10"/>
        <v>15.6</v>
      </c>
      <c r="K368" t="b">
        <f t="shared" si="11"/>
        <v>1</v>
      </c>
      <c r="L368" s="21"/>
      <c r="M368" s="21"/>
    </row>
    <row r="369" spans="1:13">
      <c r="A369" s="21"/>
      <c r="B369">
        <v>363</v>
      </c>
      <c r="C369" t="s">
        <v>24</v>
      </c>
      <c r="D369">
        <v>158</v>
      </c>
      <c r="E369" t="str">
        <f>IF(VLOOKUP(D369,Couleurs!A:B,2) = 0, "[" &amp; D369 &amp; "]",VLOOKUP(D369,Couleurs!A:B,2))</f>
        <v>VOLCANO</v>
      </c>
      <c r="F369" s="1" t="s">
        <v>4080</v>
      </c>
      <c r="G369">
        <v>1</v>
      </c>
      <c r="H369" t="s">
        <v>427</v>
      </c>
      <c r="I369" t="s">
        <v>427</v>
      </c>
      <c r="J369">
        <f t="shared" si="10"/>
        <v>4.8</v>
      </c>
      <c r="K369" t="b">
        <f t="shared" si="11"/>
        <v>1</v>
      </c>
      <c r="L369" s="21"/>
      <c r="M369" s="21"/>
    </row>
    <row r="370" spans="1:13">
      <c r="A370" s="21"/>
      <c r="B370">
        <v>364</v>
      </c>
      <c r="C370" t="s">
        <v>26</v>
      </c>
      <c r="D370">
        <v>158</v>
      </c>
      <c r="E370" t="str">
        <f>IF(VLOOKUP(D370,Couleurs!A:B,2) = 0, "[" &amp; D370 &amp; "]",VLOOKUP(D370,Couleurs!A:B,2))</f>
        <v>VOLCANO</v>
      </c>
      <c r="F370" s="1" t="s">
        <v>4081</v>
      </c>
      <c r="G370">
        <v>1</v>
      </c>
      <c r="H370" t="s">
        <v>428</v>
      </c>
      <c r="I370" t="s">
        <v>428</v>
      </c>
      <c r="J370">
        <f t="shared" si="10"/>
        <v>14.4</v>
      </c>
      <c r="K370" t="b">
        <f t="shared" si="11"/>
        <v>1</v>
      </c>
      <c r="L370" s="21"/>
      <c r="M370" s="21"/>
    </row>
    <row r="371" spans="1:13">
      <c r="A371" s="21"/>
      <c r="B371">
        <v>365</v>
      </c>
      <c r="C371" t="s">
        <v>100</v>
      </c>
      <c r="D371">
        <v>8</v>
      </c>
      <c r="E371" t="str">
        <f>IF(VLOOKUP(D371,Couleurs!A:B,2) = 0, "[" &amp; D371 &amp; "]",VLOOKUP(D371,Couleurs!A:B,2))</f>
        <v>WHITE</v>
      </c>
      <c r="F371" s="1" t="s">
        <v>4082</v>
      </c>
      <c r="G371">
        <v>3</v>
      </c>
      <c r="H371">
        <v>33</v>
      </c>
      <c r="I371">
        <v>99</v>
      </c>
      <c r="J371">
        <f t="shared" si="10"/>
        <v>99</v>
      </c>
      <c r="K371" t="b">
        <f t="shared" si="11"/>
        <v>1</v>
      </c>
      <c r="L371" s="21"/>
      <c r="M371" s="21"/>
    </row>
    <row r="372" spans="1:13">
      <c r="A372" s="21"/>
      <c r="B372">
        <v>366</v>
      </c>
      <c r="C372" t="s">
        <v>9</v>
      </c>
      <c r="D372">
        <v>17</v>
      </c>
      <c r="E372" t="str">
        <f>IF(VLOOKUP(D372,Couleurs!A:B,2) = 0, "[" &amp; D372 &amp; "]",VLOOKUP(D372,Couleurs!A:B,2))</f>
        <v>NAVY BLUE</v>
      </c>
      <c r="F372" s="1" t="s">
        <v>4083</v>
      </c>
      <c r="G372">
        <v>3</v>
      </c>
      <c r="H372" t="s">
        <v>428</v>
      </c>
      <c r="I372" t="s">
        <v>433</v>
      </c>
      <c r="J372">
        <f t="shared" si="10"/>
        <v>43.2</v>
      </c>
      <c r="K372" t="b">
        <f t="shared" si="11"/>
        <v>1</v>
      </c>
      <c r="L372" s="21"/>
      <c r="M372" s="21"/>
    </row>
    <row r="373" spans="1:13">
      <c r="A373" s="21"/>
      <c r="B373">
        <v>367</v>
      </c>
      <c r="C373" t="s">
        <v>35</v>
      </c>
      <c r="D373">
        <v>60</v>
      </c>
      <c r="E373" t="str">
        <f>IF(VLOOKUP(D373,Couleurs!A:B,2) = 0, "[" &amp; D373 &amp; "]",VLOOKUP(D373,Couleurs!A:B,2))</f>
        <v>BLACK</v>
      </c>
      <c r="F373" s="1" t="s">
        <v>4084</v>
      </c>
      <c r="G373">
        <v>6</v>
      </c>
      <c r="H373" t="s">
        <v>3720</v>
      </c>
      <c r="I373" t="s">
        <v>3722</v>
      </c>
      <c r="J373">
        <f t="shared" si="10"/>
        <v>15.120000000000001</v>
      </c>
      <c r="K373" t="b">
        <f t="shared" si="11"/>
        <v>1</v>
      </c>
      <c r="L373" s="21"/>
      <c r="M373" s="21"/>
    </row>
    <row r="374" spans="1:13">
      <c r="A374" s="21"/>
      <c r="B374">
        <v>368</v>
      </c>
      <c r="C374" t="s">
        <v>103</v>
      </c>
      <c r="D374">
        <v>479</v>
      </c>
      <c r="E374" t="str">
        <f>IF(VLOOKUP(D374,Couleurs!A:B,2) = 0, "[" &amp; D374 &amp; "]",VLOOKUP(D374,Couleurs!A:B,2))</f>
        <v>[479]</v>
      </c>
      <c r="F374" s="1" t="s">
        <v>4085</v>
      </c>
      <c r="G374">
        <v>2</v>
      </c>
      <c r="H374" t="s">
        <v>3743</v>
      </c>
      <c r="I374" t="s">
        <v>3783</v>
      </c>
      <c r="J374">
        <f t="shared" si="10"/>
        <v>58.8</v>
      </c>
      <c r="K374" t="b">
        <f t="shared" si="11"/>
        <v>1</v>
      </c>
      <c r="L374" s="21"/>
      <c r="M374" s="21"/>
    </row>
    <row r="375" spans="1:13">
      <c r="A375" s="21"/>
      <c r="B375">
        <v>369</v>
      </c>
      <c r="C375" t="s">
        <v>26</v>
      </c>
      <c r="D375">
        <v>133</v>
      </c>
      <c r="E375" t="str">
        <f>IF(VLOOKUP(D375,Couleurs!A:B,2) = 0, "[" &amp; D375 &amp; "]",VLOOKUP(D375,Couleurs!A:B,2))</f>
        <v>LIGHT GREY</v>
      </c>
      <c r="F375" s="1" t="s">
        <v>4086</v>
      </c>
      <c r="G375">
        <v>1</v>
      </c>
      <c r="H375" t="s">
        <v>428</v>
      </c>
      <c r="I375" t="s">
        <v>428</v>
      </c>
      <c r="J375">
        <f t="shared" si="10"/>
        <v>14.4</v>
      </c>
      <c r="K375" t="b">
        <f t="shared" si="11"/>
        <v>1</v>
      </c>
      <c r="L375" s="21"/>
      <c r="M375" s="21"/>
    </row>
    <row r="376" spans="1:13">
      <c r="A376" s="21"/>
      <c r="B376">
        <v>370</v>
      </c>
      <c r="C376" t="s">
        <v>25</v>
      </c>
      <c r="D376">
        <v>158</v>
      </c>
      <c r="E376" t="str">
        <f>IF(VLOOKUP(D376,Couleurs!A:B,2) = 0, "[" &amp; D376 &amp; "]",VLOOKUP(D376,Couleurs!A:B,2))</f>
        <v>VOLCANO</v>
      </c>
      <c r="F376" s="1" t="s">
        <v>4087</v>
      </c>
      <c r="G376">
        <v>2</v>
      </c>
      <c r="H376" t="s">
        <v>437</v>
      </c>
      <c r="I376" t="s">
        <v>435</v>
      </c>
      <c r="J376">
        <f t="shared" si="10"/>
        <v>25.2</v>
      </c>
      <c r="K376" t="b">
        <f t="shared" si="11"/>
        <v>1</v>
      </c>
      <c r="L376" s="21"/>
      <c r="M376" s="21"/>
    </row>
    <row r="377" spans="1:13">
      <c r="A377" s="21"/>
      <c r="B377">
        <v>371</v>
      </c>
      <c r="C377" t="s">
        <v>2429</v>
      </c>
      <c r="D377">
        <v>158</v>
      </c>
      <c r="E377" t="str">
        <f>IF(VLOOKUP(D377,Couleurs!A:B,2) = 0, "[" &amp; D377 &amp; "]",VLOOKUP(D377,Couleurs!A:B,2))</f>
        <v>VOLCANO</v>
      </c>
      <c r="F377" s="1" t="s">
        <v>4088</v>
      </c>
      <c r="G377">
        <v>2</v>
      </c>
      <c r="H377" t="s">
        <v>3853</v>
      </c>
      <c r="I377" t="s">
        <v>3855</v>
      </c>
      <c r="J377">
        <f t="shared" si="10"/>
        <v>27.84</v>
      </c>
      <c r="K377" t="b">
        <f t="shared" si="11"/>
        <v>1</v>
      </c>
      <c r="L377" s="21"/>
      <c r="M377" s="21"/>
    </row>
    <row r="378" spans="1:13">
      <c r="A378" s="21"/>
      <c r="B378">
        <v>372</v>
      </c>
      <c r="C378" t="s">
        <v>2420</v>
      </c>
      <c r="D378">
        <v>473</v>
      </c>
      <c r="E378" t="str">
        <f>IF(VLOOKUP(D378,Couleurs!A:B,2) = 0, "[" &amp; D378 &amp; "]",VLOOKUP(D378,Couleurs!A:B,2))</f>
        <v>[473]</v>
      </c>
      <c r="F378" s="1" t="s">
        <v>4089</v>
      </c>
      <c r="G378">
        <v>4</v>
      </c>
      <c r="H378" t="s">
        <v>438</v>
      </c>
      <c r="I378" t="s">
        <v>3691</v>
      </c>
      <c r="J378">
        <f t="shared" si="10"/>
        <v>28.32</v>
      </c>
      <c r="K378" t="b">
        <f t="shared" si="11"/>
        <v>1</v>
      </c>
      <c r="L378" s="21"/>
      <c r="M378" s="21"/>
    </row>
    <row r="379" spans="1:13">
      <c r="A379" s="21"/>
      <c r="B379">
        <v>373</v>
      </c>
      <c r="C379" t="s">
        <v>2433</v>
      </c>
      <c r="D379">
        <v>36</v>
      </c>
      <c r="E379" t="str">
        <f>IF(VLOOKUP(D379,Couleurs!A:B,2) = 0, "[" &amp; D379 &amp; "]",VLOOKUP(D379,Couleurs!A:B,2))</f>
        <v>[36]</v>
      </c>
      <c r="F379" s="1" t="s">
        <v>4090</v>
      </c>
      <c r="G379">
        <v>2</v>
      </c>
      <c r="H379" t="s">
        <v>3704</v>
      </c>
      <c r="I379" t="s">
        <v>3706</v>
      </c>
      <c r="J379">
        <f t="shared" si="10"/>
        <v>25.44</v>
      </c>
      <c r="K379" t="b">
        <f t="shared" si="11"/>
        <v>1</v>
      </c>
      <c r="L379" s="21"/>
      <c r="M379" s="21"/>
    </row>
    <row r="380" spans="1:13">
      <c r="A380" s="21"/>
      <c r="B380">
        <v>374</v>
      </c>
      <c r="C380" t="s">
        <v>29</v>
      </c>
      <c r="D380">
        <v>36</v>
      </c>
      <c r="E380" t="str">
        <f>IF(VLOOKUP(D380,Couleurs!A:B,2) = 0, "[" &amp; D380 &amp; "]",VLOOKUP(D380,Couleurs!A:B,2))</f>
        <v>[36]</v>
      </c>
      <c r="F380" s="1" t="s">
        <v>4091</v>
      </c>
      <c r="G380">
        <v>2</v>
      </c>
      <c r="H380" t="s">
        <v>438</v>
      </c>
      <c r="I380" t="s">
        <v>3917</v>
      </c>
      <c r="J380">
        <f t="shared" si="10"/>
        <v>14.16</v>
      </c>
      <c r="K380" t="b">
        <f t="shared" si="11"/>
        <v>1</v>
      </c>
      <c r="L380" s="21"/>
      <c r="M380" s="21"/>
    </row>
    <row r="381" spans="1:13">
      <c r="A381" s="21"/>
      <c r="B381">
        <v>375</v>
      </c>
      <c r="C381" t="s">
        <v>2427</v>
      </c>
      <c r="D381">
        <v>371</v>
      </c>
      <c r="E381" t="str">
        <f>IF(VLOOKUP(D381,Couleurs!A:B,2) = 0, "[" &amp; D381 &amp; "]",VLOOKUP(D381,Couleurs!A:B,2))</f>
        <v>MILK</v>
      </c>
      <c r="F381" s="1" t="s">
        <v>4092</v>
      </c>
      <c r="G381">
        <v>2</v>
      </c>
      <c r="H381" t="s">
        <v>3692</v>
      </c>
      <c r="I381" t="s">
        <v>4021</v>
      </c>
      <c r="J381">
        <f t="shared" si="10"/>
        <v>13.2</v>
      </c>
      <c r="K381" t="b">
        <f t="shared" si="11"/>
        <v>1</v>
      </c>
      <c r="L381" s="21"/>
      <c r="M381" s="21"/>
    </row>
    <row r="382" spans="1:13">
      <c r="A382" s="21"/>
      <c r="B382">
        <v>376</v>
      </c>
      <c r="C382" t="s">
        <v>2467</v>
      </c>
      <c r="D382">
        <v>72</v>
      </c>
      <c r="E382" t="str">
        <f>IF(VLOOKUP(D382,Couleurs!A:B,2) = 0, "[" &amp; D382 &amp; "]",VLOOKUP(D382,Couleurs!A:B,2))</f>
        <v>[72]</v>
      </c>
      <c r="F382" s="1" t="s">
        <v>4093</v>
      </c>
      <c r="G382">
        <v>2</v>
      </c>
      <c r="H382" t="s">
        <v>3704</v>
      </c>
      <c r="I382" t="s">
        <v>3706</v>
      </c>
      <c r="J382">
        <f t="shared" si="10"/>
        <v>25.44</v>
      </c>
      <c r="K382" t="b">
        <f t="shared" si="11"/>
        <v>1</v>
      </c>
      <c r="L382" s="21"/>
      <c r="M382" s="21"/>
    </row>
    <row r="383" spans="1:13">
      <c r="A383" s="21"/>
      <c r="B383">
        <v>377</v>
      </c>
      <c r="C383" t="s">
        <v>38</v>
      </c>
      <c r="D383">
        <v>481</v>
      </c>
      <c r="E383" t="str">
        <f>IF(VLOOKUP(D383,Couleurs!A:B,2) = 0, "[" &amp; D383 &amp; "]",VLOOKUP(D383,Couleurs!A:B,2))</f>
        <v>[481]</v>
      </c>
      <c r="F383" s="1" t="s">
        <v>4094</v>
      </c>
      <c r="G383">
        <v>2</v>
      </c>
      <c r="H383" t="s">
        <v>431</v>
      </c>
      <c r="I383" t="s">
        <v>442</v>
      </c>
      <c r="J383">
        <f t="shared" si="10"/>
        <v>23.76</v>
      </c>
      <c r="K383" t="b">
        <f t="shared" si="11"/>
        <v>1</v>
      </c>
      <c r="L383" s="21"/>
      <c r="M383" s="21"/>
    </row>
    <row r="384" spans="1:13">
      <c r="A384" s="21"/>
      <c r="B384">
        <v>378</v>
      </c>
      <c r="C384" t="s">
        <v>121</v>
      </c>
      <c r="D384">
        <v>17</v>
      </c>
      <c r="E384" t="str">
        <f>IF(VLOOKUP(D384,Couleurs!A:B,2) = 0, "[" &amp; D384 &amp; "]",VLOOKUP(D384,Couleurs!A:B,2))</f>
        <v>NAVY BLUE</v>
      </c>
      <c r="F384" s="1" t="s">
        <v>4095</v>
      </c>
      <c r="G384">
        <v>2</v>
      </c>
      <c r="H384" t="s">
        <v>446</v>
      </c>
      <c r="I384" t="s">
        <v>4096</v>
      </c>
      <c r="J384">
        <f t="shared" si="10"/>
        <v>51.12</v>
      </c>
      <c r="K384" t="b">
        <f t="shared" si="11"/>
        <v>1</v>
      </c>
      <c r="L384" s="21"/>
      <c r="M384" s="21"/>
    </row>
    <row r="385" spans="1:13">
      <c r="A385" s="21"/>
      <c r="B385">
        <v>379</v>
      </c>
      <c r="C385" t="s">
        <v>17</v>
      </c>
      <c r="D385">
        <v>75</v>
      </c>
      <c r="E385" t="str">
        <f>IF(VLOOKUP(D385,Couleurs!A:B,2) = 0, "[" &amp; D385 &amp; "]",VLOOKUP(D385,Couleurs!A:B,2))</f>
        <v>[75]</v>
      </c>
      <c r="F385" s="1" t="s">
        <v>4097</v>
      </c>
      <c r="G385">
        <v>3</v>
      </c>
      <c r="H385" t="s">
        <v>3786</v>
      </c>
      <c r="I385" t="s">
        <v>435</v>
      </c>
      <c r="J385">
        <f t="shared" si="10"/>
        <v>25.200000000000003</v>
      </c>
      <c r="K385" t="b">
        <f t="shared" si="11"/>
        <v>1</v>
      </c>
      <c r="L385" s="21"/>
      <c r="M385" s="21"/>
    </row>
    <row r="386" spans="1:13">
      <c r="A386" s="21"/>
      <c r="B386">
        <v>380</v>
      </c>
      <c r="C386" t="s">
        <v>25</v>
      </c>
      <c r="D386">
        <v>75</v>
      </c>
      <c r="E386" t="str">
        <f>IF(VLOOKUP(D386,Couleurs!A:B,2) = 0, "[" &amp; D386 &amp; "]",VLOOKUP(D386,Couleurs!A:B,2))</f>
        <v>[75]</v>
      </c>
      <c r="F386" s="1" t="s">
        <v>4098</v>
      </c>
      <c r="G386">
        <v>2</v>
      </c>
      <c r="H386" t="s">
        <v>437</v>
      </c>
      <c r="I386" t="s">
        <v>435</v>
      </c>
      <c r="J386">
        <f t="shared" si="10"/>
        <v>25.2</v>
      </c>
      <c r="K386" t="b">
        <f t="shared" si="11"/>
        <v>1</v>
      </c>
      <c r="L386" s="21"/>
      <c r="M386" s="21"/>
    </row>
    <row r="387" spans="1:13">
      <c r="A387" s="21"/>
      <c r="B387">
        <v>381</v>
      </c>
      <c r="C387" t="s">
        <v>21</v>
      </c>
      <c r="D387">
        <v>485</v>
      </c>
      <c r="E387" t="str">
        <f>IF(VLOOKUP(D387,Couleurs!A:B,2) = 0, "[" &amp; D387 &amp; "]",VLOOKUP(D387,Couleurs!A:B,2))</f>
        <v>[485]</v>
      </c>
      <c r="F387" s="1" t="s">
        <v>4099</v>
      </c>
      <c r="G387">
        <v>3</v>
      </c>
      <c r="H387" t="s">
        <v>428</v>
      </c>
      <c r="I387" t="s">
        <v>433</v>
      </c>
      <c r="J387">
        <f t="shared" si="10"/>
        <v>43.2</v>
      </c>
      <c r="K387" t="b">
        <f t="shared" si="11"/>
        <v>1</v>
      </c>
      <c r="L387" s="21"/>
      <c r="M387" s="21"/>
    </row>
    <row r="388" spans="1:13">
      <c r="A388" s="21"/>
      <c r="B388">
        <v>382</v>
      </c>
      <c r="C388" t="s">
        <v>2431</v>
      </c>
      <c r="D388">
        <v>26</v>
      </c>
      <c r="E388" t="str">
        <f>IF(VLOOKUP(D388,Couleurs!A:B,2) = 0, "[" &amp; D388 &amp; "]",VLOOKUP(D388,Couleurs!A:B,2))</f>
        <v>[26]</v>
      </c>
      <c r="F388" s="1" t="s">
        <v>4100</v>
      </c>
      <c r="G388">
        <v>3</v>
      </c>
      <c r="H388" t="s">
        <v>431</v>
      </c>
      <c r="I388" t="s">
        <v>3703</v>
      </c>
      <c r="J388">
        <f t="shared" si="10"/>
        <v>35.64</v>
      </c>
      <c r="K388" t="b">
        <f t="shared" si="11"/>
        <v>1</v>
      </c>
      <c r="L388" s="21"/>
      <c r="M388" s="21"/>
    </row>
    <row r="389" spans="1:13">
      <c r="A389" s="21"/>
      <c r="B389">
        <v>383</v>
      </c>
      <c r="C389" t="s">
        <v>61</v>
      </c>
      <c r="D389">
        <v>25</v>
      </c>
      <c r="E389" t="str">
        <f>IF(VLOOKUP(D389,Couleurs!A:B,2) = 0, "[" &amp; D389 &amp; "]",VLOOKUP(D389,Couleurs!A:B,2))</f>
        <v>[25]</v>
      </c>
      <c r="F389" s="1" t="s">
        <v>4101</v>
      </c>
      <c r="G389">
        <v>3</v>
      </c>
      <c r="H389">
        <v>9</v>
      </c>
      <c r="I389">
        <v>27</v>
      </c>
      <c r="J389">
        <f t="shared" ref="J389:J452" si="12">G389*H389</f>
        <v>27</v>
      </c>
      <c r="K389" t="b">
        <f t="shared" ref="K389:K452" si="13">(0+I389)=J389</f>
        <v>1</v>
      </c>
      <c r="L389" s="21"/>
      <c r="M389" s="21"/>
    </row>
    <row r="390" spans="1:13">
      <c r="A390" s="21"/>
      <c r="B390">
        <v>384</v>
      </c>
      <c r="C390" t="s">
        <v>118</v>
      </c>
      <c r="D390">
        <v>475</v>
      </c>
      <c r="E390" t="str">
        <f>IF(VLOOKUP(D390,Couleurs!A:B,2) = 0, "[" &amp; D390 &amp; "]",VLOOKUP(D390,Couleurs!A:B,2))</f>
        <v>[475]</v>
      </c>
      <c r="F390" s="1" t="s">
        <v>4069</v>
      </c>
      <c r="G390">
        <v>3</v>
      </c>
      <c r="H390" t="s">
        <v>3692</v>
      </c>
      <c r="I390" t="s">
        <v>3693</v>
      </c>
      <c r="J390">
        <f t="shared" si="12"/>
        <v>19.799999999999997</v>
      </c>
      <c r="K390" t="b">
        <f t="shared" si="13"/>
        <v>1</v>
      </c>
      <c r="L390" s="21"/>
      <c r="M390" s="21"/>
    </row>
    <row r="391" spans="1:13">
      <c r="A391" s="21"/>
      <c r="B391">
        <v>385</v>
      </c>
      <c r="C391" t="s">
        <v>2414</v>
      </c>
      <c r="D391">
        <v>26</v>
      </c>
      <c r="E391" t="str">
        <f>IF(VLOOKUP(D391,Couleurs!A:B,2) = 0, "[" &amp; D391 &amp; "]",VLOOKUP(D391,Couleurs!A:B,2))</f>
        <v>[26]</v>
      </c>
      <c r="F391" s="1" t="s">
        <v>4102</v>
      </c>
      <c r="G391">
        <v>3</v>
      </c>
      <c r="H391" t="s">
        <v>3808</v>
      </c>
      <c r="I391" t="s">
        <v>3810</v>
      </c>
      <c r="J391">
        <f t="shared" si="12"/>
        <v>57.96</v>
      </c>
      <c r="K391" t="b">
        <f t="shared" si="13"/>
        <v>1</v>
      </c>
      <c r="L391" s="21"/>
      <c r="M391" s="21"/>
    </row>
    <row r="392" spans="1:13">
      <c r="A392" s="21"/>
      <c r="B392">
        <v>386</v>
      </c>
      <c r="C392" t="s">
        <v>34</v>
      </c>
      <c r="D392">
        <v>158</v>
      </c>
      <c r="E392" t="str">
        <f>IF(VLOOKUP(D392,Couleurs!A:B,2) = 0, "[" &amp; D392 &amp; "]",VLOOKUP(D392,Couleurs!A:B,2))</f>
        <v>VOLCANO</v>
      </c>
      <c r="F392" s="1" t="s">
        <v>4103</v>
      </c>
      <c r="G392">
        <v>2</v>
      </c>
      <c r="H392" t="s">
        <v>3698</v>
      </c>
      <c r="I392" t="s">
        <v>3700</v>
      </c>
      <c r="J392">
        <f t="shared" si="12"/>
        <v>22.08</v>
      </c>
      <c r="K392" t="b">
        <f t="shared" si="13"/>
        <v>1</v>
      </c>
      <c r="L392" s="21"/>
      <c r="M392" s="21"/>
    </row>
    <row r="393" spans="1:13">
      <c r="A393" s="21"/>
      <c r="B393">
        <v>387</v>
      </c>
      <c r="C393" t="s">
        <v>24</v>
      </c>
      <c r="D393">
        <v>75</v>
      </c>
      <c r="E393" t="str">
        <f>IF(VLOOKUP(D393,Couleurs!A:B,2) = 0, "[" &amp; D393 &amp; "]",VLOOKUP(D393,Couleurs!A:B,2))</f>
        <v>[75]</v>
      </c>
      <c r="F393" s="1" t="s">
        <v>4104</v>
      </c>
      <c r="G393">
        <v>3</v>
      </c>
      <c r="H393" t="s">
        <v>427</v>
      </c>
      <c r="I393" t="s">
        <v>428</v>
      </c>
      <c r="J393">
        <f t="shared" si="12"/>
        <v>14.399999999999999</v>
      </c>
      <c r="K393" t="b">
        <f t="shared" si="13"/>
        <v>1</v>
      </c>
      <c r="L393" s="21"/>
      <c r="M393" s="21"/>
    </row>
    <row r="394" spans="1:13">
      <c r="A394" s="21"/>
      <c r="B394">
        <v>388</v>
      </c>
      <c r="C394" t="s">
        <v>2448</v>
      </c>
      <c r="D394">
        <v>17</v>
      </c>
      <c r="E394" t="str">
        <f>IF(VLOOKUP(D394,Couleurs!A:B,2) = 0, "[" &amp; D394 &amp; "]",VLOOKUP(D394,Couleurs!A:B,2))</f>
        <v>NAVY BLUE</v>
      </c>
      <c r="F394" s="1" t="s">
        <v>4105</v>
      </c>
      <c r="G394">
        <v>4</v>
      </c>
      <c r="H394" t="s">
        <v>428</v>
      </c>
      <c r="I394" t="s">
        <v>3793</v>
      </c>
      <c r="J394">
        <f t="shared" si="12"/>
        <v>57.6</v>
      </c>
      <c r="K394" t="b">
        <f t="shared" si="13"/>
        <v>1</v>
      </c>
      <c r="L394" s="21"/>
      <c r="M394" s="21"/>
    </row>
    <row r="395" spans="1:13">
      <c r="A395" s="21"/>
      <c r="B395">
        <v>389</v>
      </c>
      <c r="C395" t="s">
        <v>2455</v>
      </c>
      <c r="D395">
        <v>125</v>
      </c>
      <c r="E395" t="str">
        <f>IF(VLOOKUP(D395,Couleurs!A:B,2) = 0, "[" &amp; D395 &amp; "]",VLOOKUP(D395,Couleurs!A:B,2))</f>
        <v>[125]</v>
      </c>
      <c r="F395" s="1" t="s">
        <v>4106</v>
      </c>
      <c r="G395">
        <v>4</v>
      </c>
      <c r="H395" t="s">
        <v>3712</v>
      </c>
      <c r="I395" t="s">
        <v>3778</v>
      </c>
      <c r="J395">
        <f t="shared" si="12"/>
        <v>72.48</v>
      </c>
      <c r="K395" t="b">
        <f t="shared" si="13"/>
        <v>1</v>
      </c>
      <c r="L395" s="21"/>
      <c r="M395" s="21"/>
    </row>
    <row r="396" spans="1:13">
      <c r="A396" s="21"/>
      <c r="B396">
        <v>390</v>
      </c>
      <c r="C396" t="s">
        <v>35</v>
      </c>
      <c r="D396">
        <v>55</v>
      </c>
      <c r="E396" t="str">
        <f>IF(VLOOKUP(D396,Couleurs!A:B,2) = 0, "[" &amp; D396 &amp; "]",VLOOKUP(D396,Couleurs!A:B,2))</f>
        <v>BLACK</v>
      </c>
      <c r="F396" s="1" t="s">
        <v>4107</v>
      </c>
      <c r="G396">
        <v>6</v>
      </c>
      <c r="H396" t="s">
        <v>3720</v>
      </c>
      <c r="I396" t="s">
        <v>3722</v>
      </c>
      <c r="J396">
        <f t="shared" si="12"/>
        <v>15.120000000000001</v>
      </c>
      <c r="K396" t="b">
        <f t="shared" si="13"/>
        <v>1</v>
      </c>
      <c r="L396" s="21"/>
      <c r="M396" s="21"/>
    </row>
    <row r="397" spans="1:13">
      <c r="A397" s="21"/>
      <c r="B397">
        <v>391</v>
      </c>
      <c r="C397" t="s">
        <v>7</v>
      </c>
      <c r="D397">
        <v>55</v>
      </c>
      <c r="E397" t="str">
        <f>IF(VLOOKUP(D397,Couleurs!A:B,2) = 0, "[" &amp; D397 &amp; "]",VLOOKUP(D397,Couleurs!A:B,2))</f>
        <v>BLACK</v>
      </c>
      <c r="F397" s="1" t="s">
        <v>4108</v>
      </c>
      <c r="G397">
        <v>6</v>
      </c>
      <c r="H397" t="s">
        <v>431</v>
      </c>
      <c r="I397" t="s">
        <v>3892</v>
      </c>
      <c r="J397">
        <f t="shared" si="12"/>
        <v>71.28</v>
      </c>
      <c r="K397" t="b">
        <f t="shared" si="13"/>
        <v>1</v>
      </c>
      <c r="L397" s="21"/>
      <c r="M397" s="21"/>
    </row>
    <row r="398" spans="1:13">
      <c r="A398" s="21"/>
      <c r="B398">
        <v>392</v>
      </c>
      <c r="C398" t="s">
        <v>5</v>
      </c>
      <c r="D398">
        <v>76</v>
      </c>
      <c r="E398" t="str">
        <f>IF(VLOOKUP(D398,Couleurs!A:B,2) = 0, "[" &amp; D398 &amp; "]",VLOOKUP(D398,Couleurs!A:B,2))</f>
        <v>[76]</v>
      </c>
      <c r="F398" s="1" t="s">
        <v>4109</v>
      </c>
      <c r="G398">
        <v>2</v>
      </c>
      <c r="H398" t="s">
        <v>3753</v>
      </c>
      <c r="I398" t="s">
        <v>3806</v>
      </c>
      <c r="J398">
        <f t="shared" si="12"/>
        <v>18.72</v>
      </c>
      <c r="K398" t="b">
        <f t="shared" si="13"/>
        <v>1</v>
      </c>
      <c r="L398" s="21"/>
      <c r="M398" s="21"/>
    </row>
    <row r="399" spans="1:13">
      <c r="A399" s="21"/>
      <c r="B399">
        <v>393</v>
      </c>
      <c r="C399" t="s">
        <v>51</v>
      </c>
      <c r="D399">
        <v>26</v>
      </c>
      <c r="E399" t="str">
        <f>IF(VLOOKUP(D399,Couleurs!A:B,2) = 0, "[" &amp; D399 &amp; "]",VLOOKUP(D399,Couleurs!A:B,2))</f>
        <v>[26]</v>
      </c>
      <c r="F399" s="1" t="s">
        <v>4110</v>
      </c>
      <c r="G399">
        <v>8</v>
      </c>
      <c r="H399" t="s">
        <v>441</v>
      </c>
      <c r="I399" t="s">
        <v>444</v>
      </c>
      <c r="J399">
        <f t="shared" si="12"/>
        <v>36.479999999999997</v>
      </c>
      <c r="K399" t="b">
        <f t="shared" si="13"/>
        <v>1</v>
      </c>
      <c r="L399" s="21"/>
      <c r="M399" s="21"/>
    </row>
    <row r="400" spans="1:13">
      <c r="A400" s="21"/>
      <c r="B400">
        <v>394</v>
      </c>
      <c r="C400" t="s">
        <v>2467</v>
      </c>
      <c r="D400">
        <v>36</v>
      </c>
      <c r="E400" t="str">
        <f>IF(VLOOKUP(D400,Couleurs!A:B,2) = 0, "[" &amp; D400 &amp; "]",VLOOKUP(D400,Couleurs!A:B,2))</f>
        <v>[36]</v>
      </c>
      <c r="F400" s="1" t="s">
        <v>4111</v>
      </c>
      <c r="G400">
        <v>2</v>
      </c>
      <c r="H400" t="s">
        <v>3704</v>
      </c>
      <c r="I400" t="s">
        <v>3706</v>
      </c>
      <c r="J400">
        <f t="shared" si="12"/>
        <v>25.44</v>
      </c>
      <c r="K400" t="b">
        <f t="shared" si="13"/>
        <v>1</v>
      </c>
      <c r="L400" s="21"/>
      <c r="M400" s="21"/>
    </row>
    <row r="401" spans="1:13">
      <c r="A401" s="21"/>
      <c r="B401">
        <v>395</v>
      </c>
      <c r="C401" t="s">
        <v>50</v>
      </c>
      <c r="D401">
        <v>422</v>
      </c>
      <c r="E401" t="str">
        <f>IF(VLOOKUP(D401,Couleurs!A:B,2) = 0, "[" &amp; D401 &amp; "]",VLOOKUP(D401,Couleurs!A:B,2))</f>
        <v>SANGRIA</v>
      </c>
      <c r="F401" s="1" t="s">
        <v>4112</v>
      </c>
      <c r="G401">
        <v>3</v>
      </c>
      <c r="H401" t="s">
        <v>432</v>
      </c>
      <c r="I401" t="s">
        <v>4042</v>
      </c>
      <c r="J401">
        <f t="shared" si="12"/>
        <v>46.8</v>
      </c>
      <c r="K401" t="b">
        <f t="shared" si="13"/>
        <v>1</v>
      </c>
      <c r="L401" s="21"/>
      <c r="M401" s="21"/>
    </row>
    <row r="402" spans="1:13">
      <c r="A402" s="21"/>
      <c r="B402">
        <v>396</v>
      </c>
      <c r="C402" t="s">
        <v>2431</v>
      </c>
      <c r="D402">
        <v>347</v>
      </c>
      <c r="E402" t="str">
        <f>IF(VLOOKUP(D402,Couleurs!A:B,2) = 0, "[" &amp; D402 &amp; "]",VLOOKUP(D402,Couleurs!A:B,2))</f>
        <v>[347]</v>
      </c>
      <c r="F402" s="1" t="s">
        <v>4113</v>
      </c>
      <c r="G402">
        <v>3</v>
      </c>
      <c r="H402" t="s">
        <v>431</v>
      </c>
      <c r="I402" t="s">
        <v>3703</v>
      </c>
      <c r="J402">
        <f t="shared" si="12"/>
        <v>35.64</v>
      </c>
      <c r="K402" t="b">
        <f t="shared" si="13"/>
        <v>1</v>
      </c>
      <c r="L402" s="21"/>
      <c r="M402" s="21"/>
    </row>
    <row r="403" spans="1:13">
      <c r="A403" s="21"/>
      <c r="B403">
        <v>397</v>
      </c>
      <c r="C403" t="s">
        <v>49</v>
      </c>
      <c r="D403">
        <v>26</v>
      </c>
      <c r="E403" t="str">
        <f>IF(VLOOKUP(D403,Couleurs!A:B,2) = 0, "[" &amp; D403 &amp; "]",VLOOKUP(D403,Couleurs!A:B,2))</f>
        <v>[26]</v>
      </c>
      <c r="F403" s="1" t="s">
        <v>4114</v>
      </c>
      <c r="G403">
        <v>3</v>
      </c>
      <c r="H403" t="s">
        <v>438</v>
      </c>
      <c r="I403" t="s">
        <v>2422</v>
      </c>
      <c r="J403">
        <f t="shared" si="12"/>
        <v>21.240000000000002</v>
      </c>
      <c r="K403" t="b">
        <f t="shared" si="13"/>
        <v>1</v>
      </c>
      <c r="L403" s="21"/>
      <c r="M403" s="21"/>
    </row>
    <row r="404" spans="1:13">
      <c r="A404" s="21"/>
      <c r="B404">
        <v>398</v>
      </c>
      <c r="C404" t="s">
        <v>109</v>
      </c>
      <c r="D404">
        <v>481</v>
      </c>
      <c r="E404" t="str">
        <f>IF(VLOOKUP(D404,Couleurs!A:B,2) = 0, "[" &amp; D404 &amp; "]",VLOOKUP(D404,Couleurs!A:B,2))</f>
        <v>[481]</v>
      </c>
      <c r="F404" s="1" t="s">
        <v>4016</v>
      </c>
      <c r="G404">
        <v>2</v>
      </c>
      <c r="H404" t="s">
        <v>439</v>
      </c>
      <c r="I404" t="s">
        <v>440</v>
      </c>
      <c r="J404">
        <f t="shared" si="12"/>
        <v>21.6</v>
      </c>
      <c r="K404" t="b">
        <f t="shared" si="13"/>
        <v>1</v>
      </c>
      <c r="L404" s="21"/>
      <c r="M404" s="21"/>
    </row>
    <row r="405" spans="1:13">
      <c r="A405" s="21"/>
      <c r="B405">
        <v>399</v>
      </c>
      <c r="C405" t="s">
        <v>1</v>
      </c>
      <c r="D405">
        <v>72</v>
      </c>
      <c r="E405" t="str">
        <f>IF(VLOOKUP(D405,Couleurs!A:B,2) = 0, "[" &amp; D405 &amp; "]",VLOOKUP(D405,Couleurs!A:B,2))</f>
        <v>[72]</v>
      </c>
      <c r="F405" s="1" t="s">
        <v>4115</v>
      </c>
      <c r="G405">
        <v>4</v>
      </c>
      <c r="H405" t="s">
        <v>3704</v>
      </c>
      <c r="I405" t="s">
        <v>3724</v>
      </c>
      <c r="J405">
        <f t="shared" si="12"/>
        <v>50.88</v>
      </c>
      <c r="K405" t="b">
        <f t="shared" si="13"/>
        <v>1</v>
      </c>
      <c r="L405" s="21"/>
      <c r="M405" s="21"/>
    </row>
    <row r="406" spans="1:13">
      <c r="A406" s="21"/>
      <c r="B406">
        <v>400</v>
      </c>
      <c r="C406" t="s">
        <v>2477</v>
      </c>
      <c r="D406">
        <v>475</v>
      </c>
      <c r="E406" t="str">
        <f>IF(VLOOKUP(D406,Couleurs!A:B,2) = 0, "[" &amp; D406 &amp; "]",VLOOKUP(D406,Couleurs!A:B,2))</f>
        <v>[475]</v>
      </c>
      <c r="F406" s="1" t="s">
        <v>4116</v>
      </c>
      <c r="G406">
        <v>2</v>
      </c>
      <c r="H406" t="s">
        <v>3704</v>
      </c>
      <c r="I406" t="s">
        <v>3706</v>
      </c>
      <c r="J406">
        <f t="shared" si="12"/>
        <v>25.44</v>
      </c>
      <c r="K406" t="b">
        <f t="shared" si="13"/>
        <v>1</v>
      </c>
      <c r="L406" s="21"/>
      <c r="M406" s="21"/>
    </row>
    <row r="407" spans="1:13">
      <c r="A407" s="21"/>
      <c r="B407">
        <v>401</v>
      </c>
      <c r="C407" t="s">
        <v>59</v>
      </c>
      <c r="D407">
        <v>75</v>
      </c>
      <c r="E407" t="str">
        <f>IF(VLOOKUP(D407,Couleurs!A:B,2) = 0, "[" &amp; D407 &amp; "]",VLOOKUP(D407,Couleurs!A:B,2))</f>
        <v>[75]</v>
      </c>
      <c r="F407" s="1" t="s">
        <v>4117</v>
      </c>
      <c r="G407">
        <v>2</v>
      </c>
      <c r="H407" t="s">
        <v>3888</v>
      </c>
      <c r="I407" t="s">
        <v>3890</v>
      </c>
      <c r="J407">
        <f t="shared" si="12"/>
        <v>27.6</v>
      </c>
      <c r="K407" t="b">
        <f t="shared" si="13"/>
        <v>1</v>
      </c>
      <c r="L407" s="21"/>
      <c r="M407" s="21"/>
    </row>
    <row r="408" spans="1:13">
      <c r="A408" s="21"/>
      <c r="B408">
        <v>402</v>
      </c>
      <c r="C408" t="s">
        <v>46</v>
      </c>
      <c r="D408">
        <v>489</v>
      </c>
      <c r="E408" t="str">
        <f>IF(VLOOKUP(D408,Couleurs!A:B,2) = 0, "[" &amp; D408 &amp; "]",VLOOKUP(D408,Couleurs!A:B,2))</f>
        <v>[489]</v>
      </c>
      <c r="F408" s="1" t="s">
        <v>4005</v>
      </c>
      <c r="G408">
        <v>3</v>
      </c>
      <c r="H408" t="s">
        <v>429</v>
      </c>
      <c r="I408" t="s">
        <v>3881</v>
      </c>
      <c r="J408">
        <f t="shared" si="12"/>
        <v>40.32</v>
      </c>
      <c r="K408" t="b">
        <f t="shared" si="13"/>
        <v>1</v>
      </c>
      <c r="L408" s="21"/>
      <c r="M408" s="21"/>
    </row>
    <row r="409" spans="1:13">
      <c r="A409" s="21"/>
      <c r="B409">
        <v>403</v>
      </c>
      <c r="C409" t="s">
        <v>2429</v>
      </c>
      <c r="D409">
        <v>371</v>
      </c>
      <c r="E409" t="str">
        <f>IF(VLOOKUP(D409,Couleurs!A:B,2) = 0, "[" &amp; D409 &amp; "]",VLOOKUP(D409,Couleurs!A:B,2))</f>
        <v>MILK</v>
      </c>
      <c r="F409" s="1" t="s">
        <v>4118</v>
      </c>
      <c r="G409">
        <v>2</v>
      </c>
      <c r="H409" t="s">
        <v>3853</v>
      </c>
      <c r="I409" t="s">
        <v>3855</v>
      </c>
      <c r="J409">
        <f t="shared" si="12"/>
        <v>27.84</v>
      </c>
      <c r="K409" t="b">
        <f t="shared" si="13"/>
        <v>1</v>
      </c>
      <c r="L409" s="21"/>
      <c r="M409" s="21"/>
    </row>
    <row r="410" spans="1:13">
      <c r="A410" s="21"/>
      <c r="B410">
        <v>404</v>
      </c>
      <c r="C410" t="s">
        <v>26</v>
      </c>
      <c r="D410">
        <v>485</v>
      </c>
      <c r="E410" t="str">
        <f>IF(VLOOKUP(D410,Couleurs!A:B,2) = 0, "[" &amp; D410 &amp; "]",VLOOKUP(D410,Couleurs!A:B,2))</f>
        <v>[485]</v>
      </c>
      <c r="F410" s="1" t="s">
        <v>4119</v>
      </c>
      <c r="G410">
        <v>3</v>
      </c>
      <c r="H410" t="s">
        <v>428</v>
      </c>
      <c r="I410" t="s">
        <v>433</v>
      </c>
      <c r="J410">
        <f t="shared" si="12"/>
        <v>43.2</v>
      </c>
      <c r="K410" t="b">
        <f t="shared" si="13"/>
        <v>1</v>
      </c>
      <c r="L410" s="21"/>
      <c r="M410" s="21"/>
    </row>
    <row r="411" spans="1:13">
      <c r="A411" s="21"/>
      <c r="B411">
        <v>405</v>
      </c>
      <c r="C411" t="s">
        <v>23</v>
      </c>
      <c r="D411">
        <v>71</v>
      </c>
      <c r="E411" t="str">
        <f>IF(VLOOKUP(D411,Couleurs!A:B,2) = 0, "[" &amp; D411 &amp; "]",VLOOKUP(D411,Couleurs!A:B,2))</f>
        <v>ROCK</v>
      </c>
      <c r="F411" s="1" t="s">
        <v>4120</v>
      </c>
      <c r="G411">
        <v>1</v>
      </c>
      <c r="H411" t="s">
        <v>3682</v>
      </c>
      <c r="I411" t="s">
        <v>3682</v>
      </c>
      <c r="J411">
        <f t="shared" si="12"/>
        <v>13.08</v>
      </c>
      <c r="K411" t="b">
        <f t="shared" si="13"/>
        <v>1</v>
      </c>
      <c r="L411" s="21"/>
      <c r="M411" s="21"/>
    </row>
    <row r="412" spans="1:13">
      <c r="A412" s="21"/>
      <c r="B412">
        <v>406</v>
      </c>
      <c r="C412" t="s">
        <v>21</v>
      </c>
      <c r="D412">
        <v>75</v>
      </c>
      <c r="E412" t="str">
        <f>IF(VLOOKUP(D412,Couleurs!A:B,2) = 0, "[" &amp; D412 &amp; "]",VLOOKUP(D412,Couleurs!A:B,2))</f>
        <v>[75]</v>
      </c>
      <c r="F412" s="1" t="s">
        <v>4121</v>
      </c>
      <c r="G412">
        <v>3</v>
      </c>
      <c r="H412" t="s">
        <v>428</v>
      </c>
      <c r="I412" t="s">
        <v>433</v>
      </c>
      <c r="J412">
        <f t="shared" si="12"/>
        <v>43.2</v>
      </c>
      <c r="K412" t="b">
        <f t="shared" si="13"/>
        <v>1</v>
      </c>
      <c r="L412" s="21"/>
      <c r="M412" s="21"/>
    </row>
    <row r="413" spans="1:13">
      <c r="A413" s="21"/>
      <c r="B413">
        <v>407</v>
      </c>
      <c r="C413" t="s">
        <v>6</v>
      </c>
      <c r="D413">
        <v>422</v>
      </c>
      <c r="E413" t="str">
        <f>IF(VLOOKUP(D413,Couleurs!A:B,2) = 0, "[" &amp; D413 &amp; "]",VLOOKUP(D413,Couleurs!A:B,2))</f>
        <v>SANGRIA</v>
      </c>
      <c r="F413" s="1" t="s">
        <v>4122</v>
      </c>
      <c r="G413">
        <v>2</v>
      </c>
      <c r="H413" t="s">
        <v>3704</v>
      </c>
      <c r="I413" t="s">
        <v>3706</v>
      </c>
      <c r="J413">
        <f t="shared" si="12"/>
        <v>25.44</v>
      </c>
      <c r="K413" t="b">
        <f t="shared" si="13"/>
        <v>1</v>
      </c>
      <c r="L413" s="21"/>
      <c r="M413" s="21"/>
    </row>
    <row r="414" spans="1:13">
      <c r="A414" s="21"/>
      <c r="B414">
        <v>408</v>
      </c>
      <c r="C414" t="s">
        <v>50</v>
      </c>
      <c r="D414">
        <v>347</v>
      </c>
      <c r="E414" t="str">
        <f>IF(VLOOKUP(D414,Couleurs!A:B,2) = 0, "[" &amp; D414 &amp; "]",VLOOKUP(D414,Couleurs!A:B,2))</f>
        <v>[347]</v>
      </c>
      <c r="F414" s="1" t="s">
        <v>4123</v>
      </c>
      <c r="G414">
        <v>3</v>
      </c>
      <c r="H414" t="s">
        <v>432</v>
      </c>
      <c r="I414" t="s">
        <v>4042</v>
      </c>
      <c r="J414">
        <f t="shared" si="12"/>
        <v>46.8</v>
      </c>
      <c r="K414" t="b">
        <f t="shared" si="13"/>
        <v>1</v>
      </c>
      <c r="L414" s="21"/>
      <c r="M414" s="21"/>
    </row>
    <row r="415" spans="1:13">
      <c r="A415" s="21"/>
      <c r="B415">
        <v>409</v>
      </c>
      <c r="C415" t="s">
        <v>2429</v>
      </c>
      <c r="D415">
        <v>55</v>
      </c>
      <c r="E415" t="str">
        <f>IF(VLOOKUP(D415,Couleurs!A:B,2) = 0, "[" &amp; D415 &amp; "]",VLOOKUP(D415,Couleurs!A:B,2))</f>
        <v>BLACK</v>
      </c>
      <c r="F415" s="1" t="s">
        <v>4124</v>
      </c>
      <c r="G415">
        <v>2</v>
      </c>
      <c r="H415" t="s">
        <v>3853</v>
      </c>
      <c r="I415" t="s">
        <v>3855</v>
      </c>
      <c r="J415">
        <f t="shared" si="12"/>
        <v>27.84</v>
      </c>
      <c r="K415" t="b">
        <f t="shared" si="13"/>
        <v>1</v>
      </c>
      <c r="L415" s="21"/>
      <c r="M415" s="21"/>
    </row>
    <row r="416" spans="1:13">
      <c r="A416" s="21"/>
      <c r="B416">
        <v>410</v>
      </c>
      <c r="C416" t="s">
        <v>4</v>
      </c>
      <c r="D416">
        <v>36</v>
      </c>
      <c r="E416" t="str">
        <f>IF(VLOOKUP(D416,Couleurs!A:B,2) = 0, "[" &amp; D416 &amp; "]",VLOOKUP(D416,Couleurs!A:B,2))</f>
        <v>[36]</v>
      </c>
      <c r="F416" s="1" t="s">
        <v>4125</v>
      </c>
      <c r="G416">
        <v>2</v>
      </c>
      <c r="H416" t="s">
        <v>3712</v>
      </c>
      <c r="I416" t="s">
        <v>3714</v>
      </c>
      <c r="J416">
        <f t="shared" si="12"/>
        <v>36.24</v>
      </c>
      <c r="K416" t="b">
        <f t="shared" si="13"/>
        <v>1</v>
      </c>
      <c r="L416" s="21"/>
      <c r="M416" s="21"/>
    </row>
    <row r="417" spans="1:13">
      <c r="A417" s="21"/>
      <c r="B417">
        <v>411</v>
      </c>
      <c r="C417" t="s">
        <v>29</v>
      </c>
      <c r="D417">
        <v>479</v>
      </c>
      <c r="E417" t="str">
        <f>IF(VLOOKUP(D417,Couleurs!A:B,2) = 0, "[" &amp; D417 &amp; "]",VLOOKUP(D417,Couleurs!A:B,2))</f>
        <v>[479]</v>
      </c>
      <c r="F417" s="1" t="s">
        <v>4126</v>
      </c>
      <c r="G417">
        <v>2</v>
      </c>
      <c r="H417" t="s">
        <v>438</v>
      </c>
      <c r="I417" t="s">
        <v>3917</v>
      </c>
      <c r="J417">
        <f t="shared" si="12"/>
        <v>14.16</v>
      </c>
      <c r="K417" t="b">
        <f t="shared" si="13"/>
        <v>1</v>
      </c>
      <c r="L417" s="21"/>
      <c r="M417" s="21"/>
    </row>
    <row r="418" spans="1:13">
      <c r="A418" s="21"/>
      <c r="B418">
        <v>412</v>
      </c>
      <c r="C418" t="s">
        <v>21</v>
      </c>
      <c r="D418">
        <v>422</v>
      </c>
      <c r="E418" t="str">
        <f>IF(VLOOKUP(D418,Couleurs!A:B,2) = 0, "[" &amp; D418 &amp; "]",VLOOKUP(D418,Couleurs!A:B,2))</f>
        <v>SANGRIA</v>
      </c>
      <c r="F418" s="1" t="s">
        <v>4127</v>
      </c>
      <c r="G418">
        <v>3</v>
      </c>
      <c r="H418" t="s">
        <v>428</v>
      </c>
      <c r="I418" t="s">
        <v>433</v>
      </c>
      <c r="J418">
        <f t="shared" si="12"/>
        <v>43.2</v>
      </c>
      <c r="K418" t="b">
        <f t="shared" si="13"/>
        <v>1</v>
      </c>
      <c r="L418" s="21"/>
      <c r="M418" s="21"/>
    </row>
    <row r="419" spans="1:13">
      <c r="A419" s="21"/>
      <c r="B419">
        <v>413</v>
      </c>
      <c r="C419" t="s">
        <v>110</v>
      </c>
      <c r="D419">
        <v>441</v>
      </c>
      <c r="E419" t="str">
        <f>IF(VLOOKUP(D419,Couleurs!A:B,2) = 0, "[" &amp; D419 &amp; "]",VLOOKUP(D419,Couleurs!A:B,2))</f>
        <v>[441]</v>
      </c>
      <c r="F419" s="1" t="s">
        <v>4128</v>
      </c>
      <c r="G419">
        <v>2</v>
      </c>
      <c r="H419" t="s">
        <v>432</v>
      </c>
      <c r="I419" t="s">
        <v>434</v>
      </c>
      <c r="J419">
        <f t="shared" si="12"/>
        <v>31.2</v>
      </c>
      <c r="K419" t="b">
        <f t="shared" si="13"/>
        <v>1</v>
      </c>
      <c r="L419" s="21"/>
      <c r="M419" s="21"/>
    </row>
    <row r="420" spans="1:13">
      <c r="A420" s="21"/>
      <c r="B420">
        <v>414</v>
      </c>
      <c r="C420" t="s">
        <v>34</v>
      </c>
      <c r="D420">
        <v>26</v>
      </c>
      <c r="E420" t="str">
        <f>IF(VLOOKUP(D420,Couleurs!A:B,2) = 0, "[" &amp; D420 &amp; "]",VLOOKUP(D420,Couleurs!A:B,2))</f>
        <v>[26]</v>
      </c>
      <c r="F420" s="1" t="s">
        <v>4129</v>
      </c>
      <c r="G420">
        <v>2</v>
      </c>
      <c r="H420" t="s">
        <v>3698</v>
      </c>
      <c r="I420" t="s">
        <v>3700</v>
      </c>
      <c r="J420">
        <f t="shared" si="12"/>
        <v>22.08</v>
      </c>
      <c r="K420" t="b">
        <f t="shared" si="13"/>
        <v>1</v>
      </c>
      <c r="L420" s="21"/>
      <c r="M420" s="21"/>
    </row>
    <row r="421" spans="1:13">
      <c r="A421" s="21"/>
      <c r="B421">
        <v>415</v>
      </c>
      <c r="C421" t="s">
        <v>46</v>
      </c>
      <c r="D421">
        <v>17</v>
      </c>
      <c r="E421" t="str">
        <f>IF(VLOOKUP(D421,Couleurs!A:B,2) = 0, "[" &amp; D421 &amp; "]",VLOOKUP(D421,Couleurs!A:B,2))</f>
        <v>NAVY BLUE</v>
      </c>
      <c r="F421" s="1" t="s">
        <v>3965</v>
      </c>
      <c r="G421">
        <v>3</v>
      </c>
      <c r="H421" t="s">
        <v>429</v>
      </c>
      <c r="I421" t="s">
        <v>3881</v>
      </c>
      <c r="J421">
        <f t="shared" si="12"/>
        <v>40.32</v>
      </c>
      <c r="K421" t="b">
        <f t="shared" si="13"/>
        <v>1</v>
      </c>
      <c r="L421" s="21"/>
      <c r="M421" s="21"/>
    </row>
    <row r="422" spans="1:13">
      <c r="A422" s="21"/>
      <c r="B422">
        <v>416</v>
      </c>
      <c r="C422" t="s">
        <v>3869</v>
      </c>
      <c r="D422">
        <v>55</v>
      </c>
      <c r="E422" t="str">
        <f>IF(VLOOKUP(D422,Couleurs!A:B,2) = 0, "[" &amp; D422 &amp; "]",VLOOKUP(D422,Couleurs!A:B,2))</f>
        <v>BLACK</v>
      </c>
      <c r="F422" s="1" t="s">
        <v>4130</v>
      </c>
      <c r="G422">
        <v>8</v>
      </c>
      <c r="H422" t="s">
        <v>3870</v>
      </c>
      <c r="I422" t="s">
        <v>4131</v>
      </c>
      <c r="J422">
        <f t="shared" si="12"/>
        <v>81.599999999999994</v>
      </c>
      <c r="K422" t="b">
        <f t="shared" si="13"/>
        <v>1</v>
      </c>
      <c r="L422" s="21"/>
      <c r="M422" s="21"/>
    </row>
    <row r="423" spans="1:13">
      <c r="A423" s="21"/>
      <c r="B423">
        <v>417</v>
      </c>
      <c r="C423" t="s">
        <v>2</v>
      </c>
      <c r="D423">
        <v>479</v>
      </c>
      <c r="E423" t="str">
        <f>IF(VLOOKUP(D423,Couleurs!A:B,2) = 0, "[" &amp; D423 &amp; "]",VLOOKUP(D423,Couleurs!A:B,2))</f>
        <v>[479]</v>
      </c>
      <c r="F423" s="1" t="s">
        <v>4132</v>
      </c>
      <c r="G423">
        <v>3</v>
      </c>
      <c r="H423" t="s">
        <v>427</v>
      </c>
      <c r="I423" t="s">
        <v>428</v>
      </c>
      <c r="J423">
        <f t="shared" si="12"/>
        <v>14.399999999999999</v>
      </c>
      <c r="K423" t="b">
        <f t="shared" si="13"/>
        <v>1</v>
      </c>
      <c r="L423" s="21"/>
      <c r="M423" s="21"/>
    </row>
    <row r="424" spans="1:13">
      <c r="A424" s="21"/>
      <c r="B424">
        <v>418</v>
      </c>
      <c r="C424" t="s">
        <v>2469</v>
      </c>
      <c r="D424">
        <v>475</v>
      </c>
      <c r="E424" t="str">
        <f>IF(VLOOKUP(D424,Couleurs!A:B,2) = 0, "[" &amp; D424 &amp; "]",VLOOKUP(D424,Couleurs!A:B,2))</f>
        <v>[475]</v>
      </c>
      <c r="F424" s="1" t="s">
        <v>4133</v>
      </c>
      <c r="G424">
        <v>3</v>
      </c>
      <c r="H424" t="s">
        <v>437</v>
      </c>
      <c r="I424" t="s">
        <v>4134</v>
      </c>
      <c r="J424">
        <f t="shared" si="12"/>
        <v>37.799999999999997</v>
      </c>
      <c r="K424" t="b">
        <f t="shared" si="13"/>
        <v>1</v>
      </c>
      <c r="L424" s="21"/>
      <c r="M424" s="21"/>
    </row>
    <row r="425" spans="1:13">
      <c r="A425" s="21"/>
      <c r="B425">
        <v>419</v>
      </c>
      <c r="C425" t="s">
        <v>79</v>
      </c>
      <c r="D425">
        <v>76</v>
      </c>
      <c r="E425" t="str">
        <f>IF(VLOOKUP(D425,Couleurs!A:B,2) = 0, "[" &amp; D425 &amp; "]",VLOOKUP(D425,Couleurs!A:B,2))</f>
        <v>[76]</v>
      </c>
      <c r="F425" s="1" t="s">
        <v>4135</v>
      </c>
      <c r="G425">
        <v>3</v>
      </c>
      <c r="H425" t="s">
        <v>3779</v>
      </c>
      <c r="I425" t="s">
        <v>3781</v>
      </c>
      <c r="J425">
        <f t="shared" si="12"/>
        <v>39.96</v>
      </c>
      <c r="K425" t="b">
        <f t="shared" si="13"/>
        <v>1</v>
      </c>
      <c r="L425" s="21"/>
      <c r="M425" s="21"/>
    </row>
    <row r="426" spans="1:13">
      <c r="A426" s="21"/>
      <c r="B426">
        <v>420</v>
      </c>
      <c r="C426" t="s">
        <v>5</v>
      </c>
      <c r="D426">
        <v>422</v>
      </c>
      <c r="E426" t="str">
        <f>IF(VLOOKUP(D426,Couleurs!A:B,2) = 0, "[" &amp; D426 &amp; "]",VLOOKUP(D426,Couleurs!A:B,2))</f>
        <v>SANGRIA</v>
      </c>
      <c r="F426" s="1" t="s">
        <v>4136</v>
      </c>
      <c r="G426">
        <v>2</v>
      </c>
      <c r="H426" t="s">
        <v>3753</v>
      </c>
      <c r="I426" t="s">
        <v>3806</v>
      </c>
      <c r="J426">
        <f t="shared" si="12"/>
        <v>18.72</v>
      </c>
      <c r="K426" t="b">
        <f t="shared" si="13"/>
        <v>1</v>
      </c>
      <c r="L426" s="21"/>
      <c r="M426" s="21"/>
    </row>
    <row r="427" spans="1:13">
      <c r="A427" s="21"/>
      <c r="B427">
        <v>421</v>
      </c>
      <c r="C427" t="s">
        <v>90</v>
      </c>
      <c r="D427">
        <v>72</v>
      </c>
      <c r="E427" t="str">
        <f>IF(VLOOKUP(D427,Couleurs!A:B,2) = 0, "[" &amp; D427 &amp; "]",VLOOKUP(D427,Couleurs!A:B,2))</f>
        <v>[72]</v>
      </c>
      <c r="F427" s="1" t="s">
        <v>4137</v>
      </c>
      <c r="G427">
        <v>2</v>
      </c>
      <c r="H427" t="s">
        <v>3704</v>
      </c>
      <c r="I427" t="s">
        <v>3706</v>
      </c>
      <c r="J427">
        <f t="shared" si="12"/>
        <v>25.44</v>
      </c>
      <c r="K427" t="b">
        <f t="shared" si="13"/>
        <v>1</v>
      </c>
      <c r="L427" s="21"/>
      <c r="M427" s="21"/>
    </row>
    <row r="428" spans="1:13">
      <c r="A428" s="21"/>
      <c r="B428">
        <v>422</v>
      </c>
      <c r="C428" t="s">
        <v>51</v>
      </c>
      <c r="D428">
        <v>55</v>
      </c>
      <c r="E428" t="str">
        <f>IF(VLOOKUP(D428,Couleurs!A:B,2) = 0, "[" &amp; D428 &amp; "]",VLOOKUP(D428,Couleurs!A:B,2))</f>
        <v>BLACK</v>
      </c>
      <c r="F428" s="1" t="s">
        <v>4066</v>
      </c>
      <c r="G428">
        <v>5</v>
      </c>
      <c r="H428" t="s">
        <v>441</v>
      </c>
      <c r="I428" t="s">
        <v>3690</v>
      </c>
      <c r="J428">
        <f t="shared" si="12"/>
        <v>22.799999999999997</v>
      </c>
      <c r="K428" t="b">
        <f t="shared" si="13"/>
        <v>1</v>
      </c>
      <c r="L428" s="21"/>
      <c r="M428" s="21"/>
    </row>
    <row r="429" spans="1:13">
      <c r="A429" s="21"/>
      <c r="B429">
        <v>423</v>
      </c>
      <c r="C429" t="s">
        <v>50</v>
      </c>
      <c r="D429">
        <v>55</v>
      </c>
      <c r="E429" t="str">
        <f>IF(VLOOKUP(D429,Couleurs!A:B,2) = 0, "[" &amp; D429 &amp; "]",VLOOKUP(D429,Couleurs!A:B,2))</f>
        <v>BLACK</v>
      </c>
      <c r="F429" s="1" t="s">
        <v>4138</v>
      </c>
      <c r="G429">
        <v>3</v>
      </c>
      <c r="H429" t="s">
        <v>432</v>
      </c>
      <c r="I429" t="s">
        <v>4042</v>
      </c>
      <c r="J429">
        <f t="shared" si="12"/>
        <v>46.8</v>
      </c>
      <c r="K429" t="b">
        <f t="shared" si="13"/>
        <v>1</v>
      </c>
      <c r="L429" s="21"/>
      <c r="M429" s="21"/>
    </row>
    <row r="430" spans="1:13">
      <c r="A430" s="21"/>
      <c r="B430">
        <v>424</v>
      </c>
      <c r="C430" t="s">
        <v>0</v>
      </c>
      <c r="D430">
        <v>422</v>
      </c>
      <c r="E430" t="str">
        <f>IF(VLOOKUP(D430,Couleurs!A:B,2) = 0, "[" &amp; D430 &amp; "]",VLOOKUP(D430,Couleurs!A:B,2))</f>
        <v>SANGRIA</v>
      </c>
      <c r="F430" s="1" t="s">
        <v>4139</v>
      </c>
      <c r="G430">
        <v>2</v>
      </c>
      <c r="H430" t="s">
        <v>3685</v>
      </c>
      <c r="I430" t="s">
        <v>432</v>
      </c>
      <c r="J430">
        <f t="shared" si="12"/>
        <v>15.6</v>
      </c>
      <c r="K430" t="b">
        <f t="shared" si="13"/>
        <v>1</v>
      </c>
      <c r="L430" s="21"/>
      <c r="M430" s="21"/>
    </row>
    <row r="431" spans="1:13">
      <c r="A431" s="21"/>
      <c r="B431">
        <v>425</v>
      </c>
      <c r="C431" t="s">
        <v>29</v>
      </c>
      <c r="D431">
        <v>133</v>
      </c>
      <c r="E431" t="str">
        <f>IF(VLOOKUP(D431,Couleurs!A:B,2) = 0, "[" &amp; D431 &amp; "]",VLOOKUP(D431,Couleurs!A:B,2))</f>
        <v>LIGHT GREY</v>
      </c>
      <c r="F431" s="1" t="s">
        <v>4140</v>
      </c>
      <c r="G431">
        <v>2</v>
      </c>
      <c r="H431" t="s">
        <v>438</v>
      </c>
      <c r="I431" t="s">
        <v>3917</v>
      </c>
      <c r="J431">
        <f t="shared" si="12"/>
        <v>14.16</v>
      </c>
      <c r="K431" t="b">
        <f t="shared" si="13"/>
        <v>1</v>
      </c>
      <c r="L431" s="21"/>
      <c r="M431" s="21"/>
    </row>
    <row r="432" spans="1:13">
      <c r="A432" s="21"/>
      <c r="B432">
        <v>426</v>
      </c>
      <c r="C432" t="s">
        <v>20</v>
      </c>
      <c r="D432">
        <v>54</v>
      </c>
      <c r="E432" t="str">
        <f>IF(VLOOKUP(D432,Couleurs!A:B,2) = 0, "[" &amp; D432 &amp; "]",VLOOKUP(D432,Couleurs!A:B,2))</f>
        <v>[54]</v>
      </c>
      <c r="F432" s="1" t="s">
        <v>4141</v>
      </c>
      <c r="G432">
        <v>8</v>
      </c>
      <c r="H432" t="s">
        <v>3683</v>
      </c>
      <c r="I432" t="s">
        <v>4142</v>
      </c>
      <c r="J432">
        <f t="shared" si="12"/>
        <v>76.8</v>
      </c>
      <c r="K432" t="b">
        <f t="shared" si="13"/>
        <v>1</v>
      </c>
      <c r="L432" s="21"/>
      <c r="M432" s="21"/>
    </row>
    <row r="433" spans="1:13">
      <c r="A433" s="21"/>
      <c r="B433">
        <v>427</v>
      </c>
      <c r="C433" t="s">
        <v>57</v>
      </c>
      <c r="D433">
        <v>499</v>
      </c>
      <c r="E433" t="str">
        <f>IF(VLOOKUP(D433,Couleurs!A:B,2) = 0, "[" &amp; D433 &amp; "]",VLOOKUP(D433,Couleurs!A:B,2))</f>
        <v>[499]</v>
      </c>
      <c r="F433" s="1" t="s">
        <v>4143</v>
      </c>
      <c r="G433">
        <v>3</v>
      </c>
      <c r="H433" t="s">
        <v>3767</v>
      </c>
      <c r="I433" t="s">
        <v>3769</v>
      </c>
      <c r="J433">
        <f t="shared" si="12"/>
        <v>56.88</v>
      </c>
      <c r="K433" t="b">
        <f t="shared" si="13"/>
        <v>1</v>
      </c>
      <c r="L433" s="21"/>
      <c r="M433" s="21"/>
    </row>
    <row r="434" spans="1:13">
      <c r="A434" s="21"/>
      <c r="B434">
        <v>428</v>
      </c>
      <c r="C434" t="s">
        <v>76</v>
      </c>
      <c r="D434">
        <v>76</v>
      </c>
      <c r="E434" t="str">
        <f>IF(VLOOKUP(D434,Couleurs!A:B,2) = 0, "[" &amp; D434 &amp; "]",VLOOKUP(D434,Couleurs!A:B,2))</f>
        <v>[76]</v>
      </c>
      <c r="F434" s="1" t="s">
        <v>4144</v>
      </c>
      <c r="G434">
        <v>2</v>
      </c>
      <c r="H434" t="s">
        <v>431</v>
      </c>
      <c r="I434" t="s">
        <v>442</v>
      </c>
      <c r="J434">
        <f t="shared" si="12"/>
        <v>23.76</v>
      </c>
      <c r="K434" t="b">
        <f t="shared" si="13"/>
        <v>1</v>
      </c>
      <c r="L434" s="21"/>
      <c r="M434" s="21"/>
    </row>
    <row r="435" spans="1:13">
      <c r="A435" s="21"/>
      <c r="B435">
        <v>429</v>
      </c>
      <c r="C435" t="s">
        <v>25</v>
      </c>
      <c r="D435">
        <v>347</v>
      </c>
      <c r="E435" t="str">
        <f>IF(VLOOKUP(D435,Couleurs!A:B,2) = 0, "[" &amp; D435 &amp; "]",VLOOKUP(D435,Couleurs!A:B,2))</f>
        <v>[347]</v>
      </c>
      <c r="F435" s="1" t="s">
        <v>4145</v>
      </c>
      <c r="G435">
        <v>2</v>
      </c>
      <c r="H435" t="s">
        <v>437</v>
      </c>
      <c r="I435" t="s">
        <v>435</v>
      </c>
      <c r="J435">
        <f t="shared" si="12"/>
        <v>25.2</v>
      </c>
      <c r="K435" t="b">
        <f t="shared" si="13"/>
        <v>1</v>
      </c>
      <c r="L435" s="21"/>
      <c r="M435" s="21"/>
    </row>
    <row r="436" spans="1:13">
      <c r="A436" s="21"/>
      <c r="B436">
        <v>430</v>
      </c>
      <c r="C436" t="s">
        <v>96</v>
      </c>
      <c r="D436">
        <v>479</v>
      </c>
      <c r="E436" t="str">
        <f>IF(VLOOKUP(D436,Couleurs!A:B,2) = 0, "[" &amp; D436 &amp; "]",VLOOKUP(D436,Couleurs!A:B,2))</f>
        <v>[479]</v>
      </c>
      <c r="F436" s="1" t="s">
        <v>4146</v>
      </c>
      <c r="G436">
        <v>3</v>
      </c>
      <c r="H436" t="s">
        <v>3861</v>
      </c>
      <c r="I436" t="s">
        <v>3863</v>
      </c>
      <c r="J436">
        <f t="shared" si="12"/>
        <v>48.96</v>
      </c>
      <c r="K436" t="b">
        <f t="shared" si="13"/>
        <v>1</v>
      </c>
      <c r="L436" s="21"/>
      <c r="M436" s="21"/>
    </row>
    <row r="437" spans="1:13">
      <c r="A437" s="21"/>
      <c r="B437">
        <v>431</v>
      </c>
      <c r="C437" t="s">
        <v>4</v>
      </c>
      <c r="D437">
        <v>55</v>
      </c>
      <c r="E437" t="str">
        <f>IF(VLOOKUP(D437,Couleurs!A:B,2) = 0, "[" &amp; D437 &amp; "]",VLOOKUP(D437,Couleurs!A:B,2))</f>
        <v>BLACK</v>
      </c>
      <c r="F437" s="1" t="s">
        <v>4147</v>
      </c>
      <c r="G437">
        <v>2</v>
      </c>
      <c r="H437" t="s">
        <v>3712</v>
      </c>
      <c r="I437" t="s">
        <v>3714</v>
      </c>
      <c r="J437">
        <f t="shared" si="12"/>
        <v>36.24</v>
      </c>
      <c r="K437" t="b">
        <f t="shared" si="13"/>
        <v>1</v>
      </c>
      <c r="L437" s="21"/>
      <c r="M437" s="21"/>
    </row>
    <row r="438" spans="1:13">
      <c r="A438" s="21"/>
      <c r="B438">
        <v>432</v>
      </c>
      <c r="C438" t="s">
        <v>50</v>
      </c>
      <c r="D438">
        <v>76</v>
      </c>
      <c r="E438" t="str">
        <f>IF(VLOOKUP(D438,Couleurs!A:B,2) = 0, "[" &amp; D438 &amp; "]",VLOOKUP(D438,Couleurs!A:B,2))</f>
        <v>[76]</v>
      </c>
      <c r="F438" s="1" t="s">
        <v>4148</v>
      </c>
      <c r="G438">
        <v>3</v>
      </c>
      <c r="H438" t="s">
        <v>432</v>
      </c>
      <c r="I438" t="s">
        <v>4042</v>
      </c>
      <c r="J438">
        <f t="shared" si="12"/>
        <v>46.8</v>
      </c>
      <c r="K438" t="b">
        <f t="shared" si="13"/>
        <v>1</v>
      </c>
      <c r="L438" s="21"/>
      <c r="M438" s="21"/>
    </row>
    <row r="439" spans="1:13">
      <c r="A439" s="21"/>
      <c r="B439">
        <v>433</v>
      </c>
      <c r="C439" t="s">
        <v>19</v>
      </c>
      <c r="D439">
        <v>17</v>
      </c>
      <c r="E439" t="str">
        <f>IF(VLOOKUP(D439,Couleurs!A:B,2) = 0, "[" &amp; D439 &amp; "]",VLOOKUP(D439,Couleurs!A:B,2))</f>
        <v>NAVY BLUE</v>
      </c>
      <c r="F439" s="1" t="s">
        <v>4149</v>
      </c>
      <c r="G439">
        <v>3</v>
      </c>
      <c r="H439" t="s">
        <v>3683</v>
      </c>
      <c r="I439" t="s">
        <v>436</v>
      </c>
      <c r="J439">
        <f t="shared" si="12"/>
        <v>28.799999999999997</v>
      </c>
      <c r="K439" t="b">
        <f t="shared" si="13"/>
        <v>1</v>
      </c>
      <c r="L439" s="21"/>
      <c r="M439" s="21"/>
    </row>
    <row r="440" spans="1:13">
      <c r="A440" s="21"/>
      <c r="B440">
        <v>434</v>
      </c>
      <c r="C440" t="s">
        <v>2431</v>
      </c>
      <c r="D440">
        <v>422</v>
      </c>
      <c r="E440" t="str">
        <f>IF(VLOOKUP(D440,Couleurs!A:B,2) = 0, "[" &amp; D440 &amp; "]",VLOOKUP(D440,Couleurs!A:B,2))</f>
        <v>SANGRIA</v>
      </c>
      <c r="F440" s="1" t="s">
        <v>4150</v>
      </c>
      <c r="G440">
        <v>3</v>
      </c>
      <c r="H440" t="s">
        <v>431</v>
      </c>
      <c r="I440" t="s">
        <v>3703</v>
      </c>
      <c r="J440">
        <f t="shared" si="12"/>
        <v>35.64</v>
      </c>
      <c r="K440" t="b">
        <f t="shared" si="13"/>
        <v>1</v>
      </c>
      <c r="L440" s="21"/>
      <c r="M440" s="21"/>
    </row>
    <row r="441" spans="1:13">
      <c r="A441" s="21"/>
      <c r="B441">
        <v>435</v>
      </c>
      <c r="C441" t="s">
        <v>70</v>
      </c>
      <c r="D441">
        <v>55</v>
      </c>
      <c r="E441" t="str">
        <f>IF(VLOOKUP(D441,Couleurs!A:B,2) = 0, "[" &amp; D441 &amp; "]",VLOOKUP(D441,Couleurs!A:B,2))</f>
        <v>BLACK</v>
      </c>
      <c r="F441" s="1" t="s">
        <v>4151</v>
      </c>
      <c r="G441">
        <v>2</v>
      </c>
      <c r="H441" t="s">
        <v>431</v>
      </c>
      <c r="I441" t="s">
        <v>442</v>
      </c>
      <c r="J441">
        <f t="shared" si="12"/>
        <v>23.76</v>
      </c>
      <c r="K441" t="b">
        <f t="shared" si="13"/>
        <v>1</v>
      </c>
      <c r="L441" s="21"/>
      <c r="M441" s="21"/>
    </row>
    <row r="442" spans="1:13">
      <c r="A442" s="21"/>
      <c r="B442">
        <v>436</v>
      </c>
      <c r="C442" t="s">
        <v>29</v>
      </c>
      <c r="D442">
        <v>89</v>
      </c>
      <c r="E442" t="str">
        <f>IF(VLOOKUP(D442,Couleurs!A:B,2) = 0, "[" &amp; D442 &amp; "]",VLOOKUP(D442,Couleurs!A:B,2))</f>
        <v>[89]</v>
      </c>
      <c r="F442" s="1" t="s">
        <v>4152</v>
      </c>
      <c r="G442">
        <v>2</v>
      </c>
      <c r="H442" t="s">
        <v>438</v>
      </c>
      <c r="I442" t="s">
        <v>3917</v>
      </c>
      <c r="J442">
        <f t="shared" si="12"/>
        <v>14.16</v>
      </c>
      <c r="K442" t="b">
        <f t="shared" si="13"/>
        <v>1</v>
      </c>
      <c r="L442" s="21"/>
      <c r="M442" s="21"/>
    </row>
    <row r="443" spans="1:13">
      <c r="A443" s="21"/>
      <c r="B443">
        <v>437</v>
      </c>
      <c r="C443" t="s">
        <v>24</v>
      </c>
      <c r="D443">
        <v>76</v>
      </c>
      <c r="E443" t="str">
        <f>IF(VLOOKUP(D443,Couleurs!A:B,2) = 0, "[" &amp; D443 &amp; "]",VLOOKUP(D443,Couleurs!A:B,2))</f>
        <v>[76]</v>
      </c>
      <c r="F443" s="1" t="s">
        <v>4153</v>
      </c>
      <c r="G443">
        <v>3</v>
      </c>
      <c r="H443" t="s">
        <v>427</v>
      </c>
      <c r="I443" t="s">
        <v>428</v>
      </c>
      <c r="J443">
        <f t="shared" si="12"/>
        <v>14.399999999999999</v>
      </c>
      <c r="K443" t="b">
        <f t="shared" si="13"/>
        <v>1</v>
      </c>
      <c r="L443" s="21"/>
      <c r="M443" s="21"/>
    </row>
    <row r="444" spans="1:13">
      <c r="A444" s="21"/>
      <c r="B444">
        <v>438</v>
      </c>
      <c r="C444" t="s">
        <v>46</v>
      </c>
      <c r="D444">
        <v>8</v>
      </c>
      <c r="E444" t="str">
        <f>IF(VLOOKUP(D444,Couleurs!A:B,2) = 0, "[" &amp; D444 &amp; "]",VLOOKUP(D444,Couleurs!A:B,2))</f>
        <v>WHITE</v>
      </c>
      <c r="F444" s="1" t="s">
        <v>4062</v>
      </c>
      <c r="G444">
        <v>3</v>
      </c>
      <c r="H444" t="s">
        <v>429</v>
      </c>
      <c r="I444" t="s">
        <v>3881</v>
      </c>
      <c r="J444">
        <f t="shared" si="12"/>
        <v>40.32</v>
      </c>
      <c r="K444" t="b">
        <f t="shared" si="13"/>
        <v>1</v>
      </c>
      <c r="L444" s="21"/>
      <c r="M444" s="21"/>
    </row>
    <row r="445" spans="1:13">
      <c r="A445" s="21"/>
      <c r="B445">
        <v>439</v>
      </c>
      <c r="C445" t="s">
        <v>130</v>
      </c>
      <c r="D445">
        <v>55</v>
      </c>
      <c r="E445" t="str">
        <f>IF(VLOOKUP(D445,Couleurs!A:B,2) = 0, "[" &amp; D445 &amp; "]",VLOOKUP(D445,Couleurs!A:B,2))</f>
        <v>BLACK</v>
      </c>
      <c r="F445" s="1" t="s">
        <v>4154</v>
      </c>
      <c r="G445">
        <v>3</v>
      </c>
      <c r="H445" t="s">
        <v>3800</v>
      </c>
      <c r="I445" t="s">
        <v>440</v>
      </c>
      <c r="J445">
        <f t="shared" si="12"/>
        <v>21.6</v>
      </c>
      <c r="K445" t="b">
        <f t="shared" si="13"/>
        <v>1</v>
      </c>
      <c r="L445" s="21"/>
      <c r="M445" s="21"/>
    </row>
    <row r="446" spans="1:13">
      <c r="A446" s="21"/>
      <c r="B446">
        <v>440</v>
      </c>
      <c r="C446" t="s">
        <v>37</v>
      </c>
      <c r="D446">
        <v>480</v>
      </c>
      <c r="E446" t="str">
        <f>IF(VLOOKUP(D446,Couleurs!A:B,2) = 0, "[" &amp; D446 &amp; "]",VLOOKUP(D446,Couleurs!A:B,2))</f>
        <v>[480]</v>
      </c>
      <c r="F446" s="1" t="s">
        <v>4155</v>
      </c>
      <c r="G446">
        <v>2</v>
      </c>
      <c r="H446" t="s">
        <v>439</v>
      </c>
      <c r="I446" t="s">
        <v>440</v>
      </c>
      <c r="J446">
        <f t="shared" si="12"/>
        <v>21.6</v>
      </c>
      <c r="K446" t="b">
        <f t="shared" si="13"/>
        <v>1</v>
      </c>
      <c r="L446" s="21"/>
      <c r="M446" s="21"/>
    </row>
    <row r="447" spans="1:13">
      <c r="A447" s="21"/>
      <c r="B447">
        <v>441</v>
      </c>
      <c r="C447" t="s">
        <v>2461</v>
      </c>
      <c r="D447">
        <v>76</v>
      </c>
      <c r="E447" t="str">
        <f>IF(VLOOKUP(D447,Couleurs!A:B,2) = 0, "[" &amp; D447 &amp; "]",VLOOKUP(D447,Couleurs!A:B,2))</f>
        <v>[76]</v>
      </c>
      <c r="F447" s="1" t="s">
        <v>3899</v>
      </c>
      <c r="G447">
        <v>3</v>
      </c>
      <c r="H447" t="s">
        <v>428</v>
      </c>
      <c r="I447" t="s">
        <v>433</v>
      </c>
      <c r="J447">
        <f t="shared" si="12"/>
        <v>43.2</v>
      </c>
      <c r="K447" t="b">
        <f t="shared" si="13"/>
        <v>1</v>
      </c>
      <c r="L447" s="21"/>
      <c r="M447" s="21"/>
    </row>
    <row r="448" spans="1:13">
      <c r="A448" s="21"/>
      <c r="B448">
        <v>442</v>
      </c>
      <c r="C448" t="s">
        <v>29</v>
      </c>
      <c r="D448">
        <v>55</v>
      </c>
      <c r="E448" t="str">
        <f>IF(VLOOKUP(D448,Couleurs!A:B,2) = 0, "[" &amp; D448 &amp; "]",VLOOKUP(D448,Couleurs!A:B,2))</f>
        <v>BLACK</v>
      </c>
      <c r="F448" s="1" t="s">
        <v>4156</v>
      </c>
      <c r="G448">
        <v>2</v>
      </c>
      <c r="H448" t="s">
        <v>438</v>
      </c>
      <c r="I448" t="s">
        <v>3917</v>
      </c>
      <c r="J448">
        <f t="shared" si="12"/>
        <v>14.16</v>
      </c>
      <c r="K448" t="b">
        <f t="shared" si="13"/>
        <v>1</v>
      </c>
      <c r="L448" s="21"/>
      <c r="M448" s="21"/>
    </row>
    <row r="449" spans="1:13">
      <c r="A449" s="21"/>
      <c r="B449">
        <v>443</v>
      </c>
      <c r="C449" t="s">
        <v>59</v>
      </c>
      <c r="D449">
        <v>371</v>
      </c>
      <c r="E449" t="str">
        <f>IF(VLOOKUP(D449,Couleurs!A:B,2) = 0, "[" &amp; D449 &amp; "]",VLOOKUP(D449,Couleurs!A:B,2))</f>
        <v>MILK</v>
      </c>
      <c r="F449" s="1" t="s">
        <v>4157</v>
      </c>
      <c r="G449">
        <v>2</v>
      </c>
      <c r="H449" t="s">
        <v>3888</v>
      </c>
      <c r="I449" t="s">
        <v>3890</v>
      </c>
      <c r="J449">
        <f t="shared" si="12"/>
        <v>27.6</v>
      </c>
      <c r="K449" t="b">
        <f t="shared" si="13"/>
        <v>1</v>
      </c>
      <c r="L449" s="21"/>
      <c r="M449" s="21"/>
    </row>
    <row r="450" spans="1:13">
      <c r="A450" s="21"/>
      <c r="B450">
        <v>444</v>
      </c>
      <c r="C450" t="s">
        <v>2479</v>
      </c>
      <c r="D450">
        <v>17</v>
      </c>
      <c r="E450" t="str">
        <f>IF(VLOOKUP(D450,Couleurs!A:B,2) = 0, "[" &amp; D450 &amp; "]",VLOOKUP(D450,Couleurs!A:B,2))</f>
        <v>NAVY BLUE</v>
      </c>
      <c r="F450" s="1" t="s">
        <v>3672</v>
      </c>
      <c r="G450">
        <v>2</v>
      </c>
      <c r="H450" t="s">
        <v>431</v>
      </c>
      <c r="I450" t="s">
        <v>442</v>
      </c>
      <c r="J450">
        <f t="shared" si="12"/>
        <v>23.76</v>
      </c>
      <c r="K450" t="b">
        <f t="shared" si="13"/>
        <v>1</v>
      </c>
      <c r="L450" s="21"/>
      <c r="M450" s="21"/>
    </row>
    <row r="451" spans="1:13">
      <c r="A451" s="21"/>
      <c r="B451">
        <v>445</v>
      </c>
      <c r="C451" t="s">
        <v>31</v>
      </c>
      <c r="D451">
        <v>76</v>
      </c>
      <c r="E451" t="str">
        <f>IF(VLOOKUP(D451,Couleurs!A:B,2) = 0, "[" &amp; D451 &amp; "]",VLOOKUP(D451,Couleurs!A:B,2))</f>
        <v>[76]</v>
      </c>
      <c r="F451" s="1" t="s">
        <v>4158</v>
      </c>
      <c r="G451">
        <v>2</v>
      </c>
      <c r="H451" t="s">
        <v>439</v>
      </c>
      <c r="I451" t="s">
        <v>440</v>
      </c>
      <c r="J451">
        <f t="shared" si="12"/>
        <v>21.6</v>
      </c>
      <c r="K451" t="b">
        <f t="shared" si="13"/>
        <v>1</v>
      </c>
      <c r="L451" s="21"/>
      <c r="M451" s="21"/>
    </row>
    <row r="452" spans="1:13">
      <c r="A452" s="21"/>
      <c r="B452">
        <v>446</v>
      </c>
      <c r="C452" t="s">
        <v>22</v>
      </c>
      <c r="D452">
        <v>76</v>
      </c>
      <c r="E452" t="str">
        <f>IF(VLOOKUP(D452,Couleurs!A:B,2) = 0, "[" &amp; D452 &amp; "]",VLOOKUP(D452,Couleurs!A:B,2))</f>
        <v>[76]</v>
      </c>
      <c r="F452" s="1" t="s">
        <v>4159</v>
      </c>
      <c r="G452">
        <v>2</v>
      </c>
      <c r="H452" t="s">
        <v>428</v>
      </c>
      <c r="I452" t="s">
        <v>436</v>
      </c>
      <c r="J452">
        <f t="shared" si="12"/>
        <v>28.8</v>
      </c>
      <c r="K452" t="b">
        <f t="shared" si="13"/>
        <v>1</v>
      </c>
      <c r="L452" s="21"/>
      <c r="M452" s="21"/>
    </row>
    <row r="453" spans="1:13">
      <c r="A453" s="21"/>
      <c r="B453">
        <v>447</v>
      </c>
      <c r="C453" t="s">
        <v>82</v>
      </c>
      <c r="D453">
        <v>26</v>
      </c>
      <c r="E453" t="str">
        <f>IF(VLOOKUP(D453,Couleurs!A:B,2) = 0, "[" &amp; D453 &amp; "]",VLOOKUP(D453,Couleurs!A:B,2))</f>
        <v>[26]</v>
      </c>
      <c r="F453" s="1" t="s">
        <v>4160</v>
      </c>
      <c r="G453">
        <v>3</v>
      </c>
      <c r="H453" t="s">
        <v>3786</v>
      </c>
      <c r="I453" t="s">
        <v>435</v>
      </c>
      <c r="J453">
        <f t="shared" ref="J453:J491" si="14">G453*H453</f>
        <v>25.200000000000003</v>
      </c>
      <c r="K453" t="b">
        <f t="shared" ref="K453:K516" si="15">(0+I453)=J453</f>
        <v>1</v>
      </c>
      <c r="L453" s="21"/>
      <c r="M453" s="21"/>
    </row>
    <row r="454" spans="1:13">
      <c r="A454" s="21"/>
      <c r="B454">
        <v>448</v>
      </c>
      <c r="C454" t="s">
        <v>82</v>
      </c>
      <c r="D454">
        <v>422</v>
      </c>
      <c r="E454" t="str">
        <f>IF(VLOOKUP(D454,Couleurs!A:B,2) = 0, "[" &amp; D454 &amp; "]",VLOOKUP(D454,Couleurs!A:B,2))</f>
        <v>SANGRIA</v>
      </c>
      <c r="F454" s="1" t="s">
        <v>4161</v>
      </c>
      <c r="G454">
        <v>3</v>
      </c>
      <c r="H454" t="s">
        <v>3786</v>
      </c>
      <c r="I454" t="s">
        <v>435</v>
      </c>
      <c r="J454">
        <f t="shared" si="14"/>
        <v>25.200000000000003</v>
      </c>
      <c r="K454" t="b">
        <f t="shared" si="15"/>
        <v>1</v>
      </c>
      <c r="L454" s="21"/>
      <c r="M454" s="21"/>
    </row>
    <row r="455" spans="1:13">
      <c r="A455" s="21"/>
      <c r="B455">
        <v>449</v>
      </c>
      <c r="C455" t="s">
        <v>26</v>
      </c>
      <c r="D455">
        <v>479</v>
      </c>
      <c r="E455" t="str">
        <f>IF(VLOOKUP(D455,Couleurs!A:B,2) = 0, "[" &amp; D455 &amp; "]",VLOOKUP(D455,Couleurs!A:B,2))</f>
        <v>[479]</v>
      </c>
      <c r="F455" s="1" t="s">
        <v>4162</v>
      </c>
      <c r="G455">
        <v>3</v>
      </c>
      <c r="H455" t="s">
        <v>428</v>
      </c>
      <c r="I455" t="s">
        <v>433</v>
      </c>
      <c r="J455">
        <f t="shared" si="14"/>
        <v>43.2</v>
      </c>
      <c r="K455" t="b">
        <f t="shared" si="15"/>
        <v>1</v>
      </c>
      <c r="L455" s="21"/>
      <c r="M455" s="21"/>
    </row>
    <row r="456" spans="1:13">
      <c r="A456" s="21"/>
      <c r="B456">
        <v>450</v>
      </c>
      <c r="C456" t="s">
        <v>6</v>
      </c>
      <c r="D456">
        <v>36</v>
      </c>
      <c r="E456" t="str">
        <f>IF(VLOOKUP(D456,Couleurs!A:B,2) = 0, "[" &amp; D456 &amp; "]",VLOOKUP(D456,Couleurs!A:B,2))</f>
        <v>[36]</v>
      </c>
      <c r="F456" s="1" t="s">
        <v>4163</v>
      </c>
      <c r="G456">
        <v>2</v>
      </c>
      <c r="H456" t="s">
        <v>3704</v>
      </c>
      <c r="I456" t="s">
        <v>3706</v>
      </c>
      <c r="J456">
        <f t="shared" si="14"/>
        <v>25.44</v>
      </c>
      <c r="K456" t="b">
        <f t="shared" si="15"/>
        <v>1</v>
      </c>
      <c r="L456" s="21"/>
      <c r="M456" s="21"/>
    </row>
    <row r="457" spans="1:13">
      <c r="A457" s="21"/>
      <c r="B457">
        <v>451</v>
      </c>
      <c r="C457" t="s">
        <v>70</v>
      </c>
      <c r="D457">
        <v>76</v>
      </c>
      <c r="E457" t="str">
        <f>IF(VLOOKUP(D457,Couleurs!A:B,2) = 0, "[" &amp; D457 &amp; "]",VLOOKUP(D457,Couleurs!A:B,2))</f>
        <v>[76]</v>
      </c>
      <c r="F457" s="1" t="s">
        <v>4164</v>
      </c>
      <c r="G457">
        <v>2</v>
      </c>
      <c r="H457" t="s">
        <v>431</v>
      </c>
      <c r="I457" t="s">
        <v>442</v>
      </c>
      <c r="J457">
        <f t="shared" si="14"/>
        <v>23.76</v>
      </c>
      <c r="K457" t="b">
        <f t="shared" si="15"/>
        <v>1</v>
      </c>
      <c r="L457" s="21"/>
      <c r="M457" s="21"/>
    </row>
    <row r="458" spans="1:13">
      <c r="B458">
        <v>452</v>
      </c>
      <c r="C458" t="s">
        <v>54</v>
      </c>
      <c r="D458">
        <v>36</v>
      </c>
      <c r="E458" t="str">
        <f>IF(VLOOKUP(D458,Couleurs!A:B,2) = 0, "[" &amp; D458 &amp; "]",VLOOKUP(D458,Couleurs!A:B,2))</f>
        <v>[36]</v>
      </c>
      <c r="F458" s="1" t="s">
        <v>4165</v>
      </c>
      <c r="G458">
        <v>6</v>
      </c>
      <c r="H458" t="s">
        <v>3681</v>
      </c>
      <c r="I458" t="s">
        <v>440</v>
      </c>
      <c r="J458">
        <f t="shared" si="14"/>
        <v>21.6</v>
      </c>
      <c r="K458" t="b">
        <f t="shared" si="15"/>
        <v>1</v>
      </c>
    </row>
    <row r="459" spans="1:13">
      <c r="B459">
        <v>453</v>
      </c>
      <c r="C459" t="s">
        <v>15</v>
      </c>
      <c r="D459">
        <v>26</v>
      </c>
      <c r="E459" t="str">
        <f>IF(VLOOKUP(D459,Couleurs!A:B,2) = 0, "[" &amp; D459 &amp; "]",VLOOKUP(D459,Couleurs!A:B,2))</f>
        <v>[26]</v>
      </c>
      <c r="F459" s="1" t="s">
        <v>4166</v>
      </c>
      <c r="G459">
        <v>2</v>
      </c>
      <c r="H459" t="s">
        <v>3828</v>
      </c>
      <c r="I459" t="s">
        <v>3830</v>
      </c>
      <c r="J459">
        <f t="shared" si="14"/>
        <v>19.559999999999999</v>
      </c>
      <c r="K459" t="b">
        <f t="shared" si="15"/>
        <v>1</v>
      </c>
    </row>
    <row r="460" spans="1:13">
      <c r="B460">
        <v>454</v>
      </c>
      <c r="C460" t="s">
        <v>45</v>
      </c>
      <c r="D460">
        <v>76</v>
      </c>
      <c r="E460" t="str">
        <f>IF(VLOOKUP(D460,Couleurs!A:B,2) = 0, "[" &amp; D460 &amp; "]",VLOOKUP(D460,Couleurs!A:B,2))</f>
        <v>[76]</v>
      </c>
      <c r="F460" s="1" t="s">
        <v>4167</v>
      </c>
      <c r="G460">
        <v>3</v>
      </c>
      <c r="H460" t="s">
        <v>3685</v>
      </c>
      <c r="I460" t="s">
        <v>3686</v>
      </c>
      <c r="J460">
        <f t="shared" si="14"/>
        <v>23.4</v>
      </c>
      <c r="K460" t="b">
        <f t="shared" si="15"/>
        <v>1</v>
      </c>
    </row>
    <row r="461" spans="1:13">
      <c r="B461">
        <v>455</v>
      </c>
      <c r="C461" t="s">
        <v>3799</v>
      </c>
      <c r="D461">
        <v>54</v>
      </c>
      <c r="E461" t="str">
        <f>IF(VLOOKUP(D461,Couleurs!A:B,2) = 0, "[" &amp; D461 &amp; "]",VLOOKUP(D461,Couleurs!A:B,2))</f>
        <v>[54]</v>
      </c>
      <c r="F461" s="1" t="s">
        <v>4168</v>
      </c>
      <c r="G461">
        <v>6</v>
      </c>
      <c r="H461" t="s">
        <v>3800</v>
      </c>
      <c r="I461" t="s">
        <v>433</v>
      </c>
      <c r="J461">
        <f t="shared" si="14"/>
        <v>43.2</v>
      </c>
      <c r="K461" t="b">
        <f t="shared" si="15"/>
        <v>1</v>
      </c>
    </row>
    <row r="462" spans="1:13">
      <c r="B462">
        <v>456</v>
      </c>
      <c r="C462" t="s">
        <v>3733</v>
      </c>
      <c r="D462">
        <v>55</v>
      </c>
      <c r="E462" t="str">
        <f>IF(VLOOKUP(D462,Couleurs!A:B,2) = 0, "[" &amp; D462 &amp; "]",VLOOKUP(D462,Couleurs!A:B,2))</f>
        <v>BLACK</v>
      </c>
      <c r="F462" s="1" t="s">
        <v>4169</v>
      </c>
      <c r="G462">
        <v>2</v>
      </c>
      <c r="H462" t="s">
        <v>428</v>
      </c>
      <c r="I462" t="s">
        <v>436</v>
      </c>
      <c r="J462">
        <f t="shared" si="14"/>
        <v>28.8</v>
      </c>
      <c r="K462" t="b">
        <f t="shared" si="15"/>
        <v>1</v>
      </c>
    </row>
    <row r="463" spans="1:13">
      <c r="B463">
        <v>457</v>
      </c>
      <c r="C463" t="s">
        <v>80</v>
      </c>
      <c r="D463">
        <v>9</v>
      </c>
      <c r="E463" t="str">
        <f>IF(VLOOKUP(D463,Couleurs!A:B,2) = 0, "[" &amp; D463 &amp; "]",VLOOKUP(D463,Couleurs!A:B,2))</f>
        <v>[9]</v>
      </c>
      <c r="F463" s="1" t="s">
        <v>4171</v>
      </c>
      <c r="G463">
        <v>2</v>
      </c>
      <c r="H463" t="s">
        <v>4170</v>
      </c>
      <c r="I463" t="s">
        <v>4172</v>
      </c>
      <c r="J463">
        <f t="shared" si="14"/>
        <v>40.799999999999997</v>
      </c>
      <c r="K463" t="b">
        <f t="shared" si="15"/>
        <v>1</v>
      </c>
    </row>
    <row r="464" spans="1:13">
      <c r="B464">
        <v>458</v>
      </c>
      <c r="C464" t="s">
        <v>76</v>
      </c>
      <c r="D464">
        <v>55</v>
      </c>
      <c r="E464" t="str">
        <f>IF(VLOOKUP(D464,Couleurs!A:B,2) = 0, "[" &amp; D464 &amp; "]",VLOOKUP(D464,Couleurs!A:B,2))</f>
        <v>BLACK</v>
      </c>
      <c r="F464" s="1" t="s">
        <v>4173</v>
      </c>
      <c r="G464">
        <v>2</v>
      </c>
      <c r="H464" t="s">
        <v>431</v>
      </c>
      <c r="I464" t="s">
        <v>442</v>
      </c>
      <c r="J464">
        <f t="shared" si="14"/>
        <v>23.76</v>
      </c>
      <c r="K464" t="b">
        <f t="shared" si="15"/>
        <v>1</v>
      </c>
    </row>
    <row r="465" spans="2:11">
      <c r="B465">
        <v>459</v>
      </c>
      <c r="C465" t="s">
        <v>7</v>
      </c>
      <c r="D465">
        <v>36</v>
      </c>
      <c r="E465" t="str">
        <f>IF(VLOOKUP(D465,Couleurs!A:B,2) = 0, "[" &amp; D465 &amp; "]",VLOOKUP(D465,Couleurs!A:B,2))</f>
        <v>[36]</v>
      </c>
      <c r="F465" s="1" t="s">
        <v>4174</v>
      </c>
      <c r="G465">
        <v>4</v>
      </c>
      <c r="H465" t="s">
        <v>431</v>
      </c>
      <c r="I465" t="s">
        <v>3731</v>
      </c>
      <c r="J465">
        <f t="shared" si="14"/>
        <v>47.52</v>
      </c>
      <c r="K465" t="b">
        <f t="shared" si="15"/>
        <v>1</v>
      </c>
    </row>
    <row r="466" spans="2:11">
      <c r="B466">
        <v>460</v>
      </c>
      <c r="C466" t="s">
        <v>22</v>
      </c>
      <c r="D466">
        <v>78</v>
      </c>
      <c r="E466" t="str">
        <f>IF(VLOOKUP(D466,Couleurs!A:B,2) = 0, "[" &amp; D466 &amp; "]",VLOOKUP(D466,Couleurs!A:B,2))</f>
        <v>SAND</v>
      </c>
      <c r="F466" s="1" t="s">
        <v>4175</v>
      </c>
      <c r="G466">
        <v>1</v>
      </c>
      <c r="H466" t="s">
        <v>428</v>
      </c>
      <c r="I466" t="s">
        <v>428</v>
      </c>
      <c r="J466">
        <f t="shared" si="14"/>
        <v>14.4</v>
      </c>
      <c r="K466" t="b">
        <f t="shared" si="15"/>
        <v>1</v>
      </c>
    </row>
    <row r="467" spans="2:11">
      <c r="B467">
        <v>461</v>
      </c>
      <c r="C467" t="s">
        <v>26</v>
      </c>
      <c r="D467">
        <v>484</v>
      </c>
      <c r="E467" t="str">
        <f>IF(VLOOKUP(D467,Couleurs!A:B,2) = 0, "[" &amp; D467 &amp; "]",VLOOKUP(D467,Couleurs!A:B,2))</f>
        <v>[484]</v>
      </c>
      <c r="F467" s="1" t="s">
        <v>4176</v>
      </c>
      <c r="G467">
        <v>3</v>
      </c>
      <c r="H467" t="s">
        <v>428</v>
      </c>
      <c r="I467" t="s">
        <v>433</v>
      </c>
      <c r="J467">
        <f t="shared" si="14"/>
        <v>43.2</v>
      </c>
      <c r="K467" t="b">
        <f t="shared" si="15"/>
        <v>1</v>
      </c>
    </row>
    <row r="468" spans="2:11">
      <c r="B468">
        <v>462</v>
      </c>
      <c r="C468" t="s">
        <v>19</v>
      </c>
      <c r="D468">
        <v>26</v>
      </c>
      <c r="E468" t="str">
        <f>IF(VLOOKUP(D468,Couleurs!A:B,2) = 0, "[" &amp; D468 &amp; "]",VLOOKUP(D468,Couleurs!A:B,2))</f>
        <v>[26]</v>
      </c>
      <c r="F468" s="1" t="s">
        <v>4177</v>
      </c>
      <c r="G468">
        <v>3</v>
      </c>
      <c r="H468" t="s">
        <v>3683</v>
      </c>
      <c r="I468" t="s">
        <v>436</v>
      </c>
      <c r="J468">
        <f t="shared" si="14"/>
        <v>28.799999999999997</v>
      </c>
      <c r="K468" t="b">
        <f t="shared" si="15"/>
        <v>1</v>
      </c>
    </row>
    <row r="469" spans="2:11">
      <c r="B469">
        <v>463</v>
      </c>
      <c r="C469" t="s">
        <v>2483</v>
      </c>
      <c r="D469">
        <v>488</v>
      </c>
      <c r="E469" t="str">
        <f>IF(VLOOKUP(D469,Couleurs!A:B,2) = 0, "[" &amp; D469 &amp; "]",VLOOKUP(D469,Couleurs!A:B,2))</f>
        <v>[488]</v>
      </c>
      <c r="F469" s="1" t="s">
        <v>4178</v>
      </c>
      <c r="G469">
        <v>3</v>
      </c>
      <c r="H469">
        <v>18</v>
      </c>
      <c r="I469">
        <v>54</v>
      </c>
      <c r="J469">
        <f t="shared" si="14"/>
        <v>54</v>
      </c>
      <c r="K469" t="b">
        <f t="shared" si="15"/>
        <v>1</v>
      </c>
    </row>
    <row r="470" spans="2:11">
      <c r="B470">
        <v>464</v>
      </c>
      <c r="C470" t="s">
        <v>24</v>
      </c>
      <c r="D470">
        <v>78</v>
      </c>
      <c r="E470" t="str">
        <f>IF(VLOOKUP(D470,Couleurs!A:B,2) = 0, "[" &amp; D470 &amp; "]",VLOOKUP(D470,Couleurs!A:B,2))</f>
        <v>SAND</v>
      </c>
      <c r="F470" s="1" t="s">
        <v>4179</v>
      </c>
      <c r="G470">
        <v>1</v>
      </c>
      <c r="H470" t="s">
        <v>427</v>
      </c>
      <c r="I470" t="s">
        <v>427</v>
      </c>
      <c r="J470">
        <f t="shared" si="14"/>
        <v>4.8</v>
      </c>
      <c r="K470" t="b">
        <f t="shared" si="15"/>
        <v>1</v>
      </c>
    </row>
    <row r="471" spans="2:11">
      <c r="B471">
        <v>465</v>
      </c>
      <c r="C471" t="s">
        <v>26</v>
      </c>
      <c r="D471">
        <v>422</v>
      </c>
      <c r="E471" t="str">
        <f>IF(VLOOKUP(D471,Couleurs!A:B,2) = 0, "[" &amp; D471 &amp; "]",VLOOKUP(D471,Couleurs!A:B,2))</f>
        <v>SANGRIA</v>
      </c>
      <c r="F471" s="1" t="s">
        <v>4180</v>
      </c>
      <c r="G471">
        <v>3</v>
      </c>
      <c r="H471" t="s">
        <v>428</v>
      </c>
      <c r="I471" t="s">
        <v>433</v>
      </c>
      <c r="J471">
        <f t="shared" si="14"/>
        <v>43.2</v>
      </c>
      <c r="K471" t="b">
        <f t="shared" si="15"/>
        <v>1</v>
      </c>
    </row>
    <row r="472" spans="2:11">
      <c r="B472">
        <v>466</v>
      </c>
      <c r="C472" t="s">
        <v>47</v>
      </c>
      <c r="D472">
        <v>482</v>
      </c>
      <c r="E472" t="str">
        <f>IF(VLOOKUP(D472,Couleurs!A:B,2) = 0, "[" &amp; D472 &amp; "]",VLOOKUP(D472,Couleurs!A:B,2))</f>
        <v>[482]</v>
      </c>
      <c r="F472" s="1" t="s">
        <v>4181</v>
      </c>
      <c r="G472">
        <v>4</v>
      </c>
      <c r="H472" t="s">
        <v>429</v>
      </c>
      <c r="I472" t="s">
        <v>4182</v>
      </c>
      <c r="J472">
        <f t="shared" si="14"/>
        <v>53.76</v>
      </c>
      <c r="K472" t="b">
        <f t="shared" si="15"/>
        <v>1</v>
      </c>
    </row>
    <row r="473" spans="2:11">
      <c r="B473">
        <v>467</v>
      </c>
      <c r="C473" t="s">
        <v>14</v>
      </c>
      <c r="D473">
        <v>76</v>
      </c>
      <c r="E473" t="str">
        <f>IF(VLOOKUP(D473,Couleurs!A:B,2) = 0, "[" &amp; D473 &amp; "]",VLOOKUP(D473,Couleurs!A:B,2))</f>
        <v>[76]</v>
      </c>
      <c r="F473" s="1" t="s">
        <v>4183</v>
      </c>
      <c r="G473">
        <v>2</v>
      </c>
      <c r="H473" t="s">
        <v>428</v>
      </c>
      <c r="I473" t="s">
        <v>436</v>
      </c>
      <c r="J473">
        <f t="shared" si="14"/>
        <v>28.8</v>
      </c>
      <c r="K473" t="b">
        <f t="shared" si="15"/>
        <v>1</v>
      </c>
    </row>
    <row r="474" spans="2:11">
      <c r="B474">
        <v>468</v>
      </c>
      <c r="C474" t="s">
        <v>2</v>
      </c>
      <c r="D474">
        <v>76</v>
      </c>
      <c r="E474" t="str">
        <f>IF(VLOOKUP(D474,Couleurs!A:B,2) = 0, "[" &amp; D474 &amp; "]",VLOOKUP(D474,Couleurs!A:B,2))</f>
        <v>[76]</v>
      </c>
      <c r="F474" s="1" t="s">
        <v>4184</v>
      </c>
      <c r="G474">
        <v>3</v>
      </c>
      <c r="H474" t="s">
        <v>427</v>
      </c>
      <c r="I474" t="s">
        <v>428</v>
      </c>
      <c r="J474">
        <f t="shared" si="14"/>
        <v>14.399999999999999</v>
      </c>
      <c r="K474" t="b">
        <f t="shared" si="15"/>
        <v>1</v>
      </c>
    </row>
    <row r="475" spans="2:11">
      <c r="B475">
        <v>469</v>
      </c>
      <c r="C475" t="s">
        <v>2418</v>
      </c>
      <c r="D475">
        <v>26</v>
      </c>
      <c r="E475" t="str">
        <f>IF(VLOOKUP(D475,Couleurs!A:B,2) = 0, "[" &amp; D475 &amp; "]",VLOOKUP(D475,Couleurs!A:B,2))</f>
        <v>[26]</v>
      </c>
      <c r="F475" s="1" t="s">
        <v>4185</v>
      </c>
      <c r="G475">
        <v>3</v>
      </c>
      <c r="H475" t="s">
        <v>431</v>
      </c>
      <c r="I475" t="s">
        <v>3703</v>
      </c>
      <c r="J475">
        <f t="shared" si="14"/>
        <v>35.64</v>
      </c>
      <c r="K475" t="b">
        <f t="shared" si="15"/>
        <v>1</v>
      </c>
    </row>
    <row r="476" spans="2:11">
      <c r="B476">
        <v>470</v>
      </c>
      <c r="C476" t="s">
        <v>3733</v>
      </c>
      <c r="D476">
        <v>8</v>
      </c>
      <c r="E476" t="str">
        <f>IF(VLOOKUP(D476,Couleurs!A:B,2) = 0, "[" &amp; D476 &amp; "]",VLOOKUP(D476,Couleurs!A:B,2))</f>
        <v>WHITE</v>
      </c>
      <c r="F476" s="1" t="s">
        <v>4186</v>
      </c>
      <c r="G476">
        <v>2</v>
      </c>
      <c r="H476" t="s">
        <v>428</v>
      </c>
      <c r="I476" t="s">
        <v>436</v>
      </c>
      <c r="J476">
        <f t="shared" si="14"/>
        <v>28.8</v>
      </c>
      <c r="K476" t="b">
        <f t="shared" si="15"/>
        <v>1</v>
      </c>
    </row>
    <row r="477" spans="2:11">
      <c r="B477">
        <v>471</v>
      </c>
      <c r="C477" t="s">
        <v>85</v>
      </c>
      <c r="D477">
        <v>474</v>
      </c>
      <c r="E477" t="str">
        <f>IF(VLOOKUP(D477,Couleurs!A:B,2) = 0, "[" &amp; D477 &amp; "]",VLOOKUP(D477,Couleurs!A:B,2))</f>
        <v>[474]</v>
      </c>
      <c r="F477" s="1" t="s">
        <v>4187</v>
      </c>
      <c r="G477">
        <v>2</v>
      </c>
      <c r="H477" t="s">
        <v>3712</v>
      </c>
      <c r="I477" t="s">
        <v>3714</v>
      </c>
      <c r="J477">
        <f t="shared" si="14"/>
        <v>36.24</v>
      </c>
      <c r="K477" t="b">
        <f t="shared" si="15"/>
        <v>1</v>
      </c>
    </row>
    <row r="478" spans="2:11">
      <c r="B478">
        <v>472</v>
      </c>
      <c r="C478" t="s">
        <v>91</v>
      </c>
      <c r="D478">
        <v>55</v>
      </c>
      <c r="E478" t="str">
        <f>IF(VLOOKUP(D478,Couleurs!A:B,2) = 0, "[" &amp; D478 &amp; "]",VLOOKUP(D478,Couleurs!A:B,2))</f>
        <v>BLACK</v>
      </c>
      <c r="F478" s="1" t="s">
        <v>4188</v>
      </c>
      <c r="G478">
        <v>2</v>
      </c>
      <c r="H478" t="s">
        <v>3712</v>
      </c>
      <c r="I478" t="s">
        <v>3714</v>
      </c>
      <c r="J478">
        <f t="shared" si="14"/>
        <v>36.24</v>
      </c>
      <c r="K478" t="b">
        <f t="shared" si="15"/>
        <v>1</v>
      </c>
    </row>
    <row r="479" spans="2:11">
      <c r="B479">
        <v>473</v>
      </c>
      <c r="C479" t="s">
        <v>15</v>
      </c>
      <c r="D479">
        <v>76</v>
      </c>
      <c r="E479" t="str">
        <f>IF(VLOOKUP(D479,Couleurs!A:B,2) = 0, "[" &amp; D479 &amp; "]",VLOOKUP(D479,Couleurs!A:B,2))</f>
        <v>[76]</v>
      </c>
      <c r="F479" s="1" t="s">
        <v>4189</v>
      </c>
      <c r="G479">
        <v>2</v>
      </c>
      <c r="H479" t="s">
        <v>3828</v>
      </c>
      <c r="I479" t="s">
        <v>3830</v>
      </c>
      <c r="J479">
        <f t="shared" si="14"/>
        <v>19.559999999999999</v>
      </c>
      <c r="K479" t="b">
        <f t="shared" si="15"/>
        <v>1</v>
      </c>
    </row>
    <row r="480" spans="2:11">
      <c r="B480">
        <v>474</v>
      </c>
      <c r="C480" t="s">
        <v>35</v>
      </c>
      <c r="D480">
        <v>63</v>
      </c>
      <c r="E480" t="str">
        <f>IF(VLOOKUP(D480,Couleurs!A:B,2) = 0, "[" &amp; D480 &amp; "]",VLOOKUP(D480,Couleurs!A:B,2))</f>
        <v>[63]</v>
      </c>
      <c r="F480" s="1" t="s">
        <v>4084</v>
      </c>
      <c r="G480">
        <v>6</v>
      </c>
      <c r="H480" t="s">
        <v>3720</v>
      </c>
      <c r="I480" t="s">
        <v>3722</v>
      </c>
      <c r="J480">
        <f t="shared" si="14"/>
        <v>15.120000000000001</v>
      </c>
      <c r="K480" t="b">
        <f t="shared" si="15"/>
        <v>1</v>
      </c>
    </row>
    <row r="481" spans="2:11">
      <c r="B481">
        <v>475</v>
      </c>
      <c r="C481" t="s">
        <v>2446</v>
      </c>
      <c r="D481">
        <v>76</v>
      </c>
      <c r="E481" t="str">
        <f>IF(VLOOKUP(D481,Couleurs!A:B,2) = 0, "[" &amp; D481 &amp; "]",VLOOKUP(D481,Couleurs!A:B,2))</f>
        <v>[76]</v>
      </c>
      <c r="F481" s="1" t="s">
        <v>4190</v>
      </c>
      <c r="G481">
        <v>2</v>
      </c>
      <c r="H481" t="s">
        <v>439</v>
      </c>
      <c r="I481" t="s">
        <v>440</v>
      </c>
      <c r="J481">
        <f t="shared" si="14"/>
        <v>21.6</v>
      </c>
      <c r="K481" t="b">
        <f t="shared" si="15"/>
        <v>1</v>
      </c>
    </row>
    <row r="482" spans="2:11">
      <c r="B482">
        <v>476</v>
      </c>
      <c r="C482" t="s">
        <v>6</v>
      </c>
      <c r="D482">
        <v>76</v>
      </c>
      <c r="E482" t="str">
        <f>IF(VLOOKUP(D482,Couleurs!A:B,2) = 0, "[" &amp; D482 &amp; "]",VLOOKUP(D482,Couleurs!A:B,2))</f>
        <v>[76]</v>
      </c>
      <c r="F482" s="1" t="s">
        <v>4191</v>
      </c>
      <c r="G482">
        <v>2</v>
      </c>
      <c r="H482" t="s">
        <v>3704</v>
      </c>
      <c r="I482" t="s">
        <v>3706</v>
      </c>
      <c r="J482">
        <f t="shared" si="14"/>
        <v>25.44</v>
      </c>
      <c r="K482" t="b">
        <f t="shared" si="15"/>
        <v>1</v>
      </c>
    </row>
    <row r="483" spans="2:11">
      <c r="B483">
        <v>477</v>
      </c>
      <c r="C483" t="s">
        <v>21</v>
      </c>
      <c r="D483">
        <v>71</v>
      </c>
      <c r="E483" t="str">
        <f>IF(VLOOKUP(D483,Couleurs!A:B,2) = 0, "[" &amp; D483 &amp; "]",VLOOKUP(D483,Couleurs!A:B,2))</f>
        <v>ROCK</v>
      </c>
      <c r="F483" s="1" t="s">
        <v>4192</v>
      </c>
      <c r="G483">
        <v>1</v>
      </c>
      <c r="H483" t="s">
        <v>428</v>
      </c>
      <c r="I483" t="s">
        <v>428</v>
      </c>
      <c r="J483">
        <f t="shared" si="14"/>
        <v>14.4</v>
      </c>
      <c r="K483" t="b">
        <f t="shared" si="15"/>
        <v>1</v>
      </c>
    </row>
    <row r="484" spans="2:11">
      <c r="B484">
        <v>478</v>
      </c>
      <c r="C484" t="s">
        <v>72</v>
      </c>
      <c r="D484">
        <v>347</v>
      </c>
      <c r="E484" t="str">
        <f>IF(VLOOKUP(D484,Couleurs!A:B,2) = 0, "[" &amp; D484 &amp; "]",VLOOKUP(D484,Couleurs!A:B,2))</f>
        <v>[347]</v>
      </c>
      <c r="F484" s="1" t="s">
        <v>4193</v>
      </c>
      <c r="G484">
        <v>3</v>
      </c>
      <c r="H484">
        <v>9</v>
      </c>
      <c r="I484">
        <v>27</v>
      </c>
      <c r="J484">
        <f t="shared" si="14"/>
        <v>27</v>
      </c>
      <c r="K484" t="b">
        <f t="shared" si="15"/>
        <v>1</v>
      </c>
    </row>
    <row r="485" spans="2:11">
      <c r="B485">
        <v>479</v>
      </c>
      <c r="C485" t="s">
        <v>2414</v>
      </c>
      <c r="D485">
        <v>76</v>
      </c>
      <c r="E485" t="str">
        <f>IF(VLOOKUP(D485,Couleurs!A:B,2) = 0, "[" &amp; D485 &amp; "]",VLOOKUP(D485,Couleurs!A:B,2))</f>
        <v>[76]</v>
      </c>
      <c r="F485" s="1" t="s">
        <v>4194</v>
      </c>
      <c r="G485">
        <v>3</v>
      </c>
      <c r="H485" t="s">
        <v>3808</v>
      </c>
      <c r="I485" t="s">
        <v>3810</v>
      </c>
      <c r="J485">
        <f t="shared" si="14"/>
        <v>57.96</v>
      </c>
      <c r="K485" t="b">
        <f t="shared" si="15"/>
        <v>1</v>
      </c>
    </row>
    <row r="486" spans="2:11">
      <c r="B486">
        <v>480</v>
      </c>
      <c r="C486" t="s">
        <v>27</v>
      </c>
      <c r="D486">
        <v>59</v>
      </c>
      <c r="E486" t="str">
        <f>IF(VLOOKUP(D486,Couleurs!A:B,2) = 0, "[" &amp; D486 &amp; "]",VLOOKUP(D486,Couleurs!A:B,2))</f>
        <v>BLACK</v>
      </c>
      <c r="F486" s="1" t="s">
        <v>4195</v>
      </c>
      <c r="G486">
        <v>6</v>
      </c>
      <c r="H486" t="s">
        <v>3735</v>
      </c>
      <c r="I486" t="s">
        <v>3737</v>
      </c>
      <c r="J486">
        <f t="shared" si="14"/>
        <v>11.52</v>
      </c>
      <c r="K486" t="b">
        <f t="shared" si="15"/>
        <v>1</v>
      </c>
    </row>
    <row r="487" spans="2:11">
      <c r="B487">
        <v>481</v>
      </c>
      <c r="C487" t="s">
        <v>18</v>
      </c>
      <c r="D487">
        <v>479</v>
      </c>
      <c r="E487" t="str">
        <f>IF(VLOOKUP(D487,Couleurs!A:B,2) = 0, "[" &amp; D487 &amp; "]",VLOOKUP(D487,Couleurs!A:B,2))</f>
        <v>[479]</v>
      </c>
      <c r="F487" s="1" t="s">
        <v>4196</v>
      </c>
      <c r="G487">
        <v>2</v>
      </c>
      <c r="H487" t="s">
        <v>3925</v>
      </c>
      <c r="I487" t="s">
        <v>429</v>
      </c>
      <c r="J487">
        <f t="shared" si="14"/>
        <v>13.44</v>
      </c>
      <c r="K487" t="b">
        <f t="shared" si="15"/>
        <v>1</v>
      </c>
    </row>
    <row r="488" spans="2:11">
      <c r="B488">
        <v>482</v>
      </c>
      <c r="C488" t="s">
        <v>2481</v>
      </c>
      <c r="D488">
        <v>55</v>
      </c>
      <c r="E488" t="str">
        <f>IF(VLOOKUP(D488,Couleurs!A:B,2) = 0, "[" &amp; D488 &amp; "]",VLOOKUP(D488,Couleurs!A:B,2))</f>
        <v>BLACK</v>
      </c>
      <c r="F488" s="1" t="s">
        <v>4197</v>
      </c>
      <c r="G488">
        <v>2</v>
      </c>
      <c r="H488" t="s">
        <v>439</v>
      </c>
      <c r="I488" t="s">
        <v>440</v>
      </c>
      <c r="J488">
        <f t="shared" si="14"/>
        <v>21.6</v>
      </c>
      <c r="K488" t="b">
        <f t="shared" si="15"/>
        <v>1</v>
      </c>
    </row>
    <row r="489" spans="2:11">
      <c r="B489">
        <v>483</v>
      </c>
      <c r="C489" t="s">
        <v>104</v>
      </c>
      <c r="D489">
        <v>72</v>
      </c>
      <c r="E489" t="str">
        <f>IF(VLOOKUP(D489,Couleurs!A:B,2) = 0, "[" &amp; D489 &amp; "]",VLOOKUP(D489,Couleurs!A:B,2))</f>
        <v>[72]</v>
      </c>
      <c r="F489" s="1" t="s">
        <v>4198</v>
      </c>
      <c r="G489">
        <v>2</v>
      </c>
      <c r="H489" t="s">
        <v>432</v>
      </c>
      <c r="I489" t="s">
        <v>434</v>
      </c>
      <c r="J489">
        <f t="shared" si="14"/>
        <v>31.2</v>
      </c>
      <c r="K489" t="b">
        <f t="shared" si="15"/>
        <v>1</v>
      </c>
    </row>
    <row r="490" spans="2:11">
      <c r="B490">
        <v>484</v>
      </c>
      <c r="C490" t="s">
        <v>62</v>
      </c>
      <c r="D490">
        <v>8</v>
      </c>
      <c r="E490" t="str">
        <f>IF(VLOOKUP(D490,Couleurs!A:B,2) = 0, "[" &amp; D490 &amp; "]",VLOOKUP(D490,Couleurs!A:B,2))</f>
        <v>WHITE</v>
      </c>
      <c r="F490" s="1" t="s">
        <v>4199</v>
      </c>
      <c r="G490">
        <v>2</v>
      </c>
      <c r="H490" t="s">
        <v>3704</v>
      </c>
      <c r="I490" t="s">
        <v>3706</v>
      </c>
      <c r="J490">
        <f t="shared" si="14"/>
        <v>25.44</v>
      </c>
      <c r="K490" t="b">
        <f t="shared" si="15"/>
        <v>1</v>
      </c>
    </row>
    <row r="491" spans="2:11">
      <c r="B491">
        <v>485</v>
      </c>
      <c r="C491" t="s">
        <v>75</v>
      </c>
      <c r="D491">
        <v>76</v>
      </c>
      <c r="E491" t="str">
        <f>IF(VLOOKUP(D491,Couleurs!A:B,2) = 0, "[" &amp; D491 &amp; "]",VLOOKUP(D491,Couleurs!A:B,2))</f>
        <v>[76]</v>
      </c>
      <c r="F491" s="1" t="s">
        <v>4200</v>
      </c>
      <c r="G491">
        <v>2</v>
      </c>
      <c r="H491" t="s">
        <v>432</v>
      </c>
      <c r="I491" t="s">
        <v>434</v>
      </c>
      <c r="J491">
        <f t="shared" si="14"/>
        <v>31.2</v>
      </c>
      <c r="K491" t="b">
        <f t="shared" si="15"/>
        <v>1</v>
      </c>
    </row>
  </sheetData>
  <phoneticPr fontId="8" type="noConversion"/>
  <conditionalFormatting sqref="K1:K1048576">
    <cfRule type="cellIs" dxfId="2" priority="3" operator="equal">
      <formula>FALSE</formula>
    </cfRule>
  </conditionalFormatting>
  <conditionalFormatting sqref="B5:B491 B493">
    <cfRule type="expression" dxfId="1" priority="1">
      <formula>B5&lt;&gt;B4+1</formula>
    </cfRule>
  </conditionalFormatting>
  <conditionalFormatting sqref="B492">
    <cfRule type="expression" dxfId="0" priority="8">
      <formula>B492&lt;&gt;#REF!+1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extraitInfosProforma">
                <anchor moveWithCells="1" sizeWithCells="1">
                  <from>
                    <xdr:col>7</xdr:col>
                    <xdr:colOff>88900</xdr:colOff>
                    <xdr:row>0</xdr:row>
                    <xdr:rowOff>139700</xdr:rowOff>
                  </from>
                  <to>
                    <xdr:col>8</xdr:col>
                    <xdr:colOff>0</xdr:colOff>
                    <xdr:row>2</xdr:row>
                    <xdr:rowOff>38100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 enableFormatConditionsCalculation="0"/>
  <dimension ref="A8:G166"/>
  <sheetViews>
    <sheetView topLeftCell="A125" workbookViewId="0">
      <selection activeCell="C132" sqref="C132"/>
    </sheetView>
  </sheetViews>
  <sheetFormatPr baseColWidth="10" defaultRowHeight="14" x14ac:dyDescent="0"/>
  <cols>
    <col min="1" max="1" width="32.83203125" customWidth="1"/>
    <col min="2" max="2" width="11.1640625" customWidth="1"/>
    <col min="3" max="3" width="11.83203125" customWidth="1"/>
    <col min="4" max="4" width="10.5" customWidth="1"/>
    <col min="5" max="5" width="21.33203125" customWidth="1"/>
    <col min="6" max="6" width="13.1640625" customWidth="1"/>
    <col min="7" max="7" width="11.5" customWidth="1"/>
  </cols>
  <sheetData>
    <row r="8" spans="1:1">
      <c r="A8" s="24" t="s">
        <v>2490</v>
      </c>
    </row>
    <row r="9" spans="1:1">
      <c r="A9" s="24" t="s">
        <v>2491</v>
      </c>
    </row>
    <row r="10" spans="1:1">
      <c r="A10" s="24" t="s">
        <v>2492</v>
      </c>
    </row>
    <row r="11" spans="1:1">
      <c r="A11" s="24" t="s">
        <v>2493</v>
      </c>
    </row>
    <row r="12" spans="1:1">
      <c r="A12" s="25" t="s">
        <v>2494</v>
      </c>
    </row>
    <row r="13" spans="1:1">
      <c r="A13" s="24" t="s">
        <v>2495</v>
      </c>
    </row>
    <row r="14" spans="1:1">
      <c r="A14" s="25" t="s">
        <v>2496</v>
      </c>
    </row>
    <row r="15" spans="1:1">
      <c r="A15" s="25" t="s">
        <v>2497</v>
      </c>
    </row>
    <row r="16" spans="1:1">
      <c r="A16" s="25" t="s">
        <v>2498</v>
      </c>
    </row>
    <row r="17" spans="1:1">
      <c r="A17" s="25" t="s">
        <v>2499</v>
      </c>
    </row>
    <row r="21" spans="1:1">
      <c r="A21" s="26" t="s">
        <v>2500</v>
      </c>
    </row>
    <row r="23" spans="1:1">
      <c r="A23" s="24" t="s">
        <v>2501</v>
      </c>
    </row>
    <row r="24" spans="1:1">
      <c r="A24" s="25" t="s">
        <v>2502</v>
      </c>
    </row>
    <row r="25" spans="1:1">
      <c r="A25" s="24" t="s">
        <v>2503</v>
      </c>
    </row>
    <row r="26" spans="1:1">
      <c r="A26" s="24" t="s">
        <v>2504</v>
      </c>
    </row>
    <row r="27" spans="1:1">
      <c r="A27" s="25" t="s">
        <v>2505</v>
      </c>
    </row>
    <row r="28" spans="1:1">
      <c r="A28" s="24" t="s">
        <v>2506</v>
      </c>
    </row>
    <row r="29" spans="1:1">
      <c r="A29" s="24" t="s">
        <v>2507</v>
      </c>
    </row>
    <row r="30" spans="1:1">
      <c r="A30" s="24" t="s">
        <v>2508</v>
      </c>
    </row>
    <row r="31" spans="1:1">
      <c r="A31" s="24" t="s">
        <v>2509</v>
      </c>
    </row>
    <row r="32" spans="1:1">
      <c r="A32" s="25" t="s">
        <v>2510</v>
      </c>
    </row>
    <row r="33" spans="1:7">
      <c r="A33" s="24" t="s">
        <v>2511</v>
      </c>
    </row>
    <row r="34" spans="1:7" ht="13.75" customHeight="1">
      <c r="A34" s="27" t="s">
        <v>2512</v>
      </c>
      <c r="B34" s="28"/>
      <c r="C34" s="28"/>
      <c r="D34" s="28"/>
      <c r="E34" s="28"/>
      <c r="F34" s="28"/>
      <c r="G34" s="28"/>
    </row>
    <row r="35" spans="1:7" ht="12" customHeight="1">
      <c r="A35" s="29" t="s">
        <v>2513</v>
      </c>
      <c r="B35" s="30" t="s">
        <v>2514</v>
      </c>
      <c r="C35" s="31">
        <v>43143</v>
      </c>
      <c r="D35" s="32" t="s">
        <v>2515</v>
      </c>
      <c r="E35" s="33" t="s">
        <v>2516</v>
      </c>
      <c r="F35" s="34" t="s">
        <v>2514</v>
      </c>
      <c r="G35" s="35">
        <v>43117</v>
      </c>
    </row>
    <row r="36" spans="1:7" ht="9.5" customHeight="1">
      <c r="A36" s="36" t="s">
        <v>2517</v>
      </c>
      <c r="B36" s="37" t="s">
        <v>2514</v>
      </c>
      <c r="C36" s="38">
        <v>43143</v>
      </c>
      <c r="D36" s="39" t="s">
        <v>2515</v>
      </c>
      <c r="E36" s="40" t="s">
        <v>2518</v>
      </c>
      <c r="F36" s="41" t="s">
        <v>2514</v>
      </c>
      <c r="G36" s="42">
        <v>43116</v>
      </c>
    </row>
    <row r="37" spans="1:7" ht="9.5" customHeight="1">
      <c r="A37" s="43" t="s">
        <v>2519</v>
      </c>
      <c r="B37" s="44" t="s">
        <v>2514</v>
      </c>
      <c r="C37" s="28"/>
      <c r="D37" s="45" t="s">
        <v>2515</v>
      </c>
      <c r="E37" s="46" t="s">
        <v>2520</v>
      </c>
      <c r="F37" s="47" t="s">
        <v>2514</v>
      </c>
      <c r="G37" s="28"/>
    </row>
    <row r="39" spans="1:7">
      <c r="A39" s="24" t="s">
        <v>2521</v>
      </c>
    </row>
    <row r="40" spans="1:7">
      <c r="A40" s="24" t="s">
        <v>2522</v>
      </c>
    </row>
    <row r="41" spans="1:7">
      <c r="A41" s="24" t="s">
        <v>2523</v>
      </c>
    </row>
    <row r="42" spans="1:7">
      <c r="A42" s="25" t="s">
        <v>2524</v>
      </c>
    </row>
    <row r="43" spans="1:7">
      <c r="A43" s="24" t="s">
        <v>2525</v>
      </c>
    </row>
    <row r="44" spans="1:7">
      <c r="A44" s="48">
        <v>43143</v>
      </c>
    </row>
    <row r="45" spans="1:7">
      <c r="A45" s="24" t="s">
        <v>2526</v>
      </c>
    </row>
    <row r="46" spans="1:7">
      <c r="A46" s="25" t="s">
        <v>2527</v>
      </c>
    </row>
    <row r="47" spans="1:7">
      <c r="A47" s="25" t="s">
        <v>2528</v>
      </c>
    </row>
    <row r="48" spans="1:7">
      <c r="A48" s="25" t="s">
        <v>2528</v>
      </c>
    </row>
    <row r="49" spans="1:1">
      <c r="A49" s="25" t="s">
        <v>2529</v>
      </c>
    </row>
    <row r="50" spans="1:1">
      <c r="A50" s="25" t="s">
        <v>2530</v>
      </c>
    </row>
    <row r="51" spans="1:1">
      <c r="A51" s="48">
        <v>43143</v>
      </c>
    </row>
    <row r="52" spans="1:1">
      <c r="A52" s="24" t="s">
        <v>2531</v>
      </c>
    </row>
    <row r="53" spans="1:1">
      <c r="A53" s="24" t="s">
        <v>2514</v>
      </c>
    </row>
    <row r="54" spans="1:1">
      <c r="A54" s="24" t="s">
        <v>2514</v>
      </c>
    </row>
    <row r="55" spans="1:1">
      <c r="A55" s="24" t="s">
        <v>2514</v>
      </c>
    </row>
    <row r="57" spans="1:1">
      <c r="A57" s="24" t="s">
        <v>2515</v>
      </c>
    </row>
    <row r="58" spans="1:1">
      <c r="A58" s="25" t="s">
        <v>2532</v>
      </c>
    </row>
    <row r="59" spans="1:1">
      <c r="A59" s="24" t="s">
        <v>2533</v>
      </c>
    </row>
    <row r="60" spans="1:1">
      <c r="A60" s="49">
        <v>6</v>
      </c>
    </row>
    <row r="61" spans="1:1">
      <c r="A61" s="25" t="s">
        <v>2534</v>
      </c>
    </row>
    <row r="62" spans="1:1">
      <c r="A62" s="25" t="s">
        <v>2535</v>
      </c>
    </row>
    <row r="63" spans="1:1">
      <c r="A63" s="50">
        <v>6</v>
      </c>
    </row>
    <row r="64" spans="1:1">
      <c r="A64" s="25" t="s">
        <v>2536</v>
      </c>
    </row>
    <row r="65" spans="1:1">
      <c r="A65" s="51">
        <v>1</v>
      </c>
    </row>
    <row r="66" spans="1:1">
      <c r="A66" s="51">
        <v>78</v>
      </c>
    </row>
    <row r="67" spans="1:1">
      <c r="A67" s="25" t="s">
        <v>2537</v>
      </c>
    </row>
    <row r="68" spans="1:1">
      <c r="A68" s="25" t="s">
        <v>2538</v>
      </c>
    </row>
    <row r="69" spans="1:1">
      <c r="A69" s="51">
        <v>232</v>
      </c>
    </row>
    <row r="70" spans="1:1">
      <c r="A70" s="25" t="s">
        <v>2539</v>
      </c>
    </row>
    <row r="71" spans="1:1">
      <c r="A71" s="25" t="s">
        <v>2539</v>
      </c>
    </row>
    <row r="72" spans="1:1">
      <c r="A72" s="24" t="s">
        <v>2540</v>
      </c>
    </row>
    <row r="73" spans="1:1">
      <c r="A73" s="25" t="s">
        <v>2541</v>
      </c>
    </row>
    <row r="74" spans="1:1">
      <c r="A74" s="24" t="s">
        <v>2542</v>
      </c>
    </row>
    <row r="75" spans="1:1">
      <c r="A75" s="24" t="s">
        <v>2514</v>
      </c>
    </row>
    <row r="76" spans="1:1">
      <c r="A76" s="51">
        <v>49111090</v>
      </c>
    </row>
    <row r="77" spans="1:1">
      <c r="A77" s="25" t="s">
        <v>2534</v>
      </c>
    </row>
    <row r="78" spans="1:1">
      <c r="A78" s="25" t="s">
        <v>2536</v>
      </c>
    </row>
    <row r="79" spans="1:1">
      <c r="A79" s="49">
        <v>9</v>
      </c>
    </row>
    <row r="80" spans="1:1">
      <c r="A80" s="50">
        <v>9</v>
      </c>
    </row>
    <row r="81" spans="1:2">
      <c r="A81" s="25" t="s">
        <v>2543</v>
      </c>
    </row>
    <row r="82" spans="1:2">
      <c r="A82" s="51">
        <v>1</v>
      </c>
    </row>
    <row r="83" spans="1:2">
      <c r="A83" s="51">
        <v>259</v>
      </c>
    </row>
    <row r="84" spans="1:2">
      <c r="A84" s="25" t="s">
        <v>2544</v>
      </c>
    </row>
    <row r="85" spans="1:2">
      <c r="A85" s="25" t="s">
        <v>2545</v>
      </c>
    </row>
    <row r="86" spans="1:2">
      <c r="A86" s="51">
        <v>232</v>
      </c>
    </row>
    <row r="87" spans="1:2">
      <c r="A87" s="25" t="s">
        <v>2546</v>
      </c>
    </row>
    <row r="88" spans="1:2">
      <c r="A88" s="25" t="s">
        <v>2546</v>
      </c>
    </row>
    <row r="89" spans="1:2">
      <c r="A89" s="24" t="s">
        <v>2514</v>
      </c>
    </row>
    <row r="90" spans="1:2">
      <c r="A90" s="51">
        <v>49111090</v>
      </c>
    </row>
    <row r="91" spans="1:2">
      <c r="A91" s="24" t="s">
        <v>2540</v>
      </c>
    </row>
    <row r="92" spans="1:2">
      <c r="A92" s="25" t="s">
        <v>2541</v>
      </c>
    </row>
    <row r="93" spans="1:2">
      <c r="A93" s="24" t="s">
        <v>2547</v>
      </c>
    </row>
    <row r="94" spans="1:2">
      <c r="B94" s="48">
        <v>43143</v>
      </c>
    </row>
    <row r="96" spans="1:2">
      <c r="A96" s="24" t="s">
        <v>2526</v>
      </c>
    </row>
    <row r="97" spans="1:1">
      <c r="A97" s="25" t="s">
        <v>2548</v>
      </c>
    </row>
    <row r="98" spans="1:1">
      <c r="A98" s="25" t="s">
        <v>2527</v>
      </c>
    </row>
    <row r="99" spans="1:1">
      <c r="A99" s="24" t="s">
        <v>2549</v>
      </c>
    </row>
    <row r="100" spans="1:1">
      <c r="A100" s="24" t="s">
        <v>2525</v>
      </c>
    </row>
    <row r="101" spans="1:1">
      <c r="A101" s="24" t="s">
        <v>2523</v>
      </c>
    </row>
    <row r="102" spans="1:1">
      <c r="A102" s="25" t="s">
        <v>2528</v>
      </c>
    </row>
    <row r="103" spans="1:1">
      <c r="A103" s="25" t="s">
        <v>2528</v>
      </c>
    </row>
    <row r="104" spans="1:1">
      <c r="A104" s="25" t="s">
        <v>2529</v>
      </c>
    </row>
    <row r="105" spans="1:1">
      <c r="A105" s="24" t="s">
        <v>2514</v>
      </c>
    </row>
    <row r="106" spans="1:1">
      <c r="A106" s="24" t="s">
        <v>2514</v>
      </c>
    </row>
    <row r="107" spans="1:1">
      <c r="A107" s="25" t="s">
        <v>2550</v>
      </c>
    </row>
    <row r="108" spans="1:1">
      <c r="A108" s="24" t="s">
        <v>2514</v>
      </c>
    </row>
    <row r="109" spans="1:1">
      <c r="A109" s="48">
        <v>43143</v>
      </c>
    </row>
    <row r="110" spans="1:1">
      <c r="A110" s="24" t="s">
        <v>2551</v>
      </c>
    </row>
    <row r="112" spans="1:1">
      <c r="A112" s="25" t="s">
        <v>2552</v>
      </c>
    </row>
    <row r="113" spans="1:4">
      <c r="A113" s="24" t="s">
        <v>2515</v>
      </c>
    </row>
    <row r="114" spans="1:4">
      <c r="A114" s="24" t="s">
        <v>2553</v>
      </c>
    </row>
    <row r="115" spans="1:4" ht="11.25" customHeight="1">
      <c r="A115" s="87">
        <v>8.52</v>
      </c>
      <c r="B115" s="86"/>
      <c r="C115" s="88">
        <v>25.56</v>
      </c>
      <c r="D115" s="89" t="s">
        <v>2534</v>
      </c>
    </row>
    <row r="116" spans="1:4" ht="22.25" customHeight="1">
      <c r="A116" s="86"/>
      <c r="B116" s="90">
        <v>9111800000</v>
      </c>
      <c r="C116" s="86"/>
      <c r="D116" s="86"/>
    </row>
    <row r="117" spans="1:4" ht="10.25" customHeight="1">
      <c r="A117" s="91">
        <v>12.6</v>
      </c>
      <c r="B117" s="86"/>
      <c r="C117" s="92">
        <v>25.2</v>
      </c>
      <c r="D117" s="89" t="s">
        <v>2534</v>
      </c>
    </row>
    <row r="118" spans="1:4" ht="21.5" customHeight="1">
      <c r="A118" s="86"/>
      <c r="B118" s="90">
        <v>4202221000</v>
      </c>
      <c r="C118" s="86"/>
      <c r="D118" s="86"/>
    </row>
    <row r="119" spans="1:4" ht="10.25" customHeight="1">
      <c r="A119" s="91">
        <v>14.4</v>
      </c>
      <c r="B119" s="86"/>
      <c r="C119" s="92">
        <v>43.2</v>
      </c>
      <c r="D119" s="89" t="s">
        <v>2534</v>
      </c>
    </row>
    <row r="120" spans="1:4" ht="22.25" customHeight="1">
      <c r="A120" s="86"/>
      <c r="B120" s="90">
        <v>3926909790</v>
      </c>
      <c r="C120" s="86"/>
      <c r="D120" s="86"/>
    </row>
    <row r="121" spans="1:4" ht="10.25" customHeight="1">
      <c r="A121" s="91">
        <v>10.8</v>
      </c>
      <c r="B121" s="86"/>
      <c r="C121" s="92">
        <v>21.6</v>
      </c>
      <c r="D121" s="89" t="s">
        <v>2534</v>
      </c>
    </row>
    <row r="122" spans="1:4" ht="21.5" customHeight="1">
      <c r="A122" s="86"/>
      <c r="B122" s="90">
        <v>4202229090</v>
      </c>
      <c r="C122" s="86"/>
      <c r="D122" s="86"/>
    </row>
    <row r="123" spans="1:4" ht="11.25" customHeight="1">
      <c r="A123" s="91">
        <v>21.96</v>
      </c>
      <c r="B123" s="86"/>
      <c r="C123" s="88">
        <v>65.88</v>
      </c>
      <c r="D123" s="89" t="s">
        <v>2534</v>
      </c>
    </row>
    <row r="124" spans="1:4" ht="21.5" customHeight="1">
      <c r="A124" s="86"/>
      <c r="B124" s="90">
        <v>3926909790</v>
      </c>
      <c r="C124" s="86"/>
      <c r="D124" s="86"/>
    </row>
    <row r="125" spans="1:4" ht="10.25" customHeight="1">
      <c r="A125" s="87">
        <v>4.5599999999999996</v>
      </c>
      <c r="B125" s="86"/>
      <c r="C125" s="88">
        <v>36.479999999999997</v>
      </c>
      <c r="D125" s="89" t="s">
        <v>2534</v>
      </c>
    </row>
    <row r="126" spans="1:4" ht="21.5" customHeight="1">
      <c r="A126" s="86"/>
      <c r="B126" s="90">
        <v>3926909790</v>
      </c>
      <c r="C126" s="86"/>
      <c r="D126" s="86"/>
    </row>
    <row r="127" spans="1:4" ht="10.25" customHeight="1">
      <c r="A127" s="87">
        <v>7.08</v>
      </c>
      <c r="B127" s="86"/>
      <c r="C127" s="88">
        <v>21.24</v>
      </c>
      <c r="D127" s="89" t="s">
        <v>2534</v>
      </c>
    </row>
    <row r="128" spans="1:4" ht="21.5" customHeight="1">
      <c r="A128" s="86"/>
      <c r="B128" s="90">
        <v>4202229090</v>
      </c>
      <c r="C128" s="86"/>
      <c r="D128" s="86"/>
    </row>
    <row r="129" spans="1:5" ht="10.25" customHeight="1">
      <c r="A129" s="91">
        <v>14.4</v>
      </c>
      <c r="B129" s="86"/>
      <c r="C129" s="92">
        <v>28.8</v>
      </c>
      <c r="D129" s="89" t="s">
        <v>2534</v>
      </c>
    </row>
    <row r="130" spans="1:5" ht="32.75" customHeight="1">
      <c r="A130" s="93">
        <v>11.88</v>
      </c>
      <c r="B130" s="94" t="s">
        <v>2554</v>
      </c>
      <c r="C130" s="95">
        <v>23.76</v>
      </c>
      <c r="D130" s="96" t="s">
        <v>2534</v>
      </c>
    </row>
    <row r="132" spans="1:5">
      <c r="A132" s="25" t="s">
        <v>2555</v>
      </c>
      <c r="B132" s="87">
        <v>8.52</v>
      </c>
      <c r="C132" s="86"/>
      <c r="D132" s="88">
        <v>25.56</v>
      </c>
      <c r="E132" s="89" t="s">
        <v>2534</v>
      </c>
    </row>
    <row r="133" spans="1:5">
      <c r="B133" s="86"/>
      <c r="C133" s="90">
        <v>9111800000</v>
      </c>
      <c r="D133" s="86"/>
      <c r="E133" s="86"/>
    </row>
    <row r="134" spans="1:5">
      <c r="A134" s="25" t="s">
        <v>2556</v>
      </c>
    </row>
    <row r="135" spans="1:5">
      <c r="A135" s="24" t="s">
        <v>2557</v>
      </c>
    </row>
    <row r="136" spans="1:5">
      <c r="A136" s="25" t="s">
        <v>2558</v>
      </c>
      <c r="B136" s="91">
        <v>12.6</v>
      </c>
      <c r="C136" s="86"/>
      <c r="D136" s="92">
        <v>25.2</v>
      </c>
      <c r="E136" s="89" t="s">
        <v>2534</v>
      </c>
    </row>
    <row r="137" spans="1:5">
      <c r="B137" s="86"/>
      <c r="C137" s="90">
        <v>4202221000</v>
      </c>
      <c r="D137" s="86"/>
      <c r="E137" s="86"/>
    </row>
    <row r="138" spans="1:5">
      <c r="A138" s="25" t="s">
        <v>2559</v>
      </c>
    </row>
    <row r="139" spans="1:5">
      <c r="A139" s="24" t="s">
        <v>2560</v>
      </c>
    </row>
    <row r="140" spans="1:5">
      <c r="A140" s="25" t="s">
        <v>2561</v>
      </c>
      <c r="B140" s="91">
        <v>14.4</v>
      </c>
      <c r="C140" s="86"/>
      <c r="D140" s="92">
        <v>43.2</v>
      </c>
      <c r="E140" s="89" t="s">
        <v>2534</v>
      </c>
    </row>
    <row r="141" spans="1:5">
      <c r="B141" s="86"/>
      <c r="C141" s="90">
        <v>3926909790</v>
      </c>
      <c r="D141" s="86"/>
      <c r="E141" s="86"/>
    </row>
    <row r="142" spans="1:5">
      <c r="A142" s="25" t="s">
        <v>2562</v>
      </c>
    </row>
    <row r="143" spans="1:5">
      <c r="A143" s="24" t="s">
        <v>2557</v>
      </c>
    </row>
    <row r="144" spans="1:5">
      <c r="A144" s="25" t="s">
        <v>2563</v>
      </c>
      <c r="B144" s="91">
        <v>10.8</v>
      </c>
      <c r="C144" s="86"/>
      <c r="D144" s="92">
        <v>21.6</v>
      </c>
      <c r="E144" s="89" t="s">
        <v>2534</v>
      </c>
    </row>
    <row r="145" spans="1:5">
      <c r="B145" s="86"/>
      <c r="C145" s="90">
        <v>4202229090</v>
      </c>
      <c r="D145" s="86"/>
      <c r="E145" s="86"/>
    </row>
    <row r="146" spans="1:5">
      <c r="A146" s="25" t="s">
        <v>2564</v>
      </c>
    </row>
    <row r="147" spans="1:5">
      <c r="A147" s="24" t="s">
        <v>2560</v>
      </c>
    </row>
    <row r="148" spans="1:5">
      <c r="A148" s="25" t="s">
        <v>2565</v>
      </c>
      <c r="B148" s="91">
        <v>21.96</v>
      </c>
      <c r="C148" s="86"/>
      <c r="D148" s="88">
        <v>65.88</v>
      </c>
      <c r="E148" s="89" t="s">
        <v>2534</v>
      </c>
    </row>
    <row r="149" spans="1:5">
      <c r="B149" s="86"/>
      <c r="C149" s="90">
        <v>3926909790</v>
      </c>
      <c r="D149" s="86"/>
      <c r="E149" s="86"/>
    </row>
    <row r="150" spans="1:5">
      <c r="A150" s="25" t="s">
        <v>2566</v>
      </c>
    </row>
    <row r="151" spans="1:5">
      <c r="A151" s="24" t="s">
        <v>2560</v>
      </c>
    </row>
    <row r="152" spans="1:5">
      <c r="A152" s="25" t="s">
        <v>2567</v>
      </c>
      <c r="B152" s="87">
        <v>4.5599999999999996</v>
      </c>
      <c r="C152" s="86"/>
      <c r="D152" s="88">
        <v>36.479999999999997</v>
      </c>
      <c r="E152" s="89" t="s">
        <v>2534</v>
      </c>
    </row>
    <row r="153" spans="1:5">
      <c r="B153" s="86"/>
      <c r="C153" s="90">
        <v>3926909790</v>
      </c>
      <c r="D153" s="86"/>
      <c r="E153" s="86"/>
    </row>
    <row r="154" spans="1:5">
      <c r="A154" s="25" t="s">
        <v>2568</v>
      </c>
    </row>
    <row r="155" spans="1:5">
      <c r="A155" s="24" t="s">
        <v>2560</v>
      </c>
    </row>
    <row r="156" spans="1:5">
      <c r="A156" s="25" t="s">
        <v>2569</v>
      </c>
      <c r="B156" s="87">
        <v>7.08</v>
      </c>
      <c r="C156" s="86"/>
      <c r="D156" s="88">
        <v>21.24</v>
      </c>
      <c r="E156" s="89" t="s">
        <v>2534</v>
      </c>
    </row>
    <row r="157" spans="1:5">
      <c r="B157" s="86"/>
      <c r="C157" s="90">
        <v>4202229090</v>
      </c>
      <c r="D157" s="86"/>
      <c r="E157" s="86"/>
    </row>
    <row r="158" spans="1:5">
      <c r="A158" s="25" t="s">
        <v>2570</v>
      </c>
    </row>
    <row r="159" spans="1:5">
      <c r="A159" s="24" t="s">
        <v>2560</v>
      </c>
    </row>
    <row r="160" spans="1:5">
      <c r="A160" s="25" t="s">
        <v>2571</v>
      </c>
      <c r="B160" s="91">
        <v>14.4</v>
      </c>
      <c r="C160" s="86"/>
      <c r="D160" s="92">
        <v>28.8</v>
      </c>
      <c r="E160" s="89" t="s">
        <v>2534</v>
      </c>
    </row>
    <row r="162" spans="1:5">
      <c r="A162" s="25" t="s">
        <v>2572</v>
      </c>
    </row>
    <row r="163" spans="1:5">
      <c r="A163" s="24" t="s">
        <v>2560</v>
      </c>
    </row>
    <row r="164" spans="1:5">
      <c r="A164" s="25" t="s">
        <v>2573</v>
      </c>
      <c r="B164" s="93">
        <v>11.88</v>
      </c>
      <c r="C164" s="94" t="s">
        <v>2554</v>
      </c>
      <c r="D164" s="95">
        <v>23.76</v>
      </c>
      <c r="E164" s="96" t="s">
        <v>2534</v>
      </c>
    </row>
    <row r="166" spans="1:5">
      <c r="A166" s="98" t="s">
        <v>2575</v>
      </c>
    </row>
  </sheetData>
  <pageMargins left="1.25" right="1.25" top="1" bottom="0.74583333333333302" header="0.25" footer="0.25"/>
  <pageSetup paperSize="9"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 enableFormatConditionsCalculation="0"/>
  <dimension ref="A7:F60"/>
  <sheetViews>
    <sheetView topLeftCell="A15" workbookViewId="0">
      <selection activeCell="C22" sqref="C22"/>
    </sheetView>
  </sheetViews>
  <sheetFormatPr baseColWidth="10" defaultRowHeight="14" x14ac:dyDescent="0"/>
  <cols>
    <col min="1" max="1" width="62.83203125" customWidth="1"/>
    <col min="2" max="2" width="9" customWidth="1"/>
    <col min="3" max="3" width="8" customWidth="1"/>
    <col min="4" max="4" width="11.1640625" customWidth="1"/>
    <col min="5" max="5" width="11.83203125" customWidth="1"/>
    <col min="6" max="6" width="9.33203125" customWidth="1"/>
  </cols>
  <sheetData>
    <row r="7" spans="1:1">
      <c r="A7" s="25" t="s">
        <v>2574</v>
      </c>
    </row>
    <row r="8" spans="1:1">
      <c r="A8" s="24" t="s">
        <v>2495</v>
      </c>
    </row>
    <row r="9" spans="1:1">
      <c r="A9" s="25" t="s">
        <v>2496</v>
      </c>
    </row>
    <row r="10" spans="1:1">
      <c r="A10" s="25" t="s">
        <v>2497</v>
      </c>
    </row>
    <row r="11" spans="1:1">
      <c r="A11" s="25" t="s">
        <v>2498</v>
      </c>
    </row>
    <row r="12" spans="1:1">
      <c r="A12" s="25" t="s">
        <v>2499</v>
      </c>
    </row>
    <row r="15" spans="1:1">
      <c r="A15" s="24" t="s">
        <v>2521</v>
      </c>
    </row>
    <row r="16" spans="1:1">
      <c r="A16" s="24" t="s">
        <v>2549</v>
      </c>
    </row>
    <row r="17" spans="1:6">
      <c r="A17" s="25" t="s">
        <v>2528</v>
      </c>
    </row>
    <row r="18" spans="1:6">
      <c r="A18" s="24" t="s">
        <v>2553</v>
      </c>
    </row>
    <row r="20" spans="1:6">
      <c r="A20" s="25" t="s">
        <v>2575</v>
      </c>
    </row>
    <row r="21" spans="1:6" ht="12.75" customHeight="1">
      <c r="A21" s="60" t="s">
        <v>2576</v>
      </c>
      <c r="B21" s="61" t="s">
        <v>2514</v>
      </c>
      <c r="C21" s="53"/>
      <c r="D21" s="62">
        <v>4202221000</v>
      </c>
      <c r="E21" s="53"/>
      <c r="F21" s="53"/>
    </row>
    <row r="22" spans="1:6" ht="10.25" customHeight="1">
      <c r="A22" s="63" t="s">
        <v>2577</v>
      </c>
      <c r="B22" s="59" t="s">
        <v>2578</v>
      </c>
      <c r="C22" s="52">
        <v>3.6</v>
      </c>
      <c r="D22" s="53"/>
      <c r="E22" s="58">
        <v>21.6</v>
      </c>
      <c r="F22" s="55" t="s">
        <v>2534</v>
      </c>
    </row>
    <row r="23" spans="1:6" ht="22.25" customHeight="1">
      <c r="A23" s="63" t="s">
        <v>2579</v>
      </c>
      <c r="B23" s="64" t="s">
        <v>2514</v>
      </c>
      <c r="C23" s="53"/>
      <c r="D23" s="56">
        <v>3926909790</v>
      </c>
      <c r="E23" s="53"/>
      <c r="F23" s="53"/>
    </row>
    <row r="24" spans="1:6" ht="10.25" customHeight="1">
      <c r="A24" s="63" t="s">
        <v>2580</v>
      </c>
      <c r="B24" s="59" t="s">
        <v>2581</v>
      </c>
      <c r="C24" s="57">
        <v>13.08</v>
      </c>
      <c r="D24" s="53"/>
      <c r="E24" s="54">
        <v>13.08</v>
      </c>
      <c r="F24" s="55" t="s">
        <v>2534</v>
      </c>
    </row>
    <row r="25" spans="1:6" ht="21.5" customHeight="1">
      <c r="A25" s="63" t="s">
        <v>2582</v>
      </c>
      <c r="B25" s="64" t="s">
        <v>2514</v>
      </c>
      <c r="C25" s="53"/>
      <c r="D25" s="56">
        <v>4202221000</v>
      </c>
      <c r="E25" s="53"/>
      <c r="F25" s="53"/>
    </row>
    <row r="26" spans="1:6" ht="10.25" customHeight="1">
      <c r="A26" s="63" t="s">
        <v>2583</v>
      </c>
      <c r="B26" s="59" t="s">
        <v>2584</v>
      </c>
      <c r="C26" s="57">
        <v>11.88</v>
      </c>
      <c r="D26" s="53"/>
      <c r="E26" s="54">
        <v>23.76</v>
      </c>
      <c r="F26" s="55" t="s">
        <v>2534</v>
      </c>
    </row>
    <row r="27" spans="1:6" ht="22.25" customHeight="1">
      <c r="A27" s="65" t="s">
        <v>2585</v>
      </c>
      <c r="B27" s="64" t="s">
        <v>2514</v>
      </c>
      <c r="C27" s="53"/>
      <c r="D27" s="56">
        <v>4202229090</v>
      </c>
      <c r="E27" s="53"/>
      <c r="F27" s="53"/>
    </row>
    <row r="28" spans="1:6" ht="10.25" customHeight="1">
      <c r="A28" s="63" t="s">
        <v>2586</v>
      </c>
      <c r="B28" s="59" t="s">
        <v>2584</v>
      </c>
      <c r="C28" s="52">
        <v>9.6</v>
      </c>
      <c r="D28" s="53"/>
      <c r="E28" s="58">
        <v>19.2</v>
      </c>
      <c r="F28" s="55" t="s">
        <v>2534</v>
      </c>
    </row>
    <row r="29" spans="1:6" ht="21.5" customHeight="1">
      <c r="A29" s="150" t="s">
        <v>2587</v>
      </c>
      <c r="B29" s="150"/>
      <c r="C29" s="53"/>
      <c r="D29" s="56">
        <v>4202229090</v>
      </c>
      <c r="E29" s="53"/>
      <c r="F29" s="53"/>
    </row>
    <row r="30" spans="1:6" ht="10.25" customHeight="1">
      <c r="A30" s="63" t="s">
        <v>2588</v>
      </c>
      <c r="B30" s="59" t="s">
        <v>2584</v>
      </c>
      <c r="C30" s="57">
        <v>15.6</v>
      </c>
      <c r="D30" s="53"/>
      <c r="E30" s="58">
        <v>31.2</v>
      </c>
      <c r="F30" s="55" t="s">
        <v>2534</v>
      </c>
    </row>
    <row r="31" spans="1:6" ht="21.5" customHeight="1">
      <c r="A31" s="150" t="s">
        <v>2589</v>
      </c>
      <c r="B31" s="150"/>
      <c r="C31" s="53"/>
      <c r="D31" s="56">
        <v>4202229090</v>
      </c>
      <c r="E31" s="53"/>
      <c r="F31" s="53"/>
    </row>
    <row r="32" spans="1:6" ht="10.25" customHeight="1">
      <c r="A32" s="63" t="s">
        <v>2590</v>
      </c>
      <c r="B32" s="59" t="s">
        <v>2584</v>
      </c>
      <c r="C32" s="57">
        <v>13.44</v>
      </c>
      <c r="D32" s="53"/>
      <c r="E32" s="54">
        <v>26.88</v>
      </c>
      <c r="F32" s="55" t="s">
        <v>2534</v>
      </c>
    </row>
    <row r="33" spans="1:6" ht="21.5" customHeight="1">
      <c r="A33" s="150" t="s">
        <v>2591</v>
      </c>
      <c r="B33" s="150"/>
      <c r="C33" s="53"/>
      <c r="D33" s="56">
        <v>4202229090</v>
      </c>
      <c r="E33" s="53"/>
      <c r="F33" s="53"/>
    </row>
    <row r="34" spans="1:6" ht="11.25" customHeight="1">
      <c r="A34" s="63" t="s">
        <v>2592</v>
      </c>
      <c r="B34" s="59" t="s">
        <v>2593</v>
      </c>
      <c r="C34" s="52">
        <v>7.8</v>
      </c>
      <c r="D34" s="53"/>
      <c r="E34" s="58">
        <v>23.4</v>
      </c>
      <c r="F34" s="55" t="s">
        <v>2534</v>
      </c>
    </row>
    <row r="35" spans="1:6" ht="21.5" customHeight="1">
      <c r="A35" s="63" t="s">
        <v>2594</v>
      </c>
      <c r="B35" s="64" t="s">
        <v>2514</v>
      </c>
      <c r="C35" s="53"/>
      <c r="D35" s="56">
        <v>7907000000</v>
      </c>
      <c r="E35" s="53"/>
      <c r="F35" s="53"/>
    </row>
    <row r="36" spans="1:6" ht="10.25" customHeight="1">
      <c r="A36" s="63" t="s">
        <v>2595</v>
      </c>
      <c r="B36" s="59" t="s">
        <v>2584</v>
      </c>
      <c r="C36" s="52">
        <v>9.7200000000000006</v>
      </c>
      <c r="D36" s="53"/>
      <c r="E36" s="54">
        <v>19.440000000000001</v>
      </c>
      <c r="F36" s="55" t="s">
        <v>2534</v>
      </c>
    </row>
    <row r="37" spans="1:6" ht="21.5" customHeight="1">
      <c r="A37" s="65" t="s">
        <v>2596</v>
      </c>
      <c r="B37" s="64" t="s">
        <v>2514</v>
      </c>
      <c r="C37" s="53"/>
      <c r="D37" s="56">
        <v>4202229090</v>
      </c>
      <c r="E37" s="53"/>
      <c r="F37" s="53"/>
    </row>
    <row r="38" spans="1:6" ht="10.25" customHeight="1">
      <c r="A38" s="63" t="s">
        <v>2597</v>
      </c>
      <c r="B38" s="59" t="s">
        <v>2584</v>
      </c>
      <c r="C38" s="57">
        <v>11.4</v>
      </c>
      <c r="D38" s="53"/>
      <c r="E38" s="58">
        <v>22.8</v>
      </c>
      <c r="F38" s="55" t="s">
        <v>2534</v>
      </c>
    </row>
    <row r="39" spans="1:6" ht="21.5" customHeight="1">
      <c r="A39" s="65" t="s">
        <v>2598</v>
      </c>
      <c r="B39" s="64" t="s">
        <v>2514</v>
      </c>
      <c r="C39" s="53"/>
      <c r="D39" s="56">
        <v>4202229090</v>
      </c>
      <c r="E39" s="53"/>
      <c r="F39" s="53"/>
    </row>
    <row r="40" spans="1:6" ht="10.25" customHeight="1">
      <c r="A40" s="63" t="s">
        <v>2599</v>
      </c>
      <c r="B40" s="59" t="s">
        <v>2600</v>
      </c>
      <c r="C40" s="52">
        <v>7.08</v>
      </c>
      <c r="D40" s="53"/>
      <c r="E40" s="54">
        <v>28.32</v>
      </c>
      <c r="F40" s="55" t="s">
        <v>2534</v>
      </c>
    </row>
    <row r="41" spans="1:6" ht="22.25" customHeight="1">
      <c r="A41" s="63" t="s">
        <v>2601</v>
      </c>
      <c r="B41" s="64" t="s">
        <v>2514</v>
      </c>
      <c r="C41" s="53"/>
      <c r="D41" s="56">
        <v>7907000000</v>
      </c>
      <c r="E41" s="53"/>
      <c r="F41" s="53"/>
    </row>
    <row r="42" spans="1:6" ht="10.25" customHeight="1">
      <c r="A42" s="63" t="s">
        <v>2602</v>
      </c>
      <c r="B42" s="59" t="s">
        <v>2593</v>
      </c>
      <c r="C42" s="52">
        <v>4.8</v>
      </c>
      <c r="D42" s="53"/>
      <c r="E42" s="58">
        <v>14.4</v>
      </c>
      <c r="F42" s="55" t="s">
        <v>2534</v>
      </c>
    </row>
    <row r="43" spans="1:6" ht="21.5" customHeight="1">
      <c r="A43" s="63" t="s">
        <v>2603</v>
      </c>
      <c r="B43" s="64" t="s">
        <v>2514</v>
      </c>
      <c r="C43" s="53"/>
      <c r="D43" s="56">
        <v>4202221000</v>
      </c>
      <c r="E43" s="53"/>
      <c r="F43" s="53"/>
    </row>
    <row r="44" spans="1:6" ht="10.25" customHeight="1">
      <c r="A44" s="63" t="s">
        <v>2604</v>
      </c>
      <c r="B44" s="59" t="s">
        <v>2593</v>
      </c>
      <c r="C44" s="52">
        <v>6.6</v>
      </c>
      <c r="D44" s="53"/>
      <c r="E44" s="58">
        <v>19.8</v>
      </c>
      <c r="F44" s="55" t="s">
        <v>2534</v>
      </c>
    </row>
    <row r="45" spans="1:6" ht="20" customHeight="1">
      <c r="A45" s="66" t="s">
        <v>2605</v>
      </c>
      <c r="B45" s="67" t="s">
        <v>2514</v>
      </c>
      <c r="C45" s="28"/>
      <c r="D45" s="68">
        <v>4202321000</v>
      </c>
      <c r="E45" s="28"/>
      <c r="F45" s="28"/>
    </row>
    <row r="47" spans="1:6">
      <c r="A47" s="24" t="s">
        <v>2509</v>
      </c>
    </row>
    <row r="48" spans="1:6">
      <c r="A48" s="25" t="s">
        <v>2510</v>
      </c>
    </row>
    <row r="49" spans="1:1">
      <c r="A49" s="24" t="s">
        <v>2511</v>
      </c>
    </row>
    <row r="50" spans="1:1">
      <c r="A50" s="25" t="s">
        <v>2606</v>
      </c>
    </row>
    <row r="51" spans="1:1">
      <c r="A51" s="24" t="s">
        <v>2490</v>
      </c>
    </row>
    <row r="52" spans="1:1">
      <c r="A52" s="24" t="s">
        <v>2491</v>
      </c>
    </row>
    <row r="53" spans="1:1">
      <c r="A53" s="24" t="s">
        <v>2492</v>
      </c>
    </row>
    <row r="54" spans="1:1">
      <c r="A54" s="24" t="s">
        <v>2493</v>
      </c>
    </row>
    <row r="56" spans="1:1">
      <c r="A56" s="26" t="s">
        <v>2500</v>
      </c>
    </row>
    <row r="58" spans="1:1">
      <c r="A58" s="24" t="s">
        <v>2607</v>
      </c>
    </row>
    <row r="59" spans="1:1">
      <c r="A59" s="24" t="s">
        <v>2608</v>
      </c>
    </row>
    <row r="60" spans="1:1">
      <c r="A60" s="24" t="s">
        <v>2609</v>
      </c>
    </row>
  </sheetData>
  <mergeCells count="3">
    <mergeCell ref="A29:B29"/>
    <mergeCell ref="A31:B31"/>
    <mergeCell ref="A33:B33"/>
  </mergeCells>
  <pageMargins left="1.25" right="1.25" top="1" bottom="1" header="0.25" footer="0.25"/>
  <pageSetup paperSize="9"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 enableFormatConditionsCalculation="0"/>
  <dimension ref="A7:E57"/>
  <sheetViews>
    <sheetView topLeftCell="A23" workbookViewId="0">
      <selection activeCell="B32" sqref="B32"/>
    </sheetView>
  </sheetViews>
  <sheetFormatPr baseColWidth="10" defaultRowHeight="14" x14ac:dyDescent="0"/>
  <cols>
    <col min="1" max="1" width="71.1640625" customWidth="1"/>
    <col min="2" max="2" width="8.1640625" customWidth="1"/>
    <col min="3" max="3" width="9.83203125" customWidth="1"/>
    <col min="4" max="4" width="16.1640625" customWidth="1"/>
    <col min="5" max="5" width="5.5" customWidth="1"/>
  </cols>
  <sheetData>
    <row r="7" spans="1:1">
      <c r="A7" s="69" t="s">
        <v>2610</v>
      </c>
    </row>
    <row r="8" spans="1:1">
      <c r="A8" s="24" t="s">
        <v>2611</v>
      </c>
    </row>
    <row r="9" spans="1:1">
      <c r="A9" s="69" t="s">
        <v>2612</v>
      </c>
    </row>
    <row r="10" spans="1:1">
      <c r="A10" s="69" t="s">
        <v>2613</v>
      </c>
    </row>
    <row r="11" spans="1:1">
      <c r="A11" s="69" t="s">
        <v>2614</v>
      </c>
    </row>
    <row r="12" spans="1:1">
      <c r="A12" s="69" t="s">
        <v>2615</v>
      </c>
    </row>
    <row r="15" spans="1:1">
      <c r="A15" s="24" t="s">
        <v>2616</v>
      </c>
    </row>
    <row r="16" spans="1:1">
      <c r="A16" s="24" t="s">
        <v>2491</v>
      </c>
    </row>
    <row r="17" spans="1:5">
      <c r="A17" s="24" t="s">
        <v>2617</v>
      </c>
    </row>
    <row r="18" spans="1:5">
      <c r="A18" s="24" t="s">
        <v>2493</v>
      </c>
    </row>
    <row r="20" spans="1:5">
      <c r="A20" s="26" t="s">
        <v>2500</v>
      </c>
    </row>
    <row r="22" spans="1:5">
      <c r="A22" s="24" t="s">
        <v>2618</v>
      </c>
    </row>
    <row r="23" spans="1:5">
      <c r="A23" s="24" t="s">
        <v>2619</v>
      </c>
    </row>
    <row r="24" spans="1:5">
      <c r="A24" s="24" t="s">
        <v>2609</v>
      </c>
    </row>
    <row r="25" spans="1:5">
      <c r="A25" s="24" t="s">
        <v>2509</v>
      </c>
    </row>
    <row r="26" spans="1:5">
      <c r="A26" s="69" t="s">
        <v>2620</v>
      </c>
    </row>
    <row r="27" spans="1:5">
      <c r="A27" s="24" t="s">
        <v>2511</v>
      </c>
    </row>
    <row r="28" spans="1:5" ht="13.75" customHeight="1">
      <c r="A28" s="70" t="s">
        <v>2621</v>
      </c>
      <c r="B28" s="28"/>
      <c r="C28" s="28"/>
      <c r="D28" s="28"/>
      <c r="E28" s="28"/>
    </row>
    <row r="29" spans="1:5" ht="12" customHeight="1">
      <c r="A29" s="71" t="s">
        <v>2622</v>
      </c>
      <c r="B29" s="72" t="s">
        <v>2623</v>
      </c>
      <c r="C29" s="71" t="s">
        <v>2624</v>
      </c>
      <c r="D29" s="73" t="s">
        <v>2625</v>
      </c>
      <c r="E29" s="72" t="s">
        <v>2626</v>
      </c>
    </row>
    <row r="30" spans="1:5" ht="13.75" customHeight="1">
      <c r="A30" s="74" t="s">
        <v>2627</v>
      </c>
      <c r="B30" s="151" t="s">
        <v>2628</v>
      </c>
      <c r="C30" s="151"/>
      <c r="D30" s="151"/>
      <c r="E30" s="53"/>
    </row>
    <row r="31" spans="1:5" ht="14.5" customHeight="1">
      <c r="A31" s="36" t="s">
        <v>2629</v>
      </c>
      <c r="B31" s="53"/>
      <c r="C31" s="53"/>
      <c r="D31" s="53"/>
      <c r="E31" s="53"/>
    </row>
    <row r="32" spans="1:5" ht="10.25" customHeight="1">
      <c r="A32" s="75" t="s">
        <v>2630</v>
      </c>
      <c r="B32" s="76">
        <v>4.8</v>
      </c>
      <c r="C32" s="53"/>
      <c r="D32" s="77">
        <v>14.4</v>
      </c>
      <c r="E32" s="78" t="s">
        <v>2631</v>
      </c>
    </row>
    <row r="33" spans="1:5" ht="21.5" customHeight="1">
      <c r="A33" s="79" t="s">
        <v>2632</v>
      </c>
      <c r="B33" s="53"/>
      <c r="C33" s="80">
        <v>4202221000</v>
      </c>
      <c r="D33" s="53"/>
      <c r="E33" s="53"/>
    </row>
    <row r="34" spans="1:5" ht="10.25" customHeight="1">
      <c r="A34" s="75" t="s">
        <v>2633</v>
      </c>
      <c r="B34" s="81">
        <v>15.6</v>
      </c>
      <c r="C34" s="53"/>
      <c r="D34" s="77">
        <v>31.2</v>
      </c>
      <c r="E34" s="78" t="s">
        <v>2631</v>
      </c>
    </row>
    <row r="35" spans="1:5" ht="22.25" customHeight="1">
      <c r="A35" s="79" t="s">
        <v>2634</v>
      </c>
      <c r="B35" s="53"/>
      <c r="C35" s="80">
        <v>6307909899</v>
      </c>
      <c r="D35" s="53"/>
      <c r="E35" s="53"/>
    </row>
    <row r="36" spans="1:5" ht="10.25" customHeight="1">
      <c r="A36" s="75" t="s">
        <v>2635</v>
      </c>
      <c r="B36" s="81">
        <v>10.8</v>
      </c>
      <c r="C36" s="53"/>
      <c r="D36" s="77">
        <v>43.2</v>
      </c>
      <c r="E36" s="78" t="s">
        <v>2631</v>
      </c>
    </row>
    <row r="37" spans="1:5" ht="21.5" customHeight="1">
      <c r="A37" s="79" t="s">
        <v>2636</v>
      </c>
      <c r="B37" s="53"/>
      <c r="C37" s="80">
        <v>4202229090</v>
      </c>
      <c r="D37" s="53"/>
      <c r="E37" s="53"/>
    </row>
    <row r="38" spans="1:5" ht="10.25" customHeight="1">
      <c r="A38" s="75" t="s">
        <v>2637</v>
      </c>
      <c r="B38" s="76">
        <v>4.8</v>
      </c>
      <c r="C38" s="53"/>
      <c r="D38" s="77">
        <v>14.4</v>
      </c>
      <c r="E38" s="78" t="s">
        <v>2631</v>
      </c>
    </row>
    <row r="39" spans="1:5" ht="22.25" customHeight="1">
      <c r="A39" s="79" t="s">
        <v>2638</v>
      </c>
      <c r="B39" s="53"/>
      <c r="C39" s="80">
        <v>4202221000</v>
      </c>
      <c r="D39" s="53"/>
      <c r="E39" s="53"/>
    </row>
    <row r="40" spans="1:5" ht="10.25" customHeight="1">
      <c r="A40" s="75" t="s">
        <v>2639</v>
      </c>
      <c r="B40" s="81">
        <v>12.6</v>
      </c>
      <c r="C40" s="53"/>
      <c r="D40" s="77">
        <v>25.2</v>
      </c>
      <c r="E40" s="78" t="s">
        <v>2631</v>
      </c>
    </row>
    <row r="41" spans="1:5" ht="21.5" customHeight="1">
      <c r="A41" s="79" t="s">
        <v>2640</v>
      </c>
      <c r="B41" s="53"/>
      <c r="C41" s="80">
        <v>6307909899</v>
      </c>
      <c r="D41" s="53"/>
      <c r="E41" s="53"/>
    </row>
    <row r="42" spans="1:5" ht="11.25" customHeight="1">
      <c r="A42" s="75" t="s">
        <v>2641</v>
      </c>
      <c r="B42" s="76">
        <v>4.5599999999999996</v>
      </c>
      <c r="C42" s="53"/>
      <c r="D42" s="82">
        <v>36.479999999999997</v>
      </c>
      <c r="E42" s="78" t="s">
        <v>2631</v>
      </c>
    </row>
    <row r="43" spans="1:5" ht="21.5" customHeight="1">
      <c r="A43" s="79" t="s">
        <v>2642</v>
      </c>
      <c r="B43" s="53"/>
      <c r="C43" s="80">
        <v>3926909790</v>
      </c>
      <c r="D43" s="53"/>
      <c r="E43" s="53"/>
    </row>
    <row r="44" spans="1:5" ht="10.25" customHeight="1">
      <c r="A44" s="75" t="s">
        <v>2643</v>
      </c>
      <c r="B44" s="76">
        <v>4.8</v>
      </c>
      <c r="C44" s="53"/>
      <c r="D44" s="77">
        <v>14.4</v>
      </c>
      <c r="E44" s="78" t="s">
        <v>2631</v>
      </c>
    </row>
    <row r="45" spans="1:5" ht="21.5" customHeight="1">
      <c r="A45" s="79" t="s">
        <v>2644</v>
      </c>
      <c r="B45" s="53"/>
      <c r="C45" s="80">
        <v>4202221000</v>
      </c>
      <c r="D45" s="53"/>
      <c r="E45" s="53"/>
    </row>
    <row r="46" spans="1:5" ht="10.25" customHeight="1">
      <c r="A46" s="75" t="s">
        <v>2645</v>
      </c>
      <c r="B46" s="76">
        <v>7.08</v>
      </c>
      <c r="C46" s="53"/>
      <c r="D46" s="82">
        <v>21.24</v>
      </c>
      <c r="E46" s="78" t="s">
        <v>2631</v>
      </c>
    </row>
    <row r="47" spans="1:5" ht="21.5" customHeight="1">
      <c r="A47" s="79" t="s">
        <v>2646</v>
      </c>
      <c r="B47" s="53"/>
      <c r="C47" s="80">
        <v>4202229090</v>
      </c>
      <c r="D47" s="53"/>
      <c r="E47" s="53"/>
    </row>
    <row r="48" spans="1:5" ht="10.25" customHeight="1">
      <c r="A48" s="75" t="s">
        <v>2647</v>
      </c>
      <c r="B48" s="81">
        <v>10.68</v>
      </c>
      <c r="C48" s="53"/>
      <c r="D48" s="82">
        <v>21.36</v>
      </c>
      <c r="E48" s="78" t="s">
        <v>2631</v>
      </c>
    </row>
    <row r="49" spans="1:5" ht="21.5" customHeight="1">
      <c r="A49" s="79" t="s">
        <v>2648</v>
      </c>
      <c r="B49" s="53"/>
      <c r="C49" s="80">
        <v>6307909810</v>
      </c>
      <c r="D49" s="53"/>
      <c r="E49" s="53"/>
    </row>
    <row r="50" spans="1:5" ht="11.25" customHeight="1">
      <c r="A50" s="75" t="s">
        <v>2649</v>
      </c>
      <c r="B50" s="81">
        <v>13.44</v>
      </c>
      <c r="C50" s="53"/>
      <c r="D50" s="82">
        <v>26.88</v>
      </c>
      <c r="E50" s="78" t="s">
        <v>2631</v>
      </c>
    </row>
    <row r="51" spans="1:5" ht="21.5" customHeight="1">
      <c r="A51" s="79" t="s">
        <v>2650</v>
      </c>
      <c r="B51" s="53"/>
      <c r="C51" s="80">
        <v>4202229090</v>
      </c>
      <c r="D51" s="53"/>
      <c r="E51" s="53"/>
    </row>
    <row r="52" spans="1:5" ht="10.25" customHeight="1">
      <c r="A52" s="75" t="s">
        <v>2651</v>
      </c>
      <c r="B52" s="81">
        <v>10.8</v>
      </c>
      <c r="C52" s="53"/>
      <c r="D52" s="77">
        <v>21.6</v>
      </c>
      <c r="E52" s="78" t="s">
        <v>2631</v>
      </c>
    </row>
    <row r="53" spans="1:5" ht="22.25" customHeight="1">
      <c r="A53" s="79" t="s">
        <v>2652</v>
      </c>
      <c r="B53" s="53"/>
      <c r="C53" s="80">
        <v>4202229090</v>
      </c>
      <c r="D53" s="53"/>
      <c r="E53" s="53"/>
    </row>
    <row r="54" spans="1:5" ht="10.25" customHeight="1">
      <c r="A54" s="75" t="s">
        <v>2653</v>
      </c>
      <c r="B54" s="81">
        <v>15.6</v>
      </c>
      <c r="C54" s="53"/>
      <c r="D54" s="77">
        <v>31.2</v>
      </c>
      <c r="E54" s="78" t="s">
        <v>2631</v>
      </c>
    </row>
    <row r="55" spans="1:5" ht="21.5" customHeight="1">
      <c r="A55" s="79" t="s">
        <v>2654</v>
      </c>
      <c r="B55" s="53"/>
      <c r="C55" s="80">
        <v>6307909810</v>
      </c>
      <c r="D55" s="53"/>
      <c r="E55" s="53"/>
    </row>
    <row r="56" spans="1:5" ht="11.25" customHeight="1">
      <c r="A56" s="75" t="s">
        <v>2655</v>
      </c>
      <c r="B56" s="81">
        <v>20.04</v>
      </c>
      <c r="C56" s="53"/>
      <c r="D56" s="82">
        <v>60.12</v>
      </c>
      <c r="E56" s="78" t="s">
        <v>2631</v>
      </c>
    </row>
    <row r="57" spans="1:5" ht="20" customHeight="1">
      <c r="A57" s="83" t="s">
        <v>2656</v>
      </c>
      <c r="B57" s="28"/>
      <c r="C57" s="84">
        <v>3926909790</v>
      </c>
      <c r="D57" s="28"/>
      <c r="E57" s="28"/>
    </row>
  </sheetData>
  <mergeCells count="1">
    <mergeCell ref="B30:D30"/>
  </mergeCells>
  <pageMargins left="1.25" right="1.25" top="1" bottom="1" header="0.25" footer="0.2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8" enableFormatConditionsCalculation="0"/>
  <dimension ref="A7:F57"/>
  <sheetViews>
    <sheetView workbookViewId="0"/>
  </sheetViews>
  <sheetFormatPr baseColWidth="10" defaultRowHeight="14" x14ac:dyDescent="0"/>
  <cols>
    <col min="1" max="1" width="62.33203125" customWidth="1"/>
    <col min="2" max="2" width="9.5" customWidth="1"/>
    <col min="3" max="3" width="8.1640625" customWidth="1"/>
    <col min="4" max="4" width="9.83203125" customWidth="1"/>
    <col min="5" max="5" width="16.1640625" customWidth="1"/>
    <col min="6" max="6" width="5.5" customWidth="1"/>
  </cols>
  <sheetData>
    <row r="7" spans="1:1">
      <c r="A7" s="25" t="s">
        <v>2681</v>
      </c>
    </row>
    <row r="8" spans="1:1">
      <c r="A8" s="24" t="s">
        <v>2495</v>
      </c>
    </row>
    <row r="9" spans="1:1">
      <c r="A9" s="25" t="s">
        <v>2496</v>
      </c>
    </row>
    <row r="10" spans="1:1">
      <c r="A10" s="25" t="s">
        <v>2497</v>
      </c>
    </row>
    <row r="11" spans="1:1">
      <c r="A11" s="25" t="s">
        <v>2498</v>
      </c>
    </row>
    <row r="12" spans="1:1">
      <c r="A12" s="25" t="s">
        <v>2499</v>
      </c>
    </row>
    <row r="15" spans="1:1">
      <c r="A15" s="24" t="s">
        <v>2490</v>
      </c>
    </row>
    <row r="16" spans="1:1">
      <c r="A16" s="24" t="s">
        <v>2491</v>
      </c>
    </row>
    <row r="17" spans="1:6">
      <c r="A17" s="24" t="s">
        <v>2492</v>
      </c>
    </row>
    <row r="18" spans="1:6">
      <c r="A18" s="24" t="s">
        <v>2493</v>
      </c>
    </row>
    <row r="20" spans="1:6">
      <c r="A20" s="26" t="s">
        <v>2500</v>
      </c>
    </row>
    <row r="22" spans="1:6">
      <c r="A22" s="24" t="s">
        <v>2607</v>
      </c>
    </row>
    <row r="23" spans="1:6">
      <c r="A23" s="24" t="s">
        <v>2608</v>
      </c>
    </row>
    <row r="24" spans="1:6">
      <c r="A24" s="24" t="s">
        <v>2609</v>
      </c>
    </row>
    <row r="25" spans="1:6">
      <c r="A25" s="24" t="s">
        <v>2509</v>
      </c>
    </row>
    <row r="26" spans="1:6">
      <c r="A26" s="25" t="s">
        <v>2510</v>
      </c>
    </row>
    <row r="27" spans="1:6">
      <c r="A27" s="24" t="s">
        <v>2511</v>
      </c>
    </row>
    <row r="28" spans="1:6" ht="13.75" customHeight="1">
      <c r="A28" s="99" t="s">
        <v>2512</v>
      </c>
      <c r="B28" s="28"/>
      <c r="C28" s="28"/>
      <c r="D28" s="28"/>
      <c r="E28" s="28"/>
      <c r="F28" s="28"/>
    </row>
    <row r="29" spans="1:6" ht="12" customHeight="1">
      <c r="A29" s="105" t="s">
        <v>2682</v>
      </c>
      <c r="B29" s="100" t="s">
        <v>2683</v>
      </c>
      <c r="C29" s="72" t="s">
        <v>2623</v>
      </c>
      <c r="D29" s="105" t="s">
        <v>2624</v>
      </c>
      <c r="E29" s="73" t="s">
        <v>2625</v>
      </c>
      <c r="F29" s="72" t="s">
        <v>2626</v>
      </c>
    </row>
    <row r="30" spans="1:6" ht="13.75" customHeight="1">
      <c r="A30" s="152" t="s">
        <v>2684</v>
      </c>
      <c r="B30" s="152"/>
      <c r="C30" s="153" t="s">
        <v>2685</v>
      </c>
      <c r="D30" s="153"/>
      <c r="E30" s="153"/>
      <c r="F30" s="53"/>
    </row>
    <row r="31" spans="1:6" ht="14.5" customHeight="1">
      <c r="A31" s="122" t="s">
        <v>2553</v>
      </c>
      <c r="B31" s="53"/>
      <c r="C31" s="53"/>
      <c r="D31" s="53"/>
      <c r="E31" s="53"/>
      <c r="F31" s="53"/>
    </row>
    <row r="32" spans="1:6" ht="10.25" customHeight="1">
      <c r="A32" s="118" t="s">
        <v>2686</v>
      </c>
      <c r="B32" s="59" t="s">
        <v>2584</v>
      </c>
      <c r="C32" s="57">
        <v>10.8</v>
      </c>
      <c r="D32" s="53"/>
      <c r="E32" s="58">
        <v>21.6</v>
      </c>
      <c r="F32" s="55" t="s">
        <v>2534</v>
      </c>
    </row>
    <row r="33" spans="1:6" ht="21.5" customHeight="1">
      <c r="A33" s="150" t="s">
        <v>2687</v>
      </c>
      <c r="B33" s="150"/>
      <c r="C33" s="53"/>
      <c r="D33" s="102">
        <v>4202229090</v>
      </c>
      <c r="E33" s="53"/>
      <c r="F33" s="53"/>
    </row>
    <row r="34" spans="1:6" ht="10.25" customHeight="1">
      <c r="A34" s="118" t="s">
        <v>2688</v>
      </c>
      <c r="B34" s="59" t="s">
        <v>2584</v>
      </c>
      <c r="C34" s="57">
        <v>10.8</v>
      </c>
      <c r="D34" s="53"/>
      <c r="E34" s="58">
        <v>21.6</v>
      </c>
      <c r="F34" s="55" t="s">
        <v>2534</v>
      </c>
    </row>
    <row r="35" spans="1:6" ht="22.25" customHeight="1">
      <c r="A35" s="65" t="s">
        <v>2689</v>
      </c>
      <c r="B35" s="64" t="s">
        <v>2514</v>
      </c>
      <c r="C35" s="53"/>
      <c r="D35" s="102">
        <v>4202229090</v>
      </c>
      <c r="E35" s="53"/>
      <c r="F35" s="53"/>
    </row>
    <row r="36" spans="1:6" ht="10.25" customHeight="1">
      <c r="A36" s="118" t="s">
        <v>2690</v>
      </c>
      <c r="B36" s="59" t="s">
        <v>2584</v>
      </c>
      <c r="C36" s="57">
        <v>11.4</v>
      </c>
      <c r="D36" s="53"/>
      <c r="E36" s="58">
        <v>22.8</v>
      </c>
      <c r="F36" s="55" t="s">
        <v>2534</v>
      </c>
    </row>
    <row r="37" spans="1:6" ht="21.5" customHeight="1">
      <c r="A37" s="85" t="s">
        <v>2691</v>
      </c>
      <c r="B37" s="64" t="s">
        <v>2514</v>
      </c>
      <c r="C37" s="53"/>
      <c r="D37" s="102">
        <v>4202229090</v>
      </c>
      <c r="E37" s="53"/>
      <c r="F37" s="53"/>
    </row>
    <row r="38" spans="1:6" ht="10.25" customHeight="1">
      <c r="A38" s="118" t="s">
        <v>2692</v>
      </c>
      <c r="B38" s="59" t="s">
        <v>2581</v>
      </c>
      <c r="C38" s="57">
        <v>14.4</v>
      </c>
      <c r="D38" s="53"/>
      <c r="E38" s="58">
        <v>14.4</v>
      </c>
      <c r="F38" s="55" t="s">
        <v>2534</v>
      </c>
    </row>
    <row r="39" spans="1:6" ht="22.25" customHeight="1">
      <c r="A39" s="85" t="s">
        <v>2693</v>
      </c>
      <c r="B39" s="64" t="s">
        <v>2514</v>
      </c>
      <c r="C39" s="53"/>
      <c r="D39" s="102">
        <v>4202221000</v>
      </c>
      <c r="E39" s="53"/>
      <c r="F39" s="53"/>
    </row>
    <row r="40" spans="1:6" ht="10.25" customHeight="1">
      <c r="A40" s="118" t="s">
        <v>2694</v>
      </c>
      <c r="B40" s="59" t="s">
        <v>2584</v>
      </c>
      <c r="C40" s="57">
        <v>11.04</v>
      </c>
      <c r="D40" s="53"/>
      <c r="E40" s="54">
        <v>22.08</v>
      </c>
      <c r="F40" s="55" t="s">
        <v>2534</v>
      </c>
    </row>
    <row r="41" spans="1:6" ht="21.5" customHeight="1">
      <c r="A41" s="85" t="s">
        <v>2695</v>
      </c>
      <c r="B41" s="64" t="s">
        <v>2514</v>
      </c>
      <c r="C41" s="53"/>
      <c r="D41" s="102">
        <v>4202221000</v>
      </c>
      <c r="E41" s="53"/>
      <c r="F41" s="53"/>
    </row>
    <row r="42" spans="1:6" ht="11.25" customHeight="1">
      <c r="A42" s="118" t="s">
        <v>2696</v>
      </c>
      <c r="B42" s="59" t="s">
        <v>2584</v>
      </c>
      <c r="C42" s="52">
        <v>7.8</v>
      </c>
      <c r="D42" s="53"/>
      <c r="E42" s="58">
        <v>15.6</v>
      </c>
      <c r="F42" s="55" t="s">
        <v>2534</v>
      </c>
    </row>
    <row r="43" spans="1:6" ht="21.5" customHeight="1">
      <c r="A43" s="85" t="s">
        <v>2697</v>
      </c>
      <c r="B43" s="64" t="s">
        <v>2514</v>
      </c>
      <c r="C43" s="53"/>
      <c r="D43" s="102">
        <v>7907000000</v>
      </c>
      <c r="E43" s="53"/>
      <c r="F43" s="53"/>
    </row>
    <row r="44" spans="1:6" ht="10.25" customHeight="1">
      <c r="A44" s="118" t="s">
        <v>2698</v>
      </c>
      <c r="B44" s="59" t="s">
        <v>2593</v>
      </c>
      <c r="C44" s="57">
        <v>11.88</v>
      </c>
      <c r="D44" s="53"/>
      <c r="E44" s="54">
        <v>35.64</v>
      </c>
      <c r="F44" s="55" t="s">
        <v>2534</v>
      </c>
    </row>
    <row r="45" spans="1:6" ht="21.5" customHeight="1">
      <c r="A45" s="85" t="s">
        <v>2699</v>
      </c>
      <c r="B45" s="64" t="s">
        <v>2514</v>
      </c>
      <c r="C45" s="53"/>
      <c r="D45" s="102">
        <v>4202221000</v>
      </c>
      <c r="E45" s="53"/>
      <c r="F45" s="53"/>
    </row>
    <row r="46" spans="1:6" ht="10.25" customHeight="1">
      <c r="A46" s="118" t="s">
        <v>2700</v>
      </c>
      <c r="B46" s="59" t="s">
        <v>2584</v>
      </c>
      <c r="C46" s="57">
        <v>12.72</v>
      </c>
      <c r="D46" s="53"/>
      <c r="E46" s="54">
        <v>25.44</v>
      </c>
      <c r="F46" s="55" t="s">
        <v>2534</v>
      </c>
    </row>
    <row r="47" spans="1:6" ht="21.5" customHeight="1">
      <c r="A47" s="85" t="s">
        <v>2701</v>
      </c>
      <c r="B47" s="64" t="s">
        <v>2514</v>
      </c>
      <c r="C47" s="53"/>
      <c r="D47" s="102">
        <v>6307909899</v>
      </c>
      <c r="E47" s="53"/>
      <c r="F47" s="53"/>
    </row>
    <row r="48" spans="1:6" ht="10.25" customHeight="1">
      <c r="A48" s="118" t="s">
        <v>2702</v>
      </c>
      <c r="B48" s="59" t="s">
        <v>2581</v>
      </c>
      <c r="C48" s="57">
        <v>14.4</v>
      </c>
      <c r="D48" s="53"/>
      <c r="E48" s="58">
        <v>14.4</v>
      </c>
      <c r="F48" s="55" t="s">
        <v>2534</v>
      </c>
    </row>
    <row r="49" spans="1:6" ht="21.5" customHeight="1">
      <c r="A49" s="85" t="s">
        <v>2703</v>
      </c>
      <c r="B49" s="64" t="s">
        <v>2514</v>
      </c>
      <c r="C49" s="53"/>
      <c r="D49" s="102">
        <v>4202221000</v>
      </c>
      <c r="E49" s="53"/>
      <c r="F49" s="53"/>
    </row>
    <row r="50" spans="1:6" ht="11.25" customHeight="1">
      <c r="A50" s="118" t="s">
        <v>2704</v>
      </c>
      <c r="B50" s="59" t="s">
        <v>2584</v>
      </c>
      <c r="C50" s="57">
        <v>12.6</v>
      </c>
      <c r="D50" s="53"/>
      <c r="E50" s="58">
        <v>25.2</v>
      </c>
      <c r="F50" s="55" t="s">
        <v>2534</v>
      </c>
    </row>
    <row r="51" spans="1:6" ht="21.5" customHeight="1">
      <c r="A51" s="150" t="s">
        <v>2705</v>
      </c>
      <c r="B51" s="150"/>
      <c r="C51" s="53"/>
      <c r="D51" s="102">
        <v>4202229090</v>
      </c>
      <c r="E51" s="53"/>
      <c r="F51" s="53"/>
    </row>
    <row r="52" spans="1:6" ht="10.25" customHeight="1">
      <c r="A52" s="118" t="s">
        <v>2706</v>
      </c>
      <c r="B52" s="59" t="s">
        <v>2581</v>
      </c>
      <c r="C52" s="52">
        <v>4.8</v>
      </c>
      <c r="D52" s="53"/>
      <c r="E52" s="54">
        <v>4.8</v>
      </c>
      <c r="F52" s="55" t="s">
        <v>2534</v>
      </c>
    </row>
    <row r="53" spans="1:6" ht="22.25" customHeight="1">
      <c r="A53" s="85" t="s">
        <v>2707</v>
      </c>
      <c r="B53" s="64" t="s">
        <v>2514</v>
      </c>
      <c r="C53" s="53"/>
      <c r="D53" s="102">
        <v>4202221000</v>
      </c>
      <c r="E53" s="53"/>
      <c r="F53" s="53"/>
    </row>
    <row r="54" spans="1:6" ht="10.25" customHeight="1">
      <c r="A54" s="118" t="s">
        <v>2708</v>
      </c>
      <c r="B54" s="59" t="s">
        <v>2584</v>
      </c>
      <c r="C54" s="52">
        <v>9.7200000000000006</v>
      </c>
      <c r="D54" s="53"/>
      <c r="E54" s="54">
        <v>19.440000000000001</v>
      </c>
      <c r="F54" s="55" t="s">
        <v>2534</v>
      </c>
    </row>
    <row r="55" spans="1:6" ht="21.5" customHeight="1">
      <c r="A55" s="65" t="s">
        <v>2709</v>
      </c>
      <c r="B55" s="64" t="s">
        <v>2514</v>
      </c>
      <c r="C55" s="53"/>
      <c r="D55" s="102">
        <v>4202229090</v>
      </c>
      <c r="E55" s="53"/>
      <c r="F55" s="53"/>
    </row>
    <row r="56" spans="1:6" ht="11.25" customHeight="1">
      <c r="A56" s="118" t="s">
        <v>2710</v>
      </c>
      <c r="B56" s="59" t="s">
        <v>2584</v>
      </c>
      <c r="C56" s="57">
        <v>12.72</v>
      </c>
      <c r="D56" s="53"/>
      <c r="E56" s="54">
        <v>25.44</v>
      </c>
      <c r="F56" s="55" t="s">
        <v>2534</v>
      </c>
    </row>
    <row r="57" spans="1:6" ht="20" customHeight="1">
      <c r="A57" s="154" t="s">
        <v>2711</v>
      </c>
      <c r="B57" s="154"/>
      <c r="C57" s="28"/>
      <c r="D57" s="104">
        <v>4202229090</v>
      </c>
      <c r="E57" s="28"/>
      <c r="F57" s="28"/>
    </row>
  </sheetData>
  <mergeCells count="5">
    <mergeCell ref="A30:B30"/>
    <mergeCell ref="C30:E30"/>
    <mergeCell ref="A33:B33"/>
    <mergeCell ref="A51:B51"/>
    <mergeCell ref="A57:B57"/>
  </mergeCells>
  <pageMargins left="1.25" right="1.25" top="1" bottom="1" header="0.25" footer="0.2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9" enableFormatConditionsCalculation="0"/>
  <dimension ref="A7:F57"/>
  <sheetViews>
    <sheetView topLeftCell="A26" workbookViewId="0"/>
  </sheetViews>
  <sheetFormatPr baseColWidth="10" defaultRowHeight="14" x14ac:dyDescent="0"/>
  <cols>
    <col min="1" max="1" width="61.1640625" customWidth="1"/>
    <col min="2" max="2" width="10.83203125" customWidth="1"/>
    <col min="3" max="3" width="8.1640625" customWidth="1"/>
    <col min="4" max="4" width="9.83203125" customWidth="1"/>
    <col min="5" max="5" width="16.1640625" customWidth="1"/>
    <col min="6" max="6" width="5.5" customWidth="1"/>
  </cols>
  <sheetData>
    <row r="7" spans="1:1">
      <c r="A7" s="69" t="s">
        <v>2712</v>
      </c>
    </row>
    <row r="8" spans="1:1">
      <c r="A8" s="24" t="s">
        <v>2611</v>
      </c>
    </row>
    <row r="9" spans="1:1">
      <c r="A9" s="69" t="s">
        <v>2612</v>
      </c>
    </row>
    <row r="10" spans="1:1">
      <c r="A10" s="69" t="s">
        <v>2613</v>
      </c>
    </row>
    <row r="11" spans="1:1">
      <c r="A11" s="69" t="s">
        <v>2614</v>
      </c>
    </row>
    <row r="12" spans="1:1">
      <c r="A12" s="69" t="s">
        <v>2615</v>
      </c>
    </row>
    <row r="15" spans="1:1">
      <c r="A15" s="24" t="s">
        <v>2616</v>
      </c>
    </row>
    <row r="16" spans="1:1">
      <c r="A16" s="24" t="s">
        <v>2491</v>
      </c>
    </row>
    <row r="17" spans="1:6">
      <c r="A17" s="24" t="s">
        <v>2617</v>
      </c>
    </row>
    <row r="18" spans="1:6">
      <c r="A18" s="24" t="s">
        <v>2493</v>
      </c>
    </row>
    <row r="20" spans="1:6">
      <c r="A20" s="26" t="s">
        <v>2500</v>
      </c>
    </row>
    <row r="22" spans="1:6">
      <c r="A22" s="24" t="s">
        <v>2618</v>
      </c>
    </row>
    <row r="23" spans="1:6">
      <c r="A23" s="24" t="s">
        <v>2619</v>
      </c>
    </row>
    <row r="24" spans="1:6">
      <c r="A24" s="24" t="s">
        <v>2609</v>
      </c>
    </row>
    <row r="25" spans="1:6">
      <c r="A25" s="24" t="s">
        <v>2509</v>
      </c>
    </row>
    <row r="26" spans="1:6">
      <c r="A26" s="69" t="s">
        <v>2620</v>
      </c>
    </row>
    <row r="27" spans="1:6">
      <c r="A27" s="24" t="s">
        <v>2511</v>
      </c>
    </row>
    <row r="28" spans="1:6" ht="13.75" customHeight="1">
      <c r="A28" s="70" t="s">
        <v>2621</v>
      </c>
      <c r="B28" s="28"/>
      <c r="C28" s="28"/>
      <c r="D28" s="28"/>
      <c r="E28" s="28"/>
      <c r="F28" s="28"/>
    </row>
    <row r="29" spans="1:6" ht="12" customHeight="1">
      <c r="A29" s="155" t="s">
        <v>2622</v>
      </c>
      <c r="B29" s="155"/>
      <c r="C29" s="72" t="s">
        <v>2623</v>
      </c>
      <c r="D29" s="105" t="s">
        <v>2624</v>
      </c>
      <c r="E29" s="73" t="s">
        <v>2625</v>
      </c>
      <c r="F29" s="72" t="s">
        <v>2626</v>
      </c>
    </row>
    <row r="30" spans="1:6" ht="13.75" customHeight="1">
      <c r="A30" s="152" t="s">
        <v>2627</v>
      </c>
      <c r="B30" s="152"/>
      <c r="C30" s="151" t="s">
        <v>2628</v>
      </c>
      <c r="D30" s="151"/>
      <c r="E30" s="151"/>
      <c r="F30" s="53"/>
    </row>
    <row r="31" spans="1:6" ht="14.5" customHeight="1">
      <c r="A31" s="122" t="s">
        <v>2629</v>
      </c>
      <c r="B31" s="53"/>
      <c r="C31" s="53"/>
      <c r="D31" s="53"/>
      <c r="E31" s="53"/>
      <c r="F31" s="53"/>
    </row>
    <row r="32" spans="1:6" ht="10.25" customHeight="1">
      <c r="A32" s="116" t="s">
        <v>2713</v>
      </c>
      <c r="B32" s="106" t="s">
        <v>2714</v>
      </c>
      <c r="C32" s="81">
        <v>18.12</v>
      </c>
      <c r="D32" s="53"/>
      <c r="E32" s="82">
        <v>36.24</v>
      </c>
      <c r="F32" s="78" t="s">
        <v>2631</v>
      </c>
    </row>
    <row r="33" spans="1:6" ht="21.5" customHeight="1">
      <c r="A33" s="108" t="s">
        <v>2715</v>
      </c>
      <c r="B33" s="64" t="s">
        <v>2514</v>
      </c>
      <c r="C33" s="53"/>
      <c r="D33" s="80">
        <v>6307909810</v>
      </c>
      <c r="E33" s="53"/>
      <c r="F33" s="53"/>
    </row>
    <row r="34" spans="1:6" ht="10.25" customHeight="1">
      <c r="A34" s="116" t="s">
        <v>2716</v>
      </c>
      <c r="B34" s="106" t="s">
        <v>2714</v>
      </c>
      <c r="C34" s="81">
        <v>12.6</v>
      </c>
      <c r="D34" s="53"/>
      <c r="E34" s="77">
        <v>25.2</v>
      </c>
      <c r="F34" s="78" t="s">
        <v>2631</v>
      </c>
    </row>
    <row r="35" spans="1:6" ht="22.25" customHeight="1">
      <c r="A35" s="108" t="s">
        <v>2717</v>
      </c>
      <c r="B35" s="64" t="s">
        <v>2514</v>
      </c>
      <c r="C35" s="53"/>
      <c r="D35" s="80">
        <v>4202221000</v>
      </c>
      <c r="E35" s="53"/>
      <c r="F35" s="53"/>
    </row>
    <row r="36" spans="1:6" ht="10.25" customHeight="1">
      <c r="A36" s="116" t="s">
        <v>2718</v>
      </c>
      <c r="B36" s="106" t="s">
        <v>2719</v>
      </c>
      <c r="C36" s="76">
        <v>9</v>
      </c>
      <c r="D36" s="53"/>
      <c r="E36" s="77">
        <v>27</v>
      </c>
      <c r="F36" s="78" t="s">
        <v>2631</v>
      </c>
    </row>
    <row r="37" spans="1:6" ht="21.5" customHeight="1">
      <c r="A37" s="108" t="s">
        <v>2720</v>
      </c>
      <c r="B37" s="64" t="s">
        <v>2514</v>
      </c>
      <c r="C37" s="53"/>
      <c r="D37" s="80">
        <v>9111800000</v>
      </c>
      <c r="E37" s="53"/>
      <c r="F37" s="53"/>
    </row>
    <row r="38" spans="1:6" ht="10.25" customHeight="1">
      <c r="A38" s="116" t="s">
        <v>2721</v>
      </c>
      <c r="B38" s="106" t="s">
        <v>2722</v>
      </c>
      <c r="C38" s="81">
        <v>13.08</v>
      </c>
      <c r="D38" s="53"/>
      <c r="E38" s="82">
        <v>13.08</v>
      </c>
      <c r="F38" s="78" t="s">
        <v>2631</v>
      </c>
    </row>
    <row r="39" spans="1:6" ht="22.25" customHeight="1">
      <c r="A39" s="108" t="s">
        <v>2723</v>
      </c>
      <c r="B39" s="64" t="s">
        <v>2514</v>
      </c>
      <c r="C39" s="53"/>
      <c r="D39" s="80">
        <v>4202221000</v>
      </c>
      <c r="E39" s="53"/>
      <c r="F39" s="53"/>
    </row>
    <row r="40" spans="1:6" ht="10.25" customHeight="1">
      <c r="A40" s="116" t="s">
        <v>2724</v>
      </c>
      <c r="B40" s="106" t="s">
        <v>2714</v>
      </c>
      <c r="C40" s="81">
        <v>14.4</v>
      </c>
      <c r="D40" s="53"/>
      <c r="E40" s="77">
        <v>28.8</v>
      </c>
      <c r="F40" s="78" t="s">
        <v>2631</v>
      </c>
    </row>
    <row r="41" spans="1:6" ht="21.5" customHeight="1">
      <c r="A41" s="108" t="s">
        <v>2725</v>
      </c>
      <c r="B41" s="64" t="s">
        <v>2514</v>
      </c>
      <c r="C41" s="53"/>
      <c r="D41" s="80">
        <v>4202221000</v>
      </c>
      <c r="E41" s="53"/>
      <c r="F41" s="53"/>
    </row>
    <row r="42" spans="1:6" ht="11.25" customHeight="1">
      <c r="A42" s="116" t="s">
        <v>2726</v>
      </c>
      <c r="B42" s="106" t="s">
        <v>2722</v>
      </c>
      <c r="C42" s="76">
        <v>4.8</v>
      </c>
      <c r="D42" s="53"/>
      <c r="E42" s="82">
        <v>4.8</v>
      </c>
      <c r="F42" s="78" t="s">
        <v>2631</v>
      </c>
    </row>
    <row r="43" spans="1:6" ht="21.5" customHeight="1">
      <c r="A43" s="108" t="s">
        <v>2727</v>
      </c>
      <c r="B43" s="64" t="s">
        <v>2514</v>
      </c>
      <c r="C43" s="53"/>
      <c r="D43" s="80">
        <v>4202221000</v>
      </c>
      <c r="E43" s="53"/>
      <c r="F43" s="53"/>
    </row>
    <row r="44" spans="1:6" ht="10.25" customHeight="1">
      <c r="A44" s="116" t="s">
        <v>2728</v>
      </c>
      <c r="B44" s="106" t="s">
        <v>2729</v>
      </c>
      <c r="C44" s="76">
        <v>2.52</v>
      </c>
      <c r="D44" s="53"/>
      <c r="E44" s="82">
        <v>15.12</v>
      </c>
      <c r="F44" s="78" t="s">
        <v>2631</v>
      </c>
    </row>
    <row r="45" spans="1:6" ht="21.5" customHeight="1">
      <c r="A45" s="108" t="s">
        <v>2730</v>
      </c>
      <c r="B45" s="64" t="s">
        <v>2514</v>
      </c>
      <c r="C45" s="53"/>
      <c r="D45" s="80">
        <v>9113900099</v>
      </c>
      <c r="E45" s="53"/>
      <c r="F45" s="53"/>
    </row>
    <row r="46" spans="1:6" ht="10.25" customHeight="1">
      <c r="A46" s="116" t="s">
        <v>2731</v>
      </c>
      <c r="B46" s="106" t="s">
        <v>2732</v>
      </c>
      <c r="C46" s="81">
        <v>12.72</v>
      </c>
      <c r="D46" s="53"/>
      <c r="E46" s="82">
        <v>50.88</v>
      </c>
      <c r="F46" s="78" t="s">
        <v>2631</v>
      </c>
    </row>
    <row r="47" spans="1:6" ht="21.5" customHeight="1">
      <c r="A47" s="108" t="s">
        <v>2733</v>
      </c>
      <c r="B47" s="64" t="s">
        <v>2514</v>
      </c>
      <c r="C47" s="53"/>
      <c r="D47" s="80">
        <v>3926909790</v>
      </c>
      <c r="E47" s="53"/>
      <c r="F47" s="53"/>
    </row>
    <row r="48" spans="1:6" ht="10.25" customHeight="1">
      <c r="A48" s="116" t="s">
        <v>2734</v>
      </c>
      <c r="B48" s="106" t="s">
        <v>2714</v>
      </c>
      <c r="C48" s="81">
        <v>10.8</v>
      </c>
      <c r="D48" s="53"/>
      <c r="E48" s="77">
        <v>21.6</v>
      </c>
      <c r="F48" s="78" t="s">
        <v>2631</v>
      </c>
    </row>
    <row r="49" spans="1:6" ht="21.5" customHeight="1">
      <c r="A49" s="107" t="s">
        <v>2735</v>
      </c>
      <c r="B49" s="64" t="s">
        <v>2514</v>
      </c>
      <c r="C49" s="53"/>
      <c r="D49" s="80">
        <v>4202229090</v>
      </c>
      <c r="E49" s="53"/>
      <c r="F49" s="53"/>
    </row>
    <row r="50" spans="1:6" ht="11.25" customHeight="1">
      <c r="A50" s="116" t="s">
        <v>2736</v>
      </c>
      <c r="B50" s="106" t="s">
        <v>2729</v>
      </c>
      <c r="C50" s="76">
        <v>4.5599999999999996</v>
      </c>
      <c r="D50" s="53"/>
      <c r="E50" s="82">
        <v>27.36</v>
      </c>
      <c r="F50" s="78" t="s">
        <v>2631</v>
      </c>
    </row>
    <row r="51" spans="1:6" ht="21.5" customHeight="1">
      <c r="A51" s="108" t="s">
        <v>2737</v>
      </c>
      <c r="B51" s="64" t="s">
        <v>2514</v>
      </c>
      <c r="C51" s="53"/>
      <c r="D51" s="80">
        <v>7909000000</v>
      </c>
      <c r="E51" s="53"/>
      <c r="F51" s="53"/>
    </row>
    <row r="52" spans="1:6" ht="10.25" customHeight="1">
      <c r="A52" s="116" t="s">
        <v>2738</v>
      </c>
      <c r="B52" s="106" t="s">
        <v>2719</v>
      </c>
      <c r="C52" s="81">
        <v>10.8</v>
      </c>
      <c r="D52" s="53"/>
      <c r="E52" s="77">
        <v>32.4</v>
      </c>
      <c r="F52" s="78" t="s">
        <v>2631</v>
      </c>
    </row>
    <row r="53" spans="1:6" ht="22.25" customHeight="1">
      <c r="A53" s="156" t="s">
        <v>2739</v>
      </c>
      <c r="B53" s="156"/>
      <c r="C53" s="53"/>
      <c r="D53" s="80">
        <v>4202229090</v>
      </c>
      <c r="E53" s="53"/>
      <c r="F53" s="53"/>
    </row>
    <row r="54" spans="1:6" ht="10.25" customHeight="1">
      <c r="A54" s="116" t="s">
        <v>2740</v>
      </c>
      <c r="B54" s="106" t="s">
        <v>2732</v>
      </c>
      <c r="C54" s="81">
        <v>11.88</v>
      </c>
      <c r="D54" s="53"/>
      <c r="E54" s="82">
        <v>47.52</v>
      </c>
      <c r="F54" s="78" t="s">
        <v>2631</v>
      </c>
    </row>
    <row r="55" spans="1:6" ht="21.5" customHeight="1">
      <c r="A55" s="108" t="s">
        <v>2741</v>
      </c>
      <c r="B55" s="64" t="s">
        <v>2514</v>
      </c>
      <c r="C55" s="53"/>
      <c r="D55" s="80">
        <v>3926909790</v>
      </c>
      <c r="E55" s="53"/>
      <c r="F55" s="53"/>
    </row>
    <row r="56" spans="1:6" ht="11.25" customHeight="1">
      <c r="A56" s="116" t="s">
        <v>2742</v>
      </c>
      <c r="B56" s="106" t="s">
        <v>2714</v>
      </c>
      <c r="C56" s="81">
        <v>12.72</v>
      </c>
      <c r="D56" s="53"/>
      <c r="E56" s="82">
        <v>25.44</v>
      </c>
      <c r="F56" s="78" t="s">
        <v>2631</v>
      </c>
    </row>
    <row r="57" spans="1:6" ht="20" customHeight="1">
      <c r="A57" s="157" t="s">
        <v>2743</v>
      </c>
      <c r="B57" s="157"/>
      <c r="C57" s="28"/>
      <c r="D57" s="84">
        <v>4202229090</v>
      </c>
      <c r="E57" s="28"/>
      <c r="F57" s="28"/>
    </row>
  </sheetData>
  <mergeCells count="5">
    <mergeCell ref="A29:B29"/>
    <mergeCell ref="A30:B30"/>
    <mergeCell ref="C30:E30"/>
    <mergeCell ref="A53:B53"/>
    <mergeCell ref="A57:B57"/>
  </mergeCells>
  <pageMargins left="1.25" right="1.25" top="1" bottom="1" header="0.25" footer="0.2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0" enableFormatConditionsCalculation="0"/>
  <dimension ref="A7:F57"/>
  <sheetViews>
    <sheetView workbookViewId="0"/>
  </sheetViews>
  <sheetFormatPr baseColWidth="10" defaultRowHeight="14" x14ac:dyDescent="0"/>
  <cols>
    <col min="1" max="1" width="63.83203125" customWidth="1"/>
    <col min="2" max="3" width="8.1640625" customWidth="1"/>
    <col min="4" max="4" width="9.83203125" customWidth="1"/>
    <col min="5" max="5" width="16.1640625" customWidth="1"/>
    <col min="6" max="6" width="5.5" customWidth="1"/>
  </cols>
  <sheetData>
    <row r="7" spans="1:1">
      <c r="A7" s="25" t="s">
        <v>2744</v>
      </c>
    </row>
    <row r="8" spans="1:1">
      <c r="A8" s="24" t="s">
        <v>2495</v>
      </c>
    </row>
    <row r="9" spans="1:1">
      <c r="A9" s="25" t="s">
        <v>2496</v>
      </c>
    </row>
    <row r="10" spans="1:1">
      <c r="A10" s="25" t="s">
        <v>2497</v>
      </c>
    </row>
    <row r="11" spans="1:1">
      <c r="A11" s="25" t="s">
        <v>2498</v>
      </c>
    </row>
    <row r="12" spans="1:1">
      <c r="A12" s="25" t="s">
        <v>2499</v>
      </c>
    </row>
    <row r="15" spans="1:1">
      <c r="A15" s="24" t="s">
        <v>2490</v>
      </c>
    </row>
    <row r="16" spans="1:1">
      <c r="A16" s="24" t="s">
        <v>2491</v>
      </c>
    </row>
    <row r="17" spans="1:6">
      <c r="A17" s="24" t="s">
        <v>2492</v>
      </c>
    </row>
    <row r="18" spans="1:6">
      <c r="A18" s="24" t="s">
        <v>2493</v>
      </c>
    </row>
    <row r="20" spans="1:6">
      <c r="A20" s="26" t="s">
        <v>2500</v>
      </c>
    </row>
    <row r="22" spans="1:6">
      <c r="A22" s="24" t="s">
        <v>2607</v>
      </c>
    </row>
    <row r="23" spans="1:6">
      <c r="A23" s="24" t="s">
        <v>2608</v>
      </c>
    </row>
    <row r="24" spans="1:6">
      <c r="A24" s="24" t="s">
        <v>2609</v>
      </c>
    </row>
    <row r="25" spans="1:6">
      <c r="A25" s="24" t="s">
        <v>2509</v>
      </c>
    </row>
    <row r="26" spans="1:6">
      <c r="A26" s="25" t="s">
        <v>2510</v>
      </c>
    </row>
    <row r="27" spans="1:6">
      <c r="A27" s="24" t="s">
        <v>2511</v>
      </c>
    </row>
    <row r="28" spans="1:6" ht="13.75" customHeight="1">
      <c r="A28" s="99" t="s">
        <v>2512</v>
      </c>
      <c r="B28" s="28"/>
      <c r="C28" s="28"/>
      <c r="D28" s="28"/>
      <c r="E28" s="28"/>
      <c r="F28" s="28"/>
    </row>
    <row r="29" spans="1:6" ht="12" customHeight="1">
      <c r="A29" s="155" t="s">
        <v>2622</v>
      </c>
      <c r="B29" s="155"/>
      <c r="C29" s="72" t="s">
        <v>2623</v>
      </c>
      <c r="D29" s="105" t="s">
        <v>2624</v>
      </c>
      <c r="E29" s="73" t="s">
        <v>2625</v>
      </c>
      <c r="F29" s="72" t="s">
        <v>2626</v>
      </c>
    </row>
    <row r="30" spans="1:6" ht="13.75" customHeight="1">
      <c r="A30" s="152" t="s">
        <v>2684</v>
      </c>
      <c r="B30" s="152"/>
      <c r="C30" s="153" t="s">
        <v>2685</v>
      </c>
      <c r="D30" s="153"/>
      <c r="E30" s="153"/>
      <c r="F30" s="53"/>
    </row>
    <row r="31" spans="1:6" ht="14.5" customHeight="1">
      <c r="A31" s="122" t="s">
        <v>2553</v>
      </c>
      <c r="B31" s="53"/>
      <c r="C31" s="53"/>
      <c r="D31" s="53"/>
      <c r="E31" s="53"/>
      <c r="F31" s="53"/>
    </row>
    <row r="32" spans="1:6" ht="10.25" customHeight="1">
      <c r="A32" s="118" t="s">
        <v>2745</v>
      </c>
      <c r="B32" s="59" t="s">
        <v>2584</v>
      </c>
      <c r="C32" s="57">
        <v>14.4</v>
      </c>
      <c r="D32" s="53"/>
      <c r="E32" s="58">
        <v>28.8</v>
      </c>
      <c r="F32" s="55" t="s">
        <v>2534</v>
      </c>
    </row>
    <row r="33" spans="1:6" ht="21.5" customHeight="1">
      <c r="A33" s="85" t="s">
        <v>2746</v>
      </c>
      <c r="B33" s="64" t="s">
        <v>2514</v>
      </c>
      <c r="C33" s="53"/>
      <c r="D33" s="102">
        <v>6307909810</v>
      </c>
      <c r="E33" s="53"/>
      <c r="F33" s="53"/>
    </row>
    <row r="34" spans="1:6" ht="10.25" customHeight="1">
      <c r="A34" s="118" t="s">
        <v>2747</v>
      </c>
      <c r="B34" s="59" t="s">
        <v>2578</v>
      </c>
      <c r="C34" s="52">
        <v>1.92</v>
      </c>
      <c r="D34" s="53"/>
      <c r="E34" s="54">
        <v>11.52</v>
      </c>
      <c r="F34" s="55" t="s">
        <v>2534</v>
      </c>
    </row>
    <row r="35" spans="1:6" ht="22.25" customHeight="1">
      <c r="A35" s="85" t="s">
        <v>2748</v>
      </c>
      <c r="B35" s="64" t="s">
        <v>2514</v>
      </c>
      <c r="C35" s="53"/>
      <c r="D35" s="102">
        <v>91021100</v>
      </c>
      <c r="E35" s="53"/>
      <c r="F35" s="53"/>
    </row>
    <row r="36" spans="1:6" ht="10.25" customHeight="1">
      <c r="A36" s="118" t="s">
        <v>2749</v>
      </c>
      <c r="B36" s="59" t="s">
        <v>2584</v>
      </c>
      <c r="C36" s="57">
        <v>11.88</v>
      </c>
      <c r="D36" s="53"/>
      <c r="E36" s="54">
        <v>23.76</v>
      </c>
      <c r="F36" s="55" t="s">
        <v>2534</v>
      </c>
    </row>
    <row r="37" spans="1:6" ht="21.5" customHeight="1">
      <c r="A37" s="150" t="s">
        <v>2750</v>
      </c>
      <c r="B37" s="150"/>
      <c r="C37" s="53"/>
      <c r="D37" s="102">
        <v>4202229090</v>
      </c>
      <c r="E37" s="53"/>
      <c r="F37" s="53"/>
    </row>
    <row r="38" spans="1:6" ht="10.25" customHeight="1">
      <c r="A38" s="118" t="s">
        <v>2751</v>
      </c>
      <c r="B38" s="59" t="s">
        <v>2593</v>
      </c>
      <c r="C38" s="57">
        <v>14.4</v>
      </c>
      <c r="D38" s="53"/>
      <c r="E38" s="58">
        <v>43.2</v>
      </c>
      <c r="F38" s="55" t="s">
        <v>2534</v>
      </c>
    </row>
    <row r="39" spans="1:6" ht="22.25" customHeight="1">
      <c r="A39" s="85" t="s">
        <v>2752</v>
      </c>
      <c r="B39" s="64" t="s">
        <v>2514</v>
      </c>
      <c r="C39" s="53"/>
      <c r="D39" s="102">
        <v>4202221000</v>
      </c>
      <c r="E39" s="53"/>
      <c r="F39" s="53"/>
    </row>
    <row r="40" spans="1:6" ht="10.25" customHeight="1">
      <c r="A40" s="118" t="s">
        <v>2753</v>
      </c>
      <c r="B40" s="59" t="s">
        <v>2584</v>
      </c>
      <c r="C40" s="57">
        <v>14.4</v>
      </c>
      <c r="D40" s="53"/>
      <c r="E40" s="58">
        <v>28.8</v>
      </c>
      <c r="F40" s="55" t="s">
        <v>2534</v>
      </c>
    </row>
    <row r="41" spans="1:6" ht="21.5" customHeight="1">
      <c r="A41" s="65" t="s">
        <v>2754</v>
      </c>
      <c r="B41" s="64" t="s">
        <v>2514</v>
      </c>
      <c r="C41" s="53"/>
      <c r="D41" s="102">
        <v>4202229090</v>
      </c>
      <c r="E41" s="53"/>
      <c r="F41" s="53"/>
    </row>
    <row r="42" spans="1:6" ht="11.25" customHeight="1">
      <c r="A42" s="118" t="s">
        <v>2755</v>
      </c>
      <c r="B42" s="59" t="s">
        <v>2584</v>
      </c>
      <c r="C42" s="57">
        <v>13.44</v>
      </c>
      <c r="D42" s="53"/>
      <c r="E42" s="54">
        <v>26.88</v>
      </c>
      <c r="F42" s="55" t="s">
        <v>2534</v>
      </c>
    </row>
    <row r="43" spans="1:6" ht="21.5" customHeight="1">
      <c r="A43" s="65" t="s">
        <v>2756</v>
      </c>
      <c r="B43" s="64" t="s">
        <v>2514</v>
      </c>
      <c r="C43" s="53"/>
      <c r="D43" s="102">
        <v>3926909790</v>
      </c>
      <c r="E43" s="53"/>
      <c r="F43" s="53"/>
    </row>
    <row r="44" spans="1:6" ht="10.25" customHeight="1">
      <c r="A44" s="118" t="s">
        <v>2757</v>
      </c>
      <c r="B44" s="59" t="s">
        <v>2584</v>
      </c>
      <c r="C44" s="57">
        <v>14.4</v>
      </c>
      <c r="D44" s="53"/>
      <c r="E44" s="58">
        <v>28.8</v>
      </c>
      <c r="F44" s="55" t="s">
        <v>2534</v>
      </c>
    </row>
    <row r="45" spans="1:6" ht="21.5" customHeight="1">
      <c r="A45" s="65" t="s">
        <v>2758</v>
      </c>
      <c r="B45" s="64" t="s">
        <v>2514</v>
      </c>
      <c r="C45" s="53"/>
      <c r="D45" s="102">
        <v>4202229090</v>
      </c>
      <c r="E45" s="53"/>
      <c r="F45" s="53"/>
    </row>
    <row r="46" spans="1:6" ht="10.25" customHeight="1">
      <c r="A46" s="118" t="s">
        <v>2759</v>
      </c>
      <c r="B46" s="59" t="s">
        <v>2593</v>
      </c>
      <c r="C46" s="57">
        <v>29.4</v>
      </c>
      <c r="D46" s="53"/>
      <c r="E46" s="58">
        <v>88.2</v>
      </c>
      <c r="F46" s="55" t="s">
        <v>2534</v>
      </c>
    </row>
    <row r="47" spans="1:6" ht="21.5" customHeight="1">
      <c r="A47" s="85" t="s">
        <v>2760</v>
      </c>
      <c r="B47" s="64" t="s">
        <v>2514</v>
      </c>
      <c r="C47" s="53"/>
      <c r="D47" s="102">
        <v>4202921100</v>
      </c>
      <c r="E47" s="53"/>
      <c r="F47" s="53"/>
    </row>
    <row r="48" spans="1:6" ht="10.25" customHeight="1">
      <c r="A48" s="118" t="s">
        <v>2761</v>
      </c>
      <c r="B48" s="59" t="s">
        <v>2584</v>
      </c>
      <c r="C48" s="57">
        <v>13.08</v>
      </c>
      <c r="D48" s="53"/>
      <c r="E48" s="54">
        <v>26.16</v>
      </c>
      <c r="F48" s="55" t="s">
        <v>2534</v>
      </c>
    </row>
    <row r="49" spans="1:6" ht="21.5" customHeight="1">
      <c r="A49" s="85" t="s">
        <v>2762</v>
      </c>
      <c r="B49" s="64" t="s">
        <v>2514</v>
      </c>
      <c r="C49" s="53"/>
      <c r="D49" s="102">
        <v>4202221000</v>
      </c>
      <c r="E49" s="53"/>
      <c r="F49" s="53"/>
    </row>
    <row r="50" spans="1:6" ht="11.25" customHeight="1">
      <c r="A50" s="118" t="s">
        <v>2763</v>
      </c>
      <c r="B50" s="59" t="s">
        <v>2593</v>
      </c>
      <c r="C50" s="57">
        <v>14.4</v>
      </c>
      <c r="D50" s="53"/>
      <c r="E50" s="58">
        <v>43.2</v>
      </c>
      <c r="F50" s="55" t="s">
        <v>2534</v>
      </c>
    </row>
    <row r="51" spans="1:6" ht="21.5" customHeight="1">
      <c r="A51" s="85" t="s">
        <v>2764</v>
      </c>
      <c r="B51" s="64" t="s">
        <v>2514</v>
      </c>
      <c r="C51" s="53"/>
      <c r="D51" s="102">
        <v>4202221000</v>
      </c>
      <c r="E51" s="53"/>
      <c r="F51" s="53"/>
    </row>
    <row r="52" spans="1:6" ht="10.25" customHeight="1">
      <c r="A52" s="118" t="s">
        <v>2765</v>
      </c>
      <c r="B52" s="59" t="s">
        <v>2578</v>
      </c>
      <c r="C52" s="52">
        <v>3.6</v>
      </c>
      <c r="D52" s="53"/>
      <c r="E52" s="58">
        <v>21.6</v>
      </c>
      <c r="F52" s="55" t="s">
        <v>2534</v>
      </c>
    </row>
    <row r="53" spans="1:6" ht="22.25" customHeight="1">
      <c r="A53" s="85" t="s">
        <v>2766</v>
      </c>
      <c r="B53" s="64" t="s">
        <v>2514</v>
      </c>
      <c r="C53" s="53"/>
      <c r="D53" s="102">
        <v>3926909790</v>
      </c>
      <c r="E53" s="53"/>
      <c r="F53" s="53"/>
    </row>
    <row r="54" spans="1:6" ht="10.25" customHeight="1">
      <c r="A54" s="118" t="s">
        <v>2767</v>
      </c>
      <c r="B54" s="59" t="s">
        <v>2584</v>
      </c>
      <c r="C54" s="57">
        <v>11.88</v>
      </c>
      <c r="D54" s="53"/>
      <c r="E54" s="54">
        <v>23.76</v>
      </c>
      <c r="F54" s="55" t="s">
        <v>2534</v>
      </c>
    </row>
    <row r="55" spans="1:6" ht="21.5" customHeight="1">
      <c r="A55" s="150" t="s">
        <v>2768</v>
      </c>
      <c r="B55" s="150"/>
      <c r="C55" s="53"/>
      <c r="D55" s="102">
        <v>4202229090</v>
      </c>
      <c r="E55" s="53"/>
      <c r="F55" s="53"/>
    </row>
    <row r="56" spans="1:6" ht="11.25" customHeight="1">
      <c r="A56" s="118" t="s">
        <v>2769</v>
      </c>
      <c r="B56" s="59" t="s">
        <v>2593</v>
      </c>
      <c r="C56" s="52">
        <v>7.8</v>
      </c>
      <c r="D56" s="53"/>
      <c r="E56" s="58">
        <v>23.4</v>
      </c>
      <c r="F56" s="55" t="s">
        <v>2534</v>
      </c>
    </row>
    <row r="57" spans="1:6" ht="20" customHeight="1">
      <c r="A57" s="103" t="s">
        <v>2770</v>
      </c>
      <c r="B57" s="67" t="s">
        <v>2514</v>
      </c>
      <c r="C57" s="28"/>
      <c r="D57" s="104">
        <v>7907000000</v>
      </c>
      <c r="E57" s="28"/>
      <c r="F57" s="28"/>
    </row>
  </sheetData>
  <mergeCells count="5">
    <mergeCell ref="A29:B29"/>
    <mergeCell ref="A30:B30"/>
    <mergeCell ref="C30:E30"/>
    <mergeCell ref="A37:B37"/>
    <mergeCell ref="A55:B55"/>
  </mergeCells>
  <pageMargins left="1.25" right="1.25" top="1" bottom="1" header="0.25" footer="0.2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1" enableFormatConditionsCalculation="0"/>
  <dimension ref="A7:F57"/>
  <sheetViews>
    <sheetView workbookViewId="0">
      <selection activeCell="B7" sqref="B7"/>
    </sheetView>
  </sheetViews>
  <sheetFormatPr baseColWidth="10" defaultRowHeight="14" x14ac:dyDescent="0"/>
  <cols>
    <col min="1" max="1" width="61.5" customWidth="1"/>
    <col min="2" max="2" width="10.5" customWidth="1"/>
    <col min="3" max="3" width="8.1640625" customWidth="1"/>
    <col min="4" max="4" width="9.83203125" customWidth="1"/>
    <col min="5" max="5" width="16.1640625" customWidth="1"/>
    <col min="6" max="6" width="5.5" customWidth="1"/>
  </cols>
  <sheetData>
    <row r="7" spans="1:1">
      <c r="A7" s="25" t="s">
        <v>2771</v>
      </c>
    </row>
    <row r="8" spans="1:1">
      <c r="A8" s="24" t="s">
        <v>2495</v>
      </c>
    </row>
    <row r="9" spans="1:1">
      <c r="A9" s="25" t="s">
        <v>2496</v>
      </c>
    </row>
    <row r="10" spans="1:1">
      <c r="A10" s="25" t="s">
        <v>2497</v>
      </c>
    </row>
    <row r="11" spans="1:1">
      <c r="A11" s="25" t="s">
        <v>2498</v>
      </c>
    </row>
    <row r="12" spans="1:1">
      <c r="A12" s="25" t="s">
        <v>2499</v>
      </c>
    </row>
    <row r="15" spans="1:1">
      <c r="A15" s="24" t="s">
        <v>2490</v>
      </c>
    </row>
    <row r="16" spans="1:1">
      <c r="A16" s="24" t="s">
        <v>2491</v>
      </c>
    </row>
    <row r="17" spans="1:6">
      <c r="A17" s="24" t="s">
        <v>2492</v>
      </c>
    </row>
    <row r="18" spans="1:6">
      <c r="A18" s="24" t="s">
        <v>2493</v>
      </c>
    </row>
    <row r="20" spans="1:6">
      <c r="A20" s="26" t="s">
        <v>2500</v>
      </c>
    </row>
    <row r="22" spans="1:6">
      <c r="A22" s="24" t="s">
        <v>2607</v>
      </c>
    </row>
    <row r="23" spans="1:6">
      <c r="A23" s="24" t="s">
        <v>2608</v>
      </c>
    </row>
    <row r="24" spans="1:6">
      <c r="A24" s="24" t="s">
        <v>2609</v>
      </c>
    </row>
    <row r="25" spans="1:6">
      <c r="A25" s="24" t="s">
        <v>2509</v>
      </c>
    </row>
    <row r="26" spans="1:6">
      <c r="A26" s="25" t="s">
        <v>2510</v>
      </c>
    </row>
    <row r="27" spans="1:6">
      <c r="A27" s="24" t="s">
        <v>2511</v>
      </c>
    </row>
    <row r="28" spans="1:6" ht="13.75" customHeight="1">
      <c r="A28" s="99" t="s">
        <v>2512</v>
      </c>
      <c r="B28" s="28"/>
      <c r="C28" s="28"/>
      <c r="D28" s="28"/>
      <c r="E28" s="28"/>
      <c r="F28" s="28"/>
    </row>
    <row r="29" spans="1:6" ht="12" customHeight="1">
      <c r="A29" s="155" t="s">
        <v>2622</v>
      </c>
      <c r="B29" s="155"/>
      <c r="C29" s="72" t="s">
        <v>2623</v>
      </c>
      <c r="D29" s="105" t="s">
        <v>2624</v>
      </c>
      <c r="E29" s="73" t="s">
        <v>2625</v>
      </c>
      <c r="F29" s="72" t="s">
        <v>2626</v>
      </c>
    </row>
    <row r="30" spans="1:6" ht="13.75" customHeight="1">
      <c r="A30" s="152" t="s">
        <v>2684</v>
      </c>
      <c r="B30" s="152"/>
      <c r="C30" s="153" t="s">
        <v>2685</v>
      </c>
      <c r="D30" s="153"/>
      <c r="E30" s="153"/>
      <c r="F30" s="53"/>
    </row>
    <row r="31" spans="1:6" ht="14.5" customHeight="1">
      <c r="A31" s="122" t="s">
        <v>2553</v>
      </c>
      <c r="B31" s="53"/>
      <c r="C31" s="53"/>
      <c r="D31" s="53"/>
      <c r="E31" s="53"/>
      <c r="F31" s="53"/>
    </row>
    <row r="32" spans="1:6" ht="10.25" customHeight="1">
      <c r="A32" s="118" t="s">
        <v>2772</v>
      </c>
      <c r="B32" s="59" t="s">
        <v>2578</v>
      </c>
      <c r="C32" s="52">
        <v>3.6</v>
      </c>
      <c r="D32" s="53"/>
      <c r="E32" s="58">
        <v>21.6</v>
      </c>
      <c r="F32" s="55" t="s">
        <v>2534</v>
      </c>
    </row>
    <row r="33" spans="1:6" ht="21.5" customHeight="1">
      <c r="A33" s="85" t="s">
        <v>2773</v>
      </c>
      <c r="B33" s="64" t="s">
        <v>2514</v>
      </c>
      <c r="C33" s="53"/>
      <c r="D33" s="102">
        <v>3926909790</v>
      </c>
      <c r="E33" s="53"/>
      <c r="F33" s="53"/>
    </row>
    <row r="34" spans="1:6" ht="10.25" customHeight="1">
      <c r="A34" s="118" t="s">
        <v>2774</v>
      </c>
      <c r="B34" s="59" t="s">
        <v>2593</v>
      </c>
      <c r="C34" s="52">
        <v>9.36</v>
      </c>
      <c r="D34" s="53"/>
      <c r="E34" s="54">
        <v>28.08</v>
      </c>
      <c r="F34" s="55" t="s">
        <v>2534</v>
      </c>
    </row>
    <row r="35" spans="1:6" ht="22.25" customHeight="1">
      <c r="A35" s="85" t="s">
        <v>2775</v>
      </c>
      <c r="B35" s="64" t="s">
        <v>2514</v>
      </c>
      <c r="C35" s="53"/>
      <c r="D35" s="102">
        <v>9111800000</v>
      </c>
      <c r="E35" s="53"/>
      <c r="F35" s="53"/>
    </row>
    <row r="36" spans="1:6" ht="10.25" customHeight="1">
      <c r="A36" s="118" t="s">
        <v>2776</v>
      </c>
      <c r="B36" s="59" t="s">
        <v>2584</v>
      </c>
      <c r="C36" s="57">
        <v>10.44</v>
      </c>
      <c r="D36" s="53"/>
      <c r="E36" s="54">
        <v>20.88</v>
      </c>
      <c r="F36" s="55" t="s">
        <v>2534</v>
      </c>
    </row>
    <row r="37" spans="1:6" ht="21.5" customHeight="1">
      <c r="A37" s="65" t="s">
        <v>2777</v>
      </c>
      <c r="B37" s="64" t="s">
        <v>2514</v>
      </c>
      <c r="C37" s="53"/>
      <c r="D37" s="102">
        <v>4202229090</v>
      </c>
      <c r="E37" s="53"/>
      <c r="F37" s="53"/>
    </row>
    <row r="38" spans="1:6" ht="10.25" customHeight="1">
      <c r="A38" s="118" t="s">
        <v>2778</v>
      </c>
      <c r="B38" s="59" t="s">
        <v>2593</v>
      </c>
      <c r="C38" s="57">
        <v>14.4</v>
      </c>
      <c r="D38" s="53"/>
      <c r="E38" s="58">
        <v>43.2</v>
      </c>
      <c r="F38" s="55" t="s">
        <v>2534</v>
      </c>
    </row>
    <row r="39" spans="1:6" ht="22.25" customHeight="1">
      <c r="A39" s="85" t="s">
        <v>2779</v>
      </c>
      <c r="B39" s="64" t="s">
        <v>2514</v>
      </c>
      <c r="C39" s="53"/>
      <c r="D39" s="102">
        <v>3926909790</v>
      </c>
      <c r="E39" s="53"/>
      <c r="F39" s="53"/>
    </row>
    <row r="40" spans="1:6" ht="10.25" customHeight="1">
      <c r="A40" s="118" t="s">
        <v>2780</v>
      </c>
      <c r="B40" s="59" t="s">
        <v>2584</v>
      </c>
      <c r="C40" s="57">
        <v>12.72</v>
      </c>
      <c r="D40" s="53"/>
      <c r="E40" s="54">
        <v>25.44</v>
      </c>
      <c r="F40" s="55" t="s">
        <v>2534</v>
      </c>
    </row>
    <row r="41" spans="1:6" ht="21.5" customHeight="1">
      <c r="A41" s="150" t="s">
        <v>2781</v>
      </c>
      <c r="B41" s="150"/>
      <c r="C41" s="53"/>
      <c r="D41" s="102">
        <v>4202229090</v>
      </c>
      <c r="E41" s="53"/>
      <c r="F41" s="53"/>
    </row>
    <row r="42" spans="1:6" ht="11.25" customHeight="1">
      <c r="A42" s="118" t="s">
        <v>2782</v>
      </c>
      <c r="B42" s="59" t="s">
        <v>2593</v>
      </c>
      <c r="C42" s="57">
        <v>14.4</v>
      </c>
      <c r="D42" s="53"/>
      <c r="E42" s="58">
        <v>43.2</v>
      </c>
      <c r="F42" s="55" t="s">
        <v>2534</v>
      </c>
    </row>
    <row r="43" spans="1:6" ht="21.5" customHeight="1">
      <c r="A43" s="85" t="s">
        <v>2783</v>
      </c>
      <c r="B43" s="64" t="s">
        <v>2514</v>
      </c>
      <c r="C43" s="53"/>
      <c r="D43" s="102">
        <v>4202221000</v>
      </c>
      <c r="E43" s="53"/>
      <c r="F43" s="53"/>
    </row>
    <row r="44" spans="1:6" ht="10.25" customHeight="1">
      <c r="A44" s="118" t="s">
        <v>2784</v>
      </c>
      <c r="B44" s="59" t="s">
        <v>2593</v>
      </c>
      <c r="C44" s="57">
        <v>11.88</v>
      </c>
      <c r="D44" s="53"/>
      <c r="E44" s="54">
        <v>35.64</v>
      </c>
      <c r="F44" s="55" t="s">
        <v>2534</v>
      </c>
    </row>
    <row r="45" spans="1:6" ht="21.5" customHeight="1">
      <c r="A45" s="85" t="s">
        <v>2785</v>
      </c>
      <c r="B45" s="64" t="s">
        <v>2514</v>
      </c>
      <c r="C45" s="53"/>
      <c r="D45" s="102">
        <v>4202221000</v>
      </c>
      <c r="E45" s="53"/>
      <c r="F45" s="53"/>
    </row>
    <row r="46" spans="1:6" ht="10.25" customHeight="1">
      <c r="A46" s="118" t="s">
        <v>2786</v>
      </c>
      <c r="B46" s="59" t="s">
        <v>2593</v>
      </c>
      <c r="C46" s="52">
        <v>9</v>
      </c>
      <c r="D46" s="53"/>
      <c r="E46" s="58">
        <v>27</v>
      </c>
      <c r="F46" s="55" t="s">
        <v>2534</v>
      </c>
    </row>
    <row r="47" spans="1:6" ht="21.5" customHeight="1">
      <c r="A47" s="85" t="s">
        <v>2787</v>
      </c>
      <c r="B47" s="64" t="s">
        <v>2514</v>
      </c>
      <c r="C47" s="53"/>
      <c r="D47" s="102">
        <v>9111800000</v>
      </c>
      <c r="E47" s="53"/>
      <c r="F47" s="53"/>
    </row>
    <row r="48" spans="1:6" ht="10.25" customHeight="1">
      <c r="A48" s="118" t="s">
        <v>2788</v>
      </c>
      <c r="B48" s="59" t="s">
        <v>2584</v>
      </c>
      <c r="C48" s="57">
        <v>13.44</v>
      </c>
      <c r="D48" s="53"/>
      <c r="E48" s="54">
        <v>26.88</v>
      </c>
      <c r="F48" s="55" t="s">
        <v>2534</v>
      </c>
    </row>
    <row r="49" spans="1:6" ht="21.5" customHeight="1">
      <c r="A49" s="150" t="s">
        <v>2789</v>
      </c>
      <c r="B49" s="150"/>
      <c r="C49" s="53"/>
      <c r="D49" s="102">
        <v>3926909790</v>
      </c>
      <c r="E49" s="53"/>
      <c r="F49" s="53"/>
    </row>
    <row r="50" spans="1:6" ht="11.25" customHeight="1">
      <c r="A50" s="118" t="s">
        <v>2790</v>
      </c>
      <c r="B50" s="59" t="s">
        <v>2578</v>
      </c>
      <c r="C50" s="52">
        <v>2.52</v>
      </c>
      <c r="D50" s="53"/>
      <c r="E50" s="54">
        <v>15.12</v>
      </c>
      <c r="F50" s="55" t="s">
        <v>2534</v>
      </c>
    </row>
    <row r="51" spans="1:6" ht="21.5" customHeight="1">
      <c r="A51" s="85" t="s">
        <v>2791</v>
      </c>
      <c r="B51" s="64" t="s">
        <v>2514</v>
      </c>
      <c r="C51" s="53"/>
      <c r="D51" s="102">
        <v>9113900099</v>
      </c>
      <c r="E51" s="53"/>
      <c r="F51" s="53"/>
    </row>
    <row r="52" spans="1:6" ht="10.25" customHeight="1">
      <c r="A52" s="118" t="s">
        <v>2792</v>
      </c>
      <c r="B52" s="59" t="s">
        <v>2584</v>
      </c>
      <c r="C52" s="57">
        <v>13.44</v>
      </c>
      <c r="D52" s="53"/>
      <c r="E52" s="54">
        <v>26.88</v>
      </c>
      <c r="F52" s="55" t="s">
        <v>2534</v>
      </c>
    </row>
    <row r="53" spans="1:6" ht="22.25" customHeight="1">
      <c r="A53" s="150" t="s">
        <v>2793</v>
      </c>
      <c r="B53" s="150"/>
      <c r="C53" s="53"/>
      <c r="D53" s="102">
        <v>4202229090</v>
      </c>
      <c r="E53" s="53"/>
      <c r="F53" s="53"/>
    </row>
    <row r="54" spans="1:6" ht="10.25" customHeight="1">
      <c r="A54" s="118" t="s">
        <v>2794</v>
      </c>
      <c r="B54" s="59" t="s">
        <v>2593</v>
      </c>
      <c r="C54" s="57">
        <v>18.96</v>
      </c>
      <c r="D54" s="53"/>
      <c r="E54" s="54">
        <v>56.88</v>
      </c>
      <c r="F54" s="55" t="s">
        <v>2534</v>
      </c>
    </row>
    <row r="55" spans="1:6" ht="21.5" customHeight="1">
      <c r="A55" s="85" t="s">
        <v>2795</v>
      </c>
      <c r="B55" s="64" t="s">
        <v>2514</v>
      </c>
      <c r="C55" s="53"/>
      <c r="D55" s="102">
        <v>9111800000</v>
      </c>
      <c r="E55" s="53"/>
      <c r="F55" s="53"/>
    </row>
    <row r="56" spans="1:6" ht="11.25" customHeight="1">
      <c r="A56" s="118" t="s">
        <v>2796</v>
      </c>
      <c r="B56" s="59" t="s">
        <v>2584</v>
      </c>
      <c r="C56" s="57">
        <v>12.6</v>
      </c>
      <c r="D56" s="53"/>
      <c r="E56" s="58">
        <v>25.2</v>
      </c>
      <c r="F56" s="55" t="s">
        <v>2534</v>
      </c>
    </row>
    <row r="57" spans="1:6" ht="20" customHeight="1">
      <c r="A57" s="103" t="s">
        <v>2797</v>
      </c>
      <c r="B57" s="67" t="s">
        <v>2514</v>
      </c>
      <c r="C57" s="28"/>
      <c r="D57" s="104">
        <v>4202221000</v>
      </c>
      <c r="E57" s="28"/>
      <c r="F57" s="28"/>
    </row>
  </sheetData>
  <mergeCells count="6">
    <mergeCell ref="A53:B53"/>
    <mergeCell ref="A29:B29"/>
    <mergeCell ref="A30:B30"/>
    <mergeCell ref="C30:E30"/>
    <mergeCell ref="A41:B41"/>
    <mergeCell ref="A49:B49"/>
  </mergeCells>
  <pageMargins left="1.25" right="1.25" top="1" bottom="1" header="0.25" footer="0.2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2" enableFormatConditionsCalculation="0"/>
  <dimension ref="A1:D57"/>
  <sheetViews>
    <sheetView workbookViewId="0">
      <selection activeCell="A32" sqref="A32"/>
    </sheetView>
  </sheetViews>
  <sheetFormatPr baseColWidth="10" defaultRowHeight="14" x14ac:dyDescent="0"/>
  <cols>
    <col min="1" max="1" width="71.1640625" customWidth="1"/>
    <col min="2" max="2" width="18.1640625" customWidth="1"/>
    <col min="3" max="3" width="15.33203125" customWidth="1"/>
    <col min="4" max="4" width="5.5" customWidth="1"/>
  </cols>
  <sheetData>
    <row r="1" spans="1:1">
      <c r="A1" t="s">
        <v>3771</v>
      </c>
    </row>
    <row r="7" spans="1:1">
      <c r="A7" s="25" t="s">
        <v>2798</v>
      </c>
    </row>
    <row r="8" spans="1:1">
      <c r="A8" s="24" t="s">
        <v>2495</v>
      </c>
    </row>
    <row r="9" spans="1:1">
      <c r="A9" s="25" t="s">
        <v>2496</v>
      </c>
    </row>
    <row r="10" spans="1:1">
      <c r="A10" s="25" t="s">
        <v>2497</v>
      </c>
    </row>
    <row r="11" spans="1:1">
      <c r="A11" s="25" t="s">
        <v>2498</v>
      </c>
    </row>
    <row r="12" spans="1:1">
      <c r="A12" s="25" t="s">
        <v>2499</v>
      </c>
    </row>
    <row r="15" spans="1:1">
      <c r="A15" s="24" t="s">
        <v>2490</v>
      </c>
    </row>
    <row r="16" spans="1:1">
      <c r="A16" s="24" t="s">
        <v>2491</v>
      </c>
    </row>
    <row r="17" spans="1:4">
      <c r="A17" s="24" t="s">
        <v>2492</v>
      </c>
    </row>
    <row r="18" spans="1:4">
      <c r="A18" s="24" t="s">
        <v>2493</v>
      </c>
    </row>
    <row r="20" spans="1:4">
      <c r="A20" s="26" t="s">
        <v>2500</v>
      </c>
    </row>
    <row r="22" spans="1:4">
      <c r="A22" s="24" t="s">
        <v>2607</v>
      </c>
    </row>
    <row r="23" spans="1:4">
      <c r="A23" s="24" t="s">
        <v>2608</v>
      </c>
    </row>
    <row r="24" spans="1:4">
      <c r="A24" s="24" t="s">
        <v>2609</v>
      </c>
    </row>
    <row r="25" spans="1:4">
      <c r="A25" s="24" t="s">
        <v>2509</v>
      </c>
    </row>
    <row r="26" spans="1:4">
      <c r="A26" s="25" t="s">
        <v>2510</v>
      </c>
    </row>
    <row r="27" spans="1:4">
      <c r="A27" s="24" t="s">
        <v>2511</v>
      </c>
    </row>
    <row r="28" spans="1:4" ht="13.75" customHeight="1">
      <c r="A28" s="99" t="s">
        <v>2512</v>
      </c>
      <c r="B28" s="28"/>
      <c r="C28" s="28"/>
      <c r="D28" s="28"/>
    </row>
    <row r="29" spans="1:4" ht="12" customHeight="1">
      <c r="A29" s="105" t="s">
        <v>2622</v>
      </c>
      <c r="B29" s="110" t="s">
        <v>2799</v>
      </c>
      <c r="C29" s="100" t="s">
        <v>2625</v>
      </c>
      <c r="D29" s="72" t="s">
        <v>2626</v>
      </c>
    </row>
    <row r="30" spans="1:4" ht="13.75" customHeight="1">
      <c r="A30" s="101" t="s">
        <v>2684</v>
      </c>
      <c r="B30" s="153" t="s">
        <v>2685</v>
      </c>
      <c r="C30" s="153"/>
      <c r="D30" s="53"/>
    </row>
    <row r="31" spans="1:4" ht="14.5" customHeight="1">
      <c r="A31" s="122" t="s">
        <v>2553</v>
      </c>
      <c r="B31" s="53"/>
      <c r="C31" s="53"/>
      <c r="D31" s="53"/>
    </row>
    <row r="32" spans="1:4" ht="10.25" customHeight="1">
      <c r="A32" s="118" t="s">
        <v>2800</v>
      </c>
      <c r="B32" s="57">
        <v>13.44</v>
      </c>
      <c r="C32" s="54">
        <v>26.88</v>
      </c>
      <c r="D32" s="55" t="s">
        <v>2534</v>
      </c>
    </row>
    <row r="33" spans="1:4" ht="21.5" customHeight="1">
      <c r="A33" s="85" t="s">
        <v>2801</v>
      </c>
      <c r="B33" s="111">
        <v>4202229090</v>
      </c>
      <c r="C33" s="53"/>
      <c r="D33" s="53"/>
    </row>
    <row r="34" spans="1:4" ht="10.25" customHeight="1">
      <c r="A34" s="118" t="s">
        <v>2802</v>
      </c>
      <c r="B34" s="52">
        <v>4.5599999999999996</v>
      </c>
      <c r="C34" s="54">
        <v>27.36</v>
      </c>
      <c r="D34" s="55" t="s">
        <v>2534</v>
      </c>
    </row>
    <row r="35" spans="1:4" ht="22.25" customHeight="1">
      <c r="A35" s="85" t="s">
        <v>2803</v>
      </c>
      <c r="B35" s="111">
        <v>3926909790</v>
      </c>
      <c r="C35" s="53"/>
      <c r="D35" s="53"/>
    </row>
    <row r="36" spans="1:4" ht="10.25" customHeight="1">
      <c r="A36" s="118" t="s">
        <v>2804</v>
      </c>
      <c r="B36" s="57">
        <v>12.72</v>
      </c>
      <c r="C36" s="54">
        <v>50.88</v>
      </c>
      <c r="D36" s="55" t="s">
        <v>2534</v>
      </c>
    </row>
    <row r="37" spans="1:4" ht="21.5" customHeight="1">
      <c r="A37" s="85" t="s">
        <v>2805</v>
      </c>
      <c r="B37" s="111">
        <v>3926909790</v>
      </c>
      <c r="C37" s="53"/>
      <c r="D37" s="53"/>
    </row>
    <row r="38" spans="1:4" ht="10.25" customHeight="1">
      <c r="A38" s="118" t="s">
        <v>2806</v>
      </c>
      <c r="B38" s="57">
        <v>13.08</v>
      </c>
      <c r="C38" s="54">
        <v>26.16</v>
      </c>
      <c r="D38" s="55" t="s">
        <v>2534</v>
      </c>
    </row>
    <row r="39" spans="1:4" ht="22.25" customHeight="1">
      <c r="A39" s="85" t="s">
        <v>2807</v>
      </c>
      <c r="B39" s="111">
        <v>4202221000</v>
      </c>
      <c r="C39" s="53"/>
      <c r="D39" s="53"/>
    </row>
    <row r="40" spans="1:4" ht="10.25" customHeight="1">
      <c r="A40" s="118" t="s">
        <v>2808</v>
      </c>
      <c r="B40" s="52">
        <v>9</v>
      </c>
      <c r="C40" s="58">
        <v>54</v>
      </c>
      <c r="D40" s="55" t="s">
        <v>2534</v>
      </c>
    </row>
    <row r="41" spans="1:4" ht="21.5" customHeight="1">
      <c r="A41" s="85" t="s">
        <v>2809</v>
      </c>
      <c r="B41" s="111">
        <v>3926909790</v>
      </c>
      <c r="C41" s="53"/>
      <c r="D41" s="53"/>
    </row>
    <row r="42" spans="1:4" ht="11.25" customHeight="1">
      <c r="A42" s="118" t="s">
        <v>2810</v>
      </c>
      <c r="B42" s="57">
        <v>18.12</v>
      </c>
      <c r="C42" s="54">
        <v>72.48</v>
      </c>
      <c r="D42" s="55" t="s">
        <v>2534</v>
      </c>
    </row>
    <row r="43" spans="1:4" ht="21.5" customHeight="1">
      <c r="A43" s="85" t="s">
        <v>2811</v>
      </c>
      <c r="B43" s="111">
        <v>4202321000</v>
      </c>
      <c r="C43" s="53"/>
      <c r="D43" s="53"/>
    </row>
    <row r="44" spans="1:4" ht="10.25" customHeight="1">
      <c r="A44" s="118" t="s">
        <v>2812</v>
      </c>
      <c r="B44" s="57">
        <v>13.32</v>
      </c>
      <c r="C44" s="54">
        <v>39.96</v>
      </c>
      <c r="D44" s="55" t="s">
        <v>2534</v>
      </c>
    </row>
    <row r="45" spans="1:4" ht="21.5" customHeight="1">
      <c r="A45" s="85" t="s">
        <v>2813</v>
      </c>
      <c r="B45" s="111">
        <v>3926909790</v>
      </c>
      <c r="C45" s="53"/>
      <c r="D45" s="53"/>
    </row>
    <row r="46" spans="1:4" ht="10.25" customHeight="1">
      <c r="A46" s="118" t="s">
        <v>2814</v>
      </c>
      <c r="B46" s="57">
        <v>29.4</v>
      </c>
      <c r="C46" s="58">
        <v>58.8</v>
      </c>
      <c r="D46" s="55" t="s">
        <v>2534</v>
      </c>
    </row>
    <row r="47" spans="1:4" ht="21.5" customHeight="1">
      <c r="A47" s="85" t="s">
        <v>2815</v>
      </c>
      <c r="B47" s="111">
        <v>4202921100</v>
      </c>
      <c r="C47" s="53"/>
      <c r="D47" s="53"/>
    </row>
    <row r="48" spans="1:4" ht="10.25" customHeight="1">
      <c r="A48" s="118" t="s">
        <v>2816</v>
      </c>
      <c r="B48" s="57">
        <v>14.4</v>
      </c>
      <c r="C48" s="58">
        <v>28.8</v>
      </c>
      <c r="D48" s="55" t="s">
        <v>2534</v>
      </c>
    </row>
    <row r="49" spans="1:4" ht="21.5" customHeight="1">
      <c r="A49" s="85" t="s">
        <v>2817</v>
      </c>
      <c r="B49" s="111">
        <v>4202221000</v>
      </c>
      <c r="C49" s="53"/>
      <c r="D49" s="53"/>
    </row>
    <row r="50" spans="1:4" ht="11.25" customHeight="1">
      <c r="A50" s="118" t="s">
        <v>2818</v>
      </c>
      <c r="B50" s="57">
        <v>10.8</v>
      </c>
      <c r="C50" s="58">
        <v>21.6</v>
      </c>
      <c r="D50" s="55" t="s">
        <v>2534</v>
      </c>
    </row>
    <row r="51" spans="1:4" ht="21.5" customHeight="1">
      <c r="A51" s="85" t="s">
        <v>2819</v>
      </c>
      <c r="B51" s="111">
        <v>4202229090</v>
      </c>
      <c r="C51" s="53"/>
      <c r="D51" s="53"/>
    </row>
    <row r="52" spans="1:4" ht="10.25" customHeight="1">
      <c r="A52" s="118" t="s">
        <v>2820</v>
      </c>
      <c r="B52" s="52">
        <v>8.4</v>
      </c>
      <c r="C52" s="58">
        <v>25.2</v>
      </c>
      <c r="D52" s="55" t="s">
        <v>2534</v>
      </c>
    </row>
    <row r="53" spans="1:4" ht="22.25" customHeight="1">
      <c r="A53" s="85" t="s">
        <v>2821</v>
      </c>
      <c r="B53" s="111">
        <v>9111800000</v>
      </c>
      <c r="C53" s="53"/>
      <c r="D53" s="53"/>
    </row>
    <row r="54" spans="1:4" ht="10.25" customHeight="1">
      <c r="A54" s="118" t="s">
        <v>2822</v>
      </c>
      <c r="B54" s="52">
        <v>8.4</v>
      </c>
      <c r="C54" s="58">
        <v>25.2</v>
      </c>
      <c r="D54" s="55" t="s">
        <v>2534</v>
      </c>
    </row>
    <row r="55" spans="1:4" ht="21.5" customHeight="1">
      <c r="A55" s="85" t="s">
        <v>2823</v>
      </c>
      <c r="B55" s="111">
        <v>9111800000</v>
      </c>
      <c r="C55" s="53"/>
      <c r="D55" s="53"/>
    </row>
    <row r="56" spans="1:4" ht="11.25" customHeight="1">
      <c r="A56" s="118" t="s">
        <v>2824</v>
      </c>
      <c r="B56" s="57">
        <v>12.6</v>
      </c>
      <c r="C56" s="112">
        <v>226.8</v>
      </c>
      <c r="D56" s="55" t="s">
        <v>2534</v>
      </c>
    </row>
    <row r="57" spans="1:4" ht="20" customHeight="1">
      <c r="A57" s="103" t="s">
        <v>2825</v>
      </c>
      <c r="B57" s="113">
        <v>6307909899</v>
      </c>
      <c r="C57" s="28"/>
      <c r="D57" s="28"/>
    </row>
  </sheetData>
  <mergeCells count="1">
    <mergeCell ref="B30:C30"/>
  </mergeCells>
  <pageMargins left="1.25" right="1.25" top="1" bottom="1" header="0.25" footer="0.2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3" enableFormatConditionsCalculation="0"/>
  <dimension ref="A7:E58"/>
  <sheetViews>
    <sheetView workbookViewId="0">
      <selection activeCell="B20" sqref="B20"/>
    </sheetView>
  </sheetViews>
  <sheetFormatPr baseColWidth="10" defaultRowHeight="14" x14ac:dyDescent="0"/>
  <cols>
    <col min="1" max="1" width="64.33203125" customWidth="1"/>
    <col min="2" max="2" width="8.1640625" customWidth="1"/>
    <col min="3" max="3" width="17.1640625" customWidth="1"/>
    <col min="4" max="4" width="16.1640625" customWidth="1"/>
    <col min="5" max="5" width="6.1640625" customWidth="1"/>
  </cols>
  <sheetData>
    <row r="7" spans="1:5">
      <c r="A7" s="25" t="s">
        <v>2826</v>
      </c>
    </row>
    <row r="8" spans="1:5">
      <c r="A8" s="24" t="s">
        <v>2495</v>
      </c>
    </row>
    <row r="9" spans="1:5">
      <c r="A9" s="25" t="s">
        <v>2496</v>
      </c>
    </row>
    <row r="10" spans="1:5">
      <c r="A10" s="25" t="s">
        <v>2497</v>
      </c>
    </row>
    <row r="11" spans="1:5">
      <c r="A11" s="25" t="s">
        <v>2498</v>
      </c>
    </row>
    <row r="12" spans="1:5">
      <c r="A12" s="25" t="s">
        <v>2499</v>
      </c>
    </row>
    <row r="15" spans="1:5" ht="12" customHeight="1">
      <c r="A15" s="155" t="s">
        <v>2622</v>
      </c>
      <c r="B15" s="155"/>
      <c r="C15" s="100" t="s">
        <v>2799</v>
      </c>
      <c r="D15" s="73" t="s">
        <v>2625</v>
      </c>
      <c r="E15" s="100" t="s">
        <v>2626</v>
      </c>
    </row>
    <row r="16" spans="1:5" ht="13.75" customHeight="1">
      <c r="A16" s="152" t="s">
        <v>2684</v>
      </c>
      <c r="B16" s="152"/>
      <c r="C16" s="153" t="s">
        <v>2685</v>
      </c>
      <c r="D16" s="153"/>
      <c r="E16" s="53"/>
    </row>
    <row r="17" spans="1:5" ht="14.5" customHeight="1">
      <c r="A17" s="122" t="s">
        <v>2553</v>
      </c>
      <c r="B17" s="53"/>
      <c r="C17" s="53"/>
      <c r="D17" s="53"/>
      <c r="E17" s="53"/>
    </row>
    <row r="18" spans="1:5" ht="11.25" customHeight="1">
      <c r="A18" s="118" t="s">
        <v>2827</v>
      </c>
      <c r="B18" s="59" t="s">
        <v>2584</v>
      </c>
      <c r="C18" s="57">
        <v>14.4</v>
      </c>
      <c r="D18" s="58">
        <v>28.8</v>
      </c>
      <c r="E18" s="55" t="s">
        <v>2534</v>
      </c>
    </row>
    <row r="19" spans="1:5" ht="21.5" customHeight="1">
      <c r="A19" s="118" t="s">
        <v>2828</v>
      </c>
      <c r="B19" s="64" t="s">
        <v>2514</v>
      </c>
      <c r="C19" s="114">
        <v>6307909810</v>
      </c>
      <c r="D19" s="53"/>
      <c r="E19" s="53"/>
    </row>
    <row r="20" spans="1:5" ht="10.25" customHeight="1">
      <c r="A20" s="118" t="s">
        <v>2829</v>
      </c>
      <c r="B20" s="59" t="s">
        <v>2600</v>
      </c>
      <c r="C20" s="57">
        <v>11.88</v>
      </c>
      <c r="D20" s="54">
        <v>47.52</v>
      </c>
      <c r="E20" s="55" t="s">
        <v>2534</v>
      </c>
    </row>
    <row r="21" spans="1:5" ht="22.25" customHeight="1">
      <c r="A21" s="118" t="s">
        <v>2830</v>
      </c>
      <c r="B21" s="64" t="s">
        <v>2514</v>
      </c>
      <c r="C21" s="114">
        <v>3926909790</v>
      </c>
      <c r="D21" s="53"/>
      <c r="E21" s="53"/>
    </row>
    <row r="22" spans="1:5" ht="10.25" customHeight="1">
      <c r="A22" s="118" t="s">
        <v>2831</v>
      </c>
      <c r="B22" s="59" t="s">
        <v>2584</v>
      </c>
      <c r="C22" s="52">
        <v>9.7799999999999994</v>
      </c>
      <c r="D22" s="54">
        <v>19.559999999999999</v>
      </c>
      <c r="E22" s="55" t="s">
        <v>2534</v>
      </c>
    </row>
    <row r="23" spans="1:5" ht="21.5" customHeight="1">
      <c r="A23" s="65" t="s">
        <v>2832</v>
      </c>
      <c r="B23" s="64" t="s">
        <v>2514</v>
      </c>
      <c r="C23" s="114">
        <v>4202229090</v>
      </c>
      <c r="D23" s="53"/>
      <c r="E23" s="53"/>
    </row>
    <row r="24" spans="1:5" ht="10.25" customHeight="1">
      <c r="A24" s="118" t="s">
        <v>2833</v>
      </c>
      <c r="B24" s="59" t="s">
        <v>2584</v>
      </c>
      <c r="C24" s="57">
        <v>11.88</v>
      </c>
      <c r="D24" s="54">
        <v>23.76</v>
      </c>
      <c r="E24" s="55" t="s">
        <v>2534</v>
      </c>
    </row>
    <row r="25" spans="1:5" ht="22.25" customHeight="1">
      <c r="A25" s="118" t="s">
        <v>2834</v>
      </c>
      <c r="B25" s="64" t="s">
        <v>2514</v>
      </c>
      <c r="C25" s="114">
        <v>4202221000</v>
      </c>
      <c r="D25" s="53"/>
      <c r="E25" s="53"/>
    </row>
    <row r="26" spans="1:5" ht="10.25" customHeight="1">
      <c r="A26" s="118" t="s">
        <v>2835</v>
      </c>
      <c r="B26" s="59" t="s">
        <v>2593</v>
      </c>
      <c r="C26" s="57">
        <v>14.4</v>
      </c>
      <c r="D26" s="58">
        <v>43.2</v>
      </c>
      <c r="E26" s="55" t="s">
        <v>2534</v>
      </c>
    </row>
    <row r="27" spans="1:5" ht="21.5" customHeight="1">
      <c r="A27" s="118" t="s">
        <v>2836</v>
      </c>
      <c r="B27" s="64" t="s">
        <v>2514</v>
      </c>
      <c r="C27" s="114">
        <v>4202221000</v>
      </c>
      <c r="D27" s="53"/>
      <c r="E27" s="53"/>
    </row>
    <row r="28" spans="1:5" ht="10.25" customHeight="1">
      <c r="A28" s="118" t="s">
        <v>2837</v>
      </c>
      <c r="B28" s="59" t="s">
        <v>2584</v>
      </c>
      <c r="C28" s="57">
        <v>12.72</v>
      </c>
      <c r="D28" s="54">
        <v>25.44</v>
      </c>
      <c r="E28" s="55" t="s">
        <v>2534</v>
      </c>
    </row>
    <row r="29" spans="1:5" ht="21.5" customHeight="1">
      <c r="A29" s="65" t="s">
        <v>2838</v>
      </c>
      <c r="B29" s="64" t="s">
        <v>2514</v>
      </c>
      <c r="C29" s="114">
        <v>4202229090</v>
      </c>
      <c r="D29" s="53"/>
      <c r="E29" s="53"/>
    </row>
    <row r="30" spans="1:5" ht="10.25" customHeight="1">
      <c r="A30" s="118" t="s">
        <v>2839</v>
      </c>
      <c r="B30" s="59" t="s">
        <v>2581</v>
      </c>
      <c r="C30" s="57">
        <v>13.08</v>
      </c>
      <c r="D30" s="54">
        <v>13.08</v>
      </c>
      <c r="E30" s="55" t="s">
        <v>2534</v>
      </c>
    </row>
    <row r="31" spans="1:5" ht="21.5" customHeight="1">
      <c r="A31" s="118" t="s">
        <v>2840</v>
      </c>
      <c r="B31" s="64" t="s">
        <v>2514</v>
      </c>
      <c r="C31" s="114">
        <v>4202221000</v>
      </c>
      <c r="D31" s="53"/>
      <c r="E31" s="53"/>
    </row>
    <row r="32" spans="1:5" ht="11.25" customHeight="1">
      <c r="A32" s="118" t="s">
        <v>2841</v>
      </c>
      <c r="B32" s="59" t="s">
        <v>2584</v>
      </c>
      <c r="C32" s="57">
        <v>12.6</v>
      </c>
      <c r="D32" s="58">
        <v>25.2</v>
      </c>
      <c r="E32" s="55" t="s">
        <v>2534</v>
      </c>
    </row>
    <row r="33" spans="1:5" ht="21.5" customHeight="1">
      <c r="A33" s="118" t="s">
        <v>2842</v>
      </c>
      <c r="B33" s="64" t="s">
        <v>2514</v>
      </c>
      <c r="C33" s="114">
        <v>4202221000</v>
      </c>
      <c r="D33" s="53"/>
      <c r="E33" s="53"/>
    </row>
    <row r="34" spans="1:5" ht="10.25" customHeight="1">
      <c r="A34" s="118" t="s">
        <v>2843</v>
      </c>
      <c r="B34" s="59" t="s">
        <v>2584</v>
      </c>
      <c r="C34" s="52">
        <v>7.8</v>
      </c>
      <c r="D34" s="58">
        <v>15.6</v>
      </c>
      <c r="E34" s="55" t="s">
        <v>2534</v>
      </c>
    </row>
    <row r="35" spans="1:5" ht="21.5" customHeight="1">
      <c r="A35" s="118" t="s">
        <v>2844</v>
      </c>
      <c r="B35" s="64" t="s">
        <v>2514</v>
      </c>
      <c r="C35" s="114">
        <v>4202229090</v>
      </c>
      <c r="D35" s="53"/>
      <c r="E35" s="53"/>
    </row>
    <row r="36" spans="1:5" ht="10.25" customHeight="1">
      <c r="A36" s="118" t="s">
        <v>2845</v>
      </c>
      <c r="B36" s="59" t="s">
        <v>2584</v>
      </c>
      <c r="C36" s="52">
        <v>9.7799999999999994</v>
      </c>
      <c r="D36" s="54">
        <v>19.559999999999999</v>
      </c>
      <c r="E36" s="55" t="s">
        <v>2534</v>
      </c>
    </row>
    <row r="37" spans="1:5" ht="21.5" customHeight="1">
      <c r="A37" s="65" t="s">
        <v>2846</v>
      </c>
      <c r="B37" s="64" t="s">
        <v>2514</v>
      </c>
      <c r="C37" s="114">
        <v>4202229090</v>
      </c>
      <c r="D37" s="53"/>
      <c r="E37" s="53"/>
    </row>
    <row r="38" spans="1:5" ht="10.25" customHeight="1">
      <c r="A38" s="118" t="s">
        <v>2847</v>
      </c>
      <c r="B38" s="59" t="s">
        <v>2584</v>
      </c>
      <c r="C38" s="57">
        <v>12.72</v>
      </c>
      <c r="D38" s="54">
        <v>25.44</v>
      </c>
      <c r="E38" s="55" t="s">
        <v>2534</v>
      </c>
    </row>
    <row r="39" spans="1:5" ht="22.25" customHeight="1">
      <c r="A39" s="118" t="s">
        <v>2848</v>
      </c>
      <c r="B39" s="64" t="s">
        <v>2514</v>
      </c>
      <c r="C39" s="114">
        <v>6307909899</v>
      </c>
      <c r="D39" s="53"/>
      <c r="E39" s="53"/>
    </row>
    <row r="40" spans="1:5" ht="10.25" customHeight="1">
      <c r="A40" s="118" t="s">
        <v>2849</v>
      </c>
      <c r="B40" s="59" t="s">
        <v>2584</v>
      </c>
      <c r="C40" s="57">
        <v>11.04</v>
      </c>
      <c r="D40" s="54">
        <v>22.08</v>
      </c>
      <c r="E40" s="55" t="s">
        <v>2534</v>
      </c>
    </row>
    <row r="41" spans="1:5" ht="21.5" customHeight="1">
      <c r="A41" s="118" t="s">
        <v>2850</v>
      </c>
      <c r="B41" s="64" t="s">
        <v>2514</v>
      </c>
      <c r="C41" s="114">
        <v>4202221000</v>
      </c>
      <c r="D41" s="53"/>
      <c r="E41" s="53"/>
    </row>
    <row r="42" spans="1:5" ht="10.25" customHeight="1">
      <c r="A42" s="118" t="s">
        <v>2851</v>
      </c>
      <c r="B42" s="59" t="s">
        <v>2578</v>
      </c>
      <c r="C42" s="52">
        <v>3</v>
      </c>
      <c r="D42" s="58">
        <v>18</v>
      </c>
      <c r="E42" s="55" t="s">
        <v>2534</v>
      </c>
    </row>
    <row r="43" spans="1:5" ht="20" customHeight="1">
      <c r="A43" s="99" t="s">
        <v>2852</v>
      </c>
      <c r="B43" s="67" t="s">
        <v>2514</v>
      </c>
      <c r="C43" s="115">
        <v>3926909790</v>
      </c>
      <c r="D43" s="28"/>
      <c r="E43" s="28"/>
    </row>
    <row r="45" spans="1:5">
      <c r="A45" s="24" t="s">
        <v>2509</v>
      </c>
    </row>
    <row r="46" spans="1:5">
      <c r="A46" s="25" t="s">
        <v>2510</v>
      </c>
    </row>
    <row r="47" spans="1:5">
      <c r="A47" s="24" t="s">
        <v>2511</v>
      </c>
    </row>
    <row r="48" spans="1:5">
      <c r="A48" s="25" t="s">
        <v>2606</v>
      </c>
    </row>
    <row r="49" spans="1:1">
      <c r="A49" s="24" t="s">
        <v>2490</v>
      </c>
    </row>
    <row r="50" spans="1:1">
      <c r="A50" s="24" t="s">
        <v>2491</v>
      </c>
    </row>
    <row r="51" spans="1:1">
      <c r="A51" s="24" t="s">
        <v>2492</v>
      </c>
    </row>
    <row r="52" spans="1:1">
      <c r="A52" s="24" t="s">
        <v>2493</v>
      </c>
    </row>
    <row r="54" spans="1:1">
      <c r="A54" s="26" t="s">
        <v>2500</v>
      </c>
    </row>
    <row r="56" spans="1:1">
      <c r="A56" s="24" t="s">
        <v>2607</v>
      </c>
    </row>
    <row r="57" spans="1:1">
      <c r="A57" s="24" t="s">
        <v>2608</v>
      </c>
    </row>
    <row r="58" spans="1:1">
      <c r="A58" s="24" t="s">
        <v>2609</v>
      </c>
    </row>
  </sheetData>
  <mergeCells count="3">
    <mergeCell ref="A15:B15"/>
    <mergeCell ref="A16:B16"/>
    <mergeCell ref="C16:D16"/>
  </mergeCells>
  <pageMargins left="1.25" right="1.25" top="1" bottom="1" header="0.25" footer="0.2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4" enableFormatConditionsCalculation="0"/>
  <dimension ref="A7:F58"/>
  <sheetViews>
    <sheetView workbookViewId="0"/>
  </sheetViews>
  <sheetFormatPr baseColWidth="10" defaultRowHeight="14" x14ac:dyDescent="0"/>
  <cols>
    <col min="1" max="1" width="61.6640625" customWidth="1"/>
    <col min="2" max="2" width="11" customWidth="1"/>
    <col min="3" max="3" width="8.1640625" customWidth="1"/>
    <col min="4" max="4" width="9.83203125" customWidth="1"/>
    <col min="5" max="5" width="16.1640625" customWidth="1"/>
    <col min="6" max="6" width="6.1640625" customWidth="1"/>
  </cols>
  <sheetData>
    <row r="7" spans="1:6">
      <c r="A7" s="69" t="s">
        <v>2853</v>
      </c>
    </row>
    <row r="8" spans="1:6">
      <c r="A8" s="24" t="s">
        <v>2611</v>
      </c>
    </row>
    <row r="9" spans="1:6">
      <c r="A9" s="69" t="s">
        <v>2612</v>
      </c>
    </row>
    <row r="10" spans="1:6">
      <c r="A10" s="69" t="s">
        <v>2613</v>
      </c>
    </row>
    <row r="11" spans="1:6">
      <c r="A11" s="69" t="s">
        <v>2614</v>
      </c>
    </row>
    <row r="12" spans="1:6">
      <c r="A12" s="69" t="s">
        <v>2615</v>
      </c>
    </row>
    <row r="15" spans="1:6" ht="12" customHeight="1">
      <c r="A15" s="155" t="s">
        <v>2622</v>
      </c>
      <c r="B15" s="155"/>
      <c r="C15" s="72" t="s">
        <v>2623</v>
      </c>
      <c r="D15" s="105" t="s">
        <v>2624</v>
      </c>
      <c r="E15" s="73" t="s">
        <v>2625</v>
      </c>
      <c r="F15" s="100" t="s">
        <v>2626</v>
      </c>
    </row>
    <row r="16" spans="1:6" ht="13.75" customHeight="1">
      <c r="A16" s="152" t="s">
        <v>2627</v>
      </c>
      <c r="B16" s="152"/>
      <c r="C16" s="151" t="s">
        <v>2628</v>
      </c>
      <c r="D16" s="151"/>
      <c r="E16" s="151"/>
      <c r="F16" s="53"/>
    </row>
    <row r="17" spans="1:6" ht="14.5" customHeight="1">
      <c r="A17" s="122" t="s">
        <v>2629</v>
      </c>
      <c r="B17" s="53"/>
      <c r="C17" s="53"/>
      <c r="D17" s="53"/>
      <c r="E17" s="53"/>
      <c r="F17" s="53"/>
    </row>
    <row r="18" spans="1:6" ht="11.25" customHeight="1">
      <c r="A18" s="116" t="s">
        <v>2854</v>
      </c>
      <c r="B18" s="106" t="s">
        <v>2719</v>
      </c>
      <c r="C18" s="76">
        <v>9.6</v>
      </c>
      <c r="D18" s="53"/>
      <c r="E18" s="77">
        <v>28.8</v>
      </c>
      <c r="F18" s="78" t="s">
        <v>2631</v>
      </c>
    </row>
    <row r="19" spans="1:6" ht="21.5" customHeight="1">
      <c r="A19" s="116" t="s">
        <v>2855</v>
      </c>
      <c r="B19" s="64" t="s">
        <v>2514</v>
      </c>
      <c r="C19" s="53"/>
      <c r="D19" s="80">
        <v>3926909790</v>
      </c>
      <c r="E19" s="53"/>
      <c r="F19" s="53"/>
    </row>
    <row r="20" spans="1:6" ht="10.25" customHeight="1">
      <c r="A20" s="116" t="s">
        <v>2856</v>
      </c>
      <c r="B20" s="106" t="s">
        <v>2732</v>
      </c>
      <c r="C20" s="81">
        <v>14.4</v>
      </c>
      <c r="D20" s="53"/>
      <c r="E20" s="77">
        <v>57.6</v>
      </c>
      <c r="F20" s="78" t="s">
        <v>2631</v>
      </c>
    </row>
    <row r="21" spans="1:6" ht="22.25" customHeight="1">
      <c r="A21" s="116" t="s">
        <v>2857</v>
      </c>
      <c r="B21" s="64" t="s">
        <v>2514</v>
      </c>
      <c r="C21" s="53"/>
      <c r="D21" s="80">
        <v>4202221000</v>
      </c>
      <c r="E21" s="53"/>
      <c r="F21" s="53"/>
    </row>
    <row r="22" spans="1:6" ht="10.25" customHeight="1">
      <c r="A22" s="116" t="s">
        <v>2858</v>
      </c>
      <c r="B22" s="106" t="s">
        <v>2714</v>
      </c>
      <c r="C22" s="81">
        <v>12.72</v>
      </c>
      <c r="D22" s="53"/>
      <c r="E22" s="82">
        <v>25.44</v>
      </c>
      <c r="F22" s="78" t="s">
        <v>2631</v>
      </c>
    </row>
    <row r="23" spans="1:6" ht="21.5" customHeight="1">
      <c r="A23" s="158" t="s">
        <v>2859</v>
      </c>
      <c r="B23" s="158"/>
      <c r="C23" s="53"/>
      <c r="D23" s="80">
        <v>4202229090</v>
      </c>
      <c r="E23" s="53"/>
      <c r="F23" s="53"/>
    </row>
    <row r="24" spans="1:6" ht="10.25" customHeight="1">
      <c r="A24" s="116" t="s">
        <v>2860</v>
      </c>
      <c r="B24" s="106" t="s">
        <v>2714</v>
      </c>
      <c r="C24" s="81">
        <v>12.72</v>
      </c>
      <c r="D24" s="53"/>
      <c r="E24" s="82">
        <v>25.44</v>
      </c>
      <c r="F24" s="78" t="s">
        <v>2631</v>
      </c>
    </row>
    <row r="25" spans="1:6" ht="22.25" customHeight="1">
      <c r="A25" s="116" t="s">
        <v>2861</v>
      </c>
      <c r="B25" s="64" t="s">
        <v>2514</v>
      </c>
      <c r="C25" s="53"/>
      <c r="D25" s="80">
        <v>6307909810</v>
      </c>
      <c r="E25" s="53"/>
      <c r="F25" s="53"/>
    </row>
    <row r="26" spans="1:6" ht="10.25" customHeight="1">
      <c r="A26" s="116" t="s">
        <v>2862</v>
      </c>
      <c r="B26" s="106" t="s">
        <v>2863</v>
      </c>
      <c r="C26" s="76">
        <v>9.6</v>
      </c>
      <c r="D26" s="53"/>
      <c r="E26" s="77">
        <v>96</v>
      </c>
      <c r="F26" s="78" t="s">
        <v>2631</v>
      </c>
    </row>
    <row r="27" spans="1:6" ht="21.5" customHeight="1">
      <c r="A27" s="116" t="s">
        <v>2864</v>
      </c>
      <c r="B27" s="64" t="s">
        <v>2514</v>
      </c>
      <c r="C27" s="53"/>
      <c r="D27" s="80">
        <v>3926909790</v>
      </c>
      <c r="E27" s="53"/>
      <c r="F27" s="53"/>
    </row>
    <row r="28" spans="1:6" ht="10.25" customHeight="1">
      <c r="A28" s="116" t="s">
        <v>2865</v>
      </c>
      <c r="B28" s="106" t="s">
        <v>2719</v>
      </c>
      <c r="C28" s="76">
        <v>9</v>
      </c>
      <c r="D28" s="53"/>
      <c r="E28" s="77">
        <v>27</v>
      </c>
      <c r="F28" s="78" t="s">
        <v>2631</v>
      </c>
    </row>
    <row r="29" spans="1:6" ht="21.5" customHeight="1">
      <c r="A29" s="116" t="s">
        <v>2866</v>
      </c>
      <c r="B29" s="64" t="s">
        <v>2514</v>
      </c>
      <c r="C29" s="53"/>
      <c r="D29" s="80">
        <v>9111800000</v>
      </c>
      <c r="E29" s="53"/>
      <c r="F29" s="53"/>
    </row>
    <row r="30" spans="1:6" ht="10.25" customHeight="1">
      <c r="A30" s="116" t="s">
        <v>2867</v>
      </c>
      <c r="B30" s="106" t="s">
        <v>2719</v>
      </c>
      <c r="C30" s="81">
        <v>18.96</v>
      </c>
      <c r="D30" s="53"/>
      <c r="E30" s="82">
        <v>56.88</v>
      </c>
      <c r="F30" s="78" t="s">
        <v>2631</v>
      </c>
    </row>
    <row r="31" spans="1:6" ht="21.5" customHeight="1">
      <c r="A31" s="116" t="s">
        <v>2868</v>
      </c>
      <c r="B31" s="64" t="s">
        <v>2514</v>
      </c>
      <c r="C31" s="53"/>
      <c r="D31" s="80">
        <v>9111800000</v>
      </c>
      <c r="E31" s="53"/>
      <c r="F31" s="53"/>
    </row>
    <row r="32" spans="1:6" ht="11.25" customHeight="1">
      <c r="A32" s="116" t="s">
        <v>2869</v>
      </c>
      <c r="B32" s="106" t="s">
        <v>2870</v>
      </c>
      <c r="C32" s="76">
        <v>7.2</v>
      </c>
      <c r="D32" s="53"/>
      <c r="E32" s="77">
        <v>57.6</v>
      </c>
      <c r="F32" s="78" t="s">
        <v>2631</v>
      </c>
    </row>
    <row r="33" spans="1:6" ht="21.5" customHeight="1">
      <c r="A33" s="116" t="s">
        <v>2871</v>
      </c>
      <c r="B33" s="64" t="s">
        <v>2514</v>
      </c>
      <c r="C33" s="53"/>
      <c r="D33" s="80">
        <v>3926909790</v>
      </c>
      <c r="E33" s="53"/>
      <c r="F33" s="53"/>
    </row>
    <row r="34" spans="1:6" ht="10.25" customHeight="1">
      <c r="A34" s="116" t="s">
        <v>2872</v>
      </c>
      <c r="B34" s="106" t="s">
        <v>2714</v>
      </c>
      <c r="C34" s="81">
        <v>18.12</v>
      </c>
      <c r="D34" s="53"/>
      <c r="E34" s="82">
        <v>36.24</v>
      </c>
      <c r="F34" s="78" t="s">
        <v>2631</v>
      </c>
    </row>
    <row r="35" spans="1:6" ht="21.5" customHeight="1">
      <c r="A35" s="116" t="s">
        <v>2873</v>
      </c>
      <c r="B35" s="64" t="s">
        <v>2514</v>
      </c>
      <c r="C35" s="53"/>
      <c r="D35" s="80">
        <v>6307909899</v>
      </c>
      <c r="E35" s="53"/>
      <c r="F35" s="53"/>
    </row>
    <row r="36" spans="1:6" ht="10.25" customHeight="1">
      <c r="A36" s="116" t="s">
        <v>2874</v>
      </c>
      <c r="B36" s="106" t="s">
        <v>2714</v>
      </c>
      <c r="C36" s="81">
        <v>18.239999999999998</v>
      </c>
      <c r="D36" s="53"/>
      <c r="E36" s="82">
        <v>36.479999999999997</v>
      </c>
      <c r="F36" s="78" t="s">
        <v>2631</v>
      </c>
    </row>
    <row r="37" spans="1:6" ht="21.5" customHeight="1">
      <c r="A37" s="116" t="s">
        <v>2875</v>
      </c>
      <c r="B37" s="64" t="s">
        <v>2514</v>
      </c>
      <c r="C37" s="53"/>
      <c r="D37" s="80">
        <v>6307909810</v>
      </c>
      <c r="E37" s="53"/>
      <c r="F37" s="53"/>
    </row>
    <row r="38" spans="1:6" ht="10.25" customHeight="1">
      <c r="A38" s="116" t="s">
        <v>2876</v>
      </c>
      <c r="B38" s="106" t="s">
        <v>2714</v>
      </c>
      <c r="C38" s="76">
        <v>9.36</v>
      </c>
      <c r="D38" s="53"/>
      <c r="E38" s="82">
        <v>18.72</v>
      </c>
      <c r="F38" s="78" t="s">
        <v>2631</v>
      </c>
    </row>
    <row r="39" spans="1:6" ht="22.25" customHeight="1">
      <c r="A39" s="107" t="s">
        <v>2877</v>
      </c>
      <c r="B39" s="64" t="s">
        <v>2514</v>
      </c>
      <c r="C39" s="53"/>
      <c r="D39" s="80">
        <v>4202229090</v>
      </c>
      <c r="E39" s="53"/>
      <c r="F39" s="53"/>
    </row>
    <row r="40" spans="1:6" ht="10.25" customHeight="1">
      <c r="A40" s="116" t="s">
        <v>2878</v>
      </c>
      <c r="B40" s="106" t="s">
        <v>2714</v>
      </c>
      <c r="C40" s="81">
        <v>10.8</v>
      </c>
      <c r="D40" s="53"/>
      <c r="E40" s="77">
        <v>21.6</v>
      </c>
      <c r="F40" s="78" t="s">
        <v>2631</v>
      </c>
    </row>
    <row r="41" spans="1:6" ht="21.5" customHeight="1">
      <c r="A41" s="158" t="s">
        <v>2879</v>
      </c>
      <c r="B41" s="158"/>
      <c r="C41" s="53"/>
      <c r="D41" s="80">
        <v>4202229090</v>
      </c>
      <c r="E41" s="53"/>
      <c r="F41" s="53"/>
    </row>
    <row r="42" spans="1:6" ht="10.25" customHeight="1">
      <c r="A42" s="116" t="s">
        <v>2880</v>
      </c>
      <c r="B42" s="106" t="s">
        <v>2719</v>
      </c>
      <c r="C42" s="81">
        <v>19.32</v>
      </c>
      <c r="D42" s="53"/>
      <c r="E42" s="82">
        <v>57.96</v>
      </c>
      <c r="F42" s="78" t="s">
        <v>2631</v>
      </c>
    </row>
    <row r="43" spans="1:6" ht="20" customHeight="1">
      <c r="A43" s="70" t="s">
        <v>2881</v>
      </c>
      <c r="B43" s="67" t="s">
        <v>2514</v>
      </c>
      <c r="C43" s="28"/>
      <c r="D43" s="84">
        <v>4202321000</v>
      </c>
      <c r="E43" s="28"/>
      <c r="F43" s="28"/>
    </row>
    <row r="45" spans="1:6">
      <c r="A45" s="24" t="s">
        <v>2509</v>
      </c>
    </row>
    <row r="46" spans="1:6">
      <c r="A46" s="69" t="s">
        <v>2620</v>
      </c>
    </row>
    <row r="47" spans="1:6">
      <c r="A47" s="24" t="s">
        <v>2511</v>
      </c>
    </row>
    <row r="48" spans="1:6">
      <c r="A48" s="69" t="s">
        <v>2882</v>
      </c>
    </row>
    <row r="49" spans="1:1">
      <c r="A49" s="24" t="s">
        <v>2616</v>
      </c>
    </row>
    <row r="50" spans="1:1">
      <c r="A50" s="24" t="s">
        <v>2491</v>
      </c>
    </row>
    <row r="51" spans="1:1">
      <c r="A51" s="24" t="s">
        <v>2617</v>
      </c>
    </row>
    <row r="52" spans="1:1">
      <c r="A52" s="24" t="s">
        <v>2493</v>
      </c>
    </row>
    <row r="54" spans="1:1">
      <c r="A54" s="26" t="s">
        <v>2500</v>
      </c>
    </row>
    <row r="56" spans="1:1">
      <c r="A56" s="24" t="s">
        <v>2618</v>
      </c>
    </row>
    <row r="57" spans="1:1">
      <c r="A57" s="24" t="s">
        <v>2619</v>
      </c>
    </row>
    <row r="58" spans="1:1">
      <c r="A58" s="24" t="s">
        <v>2609</v>
      </c>
    </row>
  </sheetData>
  <mergeCells count="5">
    <mergeCell ref="A15:B15"/>
    <mergeCell ref="A16:B16"/>
    <mergeCell ref="C16:E16"/>
    <mergeCell ref="A23:B23"/>
    <mergeCell ref="A41:B41"/>
  </mergeCells>
  <pageMargins left="1.25" right="1.25" top="1" bottom="1" header="0.25" footer="0.2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5" enableFormatConditionsCalculation="0"/>
  <dimension ref="A7:F59"/>
  <sheetViews>
    <sheetView workbookViewId="0"/>
  </sheetViews>
  <sheetFormatPr baseColWidth="10" defaultRowHeight="14" x14ac:dyDescent="0"/>
  <cols>
    <col min="1" max="1" width="63.83203125" customWidth="1"/>
    <col min="2" max="2" width="8.83203125" customWidth="1"/>
    <col min="3" max="3" width="8.1640625" customWidth="1"/>
    <col min="4" max="4" width="9.83203125" customWidth="1"/>
    <col min="5" max="5" width="16.1640625" customWidth="1"/>
    <col min="6" max="6" width="6.1640625" customWidth="1"/>
  </cols>
  <sheetData>
    <row r="7" spans="1:6">
      <c r="A7" s="25" t="s">
        <v>2883</v>
      </c>
    </row>
    <row r="8" spans="1:6">
      <c r="A8" s="51">
        <v>11</v>
      </c>
    </row>
    <row r="9" spans="1:6">
      <c r="A9" s="24" t="s">
        <v>2495</v>
      </c>
    </row>
    <row r="10" spans="1:6">
      <c r="A10" s="25" t="s">
        <v>2496</v>
      </c>
    </row>
    <row r="11" spans="1:6">
      <c r="A11" s="25" t="s">
        <v>2497</v>
      </c>
    </row>
    <row r="12" spans="1:6">
      <c r="A12" s="25" t="s">
        <v>2498</v>
      </c>
    </row>
    <row r="13" spans="1:6">
      <c r="A13" s="25" t="s">
        <v>2499</v>
      </c>
    </row>
    <row r="16" spans="1:6" ht="12" customHeight="1">
      <c r="A16" s="155" t="s">
        <v>2622</v>
      </c>
      <c r="B16" s="155"/>
      <c r="C16" s="72" t="s">
        <v>2623</v>
      </c>
      <c r="D16" s="105" t="s">
        <v>2624</v>
      </c>
      <c r="E16" s="73" t="s">
        <v>2625</v>
      </c>
      <c r="F16" s="100" t="s">
        <v>2626</v>
      </c>
    </row>
    <row r="17" spans="1:6" ht="13.75" customHeight="1">
      <c r="A17" s="152" t="s">
        <v>2684</v>
      </c>
      <c r="B17" s="152"/>
      <c r="C17" s="153" t="s">
        <v>2685</v>
      </c>
      <c r="D17" s="153"/>
      <c r="E17" s="153"/>
      <c r="F17" s="53"/>
    </row>
    <row r="18" spans="1:6" ht="14.5" customHeight="1">
      <c r="A18" s="122" t="s">
        <v>2553</v>
      </c>
      <c r="B18" s="53"/>
      <c r="C18" s="53"/>
      <c r="D18" s="53"/>
      <c r="E18" s="53"/>
      <c r="F18" s="53"/>
    </row>
    <row r="19" spans="1:6" ht="11.25" customHeight="1">
      <c r="A19" s="118" t="s">
        <v>2884</v>
      </c>
      <c r="B19" s="59" t="s">
        <v>2581</v>
      </c>
      <c r="C19" s="57">
        <v>14.4</v>
      </c>
      <c r="D19" s="53"/>
      <c r="E19" s="58">
        <v>14.4</v>
      </c>
      <c r="F19" s="55" t="s">
        <v>2534</v>
      </c>
    </row>
    <row r="20" spans="1:6" ht="21.5" customHeight="1">
      <c r="A20" s="118" t="s">
        <v>2885</v>
      </c>
      <c r="B20" s="64" t="s">
        <v>2514</v>
      </c>
      <c r="C20" s="53"/>
      <c r="D20" s="102">
        <v>4202221000</v>
      </c>
      <c r="E20" s="53"/>
      <c r="F20" s="53"/>
    </row>
    <row r="21" spans="1:6" ht="10.25" customHeight="1">
      <c r="A21" s="118" t="s">
        <v>2886</v>
      </c>
      <c r="B21" s="59" t="s">
        <v>2584</v>
      </c>
      <c r="C21" s="57">
        <v>14.4</v>
      </c>
      <c r="D21" s="53"/>
      <c r="E21" s="58">
        <v>28.8</v>
      </c>
      <c r="F21" s="55" t="s">
        <v>2534</v>
      </c>
    </row>
    <row r="22" spans="1:6" ht="22.25" customHeight="1">
      <c r="A22" s="65" t="s">
        <v>2887</v>
      </c>
      <c r="B22" s="64" t="s">
        <v>2514</v>
      </c>
      <c r="C22" s="53"/>
      <c r="D22" s="102">
        <v>6307909899</v>
      </c>
      <c r="E22" s="53"/>
      <c r="F22" s="53"/>
    </row>
    <row r="23" spans="1:6" ht="10.25" customHeight="1">
      <c r="A23" s="118" t="s">
        <v>2888</v>
      </c>
      <c r="B23" s="59" t="s">
        <v>2593</v>
      </c>
      <c r="C23" s="52">
        <v>7.08</v>
      </c>
      <c r="D23" s="53"/>
      <c r="E23" s="54">
        <v>21.24</v>
      </c>
      <c r="F23" s="55" t="s">
        <v>2534</v>
      </c>
    </row>
    <row r="24" spans="1:6" ht="21.5" customHeight="1">
      <c r="A24" s="117" t="s">
        <v>2889</v>
      </c>
      <c r="B24" s="64" t="s">
        <v>2514</v>
      </c>
      <c r="C24" s="53"/>
      <c r="D24" s="102">
        <v>4202229090</v>
      </c>
      <c r="E24" s="53"/>
      <c r="F24" s="53"/>
    </row>
    <row r="25" spans="1:6" ht="10.25" customHeight="1">
      <c r="A25" s="118" t="s">
        <v>2890</v>
      </c>
      <c r="B25" s="59" t="s">
        <v>2584</v>
      </c>
      <c r="C25" s="57">
        <v>12.6</v>
      </c>
      <c r="D25" s="53"/>
      <c r="E25" s="58">
        <v>25.2</v>
      </c>
      <c r="F25" s="55" t="s">
        <v>2534</v>
      </c>
    </row>
    <row r="26" spans="1:6" ht="22.25" customHeight="1">
      <c r="A26" s="118" t="s">
        <v>2891</v>
      </c>
      <c r="B26" s="64" t="s">
        <v>2514</v>
      </c>
      <c r="C26" s="53"/>
      <c r="D26" s="102">
        <v>4202221000</v>
      </c>
      <c r="E26" s="53"/>
      <c r="F26" s="53"/>
    </row>
    <row r="27" spans="1:6" ht="10.25" customHeight="1">
      <c r="A27" s="118" t="s">
        <v>2892</v>
      </c>
      <c r="B27" s="59" t="s">
        <v>2593</v>
      </c>
      <c r="C27" s="52">
        <v>7.8</v>
      </c>
      <c r="D27" s="53"/>
      <c r="E27" s="58">
        <v>23.4</v>
      </c>
      <c r="F27" s="55" t="s">
        <v>2534</v>
      </c>
    </row>
    <row r="28" spans="1:6" ht="21.5" customHeight="1">
      <c r="A28" s="118" t="s">
        <v>2893</v>
      </c>
      <c r="B28" s="64" t="s">
        <v>2514</v>
      </c>
      <c r="C28" s="53"/>
      <c r="D28" s="102">
        <v>4202229090</v>
      </c>
      <c r="E28" s="53"/>
      <c r="F28" s="53"/>
    </row>
    <row r="29" spans="1:6" ht="10.25" customHeight="1">
      <c r="A29" s="118" t="s">
        <v>2894</v>
      </c>
      <c r="B29" s="59" t="s">
        <v>2581</v>
      </c>
      <c r="C29" s="57">
        <v>13.08</v>
      </c>
      <c r="D29" s="53"/>
      <c r="E29" s="54">
        <v>13.08</v>
      </c>
      <c r="F29" s="55" t="s">
        <v>2534</v>
      </c>
    </row>
    <row r="30" spans="1:6" ht="21.5" customHeight="1">
      <c r="A30" s="118" t="s">
        <v>2895</v>
      </c>
      <c r="B30" s="64" t="s">
        <v>2514</v>
      </c>
      <c r="C30" s="53"/>
      <c r="D30" s="102">
        <v>4202221000</v>
      </c>
      <c r="E30" s="53"/>
      <c r="F30" s="53"/>
    </row>
    <row r="31" spans="1:6" ht="10.25" customHeight="1">
      <c r="A31" s="118" t="s">
        <v>2896</v>
      </c>
      <c r="B31" s="59" t="s">
        <v>2584</v>
      </c>
      <c r="C31" s="52">
        <v>4.5599999999999996</v>
      </c>
      <c r="D31" s="53"/>
      <c r="E31" s="54">
        <v>9.1199999999999992</v>
      </c>
      <c r="F31" s="55" t="s">
        <v>2534</v>
      </c>
    </row>
    <row r="32" spans="1:6" ht="21.5" customHeight="1">
      <c r="A32" s="118" t="s">
        <v>2897</v>
      </c>
      <c r="B32" s="64" t="s">
        <v>2514</v>
      </c>
      <c r="C32" s="53"/>
      <c r="D32" s="102">
        <v>7909000000</v>
      </c>
      <c r="E32" s="53"/>
      <c r="F32" s="53"/>
    </row>
    <row r="33" spans="1:6" ht="11.25" customHeight="1">
      <c r="A33" s="118" t="s">
        <v>2898</v>
      </c>
      <c r="B33" s="59" t="s">
        <v>2584</v>
      </c>
      <c r="C33" s="57">
        <v>10.8</v>
      </c>
      <c r="D33" s="53"/>
      <c r="E33" s="58">
        <v>21.6</v>
      </c>
      <c r="F33" s="55" t="s">
        <v>2534</v>
      </c>
    </row>
    <row r="34" spans="1:6" ht="21.5" customHeight="1">
      <c r="A34" s="159" t="s">
        <v>2899</v>
      </c>
      <c r="B34" s="159"/>
      <c r="C34" s="53"/>
      <c r="D34" s="102">
        <v>4202229090</v>
      </c>
      <c r="E34" s="53"/>
      <c r="F34" s="53"/>
    </row>
    <row r="35" spans="1:6" ht="10.25" customHeight="1">
      <c r="A35" s="118" t="s">
        <v>2900</v>
      </c>
      <c r="B35" s="59" t="s">
        <v>2578</v>
      </c>
      <c r="C35" s="57">
        <v>12.72</v>
      </c>
      <c r="D35" s="53"/>
      <c r="E35" s="54">
        <v>76.319999999999993</v>
      </c>
      <c r="F35" s="55" t="s">
        <v>2534</v>
      </c>
    </row>
    <row r="36" spans="1:6" ht="21.5" customHeight="1">
      <c r="A36" s="118" t="s">
        <v>2901</v>
      </c>
      <c r="B36" s="64" t="s">
        <v>2514</v>
      </c>
      <c r="C36" s="53"/>
      <c r="D36" s="102">
        <v>3926909790</v>
      </c>
      <c r="E36" s="53"/>
      <c r="F36" s="53"/>
    </row>
    <row r="37" spans="1:6" ht="10.25" customHeight="1">
      <c r="A37" s="118" t="s">
        <v>2902</v>
      </c>
      <c r="B37" s="59" t="s">
        <v>2593</v>
      </c>
      <c r="C37" s="52">
        <v>8.4</v>
      </c>
      <c r="D37" s="53"/>
      <c r="E37" s="58">
        <v>25.2</v>
      </c>
      <c r="F37" s="55" t="s">
        <v>2534</v>
      </c>
    </row>
    <row r="38" spans="1:6" ht="21.5" customHeight="1">
      <c r="A38" s="118" t="s">
        <v>2903</v>
      </c>
      <c r="B38" s="64" t="s">
        <v>2514</v>
      </c>
      <c r="C38" s="53"/>
      <c r="D38" s="102">
        <v>9111800000</v>
      </c>
      <c r="E38" s="53"/>
      <c r="F38" s="53"/>
    </row>
    <row r="39" spans="1:6" ht="10.25" customHeight="1">
      <c r="A39" s="118" t="s">
        <v>2904</v>
      </c>
      <c r="B39" s="59" t="s">
        <v>2584</v>
      </c>
      <c r="C39" s="57">
        <v>19.32</v>
      </c>
      <c r="D39" s="53"/>
      <c r="E39" s="54">
        <v>38.64</v>
      </c>
      <c r="F39" s="55" t="s">
        <v>2534</v>
      </c>
    </row>
    <row r="40" spans="1:6" ht="22.25" customHeight="1">
      <c r="A40" s="118" t="s">
        <v>2905</v>
      </c>
      <c r="B40" s="64" t="s">
        <v>2514</v>
      </c>
      <c r="C40" s="53"/>
      <c r="D40" s="102">
        <v>6307909810</v>
      </c>
      <c r="E40" s="53"/>
      <c r="F40" s="53"/>
    </row>
    <row r="41" spans="1:6" ht="10.25" customHeight="1">
      <c r="A41" s="118" t="s">
        <v>2906</v>
      </c>
      <c r="B41" s="59" t="s">
        <v>2581</v>
      </c>
      <c r="C41" s="57">
        <v>14.4</v>
      </c>
      <c r="D41" s="53"/>
      <c r="E41" s="58">
        <v>14.4</v>
      </c>
      <c r="F41" s="55" t="s">
        <v>2534</v>
      </c>
    </row>
    <row r="42" spans="1:6" ht="21.5" customHeight="1">
      <c r="A42" s="118" t="s">
        <v>2907</v>
      </c>
      <c r="B42" s="64" t="s">
        <v>2514</v>
      </c>
      <c r="C42" s="53"/>
      <c r="D42" s="102">
        <v>4202221000</v>
      </c>
      <c r="E42" s="53"/>
      <c r="F42" s="53"/>
    </row>
    <row r="43" spans="1:6" ht="10.25" customHeight="1">
      <c r="A43" s="118" t="s">
        <v>2908</v>
      </c>
      <c r="B43" s="59" t="s">
        <v>2584</v>
      </c>
      <c r="C43" s="57">
        <v>18.12</v>
      </c>
      <c r="D43" s="53"/>
      <c r="E43" s="54">
        <v>36.24</v>
      </c>
      <c r="F43" s="55" t="s">
        <v>2534</v>
      </c>
    </row>
    <row r="44" spans="1:6" ht="20" customHeight="1">
      <c r="A44" s="66" t="s">
        <v>2909</v>
      </c>
      <c r="B44" s="67" t="s">
        <v>2514</v>
      </c>
      <c r="C44" s="28"/>
      <c r="D44" s="104">
        <v>3926909790</v>
      </c>
      <c r="E44" s="28"/>
      <c r="F44" s="28"/>
    </row>
    <row r="46" spans="1:6">
      <c r="A46" s="24" t="s">
        <v>2509</v>
      </c>
    </row>
    <row r="47" spans="1:6">
      <c r="A47" s="25" t="s">
        <v>2510</v>
      </c>
    </row>
    <row r="48" spans="1:6">
      <c r="A48" s="24" t="s">
        <v>2511</v>
      </c>
    </row>
    <row r="49" spans="1:1">
      <c r="A49" s="25" t="s">
        <v>2606</v>
      </c>
    </row>
    <row r="50" spans="1:1">
      <c r="A50" s="24" t="s">
        <v>2490</v>
      </c>
    </row>
    <row r="51" spans="1:1">
      <c r="A51" s="24" t="s">
        <v>2491</v>
      </c>
    </row>
    <row r="52" spans="1:1">
      <c r="A52" s="24" t="s">
        <v>2492</v>
      </c>
    </row>
    <row r="53" spans="1:1">
      <c r="A53" s="24" t="s">
        <v>2493</v>
      </c>
    </row>
    <row r="55" spans="1:1">
      <c r="A55" s="26" t="s">
        <v>2500</v>
      </c>
    </row>
    <row r="57" spans="1:1">
      <c r="A57" s="24" t="s">
        <v>2607</v>
      </c>
    </row>
    <row r="58" spans="1:1">
      <c r="A58" s="24" t="s">
        <v>2608</v>
      </c>
    </row>
    <row r="59" spans="1:1">
      <c r="A59" s="24" t="s">
        <v>2609</v>
      </c>
    </row>
  </sheetData>
  <mergeCells count="4">
    <mergeCell ref="A16:B16"/>
    <mergeCell ref="A17:B17"/>
    <mergeCell ref="C17:E17"/>
    <mergeCell ref="A34:B34"/>
  </mergeCells>
  <pageMargins left="1.25" right="1.25" top="1" bottom="1" header="0.25" footer="0.2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6" enableFormatConditionsCalculation="0"/>
  <dimension ref="A7:E57"/>
  <sheetViews>
    <sheetView workbookViewId="0"/>
  </sheetViews>
  <sheetFormatPr baseColWidth="10" defaultRowHeight="14" x14ac:dyDescent="0"/>
  <cols>
    <col min="1" max="1" width="56.83203125" customWidth="1"/>
    <col min="2" max="2" width="15" customWidth="1"/>
    <col min="3" max="3" width="18.5" customWidth="1"/>
    <col min="4" max="4" width="14.83203125" customWidth="1"/>
    <col min="5" max="5" width="5.5" customWidth="1"/>
  </cols>
  <sheetData>
    <row r="7" spans="1:1">
      <c r="A7" s="25" t="s">
        <v>2910</v>
      </c>
    </row>
    <row r="8" spans="1:1">
      <c r="A8" s="24" t="s">
        <v>2495</v>
      </c>
    </row>
    <row r="9" spans="1:1">
      <c r="A9" s="25" t="s">
        <v>2496</v>
      </c>
    </row>
    <row r="10" spans="1:1">
      <c r="A10" s="25" t="s">
        <v>2497</v>
      </c>
    </row>
    <row r="11" spans="1:1">
      <c r="A11" s="25" t="s">
        <v>2498</v>
      </c>
    </row>
    <row r="12" spans="1:1">
      <c r="A12" s="25" t="s">
        <v>2499</v>
      </c>
    </row>
    <row r="15" spans="1:1">
      <c r="A15" s="24" t="s">
        <v>2490</v>
      </c>
    </row>
    <row r="16" spans="1:1">
      <c r="A16" s="24" t="s">
        <v>2491</v>
      </c>
    </row>
    <row r="17" spans="1:5">
      <c r="A17" s="24" t="s">
        <v>2492</v>
      </c>
    </row>
    <row r="18" spans="1:5">
      <c r="A18" s="24" t="s">
        <v>2493</v>
      </c>
    </row>
    <row r="20" spans="1:5">
      <c r="A20" s="26" t="s">
        <v>2500</v>
      </c>
    </row>
    <row r="22" spans="1:5">
      <c r="A22" s="24" t="s">
        <v>2607</v>
      </c>
    </row>
    <row r="23" spans="1:5">
      <c r="A23" s="24" t="s">
        <v>2608</v>
      </c>
    </row>
    <row r="24" spans="1:5">
      <c r="A24" s="24" t="s">
        <v>2609</v>
      </c>
    </row>
    <row r="25" spans="1:5">
      <c r="A25" s="24" t="s">
        <v>2509</v>
      </c>
    </row>
    <row r="26" spans="1:5">
      <c r="A26" s="25" t="s">
        <v>2510</v>
      </c>
    </row>
    <row r="27" spans="1:5">
      <c r="A27" s="24" t="s">
        <v>2511</v>
      </c>
    </row>
    <row r="28" spans="1:5" ht="13.75" customHeight="1">
      <c r="A28" s="103" t="s">
        <v>2512</v>
      </c>
      <c r="B28" s="28"/>
      <c r="C28" s="28"/>
      <c r="D28" s="28"/>
      <c r="E28" s="28"/>
    </row>
    <row r="29" spans="1:5" ht="12" customHeight="1">
      <c r="A29" s="105" t="s">
        <v>2682</v>
      </c>
      <c r="B29" s="100" t="s">
        <v>2683</v>
      </c>
      <c r="C29" s="110" t="s">
        <v>2799</v>
      </c>
      <c r="D29" s="100" t="s">
        <v>2625</v>
      </c>
      <c r="E29" s="72" t="s">
        <v>2626</v>
      </c>
    </row>
    <row r="30" spans="1:5" ht="13.75" customHeight="1">
      <c r="A30" s="101" t="s">
        <v>2911</v>
      </c>
      <c r="B30" s="119" t="s">
        <v>2912</v>
      </c>
      <c r="C30" s="153" t="s">
        <v>2685</v>
      </c>
      <c r="D30" s="153"/>
      <c r="E30" s="53"/>
    </row>
    <row r="31" spans="1:5" ht="14.5" customHeight="1">
      <c r="A31" s="122" t="s">
        <v>2553</v>
      </c>
      <c r="B31" s="53"/>
      <c r="C31" s="53"/>
      <c r="D31" s="53"/>
      <c r="E31" s="53"/>
    </row>
    <row r="32" spans="1:5" ht="10.25" customHeight="1">
      <c r="A32" s="118" t="s">
        <v>2913</v>
      </c>
      <c r="B32" s="59" t="s">
        <v>2593</v>
      </c>
      <c r="C32" s="52">
        <v>6.6</v>
      </c>
      <c r="D32" s="58">
        <v>19.8</v>
      </c>
      <c r="E32" s="55" t="s">
        <v>2534</v>
      </c>
    </row>
    <row r="33" spans="1:5" ht="21.5" customHeight="1">
      <c r="A33" s="117" t="s">
        <v>2914</v>
      </c>
      <c r="B33" s="120" t="s">
        <v>2514</v>
      </c>
      <c r="C33" s="111">
        <v>4202321000</v>
      </c>
      <c r="D33" s="53"/>
      <c r="E33" s="53"/>
    </row>
    <row r="34" spans="1:5" ht="10.25" customHeight="1">
      <c r="A34" s="118" t="s">
        <v>2915</v>
      </c>
      <c r="B34" s="59" t="s">
        <v>2593</v>
      </c>
      <c r="C34" s="57">
        <v>10.68</v>
      </c>
      <c r="D34" s="54">
        <v>32.04</v>
      </c>
      <c r="E34" s="55" t="s">
        <v>2534</v>
      </c>
    </row>
    <row r="35" spans="1:5" ht="22.25" customHeight="1">
      <c r="A35" s="150" t="s">
        <v>2916</v>
      </c>
      <c r="B35" s="150"/>
      <c r="C35" s="111">
        <v>4202229090</v>
      </c>
      <c r="D35" s="53"/>
      <c r="E35" s="53"/>
    </row>
    <row r="36" spans="1:5" ht="10.25" customHeight="1">
      <c r="A36" s="118" t="s">
        <v>2917</v>
      </c>
      <c r="B36" s="59" t="s">
        <v>2584</v>
      </c>
      <c r="C36" s="57">
        <v>18.12</v>
      </c>
      <c r="D36" s="54">
        <v>36.24</v>
      </c>
      <c r="E36" s="55" t="s">
        <v>2534</v>
      </c>
    </row>
    <row r="37" spans="1:5" ht="21.5" customHeight="1">
      <c r="A37" s="85" t="s">
        <v>2918</v>
      </c>
      <c r="B37" s="120" t="s">
        <v>2514</v>
      </c>
      <c r="C37" s="111">
        <v>6307909810</v>
      </c>
      <c r="D37" s="53"/>
      <c r="E37" s="53"/>
    </row>
    <row r="38" spans="1:5" ht="10.25" customHeight="1">
      <c r="A38" s="118" t="s">
        <v>2919</v>
      </c>
      <c r="B38" s="59" t="s">
        <v>2600</v>
      </c>
      <c r="C38" s="57">
        <v>12.72</v>
      </c>
      <c r="D38" s="54">
        <v>50.88</v>
      </c>
      <c r="E38" s="55" t="s">
        <v>2534</v>
      </c>
    </row>
    <row r="39" spans="1:5" ht="22.25" customHeight="1">
      <c r="A39" s="85" t="s">
        <v>2920</v>
      </c>
      <c r="B39" s="120" t="s">
        <v>2514</v>
      </c>
      <c r="C39" s="111">
        <v>3926909790</v>
      </c>
      <c r="D39" s="53"/>
      <c r="E39" s="53"/>
    </row>
    <row r="40" spans="1:5" ht="10.25" customHeight="1">
      <c r="A40" s="118" t="s">
        <v>2921</v>
      </c>
      <c r="B40" s="59" t="s">
        <v>2600</v>
      </c>
      <c r="C40" s="57">
        <v>12.72</v>
      </c>
      <c r="D40" s="54">
        <v>50.88</v>
      </c>
      <c r="E40" s="55" t="s">
        <v>2534</v>
      </c>
    </row>
    <row r="41" spans="1:5" ht="21.5" customHeight="1">
      <c r="A41" s="85" t="s">
        <v>2922</v>
      </c>
      <c r="B41" s="120" t="s">
        <v>2514</v>
      </c>
      <c r="C41" s="111">
        <v>3926909790</v>
      </c>
      <c r="D41" s="53"/>
      <c r="E41" s="53"/>
    </row>
    <row r="42" spans="1:5" ht="11.25" customHeight="1">
      <c r="A42" s="118" t="s">
        <v>2923</v>
      </c>
      <c r="B42" s="59" t="s">
        <v>2593</v>
      </c>
      <c r="C42" s="57">
        <v>14.4</v>
      </c>
      <c r="D42" s="58">
        <v>43.2</v>
      </c>
      <c r="E42" s="55" t="s">
        <v>2534</v>
      </c>
    </row>
    <row r="43" spans="1:5" ht="21.5" customHeight="1">
      <c r="A43" s="85" t="s">
        <v>2924</v>
      </c>
      <c r="B43" s="120" t="s">
        <v>2514</v>
      </c>
      <c r="C43" s="111">
        <v>4202221000</v>
      </c>
      <c r="D43" s="53"/>
      <c r="E43" s="53"/>
    </row>
    <row r="44" spans="1:5" ht="10.25" customHeight="1">
      <c r="A44" s="118" t="s">
        <v>2925</v>
      </c>
      <c r="B44" s="59" t="s">
        <v>2584</v>
      </c>
      <c r="C44" s="57">
        <v>10.8</v>
      </c>
      <c r="D44" s="58">
        <v>21.6</v>
      </c>
      <c r="E44" s="55" t="s">
        <v>2534</v>
      </c>
    </row>
    <row r="45" spans="1:5" ht="21.5" customHeight="1">
      <c r="A45" s="85" t="s">
        <v>2926</v>
      </c>
      <c r="B45" s="120" t="s">
        <v>2514</v>
      </c>
      <c r="C45" s="111">
        <v>6307909810</v>
      </c>
      <c r="D45" s="53"/>
      <c r="E45" s="53"/>
    </row>
    <row r="46" spans="1:5" ht="10.25" customHeight="1">
      <c r="A46" s="118" t="s">
        <v>2927</v>
      </c>
      <c r="B46" s="59" t="s">
        <v>2584</v>
      </c>
      <c r="C46" s="57">
        <v>29.88</v>
      </c>
      <c r="D46" s="54">
        <v>59.76</v>
      </c>
      <c r="E46" s="55" t="s">
        <v>2534</v>
      </c>
    </row>
    <row r="47" spans="1:5" ht="21.5" customHeight="1">
      <c r="A47" s="85" t="s">
        <v>2928</v>
      </c>
      <c r="B47" s="120" t="s">
        <v>2514</v>
      </c>
      <c r="C47" s="111">
        <v>4202929190</v>
      </c>
      <c r="D47" s="53"/>
      <c r="E47" s="53"/>
    </row>
    <row r="48" spans="1:5" ht="10.25" customHeight="1">
      <c r="A48" s="118" t="s">
        <v>2929</v>
      </c>
      <c r="B48" s="59" t="s">
        <v>2593</v>
      </c>
      <c r="C48" s="52">
        <v>8.4</v>
      </c>
      <c r="D48" s="58">
        <v>25.2</v>
      </c>
      <c r="E48" s="55" t="s">
        <v>2534</v>
      </c>
    </row>
    <row r="49" spans="1:5" ht="21.5" customHeight="1">
      <c r="A49" s="85" t="s">
        <v>2930</v>
      </c>
      <c r="B49" s="120" t="s">
        <v>2514</v>
      </c>
      <c r="C49" s="111">
        <v>9111800000</v>
      </c>
      <c r="D49" s="53"/>
      <c r="E49" s="53"/>
    </row>
    <row r="50" spans="1:5" ht="11.25" customHeight="1">
      <c r="A50" s="118" t="s">
        <v>2931</v>
      </c>
      <c r="B50" s="59" t="s">
        <v>2584</v>
      </c>
      <c r="C50" s="57">
        <v>13.92</v>
      </c>
      <c r="D50" s="54">
        <v>27.84</v>
      </c>
      <c r="E50" s="55" t="s">
        <v>2534</v>
      </c>
    </row>
    <row r="51" spans="1:5" ht="21.5" customHeight="1">
      <c r="A51" s="85" t="s">
        <v>2932</v>
      </c>
      <c r="B51" s="120" t="s">
        <v>2514</v>
      </c>
      <c r="C51" s="111">
        <v>4202221000</v>
      </c>
      <c r="D51" s="53"/>
      <c r="E51" s="53"/>
    </row>
    <row r="52" spans="1:5" ht="10.25" customHeight="1">
      <c r="A52" s="118" t="s">
        <v>2933</v>
      </c>
      <c r="B52" s="59" t="s">
        <v>2593</v>
      </c>
      <c r="C52" s="57">
        <v>21.96</v>
      </c>
      <c r="D52" s="54">
        <v>65.88</v>
      </c>
      <c r="E52" s="55" t="s">
        <v>2534</v>
      </c>
    </row>
    <row r="53" spans="1:5" ht="22.25" customHeight="1">
      <c r="A53" s="150" t="s">
        <v>2934</v>
      </c>
      <c r="B53" s="150"/>
      <c r="C53" s="111">
        <v>3926909790</v>
      </c>
      <c r="D53" s="53"/>
      <c r="E53" s="53"/>
    </row>
    <row r="54" spans="1:5" ht="10.25" customHeight="1">
      <c r="A54" s="118" t="s">
        <v>2935</v>
      </c>
      <c r="B54" s="59" t="s">
        <v>2584</v>
      </c>
      <c r="C54" s="57">
        <v>11.88</v>
      </c>
      <c r="D54" s="54">
        <v>23.76</v>
      </c>
      <c r="E54" s="55" t="s">
        <v>2534</v>
      </c>
    </row>
    <row r="55" spans="1:5" ht="21.5" customHeight="1">
      <c r="A55" s="85" t="s">
        <v>2936</v>
      </c>
      <c r="B55" s="120" t="s">
        <v>2514</v>
      </c>
      <c r="C55" s="111">
        <v>4202221000</v>
      </c>
      <c r="D55" s="53"/>
      <c r="E55" s="53"/>
    </row>
    <row r="56" spans="1:5" ht="11.25" customHeight="1">
      <c r="A56" s="118" t="s">
        <v>2937</v>
      </c>
      <c r="B56" s="59" t="s">
        <v>2938</v>
      </c>
      <c r="C56" s="52">
        <v>4.5599999999999996</v>
      </c>
      <c r="D56" s="54">
        <v>36.479999999999997</v>
      </c>
      <c r="E56" s="55" t="s">
        <v>2534</v>
      </c>
    </row>
    <row r="57" spans="1:5" ht="20" customHeight="1">
      <c r="A57" s="103" t="s">
        <v>2939</v>
      </c>
      <c r="B57" s="121" t="s">
        <v>2514</v>
      </c>
      <c r="C57" s="113">
        <v>3926909790</v>
      </c>
      <c r="D57" s="28"/>
      <c r="E57" s="28"/>
    </row>
  </sheetData>
  <mergeCells count="3">
    <mergeCell ref="C30:D30"/>
    <mergeCell ref="A35:B35"/>
    <mergeCell ref="A53:B53"/>
  </mergeCells>
  <pageMargins left="1.25" right="1.25" top="1" bottom="1" header="0.25" footer="0.2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7" enableFormatConditionsCalculation="0"/>
  <dimension ref="A7:E58"/>
  <sheetViews>
    <sheetView workbookViewId="0"/>
  </sheetViews>
  <sheetFormatPr baseColWidth="10" defaultRowHeight="14" x14ac:dyDescent="0"/>
  <cols>
    <col min="1" max="1" width="63.1640625" customWidth="1"/>
    <col min="2" max="2" width="9.33203125" customWidth="1"/>
    <col min="3" max="3" width="17.1640625" customWidth="1"/>
    <col min="4" max="4" width="16.1640625" customWidth="1"/>
    <col min="5" max="5" width="6.1640625" customWidth="1"/>
  </cols>
  <sheetData>
    <row r="7" spans="1:5">
      <c r="A7" s="25" t="s">
        <v>2940</v>
      </c>
    </row>
    <row r="8" spans="1:5">
      <c r="A8" s="24" t="s">
        <v>2495</v>
      </c>
    </row>
    <row r="9" spans="1:5">
      <c r="A9" s="25" t="s">
        <v>2496</v>
      </c>
    </row>
    <row r="10" spans="1:5">
      <c r="A10" s="25" t="s">
        <v>2497</v>
      </c>
    </row>
    <row r="11" spans="1:5">
      <c r="A11" s="25" t="s">
        <v>2498</v>
      </c>
    </row>
    <row r="12" spans="1:5">
      <c r="A12" s="25" t="s">
        <v>2499</v>
      </c>
    </row>
    <row r="15" spans="1:5" ht="12" customHeight="1">
      <c r="A15" s="155" t="s">
        <v>2622</v>
      </c>
      <c r="B15" s="155"/>
      <c r="C15" s="100" t="s">
        <v>2799</v>
      </c>
      <c r="D15" s="73" t="s">
        <v>2625</v>
      </c>
      <c r="E15" s="100" t="s">
        <v>2626</v>
      </c>
    </row>
    <row r="16" spans="1:5" ht="13.75" customHeight="1">
      <c r="A16" s="152" t="s">
        <v>2684</v>
      </c>
      <c r="B16" s="152"/>
      <c r="C16" s="153" t="s">
        <v>2685</v>
      </c>
      <c r="D16" s="153"/>
      <c r="E16" s="53"/>
    </row>
    <row r="17" spans="1:5" ht="14.5" customHeight="1">
      <c r="A17" s="122" t="s">
        <v>2553</v>
      </c>
      <c r="B17" s="53"/>
      <c r="C17" s="53"/>
      <c r="D17" s="53"/>
      <c r="E17" s="53"/>
    </row>
    <row r="18" spans="1:5" ht="11.25" customHeight="1">
      <c r="A18" s="118" t="s">
        <v>2941</v>
      </c>
      <c r="B18" s="59" t="s">
        <v>2593</v>
      </c>
      <c r="C18" s="57">
        <v>14.4</v>
      </c>
      <c r="D18" s="58">
        <v>43.2</v>
      </c>
      <c r="E18" s="55" t="s">
        <v>2534</v>
      </c>
    </row>
    <row r="19" spans="1:5" ht="21.5" customHeight="1">
      <c r="A19" s="118" t="s">
        <v>2942</v>
      </c>
      <c r="B19" s="64" t="s">
        <v>2514</v>
      </c>
      <c r="C19" s="111">
        <v>4202221000</v>
      </c>
      <c r="D19" s="53"/>
      <c r="E19" s="53"/>
    </row>
    <row r="20" spans="1:5" ht="10.25" customHeight="1">
      <c r="A20" s="118" t="s">
        <v>2943</v>
      </c>
      <c r="B20" s="59" t="s">
        <v>2584</v>
      </c>
      <c r="C20" s="57">
        <v>15.6</v>
      </c>
      <c r="D20" s="58">
        <v>31.2</v>
      </c>
      <c r="E20" s="55" t="s">
        <v>2534</v>
      </c>
    </row>
    <row r="21" spans="1:5" ht="22.25" customHeight="1">
      <c r="A21" s="117" t="s">
        <v>2944</v>
      </c>
      <c r="B21" s="64" t="s">
        <v>2514</v>
      </c>
      <c r="C21" s="111">
        <v>6307909899</v>
      </c>
      <c r="D21" s="53"/>
      <c r="E21" s="53"/>
    </row>
    <row r="22" spans="1:5" ht="10.25" customHeight="1">
      <c r="A22" s="118" t="s">
        <v>2945</v>
      </c>
      <c r="B22" s="59" t="s">
        <v>2593</v>
      </c>
      <c r="C22" s="57">
        <v>16.32</v>
      </c>
      <c r="D22" s="54">
        <v>48.96</v>
      </c>
      <c r="E22" s="55" t="s">
        <v>2534</v>
      </c>
    </row>
    <row r="23" spans="1:5" ht="21.5" customHeight="1">
      <c r="A23" s="118" t="s">
        <v>2946</v>
      </c>
      <c r="B23" s="64" t="s">
        <v>2514</v>
      </c>
      <c r="C23" s="111">
        <v>3926909790</v>
      </c>
      <c r="D23" s="53"/>
      <c r="E23" s="53"/>
    </row>
    <row r="24" spans="1:5" ht="10.25" customHeight="1">
      <c r="A24" s="118" t="s">
        <v>2947</v>
      </c>
      <c r="B24" s="59" t="s">
        <v>2584</v>
      </c>
      <c r="C24" s="57">
        <v>15.6</v>
      </c>
      <c r="D24" s="58">
        <v>31.2</v>
      </c>
      <c r="E24" s="55" t="s">
        <v>2534</v>
      </c>
    </row>
    <row r="25" spans="1:5" ht="22.25" customHeight="1">
      <c r="A25" s="118" t="s">
        <v>2948</v>
      </c>
      <c r="B25" s="64" t="s">
        <v>2514</v>
      </c>
      <c r="C25" s="111">
        <v>6307909810</v>
      </c>
      <c r="D25" s="53"/>
      <c r="E25" s="53"/>
    </row>
    <row r="26" spans="1:5" ht="10.25" customHeight="1">
      <c r="A26" s="118" t="s">
        <v>2949</v>
      </c>
      <c r="B26" s="59" t="s">
        <v>2593</v>
      </c>
      <c r="C26" s="57">
        <v>14.4</v>
      </c>
      <c r="D26" s="58">
        <v>43.2</v>
      </c>
      <c r="E26" s="55" t="s">
        <v>2534</v>
      </c>
    </row>
    <row r="27" spans="1:5" ht="21.5" customHeight="1">
      <c r="A27" s="118" t="s">
        <v>2950</v>
      </c>
      <c r="B27" s="64" t="s">
        <v>2514</v>
      </c>
      <c r="C27" s="111">
        <v>4202221000</v>
      </c>
      <c r="D27" s="53"/>
      <c r="E27" s="53"/>
    </row>
    <row r="28" spans="1:5" ht="10.25" customHeight="1">
      <c r="A28" s="118" t="s">
        <v>2951</v>
      </c>
      <c r="B28" s="59" t="s">
        <v>2578</v>
      </c>
      <c r="C28" s="52">
        <v>1.92</v>
      </c>
      <c r="D28" s="54">
        <v>11.52</v>
      </c>
      <c r="E28" s="55" t="s">
        <v>2534</v>
      </c>
    </row>
    <row r="29" spans="1:5" ht="21.5" customHeight="1">
      <c r="A29" s="118" t="s">
        <v>2748</v>
      </c>
      <c r="B29" s="64" t="s">
        <v>2514</v>
      </c>
      <c r="C29" s="111">
        <v>91021100</v>
      </c>
      <c r="D29" s="53"/>
      <c r="E29" s="53"/>
    </row>
    <row r="30" spans="1:5" ht="10.25" customHeight="1">
      <c r="A30" s="118" t="s">
        <v>2952</v>
      </c>
      <c r="B30" s="59" t="s">
        <v>2593</v>
      </c>
      <c r="C30" s="52">
        <v>6.6</v>
      </c>
      <c r="D30" s="58">
        <v>19.8</v>
      </c>
      <c r="E30" s="55" t="s">
        <v>2534</v>
      </c>
    </row>
    <row r="31" spans="1:5" ht="21.5" customHeight="1">
      <c r="A31" s="65" t="s">
        <v>2953</v>
      </c>
      <c r="B31" s="64" t="s">
        <v>2514</v>
      </c>
      <c r="C31" s="111">
        <v>4202321000</v>
      </c>
      <c r="D31" s="53"/>
      <c r="E31" s="53"/>
    </row>
    <row r="32" spans="1:5" ht="11.25" customHeight="1">
      <c r="A32" s="118" t="s">
        <v>2954</v>
      </c>
      <c r="B32" s="59" t="s">
        <v>2600</v>
      </c>
      <c r="C32" s="57">
        <v>18</v>
      </c>
      <c r="D32" s="58">
        <v>72</v>
      </c>
      <c r="E32" s="55" t="s">
        <v>2534</v>
      </c>
    </row>
    <row r="33" spans="1:5" ht="21.5" customHeight="1">
      <c r="A33" s="65" t="s">
        <v>2955</v>
      </c>
      <c r="B33" s="64" t="s">
        <v>2514</v>
      </c>
      <c r="C33" s="111">
        <v>3926909790</v>
      </c>
      <c r="D33" s="53"/>
      <c r="E33" s="53"/>
    </row>
    <row r="34" spans="1:5" ht="10.25" customHeight="1">
      <c r="A34" s="118" t="s">
        <v>2956</v>
      </c>
      <c r="B34" s="59" t="s">
        <v>2584</v>
      </c>
      <c r="C34" s="57">
        <v>10.8</v>
      </c>
      <c r="D34" s="58">
        <v>21.6</v>
      </c>
      <c r="E34" s="55" t="s">
        <v>2534</v>
      </c>
    </row>
    <row r="35" spans="1:5" ht="21.5" customHeight="1">
      <c r="A35" s="118" t="s">
        <v>2957</v>
      </c>
      <c r="B35" s="64" t="s">
        <v>2514</v>
      </c>
      <c r="C35" s="111">
        <v>6307909810</v>
      </c>
      <c r="D35" s="53"/>
      <c r="E35" s="53"/>
    </row>
    <row r="36" spans="1:5" ht="10.25" customHeight="1">
      <c r="A36" s="118" t="s">
        <v>2958</v>
      </c>
      <c r="B36" s="59" t="s">
        <v>2578</v>
      </c>
      <c r="C36" s="57">
        <v>10.199999999999999</v>
      </c>
      <c r="D36" s="58">
        <v>61.2</v>
      </c>
      <c r="E36" s="55" t="s">
        <v>2534</v>
      </c>
    </row>
    <row r="37" spans="1:5" ht="21.5" customHeight="1">
      <c r="A37" s="118" t="s">
        <v>2959</v>
      </c>
      <c r="B37" s="64" t="s">
        <v>2514</v>
      </c>
      <c r="C37" s="111">
        <v>3926909790</v>
      </c>
      <c r="D37" s="53"/>
      <c r="E37" s="53"/>
    </row>
    <row r="38" spans="1:5" ht="10.25" customHeight="1">
      <c r="A38" s="118" t="s">
        <v>2960</v>
      </c>
      <c r="B38" s="59" t="s">
        <v>2593</v>
      </c>
      <c r="C38" s="52">
        <v>9.6</v>
      </c>
      <c r="D38" s="58">
        <v>28.8</v>
      </c>
      <c r="E38" s="55" t="s">
        <v>2534</v>
      </c>
    </row>
    <row r="39" spans="1:5" ht="22.25" customHeight="1">
      <c r="A39" s="118" t="s">
        <v>2961</v>
      </c>
      <c r="B39" s="64" t="s">
        <v>2514</v>
      </c>
      <c r="C39" s="111">
        <v>3926909790</v>
      </c>
      <c r="D39" s="53"/>
      <c r="E39" s="53"/>
    </row>
    <row r="40" spans="1:5" ht="10.25" customHeight="1">
      <c r="A40" s="118" t="s">
        <v>2962</v>
      </c>
      <c r="B40" s="59" t="s">
        <v>2593</v>
      </c>
      <c r="C40" s="52">
        <v>9</v>
      </c>
      <c r="D40" s="58">
        <v>27</v>
      </c>
      <c r="E40" s="55" t="s">
        <v>2534</v>
      </c>
    </row>
    <row r="41" spans="1:5" ht="21.5" customHeight="1">
      <c r="A41" s="118" t="s">
        <v>2963</v>
      </c>
      <c r="B41" s="64" t="s">
        <v>2514</v>
      </c>
      <c r="C41" s="111">
        <v>9111800000</v>
      </c>
      <c r="D41" s="53"/>
      <c r="E41" s="53"/>
    </row>
    <row r="42" spans="1:5" ht="10.25" customHeight="1">
      <c r="A42" s="118" t="s">
        <v>2964</v>
      </c>
      <c r="B42" s="59" t="s">
        <v>2593</v>
      </c>
      <c r="C42" s="52">
        <v>4.8</v>
      </c>
      <c r="D42" s="58">
        <v>14.4</v>
      </c>
      <c r="E42" s="55" t="s">
        <v>2534</v>
      </c>
    </row>
    <row r="43" spans="1:5" ht="20" customHeight="1">
      <c r="A43" s="99" t="s">
        <v>2965</v>
      </c>
      <c r="B43" s="67" t="s">
        <v>2514</v>
      </c>
      <c r="C43" s="113">
        <v>4202221000</v>
      </c>
      <c r="D43" s="28"/>
      <c r="E43" s="28"/>
    </row>
    <row r="45" spans="1:5">
      <c r="A45" s="24" t="s">
        <v>2509</v>
      </c>
    </row>
    <row r="46" spans="1:5">
      <c r="A46" s="25" t="s">
        <v>2510</v>
      </c>
    </row>
    <row r="47" spans="1:5">
      <c r="A47" s="24" t="s">
        <v>2511</v>
      </c>
    </row>
    <row r="48" spans="1:5">
      <c r="A48" s="25" t="s">
        <v>2606</v>
      </c>
    </row>
    <row r="49" spans="1:1">
      <c r="A49" s="24" t="s">
        <v>2490</v>
      </c>
    </row>
    <row r="50" spans="1:1">
      <c r="A50" s="24" t="s">
        <v>2491</v>
      </c>
    </row>
    <row r="51" spans="1:1">
      <c r="A51" s="24" t="s">
        <v>2492</v>
      </c>
    </row>
    <row r="52" spans="1:1">
      <c r="A52" s="24" t="s">
        <v>2493</v>
      </c>
    </row>
    <row r="54" spans="1:1">
      <c r="A54" s="26" t="s">
        <v>2500</v>
      </c>
    </row>
    <row r="56" spans="1:1">
      <c r="A56" s="24" t="s">
        <v>2607</v>
      </c>
    </row>
    <row r="57" spans="1:1">
      <c r="A57" s="24" t="s">
        <v>2608</v>
      </c>
    </row>
    <row r="58" spans="1:1">
      <c r="A58" s="24" t="s">
        <v>2609</v>
      </c>
    </row>
  </sheetData>
  <mergeCells count="3">
    <mergeCell ref="A15:B15"/>
    <mergeCell ref="A16:B16"/>
    <mergeCell ref="C16:D16"/>
  </mergeCells>
  <pageMargins left="1.25" right="1.25" top="1" bottom="1" header="0.25" footer="0.2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8" enableFormatConditionsCalculation="0"/>
  <dimension ref="A7:F58"/>
  <sheetViews>
    <sheetView workbookViewId="0"/>
  </sheetViews>
  <sheetFormatPr baseColWidth="10" defaultRowHeight="14" x14ac:dyDescent="0"/>
  <cols>
    <col min="1" max="1" width="64.83203125" customWidth="1"/>
    <col min="2" max="2" width="7.83203125" customWidth="1"/>
    <col min="3" max="3" width="8.1640625" customWidth="1"/>
    <col min="4" max="4" width="9.83203125" customWidth="1"/>
    <col min="5" max="5" width="16.1640625" customWidth="1"/>
    <col min="6" max="6" width="6.1640625" customWidth="1"/>
  </cols>
  <sheetData>
    <row r="7" spans="1:6">
      <c r="A7" s="25" t="s">
        <v>2966</v>
      </c>
    </row>
    <row r="8" spans="1:6">
      <c r="A8" s="24" t="s">
        <v>2495</v>
      </c>
    </row>
    <row r="9" spans="1:6">
      <c r="A9" s="25" t="s">
        <v>2496</v>
      </c>
    </row>
    <row r="10" spans="1:6">
      <c r="A10" s="25" t="s">
        <v>2497</v>
      </c>
    </row>
    <row r="11" spans="1:6">
      <c r="A11" s="25" t="s">
        <v>2498</v>
      </c>
    </row>
    <row r="12" spans="1:6">
      <c r="A12" s="25" t="s">
        <v>2499</v>
      </c>
    </row>
    <row r="15" spans="1:6" ht="12" customHeight="1">
      <c r="A15" s="155" t="s">
        <v>2622</v>
      </c>
      <c r="B15" s="155"/>
      <c r="C15" s="72" t="s">
        <v>2623</v>
      </c>
      <c r="D15" s="105" t="s">
        <v>2624</v>
      </c>
      <c r="E15" s="73" t="s">
        <v>2625</v>
      </c>
      <c r="F15" s="100" t="s">
        <v>2626</v>
      </c>
    </row>
    <row r="16" spans="1:6" ht="13.75" customHeight="1">
      <c r="A16" s="152" t="s">
        <v>2684</v>
      </c>
      <c r="B16" s="152"/>
      <c r="C16" s="153" t="s">
        <v>2685</v>
      </c>
      <c r="D16" s="153"/>
      <c r="E16" s="153"/>
      <c r="F16" s="53"/>
    </row>
    <row r="17" spans="1:6" ht="14.5" customHeight="1">
      <c r="A17" s="122" t="s">
        <v>2553</v>
      </c>
      <c r="B17" s="53"/>
      <c r="C17" s="53"/>
      <c r="D17" s="53"/>
      <c r="E17" s="53"/>
      <c r="F17" s="53"/>
    </row>
    <row r="18" spans="1:6" ht="11.25" customHeight="1">
      <c r="A18" s="118" t="s">
        <v>2967</v>
      </c>
      <c r="B18" s="59" t="s">
        <v>2600</v>
      </c>
      <c r="C18" s="52">
        <v>3.6</v>
      </c>
      <c r="D18" s="53"/>
      <c r="E18" s="58">
        <v>14.4</v>
      </c>
      <c r="F18" s="55" t="s">
        <v>2534</v>
      </c>
    </row>
    <row r="19" spans="1:6" ht="21.5" customHeight="1">
      <c r="A19" s="118" t="s">
        <v>2968</v>
      </c>
      <c r="B19" s="64" t="s">
        <v>2514</v>
      </c>
      <c r="C19" s="53"/>
      <c r="D19" s="102">
        <v>3926909790</v>
      </c>
      <c r="E19" s="53"/>
      <c r="F19" s="53"/>
    </row>
    <row r="20" spans="1:6" ht="10.25" customHeight="1">
      <c r="A20" s="118" t="s">
        <v>2969</v>
      </c>
      <c r="B20" s="59" t="s">
        <v>2584</v>
      </c>
      <c r="C20" s="57">
        <v>10.8</v>
      </c>
      <c r="D20" s="53"/>
      <c r="E20" s="58">
        <v>21.6</v>
      </c>
      <c r="F20" s="55" t="s">
        <v>2534</v>
      </c>
    </row>
    <row r="21" spans="1:6" ht="22.25" customHeight="1">
      <c r="A21" s="117" t="s">
        <v>2970</v>
      </c>
      <c r="B21" s="64" t="s">
        <v>2514</v>
      </c>
      <c r="C21" s="53"/>
      <c r="D21" s="102">
        <v>4202229090</v>
      </c>
      <c r="E21" s="53"/>
      <c r="F21" s="53"/>
    </row>
    <row r="22" spans="1:6" ht="10.25" customHeight="1">
      <c r="A22" s="118" t="s">
        <v>2971</v>
      </c>
      <c r="B22" s="59" t="s">
        <v>2593</v>
      </c>
      <c r="C22" s="52">
        <v>7.08</v>
      </c>
      <c r="D22" s="53"/>
      <c r="E22" s="54">
        <v>21.24</v>
      </c>
      <c r="F22" s="55" t="s">
        <v>2534</v>
      </c>
    </row>
    <row r="23" spans="1:6" ht="21.5" customHeight="1">
      <c r="A23" s="65" t="s">
        <v>2972</v>
      </c>
      <c r="B23" s="64" t="s">
        <v>2514</v>
      </c>
      <c r="C23" s="53"/>
      <c r="D23" s="102">
        <v>4202229090</v>
      </c>
      <c r="E23" s="53"/>
      <c r="F23" s="53"/>
    </row>
    <row r="24" spans="1:6" ht="10.25" customHeight="1">
      <c r="A24" s="118" t="s">
        <v>2973</v>
      </c>
      <c r="B24" s="59" t="s">
        <v>2584</v>
      </c>
      <c r="C24" s="57">
        <v>11.4</v>
      </c>
      <c r="D24" s="53"/>
      <c r="E24" s="58">
        <v>22.8</v>
      </c>
      <c r="F24" s="55" t="s">
        <v>2534</v>
      </c>
    </row>
    <row r="25" spans="1:6" ht="22.25" customHeight="1">
      <c r="A25" s="65" t="s">
        <v>2974</v>
      </c>
      <c r="B25" s="64" t="s">
        <v>2514</v>
      </c>
      <c r="C25" s="53"/>
      <c r="D25" s="102">
        <v>4202229090</v>
      </c>
      <c r="E25" s="53"/>
      <c r="F25" s="53"/>
    </row>
    <row r="26" spans="1:6" ht="10.25" customHeight="1">
      <c r="A26" s="118" t="s">
        <v>2975</v>
      </c>
      <c r="B26" s="59" t="s">
        <v>2593</v>
      </c>
      <c r="C26" s="57">
        <v>13.44</v>
      </c>
      <c r="D26" s="53"/>
      <c r="E26" s="54">
        <v>40.32</v>
      </c>
      <c r="F26" s="55" t="s">
        <v>2534</v>
      </c>
    </row>
    <row r="27" spans="1:6" ht="21.5" customHeight="1">
      <c r="A27" s="65" t="s">
        <v>2976</v>
      </c>
      <c r="B27" s="64" t="s">
        <v>2514</v>
      </c>
      <c r="C27" s="53"/>
      <c r="D27" s="102">
        <v>3926909790</v>
      </c>
      <c r="E27" s="53"/>
      <c r="F27" s="53"/>
    </row>
    <row r="28" spans="1:6" ht="10.25" customHeight="1">
      <c r="A28" s="118" t="s">
        <v>2977</v>
      </c>
      <c r="B28" s="59" t="s">
        <v>2584</v>
      </c>
      <c r="C28" s="57">
        <v>15.6</v>
      </c>
      <c r="D28" s="53"/>
      <c r="E28" s="58">
        <v>31.2</v>
      </c>
      <c r="F28" s="55" t="s">
        <v>2534</v>
      </c>
    </row>
    <row r="29" spans="1:6" ht="21.5" customHeight="1">
      <c r="A29" s="65" t="s">
        <v>2978</v>
      </c>
      <c r="B29" s="64" t="s">
        <v>2514</v>
      </c>
      <c r="C29" s="53"/>
      <c r="D29" s="102">
        <v>6307909899</v>
      </c>
      <c r="E29" s="53"/>
      <c r="F29" s="53"/>
    </row>
    <row r="30" spans="1:6" ht="10.25" customHeight="1">
      <c r="A30" s="118" t="s">
        <v>2979</v>
      </c>
      <c r="B30" s="59" t="s">
        <v>2578</v>
      </c>
      <c r="C30" s="52">
        <v>2.52</v>
      </c>
      <c r="D30" s="53"/>
      <c r="E30" s="54">
        <v>15.12</v>
      </c>
      <c r="F30" s="55" t="s">
        <v>2534</v>
      </c>
    </row>
    <row r="31" spans="1:6" ht="21.5" customHeight="1">
      <c r="A31" s="118" t="s">
        <v>2980</v>
      </c>
      <c r="B31" s="64" t="s">
        <v>2514</v>
      </c>
      <c r="C31" s="53"/>
      <c r="D31" s="102">
        <v>9113900099</v>
      </c>
      <c r="E31" s="53"/>
      <c r="F31" s="53"/>
    </row>
    <row r="32" spans="1:6" ht="11.25" customHeight="1">
      <c r="A32" s="118" t="s">
        <v>2981</v>
      </c>
      <c r="B32" s="59" t="s">
        <v>2584</v>
      </c>
      <c r="C32" s="52">
        <v>9.6</v>
      </c>
      <c r="D32" s="53"/>
      <c r="E32" s="58">
        <v>19.2</v>
      </c>
      <c r="F32" s="55" t="s">
        <v>2534</v>
      </c>
    </row>
    <row r="33" spans="1:6" ht="21.5" customHeight="1">
      <c r="A33" s="159" t="s">
        <v>2982</v>
      </c>
      <c r="B33" s="159"/>
      <c r="C33" s="53"/>
      <c r="D33" s="102">
        <v>4202229090</v>
      </c>
      <c r="E33" s="53"/>
      <c r="F33" s="53"/>
    </row>
    <row r="34" spans="1:6" ht="10.25" customHeight="1">
      <c r="A34" s="118" t="s">
        <v>2983</v>
      </c>
      <c r="B34" s="59" t="s">
        <v>2584</v>
      </c>
      <c r="C34" s="57">
        <v>11.88</v>
      </c>
      <c r="D34" s="53"/>
      <c r="E34" s="54">
        <v>23.76</v>
      </c>
      <c r="F34" s="55" t="s">
        <v>2534</v>
      </c>
    </row>
    <row r="35" spans="1:6" ht="21.5" customHeight="1">
      <c r="A35" s="118" t="s">
        <v>2984</v>
      </c>
      <c r="B35" s="64" t="s">
        <v>2514</v>
      </c>
      <c r="C35" s="53"/>
      <c r="D35" s="102">
        <v>6307909899</v>
      </c>
      <c r="E35" s="53"/>
      <c r="F35" s="53"/>
    </row>
    <row r="36" spans="1:6" ht="10.25" customHeight="1">
      <c r="A36" s="118" t="s">
        <v>2985</v>
      </c>
      <c r="B36" s="59" t="s">
        <v>2584</v>
      </c>
      <c r="C36" s="57">
        <v>14.4</v>
      </c>
      <c r="D36" s="53"/>
      <c r="E36" s="58">
        <v>28.8</v>
      </c>
      <c r="F36" s="55" t="s">
        <v>2534</v>
      </c>
    </row>
    <row r="37" spans="1:6" ht="21.5" customHeight="1">
      <c r="A37" s="118" t="s">
        <v>2986</v>
      </c>
      <c r="B37" s="64" t="s">
        <v>2514</v>
      </c>
      <c r="C37" s="53"/>
      <c r="D37" s="102">
        <v>4202221000</v>
      </c>
      <c r="E37" s="53"/>
      <c r="F37" s="53"/>
    </row>
    <row r="38" spans="1:6" ht="10.25" customHeight="1">
      <c r="A38" s="118" t="s">
        <v>2987</v>
      </c>
      <c r="B38" s="59" t="s">
        <v>2584</v>
      </c>
      <c r="C38" s="57">
        <v>11.04</v>
      </c>
      <c r="D38" s="53"/>
      <c r="E38" s="54">
        <v>22.08</v>
      </c>
      <c r="F38" s="55" t="s">
        <v>2534</v>
      </c>
    </row>
    <row r="39" spans="1:6" ht="22.25" customHeight="1">
      <c r="A39" s="118" t="s">
        <v>2988</v>
      </c>
      <c r="B39" s="64" t="s">
        <v>2514</v>
      </c>
      <c r="C39" s="53"/>
      <c r="D39" s="102">
        <v>4202221000</v>
      </c>
      <c r="E39" s="53"/>
      <c r="F39" s="53"/>
    </row>
    <row r="40" spans="1:6" ht="10.25" customHeight="1">
      <c r="A40" s="118" t="s">
        <v>2989</v>
      </c>
      <c r="B40" s="59" t="s">
        <v>2584</v>
      </c>
      <c r="C40" s="57">
        <v>13.8</v>
      </c>
      <c r="D40" s="53"/>
      <c r="E40" s="58">
        <v>27.6</v>
      </c>
      <c r="F40" s="55" t="s">
        <v>2534</v>
      </c>
    </row>
    <row r="41" spans="1:6" ht="21.5" customHeight="1">
      <c r="A41" s="118" t="s">
        <v>2990</v>
      </c>
      <c r="B41" s="64" t="s">
        <v>2514</v>
      </c>
      <c r="C41" s="53"/>
      <c r="D41" s="102">
        <v>4202221000</v>
      </c>
      <c r="E41" s="53"/>
      <c r="F41" s="53"/>
    </row>
    <row r="42" spans="1:6" ht="10.25" customHeight="1">
      <c r="A42" s="118" t="s">
        <v>2991</v>
      </c>
      <c r="B42" s="59" t="s">
        <v>2578</v>
      </c>
      <c r="C42" s="57">
        <v>11.88</v>
      </c>
      <c r="D42" s="53"/>
      <c r="E42" s="54">
        <v>71.28</v>
      </c>
      <c r="F42" s="55" t="s">
        <v>2534</v>
      </c>
    </row>
    <row r="43" spans="1:6" ht="20" customHeight="1">
      <c r="A43" s="99" t="s">
        <v>2992</v>
      </c>
      <c r="B43" s="67" t="s">
        <v>2514</v>
      </c>
      <c r="C43" s="28"/>
      <c r="D43" s="104">
        <v>3926909790</v>
      </c>
      <c r="E43" s="28"/>
      <c r="F43" s="28"/>
    </row>
    <row r="45" spans="1:6">
      <c r="A45" s="24" t="s">
        <v>2509</v>
      </c>
    </row>
    <row r="46" spans="1:6">
      <c r="A46" s="25" t="s">
        <v>2510</v>
      </c>
    </row>
    <row r="47" spans="1:6">
      <c r="A47" s="24" t="s">
        <v>2511</v>
      </c>
    </row>
    <row r="48" spans="1:6">
      <c r="A48" s="25" t="s">
        <v>2606</v>
      </c>
    </row>
    <row r="49" spans="1:1">
      <c r="A49" s="24" t="s">
        <v>2490</v>
      </c>
    </row>
    <row r="50" spans="1:1">
      <c r="A50" s="24" t="s">
        <v>2491</v>
      </c>
    </row>
    <row r="51" spans="1:1">
      <c r="A51" s="24" t="s">
        <v>2492</v>
      </c>
    </row>
    <row r="52" spans="1:1">
      <c r="A52" s="24" t="s">
        <v>2493</v>
      </c>
    </row>
    <row r="54" spans="1:1">
      <c r="A54" s="26" t="s">
        <v>2500</v>
      </c>
    </row>
    <row r="56" spans="1:1">
      <c r="A56" s="24" t="s">
        <v>2607</v>
      </c>
    </row>
    <row r="57" spans="1:1">
      <c r="A57" s="24" t="s">
        <v>2608</v>
      </c>
    </row>
    <row r="58" spans="1:1">
      <c r="A58" s="24" t="s">
        <v>2609</v>
      </c>
    </row>
  </sheetData>
  <mergeCells count="4">
    <mergeCell ref="A15:B15"/>
    <mergeCell ref="A16:B16"/>
    <mergeCell ref="C16:E16"/>
    <mergeCell ref="A33:B33"/>
  </mergeCells>
  <pageMargins left="1.25" right="1.25" top="1" bottom="1" header="0.25" footer="0.2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9" enableFormatConditionsCalculation="0"/>
  <dimension ref="A7:F57"/>
  <sheetViews>
    <sheetView workbookViewId="0"/>
  </sheetViews>
  <sheetFormatPr baseColWidth="10" defaultRowHeight="14" x14ac:dyDescent="0"/>
  <cols>
    <col min="1" max="1" width="61.5" customWidth="1"/>
    <col min="2" max="2" width="10.5" customWidth="1"/>
    <col min="3" max="3" width="8.1640625" customWidth="1"/>
    <col min="4" max="4" width="9.83203125" customWidth="1"/>
    <col min="5" max="5" width="16.1640625" customWidth="1"/>
    <col min="6" max="6" width="5.5" customWidth="1"/>
  </cols>
  <sheetData>
    <row r="7" spans="1:1">
      <c r="A7" s="25" t="s">
        <v>2993</v>
      </c>
    </row>
    <row r="8" spans="1:1">
      <c r="A8" s="24" t="s">
        <v>2495</v>
      </c>
    </row>
    <row r="9" spans="1:1">
      <c r="A9" s="25" t="s">
        <v>2496</v>
      </c>
    </row>
    <row r="10" spans="1:1">
      <c r="A10" s="25" t="s">
        <v>2497</v>
      </c>
    </row>
    <row r="11" spans="1:1">
      <c r="A11" s="25" t="s">
        <v>2498</v>
      </c>
    </row>
    <row r="12" spans="1:1">
      <c r="A12" s="25" t="s">
        <v>2499</v>
      </c>
    </row>
    <row r="15" spans="1:1">
      <c r="A15" s="24" t="s">
        <v>2490</v>
      </c>
    </row>
    <row r="16" spans="1:1">
      <c r="A16" s="24" t="s">
        <v>2491</v>
      </c>
    </row>
    <row r="17" spans="1:6">
      <c r="A17" s="24" t="s">
        <v>2492</v>
      </c>
    </row>
    <row r="18" spans="1:6">
      <c r="A18" s="24" t="s">
        <v>2493</v>
      </c>
    </row>
    <row r="20" spans="1:6">
      <c r="A20" s="26" t="s">
        <v>2500</v>
      </c>
    </row>
    <row r="22" spans="1:6">
      <c r="A22" s="24" t="s">
        <v>2607</v>
      </c>
    </row>
    <row r="23" spans="1:6">
      <c r="A23" s="24" t="s">
        <v>2608</v>
      </c>
    </row>
    <row r="24" spans="1:6">
      <c r="A24" s="24" t="s">
        <v>2609</v>
      </c>
    </row>
    <row r="25" spans="1:6">
      <c r="A25" s="24" t="s">
        <v>2509</v>
      </c>
    </row>
    <row r="26" spans="1:6">
      <c r="A26" s="25" t="s">
        <v>2510</v>
      </c>
    </row>
    <row r="27" spans="1:6">
      <c r="A27" s="24" t="s">
        <v>2511</v>
      </c>
    </row>
    <row r="28" spans="1:6" ht="13.75" customHeight="1">
      <c r="A28" s="103" t="s">
        <v>2512</v>
      </c>
      <c r="B28" s="28"/>
      <c r="C28" s="28"/>
      <c r="D28" s="28"/>
      <c r="E28" s="28"/>
      <c r="F28" s="28"/>
    </row>
    <row r="29" spans="1:6" ht="12" customHeight="1">
      <c r="A29" s="155" t="s">
        <v>2622</v>
      </c>
      <c r="B29" s="155"/>
      <c r="C29" s="72" t="s">
        <v>2623</v>
      </c>
      <c r="D29" s="105" t="s">
        <v>2624</v>
      </c>
      <c r="E29" s="73" t="s">
        <v>2625</v>
      </c>
      <c r="F29" s="72" t="s">
        <v>2626</v>
      </c>
    </row>
    <row r="30" spans="1:6" ht="13.75" customHeight="1">
      <c r="A30" s="152" t="s">
        <v>2684</v>
      </c>
      <c r="B30" s="152"/>
      <c r="C30" s="153" t="s">
        <v>2685</v>
      </c>
      <c r="D30" s="153"/>
      <c r="E30" s="153"/>
      <c r="F30" s="53"/>
    </row>
    <row r="31" spans="1:6" ht="14.5" customHeight="1">
      <c r="A31" s="160" t="s">
        <v>2553</v>
      </c>
      <c r="B31" s="160"/>
      <c r="C31" s="53"/>
      <c r="D31" s="53"/>
      <c r="E31" s="53"/>
      <c r="F31" s="53"/>
    </row>
    <row r="32" spans="1:6" ht="10.25" customHeight="1">
      <c r="A32" s="159" t="s">
        <v>2994</v>
      </c>
      <c r="B32" s="159"/>
      <c r="C32" s="57">
        <v>33</v>
      </c>
      <c r="D32" s="53"/>
      <c r="E32" s="58">
        <v>99</v>
      </c>
      <c r="F32" s="55" t="s">
        <v>2534</v>
      </c>
    </row>
    <row r="33" spans="1:6" ht="21.5" customHeight="1">
      <c r="A33" s="85" t="s">
        <v>2995</v>
      </c>
      <c r="B33" s="64" t="s">
        <v>2514</v>
      </c>
      <c r="C33" s="53"/>
      <c r="D33" s="102">
        <v>4202221000</v>
      </c>
      <c r="E33" s="53"/>
      <c r="F33" s="53"/>
    </row>
    <row r="34" spans="1:6" ht="10.25" customHeight="1">
      <c r="A34" s="118" t="s">
        <v>2996</v>
      </c>
      <c r="B34" s="59" t="s">
        <v>2584</v>
      </c>
      <c r="C34" s="57">
        <v>29.88</v>
      </c>
      <c r="D34" s="53"/>
      <c r="E34" s="54">
        <v>59.76</v>
      </c>
      <c r="F34" s="55" t="s">
        <v>2534</v>
      </c>
    </row>
    <row r="35" spans="1:6" ht="22.25" customHeight="1">
      <c r="A35" s="150" t="s">
        <v>2997</v>
      </c>
      <c r="B35" s="150"/>
      <c r="C35" s="53"/>
      <c r="D35" s="102">
        <v>4202929190</v>
      </c>
      <c r="E35" s="53"/>
      <c r="F35" s="53"/>
    </row>
    <row r="36" spans="1:6" ht="10.25" customHeight="1">
      <c r="A36" s="118" t="s">
        <v>2998</v>
      </c>
      <c r="B36" s="59" t="s">
        <v>2600</v>
      </c>
      <c r="C36" s="57">
        <v>14.4</v>
      </c>
      <c r="D36" s="53"/>
      <c r="E36" s="58">
        <v>57.6</v>
      </c>
      <c r="F36" s="55" t="s">
        <v>2534</v>
      </c>
    </row>
    <row r="37" spans="1:6" ht="21.5" customHeight="1">
      <c r="A37" s="85" t="s">
        <v>2999</v>
      </c>
      <c r="B37" s="64" t="s">
        <v>2514</v>
      </c>
      <c r="C37" s="53"/>
      <c r="D37" s="102">
        <v>3926909790</v>
      </c>
      <c r="E37" s="53"/>
      <c r="F37" s="53"/>
    </row>
    <row r="38" spans="1:6" ht="10.25" customHeight="1">
      <c r="A38" s="118" t="s">
        <v>3000</v>
      </c>
      <c r="B38" s="59" t="s">
        <v>2584</v>
      </c>
      <c r="C38" s="52">
        <v>7.8</v>
      </c>
      <c r="D38" s="53"/>
      <c r="E38" s="58">
        <v>15.6</v>
      </c>
      <c r="F38" s="55" t="s">
        <v>2534</v>
      </c>
    </row>
    <row r="39" spans="1:6" ht="22.25" customHeight="1">
      <c r="A39" s="85" t="s">
        <v>3001</v>
      </c>
      <c r="B39" s="64" t="s">
        <v>2514</v>
      </c>
      <c r="C39" s="53"/>
      <c r="D39" s="102">
        <v>7907000000</v>
      </c>
      <c r="E39" s="53"/>
      <c r="F39" s="53"/>
    </row>
    <row r="40" spans="1:6" ht="10.25" customHeight="1">
      <c r="A40" s="118" t="s">
        <v>3002</v>
      </c>
      <c r="B40" s="59" t="s">
        <v>2584</v>
      </c>
      <c r="C40" s="57">
        <v>11.88</v>
      </c>
      <c r="D40" s="53"/>
      <c r="E40" s="54">
        <v>23.76</v>
      </c>
      <c r="F40" s="55" t="s">
        <v>2534</v>
      </c>
    </row>
    <row r="41" spans="1:6" ht="21.5" customHeight="1">
      <c r="A41" s="85" t="s">
        <v>3003</v>
      </c>
      <c r="B41" s="64" t="s">
        <v>2514</v>
      </c>
      <c r="C41" s="53"/>
      <c r="D41" s="102">
        <v>4202221000</v>
      </c>
      <c r="E41" s="53"/>
      <c r="F41" s="53"/>
    </row>
    <row r="42" spans="1:6" ht="11.25" customHeight="1">
      <c r="A42" s="118" t="s">
        <v>3004</v>
      </c>
      <c r="B42" s="59" t="s">
        <v>2581</v>
      </c>
      <c r="C42" s="57">
        <v>14.4</v>
      </c>
      <c r="D42" s="53"/>
      <c r="E42" s="58">
        <v>14.4</v>
      </c>
      <c r="F42" s="55" t="s">
        <v>2534</v>
      </c>
    </row>
    <row r="43" spans="1:6" ht="21.5" customHeight="1">
      <c r="A43" s="85" t="s">
        <v>3005</v>
      </c>
      <c r="B43" s="64" t="s">
        <v>2514</v>
      </c>
      <c r="C43" s="53"/>
      <c r="D43" s="102">
        <v>4202221000</v>
      </c>
      <c r="E43" s="53"/>
      <c r="F43" s="53"/>
    </row>
    <row r="44" spans="1:6" ht="10.25" customHeight="1">
      <c r="A44" s="118" t="s">
        <v>3006</v>
      </c>
      <c r="B44" s="59" t="s">
        <v>2593</v>
      </c>
      <c r="C44" s="57">
        <v>14.4</v>
      </c>
      <c r="D44" s="53"/>
      <c r="E44" s="58">
        <v>43.2</v>
      </c>
      <c r="F44" s="55" t="s">
        <v>2534</v>
      </c>
    </row>
    <row r="45" spans="1:6" ht="21.5" customHeight="1">
      <c r="A45" s="150" t="s">
        <v>3007</v>
      </c>
      <c r="B45" s="150"/>
      <c r="C45" s="53"/>
      <c r="D45" s="102">
        <v>3926909790</v>
      </c>
      <c r="E45" s="53"/>
      <c r="F45" s="53"/>
    </row>
    <row r="46" spans="1:6" ht="10.25" customHeight="1">
      <c r="A46" s="118" t="s">
        <v>3008</v>
      </c>
      <c r="B46" s="59" t="s">
        <v>2584</v>
      </c>
      <c r="C46" s="57">
        <v>12.6</v>
      </c>
      <c r="D46" s="53"/>
      <c r="E46" s="58">
        <v>25.2</v>
      </c>
      <c r="F46" s="55" t="s">
        <v>2534</v>
      </c>
    </row>
    <row r="47" spans="1:6" ht="21.5" customHeight="1">
      <c r="A47" s="85" t="s">
        <v>3009</v>
      </c>
      <c r="B47" s="64" t="s">
        <v>2514</v>
      </c>
      <c r="C47" s="53"/>
      <c r="D47" s="102">
        <v>4202221000</v>
      </c>
      <c r="E47" s="53"/>
      <c r="F47" s="53"/>
    </row>
    <row r="48" spans="1:6" ht="10.25" customHeight="1">
      <c r="A48" s="118" t="s">
        <v>3010</v>
      </c>
      <c r="B48" s="59" t="s">
        <v>2584</v>
      </c>
      <c r="C48" s="57">
        <v>18.12</v>
      </c>
      <c r="D48" s="53"/>
      <c r="E48" s="54">
        <v>36.24</v>
      </c>
      <c r="F48" s="55" t="s">
        <v>2534</v>
      </c>
    </row>
    <row r="49" spans="1:6" ht="21.5" customHeight="1">
      <c r="A49" s="85" t="s">
        <v>3011</v>
      </c>
      <c r="B49" s="64" t="s">
        <v>2514</v>
      </c>
      <c r="C49" s="53"/>
      <c r="D49" s="102">
        <v>6307909810</v>
      </c>
      <c r="E49" s="53"/>
      <c r="F49" s="53"/>
    </row>
    <row r="50" spans="1:6" ht="11.25" customHeight="1">
      <c r="A50" s="118" t="s">
        <v>3012</v>
      </c>
      <c r="B50" s="59" t="s">
        <v>2584</v>
      </c>
      <c r="C50" s="57">
        <v>10.8</v>
      </c>
      <c r="D50" s="53"/>
      <c r="E50" s="58">
        <v>21.6</v>
      </c>
      <c r="F50" s="55" t="s">
        <v>2534</v>
      </c>
    </row>
    <row r="51" spans="1:6" ht="21.5" customHeight="1">
      <c r="A51" s="65" t="s">
        <v>3013</v>
      </c>
      <c r="B51" s="64" t="s">
        <v>2514</v>
      </c>
      <c r="C51" s="53"/>
      <c r="D51" s="102">
        <v>4202229090</v>
      </c>
      <c r="E51" s="53"/>
      <c r="F51" s="53"/>
    </row>
    <row r="52" spans="1:6" ht="10.25" customHeight="1">
      <c r="A52" s="118" t="s">
        <v>3014</v>
      </c>
      <c r="B52" s="59" t="s">
        <v>2584</v>
      </c>
      <c r="C52" s="57">
        <v>10.8</v>
      </c>
      <c r="D52" s="53"/>
      <c r="E52" s="58">
        <v>21.6</v>
      </c>
      <c r="F52" s="55" t="s">
        <v>2534</v>
      </c>
    </row>
    <row r="53" spans="1:6" ht="22.25" customHeight="1">
      <c r="A53" s="150" t="s">
        <v>3015</v>
      </c>
      <c r="B53" s="150"/>
      <c r="C53" s="53"/>
      <c r="D53" s="102">
        <v>4202229090</v>
      </c>
      <c r="E53" s="53"/>
      <c r="F53" s="53"/>
    </row>
    <row r="54" spans="1:6" ht="10.25" customHeight="1">
      <c r="A54" s="118" t="s">
        <v>3016</v>
      </c>
      <c r="B54" s="59" t="s">
        <v>2584</v>
      </c>
      <c r="C54" s="57">
        <v>10.8</v>
      </c>
      <c r="D54" s="53"/>
      <c r="E54" s="58">
        <v>21.6</v>
      </c>
      <c r="F54" s="55" t="s">
        <v>2534</v>
      </c>
    </row>
    <row r="55" spans="1:6" ht="21.5" customHeight="1">
      <c r="A55" s="65" t="s">
        <v>3017</v>
      </c>
      <c r="B55" s="64" t="s">
        <v>2514</v>
      </c>
      <c r="C55" s="53"/>
      <c r="D55" s="102">
        <v>4202229090</v>
      </c>
      <c r="E55" s="53"/>
      <c r="F55" s="53"/>
    </row>
    <row r="56" spans="1:6" ht="11.25" customHeight="1">
      <c r="A56" s="118" t="s">
        <v>3018</v>
      </c>
      <c r="B56" s="59" t="s">
        <v>2584</v>
      </c>
      <c r="C56" s="57">
        <v>13.08</v>
      </c>
      <c r="D56" s="53"/>
      <c r="E56" s="54">
        <v>26.16</v>
      </c>
      <c r="F56" s="55" t="s">
        <v>2534</v>
      </c>
    </row>
    <row r="57" spans="1:6" ht="20" customHeight="1">
      <c r="A57" s="103" t="s">
        <v>3019</v>
      </c>
      <c r="B57" s="67" t="s">
        <v>2514</v>
      </c>
      <c r="C57" s="28"/>
      <c r="D57" s="104">
        <v>4202221000</v>
      </c>
      <c r="E57" s="28"/>
      <c r="F57" s="28"/>
    </row>
  </sheetData>
  <mergeCells count="8">
    <mergeCell ref="A45:B45"/>
    <mergeCell ref="A53:B53"/>
    <mergeCell ref="A29:B29"/>
    <mergeCell ref="A30:B30"/>
    <mergeCell ref="C30:E30"/>
    <mergeCell ref="A31:B31"/>
    <mergeCell ref="A32:B32"/>
    <mergeCell ref="A35:B35"/>
  </mergeCells>
  <pageMargins left="1.25" right="1.25" top="1" bottom="1" header="0.25" footer="0.2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0" enableFormatConditionsCalculation="0"/>
  <dimension ref="A7:E58"/>
  <sheetViews>
    <sheetView workbookViewId="0"/>
  </sheetViews>
  <sheetFormatPr baseColWidth="10" defaultRowHeight="14" x14ac:dyDescent="0"/>
  <cols>
    <col min="1" max="1" width="64" customWidth="1"/>
    <col min="2" max="2" width="8.6640625" customWidth="1"/>
    <col min="3" max="3" width="17.1640625" customWidth="1"/>
    <col min="4" max="4" width="16.1640625" customWidth="1"/>
    <col min="5" max="5" width="6.1640625" customWidth="1"/>
  </cols>
  <sheetData>
    <row r="7" spans="1:5">
      <c r="A7" s="25" t="s">
        <v>3020</v>
      </c>
    </row>
    <row r="8" spans="1:5">
      <c r="A8" s="24" t="s">
        <v>2495</v>
      </c>
    </row>
    <row r="9" spans="1:5">
      <c r="A9" s="25" t="s">
        <v>2496</v>
      </c>
    </row>
    <row r="10" spans="1:5">
      <c r="A10" s="25" t="s">
        <v>2497</v>
      </c>
    </row>
    <row r="11" spans="1:5">
      <c r="A11" s="25" t="s">
        <v>2498</v>
      </c>
    </row>
    <row r="12" spans="1:5">
      <c r="A12" s="25" t="s">
        <v>2499</v>
      </c>
    </row>
    <row r="15" spans="1:5" ht="12" customHeight="1">
      <c r="A15" s="155" t="s">
        <v>2622</v>
      </c>
      <c r="B15" s="155"/>
      <c r="C15" s="100" t="s">
        <v>2799</v>
      </c>
      <c r="D15" s="73" t="s">
        <v>2625</v>
      </c>
      <c r="E15" s="100" t="s">
        <v>2626</v>
      </c>
    </row>
    <row r="16" spans="1:5" ht="13.75" customHeight="1">
      <c r="A16" s="152" t="s">
        <v>2684</v>
      </c>
      <c r="B16" s="152"/>
      <c r="C16" s="153" t="s">
        <v>2685</v>
      </c>
      <c r="D16" s="153"/>
      <c r="E16" s="53"/>
    </row>
    <row r="17" spans="1:5" ht="14.5" customHeight="1">
      <c r="A17" s="122" t="s">
        <v>2553</v>
      </c>
      <c r="B17" s="53"/>
      <c r="C17" s="53"/>
      <c r="D17" s="53"/>
      <c r="E17" s="53"/>
    </row>
    <row r="18" spans="1:5" ht="11.25" customHeight="1">
      <c r="A18" s="118" t="s">
        <v>3021</v>
      </c>
      <c r="B18" s="59" t="s">
        <v>2584</v>
      </c>
      <c r="C18" s="57">
        <v>10.8</v>
      </c>
      <c r="D18" s="58">
        <v>21.6</v>
      </c>
      <c r="E18" s="55" t="s">
        <v>2534</v>
      </c>
    </row>
    <row r="19" spans="1:5" ht="21.5" customHeight="1">
      <c r="A19" s="65" t="s">
        <v>3022</v>
      </c>
      <c r="B19" s="64" t="s">
        <v>2514</v>
      </c>
      <c r="C19" s="114">
        <v>4202229090</v>
      </c>
      <c r="D19" s="53"/>
      <c r="E19" s="53"/>
    </row>
    <row r="20" spans="1:5" ht="10.25" customHeight="1">
      <c r="A20" s="118" t="s">
        <v>3023</v>
      </c>
      <c r="B20" s="59" t="s">
        <v>2593</v>
      </c>
      <c r="C20" s="52">
        <v>4.8</v>
      </c>
      <c r="D20" s="58">
        <v>14.4</v>
      </c>
      <c r="E20" s="55" t="s">
        <v>2534</v>
      </c>
    </row>
    <row r="21" spans="1:5" ht="22.25" customHeight="1">
      <c r="A21" s="118" t="s">
        <v>3024</v>
      </c>
      <c r="B21" s="64" t="s">
        <v>2514</v>
      </c>
      <c r="C21" s="114">
        <v>4202221000</v>
      </c>
      <c r="D21" s="53"/>
      <c r="E21" s="53"/>
    </row>
    <row r="22" spans="1:5" ht="10.25" customHeight="1">
      <c r="A22" s="118" t="s">
        <v>3025</v>
      </c>
      <c r="B22" s="59" t="s">
        <v>2593</v>
      </c>
      <c r="C22" s="57">
        <v>14.4</v>
      </c>
      <c r="D22" s="58">
        <v>43.2</v>
      </c>
      <c r="E22" s="55" t="s">
        <v>2534</v>
      </c>
    </row>
    <row r="23" spans="1:5" ht="21.5" customHeight="1">
      <c r="A23" s="118" t="s">
        <v>3026</v>
      </c>
      <c r="B23" s="64" t="s">
        <v>2514</v>
      </c>
      <c r="C23" s="114">
        <v>3926909790</v>
      </c>
      <c r="D23" s="53"/>
      <c r="E23" s="53"/>
    </row>
    <row r="24" spans="1:5" ht="10.25" customHeight="1">
      <c r="A24" s="118" t="s">
        <v>3027</v>
      </c>
      <c r="B24" s="59" t="s">
        <v>2593</v>
      </c>
      <c r="C24" s="52">
        <v>7.8</v>
      </c>
      <c r="D24" s="58">
        <v>23.4</v>
      </c>
      <c r="E24" s="55" t="s">
        <v>2534</v>
      </c>
    </row>
    <row r="25" spans="1:5" ht="22.25" customHeight="1">
      <c r="A25" s="118" t="s">
        <v>3028</v>
      </c>
      <c r="B25" s="64" t="s">
        <v>2514</v>
      </c>
      <c r="C25" s="114">
        <v>4202229090</v>
      </c>
      <c r="D25" s="53"/>
      <c r="E25" s="53"/>
    </row>
    <row r="26" spans="1:5" ht="10.25" customHeight="1">
      <c r="A26" s="118" t="s">
        <v>3029</v>
      </c>
      <c r="B26" s="59" t="s">
        <v>2593</v>
      </c>
      <c r="C26" s="57">
        <v>14.4</v>
      </c>
      <c r="D26" s="58">
        <v>43.2</v>
      </c>
      <c r="E26" s="55" t="s">
        <v>2534</v>
      </c>
    </row>
    <row r="27" spans="1:5" ht="21.5" customHeight="1">
      <c r="A27" s="118" t="s">
        <v>3030</v>
      </c>
      <c r="B27" s="64" t="s">
        <v>2514</v>
      </c>
      <c r="C27" s="114">
        <v>4202221000</v>
      </c>
      <c r="D27" s="53"/>
      <c r="E27" s="53"/>
    </row>
    <row r="28" spans="1:5" ht="10.25" customHeight="1">
      <c r="A28" s="118" t="s">
        <v>3031</v>
      </c>
      <c r="B28" s="59" t="s">
        <v>2584</v>
      </c>
      <c r="C28" s="52">
        <v>7.2</v>
      </c>
      <c r="D28" s="58">
        <v>14.4</v>
      </c>
      <c r="E28" s="55" t="s">
        <v>2534</v>
      </c>
    </row>
    <row r="29" spans="1:5" ht="21.5" customHeight="1">
      <c r="A29" s="118" t="s">
        <v>3032</v>
      </c>
      <c r="B29" s="64" t="s">
        <v>2514</v>
      </c>
      <c r="C29" s="114">
        <v>3926909790</v>
      </c>
      <c r="D29" s="53"/>
      <c r="E29" s="53"/>
    </row>
    <row r="30" spans="1:5" ht="10.25" customHeight="1">
      <c r="A30" s="118" t="s">
        <v>3033</v>
      </c>
      <c r="B30" s="59" t="s">
        <v>2581</v>
      </c>
      <c r="C30" s="57">
        <v>13.08</v>
      </c>
      <c r="D30" s="54">
        <v>13.08</v>
      </c>
      <c r="E30" s="55" t="s">
        <v>2534</v>
      </c>
    </row>
    <row r="31" spans="1:5" ht="21.5" customHeight="1">
      <c r="A31" s="118" t="s">
        <v>3034</v>
      </c>
      <c r="B31" s="64" t="s">
        <v>2514</v>
      </c>
      <c r="C31" s="114">
        <v>4202221000</v>
      </c>
      <c r="D31" s="53"/>
      <c r="E31" s="53"/>
    </row>
    <row r="32" spans="1:5" ht="11.25" customHeight="1">
      <c r="A32" s="118" t="s">
        <v>3035</v>
      </c>
      <c r="B32" s="59" t="s">
        <v>2584</v>
      </c>
      <c r="C32" s="57">
        <v>19.32</v>
      </c>
      <c r="D32" s="54">
        <v>38.64</v>
      </c>
      <c r="E32" s="55" t="s">
        <v>2534</v>
      </c>
    </row>
    <row r="33" spans="1:5" ht="21.5" customHeight="1">
      <c r="A33" s="117" t="s">
        <v>3036</v>
      </c>
      <c r="B33" s="64" t="s">
        <v>2514</v>
      </c>
      <c r="C33" s="114">
        <v>6307909810</v>
      </c>
      <c r="D33" s="53"/>
      <c r="E33" s="53"/>
    </row>
    <row r="34" spans="1:5" ht="10.25" customHeight="1">
      <c r="A34" s="118" t="s">
        <v>3037</v>
      </c>
      <c r="B34" s="59" t="s">
        <v>2584</v>
      </c>
      <c r="C34" s="52">
        <v>7.8</v>
      </c>
      <c r="D34" s="58">
        <v>15.6</v>
      </c>
      <c r="E34" s="55" t="s">
        <v>2534</v>
      </c>
    </row>
    <row r="35" spans="1:5" ht="21.5" customHeight="1">
      <c r="A35" s="118" t="s">
        <v>3038</v>
      </c>
      <c r="B35" s="64" t="s">
        <v>2514</v>
      </c>
      <c r="C35" s="114">
        <v>4202229090</v>
      </c>
      <c r="D35" s="53"/>
      <c r="E35" s="53"/>
    </row>
    <row r="36" spans="1:5" ht="10.25" customHeight="1">
      <c r="A36" s="118" t="s">
        <v>3039</v>
      </c>
      <c r="B36" s="59" t="s">
        <v>2584</v>
      </c>
      <c r="C36" s="57">
        <v>10.8</v>
      </c>
      <c r="D36" s="58">
        <v>21.6</v>
      </c>
      <c r="E36" s="55" t="s">
        <v>2534</v>
      </c>
    </row>
    <row r="37" spans="1:5" ht="21.5" customHeight="1">
      <c r="A37" s="65" t="s">
        <v>3040</v>
      </c>
      <c r="B37" s="64" t="s">
        <v>2514</v>
      </c>
      <c r="C37" s="114">
        <v>4202229090</v>
      </c>
      <c r="D37" s="53"/>
      <c r="E37" s="53"/>
    </row>
    <row r="38" spans="1:5" ht="10.25" customHeight="1">
      <c r="A38" s="118" t="s">
        <v>3041</v>
      </c>
      <c r="B38" s="59" t="s">
        <v>2584</v>
      </c>
      <c r="C38" s="52">
        <v>7.08</v>
      </c>
      <c r="D38" s="54">
        <v>14.16</v>
      </c>
      <c r="E38" s="55" t="s">
        <v>2534</v>
      </c>
    </row>
    <row r="39" spans="1:5" ht="22.25" customHeight="1">
      <c r="A39" s="118" t="s">
        <v>3042</v>
      </c>
      <c r="B39" s="64" t="s">
        <v>2514</v>
      </c>
      <c r="C39" s="114">
        <v>7907000000</v>
      </c>
      <c r="D39" s="53"/>
      <c r="E39" s="53"/>
    </row>
    <row r="40" spans="1:5" ht="10.25" customHeight="1">
      <c r="A40" s="118" t="s">
        <v>3043</v>
      </c>
      <c r="B40" s="59" t="s">
        <v>2593</v>
      </c>
      <c r="C40" s="52">
        <v>9.6</v>
      </c>
      <c r="D40" s="58">
        <v>28.8</v>
      </c>
      <c r="E40" s="55" t="s">
        <v>2534</v>
      </c>
    </row>
    <row r="41" spans="1:5" ht="21.5" customHeight="1">
      <c r="A41" s="118" t="s">
        <v>3044</v>
      </c>
      <c r="B41" s="64" t="s">
        <v>2514</v>
      </c>
      <c r="C41" s="114">
        <v>3926909790</v>
      </c>
      <c r="D41" s="53"/>
      <c r="E41" s="53"/>
    </row>
    <row r="42" spans="1:5" ht="10.25" customHeight="1">
      <c r="A42" s="118" t="s">
        <v>3045</v>
      </c>
      <c r="B42" s="59" t="s">
        <v>2578</v>
      </c>
      <c r="C42" s="52">
        <v>2.52</v>
      </c>
      <c r="D42" s="54">
        <v>15.12</v>
      </c>
      <c r="E42" s="55" t="s">
        <v>2534</v>
      </c>
    </row>
    <row r="43" spans="1:5" ht="20" customHeight="1">
      <c r="A43" s="99" t="s">
        <v>3046</v>
      </c>
      <c r="B43" s="67" t="s">
        <v>2514</v>
      </c>
      <c r="C43" s="115">
        <v>9113900099</v>
      </c>
      <c r="D43" s="28"/>
      <c r="E43" s="28"/>
    </row>
    <row r="45" spans="1:5">
      <c r="A45" s="24" t="s">
        <v>2509</v>
      </c>
    </row>
    <row r="46" spans="1:5">
      <c r="A46" s="25" t="s">
        <v>2510</v>
      </c>
    </row>
    <row r="47" spans="1:5">
      <c r="A47" s="24" t="s">
        <v>2511</v>
      </c>
    </row>
    <row r="48" spans="1:5">
      <c r="A48" s="25" t="s">
        <v>2606</v>
      </c>
    </row>
    <row r="49" spans="1:1">
      <c r="A49" s="24" t="s">
        <v>2490</v>
      </c>
    </row>
    <row r="50" spans="1:1">
      <c r="A50" s="24" t="s">
        <v>2491</v>
      </c>
    </row>
    <row r="51" spans="1:1">
      <c r="A51" s="24" t="s">
        <v>2492</v>
      </c>
    </row>
    <row r="52" spans="1:1">
      <c r="A52" s="24" t="s">
        <v>2493</v>
      </c>
    </row>
    <row r="54" spans="1:1">
      <c r="A54" s="26" t="s">
        <v>2500</v>
      </c>
    </row>
    <row r="56" spans="1:1">
      <c r="A56" s="24" t="s">
        <v>2607</v>
      </c>
    </row>
    <row r="57" spans="1:1">
      <c r="A57" s="24" t="s">
        <v>2608</v>
      </c>
    </row>
    <row r="58" spans="1:1">
      <c r="A58" s="24" t="s">
        <v>2609</v>
      </c>
    </row>
  </sheetData>
  <mergeCells count="3">
    <mergeCell ref="A15:B15"/>
    <mergeCell ref="A16:B16"/>
    <mergeCell ref="C16:D16"/>
  </mergeCells>
  <pageMargins left="1.25" right="1.25" top="1" bottom="1" header="0.25" footer="0.2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1" enableFormatConditionsCalculation="0"/>
  <dimension ref="A7:F57"/>
  <sheetViews>
    <sheetView workbookViewId="0"/>
  </sheetViews>
  <sheetFormatPr baseColWidth="10" defaultRowHeight="14" x14ac:dyDescent="0"/>
  <cols>
    <col min="1" max="1" width="62.83203125" customWidth="1"/>
    <col min="2" max="2" width="9.1640625" customWidth="1"/>
    <col min="3" max="3" width="8.1640625" customWidth="1"/>
    <col min="4" max="4" width="9.83203125" customWidth="1"/>
    <col min="5" max="5" width="16.1640625" customWidth="1"/>
    <col min="6" max="6" width="5.5" customWidth="1"/>
  </cols>
  <sheetData>
    <row r="7" spans="1:1">
      <c r="A7" s="69" t="s">
        <v>3047</v>
      </c>
    </row>
    <row r="8" spans="1:1">
      <c r="A8" s="24" t="s">
        <v>2611</v>
      </c>
    </row>
    <row r="9" spans="1:1">
      <c r="A9" s="69" t="s">
        <v>2612</v>
      </c>
    </row>
    <row r="10" spans="1:1">
      <c r="A10" s="69" t="s">
        <v>2613</v>
      </c>
    </row>
    <row r="11" spans="1:1">
      <c r="A11" s="69" t="s">
        <v>2614</v>
      </c>
    </row>
    <row r="12" spans="1:1">
      <c r="A12" s="69" t="s">
        <v>2615</v>
      </c>
    </row>
    <row r="15" spans="1:1">
      <c r="A15" s="24" t="s">
        <v>2616</v>
      </c>
    </row>
    <row r="16" spans="1:1">
      <c r="A16" s="24" t="s">
        <v>2491</v>
      </c>
    </row>
    <row r="17" spans="1:6">
      <c r="A17" s="24" t="s">
        <v>2617</v>
      </c>
    </row>
    <row r="18" spans="1:6">
      <c r="A18" s="24" t="s">
        <v>2493</v>
      </c>
    </row>
    <row r="20" spans="1:6">
      <c r="A20" s="26" t="s">
        <v>2500</v>
      </c>
    </row>
    <row r="22" spans="1:6">
      <c r="A22" s="24" t="s">
        <v>2618</v>
      </c>
    </row>
    <row r="23" spans="1:6">
      <c r="A23" s="24" t="s">
        <v>2619</v>
      </c>
    </row>
    <row r="24" spans="1:6">
      <c r="A24" s="24" t="s">
        <v>2609</v>
      </c>
    </row>
    <row r="25" spans="1:6">
      <c r="A25" s="24" t="s">
        <v>2509</v>
      </c>
    </row>
    <row r="26" spans="1:6">
      <c r="A26" s="69" t="s">
        <v>2620</v>
      </c>
    </row>
    <row r="27" spans="1:6">
      <c r="A27" s="24" t="s">
        <v>2511</v>
      </c>
    </row>
    <row r="28" spans="1:6" ht="13.75" customHeight="1">
      <c r="A28" s="70" t="s">
        <v>2621</v>
      </c>
      <c r="B28" s="28"/>
      <c r="C28" s="28"/>
      <c r="D28" s="28"/>
      <c r="E28" s="28"/>
      <c r="F28" s="28"/>
    </row>
    <row r="29" spans="1:6" ht="12" customHeight="1">
      <c r="A29" s="155" t="s">
        <v>2622</v>
      </c>
      <c r="B29" s="155"/>
      <c r="C29" s="72" t="s">
        <v>2623</v>
      </c>
      <c r="D29" s="105" t="s">
        <v>2624</v>
      </c>
      <c r="E29" s="73" t="s">
        <v>2625</v>
      </c>
      <c r="F29" s="72" t="s">
        <v>2626</v>
      </c>
    </row>
    <row r="30" spans="1:6" ht="13.75" customHeight="1">
      <c r="A30" s="152" t="s">
        <v>2627</v>
      </c>
      <c r="B30" s="152"/>
      <c r="C30" s="151" t="s">
        <v>2628</v>
      </c>
      <c r="D30" s="151"/>
      <c r="E30" s="151"/>
      <c r="F30" s="53"/>
    </row>
    <row r="31" spans="1:6" ht="14.5" customHeight="1">
      <c r="A31" s="122" t="s">
        <v>2629</v>
      </c>
      <c r="B31" s="53"/>
      <c r="C31" s="53"/>
      <c r="D31" s="53"/>
      <c r="E31" s="53"/>
      <c r="F31" s="53"/>
    </row>
    <row r="32" spans="1:6" ht="10.25" customHeight="1">
      <c r="A32" s="116" t="s">
        <v>3048</v>
      </c>
      <c r="B32" s="106" t="s">
        <v>2714</v>
      </c>
      <c r="C32" s="81">
        <v>12.72</v>
      </c>
      <c r="D32" s="53"/>
      <c r="E32" s="82">
        <v>25.44</v>
      </c>
      <c r="F32" s="78" t="s">
        <v>2631</v>
      </c>
    </row>
    <row r="33" spans="1:6" ht="21.5" customHeight="1">
      <c r="A33" s="108" t="s">
        <v>3049</v>
      </c>
      <c r="B33" s="64" t="s">
        <v>2514</v>
      </c>
      <c r="C33" s="53"/>
      <c r="D33" s="80">
        <v>6307909810</v>
      </c>
      <c r="E33" s="53"/>
      <c r="F33" s="53"/>
    </row>
    <row r="34" spans="1:6" ht="10.25" customHeight="1">
      <c r="A34" s="116" t="s">
        <v>3050</v>
      </c>
      <c r="B34" s="106" t="s">
        <v>2714</v>
      </c>
      <c r="C34" s="76">
        <v>9.7799999999999994</v>
      </c>
      <c r="D34" s="53"/>
      <c r="E34" s="82">
        <v>19.559999999999999</v>
      </c>
      <c r="F34" s="78" t="s">
        <v>2631</v>
      </c>
    </row>
    <row r="35" spans="1:6" ht="22.25" customHeight="1">
      <c r="A35" s="108" t="s">
        <v>3051</v>
      </c>
      <c r="B35" s="64" t="s">
        <v>2514</v>
      </c>
      <c r="C35" s="53"/>
      <c r="D35" s="80">
        <v>4202229090</v>
      </c>
      <c r="E35" s="53"/>
      <c r="F35" s="53"/>
    </row>
    <row r="36" spans="1:6" ht="10.25" customHeight="1">
      <c r="A36" s="116" t="s">
        <v>3052</v>
      </c>
      <c r="B36" s="106" t="s">
        <v>2714</v>
      </c>
      <c r="C36" s="81">
        <v>12.72</v>
      </c>
      <c r="D36" s="53"/>
      <c r="E36" s="82">
        <v>25.44</v>
      </c>
      <c r="F36" s="78" t="s">
        <v>2631</v>
      </c>
    </row>
    <row r="37" spans="1:6" ht="21.5" customHeight="1">
      <c r="A37" s="108" t="s">
        <v>3053</v>
      </c>
      <c r="B37" s="64" t="s">
        <v>2514</v>
      </c>
      <c r="C37" s="53"/>
      <c r="D37" s="80">
        <v>6307909810</v>
      </c>
      <c r="E37" s="53"/>
      <c r="F37" s="53"/>
    </row>
    <row r="38" spans="1:6" ht="10.25" customHeight="1">
      <c r="A38" s="116" t="s">
        <v>3054</v>
      </c>
      <c r="B38" s="106" t="s">
        <v>2732</v>
      </c>
      <c r="C38" s="76">
        <v>7.8</v>
      </c>
      <c r="D38" s="53"/>
      <c r="E38" s="77">
        <v>31.2</v>
      </c>
      <c r="F38" s="78" t="s">
        <v>2631</v>
      </c>
    </row>
    <row r="39" spans="1:6" ht="22.25" customHeight="1">
      <c r="A39" s="108" t="s">
        <v>3055</v>
      </c>
      <c r="B39" s="64" t="s">
        <v>2514</v>
      </c>
      <c r="C39" s="53"/>
      <c r="D39" s="80">
        <v>5609000000</v>
      </c>
      <c r="E39" s="53"/>
      <c r="F39" s="53"/>
    </row>
    <row r="40" spans="1:6" ht="10.25" customHeight="1">
      <c r="A40" s="116" t="s">
        <v>3056</v>
      </c>
      <c r="B40" s="106" t="s">
        <v>2719</v>
      </c>
      <c r="C40" s="81">
        <v>14.4</v>
      </c>
      <c r="D40" s="53"/>
      <c r="E40" s="77">
        <v>43.2</v>
      </c>
      <c r="F40" s="78" t="s">
        <v>2631</v>
      </c>
    </row>
    <row r="41" spans="1:6" ht="21.5" customHeight="1">
      <c r="A41" s="108" t="s">
        <v>3057</v>
      </c>
      <c r="B41" s="64" t="s">
        <v>2514</v>
      </c>
      <c r="C41" s="53"/>
      <c r="D41" s="80">
        <v>3926909790</v>
      </c>
      <c r="E41" s="53"/>
      <c r="F41" s="53"/>
    </row>
    <row r="42" spans="1:6" ht="11.25" customHeight="1">
      <c r="A42" s="116" t="s">
        <v>3058</v>
      </c>
      <c r="B42" s="106" t="s">
        <v>2714</v>
      </c>
      <c r="C42" s="76">
        <v>6.72</v>
      </c>
      <c r="D42" s="53"/>
      <c r="E42" s="82">
        <v>13.44</v>
      </c>
      <c r="F42" s="78" t="s">
        <v>2631</v>
      </c>
    </row>
    <row r="43" spans="1:6" ht="21.5" customHeight="1">
      <c r="A43" s="108" t="s">
        <v>3059</v>
      </c>
      <c r="B43" s="64" t="s">
        <v>2514</v>
      </c>
      <c r="C43" s="53"/>
      <c r="D43" s="80">
        <v>6307909810</v>
      </c>
      <c r="E43" s="53"/>
      <c r="F43" s="53"/>
    </row>
    <row r="44" spans="1:6" ht="10.25" customHeight="1">
      <c r="A44" s="116" t="s">
        <v>3060</v>
      </c>
      <c r="B44" s="106" t="s">
        <v>2714</v>
      </c>
      <c r="C44" s="81">
        <v>11.88</v>
      </c>
      <c r="D44" s="53"/>
      <c r="E44" s="82">
        <v>23.76</v>
      </c>
      <c r="F44" s="78" t="s">
        <v>2631</v>
      </c>
    </row>
    <row r="45" spans="1:6" ht="21.5" customHeight="1">
      <c r="A45" s="156" t="s">
        <v>3061</v>
      </c>
      <c r="B45" s="156"/>
      <c r="C45" s="53"/>
      <c r="D45" s="80">
        <v>4202229090</v>
      </c>
      <c r="E45" s="53"/>
      <c r="F45" s="53"/>
    </row>
    <row r="46" spans="1:6" ht="10.25" customHeight="1">
      <c r="A46" s="116" t="s">
        <v>3062</v>
      </c>
      <c r="B46" s="106" t="s">
        <v>2714</v>
      </c>
      <c r="C46" s="81">
        <v>13.92</v>
      </c>
      <c r="D46" s="53"/>
      <c r="E46" s="82">
        <v>27.84</v>
      </c>
      <c r="F46" s="78" t="s">
        <v>2631</v>
      </c>
    </row>
    <row r="47" spans="1:6" ht="21.5" customHeight="1">
      <c r="A47" s="108" t="s">
        <v>3063</v>
      </c>
      <c r="B47" s="64" t="s">
        <v>2514</v>
      </c>
      <c r="C47" s="53"/>
      <c r="D47" s="80">
        <v>4202221000</v>
      </c>
      <c r="E47" s="53"/>
      <c r="F47" s="53"/>
    </row>
    <row r="48" spans="1:6" ht="10.25" customHeight="1">
      <c r="A48" s="116" t="s">
        <v>3064</v>
      </c>
      <c r="B48" s="106" t="s">
        <v>2714</v>
      </c>
      <c r="C48" s="81">
        <v>11.88</v>
      </c>
      <c r="D48" s="53"/>
      <c r="E48" s="82">
        <v>23.76</v>
      </c>
      <c r="F48" s="78" t="s">
        <v>2631</v>
      </c>
    </row>
    <row r="49" spans="1:6" ht="21.5" customHeight="1">
      <c r="A49" s="107" t="s">
        <v>3065</v>
      </c>
      <c r="B49" s="64" t="s">
        <v>2514</v>
      </c>
      <c r="C49" s="53"/>
      <c r="D49" s="80">
        <v>4202229090</v>
      </c>
      <c r="E49" s="53"/>
      <c r="F49" s="53"/>
    </row>
    <row r="50" spans="1:6" ht="11.25" customHeight="1">
      <c r="A50" s="116" t="s">
        <v>3066</v>
      </c>
      <c r="B50" s="106" t="s">
        <v>2722</v>
      </c>
      <c r="C50" s="81">
        <v>14.4</v>
      </c>
      <c r="D50" s="53"/>
      <c r="E50" s="77">
        <v>14.4</v>
      </c>
      <c r="F50" s="78" t="s">
        <v>2631</v>
      </c>
    </row>
    <row r="51" spans="1:6" ht="21.5" customHeight="1">
      <c r="A51" s="108" t="s">
        <v>3067</v>
      </c>
      <c r="B51" s="64" t="s">
        <v>2514</v>
      </c>
      <c r="C51" s="53"/>
      <c r="D51" s="80">
        <v>4202221000</v>
      </c>
      <c r="E51" s="53"/>
      <c r="F51" s="53"/>
    </row>
    <row r="52" spans="1:6" ht="10.25" customHeight="1">
      <c r="A52" s="116" t="s">
        <v>3068</v>
      </c>
      <c r="B52" s="106" t="s">
        <v>2714</v>
      </c>
      <c r="C52" s="81">
        <v>14.4</v>
      </c>
      <c r="D52" s="53"/>
      <c r="E52" s="77">
        <v>28.8</v>
      </c>
      <c r="F52" s="78" t="s">
        <v>2631</v>
      </c>
    </row>
    <row r="53" spans="1:6" ht="22.25" customHeight="1">
      <c r="A53" s="108" t="s">
        <v>3069</v>
      </c>
      <c r="B53" s="64" t="s">
        <v>2514</v>
      </c>
      <c r="C53" s="53"/>
      <c r="D53" s="80">
        <v>4202221000</v>
      </c>
      <c r="E53" s="53"/>
      <c r="F53" s="53"/>
    </row>
    <row r="54" spans="1:6" ht="10.25" customHeight="1">
      <c r="A54" s="116" t="s">
        <v>3070</v>
      </c>
      <c r="B54" s="106" t="s">
        <v>2714</v>
      </c>
      <c r="C54" s="76">
        <v>9.7200000000000006</v>
      </c>
      <c r="D54" s="53"/>
      <c r="E54" s="82">
        <v>19.440000000000001</v>
      </c>
      <c r="F54" s="78" t="s">
        <v>2631</v>
      </c>
    </row>
    <row r="55" spans="1:6" ht="21.5" customHeight="1">
      <c r="A55" s="123" t="s">
        <v>3071</v>
      </c>
      <c r="B55" s="64" t="s">
        <v>2514</v>
      </c>
      <c r="C55" s="53"/>
      <c r="D55" s="80">
        <v>4202229090</v>
      </c>
      <c r="E55" s="53"/>
      <c r="F55" s="53"/>
    </row>
    <row r="56" spans="1:6" ht="11.25" customHeight="1">
      <c r="A56" s="116" t="s">
        <v>3072</v>
      </c>
      <c r="B56" s="106" t="s">
        <v>2714</v>
      </c>
      <c r="C56" s="76">
        <v>9.7799999999999994</v>
      </c>
      <c r="D56" s="53"/>
      <c r="E56" s="82">
        <v>19.559999999999999</v>
      </c>
      <c r="F56" s="78" t="s">
        <v>2631</v>
      </c>
    </row>
    <row r="57" spans="1:6" ht="20" customHeight="1">
      <c r="A57" s="124" t="s">
        <v>3073</v>
      </c>
      <c r="B57" s="67" t="s">
        <v>2514</v>
      </c>
      <c r="C57" s="28"/>
      <c r="D57" s="84">
        <v>4202229090</v>
      </c>
      <c r="E57" s="28"/>
      <c r="F57" s="28"/>
    </row>
  </sheetData>
  <mergeCells count="4">
    <mergeCell ref="A29:B29"/>
    <mergeCell ref="A30:B30"/>
    <mergeCell ref="C30:E30"/>
    <mergeCell ref="A45:B45"/>
  </mergeCells>
  <pageMargins left="1.25" right="1.25" top="1" bottom="1" header="0.25" footer="0.2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2" enableFormatConditionsCalculation="0"/>
  <dimension ref="A7:F57"/>
  <sheetViews>
    <sheetView workbookViewId="0"/>
  </sheetViews>
  <sheetFormatPr baseColWidth="10" defaultRowHeight="14" x14ac:dyDescent="0"/>
  <cols>
    <col min="1" max="1" width="53.83203125" customWidth="1"/>
    <col min="2" max="2" width="18.1640625" customWidth="1"/>
    <col min="3" max="3" width="8.1640625" customWidth="1"/>
    <col min="4" max="4" width="9.83203125" customWidth="1"/>
    <col min="5" max="5" width="16.1640625" customWidth="1"/>
    <col min="6" max="6" width="5.5" customWidth="1"/>
  </cols>
  <sheetData>
    <row r="7" spans="1:1">
      <c r="A7" s="25" t="s">
        <v>3074</v>
      </c>
    </row>
    <row r="8" spans="1:1">
      <c r="A8" s="24" t="s">
        <v>2495</v>
      </c>
    </row>
    <row r="9" spans="1:1">
      <c r="A9" s="25" t="s">
        <v>2496</v>
      </c>
    </row>
    <row r="10" spans="1:1">
      <c r="A10" s="25" t="s">
        <v>2497</v>
      </c>
    </row>
    <row r="11" spans="1:1">
      <c r="A11" s="25" t="s">
        <v>2498</v>
      </c>
    </row>
    <row r="12" spans="1:1">
      <c r="A12" s="25" t="s">
        <v>2499</v>
      </c>
    </row>
    <row r="15" spans="1:1">
      <c r="A15" s="24" t="s">
        <v>2490</v>
      </c>
    </row>
    <row r="16" spans="1:1">
      <c r="A16" s="24" t="s">
        <v>2491</v>
      </c>
    </row>
    <row r="17" spans="1:6">
      <c r="A17" s="24" t="s">
        <v>2492</v>
      </c>
    </row>
    <row r="18" spans="1:6">
      <c r="A18" s="24" t="s">
        <v>2493</v>
      </c>
    </row>
    <row r="20" spans="1:6">
      <c r="A20" s="26" t="s">
        <v>2500</v>
      </c>
    </row>
    <row r="22" spans="1:6">
      <c r="A22" s="24" t="s">
        <v>2607</v>
      </c>
    </row>
    <row r="23" spans="1:6">
      <c r="A23" s="24" t="s">
        <v>2608</v>
      </c>
    </row>
    <row r="24" spans="1:6">
      <c r="A24" s="24" t="s">
        <v>2609</v>
      </c>
    </row>
    <row r="25" spans="1:6">
      <c r="A25" s="24" t="s">
        <v>2509</v>
      </c>
    </row>
    <row r="26" spans="1:6">
      <c r="A26" s="25" t="s">
        <v>2510</v>
      </c>
    </row>
    <row r="27" spans="1:6">
      <c r="A27" s="24" t="s">
        <v>2511</v>
      </c>
    </row>
    <row r="28" spans="1:6" ht="13.75" customHeight="1">
      <c r="A28" s="99" t="s">
        <v>2512</v>
      </c>
      <c r="B28" s="28"/>
      <c r="C28" s="28"/>
      <c r="D28" s="28"/>
      <c r="E28" s="28"/>
      <c r="F28" s="28"/>
    </row>
    <row r="29" spans="1:6" ht="12" customHeight="1">
      <c r="A29" s="105" t="s">
        <v>2682</v>
      </c>
      <c r="B29" s="100" t="s">
        <v>2683</v>
      </c>
      <c r="C29" s="72" t="s">
        <v>2623</v>
      </c>
      <c r="D29" s="105" t="s">
        <v>2624</v>
      </c>
      <c r="E29" s="73" t="s">
        <v>2625</v>
      </c>
      <c r="F29" s="72" t="s">
        <v>2626</v>
      </c>
    </row>
    <row r="30" spans="1:6" ht="13.75" customHeight="1">
      <c r="A30" s="101" t="s">
        <v>2911</v>
      </c>
      <c r="B30" s="119" t="s">
        <v>2912</v>
      </c>
      <c r="C30" s="153" t="s">
        <v>2685</v>
      </c>
      <c r="D30" s="153"/>
      <c r="E30" s="153"/>
      <c r="F30" s="53"/>
    </row>
    <row r="31" spans="1:6" ht="14.5" customHeight="1">
      <c r="A31" s="122" t="s">
        <v>2553</v>
      </c>
      <c r="B31" s="53"/>
      <c r="C31" s="53"/>
      <c r="D31" s="53"/>
      <c r="E31" s="53"/>
      <c r="F31" s="53"/>
    </row>
    <row r="32" spans="1:6" ht="10.25" customHeight="1">
      <c r="A32" s="118" t="s">
        <v>3075</v>
      </c>
      <c r="B32" s="59" t="s">
        <v>2578</v>
      </c>
      <c r="C32" s="52">
        <v>4.5599999999999996</v>
      </c>
      <c r="D32" s="53"/>
      <c r="E32" s="54">
        <v>27.36</v>
      </c>
      <c r="F32" s="55" t="s">
        <v>2534</v>
      </c>
    </row>
    <row r="33" spans="1:6" ht="21.5" customHeight="1">
      <c r="A33" s="85" t="s">
        <v>3076</v>
      </c>
      <c r="B33" s="120" t="s">
        <v>2514</v>
      </c>
      <c r="C33" s="53"/>
      <c r="D33" s="102">
        <v>7909000000</v>
      </c>
      <c r="E33" s="53"/>
      <c r="F33" s="53"/>
    </row>
    <row r="34" spans="1:6" ht="10.25" customHeight="1">
      <c r="A34" s="118" t="s">
        <v>3077</v>
      </c>
      <c r="B34" s="59" t="s">
        <v>2581</v>
      </c>
      <c r="C34" s="57">
        <v>14.4</v>
      </c>
      <c r="D34" s="53"/>
      <c r="E34" s="58">
        <v>14.4</v>
      </c>
      <c r="F34" s="55" t="s">
        <v>2534</v>
      </c>
    </row>
    <row r="35" spans="1:6" ht="22.25" customHeight="1">
      <c r="A35" s="85" t="s">
        <v>3078</v>
      </c>
      <c r="B35" s="120" t="s">
        <v>2514</v>
      </c>
      <c r="C35" s="53"/>
      <c r="D35" s="102">
        <v>4202221000</v>
      </c>
      <c r="E35" s="53"/>
      <c r="F35" s="53"/>
    </row>
    <row r="36" spans="1:6" ht="10.25" customHeight="1">
      <c r="A36" s="118" t="s">
        <v>3079</v>
      </c>
      <c r="B36" s="59" t="s">
        <v>2593</v>
      </c>
      <c r="C36" s="57">
        <v>14.4</v>
      </c>
      <c r="D36" s="53"/>
      <c r="E36" s="58">
        <v>43.2</v>
      </c>
      <c r="F36" s="55" t="s">
        <v>2534</v>
      </c>
    </row>
    <row r="37" spans="1:6" ht="21.5" customHeight="1">
      <c r="A37" s="85" t="s">
        <v>3080</v>
      </c>
      <c r="B37" s="120" t="s">
        <v>2514</v>
      </c>
      <c r="C37" s="53"/>
      <c r="D37" s="102">
        <v>4202221000</v>
      </c>
      <c r="E37" s="53"/>
      <c r="F37" s="53"/>
    </row>
    <row r="38" spans="1:6" ht="10.25" customHeight="1">
      <c r="A38" s="118" t="s">
        <v>3081</v>
      </c>
      <c r="B38" s="59" t="s">
        <v>2593</v>
      </c>
      <c r="C38" s="52">
        <v>4.8</v>
      </c>
      <c r="D38" s="53"/>
      <c r="E38" s="58">
        <v>14.4</v>
      </c>
      <c r="F38" s="55" t="s">
        <v>2534</v>
      </c>
    </row>
    <row r="39" spans="1:6" ht="22.25" customHeight="1">
      <c r="A39" s="85" t="s">
        <v>3082</v>
      </c>
      <c r="B39" s="120" t="s">
        <v>2514</v>
      </c>
      <c r="C39" s="53"/>
      <c r="D39" s="102">
        <v>4202221000</v>
      </c>
      <c r="E39" s="53"/>
      <c r="F39" s="53"/>
    </row>
    <row r="40" spans="1:6" ht="10.25" customHeight="1">
      <c r="A40" s="118" t="s">
        <v>3083</v>
      </c>
      <c r="B40" s="59" t="s">
        <v>2593</v>
      </c>
      <c r="C40" s="52">
        <v>9.6</v>
      </c>
      <c r="D40" s="53"/>
      <c r="E40" s="58">
        <v>28.8</v>
      </c>
      <c r="F40" s="55" t="s">
        <v>2534</v>
      </c>
    </row>
    <row r="41" spans="1:6" ht="21.5" customHeight="1">
      <c r="A41" s="150" t="s">
        <v>3084</v>
      </c>
      <c r="B41" s="150"/>
      <c r="C41" s="53"/>
      <c r="D41" s="102">
        <v>3926909790</v>
      </c>
      <c r="E41" s="53"/>
      <c r="F41" s="53"/>
    </row>
    <row r="42" spans="1:6" ht="11.25" customHeight="1">
      <c r="A42" s="118" t="s">
        <v>3085</v>
      </c>
      <c r="B42" s="59" t="s">
        <v>2584</v>
      </c>
      <c r="C42" s="57">
        <v>12.72</v>
      </c>
      <c r="D42" s="53"/>
      <c r="E42" s="54">
        <v>25.44</v>
      </c>
      <c r="F42" s="55" t="s">
        <v>2534</v>
      </c>
    </row>
    <row r="43" spans="1:6" ht="21.5" customHeight="1">
      <c r="A43" s="150" t="s">
        <v>3086</v>
      </c>
      <c r="B43" s="150"/>
      <c r="C43" s="53"/>
      <c r="D43" s="102">
        <v>4202229090</v>
      </c>
      <c r="E43" s="53"/>
      <c r="F43" s="53"/>
    </row>
    <row r="44" spans="1:6" ht="10.25" customHeight="1">
      <c r="A44" s="118" t="s">
        <v>3087</v>
      </c>
      <c r="B44" s="59" t="s">
        <v>2584</v>
      </c>
      <c r="C44" s="57">
        <v>11.04</v>
      </c>
      <c r="D44" s="53"/>
      <c r="E44" s="54">
        <v>22.08</v>
      </c>
      <c r="F44" s="55" t="s">
        <v>2534</v>
      </c>
    </row>
    <row r="45" spans="1:6" ht="21.5" customHeight="1">
      <c r="A45" s="85" t="s">
        <v>3088</v>
      </c>
      <c r="B45" s="120" t="s">
        <v>2514</v>
      </c>
      <c r="C45" s="53"/>
      <c r="D45" s="102">
        <v>4202221000</v>
      </c>
      <c r="E45" s="53"/>
      <c r="F45" s="53"/>
    </row>
    <row r="46" spans="1:6" ht="10.25" customHeight="1">
      <c r="A46" s="118" t="s">
        <v>3089</v>
      </c>
      <c r="B46" s="59" t="s">
        <v>2584</v>
      </c>
      <c r="C46" s="57">
        <v>10.8</v>
      </c>
      <c r="D46" s="53"/>
      <c r="E46" s="58">
        <v>21.6</v>
      </c>
      <c r="F46" s="55" t="s">
        <v>2534</v>
      </c>
    </row>
    <row r="47" spans="1:6" ht="21.5" customHeight="1">
      <c r="A47" s="150" t="s">
        <v>3090</v>
      </c>
      <c r="B47" s="150"/>
      <c r="C47" s="53"/>
      <c r="D47" s="102">
        <v>4202229090</v>
      </c>
      <c r="E47" s="53"/>
      <c r="F47" s="53"/>
    </row>
    <row r="48" spans="1:6" ht="10.25" customHeight="1">
      <c r="A48" s="118" t="s">
        <v>3091</v>
      </c>
      <c r="B48" s="59" t="s">
        <v>2593</v>
      </c>
      <c r="C48" s="57">
        <v>33</v>
      </c>
      <c r="D48" s="53"/>
      <c r="E48" s="58">
        <v>99</v>
      </c>
      <c r="F48" s="55" t="s">
        <v>2534</v>
      </c>
    </row>
    <row r="49" spans="1:6" ht="21.5" customHeight="1">
      <c r="A49" s="85" t="s">
        <v>3092</v>
      </c>
      <c r="B49" s="120" t="s">
        <v>2514</v>
      </c>
      <c r="C49" s="53"/>
      <c r="D49" s="102">
        <v>4202221000</v>
      </c>
      <c r="E49" s="53"/>
      <c r="F49" s="53"/>
    </row>
    <row r="50" spans="1:6" ht="11.25" customHeight="1">
      <c r="A50" s="118" t="s">
        <v>3093</v>
      </c>
      <c r="B50" s="59" t="s">
        <v>2584</v>
      </c>
      <c r="C50" s="57">
        <v>11.88</v>
      </c>
      <c r="D50" s="53"/>
      <c r="E50" s="54">
        <v>23.76</v>
      </c>
      <c r="F50" s="55" t="s">
        <v>2534</v>
      </c>
    </row>
    <row r="51" spans="1:6" ht="21.5" customHeight="1">
      <c r="A51" s="85" t="s">
        <v>3094</v>
      </c>
      <c r="B51" s="120" t="s">
        <v>2514</v>
      </c>
      <c r="C51" s="53"/>
      <c r="D51" s="102">
        <v>4202221000</v>
      </c>
      <c r="E51" s="53"/>
      <c r="F51" s="53"/>
    </row>
    <row r="52" spans="1:6" ht="10.25" customHeight="1">
      <c r="A52" s="118" t="s">
        <v>3095</v>
      </c>
      <c r="B52" s="59" t="s">
        <v>2593</v>
      </c>
      <c r="C52" s="57">
        <v>11.88</v>
      </c>
      <c r="D52" s="53"/>
      <c r="E52" s="54">
        <v>35.64</v>
      </c>
      <c r="F52" s="55" t="s">
        <v>2534</v>
      </c>
    </row>
    <row r="53" spans="1:6" ht="22.25" customHeight="1">
      <c r="A53" s="85" t="s">
        <v>3096</v>
      </c>
      <c r="B53" s="120" t="s">
        <v>2514</v>
      </c>
      <c r="C53" s="53"/>
      <c r="D53" s="102">
        <v>4202221000</v>
      </c>
      <c r="E53" s="53"/>
      <c r="F53" s="53"/>
    </row>
    <row r="54" spans="1:6" ht="10.25" customHeight="1">
      <c r="A54" s="118" t="s">
        <v>3097</v>
      </c>
      <c r="B54" s="59" t="s">
        <v>2593</v>
      </c>
      <c r="C54" s="57">
        <v>16.32</v>
      </c>
      <c r="D54" s="53"/>
      <c r="E54" s="54">
        <v>48.96</v>
      </c>
      <c r="F54" s="55" t="s">
        <v>2534</v>
      </c>
    </row>
    <row r="55" spans="1:6" ht="21.5" customHeight="1">
      <c r="A55" s="85" t="s">
        <v>3098</v>
      </c>
      <c r="B55" s="120" t="s">
        <v>2514</v>
      </c>
      <c r="C55" s="53"/>
      <c r="D55" s="102">
        <v>3926909790</v>
      </c>
      <c r="E55" s="53"/>
      <c r="F55" s="53"/>
    </row>
    <row r="56" spans="1:6" ht="11.25" customHeight="1">
      <c r="A56" s="118" t="s">
        <v>3099</v>
      </c>
      <c r="B56" s="59" t="s">
        <v>2578</v>
      </c>
      <c r="C56" s="52">
        <v>3.6</v>
      </c>
      <c r="D56" s="53"/>
      <c r="E56" s="58">
        <v>21.6</v>
      </c>
      <c r="F56" s="55" t="s">
        <v>2534</v>
      </c>
    </row>
    <row r="57" spans="1:6" ht="20" customHeight="1">
      <c r="A57" s="103" t="s">
        <v>3100</v>
      </c>
      <c r="B57" s="121" t="s">
        <v>2514</v>
      </c>
      <c r="C57" s="28"/>
      <c r="D57" s="104">
        <v>3926909790</v>
      </c>
      <c r="E57" s="28"/>
      <c r="F57" s="28"/>
    </row>
  </sheetData>
  <mergeCells count="4">
    <mergeCell ref="C30:E30"/>
    <mergeCell ref="A41:B41"/>
    <mergeCell ref="A43:B43"/>
    <mergeCell ref="A47:B47"/>
  </mergeCells>
  <pageMargins left="1.25" right="1.25" top="1" bottom="1" header="0.25" footer="0.2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3" enableFormatConditionsCalculation="0"/>
  <dimension ref="A7:F57"/>
  <sheetViews>
    <sheetView workbookViewId="0"/>
  </sheetViews>
  <sheetFormatPr baseColWidth="10" defaultRowHeight="14" x14ac:dyDescent="0"/>
  <cols>
    <col min="1" max="1" width="61.5" customWidth="1"/>
    <col min="2" max="2" width="10.5" customWidth="1"/>
    <col min="3" max="3" width="8.1640625" customWidth="1"/>
    <col min="4" max="4" width="9.83203125" customWidth="1"/>
    <col min="5" max="5" width="16.1640625" customWidth="1"/>
    <col min="6" max="6" width="5.5" customWidth="1"/>
  </cols>
  <sheetData>
    <row r="7" spans="1:1">
      <c r="A7" s="25" t="s">
        <v>3101</v>
      </c>
    </row>
    <row r="8" spans="1:1">
      <c r="A8" s="24" t="s">
        <v>2495</v>
      </c>
    </row>
    <row r="9" spans="1:1">
      <c r="A9" s="25" t="s">
        <v>2496</v>
      </c>
    </row>
    <row r="10" spans="1:1">
      <c r="A10" s="25" t="s">
        <v>2497</v>
      </c>
    </row>
    <row r="11" spans="1:1">
      <c r="A11" s="25" t="s">
        <v>2498</v>
      </c>
    </row>
    <row r="12" spans="1:1">
      <c r="A12" s="25" t="s">
        <v>2499</v>
      </c>
    </row>
    <row r="15" spans="1:1">
      <c r="A15" s="24" t="s">
        <v>2490</v>
      </c>
    </row>
    <row r="16" spans="1:1">
      <c r="A16" s="24" t="s">
        <v>2491</v>
      </c>
    </row>
    <row r="17" spans="1:6">
      <c r="A17" s="24" t="s">
        <v>2492</v>
      </c>
    </row>
    <row r="18" spans="1:6">
      <c r="A18" s="24" t="s">
        <v>2493</v>
      </c>
    </row>
    <row r="20" spans="1:6">
      <c r="A20" s="26" t="s">
        <v>2500</v>
      </c>
    </row>
    <row r="22" spans="1:6">
      <c r="A22" s="24" t="s">
        <v>2607</v>
      </c>
    </row>
    <row r="23" spans="1:6">
      <c r="A23" s="24" t="s">
        <v>2608</v>
      </c>
    </row>
    <row r="24" spans="1:6">
      <c r="A24" s="24" t="s">
        <v>2609</v>
      </c>
    </row>
    <row r="25" spans="1:6">
      <c r="A25" s="24" t="s">
        <v>2509</v>
      </c>
    </row>
    <row r="26" spans="1:6">
      <c r="A26" s="25" t="s">
        <v>2510</v>
      </c>
    </row>
    <row r="27" spans="1:6">
      <c r="A27" s="24" t="s">
        <v>2511</v>
      </c>
    </row>
    <row r="28" spans="1:6" ht="13.75" customHeight="1">
      <c r="A28" s="99" t="s">
        <v>2512</v>
      </c>
      <c r="B28" s="28"/>
      <c r="C28" s="28"/>
      <c r="D28" s="28"/>
      <c r="E28" s="28"/>
      <c r="F28" s="28"/>
    </row>
    <row r="29" spans="1:6" ht="12" customHeight="1">
      <c r="A29" s="155" t="s">
        <v>2622</v>
      </c>
      <c r="B29" s="155"/>
      <c r="C29" s="72" t="s">
        <v>2623</v>
      </c>
      <c r="D29" s="105" t="s">
        <v>2624</v>
      </c>
      <c r="E29" s="73" t="s">
        <v>2625</v>
      </c>
      <c r="F29" s="72" t="s">
        <v>2626</v>
      </c>
    </row>
    <row r="30" spans="1:6" ht="13.75" customHeight="1">
      <c r="A30" s="152" t="s">
        <v>2684</v>
      </c>
      <c r="B30" s="152"/>
      <c r="C30" s="153" t="s">
        <v>2685</v>
      </c>
      <c r="D30" s="153"/>
      <c r="E30" s="153"/>
      <c r="F30" s="53"/>
    </row>
    <row r="31" spans="1:6" ht="14.5" customHeight="1">
      <c r="A31" s="160" t="s">
        <v>2553</v>
      </c>
      <c r="B31" s="160"/>
      <c r="C31" s="53"/>
      <c r="D31" s="53"/>
      <c r="E31" s="53"/>
      <c r="F31" s="53"/>
    </row>
    <row r="32" spans="1:6" ht="10.25" customHeight="1">
      <c r="A32" s="159" t="s">
        <v>3102</v>
      </c>
      <c r="B32" s="159"/>
      <c r="C32" s="57">
        <v>10.8</v>
      </c>
      <c r="D32" s="53"/>
      <c r="E32" s="58">
        <v>21.6</v>
      </c>
      <c r="F32" s="55" t="s">
        <v>2534</v>
      </c>
    </row>
    <row r="33" spans="1:6" ht="21.5" customHeight="1">
      <c r="A33" s="65" t="s">
        <v>3103</v>
      </c>
      <c r="B33" s="64" t="s">
        <v>2514</v>
      </c>
      <c r="C33" s="53"/>
      <c r="D33" s="102">
        <v>4202229090</v>
      </c>
      <c r="E33" s="53"/>
      <c r="F33" s="53"/>
    </row>
    <row r="34" spans="1:6" ht="10.25" customHeight="1">
      <c r="A34" s="118" t="s">
        <v>3104</v>
      </c>
      <c r="B34" s="59" t="s">
        <v>2581</v>
      </c>
      <c r="C34" s="52">
        <v>4.8</v>
      </c>
      <c r="D34" s="53"/>
      <c r="E34" s="54">
        <v>4.8</v>
      </c>
      <c r="F34" s="55" t="s">
        <v>2534</v>
      </c>
    </row>
    <row r="35" spans="1:6" ht="22.25" customHeight="1">
      <c r="A35" s="85" t="s">
        <v>3105</v>
      </c>
      <c r="B35" s="64" t="s">
        <v>2514</v>
      </c>
      <c r="C35" s="53"/>
      <c r="D35" s="102">
        <v>4202221000</v>
      </c>
      <c r="E35" s="53"/>
      <c r="F35" s="53"/>
    </row>
    <row r="36" spans="1:6" ht="10.25" customHeight="1">
      <c r="A36" s="118" t="s">
        <v>3106</v>
      </c>
      <c r="B36" s="59" t="s">
        <v>2584</v>
      </c>
      <c r="C36" s="57">
        <v>10.8</v>
      </c>
      <c r="D36" s="53"/>
      <c r="E36" s="58">
        <v>21.6</v>
      </c>
      <c r="F36" s="55" t="s">
        <v>2534</v>
      </c>
    </row>
    <row r="37" spans="1:6" ht="21.5" customHeight="1">
      <c r="A37" s="85" t="s">
        <v>3107</v>
      </c>
      <c r="B37" s="64" t="s">
        <v>2514</v>
      </c>
      <c r="C37" s="53"/>
      <c r="D37" s="102">
        <v>6307909899</v>
      </c>
      <c r="E37" s="53"/>
      <c r="F37" s="53"/>
    </row>
    <row r="38" spans="1:6" ht="10.25" customHeight="1">
      <c r="A38" s="118" t="s">
        <v>3108</v>
      </c>
      <c r="B38" s="59" t="s">
        <v>2581</v>
      </c>
      <c r="C38" s="57">
        <v>14.4</v>
      </c>
      <c r="D38" s="53"/>
      <c r="E38" s="58">
        <v>14.4</v>
      </c>
      <c r="F38" s="55" t="s">
        <v>2534</v>
      </c>
    </row>
    <row r="39" spans="1:6" ht="22.25" customHeight="1">
      <c r="A39" s="85" t="s">
        <v>3109</v>
      </c>
      <c r="B39" s="64" t="s">
        <v>2514</v>
      </c>
      <c r="C39" s="53"/>
      <c r="D39" s="102">
        <v>4202221000</v>
      </c>
      <c r="E39" s="53"/>
      <c r="F39" s="53"/>
    </row>
    <row r="40" spans="1:6" ht="10.25" customHeight="1">
      <c r="A40" s="118" t="s">
        <v>3110</v>
      </c>
      <c r="B40" s="59" t="s">
        <v>2584</v>
      </c>
      <c r="C40" s="57">
        <v>13.92</v>
      </c>
      <c r="D40" s="53"/>
      <c r="E40" s="54">
        <v>27.84</v>
      </c>
      <c r="F40" s="55" t="s">
        <v>2534</v>
      </c>
    </row>
    <row r="41" spans="1:6" ht="21.5" customHeight="1">
      <c r="A41" s="85" t="s">
        <v>3111</v>
      </c>
      <c r="B41" s="64" t="s">
        <v>2514</v>
      </c>
      <c r="C41" s="53"/>
      <c r="D41" s="102">
        <v>4202221000</v>
      </c>
      <c r="E41" s="53"/>
      <c r="F41" s="53"/>
    </row>
    <row r="42" spans="1:6" ht="11.25" customHeight="1">
      <c r="A42" s="118" t="s">
        <v>3112</v>
      </c>
      <c r="B42" s="59" t="s">
        <v>2584</v>
      </c>
      <c r="C42" s="57">
        <v>13.08</v>
      </c>
      <c r="D42" s="53"/>
      <c r="E42" s="54">
        <v>26.16</v>
      </c>
      <c r="F42" s="55" t="s">
        <v>2534</v>
      </c>
    </row>
    <row r="43" spans="1:6" ht="21.5" customHeight="1">
      <c r="A43" s="85" t="s">
        <v>3113</v>
      </c>
      <c r="B43" s="64" t="s">
        <v>2514</v>
      </c>
      <c r="C43" s="53"/>
      <c r="D43" s="102">
        <v>4202221000</v>
      </c>
      <c r="E43" s="53"/>
      <c r="F43" s="53"/>
    </row>
    <row r="44" spans="1:6" ht="10.25" customHeight="1">
      <c r="A44" s="118" t="s">
        <v>3114</v>
      </c>
      <c r="B44" s="59" t="s">
        <v>2584</v>
      </c>
      <c r="C44" s="57">
        <v>11.88</v>
      </c>
      <c r="D44" s="53"/>
      <c r="E44" s="54">
        <v>23.76</v>
      </c>
      <c r="F44" s="55" t="s">
        <v>2534</v>
      </c>
    </row>
    <row r="45" spans="1:6" ht="21.5" customHeight="1">
      <c r="A45" s="150" t="s">
        <v>3115</v>
      </c>
      <c r="B45" s="150"/>
      <c r="C45" s="53"/>
      <c r="D45" s="102">
        <v>4202229090</v>
      </c>
      <c r="E45" s="53"/>
      <c r="F45" s="53"/>
    </row>
    <row r="46" spans="1:6" ht="10.25" customHeight="1">
      <c r="A46" s="118" t="s">
        <v>3116</v>
      </c>
      <c r="B46" s="59" t="s">
        <v>2584</v>
      </c>
      <c r="C46" s="57">
        <v>10.8</v>
      </c>
      <c r="D46" s="53"/>
      <c r="E46" s="58">
        <v>21.6</v>
      </c>
      <c r="F46" s="55" t="s">
        <v>2534</v>
      </c>
    </row>
    <row r="47" spans="1:6" ht="21.5" customHeight="1">
      <c r="A47" s="65" t="s">
        <v>3117</v>
      </c>
      <c r="B47" s="64" t="s">
        <v>2514</v>
      </c>
      <c r="C47" s="53"/>
      <c r="D47" s="102">
        <v>4202229090</v>
      </c>
      <c r="E47" s="53"/>
      <c r="F47" s="53"/>
    </row>
    <row r="48" spans="1:6" ht="10.25" customHeight="1">
      <c r="A48" s="118" t="s">
        <v>3118</v>
      </c>
      <c r="B48" s="59" t="s">
        <v>2593</v>
      </c>
      <c r="C48" s="52">
        <v>6.6</v>
      </c>
      <c r="D48" s="53"/>
      <c r="E48" s="58">
        <v>19.8</v>
      </c>
      <c r="F48" s="55" t="s">
        <v>2534</v>
      </c>
    </row>
    <row r="49" spans="1:6" ht="21.5" customHeight="1">
      <c r="A49" s="117" t="s">
        <v>3119</v>
      </c>
      <c r="B49" s="64" t="s">
        <v>2514</v>
      </c>
      <c r="C49" s="53"/>
      <c r="D49" s="102">
        <v>4202321000</v>
      </c>
      <c r="E49" s="53"/>
      <c r="F49" s="53"/>
    </row>
    <row r="50" spans="1:6" ht="11.25" customHeight="1">
      <c r="A50" s="118" t="s">
        <v>3120</v>
      </c>
      <c r="B50" s="59" t="s">
        <v>3121</v>
      </c>
      <c r="C50" s="57">
        <v>14.4</v>
      </c>
      <c r="D50" s="53"/>
      <c r="E50" s="58">
        <v>72</v>
      </c>
      <c r="F50" s="55" t="s">
        <v>2534</v>
      </c>
    </row>
    <row r="51" spans="1:6" ht="21.5" customHeight="1">
      <c r="A51" s="150" t="s">
        <v>3007</v>
      </c>
      <c r="B51" s="150"/>
      <c r="C51" s="53"/>
      <c r="D51" s="102">
        <v>3926909790</v>
      </c>
      <c r="E51" s="53"/>
      <c r="F51" s="53"/>
    </row>
    <row r="52" spans="1:6" ht="10.25" customHeight="1">
      <c r="A52" s="118" t="s">
        <v>3122</v>
      </c>
      <c r="B52" s="59" t="s">
        <v>2584</v>
      </c>
      <c r="C52" s="57">
        <v>12.72</v>
      </c>
      <c r="D52" s="53"/>
      <c r="E52" s="54">
        <v>25.44</v>
      </c>
      <c r="F52" s="55" t="s">
        <v>2534</v>
      </c>
    </row>
    <row r="53" spans="1:6" ht="22.25" customHeight="1">
      <c r="A53" s="150" t="s">
        <v>3123</v>
      </c>
      <c r="B53" s="150"/>
      <c r="C53" s="53"/>
      <c r="D53" s="102">
        <v>4202229090</v>
      </c>
      <c r="E53" s="53"/>
      <c r="F53" s="53"/>
    </row>
    <row r="54" spans="1:6" ht="10.25" customHeight="1">
      <c r="A54" s="118" t="s">
        <v>3124</v>
      </c>
      <c r="B54" s="59" t="s">
        <v>2938</v>
      </c>
      <c r="C54" s="52">
        <v>4.5599999999999996</v>
      </c>
      <c r="D54" s="53"/>
      <c r="E54" s="54">
        <v>36.479999999999997</v>
      </c>
      <c r="F54" s="55" t="s">
        <v>2534</v>
      </c>
    </row>
    <row r="55" spans="1:6" ht="21.5" customHeight="1">
      <c r="A55" s="85" t="s">
        <v>3125</v>
      </c>
      <c r="B55" s="64" t="s">
        <v>2514</v>
      </c>
      <c r="C55" s="53"/>
      <c r="D55" s="102">
        <v>3926909790</v>
      </c>
      <c r="E55" s="53"/>
      <c r="F55" s="53"/>
    </row>
    <row r="56" spans="1:6" ht="11.25" customHeight="1">
      <c r="A56" s="118" t="s">
        <v>3126</v>
      </c>
      <c r="B56" s="59" t="s">
        <v>2593</v>
      </c>
      <c r="C56" s="57">
        <v>14.4</v>
      </c>
      <c r="D56" s="53"/>
      <c r="E56" s="58">
        <v>43.2</v>
      </c>
      <c r="F56" s="55" t="s">
        <v>2534</v>
      </c>
    </row>
    <row r="57" spans="1:6" ht="20" customHeight="1">
      <c r="A57" s="103" t="s">
        <v>3127</v>
      </c>
      <c r="B57" s="67" t="s">
        <v>2514</v>
      </c>
      <c r="C57" s="28"/>
      <c r="D57" s="104">
        <v>4202221000</v>
      </c>
      <c r="E57" s="28"/>
      <c r="F57" s="28"/>
    </row>
  </sheetData>
  <mergeCells count="8">
    <mergeCell ref="A51:B51"/>
    <mergeCell ref="A53:B53"/>
    <mergeCell ref="A29:B29"/>
    <mergeCell ref="A30:B30"/>
    <mergeCell ref="C30:E30"/>
    <mergeCell ref="A31:B31"/>
    <mergeCell ref="A32:B32"/>
    <mergeCell ref="A45:B45"/>
  </mergeCells>
  <pageMargins left="1.25" right="1.25" top="1" bottom="1" header="0.25" footer="0.2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4" enableFormatConditionsCalculation="0"/>
  <dimension ref="A7:F57"/>
  <sheetViews>
    <sheetView workbookViewId="0"/>
  </sheetViews>
  <sheetFormatPr baseColWidth="10" defaultRowHeight="14" x14ac:dyDescent="0"/>
  <cols>
    <col min="1" max="1" width="62.83203125" customWidth="1"/>
    <col min="2" max="2" width="9" customWidth="1"/>
    <col min="3" max="3" width="8.1640625" customWidth="1"/>
    <col min="4" max="4" width="9.83203125" customWidth="1"/>
    <col min="5" max="5" width="16.1640625" customWidth="1"/>
    <col min="6" max="6" width="5.5" customWidth="1"/>
  </cols>
  <sheetData>
    <row r="7" spans="1:1">
      <c r="A7" s="25" t="s">
        <v>3128</v>
      </c>
    </row>
    <row r="8" spans="1:1">
      <c r="A8" s="24" t="s">
        <v>2495</v>
      </c>
    </row>
    <row r="9" spans="1:1">
      <c r="A9" s="25" t="s">
        <v>2496</v>
      </c>
    </row>
    <row r="10" spans="1:1">
      <c r="A10" s="25" t="s">
        <v>2497</v>
      </c>
    </row>
    <row r="11" spans="1:1">
      <c r="A11" s="25" t="s">
        <v>2498</v>
      </c>
    </row>
    <row r="12" spans="1:1">
      <c r="A12" s="25" t="s">
        <v>2499</v>
      </c>
    </row>
    <row r="15" spans="1:1">
      <c r="A15" s="24" t="s">
        <v>2490</v>
      </c>
    </row>
    <row r="16" spans="1:1">
      <c r="A16" s="24" t="s">
        <v>2491</v>
      </c>
    </row>
    <row r="17" spans="1:6">
      <c r="A17" s="24" t="s">
        <v>2492</v>
      </c>
    </row>
    <row r="18" spans="1:6">
      <c r="A18" s="24" t="s">
        <v>2493</v>
      </c>
    </row>
    <row r="20" spans="1:6">
      <c r="A20" s="26" t="s">
        <v>2500</v>
      </c>
    </row>
    <row r="22" spans="1:6">
      <c r="A22" s="24" t="s">
        <v>2607</v>
      </c>
    </row>
    <row r="23" spans="1:6">
      <c r="A23" s="24" t="s">
        <v>2608</v>
      </c>
    </row>
    <row r="24" spans="1:6">
      <c r="A24" s="24" t="s">
        <v>2609</v>
      </c>
    </row>
    <row r="25" spans="1:6">
      <c r="A25" s="24" t="s">
        <v>2509</v>
      </c>
    </row>
    <row r="26" spans="1:6">
      <c r="A26" s="25" t="s">
        <v>2510</v>
      </c>
    </row>
    <row r="27" spans="1:6">
      <c r="A27" s="24" t="s">
        <v>2511</v>
      </c>
    </row>
    <row r="28" spans="1:6" ht="13.75" customHeight="1">
      <c r="A28" s="99" t="s">
        <v>2512</v>
      </c>
      <c r="B28" s="28"/>
      <c r="C28" s="28"/>
      <c r="D28" s="28"/>
      <c r="E28" s="28"/>
      <c r="F28" s="28"/>
    </row>
    <row r="29" spans="1:6" ht="12" customHeight="1">
      <c r="A29" s="155" t="s">
        <v>2622</v>
      </c>
      <c r="B29" s="155"/>
      <c r="C29" s="72" t="s">
        <v>2623</v>
      </c>
      <c r="D29" s="105" t="s">
        <v>2624</v>
      </c>
      <c r="E29" s="73" t="s">
        <v>2625</v>
      </c>
      <c r="F29" s="72" t="s">
        <v>2626</v>
      </c>
    </row>
    <row r="30" spans="1:6" ht="13.75" customHeight="1">
      <c r="A30" s="152" t="s">
        <v>2684</v>
      </c>
      <c r="B30" s="152"/>
      <c r="C30" s="153" t="s">
        <v>2685</v>
      </c>
      <c r="D30" s="153"/>
      <c r="E30" s="153"/>
      <c r="F30" s="53"/>
    </row>
    <row r="31" spans="1:6" ht="14.5" customHeight="1">
      <c r="A31" s="122" t="s">
        <v>2553</v>
      </c>
      <c r="B31" s="53"/>
      <c r="C31" s="53"/>
      <c r="D31" s="53"/>
      <c r="E31" s="53"/>
      <c r="F31" s="53"/>
    </row>
    <row r="32" spans="1:6" ht="10.25" customHeight="1">
      <c r="A32" s="118" t="s">
        <v>3129</v>
      </c>
      <c r="B32" s="59" t="s">
        <v>2581</v>
      </c>
      <c r="C32" s="57">
        <v>14.4</v>
      </c>
      <c r="D32" s="53"/>
      <c r="E32" s="58">
        <v>14.4</v>
      </c>
      <c r="F32" s="55" t="s">
        <v>2534</v>
      </c>
    </row>
    <row r="33" spans="1:6" ht="21.5" customHeight="1">
      <c r="A33" s="85" t="s">
        <v>3130</v>
      </c>
      <c r="B33" s="64" t="s">
        <v>2514</v>
      </c>
      <c r="C33" s="53"/>
      <c r="D33" s="102">
        <v>4202221000</v>
      </c>
      <c r="E33" s="53"/>
      <c r="F33" s="53"/>
    </row>
    <row r="34" spans="1:6" ht="10.25" customHeight="1">
      <c r="A34" s="118" t="s">
        <v>3131</v>
      </c>
      <c r="B34" s="59" t="s">
        <v>2593</v>
      </c>
      <c r="C34" s="52">
        <v>6.6</v>
      </c>
      <c r="D34" s="53"/>
      <c r="E34" s="58">
        <v>19.8</v>
      </c>
      <c r="F34" s="55" t="s">
        <v>2534</v>
      </c>
    </row>
    <row r="35" spans="1:6" ht="22.25" customHeight="1">
      <c r="A35" s="117" t="s">
        <v>3132</v>
      </c>
      <c r="B35" s="64" t="s">
        <v>2514</v>
      </c>
      <c r="C35" s="53"/>
      <c r="D35" s="102">
        <v>4202321000</v>
      </c>
      <c r="E35" s="53"/>
      <c r="F35" s="53"/>
    </row>
    <row r="36" spans="1:6" ht="10.25" customHeight="1">
      <c r="A36" s="118" t="s">
        <v>3133</v>
      </c>
      <c r="B36" s="59" t="s">
        <v>2584</v>
      </c>
      <c r="C36" s="57">
        <v>11.88</v>
      </c>
      <c r="D36" s="53"/>
      <c r="E36" s="54">
        <v>23.76</v>
      </c>
      <c r="F36" s="55" t="s">
        <v>2534</v>
      </c>
    </row>
    <row r="37" spans="1:6" ht="21.5" customHeight="1">
      <c r="A37" s="150" t="s">
        <v>3134</v>
      </c>
      <c r="B37" s="150"/>
      <c r="C37" s="53"/>
      <c r="D37" s="102">
        <v>4202229090</v>
      </c>
      <c r="E37" s="53"/>
      <c r="F37" s="53"/>
    </row>
    <row r="38" spans="1:6" ht="10.25" customHeight="1">
      <c r="A38" s="118" t="s">
        <v>3135</v>
      </c>
      <c r="B38" s="59" t="s">
        <v>2600</v>
      </c>
      <c r="C38" s="57">
        <v>12.6</v>
      </c>
      <c r="D38" s="53"/>
      <c r="E38" s="58">
        <v>50.4</v>
      </c>
      <c r="F38" s="55" t="s">
        <v>2534</v>
      </c>
    </row>
    <row r="39" spans="1:6" ht="22.25" customHeight="1">
      <c r="A39" s="65" t="s">
        <v>3136</v>
      </c>
      <c r="B39" s="64" t="s">
        <v>2514</v>
      </c>
      <c r="C39" s="53"/>
      <c r="D39" s="102">
        <v>3926909790</v>
      </c>
      <c r="E39" s="53"/>
      <c r="F39" s="53"/>
    </row>
    <row r="40" spans="1:6" ht="10.25" customHeight="1">
      <c r="A40" s="118" t="s">
        <v>3137</v>
      </c>
      <c r="B40" s="59" t="s">
        <v>2593</v>
      </c>
      <c r="C40" s="52">
        <v>8.4</v>
      </c>
      <c r="D40" s="53"/>
      <c r="E40" s="58">
        <v>25.2</v>
      </c>
      <c r="F40" s="55" t="s">
        <v>2534</v>
      </c>
    </row>
    <row r="41" spans="1:6" ht="21.5" customHeight="1">
      <c r="A41" s="85" t="s">
        <v>3138</v>
      </c>
      <c r="B41" s="64" t="s">
        <v>2514</v>
      </c>
      <c r="C41" s="53"/>
      <c r="D41" s="102">
        <v>9111800000</v>
      </c>
      <c r="E41" s="53"/>
      <c r="F41" s="53"/>
    </row>
    <row r="42" spans="1:6" ht="11.25" customHeight="1">
      <c r="A42" s="118" t="s">
        <v>3139</v>
      </c>
      <c r="B42" s="59" t="s">
        <v>2578</v>
      </c>
      <c r="C42" s="57">
        <v>13.44</v>
      </c>
      <c r="D42" s="53"/>
      <c r="E42" s="54">
        <v>80.64</v>
      </c>
      <c r="F42" s="55" t="s">
        <v>2534</v>
      </c>
    </row>
    <row r="43" spans="1:6" ht="21.5" customHeight="1">
      <c r="A43" s="65" t="s">
        <v>3140</v>
      </c>
      <c r="B43" s="64" t="s">
        <v>2514</v>
      </c>
      <c r="C43" s="53"/>
      <c r="D43" s="102">
        <v>5609000000</v>
      </c>
      <c r="E43" s="53"/>
      <c r="F43" s="53"/>
    </row>
    <row r="44" spans="1:6" ht="10.25" customHeight="1">
      <c r="A44" s="118" t="s">
        <v>3141</v>
      </c>
      <c r="B44" s="59" t="s">
        <v>2581</v>
      </c>
      <c r="C44" s="57">
        <v>14.4</v>
      </c>
      <c r="D44" s="53"/>
      <c r="E44" s="58">
        <v>14.4</v>
      </c>
      <c r="F44" s="55" t="s">
        <v>2534</v>
      </c>
    </row>
    <row r="45" spans="1:6" ht="21.5" customHeight="1">
      <c r="A45" s="85" t="s">
        <v>3142</v>
      </c>
      <c r="B45" s="64" t="s">
        <v>2514</v>
      </c>
      <c r="C45" s="53"/>
      <c r="D45" s="102">
        <v>4202221000</v>
      </c>
      <c r="E45" s="53"/>
      <c r="F45" s="53"/>
    </row>
    <row r="46" spans="1:6" ht="10.25" customHeight="1">
      <c r="A46" s="118" t="s">
        <v>3143</v>
      </c>
      <c r="B46" s="59" t="s">
        <v>2600</v>
      </c>
      <c r="C46" s="57">
        <v>12.72</v>
      </c>
      <c r="D46" s="53"/>
      <c r="E46" s="54">
        <v>50.88</v>
      </c>
      <c r="F46" s="55" t="s">
        <v>2534</v>
      </c>
    </row>
    <row r="47" spans="1:6" ht="21.5" customHeight="1">
      <c r="A47" s="85" t="s">
        <v>3144</v>
      </c>
      <c r="B47" s="64" t="s">
        <v>2514</v>
      </c>
      <c r="C47" s="53"/>
      <c r="D47" s="102">
        <v>3926909790</v>
      </c>
      <c r="E47" s="53"/>
      <c r="F47" s="53"/>
    </row>
    <row r="48" spans="1:6" ht="10.25" customHeight="1">
      <c r="A48" s="118" t="s">
        <v>3145</v>
      </c>
      <c r="B48" s="59" t="s">
        <v>2584</v>
      </c>
      <c r="C48" s="57">
        <v>12.72</v>
      </c>
      <c r="D48" s="53"/>
      <c r="E48" s="54">
        <v>25.44</v>
      </c>
      <c r="F48" s="55" t="s">
        <v>2534</v>
      </c>
    </row>
    <row r="49" spans="1:6" ht="21.5" customHeight="1">
      <c r="A49" s="150" t="s">
        <v>3146</v>
      </c>
      <c r="B49" s="150"/>
      <c r="C49" s="53"/>
      <c r="D49" s="102">
        <v>4202229090</v>
      </c>
      <c r="E49" s="53"/>
      <c r="F49" s="53"/>
    </row>
    <row r="50" spans="1:6" ht="11.25" customHeight="1">
      <c r="A50" s="118" t="s">
        <v>3147</v>
      </c>
      <c r="B50" s="59" t="s">
        <v>2593</v>
      </c>
      <c r="C50" s="57">
        <v>11.88</v>
      </c>
      <c r="D50" s="53"/>
      <c r="E50" s="54">
        <v>35.64</v>
      </c>
      <c r="F50" s="55" t="s">
        <v>2534</v>
      </c>
    </row>
    <row r="51" spans="1:6" ht="21.5" customHeight="1">
      <c r="A51" s="85" t="s">
        <v>3148</v>
      </c>
      <c r="B51" s="64" t="s">
        <v>2514</v>
      </c>
      <c r="C51" s="53"/>
      <c r="D51" s="102">
        <v>4202221000</v>
      </c>
      <c r="E51" s="53"/>
      <c r="F51" s="53"/>
    </row>
    <row r="52" spans="1:6" ht="10.25" customHeight="1">
      <c r="A52" s="118" t="s">
        <v>3149</v>
      </c>
      <c r="B52" s="59" t="s">
        <v>2581</v>
      </c>
      <c r="C52" s="57">
        <v>14.4</v>
      </c>
      <c r="D52" s="53"/>
      <c r="E52" s="58">
        <v>14.4</v>
      </c>
      <c r="F52" s="55" t="s">
        <v>2534</v>
      </c>
    </row>
    <row r="53" spans="1:6" ht="22.25" customHeight="1">
      <c r="A53" s="85" t="s">
        <v>3150</v>
      </c>
      <c r="B53" s="64" t="s">
        <v>2514</v>
      </c>
      <c r="C53" s="53"/>
      <c r="D53" s="102">
        <v>4202221000</v>
      </c>
      <c r="E53" s="53"/>
      <c r="F53" s="53"/>
    </row>
    <row r="54" spans="1:6" ht="10.25" customHeight="1">
      <c r="A54" s="118" t="s">
        <v>3151</v>
      </c>
      <c r="B54" s="59" t="s">
        <v>2584</v>
      </c>
      <c r="C54" s="57">
        <v>10.8</v>
      </c>
      <c r="D54" s="53"/>
      <c r="E54" s="58">
        <v>21.6</v>
      </c>
      <c r="F54" s="55" t="s">
        <v>2534</v>
      </c>
    </row>
    <row r="55" spans="1:6" ht="21.5" customHeight="1">
      <c r="A55" s="150" t="s">
        <v>3152</v>
      </c>
      <c r="B55" s="150"/>
      <c r="C55" s="53"/>
      <c r="D55" s="102">
        <v>4202229090</v>
      </c>
      <c r="E55" s="53"/>
      <c r="F55" s="53"/>
    </row>
    <row r="56" spans="1:6" ht="11.25" customHeight="1">
      <c r="A56" s="118" t="s">
        <v>3153</v>
      </c>
      <c r="B56" s="59" t="s">
        <v>2584</v>
      </c>
      <c r="C56" s="57">
        <v>12.6</v>
      </c>
      <c r="D56" s="53"/>
      <c r="E56" s="58">
        <v>25.2</v>
      </c>
      <c r="F56" s="55" t="s">
        <v>2534</v>
      </c>
    </row>
    <row r="57" spans="1:6" ht="20" customHeight="1">
      <c r="A57" s="103" t="s">
        <v>3154</v>
      </c>
      <c r="B57" s="67" t="s">
        <v>2514</v>
      </c>
      <c r="C57" s="28"/>
      <c r="D57" s="104">
        <v>4202221000</v>
      </c>
      <c r="E57" s="28"/>
      <c r="F57" s="28"/>
    </row>
  </sheetData>
  <mergeCells count="6">
    <mergeCell ref="A55:B55"/>
    <mergeCell ref="A29:B29"/>
    <mergeCell ref="A30:B30"/>
    <mergeCell ref="C30:E30"/>
    <mergeCell ref="A37:B37"/>
    <mergeCell ref="A49:B49"/>
  </mergeCells>
  <pageMargins left="1.25" right="1.25" top="1" bottom="1" header="0.25" footer="0.2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5" enableFormatConditionsCalculation="0"/>
  <dimension ref="A7:D57"/>
  <sheetViews>
    <sheetView workbookViewId="0"/>
  </sheetViews>
  <sheetFormatPr baseColWidth="10" defaultRowHeight="14" x14ac:dyDescent="0"/>
  <cols>
    <col min="1" max="1" width="71.1640625" customWidth="1"/>
    <col min="2" max="2" width="18.5" customWidth="1"/>
    <col min="3" max="3" width="14.83203125" customWidth="1"/>
    <col min="4" max="4" width="5.5" customWidth="1"/>
  </cols>
  <sheetData>
    <row r="7" spans="1:1">
      <c r="A7" s="69" t="s">
        <v>3155</v>
      </c>
    </row>
    <row r="8" spans="1:1">
      <c r="A8" s="24" t="s">
        <v>2611</v>
      </c>
    </row>
    <row r="9" spans="1:1">
      <c r="A9" s="69" t="s">
        <v>2612</v>
      </c>
    </row>
    <row r="10" spans="1:1">
      <c r="A10" s="69" t="s">
        <v>2613</v>
      </c>
    </row>
    <row r="11" spans="1:1">
      <c r="A11" s="69" t="s">
        <v>2614</v>
      </c>
    </row>
    <row r="12" spans="1:1">
      <c r="A12" s="69" t="s">
        <v>2615</v>
      </c>
    </row>
    <row r="15" spans="1:1">
      <c r="A15" s="24" t="s">
        <v>2616</v>
      </c>
    </row>
    <row r="16" spans="1:1">
      <c r="A16" s="24" t="s">
        <v>2491</v>
      </c>
    </row>
    <row r="17" spans="1:4">
      <c r="A17" s="24" t="s">
        <v>2617</v>
      </c>
    </row>
    <row r="18" spans="1:4">
      <c r="A18" s="24" t="s">
        <v>2493</v>
      </c>
    </row>
    <row r="20" spans="1:4">
      <c r="A20" s="26" t="s">
        <v>2500</v>
      </c>
    </row>
    <row r="22" spans="1:4">
      <c r="A22" s="24" t="s">
        <v>2618</v>
      </c>
    </row>
    <row r="23" spans="1:4">
      <c r="A23" s="24" t="s">
        <v>2619</v>
      </c>
    </row>
    <row r="24" spans="1:4">
      <c r="A24" s="24" t="s">
        <v>2609</v>
      </c>
    </row>
    <row r="25" spans="1:4">
      <c r="A25" s="24" t="s">
        <v>2509</v>
      </c>
    </row>
    <row r="26" spans="1:4">
      <c r="A26" s="69" t="s">
        <v>2620</v>
      </c>
    </row>
    <row r="27" spans="1:4">
      <c r="A27" s="24" t="s">
        <v>2511</v>
      </c>
    </row>
    <row r="28" spans="1:4" ht="13.75" customHeight="1">
      <c r="A28" s="70" t="s">
        <v>2621</v>
      </c>
      <c r="B28" s="28"/>
      <c r="C28" s="28"/>
      <c r="D28" s="28"/>
    </row>
    <row r="29" spans="1:4" ht="12" customHeight="1">
      <c r="A29" s="105" t="s">
        <v>2622</v>
      </c>
      <c r="B29" s="110" t="s">
        <v>2799</v>
      </c>
      <c r="C29" s="100" t="s">
        <v>2625</v>
      </c>
      <c r="D29" s="72" t="s">
        <v>2626</v>
      </c>
    </row>
    <row r="30" spans="1:4" ht="13.75" customHeight="1">
      <c r="A30" s="101" t="s">
        <v>2627</v>
      </c>
      <c r="B30" s="151" t="s">
        <v>2628</v>
      </c>
      <c r="C30" s="151"/>
      <c r="D30" s="53"/>
    </row>
    <row r="31" spans="1:4" ht="14.5" customHeight="1">
      <c r="A31" s="122" t="s">
        <v>2629</v>
      </c>
      <c r="B31" s="53"/>
      <c r="C31" s="53"/>
      <c r="D31" s="53"/>
    </row>
    <row r="32" spans="1:4" ht="10.25" customHeight="1">
      <c r="A32" s="116" t="s">
        <v>3156</v>
      </c>
      <c r="B32" s="76">
        <v>3.6</v>
      </c>
      <c r="C32" s="77">
        <v>36</v>
      </c>
      <c r="D32" s="78" t="s">
        <v>2631</v>
      </c>
    </row>
    <row r="33" spans="1:4" ht="21.5" customHeight="1">
      <c r="A33" s="108" t="s">
        <v>3157</v>
      </c>
      <c r="B33" s="125">
        <v>3926909790</v>
      </c>
      <c r="C33" s="53"/>
      <c r="D33" s="53"/>
    </row>
    <row r="34" spans="1:4" ht="10.25" customHeight="1">
      <c r="A34" s="116" t="s">
        <v>3158</v>
      </c>
      <c r="B34" s="81">
        <v>12.72</v>
      </c>
      <c r="C34" s="82">
        <v>25.44</v>
      </c>
      <c r="D34" s="78" t="s">
        <v>2631</v>
      </c>
    </row>
    <row r="35" spans="1:4" ht="22.25" customHeight="1">
      <c r="A35" s="108" t="s">
        <v>3159</v>
      </c>
      <c r="B35" s="125">
        <v>4202229090</v>
      </c>
      <c r="C35" s="53"/>
      <c r="D35" s="53"/>
    </row>
    <row r="36" spans="1:4" ht="10.25" customHeight="1">
      <c r="A36" s="116" t="s">
        <v>3160</v>
      </c>
      <c r="B36" s="81">
        <v>11.88</v>
      </c>
      <c r="C36" s="82">
        <v>23.76</v>
      </c>
      <c r="D36" s="78" t="s">
        <v>2631</v>
      </c>
    </row>
    <row r="37" spans="1:4" ht="21.5" customHeight="1">
      <c r="A37" s="108" t="s">
        <v>3161</v>
      </c>
      <c r="B37" s="125">
        <v>4202229090</v>
      </c>
      <c r="C37" s="53"/>
      <c r="D37" s="53"/>
    </row>
    <row r="38" spans="1:4" ht="10.25" customHeight="1">
      <c r="A38" s="116" t="s">
        <v>3162</v>
      </c>
      <c r="B38" s="76">
        <v>9.7200000000000006</v>
      </c>
      <c r="C38" s="82">
        <v>19.440000000000001</v>
      </c>
      <c r="D38" s="78" t="s">
        <v>2631</v>
      </c>
    </row>
    <row r="39" spans="1:4" ht="22.25" customHeight="1">
      <c r="A39" s="108" t="s">
        <v>3163</v>
      </c>
      <c r="B39" s="125">
        <v>4202229090</v>
      </c>
      <c r="C39" s="53"/>
      <c r="D39" s="53"/>
    </row>
    <row r="40" spans="1:4" ht="10.25" customHeight="1">
      <c r="A40" s="116" t="s">
        <v>3164</v>
      </c>
      <c r="B40" s="81">
        <v>20.04</v>
      </c>
      <c r="C40" s="82">
        <v>60.12</v>
      </c>
      <c r="D40" s="78" t="s">
        <v>2631</v>
      </c>
    </row>
    <row r="41" spans="1:4" ht="21.5" customHeight="1">
      <c r="A41" s="108" t="s">
        <v>3165</v>
      </c>
      <c r="B41" s="125">
        <v>3926909790</v>
      </c>
      <c r="C41" s="53"/>
      <c r="D41" s="53"/>
    </row>
    <row r="42" spans="1:4" ht="11.25" customHeight="1">
      <c r="A42" s="116" t="s">
        <v>3166</v>
      </c>
      <c r="B42" s="81">
        <v>12.72</v>
      </c>
      <c r="C42" s="82">
        <v>25.44</v>
      </c>
      <c r="D42" s="78" t="s">
        <v>2631</v>
      </c>
    </row>
    <row r="43" spans="1:4" ht="21.5" customHeight="1">
      <c r="A43" s="108" t="s">
        <v>3167</v>
      </c>
      <c r="B43" s="125">
        <v>4202229090</v>
      </c>
      <c r="C43" s="53"/>
      <c r="D43" s="53"/>
    </row>
    <row r="44" spans="1:4" ht="10.25" customHeight="1">
      <c r="A44" s="116" t="s">
        <v>3168</v>
      </c>
      <c r="B44" s="76">
        <v>9.36</v>
      </c>
      <c r="C44" s="82">
        <v>18.72</v>
      </c>
      <c r="D44" s="78" t="s">
        <v>2631</v>
      </c>
    </row>
    <row r="45" spans="1:4" ht="21.5" customHeight="1">
      <c r="A45" s="108" t="s">
        <v>3169</v>
      </c>
      <c r="B45" s="125">
        <v>4202229090</v>
      </c>
      <c r="C45" s="53"/>
      <c r="D45" s="53"/>
    </row>
    <row r="46" spans="1:4" ht="10.25" customHeight="1">
      <c r="A46" s="116" t="s">
        <v>3170</v>
      </c>
      <c r="B46" s="76">
        <v>7.2</v>
      </c>
      <c r="C46" s="77">
        <v>14.4</v>
      </c>
      <c r="D46" s="78" t="s">
        <v>2631</v>
      </c>
    </row>
    <row r="47" spans="1:4" ht="21.5" customHeight="1">
      <c r="A47" s="108" t="s">
        <v>3171</v>
      </c>
      <c r="B47" s="125">
        <v>3926909790</v>
      </c>
      <c r="C47" s="53"/>
      <c r="D47" s="53"/>
    </row>
    <row r="48" spans="1:4" ht="10.25" customHeight="1">
      <c r="A48" s="116" t="s">
        <v>3172</v>
      </c>
      <c r="B48" s="76">
        <v>4.8</v>
      </c>
      <c r="C48" s="77">
        <v>14.4</v>
      </c>
      <c r="D48" s="78" t="s">
        <v>2631</v>
      </c>
    </row>
    <row r="49" spans="1:4" ht="21.5" customHeight="1">
      <c r="A49" s="108" t="s">
        <v>3173</v>
      </c>
      <c r="B49" s="125">
        <v>4202221000</v>
      </c>
      <c r="C49" s="53"/>
      <c r="D49" s="53"/>
    </row>
    <row r="50" spans="1:4" ht="11.25" customHeight="1">
      <c r="A50" s="116" t="s">
        <v>3174</v>
      </c>
      <c r="B50" s="81">
        <v>14.4</v>
      </c>
      <c r="C50" s="77">
        <v>28.8</v>
      </c>
      <c r="D50" s="78" t="s">
        <v>2631</v>
      </c>
    </row>
    <row r="51" spans="1:4" ht="21.5" customHeight="1">
      <c r="A51" s="108" t="s">
        <v>3175</v>
      </c>
      <c r="B51" s="125">
        <v>6307909810</v>
      </c>
      <c r="C51" s="53"/>
      <c r="D51" s="53"/>
    </row>
    <row r="52" spans="1:4" ht="10.25" customHeight="1">
      <c r="A52" s="116" t="s">
        <v>3176</v>
      </c>
      <c r="B52" s="81">
        <v>21.96</v>
      </c>
      <c r="C52" s="82">
        <v>65.88</v>
      </c>
      <c r="D52" s="78" t="s">
        <v>2631</v>
      </c>
    </row>
    <row r="53" spans="1:4" ht="22.25" customHeight="1">
      <c r="A53" s="108" t="s">
        <v>3177</v>
      </c>
      <c r="B53" s="125">
        <v>3926909790</v>
      </c>
      <c r="C53" s="53"/>
      <c r="D53" s="53"/>
    </row>
    <row r="54" spans="1:4" ht="10.25" customHeight="1">
      <c r="A54" s="116" t="s">
        <v>3178</v>
      </c>
      <c r="B54" s="81">
        <v>14.4</v>
      </c>
      <c r="C54" s="77">
        <v>28.8</v>
      </c>
      <c r="D54" s="78" t="s">
        <v>2631</v>
      </c>
    </row>
    <row r="55" spans="1:4" ht="21.5" customHeight="1">
      <c r="A55" s="108" t="s">
        <v>3179</v>
      </c>
      <c r="B55" s="125">
        <v>6307909810</v>
      </c>
      <c r="C55" s="53"/>
      <c r="D55" s="53"/>
    </row>
    <row r="56" spans="1:4" ht="11.25" customHeight="1">
      <c r="A56" s="116" t="s">
        <v>3180</v>
      </c>
      <c r="B56" s="81">
        <v>13.44</v>
      </c>
      <c r="C56" s="82">
        <v>26.88</v>
      </c>
      <c r="D56" s="78" t="s">
        <v>2631</v>
      </c>
    </row>
    <row r="57" spans="1:4" ht="20" customHeight="1">
      <c r="A57" s="109" t="s">
        <v>3181</v>
      </c>
      <c r="B57" s="126">
        <v>3926909790</v>
      </c>
      <c r="C57" s="28"/>
      <c r="D57" s="28"/>
    </row>
  </sheetData>
  <mergeCells count="1">
    <mergeCell ref="B30:C30"/>
  </mergeCells>
  <pageMargins left="1.25" right="1.25" top="1" bottom="1" header="0.25" footer="0.2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6" enableFormatConditionsCalculation="0"/>
  <dimension ref="A7:E57"/>
  <sheetViews>
    <sheetView workbookViewId="0"/>
  </sheetViews>
  <sheetFormatPr baseColWidth="10" defaultRowHeight="14" x14ac:dyDescent="0"/>
  <cols>
    <col min="1" max="1" width="62.6640625" customWidth="1"/>
    <col min="2" max="2" width="9.33203125" customWidth="1"/>
    <col min="3" max="3" width="17.1640625" customWidth="1"/>
    <col min="4" max="4" width="16.1640625" customWidth="1"/>
    <col min="5" max="5" width="5.5" customWidth="1"/>
  </cols>
  <sheetData>
    <row r="7" spans="1:1">
      <c r="A7" s="25" t="s">
        <v>3182</v>
      </c>
    </row>
    <row r="8" spans="1:1">
      <c r="A8" s="24" t="s">
        <v>2495</v>
      </c>
    </row>
    <row r="9" spans="1:1">
      <c r="A9" s="25" t="s">
        <v>2496</v>
      </c>
    </row>
    <row r="10" spans="1:1">
      <c r="A10" s="25" t="s">
        <v>2497</v>
      </c>
    </row>
    <row r="11" spans="1:1">
      <c r="A11" s="25" t="s">
        <v>2498</v>
      </c>
    </row>
    <row r="12" spans="1:1">
      <c r="A12" s="25" t="s">
        <v>2499</v>
      </c>
    </row>
    <row r="15" spans="1:1">
      <c r="A15" s="24" t="s">
        <v>2490</v>
      </c>
    </row>
    <row r="16" spans="1:1">
      <c r="A16" s="24" t="s">
        <v>2491</v>
      </c>
    </row>
    <row r="17" spans="1:5">
      <c r="A17" s="24" t="s">
        <v>2492</v>
      </c>
    </row>
    <row r="18" spans="1:5">
      <c r="A18" s="24" t="s">
        <v>2493</v>
      </c>
    </row>
    <row r="20" spans="1:5">
      <c r="A20" s="26" t="s">
        <v>2500</v>
      </c>
    </row>
    <row r="22" spans="1:5">
      <c r="A22" s="24" t="s">
        <v>2607</v>
      </c>
    </row>
    <row r="23" spans="1:5">
      <c r="A23" s="24" t="s">
        <v>2608</v>
      </c>
    </row>
    <row r="24" spans="1:5">
      <c r="A24" s="24" t="s">
        <v>2609</v>
      </c>
    </row>
    <row r="25" spans="1:5">
      <c r="A25" s="24" t="s">
        <v>2509</v>
      </c>
    </row>
    <row r="26" spans="1:5">
      <c r="A26" s="25" t="s">
        <v>2510</v>
      </c>
    </row>
    <row r="27" spans="1:5">
      <c r="A27" s="24" t="s">
        <v>2511</v>
      </c>
    </row>
    <row r="28" spans="1:5" ht="13.75" customHeight="1">
      <c r="A28" s="99" t="s">
        <v>2512</v>
      </c>
      <c r="B28" s="28"/>
      <c r="C28" s="28"/>
      <c r="D28" s="28"/>
      <c r="E28" s="28"/>
    </row>
    <row r="29" spans="1:5" ht="12" customHeight="1">
      <c r="A29" s="155" t="s">
        <v>2622</v>
      </c>
      <c r="B29" s="155"/>
      <c r="C29" s="100" t="s">
        <v>2799</v>
      </c>
      <c r="D29" s="73" t="s">
        <v>2625</v>
      </c>
      <c r="E29" s="72" t="s">
        <v>2626</v>
      </c>
    </row>
    <row r="30" spans="1:5" ht="13.75" customHeight="1">
      <c r="A30" s="152" t="s">
        <v>2684</v>
      </c>
      <c r="B30" s="152"/>
      <c r="C30" s="153" t="s">
        <v>2685</v>
      </c>
      <c r="D30" s="153"/>
      <c r="E30" s="53"/>
    </row>
    <row r="31" spans="1:5" ht="14.5" customHeight="1">
      <c r="A31" s="122" t="s">
        <v>2553</v>
      </c>
      <c r="B31" s="53"/>
      <c r="C31" s="53"/>
      <c r="D31" s="53"/>
      <c r="E31" s="53"/>
    </row>
    <row r="32" spans="1:5" ht="10.25" customHeight="1">
      <c r="A32" s="118" t="s">
        <v>3183</v>
      </c>
      <c r="B32" s="59" t="s">
        <v>2581</v>
      </c>
      <c r="C32" s="57">
        <v>14.4</v>
      </c>
      <c r="D32" s="58">
        <v>14.4</v>
      </c>
      <c r="E32" s="55" t="s">
        <v>2534</v>
      </c>
    </row>
    <row r="33" spans="1:5" ht="21.5" customHeight="1">
      <c r="A33" s="85" t="s">
        <v>3184</v>
      </c>
      <c r="B33" s="64" t="s">
        <v>2514</v>
      </c>
      <c r="C33" s="114">
        <v>4202221000</v>
      </c>
      <c r="D33" s="53"/>
      <c r="E33" s="53"/>
    </row>
    <row r="34" spans="1:5" ht="10.25" customHeight="1">
      <c r="A34" s="118" t="s">
        <v>3185</v>
      </c>
      <c r="B34" s="59" t="s">
        <v>2584</v>
      </c>
      <c r="C34" s="57">
        <v>10.68</v>
      </c>
      <c r="D34" s="54">
        <v>21.36</v>
      </c>
      <c r="E34" s="55" t="s">
        <v>2534</v>
      </c>
    </row>
    <row r="35" spans="1:5" ht="22.25" customHeight="1">
      <c r="A35" s="85" t="s">
        <v>3186</v>
      </c>
      <c r="B35" s="64" t="s">
        <v>2514</v>
      </c>
      <c r="C35" s="114">
        <v>6307909810</v>
      </c>
      <c r="D35" s="53"/>
      <c r="E35" s="53"/>
    </row>
    <row r="36" spans="1:5" ht="10.25" customHeight="1">
      <c r="A36" s="118" t="s">
        <v>3187</v>
      </c>
      <c r="B36" s="59" t="s">
        <v>2584</v>
      </c>
      <c r="C36" s="57">
        <v>18.12</v>
      </c>
      <c r="D36" s="54">
        <v>36.24</v>
      </c>
      <c r="E36" s="55" t="s">
        <v>2534</v>
      </c>
    </row>
    <row r="37" spans="1:5" ht="21.5" customHeight="1">
      <c r="A37" s="65" t="s">
        <v>3188</v>
      </c>
      <c r="B37" s="64" t="s">
        <v>2514</v>
      </c>
      <c r="C37" s="114">
        <v>3926909790</v>
      </c>
      <c r="D37" s="53"/>
      <c r="E37" s="53"/>
    </row>
    <row r="38" spans="1:5" ht="10.25" customHeight="1">
      <c r="A38" s="118" t="s">
        <v>3189</v>
      </c>
      <c r="B38" s="59" t="s">
        <v>2593</v>
      </c>
      <c r="C38" s="57">
        <v>14.4</v>
      </c>
      <c r="D38" s="58">
        <v>43.2</v>
      </c>
      <c r="E38" s="55" t="s">
        <v>2534</v>
      </c>
    </row>
    <row r="39" spans="1:5" ht="22.25" customHeight="1">
      <c r="A39" s="85" t="s">
        <v>3190</v>
      </c>
      <c r="B39" s="64" t="s">
        <v>2514</v>
      </c>
      <c r="C39" s="114">
        <v>4202221000</v>
      </c>
      <c r="D39" s="53"/>
      <c r="E39" s="53"/>
    </row>
    <row r="40" spans="1:5" ht="10.25" customHeight="1">
      <c r="A40" s="118" t="s">
        <v>3191</v>
      </c>
      <c r="B40" s="59" t="s">
        <v>2584</v>
      </c>
      <c r="C40" s="57">
        <v>10.8</v>
      </c>
      <c r="D40" s="58">
        <v>21.6</v>
      </c>
      <c r="E40" s="55" t="s">
        <v>2534</v>
      </c>
    </row>
    <row r="41" spans="1:5" ht="21.5" customHeight="1">
      <c r="A41" s="65" t="s">
        <v>3192</v>
      </c>
      <c r="B41" s="64" t="s">
        <v>2514</v>
      </c>
      <c r="C41" s="114">
        <v>4202229090</v>
      </c>
      <c r="D41" s="53"/>
      <c r="E41" s="53"/>
    </row>
    <row r="42" spans="1:5" ht="11.25" customHeight="1">
      <c r="A42" s="118" t="s">
        <v>3193</v>
      </c>
      <c r="B42" s="59" t="s">
        <v>2584</v>
      </c>
      <c r="C42" s="57">
        <v>14.4</v>
      </c>
      <c r="D42" s="58">
        <v>28.8</v>
      </c>
      <c r="E42" s="55" t="s">
        <v>2534</v>
      </c>
    </row>
    <row r="43" spans="1:5" ht="21.5" customHeight="1">
      <c r="A43" s="65" t="s">
        <v>3194</v>
      </c>
      <c r="B43" s="64" t="s">
        <v>2514</v>
      </c>
      <c r="C43" s="114">
        <v>6307909810</v>
      </c>
      <c r="D43" s="53"/>
      <c r="E43" s="53"/>
    </row>
    <row r="44" spans="1:5" ht="10.25" customHeight="1">
      <c r="A44" s="118" t="s">
        <v>3195</v>
      </c>
      <c r="B44" s="59" t="s">
        <v>2578</v>
      </c>
      <c r="C44" s="52">
        <v>7.2</v>
      </c>
      <c r="D44" s="58">
        <v>43.2</v>
      </c>
      <c r="E44" s="55" t="s">
        <v>2534</v>
      </c>
    </row>
    <row r="45" spans="1:5" ht="21.5" customHeight="1">
      <c r="A45" s="85" t="s">
        <v>3196</v>
      </c>
      <c r="B45" s="64" t="s">
        <v>2514</v>
      </c>
      <c r="C45" s="114">
        <v>3926909790</v>
      </c>
      <c r="D45" s="53"/>
      <c r="E45" s="53"/>
    </row>
    <row r="46" spans="1:5" ht="10.25" customHeight="1">
      <c r="A46" s="118" t="s">
        <v>3197</v>
      </c>
      <c r="B46" s="59" t="s">
        <v>2581</v>
      </c>
      <c r="C46" s="52">
        <v>4.8</v>
      </c>
      <c r="D46" s="54">
        <v>4.8</v>
      </c>
      <c r="E46" s="55" t="s">
        <v>2534</v>
      </c>
    </row>
    <row r="47" spans="1:5" ht="21.5" customHeight="1">
      <c r="A47" s="85" t="s">
        <v>3198</v>
      </c>
      <c r="B47" s="64" t="s">
        <v>2514</v>
      </c>
      <c r="C47" s="114">
        <v>4202221000</v>
      </c>
      <c r="D47" s="53"/>
      <c r="E47" s="53"/>
    </row>
    <row r="48" spans="1:5" ht="10.25" customHeight="1">
      <c r="A48" s="118" t="s">
        <v>3199</v>
      </c>
      <c r="B48" s="59" t="s">
        <v>2584</v>
      </c>
      <c r="C48" s="57">
        <v>13.44</v>
      </c>
      <c r="D48" s="54">
        <v>26.88</v>
      </c>
      <c r="E48" s="55" t="s">
        <v>2534</v>
      </c>
    </row>
    <row r="49" spans="1:5" ht="21.5" customHeight="1">
      <c r="A49" s="85" t="s">
        <v>3200</v>
      </c>
      <c r="B49" s="64" t="s">
        <v>2514</v>
      </c>
      <c r="C49" s="114">
        <v>3926909790</v>
      </c>
      <c r="D49" s="53"/>
      <c r="E49" s="53"/>
    </row>
    <row r="50" spans="1:5" ht="11.25" customHeight="1">
      <c r="A50" s="118" t="s">
        <v>3201</v>
      </c>
      <c r="B50" s="59" t="s">
        <v>2593</v>
      </c>
      <c r="C50" s="52">
        <v>9</v>
      </c>
      <c r="D50" s="58">
        <v>27</v>
      </c>
      <c r="E50" s="55" t="s">
        <v>2534</v>
      </c>
    </row>
    <row r="51" spans="1:5" ht="21.5" customHeight="1">
      <c r="A51" s="85" t="s">
        <v>3202</v>
      </c>
      <c r="B51" s="64" t="s">
        <v>2514</v>
      </c>
      <c r="C51" s="114">
        <v>9111800000</v>
      </c>
      <c r="D51" s="53"/>
      <c r="E51" s="53"/>
    </row>
    <row r="52" spans="1:5" ht="10.25" customHeight="1">
      <c r="A52" s="118" t="s">
        <v>3203</v>
      </c>
      <c r="B52" s="59" t="s">
        <v>2584</v>
      </c>
      <c r="C52" s="57">
        <v>13.08</v>
      </c>
      <c r="D52" s="54">
        <v>26.16</v>
      </c>
      <c r="E52" s="55" t="s">
        <v>2534</v>
      </c>
    </row>
    <row r="53" spans="1:5" ht="22.25" customHeight="1">
      <c r="A53" s="85" t="s">
        <v>3204</v>
      </c>
      <c r="B53" s="64" t="s">
        <v>2514</v>
      </c>
      <c r="C53" s="114">
        <v>4202221000</v>
      </c>
      <c r="D53" s="53"/>
      <c r="E53" s="53"/>
    </row>
    <row r="54" spans="1:5" ht="10.25" customHeight="1">
      <c r="A54" s="118" t="s">
        <v>3205</v>
      </c>
      <c r="B54" s="59" t="s">
        <v>2584</v>
      </c>
      <c r="C54" s="57">
        <v>14.4</v>
      </c>
      <c r="D54" s="58">
        <v>28.8</v>
      </c>
      <c r="E54" s="55" t="s">
        <v>2534</v>
      </c>
    </row>
    <row r="55" spans="1:5" ht="21.5" customHeight="1">
      <c r="A55" s="85" t="s">
        <v>3206</v>
      </c>
      <c r="B55" s="64" t="s">
        <v>2514</v>
      </c>
      <c r="C55" s="114">
        <v>4202221000</v>
      </c>
      <c r="D55" s="53"/>
      <c r="E55" s="53"/>
    </row>
    <row r="56" spans="1:5" ht="11.25" customHeight="1">
      <c r="A56" s="118" t="s">
        <v>3207</v>
      </c>
      <c r="B56" s="59" t="s">
        <v>2584</v>
      </c>
      <c r="C56" s="57">
        <v>18.12</v>
      </c>
      <c r="D56" s="54">
        <v>36.24</v>
      </c>
      <c r="E56" s="55" t="s">
        <v>2534</v>
      </c>
    </row>
    <row r="57" spans="1:5" ht="20" customHeight="1">
      <c r="A57" s="103" t="s">
        <v>3208</v>
      </c>
      <c r="B57" s="67" t="s">
        <v>2514</v>
      </c>
      <c r="C57" s="115">
        <v>6307909899</v>
      </c>
      <c r="D57" s="28"/>
      <c r="E57" s="28"/>
    </row>
  </sheetData>
  <mergeCells count="3">
    <mergeCell ref="A29:B29"/>
    <mergeCell ref="A30:B30"/>
    <mergeCell ref="C30:D30"/>
  </mergeCells>
  <pageMargins left="1.25" right="1.25" top="1" bottom="1" header="0.25" footer="0.2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7" enableFormatConditionsCalculation="0"/>
  <dimension ref="A7:F57"/>
  <sheetViews>
    <sheetView workbookViewId="0"/>
  </sheetViews>
  <sheetFormatPr baseColWidth="10" defaultRowHeight="14" x14ac:dyDescent="0"/>
  <cols>
    <col min="1" max="1" width="62.83203125" customWidth="1"/>
    <col min="2" max="2" width="9" customWidth="1"/>
    <col min="3" max="3" width="8.1640625" customWidth="1"/>
    <col min="4" max="4" width="9.83203125" customWidth="1"/>
    <col min="5" max="5" width="16.1640625" customWidth="1"/>
    <col min="6" max="6" width="5.5" customWidth="1"/>
  </cols>
  <sheetData>
    <row r="7" spans="1:1">
      <c r="A7" s="25" t="s">
        <v>3209</v>
      </c>
    </row>
    <row r="8" spans="1:1">
      <c r="A8" s="24" t="s">
        <v>2495</v>
      </c>
    </row>
    <row r="9" spans="1:1">
      <c r="A9" s="25" t="s">
        <v>2496</v>
      </c>
    </row>
    <row r="10" spans="1:1">
      <c r="A10" s="25" t="s">
        <v>2497</v>
      </c>
    </row>
    <row r="11" spans="1:1">
      <c r="A11" s="25" t="s">
        <v>2498</v>
      </c>
    </row>
    <row r="12" spans="1:1">
      <c r="A12" s="25" t="s">
        <v>2499</v>
      </c>
    </row>
    <row r="15" spans="1:1">
      <c r="A15" s="24" t="s">
        <v>2490</v>
      </c>
    </row>
    <row r="16" spans="1:1">
      <c r="A16" s="24" t="s">
        <v>2491</v>
      </c>
    </row>
    <row r="17" spans="1:6">
      <c r="A17" s="24" t="s">
        <v>2492</v>
      </c>
    </row>
    <row r="18" spans="1:6">
      <c r="A18" s="24" t="s">
        <v>2493</v>
      </c>
    </row>
    <row r="20" spans="1:6">
      <c r="A20" s="26" t="s">
        <v>2500</v>
      </c>
    </row>
    <row r="22" spans="1:6">
      <c r="A22" s="24" t="s">
        <v>2607</v>
      </c>
    </row>
    <row r="23" spans="1:6">
      <c r="A23" s="24" t="s">
        <v>2608</v>
      </c>
    </row>
    <row r="24" spans="1:6">
      <c r="A24" s="24" t="s">
        <v>2609</v>
      </c>
    </row>
    <row r="25" spans="1:6">
      <c r="A25" s="24" t="s">
        <v>2509</v>
      </c>
    </row>
    <row r="26" spans="1:6">
      <c r="A26" s="25" t="s">
        <v>2510</v>
      </c>
    </row>
    <row r="27" spans="1:6">
      <c r="A27" s="24" t="s">
        <v>2511</v>
      </c>
    </row>
    <row r="28" spans="1:6" ht="13.75" customHeight="1">
      <c r="A28" s="99" t="s">
        <v>2512</v>
      </c>
      <c r="B28" s="28"/>
      <c r="C28" s="28"/>
      <c r="D28" s="28"/>
      <c r="E28" s="28"/>
      <c r="F28" s="28"/>
    </row>
    <row r="29" spans="1:6" ht="12" customHeight="1">
      <c r="A29" s="155" t="s">
        <v>2622</v>
      </c>
      <c r="B29" s="155"/>
      <c r="C29" s="72" t="s">
        <v>2623</v>
      </c>
      <c r="D29" s="105" t="s">
        <v>2624</v>
      </c>
      <c r="E29" s="73" t="s">
        <v>2625</v>
      </c>
      <c r="F29" s="72" t="s">
        <v>2626</v>
      </c>
    </row>
    <row r="30" spans="1:6" ht="13.75" customHeight="1">
      <c r="A30" s="152" t="s">
        <v>2684</v>
      </c>
      <c r="B30" s="152"/>
      <c r="C30" s="153" t="s">
        <v>2685</v>
      </c>
      <c r="D30" s="153"/>
      <c r="E30" s="153"/>
      <c r="F30" s="53"/>
    </row>
    <row r="31" spans="1:6" ht="14.5" customHeight="1">
      <c r="A31" s="122" t="s">
        <v>2553</v>
      </c>
      <c r="B31" s="53"/>
      <c r="C31" s="53"/>
      <c r="D31" s="53"/>
      <c r="E31" s="53"/>
      <c r="F31" s="53"/>
    </row>
    <row r="32" spans="1:6" ht="10.25" customHeight="1">
      <c r="A32" s="118" t="s">
        <v>3210</v>
      </c>
      <c r="B32" s="59" t="s">
        <v>2584</v>
      </c>
      <c r="C32" s="57">
        <v>10.8</v>
      </c>
      <c r="D32" s="53"/>
      <c r="E32" s="58">
        <v>21.6</v>
      </c>
      <c r="F32" s="55" t="s">
        <v>2534</v>
      </c>
    </row>
    <row r="33" spans="1:6" ht="21.5" customHeight="1">
      <c r="A33" s="65" t="s">
        <v>3211</v>
      </c>
      <c r="B33" s="64" t="s">
        <v>2514</v>
      </c>
      <c r="C33" s="53"/>
      <c r="D33" s="102">
        <v>4202229090</v>
      </c>
      <c r="E33" s="53"/>
      <c r="F33" s="53"/>
    </row>
    <row r="34" spans="1:6" ht="10.25" customHeight="1">
      <c r="A34" s="118" t="s">
        <v>3212</v>
      </c>
      <c r="B34" s="59" t="s">
        <v>2584</v>
      </c>
      <c r="C34" s="57">
        <v>14.4</v>
      </c>
      <c r="D34" s="53"/>
      <c r="E34" s="58">
        <v>28.8</v>
      </c>
      <c r="F34" s="55" t="s">
        <v>2534</v>
      </c>
    </row>
    <row r="35" spans="1:6" ht="22.25" customHeight="1">
      <c r="A35" s="85" t="s">
        <v>3213</v>
      </c>
      <c r="B35" s="64" t="s">
        <v>2514</v>
      </c>
      <c r="C35" s="53"/>
      <c r="D35" s="102">
        <v>4202221000</v>
      </c>
      <c r="E35" s="53"/>
      <c r="F35" s="53"/>
    </row>
    <row r="36" spans="1:6" ht="10.25" customHeight="1">
      <c r="A36" s="118" t="s">
        <v>3214</v>
      </c>
      <c r="B36" s="59" t="s">
        <v>2593</v>
      </c>
      <c r="C36" s="52">
        <v>8.4</v>
      </c>
      <c r="D36" s="53"/>
      <c r="E36" s="58">
        <v>25.2</v>
      </c>
      <c r="F36" s="55" t="s">
        <v>2534</v>
      </c>
    </row>
    <row r="37" spans="1:6" ht="21.5" customHeight="1">
      <c r="A37" s="85" t="s">
        <v>3215</v>
      </c>
      <c r="B37" s="64" t="s">
        <v>2514</v>
      </c>
      <c r="C37" s="53"/>
      <c r="D37" s="102">
        <v>9111800000</v>
      </c>
      <c r="E37" s="53"/>
      <c r="F37" s="53"/>
    </row>
    <row r="38" spans="1:6" ht="10.25" customHeight="1">
      <c r="A38" s="118" t="s">
        <v>3216</v>
      </c>
      <c r="B38" s="59" t="s">
        <v>2584</v>
      </c>
      <c r="C38" s="57">
        <v>10.68</v>
      </c>
      <c r="D38" s="53"/>
      <c r="E38" s="54">
        <v>21.36</v>
      </c>
      <c r="F38" s="55" t="s">
        <v>2534</v>
      </c>
    </row>
    <row r="39" spans="1:6" ht="22.25" customHeight="1">
      <c r="A39" s="85" t="s">
        <v>3217</v>
      </c>
      <c r="B39" s="64" t="s">
        <v>2514</v>
      </c>
      <c r="C39" s="53"/>
      <c r="D39" s="102">
        <v>6307909810</v>
      </c>
      <c r="E39" s="53"/>
      <c r="F39" s="53"/>
    </row>
    <row r="40" spans="1:6" ht="10.25" customHeight="1">
      <c r="A40" s="118" t="s">
        <v>3218</v>
      </c>
      <c r="B40" s="59" t="s">
        <v>2584</v>
      </c>
      <c r="C40" s="52">
        <v>7.2</v>
      </c>
      <c r="D40" s="53"/>
      <c r="E40" s="58">
        <v>14.4</v>
      </c>
      <c r="F40" s="55" t="s">
        <v>2534</v>
      </c>
    </row>
    <row r="41" spans="1:6" ht="21.5" customHeight="1">
      <c r="A41" s="85" t="s">
        <v>3219</v>
      </c>
      <c r="B41" s="64" t="s">
        <v>2514</v>
      </c>
      <c r="C41" s="53"/>
      <c r="D41" s="102">
        <v>3926909790</v>
      </c>
      <c r="E41" s="53"/>
      <c r="F41" s="53"/>
    </row>
    <row r="42" spans="1:6" ht="11.25" customHeight="1">
      <c r="A42" s="118" t="s">
        <v>3220</v>
      </c>
      <c r="B42" s="59" t="s">
        <v>2593</v>
      </c>
      <c r="C42" s="57">
        <v>14.4</v>
      </c>
      <c r="D42" s="53"/>
      <c r="E42" s="58">
        <v>43.2</v>
      </c>
      <c r="F42" s="55" t="s">
        <v>2534</v>
      </c>
    </row>
    <row r="43" spans="1:6" ht="21.5" customHeight="1">
      <c r="A43" s="85" t="s">
        <v>3221</v>
      </c>
      <c r="B43" s="64" t="s">
        <v>2514</v>
      </c>
      <c r="C43" s="53"/>
      <c r="D43" s="102">
        <v>4202221000</v>
      </c>
      <c r="E43" s="53"/>
      <c r="F43" s="53"/>
    </row>
    <row r="44" spans="1:6" ht="10.25" customHeight="1">
      <c r="A44" s="118" t="s">
        <v>3222</v>
      </c>
      <c r="B44" s="59" t="s">
        <v>2584</v>
      </c>
      <c r="C44" s="57">
        <v>13.44</v>
      </c>
      <c r="D44" s="53"/>
      <c r="E44" s="54">
        <v>26.88</v>
      </c>
      <c r="F44" s="55" t="s">
        <v>2534</v>
      </c>
    </row>
    <row r="45" spans="1:6" ht="21.5" customHeight="1">
      <c r="A45" s="150" t="s">
        <v>3223</v>
      </c>
      <c r="B45" s="150"/>
      <c r="C45" s="53"/>
      <c r="D45" s="102">
        <v>5609000000</v>
      </c>
      <c r="E45" s="53"/>
      <c r="F45" s="53"/>
    </row>
    <row r="46" spans="1:6" ht="10.25" customHeight="1">
      <c r="A46" s="118" t="s">
        <v>3224</v>
      </c>
      <c r="B46" s="59" t="s">
        <v>2593</v>
      </c>
      <c r="C46" s="57">
        <v>33</v>
      </c>
      <c r="D46" s="53"/>
      <c r="E46" s="58">
        <v>99</v>
      </c>
      <c r="F46" s="55" t="s">
        <v>2534</v>
      </c>
    </row>
    <row r="47" spans="1:6" ht="21.5" customHeight="1">
      <c r="A47" s="85" t="s">
        <v>3225</v>
      </c>
      <c r="B47" s="64" t="s">
        <v>2514</v>
      </c>
      <c r="C47" s="53"/>
      <c r="D47" s="102">
        <v>4202221000</v>
      </c>
      <c r="E47" s="53"/>
      <c r="F47" s="53"/>
    </row>
    <row r="48" spans="1:6" ht="10.25" customHeight="1">
      <c r="A48" s="118" t="s">
        <v>3226</v>
      </c>
      <c r="B48" s="59" t="s">
        <v>2578</v>
      </c>
      <c r="C48" s="52">
        <v>1.92</v>
      </c>
      <c r="D48" s="53"/>
      <c r="E48" s="54">
        <v>11.52</v>
      </c>
      <c r="F48" s="55" t="s">
        <v>2534</v>
      </c>
    </row>
    <row r="49" spans="1:6" ht="21.5" customHeight="1">
      <c r="A49" s="85" t="s">
        <v>3227</v>
      </c>
      <c r="B49" s="64" t="s">
        <v>2514</v>
      </c>
      <c r="C49" s="53"/>
      <c r="D49" s="102">
        <v>91021100</v>
      </c>
      <c r="E49" s="53"/>
      <c r="F49" s="53"/>
    </row>
    <row r="50" spans="1:6" ht="11.25" customHeight="1">
      <c r="A50" s="118" t="s">
        <v>3228</v>
      </c>
      <c r="B50" s="59" t="s">
        <v>2584</v>
      </c>
      <c r="C50" s="57">
        <v>12.72</v>
      </c>
      <c r="D50" s="53"/>
      <c r="E50" s="54">
        <v>25.44</v>
      </c>
      <c r="F50" s="55" t="s">
        <v>2534</v>
      </c>
    </row>
    <row r="51" spans="1:6" ht="21.5" customHeight="1">
      <c r="A51" s="150" t="s">
        <v>3229</v>
      </c>
      <c r="B51" s="150"/>
      <c r="C51" s="53"/>
      <c r="D51" s="102">
        <v>3926909790</v>
      </c>
      <c r="E51" s="53"/>
      <c r="F51" s="53"/>
    </row>
    <row r="52" spans="1:6" ht="10.25" customHeight="1">
      <c r="A52" s="118" t="s">
        <v>3230</v>
      </c>
      <c r="B52" s="59" t="s">
        <v>2581</v>
      </c>
      <c r="C52" s="57">
        <v>14.4</v>
      </c>
      <c r="D52" s="53"/>
      <c r="E52" s="58">
        <v>14.4</v>
      </c>
      <c r="F52" s="55" t="s">
        <v>2534</v>
      </c>
    </row>
    <row r="53" spans="1:6" ht="22.25" customHeight="1">
      <c r="A53" s="85" t="s">
        <v>3231</v>
      </c>
      <c r="B53" s="64" t="s">
        <v>2514</v>
      </c>
      <c r="C53" s="53"/>
      <c r="D53" s="102">
        <v>4202221000</v>
      </c>
      <c r="E53" s="53"/>
      <c r="F53" s="53"/>
    </row>
    <row r="54" spans="1:6" ht="10.25" customHeight="1">
      <c r="A54" s="118" t="s">
        <v>3232</v>
      </c>
      <c r="B54" s="59" t="s">
        <v>2584</v>
      </c>
      <c r="C54" s="52">
        <v>7.08</v>
      </c>
      <c r="D54" s="53"/>
      <c r="E54" s="54">
        <v>14.16</v>
      </c>
      <c r="F54" s="55" t="s">
        <v>2534</v>
      </c>
    </row>
    <row r="55" spans="1:6" ht="21.5" customHeight="1">
      <c r="A55" s="85" t="s">
        <v>3233</v>
      </c>
      <c r="B55" s="64" t="s">
        <v>2514</v>
      </c>
      <c r="C55" s="53"/>
      <c r="D55" s="102">
        <v>7907000000</v>
      </c>
      <c r="E55" s="53"/>
      <c r="F55" s="53"/>
    </row>
    <row r="56" spans="1:6" ht="11.25" customHeight="1">
      <c r="A56" s="118" t="s">
        <v>3234</v>
      </c>
      <c r="B56" s="59" t="s">
        <v>2578</v>
      </c>
      <c r="C56" s="52">
        <v>1.92</v>
      </c>
      <c r="D56" s="53"/>
      <c r="E56" s="54">
        <v>11.52</v>
      </c>
      <c r="F56" s="55" t="s">
        <v>2534</v>
      </c>
    </row>
    <row r="57" spans="1:6" ht="20" customHeight="1">
      <c r="A57" s="103" t="s">
        <v>3235</v>
      </c>
      <c r="B57" s="67" t="s">
        <v>2514</v>
      </c>
      <c r="C57" s="28"/>
      <c r="D57" s="104">
        <v>91021100</v>
      </c>
      <c r="E57" s="28"/>
      <c r="F57" s="28"/>
    </row>
  </sheetData>
  <mergeCells count="5">
    <mergeCell ref="A29:B29"/>
    <mergeCell ref="A30:B30"/>
    <mergeCell ref="C30:E30"/>
    <mergeCell ref="A45:B45"/>
    <mergeCell ref="A51:B51"/>
  </mergeCells>
  <pageMargins left="1.25" right="1.25" top="1" bottom="1" header="0.25" footer="0.2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8" enableFormatConditionsCalculation="0"/>
  <dimension ref="A7:E57"/>
  <sheetViews>
    <sheetView workbookViewId="0"/>
  </sheetViews>
  <sheetFormatPr baseColWidth="10" defaultRowHeight="14" x14ac:dyDescent="0"/>
  <cols>
    <col min="1" max="1" width="56.33203125" customWidth="1"/>
    <col min="2" max="2" width="15.6640625" customWidth="1"/>
    <col min="3" max="3" width="18.5" customWidth="1"/>
    <col min="4" max="4" width="14.83203125" customWidth="1"/>
    <col min="5" max="5" width="5.5" customWidth="1"/>
  </cols>
  <sheetData>
    <row r="7" spans="1:1">
      <c r="A7" s="25" t="s">
        <v>3236</v>
      </c>
    </row>
    <row r="8" spans="1:1">
      <c r="A8" s="24" t="s">
        <v>2495</v>
      </c>
    </row>
    <row r="9" spans="1:1">
      <c r="A9" s="25" t="s">
        <v>2496</v>
      </c>
    </row>
    <row r="10" spans="1:1">
      <c r="A10" s="25" t="s">
        <v>2497</v>
      </c>
    </row>
    <row r="11" spans="1:1">
      <c r="A11" s="25" t="s">
        <v>2498</v>
      </c>
    </row>
    <row r="12" spans="1:1">
      <c r="A12" s="25" t="s">
        <v>2499</v>
      </c>
    </row>
    <row r="15" spans="1:1">
      <c r="A15" s="24" t="s">
        <v>2490</v>
      </c>
    </row>
    <row r="16" spans="1:1">
      <c r="A16" s="24" t="s">
        <v>2491</v>
      </c>
    </row>
    <row r="17" spans="1:5">
      <c r="A17" s="24" t="s">
        <v>2492</v>
      </c>
    </row>
    <row r="18" spans="1:5">
      <c r="A18" s="24" t="s">
        <v>2493</v>
      </c>
    </row>
    <row r="20" spans="1:5">
      <c r="A20" s="26" t="s">
        <v>2500</v>
      </c>
    </row>
    <row r="22" spans="1:5">
      <c r="A22" s="24" t="s">
        <v>2607</v>
      </c>
    </row>
    <row r="23" spans="1:5">
      <c r="A23" s="24" t="s">
        <v>2608</v>
      </c>
    </row>
    <row r="24" spans="1:5">
      <c r="A24" s="24" t="s">
        <v>2609</v>
      </c>
    </row>
    <row r="25" spans="1:5">
      <c r="A25" s="24" t="s">
        <v>2509</v>
      </c>
    </row>
    <row r="26" spans="1:5">
      <c r="A26" s="25" t="s">
        <v>2510</v>
      </c>
    </row>
    <row r="27" spans="1:5">
      <c r="A27" s="24" t="s">
        <v>2511</v>
      </c>
    </row>
    <row r="28" spans="1:5" ht="13.75" customHeight="1">
      <c r="A28" s="99" t="s">
        <v>2512</v>
      </c>
      <c r="B28" s="28"/>
      <c r="C28" s="28"/>
      <c r="D28" s="28"/>
      <c r="E28" s="28"/>
    </row>
    <row r="29" spans="1:5" ht="12" customHeight="1">
      <c r="A29" s="105" t="s">
        <v>2682</v>
      </c>
      <c r="B29" s="100" t="s">
        <v>2683</v>
      </c>
      <c r="C29" s="110" t="s">
        <v>2799</v>
      </c>
      <c r="D29" s="100" t="s">
        <v>2625</v>
      </c>
      <c r="E29" s="72" t="s">
        <v>2626</v>
      </c>
    </row>
    <row r="30" spans="1:5" ht="13.75" customHeight="1">
      <c r="A30" s="101" t="s">
        <v>2911</v>
      </c>
      <c r="B30" s="119" t="s">
        <v>2912</v>
      </c>
      <c r="C30" s="153" t="s">
        <v>2685</v>
      </c>
      <c r="D30" s="153"/>
      <c r="E30" s="53"/>
    </row>
    <row r="31" spans="1:5" ht="14.5" customHeight="1">
      <c r="A31" s="122" t="s">
        <v>2553</v>
      </c>
      <c r="B31" s="53"/>
      <c r="C31" s="53"/>
      <c r="D31" s="53"/>
      <c r="E31" s="53"/>
    </row>
    <row r="32" spans="1:5" ht="10.25" customHeight="1">
      <c r="A32" s="118" t="s">
        <v>3237</v>
      </c>
      <c r="B32" s="59" t="s">
        <v>2584</v>
      </c>
      <c r="C32" s="57">
        <v>13.92</v>
      </c>
      <c r="D32" s="54">
        <v>27.84</v>
      </c>
      <c r="E32" s="55" t="s">
        <v>2534</v>
      </c>
    </row>
    <row r="33" spans="1:5" ht="21.5" customHeight="1">
      <c r="A33" s="85" t="s">
        <v>3238</v>
      </c>
      <c r="B33" s="120" t="s">
        <v>2514</v>
      </c>
      <c r="C33" s="111">
        <v>4202221000</v>
      </c>
      <c r="D33" s="53"/>
      <c r="E33" s="53"/>
    </row>
    <row r="34" spans="1:5" ht="10.25" customHeight="1">
      <c r="A34" s="118" t="s">
        <v>3239</v>
      </c>
      <c r="B34" s="59" t="s">
        <v>2584</v>
      </c>
      <c r="C34" s="57">
        <v>15.6</v>
      </c>
      <c r="D34" s="58">
        <v>31.2</v>
      </c>
      <c r="E34" s="55" t="s">
        <v>2534</v>
      </c>
    </row>
    <row r="35" spans="1:5" ht="22.25" customHeight="1">
      <c r="A35" s="150" t="s">
        <v>3240</v>
      </c>
      <c r="B35" s="150"/>
      <c r="C35" s="111">
        <v>4202229090</v>
      </c>
      <c r="D35" s="53"/>
      <c r="E35" s="53"/>
    </row>
    <row r="36" spans="1:5" ht="10.25" customHeight="1">
      <c r="A36" s="118" t="s">
        <v>3241</v>
      </c>
      <c r="B36" s="59" t="s">
        <v>2584</v>
      </c>
      <c r="C36" s="57">
        <v>10.8</v>
      </c>
      <c r="D36" s="58">
        <v>21.6</v>
      </c>
      <c r="E36" s="55" t="s">
        <v>2534</v>
      </c>
    </row>
    <row r="37" spans="1:5" ht="21.5" customHeight="1">
      <c r="A37" s="150" t="s">
        <v>3242</v>
      </c>
      <c r="B37" s="150"/>
      <c r="C37" s="111">
        <v>4202229090</v>
      </c>
      <c r="D37" s="53"/>
      <c r="E37" s="53"/>
    </row>
    <row r="38" spans="1:5" ht="10.25" customHeight="1">
      <c r="A38" s="118" t="s">
        <v>3243</v>
      </c>
      <c r="B38" s="59" t="s">
        <v>2584</v>
      </c>
      <c r="C38" s="57">
        <v>24</v>
      </c>
      <c r="D38" s="58">
        <v>48</v>
      </c>
      <c r="E38" s="55" t="s">
        <v>2534</v>
      </c>
    </row>
    <row r="39" spans="1:5" ht="22.25" customHeight="1">
      <c r="A39" s="85" t="s">
        <v>3244</v>
      </c>
      <c r="B39" s="120" t="s">
        <v>2514</v>
      </c>
      <c r="C39" s="111">
        <v>4202221000</v>
      </c>
      <c r="D39" s="53"/>
      <c r="E39" s="53"/>
    </row>
    <row r="40" spans="1:5" ht="10.25" customHeight="1">
      <c r="A40" s="118" t="s">
        <v>3245</v>
      </c>
      <c r="B40" s="59" t="s">
        <v>2584</v>
      </c>
      <c r="C40" s="57">
        <v>10.8</v>
      </c>
      <c r="D40" s="58">
        <v>21.6</v>
      </c>
      <c r="E40" s="55" t="s">
        <v>2534</v>
      </c>
    </row>
    <row r="41" spans="1:5" ht="21.5" customHeight="1">
      <c r="A41" s="150" t="s">
        <v>3246</v>
      </c>
      <c r="B41" s="150"/>
      <c r="C41" s="111">
        <v>4202229090</v>
      </c>
      <c r="D41" s="53"/>
      <c r="E41" s="53"/>
    </row>
    <row r="42" spans="1:5" ht="11.25" customHeight="1">
      <c r="A42" s="118" t="s">
        <v>3247</v>
      </c>
      <c r="B42" s="59" t="s">
        <v>2593</v>
      </c>
      <c r="C42" s="57">
        <v>14.4</v>
      </c>
      <c r="D42" s="58">
        <v>43.2</v>
      </c>
      <c r="E42" s="55" t="s">
        <v>2534</v>
      </c>
    </row>
    <row r="43" spans="1:5" ht="21.5" customHeight="1">
      <c r="A43" s="85" t="s">
        <v>3248</v>
      </c>
      <c r="B43" s="120" t="s">
        <v>2514</v>
      </c>
      <c r="C43" s="111">
        <v>4202221000</v>
      </c>
      <c r="D43" s="53"/>
      <c r="E43" s="53"/>
    </row>
    <row r="44" spans="1:5" ht="10.25" customHeight="1">
      <c r="A44" s="118" t="s">
        <v>3249</v>
      </c>
      <c r="B44" s="59" t="s">
        <v>2584</v>
      </c>
      <c r="C44" s="57">
        <v>13.92</v>
      </c>
      <c r="D44" s="54">
        <v>27.84</v>
      </c>
      <c r="E44" s="55" t="s">
        <v>2534</v>
      </c>
    </row>
    <row r="45" spans="1:5" ht="21.5" customHeight="1">
      <c r="A45" s="85" t="s">
        <v>3250</v>
      </c>
      <c r="B45" s="120" t="s">
        <v>2514</v>
      </c>
      <c r="C45" s="111">
        <v>4202221000</v>
      </c>
      <c r="D45" s="53"/>
      <c r="E45" s="53"/>
    </row>
    <row r="46" spans="1:5" ht="10.25" customHeight="1">
      <c r="A46" s="118" t="s">
        <v>3251</v>
      </c>
      <c r="B46" s="59" t="s">
        <v>2593</v>
      </c>
      <c r="C46" s="57">
        <v>33</v>
      </c>
      <c r="D46" s="58">
        <v>99</v>
      </c>
      <c r="E46" s="55" t="s">
        <v>2534</v>
      </c>
    </row>
    <row r="47" spans="1:5" ht="21.5" customHeight="1">
      <c r="A47" s="85" t="s">
        <v>3252</v>
      </c>
      <c r="B47" s="120" t="s">
        <v>2514</v>
      </c>
      <c r="C47" s="111">
        <v>4202221000</v>
      </c>
      <c r="D47" s="53"/>
      <c r="E47" s="53"/>
    </row>
    <row r="48" spans="1:5" ht="10.25" customHeight="1">
      <c r="A48" s="118" t="s">
        <v>3253</v>
      </c>
      <c r="B48" s="59" t="s">
        <v>2584</v>
      </c>
      <c r="C48" s="52">
        <v>6.6</v>
      </c>
      <c r="D48" s="58">
        <v>13.2</v>
      </c>
      <c r="E48" s="55" t="s">
        <v>2534</v>
      </c>
    </row>
    <row r="49" spans="1:5" ht="21.5" customHeight="1">
      <c r="A49" s="65" t="s">
        <v>3254</v>
      </c>
      <c r="B49" s="120" t="s">
        <v>2514</v>
      </c>
      <c r="C49" s="111">
        <v>4202321000</v>
      </c>
      <c r="D49" s="53"/>
      <c r="E49" s="53"/>
    </row>
    <row r="50" spans="1:5" ht="11.25" customHeight="1">
      <c r="A50" s="118" t="s">
        <v>3255</v>
      </c>
      <c r="B50" s="59" t="s">
        <v>2938</v>
      </c>
      <c r="C50" s="52">
        <v>4.5599999999999996</v>
      </c>
      <c r="D50" s="54">
        <v>36.479999999999997</v>
      </c>
      <c r="E50" s="55" t="s">
        <v>2534</v>
      </c>
    </row>
    <row r="51" spans="1:5" ht="21.5" customHeight="1">
      <c r="A51" s="85" t="s">
        <v>3256</v>
      </c>
      <c r="B51" s="120" t="s">
        <v>2514</v>
      </c>
      <c r="C51" s="111">
        <v>3926909790</v>
      </c>
      <c r="D51" s="53"/>
      <c r="E51" s="53"/>
    </row>
    <row r="52" spans="1:5" ht="10.25" customHeight="1">
      <c r="A52" s="118" t="s">
        <v>3257</v>
      </c>
      <c r="B52" s="59" t="s">
        <v>2584</v>
      </c>
      <c r="C52" s="57">
        <v>14.4</v>
      </c>
      <c r="D52" s="58">
        <v>28.8</v>
      </c>
      <c r="E52" s="55" t="s">
        <v>2534</v>
      </c>
    </row>
    <row r="53" spans="1:5" ht="22.25" customHeight="1">
      <c r="A53" s="85" t="s">
        <v>3258</v>
      </c>
      <c r="B53" s="120" t="s">
        <v>2514</v>
      </c>
      <c r="C53" s="111">
        <v>4202221000</v>
      </c>
      <c r="D53" s="53"/>
      <c r="E53" s="53"/>
    </row>
    <row r="54" spans="1:5" ht="10.25" customHeight="1">
      <c r="A54" s="118" t="s">
        <v>3259</v>
      </c>
      <c r="B54" s="59" t="s">
        <v>2584</v>
      </c>
      <c r="C54" s="57">
        <v>10.8</v>
      </c>
      <c r="D54" s="58">
        <v>21.6</v>
      </c>
      <c r="E54" s="55" t="s">
        <v>2534</v>
      </c>
    </row>
    <row r="55" spans="1:5" ht="21.5" customHeight="1">
      <c r="A55" s="85" t="s">
        <v>3260</v>
      </c>
      <c r="B55" s="120" t="s">
        <v>2514</v>
      </c>
      <c r="C55" s="111">
        <v>6307909810</v>
      </c>
      <c r="D55" s="53"/>
      <c r="E55" s="53"/>
    </row>
    <row r="56" spans="1:5" ht="11.25" customHeight="1">
      <c r="A56" s="118" t="s">
        <v>3261</v>
      </c>
      <c r="B56" s="59" t="s">
        <v>2593</v>
      </c>
      <c r="C56" s="57">
        <v>11.88</v>
      </c>
      <c r="D56" s="54">
        <v>35.64</v>
      </c>
      <c r="E56" s="55" t="s">
        <v>2534</v>
      </c>
    </row>
    <row r="57" spans="1:5" ht="20" customHeight="1">
      <c r="A57" s="103" t="s">
        <v>3262</v>
      </c>
      <c r="B57" s="121" t="s">
        <v>2514</v>
      </c>
      <c r="C57" s="113">
        <v>4202221000</v>
      </c>
      <c r="D57" s="28"/>
      <c r="E57" s="28"/>
    </row>
  </sheetData>
  <mergeCells count="4">
    <mergeCell ref="C30:D30"/>
    <mergeCell ref="A35:B35"/>
    <mergeCell ref="A37:B37"/>
    <mergeCell ref="A41:B41"/>
  </mergeCells>
  <pageMargins left="1.25" right="1.25" top="1" bottom="1" header="0.25" footer="0.2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9" enableFormatConditionsCalculation="0"/>
  <dimension ref="A7:F57"/>
  <sheetViews>
    <sheetView workbookViewId="0"/>
  </sheetViews>
  <sheetFormatPr baseColWidth="10" defaultRowHeight="14" x14ac:dyDescent="0"/>
  <cols>
    <col min="1" max="1" width="62.1640625" customWidth="1"/>
    <col min="2" max="2" width="9.83203125" customWidth="1"/>
    <col min="3" max="3" width="8.1640625" customWidth="1"/>
    <col min="4" max="4" width="9.83203125" customWidth="1"/>
    <col min="5" max="5" width="16.1640625" customWidth="1"/>
    <col min="6" max="6" width="5.5" customWidth="1"/>
  </cols>
  <sheetData>
    <row r="7" spans="1:1">
      <c r="A7" s="25" t="s">
        <v>3263</v>
      </c>
    </row>
    <row r="8" spans="1:1">
      <c r="A8" s="24" t="s">
        <v>2495</v>
      </c>
    </row>
    <row r="9" spans="1:1">
      <c r="A9" s="25" t="s">
        <v>2496</v>
      </c>
    </row>
    <row r="10" spans="1:1">
      <c r="A10" s="25" t="s">
        <v>2497</v>
      </c>
    </row>
    <row r="11" spans="1:1">
      <c r="A11" s="25" t="s">
        <v>2498</v>
      </c>
    </row>
    <row r="12" spans="1:1">
      <c r="A12" s="25" t="s">
        <v>2499</v>
      </c>
    </row>
    <row r="15" spans="1:1">
      <c r="A15" s="24" t="s">
        <v>2490</v>
      </c>
    </row>
    <row r="16" spans="1:1">
      <c r="A16" s="24" t="s">
        <v>2491</v>
      </c>
    </row>
    <row r="17" spans="1:6">
      <c r="A17" s="24" t="s">
        <v>2492</v>
      </c>
    </row>
    <row r="18" spans="1:6">
      <c r="A18" s="24" t="s">
        <v>2493</v>
      </c>
    </row>
    <row r="20" spans="1:6">
      <c r="A20" s="26" t="s">
        <v>2500</v>
      </c>
    </row>
    <row r="22" spans="1:6">
      <c r="A22" s="24" t="s">
        <v>2607</v>
      </c>
    </row>
    <row r="23" spans="1:6">
      <c r="A23" s="24" t="s">
        <v>2608</v>
      </c>
    </row>
    <row r="24" spans="1:6">
      <c r="A24" s="24" t="s">
        <v>2609</v>
      </c>
    </row>
    <row r="25" spans="1:6">
      <c r="A25" s="24" t="s">
        <v>2509</v>
      </c>
    </row>
    <row r="26" spans="1:6">
      <c r="A26" s="25" t="s">
        <v>2510</v>
      </c>
    </row>
    <row r="27" spans="1:6">
      <c r="A27" s="24" t="s">
        <v>2511</v>
      </c>
    </row>
    <row r="28" spans="1:6" ht="13.75" customHeight="1">
      <c r="A28" s="99" t="s">
        <v>2512</v>
      </c>
      <c r="B28" s="28"/>
      <c r="C28" s="28"/>
      <c r="D28" s="28"/>
      <c r="E28" s="28"/>
      <c r="F28" s="28"/>
    </row>
    <row r="29" spans="1:6" ht="12" customHeight="1">
      <c r="A29" s="155" t="s">
        <v>2622</v>
      </c>
      <c r="B29" s="155"/>
      <c r="C29" s="72" t="s">
        <v>2623</v>
      </c>
      <c r="D29" s="105" t="s">
        <v>2624</v>
      </c>
      <c r="E29" s="73" t="s">
        <v>2625</v>
      </c>
      <c r="F29" s="72" t="s">
        <v>2626</v>
      </c>
    </row>
    <row r="30" spans="1:6" ht="13.75" customHeight="1">
      <c r="A30" s="152" t="s">
        <v>2684</v>
      </c>
      <c r="B30" s="152"/>
      <c r="C30" s="153" t="s">
        <v>2685</v>
      </c>
      <c r="D30" s="153"/>
      <c r="E30" s="153"/>
      <c r="F30" s="53"/>
    </row>
    <row r="31" spans="1:6" ht="14.5" customHeight="1">
      <c r="A31" s="122" t="s">
        <v>2553</v>
      </c>
      <c r="B31" s="53"/>
      <c r="C31" s="53"/>
      <c r="D31" s="53"/>
      <c r="E31" s="53"/>
      <c r="F31" s="53"/>
    </row>
    <row r="32" spans="1:6" ht="10.25" customHeight="1">
      <c r="A32" s="118" t="s">
        <v>3264</v>
      </c>
      <c r="B32" s="59" t="s">
        <v>2584</v>
      </c>
      <c r="C32" s="57">
        <v>11.04</v>
      </c>
      <c r="D32" s="53"/>
      <c r="E32" s="54">
        <v>22.08</v>
      </c>
      <c r="F32" s="55" t="s">
        <v>2534</v>
      </c>
    </row>
    <row r="33" spans="1:6" ht="21.5" customHeight="1">
      <c r="A33" s="85" t="s">
        <v>3265</v>
      </c>
      <c r="B33" s="64" t="s">
        <v>2514</v>
      </c>
      <c r="C33" s="53"/>
      <c r="D33" s="102">
        <v>4202221000</v>
      </c>
      <c r="E33" s="53"/>
      <c r="F33" s="53"/>
    </row>
    <row r="34" spans="1:6" ht="10.25" customHeight="1">
      <c r="A34" s="118" t="s">
        <v>3266</v>
      </c>
      <c r="B34" s="59" t="s">
        <v>2593</v>
      </c>
      <c r="C34" s="52">
        <v>9</v>
      </c>
      <c r="D34" s="53"/>
      <c r="E34" s="58">
        <v>27</v>
      </c>
      <c r="F34" s="55" t="s">
        <v>2534</v>
      </c>
    </row>
    <row r="35" spans="1:6" ht="22.25" customHeight="1">
      <c r="A35" s="85" t="s">
        <v>3267</v>
      </c>
      <c r="B35" s="64" t="s">
        <v>2514</v>
      </c>
      <c r="C35" s="53"/>
      <c r="D35" s="102">
        <v>9111800000</v>
      </c>
      <c r="E35" s="53"/>
      <c r="F35" s="53"/>
    </row>
    <row r="36" spans="1:6" ht="10.25" customHeight="1">
      <c r="A36" s="118" t="s">
        <v>3268</v>
      </c>
      <c r="B36" s="59" t="s">
        <v>2584</v>
      </c>
      <c r="C36" s="57">
        <v>11.88</v>
      </c>
      <c r="D36" s="53"/>
      <c r="E36" s="54">
        <v>23.76</v>
      </c>
      <c r="F36" s="55" t="s">
        <v>2534</v>
      </c>
    </row>
    <row r="37" spans="1:6" ht="21.5" customHeight="1">
      <c r="A37" s="150" t="s">
        <v>3269</v>
      </c>
      <c r="B37" s="150"/>
      <c r="C37" s="53"/>
      <c r="D37" s="102">
        <v>4202229090</v>
      </c>
      <c r="E37" s="53"/>
      <c r="F37" s="53"/>
    </row>
    <row r="38" spans="1:6" ht="10.25" customHeight="1">
      <c r="A38" s="118" t="s">
        <v>3270</v>
      </c>
      <c r="B38" s="59" t="s">
        <v>2593</v>
      </c>
      <c r="C38" s="52">
        <v>7.8</v>
      </c>
      <c r="D38" s="53"/>
      <c r="E38" s="58">
        <v>23.4</v>
      </c>
      <c r="F38" s="55" t="s">
        <v>2534</v>
      </c>
    </row>
    <row r="39" spans="1:6" ht="22.25" customHeight="1">
      <c r="A39" s="85" t="s">
        <v>3271</v>
      </c>
      <c r="B39" s="64" t="s">
        <v>2514</v>
      </c>
      <c r="C39" s="53"/>
      <c r="D39" s="102">
        <v>4202229090</v>
      </c>
      <c r="E39" s="53"/>
      <c r="F39" s="53"/>
    </row>
    <row r="40" spans="1:6" ht="10.25" customHeight="1">
      <c r="A40" s="118" t="s">
        <v>3272</v>
      </c>
      <c r="B40" s="59" t="s">
        <v>2584</v>
      </c>
      <c r="C40" s="57">
        <v>20.04</v>
      </c>
      <c r="D40" s="53"/>
      <c r="E40" s="54">
        <v>40.08</v>
      </c>
      <c r="F40" s="55" t="s">
        <v>2534</v>
      </c>
    </row>
    <row r="41" spans="1:6" ht="21.5" customHeight="1">
      <c r="A41" s="85" t="s">
        <v>3273</v>
      </c>
      <c r="B41" s="64" t="s">
        <v>2514</v>
      </c>
      <c r="C41" s="53"/>
      <c r="D41" s="102">
        <v>6307909810</v>
      </c>
      <c r="E41" s="53"/>
      <c r="F41" s="53"/>
    </row>
    <row r="42" spans="1:6" ht="11.25" customHeight="1">
      <c r="A42" s="118" t="s">
        <v>3274</v>
      </c>
      <c r="B42" s="59" t="s">
        <v>2584</v>
      </c>
      <c r="C42" s="52">
        <v>7.8</v>
      </c>
      <c r="D42" s="53"/>
      <c r="E42" s="58">
        <v>15.6</v>
      </c>
      <c r="F42" s="55" t="s">
        <v>2534</v>
      </c>
    </row>
    <row r="43" spans="1:6" ht="21.5" customHeight="1">
      <c r="A43" s="85" t="s">
        <v>3275</v>
      </c>
      <c r="B43" s="64" t="s">
        <v>2514</v>
      </c>
      <c r="C43" s="53"/>
      <c r="D43" s="102">
        <v>7907000000</v>
      </c>
      <c r="E43" s="53"/>
      <c r="F43" s="53"/>
    </row>
    <row r="44" spans="1:6" ht="10.25" customHeight="1">
      <c r="A44" s="118" t="s">
        <v>3276</v>
      </c>
      <c r="B44" s="59" t="s">
        <v>2584</v>
      </c>
      <c r="C44" s="57">
        <v>12.72</v>
      </c>
      <c r="D44" s="53"/>
      <c r="E44" s="54">
        <v>25.44</v>
      </c>
      <c r="F44" s="55" t="s">
        <v>2534</v>
      </c>
    </row>
    <row r="45" spans="1:6" ht="21.5" customHeight="1">
      <c r="A45" s="65" t="s">
        <v>3277</v>
      </c>
      <c r="B45" s="64" t="s">
        <v>2514</v>
      </c>
      <c r="C45" s="53"/>
      <c r="D45" s="102">
        <v>4202229090</v>
      </c>
      <c r="E45" s="53"/>
      <c r="F45" s="53"/>
    </row>
    <row r="46" spans="1:6" ht="10.25" customHeight="1">
      <c r="A46" s="118" t="s">
        <v>3278</v>
      </c>
      <c r="B46" s="59" t="s">
        <v>2578</v>
      </c>
      <c r="C46" s="52">
        <v>3</v>
      </c>
      <c r="D46" s="53"/>
      <c r="E46" s="58">
        <v>18</v>
      </c>
      <c r="F46" s="55" t="s">
        <v>2534</v>
      </c>
    </row>
    <row r="47" spans="1:6" ht="21.5" customHeight="1">
      <c r="A47" s="85" t="s">
        <v>3279</v>
      </c>
      <c r="B47" s="64" t="s">
        <v>2514</v>
      </c>
      <c r="C47" s="53"/>
      <c r="D47" s="102">
        <v>3926909790</v>
      </c>
      <c r="E47" s="53"/>
      <c r="F47" s="53"/>
    </row>
    <row r="48" spans="1:6" ht="10.25" customHeight="1">
      <c r="A48" s="118" t="s">
        <v>3280</v>
      </c>
      <c r="B48" s="59" t="s">
        <v>2600</v>
      </c>
      <c r="C48" s="52">
        <v>9.6</v>
      </c>
      <c r="D48" s="53"/>
      <c r="E48" s="58">
        <v>38.4</v>
      </c>
      <c r="F48" s="55" t="s">
        <v>2534</v>
      </c>
    </row>
    <row r="49" spans="1:6" ht="21.5" customHeight="1">
      <c r="A49" s="85" t="s">
        <v>3281</v>
      </c>
      <c r="B49" s="64" t="s">
        <v>2514</v>
      </c>
      <c r="C49" s="53"/>
      <c r="D49" s="102">
        <v>3926909790</v>
      </c>
      <c r="E49" s="53"/>
      <c r="F49" s="53"/>
    </row>
    <row r="50" spans="1:6" ht="11.25" customHeight="1">
      <c r="A50" s="118" t="s">
        <v>3282</v>
      </c>
      <c r="B50" s="59" t="s">
        <v>2593</v>
      </c>
      <c r="C50" s="52">
        <v>9</v>
      </c>
      <c r="D50" s="53"/>
      <c r="E50" s="58">
        <v>27</v>
      </c>
      <c r="F50" s="55" t="s">
        <v>2534</v>
      </c>
    </row>
    <row r="51" spans="1:6" ht="21.5" customHeight="1">
      <c r="A51" s="85" t="s">
        <v>3283</v>
      </c>
      <c r="B51" s="64" t="s">
        <v>2514</v>
      </c>
      <c r="C51" s="53"/>
      <c r="D51" s="102">
        <v>9111800000</v>
      </c>
      <c r="E51" s="53"/>
      <c r="F51" s="53"/>
    </row>
    <row r="52" spans="1:6" ht="10.25" customHeight="1">
      <c r="A52" s="118" t="s">
        <v>3284</v>
      </c>
      <c r="B52" s="59" t="s">
        <v>2581</v>
      </c>
      <c r="C52" s="52">
        <v>6.6</v>
      </c>
      <c r="D52" s="53"/>
      <c r="E52" s="54">
        <v>6.6</v>
      </c>
      <c r="F52" s="55" t="s">
        <v>2534</v>
      </c>
    </row>
    <row r="53" spans="1:6" ht="22.25" customHeight="1">
      <c r="A53" s="65" t="s">
        <v>3285</v>
      </c>
      <c r="B53" s="64" t="s">
        <v>2514</v>
      </c>
      <c r="C53" s="53"/>
      <c r="D53" s="102">
        <v>4202321000</v>
      </c>
      <c r="E53" s="53"/>
      <c r="F53" s="53"/>
    </row>
    <row r="54" spans="1:6" ht="10.25" customHeight="1">
      <c r="A54" s="118" t="s">
        <v>3286</v>
      </c>
      <c r="B54" s="59" t="s">
        <v>2584</v>
      </c>
      <c r="C54" s="57">
        <v>11.88</v>
      </c>
      <c r="D54" s="53"/>
      <c r="E54" s="54">
        <v>23.76</v>
      </c>
      <c r="F54" s="55" t="s">
        <v>2534</v>
      </c>
    </row>
    <row r="55" spans="1:6" ht="21.5" customHeight="1">
      <c r="A55" s="85" t="s">
        <v>3287</v>
      </c>
      <c r="B55" s="64" t="s">
        <v>2514</v>
      </c>
      <c r="C55" s="53"/>
      <c r="D55" s="102">
        <v>4202221000</v>
      </c>
      <c r="E55" s="53"/>
      <c r="F55" s="53"/>
    </row>
    <row r="56" spans="1:6" ht="11.25" customHeight="1">
      <c r="A56" s="118" t="s">
        <v>3288</v>
      </c>
      <c r="B56" s="59" t="s">
        <v>2600</v>
      </c>
      <c r="C56" s="52">
        <v>7.08</v>
      </c>
      <c r="D56" s="53"/>
      <c r="E56" s="54">
        <v>28.32</v>
      </c>
      <c r="F56" s="55" t="s">
        <v>2534</v>
      </c>
    </row>
    <row r="57" spans="1:6" ht="20" customHeight="1">
      <c r="A57" s="103" t="s">
        <v>3289</v>
      </c>
      <c r="B57" s="67" t="s">
        <v>2514</v>
      </c>
      <c r="C57" s="28"/>
      <c r="D57" s="104">
        <v>7907000000</v>
      </c>
      <c r="E57" s="28"/>
      <c r="F57" s="28"/>
    </row>
  </sheetData>
  <mergeCells count="4">
    <mergeCell ref="A29:B29"/>
    <mergeCell ref="A30:B30"/>
    <mergeCell ref="C30:E30"/>
    <mergeCell ref="A37:B37"/>
  </mergeCells>
  <pageMargins left="1.25" right="1.25" top="1" bottom="1" header="0.25" footer="0.2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0" enableFormatConditionsCalculation="0"/>
  <dimension ref="A7:E57"/>
  <sheetViews>
    <sheetView workbookViewId="0"/>
  </sheetViews>
  <sheetFormatPr baseColWidth="10" defaultRowHeight="14" x14ac:dyDescent="0"/>
  <cols>
    <col min="1" max="1" width="55.33203125" customWidth="1"/>
    <col min="2" max="2" width="16.6640625" customWidth="1"/>
    <col min="3" max="3" width="17.1640625" customWidth="1"/>
    <col min="4" max="4" width="16.1640625" customWidth="1"/>
    <col min="5" max="5" width="5.5" customWidth="1"/>
  </cols>
  <sheetData>
    <row r="7" spans="1:1">
      <c r="A7" s="25" t="s">
        <v>3290</v>
      </c>
    </row>
    <row r="8" spans="1:1">
      <c r="A8" s="24" t="s">
        <v>2495</v>
      </c>
    </row>
    <row r="9" spans="1:1">
      <c r="A9" s="25" t="s">
        <v>2496</v>
      </c>
    </row>
    <row r="10" spans="1:1">
      <c r="A10" s="25" t="s">
        <v>2497</v>
      </c>
    </row>
    <row r="11" spans="1:1">
      <c r="A11" s="25" t="s">
        <v>2498</v>
      </c>
    </row>
    <row r="12" spans="1:1">
      <c r="A12" s="25" t="s">
        <v>2499</v>
      </c>
    </row>
    <row r="15" spans="1:1">
      <c r="A15" s="24" t="s">
        <v>2490</v>
      </c>
    </row>
    <row r="16" spans="1:1">
      <c r="A16" s="24" t="s">
        <v>2491</v>
      </c>
    </row>
    <row r="17" spans="1:5">
      <c r="A17" s="24" t="s">
        <v>2492</v>
      </c>
    </row>
    <row r="18" spans="1:5">
      <c r="A18" s="24" t="s">
        <v>2493</v>
      </c>
    </row>
    <row r="20" spans="1:5">
      <c r="A20" s="26" t="s">
        <v>2500</v>
      </c>
    </row>
    <row r="22" spans="1:5">
      <c r="A22" s="24" t="s">
        <v>2607</v>
      </c>
    </row>
    <row r="23" spans="1:5">
      <c r="A23" s="24" t="s">
        <v>2608</v>
      </c>
    </row>
    <row r="24" spans="1:5">
      <c r="A24" s="24" t="s">
        <v>2609</v>
      </c>
    </row>
    <row r="25" spans="1:5">
      <c r="A25" s="24" t="s">
        <v>2509</v>
      </c>
    </row>
    <row r="26" spans="1:5">
      <c r="A26" s="25" t="s">
        <v>2510</v>
      </c>
    </row>
    <row r="27" spans="1:5">
      <c r="A27" s="24" t="s">
        <v>2511</v>
      </c>
    </row>
    <row r="28" spans="1:5" ht="13.75" customHeight="1">
      <c r="A28" s="99" t="s">
        <v>2512</v>
      </c>
      <c r="B28" s="28"/>
      <c r="C28" s="28"/>
      <c r="D28" s="28"/>
      <c r="E28" s="28"/>
    </row>
    <row r="29" spans="1:5" ht="12" customHeight="1">
      <c r="A29" s="105" t="s">
        <v>2682</v>
      </c>
      <c r="B29" s="100" t="s">
        <v>2683</v>
      </c>
      <c r="C29" s="100" t="s">
        <v>2799</v>
      </c>
      <c r="D29" s="73" t="s">
        <v>2625</v>
      </c>
      <c r="E29" s="72" t="s">
        <v>2626</v>
      </c>
    </row>
    <row r="30" spans="1:5" ht="13.75" customHeight="1">
      <c r="A30" s="101" t="s">
        <v>2911</v>
      </c>
      <c r="B30" s="119" t="s">
        <v>2912</v>
      </c>
      <c r="C30" s="153" t="s">
        <v>2685</v>
      </c>
      <c r="D30" s="153"/>
      <c r="E30" s="53"/>
    </row>
    <row r="31" spans="1:5" ht="14.5" customHeight="1">
      <c r="A31" s="122" t="s">
        <v>2553</v>
      </c>
      <c r="B31" s="53"/>
      <c r="C31" s="53"/>
      <c r="D31" s="53"/>
      <c r="E31" s="53"/>
    </row>
    <row r="32" spans="1:5" ht="10.25" customHeight="1">
      <c r="A32" s="118" t="s">
        <v>3291</v>
      </c>
      <c r="B32" s="59" t="s">
        <v>2593</v>
      </c>
      <c r="C32" s="57">
        <v>15.6</v>
      </c>
      <c r="D32" s="58">
        <v>46.8</v>
      </c>
      <c r="E32" s="55" t="s">
        <v>2534</v>
      </c>
    </row>
    <row r="33" spans="1:5" ht="21.5" customHeight="1">
      <c r="A33" s="85" t="s">
        <v>3292</v>
      </c>
      <c r="B33" s="120" t="s">
        <v>2514</v>
      </c>
      <c r="C33" s="114">
        <v>4202221000</v>
      </c>
      <c r="D33" s="53"/>
      <c r="E33" s="53"/>
    </row>
    <row r="34" spans="1:5" ht="10.25" customHeight="1">
      <c r="A34" s="118" t="s">
        <v>3293</v>
      </c>
      <c r="B34" s="59" t="s">
        <v>2593</v>
      </c>
      <c r="C34" s="52">
        <v>7.08</v>
      </c>
      <c r="D34" s="54">
        <v>21.24</v>
      </c>
      <c r="E34" s="55" t="s">
        <v>2534</v>
      </c>
    </row>
    <row r="35" spans="1:5" ht="22.25" customHeight="1">
      <c r="A35" s="85" t="s">
        <v>3294</v>
      </c>
      <c r="B35" s="120" t="s">
        <v>2514</v>
      </c>
      <c r="C35" s="114">
        <v>7907000000</v>
      </c>
      <c r="D35" s="53"/>
      <c r="E35" s="53"/>
    </row>
    <row r="36" spans="1:5" ht="10.25" customHeight="1">
      <c r="A36" s="118" t="s">
        <v>3295</v>
      </c>
      <c r="B36" s="59" t="s">
        <v>2578</v>
      </c>
      <c r="C36" s="52">
        <v>3.6</v>
      </c>
      <c r="D36" s="58">
        <v>21.6</v>
      </c>
      <c r="E36" s="55" t="s">
        <v>2534</v>
      </c>
    </row>
    <row r="37" spans="1:5" ht="21.5" customHeight="1">
      <c r="A37" s="85" t="s">
        <v>3296</v>
      </c>
      <c r="B37" s="120" t="s">
        <v>2514</v>
      </c>
      <c r="C37" s="114">
        <v>3926909790</v>
      </c>
      <c r="D37" s="53"/>
      <c r="E37" s="53"/>
    </row>
    <row r="38" spans="1:5" ht="10.25" customHeight="1">
      <c r="A38" s="118" t="s">
        <v>3297</v>
      </c>
      <c r="B38" s="59" t="s">
        <v>2584</v>
      </c>
      <c r="C38" s="57">
        <v>13.8</v>
      </c>
      <c r="D38" s="58">
        <v>27.6</v>
      </c>
      <c r="E38" s="55" t="s">
        <v>2534</v>
      </c>
    </row>
    <row r="39" spans="1:5" ht="22.25" customHeight="1">
      <c r="A39" s="85" t="s">
        <v>3298</v>
      </c>
      <c r="B39" s="120" t="s">
        <v>2514</v>
      </c>
      <c r="C39" s="114">
        <v>4202221000</v>
      </c>
      <c r="D39" s="53"/>
      <c r="E39" s="53"/>
    </row>
    <row r="40" spans="1:5" ht="10.25" customHeight="1">
      <c r="A40" s="118" t="s">
        <v>3299</v>
      </c>
      <c r="B40" s="59" t="s">
        <v>2584</v>
      </c>
      <c r="C40" s="57">
        <v>13.08</v>
      </c>
      <c r="D40" s="54">
        <v>26.16</v>
      </c>
      <c r="E40" s="55" t="s">
        <v>2534</v>
      </c>
    </row>
    <row r="41" spans="1:5" ht="21.5" customHeight="1">
      <c r="A41" s="85" t="s">
        <v>3300</v>
      </c>
      <c r="B41" s="120" t="s">
        <v>2514</v>
      </c>
      <c r="C41" s="114">
        <v>4202221000</v>
      </c>
      <c r="D41" s="53"/>
      <c r="E41" s="53"/>
    </row>
    <row r="42" spans="1:5" ht="11.25" customHeight="1">
      <c r="A42" s="118" t="s">
        <v>3301</v>
      </c>
      <c r="B42" s="59" t="s">
        <v>2578</v>
      </c>
      <c r="C42" s="52">
        <v>2.52</v>
      </c>
      <c r="D42" s="54">
        <v>15.12</v>
      </c>
      <c r="E42" s="55" t="s">
        <v>2534</v>
      </c>
    </row>
    <row r="43" spans="1:5" ht="21.5" customHeight="1">
      <c r="A43" s="85" t="s">
        <v>3302</v>
      </c>
      <c r="B43" s="120" t="s">
        <v>2514</v>
      </c>
      <c r="C43" s="114">
        <v>9113900099</v>
      </c>
      <c r="D43" s="53"/>
      <c r="E43" s="53"/>
    </row>
    <row r="44" spans="1:5" ht="10.25" customHeight="1">
      <c r="A44" s="118" t="s">
        <v>3303</v>
      </c>
      <c r="B44" s="59" t="s">
        <v>2584</v>
      </c>
      <c r="C44" s="57">
        <v>24</v>
      </c>
      <c r="D44" s="58">
        <v>48</v>
      </c>
      <c r="E44" s="55" t="s">
        <v>2534</v>
      </c>
    </row>
    <row r="45" spans="1:5" ht="21.5" customHeight="1">
      <c r="A45" s="85" t="s">
        <v>3304</v>
      </c>
      <c r="B45" s="120" t="s">
        <v>2514</v>
      </c>
      <c r="C45" s="114">
        <v>4202221000</v>
      </c>
      <c r="D45" s="53"/>
      <c r="E45" s="53"/>
    </row>
    <row r="46" spans="1:5" ht="10.25" customHeight="1">
      <c r="A46" s="118" t="s">
        <v>3305</v>
      </c>
      <c r="B46" s="59" t="s">
        <v>2593</v>
      </c>
      <c r="C46" s="52">
        <v>8.52</v>
      </c>
      <c r="D46" s="54">
        <v>25.56</v>
      </c>
      <c r="E46" s="55" t="s">
        <v>2534</v>
      </c>
    </row>
    <row r="47" spans="1:5" ht="21.5" customHeight="1">
      <c r="A47" s="85" t="s">
        <v>3306</v>
      </c>
      <c r="B47" s="120" t="s">
        <v>2514</v>
      </c>
      <c r="C47" s="114">
        <v>9111800000</v>
      </c>
      <c r="D47" s="53"/>
      <c r="E47" s="53"/>
    </row>
    <row r="48" spans="1:5" ht="10.25" customHeight="1">
      <c r="A48" s="118" t="s">
        <v>3307</v>
      </c>
      <c r="B48" s="59" t="s">
        <v>2584</v>
      </c>
      <c r="C48" s="52">
        <v>9.36</v>
      </c>
      <c r="D48" s="54">
        <v>18.72</v>
      </c>
      <c r="E48" s="55" t="s">
        <v>2534</v>
      </c>
    </row>
    <row r="49" spans="1:5" ht="21.5" customHeight="1">
      <c r="A49" s="85" t="s">
        <v>3308</v>
      </c>
      <c r="B49" s="120" t="s">
        <v>2514</v>
      </c>
      <c r="C49" s="114">
        <v>4202229090</v>
      </c>
      <c r="D49" s="53"/>
      <c r="E49" s="53"/>
    </row>
    <row r="50" spans="1:5" ht="11.25" customHeight="1">
      <c r="A50" s="118" t="s">
        <v>3309</v>
      </c>
      <c r="B50" s="59" t="s">
        <v>2600</v>
      </c>
      <c r="C50" s="52">
        <v>7.8</v>
      </c>
      <c r="D50" s="58">
        <v>31.2</v>
      </c>
      <c r="E50" s="55" t="s">
        <v>2534</v>
      </c>
    </row>
    <row r="51" spans="1:5" ht="21.5" customHeight="1">
      <c r="A51" s="85" t="s">
        <v>3310</v>
      </c>
      <c r="B51" s="120" t="s">
        <v>2514</v>
      </c>
      <c r="C51" s="114">
        <v>5609000000</v>
      </c>
      <c r="D51" s="53"/>
      <c r="E51" s="53"/>
    </row>
    <row r="52" spans="1:5" ht="10.25" customHeight="1">
      <c r="A52" s="118" t="s">
        <v>3311</v>
      </c>
      <c r="B52" s="59" t="s">
        <v>2593</v>
      </c>
      <c r="C52" s="52">
        <v>9</v>
      </c>
      <c r="D52" s="58">
        <v>27</v>
      </c>
      <c r="E52" s="55" t="s">
        <v>2534</v>
      </c>
    </row>
    <row r="53" spans="1:5" ht="22.25" customHeight="1">
      <c r="A53" s="85" t="s">
        <v>3312</v>
      </c>
      <c r="B53" s="120" t="s">
        <v>2514</v>
      </c>
      <c r="C53" s="114">
        <v>9111800000</v>
      </c>
      <c r="D53" s="53"/>
      <c r="E53" s="53"/>
    </row>
    <row r="54" spans="1:5" ht="10.25" customHeight="1">
      <c r="A54" s="118" t="s">
        <v>3313</v>
      </c>
      <c r="B54" s="59" t="s">
        <v>2584</v>
      </c>
      <c r="C54" s="57">
        <v>12.72</v>
      </c>
      <c r="D54" s="54">
        <v>25.44</v>
      </c>
      <c r="E54" s="55" t="s">
        <v>2534</v>
      </c>
    </row>
    <row r="55" spans="1:5" ht="21.5" customHeight="1">
      <c r="A55" s="85" t="s">
        <v>3314</v>
      </c>
      <c r="B55" s="120" t="s">
        <v>2514</v>
      </c>
      <c r="C55" s="114">
        <v>6307909899</v>
      </c>
      <c r="D55" s="53"/>
      <c r="E55" s="53"/>
    </row>
    <row r="56" spans="1:5" ht="11.25" customHeight="1">
      <c r="A56" s="118" t="s">
        <v>3315</v>
      </c>
      <c r="B56" s="59" t="s">
        <v>2593</v>
      </c>
      <c r="C56" s="52">
        <v>4.8</v>
      </c>
      <c r="D56" s="58">
        <v>14.4</v>
      </c>
      <c r="E56" s="55" t="s">
        <v>2534</v>
      </c>
    </row>
    <row r="57" spans="1:5" ht="20" customHeight="1">
      <c r="A57" s="103" t="s">
        <v>3316</v>
      </c>
      <c r="B57" s="121" t="s">
        <v>2514</v>
      </c>
      <c r="C57" s="115">
        <v>4202221000</v>
      </c>
      <c r="D57" s="28"/>
      <c r="E57" s="28"/>
    </row>
  </sheetData>
  <mergeCells count="1">
    <mergeCell ref="C30:D30"/>
  </mergeCells>
  <pageMargins left="1.25" right="1.25" top="1" bottom="1" header="0.25" footer="0.2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1" enableFormatConditionsCalculation="0"/>
  <dimension ref="A7:E57"/>
  <sheetViews>
    <sheetView workbookViewId="0"/>
  </sheetViews>
  <sheetFormatPr baseColWidth="10" defaultRowHeight="14" x14ac:dyDescent="0"/>
  <cols>
    <col min="1" max="1" width="63.1640625" customWidth="1"/>
    <col min="2" max="2" width="8.6640625" customWidth="1"/>
    <col min="3" max="3" width="17.1640625" customWidth="1"/>
    <col min="4" max="4" width="16.1640625" customWidth="1"/>
    <col min="5" max="5" width="5.5" customWidth="1"/>
  </cols>
  <sheetData>
    <row r="7" spans="1:1">
      <c r="A7" s="25" t="s">
        <v>3317</v>
      </c>
    </row>
    <row r="8" spans="1:1">
      <c r="A8" s="24" t="s">
        <v>2495</v>
      </c>
    </row>
    <row r="9" spans="1:1">
      <c r="A9" s="25" t="s">
        <v>2496</v>
      </c>
    </row>
    <row r="10" spans="1:1">
      <c r="A10" s="25" t="s">
        <v>2497</v>
      </c>
    </row>
    <row r="11" spans="1:1">
      <c r="A11" s="25" t="s">
        <v>2498</v>
      </c>
    </row>
    <row r="12" spans="1:1">
      <c r="A12" s="25" t="s">
        <v>2499</v>
      </c>
    </row>
    <row r="15" spans="1:1">
      <c r="A15" s="24" t="s">
        <v>2490</v>
      </c>
    </row>
    <row r="16" spans="1:1">
      <c r="A16" s="24" t="s">
        <v>2491</v>
      </c>
    </row>
    <row r="17" spans="1:5">
      <c r="A17" s="24" t="s">
        <v>2492</v>
      </c>
    </row>
    <row r="18" spans="1:5">
      <c r="A18" s="24" t="s">
        <v>2493</v>
      </c>
    </row>
    <row r="20" spans="1:5">
      <c r="A20" s="26" t="s">
        <v>2500</v>
      </c>
    </row>
    <row r="22" spans="1:5">
      <c r="A22" s="24" t="s">
        <v>2607</v>
      </c>
    </row>
    <row r="23" spans="1:5">
      <c r="A23" s="24" t="s">
        <v>2608</v>
      </c>
    </row>
    <row r="24" spans="1:5">
      <c r="A24" s="24" t="s">
        <v>2609</v>
      </c>
    </row>
    <row r="25" spans="1:5">
      <c r="A25" s="24" t="s">
        <v>2509</v>
      </c>
    </row>
    <row r="26" spans="1:5">
      <c r="A26" s="25" t="s">
        <v>2510</v>
      </c>
    </row>
    <row r="27" spans="1:5">
      <c r="A27" s="24" t="s">
        <v>2511</v>
      </c>
    </row>
    <row r="28" spans="1:5" ht="13.75" customHeight="1">
      <c r="A28" s="99" t="s">
        <v>2512</v>
      </c>
      <c r="B28" s="28"/>
      <c r="C28" s="28"/>
      <c r="D28" s="28"/>
      <c r="E28" s="28"/>
    </row>
    <row r="29" spans="1:5" ht="12" customHeight="1">
      <c r="A29" s="155" t="s">
        <v>2622</v>
      </c>
      <c r="B29" s="155"/>
      <c r="C29" s="100" t="s">
        <v>2799</v>
      </c>
      <c r="D29" s="73" t="s">
        <v>2625</v>
      </c>
      <c r="E29" s="72" t="s">
        <v>2626</v>
      </c>
    </row>
    <row r="30" spans="1:5" ht="13.75" customHeight="1">
      <c r="A30" s="152" t="s">
        <v>2684</v>
      </c>
      <c r="B30" s="152"/>
      <c r="C30" s="153" t="s">
        <v>2685</v>
      </c>
      <c r="D30" s="153"/>
      <c r="E30" s="53"/>
    </row>
    <row r="31" spans="1:5" ht="14.5" customHeight="1">
      <c r="A31" s="122" t="s">
        <v>2553</v>
      </c>
      <c r="B31" s="53"/>
      <c r="C31" s="53"/>
      <c r="D31" s="53"/>
      <c r="E31" s="53"/>
    </row>
    <row r="32" spans="1:5" ht="10.25" customHeight="1">
      <c r="A32" s="118" t="s">
        <v>3318</v>
      </c>
      <c r="B32" s="59" t="s">
        <v>2593</v>
      </c>
      <c r="C32" s="52">
        <v>8.4</v>
      </c>
      <c r="D32" s="58">
        <v>25.2</v>
      </c>
      <c r="E32" s="55" t="s">
        <v>2534</v>
      </c>
    </row>
    <row r="33" spans="1:5" ht="21.5" customHeight="1">
      <c r="A33" s="85" t="s">
        <v>3319</v>
      </c>
      <c r="B33" s="64" t="s">
        <v>2514</v>
      </c>
      <c r="C33" s="111">
        <v>9111800000</v>
      </c>
      <c r="D33" s="53"/>
      <c r="E33" s="53"/>
    </row>
    <row r="34" spans="1:5" ht="10.25" customHeight="1">
      <c r="A34" s="118" t="s">
        <v>3320</v>
      </c>
      <c r="B34" s="59" t="s">
        <v>2584</v>
      </c>
      <c r="C34" s="57">
        <v>14.4</v>
      </c>
      <c r="D34" s="58">
        <v>28.8</v>
      </c>
      <c r="E34" s="55" t="s">
        <v>2534</v>
      </c>
    </row>
    <row r="35" spans="1:5" ht="22.25" customHeight="1">
      <c r="A35" s="85" t="s">
        <v>3321</v>
      </c>
      <c r="B35" s="64" t="s">
        <v>2514</v>
      </c>
      <c r="C35" s="111">
        <v>6307909899</v>
      </c>
      <c r="D35" s="53"/>
      <c r="E35" s="53"/>
    </row>
    <row r="36" spans="1:5" ht="10.25" customHeight="1">
      <c r="A36" s="118" t="s">
        <v>3322</v>
      </c>
      <c r="B36" s="59" t="s">
        <v>2578</v>
      </c>
      <c r="C36" s="52">
        <v>1.92</v>
      </c>
      <c r="D36" s="54">
        <v>11.52</v>
      </c>
      <c r="E36" s="55" t="s">
        <v>2534</v>
      </c>
    </row>
    <row r="37" spans="1:5" ht="21.5" customHeight="1">
      <c r="A37" s="85" t="s">
        <v>3323</v>
      </c>
      <c r="B37" s="64" t="s">
        <v>2514</v>
      </c>
      <c r="C37" s="111">
        <v>91021100</v>
      </c>
      <c r="D37" s="53"/>
      <c r="E37" s="53"/>
    </row>
    <row r="38" spans="1:5" ht="10.25" customHeight="1">
      <c r="A38" s="118" t="s">
        <v>3324</v>
      </c>
      <c r="B38" s="59" t="s">
        <v>2578</v>
      </c>
      <c r="C38" s="52">
        <v>1.92</v>
      </c>
      <c r="D38" s="54">
        <v>11.52</v>
      </c>
      <c r="E38" s="55" t="s">
        <v>2534</v>
      </c>
    </row>
    <row r="39" spans="1:5" ht="22.25" customHeight="1">
      <c r="A39" s="85" t="s">
        <v>3325</v>
      </c>
      <c r="B39" s="64" t="s">
        <v>2514</v>
      </c>
      <c r="C39" s="111">
        <v>91021100</v>
      </c>
      <c r="D39" s="53"/>
      <c r="E39" s="53"/>
    </row>
    <row r="40" spans="1:5" ht="10.25" customHeight="1">
      <c r="A40" s="118" t="s">
        <v>3326</v>
      </c>
      <c r="B40" s="59" t="s">
        <v>2584</v>
      </c>
      <c r="C40" s="52">
        <v>6.72</v>
      </c>
      <c r="D40" s="54">
        <v>13.44</v>
      </c>
      <c r="E40" s="55" t="s">
        <v>2534</v>
      </c>
    </row>
    <row r="41" spans="1:5" ht="21.5" customHeight="1">
      <c r="A41" s="85" t="s">
        <v>3327</v>
      </c>
      <c r="B41" s="64" t="s">
        <v>2514</v>
      </c>
      <c r="C41" s="111">
        <v>6307909810</v>
      </c>
      <c r="D41" s="53"/>
      <c r="E41" s="53"/>
    </row>
    <row r="42" spans="1:5" ht="11.25" customHeight="1">
      <c r="A42" s="118" t="s">
        <v>3328</v>
      </c>
      <c r="B42" s="59" t="s">
        <v>2581</v>
      </c>
      <c r="C42" s="57">
        <v>14.4</v>
      </c>
      <c r="D42" s="58">
        <v>14.4</v>
      </c>
      <c r="E42" s="55" t="s">
        <v>2534</v>
      </c>
    </row>
    <row r="43" spans="1:5" ht="21.5" customHeight="1">
      <c r="A43" s="85" t="s">
        <v>3329</v>
      </c>
      <c r="B43" s="64" t="s">
        <v>2514</v>
      </c>
      <c r="C43" s="111">
        <v>4202221000</v>
      </c>
      <c r="D43" s="53"/>
      <c r="E43" s="53"/>
    </row>
    <row r="44" spans="1:5" ht="10.25" customHeight="1">
      <c r="A44" s="118" t="s">
        <v>3330</v>
      </c>
      <c r="B44" s="59" t="s">
        <v>2584</v>
      </c>
      <c r="C44" s="57">
        <v>11.04</v>
      </c>
      <c r="D44" s="54">
        <v>22.08</v>
      </c>
      <c r="E44" s="55" t="s">
        <v>2534</v>
      </c>
    </row>
    <row r="45" spans="1:5" ht="21.5" customHeight="1">
      <c r="A45" s="85" t="s">
        <v>3331</v>
      </c>
      <c r="B45" s="64" t="s">
        <v>2514</v>
      </c>
      <c r="C45" s="111">
        <v>4202221000</v>
      </c>
      <c r="D45" s="53"/>
      <c r="E45" s="53"/>
    </row>
    <row r="46" spans="1:5" ht="10.25" customHeight="1">
      <c r="A46" s="118" t="s">
        <v>3332</v>
      </c>
      <c r="B46" s="59" t="s">
        <v>2593</v>
      </c>
      <c r="C46" s="52">
        <v>7.8</v>
      </c>
      <c r="D46" s="58">
        <v>23.4</v>
      </c>
      <c r="E46" s="55" t="s">
        <v>2534</v>
      </c>
    </row>
    <row r="47" spans="1:5" ht="21.5" customHeight="1">
      <c r="A47" s="117" t="s">
        <v>3333</v>
      </c>
      <c r="B47" s="64" t="s">
        <v>2514</v>
      </c>
      <c r="C47" s="111">
        <v>4202229090</v>
      </c>
      <c r="D47" s="53"/>
      <c r="E47" s="53"/>
    </row>
    <row r="48" spans="1:5" ht="10.25" customHeight="1">
      <c r="A48" s="118" t="s">
        <v>3334</v>
      </c>
      <c r="B48" s="59" t="s">
        <v>2578</v>
      </c>
      <c r="C48" s="57">
        <v>13.44</v>
      </c>
      <c r="D48" s="54">
        <v>80.64</v>
      </c>
      <c r="E48" s="55" t="s">
        <v>2534</v>
      </c>
    </row>
    <row r="49" spans="1:5" ht="21.5" customHeight="1">
      <c r="A49" s="65" t="s">
        <v>3335</v>
      </c>
      <c r="B49" s="64" t="s">
        <v>2514</v>
      </c>
      <c r="C49" s="111">
        <v>5609000000</v>
      </c>
      <c r="D49" s="53"/>
      <c r="E49" s="53"/>
    </row>
    <row r="50" spans="1:5" ht="11.25" customHeight="1">
      <c r="A50" s="118" t="s">
        <v>3336</v>
      </c>
      <c r="B50" s="59" t="s">
        <v>2584</v>
      </c>
      <c r="C50" s="57">
        <v>11.88</v>
      </c>
      <c r="D50" s="54">
        <v>23.76</v>
      </c>
      <c r="E50" s="55" t="s">
        <v>2534</v>
      </c>
    </row>
    <row r="51" spans="1:5" ht="21.5" customHeight="1">
      <c r="A51" s="85" t="s">
        <v>3337</v>
      </c>
      <c r="B51" s="64" t="s">
        <v>2514</v>
      </c>
      <c r="C51" s="111">
        <v>6307909899</v>
      </c>
      <c r="D51" s="53"/>
      <c r="E51" s="53"/>
    </row>
    <row r="52" spans="1:5" ht="10.25" customHeight="1">
      <c r="A52" s="118" t="s">
        <v>3338</v>
      </c>
      <c r="B52" s="59" t="s">
        <v>2584</v>
      </c>
      <c r="C52" s="57">
        <v>24</v>
      </c>
      <c r="D52" s="58">
        <v>48</v>
      </c>
      <c r="E52" s="55" t="s">
        <v>2534</v>
      </c>
    </row>
    <row r="53" spans="1:5" ht="22.25" customHeight="1">
      <c r="A53" s="85" t="s">
        <v>3339</v>
      </c>
      <c r="B53" s="64" t="s">
        <v>2514</v>
      </c>
      <c r="C53" s="111">
        <v>4202221000</v>
      </c>
      <c r="D53" s="53"/>
      <c r="E53" s="53"/>
    </row>
    <row r="54" spans="1:5" ht="10.25" customHeight="1">
      <c r="A54" s="118" t="s">
        <v>3340</v>
      </c>
      <c r="B54" s="59" t="s">
        <v>2584</v>
      </c>
      <c r="C54" s="57">
        <v>11.04</v>
      </c>
      <c r="D54" s="54">
        <v>22.08</v>
      </c>
      <c r="E54" s="55" t="s">
        <v>2534</v>
      </c>
    </row>
    <row r="55" spans="1:5" ht="21.5" customHeight="1">
      <c r="A55" s="85" t="s">
        <v>3341</v>
      </c>
      <c r="B55" s="64" t="s">
        <v>2514</v>
      </c>
      <c r="C55" s="111">
        <v>4202221000</v>
      </c>
      <c r="D55" s="53"/>
      <c r="E55" s="53"/>
    </row>
    <row r="56" spans="1:5" ht="11.25" customHeight="1">
      <c r="A56" s="118" t="s">
        <v>3342</v>
      </c>
      <c r="B56" s="59" t="s">
        <v>3343</v>
      </c>
      <c r="C56" s="52">
        <v>4.5599999999999996</v>
      </c>
      <c r="D56" s="58">
        <v>45.6</v>
      </c>
      <c r="E56" s="55" t="s">
        <v>2534</v>
      </c>
    </row>
    <row r="57" spans="1:5" ht="20" customHeight="1">
      <c r="A57" s="103" t="s">
        <v>3344</v>
      </c>
      <c r="B57" s="67" t="s">
        <v>2514</v>
      </c>
      <c r="C57" s="113">
        <v>3926909790</v>
      </c>
      <c r="D57" s="28"/>
      <c r="E57" s="28"/>
    </row>
  </sheetData>
  <mergeCells count="3">
    <mergeCell ref="A29:B29"/>
    <mergeCell ref="A30:B30"/>
    <mergeCell ref="C30:D30"/>
  </mergeCells>
  <pageMargins left="1.25" right="1.25" top="1" bottom="1" header="0.25" footer="0.2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2" enableFormatConditionsCalculation="0"/>
  <dimension ref="A7:F57"/>
  <sheetViews>
    <sheetView workbookViewId="0"/>
  </sheetViews>
  <sheetFormatPr baseColWidth="10" defaultRowHeight="14" x14ac:dyDescent="0"/>
  <cols>
    <col min="1" max="1" width="63.1640625" customWidth="1"/>
    <col min="2" max="2" width="8.83203125" customWidth="1"/>
    <col min="3" max="3" width="8.1640625" customWidth="1"/>
    <col min="4" max="4" width="9.83203125" customWidth="1"/>
    <col min="5" max="5" width="16.1640625" customWidth="1"/>
    <col min="6" max="6" width="5.5" customWidth="1"/>
  </cols>
  <sheetData>
    <row r="7" spans="1:1">
      <c r="A7" s="25" t="s">
        <v>3345</v>
      </c>
    </row>
    <row r="8" spans="1:1">
      <c r="A8" s="24" t="s">
        <v>2495</v>
      </c>
    </row>
    <row r="9" spans="1:1">
      <c r="A9" s="25" t="s">
        <v>2496</v>
      </c>
    </row>
    <row r="10" spans="1:1">
      <c r="A10" s="25" t="s">
        <v>2497</v>
      </c>
    </row>
    <row r="11" spans="1:1">
      <c r="A11" s="25" t="s">
        <v>2498</v>
      </c>
    </row>
    <row r="12" spans="1:1">
      <c r="A12" s="25" t="s">
        <v>2499</v>
      </c>
    </row>
    <row r="15" spans="1:1">
      <c r="A15" s="24" t="s">
        <v>2490</v>
      </c>
    </row>
    <row r="16" spans="1:1">
      <c r="A16" s="24" t="s">
        <v>2491</v>
      </c>
    </row>
    <row r="17" spans="1:6">
      <c r="A17" s="24" t="s">
        <v>2492</v>
      </c>
    </row>
    <row r="18" spans="1:6">
      <c r="A18" s="24" t="s">
        <v>2493</v>
      </c>
    </row>
    <row r="20" spans="1:6">
      <c r="A20" s="26" t="s">
        <v>2500</v>
      </c>
    </row>
    <row r="22" spans="1:6">
      <c r="A22" s="24" t="s">
        <v>2607</v>
      </c>
    </row>
    <row r="23" spans="1:6">
      <c r="A23" s="24" t="s">
        <v>2608</v>
      </c>
    </row>
    <row r="24" spans="1:6">
      <c r="A24" s="24" t="s">
        <v>2609</v>
      </c>
    </row>
    <row r="25" spans="1:6">
      <c r="A25" s="24" t="s">
        <v>2509</v>
      </c>
    </row>
    <row r="26" spans="1:6">
      <c r="A26" s="25" t="s">
        <v>2510</v>
      </c>
    </row>
    <row r="27" spans="1:6">
      <c r="A27" s="24" t="s">
        <v>2511</v>
      </c>
    </row>
    <row r="28" spans="1:6" ht="13.75" customHeight="1">
      <c r="A28" s="99" t="s">
        <v>2512</v>
      </c>
      <c r="B28" s="28"/>
      <c r="C28" s="28"/>
      <c r="D28" s="28"/>
      <c r="E28" s="28"/>
      <c r="F28" s="28"/>
    </row>
    <row r="29" spans="1:6" ht="12" customHeight="1">
      <c r="A29" s="155" t="s">
        <v>2622</v>
      </c>
      <c r="B29" s="155"/>
      <c r="C29" s="72" t="s">
        <v>2623</v>
      </c>
      <c r="D29" s="105" t="s">
        <v>2624</v>
      </c>
      <c r="E29" s="73" t="s">
        <v>2625</v>
      </c>
      <c r="F29" s="72" t="s">
        <v>2626</v>
      </c>
    </row>
    <row r="30" spans="1:6" ht="13.75" customHeight="1">
      <c r="A30" s="152" t="s">
        <v>2684</v>
      </c>
      <c r="B30" s="152"/>
      <c r="C30" s="153" t="s">
        <v>2685</v>
      </c>
      <c r="D30" s="153"/>
      <c r="E30" s="153"/>
      <c r="F30" s="53"/>
    </row>
    <row r="31" spans="1:6" ht="14.5" customHeight="1">
      <c r="A31" s="122" t="s">
        <v>2553</v>
      </c>
      <c r="B31" s="53"/>
      <c r="C31" s="53"/>
      <c r="D31" s="53"/>
      <c r="E31" s="53"/>
      <c r="F31" s="53"/>
    </row>
    <row r="32" spans="1:6" ht="10.25" customHeight="1">
      <c r="A32" s="118" t="s">
        <v>3346</v>
      </c>
      <c r="B32" s="59" t="s">
        <v>2584</v>
      </c>
      <c r="C32" s="52">
        <v>7.08</v>
      </c>
      <c r="D32" s="53"/>
      <c r="E32" s="54">
        <v>14.16</v>
      </c>
      <c r="F32" s="55" t="s">
        <v>2534</v>
      </c>
    </row>
    <row r="33" spans="1:6" ht="21.5" customHeight="1">
      <c r="A33" s="85" t="s">
        <v>3347</v>
      </c>
      <c r="B33" s="64" t="s">
        <v>2514</v>
      </c>
      <c r="C33" s="53"/>
      <c r="D33" s="102">
        <v>7907000000</v>
      </c>
      <c r="E33" s="53"/>
      <c r="F33" s="53"/>
    </row>
    <row r="34" spans="1:6" ht="10.25" customHeight="1">
      <c r="A34" s="118" t="s">
        <v>3348</v>
      </c>
      <c r="B34" s="59" t="s">
        <v>2593</v>
      </c>
      <c r="C34" s="52">
        <v>6.6</v>
      </c>
      <c r="D34" s="53"/>
      <c r="E34" s="58">
        <v>19.8</v>
      </c>
      <c r="F34" s="55" t="s">
        <v>2534</v>
      </c>
    </row>
    <row r="35" spans="1:6" ht="22.25" customHeight="1">
      <c r="A35" s="85" t="s">
        <v>3349</v>
      </c>
      <c r="B35" s="64" t="s">
        <v>2514</v>
      </c>
      <c r="C35" s="53"/>
      <c r="D35" s="102">
        <v>5609000000</v>
      </c>
      <c r="E35" s="53"/>
      <c r="F35" s="53"/>
    </row>
    <row r="36" spans="1:6" ht="10.25" customHeight="1">
      <c r="A36" s="118" t="s">
        <v>3350</v>
      </c>
      <c r="B36" s="59" t="s">
        <v>2593</v>
      </c>
      <c r="C36" s="52">
        <v>7.08</v>
      </c>
      <c r="D36" s="53"/>
      <c r="E36" s="54">
        <v>21.24</v>
      </c>
      <c r="F36" s="55" t="s">
        <v>2534</v>
      </c>
    </row>
    <row r="37" spans="1:6" ht="21.5" customHeight="1">
      <c r="A37" s="85" t="s">
        <v>3351</v>
      </c>
      <c r="B37" s="64" t="s">
        <v>2514</v>
      </c>
      <c r="C37" s="53"/>
      <c r="D37" s="102">
        <v>7907000000</v>
      </c>
      <c r="E37" s="53"/>
      <c r="F37" s="53"/>
    </row>
    <row r="38" spans="1:6" ht="10.25" customHeight="1">
      <c r="A38" s="118" t="s">
        <v>3352</v>
      </c>
      <c r="B38" s="59" t="s">
        <v>2593</v>
      </c>
      <c r="C38" s="52">
        <v>4.8</v>
      </c>
      <c r="D38" s="53"/>
      <c r="E38" s="58">
        <v>14.4</v>
      </c>
      <c r="F38" s="55" t="s">
        <v>2534</v>
      </c>
    </row>
    <row r="39" spans="1:6" ht="22.25" customHeight="1">
      <c r="A39" s="85" t="s">
        <v>3353</v>
      </c>
      <c r="B39" s="64" t="s">
        <v>2514</v>
      </c>
      <c r="C39" s="53"/>
      <c r="D39" s="102">
        <v>4202221000</v>
      </c>
      <c r="E39" s="53"/>
      <c r="F39" s="53"/>
    </row>
    <row r="40" spans="1:6" ht="10.25" customHeight="1">
      <c r="A40" s="118" t="s">
        <v>3354</v>
      </c>
      <c r="B40" s="59" t="s">
        <v>2584</v>
      </c>
      <c r="C40" s="57">
        <v>18.12</v>
      </c>
      <c r="D40" s="53"/>
      <c r="E40" s="54">
        <v>36.24</v>
      </c>
      <c r="F40" s="55" t="s">
        <v>2534</v>
      </c>
    </row>
    <row r="41" spans="1:6" ht="21.5" customHeight="1">
      <c r="A41" s="65" t="s">
        <v>3355</v>
      </c>
      <c r="B41" s="64" t="s">
        <v>2514</v>
      </c>
      <c r="C41" s="53"/>
      <c r="D41" s="102">
        <v>3926909790</v>
      </c>
      <c r="E41" s="53"/>
      <c r="F41" s="53"/>
    </row>
    <row r="42" spans="1:6" ht="11.25" customHeight="1">
      <c r="A42" s="118" t="s">
        <v>3356</v>
      </c>
      <c r="B42" s="59" t="s">
        <v>2600</v>
      </c>
      <c r="C42" s="57">
        <v>18.12</v>
      </c>
      <c r="D42" s="53"/>
      <c r="E42" s="54">
        <v>72.48</v>
      </c>
      <c r="F42" s="55" t="s">
        <v>2534</v>
      </c>
    </row>
    <row r="43" spans="1:6" ht="21.5" customHeight="1">
      <c r="A43" s="85" t="s">
        <v>3357</v>
      </c>
      <c r="B43" s="64" t="s">
        <v>2514</v>
      </c>
      <c r="C43" s="53"/>
      <c r="D43" s="102">
        <v>4202321000</v>
      </c>
      <c r="E43" s="53"/>
      <c r="F43" s="53"/>
    </row>
    <row r="44" spans="1:6" ht="10.25" customHeight="1">
      <c r="A44" s="118" t="s">
        <v>3358</v>
      </c>
      <c r="B44" s="59" t="s">
        <v>2578</v>
      </c>
      <c r="C44" s="52">
        <v>4.5599999999999996</v>
      </c>
      <c r="D44" s="53"/>
      <c r="E44" s="54">
        <v>27.36</v>
      </c>
      <c r="F44" s="55" t="s">
        <v>2534</v>
      </c>
    </row>
    <row r="45" spans="1:6" ht="21.5" customHeight="1">
      <c r="A45" s="85" t="s">
        <v>3125</v>
      </c>
      <c r="B45" s="64" t="s">
        <v>2514</v>
      </c>
      <c r="C45" s="53"/>
      <c r="D45" s="102">
        <v>3926909790</v>
      </c>
      <c r="E45" s="53"/>
      <c r="F45" s="53"/>
    </row>
    <row r="46" spans="1:6" ht="10.25" customHeight="1">
      <c r="A46" s="118" t="s">
        <v>3359</v>
      </c>
      <c r="B46" s="59" t="s">
        <v>2584</v>
      </c>
      <c r="C46" s="52">
        <v>4.5599999999999996</v>
      </c>
      <c r="D46" s="53"/>
      <c r="E46" s="54">
        <v>9.1199999999999992</v>
      </c>
      <c r="F46" s="55" t="s">
        <v>2534</v>
      </c>
    </row>
    <row r="47" spans="1:6" ht="21.5" customHeight="1">
      <c r="A47" s="85" t="s">
        <v>3076</v>
      </c>
      <c r="B47" s="64" t="s">
        <v>2514</v>
      </c>
      <c r="C47" s="53"/>
      <c r="D47" s="102">
        <v>7909000000</v>
      </c>
      <c r="E47" s="53"/>
      <c r="F47" s="53"/>
    </row>
    <row r="48" spans="1:6" ht="10.25" customHeight="1">
      <c r="A48" s="118" t="s">
        <v>3360</v>
      </c>
      <c r="B48" s="59" t="s">
        <v>2584</v>
      </c>
      <c r="C48" s="57">
        <v>10.8</v>
      </c>
      <c r="D48" s="53"/>
      <c r="E48" s="58">
        <v>21.6</v>
      </c>
      <c r="F48" s="55" t="s">
        <v>2534</v>
      </c>
    </row>
    <row r="49" spans="1:6" ht="21.5" customHeight="1">
      <c r="A49" s="150" t="s">
        <v>3361</v>
      </c>
      <c r="B49" s="150"/>
      <c r="C49" s="53"/>
      <c r="D49" s="102">
        <v>4202229090</v>
      </c>
      <c r="E49" s="53"/>
      <c r="F49" s="53"/>
    </row>
    <row r="50" spans="1:6" ht="11.25" customHeight="1">
      <c r="A50" s="118" t="s">
        <v>3362</v>
      </c>
      <c r="B50" s="59" t="s">
        <v>2584</v>
      </c>
      <c r="C50" s="57">
        <v>10.44</v>
      </c>
      <c r="D50" s="53"/>
      <c r="E50" s="54">
        <v>20.88</v>
      </c>
      <c r="F50" s="55" t="s">
        <v>2534</v>
      </c>
    </row>
    <row r="51" spans="1:6" ht="21.5" customHeight="1">
      <c r="A51" s="65" t="s">
        <v>3363</v>
      </c>
      <c r="B51" s="64" t="s">
        <v>2514</v>
      </c>
      <c r="C51" s="53"/>
      <c r="D51" s="102">
        <v>4202229090</v>
      </c>
      <c r="E51" s="53"/>
      <c r="F51" s="53"/>
    </row>
    <row r="52" spans="1:6" ht="10.25" customHeight="1">
      <c r="A52" s="118" t="s">
        <v>3364</v>
      </c>
      <c r="B52" s="59" t="s">
        <v>2593</v>
      </c>
      <c r="C52" s="52">
        <v>7.8</v>
      </c>
      <c r="D52" s="53"/>
      <c r="E52" s="58">
        <v>23.4</v>
      </c>
      <c r="F52" s="55" t="s">
        <v>2534</v>
      </c>
    </row>
    <row r="53" spans="1:6" ht="22.25" customHeight="1">
      <c r="A53" s="117" t="s">
        <v>3365</v>
      </c>
      <c r="B53" s="64" t="s">
        <v>2514</v>
      </c>
      <c r="C53" s="53"/>
      <c r="D53" s="102">
        <v>4202229090</v>
      </c>
      <c r="E53" s="53"/>
      <c r="F53" s="53"/>
    </row>
    <row r="54" spans="1:6" ht="10.25" customHeight="1">
      <c r="A54" s="118" t="s">
        <v>3366</v>
      </c>
      <c r="B54" s="59" t="s">
        <v>2581</v>
      </c>
      <c r="C54" s="52">
        <v>4.8</v>
      </c>
      <c r="D54" s="53"/>
      <c r="E54" s="54">
        <v>4.8</v>
      </c>
      <c r="F54" s="55" t="s">
        <v>2534</v>
      </c>
    </row>
    <row r="55" spans="1:6" ht="21.5" customHeight="1">
      <c r="A55" s="85" t="s">
        <v>3367</v>
      </c>
      <c r="B55" s="64" t="s">
        <v>2514</v>
      </c>
      <c r="C55" s="53"/>
      <c r="D55" s="102">
        <v>4202221000</v>
      </c>
      <c r="E55" s="53"/>
      <c r="F55" s="53"/>
    </row>
    <row r="56" spans="1:6" ht="11.25" customHeight="1">
      <c r="A56" s="118" t="s">
        <v>3368</v>
      </c>
      <c r="B56" s="59" t="s">
        <v>2593</v>
      </c>
      <c r="C56" s="52">
        <v>7.08</v>
      </c>
      <c r="D56" s="53"/>
      <c r="E56" s="54">
        <v>21.24</v>
      </c>
      <c r="F56" s="55" t="s">
        <v>2534</v>
      </c>
    </row>
    <row r="57" spans="1:6" ht="20" customHeight="1">
      <c r="A57" s="66" t="s">
        <v>3369</v>
      </c>
      <c r="B57" s="67" t="s">
        <v>2514</v>
      </c>
      <c r="C57" s="28"/>
      <c r="D57" s="104">
        <v>4202229090</v>
      </c>
      <c r="E57" s="28"/>
      <c r="F57" s="28"/>
    </row>
  </sheetData>
  <mergeCells count="4">
    <mergeCell ref="A29:B29"/>
    <mergeCell ref="A30:B30"/>
    <mergeCell ref="C30:E30"/>
    <mergeCell ref="A49:B49"/>
  </mergeCells>
  <pageMargins left="1.25" right="1.25" top="1" bottom="1" header="0.25" footer="0.2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3" enableFormatConditionsCalculation="0"/>
  <dimension ref="A7:F57"/>
  <sheetViews>
    <sheetView workbookViewId="0"/>
  </sheetViews>
  <sheetFormatPr baseColWidth="10" defaultRowHeight="14" x14ac:dyDescent="0"/>
  <cols>
    <col min="1" max="1" width="53.83203125" customWidth="1"/>
    <col min="2" max="2" width="18.1640625" customWidth="1"/>
    <col min="3" max="3" width="8.1640625" customWidth="1"/>
    <col min="4" max="4" width="9.83203125" customWidth="1"/>
    <col min="5" max="5" width="16.1640625" customWidth="1"/>
    <col min="6" max="6" width="5.5" customWidth="1"/>
  </cols>
  <sheetData>
    <row r="7" spans="1:1">
      <c r="A7" s="25" t="s">
        <v>3370</v>
      </c>
    </row>
    <row r="8" spans="1:1">
      <c r="A8" s="24" t="s">
        <v>2495</v>
      </c>
    </row>
    <row r="9" spans="1:1">
      <c r="A9" s="25" t="s">
        <v>2496</v>
      </c>
    </row>
    <row r="10" spans="1:1">
      <c r="A10" s="25" t="s">
        <v>2497</v>
      </c>
    </row>
    <row r="11" spans="1:1">
      <c r="A11" s="25" t="s">
        <v>2498</v>
      </c>
    </row>
    <row r="12" spans="1:1">
      <c r="A12" s="25" t="s">
        <v>2499</v>
      </c>
    </row>
    <row r="15" spans="1:1">
      <c r="A15" s="24" t="s">
        <v>2490</v>
      </c>
    </row>
    <row r="16" spans="1:1">
      <c r="A16" s="24" t="s">
        <v>2491</v>
      </c>
    </row>
    <row r="17" spans="1:6">
      <c r="A17" s="24" t="s">
        <v>2492</v>
      </c>
    </row>
    <row r="18" spans="1:6">
      <c r="A18" s="24" t="s">
        <v>2493</v>
      </c>
    </row>
    <row r="20" spans="1:6">
      <c r="A20" s="26" t="s">
        <v>2500</v>
      </c>
    </row>
    <row r="22" spans="1:6">
      <c r="A22" s="24" t="s">
        <v>2607</v>
      </c>
    </row>
    <row r="23" spans="1:6">
      <c r="A23" s="24" t="s">
        <v>2608</v>
      </c>
    </row>
    <row r="24" spans="1:6">
      <c r="A24" s="24" t="s">
        <v>2609</v>
      </c>
    </row>
    <row r="25" spans="1:6">
      <c r="A25" s="24" t="s">
        <v>2509</v>
      </c>
    </row>
    <row r="26" spans="1:6">
      <c r="A26" s="25" t="s">
        <v>2510</v>
      </c>
    </row>
    <row r="27" spans="1:6">
      <c r="A27" s="24" t="s">
        <v>2511</v>
      </c>
    </row>
    <row r="28" spans="1:6" ht="13.75" customHeight="1">
      <c r="A28" s="99" t="s">
        <v>2512</v>
      </c>
      <c r="B28" s="28"/>
      <c r="C28" s="28"/>
      <c r="D28" s="28"/>
      <c r="E28" s="28"/>
      <c r="F28" s="28"/>
    </row>
    <row r="29" spans="1:6" ht="12" customHeight="1">
      <c r="A29" s="105" t="s">
        <v>2682</v>
      </c>
      <c r="B29" s="100" t="s">
        <v>2683</v>
      </c>
      <c r="C29" s="72" t="s">
        <v>2623</v>
      </c>
      <c r="D29" s="105" t="s">
        <v>2624</v>
      </c>
      <c r="E29" s="73" t="s">
        <v>2625</v>
      </c>
      <c r="F29" s="72" t="s">
        <v>2626</v>
      </c>
    </row>
    <row r="30" spans="1:6" ht="13.75" customHeight="1">
      <c r="A30" s="101" t="s">
        <v>2911</v>
      </c>
      <c r="B30" s="119" t="s">
        <v>2912</v>
      </c>
      <c r="C30" s="153" t="s">
        <v>2685</v>
      </c>
      <c r="D30" s="153"/>
      <c r="E30" s="153"/>
      <c r="F30" s="53"/>
    </row>
    <row r="31" spans="1:6" ht="14.5" customHeight="1">
      <c r="A31" s="122" t="s">
        <v>2553</v>
      </c>
      <c r="B31" s="53"/>
      <c r="C31" s="53"/>
      <c r="D31" s="53"/>
      <c r="E31" s="53"/>
      <c r="F31" s="53"/>
    </row>
    <row r="32" spans="1:6" ht="10.25" customHeight="1">
      <c r="A32" s="118" t="s">
        <v>3371</v>
      </c>
      <c r="B32" s="59" t="s">
        <v>2584</v>
      </c>
      <c r="C32" s="52">
        <v>7.8</v>
      </c>
      <c r="D32" s="53"/>
      <c r="E32" s="58">
        <v>15.6</v>
      </c>
      <c r="F32" s="55" t="s">
        <v>2534</v>
      </c>
    </row>
    <row r="33" spans="1:6" ht="21.5" customHeight="1">
      <c r="A33" s="85" t="s">
        <v>3372</v>
      </c>
      <c r="B33" s="120" t="s">
        <v>2514</v>
      </c>
      <c r="C33" s="53"/>
      <c r="D33" s="102">
        <v>7907000000</v>
      </c>
      <c r="E33" s="53"/>
      <c r="F33" s="53"/>
    </row>
    <row r="34" spans="1:6" ht="10.25" customHeight="1">
      <c r="A34" s="118" t="s">
        <v>3373</v>
      </c>
      <c r="B34" s="59" t="s">
        <v>2581</v>
      </c>
      <c r="C34" s="52">
        <v>4.8</v>
      </c>
      <c r="D34" s="53"/>
      <c r="E34" s="54">
        <v>4.8</v>
      </c>
      <c r="F34" s="55" t="s">
        <v>2534</v>
      </c>
    </row>
    <row r="35" spans="1:6" ht="22.25" customHeight="1">
      <c r="A35" s="85" t="s">
        <v>3374</v>
      </c>
      <c r="B35" s="120" t="s">
        <v>2514</v>
      </c>
      <c r="C35" s="53"/>
      <c r="D35" s="102">
        <v>4202221000</v>
      </c>
      <c r="E35" s="53"/>
      <c r="F35" s="53"/>
    </row>
    <row r="36" spans="1:6" ht="10.25" customHeight="1">
      <c r="A36" s="118" t="s">
        <v>3375</v>
      </c>
      <c r="B36" s="59" t="s">
        <v>2581</v>
      </c>
      <c r="C36" s="57">
        <v>14.4</v>
      </c>
      <c r="D36" s="53"/>
      <c r="E36" s="58">
        <v>14.4</v>
      </c>
      <c r="F36" s="55" t="s">
        <v>2534</v>
      </c>
    </row>
    <row r="37" spans="1:6" ht="21.5" customHeight="1">
      <c r="A37" s="85" t="s">
        <v>3376</v>
      </c>
      <c r="B37" s="120" t="s">
        <v>2514</v>
      </c>
      <c r="C37" s="53"/>
      <c r="D37" s="102">
        <v>4202221000</v>
      </c>
      <c r="E37" s="53"/>
      <c r="F37" s="53"/>
    </row>
    <row r="38" spans="1:6" ht="10.25" customHeight="1">
      <c r="A38" s="118" t="s">
        <v>3377</v>
      </c>
      <c r="B38" s="59" t="s">
        <v>2593</v>
      </c>
      <c r="C38" s="57">
        <v>33</v>
      </c>
      <c r="D38" s="53"/>
      <c r="E38" s="58">
        <v>99</v>
      </c>
      <c r="F38" s="55" t="s">
        <v>2534</v>
      </c>
    </row>
    <row r="39" spans="1:6" ht="22.25" customHeight="1">
      <c r="A39" s="85" t="s">
        <v>3378</v>
      </c>
      <c r="B39" s="120" t="s">
        <v>2514</v>
      </c>
      <c r="C39" s="53"/>
      <c r="D39" s="102">
        <v>4202221000</v>
      </c>
      <c r="E39" s="53"/>
      <c r="F39" s="53"/>
    </row>
    <row r="40" spans="1:6" ht="10.25" customHeight="1">
      <c r="A40" s="118" t="s">
        <v>3379</v>
      </c>
      <c r="B40" s="59" t="s">
        <v>2593</v>
      </c>
      <c r="C40" s="57">
        <v>14.4</v>
      </c>
      <c r="D40" s="53"/>
      <c r="E40" s="58">
        <v>43.2</v>
      </c>
      <c r="F40" s="55" t="s">
        <v>2534</v>
      </c>
    </row>
    <row r="41" spans="1:6" ht="21.5" customHeight="1">
      <c r="A41" s="85" t="s">
        <v>3380</v>
      </c>
      <c r="B41" s="120" t="s">
        <v>2514</v>
      </c>
      <c r="C41" s="53"/>
      <c r="D41" s="102">
        <v>3926909790</v>
      </c>
      <c r="E41" s="53"/>
      <c r="F41" s="53"/>
    </row>
    <row r="42" spans="1:6" ht="11.25" customHeight="1">
      <c r="A42" s="118" t="s">
        <v>3381</v>
      </c>
      <c r="B42" s="59" t="s">
        <v>2578</v>
      </c>
      <c r="C42" s="52">
        <v>2.52</v>
      </c>
      <c r="D42" s="53"/>
      <c r="E42" s="54">
        <v>15.12</v>
      </c>
      <c r="F42" s="55" t="s">
        <v>2534</v>
      </c>
    </row>
    <row r="43" spans="1:6" ht="21.5" customHeight="1">
      <c r="A43" s="85" t="s">
        <v>3382</v>
      </c>
      <c r="B43" s="120" t="s">
        <v>2514</v>
      </c>
      <c r="C43" s="53"/>
      <c r="D43" s="102">
        <v>9113900099</v>
      </c>
      <c r="E43" s="53"/>
      <c r="F43" s="53"/>
    </row>
    <row r="44" spans="1:6" ht="10.25" customHeight="1">
      <c r="A44" s="118" t="s">
        <v>3383</v>
      </c>
      <c r="B44" s="59" t="s">
        <v>2584</v>
      </c>
      <c r="C44" s="57">
        <v>29.4</v>
      </c>
      <c r="D44" s="53"/>
      <c r="E44" s="58">
        <v>58.8</v>
      </c>
      <c r="F44" s="55" t="s">
        <v>2534</v>
      </c>
    </row>
    <row r="45" spans="1:6" ht="21.5" customHeight="1">
      <c r="A45" s="85" t="s">
        <v>3384</v>
      </c>
      <c r="B45" s="120" t="s">
        <v>2514</v>
      </c>
      <c r="C45" s="53"/>
      <c r="D45" s="102">
        <v>4202921100</v>
      </c>
      <c r="E45" s="53"/>
      <c r="F45" s="53"/>
    </row>
    <row r="46" spans="1:6" ht="10.25" customHeight="1">
      <c r="A46" s="118" t="s">
        <v>3385</v>
      </c>
      <c r="B46" s="59" t="s">
        <v>2581</v>
      </c>
      <c r="C46" s="57">
        <v>14.4</v>
      </c>
      <c r="D46" s="53"/>
      <c r="E46" s="58">
        <v>14.4</v>
      </c>
      <c r="F46" s="55" t="s">
        <v>2534</v>
      </c>
    </row>
    <row r="47" spans="1:6" ht="21.5" customHeight="1">
      <c r="A47" s="85" t="s">
        <v>3386</v>
      </c>
      <c r="B47" s="120" t="s">
        <v>2514</v>
      </c>
      <c r="C47" s="53"/>
      <c r="D47" s="102">
        <v>4202221000</v>
      </c>
      <c r="E47" s="53"/>
      <c r="F47" s="53"/>
    </row>
    <row r="48" spans="1:6" ht="10.25" customHeight="1">
      <c r="A48" s="118" t="s">
        <v>3387</v>
      </c>
      <c r="B48" s="59" t="s">
        <v>2584</v>
      </c>
      <c r="C48" s="57">
        <v>12.6</v>
      </c>
      <c r="D48" s="53"/>
      <c r="E48" s="58">
        <v>25.2</v>
      </c>
      <c r="F48" s="55" t="s">
        <v>2534</v>
      </c>
    </row>
    <row r="49" spans="1:6" ht="21.5" customHeight="1">
      <c r="A49" s="85" t="s">
        <v>3388</v>
      </c>
      <c r="B49" s="120" t="s">
        <v>2514</v>
      </c>
      <c r="C49" s="53"/>
      <c r="D49" s="102">
        <v>4202221000</v>
      </c>
      <c r="E49" s="53"/>
      <c r="F49" s="53"/>
    </row>
    <row r="50" spans="1:6" ht="11.25" customHeight="1">
      <c r="A50" s="118" t="s">
        <v>3389</v>
      </c>
      <c r="B50" s="59" t="s">
        <v>2584</v>
      </c>
      <c r="C50" s="57">
        <v>13.92</v>
      </c>
      <c r="D50" s="53"/>
      <c r="E50" s="54">
        <v>27.84</v>
      </c>
      <c r="F50" s="55" t="s">
        <v>2534</v>
      </c>
    </row>
    <row r="51" spans="1:6" ht="21.5" customHeight="1">
      <c r="A51" s="85" t="s">
        <v>3390</v>
      </c>
      <c r="B51" s="120" t="s">
        <v>2514</v>
      </c>
      <c r="C51" s="53"/>
      <c r="D51" s="102">
        <v>4202221000</v>
      </c>
      <c r="E51" s="53"/>
      <c r="F51" s="53"/>
    </row>
    <row r="52" spans="1:6" ht="10.25" customHeight="1">
      <c r="A52" s="118" t="s">
        <v>3391</v>
      </c>
      <c r="B52" s="59" t="s">
        <v>2600</v>
      </c>
      <c r="C52" s="52">
        <v>7.08</v>
      </c>
      <c r="D52" s="53"/>
      <c r="E52" s="54">
        <v>28.32</v>
      </c>
      <c r="F52" s="55" t="s">
        <v>2534</v>
      </c>
    </row>
    <row r="53" spans="1:6" ht="22.25" customHeight="1">
      <c r="A53" s="85" t="s">
        <v>3392</v>
      </c>
      <c r="B53" s="120" t="s">
        <v>2514</v>
      </c>
      <c r="C53" s="53"/>
      <c r="D53" s="102">
        <v>7907000000</v>
      </c>
      <c r="E53" s="53"/>
      <c r="F53" s="53"/>
    </row>
    <row r="54" spans="1:6" ht="10.25" customHeight="1">
      <c r="A54" s="118" t="s">
        <v>3393</v>
      </c>
      <c r="B54" s="59" t="s">
        <v>2584</v>
      </c>
      <c r="C54" s="57">
        <v>12.72</v>
      </c>
      <c r="D54" s="53"/>
      <c r="E54" s="54">
        <v>25.44</v>
      </c>
      <c r="F54" s="55" t="s">
        <v>2534</v>
      </c>
    </row>
    <row r="55" spans="1:6" ht="21.5" customHeight="1">
      <c r="A55" s="150" t="s">
        <v>3394</v>
      </c>
      <c r="B55" s="150"/>
      <c r="C55" s="53"/>
      <c r="D55" s="102">
        <v>4202229090</v>
      </c>
      <c r="E55" s="53"/>
      <c r="F55" s="53"/>
    </row>
    <row r="56" spans="1:6" ht="11.25" customHeight="1">
      <c r="A56" s="118" t="s">
        <v>3395</v>
      </c>
      <c r="B56" s="59" t="s">
        <v>2584</v>
      </c>
      <c r="C56" s="52">
        <v>7.08</v>
      </c>
      <c r="D56" s="53"/>
      <c r="E56" s="54">
        <v>14.16</v>
      </c>
      <c r="F56" s="55" t="s">
        <v>2534</v>
      </c>
    </row>
    <row r="57" spans="1:6" ht="20" customHeight="1">
      <c r="A57" s="103" t="s">
        <v>3396</v>
      </c>
      <c r="B57" s="121" t="s">
        <v>2514</v>
      </c>
      <c r="C57" s="28"/>
      <c r="D57" s="104">
        <v>7907000000</v>
      </c>
      <c r="E57" s="28"/>
      <c r="F57" s="28"/>
    </row>
  </sheetData>
  <mergeCells count="2">
    <mergeCell ref="C30:E30"/>
    <mergeCell ref="A55:B55"/>
  </mergeCells>
  <pageMargins left="1.25" right="1.25" top="1" bottom="1" header="0.25" footer="0.2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4" enableFormatConditionsCalculation="0"/>
  <dimension ref="A7:F57"/>
  <sheetViews>
    <sheetView workbookViewId="0"/>
  </sheetViews>
  <sheetFormatPr baseColWidth="10" defaultRowHeight="14" x14ac:dyDescent="0"/>
  <cols>
    <col min="1" max="1" width="60.5" customWidth="1"/>
    <col min="2" max="2" width="11.33203125" customWidth="1"/>
    <col min="3" max="3" width="8.1640625" customWidth="1"/>
    <col min="4" max="4" width="9.83203125" customWidth="1"/>
    <col min="5" max="5" width="16.1640625" customWidth="1"/>
    <col min="6" max="6" width="5.5" customWidth="1"/>
  </cols>
  <sheetData>
    <row r="7" spans="1:1">
      <c r="A7" s="25" t="s">
        <v>3397</v>
      </c>
    </row>
    <row r="8" spans="1:1">
      <c r="A8" s="24" t="s">
        <v>2495</v>
      </c>
    </row>
    <row r="9" spans="1:1">
      <c r="A9" s="25" t="s">
        <v>2496</v>
      </c>
    </row>
    <row r="10" spans="1:1">
      <c r="A10" s="25" t="s">
        <v>2497</v>
      </c>
    </row>
    <row r="11" spans="1:1">
      <c r="A11" s="25" t="s">
        <v>2498</v>
      </c>
    </row>
    <row r="12" spans="1:1">
      <c r="A12" s="25" t="s">
        <v>2499</v>
      </c>
    </row>
    <row r="15" spans="1:1">
      <c r="A15" s="24" t="s">
        <v>2490</v>
      </c>
    </row>
    <row r="16" spans="1:1">
      <c r="A16" s="24" t="s">
        <v>2491</v>
      </c>
    </row>
    <row r="17" spans="1:6">
      <c r="A17" s="24" t="s">
        <v>2492</v>
      </c>
    </row>
    <row r="18" spans="1:6">
      <c r="A18" s="24" t="s">
        <v>2493</v>
      </c>
    </row>
    <row r="20" spans="1:6">
      <c r="A20" s="26" t="s">
        <v>2500</v>
      </c>
    </row>
    <row r="22" spans="1:6">
      <c r="A22" s="24" t="s">
        <v>2607</v>
      </c>
    </row>
    <row r="23" spans="1:6">
      <c r="A23" s="24" t="s">
        <v>2608</v>
      </c>
    </row>
    <row r="24" spans="1:6">
      <c r="A24" s="24" t="s">
        <v>2609</v>
      </c>
    </row>
    <row r="25" spans="1:6">
      <c r="A25" s="24" t="s">
        <v>2509</v>
      </c>
    </row>
    <row r="26" spans="1:6">
      <c r="A26" s="25" t="s">
        <v>2510</v>
      </c>
    </row>
    <row r="27" spans="1:6">
      <c r="A27" s="24" t="s">
        <v>2511</v>
      </c>
    </row>
    <row r="28" spans="1:6" ht="13.75" customHeight="1">
      <c r="A28" s="99" t="s">
        <v>2512</v>
      </c>
      <c r="B28" s="28"/>
      <c r="C28" s="28"/>
      <c r="D28" s="28"/>
      <c r="E28" s="28"/>
      <c r="F28" s="28"/>
    </row>
    <row r="29" spans="1:6" ht="12" customHeight="1">
      <c r="A29" s="155" t="s">
        <v>2622</v>
      </c>
      <c r="B29" s="155"/>
      <c r="C29" s="72" t="s">
        <v>2623</v>
      </c>
      <c r="D29" s="105" t="s">
        <v>2624</v>
      </c>
      <c r="E29" s="73" t="s">
        <v>2625</v>
      </c>
      <c r="F29" s="72" t="s">
        <v>2626</v>
      </c>
    </row>
    <row r="30" spans="1:6" ht="13.75" customHeight="1">
      <c r="A30" s="152" t="s">
        <v>2684</v>
      </c>
      <c r="B30" s="152"/>
      <c r="C30" s="153" t="s">
        <v>2685</v>
      </c>
      <c r="D30" s="153"/>
      <c r="E30" s="153"/>
      <c r="F30" s="53"/>
    </row>
    <row r="31" spans="1:6" ht="14.5" customHeight="1">
      <c r="A31" s="122" t="s">
        <v>2553</v>
      </c>
      <c r="B31" s="53"/>
      <c r="C31" s="53"/>
      <c r="D31" s="53"/>
      <c r="E31" s="53"/>
      <c r="F31" s="53"/>
    </row>
    <row r="32" spans="1:6" ht="10.25" customHeight="1">
      <c r="A32" s="118" t="s">
        <v>3398</v>
      </c>
      <c r="B32" s="59" t="s">
        <v>2584</v>
      </c>
      <c r="C32" s="52">
        <v>6.6</v>
      </c>
      <c r="D32" s="53"/>
      <c r="E32" s="58">
        <v>13.2</v>
      </c>
      <c r="F32" s="55" t="s">
        <v>2534</v>
      </c>
    </row>
    <row r="33" spans="1:6" ht="21.5" customHeight="1">
      <c r="A33" s="65" t="s">
        <v>3399</v>
      </c>
      <c r="B33" s="64" t="s">
        <v>2514</v>
      </c>
      <c r="C33" s="53"/>
      <c r="D33" s="102">
        <v>4202321000</v>
      </c>
      <c r="E33" s="53"/>
      <c r="F33" s="53"/>
    </row>
    <row r="34" spans="1:6" ht="10.25" customHeight="1">
      <c r="A34" s="118" t="s">
        <v>3400</v>
      </c>
      <c r="B34" s="59" t="s">
        <v>2584</v>
      </c>
      <c r="C34" s="57">
        <v>12.72</v>
      </c>
      <c r="D34" s="53"/>
      <c r="E34" s="54">
        <v>25.44</v>
      </c>
      <c r="F34" s="55" t="s">
        <v>2534</v>
      </c>
    </row>
    <row r="35" spans="1:6" ht="22.25" customHeight="1">
      <c r="A35" s="85" t="s">
        <v>3401</v>
      </c>
      <c r="B35" s="64" t="s">
        <v>2514</v>
      </c>
      <c r="C35" s="53"/>
      <c r="D35" s="102">
        <v>6307909899</v>
      </c>
      <c r="E35" s="53"/>
      <c r="F35" s="53"/>
    </row>
    <row r="36" spans="1:6" ht="10.25" customHeight="1">
      <c r="A36" s="118" t="s">
        <v>3402</v>
      </c>
      <c r="B36" s="59" t="s">
        <v>2584</v>
      </c>
      <c r="C36" s="57">
        <v>11.88</v>
      </c>
      <c r="D36" s="53"/>
      <c r="E36" s="54">
        <v>23.76</v>
      </c>
      <c r="F36" s="55" t="s">
        <v>2534</v>
      </c>
    </row>
    <row r="37" spans="1:6" ht="21.5" customHeight="1">
      <c r="A37" s="150" t="s">
        <v>3403</v>
      </c>
      <c r="B37" s="150"/>
      <c r="C37" s="53"/>
      <c r="D37" s="102">
        <v>4202229090</v>
      </c>
      <c r="E37" s="53"/>
      <c r="F37" s="53"/>
    </row>
    <row r="38" spans="1:6" ht="10.25" customHeight="1">
      <c r="A38" s="118" t="s">
        <v>3404</v>
      </c>
      <c r="B38" s="59" t="s">
        <v>2584</v>
      </c>
      <c r="C38" s="57">
        <v>25.56</v>
      </c>
      <c r="D38" s="53"/>
      <c r="E38" s="54">
        <v>51.12</v>
      </c>
      <c r="F38" s="55" t="s">
        <v>2534</v>
      </c>
    </row>
    <row r="39" spans="1:6" ht="22.25" customHeight="1">
      <c r="A39" s="85" t="s">
        <v>3405</v>
      </c>
      <c r="B39" s="64" t="s">
        <v>2514</v>
      </c>
      <c r="C39" s="53"/>
      <c r="D39" s="102">
        <v>4202929190</v>
      </c>
      <c r="E39" s="53"/>
      <c r="F39" s="53"/>
    </row>
    <row r="40" spans="1:6" ht="10.25" customHeight="1">
      <c r="A40" s="118" t="s">
        <v>3406</v>
      </c>
      <c r="B40" s="59" t="s">
        <v>2593</v>
      </c>
      <c r="C40" s="52">
        <v>8.4</v>
      </c>
      <c r="D40" s="53"/>
      <c r="E40" s="58">
        <v>25.2</v>
      </c>
      <c r="F40" s="55" t="s">
        <v>2534</v>
      </c>
    </row>
    <row r="41" spans="1:6" ht="21.5" customHeight="1">
      <c r="A41" s="85" t="s">
        <v>3407</v>
      </c>
      <c r="B41" s="64" t="s">
        <v>2514</v>
      </c>
      <c r="C41" s="53"/>
      <c r="D41" s="102">
        <v>9111800000</v>
      </c>
      <c r="E41" s="53"/>
      <c r="F41" s="53"/>
    </row>
    <row r="42" spans="1:6" ht="11.25" customHeight="1">
      <c r="A42" s="118" t="s">
        <v>3408</v>
      </c>
      <c r="B42" s="59" t="s">
        <v>2584</v>
      </c>
      <c r="C42" s="57">
        <v>12.6</v>
      </c>
      <c r="D42" s="53"/>
      <c r="E42" s="58">
        <v>25.2</v>
      </c>
      <c r="F42" s="55" t="s">
        <v>2534</v>
      </c>
    </row>
    <row r="43" spans="1:6" ht="21.5" customHeight="1">
      <c r="A43" s="85" t="s">
        <v>3409</v>
      </c>
      <c r="B43" s="64" t="s">
        <v>2514</v>
      </c>
      <c r="C43" s="53"/>
      <c r="D43" s="102">
        <v>4202221000</v>
      </c>
      <c r="E43" s="53"/>
      <c r="F43" s="53"/>
    </row>
    <row r="44" spans="1:6" ht="10.25" customHeight="1">
      <c r="A44" s="118" t="s">
        <v>3410</v>
      </c>
      <c r="B44" s="59" t="s">
        <v>2593</v>
      </c>
      <c r="C44" s="57">
        <v>14.4</v>
      </c>
      <c r="D44" s="53"/>
      <c r="E44" s="58">
        <v>43.2</v>
      </c>
      <c r="F44" s="55" t="s">
        <v>2534</v>
      </c>
    </row>
    <row r="45" spans="1:6" ht="21.5" customHeight="1">
      <c r="A45" s="85" t="s">
        <v>3411</v>
      </c>
      <c r="B45" s="64" t="s">
        <v>2514</v>
      </c>
      <c r="C45" s="53"/>
      <c r="D45" s="102">
        <v>4202221000</v>
      </c>
      <c r="E45" s="53"/>
      <c r="F45" s="53"/>
    </row>
    <row r="46" spans="1:6" ht="10.25" customHeight="1">
      <c r="A46" s="118" t="s">
        <v>3412</v>
      </c>
      <c r="B46" s="59" t="s">
        <v>2593</v>
      </c>
      <c r="C46" s="57">
        <v>11.88</v>
      </c>
      <c r="D46" s="53"/>
      <c r="E46" s="54">
        <v>35.64</v>
      </c>
      <c r="F46" s="55" t="s">
        <v>2534</v>
      </c>
    </row>
    <row r="47" spans="1:6" ht="21.5" customHeight="1">
      <c r="A47" s="85" t="s">
        <v>3413</v>
      </c>
      <c r="B47" s="64" t="s">
        <v>2514</v>
      </c>
      <c r="C47" s="53"/>
      <c r="D47" s="102">
        <v>4202221000</v>
      </c>
      <c r="E47" s="53"/>
      <c r="F47" s="53"/>
    </row>
    <row r="48" spans="1:6" ht="10.25" customHeight="1">
      <c r="A48" s="118" t="s">
        <v>3414</v>
      </c>
      <c r="B48" s="59" t="s">
        <v>2593</v>
      </c>
      <c r="C48" s="52">
        <v>9</v>
      </c>
      <c r="D48" s="53"/>
      <c r="E48" s="58">
        <v>27</v>
      </c>
      <c r="F48" s="55" t="s">
        <v>2534</v>
      </c>
    </row>
    <row r="49" spans="1:6" ht="21.5" customHeight="1">
      <c r="A49" s="85" t="s">
        <v>3415</v>
      </c>
      <c r="B49" s="64" t="s">
        <v>2514</v>
      </c>
      <c r="C49" s="53"/>
      <c r="D49" s="102">
        <v>9111800000</v>
      </c>
      <c r="E49" s="53"/>
      <c r="F49" s="53"/>
    </row>
    <row r="50" spans="1:6" ht="11.25" customHeight="1">
      <c r="A50" s="118" t="s">
        <v>3416</v>
      </c>
      <c r="B50" s="59" t="s">
        <v>2593</v>
      </c>
      <c r="C50" s="52">
        <v>6.6</v>
      </c>
      <c r="D50" s="53"/>
      <c r="E50" s="58">
        <v>19.8</v>
      </c>
      <c r="F50" s="55" t="s">
        <v>2534</v>
      </c>
    </row>
    <row r="51" spans="1:6" ht="21.5" customHeight="1">
      <c r="A51" s="85" t="s">
        <v>3349</v>
      </c>
      <c r="B51" s="64" t="s">
        <v>2514</v>
      </c>
      <c r="C51" s="53"/>
      <c r="D51" s="102">
        <v>5609000000</v>
      </c>
      <c r="E51" s="53"/>
      <c r="F51" s="53"/>
    </row>
    <row r="52" spans="1:6" ht="10.25" customHeight="1">
      <c r="A52" s="118" t="s">
        <v>3417</v>
      </c>
      <c r="B52" s="59" t="s">
        <v>2593</v>
      </c>
      <c r="C52" s="57">
        <v>19.32</v>
      </c>
      <c r="D52" s="53"/>
      <c r="E52" s="54">
        <v>57.96</v>
      </c>
      <c r="F52" s="55" t="s">
        <v>2534</v>
      </c>
    </row>
    <row r="53" spans="1:6" ht="22.25" customHeight="1">
      <c r="A53" s="117" t="s">
        <v>3418</v>
      </c>
      <c r="B53" s="64" t="s">
        <v>2514</v>
      </c>
      <c r="C53" s="53"/>
      <c r="D53" s="102">
        <v>4202321000</v>
      </c>
      <c r="E53" s="53"/>
      <c r="F53" s="53"/>
    </row>
    <row r="54" spans="1:6" ht="10.25" customHeight="1">
      <c r="A54" s="118" t="s">
        <v>3419</v>
      </c>
      <c r="B54" s="59" t="s">
        <v>2584</v>
      </c>
      <c r="C54" s="57">
        <v>11.04</v>
      </c>
      <c r="D54" s="53"/>
      <c r="E54" s="54">
        <v>22.08</v>
      </c>
      <c r="F54" s="55" t="s">
        <v>2534</v>
      </c>
    </row>
    <row r="55" spans="1:6" ht="21.5" customHeight="1">
      <c r="A55" s="85" t="s">
        <v>3420</v>
      </c>
      <c r="B55" s="64" t="s">
        <v>2514</v>
      </c>
      <c r="C55" s="53"/>
      <c r="D55" s="102">
        <v>4202221000</v>
      </c>
      <c r="E55" s="53"/>
      <c r="F55" s="53"/>
    </row>
    <row r="56" spans="1:6" ht="11.25" customHeight="1">
      <c r="A56" s="118" t="s">
        <v>3421</v>
      </c>
      <c r="B56" s="59" t="s">
        <v>2593</v>
      </c>
      <c r="C56" s="52">
        <v>4.8</v>
      </c>
      <c r="D56" s="53"/>
      <c r="E56" s="58">
        <v>14.4</v>
      </c>
      <c r="F56" s="55" t="s">
        <v>2534</v>
      </c>
    </row>
    <row r="57" spans="1:6" ht="20" customHeight="1">
      <c r="A57" s="103" t="s">
        <v>3422</v>
      </c>
      <c r="B57" s="67" t="s">
        <v>2514</v>
      </c>
      <c r="C57" s="28"/>
      <c r="D57" s="104">
        <v>4202221000</v>
      </c>
      <c r="E57" s="28"/>
      <c r="F57" s="28"/>
    </row>
  </sheetData>
  <mergeCells count="4">
    <mergeCell ref="A29:B29"/>
    <mergeCell ref="A30:B30"/>
    <mergeCell ref="C30:E30"/>
    <mergeCell ref="A37:B37"/>
  </mergeCells>
  <pageMargins left="1.25" right="1.25" top="1" bottom="1" header="0.25" footer="0.2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5" enableFormatConditionsCalculation="0"/>
  <dimension ref="A7:E57"/>
  <sheetViews>
    <sheetView workbookViewId="0"/>
  </sheetViews>
  <sheetFormatPr baseColWidth="10" defaultRowHeight="14" x14ac:dyDescent="0"/>
  <cols>
    <col min="1" max="1" width="55.33203125" customWidth="1"/>
    <col min="2" max="2" width="16.5" customWidth="1"/>
    <col min="3" max="3" width="18.5" customWidth="1"/>
    <col min="4" max="4" width="14.83203125" customWidth="1"/>
    <col min="5" max="5" width="5.5" customWidth="1"/>
  </cols>
  <sheetData>
    <row r="7" spans="1:1">
      <c r="A7" s="69" t="s">
        <v>3423</v>
      </c>
    </row>
    <row r="8" spans="1:1">
      <c r="A8" s="24" t="s">
        <v>2611</v>
      </c>
    </row>
    <row r="9" spans="1:1">
      <c r="A9" s="69" t="s">
        <v>2612</v>
      </c>
    </row>
    <row r="10" spans="1:1">
      <c r="A10" s="69" t="s">
        <v>2613</v>
      </c>
    </row>
    <row r="11" spans="1:1">
      <c r="A11" s="69" t="s">
        <v>2614</v>
      </c>
    </row>
    <row r="12" spans="1:1">
      <c r="A12" s="69" t="s">
        <v>2615</v>
      </c>
    </row>
    <row r="15" spans="1:1">
      <c r="A15" s="24" t="s">
        <v>2616</v>
      </c>
    </row>
    <row r="16" spans="1:1">
      <c r="A16" s="24" t="s">
        <v>2491</v>
      </c>
    </row>
    <row r="17" spans="1:5">
      <c r="A17" s="24" t="s">
        <v>2617</v>
      </c>
    </row>
    <row r="18" spans="1:5">
      <c r="A18" s="24" t="s">
        <v>2493</v>
      </c>
    </row>
    <row r="20" spans="1:5">
      <c r="A20" s="26" t="s">
        <v>2500</v>
      </c>
    </row>
    <row r="22" spans="1:5">
      <c r="A22" s="24" t="s">
        <v>2618</v>
      </c>
    </row>
    <row r="23" spans="1:5">
      <c r="A23" s="24" t="s">
        <v>2619</v>
      </c>
    </row>
    <row r="24" spans="1:5">
      <c r="A24" s="24" t="s">
        <v>2609</v>
      </c>
    </row>
    <row r="25" spans="1:5">
      <c r="A25" s="24" t="s">
        <v>2509</v>
      </c>
    </row>
    <row r="26" spans="1:5">
      <c r="A26" s="69" t="s">
        <v>2620</v>
      </c>
    </row>
    <row r="27" spans="1:5">
      <c r="A27" s="24" t="s">
        <v>2511</v>
      </c>
    </row>
    <row r="28" spans="1:5" ht="13.75" customHeight="1">
      <c r="A28" s="70" t="s">
        <v>2621</v>
      </c>
      <c r="B28" s="28"/>
      <c r="C28" s="28"/>
      <c r="D28" s="28"/>
      <c r="E28" s="28"/>
    </row>
    <row r="29" spans="1:5" ht="12" customHeight="1">
      <c r="A29" s="105" t="s">
        <v>2682</v>
      </c>
      <c r="B29" s="100" t="s">
        <v>2683</v>
      </c>
      <c r="C29" s="110" t="s">
        <v>2799</v>
      </c>
      <c r="D29" s="100" t="s">
        <v>2625</v>
      </c>
      <c r="E29" s="72" t="s">
        <v>2626</v>
      </c>
    </row>
    <row r="30" spans="1:5" ht="13.75" customHeight="1">
      <c r="A30" s="101" t="s">
        <v>3424</v>
      </c>
      <c r="B30" s="119" t="s">
        <v>3425</v>
      </c>
      <c r="C30" s="151" t="s">
        <v>2628</v>
      </c>
      <c r="D30" s="151"/>
      <c r="E30" s="53"/>
    </row>
    <row r="31" spans="1:5" ht="14.5" customHeight="1">
      <c r="A31" s="122" t="s">
        <v>2629</v>
      </c>
      <c r="B31" s="53"/>
      <c r="C31" s="53"/>
      <c r="D31" s="53"/>
      <c r="E31" s="53"/>
    </row>
    <row r="32" spans="1:5" ht="10.25" customHeight="1">
      <c r="A32" s="116" t="s">
        <v>3426</v>
      </c>
      <c r="B32" s="106" t="s">
        <v>2732</v>
      </c>
      <c r="C32" s="81">
        <v>14.4</v>
      </c>
      <c r="D32" s="77">
        <v>57.6</v>
      </c>
      <c r="E32" s="78" t="s">
        <v>2631</v>
      </c>
    </row>
    <row r="33" spans="1:5" ht="21.5" customHeight="1">
      <c r="A33" s="108" t="s">
        <v>3427</v>
      </c>
      <c r="B33" s="120" t="s">
        <v>2514</v>
      </c>
      <c r="C33" s="125">
        <v>4202229090</v>
      </c>
      <c r="D33" s="53"/>
      <c r="E33" s="53"/>
    </row>
    <row r="34" spans="1:5" ht="10.25" customHeight="1">
      <c r="A34" s="116" t="s">
        <v>3428</v>
      </c>
      <c r="B34" s="106" t="s">
        <v>2732</v>
      </c>
      <c r="C34" s="81">
        <v>18.12</v>
      </c>
      <c r="D34" s="82">
        <v>72.48</v>
      </c>
      <c r="E34" s="78" t="s">
        <v>2631</v>
      </c>
    </row>
    <row r="35" spans="1:5" ht="22.25" customHeight="1">
      <c r="A35" s="156" t="s">
        <v>3429</v>
      </c>
      <c r="B35" s="156"/>
      <c r="C35" s="125">
        <v>4202321000</v>
      </c>
      <c r="D35" s="53"/>
      <c r="E35" s="53"/>
    </row>
    <row r="36" spans="1:5" ht="10.25" customHeight="1">
      <c r="A36" s="116" t="s">
        <v>3430</v>
      </c>
      <c r="B36" s="106" t="s">
        <v>2729</v>
      </c>
      <c r="C36" s="76">
        <v>2.52</v>
      </c>
      <c r="D36" s="82">
        <v>15.12</v>
      </c>
      <c r="E36" s="78" t="s">
        <v>2631</v>
      </c>
    </row>
    <row r="37" spans="1:5" ht="21.5" customHeight="1">
      <c r="A37" s="108" t="s">
        <v>3431</v>
      </c>
      <c r="B37" s="120" t="s">
        <v>2514</v>
      </c>
      <c r="C37" s="125">
        <v>9113900099</v>
      </c>
      <c r="D37" s="53"/>
      <c r="E37" s="53"/>
    </row>
    <row r="38" spans="1:5" ht="10.25" customHeight="1">
      <c r="A38" s="116" t="s">
        <v>3432</v>
      </c>
      <c r="B38" s="106" t="s">
        <v>2729</v>
      </c>
      <c r="C38" s="81">
        <v>11.88</v>
      </c>
      <c r="D38" s="82">
        <v>71.28</v>
      </c>
      <c r="E38" s="78" t="s">
        <v>2631</v>
      </c>
    </row>
    <row r="39" spans="1:5" ht="22.25" customHeight="1">
      <c r="A39" s="108" t="s">
        <v>3433</v>
      </c>
      <c r="B39" s="120" t="s">
        <v>2514</v>
      </c>
      <c r="C39" s="125">
        <v>3926909790</v>
      </c>
      <c r="D39" s="53"/>
      <c r="E39" s="53"/>
    </row>
    <row r="40" spans="1:5" ht="10.25" customHeight="1">
      <c r="A40" s="116" t="s">
        <v>3434</v>
      </c>
      <c r="B40" s="106" t="s">
        <v>2714</v>
      </c>
      <c r="C40" s="76">
        <v>9.36</v>
      </c>
      <c r="D40" s="82">
        <v>18.72</v>
      </c>
      <c r="E40" s="78" t="s">
        <v>2631</v>
      </c>
    </row>
    <row r="41" spans="1:5" ht="21.5" customHeight="1">
      <c r="A41" s="108" t="s">
        <v>3435</v>
      </c>
      <c r="B41" s="120" t="s">
        <v>2514</v>
      </c>
      <c r="C41" s="125">
        <v>4202229090</v>
      </c>
      <c r="D41" s="53"/>
      <c r="E41" s="53"/>
    </row>
    <row r="42" spans="1:5" ht="11.25" customHeight="1">
      <c r="A42" s="116" t="s">
        <v>3436</v>
      </c>
      <c r="B42" s="106" t="s">
        <v>2870</v>
      </c>
      <c r="C42" s="76">
        <v>4.5599999999999996</v>
      </c>
      <c r="D42" s="82">
        <v>36.479999999999997</v>
      </c>
      <c r="E42" s="78" t="s">
        <v>2631</v>
      </c>
    </row>
    <row r="43" spans="1:5" ht="21.5" customHeight="1">
      <c r="A43" s="108" t="s">
        <v>3437</v>
      </c>
      <c r="B43" s="120" t="s">
        <v>2514</v>
      </c>
      <c r="C43" s="125">
        <v>3926909790</v>
      </c>
      <c r="D43" s="53"/>
      <c r="E43" s="53"/>
    </row>
    <row r="44" spans="1:5" ht="10.25" customHeight="1">
      <c r="A44" s="116" t="s">
        <v>3438</v>
      </c>
      <c r="B44" s="106" t="s">
        <v>2714</v>
      </c>
      <c r="C44" s="81">
        <v>12.72</v>
      </c>
      <c r="D44" s="82">
        <v>25.44</v>
      </c>
      <c r="E44" s="78" t="s">
        <v>2631</v>
      </c>
    </row>
    <row r="45" spans="1:5" ht="21.5" customHeight="1">
      <c r="A45" s="108" t="s">
        <v>3439</v>
      </c>
      <c r="B45" s="120" t="s">
        <v>2514</v>
      </c>
      <c r="C45" s="125">
        <v>6307909899</v>
      </c>
      <c r="D45" s="53"/>
      <c r="E45" s="53"/>
    </row>
    <row r="46" spans="1:5" ht="10.25" customHeight="1">
      <c r="A46" s="116" t="s">
        <v>3440</v>
      </c>
      <c r="B46" s="106" t="s">
        <v>2719</v>
      </c>
      <c r="C46" s="81">
        <v>15.6</v>
      </c>
      <c r="D46" s="77">
        <v>46.8</v>
      </c>
      <c r="E46" s="78" t="s">
        <v>2631</v>
      </c>
    </row>
    <row r="47" spans="1:5" ht="21.5" customHeight="1">
      <c r="A47" s="108" t="s">
        <v>3441</v>
      </c>
      <c r="B47" s="120" t="s">
        <v>2514</v>
      </c>
      <c r="C47" s="125">
        <v>4202221000</v>
      </c>
      <c r="D47" s="53"/>
      <c r="E47" s="53"/>
    </row>
    <row r="48" spans="1:5" ht="10.25" customHeight="1">
      <c r="A48" s="116" t="s">
        <v>3442</v>
      </c>
      <c r="B48" s="106" t="s">
        <v>2719</v>
      </c>
      <c r="C48" s="81">
        <v>11.88</v>
      </c>
      <c r="D48" s="82">
        <v>35.64</v>
      </c>
      <c r="E48" s="78" t="s">
        <v>2631</v>
      </c>
    </row>
    <row r="49" spans="1:5" ht="21.5" customHeight="1">
      <c r="A49" s="108" t="s">
        <v>3443</v>
      </c>
      <c r="B49" s="120" t="s">
        <v>2514</v>
      </c>
      <c r="C49" s="125">
        <v>4202221000</v>
      </c>
      <c r="D49" s="53"/>
      <c r="E49" s="53"/>
    </row>
    <row r="50" spans="1:5" ht="11.25" customHeight="1">
      <c r="A50" s="116" t="s">
        <v>3444</v>
      </c>
      <c r="B50" s="106" t="s">
        <v>2719</v>
      </c>
      <c r="C50" s="76">
        <v>7.08</v>
      </c>
      <c r="D50" s="82">
        <v>21.24</v>
      </c>
      <c r="E50" s="78" t="s">
        <v>2631</v>
      </c>
    </row>
    <row r="51" spans="1:5" ht="21.5" customHeight="1">
      <c r="A51" s="156" t="s">
        <v>3445</v>
      </c>
      <c r="B51" s="156"/>
      <c r="C51" s="125">
        <v>4202229090</v>
      </c>
      <c r="D51" s="53"/>
      <c r="E51" s="53"/>
    </row>
    <row r="52" spans="1:5" ht="10.25" customHeight="1">
      <c r="A52" s="116" t="s">
        <v>3446</v>
      </c>
      <c r="B52" s="106" t="s">
        <v>2714</v>
      </c>
      <c r="C52" s="81">
        <v>10.8</v>
      </c>
      <c r="D52" s="77">
        <v>21.6</v>
      </c>
      <c r="E52" s="78" t="s">
        <v>2631</v>
      </c>
    </row>
    <row r="53" spans="1:5" ht="22.25" customHeight="1">
      <c r="A53" s="156" t="s">
        <v>3447</v>
      </c>
      <c r="B53" s="156"/>
      <c r="C53" s="125">
        <v>4202229090</v>
      </c>
      <c r="D53" s="53"/>
      <c r="E53" s="53"/>
    </row>
    <row r="54" spans="1:5" ht="10.25" customHeight="1">
      <c r="A54" s="116" t="s">
        <v>3448</v>
      </c>
      <c r="B54" s="106" t="s">
        <v>2732</v>
      </c>
      <c r="C54" s="81">
        <v>12.72</v>
      </c>
      <c r="D54" s="82">
        <v>50.88</v>
      </c>
      <c r="E54" s="78" t="s">
        <v>2631</v>
      </c>
    </row>
    <row r="55" spans="1:5" ht="21.5" customHeight="1">
      <c r="A55" s="108" t="s">
        <v>3449</v>
      </c>
      <c r="B55" s="120" t="s">
        <v>2514</v>
      </c>
      <c r="C55" s="125">
        <v>3926909790</v>
      </c>
      <c r="D55" s="53"/>
      <c r="E55" s="53"/>
    </row>
    <row r="56" spans="1:5" ht="11.25" customHeight="1">
      <c r="A56" s="116" t="s">
        <v>3450</v>
      </c>
      <c r="B56" s="106" t="s">
        <v>2714</v>
      </c>
      <c r="C56" s="81">
        <v>12.72</v>
      </c>
      <c r="D56" s="82">
        <v>25.44</v>
      </c>
      <c r="E56" s="78" t="s">
        <v>2631</v>
      </c>
    </row>
    <row r="57" spans="1:5" ht="20" customHeight="1">
      <c r="A57" s="157" t="s">
        <v>3451</v>
      </c>
      <c r="B57" s="157"/>
      <c r="C57" s="126">
        <v>6307909810</v>
      </c>
      <c r="D57" s="28"/>
      <c r="E57" s="28"/>
    </row>
  </sheetData>
  <mergeCells count="5">
    <mergeCell ref="C30:D30"/>
    <mergeCell ref="A35:B35"/>
    <mergeCell ref="A51:B51"/>
    <mergeCell ref="A53:B53"/>
    <mergeCell ref="A57:B57"/>
  </mergeCells>
  <pageMargins left="1.25" right="1.25" top="1" bottom="1" header="0.25" footer="0.2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6" enableFormatConditionsCalculation="0"/>
  <dimension ref="A7:F57"/>
  <sheetViews>
    <sheetView workbookViewId="0"/>
  </sheetViews>
  <sheetFormatPr baseColWidth="10" defaultRowHeight="14" x14ac:dyDescent="0"/>
  <cols>
    <col min="1" max="1" width="62.1640625" customWidth="1"/>
    <col min="2" max="2" width="9.6640625" customWidth="1"/>
    <col min="3" max="3" width="8.1640625" customWidth="1"/>
    <col min="4" max="4" width="9.83203125" customWidth="1"/>
    <col min="5" max="5" width="16.1640625" customWidth="1"/>
    <col min="6" max="6" width="5.5" customWidth="1"/>
  </cols>
  <sheetData>
    <row r="7" spans="1:1">
      <c r="A7" s="25" t="s">
        <v>3452</v>
      </c>
    </row>
    <row r="8" spans="1:1">
      <c r="A8" s="24" t="s">
        <v>2495</v>
      </c>
    </row>
    <row r="9" spans="1:1">
      <c r="A9" s="25" t="s">
        <v>2496</v>
      </c>
    </row>
    <row r="10" spans="1:1">
      <c r="A10" s="25" t="s">
        <v>2497</v>
      </c>
    </row>
    <row r="11" spans="1:1">
      <c r="A11" s="25" t="s">
        <v>2498</v>
      </c>
    </row>
    <row r="12" spans="1:1">
      <c r="A12" s="25" t="s">
        <v>2499</v>
      </c>
    </row>
    <row r="15" spans="1:1">
      <c r="A15" s="24" t="s">
        <v>2490</v>
      </c>
    </row>
    <row r="16" spans="1:1">
      <c r="A16" s="24" t="s">
        <v>2491</v>
      </c>
    </row>
    <row r="17" spans="1:6">
      <c r="A17" s="24" t="s">
        <v>2492</v>
      </c>
    </row>
    <row r="18" spans="1:6">
      <c r="A18" s="24" t="s">
        <v>2493</v>
      </c>
    </row>
    <row r="20" spans="1:6">
      <c r="A20" s="26" t="s">
        <v>2500</v>
      </c>
    </row>
    <row r="22" spans="1:6">
      <c r="A22" s="24" t="s">
        <v>2607</v>
      </c>
    </row>
    <row r="23" spans="1:6">
      <c r="A23" s="24" t="s">
        <v>2608</v>
      </c>
    </row>
    <row r="24" spans="1:6">
      <c r="A24" s="24" t="s">
        <v>2609</v>
      </c>
    </row>
    <row r="25" spans="1:6">
      <c r="A25" s="24" t="s">
        <v>2509</v>
      </c>
    </row>
    <row r="26" spans="1:6">
      <c r="A26" s="25" t="s">
        <v>2510</v>
      </c>
    </row>
    <row r="27" spans="1:6">
      <c r="A27" s="24" t="s">
        <v>2511</v>
      </c>
    </row>
    <row r="28" spans="1:6" ht="13.75" customHeight="1">
      <c r="A28" s="99" t="s">
        <v>2512</v>
      </c>
      <c r="B28" s="28"/>
      <c r="C28" s="28"/>
      <c r="D28" s="28"/>
      <c r="E28" s="28"/>
      <c r="F28" s="28"/>
    </row>
    <row r="29" spans="1:6" ht="12" customHeight="1">
      <c r="A29" s="155" t="s">
        <v>2622</v>
      </c>
      <c r="B29" s="155"/>
      <c r="C29" s="72" t="s">
        <v>2623</v>
      </c>
      <c r="D29" s="105" t="s">
        <v>2624</v>
      </c>
      <c r="E29" s="73" t="s">
        <v>2625</v>
      </c>
      <c r="F29" s="72" t="s">
        <v>2626</v>
      </c>
    </row>
    <row r="30" spans="1:6" ht="13.75" customHeight="1">
      <c r="A30" s="152" t="s">
        <v>2684</v>
      </c>
      <c r="B30" s="152"/>
      <c r="C30" s="153" t="s">
        <v>2685</v>
      </c>
      <c r="D30" s="153"/>
      <c r="E30" s="153"/>
      <c r="F30" s="53"/>
    </row>
    <row r="31" spans="1:6" ht="14.5" customHeight="1">
      <c r="A31" s="160" t="s">
        <v>2553</v>
      </c>
      <c r="B31" s="160"/>
      <c r="C31" s="53"/>
      <c r="D31" s="53"/>
      <c r="E31" s="53"/>
      <c r="F31" s="53"/>
    </row>
    <row r="32" spans="1:6" ht="10.25" customHeight="1">
      <c r="A32" s="159" t="s">
        <v>3453</v>
      </c>
      <c r="B32" s="159"/>
      <c r="C32" s="57">
        <v>13.8</v>
      </c>
      <c r="D32" s="53"/>
      <c r="E32" s="58">
        <v>27.6</v>
      </c>
      <c r="F32" s="55" t="s">
        <v>2534</v>
      </c>
    </row>
    <row r="33" spans="1:6" ht="21.5" customHeight="1">
      <c r="A33" s="85" t="s">
        <v>3454</v>
      </c>
      <c r="B33" s="64" t="s">
        <v>2514</v>
      </c>
      <c r="C33" s="53"/>
      <c r="D33" s="102">
        <v>4202221000</v>
      </c>
      <c r="E33" s="53"/>
      <c r="F33" s="53"/>
    </row>
    <row r="34" spans="1:6" ht="10.25" customHeight="1">
      <c r="A34" s="118" t="s">
        <v>3455</v>
      </c>
      <c r="B34" s="59" t="s">
        <v>2593</v>
      </c>
      <c r="C34" s="57">
        <v>13.44</v>
      </c>
      <c r="D34" s="53"/>
      <c r="E34" s="54">
        <v>40.32</v>
      </c>
      <c r="F34" s="55" t="s">
        <v>2534</v>
      </c>
    </row>
    <row r="35" spans="1:6" ht="22.25" customHeight="1">
      <c r="A35" s="150" t="s">
        <v>3223</v>
      </c>
      <c r="B35" s="150"/>
      <c r="C35" s="53"/>
      <c r="D35" s="102">
        <v>5609000000</v>
      </c>
      <c r="E35" s="53"/>
      <c r="F35" s="53"/>
    </row>
    <row r="36" spans="1:6" ht="10.25" customHeight="1">
      <c r="A36" s="118" t="s">
        <v>3456</v>
      </c>
      <c r="B36" s="59" t="s">
        <v>2584</v>
      </c>
      <c r="C36" s="57">
        <v>13.92</v>
      </c>
      <c r="D36" s="53"/>
      <c r="E36" s="54">
        <v>27.84</v>
      </c>
      <c r="F36" s="55" t="s">
        <v>2534</v>
      </c>
    </row>
    <row r="37" spans="1:6" ht="21.5" customHeight="1">
      <c r="A37" s="85" t="s">
        <v>3457</v>
      </c>
      <c r="B37" s="64" t="s">
        <v>2514</v>
      </c>
      <c r="C37" s="53"/>
      <c r="D37" s="102">
        <v>4202221000</v>
      </c>
      <c r="E37" s="53"/>
      <c r="F37" s="53"/>
    </row>
    <row r="38" spans="1:6" ht="10.25" customHeight="1">
      <c r="A38" s="118" t="s">
        <v>3458</v>
      </c>
      <c r="B38" s="59" t="s">
        <v>2593</v>
      </c>
      <c r="C38" s="57">
        <v>14.4</v>
      </c>
      <c r="D38" s="53"/>
      <c r="E38" s="58">
        <v>43.2</v>
      </c>
      <c r="F38" s="55" t="s">
        <v>2534</v>
      </c>
    </row>
    <row r="39" spans="1:6" ht="22.25" customHeight="1">
      <c r="A39" s="85" t="s">
        <v>3459</v>
      </c>
      <c r="B39" s="64" t="s">
        <v>2514</v>
      </c>
      <c r="C39" s="53"/>
      <c r="D39" s="102">
        <v>4202221000</v>
      </c>
      <c r="E39" s="53"/>
      <c r="F39" s="53"/>
    </row>
    <row r="40" spans="1:6" ht="10.25" customHeight="1">
      <c r="A40" s="118" t="s">
        <v>3460</v>
      </c>
      <c r="B40" s="59" t="s">
        <v>2581</v>
      </c>
      <c r="C40" s="57">
        <v>13.08</v>
      </c>
      <c r="D40" s="53"/>
      <c r="E40" s="54">
        <v>13.08</v>
      </c>
      <c r="F40" s="55" t="s">
        <v>2534</v>
      </c>
    </row>
    <row r="41" spans="1:6" ht="21.5" customHeight="1">
      <c r="A41" s="85" t="s">
        <v>3461</v>
      </c>
      <c r="B41" s="64" t="s">
        <v>2514</v>
      </c>
      <c r="C41" s="53"/>
      <c r="D41" s="102">
        <v>4202221000</v>
      </c>
      <c r="E41" s="53"/>
      <c r="F41" s="53"/>
    </row>
    <row r="42" spans="1:6" ht="11.25" customHeight="1">
      <c r="A42" s="118" t="s">
        <v>3462</v>
      </c>
      <c r="B42" s="59" t="s">
        <v>2593</v>
      </c>
      <c r="C42" s="57">
        <v>14.4</v>
      </c>
      <c r="D42" s="53"/>
      <c r="E42" s="58">
        <v>43.2</v>
      </c>
      <c r="F42" s="55" t="s">
        <v>2534</v>
      </c>
    </row>
    <row r="43" spans="1:6" ht="21.5" customHeight="1">
      <c r="A43" s="85" t="s">
        <v>3463</v>
      </c>
      <c r="B43" s="64" t="s">
        <v>2514</v>
      </c>
      <c r="C43" s="53"/>
      <c r="D43" s="102">
        <v>4202221000</v>
      </c>
      <c r="E43" s="53"/>
      <c r="F43" s="53"/>
    </row>
    <row r="44" spans="1:6" ht="10.25" customHeight="1">
      <c r="A44" s="118" t="s">
        <v>3464</v>
      </c>
      <c r="B44" s="59" t="s">
        <v>2584</v>
      </c>
      <c r="C44" s="57">
        <v>12.72</v>
      </c>
      <c r="D44" s="53"/>
      <c r="E44" s="54">
        <v>25.44</v>
      </c>
      <c r="F44" s="55" t="s">
        <v>2534</v>
      </c>
    </row>
    <row r="45" spans="1:6" ht="21.5" customHeight="1">
      <c r="A45" s="65" t="s">
        <v>3465</v>
      </c>
      <c r="B45" s="64" t="s">
        <v>2514</v>
      </c>
      <c r="C45" s="53"/>
      <c r="D45" s="102">
        <v>6307909899</v>
      </c>
      <c r="E45" s="53"/>
      <c r="F45" s="53"/>
    </row>
    <row r="46" spans="1:6" ht="10.25" customHeight="1">
      <c r="A46" s="118" t="s">
        <v>3466</v>
      </c>
      <c r="B46" s="59" t="s">
        <v>2593</v>
      </c>
      <c r="C46" s="57">
        <v>15.6</v>
      </c>
      <c r="D46" s="53"/>
      <c r="E46" s="58">
        <v>46.8</v>
      </c>
      <c r="F46" s="55" t="s">
        <v>2534</v>
      </c>
    </row>
    <row r="47" spans="1:6" ht="21.5" customHeight="1">
      <c r="A47" s="85" t="s">
        <v>3467</v>
      </c>
      <c r="B47" s="64" t="s">
        <v>2514</v>
      </c>
      <c r="C47" s="53"/>
      <c r="D47" s="102">
        <v>4202221000</v>
      </c>
      <c r="E47" s="53"/>
      <c r="F47" s="53"/>
    </row>
    <row r="48" spans="1:6" ht="10.25" customHeight="1">
      <c r="A48" s="118" t="s">
        <v>3468</v>
      </c>
      <c r="B48" s="59" t="s">
        <v>2584</v>
      </c>
      <c r="C48" s="57">
        <v>13.92</v>
      </c>
      <c r="D48" s="53"/>
      <c r="E48" s="54">
        <v>27.84</v>
      </c>
      <c r="F48" s="55" t="s">
        <v>2534</v>
      </c>
    </row>
    <row r="49" spans="1:6" ht="21.5" customHeight="1">
      <c r="A49" s="85" t="s">
        <v>3469</v>
      </c>
      <c r="B49" s="64" t="s">
        <v>2514</v>
      </c>
      <c r="C49" s="53"/>
      <c r="D49" s="102">
        <v>4202221000</v>
      </c>
      <c r="E49" s="53"/>
      <c r="F49" s="53"/>
    </row>
    <row r="50" spans="1:6" ht="11.25" customHeight="1">
      <c r="A50" s="118" t="s">
        <v>3470</v>
      </c>
      <c r="B50" s="59" t="s">
        <v>2584</v>
      </c>
      <c r="C50" s="57">
        <v>18.12</v>
      </c>
      <c r="D50" s="53"/>
      <c r="E50" s="54">
        <v>36.24</v>
      </c>
      <c r="F50" s="55" t="s">
        <v>2534</v>
      </c>
    </row>
    <row r="51" spans="1:6" ht="21.5" customHeight="1">
      <c r="A51" s="65" t="s">
        <v>3471</v>
      </c>
      <c r="B51" s="64" t="s">
        <v>2514</v>
      </c>
      <c r="C51" s="53"/>
      <c r="D51" s="102">
        <v>3926909790</v>
      </c>
      <c r="E51" s="53"/>
      <c r="F51" s="53"/>
    </row>
    <row r="52" spans="1:6" ht="10.25" customHeight="1">
      <c r="A52" s="118" t="s">
        <v>3472</v>
      </c>
      <c r="B52" s="59" t="s">
        <v>2584</v>
      </c>
      <c r="C52" s="52">
        <v>7.08</v>
      </c>
      <c r="D52" s="53"/>
      <c r="E52" s="54">
        <v>14.16</v>
      </c>
      <c r="F52" s="55" t="s">
        <v>2534</v>
      </c>
    </row>
    <row r="53" spans="1:6" ht="22.25" customHeight="1">
      <c r="A53" s="85" t="s">
        <v>3473</v>
      </c>
      <c r="B53" s="64" t="s">
        <v>2514</v>
      </c>
      <c r="C53" s="53"/>
      <c r="D53" s="102">
        <v>7907000000</v>
      </c>
      <c r="E53" s="53"/>
      <c r="F53" s="53"/>
    </row>
    <row r="54" spans="1:6" ht="10.25" customHeight="1">
      <c r="A54" s="118" t="s">
        <v>3474</v>
      </c>
      <c r="B54" s="59" t="s">
        <v>2593</v>
      </c>
      <c r="C54" s="57">
        <v>14.4</v>
      </c>
      <c r="D54" s="53"/>
      <c r="E54" s="58">
        <v>43.2</v>
      </c>
      <c r="F54" s="55" t="s">
        <v>2534</v>
      </c>
    </row>
    <row r="55" spans="1:6" ht="21.5" customHeight="1">
      <c r="A55" s="85" t="s">
        <v>3475</v>
      </c>
      <c r="B55" s="64" t="s">
        <v>2514</v>
      </c>
      <c r="C55" s="53"/>
      <c r="D55" s="102">
        <v>4202221000</v>
      </c>
      <c r="E55" s="53"/>
      <c r="F55" s="53"/>
    </row>
    <row r="56" spans="1:6" ht="11.25" customHeight="1">
      <c r="A56" s="118" t="s">
        <v>3476</v>
      </c>
      <c r="B56" s="59" t="s">
        <v>2584</v>
      </c>
      <c r="C56" s="57">
        <v>15.6</v>
      </c>
      <c r="D56" s="53"/>
      <c r="E56" s="58">
        <v>31.2</v>
      </c>
      <c r="F56" s="55" t="s">
        <v>2534</v>
      </c>
    </row>
    <row r="57" spans="1:6" ht="20" customHeight="1">
      <c r="A57" s="127" t="s">
        <v>3477</v>
      </c>
      <c r="B57" s="67" t="s">
        <v>2514</v>
      </c>
      <c r="C57" s="28"/>
      <c r="D57" s="104">
        <v>6307909899</v>
      </c>
      <c r="E57" s="28"/>
      <c r="F57" s="28"/>
    </row>
  </sheetData>
  <mergeCells count="6">
    <mergeCell ref="A35:B35"/>
    <mergeCell ref="A29:B29"/>
    <mergeCell ref="A30:B30"/>
    <mergeCell ref="C30:E30"/>
    <mergeCell ref="A31:B31"/>
    <mergeCell ref="A32:B32"/>
  </mergeCells>
  <pageMargins left="1.25" right="1.25" top="1" bottom="1" header="0.25" footer="0.2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7" enableFormatConditionsCalculation="0"/>
  <dimension ref="A7:F57"/>
  <sheetViews>
    <sheetView workbookViewId="0"/>
  </sheetViews>
  <sheetFormatPr baseColWidth="10" defaultRowHeight="14" x14ac:dyDescent="0"/>
  <cols>
    <col min="1" max="1" width="62.83203125" customWidth="1"/>
    <col min="2" max="2" width="9" customWidth="1"/>
    <col min="3" max="3" width="8.1640625" customWidth="1"/>
    <col min="4" max="4" width="9.83203125" customWidth="1"/>
    <col min="5" max="5" width="16.1640625" customWidth="1"/>
    <col min="6" max="6" width="5.5" customWidth="1"/>
  </cols>
  <sheetData>
    <row r="7" spans="1:1">
      <c r="A7" s="69" t="s">
        <v>3478</v>
      </c>
    </row>
    <row r="8" spans="1:1">
      <c r="A8" s="24" t="s">
        <v>2611</v>
      </c>
    </row>
    <row r="9" spans="1:1">
      <c r="A9" s="69" t="s">
        <v>2612</v>
      </c>
    </row>
    <row r="10" spans="1:1">
      <c r="A10" s="69" t="s">
        <v>2613</v>
      </c>
    </row>
    <row r="11" spans="1:1">
      <c r="A11" s="69" t="s">
        <v>2614</v>
      </c>
    </row>
    <row r="12" spans="1:1">
      <c r="A12" s="69" t="s">
        <v>2615</v>
      </c>
    </row>
    <row r="15" spans="1:1">
      <c r="A15" s="24" t="s">
        <v>2616</v>
      </c>
    </row>
    <row r="16" spans="1:1">
      <c r="A16" s="24" t="s">
        <v>2491</v>
      </c>
    </row>
    <row r="17" spans="1:6">
      <c r="A17" s="24" t="s">
        <v>2617</v>
      </c>
    </row>
    <row r="18" spans="1:6">
      <c r="A18" s="24" t="s">
        <v>2493</v>
      </c>
    </row>
    <row r="20" spans="1:6">
      <c r="A20" s="26" t="s">
        <v>2500</v>
      </c>
    </row>
    <row r="22" spans="1:6">
      <c r="A22" s="24" t="s">
        <v>2618</v>
      </c>
    </row>
    <row r="23" spans="1:6">
      <c r="A23" s="24" t="s">
        <v>2619</v>
      </c>
    </row>
    <row r="24" spans="1:6">
      <c r="A24" s="24" t="s">
        <v>2609</v>
      </c>
    </row>
    <row r="25" spans="1:6">
      <c r="A25" s="24" t="s">
        <v>2509</v>
      </c>
    </row>
    <row r="26" spans="1:6">
      <c r="A26" s="69" t="s">
        <v>2620</v>
      </c>
    </row>
    <row r="27" spans="1:6">
      <c r="A27" s="24" t="s">
        <v>2511</v>
      </c>
    </row>
    <row r="28" spans="1:6" ht="13.75" customHeight="1">
      <c r="A28" s="70" t="s">
        <v>2621</v>
      </c>
      <c r="B28" s="28"/>
      <c r="C28" s="28"/>
      <c r="D28" s="28"/>
      <c r="E28" s="28"/>
      <c r="F28" s="28"/>
    </row>
    <row r="29" spans="1:6" ht="12" customHeight="1">
      <c r="A29" s="155" t="s">
        <v>2622</v>
      </c>
      <c r="B29" s="155"/>
      <c r="C29" s="72" t="s">
        <v>2623</v>
      </c>
      <c r="D29" s="105" t="s">
        <v>2624</v>
      </c>
      <c r="E29" s="73" t="s">
        <v>2625</v>
      </c>
      <c r="F29" s="72" t="s">
        <v>2626</v>
      </c>
    </row>
    <row r="30" spans="1:6" ht="13.75" customHeight="1">
      <c r="A30" s="152" t="s">
        <v>2627</v>
      </c>
      <c r="B30" s="152"/>
      <c r="C30" s="151" t="s">
        <v>2628</v>
      </c>
      <c r="D30" s="151"/>
      <c r="E30" s="151"/>
      <c r="F30" s="53"/>
    </row>
    <row r="31" spans="1:6" ht="14.5" customHeight="1">
      <c r="A31" s="122" t="s">
        <v>2629</v>
      </c>
      <c r="B31" s="53"/>
      <c r="C31" s="53"/>
      <c r="D31" s="53"/>
      <c r="E31" s="53"/>
      <c r="F31" s="53"/>
    </row>
    <row r="32" spans="1:6" ht="10.25" customHeight="1">
      <c r="A32" s="116" t="s">
        <v>3479</v>
      </c>
      <c r="B32" s="106" t="s">
        <v>2714</v>
      </c>
      <c r="C32" s="81">
        <v>11.04</v>
      </c>
      <c r="D32" s="53"/>
      <c r="E32" s="82">
        <v>22.08</v>
      </c>
      <c r="F32" s="78" t="s">
        <v>2631</v>
      </c>
    </row>
    <row r="33" spans="1:6" ht="21.5" customHeight="1">
      <c r="A33" s="108" t="s">
        <v>3480</v>
      </c>
      <c r="B33" s="64" t="s">
        <v>2514</v>
      </c>
      <c r="C33" s="53"/>
      <c r="D33" s="80">
        <v>4202221000</v>
      </c>
      <c r="E33" s="53"/>
      <c r="F33" s="53"/>
    </row>
    <row r="34" spans="1:6" ht="10.25" customHeight="1">
      <c r="A34" s="116" t="s">
        <v>3481</v>
      </c>
      <c r="B34" s="106" t="s">
        <v>2719</v>
      </c>
      <c r="C34" s="81">
        <v>13.44</v>
      </c>
      <c r="D34" s="53"/>
      <c r="E34" s="82">
        <v>40.32</v>
      </c>
      <c r="F34" s="78" t="s">
        <v>2631</v>
      </c>
    </row>
    <row r="35" spans="1:6" ht="22.25" customHeight="1">
      <c r="A35" s="123" t="s">
        <v>3482</v>
      </c>
      <c r="B35" s="64" t="s">
        <v>2514</v>
      </c>
      <c r="C35" s="53"/>
      <c r="D35" s="80">
        <v>5609000000</v>
      </c>
      <c r="E35" s="53"/>
      <c r="F35" s="53"/>
    </row>
    <row r="36" spans="1:6" ht="10.25" customHeight="1">
      <c r="A36" s="116" t="s">
        <v>3483</v>
      </c>
      <c r="B36" s="106" t="s">
        <v>2870</v>
      </c>
      <c r="C36" s="81">
        <v>10.199999999999999</v>
      </c>
      <c r="D36" s="53"/>
      <c r="E36" s="77">
        <v>81.599999999999994</v>
      </c>
      <c r="F36" s="78" t="s">
        <v>2631</v>
      </c>
    </row>
    <row r="37" spans="1:6" ht="21.5" customHeight="1">
      <c r="A37" s="108" t="s">
        <v>3484</v>
      </c>
      <c r="B37" s="64" t="s">
        <v>2514</v>
      </c>
      <c r="C37" s="53"/>
      <c r="D37" s="80">
        <v>3926909790</v>
      </c>
      <c r="E37" s="53"/>
      <c r="F37" s="53"/>
    </row>
    <row r="38" spans="1:6" ht="10.25" customHeight="1">
      <c r="A38" s="116" t="s">
        <v>3485</v>
      </c>
      <c r="B38" s="106" t="s">
        <v>2719</v>
      </c>
      <c r="C38" s="76">
        <v>4.8</v>
      </c>
      <c r="D38" s="53"/>
      <c r="E38" s="77">
        <v>14.4</v>
      </c>
      <c r="F38" s="78" t="s">
        <v>2631</v>
      </c>
    </row>
    <row r="39" spans="1:6" ht="22.25" customHeight="1">
      <c r="A39" s="108" t="s">
        <v>3486</v>
      </c>
      <c r="B39" s="64" t="s">
        <v>2514</v>
      </c>
      <c r="C39" s="53"/>
      <c r="D39" s="80">
        <v>4202221000</v>
      </c>
      <c r="E39" s="53"/>
      <c r="F39" s="53"/>
    </row>
    <row r="40" spans="1:6" ht="10.25" customHeight="1">
      <c r="A40" s="116" t="s">
        <v>3487</v>
      </c>
      <c r="B40" s="106" t="s">
        <v>2719</v>
      </c>
      <c r="C40" s="81">
        <v>12.6</v>
      </c>
      <c r="D40" s="53"/>
      <c r="E40" s="77">
        <v>37.799999999999997</v>
      </c>
      <c r="F40" s="78" t="s">
        <v>2631</v>
      </c>
    </row>
    <row r="41" spans="1:6" ht="21.5" customHeight="1">
      <c r="A41" s="156" t="s">
        <v>3488</v>
      </c>
      <c r="B41" s="156"/>
      <c r="C41" s="53"/>
      <c r="D41" s="80">
        <v>4202229090</v>
      </c>
      <c r="E41" s="53"/>
      <c r="F41" s="53"/>
    </row>
    <row r="42" spans="1:6" ht="11.25" customHeight="1">
      <c r="A42" s="116" t="s">
        <v>3489</v>
      </c>
      <c r="B42" s="106" t="s">
        <v>2719</v>
      </c>
      <c r="C42" s="81">
        <v>13.32</v>
      </c>
      <c r="D42" s="53"/>
      <c r="E42" s="82">
        <v>39.96</v>
      </c>
      <c r="F42" s="78" t="s">
        <v>2631</v>
      </c>
    </row>
    <row r="43" spans="1:6" ht="21.5" customHeight="1">
      <c r="A43" s="123" t="s">
        <v>3490</v>
      </c>
      <c r="B43" s="64" t="s">
        <v>2514</v>
      </c>
      <c r="C43" s="53"/>
      <c r="D43" s="80">
        <v>3926909790</v>
      </c>
      <c r="E43" s="53"/>
      <c r="F43" s="53"/>
    </row>
    <row r="44" spans="1:6" ht="10.25" customHeight="1">
      <c r="A44" s="116" t="s">
        <v>3491</v>
      </c>
      <c r="B44" s="106" t="s">
        <v>2714</v>
      </c>
      <c r="C44" s="76">
        <v>9.36</v>
      </c>
      <c r="D44" s="53"/>
      <c r="E44" s="82">
        <v>18.72</v>
      </c>
      <c r="F44" s="78" t="s">
        <v>2631</v>
      </c>
    </row>
    <row r="45" spans="1:6" ht="21.5" customHeight="1">
      <c r="A45" s="108" t="s">
        <v>3492</v>
      </c>
      <c r="B45" s="64" t="s">
        <v>2514</v>
      </c>
      <c r="C45" s="53"/>
      <c r="D45" s="80">
        <v>4202229090</v>
      </c>
      <c r="E45" s="53"/>
      <c r="F45" s="53"/>
    </row>
    <row r="46" spans="1:6" ht="10.25" customHeight="1">
      <c r="A46" s="116" t="s">
        <v>3493</v>
      </c>
      <c r="B46" s="106" t="s">
        <v>2714</v>
      </c>
      <c r="C46" s="81">
        <v>12.72</v>
      </c>
      <c r="D46" s="53"/>
      <c r="E46" s="82">
        <v>25.44</v>
      </c>
      <c r="F46" s="78" t="s">
        <v>2631</v>
      </c>
    </row>
    <row r="47" spans="1:6" ht="21.5" customHeight="1">
      <c r="A47" s="156" t="s">
        <v>3494</v>
      </c>
      <c r="B47" s="156"/>
      <c r="C47" s="53"/>
      <c r="D47" s="80">
        <v>4202229090</v>
      </c>
      <c r="E47" s="53"/>
      <c r="F47" s="53"/>
    </row>
    <row r="48" spans="1:6" ht="10.25" customHeight="1">
      <c r="A48" s="116" t="s">
        <v>3495</v>
      </c>
      <c r="B48" s="106" t="s">
        <v>3496</v>
      </c>
      <c r="C48" s="76">
        <v>4.5599999999999996</v>
      </c>
      <c r="D48" s="53"/>
      <c r="E48" s="77">
        <v>22.8</v>
      </c>
      <c r="F48" s="78" t="s">
        <v>2631</v>
      </c>
    </row>
    <row r="49" spans="1:6" ht="21.5" customHeight="1">
      <c r="A49" s="108" t="s">
        <v>3497</v>
      </c>
      <c r="B49" s="64" t="s">
        <v>2514</v>
      </c>
      <c r="C49" s="53"/>
      <c r="D49" s="80">
        <v>3926909790</v>
      </c>
      <c r="E49" s="53"/>
      <c r="F49" s="53"/>
    </row>
    <row r="50" spans="1:6" ht="11.25" customHeight="1">
      <c r="A50" s="116" t="s">
        <v>3498</v>
      </c>
      <c r="B50" s="106" t="s">
        <v>2719</v>
      </c>
      <c r="C50" s="81">
        <v>15.6</v>
      </c>
      <c r="D50" s="53"/>
      <c r="E50" s="77">
        <v>46.8</v>
      </c>
      <c r="F50" s="78" t="s">
        <v>2631</v>
      </c>
    </row>
    <row r="51" spans="1:6" ht="21.5" customHeight="1">
      <c r="A51" s="108" t="s">
        <v>3499</v>
      </c>
      <c r="B51" s="64" t="s">
        <v>2514</v>
      </c>
      <c r="C51" s="53"/>
      <c r="D51" s="80">
        <v>4202221000</v>
      </c>
      <c r="E51" s="53"/>
      <c r="F51" s="53"/>
    </row>
    <row r="52" spans="1:6" ht="10.25" customHeight="1">
      <c r="A52" s="116" t="s">
        <v>3500</v>
      </c>
      <c r="B52" s="106" t="s">
        <v>2714</v>
      </c>
      <c r="C52" s="76">
        <v>7.8</v>
      </c>
      <c r="D52" s="53"/>
      <c r="E52" s="77">
        <v>15.6</v>
      </c>
      <c r="F52" s="78" t="s">
        <v>2631</v>
      </c>
    </row>
    <row r="53" spans="1:6" ht="22.25" customHeight="1">
      <c r="A53" s="108" t="s">
        <v>3501</v>
      </c>
      <c r="B53" s="64" t="s">
        <v>2514</v>
      </c>
      <c r="C53" s="53"/>
      <c r="D53" s="80">
        <v>4202229090</v>
      </c>
      <c r="E53" s="53"/>
      <c r="F53" s="53"/>
    </row>
    <row r="54" spans="1:6" ht="10.25" customHeight="1">
      <c r="A54" s="116" t="s">
        <v>3502</v>
      </c>
      <c r="B54" s="106" t="s">
        <v>2714</v>
      </c>
      <c r="C54" s="76">
        <v>7.08</v>
      </c>
      <c r="D54" s="53"/>
      <c r="E54" s="82">
        <v>14.16</v>
      </c>
      <c r="F54" s="78" t="s">
        <v>2631</v>
      </c>
    </row>
    <row r="55" spans="1:6" ht="21.5" customHeight="1">
      <c r="A55" s="108" t="s">
        <v>3503</v>
      </c>
      <c r="B55" s="64" t="s">
        <v>2514</v>
      </c>
      <c r="C55" s="53"/>
      <c r="D55" s="80">
        <v>7907000000</v>
      </c>
      <c r="E55" s="53"/>
      <c r="F55" s="53"/>
    </row>
    <row r="56" spans="1:6" ht="11.25" customHeight="1">
      <c r="A56" s="116" t="s">
        <v>3504</v>
      </c>
      <c r="B56" s="106" t="s">
        <v>2870</v>
      </c>
      <c r="C56" s="76">
        <v>9.6</v>
      </c>
      <c r="D56" s="53"/>
      <c r="E56" s="77">
        <v>76.8</v>
      </c>
      <c r="F56" s="78" t="s">
        <v>2631</v>
      </c>
    </row>
    <row r="57" spans="1:6" ht="20" customHeight="1">
      <c r="A57" s="109" t="s">
        <v>3505</v>
      </c>
      <c r="B57" s="67" t="s">
        <v>2514</v>
      </c>
      <c r="C57" s="28"/>
      <c r="D57" s="84">
        <v>3926909790</v>
      </c>
      <c r="E57" s="28"/>
      <c r="F57" s="28"/>
    </row>
  </sheetData>
  <mergeCells count="5">
    <mergeCell ref="A29:B29"/>
    <mergeCell ref="A30:B30"/>
    <mergeCell ref="C30:E30"/>
    <mergeCell ref="A41:B41"/>
    <mergeCell ref="A47:B47"/>
  </mergeCells>
  <pageMargins left="1.25" right="1.25" top="1" bottom="1" header="0.25" footer="0.2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8" enableFormatConditionsCalculation="0"/>
  <dimension ref="A7:E57"/>
  <sheetViews>
    <sheetView workbookViewId="0"/>
  </sheetViews>
  <sheetFormatPr baseColWidth="10" defaultRowHeight="14" x14ac:dyDescent="0"/>
  <cols>
    <col min="1" max="1" width="53.83203125" customWidth="1"/>
    <col min="2" max="2" width="18.1640625" customWidth="1"/>
    <col min="3" max="3" width="18.5" customWidth="1"/>
    <col min="4" max="4" width="14.83203125" customWidth="1"/>
    <col min="5" max="5" width="5.5" customWidth="1"/>
  </cols>
  <sheetData>
    <row r="7" spans="1:1">
      <c r="A7" s="69" t="s">
        <v>3506</v>
      </c>
    </row>
    <row r="8" spans="1:1">
      <c r="A8" s="24" t="s">
        <v>2611</v>
      </c>
    </row>
    <row r="9" spans="1:1">
      <c r="A9" s="69" t="s">
        <v>2612</v>
      </c>
    </row>
    <row r="10" spans="1:1">
      <c r="A10" s="69" t="s">
        <v>2613</v>
      </c>
    </row>
    <row r="11" spans="1:1">
      <c r="A11" s="69" t="s">
        <v>2614</v>
      </c>
    </row>
    <row r="12" spans="1:1">
      <c r="A12" s="69" t="s">
        <v>2615</v>
      </c>
    </row>
    <row r="15" spans="1:1">
      <c r="A15" s="24" t="s">
        <v>2616</v>
      </c>
    </row>
    <row r="16" spans="1:1">
      <c r="A16" s="24" t="s">
        <v>2491</v>
      </c>
    </row>
    <row r="17" spans="1:5">
      <c r="A17" s="24" t="s">
        <v>2617</v>
      </c>
    </row>
    <row r="18" spans="1:5">
      <c r="A18" s="24" t="s">
        <v>2493</v>
      </c>
    </row>
    <row r="20" spans="1:5">
      <c r="A20" s="26" t="s">
        <v>2500</v>
      </c>
    </row>
    <row r="22" spans="1:5">
      <c r="A22" s="24" t="s">
        <v>2618</v>
      </c>
    </row>
    <row r="23" spans="1:5">
      <c r="A23" s="24" t="s">
        <v>2619</v>
      </c>
    </row>
    <row r="24" spans="1:5">
      <c r="A24" s="24" t="s">
        <v>2609</v>
      </c>
    </row>
    <row r="25" spans="1:5">
      <c r="A25" s="24" t="s">
        <v>2509</v>
      </c>
    </row>
    <row r="26" spans="1:5">
      <c r="A26" s="69" t="s">
        <v>2620</v>
      </c>
    </row>
    <row r="27" spans="1:5">
      <c r="A27" s="24" t="s">
        <v>2511</v>
      </c>
    </row>
    <row r="28" spans="1:5" ht="13.75" customHeight="1">
      <c r="A28" s="70" t="s">
        <v>2621</v>
      </c>
      <c r="B28" s="28"/>
      <c r="C28" s="28"/>
      <c r="D28" s="28"/>
      <c r="E28" s="28"/>
    </row>
    <row r="29" spans="1:5" ht="12" customHeight="1">
      <c r="A29" s="105" t="s">
        <v>2682</v>
      </c>
      <c r="B29" s="100" t="s">
        <v>2683</v>
      </c>
      <c r="C29" s="110" t="s">
        <v>2799</v>
      </c>
      <c r="D29" s="100" t="s">
        <v>2625</v>
      </c>
      <c r="E29" s="72" t="s">
        <v>2626</v>
      </c>
    </row>
    <row r="30" spans="1:5" ht="13.75" customHeight="1">
      <c r="A30" s="101" t="s">
        <v>3424</v>
      </c>
      <c r="B30" s="119" t="s">
        <v>3425</v>
      </c>
      <c r="C30" s="151" t="s">
        <v>2628</v>
      </c>
      <c r="D30" s="151"/>
      <c r="E30" s="53"/>
    </row>
    <row r="31" spans="1:5" ht="14.5" customHeight="1">
      <c r="A31" s="122" t="s">
        <v>2629</v>
      </c>
      <c r="B31" s="53"/>
      <c r="C31" s="53"/>
      <c r="D31" s="53"/>
      <c r="E31" s="53"/>
    </row>
    <row r="32" spans="1:5" ht="10.25" customHeight="1">
      <c r="A32" s="116" t="s">
        <v>3507</v>
      </c>
      <c r="B32" s="106" t="s">
        <v>2719</v>
      </c>
      <c r="C32" s="81">
        <v>18.96</v>
      </c>
      <c r="D32" s="82">
        <v>56.88</v>
      </c>
      <c r="E32" s="78" t="s">
        <v>2631</v>
      </c>
    </row>
    <row r="33" spans="1:5" ht="21.5" customHeight="1">
      <c r="A33" s="108" t="s">
        <v>3508</v>
      </c>
      <c r="B33" s="120" t="s">
        <v>2514</v>
      </c>
      <c r="C33" s="125">
        <v>9111800000</v>
      </c>
      <c r="D33" s="53"/>
      <c r="E33" s="53"/>
    </row>
    <row r="34" spans="1:5" ht="10.25" customHeight="1">
      <c r="A34" s="116" t="s">
        <v>3509</v>
      </c>
      <c r="B34" s="106" t="s">
        <v>2714</v>
      </c>
      <c r="C34" s="81">
        <v>11.88</v>
      </c>
      <c r="D34" s="82">
        <v>23.76</v>
      </c>
      <c r="E34" s="78" t="s">
        <v>2631</v>
      </c>
    </row>
    <row r="35" spans="1:5" ht="22.25" customHeight="1">
      <c r="A35" s="156" t="s">
        <v>3510</v>
      </c>
      <c r="B35" s="156"/>
      <c r="C35" s="125">
        <v>4202229090</v>
      </c>
      <c r="D35" s="53"/>
      <c r="E35" s="53"/>
    </row>
    <row r="36" spans="1:5" ht="10.25" customHeight="1">
      <c r="A36" s="116" t="s">
        <v>3511</v>
      </c>
      <c r="B36" s="106" t="s">
        <v>2714</v>
      </c>
      <c r="C36" s="81">
        <v>12.6</v>
      </c>
      <c r="D36" s="77">
        <v>25.2</v>
      </c>
      <c r="E36" s="78" t="s">
        <v>2631</v>
      </c>
    </row>
    <row r="37" spans="1:5" ht="21.5" customHeight="1">
      <c r="A37" s="108" t="s">
        <v>3512</v>
      </c>
      <c r="B37" s="120" t="s">
        <v>2514</v>
      </c>
      <c r="C37" s="125">
        <v>4202221000</v>
      </c>
      <c r="D37" s="53"/>
      <c r="E37" s="53"/>
    </row>
    <row r="38" spans="1:5" ht="10.25" customHeight="1">
      <c r="A38" s="116" t="s">
        <v>3513</v>
      </c>
      <c r="B38" s="106" t="s">
        <v>2719</v>
      </c>
      <c r="C38" s="81">
        <v>16.32</v>
      </c>
      <c r="D38" s="82">
        <v>48.96</v>
      </c>
      <c r="E38" s="78" t="s">
        <v>2631</v>
      </c>
    </row>
    <row r="39" spans="1:5" ht="22.25" customHeight="1">
      <c r="A39" s="108" t="s">
        <v>3514</v>
      </c>
      <c r="B39" s="120" t="s">
        <v>2514</v>
      </c>
      <c r="C39" s="125">
        <v>3926909790</v>
      </c>
      <c r="D39" s="53"/>
      <c r="E39" s="53"/>
    </row>
    <row r="40" spans="1:5" ht="10.25" customHeight="1">
      <c r="A40" s="116" t="s">
        <v>3515</v>
      </c>
      <c r="B40" s="106" t="s">
        <v>2714</v>
      </c>
      <c r="C40" s="81">
        <v>18.12</v>
      </c>
      <c r="D40" s="82">
        <v>36.24</v>
      </c>
      <c r="E40" s="78" t="s">
        <v>2631</v>
      </c>
    </row>
    <row r="41" spans="1:5" ht="21.5" customHeight="1">
      <c r="A41" s="156" t="s">
        <v>3516</v>
      </c>
      <c r="B41" s="156"/>
      <c r="C41" s="125">
        <v>3926909790</v>
      </c>
      <c r="D41" s="53"/>
      <c r="E41" s="53"/>
    </row>
    <row r="42" spans="1:5" ht="11.25" customHeight="1">
      <c r="A42" s="116" t="s">
        <v>3517</v>
      </c>
      <c r="B42" s="106" t="s">
        <v>2719</v>
      </c>
      <c r="C42" s="81">
        <v>15.6</v>
      </c>
      <c r="D42" s="77">
        <v>46.8</v>
      </c>
      <c r="E42" s="78" t="s">
        <v>2631</v>
      </c>
    </row>
    <row r="43" spans="1:5" ht="21.5" customHeight="1">
      <c r="A43" s="108" t="s">
        <v>3518</v>
      </c>
      <c r="B43" s="120" t="s">
        <v>2514</v>
      </c>
      <c r="C43" s="125">
        <v>4202221000</v>
      </c>
      <c r="D43" s="53"/>
      <c r="E43" s="53"/>
    </row>
    <row r="44" spans="1:5" ht="10.25" customHeight="1">
      <c r="A44" s="116" t="s">
        <v>3519</v>
      </c>
      <c r="B44" s="106" t="s">
        <v>2719</v>
      </c>
      <c r="C44" s="76">
        <v>9.6</v>
      </c>
      <c r="D44" s="77">
        <v>28.8</v>
      </c>
      <c r="E44" s="78" t="s">
        <v>2631</v>
      </c>
    </row>
    <row r="45" spans="1:5" ht="21.5" customHeight="1">
      <c r="A45" s="108" t="s">
        <v>3520</v>
      </c>
      <c r="B45" s="120" t="s">
        <v>2514</v>
      </c>
      <c r="C45" s="125">
        <v>3926909790</v>
      </c>
      <c r="D45" s="53"/>
      <c r="E45" s="53"/>
    </row>
    <row r="46" spans="1:5" ht="10.25" customHeight="1">
      <c r="A46" s="116" t="s">
        <v>3521</v>
      </c>
      <c r="B46" s="106" t="s">
        <v>2719</v>
      </c>
      <c r="C46" s="81">
        <v>11.88</v>
      </c>
      <c r="D46" s="82">
        <v>35.64</v>
      </c>
      <c r="E46" s="78" t="s">
        <v>2631</v>
      </c>
    </row>
    <row r="47" spans="1:5" ht="21.5" customHeight="1">
      <c r="A47" s="108" t="s">
        <v>3522</v>
      </c>
      <c r="B47" s="120" t="s">
        <v>2514</v>
      </c>
      <c r="C47" s="125">
        <v>4202221000</v>
      </c>
      <c r="D47" s="53"/>
      <c r="E47" s="53"/>
    </row>
    <row r="48" spans="1:5" ht="10.25" customHeight="1">
      <c r="A48" s="116" t="s">
        <v>3523</v>
      </c>
      <c r="B48" s="106" t="s">
        <v>2714</v>
      </c>
      <c r="C48" s="81">
        <v>11.88</v>
      </c>
      <c r="D48" s="82">
        <v>23.76</v>
      </c>
      <c r="E48" s="78" t="s">
        <v>2631</v>
      </c>
    </row>
    <row r="49" spans="1:5" ht="21.5" customHeight="1">
      <c r="A49" s="156" t="s">
        <v>3524</v>
      </c>
      <c r="B49" s="156"/>
      <c r="C49" s="125">
        <v>4202229090</v>
      </c>
      <c r="D49" s="53"/>
      <c r="E49" s="53"/>
    </row>
    <row r="50" spans="1:5" ht="11.25" customHeight="1">
      <c r="A50" s="116" t="s">
        <v>3525</v>
      </c>
      <c r="B50" s="106" t="s">
        <v>2714</v>
      </c>
      <c r="C50" s="76">
        <v>7.08</v>
      </c>
      <c r="D50" s="82">
        <v>14.16</v>
      </c>
      <c r="E50" s="78" t="s">
        <v>2631</v>
      </c>
    </row>
    <row r="51" spans="1:5" ht="21.5" customHeight="1">
      <c r="A51" s="108" t="s">
        <v>3526</v>
      </c>
      <c r="B51" s="120" t="s">
        <v>2514</v>
      </c>
      <c r="C51" s="125">
        <v>7907000000</v>
      </c>
      <c r="D51" s="53"/>
      <c r="E51" s="53"/>
    </row>
    <row r="52" spans="1:5" ht="10.25" customHeight="1">
      <c r="A52" s="116" t="s">
        <v>3527</v>
      </c>
      <c r="B52" s="106" t="s">
        <v>2719</v>
      </c>
      <c r="C52" s="76">
        <v>4.8</v>
      </c>
      <c r="D52" s="77">
        <v>14.4</v>
      </c>
      <c r="E52" s="78" t="s">
        <v>2631</v>
      </c>
    </row>
    <row r="53" spans="1:5" ht="22.25" customHeight="1">
      <c r="A53" s="108" t="s">
        <v>3528</v>
      </c>
      <c r="B53" s="120" t="s">
        <v>2514</v>
      </c>
      <c r="C53" s="125">
        <v>4202221000</v>
      </c>
      <c r="D53" s="53"/>
      <c r="E53" s="53"/>
    </row>
    <row r="54" spans="1:5" ht="10.25" customHeight="1">
      <c r="A54" s="116" t="s">
        <v>3529</v>
      </c>
      <c r="B54" s="106" t="s">
        <v>2719</v>
      </c>
      <c r="C54" s="81">
        <v>13.44</v>
      </c>
      <c r="D54" s="82">
        <v>40.32</v>
      </c>
      <c r="E54" s="78" t="s">
        <v>2631</v>
      </c>
    </row>
    <row r="55" spans="1:5" ht="21.5" customHeight="1">
      <c r="A55" s="156" t="s">
        <v>3530</v>
      </c>
      <c r="B55" s="156"/>
      <c r="C55" s="125">
        <v>5609000000</v>
      </c>
      <c r="D55" s="53"/>
      <c r="E55" s="53"/>
    </row>
    <row r="56" spans="1:5" ht="11.25" customHeight="1">
      <c r="A56" s="116" t="s">
        <v>3531</v>
      </c>
      <c r="B56" s="106" t="s">
        <v>2719</v>
      </c>
      <c r="C56" s="76">
        <v>7.2</v>
      </c>
      <c r="D56" s="77">
        <v>21.6</v>
      </c>
      <c r="E56" s="78" t="s">
        <v>2631</v>
      </c>
    </row>
    <row r="57" spans="1:5" ht="20" customHeight="1">
      <c r="A57" s="109" t="s">
        <v>3532</v>
      </c>
      <c r="B57" s="121" t="s">
        <v>2514</v>
      </c>
      <c r="C57" s="126">
        <v>3926909790</v>
      </c>
      <c r="D57" s="28"/>
      <c r="E57" s="28"/>
    </row>
  </sheetData>
  <mergeCells count="5">
    <mergeCell ref="C30:D30"/>
    <mergeCell ref="A35:B35"/>
    <mergeCell ref="A41:B41"/>
    <mergeCell ref="A49:B49"/>
    <mergeCell ref="A55:B55"/>
  </mergeCells>
  <pageMargins left="1.25" right="1.25" top="1" bottom="1" header="0.25" footer="0.2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9" enableFormatConditionsCalculation="0"/>
  <dimension ref="A7:E57"/>
  <sheetViews>
    <sheetView workbookViewId="0"/>
  </sheetViews>
  <sheetFormatPr baseColWidth="10" defaultRowHeight="14" x14ac:dyDescent="0"/>
  <cols>
    <col min="1" max="1" width="56.33203125" customWidth="1"/>
    <col min="2" max="2" width="15.5" customWidth="1"/>
    <col min="3" max="3" width="18.5" customWidth="1"/>
    <col min="4" max="4" width="14.83203125" customWidth="1"/>
    <col min="5" max="5" width="5.5" customWidth="1"/>
  </cols>
  <sheetData>
    <row r="7" spans="1:1">
      <c r="A7" s="25" t="s">
        <v>3533</v>
      </c>
    </row>
    <row r="8" spans="1:1">
      <c r="A8" s="24" t="s">
        <v>2495</v>
      </c>
    </row>
    <row r="9" spans="1:1">
      <c r="A9" s="25" t="s">
        <v>2496</v>
      </c>
    </row>
    <row r="10" spans="1:1">
      <c r="A10" s="25" t="s">
        <v>2497</v>
      </c>
    </row>
    <row r="11" spans="1:1">
      <c r="A11" s="25" t="s">
        <v>2498</v>
      </c>
    </row>
    <row r="12" spans="1:1">
      <c r="A12" s="25" t="s">
        <v>2499</v>
      </c>
    </row>
    <row r="15" spans="1:1">
      <c r="A15" s="24" t="s">
        <v>2490</v>
      </c>
    </row>
    <row r="16" spans="1:1">
      <c r="A16" s="24" t="s">
        <v>2491</v>
      </c>
    </row>
    <row r="17" spans="1:5">
      <c r="A17" s="24" t="s">
        <v>2492</v>
      </c>
    </row>
    <row r="18" spans="1:5">
      <c r="A18" s="24" t="s">
        <v>2493</v>
      </c>
    </row>
    <row r="20" spans="1:5">
      <c r="A20" s="26" t="s">
        <v>2500</v>
      </c>
    </row>
    <row r="22" spans="1:5">
      <c r="A22" s="24" t="s">
        <v>2607</v>
      </c>
    </row>
    <row r="23" spans="1:5">
      <c r="A23" s="24" t="s">
        <v>2608</v>
      </c>
    </row>
    <row r="24" spans="1:5">
      <c r="A24" s="24" t="s">
        <v>2609</v>
      </c>
    </row>
    <row r="25" spans="1:5">
      <c r="A25" s="24" t="s">
        <v>2509</v>
      </c>
    </row>
    <row r="26" spans="1:5">
      <c r="A26" s="25" t="s">
        <v>2510</v>
      </c>
    </row>
    <row r="27" spans="1:5">
      <c r="A27" s="24" t="s">
        <v>2511</v>
      </c>
    </row>
    <row r="28" spans="1:5" ht="13.75" customHeight="1">
      <c r="A28" s="99" t="s">
        <v>2512</v>
      </c>
      <c r="B28" s="28"/>
      <c r="C28" s="28"/>
      <c r="D28" s="28"/>
      <c r="E28" s="28"/>
    </row>
    <row r="29" spans="1:5" ht="12" customHeight="1">
      <c r="A29" s="105" t="s">
        <v>2682</v>
      </c>
      <c r="B29" s="100" t="s">
        <v>2683</v>
      </c>
      <c r="C29" s="110" t="s">
        <v>2799</v>
      </c>
      <c r="D29" s="100" t="s">
        <v>2625</v>
      </c>
      <c r="E29" s="72" t="s">
        <v>2626</v>
      </c>
    </row>
    <row r="30" spans="1:5" ht="13.75" customHeight="1">
      <c r="A30" s="101" t="s">
        <v>2911</v>
      </c>
      <c r="B30" s="119" t="s">
        <v>2912</v>
      </c>
      <c r="C30" s="153" t="s">
        <v>2685</v>
      </c>
      <c r="D30" s="153"/>
      <c r="E30" s="53"/>
    </row>
    <row r="31" spans="1:5" ht="14.5" customHeight="1">
      <c r="A31" s="122" t="s">
        <v>2553</v>
      </c>
      <c r="B31" s="53"/>
      <c r="C31" s="53"/>
      <c r="D31" s="53"/>
      <c r="E31" s="53"/>
    </row>
    <row r="32" spans="1:5" ht="10.25" customHeight="1">
      <c r="A32" s="118" t="s">
        <v>3534</v>
      </c>
      <c r="B32" s="59" t="s">
        <v>2584</v>
      </c>
      <c r="C32" s="57">
        <v>10.8</v>
      </c>
      <c r="D32" s="58">
        <v>21.6</v>
      </c>
      <c r="E32" s="55" t="s">
        <v>2534</v>
      </c>
    </row>
    <row r="33" spans="1:5" ht="21.5" customHeight="1">
      <c r="A33" s="85" t="s">
        <v>3535</v>
      </c>
      <c r="B33" s="120" t="s">
        <v>2514</v>
      </c>
      <c r="C33" s="111">
        <v>6307909810</v>
      </c>
      <c r="D33" s="53"/>
      <c r="E33" s="53"/>
    </row>
    <row r="34" spans="1:5" ht="10.25" customHeight="1">
      <c r="A34" s="118" t="s">
        <v>3536</v>
      </c>
      <c r="B34" s="59" t="s">
        <v>2593</v>
      </c>
      <c r="C34" s="57">
        <v>14.4</v>
      </c>
      <c r="D34" s="58">
        <v>43.2</v>
      </c>
      <c r="E34" s="55" t="s">
        <v>2534</v>
      </c>
    </row>
    <row r="35" spans="1:5" ht="22.25" customHeight="1">
      <c r="A35" s="150" t="s">
        <v>3007</v>
      </c>
      <c r="B35" s="150"/>
      <c r="C35" s="111">
        <v>3926909790</v>
      </c>
      <c r="D35" s="53"/>
      <c r="E35" s="53"/>
    </row>
    <row r="36" spans="1:5" ht="10.25" customHeight="1">
      <c r="A36" s="118" t="s">
        <v>3537</v>
      </c>
      <c r="B36" s="59" t="s">
        <v>2584</v>
      </c>
      <c r="C36" s="52">
        <v>7.08</v>
      </c>
      <c r="D36" s="54">
        <v>14.16</v>
      </c>
      <c r="E36" s="55" t="s">
        <v>2534</v>
      </c>
    </row>
    <row r="37" spans="1:5" ht="21.5" customHeight="1">
      <c r="A37" s="85" t="s">
        <v>3538</v>
      </c>
      <c r="B37" s="120" t="s">
        <v>2514</v>
      </c>
      <c r="C37" s="111">
        <v>7907000000</v>
      </c>
      <c r="D37" s="53"/>
      <c r="E37" s="53"/>
    </row>
    <row r="38" spans="1:5" ht="10.25" customHeight="1">
      <c r="A38" s="118" t="s">
        <v>3539</v>
      </c>
      <c r="B38" s="59" t="s">
        <v>2584</v>
      </c>
      <c r="C38" s="57">
        <v>13.8</v>
      </c>
      <c r="D38" s="58">
        <v>27.6</v>
      </c>
      <c r="E38" s="55" t="s">
        <v>2534</v>
      </c>
    </row>
    <row r="39" spans="1:5" ht="22.25" customHeight="1">
      <c r="A39" s="85" t="s">
        <v>3540</v>
      </c>
      <c r="B39" s="120" t="s">
        <v>2514</v>
      </c>
      <c r="C39" s="111">
        <v>4202221000</v>
      </c>
      <c r="D39" s="53"/>
      <c r="E39" s="53"/>
    </row>
    <row r="40" spans="1:5" ht="10.25" customHeight="1">
      <c r="A40" s="118" t="s">
        <v>3541</v>
      </c>
      <c r="B40" s="59" t="s">
        <v>2584</v>
      </c>
      <c r="C40" s="57">
        <v>11.88</v>
      </c>
      <c r="D40" s="54">
        <v>23.76</v>
      </c>
      <c r="E40" s="55" t="s">
        <v>2534</v>
      </c>
    </row>
    <row r="41" spans="1:5" ht="21.5" customHeight="1">
      <c r="A41" s="65" t="s">
        <v>2585</v>
      </c>
      <c r="B41" s="120" t="s">
        <v>2514</v>
      </c>
      <c r="C41" s="111">
        <v>4202229090</v>
      </c>
      <c r="D41" s="53"/>
      <c r="E41" s="53"/>
    </row>
    <row r="42" spans="1:5" ht="11.25" customHeight="1">
      <c r="A42" s="118" t="s">
        <v>3542</v>
      </c>
      <c r="B42" s="59" t="s">
        <v>2584</v>
      </c>
      <c r="C42" s="57">
        <v>10.8</v>
      </c>
      <c r="D42" s="58">
        <v>21.6</v>
      </c>
      <c r="E42" s="55" t="s">
        <v>2534</v>
      </c>
    </row>
    <row r="43" spans="1:5" ht="21.5" customHeight="1">
      <c r="A43" s="85" t="s">
        <v>3543</v>
      </c>
      <c r="B43" s="120" t="s">
        <v>2514</v>
      </c>
      <c r="C43" s="111">
        <v>4202229090</v>
      </c>
      <c r="D43" s="53"/>
      <c r="E43" s="53"/>
    </row>
    <row r="44" spans="1:5" ht="10.25" customHeight="1">
      <c r="A44" s="118" t="s">
        <v>3544</v>
      </c>
      <c r="B44" s="59" t="s">
        <v>2584</v>
      </c>
      <c r="C44" s="57">
        <v>14.4</v>
      </c>
      <c r="D44" s="58">
        <v>28.8</v>
      </c>
      <c r="E44" s="55" t="s">
        <v>2534</v>
      </c>
    </row>
    <row r="45" spans="1:5" ht="21.5" customHeight="1">
      <c r="A45" s="85" t="s">
        <v>3545</v>
      </c>
      <c r="B45" s="120" t="s">
        <v>2514</v>
      </c>
      <c r="C45" s="111">
        <v>4202221000</v>
      </c>
      <c r="D45" s="53"/>
      <c r="E45" s="53"/>
    </row>
    <row r="46" spans="1:5" ht="10.25" customHeight="1">
      <c r="A46" s="118" t="s">
        <v>3546</v>
      </c>
      <c r="B46" s="59" t="s">
        <v>2593</v>
      </c>
      <c r="C46" s="52">
        <v>8.4</v>
      </c>
      <c r="D46" s="58">
        <v>25.2</v>
      </c>
      <c r="E46" s="55" t="s">
        <v>2534</v>
      </c>
    </row>
    <row r="47" spans="1:5" ht="21.5" customHeight="1">
      <c r="A47" s="85" t="s">
        <v>3547</v>
      </c>
      <c r="B47" s="120" t="s">
        <v>2514</v>
      </c>
      <c r="C47" s="111">
        <v>9111800000</v>
      </c>
      <c r="D47" s="53"/>
      <c r="E47" s="53"/>
    </row>
    <row r="48" spans="1:5" ht="10.25" customHeight="1">
      <c r="A48" s="118" t="s">
        <v>3548</v>
      </c>
      <c r="B48" s="59" t="s">
        <v>2593</v>
      </c>
      <c r="C48" s="52">
        <v>8.4</v>
      </c>
      <c r="D48" s="58">
        <v>25.2</v>
      </c>
      <c r="E48" s="55" t="s">
        <v>2534</v>
      </c>
    </row>
    <row r="49" spans="1:5" ht="21.5" customHeight="1">
      <c r="A49" s="85" t="s">
        <v>3549</v>
      </c>
      <c r="B49" s="120" t="s">
        <v>2514</v>
      </c>
      <c r="C49" s="111">
        <v>9111800000</v>
      </c>
      <c r="D49" s="53"/>
      <c r="E49" s="53"/>
    </row>
    <row r="50" spans="1:5" ht="11.25" customHeight="1">
      <c r="A50" s="118" t="s">
        <v>3550</v>
      </c>
      <c r="B50" s="59" t="s">
        <v>2593</v>
      </c>
      <c r="C50" s="57">
        <v>14.4</v>
      </c>
      <c r="D50" s="58">
        <v>43.2</v>
      </c>
      <c r="E50" s="55" t="s">
        <v>2534</v>
      </c>
    </row>
    <row r="51" spans="1:5" ht="21.5" customHeight="1">
      <c r="A51" s="85" t="s">
        <v>3551</v>
      </c>
      <c r="B51" s="120" t="s">
        <v>2514</v>
      </c>
      <c r="C51" s="111">
        <v>4202221000</v>
      </c>
      <c r="D51" s="53"/>
      <c r="E51" s="53"/>
    </row>
    <row r="52" spans="1:5" ht="10.25" customHeight="1">
      <c r="A52" s="118" t="s">
        <v>3552</v>
      </c>
      <c r="B52" s="59" t="s">
        <v>2584</v>
      </c>
      <c r="C52" s="57">
        <v>12.72</v>
      </c>
      <c r="D52" s="54">
        <v>25.44</v>
      </c>
      <c r="E52" s="55" t="s">
        <v>2534</v>
      </c>
    </row>
    <row r="53" spans="1:5" ht="22.25" customHeight="1">
      <c r="A53" s="85" t="s">
        <v>3553</v>
      </c>
      <c r="B53" s="120" t="s">
        <v>2514</v>
      </c>
      <c r="C53" s="111">
        <v>6307909899</v>
      </c>
      <c r="D53" s="53"/>
      <c r="E53" s="53"/>
    </row>
    <row r="54" spans="1:5" ht="10.25" customHeight="1">
      <c r="A54" s="118" t="s">
        <v>3554</v>
      </c>
      <c r="B54" s="59" t="s">
        <v>2584</v>
      </c>
      <c r="C54" s="57">
        <v>11.88</v>
      </c>
      <c r="D54" s="54">
        <v>23.76</v>
      </c>
      <c r="E54" s="55" t="s">
        <v>2534</v>
      </c>
    </row>
    <row r="55" spans="1:5" ht="21.5" customHeight="1">
      <c r="A55" s="150" t="s">
        <v>3555</v>
      </c>
      <c r="B55" s="150"/>
      <c r="C55" s="111">
        <v>4202229090</v>
      </c>
      <c r="D55" s="53"/>
      <c r="E55" s="53"/>
    </row>
    <row r="56" spans="1:5" ht="11.25" customHeight="1">
      <c r="A56" s="118" t="s">
        <v>3556</v>
      </c>
      <c r="B56" s="59" t="s">
        <v>2578</v>
      </c>
      <c r="C56" s="52">
        <v>3.6</v>
      </c>
      <c r="D56" s="58">
        <v>21.6</v>
      </c>
      <c r="E56" s="55" t="s">
        <v>2534</v>
      </c>
    </row>
    <row r="57" spans="1:5" ht="20" customHeight="1">
      <c r="A57" s="103" t="s">
        <v>3557</v>
      </c>
      <c r="B57" s="121" t="s">
        <v>2514</v>
      </c>
      <c r="C57" s="113">
        <v>3926909790</v>
      </c>
      <c r="D57" s="28"/>
      <c r="E57" s="28"/>
    </row>
  </sheetData>
  <mergeCells count="3">
    <mergeCell ref="C30:D30"/>
    <mergeCell ref="A35:B35"/>
    <mergeCell ref="A55:B55"/>
  </mergeCells>
  <pageMargins left="1.25" right="1.25" top="1" bottom="1" header="0.25" footer="0.2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0" enableFormatConditionsCalculation="0"/>
  <dimension ref="A7:F57"/>
  <sheetViews>
    <sheetView workbookViewId="0"/>
  </sheetViews>
  <sheetFormatPr baseColWidth="10" defaultRowHeight="14" x14ac:dyDescent="0"/>
  <cols>
    <col min="1" max="1" width="61.83203125" customWidth="1"/>
    <col min="2" max="2" width="10" customWidth="1"/>
    <col min="3" max="3" width="8.1640625" customWidth="1"/>
    <col min="4" max="4" width="9.83203125" customWidth="1"/>
    <col min="5" max="5" width="16.1640625" customWidth="1"/>
    <col min="6" max="6" width="5.5" customWidth="1"/>
  </cols>
  <sheetData>
    <row r="7" spans="1:1">
      <c r="A7" s="25" t="s">
        <v>3558</v>
      </c>
    </row>
    <row r="8" spans="1:1">
      <c r="A8" s="24" t="s">
        <v>2495</v>
      </c>
    </row>
    <row r="9" spans="1:1">
      <c r="A9" s="25" t="s">
        <v>2496</v>
      </c>
    </row>
    <row r="10" spans="1:1">
      <c r="A10" s="25" t="s">
        <v>2497</v>
      </c>
    </row>
    <row r="11" spans="1:1">
      <c r="A11" s="25" t="s">
        <v>2498</v>
      </c>
    </row>
    <row r="12" spans="1:1">
      <c r="A12" s="25" t="s">
        <v>2499</v>
      </c>
    </row>
    <row r="15" spans="1:1">
      <c r="A15" s="24" t="s">
        <v>2490</v>
      </c>
    </row>
    <row r="16" spans="1:1">
      <c r="A16" s="24" t="s">
        <v>2491</v>
      </c>
    </row>
    <row r="17" spans="1:6">
      <c r="A17" s="24" t="s">
        <v>2492</v>
      </c>
    </row>
    <row r="18" spans="1:6">
      <c r="A18" s="24" t="s">
        <v>2493</v>
      </c>
    </row>
    <row r="20" spans="1:6">
      <c r="A20" s="26" t="s">
        <v>2500</v>
      </c>
    </row>
    <row r="22" spans="1:6">
      <c r="A22" s="24" t="s">
        <v>2607</v>
      </c>
    </row>
    <row r="23" spans="1:6">
      <c r="A23" s="24" t="s">
        <v>2608</v>
      </c>
    </row>
    <row r="24" spans="1:6">
      <c r="A24" s="24" t="s">
        <v>2609</v>
      </c>
    </row>
    <row r="25" spans="1:6">
      <c r="A25" s="24" t="s">
        <v>2509</v>
      </c>
    </row>
    <row r="26" spans="1:6">
      <c r="A26" s="25" t="s">
        <v>2510</v>
      </c>
    </row>
    <row r="27" spans="1:6">
      <c r="A27" s="24" t="s">
        <v>2511</v>
      </c>
    </row>
    <row r="28" spans="1:6" ht="13.75" customHeight="1">
      <c r="A28" s="99" t="s">
        <v>2512</v>
      </c>
      <c r="B28" s="28"/>
      <c r="C28" s="28"/>
      <c r="D28" s="28"/>
      <c r="E28" s="28"/>
      <c r="F28" s="28"/>
    </row>
    <row r="29" spans="1:6" ht="12" customHeight="1">
      <c r="A29" s="155" t="s">
        <v>2622</v>
      </c>
      <c r="B29" s="155"/>
      <c r="C29" s="72" t="s">
        <v>2623</v>
      </c>
      <c r="D29" s="105" t="s">
        <v>2624</v>
      </c>
      <c r="E29" s="73" t="s">
        <v>2625</v>
      </c>
      <c r="F29" s="72" t="s">
        <v>2626</v>
      </c>
    </row>
    <row r="30" spans="1:6" ht="13.75" customHeight="1">
      <c r="A30" s="152" t="s">
        <v>2684</v>
      </c>
      <c r="B30" s="152"/>
      <c r="C30" s="153" t="s">
        <v>2685</v>
      </c>
      <c r="D30" s="153"/>
      <c r="E30" s="153"/>
      <c r="F30" s="53"/>
    </row>
    <row r="31" spans="1:6" ht="14.5" customHeight="1">
      <c r="A31" s="122" t="s">
        <v>2553</v>
      </c>
      <c r="B31" s="53"/>
      <c r="C31" s="53"/>
      <c r="D31" s="53"/>
      <c r="E31" s="53"/>
      <c r="F31" s="53"/>
    </row>
    <row r="32" spans="1:6" ht="10.25" customHeight="1">
      <c r="A32" s="118" t="s">
        <v>3559</v>
      </c>
      <c r="B32" s="59" t="s">
        <v>2584</v>
      </c>
      <c r="C32" s="52">
        <v>9.7799999999999994</v>
      </c>
      <c r="D32" s="53"/>
      <c r="E32" s="54">
        <v>19.559999999999999</v>
      </c>
      <c r="F32" s="55" t="s">
        <v>2534</v>
      </c>
    </row>
    <row r="33" spans="1:6" ht="21.5" customHeight="1">
      <c r="A33" s="65" t="s">
        <v>3560</v>
      </c>
      <c r="B33" s="64" t="s">
        <v>2514</v>
      </c>
      <c r="C33" s="53"/>
      <c r="D33" s="102">
        <v>4202229090</v>
      </c>
      <c r="E33" s="53"/>
      <c r="F33" s="53"/>
    </row>
    <row r="34" spans="1:6" ht="10.25" customHeight="1">
      <c r="A34" s="118" t="s">
        <v>3561</v>
      </c>
      <c r="B34" s="59" t="s">
        <v>2593</v>
      </c>
      <c r="C34" s="52">
        <v>7.8</v>
      </c>
      <c r="D34" s="53"/>
      <c r="E34" s="58">
        <v>23.4</v>
      </c>
      <c r="F34" s="55" t="s">
        <v>2534</v>
      </c>
    </row>
    <row r="35" spans="1:6" ht="22.25" customHeight="1">
      <c r="A35" s="85" t="s">
        <v>3562</v>
      </c>
      <c r="B35" s="64" t="s">
        <v>2514</v>
      </c>
      <c r="C35" s="53"/>
      <c r="D35" s="102">
        <v>7907000000</v>
      </c>
      <c r="E35" s="53"/>
      <c r="F35" s="53"/>
    </row>
    <row r="36" spans="1:6" ht="10.25" customHeight="1">
      <c r="A36" s="118" t="s">
        <v>3563</v>
      </c>
      <c r="B36" s="59" t="s">
        <v>2578</v>
      </c>
      <c r="C36" s="52">
        <v>7.2</v>
      </c>
      <c r="D36" s="53"/>
      <c r="E36" s="58">
        <v>43.2</v>
      </c>
      <c r="F36" s="55" t="s">
        <v>2534</v>
      </c>
    </row>
    <row r="37" spans="1:6" ht="21.5" customHeight="1">
      <c r="A37" s="85" t="s">
        <v>3564</v>
      </c>
      <c r="B37" s="64" t="s">
        <v>2514</v>
      </c>
      <c r="C37" s="53"/>
      <c r="D37" s="102">
        <v>3926909790</v>
      </c>
      <c r="E37" s="53"/>
      <c r="F37" s="53"/>
    </row>
    <row r="38" spans="1:6" ht="10.25" customHeight="1">
      <c r="A38" s="118" t="s">
        <v>3565</v>
      </c>
      <c r="B38" s="59" t="s">
        <v>2584</v>
      </c>
      <c r="C38" s="57">
        <v>14.4</v>
      </c>
      <c r="D38" s="53"/>
      <c r="E38" s="58">
        <v>28.8</v>
      </c>
      <c r="F38" s="55" t="s">
        <v>2534</v>
      </c>
    </row>
    <row r="39" spans="1:6" ht="22.25" customHeight="1">
      <c r="A39" s="85" t="s">
        <v>3566</v>
      </c>
      <c r="B39" s="64" t="s">
        <v>2514</v>
      </c>
      <c r="C39" s="53"/>
      <c r="D39" s="102">
        <v>6307909810</v>
      </c>
      <c r="E39" s="53"/>
      <c r="F39" s="53"/>
    </row>
    <row r="40" spans="1:6" ht="10.25" customHeight="1">
      <c r="A40" s="118" t="s">
        <v>3567</v>
      </c>
      <c r="B40" s="59" t="s">
        <v>2584</v>
      </c>
      <c r="C40" s="57">
        <v>20.399999999999999</v>
      </c>
      <c r="D40" s="53"/>
      <c r="E40" s="58">
        <v>40.799999999999997</v>
      </c>
      <c r="F40" s="55" t="s">
        <v>2534</v>
      </c>
    </row>
    <row r="41" spans="1:6" ht="21.5" customHeight="1">
      <c r="A41" s="65" t="s">
        <v>3568</v>
      </c>
      <c r="B41" s="64" t="s">
        <v>2514</v>
      </c>
      <c r="C41" s="53"/>
      <c r="D41" s="102">
        <v>4202929190</v>
      </c>
      <c r="E41" s="53"/>
      <c r="F41" s="53"/>
    </row>
    <row r="42" spans="1:6" ht="11.25" customHeight="1">
      <c r="A42" s="118" t="s">
        <v>3569</v>
      </c>
      <c r="B42" s="59" t="s">
        <v>2584</v>
      </c>
      <c r="C42" s="57">
        <v>11.88</v>
      </c>
      <c r="D42" s="53"/>
      <c r="E42" s="54">
        <v>23.76</v>
      </c>
      <c r="F42" s="55" t="s">
        <v>2534</v>
      </c>
    </row>
    <row r="43" spans="1:6" ht="21.5" customHeight="1">
      <c r="A43" s="150" t="s">
        <v>3570</v>
      </c>
      <c r="B43" s="150"/>
      <c r="C43" s="53"/>
      <c r="D43" s="102">
        <v>4202229090</v>
      </c>
      <c r="E43" s="53"/>
      <c r="F43" s="53"/>
    </row>
    <row r="44" spans="1:6" ht="10.25" customHeight="1">
      <c r="A44" s="118" t="s">
        <v>3571</v>
      </c>
      <c r="B44" s="59" t="s">
        <v>2600</v>
      </c>
      <c r="C44" s="57">
        <v>11.88</v>
      </c>
      <c r="D44" s="53"/>
      <c r="E44" s="54">
        <v>47.52</v>
      </c>
      <c r="F44" s="55" t="s">
        <v>2534</v>
      </c>
    </row>
    <row r="45" spans="1:6" ht="21.5" customHeight="1">
      <c r="A45" s="85" t="s">
        <v>3572</v>
      </c>
      <c r="B45" s="64" t="s">
        <v>2514</v>
      </c>
      <c r="C45" s="53"/>
      <c r="D45" s="102">
        <v>3926909790</v>
      </c>
      <c r="E45" s="53"/>
      <c r="F45" s="53"/>
    </row>
    <row r="46" spans="1:6" ht="10.25" customHeight="1">
      <c r="A46" s="118" t="s">
        <v>3573</v>
      </c>
      <c r="B46" s="59" t="s">
        <v>2581</v>
      </c>
      <c r="C46" s="57">
        <v>14.4</v>
      </c>
      <c r="D46" s="53"/>
      <c r="E46" s="58">
        <v>14.4</v>
      </c>
      <c r="F46" s="55" t="s">
        <v>2534</v>
      </c>
    </row>
    <row r="47" spans="1:6" ht="21.5" customHeight="1">
      <c r="A47" s="85" t="s">
        <v>3574</v>
      </c>
      <c r="B47" s="64" t="s">
        <v>2514</v>
      </c>
      <c r="C47" s="53"/>
      <c r="D47" s="102">
        <v>4202221000</v>
      </c>
      <c r="E47" s="53"/>
      <c r="F47" s="53"/>
    </row>
    <row r="48" spans="1:6" ht="10.25" customHeight="1">
      <c r="A48" s="118" t="s">
        <v>3575</v>
      </c>
      <c r="B48" s="59" t="s">
        <v>2593</v>
      </c>
      <c r="C48" s="57">
        <v>14.4</v>
      </c>
      <c r="D48" s="53"/>
      <c r="E48" s="58">
        <v>43.2</v>
      </c>
      <c r="F48" s="55" t="s">
        <v>2534</v>
      </c>
    </row>
    <row r="49" spans="1:6" ht="21.5" customHeight="1">
      <c r="A49" s="85" t="s">
        <v>3576</v>
      </c>
      <c r="B49" s="64" t="s">
        <v>2514</v>
      </c>
      <c r="C49" s="53"/>
      <c r="D49" s="102">
        <v>4202221000</v>
      </c>
      <c r="E49" s="53"/>
      <c r="F49" s="53"/>
    </row>
    <row r="50" spans="1:6" ht="11.25" customHeight="1">
      <c r="A50" s="118" t="s">
        <v>3577</v>
      </c>
      <c r="B50" s="59" t="s">
        <v>2593</v>
      </c>
      <c r="C50" s="52">
        <v>9.6</v>
      </c>
      <c r="D50" s="53"/>
      <c r="E50" s="58">
        <v>28.8</v>
      </c>
      <c r="F50" s="55" t="s">
        <v>2534</v>
      </c>
    </row>
    <row r="51" spans="1:6" ht="21.5" customHeight="1">
      <c r="A51" s="85" t="s">
        <v>3578</v>
      </c>
      <c r="B51" s="64" t="s">
        <v>2514</v>
      </c>
      <c r="C51" s="53"/>
      <c r="D51" s="102">
        <v>3926909790</v>
      </c>
      <c r="E51" s="53"/>
      <c r="F51" s="53"/>
    </row>
    <row r="52" spans="1:6" ht="10.25" customHeight="1">
      <c r="A52" s="118" t="s">
        <v>3579</v>
      </c>
      <c r="B52" s="59" t="s">
        <v>2593</v>
      </c>
      <c r="C52" s="57">
        <v>18</v>
      </c>
      <c r="D52" s="53"/>
      <c r="E52" s="58">
        <v>54</v>
      </c>
      <c r="F52" s="55" t="s">
        <v>2534</v>
      </c>
    </row>
    <row r="53" spans="1:6" ht="22.25" customHeight="1">
      <c r="A53" s="117" t="s">
        <v>3580</v>
      </c>
      <c r="B53" s="64" t="s">
        <v>2514</v>
      </c>
      <c r="C53" s="53"/>
      <c r="D53" s="102">
        <v>3926909790</v>
      </c>
      <c r="E53" s="53"/>
      <c r="F53" s="53"/>
    </row>
    <row r="54" spans="1:6" ht="10.25" customHeight="1">
      <c r="A54" s="118" t="s">
        <v>3581</v>
      </c>
      <c r="B54" s="59" t="s">
        <v>2581</v>
      </c>
      <c r="C54" s="52">
        <v>4.8</v>
      </c>
      <c r="D54" s="53"/>
      <c r="E54" s="54">
        <v>4.8</v>
      </c>
      <c r="F54" s="55" t="s">
        <v>2534</v>
      </c>
    </row>
    <row r="55" spans="1:6" ht="21.5" customHeight="1">
      <c r="A55" s="85" t="s">
        <v>3582</v>
      </c>
      <c r="B55" s="64" t="s">
        <v>2514</v>
      </c>
      <c r="C55" s="53"/>
      <c r="D55" s="102">
        <v>4202221000</v>
      </c>
      <c r="E55" s="53"/>
      <c r="F55" s="53"/>
    </row>
    <row r="56" spans="1:6" ht="11.25" customHeight="1">
      <c r="A56" s="118" t="s">
        <v>3583</v>
      </c>
      <c r="B56" s="59" t="s">
        <v>2593</v>
      </c>
      <c r="C56" s="57">
        <v>14.4</v>
      </c>
      <c r="D56" s="53"/>
      <c r="E56" s="58">
        <v>43.2</v>
      </c>
      <c r="F56" s="55" t="s">
        <v>2534</v>
      </c>
    </row>
    <row r="57" spans="1:6" ht="20" customHeight="1">
      <c r="A57" s="103" t="s">
        <v>3584</v>
      </c>
      <c r="B57" s="67" t="s">
        <v>2514</v>
      </c>
      <c r="C57" s="28"/>
      <c r="D57" s="104">
        <v>4202221000</v>
      </c>
      <c r="E57" s="28"/>
      <c r="F57" s="28"/>
    </row>
  </sheetData>
  <mergeCells count="4">
    <mergeCell ref="A29:B29"/>
    <mergeCell ref="A30:B30"/>
    <mergeCell ref="C30:E30"/>
    <mergeCell ref="A43:B43"/>
  </mergeCells>
  <pageMargins left="1.25" right="1.25" top="1" bottom="1" header="0.25" footer="0.2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1" enableFormatConditionsCalculation="0"/>
  <dimension ref="A7:F57"/>
  <sheetViews>
    <sheetView workbookViewId="0"/>
  </sheetViews>
  <sheetFormatPr baseColWidth="10" defaultRowHeight="14" x14ac:dyDescent="0"/>
  <cols>
    <col min="1" max="1" width="62.83203125" customWidth="1"/>
    <col min="2" max="2" width="9.1640625" customWidth="1"/>
    <col min="3" max="3" width="8.1640625" customWidth="1"/>
    <col min="4" max="4" width="9.83203125" customWidth="1"/>
    <col min="5" max="5" width="16.1640625" customWidth="1"/>
    <col min="6" max="6" width="5.5" customWidth="1"/>
  </cols>
  <sheetData>
    <row r="7" spans="1:1">
      <c r="A7" s="25" t="s">
        <v>3585</v>
      </c>
    </row>
    <row r="8" spans="1:1">
      <c r="A8" s="24" t="s">
        <v>2495</v>
      </c>
    </row>
    <row r="9" spans="1:1">
      <c r="A9" s="25" t="s">
        <v>2496</v>
      </c>
    </row>
    <row r="10" spans="1:1">
      <c r="A10" s="25" t="s">
        <v>2497</v>
      </c>
    </row>
    <row r="11" spans="1:1">
      <c r="A11" s="25" t="s">
        <v>2498</v>
      </c>
    </row>
    <row r="12" spans="1:1">
      <c r="A12" s="25" t="s">
        <v>2499</v>
      </c>
    </row>
    <row r="15" spans="1:1">
      <c r="A15" s="24" t="s">
        <v>2490</v>
      </c>
    </row>
    <row r="16" spans="1:1">
      <c r="A16" s="24" t="s">
        <v>2491</v>
      </c>
    </row>
    <row r="17" spans="1:6">
      <c r="A17" s="24" t="s">
        <v>2492</v>
      </c>
    </row>
    <row r="18" spans="1:6">
      <c r="A18" s="24" t="s">
        <v>2493</v>
      </c>
    </row>
    <row r="20" spans="1:6">
      <c r="A20" s="26" t="s">
        <v>2500</v>
      </c>
    </row>
    <row r="22" spans="1:6">
      <c r="A22" s="24" t="s">
        <v>2607</v>
      </c>
    </row>
    <row r="23" spans="1:6">
      <c r="A23" s="24" t="s">
        <v>2608</v>
      </c>
    </row>
    <row r="24" spans="1:6">
      <c r="A24" s="24" t="s">
        <v>2609</v>
      </c>
    </row>
    <row r="25" spans="1:6">
      <c r="A25" s="24" t="s">
        <v>2509</v>
      </c>
    </row>
    <row r="26" spans="1:6">
      <c r="A26" s="25" t="s">
        <v>2510</v>
      </c>
    </row>
    <row r="27" spans="1:6">
      <c r="A27" s="24" t="s">
        <v>2511</v>
      </c>
    </row>
    <row r="28" spans="1:6" ht="13.75" customHeight="1">
      <c r="A28" s="99" t="s">
        <v>2512</v>
      </c>
      <c r="B28" s="28"/>
      <c r="C28" s="28"/>
      <c r="D28" s="28"/>
      <c r="E28" s="28"/>
      <c r="F28" s="28"/>
    </row>
    <row r="29" spans="1:6" ht="12" customHeight="1">
      <c r="A29" s="155" t="s">
        <v>2622</v>
      </c>
      <c r="B29" s="155"/>
      <c r="C29" s="72" t="s">
        <v>2623</v>
      </c>
      <c r="D29" s="105" t="s">
        <v>2624</v>
      </c>
      <c r="E29" s="73" t="s">
        <v>2625</v>
      </c>
      <c r="F29" s="72" t="s">
        <v>2626</v>
      </c>
    </row>
    <row r="30" spans="1:6" ht="13.75" customHeight="1">
      <c r="A30" s="152" t="s">
        <v>2684</v>
      </c>
      <c r="B30" s="152"/>
      <c r="C30" s="153" t="s">
        <v>2685</v>
      </c>
      <c r="D30" s="153"/>
      <c r="E30" s="153"/>
      <c r="F30" s="53"/>
    </row>
    <row r="31" spans="1:6" ht="14.5" customHeight="1">
      <c r="A31" s="122" t="s">
        <v>2553</v>
      </c>
      <c r="B31" s="53"/>
      <c r="C31" s="53"/>
      <c r="D31" s="53"/>
      <c r="E31" s="53"/>
      <c r="F31" s="53"/>
    </row>
    <row r="32" spans="1:6" ht="10.25" customHeight="1">
      <c r="A32" s="118" t="s">
        <v>3586</v>
      </c>
      <c r="B32" s="59" t="s">
        <v>2600</v>
      </c>
      <c r="C32" s="57">
        <v>13.44</v>
      </c>
      <c r="D32" s="53"/>
      <c r="E32" s="54">
        <v>53.76</v>
      </c>
      <c r="F32" s="55" t="s">
        <v>2534</v>
      </c>
    </row>
    <row r="33" spans="1:6" ht="21.5" customHeight="1">
      <c r="A33" s="65" t="s">
        <v>3587</v>
      </c>
      <c r="B33" s="64" t="s">
        <v>2514</v>
      </c>
      <c r="C33" s="53"/>
      <c r="D33" s="102">
        <v>3926909790</v>
      </c>
      <c r="E33" s="53"/>
      <c r="F33" s="53"/>
    </row>
    <row r="34" spans="1:6" ht="10.25" customHeight="1">
      <c r="A34" s="118" t="s">
        <v>3588</v>
      </c>
      <c r="B34" s="59" t="s">
        <v>2584</v>
      </c>
      <c r="C34" s="57">
        <v>14.4</v>
      </c>
      <c r="D34" s="53"/>
      <c r="E34" s="58">
        <v>28.8</v>
      </c>
      <c r="F34" s="55" t="s">
        <v>2534</v>
      </c>
    </row>
    <row r="35" spans="1:6" ht="22.25" customHeight="1">
      <c r="A35" s="65" t="s">
        <v>3589</v>
      </c>
      <c r="B35" s="64" t="s">
        <v>2514</v>
      </c>
      <c r="C35" s="53"/>
      <c r="D35" s="102">
        <v>4202229090</v>
      </c>
      <c r="E35" s="53"/>
      <c r="F35" s="53"/>
    </row>
    <row r="36" spans="1:6" ht="10.25" customHeight="1">
      <c r="A36" s="118" t="s">
        <v>3590</v>
      </c>
      <c r="B36" s="59" t="s">
        <v>2593</v>
      </c>
      <c r="C36" s="52">
        <v>4.8</v>
      </c>
      <c r="D36" s="53"/>
      <c r="E36" s="58">
        <v>14.4</v>
      </c>
      <c r="F36" s="55" t="s">
        <v>2534</v>
      </c>
    </row>
    <row r="37" spans="1:6" ht="21.5" customHeight="1">
      <c r="A37" s="85" t="s">
        <v>3591</v>
      </c>
      <c r="B37" s="64" t="s">
        <v>2514</v>
      </c>
      <c r="C37" s="53"/>
      <c r="D37" s="102">
        <v>4202221000</v>
      </c>
      <c r="E37" s="53"/>
      <c r="F37" s="53"/>
    </row>
    <row r="38" spans="1:6" ht="10.25" customHeight="1">
      <c r="A38" s="118" t="s">
        <v>3592</v>
      </c>
      <c r="B38" s="59" t="s">
        <v>2593</v>
      </c>
      <c r="C38" s="57">
        <v>11.88</v>
      </c>
      <c r="D38" s="53"/>
      <c r="E38" s="54">
        <v>35.64</v>
      </c>
      <c r="F38" s="55" t="s">
        <v>2534</v>
      </c>
    </row>
    <row r="39" spans="1:6" ht="22.25" customHeight="1">
      <c r="A39" s="85" t="s">
        <v>3593</v>
      </c>
      <c r="B39" s="64" t="s">
        <v>2514</v>
      </c>
      <c r="C39" s="53"/>
      <c r="D39" s="102">
        <v>4202221000</v>
      </c>
      <c r="E39" s="53"/>
      <c r="F39" s="53"/>
    </row>
    <row r="40" spans="1:6" ht="10.25" customHeight="1">
      <c r="A40" s="118" t="s">
        <v>3594</v>
      </c>
      <c r="B40" s="59" t="s">
        <v>2584</v>
      </c>
      <c r="C40" s="57">
        <v>14.4</v>
      </c>
      <c r="D40" s="53"/>
      <c r="E40" s="58">
        <v>28.8</v>
      </c>
      <c r="F40" s="55" t="s">
        <v>2534</v>
      </c>
    </row>
    <row r="41" spans="1:6" ht="21.5" customHeight="1">
      <c r="A41" s="85" t="s">
        <v>3595</v>
      </c>
      <c r="B41" s="64" t="s">
        <v>2514</v>
      </c>
      <c r="C41" s="53"/>
      <c r="D41" s="102">
        <v>6307909810</v>
      </c>
      <c r="E41" s="53"/>
      <c r="F41" s="53"/>
    </row>
    <row r="42" spans="1:6" ht="11.25" customHeight="1">
      <c r="A42" s="118" t="s">
        <v>3596</v>
      </c>
      <c r="B42" s="59" t="s">
        <v>2584</v>
      </c>
      <c r="C42" s="57">
        <v>18.12</v>
      </c>
      <c r="D42" s="53"/>
      <c r="E42" s="54">
        <v>36.24</v>
      </c>
      <c r="F42" s="55" t="s">
        <v>2534</v>
      </c>
    </row>
    <row r="43" spans="1:6" ht="21.5" customHeight="1">
      <c r="A43" s="85" t="s">
        <v>3597</v>
      </c>
      <c r="B43" s="64" t="s">
        <v>2514</v>
      </c>
      <c r="C43" s="53"/>
      <c r="D43" s="102">
        <v>6307909899</v>
      </c>
      <c r="E43" s="53"/>
      <c r="F43" s="53"/>
    </row>
    <row r="44" spans="1:6" ht="10.25" customHeight="1">
      <c r="A44" s="118" t="s">
        <v>3598</v>
      </c>
      <c r="B44" s="59" t="s">
        <v>2584</v>
      </c>
      <c r="C44" s="57">
        <v>18.12</v>
      </c>
      <c r="D44" s="53"/>
      <c r="E44" s="54">
        <v>36.24</v>
      </c>
      <c r="F44" s="55" t="s">
        <v>2534</v>
      </c>
    </row>
    <row r="45" spans="1:6" ht="21.5" customHeight="1">
      <c r="A45" s="85" t="s">
        <v>3599</v>
      </c>
      <c r="B45" s="64" t="s">
        <v>2514</v>
      </c>
      <c r="C45" s="53"/>
      <c r="D45" s="102">
        <v>6307909899</v>
      </c>
      <c r="E45" s="53"/>
      <c r="F45" s="53"/>
    </row>
    <row r="46" spans="1:6" ht="10.25" customHeight="1">
      <c r="A46" s="118" t="s">
        <v>3600</v>
      </c>
      <c r="B46" s="59" t="s">
        <v>2584</v>
      </c>
      <c r="C46" s="52">
        <v>9.7799999999999994</v>
      </c>
      <c r="D46" s="53"/>
      <c r="E46" s="54">
        <v>19.559999999999999</v>
      </c>
      <c r="F46" s="55" t="s">
        <v>2534</v>
      </c>
    </row>
    <row r="47" spans="1:6" ht="21.5" customHeight="1">
      <c r="A47" s="65" t="s">
        <v>3601</v>
      </c>
      <c r="B47" s="64" t="s">
        <v>2514</v>
      </c>
      <c r="C47" s="53"/>
      <c r="D47" s="102">
        <v>4202229090</v>
      </c>
      <c r="E47" s="53"/>
      <c r="F47" s="53"/>
    </row>
    <row r="48" spans="1:6" ht="10.25" customHeight="1">
      <c r="A48" s="118" t="s">
        <v>3602</v>
      </c>
      <c r="B48" s="59" t="s">
        <v>2578</v>
      </c>
      <c r="C48" s="52">
        <v>2.52</v>
      </c>
      <c r="D48" s="53"/>
      <c r="E48" s="54">
        <v>15.12</v>
      </c>
      <c r="F48" s="55" t="s">
        <v>2534</v>
      </c>
    </row>
    <row r="49" spans="1:6" ht="21.5" customHeight="1">
      <c r="A49" s="85" t="s">
        <v>3382</v>
      </c>
      <c r="B49" s="64" t="s">
        <v>2514</v>
      </c>
      <c r="C49" s="53"/>
      <c r="D49" s="102">
        <v>9113900099</v>
      </c>
      <c r="E49" s="53"/>
      <c r="F49" s="53"/>
    </row>
    <row r="50" spans="1:6" ht="11.25" customHeight="1">
      <c r="A50" s="118" t="s">
        <v>3603</v>
      </c>
      <c r="B50" s="59" t="s">
        <v>2584</v>
      </c>
      <c r="C50" s="57">
        <v>10.8</v>
      </c>
      <c r="D50" s="53"/>
      <c r="E50" s="58">
        <v>21.6</v>
      </c>
      <c r="F50" s="55" t="s">
        <v>2534</v>
      </c>
    </row>
    <row r="51" spans="1:6" ht="21.5" customHeight="1">
      <c r="A51" s="150" t="s">
        <v>3604</v>
      </c>
      <c r="B51" s="150"/>
      <c r="C51" s="53"/>
      <c r="D51" s="102">
        <v>4202229090</v>
      </c>
      <c r="E51" s="53"/>
      <c r="F51" s="53"/>
    </row>
    <row r="52" spans="1:6" ht="10.25" customHeight="1">
      <c r="A52" s="118" t="s">
        <v>3605</v>
      </c>
      <c r="B52" s="59" t="s">
        <v>2584</v>
      </c>
      <c r="C52" s="57">
        <v>12.72</v>
      </c>
      <c r="D52" s="53"/>
      <c r="E52" s="54">
        <v>25.44</v>
      </c>
      <c r="F52" s="55" t="s">
        <v>2534</v>
      </c>
    </row>
    <row r="53" spans="1:6" ht="22.25" customHeight="1">
      <c r="A53" s="85" t="s">
        <v>3606</v>
      </c>
      <c r="B53" s="64" t="s">
        <v>2514</v>
      </c>
      <c r="C53" s="53"/>
      <c r="D53" s="102">
        <v>6307909899</v>
      </c>
      <c r="E53" s="53"/>
      <c r="F53" s="53"/>
    </row>
    <row r="54" spans="1:6" ht="10.25" customHeight="1">
      <c r="A54" s="118" t="s">
        <v>3607</v>
      </c>
      <c r="B54" s="59" t="s">
        <v>2581</v>
      </c>
      <c r="C54" s="57">
        <v>14.4</v>
      </c>
      <c r="D54" s="53"/>
      <c r="E54" s="58">
        <v>14.4</v>
      </c>
      <c r="F54" s="55" t="s">
        <v>2534</v>
      </c>
    </row>
    <row r="55" spans="1:6" ht="21.5" customHeight="1">
      <c r="A55" s="85" t="s">
        <v>3608</v>
      </c>
      <c r="B55" s="64" t="s">
        <v>2514</v>
      </c>
      <c r="C55" s="53"/>
      <c r="D55" s="102">
        <v>4202221000</v>
      </c>
      <c r="E55" s="53"/>
      <c r="F55" s="53"/>
    </row>
    <row r="56" spans="1:6" ht="11.25" customHeight="1">
      <c r="A56" s="118" t="s">
        <v>3609</v>
      </c>
      <c r="B56" s="59" t="s">
        <v>2593</v>
      </c>
      <c r="C56" s="52">
        <v>9</v>
      </c>
      <c r="D56" s="53"/>
      <c r="E56" s="58">
        <v>27</v>
      </c>
      <c r="F56" s="55" t="s">
        <v>2534</v>
      </c>
    </row>
    <row r="57" spans="1:6" ht="20" customHeight="1">
      <c r="A57" s="103" t="s">
        <v>3610</v>
      </c>
      <c r="B57" s="67" t="s">
        <v>2514</v>
      </c>
      <c r="C57" s="28"/>
      <c r="D57" s="104">
        <v>9111800000</v>
      </c>
      <c r="E57" s="28"/>
      <c r="F57" s="28"/>
    </row>
  </sheetData>
  <mergeCells count="4">
    <mergeCell ref="A29:B29"/>
    <mergeCell ref="A30:B30"/>
    <mergeCell ref="C30:E30"/>
    <mergeCell ref="A51:B51"/>
  </mergeCells>
  <pageMargins left="1.25" right="1.25" top="1" bottom="1" header="0.25" footer="0.2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2" enableFormatConditionsCalculation="0"/>
  <dimension ref="A7:F62"/>
  <sheetViews>
    <sheetView topLeftCell="A34" workbookViewId="0">
      <selection activeCell="C53" sqref="C53:D53"/>
    </sheetView>
  </sheetViews>
  <sheetFormatPr baseColWidth="10" defaultRowHeight="14" x14ac:dyDescent="0"/>
  <cols>
    <col min="1" max="1" width="64.1640625" customWidth="1"/>
    <col min="2" max="2" width="15" customWidth="1"/>
    <col min="3" max="3" width="11.33203125" customWidth="1"/>
    <col min="4" max="4" width="13.1640625" customWidth="1"/>
    <col min="5" max="5" width="16.1640625" customWidth="1"/>
    <col min="6" max="6" width="32.5" customWidth="1"/>
  </cols>
  <sheetData>
    <row r="7" spans="1:1">
      <c r="A7" s="25" t="s">
        <v>3611</v>
      </c>
    </row>
    <row r="8" spans="1:1">
      <c r="A8" s="24" t="s">
        <v>2495</v>
      </c>
    </row>
    <row r="9" spans="1:1">
      <c r="A9" s="25" t="s">
        <v>2496</v>
      </c>
    </row>
    <row r="10" spans="1:1">
      <c r="A10" s="25" t="s">
        <v>2497</v>
      </c>
    </row>
    <row r="11" spans="1:1">
      <c r="A11" s="25" t="s">
        <v>2498</v>
      </c>
    </row>
    <row r="12" spans="1:1">
      <c r="A12" s="25" t="s">
        <v>2499</v>
      </c>
    </row>
    <row r="15" spans="1:1">
      <c r="A15" s="24" t="s">
        <v>2490</v>
      </c>
    </row>
    <row r="16" spans="1:1">
      <c r="A16" s="24" t="s">
        <v>2491</v>
      </c>
    </row>
    <row r="17" spans="1:6">
      <c r="A17" s="24" t="s">
        <v>2492</v>
      </c>
    </row>
    <row r="18" spans="1:6">
      <c r="A18" s="24" t="s">
        <v>2493</v>
      </c>
    </row>
    <row r="20" spans="1:6">
      <c r="A20" s="26" t="s">
        <v>2500</v>
      </c>
    </row>
    <row r="22" spans="1:6">
      <c r="A22" s="24" t="s">
        <v>2607</v>
      </c>
    </row>
    <row r="23" spans="1:6">
      <c r="A23" s="24" t="s">
        <v>2608</v>
      </c>
    </row>
    <row r="24" spans="1:6">
      <c r="A24" s="24" t="s">
        <v>2609</v>
      </c>
    </row>
    <row r="25" spans="1:6">
      <c r="A25" s="24" t="s">
        <v>2509</v>
      </c>
    </row>
    <row r="26" spans="1:6">
      <c r="A26" s="25" t="s">
        <v>2510</v>
      </c>
    </row>
    <row r="27" spans="1:6">
      <c r="A27" s="24" t="s">
        <v>2511</v>
      </c>
    </row>
    <row r="28" spans="1:6" ht="13.75" customHeight="1">
      <c r="A28" s="99" t="s">
        <v>2512</v>
      </c>
      <c r="B28" s="28"/>
      <c r="C28" s="28"/>
      <c r="D28" s="28"/>
      <c r="E28" s="28"/>
      <c r="F28" s="28"/>
    </row>
    <row r="29" spans="1:6" ht="12" customHeight="1">
      <c r="A29" s="155" t="s">
        <v>2622</v>
      </c>
      <c r="B29" s="155"/>
      <c r="C29" s="72" t="s">
        <v>2623</v>
      </c>
      <c r="D29" s="105" t="s">
        <v>2624</v>
      </c>
      <c r="E29" s="100" t="s">
        <v>2625</v>
      </c>
      <c r="F29" s="72" t="s">
        <v>2626</v>
      </c>
    </row>
    <row r="30" spans="1:6" ht="13.75" customHeight="1">
      <c r="A30" s="152" t="s">
        <v>2684</v>
      </c>
      <c r="B30" s="152"/>
      <c r="C30" s="153" t="s">
        <v>2685</v>
      </c>
      <c r="D30" s="153"/>
      <c r="E30" s="153"/>
      <c r="F30" s="53"/>
    </row>
    <row r="31" spans="1:6" ht="14.5" customHeight="1">
      <c r="A31" s="122" t="s">
        <v>2553</v>
      </c>
      <c r="B31" s="53"/>
      <c r="C31" s="53"/>
      <c r="D31" s="53"/>
      <c r="E31" s="53"/>
      <c r="F31" s="53"/>
    </row>
    <row r="32" spans="1:6" ht="10.25" customHeight="1">
      <c r="A32" s="118" t="s">
        <v>3612</v>
      </c>
      <c r="B32" s="59" t="s">
        <v>2593</v>
      </c>
      <c r="C32" s="57">
        <v>19.32</v>
      </c>
      <c r="D32" s="53"/>
      <c r="E32" s="54">
        <v>57.96</v>
      </c>
      <c r="F32" s="55" t="s">
        <v>2534</v>
      </c>
    </row>
    <row r="33" spans="1:6" ht="21.5" customHeight="1">
      <c r="A33" s="85" t="s">
        <v>3613</v>
      </c>
      <c r="B33" s="120" t="s">
        <v>2514</v>
      </c>
      <c r="C33" s="53"/>
      <c r="D33" s="102">
        <v>4202321000</v>
      </c>
      <c r="E33" s="53"/>
      <c r="F33" s="53"/>
    </row>
    <row r="34" spans="1:6" ht="10.25" customHeight="1">
      <c r="A34" s="118" t="s">
        <v>3614</v>
      </c>
      <c r="B34" s="59" t="s">
        <v>2578</v>
      </c>
      <c r="C34" s="52">
        <v>1.92</v>
      </c>
      <c r="D34" s="53"/>
      <c r="E34" s="54">
        <v>11.52</v>
      </c>
      <c r="F34" s="55" t="s">
        <v>2534</v>
      </c>
    </row>
    <row r="35" spans="1:6" ht="22.25" customHeight="1">
      <c r="A35" s="85" t="s">
        <v>3615</v>
      </c>
      <c r="B35" s="120" t="s">
        <v>2514</v>
      </c>
      <c r="C35" s="53"/>
      <c r="D35" s="102">
        <v>91021100</v>
      </c>
      <c r="E35" s="53"/>
      <c r="F35" s="53"/>
    </row>
    <row r="36" spans="1:6" ht="10.25" customHeight="1">
      <c r="A36" s="118" t="s">
        <v>3616</v>
      </c>
      <c r="B36" s="59" t="s">
        <v>2584</v>
      </c>
      <c r="C36" s="52">
        <v>6.72</v>
      </c>
      <c r="D36" s="53"/>
      <c r="E36" s="54">
        <v>13.44</v>
      </c>
      <c r="F36" s="55" t="s">
        <v>2534</v>
      </c>
    </row>
    <row r="37" spans="1:6" ht="21.5" customHeight="1">
      <c r="A37" s="85" t="s">
        <v>3617</v>
      </c>
      <c r="B37" s="120" t="s">
        <v>2514</v>
      </c>
      <c r="C37" s="53"/>
      <c r="D37" s="102">
        <v>6307909810</v>
      </c>
      <c r="E37" s="53"/>
      <c r="F37" s="53"/>
    </row>
    <row r="38" spans="1:6" ht="10.25" customHeight="1">
      <c r="A38" s="118" t="s">
        <v>3618</v>
      </c>
      <c r="B38" s="59" t="s">
        <v>2584</v>
      </c>
      <c r="C38" s="57">
        <v>10.8</v>
      </c>
      <c r="D38" s="53"/>
      <c r="E38" s="58">
        <v>21.6</v>
      </c>
      <c r="F38" s="55" t="s">
        <v>2534</v>
      </c>
    </row>
    <row r="39" spans="1:6" ht="22.25" customHeight="1">
      <c r="A39" s="65" t="s">
        <v>3619</v>
      </c>
      <c r="B39" s="120" t="s">
        <v>2514</v>
      </c>
      <c r="C39" s="53"/>
      <c r="D39" s="102">
        <v>4202229090</v>
      </c>
      <c r="E39" s="53"/>
      <c r="F39" s="53"/>
    </row>
    <row r="40" spans="1:6" ht="10.25" customHeight="1">
      <c r="A40" s="118" t="s">
        <v>3620</v>
      </c>
      <c r="B40" s="59" t="s">
        <v>2584</v>
      </c>
      <c r="C40" s="57">
        <v>15.6</v>
      </c>
      <c r="D40" s="53"/>
      <c r="E40" s="58">
        <v>31.2</v>
      </c>
      <c r="F40" s="55" t="s">
        <v>2534</v>
      </c>
    </row>
    <row r="41" spans="1:6" ht="21.5" customHeight="1">
      <c r="A41" s="150" t="s">
        <v>3621</v>
      </c>
      <c r="B41" s="150"/>
      <c r="C41" s="53"/>
      <c r="D41" s="102">
        <v>6307909810</v>
      </c>
      <c r="E41" s="53"/>
      <c r="F41" s="53"/>
    </row>
    <row r="42" spans="1:6" ht="11.25" customHeight="1">
      <c r="A42" s="118" t="s">
        <v>3622</v>
      </c>
      <c r="B42" s="59" t="s">
        <v>2584</v>
      </c>
      <c r="C42" s="57">
        <v>12.72</v>
      </c>
      <c r="D42" s="53"/>
      <c r="E42" s="54">
        <v>25.44</v>
      </c>
      <c r="F42" s="55" t="s">
        <v>2534</v>
      </c>
    </row>
    <row r="43" spans="1:6" ht="21.5" customHeight="1">
      <c r="A43" s="65" t="s">
        <v>3623</v>
      </c>
      <c r="B43" s="120" t="s">
        <v>2514</v>
      </c>
      <c r="C43" s="53"/>
      <c r="D43" s="102">
        <v>4202229090</v>
      </c>
      <c r="E43" s="53"/>
      <c r="F43" s="53"/>
    </row>
    <row r="44" spans="1:6" ht="10.25" customHeight="1">
      <c r="A44" s="118" t="s">
        <v>3624</v>
      </c>
      <c r="B44" s="59" t="s">
        <v>2584</v>
      </c>
      <c r="C44" s="57">
        <v>15.6</v>
      </c>
      <c r="D44" s="53"/>
      <c r="E44" s="58">
        <v>31.2</v>
      </c>
      <c r="F44" s="55" t="s">
        <v>2534</v>
      </c>
    </row>
    <row r="45" spans="1:6" ht="28" customHeight="1">
      <c r="A45" s="65" t="s">
        <v>3625</v>
      </c>
      <c r="B45" s="41" t="s">
        <v>2514</v>
      </c>
      <c r="C45" s="53"/>
      <c r="D45" s="128">
        <v>6307909810</v>
      </c>
      <c r="E45" s="53"/>
      <c r="F45" s="53"/>
    </row>
    <row r="46" spans="1:6" ht="11.25" customHeight="1">
      <c r="A46" s="122" t="s">
        <v>3626</v>
      </c>
      <c r="B46" s="53"/>
      <c r="C46" s="53"/>
      <c r="D46" s="53"/>
      <c r="E46" s="53"/>
      <c r="F46" s="53"/>
    </row>
    <row r="47" spans="1:6" ht="14.5" customHeight="1">
      <c r="A47" s="122" t="s">
        <v>3627</v>
      </c>
      <c r="B47" s="53"/>
      <c r="C47" s="53"/>
      <c r="D47" s="53"/>
      <c r="E47" s="53"/>
      <c r="F47" s="53"/>
    </row>
    <row r="48" spans="1:6" ht="10.25" customHeight="1">
      <c r="A48" s="118" t="s">
        <v>3628</v>
      </c>
      <c r="B48" s="59" t="s">
        <v>3629</v>
      </c>
      <c r="C48" s="129">
        <v>300</v>
      </c>
      <c r="D48" s="53"/>
      <c r="E48" s="112">
        <v>300</v>
      </c>
      <c r="F48" s="55" t="s">
        <v>2534</v>
      </c>
    </row>
    <row r="50" spans="1:6">
      <c r="A50" s="25" t="s">
        <v>3630</v>
      </c>
    </row>
    <row r="52" spans="1:6" ht="16" customHeight="1">
      <c r="A52" s="53"/>
      <c r="B52" s="53"/>
      <c r="C52" s="53"/>
      <c r="D52" s="130" t="s">
        <v>3631</v>
      </c>
      <c r="E52" s="53"/>
      <c r="F52" s="53"/>
    </row>
    <row r="53" spans="1:6" ht="11.25" customHeight="1">
      <c r="A53" s="53"/>
      <c r="B53" s="53"/>
      <c r="C53" s="162" t="s">
        <v>3632</v>
      </c>
      <c r="D53" s="162"/>
      <c r="E53" s="53"/>
      <c r="F53" s="53"/>
    </row>
    <row r="54" spans="1:6" ht="30.5" customHeight="1">
      <c r="A54" s="101" t="s">
        <v>3633</v>
      </c>
      <c r="B54" s="131" t="s">
        <v>3634</v>
      </c>
      <c r="C54" s="161" t="s">
        <v>3635</v>
      </c>
      <c r="D54" s="161"/>
      <c r="E54" s="118" t="s">
        <v>3636</v>
      </c>
      <c r="F54" s="132" t="s">
        <v>3637</v>
      </c>
    </row>
    <row r="55" spans="1:6" ht="10.25" customHeight="1">
      <c r="A55" s="133">
        <v>420222909</v>
      </c>
      <c r="B55" s="134" t="s">
        <v>3638</v>
      </c>
      <c r="C55" s="135">
        <v>25.721</v>
      </c>
      <c r="D55" s="136" t="s">
        <v>2536</v>
      </c>
      <c r="E55" s="137">
        <v>232</v>
      </c>
      <c r="F55" s="138">
        <v>2508.84</v>
      </c>
    </row>
    <row r="56" spans="1:6" ht="9.5" customHeight="1">
      <c r="A56" s="53"/>
      <c r="B56" s="139" t="s">
        <v>3639</v>
      </c>
      <c r="C56" s="135">
        <v>25.721</v>
      </c>
      <c r="D56" s="53"/>
      <c r="E56" s="53"/>
      <c r="F56" s="138">
        <v>2508.84</v>
      </c>
    </row>
    <row r="57" spans="1:6" ht="10.25" customHeight="1">
      <c r="A57" s="133">
        <v>420232100</v>
      </c>
      <c r="B57" s="134" t="s">
        <v>3638</v>
      </c>
      <c r="C57" s="135">
        <v>3.9350000000000001</v>
      </c>
      <c r="D57" s="136" t="s">
        <v>2536</v>
      </c>
      <c r="E57" s="140">
        <v>41</v>
      </c>
      <c r="F57" s="138">
        <v>523.32000000000005</v>
      </c>
    </row>
    <row r="58" spans="1:6" ht="9.5" customHeight="1">
      <c r="A58" s="53"/>
      <c r="B58" s="139" t="s">
        <v>3639</v>
      </c>
      <c r="C58" s="135">
        <v>3.9350000000000001</v>
      </c>
      <c r="D58" s="53"/>
      <c r="E58" s="53"/>
      <c r="F58" s="138">
        <v>523.32000000000005</v>
      </c>
    </row>
    <row r="59" spans="1:6" ht="10.25" customHeight="1">
      <c r="A59" s="133">
        <v>420292110</v>
      </c>
      <c r="B59" s="134" t="s">
        <v>3638</v>
      </c>
      <c r="C59" s="135">
        <v>2.577</v>
      </c>
      <c r="D59" s="136" t="s">
        <v>2536</v>
      </c>
      <c r="E59" s="137">
        <v>7</v>
      </c>
      <c r="F59" s="141">
        <v>205.8</v>
      </c>
    </row>
    <row r="60" spans="1:6" ht="9.5" customHeight="1">
      <c r="A60" s="53"/>
      <c r="B60" s="139" t="s">
        <v>3639</v>
      </c>
      <c r="C60" s="135">
        <v>2.577</v>
      </c>
      <c r="D60" s="53"/>
      <c r="E60" s="53"/>
      <c r="F60" s="141">
        <v>205.8</v>
      </c>
    </row>
    <row r="61" spans="1:6" ht="10.25" customHeight="1">
      <c r="A61" s="133">
        <v>420292919</v>
      </c>
      <c r="B61" s="134" t="s">
        <v>3638</v>
      </c>
      <c r="C61" s="135">
        <v>1.8340000000000001</v>
      </c>
      <c r="D61" s="136" t="s">
        <v>2536</v>
      </c>
      <c r="E61" s="137">
        <v>8</v>
      </c>
      <c r="F61" s="138">
        <v>211.44</v>
      </c>
    </row>
    <row r="62" spans="1:6" ht="9.5" customHeight="1">
      <c r="A62" s="28"/>
      <c r="B62" s="142" t="s">
        <v>3639</v>
      </c>
      <c r="C62" s="143">
        <v>1.8340000000000001</v>
      </c>
      <c r="D62" s="28"/>
      <c r="E62" s="28"/>
      <c r="F62" s="144">
        <v>211.44</v>
      </c>
    </row>
  </sheetData>
  <dataConsolidate/>
  <mergeCells count="6">
    <mergeCell ref="C54:D54"/>
    <mergeCell ref="A29:B29"/>
    <mergeCell ref="A30:B30"/>
    <mergeCell ref="C30:E30"/>
    <mergeCell ref="A41:B41"/>
    <mergeCell ref="C53:D53"/>
  </mergeCells>
  <pageMargins left="1.25" right="1.25" top="1" bottom="1" header="0.25" footer="0.2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3" enableFormatConditionsCalculation="0"/>
  <dimension ref="A1:O16"/>
  <sheetViews>
    <sheetView workbookViewId="0">
      <selection sqref="A1:D1"/>
    </sheetView>
  </sheetViews>
  <sheetFormatPr baseColWidth="10" defaultRowHeight="14" x14ac:dyDescent="0"/>
  <cols>
    <col min="1" max="1" width="3.1640625" customWidth="1"/>
    <col min="2" max="2" width="1.83203125" customWidth="1"/>
    <col min="3" max="3" width="18" customWidth="1"/>
    <col min="4" max="4" width="1.5" customWidth="1"/>
    <col min="5" max="5" width="16.5" customWidth="1"/>
    <col min="6" max="6" width="10.1640625" customWidth="1"/>
    <col min="7" max="7" width="3.83203125" customWidth="1"/>
    <col min="8" max="8" width="13.1640625" customWidth="1"/>
    <col min="9" max="9" width="4.33203125" customWidth="1"/>
    <col min="10" max="10" width="1.5" customWidth="1"/>
    <col min="11" max="11" width="11.1640625" customWidth="1"/>
    <col min="12" max="12" width="8.6640625" customWidth="1"/>
    <col min="13" max="13" width="8.5" customWidth="1"/>
    <col min="14" max="14" width="11.1640625" customWidth="1"/>
    <col min="15" max="15" width="7.5" customWidth="1"/>
  </cols>
  <sheetData>
    <row r="1" spans="1:15" ht="22.25" customHeight="1">
      <c r="A1" s="164"/>
      <c r="B1" s="164"/>
      <c r="C1" s="164"/>
      <c r="D1" s="164"/>
      <c r="E1" s="165" t="s">
        <v>3640</v>
      </c>
      <c r="F1" s="165"/>
      <c r="G1" s="165"/>
      <c r="H1" s="165"/>
      <c r="I1" s="165"/>
      <c r="J1" s="165"/>
      <c r="K1" s="165"/>
      <c r="L1" s="165"/>
      <c r="M1" s="165"/>
      <c r="N1" s="165"/>
      <c r="O1" s="165"/>
    </row>
    <row r="2" spans="1:15" ht="49.75" customHeight="1">
      <c r="A2" s="166"/>
      <c r="B2" s="166"/>
      <c r="C2" s="166"/>
      <c r="D2" s="166"/>
      <c r="E2" s="167"/>
      <c r="F2" s="167"/>
      <c r="G2" s="167"/>
      <c r="H2" s="167"/>
      <c r="I2" s="167"/>
      <c r="J2" s="167"/>
      <c r="K2" s="168" t="s">
        <v>3641</v>
      </c>
      <c r="L2" s="168"/>
      <c r="M2" s="168"/>
      <c r="N2" s="168"/>
      <c r="O2" s="145"/>
    </row>
    <row r="3" spans="1:15" ht="9.5" customHeight="1">
      <c r="A3" s="169"/>
      <c r="B3" s="169"/>
      <c r="C3" s="169"/>
      <c r="D3" s="169"/>
      <c r="E3" s="169"/>
      <c r="F3" s="169"/>
      <c r="G3" s="169"/>
      <c r="H3" s="169"/>
      <c r="I3" s="169"/>
      <c r="J3" s="169"/>
      <c r="K3" s="169"/>
      <c r="L3" s="169"/>
      <c r="M3" s="169"/>
      <c r="N3" s="169"/>
      <c r="O3" s="169"/>
    </row>
    <row r="4" spans="1:15" ht="10.25" customHeight="1">
      <c r="A4" s="170" t="s">
        <v>2490</v>
      </c>
      <c r="B4" s="170"/>
      <c r="C4" s="170"/>
      <c r="D4" s="170"/>
      <c r="E4" s="170"/>
      <c r="F4" s="170"/>
      <c r="G4" s="170"/>
      <c r="H4" s="171"/>
      <c r="I4" s="171"/>
      <c r="J4" s="171"/>
      <c r="K4" s="171"/>
      <c r="L4" s="171"/>
      <c r="M4" s="171"/>
      <c r="N4" s="171"/>
      <c r="O4" s="171"/>
    </row>
    <row r="5" spans="1:15" ht="36.75" customHeight="1">
      <c r="A5" s="172" t="s">
        <v>3642</v>
      </c>
      <c r="B5" s="172"/>
      <c r="C5" s="172"/>
      <c r="D5" s="172"/>
      <c r="E5" s="172"/>
      <c r="F5" s="172"/>
      <c r="G5" s="172"/>
      <c r="H5" s="173"/>
      <c r="I5" s="173"/>
      <c r="J5" s="174" t="s">
        <v>3643</v>
      </c>
      <c r="K5" s="174"/>
      <c r="L5" s="174"/>
      <c r="M5" s="174"/>
      <c r="N5" s="174"/>
      <c r="O5" s="174"/>
    </row>
    <row r="6" spans="1:15" ht="37.75" customHeight="1">
      <c r="A6" s="163" t="s">
        <v>3644</v>
      </c>
      <c r="B6" s="163"/>
      <c r="C6" s="163"/>
      <c r="D6" s="163"/>
      <c r="E6" s="163"/>
      <c r="F6" s="163"/>
      <c r="G6" s="163"/>
      <c r="H6" s="163"/>
      <c r="I6" s="163"/>
      <c r="J6" s="163"/>
      <c r="K6" s="163"/>
      <c r="L6" s="163"/>
      <c r="M6" s="163"/>
      <c r="N6" s="163"/>
      <c r="O6" s="163"/>
    </row>
    <row r="7" spans="1:15" ht="40.75" customHeight="1">
      <c r="A7" s="175" t="s">
        <v>3645</v>
      </c>
      <c r="B7" s="175"/>
      <c r="C7" s="175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</row>
    <row r="8" spans="1:15" ht="218.5" customHeight="1">
      <c r="A8" s="176" t="s">
        <v>3646</v>
      </c>
      <c r="B8" s="176"/>
      <c r="C8" s="176"/>
      <c r="D8" s="176"/>
      <c r="E8" s="176"/>
      <c r="F8" s="176"/>
      <c r="G8" s="176"/>
      <c r="H8" s="176"/>
      <c r="I8" s="176"/>
      <c r="J8" s="176"/>
      <c r="K8" s="176"/>
      <c r="L8" s="176"/>
      <c r="M8" s="176"/>
      <c r="N8" s="176"/>
      <c r="O8" s="176"/>
    </row>
    <row r="9" spans="1:15" ht="8.75" customHeight="1">
      <c r="A9" s="145"/>
      <c r="B9" s="177" t="s">
        <v>2626</v>
      </c>
      <c r="C9" s="177"/>
      <c r="D9" s="177"/>
      <c r="E9" s="177"/>
      <c r="F9" s="177"/>
      <c r="G9" s="178" t="s">
        <v>3647</v>
      </c>
      <c r="H9" s="178"/>
      <c r="I9" s="178" t="s">
        <v>3648</v>
      </c>
      <c r="J9" s="178"/>
      <c r="K9" s="178"/>
      <c r="L9" s="178" t="s">
        <v>3649</v>
      </c>
      <c r="M9" s="178"/>
      <c r="N9" s="173"/>
      <c r="O9" s="173"/>
    </row>
    <row r="10" spans="1:15" ht="24" customHeight="1">
      <c r="A10" s="179" t="s">
        <v>3650</v>
      </c>
      <c r="B10" s="179"/>
      <c r="C10" s="179"/>
      <c r="D10" s="179"/>
      <c r="E10" s="179"/>
      <c r="F10" s="179"/>
      <c r="G10" s="179"/>
      <c r="H10" s="179"/>
      <c r="I10" s="179"/>
      <c r="J10" s="179"/>
      <c r="K10" s="179"/>
      <c r="L10" s="179"/>
      <c r="M10" s="179"/>
      <c r="N10" s="179"/>
      <c r="O10" s="179"/>
    </row>
    <row r="11" spans="1:15" ht="9.5" customHeight="1">
      <c r="A11" s="173"/>
      <c r="B11" s="173"/>
      <c r="C11" s="146" t="s">
        <v>3651</v>
      </c>
      <c r="D11" s="178" t="s">
        <v>3652</v>
      </c>
      <c r="E11" s="178"/>
      <c r="F11" s="173"/>
      <c r="G11" s="173"/>
      <c r="H11" s="173"/>
      <c r="I11" s="173"/>
      <c r="J11" s="173"/>
      <c r="K11" s="173"/>
      <c r="L11" s="173"/>
      <c r="M11" s="173"/>
      <c r="N11" s="173"/>
      <c r="O11" s="173"/>
    </row>
    <row r="12" spans="1:15" ht="12.75" customHeight="1">
      <c r="A12" s="180" t="s">
        <v>3653</v>
      </c>
      <c r="B12" s="180"/>
      <c r="C12" s="180"/>
      <c r="D12" s="180"/>
      <c r="E12" s="180"/>
      <c r="F12" s="180"/>
      <c r="G12" s="180"/>
      <c r="H12" s="180"/>
      <c r="I12" s="180"/>
      <c r="J12" s="180"/>
      <c r="K12" s="180"/>
      <c r="L12" s="180"/>
      <c r="M12" s="180"/>
      <c r="N12" s="180"/>
      <c r="O12" s="180"/>
    </row>
    <row r="13" spans="1:15" ht="16" customHeight="1">
      <c r="A13" s="170" t="s">
        <v>3654</v>
      </c>
      <c r="B13" s="170"/>
      <c r="C13" s="170"/>
      <c r="D13" s="170"/>
      <c r="E13" s="170"/>
      <c r="F13" s="170"/>
      <c r="G13" s="170"/>
      <c r="H13" s="170"/>
      <c r="I13" s="170"/>
      <c r="J13" s="170"/>
      <c r="K13" s="170"/>
      <c r="L13" s="170"/>
      <c r="M13" s="170"/>
      <c r="N13" s="170"/>
      <c r="O13" s="170"/>
    </row>
    <row r="14" spans="1:15" ht="13.75" customHeight="1">
      <c r="A14" s="181" t="s">
        <v>3655</v>
      </c>
      <c r="B14" s="181"/>
      <c r="C14" s="181"/>
      <c r="D14" s="181"/>
      <c r="E14" s="181"/>
      <c r="F14" s="181"/>
      <c r="G14" s="181"/>
      <c r="H14" s="181"/>
      <c r="I14" s="181"/>
      <c r="J14" s="181"/>
      <c r="K14" s="181"/>
      <c r="L14" s="181"/>
      <c r="M14" s="182" t="s">
        <v>3656</v>
      </c>
      <c r="N14" s="182"/>
      <c r="O14" s="182"/>
    </row>
    <row r="15" spans="1:15" ht="34.25" customHeight="1">
      <c r="A15" s="183" t="s">
        <v>3657</v>
      </c>
      <c r="B15" s="183"/>
      <c r="C15" s="183"/>
      <c r="D15" s="183"/>
      <c r="E15" s="183"/>
      <c r="F15" s="183"/>
      <c r="G15" s="183"/>
      <c r="H15" s="183"/>
      <c r="I15" s="183"/>
      <c r="J15" s="183"/>
      <c r="K15" s="183"/>
      <c r="L15" s="183"/>
      <c r="M15" s="184" t="s">
        <v>3658</v>
      </c>
      <c r="N15" s="184"/>
      <c r="O15" s="184"/>
    </row>
    <row r="16" spans="1:15" ht="4" customHeight="1">
      <c r="A16" s="169"/>
      <c r="B16" s="169"/>
      <c r="C16" s="169"/>
      <c r="D16" s="169"/>
      <c r="E16" s="169"/>
      <c r="F16" s="169"/>
      <c r="G16" s="169"/>
      <c r="H16" s="169"/>
      <c r="I16" s="169"/>
      <c r="J16" s="169"/>
      <c r="K16" s="169"/>
      <c r="L16" s="169"/>
      <c r="M16" s="169"/>
      <c r="N16" s="169"/>
      <c r="O16" s="169"/>
    </row>
  </sheetData>
  <dataConsolidate/>
  <mergeCells count="30">
    <mergeCell ref="A14:L14"/>
    <mergeCell ref="M14:O14"/>
    <mergeCell ref="A15:L15"/>
    <mergeCell ref="M15:O15"/>
    <mergeCell ref="A16:O16"/>
    <mergeCell ref="A13:O13"/>
    <mergeCell ref="A7:O7"/>
    <mergeCell ref="A8:O8"/>
    <mergeCell ref="B9:F9"/>
    <mergeCell ref="G9:H9"/>
    <mergeCell ref="I9:K9"/>
    <mergeCell ref="L9:M9"/>
    <mergeCell ref="N9:O9"/>
    <mergeCell ref="A10:O10"/>
    <mergeCell ref="A11:B11"/>
    <mergeCell ref="D11:E11"/>
    <mergeCell ref="F11:O11"/>
    <mergeCell ref="A12:O12"/>
    <mergeCell ref="A6:O6"/>
    <mergeCell ref="A1:D1"/>
    <mergeCell ref="E1:O1"/>
    <mergeCell ref="A2:D2"/>
    <mergeCell ref="E2:J2"/>
    <mergeCell ref="K2:N2"/>
    <mergeCell ref="A3:O3"/>
    <mergeCell ref="A4:G4"/>
    <mergeCell ref="H4:O4"/>
    <mergeCell ref="A5:G5"/>
    <mergeCell ref="H5:I5"/>
    <mergeCell ref="J5:O5"/>
  </mergeCells>
  <pageMargins left="1.25" right="1.25" top="1" bottom="1" header="0.25" footer="0.25"/>
  <extLst>
    <ext xmlns:mx="http://schemas.microsoft.com/office/mac/excel/2008/main" uri="{64002731-A6B0-56B0-2670-7721B7C09600}">
      <mx:PLV Mode="0" OnePage="0" WScale="0"/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4" enableFormatConditionsCalculation="0"/>
  <dimension ref="A1:M19"/>
  <sheetViews>
    <sheetView workbookViewId="0"/>
  </sheetViews>
  <sheetFormatPr baseColWidth="10" defaultRowHeight="14" x14ac:dyDescent="0"/>
  <cols>
    <col min="1" max="1" width="22.33203125" customWidth="1"/>
    <col min="2" max="2" width="5.83203125" customWidth="1"/>
    <col min="3" max="3" width="1.1640625" customWidth="1"/>
    <col min="4" max="4" width="23.1640625" customWidth="1"/>
    <col min="5" max="5" width="10.83203125" customWidth="1"/>
    <col min="6" max="6" width="0.83203125" customWidth="1"/>
    <col min="7" max="7" width="6.83203125" customWidth="1"/>
    <col min="8" max="8" width="1.5" customWidth="1"/>
    <col min="9" max="9" width="30.33203125" customWidth="1"/>
    <col min="10" max="10" width="0.83203125" customWidth="1"/>
    <col min="11" max="11" width="8" customWidth="1"/>
    <col min="12" max="12" width="5.33203125" customWidth="1"/>
    <col min="13" max="13" width="2.83203125" customWidth="1"/>
  </cols>
  <sheetData>
    <row r="1" spans="1:13" ht="22.25" customHeight="1">
      <c r="A1" s="147"/>
      <c r="B1" s="165" t="s">
        <v>3659</v>
      </c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</row>
    <row r="2" spans="1:13" ht="49.75" customHeight="1">
      <c r="A2" s="148"/>
      <c r="B2" s="167"/>
      <c r="C2" s="167"/>
      <c r="D2" s="167"/>
      <c r="E2" s="167"/>
      <c r="F2" s="167"/>
      <c r="G2" s="167"/>
      <c r="H2" s="167"/>
      <c r="I2" s="168" t="s">
        <v>3641</v>
      </c>
      <c r="J2" s="168"/>
      <c r="K2" s="168"/>
      <c r="L2" s="173"/>
      <c r="M2" s="173"/>
    </row>
    <row r="3" spans="1:13" ht="9.5" customHeight="1">
      <c r="A3" s="169"/>
      <c r="B3" s="169"/>
      <c r="C3" s="169"/>
      <c r="D3" s="169"/>
      <c r="E3" s="169"/>
      <c r="F3" s="169"/>
      <c r="G3" s="169"/>
      <c r="H3" s="169"/>
      <c r="I3" s="169"/>
      <c r="J3" s="169"/>
      <c r="K3" s="169"/>
      <c r="L3" s="169"/>
      <c r="M3" s="169"/>
    </row>
    <row r="4" spans="1:13" ht="10.25" customHeight="1">
      <c r="A4" s="170" t="s">
        <v>2490</v>
      </c>
      <c r="B4" s="170"/>
      <c r="C4" s="170"/>
      <c r="D4" s="170"/>
      <c r="E4" s="171"/>
      <c r="F4" s="171"/>
      <c r="G4" s="171"/>
      <c r="H4" s="171"/>
      <c r="I4" s="171"/>
      <c r="J4" s="171"/>
      <c r="K4" s="171"/>
      <c r="L4" s="171"/>
      <c r="M4" s="171"/>
    </row>
    <row r="5" spans="1:13" ht="36.75" customHeight="1">
      <c r="A5" s="172" t="s">
        <v>3642</v>
      </c>
      <c r="B5" s="172"/>
      <c r="C5" s="172"/>
      <c r="D5" s="172"/>
      <c r="E5" s="173"/>
      <c r="F5" s="173"/>
      <c r="G5" s="173"/>
      <c r="H5" s="174" t="s">
        <v>3643</v>
      </c>
      <c r="I5" s="174"/>
      <c r="J5" s="174"/>
      <c r="K5" s="174"/>
      <c r="L5" s="174"/>
      <c r="M5" s="174"/>
    </row>
    <row r="6" spans="1:13" ht="37.75" customHeight="1">
      <c r="A6" s="163" t="s">
        <v>3644</v>
      </c>
      <c r="B6" s="163"/>
      <c r="C6" s="163"/>
      <c r="D6" s="163"/>
      <c r="E6" s="163"/>
      <c r="F6" s="163"/>
      <c r="G6" s="163"/>
      <c r="H6" s="163"/>
      <c r="I6" s="163"/>
      <c r="J6" s="163"/>
      <c r="K6" s="163"/>
      <c r="L6" s="163"/>
      <c r="M6" s="163"/>
    </row>
    <row r="7" spans="1:13" ht="40.75" customHeight="1">
      <c r="A7" s="163" t="s">
        <v>3645</v>
      </c>
      <c r="B7" s="163"/>
      <c r="C7" s="163"/>
      <c r="D7" s="163"/>
      <c r="E7" s="163"/>
      <c r="F7" s="163"/>
      <c r="G7" s="163"/>
      <c r="H7" s="163"/>
      <c r="I7" s="163"/>
      <c r="J7" s="163"/>
      <c r="K7" s="163"/>
      <c r="L7" s="163"/>
      <c r="M7" s="163"/>
    </row>
    <row r="8" spans="1:13" ht="9.5" customHeight="1">
      <c r="A8" s="185" t="s">
        <v>3660</v>
      </c>
      <c r="B8" s="185"/>
      <c r="C8" s="185"/>
      <c r="D8" s="185"/>
      <c r="E8" s="185"/>
      <c r="F8" s="185"/>
      <c r="G8" s="185"/>
      <c r="H8" s="185"/>
      <c r="I8" s="185"/>
      <c r="J8" s="185"/>
      <c r="K8" s="185"/>
      <c r="L8" s="185"/>
      <c r="M8" s="185"/>
    </row>
    <row r="9" spans="1:13" ht="18.5" customHeight="1">
      <c r="A9" s="187" t="s">
        <v>3661</v>
      </c>
      <c r="B9" s="187"/>
      <c r="C9" s="188" t="s">
        <v>3662</v>
      </c>
      <c r="D9" s="188"/>
      <c r="E9" s="188"/>
      <c r="F9" s="188"/>
      <c r="G9" s="188"/>
      <c r="H9" s="188"/>
      <c r="I9" s="188"/>
      <c r="J9" s="188"/>
      <c r="K9" s="169"/>
      <c r="L9" s="169"/>
      <c r="M9" s="169"/>
    </row>
    <row r="10" spans="1:13" ht="17.5" customHeight="1">
      <c r="A10" s="189" t="s">
        <v>3663</v>
      </c>
      <c r="B10" s="189"/>
      <c r="C10" s="189"/>
      <c r="D10" s="190" t="s">
        <v>2514</v>
      </c>
      <c r="E10" s="190"/>
      <c r="F10" s="190"/>
      <c r="G10" s="190"/>
      <c r="H10" s="190"/>
      <c r="I10" s="190"/>
      <c r="J10" s="190"/>
      <c r="K10" s="169"/>
      <c r="L10" s="169"/>
      <c r="M10" s="169"/>
    </row>
    <row r="11" spans="1:13" ht="7.25" customHeight="1">
      <c r="A11" s="191"/>
      <c r="B11" s="191"/>
      <c r="C11" s="169"/>
      <c r="D11" s="169"/>
      <c r="E11" s="169"/>
      <c r="F11" s="169"/>
      <c r="G11" s="169"/>
      <c r="H11" s="169"/>
      <c r="I11" s="169"/>
      <c r="J11" s="169"/>
      <c r="K11" s="169"/>
      <c r="L11" s="169"/>
      <c r="M11" s="169"/>
    </row>
    <row r="12" spans="1:13" ht="29.5" customHeight="1">
      <c r="A12" s="171"/>
      <c r="B12" s="171"/>
      <c r="C12" s="192" t="s">
        <v>3664</v>
      </c>
      <c r="D12" s="192"/>
      <c r="E12" s="192"/>
      <c r="F12" s="192"/>
      <c r="G12" s="192"/>
      <c r="H12" s="192"/>
      <c r="I12" s="192"/>
      <c r="J12" s="191"/>
      <c r="K12" s="191"/>
      <c r="L12" s="191"/>
      <c r="M12" s="191"/>
    </row>
    <row r="13" spans="1:13" ht="16.75" customHeight="1">
      <c r="A13" s="171"/>
      <c r="B13" s="171"/>
      <c r="C13" s="186" t="s">
        <v>3665</v>
      </c>
      <c r="D13" s="186"/>
      <c r="E13" s="186"/>
      <c r="F13" s="186"/>
      <c r="G13" s="186"/>
      <c r="H13" s="186"/>
      <c r="I13" s="186"/>
      <c r="J13" s="171"/>
      <c r="K13" s="171"/>
      <c r="L13" s="171"/>
      <c r="M13" s="171"/>
    </row>
    <row r="14" spans="1:13" ht="8" customHeight="1">
      <c r="A14" s="173"/>
      <c r="B14" s="173"/>
      <c r="C14" s="193" t="s">
        <v>3666</v>
      </c>
      <c r="D14" s="193"/>
      <c r="E14" s="193"/>
      <c r="F14" s="193"/>
      <c r="G14" s="193"/>
      <c r="H14" s="193"/>
      <c r="I14" s="193"/>
      <c r="J14" s="173"/>
      <c r="K14" s="173"/>
      <c r="L14" s="173"/>
      <c r="M14" s="173"/>
    </row>
    <row r="15" spans="1:13" ht="29.5" customHeight="1">
      <c r="A15" s="169"/>
      <c r="B15" s="169"/>
      <c r="C15" s="169"/>
      <c r="D15" s="169"/>
      <c r="E15" s="169"/>
      <c r="F15" s="169"/>
      <c r="G15" s="169"/>
      <c r="H15" s="169"/>
      <c r="I15" s="169"/>
      <c r="J15" s="169"/>
      <c r="K15" s="169"/>
      <c r="L15" s="169"/>
      <c r="M15" s="169"/>
    </row>
    <row r="16" spans="1:13" ht="9.5" customHeight="1">
      <c r="A16" s="194" t="s">
        <v>3667</v>
      </c>
      <c r="B16" s="194"/>
      <c r="C16" s="194"/>
      <c r="D16" s="194"/>
      <c r="E16" s="194"/>
      <c r="F16" s="177" t="s">
        <v>2514</v>
      </c>
      <c r="G16" s="177"/>
      <c r="H16" s="177"/>
      <c r="I16" s="177"/>
      <c r="J16" s="177"/>
      <c r="K16" s="177"/>
      <c r="L16" s="177"/>
      <c r="M16" s="149"/>
    </row>
    <row r="17" spans="1:13" ht="10.25" customHeight="1">
      <c r="A17" s="169"/>
      <c r="B17" s="169"/>
      <c r="C17" s="169"/>
      <c r="D17" s="169"/>
      <c r="E17" s="169"/>
      <c r="F17" s="169"/>
      <c r="G17" s="169"/>
      <c r="H17" s="169"/>
      <c r="I17" s="169"/>
      <c r="J17" s="169"/>
      <c r="K17" s="169"/>
      <c r="L17" s="169"/>
      <c r="M17" s="149"/>
    </row>
    <row r="18" spans="1:13" ht="21.5" customHeight="1">
      <c r="A18" s="175" t="s">
        <v>3668</v>
      </c>
      <c r="B18" s="175"/>
      <c r="C18" s="175"/>
      <c r="D18" s="175"/>
      <c r="E18" s="175"/>
      <c r="F18" s="175"/>
      <c r="G18" s="190" t="s">
        <v>2514</v>
      </c>
      <c r="H18" s="190"/>
      <c r="I18" s="190"/>
      <c r="J18" s="190"/>
      <c r="K18" s="190"/>
      <c r="L18" s="190"/>
      <c r="M18" s="145"/>
    </row>
    <row r="19" spans="1:13" ht="8.75" customHeight="1">
      <c r="A19" s="169"/>
      <c r="B19" s="169"/>
      <c r="C19" s="169"/>
      <c r="D19" s="169"/>
      <c r="E19" s="169"/>
      <c r="F19" s="169"/>
      <c r="G19" s="169"/>
      <c r="H19" s="169"/>
      <c r="I19" s="169"/>
      <c r="J19" s="169"/>
      <c r="K19" s="169"/>
      <c r="L19" s="169"/>
      <c r="M19" s="169"/>
    </row>
  </sheetData>
  <mergeCells count="38">
    <mergeCell ref="A17:F17"/>
    <mergeCell ref="G17:L17"/>
    <mergeCell ref="A18:F18"/>
    <mergeCell ref="G18:L18"/>
    <mergeCell ref="A19:M19"/>
    <mergeCell ref="A14:B14"/>
    <mergeCell ref="C14:I14"/>
    <mergeCell ref="J14:M14"/>
    <mergeCell ref="A15:M15"/>
    <mergeCell ref="A16:E16"/>
    <mergeCell ref="F16:L16"/>
    <mergeCell ref="A13:B13"/>
    <mergeCell ref="C13:I13"/>
    <mergeCell ref="J13:M13"/>
    <mergeCell ref="A9:B9"/>
    <mergeCell ref="C9:J9"/>
    <mergeCell ref="K9:M9"/>
    <mergeCell ref="A10:C10"/>
    <mergeCell ref="D10:J10"/>
    <mergeCell ref="K10:M10"/>
    <mergeCell ref="A11:B11"/>
    <mergeCell ref="C11:M11"/>
    <mergeCell ref="A12:B12"/>
    <mergeCell ref="C12:I12"/>
    <mergeCell ref="J12:M12"/>
    <mergeCell ref="A8:M8"/>
    <mergeCell ref="B1:M1"/>
    <mergeCell ref="B2:H2"/>
    <mergeCell ref="I2:K2"/>
    <mergeCell ref="L2:M2"/>
    <mergeCell ref="A3:M3"/>
    <mergeCell ref="A4:D4"/>
    <mergeCell ref="E4:M4"/>
    <mergeCell ref="A5:D5"/>
    <mergeCell ref="E5:G5"/>
    <mergeCell ref="H5:M5"/>
    <mergeCell ref="A6:M6"/>
    <mergeCell ref="A7:M7"/>
  </mergeCells>
  <pageMargins left="1.25" right="1.25" top="1" bottom="1" header="0.25" footer="0.2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48</vt:i4>
      </vt:variant>
    </vt:vector>
  </HeadingPairs>
  <TitlesOfParts>
    <vt:vector size="48" baseType="lpstr">
      <vt:lpstr>Mode d'emploi</vt:lpstr>
      <vt:lpstr>Synthèse par catalogue</vt:lpstr>
      <vt:lpstr>Codes Barre</vt:lpstr>
      <vt:lpstr>Synthèse Codes Barre</vt:lpstr>
      <vt:lpstr>LISTCBARRE_VALMAG</vt:lpstr>
      <vt:lpstr>Couleurs</vt:lpstr>
      <vt:lpstr>Feuil1</vt:lpstr>
      <vt:lpstr>Extraction</vt:lpstr>
      <vt:lpstr>Feuille1</vt:lpstr>
      <vt:lpstr>Feuille2</vt:lpstr>
      <vt:lpstr>Feuille3</vt:lpstr>
      <vt:lpstr>Feuille4</vt:lpstr>
      <vt:lpstr>Feuille5</vt:lpstr>
      <vt:lpstr>Feuille6</vt:lpstr>
      <vt:lpstr>Feuille7</vt:lpstr>
      <vt:lpstr>Feuille8</vt:lpstr>
      <vt:lpstr>Feuille9</vt:lpstr>
      <vt:lpstr>Feuille10</vt:lpstr>
      <vt:lpstr>Feuille11</vt:lpstr>
      <vt:lpstr>Feuille12</vt:lpstr>
      <vt:lpstr>Feuille13</vt:lpstr>
      <vt:lpstr>Feuille14</vt:lpstr>
      <vt:lpstr>Feuille15</vt:lpstr>
      <vt:lpstr>Feuille16</vt:lpstr>
      <vt:lpstr>Feuille17</vt:lpstr>
      <vt:lpstr>Feuille18</vt:lpstr>
      <vt:lpstr>Feuille19</vt:lpstr>
      <vt:lpstr>Feuille20</vt:lpstr>
      <vt:lpstr>Feuille21</vt:lpstr>
      <vt:lpstr>Feuille22</vt:lpstr>
      <vt:lpstr>Feuille23</vt:lpstr>
      <vt:lpstr>Feuille24</vt:lpstr>
      <vt:lpstr>Feuille25</vt:lpstr>
      <vt:lpstr>Feuille26</vt:lpstr>
      <vt:lpstr>Feuille27</vt:lpstr>
      <vt:lpstr>Feuille28</vt:lpstr>
      <vt:lpstr>Feuille29</vt:lpstr>
      <vt:lpstr>Feuille30</vt:lpstr>
      <vt:lpstr>Feuille31</vt:lpstr>
      <vt:lpstr>Feuille32</vt:lpstr>
      <vt:lpstr>Feuille33</vt:lpstr>
      <vt:lpstr>Feuille34</vt:lpstr>
      <vt:lpstr>Feuille35</vt:lpstr>
      <vt:lpstr>Feuille36</vt:lpstr>
      <vt:lpstr>Feuille37</vt:lpstr>
      <vt:lpstr>Feuille38</vt:lpstr>
      <vt:lpstr>ZZFeuille39</vt:lpstr>
      <vt:lpstr>Feuille40</vt:lpstr>
    </vt:vector>
  </TitlesOfParts>
  <Company>Air France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 Lestang</dc:creator>
  <cp:lastModifiedBy>Jean Lestang</cp:lastModifiedBy>
  <cp:lastPrinted>2018-02-18T21:06:41Z</cp:lastPrinted>
  <dcterms:created xsi:type="dcterms:W3CDTF">2018-01-09T17:37:59Z</dcterms:created>
  <dcterms:modified xsi:type="dcterms:W3CDTF">2018-02-19T13:12:31Z</dcterms:modified>
</cp:coreProperties>
</file>