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35620" yWindow="1620" windowWidth="25600" windowHeight="16060" tabRatio="500"/>
  </bookViews>
  <sheets>
    <sheet name="Extraction" sheetId="6" r:id="rId1"/>
    <sheet name="Feuille6" sheetId="1" r:id="rId2"/>
    <sheet name="Feuille7" sheetId="2" r:id="rId3"/>
    <sheet name="Feuille8" sheetId="3" r:id="rId4"/>
    <sheet name="Feuille55" sheetId="4" r:id="rId5"/>
    <sheet name="Feuille59" sheetId="5" r:id="rId6"/>
  </sheets>
  <definedNames>
    <definedName name="prefixeOngletFacture">"Feuille"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6" l="1"/>
  <c r="D6" i="6"/>
  <c r="E6" i="6"/>
  <c r="H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6" i="6"/>
  <c r="B6" i="6"/>
  <c r="F14" i="5"/>
  <c r="G14" i="5"/>
  <c r="H14" i="5"/>
  <c r="I14" i="5"/>
  <c r="E15" i="5"/>
  <c r="F15" i="5"/>
  <c r="G15" i="5"/>
  <c r="H15" i="5"/>
  <c r="I15" i="5"/>
  <c r="E16" i="5"/>
  <c r="F16" i="5"/>
  <c r="G16" i="5"/>
  <c r="H16" i="5"/>
  <c r="I16" i="5"/>
  <c r="E17" i="5"/>
  <c r="F17" i="5"/>
  <c r="G17" i="5"/>
  <c r="H17" i="5"/>
  <c r="I17" i="5"/>
  <c r="E18" i="5"/>
  <c r="F18" i="5"/>
  <c r="G18" i="5"/>
  <c r="H18" i="5"/>
  <c r="I18" i="5"/>
  <c r="H19" i="5"/>
  <c r="I19" i="5"/>
  <c r="H20" i="5"/>
  <c r="I20" i="5"/>
  <c r="H21" i="5"/>
  <c r="I21" i="5"/>
  <c r="H22" i="5"/>
  <c r="I22" i="5"/>
  <c r="H23" i="5"/>
  <c r="I23" i="5"/>
  <c r="G11" i="5"/>
  <c r="J29" i="5"/>
  <c r="J28" i="5"/>
  <c r="J27" i="5"/>
  <c r="J26" i="5"/>
  <c r="J25" i="5"/>
  <c r="J24" i="5"/>
  <c r="J23" i="5"/>
  <c r="E19" i="5"/>
  <c r="E20" i="5"/>
  <c r="E21" i="5"/>
  <c r="E22" i="5"/>
  <c r="E23" i="5"/>
  <c r="F23" i="5"/>
  <c r="G23" i="5"/>
  <c r="J22" i="5"/>
  <c r="F22" i="5"/>
  <c r="G22" i="5"/>
  <c r="J21" i="5"/>
  <c r="F21" i="5"/>
  <c r="G21" i="5"/>
  <c r="J20" i="5"/>
  <c r="F20" i="5"/>
  <c r="G20" i="5"/>
  <c r="Q19" i="5"/>
  <c r="U19" i="5"/>
  <c r="T19" i="5"/>
  <c r="S19" i="5"/>
  <c r="P19" i="5"/>
  <c r="O19" i="5"/>
  <c r="N19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J19" i="5"/>
  <c r="F19" i="5"/>
  <c r="G19" i="5"/>
  <c r="Q18" i="5"/>
  <c r="U18" i="5"/>
  <c r="T18" i="5"/>
  <c r="S18" i="5"/>
  <c r="P18" i="5"/>
  <c r="O18" i="5"/>
  <c r="N18" i="5"/>
  <c r="J18" i="5"/>
  <c r="Q17" i="5"/>
  <c r="U17" i="5"/>
  <c r="T17" i="5"/>
  <c r="S17" i="5"/>
  <c r="P17" i="5"/>
  <c r="O17" i="5"/>
  <c r="N17" i="5"/>
  <c r="J17" i="5"/>
  <c r="Q16" i="5"/>
  <c r="U16" i="5"/>
  <c r="T16" i="5"/>
  <c r="S16" i="5"/>
  <c r="P16" i="5"/>
  <c r="O16" i="5"/>
  <c r="N16" i="5"/>
  <c r="J16" i="5"/>
  <c r="Q15" i="5"/>
  <c r="U15" i="5"/>
  <c r="T15" i="5"/>
  <c r="S15" i="5"/>
  <c r="P15" i="5"/>
  <c r="O15" i="5"/>
  <c r="N15" i="5"/>
  <c r="J15" i="5"/>
  <c r="Q14" i="5"/>
  <c r="U14" i="5"/>
  <c r="T14" i="5"/>
  <c r="S14" i="5"/>
  <c r="P14" i="5"/>
  <c r="O14" i="5"/>
  <c r="N14" i="5"/>
  <c r="J14" i="5"/>
  <c r="Q13" i="5"/>
  <c r="U13" i="5"/>
  <c r="T13" i="5"/>
  <c r="S13" i="5"/>
  <c r="P13" i="5"/>
  <c r="O13" i="5"/>
  <c r="N13" i="5"/>
  <c r="Q12" i="5"/>
  <c r="U12" i="5"/>
  <c r="T12" i="5"/>
  <c r="S12" i="5"/>
  <c r="P12" i="5"/>
  <c r="O12" i="5"/>
  <c r="N12" i="5"/>
  <c r="Q11" i="5"/>
  <c r="U11" i="5"/>
  <c r="T11" i="5"/>
  <c r="S11" i="5"/>
  <c r="P11" i="5"/>
  <c r="O11" i="5"/>
  <c r="N11" i="5"/>
  <c r="Q10" i="5"/>
  <c r="U10" i="5"/>
  <c r="T10" i="5"/>
  <c r="S10" i="5"/>
  <c r="P10" i="5"/>
  <c r="O10" i="5"/>
  <c r="N10" i="5"/>
  <c r="Q9" i="5"/>
  <c r="U9" i="5"/>
  <c r="T9" i="5"/>
  <c r="S9" i="5"/>
  <c r="P9" i="5"/>
  <c r="O9" i="5"/>
  <c r="N9" i="5"/>
  <c r="F7" i="5"/>
  <c r="G7" i="5"/>
  <c r="H7" i="5"/>
  <c r="F8" i="5"/>
  <c r="G8" i="5"/>
  <c r="H9" i="5"/>
  <c r="I9" i="5"/>
  <c r="K9" i="5"/>
  <c r="J9" i="5"/>
  <c r="H8" i="5"/>
  <c r="F9" i="5"/>
  <c r="G9" i="5"/>
  <c r="Q8" i="5"/>
  <c r="U8" i="5"/>
  <c r="F3" i="5"/>
  <c r="G3" i="5"/>
  <c r="H4" i="5"/>
  <c r="I2" i="5"/>
  <c r="I4" i="5"/>
  <c r="G4" i="5"/>
  <c r="T8" i="5"/>
  <c r="G5" i="5"/>
  <c r="S8" i="5"/>
  <c r="I7" i="5"/>
  <c r="K7" i="5"/>
  <c r="P8" i="5"/>
  <c r="J7" i="5"/>
  <c r="O8" i="5"/>
  <c r="N8" i="5"/>
  <c r="I8" i="5"/>
  <c r="K8" i="5"/>
  <c r="J8" i="5"/>
  <c r="Q7" i="5"/>
  <c r="U7" i="5"/>
  <c r="T7" i="5"/>
  <c r="S7" i="5"/>
  <c r="P7" i="5"/>
  <c r="O7" i="5"/>
  <c r="N7" i="5"/>
  <c r="Q6" i="5"/>
  <c r="U6" i="5"/>
  <c r="T6" i="5"/>
  <c r="S6" i="5"/>
  <c r="P6" i="5"/>
  <c r="O6" i="5"/>
  <c r="N6" i="5"/>
  <c r="Q5" i="5"/>
  <c r="U5" i="5"/>
  <c r="T5" i="5"/>
  <c r="S5" i="5"/>
  <c r="P5" i="5"/>
  <c r="O5" i="5"/>
  <c r="N5" i="5"/>
  <c r="Q4" i="5"/>
  <c r="U4" i="5"/>
  <c r="T4" i="5"/>
  <c r="S4" i="5"/>
  <c r="P4" i="5"/>
  <c r="O4" i="5"/>
  <c r="N4" i="5"/>
  <c r="F14" i="4"/>
  <c r="G14" i="4"/>
  <c r="H14" i="4"/>
  <c r="I14" i="4"/>
  <c r="E15" i="4"/>
  <c r="F15" i="4"/>
  <c r="G15" i="4"/>
  <c r="H15" i="4"/>
  <c r="I15" i="4"/>
  <c r="E16" i="4"/>
  <c r="F16" i="4"/>
  <c r="G16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G11" i="4"/>
  <c r="J29" i="4"/>
  <c r="J28" i="4"/>
  <c r="J27" i="4"/>
  <c r="J26" i="4"/>
  <c r="J25" i="4"/>
  <c r="J24" i="4"/>
  <c r="J23" i="4"/>
  <c r="E17" i="4"/>
  <c r="E18" i="4"/>
  <c r="E19" i="4"/>
  <c r="E20" i="4"/>
  <c r="E21" i="4"/>
  <c r="E22" i="4"/>
  <c r="E23" i="4"/>
  <c r="F23" i="4"/>
  <c r="G23" i="4"/>
  <c r="J22" i="4"/>
  <c r="F22" i="4"/>
  <c r="G22" i="4"/>
  <c r="J21" i="4"/>
  <c r="F21" i="4"/>
  <c r="G21" i="4"/>
  <c r="J20" i="4"/>
  <c r="F20" i="4"/>
  <c r="G20" i="4"/>
  <c r="Q19" i="4"/>
  <c r="U19" i="4"/>
  <c r="T19" i="4"/>
  <c r="S19" i="4"/>
  <c r="P19" i="4"/>
  <c r="O19" i="4"/>
  <c r="N19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J19" i="4"/>
  <c r="F19" i="4"/>
  <c r="G19" i="4"/>
  <c r="Q18" i="4"/>
  <c r="U18" i="4"/>
  <c r="T18" i="4"/>
  <c r="S18" i="4"/>
  <c r="P18" i="4"/>
  <c r="O18" i="4"/>
  <c r="N18" i="4"/>
  <c r="J18" i="4"/>
  <c r="F18" i="4"/>
  <c r="G18" i="4"/>
  <c r="Q17" i="4"/>
  <c r="U17" i="4"/>
  <c r="T17" i="4"/>
  <c r="S17" i="4"/>
  <c r="P17" i="4"/>
  <c r="O17" i="4"/>
  <c r="N17" i="4"/>
  <c r="J17" i="4"/>
  <c r="F17" i="4"/>
  <c r="G17" i="4"/>
  <c r="Q16" i="4"/>
  <c r="U16" i="4"/>
  <c r="T16" i="4"/>
  <c r="S16" i="4"/>
  <c r="P16" i="4"/>
  <c r="O16" i="4"/>
  <c r="N16" i="4"/>
  <c r="J16" i="4"/>
  <c r="Q15" i="4"/>
  <c r="U15" i="4"/>
  <c r="T15" i="4"/>
  <c r="S15" i="4"/>
  <c r="P15" i="4"/>
  <c r="O15" i="4"/>
  <c r="N15" i="4"/>
  <c r="J15" i="4"/>
  <c r="Q14" i="4"/>
  <c r="U14" i="4"/>
  <c r="T14" i="4"/>
  <c r="S14" i="4"/>
  <c r="P14" i="4"/>
  <c r="O14" i="4"/>
  <c r="N14" i="4"/>
  <c r="J14" i="4"/>
  <c r="Q13" i="4"/>
  <c r="U13" i="4"/>
  <c r="T13" i="4"/>
  <c r="S13" i="4"/>
  <c r="P13" i="4"/>
  <c r="O13" i="4"/>
  <c r="N13" i="4"/>
  <c r="Q12" i="4"/>
  <c r="U12" i="4"/>
  <c r="T12" i="4"/>
  <c r="S12" i="4"/>
  <c r="P12" i="4"/>
  <c r="O12" i="4"/>
  <c r="N12" i="4"/>
  <c r="Q11" i="4"/>
  <c r="U11" i="4"/>
  <c r="T11" i="4"/>
  <c r="S11" i="4"/>
  <c r="P11" i="4"/>
  <c r="O11" i="4"/>
  <c r="N11" i="4"/>
  <c r="Q10" i="4"/>
  <c r="U10" i="4"/>
  <c r="T10" i="4"/>
  <c r="S10" i="4"/>
  <c r="P10" i="4"/>
  <c r="O10" i="4"/>
  <c r="N10" i="4"/>
  <c r="Q9" i="4"/>
  <c r="U9" i="4"/>
  <c r="T9" i="4"/>
  <c r="S9" i="4"/>
  <c r="P9" i="4"/>
  <c r="O9" i="4"/>
  <c r="N9" i="4"/>
  <c r="F7" i="4"/>
  <c r="G7" i="4"/>
  <c r="H7" i="4"/>
  <c r="F8" i="4"/>
  <c r="G8" i="4"/>
  <c r="H9" i="4"/>
  <c r="I9" i="4"/>
  <c r="K9" i="4"/>
  <c r="J9" i="4"/>
  <c r="H8" i="4"/>
  <c r="F9" i="4"/>
  <c r="G9" i="4"/>
  <c r="Q8" i="4"/>
  <c r="U8" i="4"/>
  <c r="F3" i="4"/>
  <c r="G3" i="4"/>
  <c r="H4" i="4"/>
  <c r="I2" i="4"/>
  <c r="I4" i="4"/>
  <c r="G4" i="4"/>
  <c r="T8" i="4"/>
  <c r="G5" i="4"/>
  <c r="S8" i="4"/>
  <c r="I7" i="4"/>
  <c r="K7" i="4"/>
  <c r="P8" i="4"/>
  <c r="J7" i="4"/>
  <c r="O8" i="4"/>
  <c r="N8" i="4"/>
  <c r="I8" i="4"/>
  <c r="K8" i="4"/>
  <c r="J8" i="4"/>
  <c r="Q7" i="4"/>
  <c r="U7" i="4"/>
  <c r="T7" i="4"/>
  <c r="S7" i="4"/>
  <c r="P7" i="4"/>
  <c r="O7" i="4"/>
  <c r="N7" i="4"/>
  <c r="Q6" i="4"/>
  <c r="U6" i="4"/>
  <c r="T6" i="4"/>
  <c r="S6" i="4"/>
  <c r="P6" i="4"/>
  <c r="O6" i="4"/>
  <c r="N6" i="4"/>
  <c r="Q5" i="4"/>
  <c r="U5" i="4"/>
  <c r="T5" i="4"/>
  <c r="S5" i="4"/>
  <c r="P5" i="4"/>
  <c r="O5" i="4"/>
  <c r="N5" i="4"/>
  <c r="Q4" i="4"/>
  <c r="U4" i="4"/>
  <c r="T4" i="4"/>
  <c r="S4" i="4"/>
  <c r="P4" i="4"/>
  <c r="O4" i="4"/>
  <c r="N4" i="4"/>
  <c r="F14" i="3"/>
  <c r="G14" i="3"/>
  <c r="H14" i="3"/>
  <c r="I14" i="3"/>
  <c r="E15" i="3"/>
  <c r="F15" i="3"/>
  <c r="G15" i="3"/>
  <c r="H15" i="3"/>
  <c r="I15" i="3"/>
  <c r="E16" i="3"/>
  <c r="F16" i="3"/>
  <c r="G16" i="3"/>
  <c r="H16" i="3"/>
  <c r="I16" i="3"/>
  <c r="E17" i="3"/>
  <c r="F17" i="3"/>
  <c r="G17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G11" i="3"/>
  <c r="J29" i="3"/>
  <c r="J28" i="3"/>
  <c r="J27" i="3"/>
  <c r="J26" i="3"/>
  <c r="J25" i="3"/>
  <c r="J24" i="3"/>
  <c r="J23" i="3"/>
  <c r="E18" i="3"/>
  <c r="E19" i="3"/>
  <c r="E20" i="3"/>
  <c r="E21" i="3"/>
  <c r="E22" i="3"/>
  <c r="E23" i="3"/>
  <c r="F23" i="3"/>
  <c r="G23" i="3"/>
  <c r="J22" i="3"/>
  <c r="F22" i="3"/>
  <c r="G22" i="3"/>
  <c r="J21" i="3"/>
  <c r="F21" i="3"/>
  <c r="G21" i="3"/>
  <c r="J20" i="3"/>
  <c r="F20" i="3"/>
  <c r="G20" i="3"/>
  <c r="Q19" i="3"/>
  <c r="U19" i="3"/>
  <c r="T19" i="3"/>
  <c r="S19" i="3"/>
  <c r="P19" i="3"/>
  <c r="O19" i="3"/>
  <c r="N19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J19" i="3"/>
  <c r="F19" i="3"/>
  <c r="G19" i="3"/>
  <c r="Q18" i="3"/>
  <c r="U18" i="3"/>
  <c r="T18" i="3"/>
  <c r="S18" i="3"/>
  <c r="P18" i="3"/>
  <c r="O18" i="3"/>
  <c r="N18" i="3"/>
  <c r="J18" i="3"/>
  <c r="F18" i="3"/>
  <c r="G18" i="3"/>
  <c r="Q17" i="3"/>
  <c r="U17" i="3"/>
  <c r="T17" i="3"/>
  <c r="S17" i="3"/>
  <c r="P17" i="3"/>
  <c r="O17" i="3"/>
  <c r="N17" i="3"/>
  <c r="J17" i="3"/>
  <c r="Q16" i="3"/>
  <c r="U16" i="3"/>
  <c r="T16" i="3"/>
  <c r="S16" i="3"/>
  <c r="P16" i="3"/>
  <c r="O16" i="3"/>
  <c r="N16" i="3"/>
  <c r="J16" i="3"/>
  <c r="Q15" i="3"/>
  <c r="U15" i="3"/>
  <c r="T15" i="3"/>
  <c r="S15" i="3"/>
  <c r="P15" i="3"/>
  <c r="O15" i="3"/>
  <c r="N15" i="3"/>
  <c r="J15" i="3"/>
  <c r="Q14" i="3"/>
  <c r="U14" i="3"/>
  <c r="T14" i="3"/>
  <c r="S14" i="3"/>
  <c r="P14" i="3"/>
  <c r="O14" i="3"/>
  <c r="N14" i="3"/>
  <c r="J14" i="3"/>
  <c r="Q13" i="3"/>
  <c r="U13" i="3"/>
  <c r="T13" i="3"/>
  <c r="S13" i="3"/>
  <c r="P13" i="3"/>
  <c r="O13" i="3"/>
  <c r="N13" i="3"/>
  <c r="Q12" i="3"/>
  <c r="U12" i="3"/>
  <c r="T12" i="3"/>
  <c r="S12" i="3"/>
  <c r="P12" i="3"/>
  <c r="O12" i="3"/>
  <c r="N12" i="3"/>
  <c r="Q11" i="3"/>
  <c r="U11" i="3"/>
  <c r="T11" i="3"/>
  <c r="S11" i="3"/>
  <c r="P11" i="3"/>
  <c r="O11" i="3"/>
  <c r="N11" i="3"/>
  <c r="Q10" i="3"/>
  <c r="U10" i="3"/>
  <c r="F3" i="3"/>
  <c r="G3" i="3"/>
  <c r="H4" i="3"/>
  <c r="G4" i="3"/>
  <c r="T10" i="3"/>
  <c r="G5" i="3"/>
  <c r="S10" i="3"/>
  <c r="F7" i="3"/>
  <c r="G7" i="3"/>
  <c r="H7" i="3"/>
  <c r="I7" i="3"/>
  <c r="K7" i="3"/>
  <c r="P10" i="3"/>
  <c r="J7" i="3"/>
  <c r="O10" i="3"/>
  <c r="N10" i="3"/>
  <c r="Q9" i="3"/>
  <c r="U9" i="3"/>
  <c r="T9" i="3"/>
  <c r="S9" i="3"/>
  <c r="P9" i="3"/>
  <c r="O9" i="3"/>
  <c r="N9" i="3"/>
  <c r="F8" i="3"/>
  <c r="G8" i="3"/>
  <c r="H9" i="3"/>
  <c r="I9" i="3"/>
  <c r="K9" i="3"/>
  <c r="J9" i="3"/>
  <c r="H8" i="3"/>
  <c r="F9" i="3"/>
  <c r="G9" i="3"/>
  <c r="Q8" i="3"/>
  <c r="U8" i="3"/>
  <c r="T8" i="3"/>
  <c r="S8" i="3"/>
  <c r="P8" i="3"/>
  <c r="O8" i="3"/>
  <c r="N8" i="3"/>
  <c r="I8" i="3"/>
  <c r="K8" i="3"/>
  <c r="J8" i="3"/>
  <c r="Q7" i="3"/>
  <c r="U7" i="3"/>
  <c r="T7" i="3"/>
  <c r="S7" i="3"/>
  <c r="P7" i="3"/>
  <c r="O7" i="3"/>
  <c r="N7" i="3"/>
  <c r="Q6" i="3"/>
  <c r="U6" i="3"/>
  <c r="T6" i="3"/>
  <c r="S6" i="3"/>
  <c r="P6" i="3"/>
  <c r="O6" i="3"/>
  <c r="N6" i="3"/>
  <c r="Q5" i="3"/>
  <c r="U5" i="3"/>
  <c r="T5" i="3"/>
  <c r="S5" i="3"/>
  <c r="P5" i="3"/>
  <c r="O5" i="3"/>
  <c r="N5" i="3"/>
  <c r="Q4" i="3"/>
  <c r="U4" i="3"/>
  <c r="T4" i="3"/>
  <c r="S4" i="3"/>
  <c r="P4" i="3"/>
  <c r="O4" i="3"/>
  <c r="N4" i="3"/>
  <c r="I2" i="3"/>
  <c r="I4" i="3"/>
  <c r="I2" i="2"/>
  <c r="F3" i="2"/>
  <c r="G3" i="2"/>
  <c r="H4" i="2"/>
  <c r="G4" i="2"/>
  <c r="I4" i="2"/>
  <c r="L4" i="2"/>
  <c r="M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H17" i="2"/>
  <c r="I17" i="2"/>
  <c r="H18" i="2"/>
  <c r="I18" i="2"/>
  <c r="H19" i="2"/>
  <c r="I19" i="2"/>
  <c r="H20" i="2"/>
  <c r="I20" i="2"/>
  <c r="H21" i="2"/>
  <c r="I21" i="2"/>
  <c r="H22" i="2"/>
  <c r="I22" i="2"/>
  <c r="H23" i="2"/>
  <c r="I23" i="2"/>
  <c r="G11" i="2"/>
  <c r="J14" i="2"/>
  <c r="Q4" i="2"/>
  <c r="U4" i="2"/>
  <c r="F7" i="2"/>
  <c r="G7" i="2"/>
  <c r="H7" i="2"/>
  <c r="I7" i="2"/>
  <c r="J7" i="2"/>
  <c r="O4" i="2"/>
  <c r="K7" i="2"/>
  <c r="P4" i="2"/>
  <c r="N4" i="2"/>
  <c r="G5" i="2"/>
  <c r="S4" i="2"/>
  <c r="T4" i="2"/>
  <c r="L5" i="2"/>
  <c r="J15" i="2"/>
  <c r="Q5" i="2"/>
  <c r="U5" i="2"/>
  <c r="F8" i="2"/>
  <c r="G8" i="2"/>
  <c r="H8" i="2"/>
  <c r="I8" i="2"/>
  <c r="J8" i="2"/>
  <c r="O5" i="2"/>
  <c r="K8" i="2"/>
  <c r="P5" i="2"/>
  <c r="N5" i="2"/>
  <c r="S5" i="2"/>
  <c r="T5" i="2"/>
  <c r="L6" i="2"/>
  <c r="M6" i="2"/>
  <c r="J16" i="2"/>
  <c r="Q6" i="2"/>
  <c r="U6" i="2"/>
  <c r="N6" i="2"/>
  <c r="O6" i="2"/>
  <c r="P6" i="2"/>
  <c r="S6" i="2"/>
  <c r="T6" i="2"/>
  <c r="L7" i="2"/>
  <c r="M7" i="2"/>
  <c r="J17" i="2"/>
  <c r="Q7" i="2"/>
  <c r="U7" i="2"/>
  <c r="N7" i="2"/>
  <c r="O7" i="2"/>
  <c r="P7" i="2"/>
  <c r="S7" i="2"/>
  <c r="T7" i="2"/>
  <c r="L8" i="2"/>
  <c r="M8" i="2"/>
  <c r="J18" i="2"/>
  <c r="Q8" i="2"/>
  <c r="U8" i="2"/>
  <c r="N8" i="2"/>
  <c r="O8" i="2"/>
  <c r="P8" i="2"/>
  <c r="S8" i="2"/>
  <c r="T8" i="2"/>
  <c r="F9" i="2"/>
  <c r="G9" i="2"/>
  <c r="H9" i="2"/>
  <c r="I9" i="2"/>
  <c r="J9" i="2"/>
  <c r="K9" i="2"/>
  <c r="L9" i="2"/>
  <c r="M9" i="2"/>
  <c r="J19" i="2"/>
  <c r="Q9" i="2"/>
  <c r="U9" i="2"/>
  <c r="N9" i="2"/>
  <c r="O9" i="2"/>
  <c r="P9" i="2"/>
  <c r="S9" i="2"/>
  <c r="T9" i="2"/>
  <c r="L10" i="2"/>
  <c r="M10" i="2"/>
  <c r="J20" i="2"/>
  <c r="Q10" i="2"/>
  <c r="U10" i="2"/>
  <c r="N10" i="2"/>
  <c r="O10" i="2"/>
  <c r="P10" i="2"/>
  <c r="S10" i="2"/>
  <c r="T10" i="2"/>
  <c r="L11" i="2"/>
  <c r="M11" i="2"/>
  <c r="J21" i="2"/>
  <c r="Q11" i="2"/>
  <c r="U11" i="2"/>
  <c r="N11" i="2"/>
  <c r="O11" i="2"/>
  <c r="P11" i="2"/>
  <c r="S11" i="2"/>
  <c r="T11" i="2"/>
  <c r="L12" i="2"/>
  <c r="M12" i="2"/>
  <c r="J22" i="2"/>
  <c r="Q12" i="2"/>
  <c r="U12" i="2"/>
  <c r="N12" i="2"/>
  <c r="O12" i="2"/>
  <c r="P12" i="2"/>
  <c r="S12" i="2"/>
  <c r="T12" i="2"/>
  <c r="L13" i="2"/>
  <c r="M13" i="2"/>
  <c r="J23" i="2"/>
  <c r="Q13" i="2"/>
  <c r="U13" i="2"/>
  <c r="N13" i="2"/>
  <c r="O13" i="2"/>
  <c r="P13" i="2"/>
  <c r="S13" i="2"/>
  <c r="T13" i="2"/>
  <c r="L14" i="2"/>
  <c r="M14" i="2"/>
  <c r="J24" i="2"/>
  <c r="Q14" i="2"/>
  <c r="U14" i="2"/>
  <c r="N14" i="2"/>
  <c r="O14" i="2"/>
  <c r="P14" i="2"/>
  <c r="S14" i="2"/>
  <c r="T14" i="2"/>
  <c r="L15" i="2"/>
  <c r="M15" i="2"/>
  <c r="J25" i="2"/>
  <c r="Q15" i="2"/>
  <c r="U15" i="2"/>
  <c r="N15" i="2"/>
  <c r="O15" i="2"/>
  <c r="P15" i="2"/>
  <c r="S15" i="2"/>
  <c r="T15" i="2"/>
  <c r="L16" i="2"/>
  <c r="M16" i="2"/>
  <c r="J26" i="2"/>
  <c r="Q16" i="2"/>
  <c r="U16" i="2"/>
  <c r="N16" i="2"/>
  <c r="O16" i="2"/>
  <c r="P16" i="2"/>
  <c r="S16" i="2"/>
  <c r="T16" i="2"/>
  <c r="E17" i="2"/>
  <c r="F17" i="2"/>
  <c r="G17" i="2"/>
  <c r="L17" i="2"/>
  <c r="M17" i="2"/>
  <c r="J27" i="2"/>
  <c r="Q17" i="2"/>
  <c r="U17" i="2"/>
  <c r="N17" i="2"/>
  <c r="O17" i="2"/>
  <c r="P17" i="2"/>
  <c r="S17" i="2"/>
  <c r="T17" i="2"/>
  <c r="E18" i="2"/>
  <c r="F18" i="2"/>
  <c r="G18" i="2"/>
  <c r="L18" i="2"/>
  <c r="M18" i="2"/>
  <c r="J28" i="2"/>
  <c r="Q18" i="2"/>
  <c r="U18" i="2"/>
  <c r="N18" i="2"/>
  <c r="O18" i="2"/>
  <c r="P18" i="2"/>
  <c r="S18" i="2"/>
  <c r="T18" i="2"/>
  <c r="E19" i="2"/>
  <c r="F19" i="2"/>
  <c r="G19" i="2"/>
  <c r="L19" i="2"/>
  <c r="M19" i="2"/>
  <c r="J29" i="2"/>
  <c r="Q19" i="2"/>
  <c r="U19" i="2"/>
  <c r="N19" i="2"/>
  <c r="O19" i="2"/>
  <c r="P19" i="2"/>
  <c r="S19" i="2"/>
  <c r="T19" i="2"/>
  <c r="E20" i="2"/>
  <c r="F20" i="2"/>
  <c r="G20" i="2"/>
  <c r="E21" i="2"/>
  <c r="F21" i="2"/>
  <c r="G21" i="2"/>
  <c r="E22" i="2"/>
  <c r="F22" i="2"/>
  <c r="G22" i="2"/>
  <c r="E23" i="2"/>
  <c r="F23" i="2"/>
  <c r="G23" i="2"/>
  <c r="I2" i="1"/>
  <c r="F3" i="1"/>
  <c r="G3" i="1"/>
  <c r="H4" i="1"/>
  <c r="G4" i="1"/>
  <c r="I4" i="1"/>
  <c r="L4" i="1"/>
  <c r="M4" i="1"/>
  <c r="F14" i="1"/>
  <c r="G14" i="1"/>
  <c r="H14" i="1"/>
  <c r="I14" i="1"/>
  <c r="E15" i="1"/>
  <c r="F15" i="1"/>
  <c r="G15" i="1"/>
  <c r="H15" i="1"/>
  <c r="I15" i="1"/>
  <c r="E16" i="1"/>
  <c r="F16" i="1"/>
  <c r="G16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G11" i="1"/>
  <c r="J14" i="1"/>
  <c r="Q4" i="1"/>
  <c r="U4" i="1"/>
  <c r="F7" i="1"/>
  <c r="G7" i="1"/>
  <c r="H7" i="1"/>
  <c r="I7" i="1"/>
  <c r="J7" i="1"/>
  <c r="O4" i="1"/>
  <c r="K7" i="1"/>
  <c r="P4" i="1"/>
  <c r="N4" i="1"/>
  <c r="G5" i="1"/>
  <c r="S4" i="1"/>
  <c r="T4" i="1"/>
  <c r="L5" i="1"/>
  <c r="M5" i="1"/>
  <c r="J15" i="1"/>
  <c r="Q5" i="1"/>
  <c r="U5" i="1"/>
  <c r="O5" i="1"/>
  <c r="P5" i="1"/>
  <c r="N5" i="1"/>
  <c r="S5" i="1"/>
  <c r="T5" i="1"/>
  <c r="L6" i="1"/>
  <c r="M6" i="1"/>
  <c r="J16" i="1"/>
  <c r="Q6" i="1"/>
  <c r="U6" i="1"/>
  <c r="O6" i="1"/>
  <c r="P6" i="1"/>
  <c r="N6" i="1"/>
  <c r="S6" i="1"/>
  <c r="T6" i="1"/>
  <c r="L7" i="1"/>
  <c r="M7" i="1"/>
  <c r="J17" i="1"/>
  <c r="Q7" i="1"/>
  <c r="U7" i="1"/>
  <c r="O7" i="1"/>
  <c r="P7" i="1"/>
  <c r="N7" i="1"/>
  <c r="S7" i="1"/>
  <c r="T7" i="1"/>
  <c r="F8" i="1"/>
  <c r="G8" i="1"/>
  <c r="H8" i="1"/>
  <c r="I8" i="1"/>
  <c r="J8" i="1"/>
  <c r="K8" i="1"/>
  <c r="L8" i="1"/>
  <c r="M8" i="1"/>
  <c r="J18" i="1"/>
  <c r="Q8" i="1"/>
  <c r="U8" i="1"/>
  <c r="O8" i="1"/>
  <c r="P8" i="1"/>
  <c r="N8" i="1"/>
  <c r="S8" i="1"/>
  <c r="T8" i="1"/>
  <c r="F9" i="1"/>
  <c r="G9" i="1"/>
  <c r="H9" i="1"/>
  <c r="I9" i="1"/>
  <c r="J9" i="1"/>
  <c r="K9" i="1"/>
  <c r="L9" i="1"/>
  <c r="M9" i="1"/>
  <c r="J19" i="1"/>
  <c r="Q9" i="1"/>
  <c r="U9" i="1"/>
  <c r="N9" i="1"/>
  <c r="O9" i="1"/>
  <c r="P9" i="1"/>
  <c r="S9" i="1"/>
  <c r="T9" i="1"/>
  <c r="L10" i="1"/>
  <c r="M10" i="1"/>
  <c r="J20" i="1"/>
  <c r="Q10" i="1"/>
  <c r="U10" i="1"/>
  <c r="N10" i="1"/>
  <c r="O10" i="1"/>
  <c r="P10" i="1"/>
  <c r="S10" i="1"/>
  <c r="T10" i="1"/>
  <c r="L11" i="1"/>
  <c r="M11" i="1"/>
  <c r="J21" i="1"/>
  <c r="Q11" i="1"/>
  <c r="U11" i="1"/>
  <c r="N11" i="1"/>
  <c r="O11" i="1"/>
  <c r="P11" i="1"/>
  <c r="S11" i="1"/>
  <c r="T11" i="1"/>
  <c r="L12" i="1"/>
  <c r="M12" i="1"/>
  <c r="J22" i="1"/>
  <c r="Q12" i="1"/>
  <c r="U12" i="1"/>
  <c r="N12" i="1"/>
  <c r="O12" i="1"/>
  <c r="P12" i="1"/>
  <c r="S12" i="1"/>
  <c r="T12" i="1"/>
  <c r="L13" i="1"/>
  <c r="M13" i="1"/>
  <c r="J23" i="1"/>
  <c r="Q13" i="1"/>
  <c r="U13" i="1"/>
  <c r="N13" i="1"/>
  <c r="O13" i="1"/>
  <c r="P13" i="1"/>
  <c r="S13" i="1"/>
  <c r="T13" i="1"/>
  <c r="L14" i="1"/>
  <c r="M14" i="1"/>
  <c r="J24" i="1"/>
  <c r="Q14" i="1"/>
  <c r="U14" i="1"/>
  <c r="N14" i="1"/>
  <c r="O14" i="1"/>
  <c r="P14" i="1"/>
  <c r="S14" i="1"/>
  <c r="T14" i="1"/>
  <c r="L15" i="1"/>
  <c r="M15" i="1"/>
  <c r="J25" i="1"/>
  <c r="Q15" i="1"/>
  <c r="U15" i="1"/>
  <c r="N15" i="1"/>
  <c r="O15" i="1"/>
  <c r="P15" i="1"/>
  <c r="S15" i="1"/>
  <c r="T15" i="1"/>
  <c r="L16" i="1"/>
  <c r="M16" i="1"/>
  <c r="J26" i="1"/>
  <c r="Q16" i="1"/>
  <c r="U16" i="1"/>
  <c r="N16" i="1"/>
  <c r="O16" i="1"/>
  <c r="P16" i="1"/>
  <c r="S16" i="1"/>
  <c r="T16" i="1"/>
  <c r="E17" i="1"/>
  <c r="F17" i="1"/>
  <c r="G17" i="1"/>
  <c r="L17" i="1"/>
  <c r="M17" i="1"/>
  <c r="J27" i="1"/>
  <c r="Q17" i="1"/>
  <c r="U17" i="1"/>
  <c r="N17" i="1"/>
  <c r="O17" i="1"/>
  <c r="P17" i="1"/>
  <c r="S17" i="1"/>
  <c r="T17" i="1"/>
  <c r="E18" i="1"/>
  <c r="F18" i="1"/>
  <c r="G18" i="1"/>
  <c r="L18" i="1"/>
  <c r="M18" i="1"/>
  <c r="J28" i="1"/>
  <c r="Q18" i="1"/>
  <c r="U18" i="1"/>
  <c r="N18" i="1"/>
  <c r="O18" i="1"/>
  <c r="P18" i="1"/>
  <c r="S18" i="1"/>
  <c r="T18" i="1"/>
  <c r="E19" i="1"/>
  <c r="F19" i="1"/>
  <c r="G19" i="1"/>
  <c r="L19" i="1"/>
  <c r="M19" i="1"/>
  <c r="J29" i="1"/>
  <c r="Q19" i="1"/>
  <c r="U19" i="1"/>
  <c r="N19" i="1"/>
  <c r="O19" i="1"/>
  <c r="P19" i="1"/>
  <c r="S19" i="1"/>
  <c r="T19" i="1"/>
  <c r="E20" i="1"/>
  <c r="F20" i="1"/>
  <c r="G20" i="1"/>
  <c r="E21" i="1"/>
  <c r="F21" i="1"/>
  <c r="G21" i="1"/>
  <c r="E22" i="1"/>
  <c r="F22" i="1"/>
  <c r="G22" i="1"/>
  <c r="E23" i="1"/>
  <c r="F23" i="1"/>
  <c r="G23" i="1"/>
</calcChain>
</file>

<file path=xl/sharedStrings.xml><?xml version="1.0" encoding="utf-8"?>
<sst xmlns="http://schemas.openxmlformats.org/spreadsheetml/2006/main" count="227" uniqueCount="109">
  <si>
    <r>
      <rPr>
        <b/>
        <sz val="7"/>
        <rFont val="Century Gothic"/>
      </rPr>
      <t xml:space="preserve">04. O bag </t>
    </r>
    <r>
      <rPr>
        <sz val="7"/>
        <rFont val="Century Gothic"/>
      </rPr>
      <t>fall 2018 .continuativo carry over</t>
    </r>
  </si>
  <si>
    <r>
      <rPr>
        <sz val="8"/>
        <rFont val="Arial"/>
      </rPr>
      <t xml:space="preserve">rock </t>
    </r>
    <r>
      <rPr>
        <sz val="8"/>
        <rFont val="Arial"/>
      </rPr>
      <t>black</t>
    </r>
  </si>
  <si>
    <r>
      <rPr>
        <sz val="8"/>
        <rFont val="Arial"/>
      </rPr>
      <t xml:space="preserve">roccia </t>
    </r>
    <r>
      <rPr>
        <sz val="8"/>
        <rFont val="Arial"/>
      </rPr>
      <t>nero</t>
    </r>
  </si>
  <si>
    <r>
      <rPr>
        <sz val="8"/>
        <rFont val="Arial"/>
      </rPr>
      <t xml:space="preserve">col. </t>
    </r>
    <r>
      <rPr>
        <b/>
        <sz val="8"/>
        <rFont val="Arial"/>
      </rPr>
      <t xml:space="preserve">071 </t>
    </r>
    <r>
      <rPr>
        <sz val="8"/>
        <rFont val="Arial"/>
      </rPr>
      <t xml:space="preserve">col. </t>
    </r>
    <r>
      <rPr>
        <b/>
        <sz val="8"/>
        <rFont val="Arial"/>
      </rPr>
      <t>055</t>
    </r>
  </si>
  <si>
    <r>
      <rPr>
        <sz val="8"/>
        <rFont val="Arial"/>
      </rPr>
      <t>bags</t>
    </r>
  </si>
  <si>
    <r>
      <rPr>
        <sz val="8"/>
        <rFont val="Arial"/>
      </rPr>
      <t xml:space="preserve">straps - trims - street fastening - inner </t>
    </r>
  </si>
  <si>
    <r>
      <rPr>
        <b/>
        <sz val="8"/>
        <rFont val="Arial"/>
      </rPr>
      <t xml:space="preserve">components </t>
    </r>
    <r>
      <rPr>
        <sz val="8"/>
        <rFont val="Arial"/>
      </rPr>
      <t xml:space="preserve">handles and shoulder </t>
    </r>
  </si>
  <si>
    <r>
      <rPr>
        <b/>
        <sz val="8"/>
        <rFont val="Arial"/>
      </rPr>
      <t xml:space="preserve">material </t>
    </r>
    <r>
      <rPr>
        <sz val="8"/>
        <rFont val="Arial"/>
      </rPr>
      <t>EVA compound</t>
    </r>
  </si>
  <si>
    <r>
      <rPr>
        <b/>
        <sz val="8"/>
        <rFont val="Arial"/>
      </rPr>
      <t xml:space="preserve">description </t>
    </r>
    <r>
      <rPr>
        <sz val="8"/>
        <rFont val="Arial"/>
      </rPr>
      <t>O bag body</t>
    </r>
  </si>
  <si>
    <t xml:space="preserve">col. 371 col. 017 col. 078 col. 071 col. 055        </t>
  </si>
  <si>
    <r>
      <rPr>
        <sz val="8"/>
        <rFont val="Arial"/>
      </rPr>
      <t xml:space="preserve">milk </t>
    </r>
    <r>
      <rPr>
        <sz val="8"/>
        <rFont val="Arial"/>
      </rPr>
      <t xml:space="preserve">navy blue </t>
    </r>
    <r>
      <rPr>
        <sz val="8"/>
        <rFont val="Arial"/>
      </rPr>
      <t>sand</t>
    </r>
  </si>
  <si>
    <r>
      <rPr>
        <sz val="8"/>
        <rFont val="Arial"/>
      </rPr>
      <t xml:space="preserve">latte </t>
    </r>
    <r>
      <rPr>
        <sz val="8"/>
        <rFont val="Arial"/>
      </rPr>
      <t xml:space="preserve">blu navy </t>
    </r>
    <r>
      <rPr>
        <sz val="8"/>
        <rFont val="Arial"/>
      </rPr>
      <t>sabbia</t>
    </r>
  </si>
  <si>
    <r>
      <rPr>
        <sz val="8"/>
        <rFont val="Arial"/>
      </rPr>
      <t xml:space="preserve">col. </t>
    </r>
    <r>
      <rPr>
        <b/>
        <sz val="8"/>
        <rFont val="Arial"/>
      </rPr>
      <t xml:space="preserve">371 </t>
    </r>
    <r>
      <rPr>
        <sz val="8"/>
        <rFont val="Arial"/>
      </rPr>
      <t xml:space="preserve">col. </t>
    </r>
    <r>
      <rPr>
        <b/>
        <sz val="8"/>
        <rFont val="Arial"/>
      </rPr>
      <t xml:space="preserve">017 </t>
    </r>
    <r>
      <rPr>
        <sz val="8"/>
        <rFont val="Arial"/>
      </rPr>
      <t xml:space="preserve">col. </t>
    </r>
    <r>
      <rPr>
        <b/>
        <sz val="8"/>
        <rFont val="Arial"/>
      </rPr>
      <t>078</t>
    </r>
  </si>
  <si>
    <r>
      <rPr>
        <sz val="8"/>
        <rFont val="Arial"/>
      </rPr>
      <t>chiusure street - sacche interne</t>
    </r>
  </si>
  <si>
    <r>
      <rPr>
        <b/>
        <sz val="8"/>
        <rFont val="Arial"/>
      </rPr>
      <t xml:space="preserve">abbinamenti </t>
    </r>
    <r>
      <rPr>
        <sz val="8"/>
        <rFont val="Arial"/>
      </rPr>
      <t xml:space="preserve">manici e tracolle - bordi - </t>
    </r>
  </si>
  <si>
    <r>
      <rPr>
        <b/>
        <sz val="8"/>
        <rFont val="Arial"/>
      </rPr>
      <t xml:space="preserve">materiale </t>
    </r>
    <r>
      <rPr>
        <sz val="8"/>
        <rFont val="Arial"/>
      </rPr>
      <t xml:space="preserve">EVA compound </t>
    </r>
  </si>
  <si>
    <r>
      <rPr>
        <b/>
        <sz val="8"/>
        <rFont val="Arial"/>
      </rPr>
      <t xml:space="preserve">descrizione </t>
    </r>
    <r>
      <rPr>
        <sz val="8"/>
        <rFont val="Arial"/>
      </rPr>
      <t xml:space="preserve">scocca O bag </t>
    </r>
  </si>
  <si>
    <t>col. *</t>
  </si>
  <si>
    <t>Couleur</t>
  </si>
  <si>
    <r>
      <rPr>
        <sz val="10"/>
        <rFont val="Arial"/>
      </rPr>
      <t xml:space="preserve">code </t>
    </r>
    <r>
      <rPr>
        <b/>
        <sz val="9.5"/>
        <rFont val="Arial"/>
      </rPr>
      <t>OBAGB001 EVS00</t>
    </r>
  </si>
  <si>
    <t>couleurs</t>
  </si>
  <si>
    <t>code *</t>
  </si>
  <si>
    <t>Pièce</t>
  </si>
  <si>
    <t>Modèle</t>
  </si>
  <si>
    <t>catalogue</t>
  </si>
  <si>
    <t>page</t>
  </si>
  <si>
    <t>Data ok</t>
  </si>
  <si>
    <t>Page</t>
  </si>
  <si>
    <t>Catalogue</t>
  </si>
  <si>
    <t>Code Barre</t>
  </si>
  <si>
    <t>Ref</t>
  </si>
  <si>
    <t>??. O bag *</t>
  </si>
  <si>
    <t>Index</t>
  </si>
  <si>
    <t>N°</t>
  </si>
  <si>
    <t>Nb car page</t>
  </si>
  <si>
    <r>
      <rPr>
        <sz val="15.5"/>
        <rFont val="Century Gothic"/>
      </rPr>
      <t xml:space="preserve">O bag </t>
    </r>
    <r>
      <rPr>
        <sz val="11.5"/>
        <rFont val="Century Gothic"/>
      </rPr>
      <t>.scocche bodies</t>
    </r>
  </si>
  <si>
    <r>
      <rPr>
        <b/>
        <sz val="7"/>
        <rFont val="Century Gothic"/>
      </rPr>
      <t xml:space="preserve">20. O bag </t>
    </r>
    <r>
      <rPr>
        <sz val="7"/>
        <rFont val="Century Gothic"/>
      </rPr>
      <t>fall 2018 .continuativo carry over</t>
    </r>
  </si>
  <si>
    <r>
      <rPr>
        <b/>
        <sz val="8"/>
        <rFont val="Arial"/>
      </rPr>
      <t xml:space="preserve">components </t>
    </r>
    <r>
      <rPr>
        <sz val="7.5"/>
        <rFont val="Arial"/>
      </rPr>
      <t>O pocket</t>
    </r>
  </si>
  <si>
    <r>
      <rPr>
        <b/>
        <sz val="8"/>
        <rFont val="Arial"/>
      </rPr>
      <t xml:space="preserve">material </t>
    </r>
    <r>
      <rPr>
        <sz val="7.5"/>
        <rFont val="Arial"/>
      </rPr>
      <t xml:space="preserve">faux leather + metal </t>
    </r>
  </si>
  <si>
    <r>
      <rPr>
        <sz val="7.5"/>
        <rFont val="Arial"/>
      </rPr>
      <t xml:space="preserve">strip chain shoulder strap </t>
    </r>
  </si>
  <si>
    <r>
      <rPr>
        <b/>
        <sz val="8"/>
        <rFont val="Arial"/>
      </rPr>
      <t xml:space="preserve">description </t>
    </r>
    <r>
      <rPr>
        <sz val="7.5"/>
        <rFont val="Arial"/>
      </rPr>
      <t xml:space="preserve">faux leather O pocket long </t>
    </r>
  </si>
  <si>
    <r>
      <rPr>
        <b/>
        <sz val="8"/>
        <rFont val="Arial"/>
      </rPr>
      <t xml:space="preserve">abbinamenti </t>
    </r>
    <r>
      <rPr>
        <sz val="7.5"/>
        <rFont val="Arial"/>
      </rPr>
      <t>O pocket</t>
    </r>
  </si>
  <si>
    <r>
      <rPr>
        <b/>
        <sz val="8"/>
        <rFont val="Arial"/>
      </rPr>
      <t xml:space="preserve">materiale </t>
    </r>
    <r>
      <rPr>
        <sz val="7.5"/>
        <rFont val="Arial"/>
      </rPr>
      <t xml:space="preserve">ecopelle + metallo </t>
    </r>
  </si>
  <si>
    <r>
      <rPr>
        <sz val="7.5"/>
        <rFont val="Arial"/>
      </rPr>
      <t xml:space="preserve">lunga O pocket ecopelle </t>
    </r>
  </si>
  <si>
    <r>
      <rPr>
        <b/>
        <sz val="8"/>
        <rFont val="Arial"/>
      </rPr>
      <t xml:space="preserve">descrizione </t>
    </r>
    <r>
      <rPr>
        <sz val="7.5"/>
        <rFont val="Arial"/>
      </rPr>
      <t xml:space="preserve">tracolla catena con fascia </t>
    </r>
  </si>
  <si>
    <r>
      <rPr>
        <sz val="10"/>
        <rFont val="Arial"/>
      </rPr>
      <t xml:space="preserve">code </t>
    </r>
    <r>
      <rPr>
        <b/>
        <sz val="10"/>
        <rFont val="Arial"/>
      </rPr>
      <t>SHOUC106 ECS08</t>
    </r>
  </si>
  <si>
    <r>
      <rPr>
        <sz val="7.5"/>
        <rFont val="Arial"/>
      </rPr>
      <t>patent black</t>
    </r>
  </si>
  <si>
    <r>
      <rPr>
        <sz val="7.5"/>
        <rFont val="Arial"/>
      </rPr>
      <t>vernice nero</t>
    </r>
  </si>
  <si>
    <r>
      <rPr>
        <sz val="7.5"/>
        <rFont val="Arial"/>
      </rPr>
      <t xml:space="preserve">col. </t>
    </r>
    <r>
      <rPr>
        <b/>
        <sz val="8"/>
        <rFont val="Arial"/>
      </rPr>
      <t>055</t>
    </r>
  </si>
  <si>
    <r>
      <rPr>
        <sz val="15.5"/>
        <rFont val="Century Gothic"/>
      </rPr>
      <t xml:space="preserve">catena </t>
    </r>
    <r>
      <rPr>
        <sz val="11.5"/>
        <rFont val="Century Gothic"/>
      </rPr>
      <t>.tracolla shoulder strap O pocket</t>
    </r>
  </si>
  <si>
    <r>
      <rPr>
        <sz val="10"/>
        <rFont val="Arial"/>
      </rPr>
      <t xml:space="preserve">code </t>
    </r>
    <r>
      <rPr>
        <b/>
        <sz val="10"/>
        <rFont val="Arial"/>
      </rPr>
      <t>SHOUC106 ECS00</t>
    </r>
  </si>
  <si>
    <r>
      <rPr>
        <sz val="7.5"/>
        <rFont val="Arial"/>
      </rPr>
      <t>black</t>
    </r>
  </si>
  <si>
    <r>
      <rPr>
        <sz val="7.5"/>
        <rFont val="Arial"/>
      </rPr>
      <t>nero</t>
    </r>
  </si>
  <si>
    <r>
      <rPr>
        <sz val="15.5"/>
        <rFont val="Century Gothic"/>
      </rPr>
      <t xml:space="preserve">crystal </t>
    </r>
    <r>
      <rPr>
        <sz val="11.5"/>
        <rFont val="Century Gothic"/>
      </rPr>
      <t>.meccanismo dial O clock</t>
    </r>
  </si>
  <si>
    <r>
      <rPr>
        <sz val="10"/>
        <rFont val="Arial"/>
      </rPr>
      <t xml:space="preserve">code </t>
    </r>
    <r>
      <rPr>
        <b/>
        <sz val="9.5"/>
        <rFont val="Arial"/>
      </rPr>
      <t>OCLKD001 MES09</t>
    </r>
  </si>
  <si>
    <r>
      <rPr>
        <b/>
        <sz val="8"/>
        <rFont val="Arial"/>
      </rPr>
      <t xml:space="preserve">descrizione </t>
    </r>
    <r>
      <rPr>
        <sz val="8"/>
        <rFont val="Arial"/>
      </rPr>
      <t xml:space="preserve">O clock meccanismo crystal </t>
    </r>
  </si>
  <si>
    <r>
      <rPr>
        <b/>
        <sz val="8"/>
        <rFont val="Arial"/>
      </rPr>
      <t xml:space="preserve">abbinamenti </t>
    </r>
    <r>
      <rPr>
        <sz val="8"/>
        <rFont val="Arial"/>
      </rPr>
      <t>cinturino O clock</t>
    </r>
  </si>
  <si>
    <r>
      <rPr>
        <b/>
        <sz val="8"/>
        <rFont val="Arial"/>
      </rPr>
      <t xml:space="preserve">description </t>
    </r>
    <r>
      <rPr>
        <sz val="8"/>
        <rFont val="Arial"/>
      </rPr>
      <t xml:space="preserve">crystal O clock dial </t>
    </r>
  </si>
  <si>
    <r>
      <rPr>
        <b/>
        <sz val="8"/>
        <rFont val="Arial"/>
      </rPr>
      <t xml:space="preserve">components </t>
    </r>
    <r>
      <rPr>
        <sz val="8"/>
        <rFont val="Arial"/>
      </rPr>
      <t>O clock strap</t>
    </r>
  </si>
  <si>
    <r>
      <rPr>
        <sz val="8"/>
        <rFont val="Arial"/>
      </rPr>
      <t xml:space="preserve">col. </t>
    </r>
    <r>
      <rPr>
        <b/>
        <sz val="8"/>
        <rFont val="Arial"/>
      </rPr>
      <t xml:space="preserve">186 </t>
    </r>
    <r>
      <rPr>
        <sz val="8"/>
        <rFont val="Arial"/>
      </rPr>
      <t xml:space="preserve">col. </t>
    </r>
    <r>
      <rPr>
        <b/>
        <sz val="8"/>
        <rFont val="Arial"/>
      </rPr>
      <t xml:space="preserve">077 </t>
    </r>
    <r>
      <rPr>
        <sz val="8"/>
        <rFont val="Arial"/>
      </rPr>
      <t xml:space="preserve">col. </t>
    </r>
    <r>
      <rPr>
        <b/>
        <sz val="8"/>
        <rFont val="Arial"/>
      </rPr>
      <t>014</t>
    </r>
  </si>
  <si>
    <r>
      <rPr>
        <sz val="8"/>
        <rFont val="Arial"/>
      </rPr>
      <t xml:space="preserve">bianco mix </t>
    </r>
    <r>
      <rPr>
        <sz val="8"/>
        <rFont val="Arial"/>
      </rPr>
      <t xml:space="preserve">rubino </t>
    </r>
    <r>
      <rPr>
        <sz val="8"/>
        <rFont val="Arial"/>
      </rPr>
      <t>blu elettrico</t>
    </r>
  </si>
  <si>
    <r>
      <rPr>
        <sz val="8"/>
        <rFont val="Arial"/>
      </rPr>
      <t xml:space="preserve">white mix </t>
    </r>
    <r>
      <rPr>
        <sz val="8"/>
        <rFont val="Arial"/>
      </rPr>
      <t xml:space="preserve">ocean </t>
    </r>
    <r>
      <rPr>
        <sz val="8"/>
        <rFont val="Arial"/>
      </rPr>
      <t>electric blue</t>
    </r>
  </si>
  <si>
    <r>
      <rPr>
        <sz val="8"/>
        <rFont val="Arial"/>
      </rPr>
      <t xml:space="preserve">col. </t>
    </r>
    <r>
      <rPr>
        <b/>
        <sz val="8"/>
        <rFont val="Arial"/>
      </rPr>
      <t xml:space="preserve">059 </t>
    </r>
    <r>
      <rPr>
        <sz val="8"/>
        <rFont val="Arial"/>
      </rPr>
      <t xml:space="preserve">col. </t>
    </r>
    <r>
      <rPr>
        <b/>
        <sz val="8"/>
        <rFont val="Arial"/>
      </rPr>
      <t xml:space="preserve">086 </t>
    </r>
    <r>
      <rPr>
        <sz val="8"/>
        <rFont val="Arial"/>
      </rPr>
      <t xml:space="preserve">col. </t>
    </r>
    <r>
      <rPr>
        <b/>
        <sz val="8"/>
        <rFont val="Arial"/>
      </rPr>
      <t>039</t>
    </r>
  </si>
  <si>
    <r>
      <rPr>
        <sz val="8"/>
        <rFont val="Arial"/>
      </rPr>
      <t xml:space="preserve">oceano </t>
    </r>
    <r>
      <rPr>
        <sz val="8"/>
        <rFont val="Arial"/>
      </rPr>
      <t xml:space="preserve">tortora </t>
    </r>
    <r>
      <rPr>
        <sz val="8"/>
        <rFont val="Arial"/>
      </rPr>
      <t>grigio</t>
    </r>
  </si>
  <si>
    <r>
      <rPr>
        <sz val="8"/>
        <rFont val="Arial"/>
      </rPr>
      <t xml:space="preserve">ocean </t>
    </r>
    <r>
      <rPr>
        <sz val="8"/>
        <rFont val="Arial"/>
      </rPr>
      <t xml:space="preserve">dove-grey </t>
    </r>
    <r>
      <rPr>
        <sz val="8"/>
        <rFont val="Arial"/>
      </rPr>
      <t>grey</t>
    </r>
  </si>
  <si>
    <r>
      <rPr>
        <sz val="8"/>
        <rFont val="Arial"/>
      </rPr>
      <t xml:space="preserve">col. </t>
    </r>
    <r>
      <rPr>
        <b/>
        <sz val="8"/>
        <rFont val="Arial"/>
      </rPr>
      <t xml:space="preserve">055 </t>
    </r>
  </si>
  <si>
    <r>
      <rPr>
        <sz val="8"/>
        <rFont val="Arial"/>
      </rPr>
      <t xml:space="preserve">nero </t>
    </r>
  </si>
  <si>
    <r>
      <rPr>
        <sz val="8"/>
        <rFont val="Arial"/>
      </rPr>
      <t>black</t>
    </r>
  </si>
  <si>
    <r>
      <rPr>
        <b/>
        <sz val="7"/>
        <rFont val="Century Gothic"/>
      </rPr>
      <t xml:space="preserve">48. O bag </t>
    </r>
    <r>
      <rPr>
        <sz val="6.5"/>
        <rFont val="Century Gothic"/>
      </rPr>
      <t>summer 2018 .continuativo carry over</t>
    </r>
  </si>
  <si>
    <r>
      <rPr>
        <sz val="15.5"/>
        <rFont val="Century Gothic"/>
      </rPr>
      <t xml:space="preserve">silicone </t>
    </r>
    <r>
      <rPr>
        <sz val="11.5"/>
        <rFont val="Century Gothic"/>
      </rPr>
      <t>.cinturino strap O clock great</t>
    </r>
  </si>
  <si>
    <r>
      <rPr>
        <sz val="10"/>
        <rFont val="Arial"/>
      </rPr>
      <t xml:space="preserve">code </t>
    </r>
    <r>
      <rPr>
        <b/>
        <sz val="9.5"/>
        <rFont val="Arial"/>
      </rPr>
      <t>OCLKS107 SIS01</t>
    </r>
  </si>
  <si>
    <r>
      <rPr>
        <sz val="8"/>
        <rFont val="Arial"/>
      </rPr>
      <t xml:space="preserve">col. </t>
    </r>
    <r>
      <rPr>
        <b/>
        <sz val="7.5"/>
        <rFont val="Arial"/>
      </rPr>
      <t xml:space="preserve">008 </t>
    </r>
    <r>
      <rPr>
        <sz val="8"/>
        <rFont val="Arial"/>
      </rPr>
      <t xml:space="preserve">col. </t>
    </r>
    <r>
      <rPr>
        <b/>
        <sz val="7.5"/>
        <rFont val="Arial"/>
      </rPr>
      <t xml:space="preserve">059 </t>
    </r>
    <r>
      <rPr>
        <sz val="8"/>
        <rFont val="Arial"/>
      </rPr>
      <t xml:space="preserve">col. </t>
    </r>
    <r>
      <rPr>
        <b/>
        <sz val="7.5"/>
        <rFont val="Arial"/>
      </rPr>
      <t>071</t>
    </r>
  </si>
  <si>
    <r>
      <rPr>
        <sz val="8"/>
        <rFont val="Arial"/>
      </rPr>
      <t xml:space="preserve">bianco </t>
    </r>
    <r>
      <rPr>
        <sz val="8"/>
        <rFont val="Arial"/>
      </rPr>
      <t xml:space="preserve">oceano </t>
    </r>
    <r>
      <rPr>
        <sz val="8"/>
        <rFont val="Arial"/>
      </rPr>
      <t>roccia</t>
    </r>
  </si>
  <si>
    <r>
      <rPr>
        <sz val="8"/>
        <rFont val="Arial"/>
      </rPr>
      <t xml:space="preserve">white </t>
    </r>
    <r>
      <rPr>
        <sz val="8"/>
        <rFont val="Arial"/>
      </rPr>
      <t xml:space="preserve">ocean </t>
    </r>
    <r>
      <rPr>
        <sz val="8"/>
        <rFont val="Arial"/>
      </rPr>
      <t>rock</t>
    </r>
  </si>
  <si>
    <r>
      <rPr>
        <b/>
        <sz val="7.5"/>
        <rFont val="Arial"/>
      </rPr>
      <t xml:space="preserve">GENER S </t>
    </r>
    <r>
      <rPr>
        <b/>
        <sz val="7.5"/>
        <rFont val="Arial"/>
      </rPr>
      <t xml:space="preserve">GENER S </t>
    </r>
    <r>
      <rPr>
        <b/>
        <sz val="7.5"/>
        <rFont val="Arial"/>
      </rPr>
      <t>GENER S</t>
    </r>
  </si>
  <si>
    <r>
      <rPr>
        <b/>
        <sz val="7.5"/>
        <rFont val="Arial"/>
      </rPr>
      <t>GENER M</t>
    </r>
  </si>
  <si>
    <r>
      <rPr>
        <b/>
        <sz val="7.5"/>
        <rFont val="Arial"/>
      </rPr>
      <t xml:space="preserve">descrizione </t>
    </r>
    <r>
      <rPr>
        <sz val="8"/>
        <rFont val="Arial"/>
      </rPr>
      <t xml:space="preserve">O clock cinturino great </t>
    </r>
  </si>
  <si>
    <r>
      <rPr>
        <sz val="8"/>
        <rFont val="Arial"/>
      </rPr>
      <t>silicone</t>
    </r>
  </si>
  <si>
    <r>
      <rPr>
        <b/>
        <sz val="7.5"/>
        <rFont val="Arial"/>
      </rPr>
      <t xml:space="preserve">materiale </t>
    </r>
    <r>
      <rPr>
        <sz val="8"/>
        <rFont val="Arial"/>
      </rPr>
      <t>silicone</t>
    </r>
  </si>
  <si>
    <r>
      <rPr>
        <b/>
        <sz val="7.5"/>
        <rFont val="Arial"/>
      </rPr>
      <t xml:space="preserve">abbinamenti </t>
    </r>
    <r>
      <rPr>
        <sz val="8"/>
        <rFont val="Arial"/>
      </rPr>
      <t>meccanismo O clock great</t>
    </r>
  </si>
  <si>
    <r>
      <rPr>
        <b/>
        <sz val="7.5"/>
        <rFont val="Arial"/>
      </rPr>
      <t>GENER L</t>
    </r>
  </si>
  <si>
    <r>
      <rPr>
        <b/>
        <sz val="7.5"/>
        <rFont val="Arial"/>
      </rPr>
      <t xml:space="preserve">description </t>
    </r>
    <r>
      <rPr>
        <sz val="8"/>
        <rFont val="Arial"/>
      </rPr>
      <t xml:space="preserve">silicone O clock great strap </t>
    </r>
  </si>
  <si>
    <r>
      <rPr>
        <b/>
        <sz val="7.5"/>
        <rFont val="Arial"/>
      </rPr>
      <t xml:space="preserve">material </t>
    </r>
    <r>
      <rPr>
        <sz val="8"/>
        <rFont val="Arial"/>
      </rPr>
      <t>silicone</t>
    </r>
  </si>
  <si>
    <r>
      <rPr>
        <b/>
        <sz val="7.5"/>
        <rFont val="Arial"/>
      </rPr>
      <t xml:space="preserve">components </t>
    </r>
    <r>
      <rPr>
        <sz val="8"/>
        <rFont val="Arial"/>
      </rPr>
      <t>O clock great dial</t>
    </r>
  </si>
  <si>
    <r>
      <rPr>
        <sz val="8"/>
        <rFont val="Arial"/>
      </rPr>
      <t xml:space="preserve">col. </t>
    </r>
    <r>
      <rPr>
        <b/>
        <sz val="7.5"/>
        <rFont val="Arial"/>
      </rPr>
      <t xml:space="preserve">041 </t>
    </r>
    <r>
      <rPr>
        <sz val="8"/>
        <rFont val="Arial"/>
      </rPr>
      <t xml:space="preserve">col. </t>
    </r>
    <r>
      <rPr>
        <b/>
        <sz val="7.5"/>
        <rFont val="Arial"/>
      </rPr>
      <t>055</t>
    </r>
  </si>
  <si>
    <r>
      <rPr>
        <sz val="8"/>
        <rFont val="Arial"/>
      </rPr>
      <t xml:space="preserve">grigio scuro </t>
    </r>
    <r>
      <rPr>
        <sz val="8"/>
        <rFont val="Arial"/>
      </rPr>
      <t>nero</t>
    </r>
  </si>
  <si>
    <r>
      <rPr>
        <sz val="8"/>
        <rFont val="Arial"/>
      </rPr>
      <t xml:space="preserve">dark grey </t>
    </r>
    <r>
      <rPr>
        <sz val="8"/>
        <rFont val="Arial"/>
      </rPr>
      <t>black</t>
    </r>
  </si>
  <si>
    <r>
      <rPr>
        <b/>
        <sz val="7.5"/>
        <rFont val="Arial"/>
      </rPr>
      <t xml:space="preserve">GENER S </t>
    </r>
    <r>
      <rPr>
        <b/>
        <sz val="7.5"/>
        <rFont val="Arial"/>
      </rPr>
      <t>GENER S</t>
    </r>
  </si>
  <si>
    <r>
      <rPr>
        <b/>
        <sz val="7.5"/>
        <rFont val="Arial"/>
      </rPr>
      <t xml:space="preserve">GENER M </t>
    </r>
    <r>
      <rPr>
        <b/>
        <sz val="7.5"/>
        <rFont val="Arial"/>
      </rPr>
      <t>GENER M</t>
    </r>
  </si>
  <si>
    <r>
      <rPr>
        <b/>
        <sz val="7.5"/>
        <rFont val="Arial"/>
      </rPr>
      <t xml:space="preserve">GENER L </t>
    </r>
    <r>
      <rPr>
        <b/>
        <sz val="7.5"/>
        <rFont val="Arial"/>
      </rPr>
      <t>GENER L</t>
    </r>
  </si>
  <si>
    <r>
      <rPr>
        <sz val="6.5"/>
        <rFont val="Century Gothic"/>
      </rPr>
      <t xml:space="preserve">orologi watches </t>
    </r>
    <r>
      <rPr>
        <b/>
        <sz val="7"/>
        <rFont val="Century Gothic"/>
      </rPr>
      <t>53.</t>
    </r>
  </si>
  <si>
    <r>
      <rPr>
        <sz val="14"/>
        <rFont val="Century Gothic"/>
      </rPr>
      <t>O bracelet flower big .bracciale bracelet</t>
    </r>
  </si>
  <si>
    <r>
      <rPr>
        <sz val="8"/>
        <rFont val="Arial"/>
      </rPr>
      <t xml:space="preserve">col. </t>
    </r>
    <r>
      <rPr>
        <b/>
        <sz val="7.5"/>
        <rFont val="Arial"/>
      </rPr>
      <t>143</t>
    </r>
  </si>
  <si>
    <r>
      <rPr>
        <sz val="8"/>
        <rFont val="Arial"/>
      </rPr>
      <t>neve</t>
    </r>
  </si>
  <si>
    <r>
      <rPr>
        <sz val="8"/>
        <rFont val="Arial"/>
      </rPr>
      <t>snow white</t>
    </r>
  </si>
  <si>
    <r>
      <rPr>
        <sz val="8"/>
        <rFont val="Arial"/>
      </rPr>
      <t xml:space="preserve">col. </t>
    </r>
    <r>
      <rPr>
        <b/>
        <sz val="7.5"/>
        <rFont val="Arial"/>
      </rPr>
      <t>059</t>
    </r>
  </si>
  <si>
    <r>
      <rPr>
        <sz val="8"/>
        <rFont val="Arial"/>
      </rPr>
      <t>oceano</t>
    </r>
  </si>
  <si>
    <r>
      <rPr>
        <sz val="8"/>
        <rFont val="Arial"/>
      </rPr>
      <t>ocean</t>
    </r>
  </si>
  <si>
    <r>
      <rPr>
        <sz val="8"/>
        <rFont val="Arial"/>
      </rPr>
      <t xml:space="preserve">col. </t>
    </r>
    <r>
      <rPr>
        <b/>
        <sz val="7.5"/>
        <rFont val="Arial"/>
      </rPr>
      <t>086</t>
    </r>
  </si>
  <si>
    <r>
      <rPr>
        <sz val="8"/>
        <rFont val="Arial"/>
      </rPr>
      <t>tortora</t>
    </r>
  </si>
  <si>
    <r>
      <rPr>
        <sz val="8"/>
        <rFont val="Arial"/>
      </rPr>
      <t>dove-grey</t>
    </r>
  </si>
  <si>
    <r>
      <rPr>
        <b/>
        <sz val="7.5"/>
        <rFont val="Arial"/>
      </rPr>
      <t xml:space="preserve">GENER M </t>
    </r>
    <r>
      <rPr>
        <b/>
        <sz val="7.5"/>
        <rFont val="Arial"/>
      </rPr>
      <t xml:space="preserve">GENER M </t>
    </r>
    <r>
      <rPr>
        <b/>
        <sz val="7.5"/>
        <rFont val="Arial"/>
      </rPr>
      <t>GENER M</t>
    </r>
  </si>
  <si>
    <r>
      <rPr>
        <sz val="10"/>
        <rFont val="Arial"/>
      </rPr>
      <t xml:space="preserve">code </t>
    </r>
    <r>
      <rPr>
        <b/>
        <sz val="10"/>
        <rFont val="Arial"/>
      </rPr>
      <t>OBRCF003 SIS01</t>
    </r>
  </si>
  <si>
    <r>
      <rPr>
        <b/>
        <sz val="7.5"/>
        <rFont val="Arial"/>
      </rPr>
      <t xml:space="preserve">descrizione </t>
    </r>
    <r>
      <rPr>
        <sz val="8"/>
        <rFont val="Arial"/>
      </rPr>
      <t xml:space="preserve">O bracelet flower big silicone </t>
    </r>
  </si>
  <si>
    <r>
      <rPr>
        <b/>
        <sz val="7.5"/>
        <rFont val="Arial"/>
      </rPr>
      <t xml:space="preserve">description </t>
    </r>
    <r>
      <rPr>
        <sz val="8"/>
        <rFont val="Arial"/>
      </rPr>
      <t xml:space="preserve">O bracelet flower big silicone </t>
    </r>
  </si>
  <si>
    <r>
      <rPr>
        <sz val="8"/>
        <rFont val="Arial"/>
      </rPr>
      <t xml:space="preserve">col. </t>
    </r>
    <r>
      <rPr>
        <b/>
        <sz val="7.5"/>
        <rFont val="Arial"/>
      </rPr>
      <t xml:space="preserve">071 </t>
    </r>
    <r>
      <rPr>
        <sz val="8"/>
        <rFont val="Arial"/>
      </rPr>
      <t xml:space="preserve">col. </t>
    </r>
    <r>
      <rPr>
        <b/>
        <sz val="7.5"/>
        <rFont val="Arial"/>
      </rPr>
      <t>055</t>
    </r>
  </si>
  <si>
    <r>
      <rPr>
        <sz val="6.5"/>
        <rFont val="Century Gothic"/>
      </rPr>
      <t xml:space="preserve">bracciali bracelets </t>
    </r>
    <r>
      <rPr>
        <b/>
        <sz val="7"/>
        <rFont val="Century Gothic"/>
      </rPr>
      <t>57.</t>
    </r>
  </si>
  <si>
    <t>A</t>
  </si>
  <si>
    <t>Coloris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</si>
</sst>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rgb="FF000000"/>
      <name val="Calibri"/>
      <family val="2"/>
    </font>
    <font>
      <b/>
      <sz val="7"/>
      <name val="Century Gothic"/>
    </font>
    <font>
      <sz val="7"/>
      <name val="Century Gothic"/>
    </font>
    <font>
      <sz val="8"/>
      <name val="Arial"/>
    </font>
    <font>
      <b/>
      <sz val="8"/>
      <name val="Arial"/>
    </font>
    <font>
      <b/>
      <sz val="11"/>
      <color rgb="FF000000"/>
      <name val="Calibri"/>
    </font>
    <font>
      <sz val="10"/>
      <name val="Arial"/>
    </font>
    <font>
      <b/>
      <sz val="9.5"/>
      <name val="Arial"/>
    </font>
    <font>
      <sz val="15.5"/>
      <name val="Century Gothic"/>
    </font>
    <font>
      <sz val="11.5"/>
      <name val="Century Gothic"/>
    </font>
    <font>
      <sz val="7.5"/>
      <name val="Arial"/>
    </font>
    <font>
      <b/>
      <sz val="10"/>
      <name val="Arial"/>
    </font>
    <font>
      <sz val="6.5"/>
      <name val="Century Gothic"/>
    </font>
    <font>
      <b/>
      <sz val="7.5"/>
      <name val="Arial"/>
    </font>
    <font>
      <sz val="14"/>
      <name val="Century Gothic"/>
    </font>
    <font>
      <sz val="12"/>
      <color rgb="FF000000"/>
      <name val="Calibri"/>
      <family val="2"/>
    </font>
    <font>
      <sz val="12"/>
      <name val="Calibri"/>
    </font>
    <font>
      <b/>
      <sz val="12"/>
      <color rgb="FF000000"/>
      <name val="Calibri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1" fontId="0" fillId="0" borderId="0" xfId="0" applyNumberFormat="1"/>
    <xf numFmtId="0" fontId="1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2" borderId="0" xfId="0" applyFill="1" applyBorder="1"/>
    <xf numFmtId="0" fontId="0" fillId="0" borderId="5" xfId="0" applyBorder="1"/>
    <xf numFmtId="0" fontId="0" fillId="3" borderId="0" xfId="0" applyFill="1" applyBorder="1"/>
    <xf numFmtId="0" fontId="0" fillId="4" borderId="5" xfId="0" applyFill="1" applyBorder="1"/>
    <xf numFmtId="0" fontId="0" fillId="5" borderId="0" xfId="0" applyFill="1" applyBorder="1"/>
    <xf numFmtId="1" fontId="5" fillId="6" borderId="0" xfId="0" applyNumberFormat="1" applyFont="1" applyFill="1" applyBorder="1"/>
    <xf numFmtId="1" fontId="5" fillId="3" borderId="0" xfId="0" applyNumberFormat="1" applyFont="1" applyFill="1" applyBorder="1"/>
    <xf numFmtId="0" fontId="6" fillId="0" borderId="0" xfId="0" applyFont="1" applyBorder="1" applyAlignment="1">
      <alignment horizontal="left" vertical="top"/>
    </xf>
    <xf numFmtId="1" fontId="0" fillId="0" borderId="0" xfId="0" applyNumberFormat="1" applyBorder="1"/>
    <xf numFmtId="0" fontId="0" fillId="7" borderId="0" xfId="0" applyFill="1" applyBorder="1"/>
    <xf numFmtId="0" fontId="0" fillId="8" borderId="0" xfId="0" applyFill="1" applyBorder="1"/>
    <xf numFmtId="0" fontId="0" fillId="7" borderId="5" xfId="0" applyFill="1" applyBorder="1"/>
    <xf numFmtId="0" fontId="5" fillId="8" borderId="0" xfId="0" applyFont="1" applyFill="1" applyBorder="1"/>
    <xf numFmtId="1" fontId="5" fillId="8" borderId="0" xfId="0" applyNumberFormat="1" applyFont="1" applyFill="1" applyBorder="1"/>
    <xf numFmtId="0" fontId="0" fillId="9" borderId="4" xfId="0" applyFill="1" applyBorder="1"/>
    <xf numFmtId="0" fontId="0" fillId="9" borderId="0" xfId="0" applyFill="1" applyBorder="1"/>
    <xf numFmtId="0" fontId="5" fillId="9" borderId="0" xfId="0" applyFont="1" applyFill="1" applyBorder="1"/>
    <xf numFmtId="0" fontId="0" fillId="10" borderId="0" xfId="0" applyFill="1"/>
    <xf numFmtId="0" fontId="0" fillId="10" borderId="0" xfId="0" applyFill="1" applyBorder="1"/>
    <xf numFmtId="0" fontId="0" fillId="11" borderId="5" xfId="0" applyFill="1" applyBorder="1"/>
    <xf numFmtId="0" fontId="0" fillId="0" borderId="6" xfId="0" applyBorder="1"/>
    <xf numFmtId="0" fontId="0" fillId="0" borderId="7" xfId="0" applyBorder="1"/>
    <xf numFmtId="1" fontId="0" fillId="0" borderId="7" xfId="0" applyNumberFormat="1" applyBorder="1"/>
    <xf numFmtId="0" fontId="0" fillId="0" borderId="8" xfId="0" applyBorder="1"/>
    <xf numFmtId="0" fontId="8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horizontal="left" vertical="top"/>
    </xf>
    <xf numFmtId="0" fontId="15" fillId="0" borderId="0" xfId="0" applyFont="1"/>
    <xf numFmtId="0" fontId="15" fillId="12" borderId="0" xfId="0" applyFont="1" applyFill="1"/>
    <xf numFmtId="0" fontId="15" fillId="13" borderId="0" xfId="0" applyFont="1" applyFill="1" applyAlignment="1">
      <alignment horizontal="center"/>
    </xf>
    <xf numFmtId="0" fontId="15" fillId="14" borderId="0" xfId="0" applyFont="1" applyFill="1"/>
    <xf numFmtId="0" fontId="16" fillId="7" borderId="0" xfId="0" applyFont="1" applyFill="1"/>
    <xf numFmtId="0" fontId="17" fillId="0" borderId="0" xfId="0" applyFont="1"/>
    <xf numFmtId="0" fontId="5" fillId="0" borderId="0" xfId="0" applyFont="1"/>
  </cellXfs>
  <cellStyles count="5">
    <cellStyle name="Lien hypertexte" xfId="1" builtinId="8" hidden="1"/>
    <cellStyle name="Lien hypertexte" xfId="3" builtinId="8" hidden="1"/>
    <cellStyle name="Lien hypertexte visité" xfId="2" builtinId="9" hidden="1"/>
    <cellStyle name="Lien hypertexte visité" xfId="4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4" Type="http://schemas.openxmlformats.org/officeDocument/2006/relationships/image" Target="../media/image8.png"/><Relationship Id="rId1" Type="http://schemas.openxmlformats.org/officeDocument/2006/relationships/image" Target="../media/image5.png"/><Relationship Id="rId2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4" Type="http://schemas.openxmlformats.org/officeDocument/2006/relationships/image" Target="../media/image12.png"/><Relationship Id="rId5" Type="http://schemas.openxmlformats.org/officeDocument/2006/relationships/image" Target="../media/image13.png"/><Relationship Id="rId1" Type="http://schemas.openxmlformats.org/officeDocument/2006/relationships/image" Target="../media/image9.png"/><Relationship Id="rId2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1" Type="http://schemas.openxmlformats.org/officeDocument/2006/relationships/image" Target="../media/image24.png"/><Relationship Id="rId12" Type="http://schemas.openxmlformats.org/officeDocument/2006/relationships/image" Target="../media/image25.png"/><Relationship Id="rId1" Type="http://schemas.openxmlformats.org/officeDocument/2006/relationships/image" Target="../media/image14.png"/><Relationship Id="rId2" Type="http://schemas.openxmlformats.org/officeDocument/2006/relationships/image" Target="../media/image15.png"/><Relationship Id="rId3" Type="http://schemas.openxmlformats.org/officeDocument/2006/relationships/image" Target="../media/image16.png"/><Relationship Id="rId4" Type="http://schemas.openxmlformats.org/officeDocument/2006/relationships/image" Target="../media/image17.png"/><Relationship Id="rId5" Type="http://schemas.openxmlformats.org/officeDocument/2006/relationships/image" Target="../media/image18.png"/><Relationship Id="rId6" Type="http://schemas.openxmlformats.org/officeDocument/2006/relationships/image" Target="../media/image19.png"/><Relationship Id="rId7" Type="http://schemas.openxmlformats.org/officeDocument/2006/relationships/image" Target="../media/image20.png"/><Relationship Id="rId8" Type="http://schemas.openxmlformats.org/officeDocument/2006/relationships/image" Target="../media/image21.png"/><Relationship Id="rId9" Type="http://schemas.openxmlformats.org/officeDocument/2006/relationships/image" Target="../media/image22.png"/><Relationship Id="rId10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4" Type="http://schemas.openxmlformats.org/officeDocument/2006/relationships/image" Target="../media/image29.png"/><Relationship Id="rId5" Type="http://schemas.openxmlformats.org/officeDocument/2006/relationships/image" Target="../media/image30.png"/><Relationship Id="rId6" Type="http://schemas.openxmlformats.org/officeDocument/2006/relationships/image" Target="../media/image31.png"/><Relationship Id="rId1" Type="http://schemas.openxmlformats.org/officeDocument/2006/relationships/image" Target="../media/image26.png"/><Relationship Id="rId2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411428</xdr:colOff>
      <xdr:row>9</xdr:row>
      <xdr:rowOff>177777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5600"/>
          <a:ext cx="2062428" cy="142237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5</xdr:col>
      <xdr:colOff>590476</xdr:colOff>
      <xdr:row>23</xdr:row>
      <xdr:rowOff>88888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378200"/>
          <a:ext cx="4717976" cy="80008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14111</xdr:rowOff>
    </xdr:from>
    <xdr:to>
      <xdr:col>6</xdr:col>
      <xdr:colOff>129523</xdr:colOff>
      <xdr:row>36</xdr:row>
      <xdr:rowOff>166491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63444"/>
          <a:ext cx="5124856" cy="164815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76</xdr:row>
      <xdr:rowOff>0</xdr:rowOff>
    </xdr:from>
    <xdr:to>
      <xdr:col>3</xdr:col>
      <xdr:colOff>598095</xdr:colOff>
      <xdr:row>78</xdr:row>
      <xdr:rowOff>50793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512800"/>
          <a:ext cx="3074595" cy="4063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</xdr:col>
      <xdr:colOff>466031</xdr:colOff>
      <xdr:row>12</xdr:row>
      <xdr:rowOff>50793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78000"/>
          <a:ext cx="1291531" cy="4063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481904</xdr:colOff>
      <xdr:row>22</xdr:row>
      <xdr:rowOff>101587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11400"/>
          <a:ext cx="481904" cy="170178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51</xdr:row>
      <xdr:rowOff>0</xdr:rowOff>
    </xdr:from>
    <xdr:to>
      <xdr:col>1</xdr:col>
      <xdr:colOff>466031</xdr:colOff>
      <xdr:row>53</xdr:row>
      <xdr:rowOff>62857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67800"/>
          <a:ext cx="1291531" cy="41845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54</xdr:row>
      <xdr:rowOff>0</xdr:rowOff>
    </xdr:from>
    <xdr:to>
      <xdr:col>0</xdr:col>
      <xdr:colOff>507301</xdr:colOff>
      <xdr:row>63</xdr:row>
      <xdr:rowOff>126984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9601200"/>
          <a:ext cx="507301" cy="17271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170158</xdr:colOff>
      <xdr:row>8</xdr:row>
      <xdr:rowOff>101587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9900"/>
          <a:ext cx="1821158" cy="116838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5</xdr:col>
      <xdr:colOff>577777</xdr:colOff>
      <xdr:row>24</xdr:row>
      <xdr:rowOff>50793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70300"/>
          <a:ext cx="4705277" cy="7619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6</xdr:col>
      <xdr:colOff>129523</xdr:colOff>
      <xdr:row>37</xdr:row>
      <xdr:rowOff>126984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83200"/>
          <a:ext cx="5082523" cy="156208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41</xdr:row>
      <xdr:rowOff>0</xdr:rowOff>
    </xdr:from>
    <xdr:to>
      <xdr:col>6</xdr:col>
      <xdr:colOff>129523</xdr:colOff>
      <xdr:row>49</xdr:row>
      <xdr:rowOff>139682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429500"/>
          <a:ext cx="5082523" cy="156208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54</xdr:row>
      <xdr:rowOff>0</xdr:rowOff>
    </xdr:from>
    <xdr:to>
      <xdr:col>1</xdr:col>
      <xdr:colOff>466031</xdr:colOff>
      <xdr:row>56</xdr:row>
      <xdr:rowOff>50793</xdr:rowOff>
    </xdr:to>
    <xdr:pic>
      <xdr:nvPicPr>
        <xdr:cNvPr id="6" name="Picture"/>
        <xdr:cNvPicPr preferRelativeResize="0"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9740900"/>
          <a:ext cx="1291531" cy="4063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135238</xdr:colOff>
      <xdr:row>4</xdr:row>
      <xdr:rowOff>126349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0738" cy="8629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1</xdr:col>
      <xdr:colOff>147936</xdr:colOff>
      <xdr:row>9</xdr:row>
      <xdr:rowOff>152380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14400"/>
          <a:ext cx="973436" cy="8635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1</xdr:col>
      <xdr:colOff>377142</xdr:colOff>
      <xdr:row>16</xdr:row>
      <xdr:rowOff>50793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803400"/>
          <a:ext cx="1202642" cy="11175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2</xdr:col>
      <xdr:colOff>220952</xdr:colOff>
      <xdr:row>27</xdr:row>
      <xdr:rowOff>38095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314700"/>
          <a:ext cx="1871952" cy="163829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0</xdr:rowOff>
    </xdr:from>
    <xdr:to>
      <xdr:col>6</xdr:col>
      <xdr:colOff>142222</xdr:colOff>
      <xdr:row>39</xdr:row>
      <xdr:rowOff>0</xdr:rowOff>
    </xdr:to>
    <xdr:pic>
      <xdr:nvPicPr>
        <xdr:cNvPr id="6" name="Picture"/>
        <xdr:cNvPicPr preferRelativeResize="0"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540500"/>
          <a:ext cx="5095222" cy="5334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5</xdr:col>
      <xdr:colOff>133333</xdr:colOff>
      <xdr:row>40</xdr:row>
      <xdr:rowOff>75555</xdr:rowOff>
    </xdr:to>
    <xdr:pic>
      <xdr:nvPicPr>
        <xdr:cNvPr id="7" name="Picture"/>
        <xdr:cNvPicPr preferRelativeResize="0"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251700"/>
          <a:ext cx="4260833" cy="7555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49</xdr:row>
      <xdr:rowOff>0</xdr:rowOff>
    </xdr:from>
    <xdr:to>
      <xdr:col>6</xdr:col>
      <xdr:colOff>129523</xdr:colOff>
      <xdr:row>52</xdr:row>
      <xdr:rowOff>76190</xdr:rowOff>
    </xdr:to>
    <xdr:pic>
      <xdr:nvPicPr>
        <xdr:cNvPr id="8" name="Picture"/>
        <xdr:cNvPicPr preferRelativeResize="0"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8851900"/>
          <a:ext cx="5082523" cy="60959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53</xdr:row>
      <xdr:rowOff>0</xdr:rowOff>
    </xdr:from>
    <xdr:to>
      <xdr:col>5</xdr:col>
      <xdr:colOff>120634</xdr:colOff>
      <xdr:row>53</xdr:row>
      <xdr:rowOff>75555</xdr:rowOff>
    </xdr:to>
    <xdr:pic>
      <xdr:nvPicPr>
        <xdr:cNvPr id="9" name="Picture"/>
        <xdr:cNvPicPr preferRelativeResize="0"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9563100"/>
          <a:ext cx="4248134" cy="7555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61</xdr:row>
      <xdr:rowOff>0</xdr:rowOff>
    </xdr:from>
    <xdr:to>
      <xdr:col>6</xdr:col>
      <xdr:colOff>142222</xdr:colOff>
      <xdr:row>63</xdr:row>
      <xdr:rowOff>126349</xdr:rowOff>
    </xdr:to>
    <xdr:pic>
      <xdr:nvPicPr>
        <xdr:cNvPr id="10" name="Picture"/>
        <xdr:cNvPicPr preferRelativeResize="0"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0985500"/>
          <a:ext cx="5095222" cy="4819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64</xdr:row>
      <xdr:rowOff>0</xdr:rowOff>
    </xdr:from>
    <xdr:to>
      <xdr:col>1</xdr:col>
      <xdr:colOff>135238</xdr:colOff>
      <xdr:row>68</xdr:row>
      <xdr:rowOff>152380</xdr:rowOff>
    </xdr:to>
    <xdr:pic>
      <xdr:nvPicPr>
        <xdr:cNvPr id="11" name="Picture"/>
        <xdr:cNvPicPr preferRelativeResize="0"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1518900"/>
          <a:ext cx="960738" cy="8635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69</xdr:row>
      <xdr:rowOff>0</xdr:rowOff>
    </xdr:from>
    <xdr:to>
      <xdr:col>1</xdr:col>
      <xdr:colOff>135238</xdr:colOff>
      <xdr:row>73</xdr:row>
      <xdr:rowOff>139682</xdr:rowOff>
    </xdr:to>
    <xdr:pic>
      <xdr:nvPicPr>
        <xdr:cNvPr id="12" name="Picture"/>
        <xdr:cNvPicPr preferRelativeResize="0"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12407900"/>
          <a:ext cx="960738" cy="85088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79</xdr:row>
      <xdr:rowOff>0</xdr:rowOff>
    </xdr:from>
    <xdr:to>
      <xdr:col>3</xdr:col>
      <xdr:colOff>610793</xdr:colOff>
      <xdr:row>89</xdr:row>
      <xdr:rowOff>63492</xdr:rowOff>
    </xdr:to>
    <xdr:pic>
      <xdr:nvPicPr>
        <xdr:cNvPr id="13" name="Picture"/>
        <xdr:cNvPicPr preferRelativeResize="0"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14185900"/>
          <a:ext cx="3087293" cy="18414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7</xdr:col>
      <xdr:colOff>231111</xdr:colOff>
      <xdr:row>6</xdr:row>
      <xdr:rowOff>177777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81000"/>
          <a:ext cx="5184111" cy="88897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3</xdr:col>
      <xdr:colOff>39365</xdr:colOff>
      <xdr:row>15</xdr:row>
      <xdr:rowOff>114285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209800"/>
          <a:ext cx="2515865" cy="64768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6</xdr:col>
      <xdr:colOff>142222</xdr:colOff>
      <xdr:row>34</xdr:row>
      <xdr:rowOff>88888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613400"/>
          <a:ext cx="5095222" cy="62228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41</xdr:row>
      <xdr:rowOff>0</xdr:rowOff>
    </xdr:from>
    <xdr:to>
      <xdr:col>6</xdr:col>
      <xdr:colOff>142222</xdr:colOff>
      <xdr:row>43</xdr:row>
      <xdr:rowOff>100952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391400"/>
          <a:ext cx="5095222" cy="4565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46</xdr:row>
      <xdr:rowOff>0</xdr:rowOff>
    </xdr:from>
    <xdr:to>
      <xdr:col>3</xdr:col>
      <xdr:colOff>610793</xdr:colOff>
      <xdr:row>48</xdr:row>
      <xdr:rowOff>75555</xdr:rowOff>
    </xdr:to>
    <xdr:pic>
      <xdr:nvPicPr>
        <xdr:cNvPr id="6" name="Picture"/>
        <xdr:cNvPicPr preferRelativeResize="0"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8280400"/>
          <a:ext cx="3087293" cy="43115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56</xdr:row>
      <xdr:rowOff>0</xdr:rowOff>
    </xdr:from>
    <xdr:to>
      <xdr:col>3</xdr:col>
      <xdr:colOff>610793</xdr:colOff>
      <xdr:row>62</xdr:row>
      <xdr:rowOff>63492</xdr:rowOff>
    </xdr:to>
    <xdr:pic>
      <xdr:nvPicPr>
        <xdr:cNvPr id="7" name="Picture"/>
        <xdr:cNvPicPr preferRelativeResize="0"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0058400"/>
          <a:ext cx="3087293" cy="1130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/>
  <dimension ref="A3:H13"/>
  <sheetViews>
    <sheetView tabSelected="1" workbookViewId="0">
      <selection activeCell="H6" sqref="H6"/>
    </sheetView>
  </sheetViews>
  <sheetFormatPr baseColWidth="10" defaultRowHeight="14" x14ac:dyDescent="0"/>
  <cols>
    <col min="6" max="6" width="15" bestFit="1" customWidth="1"/>
  </cols>
  <sheetData>
    <row r="3" spans="1:8" ht="15">
      <c r="A3" s="40"/>
      <c r="B3" s="40"/>
      <c r="C3" s="40"/>
      <c r="D3" s="44" t="s">
        <v>21</v>
      </c>
      <c r="E3" s="40"/>
      <c r="H3" s="44" t="s">
        <v>17</v>
      </c>
    </row>
    <row r="4" spans="1:8" ht="15">
      <c r="A4" s="40"/>
      <c r="B4" s="40"/>
      <c r="C4" s="40"/>
      <c r="D4" s="41" t="s">
        <v>107</v>
      </c>
      <c r="E4" s="40"/>
      <c r="H4" s="41" t="s">
        <v>107</v>
      </c>
    </row>
    <row r="5" spans="1:8" ht="15">
      <c r="A5" s="40">
        <v>5</v>
      </c>
      <c r="B5" s="40"/>
      <c r="C5" s="40"/>
      <c r="D5" s="45" t="s">
        <v>23</v>
      </c>
      <c r="E5" s="40"/>
      <c r="H5" s="46" t="s">
        <v>108</v>
      </c>
    </row>
    <row r="6" spans="1:8" ht="15">
      <c r="A6" s="42">
        <f t="shared" ref="A6:A13" si="0">IF(C5, "",IF(E5=0, A5+1,A5))</f>
        <v>6</v>
      </c>
      <c r="B6" s="40" t="str">
        <f t="shared" ref="B6:B13" si="1">IF(C5, "", prefixeOngletFacture &amp; A6)</f>
        <v>Feuille6</v>
      </c>
      <c r="C6" s="40" t="b">
        <f t="shared" ref="C6:C13" ca="1" si="2">OR(ISERROR(INDIRECT(getNomZone(B6, "A:A"))), C5)</f>
        <v>0</v>
      </c>
      <c r="D6" s="43">
        <f ca="1">IF($C6,"",IFERROR(MATCH(D$3,INDIRECT(getNomZoneIndice($B6,D$4, $E5+1)),0),0))</f>
        <v>13</v>
      </c>
      <c r="E6" s="43">
        <f t="shared" ref="E6:E13" ca="1" si="3">IF(D6=0,0,D6+E5)</f>
        <v>13</v>
      </c>
      <c r="F6" t="str">
        <f t="shared" ref="F6:F13" ca="1" si="4">MID(INDEX(INDIRECT(getNomZonecolonne($B6, $D$4)), E6), 5, 50)</f>
        <v xml:space="preserve"> OBAGB001 EVS00</v>
      </c>
      <c r="H6">
        <f ca="1">MATCH(H$3, INDIRECT(getNomZoneIndice($B6, H$4, E6)), 0)</f>
        <v>14</v>
      </c>
    </row>
    <row r="7" spans="1:8" ht="15">
      <c r="A7" s="42">
        <f t="shared" ca="1" si="0"/>
        <v>6</v>
      </c>
      <c r="B7" s="40" t="str">
        <f t="shared" ca="1" si="1"/>
        <v>Feuille6</v>
      </c>
      <c r="C7" s="40" t="b">
        <f t="shared" ca="1" si="2"/>
        <v>0</v>
      </c>
      <c r="D7" s="43">
        <f ca="1">IF($C7,"",IFERROR(MATCH(D$3,INDIRECT(getNomZoneIndice($B7,D$4, $E6+1)),0),0))</f>
        <v>0</v>
      </c>
      <c r="E7" s="43">
        <f t="shared" ca="1" si="3"/>
        <v>0</v>
      </c>
      <c r="F7" t="str">
        <f t="shared" ca="1" si="4"/>
        <v/>
      </c>
    </row>
    <row r="8" spans="1:8" ht="15">
      <c r="A8" s="42">
        <f t="shared" ca="1" si="0"/>
        <v>7</v>
      </c>
      <c r="B8" s="40" t="str">
        <f t="shared" ca="1" si="1"/>
        <v>Feuille7</v>
      </c>
      <c r="C8" s="40" t="b">
        <f t="shared" ca="1" si="2"/>
        <v>0</v>
      </c>
      <c r="D8" s="43">
        <f ca="1">IF($C8,"",IFERROR(MATCH(D$3,INDIRECT(getNomZoneIndice($B8,D$4, $E7+1)),0),0))</f>
        <v>25</v>
      </c>
      <c r="E8" s="43">
        <f t="shared" ca="1" si="3"/>
        <v>25</v>
      </c>
      <c r="F8" t="str">
        <f t="shared" ca="1" si="4"/>
        <v xml:space="preserve"> SHOUC106 ECS00</v>
      </c>
    </row>
    <row r="9" spans="1:8" ht="15">
      <c r="A9" s="42">
        <f t="shared" ca="1" si="0"/>
        <v>7</v>
      </c>
      <c r="B9" s="40" t="str">
        <f t="shared" ca="1" si="1"/>
        <v>Feuille7</v>
      </c>
      <c r="C9" s="40" t="b">
        <f t="shared" ca="1" si="2"/>
        <v>0</v>
      </c>
      <c r="D9" s="43">
        <f ca="1">IF($C9,"",IFERROR(MATCH(D$3,INDIRECT(getNomZoneIndice($B9,D$4, $E8+1)),0),0))</f>
        <v>41</v>
      </c>
      <c r="E9" s="43">
        <f t="shared" ca="1" si="3"/>
        <v>66</v>
      </c>
      <c r="F9" t="str">
        <f t="shared" ca="1" si="4"/>
        <v xml:space="preserve"> SHOUC106 ECS08</v>
      </c>
    </row>
    <row r="10" spans="1:8" ht="15">
      <c r="A10" s="42">
        <f t="shared" ca="1" si="0"/>
        <v>7</v>
      </c>
      <c r="B10" s="40" t="str">
        <f t="shared" ca="1" si="1"/>
        <v>Feuille7</v>
      </c>
      <c r="C10" s="40" t="b">
        <f t="shared" ca="1" si="2"/>
        <v>0</v>
      </c>
      <c r="D10" s="43">
        <f ca="1">IF($C10,"",IFERROR(MATCH(D$3,INDIRECT(getNomZoneIndice($B10,D$4, $E9+1)),0),0))</f>
        <v>0</v>
      </c>
      <c r="E10" s="43">
        <f t="shared" ca="1" si="3"/>
        <v>0</v>
      </c>
      <c r="F10" t="str">
        <f t="shared" ca="1" si="4"/>
        <v>k</v>
      </c>
    </row>
    <row r="11" spans="1:8" ht="15">
      <c r="A11" s="42">
        <f t="shared" ca="1" si="0"/>
        <v>8</v>
      </c>
      <c r="B11" s="40" t="str">
        <f t="shared" ca="1" si="1"/>
        <v>Feuille8</v>
      </c>
      <c r="C11" s="40" t="b">
        <f t="shared" ca="1" si="2"/>
        <v>0</v>
      </c>
      <c r="D11" s="43">
        <f ca="1">IF($C11,"",IFERROR(MATCH(D$3,INDIRECT(getNomZoneIndice($B11,D$4, $E10+1)),0),0))</f>
        <v>14</v>
      </c>
      <c r="E11" s="43">
        <f t="shared" ca="1" si="3"/>
        <v>14</v>
      </c>
      <c r="F11" t="str">
        <f t="shared" ca="1" si="4"/>
        <v xml:space="preserve"> OCLKD001 MES09</v>
      </c>
    </row>
    <row r="12" spans="1:8" ht="15">
      <c r="A12" s="42">
        <f t="shared" ca="1" si="0"/>
        <v>8</v>
      </c>
      <c r="B12" s="40" t="str">
        <f t="shared" ca="1" si="1"/>
        <v>Feuille8</v>
      </c>
      <c r="C12" s="40" t="b">
        <f t="shared" ca="1" si="2"/>
        <v>0</v>
      </c>
      <c r="D12" s="43">
        <f ca="1">IF($C12,"",IFERROR(MATCH(D$3,INDIRECT(getNomZoneIndice($B12,D$4, $E11+1)),0),0))</f>
        <v>0</v>
      </c>
      <c r="E12" s="43">
        <f t="shared" ca="1" si="3"/>
        <v>0</v>
      </c>
      <c r="F12" t="str">
        <f t="shared" ca="1" si="4"/>
        <v/>
      </c>
    </row>
    <row r="13" spans="1:8" ht="15">
      <c r="A13" s="42">
        <f t="shared" ca="1" si="0"/>
        <v>9</v>
      </c>
      <c r="B13" s="40" t="str">
        <f t="shared" ca="1" si="1"/>
        <v>Feuille9</v>
      </c>
      <c r="C13" s="40" t="b">
        <f t="shared" ca="1" si="2"/>
        <v>1</v>
      </c>
      <c r="D13" s="43" t="str">
        <f ca="1">IF($C13,"",IFERROR(MATCH(D$3,INDIRECT(getNomZoneIndice($B13,D$4, $E12+1)),0),0))</f>
        <v/>
      </c>
      <c r="E13" s="43" t="e">
        <f t="shared" ca="1" si="3"/>
        <v>#VALUE!</v>
      </c>
      <c r="F13" t="e">
        <f t="shared" ca="1" si="4"/>
        <v>#REF!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U80"/>
  <sheetViews>
    <sheetView zoomScale="90" zoomScaleNormal="90" zoomScalePageLayoutView="90" workbookViewId="0">
      <selection activeCell="F41" sqref="F41"/>
    </sheetView>
  </sheetViews>
  <sheetFormatPr baseColWidth="10" defaultRowHeight="14" x14ac:dyDescent="0"/>
  <cols>
    <col min="8" max="8" width="35" style="1" customWidth="1"/>
    <col min="12" max="13" width="4.6640625" customWidth="1"/>
    <col min="14" max="14" width="21.5" customWidth="1"/>
    <col min="16" max="16" width="7.33203125" customWidth="1"/>
    <col min="17" max="17" width="5.33203125" customWidth="1"/>
    <col min="18" max="18" width="15.83203125" customWidth="1"/>
    <col min="19" max="19" width="26" bestFit="1" customWidth="1"/>
  </cols>
  <sheetData>
    <row r="1" spans="1:21" ht="22" thickBot="1">
      <c r="A1" s="35" t="s">
        <v>35</v>
      </c>
    </row>
    <row r="2" spans="1:21" ht="15" thickTop="1">
      <c r="E2" s="34" t="s">
        <v>34</v>
      </c>
      <c r="F2" s="32">
        <v>2</v>
      </c>
      <c r="G2" s="32"/>
      <c r="H2" s="32"/>
      <c r="I2" s="32" t="e">
        <f>INDEX(A:A,MATCH("*.",A:A,0))</f>
        <v>#N/A</v>
      </c>
      <c r="J2" s="33"/>
      <c r="K2" s="32"/>
      <c r="L2" s="32" t="s">
        <v>33</v>
      </c>
      <c r="M2" s="32" t="s">
        <v>32</v>
      </c>
      <c r="N2" s="32"/>
      <c r="O2" s="32"/>
      <c r="P2" s="32"/>
      <c r="Q2" s="32"/>
      <c r="R2" s="32"/>
      <c r="S2" s="32"/>
      <c r="T2" s="32"/>
      <c r="U2" s="31"/>
    </row>
    <row r="3" spans="1:21">
      <c r="E3" s="30" t="s">
        <v>31</v>
      </c>
      <c r="F3" s="29">
        <f>MATCH(E3,$A:$A,0)</f>
        <v>80</v>
      </c>
      <c r="G3" s="28" t="str">
        <f>INDEX($A:$A,F3)</f>
        <v>04. O bag fall 2018 .continuativo carry over</v>
      </c>
      <c r="H3"/>
      <c r="J3" s="19"/>
      <c r="K3" s="10"/>
      <c r="L3" s="10"/>
      <c r="M3" s="10"/>
      <c r="N3" s="27" t="s">
        <v>30</v>
      </c>
      <c r="O3" s="27" t="s">
        <v>23</v>
      </c>
      <c r="P3" s="27" t="s">
        <v>22</v>
      </c>
      <c r="Q3" s="27" t="s">
        <v>18</v>
      </c>
      <c r="R3" s="26" t="s">
        <v>29</v>
      </c>
      <c r="S3" s="26" t="s">
        <v>28</v>
      </c>
      <c r="T3" s="26" t="s">
        <v>27</v>
      </c>
      <c r="U3" s="25" t="s">
        <v>26</v>
      </c>
    </row>
    <row r="4" spans="1:21">
      <c r="E4" s="12"/>
      <c r="F4" s="10" t="s">
        <v>25</v>
      </c>
      <c r="G4" s="1" t="str">
        <f>IF(ISERROR(H4),I4,H4)</f>
        <v>04</v>
      </c>
      <c r="H4" t="str">
        <f>MID(G3,1,F2)</f>
        <v>04</v>
      </c>
      <c r="I4" t="e">
        <f>MID(I2,LEN(I2)-F2,F2)</f>
        <v>#N/A</v>
      </c>
      <c r="J4" s="19"/>
      <c r="K4" s="10"/>
      <c r="L4" s="10">
        <f t="shared" ref="L4:L19" si="0">L3+1</f>
        <v>1</v>
      </c>
      <c r="M4" s="10">
        <f t="shared" ref="M4:M19" si="1">M3</f>
        <v>0</v>
      </c>
      <c r="N4" s="15" t="str">
        <f t="shared" ref="N4:N19" ca="1" si="2">IF($U4, O4 &amp; " " &amp; P4 &amp; " " &amp; Q4,"")</f>
        <v>OBAGB001 EVS00 371</v>
      </c>
      <c r="O4" s="15" t="str">
        <f t="shared" ref="O4:O19" ca="1" si="3">IF($U4, INDEX(J$7:J$9,$M4+1), "")</f>
        <v>OBAGB001</v>
      </c>
      <c r="P4" s="15" t="str">
        <f t="shared" ref="P4:P19" ca="1" si="4">IF($U4, INDEX(K$7:K$9,$M4+1), "")</f>
        <v>EVS00</v>
      </c>
      <c r="Q4" s="15" t="str">
        <f t="shared" ref="Q4:Q19" ca="1" si="5">J14</f>
        <v>371</v>
      </c>
      <c r="R4" s="16">
        <v>8056099179433</v>
      </c>
      <c r="S4" s="15" t="str">
        <f t="shared" ref="S4:S19" ca="1" si="6">IF($U4, $G$5, "")</f>
        <v>fall 2018 .continuativo carry over</v>
      </c>
      <c r="T4" s="15" t="str">
        <f t="shared" ref="T4:T19" ca="1" si="7">IF($U4, $G$4, "")</f>
        <v>04</v>
      </c>
      <c r="U4" s="9" t="b">
        <f t="shared" ref="U4:U19" ca="1" si="8">AND(TRIM(Q4)&lt;&gt;"", Q4&lt;&gt;0)</f>
        <v>1</v>
      </c>
    </row>
    <row r="5" spans="1:21">
      <c r="E5" s="12"/>
      <c r="F5" s="10" t="s">
        <v>24</v>
      </c>
      <c r="G5" s="10" t="str">
        <f>MID(G3,9+F2,50)</f>
        <v>fall 2018 .continuativo carry over</v>
      </c>
      <c r="H5" s="10"/>
      <c r="I5" s="10"/>
      <c r="J5" s="19"/>
      <c r="K5" s="10"/>
      <c r="L5" s="10">
        <f t="shared" si="0"/>
        <v>2</v>
      </c>
      <c r="M5" s="10">
        <f t="shared" si="1"/>
        <v>0</v>
      </c>
      <c r="N5" s="15" t="str">
        <f t="shared" ca="1" si="2"/>
        <v>OBAGB001 EVS00 017</v>
      </c>
      <c r="O5" s="15" t="str">
        <f t="shared" ca="1" si="3"/>
        <v>OBAGB001</v>
      </c>
      <c r="P5" s="15" t="str">
        <f t="shared" ca="1" si="4"/>
        <v>EVS00</v>
      </c>
      <c r="Q5" s="15" t="str">
        <f t="shared" ca="1" si="5"/>
        <v>017</v>
      </c>
      <c r="R5" s="16">
        <v>8050450217574</v>
      </c>
      <c r="S5" s="15" t="str">
        <f t="shared" ca="1" si="6"/>
        <v>fall 2018 .continuativo carry over</v>
      </c>
      <c r="T5" s="15" t="str">
        <f t="shared" ca="1" si="7"/>
        <v>04</v>
      </c>
      <c r="U5" s="9" t="b">
        <f t="shared" ca="1" si="8"/>
        <v>1</v>
      </c>
    </row>
    <row r="6" spans="1:21">
      <c r="E6" s="12"/>
      <c r="F6" s="10"/>
      <c r="G6" s="10"/>
      <c r="H6" s="10"/>
      <c r="I6" s="10"/>
      <c r="J6" s="24" t="s">
        <v>23</v>
      </c>
      <c r="K6" s="23" t="s">
        <v>22</v>
      </c>
      <c r="L6" s="10">
        <f t="shared" si="0"/>
        <v>3</v>
      </c>
      <c r="M6" s="10">
        <f t="shared" si="1"/>
        <v>0</v>
      </c>
      <c r="N6" s="15" t="str">
        <f t="shared" ca="1" si="2"/>
        <v>OBAGB001 EVS00 078</v>
      </c>
      <c r="O6" s="15" t="str">
        <f t="shared" ca="1" si="3"/>
        <v>OBAGB001</v>
      </c>
      <c r="P6" s="15" t="str">
        <f t="shared" ca="1" si="4"/>
        <v>EVS00</v>
      </c>
      <c r="Q6" s="15" t="str">
        <f t="shared" ca="1" si="5"/>
        <v>078</v>
      </c>
      <c r="R6" s="16">
        <v>8051770308669</v>
      </c>
      <c r="S6" s="15" t="str">
        <f t="shared" ca="1" si="6"/>
        <v>fall 2018 .continuativo carry over</v>
      </c>
      <c r="T6" s="15" t="str">
        <f t="shared" ca="1" si="7"/>
        <v>04</v>
      </c>
      <c r="U6" s="9" t="b">
        <f t="shared" ca="1" si="8"/>
        <v>1</v>
      </c>
    </row>
    <row r="7" spans="1:21">
      <c r="E7" s="22" t="s">
        <v>21</v>
      </c>
      <c r="F7" s="10" t="str">
        <f>"$A"&amp;H6+1&amp;":$A1000"</f>
        <v>$A1:$A1000</v>
      </c>
      <c r="G7" s="21">
        <f ca="1">MATCH(E7,INDIRECT(F7),0)</f>
        <v>13</v>
      </c>
      <c r="H7" s="21">
        <f ca="1">SUM(G$7:G7)</f>
        <v>13</v>
      </c>
      <c r="I7" s="21" t="str">
        <f ca="1">IF(ISERROR(H7),"",TRIM(INDEX(INDIRECT("A:A"),H7)))</f>
        <v>code OBAGB001 EVS00</v>
      </c>
      <c r="J7" s="20" t="str">
        <f ca="1">MID($I7,6,8)</f>
        <v>OBAGB001</v>
      </c>
      <c r="K7" s="20" t="str">
        <f ca="1">MID($I7,15,30)</f>
        <v>EVS00</v>
      </c>
      <c r="L7" s="10">
        <f t="shared" si="0"/>
        <v>4</v>
      </c>
      <c r="M7" s="10">
        <f t="shared" si="1"/>
        <v>0</v>
      </c>
      <c r="N7" s="15" t="str">
        <f t="shared" ca="1" si="2"/>
        <v>OBAGB001 EVS00 071</v>
      </c>
      <c r="O7" s="15" t="str">
        <f t="shared" ca="1" si="3"/>
        <v>OBAGB001</v>
      </c>
      <c r="P7" s="15" t="str">
        <f t="shared" ca="1" si="4"/>
        <v>EVS00</v>
      </c>
      <c r="Q7" s="15" t="str">
        <f t="shared" ca="1" si="5"/>
        <v>071</v>
      </c>
      <c r="R7" s="16">
        <v>8051770308652</v>
      </c>
      <c r="S7" s="15" t="str">
        <f t="shared" ca="1" si="6"/>
        <v>fall 2018 .continuativo carry over</v>
      </c>
      <c r="T7" s="15" t="str">
        <f t="shared" ca="1" si="7"/>
        <v>04</v>
      </c>
      <c r="U7" s="9" t="b">
        <f t="shared" ca="1" si="8"/>
        <v>1</v>
      </c>
    </row>
    <row r="8" spans="1:21">
      <c r="E8" s="22" t="s">
        <v>21</v>
      </c>
      <c r="F8" s="10" t="str">
        <f ca="1">"$A"&amp;H7+1&amp;":$A1000"</f>
        <v>$A14:$A1000</v>
      </c>
      <c r="G8" s="21" t="e">
        <f ca="1">MATCH(E8,INDIRECT(F8),0)</f>
        <v>#N/A</v>
      </c>
      <c r="H8" s="21" t="e">
        <f ca="1">SUM(G$7:G8)</f>
        <v>#N/A</v>
      </c>
      <c r="I8" s="21" t="str">
        <f ca="1">IF(ISERROR(H8),"",TRIM(INDEX(INDIRECT("A:A"),H8)))</f>
        <v/>
      </c>
      <c r="J8" s="20" t="str">
        <f ca="1">MID($I8,6,8)</f>
        <v/>
      </c>
      <c r="K8" s="20" t="str">
        <f ca="1">MID($I8,15,30)</f>
        <v/>
      </c>
      <c r="L8" s="10">
        <f t="shared" si="0"/>
        <v>5</v>
      </c>
      <c r="M8" s="10">
        <f t="shared" si="1"/>
        <v>0</v>
      </c>
      <c r="N8" s="15" t="str">
        <f t="shared" ca="1" si="2"/>
        <v>OBAGB001 EVS00 055</v>
      </c>
      <c r="O8" s="15" t="str">
        <f t="shared" ca="1" si="3"/>
        <v>OBAGB001</v>
      </c>
      <c r="P8" s="15" t="str">
        <f t="shared" ca="1" si="4"/>
        <v>EVS00</v>
      </c>
      <c r="Q8" s="15" t="str">
        <f t="shared" ca="1" si="5"/>
        <v>055</v>
      </c>
      <c r="R8" s="16">
        <v>8051770308638</v>
      </c>
      <c r="S8" s="15" t="str">
        <f t="shared" ca="1" si="6"/>
        <v>fall 2018 .continuativo carry over</v>
      </c>
      <c r="T8" s="15" t="str">
        <f t="shared" ca="1" si="7"/>
        <v>04</v>
      </c>
      <c r="U8" s="9" t="b">
        <f t="shared" ca="1" si="8"/>
        <v>1</v>
      </c>
    </row>
    <row r="9" spans="1:21">
      <c r="E9" s="22" t="s">
        <v>21</v>
      </c>
      <c r="F9" s="10" t="e">
        <f ca="1">"$A"&amp;H8+1&amp;":$A1000"</f>
        <v>#N/A</v>
      </c>
      <c r="G9" s="21" t="e">
        <f ca="1">MATCH(E9,INDIRECT(F9),0)</f>
        <v>#N/A</v>
      </c>
      <c r="H9" s="21" t="e">
        <f ca="1">SUM(G$7:G9)</f>
        <v>#N/A</v>
      </c>
      <c r="I9" s="21" t="str">
        <f ca="1">IF(ISERROR(H9),"",TRIM(INDEX(INDIRECT("A:A"),H9)))</f>
        <v/>
      </c>
      <c r="J9" s="20" t="str">
        <f ca="1">MID($I9,6,8)</f>
        <v/>
      </c>
      <c r="K9" s="20" t="str">
        <f ca="1">MID($I9,15,30)</f>
        <v/>
      </c>
      <c r="L9" s="10">
        <f t="shared" si="0"/>
        <v>6</v>
      </c>
      <c r="M9" s="10">
        <f t="shared" si="1"/>
        <v>0</v>
      </c>
      <c r="N9" s="15" t="str">
        <f t="shared" ca="1" si="2"/>
        <v/>
      </c>
      <c r="O9" s="15" t="str">
        <f t="shared" ca="1" si="3"/>
        <v/>
      </c>
      <c r="P9" s="15" t="str">
        <f t="shared" ca="1" si="4"/>
        <v/>
      </c>
      <c r="Q9" s="15" t="str">
        <f t="shared" ca="1" si="5"/>
        <v xml:space="preserve">  </v>
      </c>
      <c r="R9" s="16"/>
      <c r="S9" s="15" t="str">
        <f t="shared" ca="1" si="6"/>
        <v/>
      </c>
      <c r="T9" s="15" t="str">
        <f t="shared" ca="1" si="7"/>
        <v/>
      </c>
      <c r="U9" s="9" t="b">
        <f t="shared" ca="1" si="8"/>
        <v>0</v>
      </c>
    </row>
    <row r="10" spans="1:21">
      <c r="E10" s="12"/>
      <c r="F10" s="10"/>
      <c r="G10" s="10"/>
      <c r="H10" s="10"/>
      <c r="I10" s="10"/>
      <c r="J10" s="19"/>
      <c r="K10" s="10"/>
      <c r="L10" s="10">
        <f t="shared" si="0"/>
        <v>7</v>
      </c>
      <c r="M10" s="10">
        <f t="shared" si="1"/>
        <v>0</v>
      </c>
      <c r="N10" s="15" t="str">
        <f t="shared" ca="1" si="2"/>
        <v/>
      </c>
      <c r="O10" s="15" t="str">
        <f t="shared" ca="1" si="3"/>
        <v/>
      </c>
      <c r="P10" s="15" t="str">
        <f t="shared" ca="1" si="4"/>
        <v/>
      </c>
      <c r="Q10" s="15" t="str">
        <f t="shared" ca="1" si="5"/>
        <v/>
      </c>
      <c r="R10" s="16"/>
      <c r="S10" s="15" t="str">
        <f t="shared" ca="1" si="6"/>
        <v/>
      </c>
      <c r="T10" s="15" t="str">
        <f t="shared" ca="1" si="7"/>
        <v/>
      </c>
      <c r="U10" s="9" t="b">
        <f t="shared" ca="1" si="8"/>
        <v>0</v>
      </c>
    </row>
    <row r="11" spans="1:21">
      <c r="E11" s="12"/>
      <c r="F11" s="10" t="s">
        <v>20</v>
      </c>
      <c r="G11" s="10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371 col. 017 col. 078 col. 071 col. 055        </v>
      </c>
      <c r="H11" s="10"/>
      <c r="I11" s="10"/>
      <c r="J11" s="19"/>
      <c r="K11" s="10"/>
      <c r="L11" s="10">
        <f t="shared" si="0"/>
        <v>8</v>
      </c>
      <c r="M11" s="10">
        <f t="shared" si="1"/>
        <v>0</v>
      </c>
      <c r="N11" s="15" t="str">
        <f t="shared" ca="1" si="2"/>
        <v/>
      </c>
      <c r="O11" s="15" t="str">
        <f t="shared" ca="1" si="3"/>
        <v/>
      </c>
      <c r="P11" s="15" t="str">
        <f t="shared" ca="1" si="4"/>
        <v/>
      </c>
      <c r="Q11" s="15" t="str">
        <f t="shared" ca="1" si="5"/>
        <v/>
      </c>
      <c r="R11" s="16"/>
      <c r="S11" s="15" t="str">
        <f t="shared" ca="1" si="6"/>
        <v/>
      </c>
      <c r="T11" s="15" t="str">
        <f t="shared" ca="1" si="7"/>
        <v/>
      </c>
      <c r="U11" s="9" t="b">
        <f t="shared" ca="1" si="8"/>
        <v>0</v>
      </c>
    </row>
    <row r="12" spans="1:21">
      <c r="E12" s="12"/>
      <c r="F12" s="10"/>
      <c r="G12" s="10"/>
      <c r="H12" s="10"/>
      <c r="I12" s="10"/>
      <c r="J12" s="19"/>
      <c r="K12" s="10"/>
      <c r="L12" s="10">
        <f t="shared" si="0"/>
        <v>9</v>
      </c>
      <c r="M12" s="10">
        <f t="shared" si="1"/>
        <v>0</v>
      </c>
      <c r="N12" s="15" t="str">
        <f t="shared" ca="1" si="2"/>
        <v/>
      </c>
      <c r="O12" s="15" t="str">
        <f t="shared" ca="1" si="3"/>
        <v/>
      </c>
      <c r="P12" s="15" t="str">
        <f t="shared" ca="1" si="4"/>
        <v/>
      </c>
      <c r="Q12" s="15" t="str">
        <f t="shared" ca="1" si="5"/>
        <v/>
      </c>
      <c r="R12" s="16"/>
      <c r="S12" s="15" t="str">
        <f t="shared" ca="1" si="6"/>
        <v/>
      </c>
      <c r="T12" s="15" t="str">
        <f t="shared" ca="1" si="7"/>
        <v/>
      </c>
      <c r="U12" s="9" t="b">
        <f t="shared" ca="1" si="8"/>
        <v>0</v>
      </c>
    </row>
    <row r="13" spans="1:21">
      <c r="A13" s="18" t="s">
        <v>19</v>
      </c>
      <c r="E13" s="12"/>
      <c r="F13" s="10"/>
      <c r="G13" s="10"/>
      <c r="H13" s="10"/>
      <c r="I13" s="10"/>
      <c r="J13" s="17" t="s">
        <v>18</v>
      </c>
      <c r="K13" s="10"/>
      <c r="L13" s="10">
        <f t="shared" si="0"/>
        <v>10</v>
      </c>
      <c r="M13" s="10">
        <f t="shared" si="1"/>
        <v>0</v>
      </c>
      <c r="N13" s="15" t="str">
        <f t="shared" ca="1" si="2"/>
        <v/>
      </c>
      <c r="O13" s="15" t="str">
        <f t="shared" ca="1" si="3"/>
        <v/>
      </c>
      <c r="P13" s="15" t="str">
        <f t="shared" ca="1" si="4"/>
        <v/>
      </c>
      <c r="Q13" s="15" t="str">
        <f t="shared" ca="1" si="5"/>
        <v/>
      </c>
      <c r="R13" s="16"/>
      <c r="S13" s="15" t="str">
        <f t="shared" ca="1" si="6"/>
        <v/>
      </c>
      <c r="T13" s="15" t="str">
        <f t="shared" ca="1" si="7"/>
        <v/>
      </c>
      <c r="U13" s="9" t="b">
        <f t="shared" ca="1" si="8"/>
        <v>0</v>
      </c>
    </row>
    <row r="14" spans="1:21">
      <c r="E14" s="14" t="s">
        <v>17</v>
      </c>
      <c r="F14" s="10" t="str">
        <f t="shared" ref="F14:F23" si="9">"$A"&amp;H13+1&amp;":$A1000"</f>
        <v>$A1:$A1000</v>
      </c>
      <c r="G14" s="13">
        <f t="shared" ref="G14:G23" ca="1" si="10">MATCH(E14,INDIRECT(F14),0)</f>
        <v>26</v>
      </c>
      <c r="H14" s="13">
        <f ca="1">SUM(G$14:G14)</f>
        <v>26</v>
      </c>
      <c r="I14" s="13" t="str">
        <f t="shared" ref="I14:I23" ca="1" si="11">IF(ISERROR(H14),"",TRIM(INDEX(INDIRECT("A:A"),H14)))</f>
        <v>col. 371 col. 017 col. 078</v>
      </c>
      <c r="J14" s="11" t="str">
        <f t="shared" ref="J14:J29" ca="1" si="12">MID($G$11,6+9*(ROW(J14)-ROW(J$14)),3)</f>
        <v>371</v>
      </c>
      <c r="K14" s="10"/>
      <c r="L14" s="10">
        <f t="shared" si="0"/>
        <v>11</v>
      </c>
      <c r="M14" s="10">
        <f t="shared" si="1"/>
        <v>0</v>
      </c>
      <c r="N14" s="15" t="str">
        <f t="shared" ca="1" si="2"/>
        <v/>
      </c>
      <c r="O14" s="15" t="str">
        <f t="shared" ca="1" si="3"/>
        <v/>
      </c>
      <c r="P14" s="15" t="str">
        <f t="shared" ca="1" si="4"/>
        <v/>
      </c>
      <c r="Q14" s="15" t="str">
        <f t="shared" ca="1" si="5"/>
        <v/>
      </c>
      <c r="R14" s="16"/>
      <c r="S14" s="15" t="str">
        <f t="shared" ca="1" si="6"/>
        <v/>
      </c>
      <c r="T14" s="15" t="str">
        <f t="shared" ca="1" si="7"/>
        <v/>
      </c>
      <c r="U14" s="9" t="b">
        <f t="shared" ca="1" si="8"/>
        <v>0</v>
      </c>
    </row>
    <row r="15" spans="1:21">
      <c r="A15" s="4" t="s">
        <v>16</v>
      </c>
      <c r="E15" s="14" t="str">
        <f t="shared" ref="E15:E23" si="13">E14</f>
        <v>col. *</v>
      </c>
      <c r="F15" s="10" t="str">
        <f t="shared" ca="1" si="9"/>
        <v>$A27:$A1000</v>
      </c>
      <c r="G15" s="13">
        <f t="shared" ca="1" si="10"/>
        <v>48</v>
      </c>
      <c r="H15" s="13">
        <f ca="1">SUM(G$14:G15)</f>
        <v>74</v>
      </c>
      <c r="I15" s="13" t="str">
        <f t="shared" ca="1" si="11"/>
        <v>col. 071 col. 055</v>
      </c>
      <c r="J15" s="11" t="str">
        <f t="shared" ca="1" si="12"/>
        <v>017</v>
      </c>
      <c r="K15" s="10"/>
      <c r="L15" s="10">
        <f t="shared" si="0"/>
        <v>12</v>
      </c>
      <c r="M15" s="10">
        <f t="shared" si="1"/>
        <v>0</v>
      </c>
      <c r="N15" s="15" t="str">
        <f t="shared" ca="1" si="2"/>
        <v/>
      </c>
      <c r="O15" s="15" t="str">
        <f t="shared" ca="1" si="3"/>
        <v/>
      </c>
      <c r="P15" s="15" t="str">
        <f t="shared" ca="1" si="4"/>
        <v/>
      </c>
      <c r="Q15" s="15" t="str">
        <f t="shared" ca="1" si="5"/>
        <v/>
      </c>
      <c r="R15" s="16"/>
      <c r="S15" s="15" t="str">
        <f t="shared" ca="1" si="6"/>
        <v/>
      </c>
      <c r="T15" s="15" t="str">
        <f t="shared" ca="1" si="7"/>
        <v/>
      </c>
      <c r="U15" s="9" t="b">
        <f t="shared" ca="1" si="8"/>
        <v>0</v>
      </c>
    </row>
    <row r="16" spans="1:21">
      <c r="A16" s="4" t="s">
        <v>15</v>
      </c>
      <c r="E16" s="14" t="str">
        <f t="shared" si="13"/>
        <v>col. *</v>
      </c>
      <c r="F16" s="10" t="str">
        <f t="shared" ca="1" si="9"/>
        <v>$A75:$A1000</v>
      </c>
      <c r="G16" s="13" t="e">
        <f t="shared" ca="1" si="10"/>
        <v>#N/A</v>
      </c>
      <c r="H16" s="13" t="e">
        <f ca="1">SUM(G$14:G16)</f>
        <v>#N/A</v>
      </c>
      <c r="I16" s="13" t="str">
        <f t="shared" ca="1" si="11"/>
        <v/>
      </c>
      <c r="J16" s="11" t="str">
        <f t="shared" ca="1" si="12"/>
        <v>078</v>
      </c>
      <c r="K16" s="10"/>
      <c r="L16" s="10">
        <f t="shared" si="0"/>
        <v>13</v>
      </c>
      <c r="M16" s="10">
        <f t="shared" si="1"/>
        <v>0</v>
      </c>
      <c r="N16" s="15" t="str">
        <f t="shared" ca="1" si="2"/>
        <v/>
      </c>
      <c r="O16" s="15" t="str">
        <f t="shared" ca="1" si="3"/>
        <v/>
      </c>
      <c r="P16" s="15" t="str">
        <f t="shared" ca="1" si="4"/>
        <v/>
      </c>
      <c r="Q16" s="15" t="str">
        <f t="shared" ca="1" si="5"/>
        <v/>
      </c>
      <c r="R16" s="16"/>
      <c r="S16" s="15" t="str">
        <f t="shared" ca="1" si="6"/>
        <v/>
      </c>
      <c r="T16" s="15" t="str">
        <f t="shared" ca="1" si="7"/>
        <v/>
      </c>
      <c r="U16" s="9" t="b">
        <f t="shared" ca="1" si="8"/>
        <v>0</v>
      </c>
    </row>
    <row r="17" spans="1:21">
      <c r="A17" s="4" t="s">
        <v>14</v>
      </c>
      <c r="E17" s="14" t="str">
        <f t="shared" si="13"/>
        <v>col. *</v>
      </c>
      <c r="F17" s="10" t="e">
        <f t="shared" ca="1" si="9"/>
        <v>#N/A</v>
      </c>
      <c r="G17" s="13" t="e">
        <f t="shared" ca="1" si="10"/>
        <v>#N/A</v>
      </c>
      <c r="H17" s="13" t="e">
        <f ca="1">SUM(G$14:G17)</f>
        <v>#N/A</v>
      </c>
      <c r="I17" s="13" t="str">
        <f t="shared" ca="1" si="11"/>
        <v/>
      </c>
      <c r="J17" s="11" t="str">
        <f t="shared" ca="1" si="12"/>
        <v>071</v>
      </c>
      <c r="K17" s="10"/>
      <c r="L17" s="10">
        <f t="shared" si="0"/>
        <v>14</v>
      </c>
      <c r="M17" s="10">
        <f t="shared" si="1"/>
        <v>0</v>
      </c>
      <c r="N17" s="15" t="str">
        <f t="shared" ca="1" si="2"/>
        <v/>
      </c>
      <c r="O17" s="15" t="str">
        <f t="shared" ca="1" si="3"/>
        <v/>
      </c>
      <c r="P17" s="15" t="str">
        <f t="shared" ca="1" si="4"/>
        <v/>
      </c>
      <c r="Q17" s="15" t="str">
        <f t="shared" ca="1" si="5"/>
        <v/>
      </c>
      <c r="R17" s="16"/>
      <c r="S17" s="15" t="str">
        <f t="shared" ca="1" si="6"/>
        <v/>
      </c>
      <c r="T17" s="15" t="str">
        <f t="shared" ca="1" si="7"/>
        <v/>
      </c>
      <c r="U17" s="9" t="b">
        <f t="shared" ca="1" si="8"/>
        <v>0</v>
      </c>
    </row>
    <row r="18" spans="1:21">
      <c r="A18" s="3" t="s">
        <v>13</v>
      </c>
      <c r="E18" s="14" t="str">
        <f t="shared" si="13"/>
        <v>col. *</v>
      </c>
      <c r="F18" s="10" t="e">
        <f t="shared" ca="1" si="9"/>
        <v>#N/A</v>
      </c>
      <c r="G18" s="13" t="e">
        <f t="shared" ca="1" si="10"/>
        <v>#N/A</v>
      </c>
      <c r="H18" s="13" t="e">
        <f ca="1">SUM(G$14:G18)</f>
        <v>#N/A</v>
      </c>
      <c r="I18" s="13" t="str">
        <f t="shared" ca="1" si="11"/>
        <v/>
      </c>
      <c r="J18" s="11" t="str">
        <f t="shared" ca="1" si="12"/>
        <v>055</v>
      </c>
      <c r="K18" s="10"/>
      <c r="L18" s="10">
        <f t="shared" si="0"/>
        <v>15</v>
      </c>
      <c r="M18" s="10">
        <f t="shared" si="1"/>
        <v>0</v>
      </c>
      <c r="N18" s="15" t="str">
        <f t="shared" ca="1" si="2"/>
        <v/>
      </c>
      <c r="O18" s="15" t="str">
        <f t="shared" ca="1" si="3"/>
        <v/>
      </c>
      <c r="P18" s="15" t="str">
        <f t="shared" ca="1" si="4"/>
        <v/>
      </c>
      <c r="Q18" s="15" t="str">
        <f t="shared" ca="1" si="5"/>
        <v/>
      </c>
      <c r="R18" s="16"/>
      <c r="S18" s="15" t="str">
        <f t="shared" ca="1" si="6"/>
        <v/>
      </c>
      <c r="T18" s="15" t="str">
        <f t="shared" ca="1" si="7"/>
        <v/>
      </c>
      <c r="U18" s="9" t="b">
        <f t="shared" ca="1" si="8"/>
        <v>0</v>
      </c>
    </row>
    <row r="19" spans="1:21">
      <c r="E19" s="14" t="str">
        <f t="shared" si="13"/>
        <v>col. *</v>
      </c>
      <c r="F19" s="10" t="e">
        <f t="shared" ca="1" si="9"/>
        <v>#N/A</v>
      </c>
      <c r="G19" s="13" t="e">
        <f t="shared" ca="1" si="10"/>
        <v>#N/A</v>
      </c>
      <c r="H19" s="13" t="e">
        <f ca="1">SUM(G$14:G19)</f>
        <v>#N/A</v>
      </c>
      <c r="I19" s="13" t="str">
        <f t="shared" ca="1" si="11"/>
        <v/>
      </c>
      <c r="J19" s="11" t="str">
        <f t="shared" ca="1" si="12"/>
        <v xml:space="preserve">  </v>
      </c>
      <c r="K19" s="10"/>
      <c r="L19" s="10">
        <f t="shared" si="0"/>
        <v>16</v>
      </c>
      <c r="M19" s="10">
        <f t="shared" si="1"/>
        <v>0</v>
      </c>
      <c r="N19" s="15" t="str">
        <f t="shared" ca="1" si="2"/>
        <v/>
      </c>
      <c r="O19" s="15" t="str">
        <f t="shared" ca="1" si="3"/>
        <v/>
      </c>
      <c r="P19" s="15" t="str">
        <f t="shared" ca="1" si="4"/>
        <v/>
      </c>
      <c r="Q19" s="15" t="str">
        <f t="shared" ca="1" si="5"/>
        <v/>
      </c>
      <c r="R19" s="16"/>
      <c r="S19" s="15" t="str">
        <f t="shared" ca="1" si="6"/>
        <v/>
      </c>
      <c r="T19" s="15" t="str">
        <f t="shared" ca="1" si="7"/>
        <v/>
      </c>
      <c r="U19" s="9" t="b">
        <f t="shared" ca="1" si="8"/>
        <v>0</v>
      </c>
    </row>
    <row r="20" spans="1:21">
      <c r="E20" s="14" t="str">
        <f t="shared" si="13"/>
        <v>col. *</v>
      </c>
      <c r="F20" s="10" t="e">
        <f t="shared" ca="1" si="9"/>
        <v>#N/A</v>
      </c>
      <c r="G20" s="13" t="e">
        <f t="shared" ca="1" si="10"/>
        <v>#N/A</v>
      </c>
      <c r="H20" s="13" t="e">
        <f ca="1">SUM(G$14:G20)</f>
        <v>#N/A</v>
      </c>
      <c r="I20" s="13" t="str">
        <f t="shared" ca="1" si="11"/>
        <v/>
      </c>
      <c r="J20" s="11" t="str">
        <f t="shared" ca="1" si="12"/>
        <v/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9"/>
    </row>
    <row r="21" spans="1:21">
      <c r="E21" s="14" t="str">
        <f t="shared" si="13"/>
        <v>col. *</v>
      </c>
      <c r="F21" s="10" t="e">
        <f t="shared" ca="1" si="9"/>
        <v>#N/A</v>
      </c>
      <c r="G21" s="13" t="e">
        <f t="shared" ca="1" si="10"/>
        <v>#N/A</v>
      </c>
      <c r="H21" s="13" t="e">
        <f ca="1">SUM(G$14:G21)</f>
        <v>#N/A</v>
      </c>
      <c r="I21" s="13" t="str">
        <f t="shared" ca="1" si="11"/>
        <v/>
      </c>
      <c r="J21" s="11" t="str">
        <f t="shared" ca="1" si="12"/>
        <v/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9"/>
    </row>
    <row r="22" spans="1:21">
      <c r="E22" s="14" t="str">
        <f t="shared" si="13"/>
        <v>col. *</v>
      </c>
      <c r="F22" s="10" t="e">
        <f t="shared" ca="1" si="9"/>
        <v>#N/A</v>
      </c>
      <c r="G22" s="13" t="e">
        <f t="shared" ca="1" si="10"/>
        <v>#N/A</v>
      </c>
      <c r="H22" s="13" t="e">
        <f ca="1">SUM(G$14:G22)</f>
        <v>#N/A</v>
      </c>
      <c r="I22" s="13" t="str">
        <f t="shared" ca="1" si="11"/>
        <v/>
      </c>
      <c r="J22" s="11" t="str">
        <f t="shared" ca="1" si="12"/>
        <v/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9"/>
    </row>
    <row r="23" spans="1:21">
      <c r="E23" s="14" t="str">
        <f t="shared" si="13"/>
        <v>col. *</v>
      </c>
      <c r="F23" s="10" t="e">
        <f t="shared" ca="1" si="9"/>
        <v>#N/A</v>
      </c>
      <c r="G23" s="13" t="e">
        <f t="shared" ca="1" si="10"/>
        <v>#N/A</v>
      </c>
      <c r="H23" s="13" t="e">
        <f ca="1">SUM(G$14:G23)</f>
        <v>#N/A</v>
      </c>
      <c r="I23" s="13" t="str">
        <f t="shared" ca="1" si="11"/>
        <v/>
      </c>
      <c r="J23" s="11" t="str">
        <f t="shared" ca="1" si="12"/>
        <v/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9"/>
    </row>
    <row r="24" spans="1:21">
      <c r="E24" s="12"/>
      <c r="F24" s="10"/>
      <c r="G24" s="10"/>
      <c r="H24" s="10"/>
      <c r="I24" s="10"/>
      <c r="J24" s="11" t="str">
        <f t="shared" ca="1" si="12"/>
        <v/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9"/>
    </row>
    <row r="25" spans="1:21">
      <c r="E25" s="12"/>
      <c r="F25" s="10"/>
      <c r="G25" s="10"/>
      <c r="H25" s="10"/>
      <c r="I25" s="10"/>
      <c r="J25" s="11" t="str">
        <f t="shared" ca="1" si="12"/>
        <v/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9"/>
    </row>
    <row r="26" spans="1:21">
      <c r="A26" s="3" t="s">
        <v>12</v>
      </c>
      <c r="E26" s="12"/>
      <c r="F26" s="10"/>
      <c r="G26" s="10"/>
      <c r="H26" s="10"/>
      <c r="I26" s="10"/>
      <c r="J26" s="11" t="str">
        <f t="shared" ca="1" si="12"/>
        <v/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9"/>
    </row>
    <row r="27" spans="1:21">
      <c r="A27" s="3" t="s">
        <v>11</v>
      </c>
      <c r="E27" s="12"/>
      <c r="F27" s="10"/>
      <c r="H27" s="10"/>
      <c r="I27" s="10"/>
      <c r="J27" s="11" t="str">
        <f t="shared" ca="1" si="12"/>
        <v/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9"/>
    </row>
    <row r="28" spans="1:21">
      <c r="A28" s="3" t="s">
        <v>10</v>
      </c>
      <c r="E28" s="12"/>
      <c r="F28" s="10"/>
      <c r="G28" s="10"/>
      <c r="H28" s="10"/>
      <c r="I28" s="10"/>
      <c r="J28" s="11" t="str">
        <f t="shared" ca="1" si="12"/>
        <v/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9"/>
    </row>
    <row r="29" spans="1:21" ht="15" thickBot="1">
      <c r="E29" s="8"/>
      <c r="F29" s="6"/>
      <c r="G29" s="6"/>
      <c r="H29" s="6"/>
      <c r="I29" s="6"/>
      <c r="J29" s="7" t="str">
        <f t="shared" ca="1" si="12"/>
        <v/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5"/>
    </row>
    <row r="30" spans="1:21" ht="15" thickTop="1">
      <c r="H30" s="1">
        <v>8056099179433</v>
      </c>
    </row>
    <row r="31" spans="1:21">
      <c r="H31" s="1">
        <v>8050450217574</v>
      </c>
    </row>
    <row r="32" spans="1:21">
      <c r="H32" s="1">
        <v>8051770308669</v>
      </c>
    </row>
    <row r="33" spans="1:8">
      <c r="H33" s="1">
        <v>8051770308652</v>
      </c>
    </row>
    <row r="34" spans="1:8">
      <c r="H34" s="1">
        <v>8051770308638</v>
      </c>
    </row>
    <row r="35" spans="1:8">
      <c r="G35" t="s">
        <v>9</v>
      </c>
    </row>
    <row r="38" spans="1:8">
      <c r="A38" s="4" t="s">
        <v>8</v>
      </c>
    </row>
    <row r="39" spans="1:8">
      <c r="A39" s="4" t="s">
        <v>7</v>
      </c>
    </row>
    <row r="40" spans="1:8">
      <c r="A40" s="4" t="s">
        <v>6</v>
      </c>
    </row>
    <row r="41" spans="1:8">
      <c r="A41" s="3" t="s">
        <v>5</v>
      </c>
    </row>
    <row r="42" spans="1:8">
      <c r="A42" s="3" t="s">
        <v>4</v>
      </c>
    </row>
    <row r="74" spans="1:1">
      <c r="A74" s="3" t="s">
        <v>3</v>
      </c>
    </row>
    <row r="75" spans="1:1">
      <c r="A75" s="3" t="s">
        <v>2</v>
      </c>
    </row>
    <row r="76" spans="1:1">
      <c r="A76" s="3" t="s">
        <v>1</v>
      </c>
    </row>
    <row r="80" spans="1:1">
      <c r="A80" s="2" t="s">
        <v>0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U82"/>
  <sheetViews>
    <sheetView topLeftCell="B1" zoomScale="90" zoomScaleNormal="90" zoomScalePageLayoutView="90" workbookViewId="0">
      <selection activeCell="M6" sqref="M6"/>
    </sheetView>
  </sheetViews>
  <sheetFormatPr baseColWidth="10" defaultRowHeight="14" x14ac:dyDescent="0"/>
  <cols>
    <col min="12" max="13" width="4.6640625" customWidth="1"/>
    <col min="14" max="14" width="21.5" customWidth="1"/>
    <col min="16" max="16" width="7.33203125" customWidth="1"/>
    <col min="17" max="17" width="5.33203125" customWidth="1"/>
    <col min="18" max="18" width="15.83203125" customWidth="1"/>
  </cols>
  <sheetData>
    <row r="1" spans="1:21" ht="22" thickBot="1">
      <c r="A1" s="35" t="s">
        <v>49</v>
      </c>
    </row>
    <row r="2" spans="1:21" ht="15" thickTop="1">
      <c r="E2" s="34" t="s">
        <v>34</v>
      </c>
      <c r="F2" s="32">
        <v>2</v>
      </c>
      <c r="G2" s="32"/>
      <c r="H2" s="32"/>
      <c r="I2" s="32" t="e">
        <f>INDEX(A:A,MATCH("*.",A:A,0))</f>
        <v>#N/A</v>
      </c>
      <c r="J2" s="33"/>
      <c r="K2" s="32"/>
      <c r="L2" s="32" t="s">
        <v>33</v>
      </c>
      <c r="M2" s="32" t="s">
        <v>32</v>
      </c>
      <c r="N2" s="32"/>
      <c r="O2" s="32"/>
      <c r="P2" s="32"/>
      <c r="Q2" s="32"/>
      <c r="R2" s="32"/>
      <c r="S2" s="32"/>
      <c r="T2" s="32"/>
      <c r="U2" s="31"/>
    </row>
    <row r="3" spans="1:21">
      <c r="E3" s="30" t="s">
        <v>31</v>
      </c>
      <c r="F3" s="29">
        <f>MATCH(E3,$A:$A,0)</f>
        <v>82</v>
      </c>
      <c r="G3" s="28" t="str">
        <f>INDEX($A:$A,F3)</f>
        <v>20. O bag fall 2018 .continuativo carry over</v>
      </c>
      <c r="J3" s="19"/>
      <c r="K3" s="10"/>
      <c r="L3" s="10"/>
      <c r="M3" s="10"/>
      <c r="N3" s="27" t="s">
        <v>30</v>
      </c>
      <c r="O3" s="27" t="s">
        <v>23</v>
      </c>
      <c r="P3" s="27" t="s">
        <v>22</v>
      </c>
      <c r="Q3" s="27" t="s">
        <v>18</v>
      </c>
      <c r="R3" s="26" t="s">
        <v>29</v>
      </c>
      <c r="S3" s="26" t="s">
        <v>28</v>
      </c>
      <c r="T3" s="26" t="s">
        <v>27</v>
      </c>
      <c r="U3" s="25" t="s">
        <v>26</v>
      </c>
    </row>
    <row r="4" spans="1:21">
      <c r="E4" s="12"/>
      <c r="F4" s="10" t="s">
        <v>25</v>
      </c>
      <c r="G4" s="1" t="str">
        <f>IF(ISERROR(H4),I4,H4)</f>
        <v>20</v>
      </c>
      <c r="H4" t="str">
        <f>MID(G3,1,F2)</f>
        <v>20</v>
      </c>
      <c r="I4" t="e">
        <f>MID(I2,LEN(I2)-F2,F2)</f>
        <v>#N/A</v>
      </c>
      <c r="J4" s="19"/>
      <c r="K4" s="10"/>
      <c r="L4" s="10">
        <f t="shared" ref="L4:L19" si="0">L3+1</f>
        <v>1</v>
      </c>
      <c r="M4" s="10">
        <f>M3</f>
        <v>0</v>
      </c>
      <c r="N4" s="15" t="str">
        <f t="shared" ref="N4:N19" ca="1" si="1">IF($U4, O4 &amp; " " &amp; P4 &amp; " " &amp; Q4,"")</f>
        <v>SHOUC106 ECS00 055</v>
      </c>
      <c r="O4" s="15" t="str">
        <f t="shared" ref="O4:O19" ca="1" si="2">IF($U4, INDEX(J$7:J$9,$M4+1), "")</f>
        <v>SHOUC106</v>
      </c>
      <c r="P4" s="15" t="str">
        <f t="shared" ref="P4:P19" ca="1" si="3">IF($U4, INDEX(K$7:K$9,$M4+1), "")</f>
        <v>ECS00</v>
      </c>
      <c r="Q4" s="15" t="str">
        <f t="shared" ref="Q4:Q19" ca="1" si="4">J14</f>
        <v>055</v>
      </c>
      <c r="R4" s="16">
        <v>8050450211244</v>
      </c>
      <c r="S4" s="15" t="str">
        <f t="shared" ref="S4:S19" ca="1" si="5">IF($U4, $G$5, "")</f>
        <v>fall 2018 .continuativo carry over</v>
      </c>
      <c r="T4" s="15" t="str">
        <f t="shared" ref="T4:T19" ca="1" si="6">IF($U4, $G$4, "")</f>
        <v>20</v>
      </c>
      <c r="U4" s="9" t="b">
        <f t="shared" ref="U4:U19" ca="1" si="7">AND(TRIM(Q4)&lt;&gt;"", Q4&lt;&gt;0)</f>
        <v>1</v>
      </c>
    </row>
    <row r="5" spans="1:21">
      <c r="E5" s="12"/>
      <c r="F5" s="10" t="s">
        <v>24</v>
      </c>
      <c r="G5" s="10" t="str">
        <f>MID(G3,9+F2,50)</f>
        <v>fall 2018 .continuativo carry over</v>
      </c>
      <c r="H5" s="10"/>
      <c r="I5" s="10"/>
      <c r="J5" s="19"/>
      <c r="K5" s="10"/>
      <c r="L5" s="10">
        <f t="shared" si="0"/>
        <v>2</v>
      </c>
      <c r="M5" s="10">
        <v>1</v>
      </c>
      <c r="N5" s="15" t="str">
        <f t="shared" ca="1" si="1"/>
        <v>SHOUC106 ECS08 055</v>
      </c>
      <c r="O5" s="15" t="str">
        <f t="shared" ca="1" si="2"/>
        <v>SHOUC106</v>
      </c>
      <c r="P5" s="15" t="str">
        <f t="shared" ca="1" si="3"/>
        <v>ECS08</v>
      </c>
      <c r="Q5" s="15" t="str">
        <f t="shared" ca="1" si="4"/>
        <v>055</v>
      </c>
      <c r="R5" s="16">
        <v>8050450211251</v>
      </c>
      <c r="S5" s="15" t="str">
        <f t="shared" ca="1" si="5"/>
        <v>fall 2018 .continuativo carry over</v>
      </c>
      <c r="T5" s="15" t="str">
        <f t="shared" ca="1" si="6"/>
        <v>20</v>
      </c>
      <c r="U5" s="9" t="b">
        <f t="shared" ca="1" si="7"/>
        <v>1</v>
      </c>
    </row>
    <row r="6" spans="1:21">
      <c r="E6" s="12"/>
      <c r="F6" s="10"/>
      <c r="G6" s="10"/>
      <c r="H6" s="10"/>
      <c r="I6" s="10"/>
      <c r="J6" s="24" t="s">
        <v>23</v>
      </c>
      <c r="K6" s="23" t="s">
        <v>22</v>
      </c>
      <c r="L6" s="10">
        <f t="shared" si="0"/>
        <v>3</v>
      </c>
      <c r="M6" s="10">
        <f t="shared" ref="M6:M19" si="8">M5</f>
        <v>1</v>
      </c>
      <c r="N6" s="15" t="str">
        <f t="shared" ca="1" si="1"/>
        <v/>
      </c>
      <c r="O6" s="15" t="str">
        <f t="shared" ca="1" si="2"/>
        <v/>
      </c>
      <c r="P6" s="15" t="str">
        <f t="shared" ca="1" si="3"/>
        <v/>
      </c>
      <c r="Q6" s="15" t="str">
        <f t="shared" ca="1" si="4"/>
        <v xml:space="preserve">  </v>
      </c>
      <c r="R6" s="16"/>
      <c r="S6" s="15" t="str">
        <f t="shared" ca="1" si="5"/>
        <v/>
      </c>
      <c r="T6" s="15" t="str">
        <f t="shared" ca="1" si="6"/>
        <v/>
      </c>
      <c r="U6" s="9" t="b">
        <f t="shared" ca="1" si="7"/>
        <v>0</v>
      </c>
    </row>
    <row r="7" spans="1:21">
      <c r="E7" s="22" t="s">
        <v>21</v>
      </c>
      <c r="F7" s="10" t="str">
        <f>"$A"&amp;H6+1&amp;":$A1000"</f>
        <v>$A1:$A1000</v>
      </c>
      <c r="G7" s="21">
        <f ca="1">MATCH(E7,INDIRECT(F7),0)</f>
        <v>25</v>
      </c>
      <c r="H7" s="21">
        <f ca="1">SUM(G$7:G7)</f>
        <v>25</v>
      </c>
      <c r="I7" s="21" t="str">
        <f ca="1">IF(ISERROR(H7),"",TRIM(INDEX(INDIRECT("A:A"),H7)))</f>
        <v>code SHOUC106 ECS00</v>
      </c>
      <c r="J7" s="20" t="str">
        <f ca="1">MID($I7,6,8)</f>
        <v>SHOUC106</v>
      </c>
      <c r="K7" s="20" t="str">
        <f ca="1">MID($I7,15,30)</f>
        <v>ECS00</v>
      </c>
      <c r="L7" s="10">
        <f t="shared" si="0"/>
        <v>4</v>
      </c>
      <c r="M7" s="10">
        <f t="shared" si="8"/>
        <v>1</v>
      </c>
      <c r="N7" s="15" t="str">
        <f t="shared" ca="1" si="1"/>
        <v/>
      </c>
      <c r="O7" s="15" t="str">
        <f t="shared" ca="1" si="2"/>
        <v/>
      </c>
      <c r="P7" s="15" t="str">
        <f t="shared" ca="1" si="3"/>
        <v/>
      </c>
      <c r="Q7" s="15" t="str">
        <f t="shared" ca="1" si="4"/>
        <v/>
      </c>
      <c r="R7" s="16"/>
      <c r="S7" s="15" t="str">
        <f t="shared" ca="1" si="5"/>
        <v/>
      </c>
      <c r="T7" s="15" t="str">
        <f t="shared" ca="1" si="6"/>
        <v/>
      </c>
      <c r="U7" s="9" t="b">
        <f t="shared" ca="1" si="7"/>
        <v>0</v>
      </c>
    </row>
    <row r="8" spans="1:21">
      <c r="A8" s="36" t="s">
        <v>48</v>
      </c>
      <c r="E8" s="22" t="s">
        <v>21</v>
      </c>
      <c r="F8" s="10" t="str">
        <f ca="1">"$A"&amp;H7+1&amp;":$A1000"</f>
        <v>$A26:$A1000</v>
      </c>
      <c r="G8" s="21">
        <f ca="1">MATCH(E8,INDIRECT(F8),0)</f>
        <v>41</v>
      </c>
      <c r="H8" s="21">
        <f ca="1">SUM(G$7:G8)</f>
        <v>66</v>
      </c>
      <c r="I8" s="21" t="str">
        <f ca="1">IF(ISERROR(H8),"",TRIM(INDEX(INDIRECT("A:A"),H8)))</f>
        <v>code SHOUC106 ECS08</v>
      </c>
      <c r="J8" s="20" t="str">
        <f ca="1">MID($I8,6,8)</f>
        <v>SHOUC106</v>
      </c>
      <c r="K8" s="20" t="str">
        <f ca="1">MID($I8,15,30)</f>
        <v>ECS08</v>
      </c>
      <c r="L8" s="10">
        <f t="shared" si="0"/>
        <v>5</v>
      </c>
      <c r="M8" s="10">
        <f t="shared" si="8"/>
        <v>1</v>
      </c>
      <c r="N8" s="15" t="str">
        <f t="shared" ca="1" si="1"/>
        <v/>
      </c>
      <c r="O8" s="15" t="str">
        <f t="shared" ca="1" si="2"/>
        <v/>
      </c>
      <c r="P8" s="15" t="str">
        <f t="shared" ca="1" si="3"/>
        <v/>
      </c>
      <c r="Q8" s="15" t="str">
        <f t="shared" ca="1" si="4"/>
        <v/>
      </c>
      <c r="R8" s="16"/>
      <c r="S8" s="15" t="str">
        <f t="shared" ca="1" si="5"/>
        <v/>
      </c>
      <c r="T8" s="15" t="str">
        <f t="shared" ca="1" si="6"/>
        <v/>
      </c>
      <c r="U8" s="9" t="b">
        <f t="shared" ca="1" si="7"/>
        <v>0</v>
      </c>
    </row>
    <row r="9" spans="1:21">
      <c r="A9" s="36" t="s">
        <v>52</v>
      </c>
      <c r="E9" s="22" t="s">
        <v>21</v>
      </c>
      <c r="F9" s="10" t="str">
        <f ca="1">"$A"&amp;H8+1&amp;":$A1000"</f>
        <v>$A67:$A1000</v>
      </c>
      <c r="G9" s="21" t="e">
        <f ca="1">MATCH(E9,INDIRECT(F9),0)</f>
        <v>#N/A</v>
      </c>
      <c r="H9" s="21" t="e">
        <f ca="1">SUM(G$7:G9)</f>
        <v>#N/A</v>
      </c>
      <c r="I9" s="21" t="str">
        <f ca="1">IF(ISERROR(H9),"",TRIM(INDEX(INDIRECT("A:A"),H9)))</f>
        <v/>
      </c>
      <c r="J9" s="20" t="str">
        <f ca="1">MID($I9,6,8)</f>
        <v/>
      </c>
      <c r="K9" s="20" t="str">
        <f ca="1">MID($I9,15,30)</f>
        <v/>
      </c>
      <c r="L9" s="10">
        <f t="shared" si="0"/>
        <v>6</v>
      </c>
      <c r="M9" s="10">
        <f t="shared" si="8"/>
        <v>1</v>
      </c>
      <c r="N9" s="15" t="str">
        <f t="shared" ca="1" si="1"/>
        <v/>
      </c>
      <c r="O9" s="15" t="str">
        <f t="shared" ca="1" si="2"/>
        <v/>
      </c>
      <c r="P9" s="15" t="str">
        <f t="shared" ca="1" si="3"/>
        <v/>
      </c>
      <c r="Q9" s="15" t="str">
        <f t="shared" ca="1" si="4"/>
        <v/>
      </c>
      <c r="R9" s="16"/>
      <c r="S9" s="15" t="str">
        <f t="shared" ca="1" si="5"/>
        <v/>
      </c>
      <c r="T9" s="15" t="str">
        <f t="shared" ca="1" si="6"/>
        <v/>
      </c>
      <c r="U9" s="9" t="b">
        <f t="shared" ca="1" si="7"/>
        <v>0</v>
      </c>
    </row>
    <row r="10" spans="1:21">
      <c r="A10" s="36" t="s">
        <v>51</v>
      </c>
      <c r="E10" s="12"/>
      <c r="F10" s="10"/>
      <c r="G10" s="10"/>
      <c r="H10" s="10"/>
      <c r="I10" s="10"/>
      <c r="J10" s="19"/>
      <c r="K10" s="10"/>
      <c r="L10" s="10">
        <f t="shared" si="0"/>
        <v>7</v>
      </c>
      <c r="M10" s="10">
        <f t="shared" si="8"/>
        <v>1</v>
      </c>
      <c r="N10" s="15" t="str">
        <f t="shared" ca="1" si="1"/>
        <v/>
      </c>
      <c r="O10" s="15" t="str">
        <f t="shared" ca="1" si="2"/>
        <v/>
      </c>
      <c r="P10" s="15" t="str">
        <f t="shared" ca="1" si="3"/>
        <v/>
      </c>
      <c r="Q10" s="15" t="str">
        <f t="shared" ca="1" si="4"/>
        <v/>
      </c>
      <c r="R10" s="16"/>
      <c r="S10" s="15" t="str">
        <f t="shared" ca="1" si="5"/>
        <v/>
      </c>
      <c r="T10" s="15" t="str">
        <f t="shared" ca="1" si="6"/>
        <v/>
      </c>
      <c r="U10" s="9" t="b">
        <f t="shared" ca="1" si="7"/>
        <v>0</v>
      </c>
    </row>
    <row r="11" spans="1:21">
      <c r="E11" s="12"/>
      <c r="F11" s="10" t="s">
        <v>20</v>
      </c>
      <c r="G11" s="10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055 col. 055        </v>
      </c>
      <c r="H11" s="10"/>
      <c r="I11" s="10"/>
      <c r="J11" s="19"/>
      <c r="K11" s="10"/>
      <c r="L11" s="10">
        <f t="shared" si="0"/>
        <v>8</v>
      </c>
      <c r="M11" s="10">
        <f t="shared" si="8"/>
        <v>1</v>
      </c>
      <c r="N11" s="15" t="str">
        <f t="shared" ca="1" si="1"/>
        <v/>
      </c>
      <c r="O11" s="15" t="str">
        <f t="shared" ca="1" si="2"/>
        <v/>
      </c>
      <c r="P11" s="15" t="str">
        <f t="shared" ca="1" si="3"/>
        <v/>
      </c>
      <c r="Q11" s="15" t="str">
        <f t="shared" ca="1" si="4"/>
        <v/>
      </c>
      <c r="R11" s="16"/>
      <c r="S11" s="15" t="str">
        <f t="shared" ca="1" si="5"/>
        <v/>
      </c>
      <c r="T11" s="15" t="str">
        <f t="shared" ca="1" si="6"/>
        <v/>
      </c>
      <c r="U11" s="9" t="b">
        <f t="shared" ca="1" si="7"/>
        <v>0</v>
      </c>
    </row>
    <row r="12" spans="1:21">
      <c r="E12" s="12"/>
      <c r="F12" s="10"/>
      <c r="G12" s="10"/>
      <c r="H12" s="10"/>
      <c r="I12" s="10"/>
      <c r="J12" s="19"/>
      <c r="K12" s="10"/>
      <c r="L12" s="10">
        <f t="shared" si="0"/>
        <v>9</v>
      </c>
      <c r="M12" s="10">
        <f t="shared" si="8"/>
        <v>1</v>
      </c>
      <c r="N12" s="15" t="str">
        <f t="shared" ca="1" si="1"/>
        <v/>
      </c>
      <c r="O12" s="15" t="str">
        <f t="shared" ca="1" si="2"/>
        <v/>
      </c>
      <c r="P12" s="15" t="str">
        <f t="shared" ca="1" si="3"/>
        <v/>
      </c>
      <c r="Q12" s="15" t="str">
        <f t="shared" ca="1" si="4"/>
        <v/>
      </c>
      <c r="R12" s="16"/>
      <c r="S12" s="15" t="str">
        <f t="shared" ca="1" si="5"/>
        <v/>
      </c>
      <c r="T12" s="15" t="str">
        <f t="shared" ca="1" si="6"/>
        <v/>
      </c>
      <c r="U12" s="9" t="b">
        <f t="shared" ca="1" si="7"/>
        <v>0</v>
      </c>
    </row>
    <row r="13" spans="1:21">
      <c r="E13" s="12"/>
      <c r="F13" s="10"/>
      <c r="G13" s="10"/>
      <c r="H13" s="10"/>
      <c r="I13" s="10"/>
      <c r="J13" s="17" t="s">
        <v>18</v>
      </c>
      <c r="K13" s="10"/>
      <c r="L13" s="10">
        <f t="shared" si="0"/>
        <v>10</v>
      </c>
      <c r="M13" s="10">
        <f t="shared" si="8"/>
        <v>1</v>
      </c>
      <c r="N13" s="15" t="str">
        <f t="shared" ca="1" si="1"/>
        <v/>
      </c>
      <c r="O13" s="15" t="str">
        <f t="shared" ca="1" si="2"/>
        <v/>
      </c>
      <c r="P13" s="15" t="str">
        <f t="shared" ca="1" si="3"/>
        <v/>
      </c>
      <c r="Q13" s="15" t="str">
        <f t="shared" ca="1" si="4"/>
        <v/>
      </c>
      <c r="R13" s="16"/>
      <c r="S13" s="15" t="str">
        <f t="shared" ca="1" si="5"/>
        <v/>
      </c>
      <c r="T13" s="15" t="str">
        <f t="shared" ca="1" si="6"/>
        <v/>
      </c>
      <c r="U13" s="9" t="b">
        <f t="shared" ca="1" si="7"/>
        <v>0</v>
      </c>
    </row>
    <row r="14" spans="1:21">
      <c r="E14" s="14" t="s">
        <v>17</v>
      </c>
      <c r="F14" s="10" t="str">
        <f t="shared" ref="F14:F23" si="9">"$A"&amp;H13+1&amp;":$A1000"</f>
        <v>$A1:$A1000</v>
      </c>
      <c r="G14" s="13">
        <f t="shared" ref="G14:G23" ca="1" si="10">MATCH(E14,INDIRECT(F14),0)</f>
        <v>8</v>
      </c>
      <c r="H14" s="13">
        <f ca="1">SUM(G$14:G14)</f>
        <v>8</v>
      </c>
      <c r="I14" s="13" t="str">
        <f t="shared" ref="I14:I23" ca="1" si="11">IF(ISERROR(H14),"",TRIM(INDEX(INDIRECT("A:A"),H14)))</f>
        <v>col. 055</v>
      </c>
      <c r="J14" s="11" t="str">
        <f t="shared" ref="J14:J29" ca="1" si="12">MID($G$11,6+9*(ROW(J14)-ROW(J$14)),3)</f>
        <v>055</v>
      </c>
      <c r="K14" s="10"/>
      <c r="L14" s="10">
        <f t="shared" si="0"/>
        <v>11</v>
      </c>
      <c r="M14" s="10">
        <f t="shared" si="8"/>
        <v>1</v>
      </c>
      <c r="N14" s="15" t="str">
        <f t="shared" ca="1" si="1"/>
        <v/>
      </c>
      <c r="O14" s="15" t="str">
        <f t="shared" ca="1" si="2"/>
        <v/>
      </c>
      <c r="P14" s="15" t="str">
        <f t="shared" ca="1" si="3"/>
        <v/>
      </c>
      <c r="Q14" s="15" t="str">
        <f t="shared" ca="1" si="4"/>
        <v/>
      </c>
      <c r="R14" s="16"/>
      <c r="S14" s="15" t="str">
        <f t="shared" ca="1" si="5"/>
        <v/>
      </c>
      <c r="T14" s="15" t="str">
        <f t="shared" ca="1" si="6"/>
        <v/>
      </c>
      <c r="U14" s="9" t="b">
        <f t="shared" ca="1" si="7"/>
        <v>0</v>
      </c>
    </row>
    <row r="15" spans="1:21">
      <c r="E15" s="14" t="str">
        <f t="shared" ref="E15:E23" si="13">E14</f>
        <v>col. *</v>
      </c>
      <c r="F15" s="10" t="str">
        <f t="shared" ca="1" si="9"/>
        <v>$A9:$A1000</v>
      </c>
      <c r="G15" s="13">
        <f t="shared" ca="1" si="10"/>
        <v>41</v>
      </c>
      <c r="H15" s="13">
        <f ca="1">SUM(G$14:G15)</f>
        <v>49</v>
      </c>
      <c r="I15" s="13" t="str">
        <f t="shared" ca="1" si="11"/>
        <v>col. 055</v>
      </c>
      <c r="J15" s="11" t="str">
        <f t="shared" ca="1" si="12"/>
        <v>055</v>
      </c>
      <c r="K15" s="10"/>
      <c r="L15" s="10">
        <f t="shared" si="0"/>
        <v>12</v>
      </c>
      <c r="M15" s="10">
        <f t="shared" si="8"/>
        <v>1</v>
      </c>
      <c r="N15" s="15" t="str">
        <f t="shared" ca="1" si="1"/>
        <v/>
      </c>
      <c r="O15" s="15" t="str">
        <f t="shared" ca="1" si="2"/>
        <v/>
      </c>
      <c r="P15" s="15" t="str">
        <f t="shared" ca="1" si="3"/>
        <v/>
      </c>
      <c r="Q15" s="15" t="str">
        <f t="shared" ca="1" si="4"/>
        <v/>
      </c>
      <c r="R15" s="16"/>
      <c r="S15" s="15" t="str">
        <f t="shared" ca="1" si="5"/>
        <v/>
      </c>
      <c r="T15" s="15" t="str">
        <f t="shared" ca="1" si="6"/>
        <v/>
      </c>
      <c r="U15" s="9" t="b">
        <f t="shared" ca="1" si="7"/>
        <v>0</v>
      </c>
    </row>
    <row r="16" spans="1:21">
      <c r="E16" s="14" t="str">
        <f t="shared" si="13"/>
        <v>col. *</v>
      </c>
      <c r="F16" s="10" t="str">
        <f t="shared" ca="1" si="9"/>
        <v>$A50:$A1000</v>
      </c>
      <c r="G16" s="13" t="e">
        <f t="shared" ca="1" si="10"/>
        <v>#N/A</v>
      </c>
      <c r="H16" s="13" t="e">
        <f ca="1">SUM(G$14:G16)</f>
        <v>#N/A</v>
      </c>
      <c r="I16" s="13" t="str">
        <f t="shared" ca="1" si="11"/>
        <v/>
      </c>
      <c r="J16" s="11" t="str">
        <f t="shared" ca="1" si="12"/>
        <v xml:space="preserve">  </v>
      </c>
      <c r="K16" s="10"/>
      <c r="L16" s="10">
        <f t="shared" si="0"/>
        <v>13</v>
      </c>
      <c r="M16" s="10">
        <f t="shared" si="8"/>
        <v>1</v>
      </c>
      <c r="N16" s="15" t="str">
        <f t="shared" ca="1" si="1"/>
        <v/>
      </c>
      <c r="O16" s="15" t="str">
        <f t="shared" ca="1" si="2"/>
        <v/>
      </c>
      <c r="P16" s="15" t="str">
        <f t="shared" ca="1" si="3"/>
        <v/>
      </c>
      <c r="Q16" s="15" t="str">
        <f t="shared" ca="1" si="4"/>
        <v/>
      </c>
      <c r="R16" s="16"/>
      <c r="S16" s="15" t="str">
        <f t="shared" ca="1" si="5"/>
        <v/>
      </c>
      <c r="T16" s="15" t="str">
        <f t="shared" ca="1" si="6"/>
        <v/>
      </c>
      <c r="U16" s="9" t="b">
        <f t="shared" ca="1" si="7"/>
        <v>0</v>
      </c>
    </row>
    <row r="17" spans="1:21">
      <c r="E17" s="14" t="str">
        <f t="shared" si="13"/>
        <v>col. *</v>
      </c>
      <c r="F17" s="10" t="e">
        <f t="shared" ca="1" si="9"/>
        <v>#N/A</v>
      </c>
      <c r="G17" s="13" t="e">
        <f t="shared" ca="1" si="10"/>
        <v>#N/A</v>
      </c>
      <c r="H17" s="13" t="e">
        <f ca="1">SUM(G$14:G17)</f>
        <v>#N/A</v>
      </c>
      <c r="I17" s="13" t="str">
        <f t="shared" ca="1" si="11"/>
        <v/>
      </c>
      <c r="J17" s="11" t="str">
        <f t="shared" ca="1" si="12"/>
        <v/>
      </c>
      <c r="K17" s="10"/>
      <c r="L17" s="10">
        <f t="shared" si="0"/>
        <v>14</v>
      </c>
      <c r="M17" s="10">
        <f t="shared" si="8"/>
        <v>1</v>
      </c>
      <c r="N17" s="15" t="str">
        <f t="shared" ca="1" si="1"/>
        <v/>
      </c>
      <c r="O17" s="15" t="str">
        <f t="shared" ca="1" si="2"/>
        <v/>
      </c>
      <c r="P17" s="15" t="str">
        <f t="shared" ca="1" si="3"/>
        <v/>
      </c>
      <c r="Q17" s="15" t="str">
        <f t="shared" ca="1" si="4"/>
        <v/>
      </c>
      <c r="R17" s="16"/>
      <c r="S17" s="15" t="str">
        <f t="shared" ca="1" si="5"/>
        <v/>
      </c>
      <c r="T17" s="15" t="str">
        <f t="shared" ca="1" si="6"/>
        <v/>
      </c>
      <c r="U17" s="9" t="b">
        <f t="shared" ca="1" si="7"/>
        <v>0</v>
      </c>
    </row>
    <row r="18" spans="1:21">
      <c r="E18" s="14" t="str">
        <f t="shared" si="13"/>
        <v>col. *</v>
      </c>
      <c r="F18" s="10" t="e">
        <f t="shared" ca="1" si="9"/>
        <v>#N/A</v>
      </c>
      <c r="G18" s="13" t="e">
        <f t="shared" ca="1" si="10"/>
        <v>#N/A</v>
      </c>
      <c r="H18" s="13" t="e">
        <f ca="1">SUM(G$14:G18)</f>
        <v>#N/A</v>
      </c>
      <c r="I18" s="13" t="str">
        <f t="shared" ca="1" si="11"/>
        <v/>
      </c>
      <c r="J18" s="11" t="str">
        <f t="shared" ca="1" si="12"/>
        <v/>
      </c>
      <c r="K18" s="10"/>
      <c r="L18" s="10">
        <f t="shared" si="0"/>
        <v>15</v>
      </c>
      <c r="M18" s="10">
        <f t="shared" si="8"/>
        <v>1</v>
      </c>
      <c r="N18" s="15" t="str">
        <f t="shared" ca="1" si="1"/>
        <v/>
      </c>
      <c r="O18" s="15" t="str">
        <f t="shared" ca="1" si="2"/>
        <v/>
      </c>
      <c r="P18" s="15" t="str">
        <f t="shared" ca="1" si="3"/>
        <v/>
      </c>
      <c r="Q18" s="15" t="str">
        <f t="shared" ca="1" si="4"/>
        <v/>
      </c>
      <c r="R18" s="16"/>
      <c r="S18" s="15" t="str">
        <f t="shared" ca="1" si="5"/>
        <v/>
      </c>
      <c r="T18" s="15" t="str">
        <f t="shared" ca="1" si="6"/>
        <v/>
      </c>
      <c r="U18" s="9" t="b">
        <f t="shared" ca="1" si="7"/>
        <v>0</v>
      </c>
    </row>
    <row r="19" spans="1:21">
      <c r="E19" s="14" t="str">
        <f t="shared" si="13"/>
        <v>col. *</v>
      </c>
      <c r="F19" s="10" t="e">
        <f t="shared" ca="1" si="9"/>
        <v>#N/A</v>
      </c>
      <c r="G19" s="13" t="e">
        <f t="shared" ca="1" si="10"/>
        <v>#N/A</v>
      </c>
      <c r="H19" s="13" t="e">
        <f ca="1">SUM(G$14:G19)</f>
        <v>#N/A</v>
      </c>
      <c r="I19" s="13" t="str">
        <f t="shared" ca="1" si="11"/>
        <v/>
      </c>
      <c r="J19" s="11" t="str">
        <f t="shared" ca="1" si="12"/>
        <v/>
      </c>
      <c r="K19" s="10"/>
      <c r="L19" s="10">
        <f t="shared" si="0"/>
        <v>16</v>
      </c>
      <c r="M19" s="10">
        <f t="shared" si="8"/>
        <v>1</v>
      </c>
      <c r="N19" s="15" t="str">
        <f t="shared" ca="1" si="1"/>
        <v/>
      </c>
      <c r="O19" s="15" t="str">
        <f t="shared" ca="1" si="2"/>
        <v/>
      </c>
      <c r="P19" s="15" t="str">
        <f t="shared" ca="1" si="3"/>
        <v/>
      </c>
      <c r="Q19" s="15" t="str">
        <f t="shared" ca="1" si="4"/>
        <v/>
      </c>
      <c r="R19" s="16"/>
      <c r="S19" s="15" t="str">
        <f t="shared" ca="1" si="5"/>
        <v/>
      </c>
      <c r="T19" s="15" t="str">
        <f t="shared" ca="1" si="6"/>
        <v/>
      </c>
      <c r="U19" s="9" t="b">
        <f t="shared" ca="1" si="7"/>
        <v>0</v>
      </c>
    </row>
    <row r="20" spans="1:21">
      <c r="E20" s="14" t="str">
        <f t="shared" si="13"/>
        <v>col. *</v>
      </c>
      <c r="F20" s="10" t="e">
        <f t="shared" ca="1" si="9"/>
        <v>#N/A</v>
      </c>
      <c r="G20" s="13" t="e">
        <f t="shared" ca="1" si="10"/>
        <v>#N/A</v>
      </c>
      <c r="H20" s="13" t="e">
        <f ca="1">SUM(G$14:G20)</f>
        <v>#N/A</v>
      </c>
      <c r="I20" s="13" t="str">
        <f t="shared" ca="1" si="11"/>
        <v/>
      </c>
      <c r="J20" s="11" t="str">
        <f t="shared" ca="1" si="12"/>
        <v/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9"/>
    </row>
    <row r="21" spans="1:21">
      <c r="E21" s="14" t="str">
        <f t="shared" si="13"/>
        <v>col. *</v>
      </c>
      <c r="F21" s="10" t="e">
        <f t="shared" ca="1" si="9"/>
        <v>#N/A</v>
      </c>
      <c r="G21" s="13" t="e">
        <f t="shared" ca="1" si="10"/>
        <v>#N/A</v>
      </c>
      <c r="H21" s="13" t="e">
        <f ca="1">SUM(G$14:G21)</f>
        <v>#N/A</v>
      </c>
      <c r="I21" s="13" t="str">
        <f t="shared" ca="1" si="11"/>
        <v/>
      </c>
      <c r="J21" s="11" t="str">
        <f t="shared" ca="1" si="12"/>
        <v/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9"/>
    </row>
    <row r="22" spans="1:21">
      <c r="E22" s="14" t="str">
        <f t="shared" si="13"/>
        <v>col. *</v>
      </c>
      <c r="F22" s="10" t="e">
        <f t="shared" ca="1" si="9"/>
        <v>#N/A</v>
      </c>
      <c r="G22" s="13" t="e">
        <f t="shared" ca="1" si="10"/>
        <v>#N/A</v>
      </c>
      <c r="H22" s="13" t="e">
        <f ca="1">SUM(G$14:G22)</f>
        <v>#N/A</v>
      </c>
      <c r="I22" s="13" t="str">
        <f t="shared" ca="1" si="11"/>
        <v/>
      </c>
      <c r="J22" s="11" t="str">
        <f t="shared" ca="1" si="12"/>
        <v/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9"/>
    </row>
    <row r="23" spans="1:21">
      <c r="E23" s="14" t="str">
        <f t="shared" si="13"/>
        <v>col. *</v>
      </c>
      <c r="F23" s="10" t="e">
        <f t="shared" ca="1" si="9"/>
        <v>#N/A</v>
      </c>
      <c r="G23" s="13" t="e">
        <f t="shared" ca="1" si="10"/>
        <v>#N/A</v>
      </c>
      <c r="H23" s="13" t="e">
        <f ca="1">SUM(G$14:G23)</f>
        <v>#N/A</v>
      </c>
      <c r="I23" s="13" t="str">
        <f t="shared" ca="1" si="11"/>
        <v/>
      </c>
      <c r="J23" s="11" t="str">
        <f t="shared" ca="1" si="12"/>
        <v/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9"/>
    </row>
    <row r="24" spans="1:21">
      <c r="E24" s="12"/>
      <c r="F24" s="10"/>
      <c r="G24" s="10"/>
      <c r="H24" s="10"/>
      <c r="I24" s="10"/>
      <c r="J24" s="11" t="str">
        <f t="shared" ca="1" si="12"/>
        <v/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9"/>
    </row>
    <row r="25" spans="1:21">
      <c r="A25" s="18" t="s">
        <v>50</v>
      </c>
      <c r="E25" s="12"/>
      <c r="F25" s="10"/>
      <c r="G25" s="10"/>
      <c r="H25" s="10"/>
      <c r="I25" s="10"/>
      <c r="J25" s="11" t="str">
        <f t="shared" ca="1" si="12"/>
        <v/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9"/>
    </row>
    <row r="26" spans="1:21">
      <c r="E26" s="12"/>
      <c r="F26" s="10"/>
      <c r="G26" s="10"/>
      <c r="H26" s="10"/>
      <c r="I26" s="10"/>
      <c r="J26" s="11" t="str">
        <f t="shared" ca="1" si="12"/>
        <v/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9"/>
    </row>
    <row r="27" spans="1:21">
      <c r="A27" s="4" t="s">
        <v>44</v>
      </c>
      <c r="E27" s="12"/>
      <c r="F27" s="10"/>
      <c r="H27" s="10"/>
      <c r="I27" s="10"/>
      <c r="J27" s="11" t="str">
        <f t="shared" ca="1" si="12"/>
        <v/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9"/>
    </row>
    <row r="28" spans="1:21">
      <c r="A28" s="36" t="s">
        <v>43</v>
      </c>
      <c r="E28" s="12"/>
      <c r="F28" s="10"/>
      <c r="G28" s="10"/>
      <c r="H28" s="10"/>
      <c r="I28" s="10"/>
      <c r="J28" s="11" t="str">
        <f t="shared" ca="1" si="12"/>
        <v/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9"/>
    </row>
    <row r="29" spans="1:21" ht="15" thickBot="1">
      <c r="A29" s="4" t="s">
        <v>42</v>
      </c>
      <c r="E29" s="8"/>
      <c r="F29" s="6"/>
      <c r="G29" s="6"/>
      <c r="H29" s="6"/>
      <c r="I29" s="6"/>
      <c r="J29" s="7" t="str">
        <f t="shared" ca="1" si="12"/>
        <v/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5"/>
    </row>
    <row r="30" spans="1:21" ht="15" thickTop="1">
      <c r="A30" s="4" t="s">
        <v>41</v>
      </c>
    </row>
    <row r="32" spans="1:21">
      <c r="A32" s="4" t="s">
        <v>40</v>
      </c>
    </row>
    <row r="33" spans="1:1">
      <c r="A33" s="36" t="s">
        <v>39</v>
      </c>
    </row>
    <row r="34" spans="1:1">
      <c r="A34" s="4" t="s">
        <v>38</v>
      </c>
    </row>
    <row r="35" spans="1:1">
      <c r="A35" s="4" t="s">
        <v>37</v>
      </c>
    </row>
    <row r="42" spans="1:1" ht="21">
      <c r="A42" s="35" t="s">
        <v>49</v>
      </c>
    </row>
    <row r="49" spans="1:1">
      <c r="A49" s="36" t="s">
        <v>48</v>
      </c>
    </row>
    <row r="50" spans="1:1">
      <c r="A50" s="36" t="s">
        <v>47</v>
      </c>
    </row>
    <row r="51" spans="1:1">
      <c r="A51" s="36" t="s">
        <v>46</v>
      </c>
    </row>
    <row r="66" spans="1:1">
      <c r="A66" s="18" t="s">
        <v>45</v>
      </c>
    </row>
    <row r="68" spans="1:1">
      <c r="A68" s="4" t="s">
        <v>44</v>
      </c>
    </row>
    <row r="69" spans="1:1">
      <c r="A69" s="36" t="s">
        <v>43</v>
      </c>
    </row>
    <row r="70" spans="1:1">
      <c r="A70" s="4" t="s">
        <v>42</v>
      </c>
    </row>
    <row r="71" spans="1:1">
      <c r="A71" s="4" t="s">
        <v>41</v>
      </c>
    </row>
    <row r="73" spans="1:1">
      <c r="A73" s="4" t="s">
        <v>40</v>
      </c>
    </row>
    <row r="74" spans="1:1">
      <c r="A74" s="36" t="s">
        <v>39</v>
      </c>
    </row>
    <row r="75" spans="1:1">
      <c r="A75" s="4" t="s">
        <v>38</v>
      </c>
    </row>
    <row r="76" spans="1:1">
      <c r="A76" s="4" t="s">
        <v>37</v>
      </c>
    </row>
    <row r="82" spans="1:1">
      <c r="A82" s="2" t="s">
        <v>36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U75"/>
  <sheetViews>
    <sheetView topLeftCell="B1" zoomScale="90" zoomScaleNormal="90" zoomScalePageLayoutView="90" workbookViewId="0">
      <selection activeCell="R11" sqref="R11"/>
    </sheetView>
  </sheetViews>
  <sheetFormatPr baseColWidth="10" defaultRowHeight="14" x14ac:dyDescent="0"/>
  <cols>
    <col min="12" max="13" width="4.6640625" customWidth="1"/>
    <col min="14" max="14" width="21.5" customWidth="1"/>
    <col min="16" max="16" width="7.33203125" customWidth="1"/>
    <col min="17" max="17" width="5.33203125" customWidth="1"/>
    <col min="18" max="18" width="15.83203125" customWidth="1"/>
  </cols>
  <sheetData>
    <row r="1" spans="1:21" ht="22" thickBot="1">
      <c r="A1" s="35" t="s">
        <v>53</v>
      </c>
    </row>
    <row r="2" spans="1:21" ht="15" thickTop="1">
      <c r="E2" s="34" t="s">
        <v>34</v>
      </c>
      <c r="F2" s="32">
        <v>2</v>
      </c>
      <c r="G2" s="32"/>
      <c r="H2" s="32"/>
      <c r="I2" s="32" t="e">
        <f>INDEX(A:A,MATCH("*.",A:A,0))</f>
        <v>#N/A</v>
      </c>
      <c r="J2" s="33"/>
      <c r="K2" s="32"/>
      <c r="L2" s="32" t="s">
        <v>33</v>
      </c>
      <c r="M2" s="32" t="s">
        <v>32</v>
      </c>
      <c r="N2" s="32"/>
      <c r="O2" s="32"/>
      <c r="P2" s="32"/>
      <c r="Q2" s="32"/>
      <c r="R2" s="32"/>
      <c r="S2" s="32"/>
      <c r="T2" s="32"/>
      <c r="U2" s="31"/>
    </row>
    <row r="3" spans="1:21">
      <c r="E3" s="30" t="s">
        <v>31</v>
      </c>
      <c r="F3" s="29">
        <f>MATCH(E3,$A:$A,0)</f>
        <v>75</v>
      </c>
      <c r="G3" s="28" t="str">
        <f>INDEX($A:$A,F3)</f>
        <v>48. O bag summer 2018 .continuativo carry over</v>
      </c>
      <c r="J3" s="19"/>
      <c r="K3" s="10"/>
      <c r="L3" s="10"/>
      <c r="M3" s="10"/>
      <c r="N3" s="27" t="s">
        <v>30</v>
      </c>
      <c r="O3" s="27" t="s">
        <v>23</v>
      </c>
      <c r="P3" s="27" t="s">
        <v>22</v>
      </c>
      <c r="Q3" s="27" t="s">
        <v>18</v>
      </c>
      <c r="R3" s="26" t="s">
        <v>29</v>
      </c>
      <c r="S3" s="26" t="s">
        <v>28</v>
      </c>
      <c r="T3" s="26" t="s">
        <v>27</v>
      </c>
      <c r="U3" s="25" t="s">
        <v>26</v>
      </c>
    </row>
    <row r="4" spans="1:21">
      <c r="E4" s="12"/>
      <c r="F4" s="10" t="s">
        <v>25</v>
      </c>
      <c r="G4" s="1" t="str">
        <f>IF(ISERROR(H4),I4,H4)</f>
        <v>48</v>
      </c>
      <c r="H4" t="str">
        <f>MID(G3,1,F2)</f>
        <v>48</v>
      </c>
      <c r="I4" t="e">
        <f>MID(I2,LEN(I2)-F2,F2)</f>
        <v>#N/A</v>
      </c>
      <c r="J4" s="19"/>
      <c r="K4" s="10"/>
      <c r="L4" s="10">
        <f t="shared" ref="L4:L19" si="0">L3+1</f>
        <v>1</v>
      </c>
      <c r="M4" s="10">
        <f>M3</f>
        <v>0</v>
      </c>
      <c r="N4" s="15" t="str">
        <f t="shared" ref="N4:N19" ca="1" si="1">IF($U4, O4 &amp; " " &amp; P4 &amp; " " &amp; Q4,"")</f>
        <v>OCLKD001 MES09 186</v>
      </c>
      <c r="O4" s="15" t="str">
        <f t="shared" ref="O4:P19" ca="1" si="2">IF($U4, INDEX(J$7:J$9,$M4+1), "")</f>
        <v>OCLKD001</v>
      </c>
      <c r="P4" s="15" t="str">
        <f t="shared" ca="1" si="2"/>
        <v>MES09</v>
      </c>
      <c r="Q4" s="15" t="str">
        <f ca="1">J14</f>
        <v>186</v>
      </c>
      <c r="R4" s="16">
        <v>8050450210445</v>
      </c>
      <c r="S4" s="15" t="str">
        <f t="shared" ref="S4:S19" ca="1" si="3">IF($U4, $G$5, "")</f>
        <v>summer 2018 .continuativo carry over</v>
      </c>
      <c r="T4" s="15" t="str">
        <f t="shared" ref="T4:T19" ca="1" si="4">IF($U4, $G$4, "")</f>
        <v>48</v>
      </c>
      <c r="U4" s="9" t="b">
        <f t="shared" ref="U4:U19" ca="1" si="5">AND(TRIM(Q4)&lt;&gt;"", Q4&lt;&gt;0)</f>
        <v>1</v>
      </c>
    </row>
    <row r="5" spans="1:21">
      <c r="E5" s="12"/>
      <c r="F5" s="10" t="s">
        <v>24</v>
      </c>
      <c r="G5" s="10" t="str">
        <f>MID(G3,9+F2,50)</f>
        <v>summer 2018 .continuativo carry over</v>
      </c>
      <c r="H5" s="10"/>
      <c r="I5" s="10"/>
      <c r="J5" s="19"/>
      <c r="K5" s="10"/>
      <c r="L5" s="10">
        <f t="shared" si="0"/>
        <v>2</v>
      </c>
      <c r="M5" s="10">
        <f t="shared" ref="M5:M19" si="6">M4</f>
        <v>0</v>
      </c>
      <c r="N5" s="15" t="str">
        <f t="shared" ca="1" si="1"/>
        <v>OCLKD001 MES09 077</v>
      </c>
      <c r="O5" s="15" t="str">
        <f t="shared" ca="1" si="2"/>
        <v>OCLKD001</v>
      </c>
      <c r="P5" s="15" t="str">
        <f t="shared" ca="1" si="2"/>
        <v>MES09</v>
      </c>
      <c r="Q5" s="15" t="str">
        <f t="shared" ref="Q5:Q19" ca="1" si="7">J15</f>
        <v>077</v>
      </c>
      <c r="R5" s="16">
        <v>8051770309277</v>
      </c>
      <c r="S5" s="15" t="str">
        <f t="shared" ca="1" si="3"/>
        <v>summer 2018 .continuativo carry over</v>
      </c>
      <c r="T5" s="15" t="str">
        <f t="shared" ca="1" si="4"/>
        <v>48</v>
      </c>
      <c r="U5" s="9" t="b">
        <f t="shared" ca="1" si="5"/>
        <v>1</v>
      </c>
    </row>
    <row r="6" spans="1:21">
      <c r="E6" s="12"/>
      <c r="F6" s="10"/>
      <c r="G6" s="10"/>
      <c r="H6" s="10"/>
      <c r="I6" s="10"/>
      <c r="J6" s="24" t="s">
        <v>23</v>
      </c>
      <c r="K6" s="23" t="s">
        <v>22</v>
      </c>
      <c r="L6" s="10">
        <f t="shared" si="0"/>
        <v>3</v>
      </c>
      <c r="M6" s="10">
        <f t="shared" si="6"/>
        <v>0</v>
      </c>
      <c r="N6" s="15" t="str">
        <f t="shared" ca="1" si="1"/>
        <v>OCLKD001 MES09 014</v>
      </c>
      <c r="O6" s="15" t="str">
        <f t="shared" ca="1" si="2"/>
        <v>OCLKD001</v>
      </c>
      <c r="P6" s="15" t="str">
        <f t="shared" ca="1" si="2"/>
        <v>MES09</v>
      </c>
      <c r="Q6" s="15" t="str">
        <f t="shared" ca="1" si="7"/>
        <v>014</v>
      </c>
      <c r="R6" s="16">
        <v>8051770309291</v>
      </c>
      <c r="S6" s="15" t="str">
        <f t="shared" ca="1" si="3"/>
        <v>summer 2018 .continuativo carry over</v>
      </c>
      <c r="T6" s="15" t="str">
        <f t="shared" ca="1" si="4"/>
        <v>48</v>
      </c>
      <c r="U6" s="9" t="b">
        <f t="shared" ca="1" si="5"/>
        <v>1</v>
      </c>
    </row>
    <row r="7" spans="1:21">
      <c r="E7" s="22" t="s">
        <v>21</v>
      </c>
      <c r="F7" s="10" t="str">
        <f t="shared" ref="F7:F9" si="8">"$A"&amp;H6+1&amp;":$A1000"</f>
        <v>$A1:$A1000</v>
      </c>
      <c r="G7" s="21">
        <f t="shared" ref="G7:G9" ca="1" si="9">MATCH(E7,INDIRECT(F7),0)</f>
        <v>14</v>
      </c>
      <c r="H7" s="21">
        <f ca="1">SUM(G$7:G7)</f>
        <v>14</v>
      </c>
      <c r="I7" s="21" t="str">
        <f t="shared" ref="I7:I9" ca="1" si="10">IF(ISERROR(H7),"",TRIM(INDEX(INDIRECT("A:A"),H7)))</f>
        <v>code OCLKD001 MES09</v>
      </c>
      <c r="J7" s="20" t="str">
        <f ca="1">MID($I7,6,8)</f>
        <v>OCLKD001</v>
      </c>
      <c r="K7" s="20" t="str">
        <f ca="1">MID($I7,15,30)</f>
        <v>MES09</v>
      </c>
      <c r="L7" s="10">
        <f t="shared" si="0"/>
        <v>4</v>
      </c>
      <c r="M7" s="10">
        <f t="shared" si="6"/>
        <v>0</v>
      </c>
      <c r="N7" s="15" t="str">
        <f t="shared" ca="1" si="1"/>
        <v>OCLKD001 MES09 059</v>
      </c>
      <c r="O7" s="15" t="str">
        <f t="shared" ca="1" si="2"/>
        <v>OCLKD001</v>
      </c>
      <c r="P7" s="15" t="str">
        <f t="shared" ca="1" si="2"/>
        <v>MES09</v>
      </c>
      <c r="Q7" s="15" t="str">
        <f t="shared" ca="1" si="7"/>
        <v>059</v>
      </c>
      <c r="R7" s="16">
        <v>8050450219271</v>
      </c>
      <c r="S7" s="15" t="str">
        <f t="shared" ca="1" si="3"/>
        <v>summer 2018 .continuativo carry over</v>
      </c>
      <c r="T7" s="15" t="str">
        <f t="shared" ca="1" si="4"/>
        <v>48</v>
      </c>
      <c r="U7" s="9" t="b">
        <f t="shared" ca="1" si="5"/>
        <v>1</v>
      </c>
    </row>
    <row r="8" spans="1:21">
      <c r="E8" s="22" t="s">
        <v>21</v>
      </c>
      <c r="F8" s="10" t="str">
        <f t="shared" ca="1" si="8"/>
        <v>$A15:$A1000</v>
      </c>
      <c r="G8" s="21" t="e">
        <f t="shared" ca="1" si="9"/>
        <v>#N/A</v>
      </c>
      <c r="H8" s="21" t="e">
        <f ca="1">SUM(G$7:G8)</f>
        <v>#N/A</v>
      </c>
      <c r="I8" s="21" t="str">
        <f t="shared" ca="1" si="10"/>
        <v/>
      </c>
      <c r="J8" s="20" t="str">
        <f ca="1">MID($I8,6,8)</f>
        <v/>
      </c>
      <c r="K8" s="20" t="str">
        <f ca="1">MID($I8,15,30)</f>
        <v/>
      </c>
      <c r="L8" s="10">
        <f t="shared" si="0"/>
        <v>5</v>
      </c>
      <c r="M8" s="10">
        <f t="shared" si="6"/>
        <v>0</v>
      </c>
      <c r="N8" s="15" t="str">
        <f t="shared" ca="1" si="1"/>
        <v>OCLKD001 MES09 086</v>
      </c>
      <c r="O8" s="15" t="str">
        <f t="shared" ca="1" si="2"/>
        <v>OCLKD001</v>
      </c>
      <c r="P8" s="15" t="str">
        <f t="shared" ca="1" si="2"/>
        <v>MES09</v>
      </c>
      <c r="Q8" s="15" t="str">
        <f t="shared" ca="1" si="7"/>
        <v>086</v>
      </c>
      <c r="R8" s="16">
        <v>8051770308256</v>
      </c>
      <c r="S8" s="15" t="str">
        <f t="shared" ca="1" si="3"/>
        <v>summer 2018 .continuativo carry over</v>
      </c>
      <c r="T8" s="15" t="str">
        <f t="shared" ca="1" si="4"/>
        <v>48</v>
      </c>
      <c r="U8" s="9" t="b">
        <f t="shared" ca="1" si="5"/>
        <v>1</v>
      </c>
    </row>
    <row r="9" spans="1:21">
      <c r="E9" s="22" t="s">
        <v>21</v>
      </c>
      <c r="F9" s="10" t="e">
        <f t="shared" ca="1" si="8"/>
        <v>#N/A</v>
      </c>
      <c r="G9" s="21" t="e">
        <f t="shared" ca="1" si="9"/>
        <v>#N/A</v>
      </c>
      <c r="H9" s="21" t="e">
        <f ca="1">SUM(G$7:G9)</f>
        <v>#N/A</v>
      </c>
      <c r="I9" s="21" t="str">
        <f t="shared" ca="1" si="10"/>
        <v/>
      </c>
      <c r="J9" s="20" t="str">
        <f ca="1">MID($I9,6,8)</f>
        <v/>
      </c>
      <c r="K9" s="20" t="str">
        <f ca="1">MID($I9,15,30)</f>
        <v/>
      </c>
      <c r="L9" s="10">
        <f t="shared" si="0"/>
        <v>6</v>
      </c>
      <c r="M9" s="10">
        <f t="shared" si="6"/>
        <v>0</v>
      </c>
      <c r="N9" s="15" t="str">
        <f t="shared" ca="1" si="1"/>
        <v>OCLKD001 MES09 039</v>
      </c>
      <c r="O9" s="15" t="str">
        <f t="shared" ca="1" si="2"/>
        <v>OCLKD001</v>
      </c>
      <c r="P9" s="15" t="str">
        <f t="shared" ca="1" si="2"/>
        <v>MES09</v>
      </c>
      <c r="Q9" s="15" t="str">
        <f t="shared" ca="1" si="7"/>
        <v>039</v>
      </c>
      <c r="R9" s="16">
        <v>8050450210438</v>
      </c>
      <c r="S9" s="15" t="str">
        <f t="shared" ca="1" si="3"/>
        <v>summer 2018 .continuativo carry over</v>
      </c>
      <c r="T9" s="15" t="str">
        <f t="shared" ca="1" si="4"/>
        <v>48</v>
      </c>
      <c r="U9" s="9" t="b">
        <f t="shared" ca="1" si="5"/>
        <v>1</v>
      </c>
    </row>
    <row r="10" spans="1:21">
      <c r="E10" s="12"/>
      <c r="F10" s="10"/>
      <c r="G10" s="10"/>
      <c r="H10" s="10"/>
      <c r="I10" s="10"/>
      <c r="J10" s="19"/>
      <c r="K10" s="10"/>
      <c r="L10" s="10">
        <f t="shared" si="0"/>
        <v>7</v>
      </c>
      <c r="M10" s="10">
        <f t="shared" si="6"/>
        <v>0</v>
      </c>
      <c r="N10" s="15" t="str">
        <f t="shared" ca="1" si="1"/>
        <v>OCLKD001 MES09 055</v>
      </c>
      <c r="O10" s="15" t="str">
        <f t="shared" ca="1" si="2"/>
        <v>OCLKD001</v>
      </c>
      <c r="P10" s="15" t="str">
        <f t="shared" ca="1" si="2"/>
        <v>MES09</v>
      </c>
      <c r="Q10" s="15" t="str">
        <f t="shared" ca="1" si="7"/>
        <v>055</v>
      </c>
      <c r="R10" s="16">
        <v>8051770308249</v>
      </c>
      <c r="S10" s="15" t="str">
        <f t="shared" ca="1" si="3"/>
        <v>summer 2018 .continuativo carry over</v>
      </c>
      <c r="T10" s="15" t="str">
        <f t="shared" ca="1" si="4"/>
        <v>48</v>
      </c>
      <c r="U10" s="9" t="b">
        <f t="shared" ca="1" si="5"/>
        <v>1</v>
      </c>
    </row>
    <row r="11" spans="1:21">
      <c r="E11" s="12"/>
      <c r="F11" s="10" t="s">
        <v>20</v>
      </c>
      <c r="G11" s="10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186 col. 077 col. 014 col. 059 col. 086 col. 039 col. 055       </v>
      </c>
      <c r="H11" s="10"/>
      <c r="I11" s="10"/>
      <c r="J11" s="19"/>
      <c r="K11" s="10"/>
      <c r="L11" s="10">
        <f t="shared" si="0"/>
        <v>8</v>
      </c>
      <c r="M11" s="10">
        <f t="shared" si="6"/>
        <v>0</v>
      </c>
      <c r="N11" s="15" t="str">
        <f t="shared" ca="1" si="1"/>
        <v/>
      </c>
      <c r="O11" s="15" t="str">
        <f t="shared" ca="1" si="2"/>
        <v/>
      </c>
      <c r="P11" s="15" t="str">
        <f t="shared" ca="1" si="2"/>
        <v/>
      </c>
      <c r="Q11" s="15" t="str">
        <f t="shared" ca="1" si="7"/>
        <v xml:space="preserve"> </v>
      </c>
      <c r="R11" s="16"/>
      <c r="S11" s="15" t="str">
        <f t="shared" ca="1" si="3"/>
        <v/>
      </c>
      <c r="T11" s="15" t="str">
        <f t="shared" ca="1" si="4"/>
        <v/>
      </c>
      <c r="U11" s="9" t="b">
        <f t="shared" ca="1" si="5"/>
        <v>0</v>
      </c>
    </row>
    <row r="12" spans="1:21">
      <c r="E12" s="12"/>
      <c r="F12" s="10"/>
      <c r="G12" s="10"/>
      <c r="H12" s="10"/>
      <c r="I12" s="10"/>
      <c r="J12" s="19"/>
      <c r="K12" s="10"/>
      <c r="L12" s="10">
        <f t="shared" si="0"/>
        <v>9</v>
      </c>
      <c r="M12" s="10">
        <f t="shared" si="6"/>
        <v>0</v>
      </c>
      <c r="N12" s="15" t="str">
        <f t="shared" ca="1" si="1"/>
        <v/>
      </c>
      <c r="O12" s="15" t="str">
        <f t="shared" ca="1" si="2"/>
        <v/>
      </c>
      <c r="P12" s="15" t="str">
        <f t="shared" ca="1" si="2"/>
        <v/>
      </c>
      <c r="Q12" s="15" t="str">
        <f t="shared" ca="1" si="7"/>
        <v/>
      </c>
      <c r="R12" s="16"/>
      <c r="S12" s="15" t="str">
        <f t="shared" ca="1" si="3"/>
        <v/>
      </c>
      <c r="T12" s="15" t="str">
        <f t="shared" ca="1" si="4"/>
        <v/>
      </c>
      <c r="U12" s="9" t="b">
        <f t="shared" ca="1" si="5"/>
        <v>0</v>
      </c>
    </row>
    <row r="13" spans="1:21">
      <c r="E13" s="12"/>
      <c r="F13" s="10"/>
      <c r="G13" s="10"/>
      <c r="H13" s="10"/>
      <c r="I13" s="10"/>
      <c r="J13" s="17" t="s">
        <v>18</v>
      </c>
      <c r="K13" s="10"/>
      <c r="L13" s="10">
        <f t="shared" si="0"/>
        <v>10</v>
      </c>
      <c r="M13" s="10">
        <f t="shared" si="6"/>
        <v>0</v>
      </c>
      <c r="N13" s="15" t="str">
        <f t="shared" ca="1" si="1"/>
        <v/>
      </c>
      <c r="O13" s="15" t="str">
        <f t="shared" ca="1" si="2"/>
        <v/>
      </c>
      <c r="P13" s="15" t="str">
        <f t="shared" ca="1" si="2"/>
        <v/>
      </c>
      <c r="Q13" s="15" t="str">
        <f t="shared" ca="1" si="7"/>
        <v/>
      </c>
      <c r="R13" s="16"/>
      <c r="S13" s="15" t="str">
        <f t="shared" ca="1" si="3"/>
        <v/>
      </c>
      <c r="T13" s="15" t="str">
        <f t="shared" ca="1" si="4"/>
        <v/>
      </c>
      <c r="U13" s="9" t="b">
        <f t="shared" ca="1" si="5"/>
        <v>0</v>
      </c>
    </row>
    <row r="14" spans="1:21">
      <c r="A14" s="18" t="s">
        <v>54</v>
      </c>
      <c r="E14" s="14" t="s">
        <v>17</v>
      </c>
      <c r="F14" s="10" t="str">
        <f t="shared" ref="F14:F23" si="11">"$A"&amp;H13+1&amp;":$A1000"</f>
        <v>$A1:$A1000</v>
      </c>
      <c r="G14" s="13">
        <f ca="1">MATCH(E14,INDIRECT(F14),0)</f>
        <v>27</v>
      </c>
      <c r="H14" s="13">
        <f ca="1">SUM(G$14:G14)</f>
        <v>27</v>
      </c>
      <c r="I14" s="13" t="str">
        <f t="shared" ref="I14:I23" ca="1" si="12">IF(ISERROR(H14),"",TRIM(INDEX(INDIRECT("A:A"),H14)))</f>
        <v>col. 186 col. 077 col. 014</v>
      </c>
      <c r="J14" s="11" t="str">
        <f t="shared" ref="J14:J29" ca="1" si="13">MID($G$11,6+9*(ROW(J14)-ROW(J$14)),3)</f>
        <v>186</v>
      </c>
      <c r="K14" s="10"/>
      <c r="L14" s="10">
        <f t="shared" si="0"/>
        <v>11</v>
      </c>
      <c r="M14" s="10">
        <f t="shared" si="6"/>
        <v>0</v>
      </c>
      <c r="N14" s="15" t="str">
        <f t="shared" ca="1" si="1"/>
        <v/>
      </c>
      <c r="O14" s="15" t="str">
        <f t="shared" ca="1" si="2"/>
        <v/>
      </c>
      <c r="P14" s="15" t="str">
        <f t="shared" ca="1" si="2"/>
        <v/>
      </c>
      <c r="Q14" s="15" t="str">
        <f t="shared" ca="1" si="7"/>
        <v/>
      </c>
      <c r="R14" s="16"/>
      <c r="S14" s="15" t="str">
        <f t="shared" ca="1" si="3"/>
        <v/>
      </c>
      <c r="T14" s="15" t="str">
        <f t="shared" ca="1" si="4"/>
        <v/>
      </c>
      <c r="U14" s="9" t="b">
        <f t="shared" ca="1" si="5"/>
        <v>0</v>
      </c>
    </row>
    <row r="15" spans="1:21">
      <c r="E15" s="14" t="str">
        <f>E14</f>
        <v>col. *</v>
      </c>
      <c r="F15" s="10" t="str">
        <f t="shared" ca="1" si="11"/>
        <v>$A28:$A1000</v>
      </c>
      <c r="G15" s="13">
        <f ca="1">MATCH(E15,INDIRECT(F15),0)</f>
        <v>12</v>
      </c>
      <c r="H15" s="13">
        <f ca="1">SUM(G$14:G15)</f>
        <v>39</v>
      </c>
      <c r="I15" s="13" t="str">
        <f t="shared" ca="1" si="12"/>
        <v>col. 059 col. 086 col. 039</v>
      </c>
      <c r="J15" s="11" t="str">
        <f t="shared" ca="1" si="13"/>
        <v>077</v>
      </c>
      <c r="K15" s="10"/>
      <c r="L15" s="10">
        <f t="shared" si="0"/>
        <v>12</v>
      </c>
      <c r="M15" s="10">
        <f t="shared" si="6"/>
        <v>0</v>
      </c>
      <c r="N15" s="15" t="str">
        <f t="shared" ca="1" si="1"/>
        <v/>
      </c>
      <c r="O15" s="15" t="str">
        <f t="shared" ca="1" si="2"/>
        <v/>
      </c>
      <c r="P15" s="15" t="str">
        <f t="shared" ca="1" si="2"/>
        <v/>
      </c>
      <c r="Q15" s="15" t="str">
        <f t="shared" ca="1" si="7"/>
        <v/>
      </c>
      <c r="R15" s="16"/>
      <c r="S15" s="15" t="str">
        <f t="shared" ca="1" si="3"/>
        <v/>
      </c>
      <c r="T15" s="15" t="str">
        <f t="shared" ca="1" si="4"/>
        <v/>
      </c>
      <c r="U15" s="9" t="b">
        <f t="shared" ca="1" si="5"/>
        <v>0</v>
      </c>
    </row>
    <row r="16" spans="1:21">
      <c r="A16" s="4" t="s">
        <v>55</v>
      </c>
      <c r="E16" s="14" t="str">
        <f t="shared" ref="E16:E23" si="14">E15</f>
        <v>col. *</v>
      </c>
      <c r="F16" s="10" t="str">
        <f t="shared" ca="1" si="11"/>
        <v>$A40:$A1000</v>
      </c>
      <c r="G16" s="13">
        <f ca="1">MATCH(E16,INDIRECT(F16),0)</f>
        <v>13</v>
      </c>
      <c r="H16" s="13">
        <f ca="1">SUM(G$14:G16)</f>
        <v>52</v>
      </c>
      <c r="I16" s="13" t="str">
        <f t="shared" ca="1" si="12"/>
        <v>col. 055</v>
      </c>
      <c r="J16" s="11" t="str">
        <f t="shared" ca="1" si="13"/>
        <v>014</v>
      </c>
      <c r="K16" s="10"/>
      <c r="L16" s="10">
        <f t="shared" si="0"/>
        <v>13</v>
      </c>
      <c r="M16" s="10">
        <f t="shared" si="6"/>
        <v>0</v>
      </c>
      <c r="N16" s="15" t="str">
        <f t="shared" ca="1" si="1"/>
        <v/>
      </c>
      <c r="O16" s="15" t="str">
        <f t="shared" ca="1" si="2"/>
        <v/>
      </c>
      <c r="P16" s="15" t="str">
        <f t="shared" ca="1" si="2"/>
        <v/>
      </c>
      <c r="Q16" s="15" t="str">
        <f t="shared" ca="1" si="7"/>
        <v/>
      </c>
      <c r="R16" s="16"/>
      <c r="S16" s="15" t="str">
        <f t="shared" ca="1" si="3"/>
        <v/>
      </c>
      <c r="T16" s="15" t="str">
        <f t="shared" ca="1" si="4"/>
        <v/>
      </c>
      <c r="U16" s="9" t="b">
        <f t="shared" ca="1" si="5"/>
        <v>0</v>
      </c>
    </row>
    <row r="17" spans="1:21">
      <c r="A17" s="4" t="s">
        <v>56</v>
      </c>
      <c r="E17" s="14" t="str">
        <f t="shared" si="14"/>
        <v>col. *</v>
      </c>
      <c r="F17" s="10" t="str">
        <f t="shared" ca="1" si="11"/>
        <v>$A53:$A1000</v>
      </c>
      <c r="G17" s="13" t="e">
        <f ca="1">MATCH(E17,INDIRECT(F17),0)</f>
        <v>#N/A</v>
      </c>
      <c r="H17" s="13" t="e">
        <f ca="1">SUM(G$14:G17)</f>
        <v>#N/A</v>
      </c>
      <c r="I17" s="13" t="str">
        <f t="shared" ca="1" si="12"/>
        <v/>
      </c>
      <c r="J17" s="11" t="str">
        <f t="shared" ca="1" si="13"/>
        <v>059</v>
      </c>
      <c r="K17" s="10"/>
      <c r="L17" s="10">
        <f t="shared" si="0"/>
        <v>14</v>
      </c>
      <c r="M17" s="10">
        <f t="shared" si="6"/>
        <v>0</v>
      </c>
      <c r="N17" s="15" t="str">
        <f t="shared" ca="1" si="1"/>
        <v/>
      </c>
      <c r="O17" s="15" t="str">
        <f t="shared" ca="1" si="2"/>
        <v/>
      </c>
      <c r="P17" s="15" t="str">
        <f t="shared" ca="1" si="2"/>
        <v/>
      </c>
      <c r="Q17" s="15" t="str">
        <f t="shared" ca="1" si="7"/>
        <v/>
      </c>
      <c r="R17" s="16"/>
      <c r="S17" s="15" t="str">
        <f t="shared" ca="1" si="3"/>
        <v/>
      </c>
      <c r="T17" s="15" t="str">
        <f t="shared" ca="1" si="4"/>
        <v/>
      </c>
      <c r="U17" s="9" t="b">
        <f t="shared" ca="1" si="5"/>
        <v>0</v>
      </c>
    </row>
    <row r="18" spans="1:21">
      <c r="E18" s="14" t="str">
        <f t="shared" si="14"/>
        <v>col. *</v>
      </c>
      <c r="F18" s="10" t="e">
        <f t="shared" ca="1" si="11"/>
        <v>#N/A</v>
      </c>
      <c r="G18" s="13" t="e">
        <f ca="1">MATCH(E18,INDIRECT(F18),0)</f>
        <v>#N/A</v>
      </c>
      <c r="H18" s="13" t="e">
        <f ca="1">SUM(G$14:G18)</f>
        <v>#N/A</v>
      </c>
      <c r="I18" s="13" t="str">
        <f t="shared" ca="1" si="12"/>
        <v/>
      </c>
      <c r="J18" s="11" t="str">
        <f t="shared" ca="1" si="13"/>
        <v>086</v>
      </c>
      <c r="K18" s="10"/>
      <c r="L18" s="10">
        <f t="shared" si="0"/>
        <v>15</v>
      </c>
      <c r="M18" s="10">
        <f t="shared" si="6"/>
        <v>0</v>
      </c>
      <c r="N18" s="15" t="str">
        <f t="shared" ca="1" si="1"/>
        <v/>
      </c>
      <c r="O18" s="15" t="str">
        <f t="shared" ca="1" si="2"/>
        <v/>
      </c>
      <c r="P18" s="15" t="str">
        <f t="shared" ca="1" si="2"/>
        <v/>
      </c>
      <c r="Q18" s="15" t="str">
        <f t="shared" ca="1" si="7"/>
        <v/>
      </c>
      <c r="R18" s="16"/>
      <c r="S18" s="15" t="str">
        <f t="shared" ca="1" si="3"/>
        <v/>
      </c>
      <c r="T18" s="15" t="str">
        <f t="shared" ca="1" si="4"/>
        <v/>
      </c>
      <c r="U18" s="9" t="b">
        <f t="shared" ca="1" si="5"/>
        <v>0</v>
      </c>
    </row>
    <row r="19" spans="1:21">
      <c r="A19" s="4" t="s">
        <v>57</v>
      </c>
      <c r="E19" s="14" t="str">
        <f t="shared" si="14"/>
        <v>col. *</v>
      </c>
      <c r="F19" s="10" t="e">
        <f t="shared" ca="1" si="11"/>
        <v>#N/A</v>
      </c>
      <c r="G19" s="13" t="e">
        <f t="shared" ref="G19:G23" ca="1" si="15">MATCH(E19,INDIRECT(F19),0)</f>
        <v>#N/A</v>
      </c>
      <c r="H19" s="13" t="e">
        <f ca="1">SUM(G$14:G19)</f>
        <v>#N/A</v>
      </c>
      <c r="I19" s="13" t="str">
        <f t="shared" ca="1" si="12"/>
        <v/>
      </c>
      <c r="J19" s="11" t="str">
        <f t="shared" ca="1" si="13"/>
        <v>039</v>
      </c>
      <c r="K19" s="10"/>
      <c r="L19" s="10">
        <f t="shared" si="0"/>
        <v>16</v>
      </c>
      <c r="M19" s="10">
        <f t="shared" si="6"/>
        <v>0</v>
      </c>
      <c r="N19" s="15" t="str">
        <f t="shared" ca="1" si="1"/>
        <v/>
      </c>
      <c r="O19" s="15" t="str">
        <f t="shared" ca="1" si="2"/>
        <v/>
      </c>
      <c r="P19" s="15" t="str">
        <f t="shared" ca="1" si="2"/>
        <v/>
      </c>
      <c r="Q19" s="15" t="str">
        <f t="shared" ca="1" si="7"/>
        <v/>
      </c>
      <c r="R19" s="16"/>
      <c r="S19" s="15" t="str">
        <f t="shared" ca="1" si="3"/>
        <v/>
      </c>
      <c r="T19" s="15" t="str">
        <f t="shared" ca="1" si="4"/>
        <v/>
      </c>
      <c r="U19" s="9" t="b">
        <f t="shared" ca="1" si="5"/>
        <v>0</v>
      </c>
    </row>
    <row r="20" spans="1:21">
      <c r="A20" s="4" t="s">
        <v>58</v>
      </c>
      <c r="E20" s="14" t="str">
        <f t="shared" si="14"/>
        <v>col. *</v>
      </c>
      <c r="F20" s="10" t="e">
        <f t="shared" ca="1" si="11"/>
        <v>#N/A</v>
      </c>
      <c r="G20" s="13" t="e">
        <f t="shared" ca="1" si="15"/>
        <v>#N/A</v>
      </c>
      <c r="H20" s="13" t="e">
        <f ca="1">SUM(G$14:G20)</f>
        <v>#N/A</v>
      </c>
      <c r="I20" s="13" t="str">
        <f t="shared" ca="1" si="12"/>
        <v/>
      </c>
      <c r="J20" s="11" t="str">
        <f t="shared" ca="1" si="13"/>
        <v>055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9"/>
    </row>
    <row r="21" spans="1:21">
      <c r="E21" s="14" t="str">
        <f t="shared" si="14"/>
        <v>col. *</v>
      </c>
      <c r="F21" s="10" t="e">
        <f t="shared" ca="1" si="11"/>
        <v>#N/A</v>
      </c>
      <c r="G21" s="13" t="e">
        <f t="shared" ca="1" si="15"/>
        <v>#N/A</v>
      </c>
      <c r="H21" s="13" t="e">
        <f ca="1">SUM(G$14:G21)</f>
        <v>#N/A</v>
      </c>
      <c r="I21" s="13" t="str">
        <f t="shared" ca="1" si="12"/>
        <v/>
      </c>
      <c r="J21" s="11" t="str">
        <f t="shared" ca="1" si="13"/>
        <v xml:space="preserve"> 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9"/>
    </row>
    <row r="22" spans="1:21">
      <c r="E22" s="14" t="str">
        <f t="shared" si="14"/>
        <v>col. *</v>
      </c>
      <c r="F22" s="10" t="e">
        <f t="shared" ca="1" si="11"/>
        <v>#N/A</v>
      </c>
      <c r="G22" s="13" t="e">
        <f t="shared" ca="1" si="15"/>
        <v>#N/A</v>
      </c>
      <c r="H22" s="13" t="e">
        <f ca="1">SUM(G$14:G22)</f>
        <v>#N/A</v>
      </c>
      <c r="I22" s="13" t="str">
        <f t="shared" ca="1" si="12"/>
        <v/>
      </c>
      <c r="J22" s="11" t="str">
        <f t="shared" ca="1" si="13"/>
        <v/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9"/>
    </row>
    <row r="23" spans="1:21">
      <c r="E23" s="14" t="str">
        <f t="shared" si="14"/>
        <v>col. *</v>
      </c>
      <c r="F23" s="10" t="e">
        <f t="shared" ca="1" si="11"/>
        <v>#N/A</v>
      </c>
      <c r="G23" s="13" t="e">
        <f t="shared" ca="1" si="15"/>
        <v>#N/A</v>
      </c>
      <c r="H23" s="13" t="e">
        <f ca="1">SUM(G$14:G23)</f>
        <v>#N/A</v>
      </c>
      <c r="I23" s="13" t="str">
        <f t="shared" ca="1" si="12"/>
        <v/>
      </c>
      <c r="J23" s="11" t="str">
        <f t="shared" ca="1" si="13"/>
        <v/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9"/>
    </row>
    <row r="24" spans="1:21">
      <c r="E24" s="12"/>
      <c r="F24" s="10"/>
      <c r="G24" s="10"/>
      <c r="H24" s="10"/>
      <c r="I24" s="10"/>
      <c r="J24" s="11" t="str">
        <f t="shared" ca="1" si="13"/>
        <v/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9"/>
    </row>
    <row r="25" spans="1:21">
      <c r="E25" s="12"/>
      <c r="F25" s="10"/>
      <c r="G25" s="10"/>
      <c r="H25" s="10"/>
      <c r="I25" s="10"/>
      <c r="J25" s="11" t="str">
        <f t="shared" ca="1" si="13"/>
        <v/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9"/>
    </row>
    <row r="26" spans="1:21">
      <c r="E26" s="12"/>
      <c r="F26" s="10"/>
      <c r="G26" s="10"/>
      <c r="H26" s="10"/>
      <c r="I26" s="10"/>
      <c r="J26" s="11" t="str">
        <f t="shared" ca="1" si="13"/>
        <v/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9"/>
    </row>
    <row r="27" spans="1:21">
      <c r="A27" s="3" t="s">
        <v>59</v>
      </c>
      <c r="E27" s="12"/>
      <c r="F27" s="10"/>
      <c r="H27" s="10"/>
      <c r="I27" s="10"/>
      <c r="J27" s="11" t="str">
        <f t="shared" ca="1" si="13"/>
        <v/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9"/>
    </row>
    <row r="28" spans="1:21">
      <c r="A28" s="3" t="s">
        <v>60</v>
      </c>
      <c r="E28" s="12"/>
      <c r="F28" s="10"/>
      <c r="G28" s="10"/>
      <c r="H28" s="10"/>
      <c r="I28" s="10"/>
      <c r="J28" s="11" t="str">
        <f t="shared" ca="1" si="13"/>
        <v/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9"/>
    </row>
    <row r="29" spans="1:21" ht="15" thickBot="1">
      <c r="A29" s="3" t="s">
        <v>61</v>
      </c>
      <c r="E29" s="8"/>
      <c r="F29" s="6"/>
      <c r="G29" s="6"/>
      <c r="H29" s="6"/>
      <c r="I29" s="6"/>
      <c r="J29" s="7" t="str">
        <f t="shared" ca="1" si="13"/>
        <v/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5"/>
    </row>
    <row r="30" spans="1:21" ht="15" thickTop="1"/>
    <row r="39" spans="1:1">
      <c r="A39" s="3" t="s">
        <v>62</v>
      </c>
    </row>
    <row r="40" spans="1:1">
      <c r="A40" s="3" t="s">
        <v>63</v>
      </c>
    </row>
    <row r="41" spans="1:1">
      <c r="A41" s="3" t="s">
        <v>64</v>
      </c>
    </row>
    <row r="52" spans="1:1">
      <c r="A52" s="3" t="s">
        <v>65</v>
      </c>
    </row>
    <row r="53" spans="1:1">
      <c r="A53" s="3" t="s">
        <v>66</v>
      </c>
    </row>
    <row r="54" spans="1:1">
      <c r="A54" s="3" t="s">
        <v>67</v>
      </c>
    </row>
    <row r="75" spans="1:1">
      <c r="A75" s="2" t="s">
        <v>68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A1:U93"/>
  <sheetViews>
    <sheetView topLeftCell="B1" zoomScale="90" zoomScaleNormal="90" zoomScalePageLayoutView="90" workbookViewId="0">
      <selection activeCell="R4" sqref="R4"/>
    </sheetView>
  </sheetViews>
  <sheetFormatPr baseColWidth="10" defaultRowHeight="14" x14ac:dyDescent="0"/>
  <cols>
    <col min="12" max="13" width="4.6640625" customWidth="1"/>
    <col min="14" max="14" width="21.5" customWidth="1"/>
    <col min="16" max="16" width="7.33203125" customWidth="1"/>
    <col min="17" max="17" width="5.33203125" customWidth="1"/>
    <col min="18" max="18" width="15.83203125" customWidth="1"/>
  </cols>
  <sheetData>
    <row r="1" spans="5:21" ht="15" thickBot="1"/>
    <row r="2" spans="5:21" ht="15" thickTop="1">
      <c r="E2" s="34" t="s">
        <v>34</v>
      </c>
      <c r="F2" s="32">
        <v>2</v>
      </c>
      <c r="G2" s="32"/>
      <c r="H2" s="32"/>
      <c r="I2" s="32" t="str">
        <f>INDEX(A:A,MATCH("*.",A:A,0))</f>
        <v>orologi watches 53.</v>
      </c>
      <c r="J2" s="33"/>
      <c r="K2" s="32"/>
      <c r="L2" s="32" t="s">
        <v>33</v>
      </c>
      <c r="M2" s="32" t="s">
        <v>32</v>
      </c>
      <c r="N2" s="32"/>
      <c r="O2" s="32"/>
      <c r="P2" s="32"/>
      <c r="Q2" s="32"/>
      <c r="R2" s="32"/>
      <c r="S2" s="32"/>
      <c r="T2" s="32"/>
      <c r="U2" s="31"/>
    </row>
    <row r="3" spans="5:21">
      <c r="E3" s="30" t="s">
        <v>31</v>
      </c>
      <c r="F3" s="29" t="e">
        <f>MATCH(E3,$A:$A,0)</f>
        <v>#N/A</v>
      </c>
      <c r="G3" s="28" t="e">
        <f>INDEX($A:$A,F3)</f>
        <v>#N/A</v>
      </c>
      <c r="J3" s="19"/>
      <c r="K3" s="10"/>
      <c r="L3" s="10"/>
      <c r="M3" s="10"/>
      <c r="N3" s="27" t="s">
        <v>30</v>
      </c>
      <c r="O3" s="27" t="s">
        <v>23</v>
      </c>
      <c r="P3" s="27" t="s">
        <v>22</v>
      </c>
      <c r="Q3" s="27" t="s">
        <v>18</v>
      </c>
      <c r="R3" s="26" t="s">
        <v>29</v>
      </c>
      <c r="S3" s="26" t="s">
        <v>28</v>
      </c>
      <c r="T3" s="26" t="s">
        <v>27</v>
      </c>
      <c r="U3" s="25" t="s">
        <v>26</v>
      </c>
    </row>
    <row r="4" spans="5:21">
      <c r="E4" s="12"/>
      <c r="F4" s="10" t="s">
        <v>25</v>
      </c>
      <c r="G4" s="1" t="str">
        <f>IF(ISERROR(H4),I4,H4)</f>
        <v>53</v>
      </c>
      <c r="H4" t="e">
        <f>MID(G3,1,F2)</f>
        <v>#N/A</v>
      </c>
      <c r="I4" t="str">
        <f>MID(I2,LEN(I2)-F2,F2)</f>
        <v>53</v>
      </c>
      <c r="J4" s="19"/>
      <c r="K4" s="10"/>
      <c r="L4" s="10">
        <f t="shared" ref="L4:L19" si="0">L3+1</f>
        <v>1</v>
      </c>
      <c r="M4" s="10">
        <f>M3</f>
        <v>0</v>
      </c>
      <c r="N4" s="15" t="str">
        <f t="shared" ref="N4:N19" ca="1" si="1">IF($U4, O4 &amp; " " &amp; P4 &amp; " " &amp; Q4,"")</f>
        <v>OCLKS107 SIS01 008</v>
      </c>
      <c r="O4" s="15" t="str">
        <f t="shared" ref="O4:P19" ca="1" si="2">IF($U4, INDEX(J$7:J$9,$M4+1), "")</f>
        <v>OCLKS107</v>
      </c>
      <c r="P4" s="15" t="str">
        <f t="shared" ca="1" si="2"/>
        <v>SIS01</v>
      </c>
      <c r="Q4" s="15" t="str">
        <f ca="1">J14</f>
        <v>008</v>
      </c>
      <c r="R4" s="16"/>
      <c r="S4" s="15" t="e">
        <f t="shared" ref="S4:S19" ca="1" si="3">IF($U4, $G$5, "")</f>
        <v>#N/A</v>
      </c>
      <c r="T4" s="15" t="str">
        <f t="shared" ref="T4:T19" ca="1" si="4">IF($U4, $G$4, "")</f>
        <v>53</v>
      </c>
      <c r="U4" s="9" t="b">
        <f t="shared" ref="U4:U19" ca="1" si="5">AND(TRIM(Q4)&lt;&gt;"", Q4&lt;&gt;0)</f>
        <v>1</v>
      </c>
    </row>
    <row r="5" spans="5:21">
      <c r="E5" s="12"/>
      <c r="F5" s="10" t="s">
        <v>24</v>
      </c>
      <c r="G5" s="10" t="e">
        <f>MID(G3,9+F2,50)</f>
        <v>#N/A</v>
      </c>
      <c r="H5" s="10"/>
      <c r="I5" s="10"/>
      <c r="J5" s="19"/>
      <c r="K5" s="10"/>
      <c r="L5" s="10">
        <f t="shared" si="0"/>
        <v>2</v>
      </c>
      <c r="M5" s="10">
        <f t="shared" ref="M5:M19" si="6">M4</f>
        <v>0</v>
      </c>
      <c r="N5" s="15" t="str">
        <f t="shared" ca="1" si="1"/>
        <v>OCLKS107 SIS01 059</v>
      </c>
      <c r="O5" s="15" t="str">
        <f t="shared" ca="1" si="2"/>
        <v>OCLKS107</v>
      </c>
      <c r="P5" s="15" t="str">
        <f t="shared" ca="1" si="2"/>
        <v>SIS01</v>
      </c>
      <c r="Q5" s="15" t="str">
        <f t="shared" ref="Q5:Q19" ca="1" si="7">J15</f>
        <v>059</v>
      </c>
      <c r="R5" s="16"/>
      <c r="S5" s="15" t="e">
        <f t="shared" ca="1" si="3"/>
        <v>#N/A</v>
      </c>
      <c r="T5" s="15" t="str">
        <f t="shared" ca="1" si="4"/>
        <v>53</v>
      </c>
      <c r="U5" s="9" t="b">
        <f t="shared" ca="1" si="5"/>
        <v>1</v>
      </c>
    </row>
    <row r="6" spans="5:21">
      <c r="E6" s="12"/>
      <c r="F6" s="10"/>
      <c r="G6" s="10"/>
      <c r="H6" s="10"/>
      <c r="I6" s="10"/>
      <c r="J6" s="24" t="s">
        <v>23</v>
      </c>
      <c r="K6" s="23" t="s">
        <v>22</v>
      </c>
      <c r="L6" s="10">
        <f t="shared" si="0"/>
        <v>3</v>
      </c>
      <c r="M6" s="10">
        <f t="shared" si="6"/>
        <v>0</v>
      </c>
      <c r="N6" s="15" t="str">
        <f t="shared" ca="1" si="1"/>
        <v>OCLKS107 SIS01 071</v>
      </c>
      <c r="O6" s="15" t="str">
        <f t="shared" ca="1" si="2"/>
        <v>OCLKS107</v>
      </c>
      <c r="P6" s="15" t="str">
        <f t="shared" ca="1" si="2"/>
        <v>SIS01</v>
      </c>
      <c r="Q6" s="15" t="str">
        <f t="shared" ca="1" si="7"/>
        <v>071</v>
      </c>
      <c r="R6" s="16"/>
      <c r="S6" s="15" t="e">
        <f t="shared" ca="1" si="3"/>
        <v>#N/A</v>
      </c>
      <c r="T6" s="15" t="str">
        <f t="shared" ca="1" si="4"/>
        <v>53</v>
      </c>
      <c r="U6" s="9" t="b">
        <f t="shared" ca="1" si="5"/>
        <v>1</v>
      </c>
    </row>
    <row r="7" spans="5:21">
      <c r="E7" s="22" t="s">
        <v>21</v>
      </c>
      <c r="F7" s="10" t="str">
        <f t="shared" ref="F7:F9" si="8">"$A"&amp;H6+1&amp;":$A1000"</f>
        <v>$A1:$A1000</v>
      </c>
      <c r="G7" s="21">
        <f t="shared" ref="G7:G9" ca="1" si="9">MATCH(E7,INDIRECT(F7),0)</f>
        <v>31</v>
      </c>
      <c r="H7" s="21">
        <f ca="1">SUM(G$7:G7)</f>
        <v>31</v>
      </c>
      <c r="I7" s="21" t="str">
        <f t="shared" ref="I7:I9" ca="1" si="10">IF(ISERROR(H7),"",TRIM(INDEX(INDIRECT("A:A"),H7)))</f>
        <v>code OCLKS107 SIS01</v>
      </c>
      <c r="J7" s="20" t="str">
        <f ca="1">MID($I7,6,8)</f>
        <v>OCLKS107</v>
      </c>
      <c r="K7" s="20" t="str">
        <f ca="1">MID($I7,15,30)</f>
        <v>SIS01</v>
      </c>
      <c r="L7" s="10">
        <f t="shared" si="0"/>
        <v>4</v>
      </c>
      <c r="M7" s="10">
        <f t="shared" si="6"/>
        <v>0</v>
      </c>
      <c r="N7" s="15" t="str">
        <f t="shared" ca="1" si="1"/>
        <v>OCLKS107 SIS01 041</v>
      </c>
      <c r="O7" s="15" t="str">
        <f t="shared" ca="1" si="2"/>
        <v>OCLKS107</v>
      </c>
      <c r="P7" s="15" t="str">
        <f t="shared" ca="1" si="2"/>
        <v>SIS01</v>
      </c>
      <c r="Q7" s="15" t="str">
        <f t="shared" ca="1" si="7"/>
        <v>041</v>
      </c>
      <c r="R7" s="16"/>
      <c r="S7" s="15" t="e">
        <f t="shared" ca="1" si="3"/>
        <v>#N/A</v>
      </c>
      <c r="T7" s="15" t="str">
        <f t="shared" ca="1" si="4"/>
        <v>53</v>
      </c>
      <c r="U7" s="9" t="b">
        <f t="shared" ca="1" si="5"/>
        <v>1</v>
      </c>
    </row>
    <row r="8" spans="5:21">
      <c r="E8" s="22" t="s">
        <v>21</v>
      </c>
      <c r="F8" s="10" t="str">
        <f t="shared" ca="1" si="8"/>
        <v>$A32:$A1000</v>
      </c>
      <c r="G8" s="21" t="e">
        <f t="shared" ca="1" si="9"/>
        <v>#N/A</v>
      </c>
      <c r="H8" s="21" t="e">
        <f ca="1">SUM(G$7:G8)</f>
        <v>#N/A</v>
      </c>
      <c r="I8" s="21" t="str">
        <f t="shared" ca="1" si="10"/>
        <v/>
      </c>
      <c r="J8" s="20" t="str">
        <f ca="1">MID($I8,6,8)</f>
        <v/>
      </c>
      <c r="K8" s="20" t="str">
        <f ca="1">MID($I8,15,30)</f>
        <v/>
      </c>
      <c r="L8" s="10">
        <f t="shared" si="0"/>
        <v>5</v>
      </c>
      <c r="M8" s="10">
        <f t="shared" si="6"/>
        <v>0</v>
      </c>
      <c r="N8" s="15" t="str">
        <f t="shared" ca="1" si="1"/>
        <v>OCLKS107 SIS01 055</v>
      </c>
      <c r="O8" s="15" t="str">
        <f t="shared" ca="1" si="2"/>
        <v>OCLKS107</v>
      </c>
      <c r="P8" s="15" t="str">
        <f t="shared" ca="1" si="2"/>
        <v>SIS01</v>
      </c>
      <c r="Q8" s="15" t="str">
        <f t="shared" ca="1" si="7"/>
        <v>055</v>
      </c>
      <c r="R8" s="16"/>
      <c r="S8" s="15" t="e">
        <f t="shared" ca="1" si="3"/>
        <v>#N/A</v>
      </c>
      <c r="T8" s="15" t="str">
        <f t="shared" ca="1" si="4"/>
        <v>53</v>
      </c>
      <c r="U8" s="9" t="b">
        <f t="shared" ca="1" si="5"/>
        <v>1</v>
      </c>
    </row>
    <row r="9" spans="5:21">
      <c r="E9" s="22" t="s">
        <v>21</v>
      </c>
      <c r="F9" s="10" t="e">
        <f t="shared" ca="1" si="8"/>
        <v>#N/A</v>
      </c>
      <c r="G9" s="21" t="e">
        <f t="shared" ca="1" si="9"/>
        <v>#N/A</v>
      </c>
      <c r="H9" s="21" t="e">
        <f ca="1">SUM(G$7:G9)</f>
        <v>#N/A</v>
      </c>
      <c r="I9" s="21" t="str">
        <f t="shared" ca="1" si="10"/>
        <v/>
      </c>
      <c r="J9" s="20" t="str">
        <f ca="1">MID($I9,6,8)</f>
        <v/>
      </c>
      <c r="K9" s="20" t="str">
        <f ca="1">MID($I9,15,30)</f>
        <v/>
      </c>
      <c r="L9" s="10">
        <f t="shared" si="0"/>
        <v>6</v>
      </c>
      <c r="M9" s="10">
        <f t="shared" si="6"/>
        <v>0</v>
      </c>
      <c r="N9" s="15" t="str">
        <f t="shared" ca="1" si="1"/>
        <v/>
      </c>
      <c r="O9" s="15" t="str">
        <f t="shared" ca="1" si="2"/>
        <v/>
      </c>
      <c r="P9" s="15" t="str">
        <f t="shared" ca="1" si="2"/>
        <v/>
      </c>
      <c r="Q9" s="15" t="str">
        <f t="shared" ca="1" si="7"/>
        <v xml:space="preserve">  </v>
      </c>
      <c r="R9" s="16"/>
      <c r="S9" s="15" t="str">
        <f t="shared" ca="1" si="3"/>
        <v/>
      </c>
      <c r="T9" s="15" t="str">
        <f t="shared" ca="1" si="4"/>
        <v/>
      </c>
      <c r="U9" s="9" t="b">
        <f t="shared" ca="1" si="5"/>
        <v>0</v>
      </c>
    </row>
    <row r="10" spans="5:21">
      <c r="E10" s="12"/>
      <c r="F10" s="10"/>
      <c r="G10" s="10"/>
      <c r="H10" s="10"/>
      <c r="I10" s="10"/>
      <c r="J10" s="19"/>
      <c r="K10" s="10"/>
      <c r="L10" s="10">
        <f t="shared" si="0"/>
        <v>7</v>
      </c>
      <c r="M10" s="10">
        <f t="shared" si="6"/>
        <v>0</v>
      </c>
      <c r="N10" s="15" t="str">
        <f t="shared" ca="1" si="1"/>
        <v/>
      </c>
      <c r="O10" s="15" t="str">
        <f t="shared" ca="1" si="2"/>
        <v/>
      </c>
      <c r="P10" s="15" t="str">
        <f t="shared" ca="1" si="2"/>
        <v/>
      </c>
      <c r="Q10" s="15" t="str">
        <f t="shared" ca="1" si="7"/>
        <v/>
      </c>
      <c r="R10" s="16"/>
      <c r="S10" s="15" t="str">
        <f t="shared" ca="1" si="3"/>
        <v/>
      </c>
      <c r="T10" s="15" t="str">
        <f t="shared" ca="1" si="4"/>
        <v/>
      </c>
      <c r="U10" s="9" t="b">
        <f t="shared" ca="1" si="5"/>
        <v>0</v>
      </c>
    </row>
    <row r="11" spans="5:21">
      <c r="E11" s="12"/>
      <c r="F11" s="10" t="s">
        <v>20</v>
      </c>
      <c r="G11" s="10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008 col. 059 col. 071 col. 041 col. 055        </v>
      </c>
      <c r="H11" s="10"/>
      <c r="I11" s="10"/>
      <c r="J11" s="19"/>
      <c r="K11" s="10"/>
      <c r="L11" s="10">
        <f t="shared" si="0"/>
        <v>8</v>
      </c>
      <c r="M11" s="10">
        <f t="shared" si="6"/>
        <v>0</v>
      </c>
      <c r="N11" s="15" t="str">
        <f t="shared" ca="1" si="1"/>
        <v/>
      </c>
      <c r="O11" s="15" t="str">
        <f t="shared" ca="1" si="2"/>
        <v/>
      </c>
      <c r="P11" s="15" t="str">
        <f t="shared" ca="1" si="2"/>
        <v/>
      </c>
      <c r="Q11" s="15" t="str">
        <f t="shared" ca="1" si="7"/>
        <v/>
      </c>
      <c r="R11" s="16"/>
      <c r="S11" s="15" t="str">
        <f t="shared" ca="1" si="3"/>
        <v/>
      </c>
      <c r="T11" s="15" t="str">
        <f t="shared" ca="1" si="4"/>
        <v/>
      </c>
      <c r="U11" s="9" t="b">
        <f t="shared" ca="1" si="5"/>
        <v>0</v>
      </c>
    </row>
    <row r="12" spans="5:21">
      <c r="E12" s="12"/>
      <c r="F12" s="10"/>
      <c r="G12" s="10"/>
      <c r="H12" s="10"/>
      <c r="I12" s="10"/>
      <c r="J12" s="19"/>
      <c r="K12" s="10"/>
      <c r="L12" s="10">
        <f t="shared" si="0"/>
        <v>9</v>
      </c>
      <c r="M12" s="10">
        <f t="shared" si="6"/>
        <v>0</v>
      </c>
      <c r="N12" s="15" t="str">
        <f t="shared" ca="1" si="1"/>
        <v/>
      </c>
      <c r="O12" s="15" t="str">
        <f t="shared" ca="1" si="2"/>
        <v/>
      </c>
      <c r="P12" s="15" t="str">
        <f t="shared" ca="1" si="2"/>
        <v/>
      </c>
      <c r="Q12" s="15" t="str">
        <f t="shared" ca="1" si="7"/>
        <v/>
      </c>
      <c r="R12" s="16"/>
      <c r="S12" s="15" t="str">
        <f t="shared" ca="1" si="3"/>
        <v/>
      </c>
      <c r="T12" s="15" t="str">
        <f t="shared" ca="1" si="4"/>
        <v/>
      </c>
      <c r="U12" s="9" t="b">
        <f t="shared" ca="1" si="5"/>
        <v>0</v>
      </c>
    </row>
    <row r="13" spans="5:21">
      <c r="E13" s="12"/>
      <c r="F13" s="10"/>
      <c r="G13" s="10"/>
      <c r="H13" s="10"/>
      <c r="I13" s="10"/>
      <c r="J13" s="17" t="s">
        <v>18</v>
      </c>
      <c r="K13" s="10"/>
      <c r="L13" s="10">
        <f t="shared" si="0"/>
        <v>10</v>
      </c>
      <c r="M13" s="10">
        <f t="shared" si="6"/>
        <v>0</v>
      </c>
      <c r="N13" s="15" t="str">
        <f t="shared" ca="1" si="1"/>
        <v/>
      </c>
      <c r="O13" s="15" t="str">
        <f t="shared" ca="1" si="2"/>
        <v/>
      </c>
      <c r="P13" s="15" t="str">
        <f t="shared" ca="1" si="2"/>
        <v/>
      </c>
      <c r="Q13" s="15" t="str">
        <f t="shared" ca="1" si="7"/>
        <v/>
      </c>
      <c r="R13" s="16"/>
      <c r="S13" s="15" t="str">
        <f t="shared" ca="1" si="3"/>
        <v/>
      </c>
      <c r="T13" s="15" t="str">
        <f t="shared" ca="1" si="4"/>
        <v/>
      </c>
      <c r="U13" s="9" t="b">
        <f t="shared" ca="1" si="5"/>
        <v>0</v>
      </c>
    </row>
    <row r="14" spans="5:21">
      <c r="E14" s="14" t="s">
        <v>17</v>
      </c>
      <c r="F14" s="10" t="str">
        <f t="shared" ref="F14:F23" si="11">"$A"&amp;H13+1&amp;":$A1000"</f>
        <v>$A1:$A1000</v>
      </c>
      <c r="G14" s="13">
        <f ca="1">MATCH(E14,INDIRECT(F14),0)</f>
        <v>32</v>
      </c>
      <c r="H14" s="13">
        <f ca="1">SUM(G$14:G14)</f>
        <v>32</v>
      </c>
      <c r="I14" s="13" t="str">
        <f t="shared" ref="I14:I23" ca="1" si="12">IF(ISERROR(H14),"",TRIM(INDEX(INDIRECT("A:A"),H14)))</f>
        <v>col. 008 col. 059 col. 071</v>
      </c>
      <c r="J14" s="11" t="str">
        <f t="shared" ref="J14:J29" ca="1" si="13">MID($G$11,6+9*(ROW(J14)-ROW(J$14)),3)</f>
        <v>008</v>
      </c>
      <c r="K14" s="10"/>
      <c r="L14" s="10">
        <f t="shared" si="0"/>
        <v>11</v>
      </c>
      <c r="M14" s="10">
        <f t="shared" si="6"/>
        <v>0</v>
      </c>
      <c r="N14" s="15" t="str">
        <f t="shared" ca="1" si="1"/>
        <v/>
      </c>
      <c r="O14" s="15" t="str">
        <f t="shared" ca="1" si="2"/>
        <v/>
      </c>
      <c r="P14" s="15" t="str">
        <f t="shared" ca="1" si="2"/>
        <v/>
      </c>
      <c r="Q14" s="15" t="str">
        <f t="shared" ca="1" si="7"/>
        <v/>
      </c>
      <c r="R14" s="16"/>
      <c r="S14" s="15" t="str">
        <f t="shared" ca="1" si="3"/>
        <v/>
      </c>
      <c r="T14" s="15" t="str">
        <f t="shared" ca="1" si="4"/>
        <v/>
      </c>
      <c r="U14" s="9" t="b">
        <f t="shared" ca="1" si="5"/>
        <v>0</v>
      </c>
    </row>
    <row r="15" spans="5:21">
      <c r="E15" s="14" t="str">
        <f>E14</f>
        <v>col. *</v>
      </c>
      <c r="F15" s="10" t="str">
        <f t="shared" ca="1" si="11"/>
        <v>$A33:$A1000</v>
      </c>
      <c r="G15" s="13">
        <f ca="1">MATCH(E15,INDIRECT(F15),0)</f>
        <v>43</v>
      </c>
      <c r="H15" s="13">
        <f ca="1">SUM(G$14:G15)</f>
        <v>75</v>
      </c>
      <c r="I15" s="13" t="str">
        <f t="shared" ca="1" si="12"/>
        <v>col. 041 col. 055</v>
      </c>
      <c r="J15" s="11" t="str">
        <f t="shared" ca="1" si="13"/>
        <v>059</v>
      </c>
      <c r="K15" s="10"/>
      <c r="L15" s="10">
        <f t="shared" si="0"/>
        <v>12</v>
      </c>
      <c r="M15" s="10">
        <f t="shared" si="6"/>
        <v>0</v>
      </c>
      <c r="N15" s="15" t="str">
        <f t="shared" ca="1" si="1"/>
        <v/>
      </c>
      <c r="O15" s="15" t="str">
        <f t="shared" ca="1" si="2"/>
        <v/>
      </c>
      <c r="P15" s="15" t="str">
        <f t="shared" ca="1" si="2"/>
        <v/>
      </c>
      <c r="Q15" s="15" t="str">
        <f t="shared" ca="1" si="7"/>
        <v/>
      </c>
      <c r="R15" s="16"/>
      <c r="S15" s="15" t="str">
        <f t="shared" ca="1" si="3"/>
        <v/>
      </c>
      <c r="T15" s="15" t="str">
        <f t="shared" ca="1" si="4"/>
        <v/>
      </c>
      <c r="U15" s="9" t="b">
        <f t="shared" ca="1" si="5"/>
        <v>0</v>
      </c>
    </row>
    <row r="16" spans="5:21">
      <c r="E16" s="14" t="str">
        <f t="shared" ref="E16:E23" si="14">E15</f>
        <v>col. *</v>
      </c>
      <c r="F16" s="10" t="str">
        <f t="shared" ca="1" si="11"/>
        <v>$A76:$A1000</v>
      </c>
      <c r="G16" s="13" t="e">
        <f ca="1">MATCH(E16,INDIRECT(F16),0)</f>
        <v>#N/A</v>
      </c>
      <c r="H16" s="13" t="e">
        <f ca="1">SUM(G$14:G16)</f>
        <v>#N/A</v>
      </c>
      <c r="I16" s="13" t="str">
        <f t="shared" ca="1" si="12"/>
        <v/>
      </c>
      <c r="J16" s="11" t="str">
        <f t="shared" ca="1" si="13"/>
        <v>071</v>
      </c>
      <c r="K16" s="10"/>
      <c r="L16" s="10">
        <f t="shared" si="0"/>
        <v>13</v>
      </c>
      <c r="M16" s="10">
        <f t="shared" si="6"/>
        <v>0</v>
      </c>
      <c r="N16" s="15" t="str">
        <f t="shared" ca="1" si="1"/>
        <v/>
      </c>
      <c r="O16" s="15" t="str">
        <f t="shared" ca="1" si="2"/>
        <v/>
      </c>
      <c r="P16" s="15" t="str">
        <f t="shared" ca="1" si="2"/>
        <v/>
      </c>
      <c r="Q16" s="15" t="str">
        <f t="shared" ca="1" si="7"/>
        <v/>
      </c>
      <c r="R16" s="16"/>
      <c r="S16" s="15" t="str">
        <f t="shared" ca="1" si="3"/>
        <v/>
      </c>
      <c r="T16" s="15" t="str">
        <f t="shared" ca="1" si="4"/>
        <v/>
      </c>
      <c r="U16" s="9" t="b">
        <f t="shared" ca="1" si="5"/>
        <v>0</v>
      </c>
    </row>
    <row r="17" spans="1:21">
      <c r="E17" s="14" t="str">
        <f t="shared" si="14"/>
        <v>col. *</v>
      </c>
      <c r="F17" s="10" t="e">
        <f t="shared" ca="1" si="11"/>
        <v>#N/A</v>
      </c>
      <c r="G17" s="13" t="e">
        <f ca="1">MATCH(E17,INDIRECT(F17),0)</f>
        <v>#N/A</v>
      </c>
      <c r="H17" s="13" t="e">
        <f ca="1">SUM(G$14:G17)</f>
        <v>#N/A</v>
      </c>
      <c r="I17" s="13" t="str">
        <f t="shared" ca="1" si="12"/>
        <v/>
      </c>
      <c r="J17" s="11" t="str">
        <f t="shared" ca="1" si="13"/>
        <v>041</v>
      </c>
      <c r="K17" s="10"/>
      <c r="L17" s="10">
        <f t="shared" si="0"/>
        <v>14</v>
      </c>
      <c r="M17" s="10">
        <f t="shared" si="6"/>
        <v>0</v>
      </c>
      <c r="N17" s="15" t="str">
        <f t="shared" ca="1" si="1"/>
        <v/>
      </c>
      <c r="O17" s="15" t="str">
        <f t="shared" ca="1" si="2"/>
        <v/>
      </c>
      <c r="P17" s="15" t="str">
        <f t="shared" ca="1" si="2"/>
        <v/>
      </c>
      <c r="Q17" s="15" t="str">
        <f t="shared" ca="1" si="7"/>
        <v/>
      </c>
      <c r="R17" s="16"/>
      <c r="S17" s="15" t="str">
        <f t="shared" ca="1" si="3"/>
        <v/>
      </c>
      <c r="T17" s="15" t="str">
        <f t="shared" ca="1" si="4"/>
        <v/>
      </c>
      <c r="U17" s="9" t="b">
        <f t="shared" ca="1" si="5"/>
        <v>0</v>
      </c>
    </row>
    <row r="18" spans="1:21" ht="21">
      <c r="A18" s="35" t="s">
        <v>69</v>
      </c>
      <c r="E18" s="14" t="str">
        <f t="shared" si="14"/>
        <v>col. *</v>
      </c>
      <c r="F18" s="10" t="e">
        <f t="shared" ca="1" si="11"/>
        <v>#N/A</v>
      </c>
      <c r="G18" s="13" t="e">
        <f ca="1">MATCH(E18,INDIRECT(F18),0)</f>
        <v>#N/A</v>
      </c>
      <c r="H18" s="13" t="e">
        <f ca="1">SUM(G$14:G18)</f>
        <v>#N/A</v>
      </c>
      <c r="I18" s="13" t="str">
        <f t="shared" ca="1" si="12"/>
        <v/>
      </c>
      <c r="J18" s="11" t="str">
        <f t="shared" ca="1" si="13"/>
        <v>055</v>
      </c>
      <c r="K18" s="10"/>
      <c r="L18" s="10">
        <f t="shared" si="0"/>
        <v>15</v>
      </c>
      <c r="M18" s="10">
        <f t="shared" si="6"/>
        <v>0</v>
      </c>
      <c r="N18" s="15" t="str">
        <f t="shared" ca="1" si="1"/>
        <v/>
      </c>
      <c r="O18" s="15" t="str">
        <f t="shared" ca="1" si="2"/>
        <v/>
      </c>
      <c r="P18" s="15" t="str">
        <f t="shared" ca="1" si="2"/>
        <v/>
      </c>
      <c r="Q18" s="15" t="str">
        <f t="shared" ca="1" si="7"/>
        <v/>
      </c>
      <c r="R18" s="16"/>
      <c r="S18" s="15" t="str">
        <f t="shared" ca="1" si="3"/>
        <v/>
      </c>
      <c r="T18" s="15" t="str">
        <f t="shared" ca="1" si="4"/>
        <v/>
      </c>
      <c r="U18" s="9" t="b">
        <f t="shared" ca="1" si="5"/>
        <v>0</v>
      </c>
    </row>
    <row r="19" spans="1:21">
      <c r="E19" s="14" t="str">
        <f t="shared" si="14"/>
        <v>col. *</v>
      </c>
      <c r="F19" s="10" t="e">
        <f t="shared" ca="1" si="11"/>
        <v>#N/A</v>
      </c>
      <c r="G19" s="13" t="e">
        <f t="shared" ref="G19:G23" ca="1" si="15">MATCH(E19,INDIRECT(F19),0)</f>
        <v>#N/A</v>
      </c>
      <c r="H19" s="13" t="e">
        <f ca="1">SUM(G$14:G19)</f>
        <v>#N/A</v>
      </c>
      <c r="I19" s="13" t="str">
        <f t="shared" ca="1" si="12"/>
        <v/>
      </c>
      <c r="J19" s="11" t="str">
        <f t="shared" ca="1" si="13"/>
        <v xml:space="preserve">  </v>
      </c>
      <c r="K19" s="10"/>
      <c r="L19" s="10">
        <f t="shared" si="0"/>
        <v>16</v>
      </c>
      <c r="M19" s="10">
        <f t="shared" si="6"/>
        <v>0</v>
      </c>
      <c r="N19" s="15" t="str">
        <f t="shared" ca="1" si="1"/>
        <v/>
      </c>
      <c r="O19" s="15" t="str">
        <f t="shared" ca="1" si="2"/>
        <v/>
      </c>
      <c r="P19" s="15" t="str">
        <f t="shared" ca="1" si="2"/>
        <v/>
      </c>
      <c r="Q19" s="15" t="str">
        <f t="shared" ca="1" si="7"/>
        <v/>
      </c>
      <c r="R19" s="16"/>
      <c r="S19" s="15" t="str">
        <f t="shared" ca="1" si="3"/>
        <v/>
      </c>
      <c r="T19" s="15" t="str">
        <f t="shared" ca="1" si="4"/>
        <v/>
      </c>
      <c r="U19" s="9" t="b">
        <f t="shared" ca="1" si="5"/>
        <v>0</v>
      </c>
    </row>
    <row r="20" spans="1:21">
      <c r="E20" s="14" t="str">
        <f t="shared" si="14"/>
        <v>col. *</v>
      </c>
      <c r="F20" s="10" t="e">
        <f t="shared" ca="1" si="11"/>
        <v>#N/A</v>
      </c>
      <c r="G20" s="13" t="e">
        <f t="shared" ca="1" si="15"/>
        <v>#N/A</v>
      </c>
      <c r="H20" s="13" t="e">
        <f ca="1">SUM(G$14:G20)</f>
        <v>#N/A</v>
      </c>
      <c r="I20" s="13" t="str">
        <f t="shared" ca="1" si="12"/>
        <v/>
      </c>
      <c r="J20" s="11" t="str">
        <f t="shared" ca="1" si="13"/>
        <v/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9"/>
    </row>
    <row r="21" spans="1:21">
      <c r="E21" s="14" t="str">
        <f t="shared" si="14"/>
        <v>col. *</v>
      </c>
      <c r="F21" s="10" t="e">
        <f t="shared" ca="1" si="11"/>
        <v>#N/A</v>
      </c>
      <c r="G21" s="13" t="e">
        <f t="shared" ca="1" si="15"/>
        <v>#N/A</v>
      </c>
      <c r="H21" s="13" t="e">
        <f ca="1">SUM(G$14:G21)</f>
        <v>#N/A</v>
      </c>
      <c r="I21" s="13" t="str">
        <f t="shared" ca="1" si="12"/>
        <v/>
      </c>
      <c r="J21" s="11" t="str">
        <f t="shared" ca="1" si="13"/>
        <v/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9"/>
    </row>
    <row r="22" spans="1:21">
      <c r="E22" s="14" t="str">
        <f t="shared" si="14"/>
        <v>col. *</v>
      </c>
      <c r="F22" s="10" t="e">
        <f t="shared" ca="1" si="11"/>
        <v>#N/A</v>
      </c>
      <c r="G22" s="13" t="e">
        <f t="shared" ca="1" si="15"/>
        <v>#N/A</v>
      </c>
      <c r="H22" s="13" t="e">
        <f ca="1">SUM(G$14:G22)</f>
        <v>#N/A</v>
      </c>
      <c r="I22" s="13" t="str">
        <f t="shared" ca="1" si="12"/>
        <v/>
      </c>
      <c r="J22" s="11" t="str">
        <f t="shared" ca="1" si="13"/>
        <v/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9"/>
    </row>
    <row r="23" spans="1:21">
      <c r="E23" s="14" t="str">
        <f t="shared" si="14"/>
        <v>col. *</v>
      </c>
      <c r="F23" s="10" t="e">
        <f t="shared" ca="1" si="11"/>
        <v>#N/A</v>
      </c>
      <c r="G23" s="13" t="e">
        <f t="shared" ca="1" si="15"/>
        <v>#N/A</v>
      </c>
      <c r="H23" s="13" t="e">
        <f ca="1">SUM(G$14:G23)</f>
        <v>#N/A</v>
      </c>
      <c r="I23" s="13" t="str">
        <f t="shared" ca="1" si="12"/>
        <v/>
      </c>
      <c r="J23" s="11" t="str">
        <f t="shared" ca="1" si="13"/>
        <v/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9"/>
    </row>
    <row r="24" spans="1:21">
      <c r="E24" s="12"/>
      <c r="F24" s="10"/>
      <c r="G24" s="10"/>
      <c r="H24" s="10"/>
      <c r="I24" s="10"/>
      <c r="J24" s="11" t="str">
        <f t="shared" ca="1" si="13"/>
        <v/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9"/>
    </row>
    <row r="25" spans="1:21">
      <c r="E25" s="12"/>
      <c r="F25" s="10"/>
      <c r="G25" s="10"/>
      <c r="H25" s="10"/>
      <c r="I25" s="10"/>
      <c r="J25" s="11" t="str">
        <f t="shared" ca="1" si="13"/>
        <v/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9"/>
    </row>
    <row r="26" spans="1:21">
      <c r="E26" s="12"/>
      <c r="F26" s="10"/>
      <c r="G26" s="10"/>
      <c r="H26" s="10"/>
      <c r="I26" s="10"/>
      <c r="J26" s="11" t="str">
        <f t="shared" ca="1" si="13"/>
        <v/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9"/>
    </row>
    <row r="27" spans="1:21">
      <c r="E27" s="12"/>
      <c r="F27" s="10"/>
      <c r="H27" s="10"/>
      <c r="I27" s="10"/>
      <c r="J27" s="11" t="str">
        <f t="shared" ca="1" si="13"/>
        <v/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9"/>
    </row>
    <row r="28" spans="1:21">
      <c r="E28" s="12"/>
      <c r="F28" s="10"/>
      <c r="G28" s="10"/>
      <c r="H28" s="10"/>
      <c r="I28" s="10"/>
      <c r="J28" s="11" t="str">
        <f t="shared" ca="1" si="13"/>
        <v/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9"/>
    </row>
    <row r="29" spans="1:21" ht="15" thickBot="1">
      <c r="E29" s="8"/>
      <c r="F29" s="6"/>
      <c r="G29" s="6"/>
      <c r="H29" s="6"/>
      <c r="I29" s="6"/>
      <c r="J29" s="7" t="str">
        <f t="shared" ca="1" si="13"/>
        <v/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5"/>
    </row>
    <row r="30" spans="1:21" ht="15" thickTop="1"/>
    <row r="31" spans="1:21">
      <c r="A31" s="18" t="s">
        <v>70</v>
      </c>
    </row>
    <row r="32" spans="1:21">
      <c r="A32" s="3" t="s">
        <v>71</v>
      </c>
    </row>
    <row r="33" spans="1:1">
      <c r="A33" s="3" t="s">
        <v>72</v>
      </c>
    </row>
    <row r="34" spans="1:1">
      <c r="A34" s="3" t="s">
        <v>73</v>
      </c>
    </row>
    <row r="36" spans="1:1">
      <c r="A36" s="37" t="s">
        <v>74</v>
      </c>
    </row>
    <row r="42" spans="1:1">
      <c r="A42" s="37" t="s">
        <v>75</v>
      </c>
    </row>
    <row r="43" spans="1:1">
      <c r="A43" s="37" t="s">
        <v>75</v>
      </c>
    </row>
    <row r="44" spans="1:1">
      <c r="A44" s="37" t="s">
        <v>75</v>
      </c>
    </row>
    <row r="46" spans="1:1">
      <c r="A46" s="37" t="s">
        <v>76</v>
      </c>
    </row>
    <row r="47" spans="1:1">
      <c r="A47" s="3" t="s">
        <v>77</v>
      </c>
    </row>
    <row r="48" spans="1:1">
      <c r="A48" s="37" t="s">
        <v>78</v>
      </c>
    </row>
    <row r="49" spans="1:1">
      <c r="A49" s="37" t="s">
        <v>79</v>
      </c>
    </row>
    <row r="55" spans="1:1">
      <c r="A55" s="37" t="s">
        <v>80</v>
      </c>
    </row>
    <row r="56" spans="1:1">
      <c r="A56" s="37" t="s">
        <v>80</v>
      </c>
    </row>
    <row r="57" spans="1:1">
      <c r="A57" s="37" t="s">
        <v>80</v>
      </c>
    </row>
    <row r="58" spans="1:1">
      <c r="A58" s="37" t="s">
        <v>81</v>
      </c>
    </row>
    <row r="59" spans="1:1">
      <c r="A59" s="37" t="s">
        <v>82</v>
      </c>
    </row>
    <row r="60" spans="1:1">
      <c r="A60" s="37" t="s">
        <v>83</v>
      </c>
    </row>
    <row r="75" spans="1:1">
      <c r="A75" s="3" t="s">
        <v>84</v>
      </c>
    </row>
    <row r="76" spans="1:1">
      <c r="A76" s="3" t="s">
        <v>85</v>
      </c>
    </row>
    <row r="77" spans="1:1">
      <c r="A77" s="3" t="s">
        <v>86</v>
      </c>
    </row>
    <row r="79" spans="1:1">
      <c r="A79" s="37" t="s">
        <v>87</v>
      </c>
    </row>
    <row r="91" spans="1:1">
      <c r="A91" s="37" t="s">
        <v>88</v>
      </c>
    </row>
    <row r="92" spans="1:1">
      <c r="A92" s="37" t="s">
        <v>89</v>
      </c>
    </row>
    <row r="93" spans="1:1">
      <c r="A93" s="38" t="s">
        <v>90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1:U65"/>
  <sheetViews>
    <sheetView zoomScale="90" zoomScaleNormal="90" zoomScalePageLayoutView="90" workbookViewId="0">
      <selection activeCell="R4" sqref="R4"/>
    </sheetView>
  </sheetViews>
  <sheetFormatPr baseColWidth="10" defaultRowHeight="14" x14ac:dyDescent="0"/>
  <cols>
    <col min="9" max="9" width="14" style="1" bestFit="1" customWidth="1"/>
    <col min="12" max="13" width="4.6640625" customWidth="1"/>
    <col min="14" max="14" width="21.5" customWidth="1"/>
    <col min="16" max="16" width="7.33203125" customWidth="1"/>
    <col min="17" max="17" width="5.33203125" customWidth="1"/>
    <col min="18" max="18" width="15.83203125" customWidth="1"/>
  </cols>
  <sheetData>
    <row r="1" spans="1:21" ht="15" thickBot="1"/>
    <row r="2" spans="1:21" ht="15" thickTop="1">
      <c r="A2" s="37" t="s">
        <v>74</v>
      </c>
      <c r="E2" s="34" t="s">
        <v>34</v>
      </c>
      <c r="F2" s="32">
        <v>2</v>
      </c>
      <c r="G2" s="32"/>
      <c r="H2" s="32"/>
      <c r="I2" s="32" t="str">
        <f>INDEX(A:A,MATCH("*.",A:A,0))</f>
        <v>bracciali bracelets 57.</v>
      </c>
      <c r="J2" s="33"/>
      <c r="K2" s="32"/>
      <c r="L2" s="32" t="s">
        <v>33</v>
      </c>
      <c r="M2" s="32" t="s">
        <v>32</v>
      </c>
      <c r="N2" s="32"/>
      <c r="O2" s="32"/>
      <c r="P2" s="32"/>
      <c r="Q2" s="32"/>
      <c r="R2" s="32"/>
      <c r="S2" s="32"/>
      <c r="T2" s="32"/>
      <c r="U2" s="31"/>
    </row>
    <row r="3" spans="1:21">
      <c r="E3" s="30" t="s">
        <v>31</v>
      </c>
      <c r="F3" s="29" t="e">
        <f>MATCH(E3,$A:$A,0)</f>
        <v>#N/A</v>
      </c>
      <c r="G3" s="28" t="e">
        <f>INDEX($A:$A,F3)</f>
        <v>#N/A</v>
      </c>
      <c r="I3"/>
      <c r="J3" s="19"/>
      <c r="K3" s="10"/>
      <c r="L3" s="10"/>
      <c r="M3" s="10"/>
      <c r="N3" s="27" t="s">
        <v>30</v>
      </c>
      <c r="O3" s="27" t="s">
        <v>23</v>
      </c>
      <c r="P3" s="27" t="s">
        <v>22</v>
      </c>
      <c r="Q3" s="27" t="s">
        <v>18</v>
      </c>
      <c r="R3" s="26" t="s">
        <v>29</v>
      </c>
      <c r="S3" s="26" t="s">
        <v>28</v>
      </c>
      <c r="T3" s="26" t="s">
        <v>27</v>
      </c>
      <c r="U3" s="25" t="s">
        <v>26</v>
      </c>
    </row>
    <row r="4" spans="1:21">
      <c r="E4" s="12"/>
      <c r="F4" s="10" t="s">
        <v>25</v>
      </c>
      <c r="G4" s="1" t="str">
        <f>IF(ISERROR(H4),I4,H4)</f>
        <v>57</v>
      </c>
      <c r="H4" t="e">
        <f>MID(G3,1,F2)</f>
        <v>#N/A</v>
      </c>
      <c r="I4" t="str">
        <f>MID(I2,LEN(I2)-F2,F2)</f>
        <v>57</v>
      </c>
      <c r="J4" s="19"/>
      <c r="K4" s="10"/>
      <c r="L4" s="10">
        <f t="shared" ref="L4:L19" si="0">L3+1</f>
        <v>1</v>
      </c>
      <c r="M4" s="10">
        <f>M3</f>
        <v>0</v>
      </c>
      <c r="N4" s="15" t="str">
        <f t="shared" ref="N4:N19" ca="1" si="1">IF($U4, O4 &amp; " " &amp; P4 &amp; " " &amp; Q4,"")</f>
        <v>OBRCF003 SIS01 143</v>
      </c>
      <c r="O4" s="15" t="str">
        <f t="shared" ref="O4:P19" ca="1" si="2">IF($U4, INDEX(J$7:J$9,$M4+1), "")</f>
        <v>OBRCF003</v>
      </c>
      <c r="P4" s="15" t="str">
        <f t="shared" ca="1" si="2"/>
        <v>SIS01</v>
      </c>
      <c r="Q4" s="15" t="str">
        <f ca="1">J14</f>
        <v>143</v>
      </c>
      <c r="R4" s="16"/>
      <c r="S4" s="15" t="e">
        <f t="shared" ref="S4:S19" ca="1" si="3">IF($U4, $G$5, "")</f>
        <v>#N/A</v>
      </c>
      <c r="T4" s="15" t="str">
        <f t="shared" ref="T4:T19" ca="1" si="4">IF($U4, $G$4, "")</f>
        <v>57</v>
      </c>
      <c r="U4" s="9" t="b">
        <f t="shared" ref="U4:U19" ca="1" si="5">AND(TRIM(Q4)&lt;&gt;"", Q4&lt;&gt;0)</f>
        <v>1</v>
      </c>
    </row>
    <row r="5" spans="1:21">
      <c r="E5" s="12"/>
      <c r="F5" s="10" t="s">
        <v>24</v>
      </c>
      <c r="G5" s="10" t="e">
        <f>MID(G3,9+F2,50)</f>
        <v>#N/A</v>
      </c>
      <c r="H5" s="10"/>
      <c r="I5" s="10"/>
      <c r="J5" s="19"/>
      <c r="K5" s="10"/>
      <c r="L5" s="10">
        <f t="shared" si="0"/>
        <v>2</v>
      </c>
      <c r="M5" s="10">
        <f t="shared" ref="M5:M19" si="6">M4</f>
        <v>0</v>
      </c>
      <c r="N5" s="15" t="str">
        <f t="shared" ca="1" si="1"/>
        <v>OBRCF003 SIS01 059</v>
      </c>
      <c r="O5" s="15" t="str">
        <f t="shared" ca="1" si="2"/>
        <v>OBRCF003</v>
      </c>
      <c r="P5" s="15" t="str">
        <f t="shared" ca="1" si="2"/>
        <v>SIS01</v>
      </c>
      <c r="Q5" s="15" t="str">
        <f t="shared" ref="Q5:Q19" ca="1" si="7">J15</f>
        <v>059</v>
      </c>
      <c r="R5" s="16"/>
      <c r="S5" s="15" t="e">
        <f t="shared" ca="1" si="3"/>
        <v>#N/A</v>
      </c>
      <c r="T5" s="15" t="str">
        <f t="shared" ca="1" si="4"/>
        <v>57</v>
      </c>
      <c r="U5" s="9" t="b">
        <f t="shared" ca="1" si="5"/>
        <v>1</v>
      </c>
    </row>
    <row r="6" spans="1:21">
      <c r="E6" s="12"/>
      <c r="F6" s="10"/>
      <c r="G6" s="10"/>
      <c r="H6" s="10"/>
      <c r="I6" s="10"/>
      <c r="J6" s="24" t="s">
        <v>23</v>
      </c>
      <c r="K6" s="23" t="s">
        <v>22</v>
      </c>
      <c r="L6" s="10">
        <f t="shared" si="0"/>
        <v>3</v>
      </c>
      <c r="M6" s="10">
        <f t="shared" si="6"/>
        <v>0</v>
      </c>
      <c r="N6" s="15" t="str">
        <f t="shared" ca="1" si="1"/>
        <v>OBRCF003 SIS01 086</v>
      </c>
      <c r="O6" s="15" t="str">
        <f t="shared" ca="1" si="2"/>
        <v>OBRCF003</v>
      </c>
      <c r="P6" s="15" t="str">
        <f t="shared" ca="1" si="2"/>
        <v>SIS01</v>
      </c>
      <c r="Q6" s="15" t="str">
        <f t="shared" ca="1" si="7"/>
        <v>086</v>
      </c>
      <c r="R6" s="16"/>
      <c r="S6" s="15" t="e">
        <f t="shared" ca="1" si="3"/>
        <v>#N/A</v>
      </c>
      <c r="T6" s="15" t="str">
        <f t="shared" ca="1" si="4"/>
        <v>57</v>
      </c>
      <c r="U6" s="9" t="b">
        <f t="shared" ca="1" si="5"/>
        <v>1</v>
      </c>
    </row>
    <row r="7" spans="1:21">
      <c r="E7" s="22" t="s">
        <v>21</v>
      </c>
      <c r="F7" s="10" t="str">
        <f t="shared" ref="F7:F9" si="8">"$A"&amp;H6+1&amp;":$A1000"</f>
        <v>$A1:$A1000</v>
      </c>
      <c r="G7" s="21">
        <f t="shared" ref="G7:G9" ca="1" si="9">MATCH(E7,INDIRECT(F7),0)</f>
        <v>38</v>
      </c>
      <c r="H7" s="21">
        <f ca="1">SUM(G$7:G7)</f>
        <v>38</v>
      </c>
      <c r="I7" s="21" t="str">
        <f t="shared" ref="I7:I9" ca="1" si="10">IF(ISERROR(H7),"",TRIM(INDEX(INDIRECT("A:A"),H7)))</f>
        <v>code OBRCF003 SIS01</v>
      </c>
      <c r="J7" s="20" t="str">
        <f ca="1">MID($I7,6,8)</f>
        <v>OBRCF003</v>
      </c>
      <c r="K7" s="20" t="str">
        <f ca="1">MID($I7,15,30)</f>
        <v>SIS01</v>
      </c>
      <c r="L7" s="10">
        <f t="shared" si="0"/>
        <v>4</v>
      </c>
      <c r="M7" s="10">
        <f t="shared" si="6"/>
        <v>0</v>
      </c>
      <c r="N7" s="15" t="str">
        <f t="shared" ca="1" si="1"/>
        <v>OBRCF003 SIS01 071</v>
      </c>
      <c r="O7" s="15" t="str">
        <f t="shared" ca="1" si="2"/>
        <v>OBRCF003</v>
      </c>
      <c r="P7" s="15" t="str">
        <f t="shared" ca="1" si="2"/>
        <v>SIS01</v>
      </c>
      <c r="Q7" s="15" t="str">
        <f t="shared" ca="1" si="7"/>
        <v>071</v>
      </c>
      <c r="R7" s="16"/>
      <c r="S7" s="15" t="e">
        <f t="shared" ca="1" si="3"/>
        <v>#N/A</v>
      </c>
      <c r="T7" s="15" t="str">
        <f t="shared" ca="1" si="4"/>
        <v>57</v>
      </c>
      <c r="U7" s="9" t="b">
        <f t="shared" ca="1" si="5"/>
        <v>1</v>
      </c>
    </row>
    <row r="8" spans="1:21" ht="18">
      <c r="A8" s="39" t="s">
        <v>91</v>
      </c>
      <c r="E8" s="22" t="s">
        <v>21</v>
      </c>
      <c r="F8" s="10" t="str">
        <f t="shared" ca="1" si="8"/>
        <v>$A39:$A1000</v>
      </c>
      <c r="G8" s="21" t="e">
        <f t="shared" ca="1" si="9"/>
        <v>#N/A</v>
      </c>
      <c r="H8" s="21" t="e">
        <f ca="1">SUM(G$7:G8)</f>
        <v>#N/A</v>
      </c>
      <c r="I8" s="21" t="str">
        <f t="shared" ca="1" si="10"/>
        <v/>
      </c>
      <c r="J8" s="20" t="str">
        <f ca="1">MID($I8,6,8)</f>
        <v/>
      </c>
      <c r="K8" s="20" t="str">
        <f ca="1">MID($I8,15,30)</f>
        <v/>
      </c>
      <c r="L8" s="10">
        <f t="shared" si="0"/>
        <v>5</v>
      </c>
      <c r="M8" s="10">
        <f t="shared" si="6"/>
        <v>0</v>
      </c>
      <c r="N8" s="15" t="str">
        <f t="shared" ca="1" si="1"/>
        <v>OBRCF003 SIS01 055</v>
      </c>
      <c r="O8" s="15" t="str">
        <f t="shared" ca="1" si="2"/>
        <v>OBRCF003</v>
      </c>
      <c r="P8" s="15" t="str">
        <f t="shared" ca="1" si="2"/>
        <v>SIS01</v>
      </c>
      <c r="Q8" s="15" t="str">
        <f t="shared" ca="1" si="7"/>
        <v>055</v>
      </c>
      <c r="R8" s="16"/>
      <c r="S8" s="15" t="e">
        <f t="shared" ca="1" si="3"/>
        <v>#N/A</v>
      </c>
      <c r="T8" s="15" t="str">
        <f t="shared" ca="1" si="4"/>
        <v>57</v>
      </c>
      <c r="U8" s="9" t="b">
        <f t="shared" ca="1" si="5"/>
        <v>1</v>
      </c>
    </row>
    <row r="9" spans="1:21">
      <c r="E9" s="22" t="s">
        <v>21</v>
      </c>
      <c r="F9" s="10" t="e">
        <f t="shared" ca="1" si="8"/>
        <v>#N/A</v>
      </c>
      <c r="G9" s="21" t="e">
        <f t="shared" ca="1" si="9"/>
        <v>#N/A</v>
      </c>
      <c r="H9" s="21" t="e">
        <f ca="1">SUM(G$7:G9)</f>
        <v>#N/A</v>
      </c>
      <c r="I9" s="21" t="str">
        <f t="shared" ca="1" si="10"/>
        <v/>
      </c>
      <c r="J9" s="20" t="str">
        <f ca="1">MID($I9,6,8)</f>
        <v/>
      </c>
      <c r="K9" s="20" t="str">
        <f ca="1">MID($I9,15,30)</f>
        <v/>
      </c>
      <c r="L9" s="10">
        <f t="shared" si="0"/>
        <v>6</v>
      </c>
      <c r="M9" s="10">
        <f t="shared" si="6"/>
        <v>0</v>
      </c>
      <c r="N9" s="15" t="str">
        <f t="shared" ca="1" si="1"/>
        <v/>
      </c>
      <c r="O9" s="15" t="str">
        <f t="shared" ca="1" si="2"/>
        <v/>
      </c>
      <c r="P9" s="15" t="str">
        <f t="shared" ca="1" si="2"/>
        <v/>
      </c>
      <c r="Q9" s="15" t="str">
        <f t="shared" ca="1" si="7"/>
        <v/>
      </c>
      <c r="R9" s="16"/>
      <c r="S9" s="15" t="str">
        <f t="shared" ca="1" si="3"/>
        <v/>
      </c>
      <c r="T9" s="15" t="str">
        <f t="shared" ca="1" si="4"/>
        <v/>
      </c>
      <c r="U9" s="9" t="b">
        <f t="shared" ca="1" si="5"/>
        <v>0</v>
      </c>
    </row>
    <row r="10" spans="1:21">
      <c r="E10" s="12"/>
      <c r="F10" s="10"/>
      <c r="G10" s="10"/>
      <c r="H10" s="10"/>
      <c r="I10" s="10"/>
      <c r="J10" s="19"/>
      <c r="K10" s="10"/>
      <c r="L10" s="10">
        <f t="shared" si="0"/>
        <v>7</v>
      </c>
      <c r="M10" s="10">
        <f t="shared" si="6"/>
        <v>0</v>
      </c>
      <c r="N10" s="15" t="str">
        <f t="shared" ca="1" si="1"/>
        <v/>
      </c>
      <c r="O10" s="15" t="str">
        <f t="shared" ca="1" si="2"/>
        <v/>
      </c>
      <c r="P10" s="15" t="str">
        <f t="shared" ca="1" si="2"/>
        <v/>
      </c>
      <c r="Q10" s="15" t="str">
        <f t="shared" ca="1" si="7"/>
        <v/>
      </c>
      <c r="R10" s="16"/>
      <c r="S10" s="15" t="str">
        <f t="shared" ca="1" si="3"/>
        <v/>
      </c>
      <c r="T10" s="15" t="str">
        <f t="shared" ca="1" si="4"/>
        <v/>
      </c>
      <c r="U10" s="9" t="b">
        <f t="shared" ca="1" si="5"/>
        <v>0</v>
      </c>
    </row>
    <row r="11" spans="1:21">
      <c r="E11" s="12"/>
      <c r="F11" s="10" t="s">
        <v>20</v>
      </c>
      <c r="G11" s="10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143 col. 059 col. 086 col. 071 col. 055      </v>
      </c>
      <c r="H11" s="10"/>
      <c r="I11" s="10"/>
      <c r="J11" s="19"/>
      <c r="K11" s="10"/>
      <c r="L11" s="10">
        <f t="shared" si="0"/>
        <v>8</v>
      </c>
      <c r="M11" s="10">
        <f t="shared" si="6"/>
        <v>0</v>
      </c>
      <c r="N11" s="15" t="str">
        <f t="shared" ca="1" si="1"/>
        <v/>
      </c>
      <c r="O11" s="15" t="str">
        <f t="shared" ca="1" si="2"/>
        <v/>
      </c>
      <c r="P11" s="15" t="str">
        <f t="shared" ca="1" si="2"/>
        <v/>
      </c>
      <c r="Q11" s="15" t="str">
        <f t="shared" ca="1" si="7"/>
        <v/>
      </c>
      <c r="R11" s="16"/>
      <c r="S11" s="15" t="str">
        <f t="shared" ca="1" si="3"/>
        <v/>
      </c>
      <c r="T11" s="15" t="str">
        <f t="shared" ca="1" si="4"/>
        <v/>
      </c>
      <c r="U11" s="9" t="b">
        <f t="shared" ca="1" si="5"/>
        <v>0</v>
      </c>
    </row>
    <row r="12" spans="1:21">
      <c r="E12" s="12"/>
      <c r="F12" s="10"/>
      <c r="G12" s="10"/>
      <c r="H12" s="10"/>
      <c r="I12" s="10"/>
      <c r="J12" s="19"/>
      <c r="K12" s="10"/>
      <c r="L12" s="10">
        <f t="shared" si="0"/>
        <v>9</v>
      </c>
      <c r="M12" s="10">
        <f t="shared" si="6"/>
        <v>0</v>
      </c>
      <c r="N12" s="15" t="str">
        <f t="shared" ca="1" si="1"/>
        <v/>
      </c>
      <c r="O12" s="15" t="str">
        <f t="shared" ca="1" si="2"/>
        <v/>
      </c>
      <c r="P12" s="15" t="str">
        <f t="shared" ca="1" si="2"/>
        <v/>
      </c>
      <c r="Q12" s="15" t="str">
        <f t="shared" ca="1" si="7"/>
        <v/>
      </c>
      <c r="R12" s="16"/>
      <c r="S12" s="15" t="str">
        <f t="shared" ca="1" si="3"/>
        <v/>
      </c>
      <c r="T12" s="15" t="str">
        <f t="shared" ca="1" si="4"/>
        <v/>
      </c>
      <c r="U12" s="9" t="b">
        <f t="shared" ca="1" si="5"/>
        <v>0</v>
      </c>
    </row>
    <row r="13" spans="1:21">
      <c r="E13" s="12"/>
      <c r="F13" s="10"/>
      <c r="G13" s="10"/>
      <c r="H13" s="10"/>
      <c r="I13" s="10"/>
      <c r="J13" s="17" t="s">
        <v>18</v>
      </c>
      <c r="K13" s="10"/>
      <c r="L13" s="10">
        <f t="shared" si="0"/>
        <v>10</v>
      </c>
      <c r="M13" s="10">
        <f t="shared" si="6"/>
        <v>0</v>
      </c>
      <c r="N13" s="15" t="str">
        <f t="shared" ca="1" si="1"/>
        <v/>
      </c>
      <c r="O13" s="15" t="str">
        <f t="shared" ca="1" si="2"/>
        <v/>
      </c>
      <c r="P13" s="15" t="str">
        <f t="shared" ca="1" si="2"/>
        <v/>
      </c>
      <c r="Q13" s="15" t="str">
        <f t="shared" ca="1" si="7"/>
        <v/>
      </c>
      <c r="R13" s="16"/>
      <c r="S13" s="15" t="str">
        <f t="shared" ca="1" si="3"/>
        <v/>
      </c>
      <c r="T13" s="15" t="str">
        <f t="shared" ca="1" si="4"/>
        <v/>
      </c>
      <c r="U13" s="9" t="b">
        <f t="shared" ca="1" si="5"/>
        <v>0</v>
      </c>
    </row>
    <row r="14" spans="1:21">
      <c r="E14" s="14" t="s">
        <v>17</v>
      </c>
      <c r="F14" s="10" t="str">
        <f t="shared" ref="F14:F23" si="11">"$A"&amp;H13+1&amp;":$A1000"</f>
        <v>$A1:$A1000</v>
      </c>
      <c r="G14" s="13">
        <f ca="1">MATCH(E14,INDIRECT(F14),0)</f>
        <v>19</v>
      </c>
      <c r="H14" s="13">
        <f ca="1">SUM(G$14:G14)</f>
        <v>19</v>
      </c>
      <c r="I14" s="13" t="str">
        <f t="shared" ref="I14:I23" ca="1" si="12">IF(ISERROR(H14),"",TRIM(INDEX(INDIRECT("A:A"),H14)))</f>
        <v>col. 143</v>
      </c>
      <c r="J14" s="11" t="str">
        <f t="shared" ref="J14:J29" ca="1" si="13">MID($G$11,6+9*(ROW(J14)-ROW(J$14)),3)</f>
        <v>143</v>
      </c>
      <c r="K14" s="10"/>
      <c r="L14" s="10">
        <f t="shared" si="0"/>
        <v>11</v>
      </c>
      <c r="M14" s="10">
        <f t="shared" si="6"/>
        <v>0</v>
      </c>
      <c r="N14" s="15" t="str">
        <f t="shared" ca="1" si="1"/>
        <v/>
      </c>
      <c r="O14" s="15" t="str">
        <f t="shared" ca="1" si="2"/>
        <v/>
      </c>
      <c r="P14" s="15" t="str">
        <f t="shared" ca="1" si="2"/>
        <v/>
      </c>
      <c r="Q14" s="15" t="str">
        <f t="shared" ca="1" si="7"/>
        <v/>
      </c>
      <c r="R14" s="16"/>
      <c r="S14" s="15" t="str">
        <f t="shared" ca="1" si="3"/>
        <v/>
      </c>
      <c r="T14" s="15" t="str">
        <f t="shared" ca="1" si="4"/>
        <v/>
      </c>
      <c r="U14" s="9" t="b">
        <f t="shared" ca="1" si="5"/>
        <v>0</v>
      </c>
    </row>
    <row r="15" spans="1:21">
      <c r="E15" s="14" t="str">
        <f>E14</f>
        <v>col. *</v>
      </c>
      <c r="F15" s="10" t="str">
        <f t="shared" ca="1" si="11"/>
        <v>$A20:$A1000</v>
      </c>
      <c r="G15" s="13">
        <f ca="1">MATCH(E15,INDIRECT(F15),0)</f>
        <v>5</v>
      </c>
      <c r="H15" s="13">
        <f ca="1">SUM(G$14:G15)</f>
        <v>24</v>
      </c>
      <c r="I15" s="13" t="str">
        <f t="shared" ca="1" si="12"/>
        <v>col. 059</v>
      </c>
      <c r="J15" s="11" t="str">
        <f t="shared" ca="1" si="13"/>
        <v>059</v>
      </c>
      <c r="K15" s="10"/>
      <c r="L15" s="10">
        <f t="shared" si="0"/>
        <v>12</v>
      </c>
      <c r="M15" s="10">
        <f t="shared" si="6"/>
        <v>0</v>
      </c>
      <c r="N15" s="15" t="str">
        <f t="shared" ca="1" si="1"/>
        <v/>
      </c>
      <c r="O15" s="15" t="str">
        <f t="shared" ca="1" si="2"/>
        <v/>
      </c>
      <c r="P15" s="15" t="str">
        <f t="shared" ca="1" si="2"/>
        <v/>
      </c>
      <c r="Q15" s="15" t="str">
        <f t="shared" ca="1" si="7"/>
        <v/>
      </c>
      <c r="R15" s="16"/>
      <c r="S15" s="15" t="str">
        <f t="shared" ca="1" si="3"/>
        <v/>
      </c>
      <c r="T15" s="15" t="str">
        <f t="shared" ca="1" si="4"/>
        <v/>
      </c>
      <c r="U15" s="9" t="b">
        <f t="shared" ca="1" si="5"/>
        <v>0</v>
      </c>
    </row>
    <row r="16" spans="1:21">
      <c r="E16" s="14" t="str">
        <f t="shared" ref="E16:E23" si="14">E15</f>
        <v>col. *</v>
      </c>
      <c r="F16" s="10" t="str">
        <f t="shared" ca="1" si="11"/>
        <v>$A25:$A1000</v>
      </c>
      <c r="G16" s="13">
        <f ca="1">MATCH(E16,INDIRECT(F16),0)</f>
        <v>5</v>
      </c>
      <c r="H16" s="13">
        <f ca="1">SUM(G$14:G16)</f>
        <v>29</v>
      </c>
      <c r="I16" s="13" t="str">
        <f t="shared" ca="1" si="12"/>
        <v>col. 086</v>
      </c>
      <c r="J16" s="11" t="str">
        <f t="shared" ca="1" si="13"/>
        <v>086</v>
      </c>
      <c r="K16" s="10"/>
      <c r="L16" s="10">
        <f t="shared" si="0"/>
        <v>13</v>
      </c>
      <c r="M16" s="10">
        <f t="shared" si="6"/>
        <v>0</v>
      </c>
      <c r="N16" s="15" t="str">
        <f t="shared" ca="1" si="1"/>
        <v/>
      </c>
      <c r="O16" s="15" t="str">
        <f t="shared" ca="1" si="2"/>
        <v/>
      </c>
      <c r="P16" s="15" t="str">
        <f t="shared" ca="1" si="2"/>
        <v/>
      </c>
      <c r="Q16" s="15" t="str">
        <f t="shared" ca="1" si="7"/>
        <v/>
      </c>
      <c r="R16" s="16"/>
      <c r="S16" s="15" t="str">
        <f t="shared" ca="1" si="3"/>
        <v/>
      </c>
      <c r="T16" s="15" t="str">
        <f t="shared" ca="1" si="4"/>
        <v/>
      </c>
      <c r="U16" s="9" t="b">
        <f t="shared" ca="1" si="5"/>
        <v>0</v>
      </c>
    </row>
    <row r="17" spans="1:21">
      <c r="E17" s="14" t="str">
        <f t="shared" si="14"/>
        <v>col. *</v>
      </c>
      <c r="F17" s="10" t="str">
        <f t="shared" ca="1" si="11"/>
        <v>$A30:$A1000</v>
      </c>
      <c r="G17" s="13">
        <f ca="1">MATCH(E17,INDIRECT(F17),0)</f>
        <v>23</v>
      </c>
      <c r="H17" s="13">
        <f ca="1">SUM(G$14:G17)</f>
        <v>52</v>
      </c>
      <c r="I17" s="13" t="str">
        <f t="shared" ca="1" si="12"/>
        <v>col. 071 col. 055</v>
      </c>
      <c r="J17" s="11" t="str">
        <f t="shared" ca="1" si="13"/>
        <v>071</v>
      </c>
      <c r="K17" s="10"/>
      <c r="L17" s="10">
        <f t="shared" si="0"/>
        <v>14</v>
      </c>
      <c r="M17" s="10">
        <f t="shared" si="6"/>
        <v>0</v>
      </c>
      <c r="N17" s="15" t="str">
        <f t="shared" ca="1" si="1"/>
        <v/>
      </c>
      <c r="O17" s="15" t="str">
        <f t="shared" ca="1" si="2"/>
        <v/>
      </c>
      <c r="P17" s="15" t="str">
        <f t="shared" ca="1" si="2"/>
        <v/>
      </c>
      <c r="Q17" s="15" t="str">
        <f t="shared" ca="1" si="7"/>
        <v/>
      </c>
      <c r="R17" s="16"/>
      <c r="S17" s="15" t="str">
        <f t="shared" ca="1" si="3"/>
        <v/>
      </c>
      <c r="T17" s="15" t="str">
        <f t="shared" ca="1" si="4"/>
        <v/>
      </c>
      <c r="U17" s="9" t="b">
        <f t="shared" ca="1" si="5"/>
        <v>0</v>
      </c>
    </row>
    <row r="18" spans="1:21">
      <c r="E18" s="14" t="str">
        <f t="shared" si="14"/>
        <v>col. *</v>
      </c>
      <c r="F18" s="10" t="str">
        <f t="shared" ca="1" si="11"/>
        <v>$A53:$A1000</v>
      </c>
      <c r="G18" s="13" t="e">
        <f ca="1">MATCH(E18,INDIRECT(F18),0)</f>
        <v>#N/A</v>
      </c>
      <c r="H18" s="13" t="e">
        <f ca="1">SUM(G$14:G18)</f>
        <v>#N/A</v>
      </c>
      <c r="I18" s="13" t="str">
        <f t="shared" ca="1" si="12"/>
        <v/>
      </c>
      <c r="J18" s="11" t="str">
        <f t="shared" ca="1" si="13"/>
        <v>055</v>
      </c>
      <c r="K18" s="10"/>
      <c r="L18" s="10">
        <f t="shared" si="0"/>
        <v>15</v>
      </c>
      <c r="M18" s="10">
        <f t="shared" si="6"/>
        <v>0</v>
      </c>
      <c r="N18" s="15" t="str">
        <f t="shared" ca="1" si="1"/>
        <v/>
      </c>
      <c r="O18" s="15" t="str">
        <f t="shared" ca="1" si="2"/>
        <v/>
      </c>
      <c r="P18" s="15" t="str">
        <f t="shared" ca="1" si="2"/>
        <v/>
      </c>
      <c r="Q18" s="15" t="str">
        <f t="shared" ca="1" si="7"/>
        <v/>
      </c>
      <c r="R18" s="16"/>
      <c r="S18" s="15" t="str">
        <f t="shared" ca="1" si="3"/>
        <v/>
      </c>
      <c r="T18" s="15" t="str">
        <f t="shared" ca="1" si="4"/>
        <v/>
      </c>
      <c r="U18" s="9" t="b">
        <f t="shared" ca="1" si="5"/>
        <v>0</v>
      </c>
    </row>
    <row r="19" spans="1:21">
      <c r="A19" s="3" t="s">
        <v>92</v>
      </c>
      <c r="E19" s="14" t="str">
        <f t="shared" si="14"/>
        <v>col. *</v>
      </c>
      <c r="F19" s="10" t="e">
        <f t="shared" ca="1" si="11"/>
        <v>#N/A</v>
      </c>
      <c r="G19" s="13" t="e">
        <f t="shared" ref="G19:G23" ca="1" si="15">MATCH(E19,INDIRECT(F19),0)</f>
        <v>#N/A</v>
      </c>
      <c r="H19" s="13" t="e">
        <f ca="1">SUM(G$14:G19)</f>
        <v>#N/A</v>
      </c>
      <c r="I19" s="13" t="str">
        <f t="shared" ca="1" si="12"/>
        <v/>
      </c>
      <c r="J19" s="11" t="str">
        <f t="shared" ca="1" si="13"/>
        <v/>
      </c>
      <c r="K19" s="10"/>
      <c r="L19" s="10">
        <f t="shared" si="0"/>
        <v>16</v>
      </c>
      <c r="M19" s="10">
        <f t="shared" si="6"/>
        <v>0</v>
      </c>
      <c r="N19" s="15" t="str">
        <f t="shared" ca="1" si="1"/>
        <v/>
      </c>
      <c r="O19" s="15" t="str">
        <f t="shared" ca="1" si="2"/>
        <v/>
      </c>
      <c r="P19" s="15" t="str">
        <f t="shared" ca="1" si="2"/>
        <v/>
      </c>
      <c r="Q19" s="15" t="str">
        <f t="shared" ca="1" si="7"/>
        <v/>
      </c>
      <c r="R19" s="16"/>
      <c r="S19" s="15" t="str">
        <f t="shared" ca="1" si="3"/>
        <v/>
      </c>
      <c r="T19" s="15" t="str">
        <f t="shared" ca="1" si="4"/>
        <v/>
      </c>
      <c r="U19" s="9" t="b">
        <f t="shared" ca="1" si="5"/>
        <v>0</v>
      </c>
    </row>
    <row r="20" spans="1:21">
      <c r="A20" s="3" t="s">
        <v>93</v>
      </c>
      <c r="E20" s="14" t="str">
        <f t="shared" si="14"/>
        <v>col. *</v>
      </c>
      <c r="F20" s="10" t="e">
        <f t="shared" ca="1" si="11"/>
        <v>#N/A</v>
      </c>
      <c r="G20" s="13" t="e">
        <f t="shared" ca="1" si="15"/>
        <v>#N/A</v>
      </c>
      <c r="H20" s="13" t="e">
        <f ca="1">SUM(G$14:G20)</f>
        <v>#N/A</v>
      </c>
      <c r="I20" s="13" t="str">
        <f t="shared" ca="1" si="12"/>
        <v/>
      </c>
      <c r="J20" s="11" t="str">
        <f t="shared" ca="1" si="13"/>
        <v/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9"/>
    </row>
    <row r="21" spans="1:21">
      <c r="A21" s="3" t="s">
        <v>94</v>
      </c>
      <c r="E21" s="14" t="str">
        <f t="shared" si="14"/>
        <v>col. *</v>
      </c>
      <c r="F21" s="10" t="e">
        <f t="shared" ca="1" si="11"/>
        <v>#N/A</v>
      </c>
      <c r="G21" s="13" t="e">
        <f t="shared" ca="1" si="15"/>
        <v>#N/A</v>
      </c>
      <c r="H21" s="13" t="e">
        <f ca="1">SUM(G$14:G21)</f>
        <v>#N/A</v>
      </c>
      <c r="I21" s="13" t="str">
        <f t="shared" ca="1" si="12"/>
        <v/>
      </c>
      <c r="J21" s="11" t="str">
        <f t="shared" ca="1" si="13"/>
        <v/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9"/>
    </row>
    <row r="22" spans="1:21">
      <c r="E22" s="14" t="str">
        <f t="shared" si="14"/>
        <v>col. *</v>
      </c>
      <c r="F22" s="10" t="e">
        <f t="shared" ca="1" si="11"/>
        <v>#N/A</v>
      </c>
      <c r="G22" s="13" t="e">
        <f t="shared" ca="1" si="15"/>
        <v>#N/A</v>
      </c>
      <c r="H22" s="13" t="e">
        <f ca="1">SUM(G$14:G22)</f>
        <v>#N/A</v>
      </c>
      <c r="I22" s="13" t="str">
        <f t="shared" ca="1" si="12"/>
        <v/>
      </c>
      <c r="J22" s="11" t="str">
        <f t="shared" ca="1" si="13"/>
        <v/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9"/>
    </row>
    <row r="23" spans="1:21">
      <c r="E23" s="14" t="str">
        <f t="shared" si="14"/>
        <v>col. *</v>
      </c>
      <c r="F23" s="10" t="e">
        <f t="shared" ca="1" si="11"/>
        <v>#N/A</v>
      </c>
      <c r="G23" s="13" t="e">
        <f t="shared" ca="1" si="15"/>
        <v>#N/A</v>
      </c>
      <c r="H23" s="13" t="e">
        <f ca="1">SUM(G$14:G23)</f>
        <v>#N/A</v>
      </c>
      <c r="I23" s="13" t="str">
        <f t="shared" ca="1" si="12"/>
        <v/>
      </c>
      <c r="J23" s="11" t="str">
        <f t="shared" ca="1" si="13"/>
        <v/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9"/>
    </row>
    <row r="24" spans="1:21">
      <c r="A24" s="3" t="s">
        <v>95</v>
      </c>
      <c r="E24" s="12"/>
      <c r="F24" s="10"/>
      <c r="G24" s="10"/>
      <c r="H24" s="10"/>
      <c r="I24" s="10"/>
      <c r="J24" s="11" t="str">
        <f t="shared" ca="1" si="13"/>
        <v/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9"/>
    </row>
    <row r="25" spans="1:21">
      <c r="A25" s="3" t="s">
        <v>96</v>
      </c>
      <c r="E25" s="12"/>
      <c r="F25" s="10"/>
      <c r="G25" s="10"/>
      <c r="H25" s="10"/>
      <c r="I25" s="10"/>
      <c r="J25" s="11" t="str">
        <f t="shared" ca="1" si="13"/>
        <v/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9"/>
    </row>
    <row r="26" spans="1:21">
      <c r="A26" s="3" t="s">
        <v>97</v>
      </c>
      <c r="E26" s="12"/>
      <c r="F26" s="10"/>
      <c r="G26" s="10"/>
      <c r="H26" s="10"/>
      <c r="I26" s="10"/>
      <c r="J26" s="11" t="str">
        <f t="shared" ca="1" si="13"/>
        <v/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9"/>
    </row>
    <row r="27" spans="1:21">
      <c r="E27" s="12"/>
      <c r="F27" s="10"/>
      <c r="H27" s="10"/>
      <c r="I27" s="10"/>
      <c r="J27" s="11" t="str">
        <f t="shared" ca="1" si="13"/>
        <v/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9"/>
    </row>
    <row r="28" spans="1:21">
      <c r="E28" s="12"/>
      <c r="F28" s="10"/>
      <c r="G28" s="10"/>
      <c r="H28" s="10"/>
      <c r="I28" s="10"/>
      <c r="J28" s="11" t="str">
        <f t="shared" ca="1" si="13"/>
        <v/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9"/>
    </row>
    <row r="29" spans="1:21" ht="15" thickBot="1">
      <c r="A29" s="3" t="s">
        <v>98</v>
      </c>
      <c r="E29" s="8"/>
      <c r="F29" s="6"/>
      <c r="G29" s="6"/>
      <c r="H29" s="6"/>
      <c r="I29" s="6"/>
      <c r="J29" s="7" t="str">
        <f t="shared" ca="1" si="13"/>
        <v/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5"/>
    </row>
    <row r="30" spans="1:21" ht="15" thickTop="1">
      <c r="A30" s="3" t="s">
        <v>99</v>
      </c>
    </row>
    <row r="31" spans="1:21">
      <c r="A31" s="3" t="s">
        <v>100</v>
      </c>
    </row>
    <row r="36" spans="1:1">
      <c r="A36" s="37" t="s">
        <v>101</v>
      </c>
    </row>
    <row r="38" spans="1:1">
      <c r="A38" s="18" t="s">
        <v>102</v>
      </c>
    </row>
    <row r="40" spans="1:1">
      <c r="A40" s="37" t="s">
        <v>103</v>
      </c>
    </row>
    <row r="41" spans="1:1">
      <c r="A41" s="37" t="s">
        <v>78</v>
      </c>
    </row>
    <row r="45" spans="1:1">
      <c r="A45" s="37" t="s">
        <v>104</v>
      </c>
    </row>
    <row r="46" spans="1:1">
      <c r="A46" s="37" t="s">
        <v>82</v>
      </c>
    </row>
    <row r="52" spans="1:1">
      <c r="A52" s="3" t="s">
        <v>105</v>
      </c>
    </row>
    <row r="53" spans="1:1">
      <c r="A53" s="3" t="s">
        <v>2</v>
      </c>
    </row>
    <row r="54" spans="1:1">
      <c r="A54" s="3" t="s">
        <v>1</v>
      </c>
    </row>
    <row r="56" spans="1:1">
      <c r="A56" s="37" t="s">
        <v>87</v>
      </c>
    </row>
    <row r="64" spans="1:1">
      <c r="A64" s="37" t="s">
        <v>88</v>
      </c>
    </row>
    <row r="65" spans="1:1">
      <c r="A65" s="38" t="s">
        <v>106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Extraction</vt:lpstr>
      <vt:lpstr>Feuille6</vt:lpstr>
      <vt:lpstr>Feuille7</vt:lpstr>
      <vt:lpstr>Feuille8</vt:lpstr>
      <vt:lpstr>Feuille55</vt:lpstr>
      <vt:lpstr>Feuille59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dcterms:created xsi:type="dcterms:W3CDTF">2018-01-09T10:58:43Z</dcterms:created>
  <dcterms:modified xsi:type="dcterms:W3CDTF">2018-01-09T16:10:37Z</dcterms:modified>
</cp:coreProperties>
</file>