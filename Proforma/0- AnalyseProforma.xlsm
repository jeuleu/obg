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Mac Jean 2018\Dominique\Automatisation factures\Proforma\"/>
    </mc:Choice>
  </mc:AlternateContent>
  <bookViews>
    <workbookView xWindow="0" yWindow="0" windowWidth="28800" windowHeight="12435" activeTab="1"/>
  </bookViews>
  <sheets>
    <sheet name="Proforma" sheetId="1" r:id="rId1"/>
    <sheet name="Préparation Import" sheetId="6" r:id="rId2"/>
    <sheet name="Import 2018 50 3148 Valmag" sheetId="11" r:id="rId3"/>
    <sheet name="Données" sheetId="7" r:id="rId4"/>
  </sheets>
  <functionGroups builtInGroupCount="18"/>
  <externalReferences>
    <externalReference r:id="rId5"/>
    <externalReference r:id="rId6"/>
    <externalReference r:id="rId7"/>
  </externalReferences>
  <definedNames>
    <definedName name="tabEAN.Valmag">Données!$B$4</definedName>
    <definedName name="tabEAN13">Données!$B$2</definedName>
    <definedName name="tabEAN13.inconnus">Données!$B$3</definedName>
    <definedName name="_xlnm.Print_Area" localSheetId="1">'Préparation Import'!$A:$K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7" i="6" l="1"/>
  <c r="U16" i="6"/>
  <c r="U15" i="6"/>
  <c r="U14" i="6"/>
  <c r="U13" i="6"/>
  <c r="U12" i="6"/>
  <c r="U11" i="6"/>
  <c r="U10" i="6"/>
  <c r="U9" i="6"/>
  <c r="U8" i="6"/>
  <c r="U7" i="6"/>
  <c r="U6" i="6"/>
  <c r="U5" i="6"/>
  <c r="U4" i="6"/>
  <c r="U3" i="6"/>
  <c r="U2" i="6"/>
  <c r="T17" i="6"/>
  <c r="S17" i="6"/>
  <c r="T16" i="6"/>
  <c r="S16" i="6"/>
  <c r="T15" i="6"/>
  <c r="S15" i="6"/>
  <c r="T14" i="6"/>
  <c r="S14" i="6"/>
  <c r="T13" i="6"/>
  <c r="S13" i="6"/>
  <c r="T12" i="6"/>
  <c r="S12" i="6"/>
  <c r="T11" i="6"/>
  <c r="S11" i="6"/>
  <c r="T10" i="6"/>
  <c r="S10" i="6"/>
  <c r="T9" i="6"/>
  <c r="S9" i="6"/>
  <c r="T8" i="6"/>
  <c r="S8" i="6"/>
  <c r="T7" i="6"/>
  <c r="S7" i="6"/>
  <c r="T6" i="6"/>
  <c r="S6" i="6"/>
  <c r="T5" i="6"/>
  <c r="S5" i="6"/>
  <c r="T4" i="6"/>
  <c r="S4" i="6"/>
  <c r="T3" i="6"/>
  <c r="S3" i="6"/>
  <c r="T2" i="6"/>
  <c r="S2" i="6"/>
  <c r="B2" i="6"/>
  <c r="C2" i="6"/>
  <c r="B3" i="6"/>
  <c r="C3" i="6"/>
  <c r="B4" i="6"/>
  <c r="C4" i="6"/>
  <c r="B5" i="6"/>
  <c r="C5" i="6"/>
  <c r="B6" i="6"/>
  <c r="C6" i="6"/>
  <c r="B7" i="6"/>
  <c r="C7" i="6"/>
  <c r="B8" i="6"/>
  <c r="C8" i="6"/>
  <c r="B9" i="6"/>
  <c r="C9" i="6"/>
  <c r="B10" i="6"/>
  <c r="C10" i="6"/>
  <c r="B11" i="6"/>
  <c r="C11" i="6"/>
  <c r="B12" i="6"/>
  <c r="C12" i="6"/>
  <c r="B13" i="6"/>
  <c r="C13" i="6"/>
  <c r="B14" i="6"/>
  <c r="C14" i="6"/>
  <c r="B15" i="6"/>
  <c r="C15" i="6"/>
  <c r="B16" i="6"/>
  <c r="C16" i="6"/>
  <c r="B17" i="6"/>
  <c r="C17" i="6"/>
  <c r="H8" i="7"/>
  <c r="B15" i="7"/>
  <c r="C15" i="7"/>
  <c r="E15" i="7"/>
  <c r="F15" i="7"/>
  <c r="H15" i="7"/>
  <c r="I15" i="7"/>
  <c r="J15" i="7"/>
  <c r="K15" i="7"/>
  <c r="L15" i="7"/>
  <c r="B16" i="7"/>
  <c r="C16" i="7"/>
  <c r="E16" i="7"/>
  <c r="F16" i="7"/>
  <c r="H16" i="7"/>
  <c r="I16" i="7"/>
  <c r="J16" i="7"/>
  <c r="K16" i="7"/>
  <c r="L16" i="7"/>
  <c r="B17" i="7"/>
  <c r="C17" i="7"/>
  <c r="E17" i="7"/>
  <c r="F17" i="7"/>
  <c r="H17" i="7"/>
  <c r="I17" i="7"/>
  <c r="J17" i="7"/>
  <c r="K17" i="7"/>
  <c r="L17" i="7"/>
  <c r="B18" i="7"/>
  <c r="C18" i="7"/>
  <c r="E18" i="7"/>
  <c r="F18" i="7"/>
  <c r="H18" i="7"/>
  <c r="I18" i="7"/>
  <c r="J18" i="7"/>
  <c r="K18" i="7"/>
  <c r="L18" i="7"/>
  <c r="B19" i="7"/>
  <c r="C19" i="7"/>
  <c r="E19" i="7"/>
  <c r="F19" i="7"/>
  <c r="H19" i="7"/>
  <c r="I19" i="7"/>
  <c r="J19" i="7"/>
  <c r="K19" i="7"/>
  <c r="L19" i="7"/>
  <c r="B20" i="7"/>
  <c r="C20" i="7"/>
  <c r="E20" i="7"/>
  <c r="F20" i="7"/>
  <c r="H20" i="7"/>
  <c r="I20" i="7"/>
  <c r="J20" i="7"/>
  <c r="K20" i="7"/>
  <c r="L20" i="7"/>
  <c r="B21" i="7"/>
  <c r="C21" i="7"/>
  <c r="E21" i="7"/>
  <c r="F21" i="7"/>
  <c r="H21" i="7"/>
  <c r="I21" i="7"/>
  <c r="J21" i="7"/>
  <c r="K21" i="7"/>
  <c r="L21" i="7"/>
  <c r="C8" i="7"/>
  <c r="C9" i="7"/>
  <c r="C10" i="7"/>
  <c r="C11" i="7"/>
  <c r="C12" i="7"/>
  <c r="C13" i="7"/>
  <c r="C14" i="7"/>
  <c r="K8" i="7"/>
  <c r="L8" i="7"/>
  <c r="K9" i="7"/>
  <c r="L9" i="7"/>
  <c r="K10" i="7"/>
  <c r="L10" i="7"/>
  <c r="K11" i="7"/>
  <c r="L11" i="7"/>
  <c r="K12" i="7"/>
  <c r="L12" i="7"/>
  <c r="K13" i="7"/>
  <c r="L13" i="7"/>
  <c r="K14" i="7"/>
  <c r="L14" i="7"/>
  <c r="I8" i="7"/>
  <c r="J8" i="7"/>
  <c r="H9" i="7"/>
  <c r="I9" i="7"/>
  <c r="J9" i="7"/>
  <c r="H10" i="7"/>
  <c r="I10" i="7"/>
  <c r="J10" i="7"/>
  <c r="H11" i="7"/>
  <c r="I11" i="7"/>
  <c r="J11" i="7"/>
  <c r="H12" i="7"/>
  <c r="I12" i="7"/>
  <c r="J12" i="7"/>
  <c r="H13" i="7"/>
  <c r="I13" i="7"/>
  <c r="J13" i="7"/>
  <c r="H14" i="7"/>
  <c r="I14" i="7"/>
  <c r="J14" i="7"/>
  <c r="W2" i="6" l="1"/>
  <c r="W6" i="6"/>
  <c r="W10" i="6"/>
  <c r="W14" i="6"/>
  <c r="W3" i="6"/>
  <c r="W5" i="6"/>
  <c r="W7" i="6"/>
  <c r="W9" i="6"/>
  <c r="W11" i="6"/>
  <c r="W13" i="6"/>
  <c r="W15" i="6"/>
  <c r="W17" i="6"/>
  <c r="W4" i="6"/>
  <c r="W8" i="6"/>
  <c r="W12" i="6"/>
  <c r="W16" i="6"/>
  <c r="F14" i="7" l="1"/>
  <c r="F13" i="7"/>
  <c r="F12" i="7"/>
  <c r="F11" i="7"/>
  <c r="F10" i="7"/>
  <c r="F9" i="7"/>
  <c r="F8" i="7"/>
  <c r="E9" i="7"/>
  <c r="E10" i="7"/>
  <c r="E11" i="7"/>
  <c r="E12" i="7"/>
  <c r="E13" i="7"/>
  <c r="E14" i="7"/>
  <c r="E8" i="7"/>
  <c r="B8" i="7"/>
  <c r="B9" i="7"/>
  <c r="B10" i="7"/>
  <c r="B11" i="7"/>
  <c r="B12" i="7"/>
  <c r="B13" i="7"/>
  <c r="B14" i="7"/>
  <c r="AA16" i="6"/>
  <c r="AA14" i="6"/>
  <c r="Z16" i="6"/>
  <c r="Z14" i="6"/>
  <c r="AA4" i="6"/>
  <c r="AA2" i="6"/>
  <c r="Z4" i="6"/>
  <c r="Z2" i="6"/>
  <c r="Z15" i="6"/>
  <c r="AA3" i="6"/>
  <c r="Z3" i="6"/>
  <c r="AA7" i="6"/>
  <c r="Z7" i="6"/>
  <c r="AA10" i="6"/>
  <c r="Z10" i="6"/>
  <c r="AA8" i="6"/>
  <c r="AA6" i="6"/>
  <c r="Z8" i="6"/>
  <c r="AA13" i="6"/>
  <c r="AA11" i="6"/>
  <c r="Z13" i="6"/>
  <c r="Z11" i="6"/>
  <c r="Z6" i="6"/>
  <c r="AA17" i="6"/>
  <c r="AA15" i="6"/>
  <c r="Z17" i="6"/>
  <c r="AA5" i="6"/>
  <c r="Z5" i="6"/>
  <c r="AA9" i="6"/>
  <c r="Z9" i="6"/>
  <c r="AA12" i="6"/>
  <c r="Z12" i="6"/>
  <c r="Q12" i="6"/>
  <c r="X12" i="6"/>
  <c r="Q9" i="6"/>
  <c r="K5" i="6"/>
  <c r="AB5" i="6"/>
  <c r="R17" i="6"/>
  <c r="X15" i="6"/>
  <c r="X17" i="6"/>
  <c r="K6" i="6"/>
  <c r="J11" i="6"/>
  <c r="R13" i="6"/>
  <c r="AB13" i="6"/>
  <c r="R8" i="6"/>
  <c r="AC6" i="6"/>
  <c r="X8" i="6"/>
  <c r="K10" i="6"/>
  <c r="J7" i="6"/>
  <c r="AC7" i="6"/>
  <c r="K3" i="6"/>
  <c r="AC3" i="6"/>
  <c r="Q15" i="6"/>
  <c r="J2" i="6"/>
  <c r="Q4" i="6"/>
  <c r="AC2" i="6"/>
  <c r="K14" i="6"/>
  <c r="Q16" i="6"/>
  <c r="AB14" i="6"/>
  <c r="AC16" i="6"/>
  <c r="J12" i="6"/>
  <c r="K9" i="6"/>
  <c r="X9" i="6"/>
  <c r="X5" i="6"/>
  <c r="AC17" i="6"/>
  <c r="Q11" i="6"/>
  <c r="X11" i="6"/>
  <c r="X13" i="6"/>
  <c r="AB8" i="6"/>
  <c r="AC10" i="6"/>
  <c r="X7" i="6"/>
  <c r="K15" i="6"/>
  <c r="K2" i="6"/>
  <c r="X2" i="6"/>
  <c r="R14" i="6"/>
  <c r="AC14" i="6"/>
  <c r="AC12" i="6"/>
  <c r="AC9" i="6"/>
  <c r="J5" i="6"/>
  <c r="AB15" i="6"/>
  <c r="Q6" i="6"/>
  <c r="J13" i="6"/>
  <c r="Q8" i="6"/>
  <c r="AC8" i="6"/>
  <c r="R10" i="6"/>
  <c r="K7" i="6"/>
  <c r="AB3" i="6"/>
  <c r="Q2" i="6"/>
  <c r="K4" i="6"/>
  <c r="X4" i="6"/>
  <c r="K16" i="6"/>
  <c r="K12" i="6"/>
  <c r="J9" i="6"/>
  <c r="AB9" i="6"/>
  <c r="Q5" i="6"/>
  <c r="AC5" i="6"/>
  <c r="J17" i="6"/>
  <c r="AC15" i="6"/>
  <c r="J6" i="6"/>
  <c r="R11" i="6"/>
  <c r="K13" i="6"/>
  <c r="AC11" i="6"/>
  <c r="AC13" i="6"/>
  <c r="K8" i="6"/>
  <c r="X6" i="6"/>
  <c r="J10" i="6"/>
  <c r="X10" i="6"/>
  <c r="Q7" i="6"/>
  <c r="AB7" i="6"/>
  <c r="R3" i="6"/>
  <c r="X3" i="6"/>
  <c r="R15" i="6"/>
  <c r="R2" i="6"/>
  <c r="J4" i="6"/>
  <c r="AC4" i="6"/>
  <c r="Q14" i="6"/>
  <c r="R16" i="6"/>
  <c r="X14" i="6"/>
  <c r="AB16" i="6"/>
  <c r="AB12" i="6"/>
  <c r="R5" i="6"/>
  <c r="K17" i="6"/>
  <c r="R6" i="6"/>
  <c r="Q13" i="6"/>
  <c r="J8" i="6"/>
  <c r="Q10" i="6"/>
  <c r="R7" i="6"/>
  <c r="Q3" i="6"/>
  <c r="R4" i="6"/>
  <c r="AB4" i="6"/>
  <c r="J16" i="6"/>
  <c r="R12" i="6"/>
  <c r="R9" i="6"/>
  <c r="Q17" i="6"/>
  <c r="AB17" i="6"/>
  <c r="K11" i="6"/>
  <c r="AB11" i="6"/>
  <c r="AB6" i="6"/>
  <c r="AB10" i="6"/>
  <c r="J3" i="6"/>
  <c r="J15" i="6"/>
  <c r="AB2" i="6"/>
  <c r="J14" i="6"/>
  <c r="X16" i="6"/>
  <c r="A16" i="6" l="1"/>
  <c r="E16" i="6" s="1"/>
  <c r="O16" i="6"/>
  <c r="N16" i="6"/>
  <c r="A14" i="6"/>
  <c r="E14" i="6" s="1"/>
  <c r="N14" i="6"/>
  <c r="O14" i="6"/>
  <c r="O3" i="6"/>
  <c r="A3" i="6"/>
  <c r="N3" i="6"/>
  <c r="N10" i="6"/>
  <c r="O10" i="6"/>
  <c r="A10" i="6"/>
  <c r="A6" i="6"/>
  <c r="O6" i="6"/>
  <c r="N6" i="6"/>
  <c r="O4" i="6"/>
  <c r="N4" i="6"/>
  <c r="A4" i="6"/>
  <c r="N2" i="6"/>
  <c r="A2" i="6"/>
  <c r="O2" i="6"/>
  <c r="A7" i="6"/>
  <c r="O7" i="6"/>
  <c r="N7" i="6"/>
  <c r="O13" i="6"/>
  <c r="N13" i="6"/>
  <c r="A13" i="6"/>
  <c r="E13" i="6" s="1"/>
  <c r="N11" i="6"/>
  <c r="A11" i="6"/>
  <c r="E11" i="6" s="1"/>
  <c r="O11" i="6"/>
  <c r="O5" i="6"/>
  <c r="N5" i="6"/>
  <c r="A5" i="6"/>
  <c r="A9" i="6"/>
  <c r="E9" i="6" s="1"/>
  <c r="N9" i="6"/>
  <c r="O9" i="6"/>
  <c r="A8" i="6"/>
  <c r="O8" i="6"/>
  <c r="N8" i="6"/>
  <c r="N17" i="6"/>
  <c r="O17" i="6"/>
  <c r="A17" i="6"/>
  <c r="N15" i="6"/>
  <c r="O15" i="6"/>
  <c r="A15" i="6"/>
  <c r="E15" i="6" s="1"/>
  <c r="A12" i="6"/>
  <c r="E12" i="6" s="1"/>
  <c r="O12" i="6"/>
  <c r="N12" i="6"/>
  <c r="E17" i="6"/>
  <c r="E6" i="6"/>
  <c r="E5" i="6"/>
  <c r="E8" i="6"/>
  <c r="E10" i="6"/>
  <c r="E4" i="6"/>
  <c r="E7" i="6"/>
  <c r="E3" i="6"/>
  <c r="AE16" i="6"/>
  <c r="AE4" i="6"/>
  <c r="AE11" i="6"/>
  <c r="AE14" i="6"/>
  <c r="AE2" i="6"/>
  <c r="AE12" i="6"/>
  <c r="AE3" i="6"/>
  <c r="AE10" i="6"/>
  <c r="AE6" i="6"/>
  <c r="AE7" i="6"/>
  <c r="AE9" i="6"/>
  <c r="AE17" i="6"/>
  <c r="AE15" i="6"/>
  <c r="AE8" i="6"/>
  <c r="AE13" i="6"/>
  <c r="AE5" i="6"/>
  <c r="M11" i="6" l="1"/>
  <c r="M9" i="6"/>
  <c r="M4" i="6"/>
  <c r="M14" i="6"/>
  <c r="M2" i="6"/>
  <c r="M15" i="6"/>
  <c r="M10" i="6"/>
  <c r="M12" i="6"/>
  <c r="M8" i="6"/>
  <c r="M16" i="6"/>
  <c r="M17" i="6"/>
  <c r="M5" i="6"/>
  <c r="M13" i="6"/>
  <c r="M7" i="6"/>
  <c r="M6" i="6"/>
  <c r="M3" i="6"/>
  <c r="G5" i="6"/>
  <c r="I8" i="6"/>
  <c r="G15" i="6"/>
  <c r="I17" i="6"/>
  <c r="H7" i="6"/>
  <c r="H6" i="6"/>
  <c r="G10" i="6"/>
  <c r="G12" i="6"/>
  <c r="I2" i="6"/>
  <c r="G14" i="6"/>
  <c r="G4" i="6"/>
  <c r="G16" i="6"/>
  <c r="H13" i="6"/>
  <c r="H17" i="6"/>
  <c r="G7" i="6"/>
  <c r="I3" i="6"/>
  <c r="I14" i="6"/>
  <c r="I11" i="6"/>
  <c r="I5" i="6"/>
  <c r="H15" i="6"/>
  <c r="H9" i="6"/>
  <c r="H10" i="6"/>
  <c r="G2" i="6"/>
  <c r="H11" i="6"/>
  <c r="I13" i="6"/>
  <c r="G8" i="6"/>
  <c r="I15" i="6"/>
  <c r="I9" i="6"/>
  <c r="I7" i="6"/>
  <c r="I6" i="6"/>
  <c r="G3" i="6"/>
  <c r="I12" i="6"/>
  <c r="H2" i="6"/>
  <c r="G11" i="6"/>
  <c r="I4" i="6"/>
  <c r="H16" i="6"/>
  <c r="H5" i="6"/>
  <c r="H8" i="6"/>
  <c r="G9" i="6"/>
  <c r="I10" i="6"/>
  <c r="H12" i="6"/>
  <c r="H4" i="6"/>
  <c r="G13" i="6"/>
  <c r="G17" i="6"/>
  <c r="G6" i="6"/>
  <c r="H3" i="6"/>
  <c r="H14" i="6"/>
  <c r="I16" i="6"/>
</calcChain>
</file>

<file path=xl/sharedStrings.xml><?xml version="1.0" encoding="utf-8"?>
<sst xmlns="http://schemas.openxmlformats.org/spreadsheetml/2006/main" count="103" uniqueCount="58">
  <si>
    <t>Reference</t>
  </si>
  <si>
    <t>Facture</t>
  </si>
  <si>
    <t>Total</t>
  </si>
  <si>
    <t>2018 50 3148 27/11/2018</t>
  </si>
  <si>
    <t>EUR 1.011,40</t>
  </si>
  <si>
    <t>Ligne</t>
  </si>
  <si>
    <t>Modèle</t>
  </si>
  <si>
    <t>Code pièce</t>
  </si>
  <si>
    <t>Couleur</t>
  </si>
  <si>
    <t>Taille</t>
  </si>
  <si>
    <t>Quantité</t>
  </si>
  <si>
    <t>Prix unitaire</t>
  </si>
  <si>
    <t>Montant</t>
  </si>
  <si>
    <t>Libellé</t>
  </si>
  <si>
    <t>HLESCE01</t>
  </si>
  <si>
    <t>ECS07</t>
  </si>
  <si>
    <t>UNICA</t>
  </si>
  <si>
    <t>ANSES DOUBLE CHAÎNE EN « T » EN FAUX CUIR EFFET GRIFFÉ</t>
  </si>
  <si>
    <t>OBAGB001</t>
  </si>
  <si>
    <t>EVS00</t>
  </si>
  <si>
    <t>CORPS O BAG EVA COMPOUND</t>
  </si>
  <si>
    <t>OBAGB002</t>
  </si>
  <si>
    <t>CORPS O BAG MINI EVA COMPOUND</t>
  </si>
  <si>
    <t>OBAGB033</t>
  </si>
  <si>
    <t>CORPS O BAG URBAN EVA COMPOUND</t>
  </si>
  <si>
    <t>OBAGB034</t>
  </si>
  <si>
    <t>CORPS O BAG GLAM EVA COMPOUND</t>
  </si>
  <si>
    <t>OBAGB206</t>
  </si>
  <si>
    <t>CORPS INFÉRIEUR O POCKET EVA COMPOUND</t>
  </si>
  <si>
    <t>OBAGS001</t>
  </si>
  <si>
    <t>TESR1</t>
  </si>
  <si>
    <t>POCHETTE INTÉRIEURE FERMETURE ÉCLAIR O BAG EN TISSU COTTON CORDUROY</t>
  </si>
  <si>
    <t>OBAGS002</t>
  </si>
  <si>
    <t>POCHETTE INTÉRIEURE FERMETURE ÉCLAIR O BAG MINI EN TISSU COTTON CORDUROY</t>
  </si>
  <si>
    <t>SHOUX101</t>
  </si>
  <si>
    <t>ECS00</t>
  </si>
  <si>
    <t>BANDOULIÈRE EXTRASLIM 110 + ANSES TUBULAIRES + CLIP FAUX CUIR</t>
  </si>
  <si>
    <t>Connus</t>
  </si>
  <si>
    <t>Inconnus</t>
  </si>
  <si>
    <t>Page</t>
  </si>
  <si>
    <t>Catalogue</t>
  </si>
  <si>
    <t>Test d'ouverture des feuilles de calcul liées</t>
  </si>
  <si>
    <t>Tous produits</t>
  </si>
  <si>
    <t>Tous produits EAN</t>
  </si>
  <si>
    <t>EAN Valmag</t>
  </si>
  <si>
    <t>'[0- EXPEAN13_PCOBAG01_20181214181726.csv]0- EXPEAN13_PCOBAG01_2018121418'</t>
  </si>
  <si>
    <t>'[TousProduits.EAN13.csv]TousProduits.EAN13'</t>
  </si>
  <si>
    <t>'[TousProduits.csv]TousProduits'</t>
  </si>
  <si>
    <t>EAN13</t>
  </si>
  <si>
    <t>Quantite</t>
  </si>
  <si>
    <t>Prix vente</t>
  </si>
  <si>
    <t/>
  </si>
  <si>
    <t>VALMAG</t>
  </si>
  <si>
    <t>Nom catalogue</t>
  </si>
  <si>
    <t>Qté</t>
  </si>
  <si>
    <t>P vente</t>
  </si>
  <si>
    <t>P achat</t>
  </si>
  <si>
    <t>Code barre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</si>
</sst>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5" x14ac:knownFonts="1">
    <font>
      <sz val="11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theme="1"/>
      <name val="Code EAN13"/>
      <charset val="2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29">
    <xf numFmtId="0" fontId="0" fillId="0" borderId="0" xfId="0"/>
    <xf numFmtId="164" fontId="0" fillId="0" borderId="0" xfId="0" applyNumberFormat="1"/>
    <xf numFmtId="1" fontId="0" fillId="0" borderId="0" xfId="0" applyNumberFormat="1"/>
    <xf numFmtId="0" fontId="0" fillId="2" borderId="0" xfId="0" applyFill="1"/>
    <xf numFmtId="1" fontId="0" fillId="3" borderId="0" xfId="0" applyNumberFormat="1" applyFill="1"/>
    <xf numFmtId="0" fontId="0" fillId="4" borderId="0" xfId="0" applyFill="1"/>
    <xf numFmtId="0" fontId="0" fillId="3" borderId="0" xfId="0" applyFill="1"/>
    <xf numFmtId="0" fontId="0" fillId="6" borderId="0" xfId="0" applyFill="1"/>
    <xf numFmtId="0" fontId="0" fillId="7" borderId="0" xfId="0" applyFill="1"/>
    <xf numFmtId="0" fontId="0" fillId="9" borderId="0" xfId="0" applyFill="1"/>
    <xf numFmtId="1" fontId="0" fillId="6" borderId="0" xfId="0" applyNumberFormat="1" applyFill="1"/>
    <xf numFmtId="1" fontId="0" fillId="5" borderId="0" xfId="0" applyNumberFormat="1" applyFill="1"/>
    <xf numFmtId="0" fontId="0" fillId="0" borderId="0" xfId="0" applyFill="1"/>
    <xf numFmtId="1" fontId="0" fillId="0" borderId="0" xfId="0" applyNumberFormat="1" applyFill="1"/>
    <xf numFmtId="1" fontId="0" fillId="9" borderId="0" xfId="0" applyNumberFormat="1" applyFill="1"/>
    <xf numFmtId="1" fontId="0" fillId="7" borderId="0" xfId="0" applyNumberFormat="1" applyFill="1"/>
    <xf numFmtId="0" fontId="0" fillId="8" borderId="0" xfId="0" quotePrefix="1" applyFill="1"/>
    <xf numFmtId="0" fontId="0" fillId="7" borderId="0" xfId="0" quotePrefix="1" applyFill="1"/>
    <xf numFmtId="0" fontId="0" fillId="6" borderId="0" xfId="0" quotePrefix="1" applyFill="1"/>
    <xf numFmtId="0" fontId="1" fillId="0" borderId="0" xfId="0" applyFont="1" applyFill="1"/>
    <xf numFmtId="0" fontId="1" fillId="0" borderId="0" xfId="0" applyFont="1"/>
    <xf numFmtId="0" fontId="0" fillId="0" borderId="1" xfId="0" applyFill="1" applyBorder="1"/>
    <xf numFmtId="1" fontId="0" fillId="0" borderId="1" xfId="0" applyNumberFormat="1" applyFill="1" applyBorder="1"/>
    <xf numFmtId="0" fontId="2" fillId="0" borderId="0" xfId="0" applyFont="1" applyFill="1"/>
    <xf numFmtId="0" fontId="3" fillId="0" borderId="0" xfId="0" applyFont="1" applyFill="1"/>
    <xf numFmtId="0" fontId="4" fillId="4" borderId="0" xfId="0" applyFont="1" applyFill="1"/>
    <xf numFmtId="1" fontId="4" fillId="0" borderId="0" xfId="0" applyNumberFormat="1" applyFont="1" applyFill="1"/>
    <xf numFmtId="0" fontId="4" fillId="0" borderId="0" xfId="0" applyFont="1" applyFill="1"/>
    <xf numFmtId="0" fontId="4" fillId="10" borderId="0" xfId="0" applyFont="1" applyFill="1"/>
  </cellXfs>
  <cellStyles count="1">
    <cellStyle name="Normal" xfId="0" builtinId="0"/>
  </cellStyles>
  <dxfs count="2">
    <dxf>
      <font>
        <b/>
        <i val="0"/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fgColor auto="1"/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312742/Documents/Perso/Mac%20Jean%202018/Dominique/Automatisation%20factures/Catalogues/TousProduits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312742/Documents/Perso/Mac%20Jean%202018/Dominique/Automatisation%20factures/Catalogues/TousProduits.EAN13.csv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0-%20EXPEAN13_PCOBAG01_20181214181726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usProduits"/>
    </sheetNames>
    <sheetDataSet>
      <sheetData sheetId="0">
        <row r="22">
          <cell r="B22" t="str">
            <v>OBAGB037-EVS57-017</v>
          </cell>
          <cell r="C22" t="str">
            <v xml:space="preserve"> O bag twist cocco</v>
          </cell>
        </row>
        <row r="23">
          <cell r="B23" t="str">
            <v>OBAGB037-EVS57-078</v>
          </cell>
          <cell r="C23" t="str">
            <v xml:space="preserve"> O bag twist cocco</v>
          </cell>
        </row>
        <row r="24">
          <cell r="B24" t="str">
            <v>OBAGB037-EVS57-018</v>
          </cell>
          <cell r="C24" t="str">
            <v xml:space="preserve"> O bag twist cocco</v>
          </cell>
        </row>
        <row r="25">
          <cell r="B25" t="str">
            <v>OBAGB037-EVS57-371</v>
          </cell>
          <cell r="C25" t="str">
            <v xml:space="preserve"> O bag twist cocco</v>
          </cell>
        </row>
        <row r="26">
          <cell r="B26" t="str">
            <v>OBAGB037-EVS57-055</v>
          </cell>
          <cell r="C26" t="str">
            <v xml:space="preserve"> O bag twist cocco</v>
          </cell>
        </row>
        <row r="27">
          <cell r="B27" t="str">
            <v>OBAGB037-EVS57-559</v>
          </cell>
          <cell r="C27" t="str">
            <v xml:space="preserve"> O bag twist cocco</v>
          </cell>
        </row>
        <row r="28">
          <cell r="B28" t="str">
            <v>HLESCE01-ECS00-612</v>
          </cell>
          <cell r="C28" t="str">
            <v xml:space="preserve"> O bag twist cocco</v>
          </cell>
        </row>
        <row r="29">
          <cell r="B29" t="str">
            <v>HLESCE01-ECS00-055</v>
          </cell>
          <cell r="C29" t="str">
            <v xml:space="preserve"> O bag twist cocco</v>
          </cell>
        </row>
        <row r="30">
          <cell r="B30" t="str">
            <v>HLESCE01-ECS00-613</v>
          </cell>
          <cell r="C30" t="str">
            <v xml:space="preserve"> O bag twist cocco</v>
          </cell>
        </row>
        <row r="31">
          <cell r="B31" t="str">
            <v>HLESGC19-EVS54-017</v>
          </cell>
          <cell r="C31" t="str">
            <v xml:space="preserve"> O bag twist cocco</v>
          </cell>
        </row>
        <row r="32">
          <cell r="B32" t="str">
            <v>HLESGC19-EVS54-078</v>
          </cell>
          <cell r="C32" t="str">
            <v xml:space="preserve"> O bag twist cocco</v>
          </cell>
        </row>
        <row r="33">
          <cell r="B33" t="str">
            <v>HLESGC19-EVS54-018</v>
          </cell>
          <cell r="C33" t="str">
            <v xml:space="preserve"> O bag twist cocco</v>
          </cell>
        </row>
        <row r="34">
          <cell r="B34" t="str">
            <v>HLESGC19-EVS54-371</v>
          </cell>
          <cell r="C34" t="str">
            <v xml:space="preserve"> O bag twist cocco</v>
          </cell>
        </row>
        <row r="35">
          <cell r="B35" t="str">
            <v>HLESGC19-EVS54-559</v>
          </cell>
          <cell r="C35" t="str">
            <v xml:space="preserve"> O bag twist cocco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usProduits.EAN13"/>
    </sheetNames>
    <sheetDataSet>
      <sheetData sheetId="0">
        <row r="1">
          <cell r="A1">
            <v>8056099179433</v>
          </cell>
          <cell r="B1" t="str">
            <v>OBAGB001-EVS00-371</v>
          </cell>
        </row>
        <row r="2">
          <cell r="A2">
            <v>8050450217574</v>
          </cell>
          <cell r="B2" t="str">
            <v>OBAGB001-EVS00-017</v>
          </cell>
        </row>
        <row r="3">
          <cell r="A3">
            <v>8051770308669</v>
          </cell>
          <cell r="B3" t="str">
            <v>OBAGB001-EVS00-078</v>
          </cell>
        </row>
        <row r="4">
          <cell r="A4">
            <v>8051770308652</v>
          </cell>
          <cell r="B4" t="str">
            <v>OBAGB001-EVS00-071</v>
          </cell>
        </row>
        <row r="5">
          <cell r="A5">
            <v>8051770308638</v>
          </cell>
          <cell r="B5" t="str">
            <v>OBAGB001-EVS00-055</v>
          </cell>
        </row>
        <row r="6">
          <cell r="A6">
            <v>8056099177125</v>
          </cell>
          <cell r="B6" t="str">
            <v>OBAGB002-EVS00-371</v>
          </cell>
        </row>
        <row r="7">
          <cell r="A7">
            <v>8050450218335</v>
          </cell>
          <cell r="B7" t="str">
            <v>OBAGB002-EVS00-017</v>
          </cell>
        </row>
        <row r="8">
          <cell r="A8">
            <v>8050450215631</v>
          </cell>
          <cell r="B8" t="str">
            <v>OBAGB002-EVS00-078</v>
          </cell>
        </row>
        <row r="9">
          <cell r="A9">
            <v>8051770309819</v>
          </cell>
          <cell r="B9" t="str">
            <v>OBAGB002-EVS00-071</v>
          </cell>
        </row>
        <row r="10">
          <cell r="A10">
            <v>8051770309833</v>
          </cell>
          <cell r="B10" t="str">
            <v>OBAGB002-EVS00-055</v>
          </cell>
        </row>
        <row r="11">
          <cell r="A11">
            <v>8058333587646</v>
          </cell>
          <cell r="B11" t="str">
            <v>OBAGB001-EVS00-002</v>
          </cell>
        </row>
        <row r="12">
          <cell r="A12">
            <v>8050450212456</v>
          </cell>
          <cell r="B12" t="str">
            <v>OBAGB001-EVS00-038</v>
          </cell>
        </row>
        <row r="13">
          <cell r="A13">
            <v>8050846039056</v>
          </cell>
          <cell r="B13" t="str">
            <v>OBAGB001-EVS00-463</v>
          </cell>
        </row>
        <row r="14">
          <cell r="A14">
            <v>8050538590667</v>
          </cell>
          <cell r="B14" t="str">
            <v>OBAGB001-EVS00-050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- EXPEAN13_PCOBAG01_2018121418"/>
    </sheetNames>
    <sheetDataSet>
      <sheetData sheetId="0">
        <row r="23">
          <cell r="A23">
            <v>3000020000032</v>
          </cell>
          <cell r="B23" t="str">
            <v xml:space="preserve">FULL         </v>
          </cell>
          <cell r="C23" t="str">
            <v xml:space="preserve">0CS01           </v>
          </cell>
          <cell r="D23" t="str">
            <v xml:space="preserve">     </v>
          </cell>
          <cell r="E23" t="str">
            <v xml:space="preserve">L    </v>
          </cell>
        </row>
        <row r="24">
          <cell r="A24">
            <v>3000020000025</v>
          </cell>
          <cell r="B24" t="str">
            <v xml:space="preserve">FULL         </v>
          </cell>
          <cell r="C24" t="str">
            <v xml:space="preserve">0CS01           </v>
          </cell>
          <cell r="D24" t="str">
            <v xml:space="preserve">     </v>
          </cell>
          <cell r="E24" t="str">
            <v xml:space="preserve">M    </v>
          </cell>
        </row>
        <row r="25">
          <cell r="A25">
            <v>3000020000018</v>
          </cell>
          <cell r="B25" t="str">
            <v xml:space="preserve">FULL         </v>
          </cell>
          <cell r="C25" t="str">
            <v xml:space="preserve">0CS01           </v>
          </cell>
          <cell r="D25" t="str">
            <v xml:space="preserve">     </v>
          </cell>
          <cell r="E25" t="str">
            <v xml:space="preserve">S    </v>
          </cell>
        </row>
        <row r="26">
          <cell r="A26">
            <v>3000020000049</v>
          </cell>
          <cell r="B26" t="str">
            <v xml:space="preserve">FULL         </v>
          </cell>
          <cell r="C26" t="str">
            <v xml:space="preserve">0CS01           </v>
          </cell>
          <cell r="D26" t="str">
            <v xml:space="preserve">     </v>
          </cell>
          <cell r="E26" t="str">
            <v xml:space="preserve">XL   </v>
          </cell>
        </row>
        <row r="27">
          <cell r="A27">
            <v>3000020000001</v>
          </cell>
          <cell r="B27" t="str">
            <v xml:space="preserve">FULL         </v>
          </cell>
          <cell r="C27" t="str">
            <v xml:space="preserve">0CS01           </v>
          </cell>
          <cell r="D27" t="str">
            <v xml:space="preserve">     </v>
          </cell>
          <cell r="E27" t="str">
            <v xml:space="preserve">XS   </v>
          </cell>
        </row>
        <row r="28">
          <cell r="A28">
            <v>3000210000033</v>
          </cell>
          <cell r="B28" t="str">
            <v xml:space="preserve">FULL         </v>
          </cell>
          <cell r="C28" t="str">
            <v xml:space="preserve">0CS16           </v>
          </cell>
          <cell r="D28" t="str">
            <v xml:space="preserve">     </v>
          </cell>
          <cell r="E28" t="str">
            <v xml:space="preserve">L    </v>
          </cell>
        </row>
        <row r="29">
          <cell r="A29">
            <v>3000210000026</v>
          </cell>
          <cell r="B29" t="str">
            <v xml:space="preserve">FULL         </v>
          </cell>
          <cell r="C29" t="str">
            <v xml:space="preserve">0CS16           </v>
          </cell>
          <cell r="D29" t="str">
            <v xml:space="preserve">     </v>
          </cell>
          <cell r="E29" t="str">
            <v xml:space="preserve">M    </v>
          </cell>
        </row>
        <row r="30">
          <cell r="A30">
            <v>3000210000019</v>
          </cell>
          <cell r="B30" t="str">
            <v xml:space="preserve">FULL         </v>
          </cell>
          <cell r="C30" t="str">
            <v xml:space="preserve">0CS16           </v>
          </cell>
          <cell r="D30" t="str">
            <v xml:space="preserve">     </v>
          </cell>
          <cell r="E30" t="str">
            <v xml:space="preserve">S    </v>
          </cell>
        </row>
        <row r="31">
          <cell r="A31">
            <v>3000210000040</v>
          </cell>
          <cell r="B31" t="str">
            <v xml:space="preserve">FULL         </v>
          </cell>
          <cell r="C31" t="str">
            <v xml:space="preserve">0CS16           </v>
          </cell>
          <cell r="D31" t="str">
            <v xml:space="preserve">     </v>
          </cell>
          <cell r="E31" t="str">
            <v xml:space="preserve">XL   </v>
          </cell>
        </row>
        <row r="32">
          <cell r="A32">
            <v>3000210000002</v>
          </cell>
          <cell r="B32" t="str">
            <v xml:space="preserve">FULL         </v>
          </cell>
          <cell r="C32" t="str">
            <v xml:space="preserve">0CS16           </v>
          </cell>
          <cell r="D32" t="str">
            <v xml:space="preserve">     </v>
          </cell>
          <cell r="E32" t="str">
            <v xml:space="preserve">XS   </v>
          </cell>
        </row>
        <row r="33">
          <cell r="A33">
            <v>8050538599196</v>
          </cell>
          <cell r="B33" t="str">
            <v xml:space="preserve">FULL         </v>
          </cell>
          <cell r="C33" t="str">
            <v xml:space="preserve">ABATJOUROJOY    </v>
          </cell>
          <cell r="D33" t="str">
            <v>ANTHR</v>
          </cell>
          <cell r="E33">
            <v>0</v>
          </cell>
        </row>
        <row r="34">
          <cell r="A34">
            <v>8050538599189</v>
          </cell>
          <cell r="B34" t="str">
            <v xml:space="preserve">FULL         </v>
          </cell>
          <cell r="C34" t="str">
            <v xml:space="preserve">ABATJOUROJOY    </v>
          </cell>
          <cell r="D34" t="str">
            <v>AUBER</v>
          </cell>
          <cell r="E34">
            <v>0</v>
          </cell>
        </row>
        <row r="35">
          <cell r="A35">
            <v>8050538599219</v>
          </cell>
          <cell r="B35" t="str">
            <v xml:space="preserve">FULL         </v>
          </cell>
          <cell r="C35" t="str">
            <v xml:space="preserve">ABATJOUROJOY    </v>
          </cell>
          <cell r="D35" t="str">
            <v xml:space="preserve">BLUE </v>
          </cell>
          <cell r="E35">
            <v>0</v>
          </cell>
        </row>
        <row r="36">
          <cell r="A36">
            <v>3006100431000</v>
          </cell>
          <cell r="B36" t="str">
            <v xml:space="preserve">FULL         </v>
          </cell>
          <cell r="C36" t="str">
            <v xml:space="preserve">ABATJOUROJOY    </v>
          </cell>
          <cell r="D36" t="str">
            <v xml:space="preserve">VERT </v>
          </cell>
          <cell r="E36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I19"/>
  <sheetViews>
    <sheetView workbookViewId="0">
      <selection activeCell="A2" sqref="A2"/>
    </sheetView>
  </sheetViews>
  <sheetFormatPr baseColWidth="10" defaultRowHeight="15" x14ac:dyDescent="0.25"/>
  <sheetData>
    <row r="1" spans="1:9" x14ac:dyDescent="0.25">
      <c r="A1" t="s">
        <v>0</v>
      </c>
      <c r="C1" t="s">
        <v>1</v>
      </c>
      <c r="D1" s="1"/>
      <c r="E1" t="s">
        <v>2</v>
      </c>
    </row>
    <row r="2" spans="1:9" x14ac:dyDescent="0.25">
      <c r="A2" t="s">
        <v>3</v>
      </c>
      <c r="C2" t="s">
        <v>4</v>
      </c>
      <c r="D2" s="1"/>
      <c r="E2">
        <v>979.4</v>
      </c>
    </row>
    <row r="3" spans="1:9" x14ac:dyDescent="0.25">
      <c r="A3" t="s">
        <v>5</v>
      </c>
      <c r="B3" t="s">
        <v>6</v>
      </c>
      <c r="C3" t="s">
        <v>7</v>
      </c>
      <c r="D3" s="1" t="s">
        <v>8</v>
      </c>
      <c r="E3" t="s">
        <v>9</v>
      </c>
      <c r="F3" t="s">
        <v>10</v>
      </c>
      <c r="G3" t="s">
        <v>11</v>
      </c>
      <c r="H3" t="s">
        <v>12</v>
      </c>
      <c r="I3" t="s">
        <v>13</v>
      </c>
    </row>
    <row r="4" spans="1:9" x14ac:dyDescent="0.25">
      <c r="A4">
        <v>1</v>
      </c>
      <c r="B4" t="s">
        <v>14</v>
      </c>
      <c r="C4" t="s">
        <v>15</v>
      </c>
      <c r="D4" s="1">
        <v>133</v>
      </c>
      <c r="E4" t="s">
        <v>16</v>
      </c>
      <c r="F4">
        <v>8</v>
      </c>
      <c r="G4">
        <v>10.6</v>
      </c>
      <c r="H4">
        <v>84.8</v>
      </c>
      <c r="I4" t="s">
        <v>17</v>
      </c>
    </row>
    <row r="5" spans="1:9" x14ac:dyDescent="0.25">
      <c r="A5">
        <v>16</v>
      </c>
      <c r="B5" t="s">
        <v>18</v>
      </c>
      <c r="C5" t="s">
        <v>19</v>
      </c>
      <c r="D5" s="1">
        <v>389</v>
      </c>
      <c r="E5" t="s">
        <v>16</v>
      </c>
      <c r="F5">
        <v>8</v>
      </c>
      <c r="G5">
        <v>14.4</v>
      </c>
      <c r="H5">
        <v>115.2</v>
      </c>
      <c r="I5" t="s">
        <v>20</v>
      </c>
    </row>
    <row r="6" spans="1:9" x14ac:dyDescent="0.25">
      <c r="A6">
        <v>3</v>
      </c>
      <c r="B6" t="s">
        <v>21</v>
      </c>
      <c r="C6" t="s">
        <v>19</v>
      </c>
      <c r="D6" s="1">
        <v>389</v>
      </c>
      <c r="E6" t="s">
        <v>16</v>
      </c>
      <c r="F6">
        <v>10</v>
      </c>
      <c r="G6">
        <v>14.4</v>
      </c>
      <c r="H6">
        <v>144</v>
      </c>
      <c r="I6" t="s">
        <v>22</v>
      </c>
    </row>
    <row r="7" spans="1:9" x14ac:dyDescent="0.25">
      <c r="A7">
        <v>9</v>
      </c>
      <c r="B7" t="s">
        <v>23</v>
      </c>
      <c r="C7" t="s">
        <v>19</v>
      </c>
      <c r="D7" s="1">
        <v>17</v>
      </c>
      <c r="E7" t="s">
        <v>16</v>
      </c>
      <c r="F7">
        <v>3</v>
      </c>
      <c r="G7">
        <v>14.16</v>
      </c>
      <c r="H7">
        <v>42.48</v>
      </c>
      <c r="I7" t="s">
        <v>24</v>
      </c>
    </row>
    <row r="8" spans="1:9" x14ac:dyDescent="0.25">
      <c r="A8">
        <v>8</v>
      </c>
      <c r="B8" t="s">
        <v>18</v>
      </c>
      <c r="C8" t="s">
        <v>19</v>
      </c>
      <c r="D8" s="1">
        <v>24</v>
      </c>
      <c r="E8" t="s">
        <v>16</v>
      </c>
      <c r="F8">
        <v>8</v>
      </c>
      <c r="G8">
        <v>14.4</v>
      </c>
      <c r="H8">
        <v>115.2</v>
      </c>
      <c r="I8" t="s">
        <v>20</v>
      </c>
    </row>
    <row r="9" spans="1:9" x14ac:dyDescent="0.25">
      <c r="A9">
        <v>5</v>
      </c>
      <c r="B9" t="s">
        <v>18</v>
      </c>
      <c r="C9" t="s">
        <v>19</v>
      </c>
      <c r="D9" s="1">
        <v>541</v>
      </c>
      <c r="E9" t="s">
        <v>16</v>
      </c>
      <c r="F9">
        <v>6</v>
      </c>
      <c r="G9">
        <v>14.4</v>
      </c>
      <c r="H9">
        <v>86.4</v>
      </c>
      <c r="I9" t="s">
        <v>20</v>
      </c>
    </row>
    <row r="10" spans="1:9" x14ac:dyDescent="0.25">
      <c r="A10">
        <v>2</v>
      </c>
      <c r="B10" t="s">
        <v>23</v>
      </c>
      <c r="C10" t="s">
        <v>19</v>
      </c>
      <c r="D10" s="1">
        <v>78</v>
      </c>
      <c r="E10" t="s">
        <v>16</v>
      </c>
      <c r="F10">
        <v>3</v>
      </c>
      <c r="G10">
        <v>14.16</v>
      </c>
      <c r="H10">
        <v>42.48</v>
      </c>
      <c r="I10" t="s">
        <v>24</v>
      </c>
    </row>
    <row r="11" spans="1:9" x14ac:dyDescent="0.25">
      <c r="A11">
        <v>13</v>
      </c>
      <c r="B11" t="s">
        <v>25</v>
      </c>
      <c r="C11" t="s">
        <v>19</v>
      </c>
      <c r="D11" s="1">
        <v>24</v>
      </c>
      <c r="E11" t="s">
        <v>16</v>
      </c>
      <c r="F11">
        <v>2</v>
      </c>
      <c r="G11">
        <v>11.88</v>
      </c>
      <c r="H11">
        <v>23.76</v>
      </c>
      <c r="I11" t="s">
        <v>26</v>
      </c>
    </row>
    <row r="12" spans="1:9" x14ac:dyDescent="0.25">
      <c r="A12">
        <v>6</v>
      </c>
      <c r="B12" t="s">
        <v>25</v>
      </c>
      <c r="C12" t="s">
        <v>19</v>
      </c>
      <c r="D12" s="1">
        <v>71</v>
      </c>
      <c r="E12" t="s">
        <v>16</v>
      </c>
      <c r="F12">
        <v>2</v>
      </c>
      <c r="G12">
        <v>11.88</v>
      </c>
      <c r="H12">
        <v>23.76</v>
      </c>
      <c r="I12" t="s">
        <v>26</v>
      </c>
    </row>
    <row r="13" spans="1:9" x14ac:dyDescent="0.25">
      <c r="A13">
        <v>4</v>
      </c>
      <c r="B13" t="s">
        <v>27</v>
      </c>
      <c r="C13" t="s">
        <v>19</v>
      </c>
      <c r="D13" s="1">
        <v>24</v>
      </c>
      <c r="E13" t="s">
        <v>16</v>
      </c>
      <c r="F13">
        <v>5</v>
      </c>
      <c r="G13">
        <v>4.8</v>
      </c>
      <c r="H13">
        <v>24</v>
      </c>
      <c r="I13" t="s">
        <v>28</v>
      </c>
    </row>
    <row r="14" spans="1:9" x14ac:dyDescent="0.25">
      <c r="A14">
        <v>14</v>
      </c>
      <c r="B14" t="s">
        <v>29</v>
      </c>
      <c r="C14" t="s">
        <v>30</v>
      </c>
      <c r="D14" s="1">
        <v>18</v>
      </c>
      <c r="E14" t="s">
        <v>16</v>
      </c>
      <c r="F14">
        <v>5</v>
      </c>
      <c r="G14">
        <v>10.8</v>
      </c>
      <c r="H14">
        <v>54</v>
      </c>
      <c r="I14" t="s">
        <v>31</v>
      </c>
    </row>
    <row r="15" spans="1:9" x14ac:dyDescent="0.25">
      <c r="A15">
        <v>15</v>
      </c>
      <c r="B15" t="s">
        <v>29</v>
      </c>
      <c r="C15" t="s">
        <v>30</v>
      </c>
      <c r="D15" s="1">
        <v>258</v>
      </c>
      <c r="E15" t="s">
        <v>16</v>
      </c>
      <c r="F15">
        <v>8</v>
      </c>
      <c r="G15">
        <v>10.8</v>
      </c>
      <c r="H15">
        <v>86.4</v>
      </c>
      <c r="I15" t="s">
        <v>31</v>
      </c>
    </row>
    <row r="16" spans="1:9" x14ac:dyDescent="0.25">
      <c r="A16">
        <v>10</v>
      </c>
      <c r="B16" t="s">
        <v>32</v>
      </c>
      <c r="C16" t="s">
        <v>30</v>
      </c>
      <c r="D16" s="1">
        <v>18</v>
      </c>
      <c r="E16" t="s">
        <v>16</v>
      </c>
      <c r="F16">
        <v>3</v>
      </c>
      <c r="G16">
        <v>9</v>
      </c>
      <c r="H16">
        <v>27</v>
      </c>
      <c r="I16" t="s">
        <v>33</v>
      </c>
    </row>
    <row r="17" spans="1:9" x14ac:dyDescent="0.25">
      <c r="A17">
        <v>12</v>
      </c>
      <c r="B17" t="s">
        <v>32</v>
      </c>
      <c r="C17" t="s">
        <v>30</v>
      </c>
      <c r="D17" s="1">
        <v>86</v>
      </c>
      <c r="E17" t="s">
        <v>16</v>
      </c>
      <c r="F17">
        <v>5</v>
      </c>
      <c r="G17">
        <v>9</v>
      </c>
      <c r="H17">
        <v>45</v>
      </c>
      <c r="I17" t="s">
        <v>33</v>
      </c>
    </row>
    <row r="18" spans="1:9" x14ac:dyDescent="0.25">
      <c r="A18">
        <v>11</v>
      </c>
      <c r="B18" t="s">
        <v>32</v>
      </c>
      <c r="C18" t="s">
        <v>30</v>
      </c>
      <c r="D18" s="1">
        <v>258</v>
      </c>
      <c r="E18" t="s">
        <v>16</v>
      </c>
      <c r="F18">
        <v>3</v>
      </c>
      <c r="G18">
        <v>9</v>
      </c>
      <c r="H18">
        <v>27</v>
      </c>
      <c r="I18" t="s">
        <v>33</v>
      </c>
    </row>
    <row r="19" spans="1:9" x14ac:dyDescent="0.25">
      <c r="A19">
        <v>7</v>
      </c>
      <c r="B19" t="s">
        <v>34</v>
      </c>
      <c r="C19" t="s">
        <v>35</v>
      </c>
      <c r="D19" s="1">
        <v>18</v>
      </c>
      <c r="E19" t="s">
        <v>16</v>
      </c>
      <c r="F19">
        <v>2</v>
      </c>
      <c r="G19">
        <v>18.96</v>
      </c>
      <c r="H19">
        <v>37.92</v>
      </c>
      <c r="I19" t="s">
        <v>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AE19"/>
  <sheetViews>
    <sheetView tabSelected="1" workbookViewId="0">
      <selection activeCell="J2" sqref="J2"/>
    </sheetView>
  </sheetViews>
  <sheetFormatPr baseColWidth="10" defaultRowHeight="15" x14ac:dyDescent="0.25"/>
  <cols>
    <col min="1" max="1" width="14" style="12" bestFit="1" customWidth="1"/>
    <col min="2" max="2" width="5.85546875" style="12" customWidth="1"/>
    <col min="3" max="3" width="7.28515625" style="12" bestFit="1" customWidth="1"/>
    <col min="4" max="4" width="6.42578125" style="12" customWidth="1"/>
    <col min="5" max="5" width="15.140625" style="12" bestFit="1" customWidth="1"/>
    <col min="6" max="6" width="4.42578125" style="12" customWidth="1"/>
    <col min="7" max="7" width="12.42578125" style="27" customWidth="1"/>
    <col min="8" max="8" width="6.5703125" style="26" customWidth="1"/>
    <col min="9" max="9" width="3.140625" style="26" customWidth="1"/>
    <col min="10" max="10" width="22.85546875" style="27" customWidth="1"/>
    <col min="11" max="11" width="16.7109375" style="27" bestFit="1" customWidth="1"/>
    <col min="12" max="12" width="8.5703125" style="12" customWidth="1"/>
    <col min="13" max="15" width="4.7109375" style="19" customWidth="1"/>
    <col min="16" max="16" width="3" style="12" customWidth="1"/>
    <col min="17" max="17" width="20" style="12" customWidth="1"/>
    <col min="18" max="18" width="7.42578125" style="12" customWidth="1"/>
    <col min="19" max="21" width="11.42578125" style="12"/>
    <col min="22" max="22" width="6.140625" style="12" customWidth="1"/>
    <col min="23" max="23" width="29.42578125" style="12" bestFit="1" customWidth="1"/>
    <col min="24" max="24" width="14.85546875" style="13" customWidth="1"/>
    <col min="25" max="25" width="9.140625" style="13" customWidth="1"/>
    <col min="26" max="26" width="9.140625" style="12" customWidth="1"/>
    <col min="27" max="16384" width="11.42578125" style="12"/>
  </cols>
  <sheetData>
    <row r="1" spans="1:31" x14ac:dyDescent="0.25">
      <c r="A1" s="21" t="s">
        <v>48</v>
      </c>
      <c r="B1" s="21" t="s">
        <v>54</v>
      </c>
      <c r="C1" s="21" t="s">
        <v>56</v>
      </c>
      <c r="D1" s="21" t="s">
        <v>55</v>
      </c>
      <c r="E1" s="12" t="s">
        <v>57</v>
      </c>
      <c r="G1" s="25" t="s">
        <v>52</v>
      </c>
      <c r="J1" s="27" t="s">
        <v>53</v>
      </c>
      <c r="K1" s="27" t="s">
        <v>8</v>
      </c>
      <c r="Q1" s="12" t="s">
        <v>40</v>
      </c>
      <c r="R1" s="12" t="s">
        <v>39</v>
      </c>
    </row>
    <row r="2" spans="1:31" customFormat="1" ht="33.75" x14ac:dyDescent="0.5">
      <c r="A2" s="22" t="str">
        <f ca="1">X2</f>
        <v/>
      </c>
      <c r="B2" s="21">
        <f>Proforma!F4</f>
        <v>8</v>
      </c>
      <c r="C2" s="21">
        <f>Proforma!G4</f>
        <v>10.6</v>
      </c>
      <c r="D2" s="21"/>
      <c r="E2" s="23"/>
      <c r="G2" s="28" t="str">
        <f t="shared" ref="G2:G17" ca="1" si="0">IFERROR(INDEX(INDIRECT(tabEAN.Valmag &amp; "!C:C"), $AE2), "")</f>
        <v/>
      </c>
      <c r="H2" s="28" t="str">
        <f t="shared" ref="H2:H17" ca="1" si="1">IFERROR(INDEX(INDIRECT(tabEAN.Valmag &amp; "!D:D"), $AE2), "")</f>
        <v/>
      </c>
      <c r="I2" s="28" t="str">
        <f t="shared" ref="I2:I17" ca="1" si="2">IFERROR(INDEX(INDIRECT(tabEAN.Valmag &amp; "!E:E"), $AE2), "")</f>
        <v/>
      </c>
      <c r="J2" s="26" t="str">
        <f t="shared" ref="J2:J17" ca="1" si="3">IFERROR(INDEX(INDIRECT(tabEAN13.inconnus &amp; "!E:E"),$Z2), "")</f>
        <v xml:space="preserve"> manico doppia catena a "t"</v>
      </c>
      <c r="K2" s="26" t="str">
        <f t="shared" ref="K2:K17" ca="1" si="4">IFERROR(INDEX(INDIRECT(tabEAN13.inconnus &amp; "!I:I"),$Z2), "")</f>
        <v>grigio chiaro + silver</v>
      </c>
      <c r="M2" s="20" t="b">
        <f ca="1">OR(N2:O2)</f>
        <v>0</v>
      </c>
      <c r="N2" s="20" t="b">
        <f ca="1">AND($X2 &lt;&gt; "", J2&lt;&gt;AB2)</f>
        <v>0</v>
      </c>
      <c r="O2" s="20" t="b">
        <f ca="1">AND($X2 &lt;&gt; "", K2&lt;&gt;AC2)</f>
        <v>0</v>
      </c>
      <c r="P2" s="12"/>
      <c r="Q2" s="10" t="str">
        <f t="shared" ref="Q2:Q17" ca="1" si="5">IFERROR(INDEX(INDIRECT(tabEAN13.inconnus &amp; "!C:C"),$Z2), "")</f>
        <v xml:space="preserve"> O bag winter 2018</v>
      </c>
      <c r="R2" s="10">
        <f t="shared" ref="R2:R17" ca="1" si="6">IFERROR(INDEX(INDIRECT(tabEAN13.inconnus &amp; "!D:D"),$Z2), "")</f>
        <v>34</v>
      </c>
      <c r="S2" s="3" t="str">
        <f>Proforma!B4</f>
        <v>HLESCE01</v>
      </c>
      <c r="T2" s="3" t="str">
        <f>Proforma!C4</f>
        <v>ECS07</v>
      </c>
      <c r="U2" s="3">
        <f>Proforma!D4</f>
        <v>133</v>
      </c>
      <c r="W2" t="str">
        <f t="shared" ref="W2:W17" si="7">S2 &amp; "-" &amp; T2 &amp; "-" &amp; TEXT(U2, "000")</f>
        <v>HLESCE01-ECS07-133</v>
      </c>
      <c r="X2" s="15" t="str">
        <f t="shared" ref="X2:X17" ca="1" si="8">IFERROR(INDEX(INDIRECT(tabEAN13 &amp; "!A:A"),$AA2), "")</f>
        <v/>
      </c>
      <c r="Y2" s="2"/>
      <c r="Z2" s="3">
        <f t="shared" ref="Z2:Z17" ca="1" si="9">IFERROR(MATCH($W2,INDIRECT(tabEAN13.inconnus &amp; "!B:B"),0), "")</f>
        <v>10461</v>
      </c>
      <c r="AA2" s="8" t="str">
        <f t="shared" ref="AA2:AA17" ca="1" si="10">IFERROR(MATCH($W2,INDIRECT(tabEAN13 &amp; "!B:B"),0), "")</f>
        <v/>
      </c>
      <c r="AB2" s="14" t="str">
        <f t="shared" ref="AB2:AB17" ca="1" si="11">IFERROR(INDEX(INDIRECT(tabEAN13 &amp; "!E:E"),$AA2), "")</f>
        <v/>
      </c>
      <c r="AC2" s="14" t="str">
        <f t="shared" ref="AC2:AC17" ca="1" si="12">IFERROR(INDEX(INDIRECT(tabEAN13 &amp; "!I:I"),$AA2), "")</f>
        <v/>
      </c>
      <c r="AE2" s="6" t="str">
        <f t="shared" ref="AE2:AE17" ca="1" si="13">IFERROR(MATCH($X2, INDIRECT(tabEAN.Valmag &amp; "!A:A"), 0), "")</f>
        <v/>
      </c>
    </row>
    <row r="3" spans="1:31" customFormat="1" ht="33.75" x14ac:dyDescent="0.5">
      <c r="A3" s="22">
        <f t="shared" ref="A3:A17" ca="1" si="14">X3</f>
        <v>8050846039049</v>
      </c>
      <c r="B3" s="21">
        <f>Proforma!F5</f>
        <v>8</v>
      </c>
      <c r="C3" s="21">
        <f>Proforma!G5</f>
        <v>14.4</v>
      </c>
      <c r="D3" s="21">
        <v>42</v>
      </c>
      <c r="E3" s="24" t="str">
        <f t="shared" ref="E3:E16" ca="1" si="15">IF(A3&lt;&gt;"",codeEAN13(INT(A3/10)),"")</f>
        <v>8APASOG*adjaej+</v>
      </c>
      <c r="G3" s="28" t="str">
        <f t="shared" ca="1" si="0"/>
        <v xml:space="preserve">OBODY           </v>
      </c>
      <c r="H3" s="28" t="str">
        <f t="shared" ca="1" si="1"/>
        <v>SILVE</v>
      </c>
      <c r="I3" s="28">
        <f t="shared" ca="1" si="2"/>
        <v>0</v>
      </c>
      <c r="J3" s="26" t="str">
        <f t="shared" ca="1" si="3"/>
        <v xml:space="preserve"> scocca O bag EVA</v>
      </c>
      <c r="K3" s="26" t="str">
        <f t="shared" ca="1" si="4"/>
        <v>silver</v>
      </c>
      <c r="M3" s="20" t="b">
        <f t="shared" ref="M3:M17" ca="1" si="16">OR(N3:O3)</f>
        <v>0</v>
      </c>
      <c r="N3" s="20" t="b">
        <f ca="1">AND($X3 &lt;&gt; "", J3&lt;&gt;AB3)</f>
        <v>0</v>
      </c>
      <c r="O3" s="20" t="b">
        <f ca="1">AND($X3 &lt;&gt; "", K3&lt;&gt;AC3)</f>
        <v>0</v>
      </c>
      <c r="P3" s="12"/>
      <c r="Q3" s="10" t="str">
        <f t="shared" ca="1" si="5"/>
        <v xml:space="preserve"> O bag fall 2018</v>
      </c>
      <c r="R3" s="10">
        <f t="shared" ca="1" si="6"/>
        <v>4</v>
      </c>
      <c r="S3" s="3" t="str">
        <f>Proforma!B5</f>
        <v>OBAGB001</v>
      </c>
      <c r="T3" s="3" t="str">
        <f>Proforma!C5</f>
        <v>EVS00</v>
      </c>
      <c r="U3" s="3">
        <f>Proforma!D5</f>
        <v>389</v>
      </c>
      <c r="W3" t="str">
        <f t="shared" si="7"/>
        <v>OBAGB001-EVS00-389</v>
      </c>
      <c r="X3" s="15">
        <f t="shared" ca="1" si="8"/>
        <v>8050846039049</v>
      </c>
      <c r="Y3" s="2"/>
      <c r="Z3" s="3">
        <f t="shared" ca="1" si="9"/>
        <v>460</v>
      </c>
      <c r="AA3" s="8">
        <f t="shared" ca="1" si="10"/>
        <v>21</v>
      </c>
      <c r="AB3" s="14" t="str">
        <f t="shared" ca="1" si="11"/>
        <v xml:space="preserve"> scocca O bag EVA</v>
      </c>
      <c r="AC3" s="14" t="str">
        <f t="shared" ca="1" si="12"/>
        <v>silver</v>
      </c>
      <c r="AE3" s="6">
        <f t="shared" ca="1" si="13"/>
        <v>7413</v>
      </c>
    </row>
    <row r="4" spans="1:31" customFormat="1" ht="33.75" x14ac:dyDescent="0.5">
      <c r="A4" s="22">
        <f t="shared" ca="1" si="14"/>
        <v>8050846039100</v>
      </c>
      <c r="B4" s="21">
        <f>Proforma!F6</f>
        <v>10</v>
      </c>
      <c r="C4" s="21">
        <f>Proforma!G6</f>
        <v>14.4</v>
      </c>
      <c r="D4" s="21">
        <v>42</v>
      </c>
      <c r="E4" s="24" t="str">
        <f t="shared" ca="1" si="15"/>
        <v>8APASOG*adjbaa+</v>
      </c>
      <c r="G4" s="28" t="str">
        <f t="shared" ca="1" si="0"/>
        <v xml:space="preserve">MINIOBODY       </v>
      </c>
      <c r="H4" s="28" t="str">
        <f t="shared" ca="1" si="1"/>
        <v>SILVE</v>
      </c>
      <c r="I4" s="28">
        <f t="shared" ca="1" si="2"/>
        <v>0</v>
      </c>
      <c r="J4" s="26" t="str">
        <f t="shared" ca="1" si="3"/>
        <v xml:space="preserve"> scocca O bag mini EVA</v>
      </c>
      <c r="K4" s="26" t="str">
        <f t="shared" ca="1" si="4"/>
        <v>silver</v>
      </c>
      <c r="M4" s="20" t="b">
        <f t="shared" ca="1" si="16"/>
        <v>0</v>
      </c>
      <c r="N4" s="20" t="b">
        <f ca="1">AND($X4 &lt;&gt; "", J4&lt;&gt;AB4)</f>
        <v>0</v>
      </c>
      <c r="O4" s="20" t="b">
        <f ca="1">AND($X4 &lt;&gt; "", K4&lt;&gt;AC4)</f>
        <v>0</v>
      </c>
      <c r="P4" s="12"/>
      <c r="Q4" s="10" t="str">
        <f t="shared" ca="1" si="5"/>
        <v xml:space="preserve"> O bag fall 2018</v>
      </c>
      <c r="R4" s="10">
        <f t="shared" ca="1" si="6"/>
        <v>6</v>
      </c>
      <c r="S4" s="3" t="str">
        <f>Proforma!B6</f>
        <v>OBAGB002</v>
      </c>
      <c r="T4" s="3" t="str">
        <f>Proforma!C6</f>
        <v>EVS00</v>
      </c>
      <c r="U4" s="3">
        <f>Proforma!D6</f>
        <v>389</v>
      </c>
      <c r="W4" t="str">
        <f t="shared" si="7"/>
        <v>OBAGB002-EVS00-389</v>
      </c>
      <c r="X4" s="15">
        <f t="shared" ca="1" si="8"/>
        <v>8050846039100</v>
      </c>
      <c r="Y4" s="2"/>
      <c r="Z4" s="3">
        <f t="shared" ca="1" si="9"/>
        <v>478</v>
      </c>
      <c r="AA4" s="8">
        <f t="shared" ca="1" si="10"/>
        <v>34</v>
      </c>
      <c r="AB4" s="14" t="str">
        <f t="shared" ca="1" si="11"/>
        <v xml:space="preserve"> scocca O bag mini EVA</v>
      </c>
      <c r="AC4" s="14" t="str">
        <f t="shared" ca="1" si="12"/>
        <v>silver</v>
      </c>
      <c r="AE4" s="6">
        <f t="shared" ca="1" si="13"/>
        <v>7076</v>
      </c>
    </row>
    <row r="5" spans="1:31" customFormat="1" ht="33.75" x14ac:dyDescent="0.5">
      <c r="A5" s="22">
        <f t="shared" ca="1" si="14"/>
        <v>8050846039643</v>
      </c>
      <c r="B5" s="21">
        <f>Proforma!F7</f>
        <v>3</v>
      </c>
      <c r="C5" s="21">
        <f>Proforma!G7</f>
        <v>14.16</v>
      </c>
      <c r="D5" s="21"/>
      <c r="E5" s="24" t="str">
        <f t="shared" ca="1" si="15"/>
        <v>8APASOG*adjged+</v>
      </c>
      <c r="G5" s="28" t="str">
        <f t="shared" ca="1" si="0"/>
        <v xml:space="preserve">OURBAN          </v>
      </c>
      <c r="H5" s="28" t="str">
        <f t="shared" ca="1" si="1"/>
        <v xml:space="preserve">NAVY </v>
      </c>
      <c r="I5" s="28">
        <f t="shared" ca="1" si="2"/>
        <v>0</v>
      </c>
      <c r="J5" s="26" t="str">
        <f t="shared" ca="1" si="3"/>
        <v xml:space="preserve"> scocca O bag urban EVA</v>
      </c>
      <c r="K5" s="26" t="str">
        <f t="shared" ca="1" si="4"/>
        <v>blu navy</v>
      </c>
      <c r="M5" s="20" t="b">
        <f t="shared" ca="1" si="16"/>
        <v>0</v>
      </c>
      <c r="N5" s="20" t="b">
        <f ca="1">AND($X5 &lt;&gt; "", J5&lt;&gt;AB5)</f>
        <v>0</v>
      </c>
      <c r="O5" s="20" t="b">
        <f ca="1">AND($X5 &lt;&gt; "", K5&lt;&gt;AC5)</f>
        <v>0</v>
      </c>
      <c r="P5" s="12"/>
      <c r="Q5" s="10" t="str">
        <f t="shared" ca="1" si="5"/>
        <v xml:space="preserve"> O bag fall 2018</v>
      </c>
      <c r="R5" s="10">
        <f t="shared" ca="1" si="6"/>
        <v>12</v>
      </c>
      <c r="S5" s="3" t="str">
        <f>Proforma!B7</f>
        <v>OBAGB033</v>
      </c>
      <c r="T5" s="3" t="str">
        <f>Proforma!C7</f>
        <v>EVS00</v>
      </c>
      <c r="U5" s="3">
        <f>Proforma!D7</f>
        <v>17</v>
      </c>
      <c r="W5" t="str">
        <f t="shared" si="7"/>
        <v>OBAGB033-EVS00-017</v>
      </c>
      <c r="X5" s="15">
        <f t="shared" ca="1" si="8"/>
        <v>8050846039643</v>
      </c>
      <c r="Y5" s="2"/>
      <c r="Z5" s="3">
        <f t="shared" ca="1" si="9"/>
        <v>531</v>
      </c>
      <c r="AA5" s="8">
        <f t="shared" ca="1" si="10"/>
        <v>38</v>
      </c>
      <c r="AB5" s="14" t="str">
        <f t="shared" ca="1" si="11"/>
        <v xml:space="preserve"> scocca O bag urban EVA</v>
      </c>
      <c r="AC5" s="14" t="str">
        <f t="shared" ca="1" si="12"/>
        <v>blu navy</v>
      </c>
      <c r="AE5" s="6">
        <f t="shared" ca="1" si="13"/>
        <v>9201</v>
      </c>
    </row>
    <row r="6" spans="1:31" customFormat="1" ht="33.75" x14ac:dyDescent="0.5">
      <c r="A6" s="22">
        <f t="shared" ca="1" si="14"/>
        <v>8050450214153</v>
      </c>
      <c r="B6" s="21">
        <f>Proforma!F8</f>
        <v>8</v>
      </c>
      <c r="C6" s="21">
        <f>Proforma!G8</f>
        <v>14.4</v>
      </c>
      <c r="D6" s="21">
        <v>42</v>
      </c>
      <c r="E6" s="24" t="str">
        <f t="shared" ca="1" si="15"/>
        <v>8APAOPA*cbebfd+</v>
      </c>
      <c r="G6" s="28" t="str">
        <f t="shared" ca="1" si="0"/>
        <v xml:space="preserve">OBODY           </v>
      </c>
      <c r="H6" s="28" t="str">
        <f t="shared" ca="1" si="1"/>
        <v>CHOCO</v>
      </c>
      <c r="I6" s="28">
        <f t="shared" ca="1" si="2"/>
        <v>0</v>
      </c>
      <c r="J6" s="26" t="str">
        <f t="shared" ca="1" si="3"/>
        <v xml:space="preserve"> scocca O bag EVA</v>
      </c>
      <c r="K6" s="26" t="str">
        <f t="shared" ca="1" si="4"/>
        <v>cioccolato</v>
      </c>
      <c r="M6" s="20" t="b">
        <f t="shared" ca="1" si="16"/>
        <v>0</v>
      </c>
      <c r="N6" s="20" t="b">
        <f ca="1">AND($X6 &lt;&gt; "", J6&lt;&gt;AB6)</f>
        <v>0</v>
      </c>
      <c r="O6" s="20" t="b">
        <f ca="1">AND($X6 &lt;&gt; "", K6&lt;&gt;AC6)</f>
        <v>0</v>
      </c>
      <c r="P6" s="12"/>
      <c r="Q6" s="10" t="str">
        <f t="shared" ca="1" si="5"/>
        <v xml:space="preserve"> O bag fall 2018</v>
      </c>
      <c r="R6" s="10">
        <f t="shared" ca="1" si="6"/>
        <v>4</v>
      </c>
      <c r="S6" s="3" t="str">
        <f>Proforma!B8</f>
        <v>OBAGB001</v>
      </c>
      <c r="T6" s="3" t="str">
        <f>Proforma!C8</f>
        <v>EVS00</v>
      </c>
      <c r="U6" s="3">
        <f>Proforma!D8</f>
        <v>24</v>
      </c>
      <c r="W6" t="str">
        <f t="shared" si="7"/>
        <v>OBAGB001-EVS00-024</v>
      </c>
      <c r="X6" s="15">
        <f t="shared" ca="1" si="8"/>
        <v>8050450214153</v>
      </c>
      <c r="Y6" s="2"/>
      <c r="Z6" s="3">
        <f t="shared" ca="1" si="9"/>
        <v>456</v>
      </c>
      <c r="AA6" s="8">
        <f t="shared" ca="1" si="10"/>
        <v>17</v>
      </c>
      <c r="AB6" s="14" t="str">
        <f t="shared" ca="1" si="11"/>
        <v xml:space="preserve"> scocca O bag EVA</v>
      </c>
      <c r="AC6" s="14" t="str">
        <f t="shared" ca="1" si="12"/>
        <v>cioccolato</v>
      </c>
      <c r="AE6" s="6">
        <f t="shared" ca="1" si="13"/>
        <v>7352</v>
      </c>
    </row>
    <row r="7" spans="1:31" customFormat="1" ht="33.75" x14ac:dyDescent="0.5">
      <c r="A7" s="22">
        <f t="shared" ca="1" si="14"/>
        <v>8050846039070</v>
      </c>
      <c r="B7" s="21">
        <f>Proforma!F9</f>
        <v>6</v>
      </c>
      <c r="C7" s="21">
        <f>Proforma!G9</f>
        <v>14.4</v>
      </c>
      <c r="D7" s="21">
        <v>42</v>
      </c>
      <c r="E7" s="24" t="str">
        <f t="shared" ca="1" si="15"/>
        <v>8APASOG*adjaha+</v>
      </c>
      <c r="G7" s="28" t="str">
        <f t="shared" ca="1" si="0"/>
        <v xml:space="preserve">OBODY           </v>
      </c>
      <c r="H7" s="28" t="str">
        <f t="shared" ca="1" si="1"/>
        <v>BOSCO</v>
      </c>
      <c r="I7" s="28">
        <f t="shared" ca="1" si="2"/>
        <v>0</v>
      </c>
      <c r="J7" s="26" t="str">
        <f t="shared" ca="1" si="3"/>
        <v xml:space="preserve"> scocca O bag EVA</v>
      </c>
      <c r="K7" s="26" t="str">
        <f t="shared" ca="1" si="4"/>
        <v>verde bosco</v>
      </c>
      <c r="M7" s="20" t="b">
        <f t="shared" ca="1" si="16"/>
        <v>0</v>
      </c>
      <c r="N7" s="20" t="b">
        <f ca="1">AND($X7 &lt;&gt; "", J7&lt;&gt;AB7)</f>
        <v>0</v>
      </c>
      <c r="O7" s="20" t="b">
        <f ca="1">AND($X7 &lt;&gt; "", K7&lt;&gt;AC7)</f>
        <v>0</v>
      </c>
      <c r="P7" s="12"/>
      <c r="Q7" s="10" t="str">
        <f t="shared" ca="1" si="5"/>
        <v xml:space="preserve"> O bag fall 2018</v>
      </c>
      <c r="R7" s="10">
        <f t="shared" ca="1" si="6"/>
        <v>5</v>
      </c>
      <c r="S7" s="3" t="str">
        <f>Proforma!B9</f>
        <v>OBAGB001</v>
      </c>
      <c r="T7" s="3" t="str">
        <f>Proforma!C9</f>
        <v>EVS00</v>
      </c>
      <c r="U7" s="3">
        <f>Proforma!D9</f>
        <v>541</v>
      </c>
      <c r="W7" t="str">
        <f t="shared" si="7"/>
        <v>OBAGB001-EVS00-541</v>
      </c>
      <c r="X7" s="15">
        <f t="shared" ca="1" si="8"/>
        <v>8050846039070</v>
      </c>
      <c r="Y7" s="2"/>
      <c r="Z7" s="3">
        <f t="shared" ca="1" si="9"/>
        <v>467</v>
      </c>
      <c r="AA7" s="8">
        <f t="shared" ca="1" si="10"/>
        <v>23</v>
      </c>
      <c r="AB7" s="14" t="str">
        <f t="shared" ca="1" si="11"/>
        <v xml:space="preserve"> scocca O bag EVA</v>
      </c>
      <c r="AC7" s="14" t="str">
        <f t="shared" ca="1" si="12"/>
        <v>verde bosco</v>
      </c>
      <c r="AE7" s="6">
        <f t="shared" ca="1" si="13"/>
        <v>7343</v>
      </c>
    </row>
    <row r="8" spans="1:31" customFormat="1" ht="33.75" x14ac:dyDescent="0.5">
      <c r="A8" s="22">
        <f t="shared" ca="1" si="14"/>
        <v>8050846039711</v>
      </c>
      <c r="B8" s="21">
        <f>Proforma!F10</f>
        <v>3</v>
      </c>
      <c r="C8" s="21">
        <f>Proforma!G10</f>
        <v>14.16</v>
      </c>
      <c r="D8" s="21"/>
      <c r="E8" s="24" t="str">
        <f t="shared" ca="1" si="15"/>
        <v>8APASOG*adjhbb+</v>
      </c>
      <c r="G8" s="28" t="str">
        <f t="shared" ca="1" si="0"/>
        <v xml:space="preserve">OURBAN          </v>
      </c>
      <c r="H8" s="28" t="str">
        <f t="shared" ca="1" si="1"/>
        <v xml:space="preserve">SAND </v>
      </c>
      <c r="I8" s="28">
        <f t="shared" ca="1" si="2"/>
        <v>0</v>
      </c>
      <c r="J8" s="26" t="str">
        <f t="shared" ca="1" si="3"/>
        <v xml:space="preserve"> scocca O bag urban EVA</v>
      </c>
      <c r="K8" s="26" t="str">
        <f t="shared" ca="1" si="4"/>
        <v>sabbia</v>
      </c>
      <c r="M8" s="20" t="b">
        <f t="shared" ca="1" si="16"/>
        <v>0</v>
      </c>
      <c r="N8" s="20" t="b">
        <f ca="1">AND($X8 &lt;&gt; "", J8&lt;&gt;AB8)</f>
        <v>0</v>
      </c>
      <c r="O8" s="20" t="b">
        <f ca="1">AND($X8 &lt;&gt; "", K8&lt;&gt;AC8)</f>
        <v>0</v>
      </c>
      <c r="P8" s="12"/>
      <c r="Q8" s="10" t="str">
        <f t="shared" ca="1" si="5"/>
        <v xml:space="preserve"> O bag fall 2018</v>
      </c>
      <c r="R8" s="10">
        <f t="shared" ca="1" si="6"/>
        <v>12</v>
      </c>
      <c r="S8" s="3" t="str">
        <f>Proforma!B10</f>
        <v>OBAGB033</v>
      </c>
      <c r="T8" s="3" t="str">
        <f>Proforma!C10</f>
        <v>EVS00</v>
      </c>
      <c r="U8" s="3">
        <f>Proforma!D10</f>
        <v>78</v>
      </c>
      <c r="W8" t="str">
        <f t="shared" si="7"/>
        <v>OBAGB033-EVS00-078</v>
      </c>
      <c r="X8" s="15">
        <f t="shared" ca="1" si="8"/>
        <v>8050846039711</v>
      </c>
      <c r="Y8" s="2"/>
      <c r="Z8" s="3">
        <f t="shared" ca="1" si="9"/>
        <v>538</v>
      </c>
      <c r="AA8" s="8">
        <f t="shared" ca="1" si="10"/>
        <v>45</v>
      </c>
      <c r="AB8" s="14" t="str">
        <f t="shared" ca="1" si="11"/>
        <v xml:space="preserve"> scocca O bag urban EVA</v>
      </c>
      <c r="AC8" s="14" t="str">
        <f t="shared" ca="1" si="12"/>
        <v>sabbia</v>
      </c>
      <c r="AE8" s="6">
        <f t="shared" ca="1" si="13"/>
        <v>9204</v>
      </c>
    </row>
    <row r="9" spans="1:31" customFormat="1" ht="33.75" x14ac:dyDescent="0.5">
      <c r="A9" s="22" t="str">
        <f t="shared" ca="1" si="14"/>
        <v/>
      </c>
      <c r="B9" s="21">
        <f>Proforma!F11</f>
        <v>2</v>
      </c>
      <c r="C9" s="21">
        <f>Proforma!G11</f>
        <v>11.88</v>
      </c>
      <c r="D9" s="21"/>
      <c r="E9" s="24" t="str">
        <f t="shared" ca="1" si="15"/>
        <v/>
      </c>
      <c r="G9" s="28" t="str">
        <f t="shared" ca="1" si="0"/>
        <v/>
      </c>
      <c r="H9" s="28" t="str">
        <f t="shared" ca="1" si="1"/>
        <v/>
      </c>
      <c r="I9" s="28" t="str">
        <f t="shared" ca="1" si="2"/>
        <v/>
      </c>
      <c r="J9" s="26" t="str">
        <f t="shared" ca="1" si="3"/>
        <v xml:space="preserve"> scocca O bag glam EVA</v>
      </c>
      <c r="K9" s="26" t="str">
        <f t="shared" ca="1" si="4"/>
        <v>cioccolato</v>
      </c>
      <c r="M9" s="20" t="b">
        <f t="shared" ca="1" si="16"/>
        <v>0</v>
      </c>
      <c r="N9" s="20" t="b">
        <f ca="1">AND($X9 &lt;&gt; "", J9&lt;&gt;AB9)</f>
        <v>0</v>
      </c>
      <c r="O9" s="20" t="b">
        <f ca="1">AND($X9 &lt;&gt; "", K9&lt;&gt;AC9)</f>
        <v>0</v>
      </c>
      <c r="P9" s="12"/>
      <c r="Q9" s="10" t="str">
        <f t="shared" ca="1" si="5"/>
        <v xml:space="preserve"> O bag winter 2018</v>
      </c>
      <c r="R9" s="10">
        <f t="shared" ca="1" si="6"/>
        <v>19</v>
      </c>
      <c r="S9" s="3" t="str">
        <f>Proforma!B11</f>
        <v>OBAGB034</v>
      </c>
      <c r="T9" s="3" t="str">
        <f>Proforma!C11</f>
        <v>EVS00</v>
      </c>
      <c r="U9" s="3">
        <f>Proforma!D11</f>
        <v>24</v>
      </c>
      <c r="W9" t="str">
        <f t="shared" si="7"/>
        <v>OBAGB034-EVS00-024</v>
      </c>
      <c r="X9" s="15" t="str">
        <f t="shared" ca="1" si="8"/>
        <v/>
      </c>
      <c r="Y9" s="2"/>
      <c r="Z9" s="3">
        <f t="shared" ca="1" si="9"/>
        <v>10363</v>
      </c>
      <c r="AA9" s="8" t="str">
        <f t="shared" ca="1" si="10"/>
        <v/>
      </c>
      <c r="AB9" s="14" t="str">
        <f t="shared" ca="1" si="11"/>
        <v/>
      </c>
      <c r="AC9" s="14" t="str">
        <f t="shared" ca="1" si="12"/>
        <v/>
      </c>
      <c r="AE9" s="6" t="str">
        <f t="shared" ca="1" si="13"/>
        <v/>
      </c>
    </row>
    <row r="10" spans="1:31" customFormat="1" ht="33.75" x14ac:dyDescent="0.5">
      <c r="A10" s="22">
        <f t="shared" ca="1" si="14"/>
        <v>8050846039834</v>
      </c>
      <c r="B10" s="21">
        <f>Proforma!F12</f>
        <v>2</v>
      </c>
      <c r="C10" s="21">
        <f>Proforma!G12</f>
        <v>11.88</v>
      </c>
      <c r="D10" s="21"/>
      <c r="E10" s="24" t="str">
        <f t="shared" ca="1" si="15"/>
        <v>8APASOG*adjide+</v>
      </c>
      <c r="G10" s="28" t="str">
        <f t="shared" ca="1" si="0"/>
        <v xml:space="preserve">OGLAM           </v>
      </c>
      <c r="H10" s="28" t="str">
        <f t="shared" ca="1" si="1"/>
        <v xml:space="preserve">ROCK </v>
      </c>
      <c r="I10" s="28">
        <f t="shared" ca="1" si="2"/>
        <v>0</v>
      </c>
      <c r="J10" s="26" t="str">
        <f t="shared" ca="1" si="3"/>
        <v xml:space="preserve"> scocca O bag glam EVA</v>
      </c>
      <c r="K10" s="26" t="str">
        <f t="shared" ca="1" si="4"/>
        <v>roccia</v>
      </c>
      <c r="M10" s="20" t="b">
        <f t="shared" ca="1" si="16"/>
        <v>0</v>
      </c>
      <c r="N10" s="20" t="b">
        <f ca="1">AND($X10 &lt;&gt; "", J10&lt;&gt;AB10)</f>
        <v>0</v>
      </c>
      <c r="O10" s="20" t="b">
        <f ca="1">AND($X10 &lt;&gt; "", K10&lt;&gt;AC10)</f>
        <v>0</v>
      </c>
      <c r="P10" s="12"/>
      <c r="Q10" s="10" t="str">
        <f t="shared" ca="1" si="5"/>
        <v xml:space="preserve"> O bag fall 2018</v>
      </c>
      <c r="R10" s="10">
        <f t="shared" ca="1" si="6"/>
        <v>13</v>
      </c>
      <c r="S10" s="3" t="str">
        <f>Proforma!B12</f>
        <v>OBAGB034</v>
      </c>
      <c r="T10" s="3" t="str">
        <f>Proforma!C12</f>
        <v>EVS00</v>
      </c>
      <c r="U10" s="3">
        <f>Proforma!D12</f>
        <v>71</v>
      </c>
      <c r="W10" t="str">
        <f t="shared" si="7"/>
        <v>OBAGB034-EVS00-071</v>
      </c>
      <c r="X10" s="15">
        <f t="shared" ca="1" si="8"/>
        <v>8050846039834</v>
      </c>
      <c r="Y10" s="2"/>
      <c r="Z10" s="3">
        <f t="shared" ca="1" si="9"/>
        <v>548</v>
      </c>
      <c r="AA10" s="8">
        <f t="shared" ca="1" si="10"/>
        <v>55</v>
      </c>
      <c r="AB10" s="14" t="str">
        <f t="shared" ca="1" si="11"/>
        <v xml:space="preserve"> scocca O bag glam EVA</v>
      </c>
      <c r="AC10" s="14" t="str">
        <f t="shared" ca="1" si="12"/>
        <v>roccia</v>
      </c>
      <c r="AE10" s="6">
        <f t="shared" ca="1" si="13"/>
        <v>8495</v>
      </c>
    </row>
    <row r="11" spans="1:31" customFormat="1" ht="33.75" x14ac:dyDescent="0.5">
      <c r="A11" s="22" t="str">
        <f t="shared" ca="1" si="14"/>
        <v/>
      </c>
      <c r="B11" s="21">
        <f>Proforma!F13</f>
        <v>5</v>
      </c>
      <c r="C11" s="21">
        <f>Proforma!G13</f>
        <v>4.8</v>
      </c>
      <c r="D11" s="21"/>
      <c r="E11" s="24" t="str">
        <f t="shared" ca="1" si="15"/>
        <v/>
      </c>
      <c r="G11" s="28" t="str">
        <f t="shared" ca="1" si="0"/>
        <v/>
      </c>
      <c r="H11" s="28" t="str">
        <f t="shared" ca="1" si="1"/>
        <v/>
      </c>
      <c r="I11" s="28" t="str">
        <f t="shared" ca="1" si="2"/>
        <v/>
      </c>
      <c r="J11" s="26" t="str">
        <f t="shared" ca="1" si="3"/>
        <v xml:space="preserve"> scocca sotto O pocket EVA</v>
      </c>
      <c r="K11" s="26" t="str">
        <f t="shared" ca="1" si="4"/>
        <v>cioccolato</v>
      </c>
      <c r="M11" s="20" t="b">
        <f t="shared" ca="1" si="16"/>
        <v>0</v>
      </c>
      <c r="N11" s="20" t="b">
        <f ca="1">AND($X11 &lt;&gt; "", J11&lt;&gt;AB11)</f>
        <v>0</v>
      </c>
      <c r="O11" s="20" t="b">
        <f ca="1">AND($X11 &lt;&gt; "", K11&lt;&gt;AC11)</f>
        <v>0</v>
      </c>
      <c r="P11" s="12"/>
      <c r="Q11" s="10" t="str">
        <f t="shared" ca="1" si="5"/>
        <v xml:space="preserve"> O bag winter 2018</v>
      </c>
      <c r="R11" s="10">
        <f t="shared" ca="1" si="6"/>
        <v>20</v>
      </c>
      <c r="S11" s="3" t="str">
        <f>Proforma!B13</f>
        <v>OBAGB206</v>
      </c>
      <c r="T11" s="3" t="str">
        <f>Proforma!C13</f>
        <v>EVS00</v>
      </c>
      <c r="U11" s="3">
        <f>Proforma!D13</f>
        <v>24</v>
      </c>
      <c r="W11" t="str">
        <f t="shared" si="7"/>
        <v>OBAGB206-EVS00-024</v>
      </c>
      <c r="X11" s="15" t="str">
        <f t="shared" ca="1" si="8"/>
        <v/>
      </c>
      <c r="Y11" s="2"/>
      <c r="Z11" s="3">
        <f t="shared" ca="1" si="9"/>
        <v>10374</v>
      </c>
      <c r="AA11" s="8" t="str">
        <f t="shared" ca="1" si="10"/>
        <v/>
      </c>
      <c r="AB11" s="14" t="str">
        <f t="shared" ca="1" si="11"/>
        <v/>
      </c>
      <c r="AC11" s="14" t="str">
        <f t="shared" ca="1" si="12"/>
        <v/>
      </c>
      <c r="AE11" s="6" t="str">
        <f t="shared" ca="1" si="13"/>
        <v/>
      </c>
    </row>
    <row r="12" spans="1:31" customFormat="1" ht="33.75" x14ac:dyDescent="0.5">
      <c r="A12" s="22" t="str">
        <f t="shared" ca="1" si="14"/>
        <v/>
      </c>
      <c r="B12" s="21">
        <f>Proforma!F14</f>
        <v>5</v>
      </c>
      <c r="C12" s="21">
        <f>Proforma!G14</f>
        <v>10.8</v>
      </c>
      <c r="D12" s="21"/>
      <c r="E12" s="24" t="str">
        <f t="shared" ca="1" si="15"/>
        <v/>
      </c>
      <c r="G12" s="28" t="str">
        <f t="shared" ca="1" si="0"/>
        <v/>
      </c>
      <c r="H12" s="28" t="str">
        <f t="shared" ca="1" si="1"/>
        <v/>
      </c>
      <c r="I12" s="28" t="str">
        <f t="shared" ca="1" si="2"/>
        <v/>
      </c>
      <c r="J12" s="26" t="str">
        <f t="shared" ca="1" si="3"/>
        <v/>
      </c>
      <c r="K12" s="26" t="str">
        <f t="shared" ca="1" si="4"/>
        <v/>
      </c>
      <c r="M12" s="20" t="b">
        <f t="shared" ca="1" si="16"/>
        <v>0</v>
      </c>
      <c r="N12" s="20" t="b">
        <f ca="1">AND($X12 &lt;&gt; "", J12&lt;&gt;AB12)</f>
        <v>0</v>
      </c>
      <c r="O12" s="20" t="b">
        <f ca="1">AND($X12 &lt;&gt; "", K12&lt;&gt;AC12)</f>
        <v>0</v>
      </c>
      <c r="P12" s="12"/>
      <c r="Q12" s="10" t="str">
        <f t="shared" ca="1" si="5"/>
        <v/>
      </c>
      <c r="R12" s="10" t="str">
        <f t="shared" ca="1" si="6"/>
        <v/>
      </c>
      <c r="S12" s="3" t="str">
        <f>Proforma!B14</f>
        <v>OBAGS001</v>
      </c>
      <c r="T12" s="3" t="str">
        <f>Proforma!C14</f>
        <v>TESR1</v>
      </c>
      <c r="U12" s="3">
        <f>Proforma!D14</f>
        <v>18</v>
      </c>
      <c r="W12" t="str">
        <f t="shared" si="7"/>
        <v>OBAGS001-TESR1-018</v>
      </c>
      <c r="X12" s="15" t="str">
        <f t="shared" ca="1" si="8"/>
        <v/>
      </c>
      <c r="Y12" s="2"/>
      <c r="Z12" s="3" t="str">
        <f t="shared" ca="1" si="9"/>
        <v/>
      </c>
      <c r="AA12" s="8" t="str">
        <f t="shared" ca="1" si="10"/>
        <v/>
      </c>
      <c r="AB12" s="14" t="str">
        <f t="shared" ca="1" si="11"/>
        <v/>
      </c>
      <c r="AC12" s="14" t="str">
        <f t="shared" ca="1" si="12"/>
        <v/>
      </c>
      <c r="AE12" s="6" t="str">
        <f t="shared" ca="1" si="13"/>
        <v/>
      </c>
    </row>
    <row r="13" spans="1:31" customFormat="1" ht="33.75" x14ac:dyDescent="0.5">
      <c r="A13" s="22" t="str">
        <f t="shared" ca="1" si="14"/>
        <v/>
      </c>
      <c r="B13" s="21">
        <f>Proforma!F15</f>
        <v>8</v>
      </c>
      <c r="C13" s="21">
        <f>Proforma!G15</f>
        <v>10.8</v>
      </c>
      <c r="D13" s="21"/>
      <c r="E13" s="24" t="str">
        <f t="shared" ca="1" si="15"/>
        <v/>
      </c>
      <c r="G13" s="28" t="str">
        <f t="shared" ca="1" si="0"/>
        <v/>
      </c>
      <c r="H13" s="28" t="str">
        <f t="shared" ca="1" si="1"/>
        <v/>
      </c>
      <c r="I13" s="28" t="str">
        <f t="shared" ca="1" si="2"/>
        <v/>
      </c>
      <c r="J13" s="26" t="str">
        <f t="shared" ca="1" si="3"/>
        <v/>
      </c>
      <c r="K13" s="26" t="str">
        <f t="shared" ca="1" si="4"/>
        <v/>
      </c>
      <c r="M13" s="20" t="b">
        <f t="shared" ca="1" si="16"/>
        <v>0</v>
      </c>
      <c r="N13" s="20" t="b">
        <f ca="1">AND($X13 &lt;&gt; "", J13&lt;&gt;AB13)</f>
        <v>0</v>
      </c>
      <c r="O13" s="20" t="b">
        <f ca="1">AND($X13 &lt;&gt; "", K13&lt;&gt;AC13)</f>
        <v>0</v>
      </c>
      <c r="P13" s="12"/>
      <c r="Q13" s="10" t="str">
        <f t="shared" ca="1" si="5"/>
        <v/>
      </c>
      <c r="R13" s="10" t="str">
        <f t="shared" ca="1" si="6"/>
        <v/>
      </c>
      <c r="S13" s="3" t="str">
        <f>Proforma!B15</f>
        <v>OBAGS001</v>
      </c>
      <c r="T13" s="3" t="str">
        <f>Proforma!C15</f>
        <v>TESR1</v>
      </c>
      <c r="U13" s="3">
        <f>Proforma!D15</f>
        <v>258</v>
      </c>
      <c r="W13" t="str">
        <f t="shared" si="7"/>
        <v>OBAGS001-TESR1-258</v>
      </c>
      <c r="X13" s="15" t="str">
        <f t="shared" ca="1" si="8"/>
        <v/>
      </c>
      <c r="Y13" s="2"/>
      <c r="Z13" s="3" t="str">
        <f t="shared" ca="1" si="9"/>
        <v/>
      </c>
      <c r="AA13" s="8" t="str">
        <f t="shared" ca="1" si="10"/>
        <v/>
      </c>
      <c r="AB13" s="14" t="str">
        <f t="shared" ca="1" si="11"/>
        <v/>
      </c>
      <c r="AC13" s="14" t="str">
        <f t="shared" ca="1" si="12"/>
        <v/>
      </c>
      <c r="AE13" s="6" t="str">
        <f t="shared" ca="1" si="13"/>
        <v/>
      </c>
    </row>
    <row r="14" spans="1:31" customFormat="1" ht="33.75" x14ac:dyDescent="0.5">
      <c r="A14" s="22" t="str">
        <f t="shared" ca="1" si="14"/>
        <v/>
      </c>
      <c r="B14" s="21">
        <f>Proforma!F16</f>
        <v>3</v>
      </c>
      <c r="C14" s="21">
        <f>Proforma!G16</f>
        <v>9</v>
      </c>
      <c r="D14" s="21"/>
      <c r="E14" s="24" t="str">
        <f t="shared" ca="1" si="15"/>
        <v/>
      </c>
      <c r="G14" s="28" t="str">
        <f t="shared" ca="1" si="0"/>
        <v/>
      </c>
      <c r="H14" s="28" t="str">
        <f t="shared" ca="1" si="1"/>
        <v/>
      </c>
      <c r="I14" s="28" t="str">
        <f t="shared" ca="1" si="2"/>
        <v/>
      </c>
      <c r="J14" s="26" t="str">
        <f t="shared" ca="1" si="3"/>
        <v xml:space="preserve"> sacca interna zip O bag mini</v>
      </c>
      <c r="K14" s="26" t="str">
        <f t="shared" ca="1" si="4"/>
        <v>bordeaux</v>
      </c>
      <c r="M14" s="20" t="b">
        <f t="shared" ca="1" si="16"/>
        <v>0</v>
      </c>
      <c r="N14" s="20" t="b">
        <f ca="1">AND($X14 &lt;&gt; "", J14&lt;&gt;AB14)</f>
        <v>0</v>
      </c>
      <c r="O14" s="20" t="b">
        <f ca="1">AND($X14 &lt;&gt; "", K14&lt;&gt;AC14)</f>
        <v>0</v>
      </c>
      <c r="P14" s="12"/>
      <c r="Q14" s="10" t="str">
        <f t="shared" ca="1" si="5"/>
        <v xml:space="preserve"> O bag winter 2018</v>
      </c>
      <c r="R14" s="10">
        <f t="shared" ca="1" si="6"/>
        <v>81</v>
      </c>
      <c r="S14" s="3" t="str">
        <f>Proforma!B16</f>
        <v>OBAGS002</v>
      </c>
      <c r="T14" s="3" t="str">
        <f>Proforma!C16</f>
        <v>TESR1</v>
      </c>
      <c r="U14" s="3">
        <f>Proforma!D16</f>
        <v>18</v>
      </c>
      <c r="W14" t="str">
        <f t="shared" si="7"/>
        <v>OBAGS002-TESR1-018</v>
      </c>
      <c r="X14" s="15" t="str">
        <f t="shared" ca="1" si="8"/>
        <v/>
      </c>
      <c r="Y14" s="2"/>
      <c r="Z14" s="3">
        <f t="shared" ca="1" si="9"/>
        <v>10692</v>
      </c>
      <c r="AA14" s="8" t="str">
        <f t="shared" ca="1" si="10"/>
        <v/>
      </c>
      <c r="AB14" s="14" t="str">
        <f t="shared" ca="1" si="11"/>
        <v/>
      </c>
      <c r="AC14" s="14" t="str">
        <f t="shared" ca="1" si="12"/>
        <v/>
      </c>
      <c r="AE14" s="6" t="str">
        <f t="shared" ca="1" si="13"/>
        <v/>
      </c>
    </row>
    <row r="15" spans="1:31" customFormat="1" ht="33.75" x14ac:dyDescent="0.5">
      <c r="A15" s="22" t="str">
        <f t="shared" ca="1" si="14"/>
        <v/>
      </c>
      <c r="B15" s="21">
        <f>Proforma!F17</f>
        <v>5</v>
      </c>
      <c r="C15" s="21">
        <f>Proforma!G17</f>
        <v>9</v>
      </c>
      <c r="D15" s="21"/>
      <c r="E15" s="24" t="str">
        <f t="shared" ca="1" si="15"/>
        <v/>
      </c>
      <c r="G15" s="28" t="str">
        <f t="shared" ca="1" si="0"/>
        <v/>
      </c>
      <c r="H15" s="28" t="str">
        <f t="shared" ca="1" si="1"/>
        <v/>
      </c>
      <c r="I15" s="28" t="str">
        <f t="shared" ca="1" si="2"/>
        <v/>
      </c>
      <c r="J15" s="26" t="str">
        <f t="shared" ca="1" si="3"/>
        <v xml:space="preserve"> sacca interna zip O bag mini</v>
      </c>
      <c r="K15" s="26" t="str">
        <f t="shared" ca="1" si="4"/>
        <v>tortora</v>
      </c>
      <c r="M15" s="20" t="b">
        <f t="shared" ca="1" si="16"/>
        <v>0</v>
      </c>
      <c r="N15" s="20" t="b">
        <f ca="1">AND($X15 &lt;&gt; "", J15&lt;&gt;AB15)</f>
        <v>0</v>
      </c>
      <c r="O15" s="20" t="b">
        <f ca="1">AND($X15 &lt;&gt; "", K15&lt;&gt;AC15)</f>
        <v>0</v>
      </c>
      <c r="P15" s="12"/>
      <c r="Q15" s="10" t="str">
        <f t="shared" ca="1" si="5"/>
        <v xml:space="preserve"> O bag winter 2018</v>
      </c>
      <c r="R15" s="10">
        <f t="shared" ca="1" si="6"/>
        <v>81</v>
      </c>
      <c r="S15" s="3" t="str">
        <f>Proforma!B17</f>
        <v>OBAGS002</v>
      </c>
      <c r="T15" s="3" t="str">
        <f>Proforma!C17</f>
        <v>TESR1</v>
      </c>
      <c r="U15" s="3">
        <f>Proforma!D17</f>
        <v>86</v>
      </c>
      <c r="W15" t="str">
        <f t="shared" si="7"/>
        <v>OBAGS002-TESR1-086</v>
      </c>
      <c r="X15" s="15" t="str">
        <f t="shared" ca="1" si="8"/>
        <v/>
      </c>
      <c r="Y15" s="2"/>
      <c r="Z15" s="3">
        <f t="shared" ca="1" si="9"/>
        <v>10694</v>
      </c>
      <c r="AA15" s="8" t="str">
        <f t="shared" ca="1" si="10"/>
        <v/>
      </c>
      <c r="AB15" s="14" t="str">
        <f t="shared" ca="1" si="11"/>
        <v/>
      </c>
      <c r="AC15" s="14" t="str">
        <f t="shared" ca="1" si="12"/>
        <v/>
      </c>
      <c r="AE15" s="6" t="str">
        <f t="shared" ca="1" si="13"/>
        <v/>
      </c>
    </row>
    <row r="16" spans="1:31" customFormat="1" ht="33.75" x14ac:dyDescent="0.5">
      <c r="A16" s="22" t="str">
        <f t="shared" ca="1" si="14"/>
        <v/>
      </c>
      <c r="B16" s="21">
        <f>Proforma!F18</f>
        <v>3</v>
      </c>
      <c r="C16" s="21">
        <f>Proforma!G18</f>
        <v>9</v>
      </c>
      <c r="D16" s="21"/>
      <c r="E16" s="24" t="str">
        <f t="shared" ca="1" si="15"/>
        <v/>
      </c>
      <c r="G16" s="28" t="str">
        <f t="shared" ca="1" si="0"/>
        <v/>
      </c>
      <c r="H16" s="28" t="str">
        <f t="shared" ca="1" si="1"/>
        <v/>
      </c>
      <c r="I16" s="28" t="str">
        <f t="shared" ca="1" si="2"/>
        <v/>
      </c>
      <c r="J16" s="26" t="str">
        <f t="shared" ca="1" si="3"/>
        <v xml:space="preserve"> sacca interna zip O bag mini</v>
      </c>
      <c r="K16" s="26" t="str">
        <f t="shared" ca="1" si="4"/>
        <v>beige</v>
      </c>
      <c r="M16" s="20" t="b">
        <f t="shared" ca="1" si="16"/>
        <v>0</v>
      </c>
      <c r="N16" s="20" t="b">
        <f ca="1">AND($X16 &lt;&gt; "", J16&lt;&gt;AB16)</f>
        <v>0</v>
      </c>
      <c r="O16" s="20" t="b">
        <f ca="1">AND($X16 &lt;&gt; "", K16&lt;&gt;AC16)</f>
        <v>0</v>
      </c>
      <c r="P16" s="12"/>
      <c r="Q16" s="10" t="str">
        <f t="shared" ca="1" si="5"/>
        <v xml:space="preserve"> O bag winter 2018</v>
      </c>
      <c r="R16" s="10">
        <f t="shared" ca="1" si="6"/>
        <v>81</v>
      </c>
      <c r="S16" s="3" t="str">
        <f>Proforma!B18</f>
        <v>OBAGS002</v>
      </c>
      <c r="T16" s="3" t="str">
        <f>Proforma!C18</f>
        <v>TESR1</v>
      </c>
      <c r="U16" s="3">
        <f>Proforma!D18</f>
        <v>258</v>
      </c>
      <c r="W16" t="str">
        <f t="shared" si="7"/>
        <v>OBAGS002-TESR1-258</v>
      </c>
      <c r="X16" s="15" t="str">
        <f t="shared" ca="1" si="8"/>
        <v/>
      </c>
      <c r="Y16" s="2"/>
      <c r="Z16" s="3">
        <f t="shared" ca="1" si="9"/>
        <v>10695</v>
      </c>
      <c r="AA16" s="8" t="str">
        <f t="shared" ca="1" si="10"/>
        <v/>
      </c>
      <c r="AB16" s="14" t="str">
        <f t="shared" ca="1" si="11"/>
        <v/>
      </c>
      <c r="AC16" s="14" t="str">
        <f t="shared" ca="1" si="12"/>
        <v/>
      </c>
      <c r="AE16" s="6" t="str">
        <f t="shared" ca="1" si="13"/>
        <v/>
      </c>
    </row>
    <row r="17" spans="1:31" customFormat="1" ht="33.75" x14ac:dyDescent="0.5">
      <c r="A17" s="22">
        <f t="shared" ca="1" si="14"/>
        <v>8050846035195</v>
      </c>
      <c r="B17" s="21">
        <f>Proforma!F19</f>
        <v>2</v>
      </c>
      <c r="C17" s="21">
        <f>Proforma!G19</f>
        <v>18.96</v>
      </c>
      <c r="D17" s="21"/>
      <c r="E17" s="24" t="str">
        <f ca="1">IF(A17&lt;&gt;"",codeEAN13(INT(A17/10)),"")</f>
        <v>8APASOG*adfbjf+</v>
      </c>
      <c r="G17" s="28" t="str">
        <f t="shared" ca="1" si="0"/>
        <v>ANSESTUB/BANDOUL</v>
      </c>
      <c r="H17" s="28" t="str">
        <f t="shared" ca="1" si="1"/>
        <v xml:space="preserve">BDX  </v>
      </c>
      <c r="I17" s="28">
        <f t="shared" ca="1" si="2"/>
        <v>0</v>
      </c>
      <c r="J17" s="26" t="str">
        <f t="shared" ca="1" si="3"/>
        <v xml:space="preserve"> tracolla extraslim 110 +</v>
      </c>
      <c r="K17" s="26" t="str">
        <f t="shared" ca="1" si="4"/>
        <v>bordeaux</v>
      </c>
      <c r="M17" s="20" t="b">
        <f t="shared" ca="1" si="16"/>
        <v>0</v>
      </c>
      <c r="N17" s="20" t="b">
        <f ca="1">AND($X17 &lt;&gt; "", J17&lt;&gt;AB17)</f>
        <v>0</v>
      </c>
      <c r="O17" s="20" t="b">
        <f ca="1">AND($X17 &lt;&gt; "", K17&lt;&gt;AC17)</f>
        <v>0</v>
      </c>
      <c r="P17" s="12"/>
      <c r="Q17" s="10" t="str">
        <f t="shared" ca="1" si="5"/>
        <v xml:space="preserve"> O bag fall 2018</v>
      </c>
      <c r="R17" s="10">
        <f t="shared" ca="1" si="6"/>
        <v>37</v>
      </c>
      <c r="S17" s="3" t="str">
        <f>Proforma!B19</f>
        <v>SHOUX101</v>
      </c>
      <c r="T17" s="3" t="str">
        <f>Proforma!C19</f>
        <v>ECS00</v>
      </c>
      <c r="U17" s="3">
        <f>Proforma!D19</f>
        <v>18</v>
      </c>
      <c r="W17" t="str">
        <f t="shared" si="7"/>
        <v>SHOUX101-ECS00-018</v>
      </c>
      <c r="X17" s="15">
        <f t="shared" ca="1" si="8"/>
        <v>8050846035195</v>
      </c>
      <c r="Y17" s="2"/>
      <c r="Z17" s="3">
        <f t="shared" ca="1" si="9"/>
        <v>676</v>
      </c>
      <c r="AA17" s="8">
        <f t="shared" ca="1" si="10"/>
        <v>59</v>
      </c>
      <c r="AB17" s="14" t="str">
        <f t="shared" ca="1" si="11"/>
        <v xml:space="preserve"> tracolla extraslim 110 +</v>
      </c>
      <c r="AC17" s="14" t="str">
        <f t="shared" ca="1" si="12"/>
        <v>bordeaux</v>
      </c>
      <c r="AE17" s="6">
        <f t="shared" ca="1" si="13"/>
        <v>2396</v>
      </c>
    </row>
    <row r="18" spans="1:31" x14ac:dyDescent="0.25">
      <c r="H18" s="27"/>
      <c r="I18" s="27"/>
      <c r="X18" s="12"/>
      <c r="Y18" s="12"/>
    </row>
    <row r="19" spans="1:31" x14ac:dyDescent="0.25">
      <c r="J19" s="26"/>
      <c r="Q19" s="13"/>
      <c r="R19" s="13"/>
    </row>
  </sheetData>
  <conditionalFormatting sqref="M2:O17">
    <cfRule type="cellIs" dxfId="1" priority="1" operator="equal">
      <formula>TRUE</formula>
    </cfRule>
  </conditionalFormatting>
  <conditionalFormatting sqref="J2:K17">
    <cfRule type="expression" dxfId="0" priority="5">
      <formula>AND($X2 &lt;&gt; "", J2&lt;&gt;AB2)</formula>
    </cfRule>
  </conditionalFormatting>
  <pageMargins left="0.25" right="0.25" top="0.75" bottom="0.75" header="0.3" footer="0.3"/>
  <pageSetup paperSize="9" scale="86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7"/>
  <sheetViews>
    <sheetView workbookViewId="0">
      <selection activeCell="D7" sqref="D7"/>
    </sheetView>
  </sheetViews>
  <sheetFormatPr baseColWidth="10" defaultRowHeight="15" x14ac:dyDescent="0.25"/>
  <cols>
    <col min="1" max="1" width="16.7109375" style="2" bestFit="1" customWidth="1"/>
  </cols>
  <sheetData>
    <row r="1" spans="1:4" x14ac:dyDescent="0.25">
      <c r="A1" s="2" t="s">
        <v>48</v>
      </c>
      <c r="B1" t="s">
        <v>49</v>
      </c>
      <c r="C1" t="s">
        <v>11</v>
      </c>
      <c r="D1" t="s">
        <v>50</v>
      </c>
    </row>
    <row r="2" spans="1:4" x14ac:dyDescent="0.25">
      <c r="A2" s="2" t="s">
        <v>51</v>
      </c>
      <c r="B2">
        <v>8</v>
      </c>
      <c r="C2">
        <v>10.6</v>
      </c>
    </row>
    <row r="3" spans="1:4" x14ac:dyDescent="0.25">
      <c r="A3" s="2">
        <v>8050846039049</v>
      </c>
      <c r="B3">
        <v>8</v>
      </c>
      <c r="C3">
        <v>14.4</v>
      </c>
      <c r="D3">
        <v>42</v>
      </c>
    </row>
    <row r="4" spans="1:4" x14ac:dyDescent="0.25">
      <c r="A4" s="2">
        <v>8050846039100</v>
      </c>
      <c r="B4">
        <v>10</v>
      </c>
      <c r="C4">
        <v>14.4</v>
      </c>
      <c r="D4">
        <v>42</v>
      </c>
    </row>
    <row r="5" spans="1:4" x14ac:dyDescent="0.25">
      <c r="A5" s="2">
        <v>8050846039643</v>
      </c>
      <c r="B5">
        <v>3</v>
      </c>
      <c r="C5">
        <v>14.16</v>
      </c>
    </row>
    <row r="6" spans="1:4" x14ac:dyDescent="0.25">
      <c r="A6" s="2">
        <v>8050450214153</v>
      </c>
      <c r="B6" s="2">
        <v>8</v>
      </c>
      <c r="C6">
        <v>14.4</v>
      </c>
      <c r="D6">
        <v>42</v>
      </c>
    </row>
    <row r="7" spans="1:4" x14ac:dyDescent="0.25">
      <c r="A7" s="2">
        <v>8050846039070</v>
      </c>
      <c r="B7">
        <v>6</v>
      </c>
      <c r="C7">
        <v>14.4</v>
      </c>
      <c r="D7">
        <v>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2:L21"/>
  <sheetViews>
    <sheetView workbookViewId="0">
      <selection activeCell="B4" sqref="B4"/>
    </sheetView>
  </sheetViews>
  <sheetFormatPr baseColWidth="10" defaultRowHeight="15" x14ac:dyDescent="0.25"/>
  <cols>
    <col min="2" max="2" width="20.42578125" customWidth="1"/>
    <col min="3" max="3" width="14.5703125" customWidth="1"/>
    <col min="5" max="5" width="16.7109375" bestFit="1" customWidth="1"/>
    <col min="6" max="6" width="20.140625" bestFit="1" customWidth="1"/>
    <col min="8" max="9" width="14" bestFit="1" customWidth="1"/>
    <col min="10" max="10" width="16.7109375" bestFit="1" customWidth="1"/>
    <col min="11" max="11" width="7.140625" bestFit="1" customWidth="1"/>
  </cols>
  <sheetData>
    <row r="2" spans="1:12" x14ac:dyDescent="0.25">
      <c r="A2" t="s">
        <v>37</v>
      </c>
      <c r="B2" s="17" t="s">
        <v>46</v>
      </c>
    </row>
    <row r="3" spans="1:12" x14ac:dyDescent="0.25">
      <c r="A3" t="s">
        <v>38</v>
      </c>
      <c r="B3" s="18" t="s">
        <v>47</v>
      </c>
    </row>
    <row r="4" spans="1:12" x14ac:dyDescent="0.25">
      <c r="A4" t="s">
        <v>44</v>
      </c>
      <c r="B4" s="16" t="s">
        <v>45</v>
      </c>
    </row>
    <row r="6" spans="1:12" x14ac:dyDescent="0.25">
      <c r="A6" t="s">
        <v>41</v>
      </c>
    </row>
    <row r="7" spans="1:12" x14ac:dyDescent="0.25">
      <c r="B7" s="8" t="s">
        <v>42</v>
      </c>
      <c r="E7" s="7" t="s">
        <v>43</v>
      </c>
      <c r="H7" s="5" t="s">
        <v>44</v>
      </c>
    </row>
    <row r="8" spans="1:12" x14ac:dyDescent="0.25">
      <c r="B8" s="9" t="str">
        <f>[1]TousProduits!B22</f>
        <v>OBAGB037-EVS57-017</v>
      </c>
      <c r="C8" s="9" t="str">
        <f>[1]TousProduits!C22</f>
        <v xml:space="preserve"> O bag twist cocco</v>
      </c>
      <c r="E8" s="11">
        <f>[2]TousProduits.EAN13!A1</f>
        <v>8056099179433</v>
      </c>
      <c r="F8" s="11" t="str">
        <f>[2]TousProduits.EAN13!B1</f>
        <v>OBAGB001-EVS00-371</v>
      </c>
      <c r="H8" s="4">
        <f>'[3]0- EXPEAN13_PCOBAG01_2018121418'!A23</f>
        <v>3000020000032</v>
      </c>
      <c r="I8" s="4" t="str">
        <f>'[3]0- EXPEAN13_PCOBAG01_2018121418'!B23</f>
        <v xml:space="preserve">FULL         </v>
      </c>
      <c r="J8" s="4" t="str">
        <f>'[3]0- EXPEAN13_PCOBAG01_2018121418'!C23</f>
        <v xml:space="preserve">0CS01           </v>
      </c>
      <c r="K8" s="4" t="str">
        <f>'[3]0- EXPEAN13_PCOBAG01_2018121418'!D23</f>
        <v xml:space="preserve">     </v>
      </c>
      <c r="L8" s="4" t="str">
        <f>'[3]0- EXPEAN13_PCOBAG01_2018121418'!E23</f>
        <v xml:space="preserve">L    </v>
      </c>
    </row>
    <row r="9" spans="1:12" x14ac:dyDescent="0.25">
      <c r="B9" s="9" t="str">
        <f>[1]TousProduits!B23</f>
        <v>OBAGB037-EVS57-078</v>
      </c>
      <c r="C9" s="9" t="str">
        <f>[1]TousProduits!C23</f>
        <v xml:space="preserve"> O bag twist cocco</v>
      </c>
      <c r="E9" s="11">
        <f>[2]TousProduits.EAN13!A2</f>
        <v>8050450217574</v>
      </c>
      <c r="F9" s="11" t="str">
        <f>[2]TousProduits.EAN13!B2</f>
        <v>OBAGB001-EVS00-017</v>
      </c>
      <c r="H9" s="4">
        <f>'[3]0- EXPEAN13_PCOBAG01_2018121418'!A24</f>
        <v>3000020000025</v>
      </c>
      <c r="I9" s="4" t="str">
        <f>'[3]0- EXPEAN13_PCOBAG01_2018121418'!B24</f>
        <v xml:space="preserve">FULL         </v>
      </c>
      <c r="J9" s="4" t="str">
        <f>'[3]0- EXPEAN13_PCOBAG01_2018121418'!C24</f>
        <v xml:space="preserve">0CS01           </v>
      </c>
      <c r="K9" s="4" t="str">
        <f>'[3]0- EXPEAN13_PCOBAG01_2018121418'!D24</f>
        <v xml:space="preserve">     </v>
      </c>
      <c r="L9" s="4" t="str">
        <f>'[3]0- EXPEAN13_PCOBAG01_2018121418'!E24</f>
        <v xml:space="preserve">M    </v>
      </c>
    </row>
    <row r="10" spans="1:12" x14ac:dyDescent="0.25">
      <c r="B10" s="9" t="str">
        <f>[1]TousProduits!B24</f>
        <v>OBAGB037-EVS57-018</v>
      </c>
      <c r="C10" s="9" t="str">
        <f>[1]TousProduits!C24</f>
        <v xml:space="preserve"> O bag twist cocco</v>
      </c>
      <c r="E10" s="11">
        <f>[2]TousProduits.EAN13!A3</f>
        <v>8051770308669</v>
      </c>
      <c r="F10" s="11" t="str">
        <f>[2]TousProduits.EAN13!B3</f>
        <v>OBAGB001-EVS00-078</v>
      </c>
      <c r="H10" s="4">
        <f>'[3]0- EXPEAN13_PCOBAG01_2018121418'!A25</f>
        <v>3000020000018</v>
      </c>
      <c r="I10" s="4" t="str">
        <f>'[3]0- EXPEAN13_PCOBAG01_2018121418'!B25</f>
        <v xml:space="preserve">FULL         </v>
      </c>
      <c r="J10" s="4" t="str">
        <f>'[3]0- EXPEAN13_PCOBAG01_2018121418'!C25</f>
        <v xml:space="preserve">0CS01           </v>
      </c>
      <c r="K10" s="4" t="str">
        <f>'[3]0- EXPEAN13_PCOBAG01_2018121418'!D25</f>
        <v xml:space="preserve">     </v>
      </c>
      <c r="L10" s="4" t="str">
        <f>'[3]0- EXPEAN13_PCOBAG01_2018121418'!E25</f>
        <v xml:space="preserve">S    </v>
      </c>
    </row>
    <row r="11" spans="1:12" x14ac:dyDescent="0.25">
      <c r="B11" s="9" t="str">
        <f>[1]TousProduits!B25</f>
        <v>OBAGB037-EVS57-371</v>
      </c>
      <c r="C11" s="9" t="str">
        <f>[1]TousProduits!C25</f>
        <v xml:space="preserve"> O bag twist cocco</v>
      </c>
      <c r="E11" s="11">
        <f>[2]TousProduits.EAN13!A4</f>
        <v>8051770308652</v>
      </c>
      <c r="F11" s="11" t="str">
        <f>[2]TousProduits.EAN13!B4</f>
        <v>OBAGB001-EVS00-071</v>
      </c>
      <c r="H11" s="4">
        <f>'[3]0- EXPEAN13_PCOBAG01_2018121418'!A26</f>
        <v>3000020000049</v>
      </c>
      <c r="I11" s="4" t="str">
        <f>'[3]0- EXPEAN13_PCOBAG01_2018121418'!B26</f>
        <v xml:space="preserve">FULL         </v>
      </c>
      <c r="J11" s="4" t="str">
        <f>'[3]0- EXPEAN13_PCOBAG01_2018121418'!C26</f>
        <v xml:space="preserve">0CS01           </v>
      </c>
      <c r="K11" s="4" t="str">
        <f>'[3]0- EXPEAN13_PCOBAG01_2018121418'!D26</f>
        <v xml:space="preserve">     </v>
      </c>
      <c r="L11" s="4" t="str">
        <f>'[3]0- EXPEAN13_PCOBAG01_2018121418'!E26</f>
        <v xml:space="preserve">XL   </v>
      </c>
    </row>
    <row r="12" spans="1:12" x14ac:dyDescent="0.25">
      <c r="B12" s="9" t="str">
        <f>[1]TousProduits!B26</f>
        <v>OBAGB037-EVS57-055</v>
      </c>
      <c r="C12" s="9" t="str">
        <f>[1]TousProduits!C26</f>
        <v xml:space="preserve"> O bag twist cocco</v>
      </c>
      <c r="E12" s="11">
        <f>[2]TousProduits.EAN13!A5</f>
        <v>8051770308638</v>
      </c>
      <c r="F12" s="11" t="str">
        <f>[2]TousProduits.EAN13!B5</f>
        <v>OBAGB001-EVS00-055</v>
      </c>
      <c r="H12" s="4">
        <f>'[3]0- EXPEAN13_PCOBAG01_2018121418'!A27</f>
        <v>3000020000001</v>
      </c>
      <c r="I12" s="4" t="str">
        <f>'[3]0- EXPEAN13_PCOBAG01_2018121418'!B27</f>
        <v xml:space="preserve">FULL         </v>
      </c>
      <c r="J12" s="4" t="str">
        <f>'[3]0- EXPEAN13_PCOBAG01_2018121418'!C27</f>
        <v xml:space="preserve">0CS01           </v>
      </c>
      <c r="K12" s="4" t="str">
        <f>'[3]0- EXPEAN13_PCOBAG01_2018121418'!D27</f>
        <v xml:space="preserve">     </v>
      </c>
      <c r="L12" s="4" t="str">
        <f>'[3]0- EXPEAN13_PCOBAG01_2018121418'!E27</f>
        <v xml:space="preserve">XS   </v>
      </c>
    </row>
    <row r="13" spans="1:12" x14ac:dyDescent="0.25">
      <c r="B13" s="9" t="str">
        <f>[1]TousProduits!B27</f>
        <v>OBAGB037-EVS57-559</v>
      </c>
      <c r="C13" s="9" t="str">
        <f>[1]TousProduits!C27</f>
        <v xml:space="preserve"> O bag twist cocco</v>
      </c>
      <c r="E13" s="11">
        <f>[2]TousProduits.EAN13!A6</f>
        <v>8056099177125</v>
      </c>
      <c r="F13" s="11" t="str">
        <f>[2]TousProduits.EAN13!B6</f>
        <v>OBAGB002-EVS00-371</v>
      </c>
      <c r="H13" s="4">
        <f>'[3]0- EXPEAN13_PCOBAG01_2018121418'!A28</f>
        <v>3000210000033</v>
      </c>
      <c r="I13" s="4" t="str">
        <f>'[3]0- EXPEAN13_PCOBAG01_2018121418'!B28</f>
        <v xml:space="preserve">FULL         </v>
      </c>
      <c r="J13" s="4" t="str">
        <f>'[3]0- EXPEAN13_PCOBAG01_2018121418'!C28</f>
        <v xml:space="preserve">0CS16           </v>
      </c>
      <c r="K13" s="4" t="str">
        <f>'[3]0- EXPEAN13_PCOBAG01_2018121418'!D28</f>
        <v xml:space="preserve">     </v>
      </c>
      <c r="L13" s="4" t="str">
        <f>'[3]0- EXPEAN13_PCOBAG01_2018121418'!E28</f>
        <v xml:space="preserve">L    </v>
      </c>
    </row>
    <row r="14" spans="1:12" x14ac:dyDescent="0.25">
      <c r="B14" s="9" t="str">
        <f>[1]TousProduits!B28</f>
        <v>HLESCE01-ECS00-612</v>
      </c>
      <c r="C14" s="9" t="str">
        <f>[1]TousProduits!C28</f>
        <v xml:space="preserve"> O bag twist cocco</v>
      </c>
      <c r="E14" s="11">
        <f>[2]TousProduits.EAN13!A7</f>
        <v>8050450218335</v>
      </c>
      <c r="F14" s="11" t="str">
        <f>[2]TousProduits.EAN13!B7</f>
        <v>OBAGB002-EVS00-017</v>
      </c>
      <c r="H14" s="4">
        <f>'[3]0- EXPEAN13_PCOBAG01_2018121418'!A29</f>
        <v>3000210000026</v>
      </c>
      <c r="I14" s="4" t="str">
        <f>'[3]0- EXPEAN13_PCOBAG01_2018121418'!B29</f>
        <v xml:space="preserve">FULL         </v>
      </c>
      <c r="J14" s="4" t="str">
        <f>'[3]0- EXPEAN13_PCOBAG01_2018121418'!C29</f>
        <v xml:space="preserve">0CS16           </v>
      </c>
      <c r="K14" s="4" t="str">
        <f>'[3]0- EXPEAN13_PCOBAG01_2018121418'!D29</f>
        <v xml:space="preserve">     </v>
      </c>
      <c r="L14" s="4" t="str">
        <f>'[3]0- EXPEAN13_PCOBAG01_2018121418'!E29</f>
        <v xml:space="preserve">M    </v>
      </c>
    </row>
    <row r="15" spans="1:12" x14ac:dyDescent="0.25">
      <c r="B15" s="9" t="str">
        <f>[1]TousProduits!B29</f>
        <v>HLESCE01-ECS00-055</v>
      </c>
      <c r="C15" s="9" t="str">
        <f>[1]TousProduits!C29</f>
        <v xml:space="preserve"> O bag twist cocco</v>
      </c>
      <c r="E15" s="11">
        <f>[2]TousProduits.EAN13!A8</f>
        <v>8050450215631</v>
      </c>
      <c r="F15" s="11" t="str">
        <f>[2]TousProduits.EAN13!B8</f>
        <v>OBAGB002-EVS00-078</v>
      </c>
      <c r="H15" s="4">
        <f>'[3]0- EXPEAN13_PCOBAG01_2018121418'!A30</f>
        <v>3000210000019</v>
      </c>
      <c r="I15" s="4" t="str">
        <f>'[3]0- EXPEAN13_PCOBAG01_2018121418'!B30</f>
        <v xml:space="preserve">FULL         </v>
      </c>
      <c r="J15" s="4" t="str">
        <f>'[3]0- EXPEAN13_PCOBAG01_2018121418'!C30</f>
        <v xml:space="preserve">0CS16           </v>
      </c>
      <c r="K15" s="4" t="str">
        <f>'[3]0- EXPEAN13_PCOBAG01_2018121418'!D30</f>
        <v xml:space="preserve">     </v>
      </c>
      <c r="L15" s="4" t="str">
        <f>'[3]0- EXPEAN13_PCOBAG01_2018121418'!E30</f>
        <v xml:space="preserve">S    </v>
      </c>
    </row>
    <row r="16" spans="1:12" x14ac:dyDescent="0.25">
      <c r="B16" s="9" t="str">
        <f>[1]TousProduits!B30</f>
        <v>HLESCE01-ECS00-613</v>
      </c>
      <c r="C16" s="9" t="str">
        <f>[1]TousProduits!C30</f>
        <v xml:space="preserve"> O bag twist cocco</v>
      </c>
      <c r="E16" s="11">
        <f>[2]TousProduits.EAN13!A9</f>
        <v>8051770309819</v>
      </c>
      <c r="F16" s="11" t="str">
        <f>[2]TousProduits.EAN13!B9</f>
        <v>OBAGB002-EVS00-071</v>
      </c>
      <c r="H16" s="4">
        <f>'[3]0- EXPEAN13_PCOBAG01_2018121418'!A31</f>
        <v>3000210000040</v>
      </c>
      <c r="I16" s="4" t="str">
        <f>'[3]0- EXPEAN13_PCOBAG01_2018121418'!B31</f>
        <v xml:space="preserve">FULL         </v>
      </c>
      <c r="J16" s="4" t="str">
        <f>'[3]0- EXPEAN13_PCOBAG01_2018121418'!C31</f>
        <v xml:space="preserve">0CS16           </v>
      </c>
      <c r="K16" s="4" t="str">
        <f>'[3]0- EXPEAN13_PCOBAG01_2018121418'!D31</f>
        <v xml:space="preserve">     </v>
      </c>
      <c r="L16" s="4" t="str">
        <f>'[3]0- EXPEAN13_PCOBAG01_2018121418'!E31</f>
        <v xml:space="preserve">XL   </v>
      </c>
    </row>
    <row r="17" spans="2:12" x14ac:dyDescent="0.25">
      <c r="B17" s="9" t="str">
        <f>[1]TousProduits!B31</f>
        <v>HLESGC19-EVS54-017</v>
      </c>
      <c r="C17" s="9" t="str">
        <f>[1]TousProduits!C31</f>
        <v xml:space="preserve"> O bag twist cocco</v>
      </c>
      <c r="E17" s="11">
        <f>[2]TousProduits.EAN13!A10</f>
        <v>8051770309833</v>
      </c>
      <c r="F17" s="11" t="str">
        <f>[2]TousProduits.EAN13!B10</f>
        <v>OBAGB002-EVS00-055</v>
      </c>
      <c r="H17" s="4">
        <f>'[3]0- EXPEAN13_PCOBAG01_2018121418'!A32</f>
        <v>3000210000002</v>
      </c>
      <c r="I17" s="4" t="str">
        <f>'[3]0- EXPEAN13_PCOBAG01_2018121418'!B32</f>
        <v xml:space="preserve">FULL         </v>
      </c>
      <c r="J17" s="4" t="str">
        <f>'[3]0- EXPEAN13_PCOBAG01_2018121418'!C32</f>
        <v xml:space="preserve">0CS16           </v>
      </c>
      <c r="K17" s="4" t="str">
        <f>'[3]0- EXPEAN13_PCOBAG01_2018121418'!D32</f>
        <v xml:space="preserve">     </v>
      </c>
      <c r="L17" s="4" t="str">
        <f>'[3]0- EXPEAN13_PCOBAG01_2018121418'!E32</f>
        <v xml:space="preserve">XS   </v>
      </c>
    </row>
    <row r="18" spans="2:12" x14ac:dyDescent="0.25">
      <c r="B18" s="9" t="str">
        <f>[1]TousProduits!B32</f>
        <v>HLESGC19-EVS54-078</v>
      </c>
      <c r="C18" s="9" t="str">
        <f>[1]TousProduits!C32</f>
        <v xml:space="preserve"> O bag twist cocco</v>
      </c>
      <c r="E18" s="11">
        <f>[2]TousProduits.EAN13!A11</f>
        <v>8058333587646</v>
      </c>
      <c r="F18" s="11" t="str">
        <f>[2]TousProduits.EAN13!B11</f>
        <v>OBAGB001-EVS00-002</v>
      </c>
      <c r="H18" s="4">
        <f>'[3]0- EXPEAN13_PCOBAG01_2018121418'!A33</f>
        <v>8050538599196</v>
      </c>
      <c r="I18" s="4" t="str">
        <f>'[3]0- EXPEAN13_PCOBAG01_2018121418'!B33</f>
        <v xml:space="preserve">FULL         </v>
      </c>
      <c r="J18" s="4" t="str">
        <f>'[3]0- EXPEAN13_PCOBAG01_2018121418'!C33</f>
        <v xml:space="preserve">ABATJOUROJOY    </v>
      </c>
      <c r="K18" s="4" t="str">
        <f>'[3]0- EXPEAN13_PCOBAG01_2018121418'!D33</f>
        <v>ANTHR</v>
      </c>
      <c r="L18" s="4">
        <f>'[3]0- EXPEAN13_PCOBAG01_2018121418'!E33</f>
        <v>0</v>
      </c>
    </row>
    <row r="19" spans="2:12" x14ac:dyDescent="0.25">
      <c r="B19" s="9" t="str">
        <f>[1]TousProduits!B33</f>
        <v>HLESGC19-EVS54-018</v>
      </c>
      <c r="C19" s="9" t="str">
        <f>[1]TousProduits!C33</f>
        <v xml:space="preserve"> O bag twist cocco</v>
      </c>
      <c r="E19" s="11">
        <f>[2]TousProduits.EAN13!A12</f>
        <v>8050450212456</v>
      </c>
      <c r="F19" s="11" t="str">
        <f>[2]TousProduits.EAN13!B12</f>
        <v>OBAGB001-EVS00-038</v>
      </c>
      <c r="H19" s="4">
        <f>'[3]0- EXPEAN13_PCOBAG01_2018121418'!A34</f>
        <v>8050538599189</v>
      </c>
      <c r="I19" s="4" t="str">
        <f>'[3]0- EXPEAN13_PCOBAG01_2018121418'!B34</f>
        <v xml:space="preserve">FULL         </v>
      </c>
      <c r="J19" s="4" t="str">
        <f>'[3]0- EXPEAN13_PCOBAG01_2018121418'!C34</f>
        <v xml:space="preserve">ABATJOUROJOY    </v>
      </c>
      <c r="K19" s="4" t="str">
        <f>'[3]0- EXPEAN13_PCOBAG01_2018121418'!D34</f>
        <v>AUBER</v>
      </c>
      <c r="L19" s="4">
        <f>'[3]0- EXPEAN13_PCOBAG01_2018121418'!E34</f>
        <v>0</v>
      </c>
    </row>
    <row r="20" spans="2:12" x14ac:dyDescent="0.25">
      <c r="B20" s="9" t="str">
        <f>[1]TousProduits!B34</f>
        <v>HLESGC19-EVS54-371</v>
      </c>
      <c r="C20" s="9" t="str">
        <f>[1]TousProduits!C34</f>
        <v xml:space="preserve"> O bag twist cocco</v>
      </c>
      <c r="E20" s="11">
        <f>[2]TousProduits.EAN13!A13</f>
        <v>8050846039056</v>
      </c>
      <c r="F20" s="11" t="str">
        <f>[2]TousProduits.EAN13!B13</f>
        <v>OBAGB001-EVS00-463</v>
      </c>
      <c r="H20" s="4">
        <f>'[3]0- EXPEAN13_PCOBAG01_2018121418'!A35</f>
        <v>8050538599219</v>
      </c>
      <c r="I20" s="4" t="str">
        <f>'[3]0- EXPEAN13_PCOBAG01_2018121418'!B35</f>
        <v xml:space="preserve">FULL         </v>
      </c>
      <c r="J20" s="4" t="str">
        <f>'[3]0- EXPEAN13_PCOBAG01_2018121418'!C35</f>
        <v xml:space="preserve">ABATJOUROJOY    </v>
      </c>
      <c r="K20" s="4" t="str">
        <f>'[3]0- EXPEAN13_PCOBAG01_2018121418'!D35</f>
        <v xml:space="preserve">BLUE </v>
      </c>
      <c r="L20" s="4">
        <f>'[3]0- EXPEAN13_PCOBAG01_2018121418'!E35</f>
        <v>0</v>
      </c>
    </row>
    <row r="21" spans="2:12" x14ac:dyDescent="0.25">
      <c r="B21" s="9" t="str">
        <f>[1]TousProduits!B35</f>
        <v>HLESGC19-EVS54-559</v>
      </c>
      <c r="C21" s="9" t="str">
        <f>[1]TousProduits!C35</f>
        <v xml:space="preserve"> O bag twist cocco</v>
      </c>
      <c r="E21" s="11">
        <f>[2]TousProduits.EAN13!A14</f>
        <v>8050538590667</v>
      </c>
      <c r="F21" s="11" t="str">
        <f>[2]TousProduits.EAN13!B14</f>
        <v>OBAGB001-EVS00-050</v>
      </c>
      <c r="H21" s="4">
        <f>'[3]0- EXPEAN13_PCOBAG01_2018121418'!A36</f>
        <v>3006100431000</v>
      </c>
      <c r="I21" s="4" t="str">
        <f>'[3]0- EXPEAN13_PCOBAG01_2018121418'!B36</f>
        <v xml:space="preserve">FULL         </v>
      </c>
      <c r="J21" s="4" t="str">
        <f>'[3]0- EXPEAN13_PCOBAG01_2018121418'!C36</f>
        <v xml:space="preserve">ABATJOUROJOY    </v>
      </c>
      <c r="K21" s="4" t="str">
        <f>'[3]0- EXPEAN13_PCOBAG01_2018121418'!D36</f>
        <v xml:space="preserve">VERT </v>
      </c>
      <c r="L21" s="4">
        <f>'[3]0- EXPEAN13_PCOBAG01_2018121418'!E36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4</vt:i4>
      </vt:variant>
    </vt:vector>
  </HeadingPairs>
  <TitlesOfParts>
    <vt:vector size="8" baseType="lpstr">
      <vt:lpstr>Proforma</vt:lpstr>
      <vt:lpstr>Préparation Import</vt:lpstr>
      <vt:lpstr>Import 2018 50 3148 Valmag</vt:lpstr>
      <vt:lpstr>Données</vt:lpstr>
      <vt:lpstr>tabEAN.Valmag</vt:lpstr>
      <vt:lpstr>tabEAN13</vt:lpstr>
      <vt:lpstr>tabEAN13.inconnus</vt:lpstr>
      <vt:lpstr>'Préparation Import'!Zone_d_impression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NB TA) - AF</dc:creator>
  <cp:lastModifiedBy>Lestang, Jean (DI NB TA) - AF</cp:lastModifiedBy>
  <cp:lastPrinted>2018-12-17T11:34:34Z</cp:lastPrinted>
  <dcterms:created xsi:type="dcterms:W3CDTF">2018-12-16T11:44:40Z</dcterms:created>
  <dcterms:modified xsi:type="dcterms:W3CDTF">2018-12-17T11:34:38Z</dcterms:modified>
</cp:coreProperties>
</file>