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Mac Jean 2018\Dominique\Automatisation factures\Proforma\"/>
    </mc:Choice>
  </mc:AlternateContent>
  <bookViews>
    <workbookView xWindow="0" yWindow="0" windowWidth="28800" windowHeight="12435" activeTab="1"/>
  </bookViews>
  <sheets>
    <sheet name="Proforma" sheetId="1" r:id="rId1"/>
    <sheet name="Préparation Import" sheetId="6" r:id="rId2"/>
    <sheet name="Import" sheetId="11" r:id="rId3"/>
    <sheet name="Données" sheetId="7" r:id="rId4"/>
  </sheets>
  <externalReferences>
    <externalReference r:id="rId5"/>
    <externalReference r:id="rId6"/>
    <externalReference r:id="rId7"/>
  </externalReferences>
  <definedNames>
    <definedName name="tabEAN.Valmag">Données!$B$4</definedName>
    <definedName name="tabEAN13">Données!$B$2</definedName>
    <definedName name="tabEAN13.inconnus">Données!$B$3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" l="1"/>
  <c r="B15" i="7"/>
  <c r="C15" i="7"/>
  <c r="E15" i="7"/>
  <c r="F15" i="7"/>
  <c r="H15" i="7"/>
  <c r="I15" i="7"/>
  <c r="J15" i="7"/>
  <c r="K15" i="7"/>
  <c r="L15" i="7"/>
  <c r="B16" i="7"/>
  <c r="C16" i="7"/>
  <c r="E16" i="7"/>
  <c r="F16" i="7"/>
  <c r="H16" i="7"/>
  <c r="I16" i="7"/>
  <c r="J16" i="7"/>
  <c r="K16" i="7"/>
  <c r="L16" i="7"/>
  <c r="B17" i="7"/>
  <c r="C17" i="7"/>
  <c r="E17" i="7"/>
  <c r="F17" i="7"/>
  <c r="H17" i="7"/>
  <c r="I17" i="7"/>
  <c r="J17" i="7"/>
  <c r="K17" i="7"/>
  <c r="L17" i="7"/>
  <c r="B18" i="7"/>
  <c r="C18" i="7"/>
  <c r="E18" i="7"/>
  <c r="F18" i="7"/>
  <c r="H18" i="7"/>
  <c r="I18" i="7"/>
  <c r="J18" i="7"/>
  <c r="K18" i="7"/>
  <c r="L18" i="7"/>
  <c r="B19" i="7"/>
  <c r="C19" i="7"/>
  <c r="E19" i="7"/>
  <c r="F19" i="7"/>
  <c r="H19" i="7"/>
  <c r="I19" i="7"/>
  <c r="J19" i="7"/>
  <c r="K19" i="7"/>
  <c r="L19" i="7"/>
  <c r="B20" i="7"/>
  <c r="C20" i="7"/>
  <c r="E20" i="7"/>
  <c r="F20" i="7"/>
  <c r="H20" i="7"/>
  <c r="I20" i="7"/>
  <c r="J20" i="7"/>
  <c r="K20" i="7"/>
  <c r="L20" i="7"/>
  <c r="B21" i="7"/>
  <c r="C21" i="7"/>
  <c r="E21" i="7"/>
  <c r="F21" i="7"/>
  <c r="H21" i="7"/>
  <c r="I21" i="7"/>
  <c r="J21" i="7"/>
  <c r="K21" i="7"/>
  <c r="L21" i="7"/>
  <c r="C8" i="7"/>
  <c r="C9" i="7"/>
  <c r="C10" i="7"/>
  <c r="C11" i="7"/>
  <c r="C12" i="7"/>
  <c r="C13" i="7"/>
  <c r="C14" i="7"/>
  <c r="K8" i="7"/>
  <c r="L8" i="7"/>
  <c r="K9" i="7"/>
  <c r="L9" i="7"/>
  <c r="K10" i="7"/>
  <c r="L10" i="7"/>
  <c r="K11" i="7"/>
  <c r="L11" i="7"/>
  <c r="K12" i="7"/>
  <c r="L12" i="7"/>
  <c r="K13" i="7"/>
  <c r="L13" i="7"/>
  <c r="K14" i="7"/>
  <c r="L14" i="7"/>
  <c r="I8" i="7"/>
  <c r="J8" i="7"/>
  <c r="H9" i="7"/>
  <c r="I9" i="7"/>
  <c r="J9" i="7"/>
  <c r="H10" i="7"/>
  <c r="I10" i="7"/>
  <c r="J10" i="7"/>
  <c r="H11" i="7"/>
  <c r="I11" i="7"/>
  <c r="J11" i="7"/>
  <c r="H12" i="7"/>
  <c r="I12" i="7"/>
  <c r="J12" i="7"/>
  <c r="H13" i="7"/>
  <c r="I13" i="7"/>
  <c r="J13" i="7"/>
  <c r="H14" i="7"/>
  <c r="I14" i="7"/>
  <c r="J14" i="7"/>
  <c r="F14" i="7" l="1"/>
  <c r="F13" i="7"/>
  <c r="F12" i="7"/>
  <c r="F11" i="7"/>
  <c r="F10" i="7"/>
  <c r="F9" i="7"/>
  <c r="F8" i="7"/>
  <c r="E9" i="7"/>
  <c r="E10" i="7"/>
  <c r="E11" i="7"/>
  <c r="E12" i="7"/>
  <c r="E13" i="7"/>
  <c r="E14" i="7"/>
  <c r="E8" i="7"/>
  <c r="B8" i="7"/>
  <c r="B9" i="7"/>
  <c r="B10" i="7"/>
  <c r="B11" i="7"/>
  <c r="B12" i="7"/>
  <c r="B13" i="7"/>
  <c r="B14" i="7"/>
  <c r="B16" i="6" l="1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" i="6"/>
  <c r="M16" i="6"/>
  <c r="E16" i="6"/>
  <c r="M12" i="6"/>
  <c r="E12" i="6"/>
  <c r="M8" i="6"/>
  <c r="E8" i="6"/>
  <c r="M4" i="6"/>
  <c r="O4" i="6" s="1"/>
  <c r="E4" i="6"/>
  <c r="M15" i="6"/>
  <c r="E15" i="6"/>
  <c r="M11" i="6"/>
  <c r="E11" i="6"/>
  <c r="M7" i="6"/>
  <c r="E7" i="6"/>
  <c r="M3" i="6"/>
  <c r="E3" i="6"/>
  <c r="M14" i="6"/>
  <c r="E14" i="6"/>
  <c r="M10" i="6"/>
  <c r="E10" i="6"/>
  <c r="M6" i="6"/>
  <c r="E6" i="6"/>
  <c r="M2" i="6"/>
  <c r="E2" i="6"/>
  <c r="M13" i="6"/>
  <c r="E13" i="6"/>
  <c r="M9" i="6"/>
  <c r="E9" i="6"/>
  <c r="M5" i="6"/>
  <c r="N5" i="6" s="1"/>
  <c r="E5" i="6"/>
  <c r="M1" i="6"/>
  <c r="E1" i="6"/>
  <c r="C16" i="6"/>
  <c r="Q16" i="6" s="1"/>
  <c r="N16" i="6"/>
  <c r="O16" i="6"/>
  <c r="F16" i="6"/>
  <c r="G16" i="6"/>
  <c r="H16" i="6"/>
  <c r="I16" i="6"/>
  <c r="C12" i="6"/>
  <c r="Q12" i="6" s="1"/>
  <c r="N12" i="6"/>
  <c r="O12" i="6"/>
  <c r="G12" i="6"/>
  <c r="H12" i="6"/>
  <c r="F12" i="6"/>
  <c r="I12" i="6"/>
  <c r="C8" i="6"/>
  <c r="Q8" i="6" s="1"/>
  <c r="N8" i="6"/>
  <c r="O8" i="6"/>
  <c r="F8" i="6"/>
  <c r="G8" i="6"/>
  <c r="H8" i="6"/>
  <c r="I8" i="6"/>
  <c r="C4" i="6"/>
  <c r="Q4" i="6" s="1"/>
  <c r="G4" i="6"/>
  <c r="H4" i="6"/>
  <c r="F4" i="6"/>
  <c r="I4" i="6"/>
  <c r="C15" i="6"/>
  <c r="Q15" i="6" s="1"/>
  <c r="N15" i="6"/>
  <c r="O15" i="6"/>
  <c r="G15" i="6"/>
  <c r="H15" i="6"/>
  <c r="I15" i="6"/>
  <c r="F15" i="6"/>
  <c r="C11" i="6"/>
  <c r="Q11" i="6" s="1"/>
  <c r="N11" i="6"/>
  <c r="O11" i="6"/>
  <c r="H11" i="6"/>
  <c r="I11" i="6"/>
  <c r="G11" i="6"/>
  <c r="F11" i="6"/>
  <c r="C7" i="6"/>
  <c r="Q7" i="6" s="1"/>
  <c r="N7" i="6"/>
  <c r="O7" i="6"/>
  <c r="H7" i="6"/>
  <c r="G7" i="6"/>
  <c r="I7" i="6"/>
  <c r="F7" i="6"/>
  <c r="C3" i="6"/>
  <c r="Q3" i="6" s="1"/>
  <c r="N3" i="6"/>
  <c r="O3" i="6"/>
  <c r="I3" i="6"/>
  <c r="G3" i="6"/>
  <c r="H3" i="6"/>
  <c r="F3" i="6"/>
  <c r="C14" i="6"/>
  <c r="Q14" i="6" s="1"/>
  <c r="N14" i="6"/>
  <c r="O14" i="6"/>
  <c r="I14" i="6"/>
  <c r="H14" i="6"/>
  <c r="F14" i="6"/>
  <c r="G14" i="6"/>
  <c r="C10" i="6"/>
  <c r="Q10" i="6" s="1"/>
  <c r="N10" i="6"/>
  <c r="O10" i="6"/>
  <c r="F10" i="6"/>
  <c r="H10" i="6"/>
  <c r="I10" i="6"/>
  <c r="G10" i="6"/>
  <c r="C6" i="6"/>
  <c r="Q6" i="6" s="1"/>
  <c r="N6" i="6"/>
  <c r="O6" i="6"/>
  <c r="I6" i="6"/>
  <c r="H6" i="6"/>
  <c r="F6" i="6"/>
  <c r="G6" i="6"/>
  <c r="C2" i="6"/>
  <c r="Q2" i="6" s="1"/>
  <c r="N2" i="6"/>
  <c r="O2" i="6"/>
  <c r="F2" i="6"/>
  <c r="H2" i="6"/>
  <c r="I2" i="6"/>
  <c r="G2" i="6"/>
  <c r="C13" i="6"/>
  <c r="Q13" i="6" s="1"/>
  <c r="N13" i="6"/>
  <c r="O13" i="6"/>
  <c r="F13" i="6"/>
  <c r="G13" i="6"/>
  <c r="I13" i="6"/>
  <c r="H13" i="6"/>
  <c r="C9" i="6"/>
  <c r="Q9" i="6" s="1"/>
  <c r="N9" i="6"/>
  <c r="O9" i="6"/>
  <c r="I9" i="6"/>
  <c r="F9" i="6"/>
  <c r="G9" i="6"/>
  <c r="H9" i="6"/>
  <c r="C5" i="6"/>
  <c r="Q5" i="6" s="1"/>
  <c r="G5" i="6"/>
  <c r="I5" i="6"/>
  <c r="F5" i="6"/>
  <c r="H5" i="6"/>
  <c r="C1" i="6"/>
  <c r="Q1" i="6" s="1"/>
  <c r="N1" i="6"/>
  <c r="O1" i="6"/>
  <c r="F1" i="6"/>
  <c r="I1" i="6"/>
  <c r="G1" i="6"/>
  <c r="H1" i="6"/>
  <c r="K16" i="6"/>
  <c r="J16" i="6"/>
  <c r="L16" i="6"/>
  <c r="K12" i="6"/>
  <c r="J12" i="6"/>
  <c r="L12" i="6"/>
  <c r="J8" i="6"/>
  <c r="K8" i="6"/>
  <c r="L8" i="6"/>
  <c r="J4" i="6"/>
  <c r="L4" i="6"/>
  <c r="K4" i="6"/>
  <c r="K15" i="6"/>
  <c r="L15" i="6"/>
  <c r="J15" i="6"/>
  <c r="J11" i="6"/>
  <c r="L11" i="6"/>
  <c r="K11" i="6"/>
  <c r="K7" i="6"/>
  <c r="L7" i="6"/>
  <c r="J7" i="6"/>
  <c r="J3" i="6"/>
  <c r="K3" i="6"/>
  <c r="L3" i="6"/>
  <c r="J14" i="6"/>
  <c r="K14" i="6"/>
  <c r="L14" i="6"/>
  <c r="K10" i="6"/>
  <c r="L10" i="6"/>
  <c r="J10" i="6"/>
  <c r="K6" i="6"/>
  <c r="L6" i="6"/>
  <c r="J6" i="6"/>
  <c r="J2" i="6"/>
  <c r="K2" i="6"/>
  <c r="L2" i="6"/>
  <c r="J13" i="6"/>
  <c r="L13" i="6"/>
  <c r="K13" i="6"/>
  <c r="K9" i="6"/>
  <c r="J9" i="6"/>
  <c r="L9" i="6"/>
  <c r="L5" i="6"/>
  <c r="J5" i="6"/>
  <c r="K5" i="6"/>
  <c r="L1" i="6"/>
  <c r="K1" i="6"/>
  <c r="J1" i="6"/>
  <c r="O5" i="6"/>
  <c r="N4" i="6"/>
</calcChain>
</file>

<file path=xl/sharedStrings.xml><?xml version="1.0" encoding="utf-8"?>
<sst xmlns="http://schemas.openxmlformats.org/spreadsheetml/2006/main" count="89" uniqueCount="47">
  <si>
    <t>Reference</t>
  </si>
  <si>
    <t>Facture</t>
  </si>
  <si>
    <t>Total</t>
  </si>
  <si>
    <t>2018 50 3148 27/11/2018</t>
  </si>
  <si>
    <t>EUR 1.011,40</t>
  </si>
  <si>
    <t>Ligne</t>
  </si>
  <si>
    <t>Modèle</t>
  </si>
  <si>
    <t>Code pièce</t>
  </si>
  <si>
    <t>Couleur</t>
  </si>
  <si>
    <t>Taille</t>
  </si>
  <si>
    <t>Quantité</t>
  </si>
  <si>
    <t>Prix unitaire</t>
  </si>
  <si>
    <t>Montant</t>
  </si>
  <si>
    <t>Libellé</t>
  </si>
  <si>
    <t>HLESCE01</t>
  </si>
  <si>
    <t>ECS07</t>
  </si>
  <si>
    <t>UNICA</t>
  </si>
  <si>
    <t>ANSES DOUBLE CHAÎNE EN « T » EN FAUX CUIR EFFET GRIFFÉ</t>
  </si>
  <si>
    <t>OBAGB001</t>
  </si>
  <si>
    <t>EVS00</t>
  </si>
  <si>
    <t>CORPS O BAG EVA COMPOUND</t>
  </si>
  <si>
    <t>OBAGB002</t>
  </si>
  <si>
    <t>CORPS O BAG MINI EVA COMPOUND</t>
  </si>
  <si>
    <t>OBAGB033</t>
  </si>
  <si>
    <t>CORPS O BAG URBAN EVA COMPOUND</t>
  </si>
  <si>
    <t>OBAGB034</t>
  </si>
  <si>
    <t>CORPS O BAG GLAM EVA COMPOUND</t>
  </si>
  <si>
    <t>OBAGB206</t>
  </si>
  <si>
    <t>CORPS INFÉRIEUR O POCKET EVA COMPOUND</t>
  </si>
  <si>
    <t>OBAGS001</t>
  </si>
  <si>
    <t>TESR1</t>
  </si>
  <si>
    <t>POCHETTE INTÉRIEURE FERMETURE ÉCLAIR O BAG EN TISSU COTTON CORDUROY</t>
  </si>
  <si>
    <t>OBAGS002</t>
  </si>
  <si>
    <t>POCHETTE INTÉRIEURE FERMETURE ÉCLAIR O BAG MINI EN TISSU COTTON CORDUROY</t>
  </si>
  <si>
    <t>SHOUX101</t>
  </si>
  <si>
    <t>ECS00</t>
  </si>
  <si>
    <t>BANDOULIÈRE EXTRASLIM 110 + ANSES TUBULAIRES + CLIP FAUX CUIR</t>
  </si>
  <si>
    <t>Connus</t>
  </si>
  <si>
    <t>Inconnus</t>
  </si>
  <si>
    <t>Test d'ouverture des feuilles de calcul liées</t>
  </si>
  <si>
    <t>Tous produits</t>
  </si>
  <si>
    <t>Tous produits EAN</t>
  </si>
  <si>
    <t>EAN Valmag</t>
  </si>
  <si>
    <t>'[0- EXPEAN13_PCOBAG01_20181214181726.csv]0- EXPEAN13_PCOBAG01_2018121418'</t>
  </si>
  <si>
    <t>'[TousProduits.EAN13.csv]TousProduits.EAN13'</t>
  </si>
  <si>
    <t>'[TousProduits.csv]TousProduits'</t>
  </si>
  <si>
    <t>EAN13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</si>
</sst>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" fontId="0" fillId="3" borderId="0" xfId="0" applyNumberFormat="1" applyFill="1"/>
    <xf numFmtId="0" fontId="0" fillId="4" borderId="0" xfId="0" applyFill="1"/>
    <xf numFmtId="0" fontId="0" fillId="3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" fontId="0" fillId="6" borderId="0" xfId="0" applyNumberFormat="1" applyFill="1"/>
    <xf numFmtId="1" fontId="0" fillId="5" borderId="0" xfId="0" applyNumberFormat="1" applyFill="1"/>
    <xf numFmtId="0" fontId="0" fillId="0" borderId="0" xfId="0" applyFill="1"/>
    <xf numFmtId="1" fontId="0" fillId="0" borderId="0" xfId="0" applyNumberFormat="1" applyFill="1"/>
    <xf numFmtId="1" fontId="0" fillId="9" borderId="0" xfId="0" applyNumberFormat="1" applyFill="1"/>
    <xf numFmtId="1" fontId="0" fillId="7" borderId="0" xfId="0" applyNumberFormat="1" applyFill="1"/>
    <xf numFmtId="0" fontId="0" fillId="8" borderId="0" xfId="0" quotePrefix="1" applyFill="1"/>
    <xf numFmtId="0" fontId="0" fillId="7" borderId="0" xfId="0" quotePrefix="1" applyFill="1"/>
    <xf numFmtId="0" fontId="0" fillId="6" borderId="0" xfId="0" quotePrefix="1" applyFill="1"/>
  </cellXfs>
  <cellStyles count="1">
    <cellStyle name="Normal" xfId="0" builtinId="0"/>
  </cellStyles>
  <dxfs count="5"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312742/Documents/Perso/Mac%20Jean%202018/Dominique/Automatisation%20factures/Catalogues/TousProduits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312742/Documents/Perso/Mac%20Jean%202018/Dominique/Automatisation%20factures/Catalogues/TousProduits.EAN13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-%20EXPEAN13_PCOBAG01_20181214181726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sProduits"/>
    </sheetNames>
    <sheetDataSet>
      <sheetData sheetId="0">
        <row r="22">
          <cell r="B22" t="str">
            <v>OBAGB037-EVS57-017</v>
          </cell>
          <cell r="C22" t="str">
            <v xml:space="preserve"> O bag twist cocco</v>
          </cell>
        </row>
        <row r="23">
          <cell r="B23" t="str">
            <v>OBAGB037-EVS57-078</v>
          </cell>
          <cell r="C23" t="str">
            <v xml:space="preserve"> O bag twist cocco</v>
          </cell>
        </row>
        <row r="24">
          <cell r="B24" t="str">
            <v>OBAGB037-EVS57-018</v>
          </cell>
          <cell r="C24" t="str">
            <v xml:space="preserve"> O bag twist cocco</v>
          </cell>
        </row>
        <row r="25">
          <cell r="B25" t="str">
            <v>OBAGB037-EVS57-371</v>
          </cell>
          <cell r="C25" t="str">
            <v xml:space="preserve"> O bag twist cocco</v>
          </cell>
        </row>
        <row r="26">
          <cell r="B26" t="str">
            <v>OBAGB037-EVS57-055</v>
          </cell>
          <cell r="C26" t="str">
            <v xml:space="preserve"> O bag twist cocco</v>
          </cell>
        </row>
        <row r="27">
          <cell r="B27" t="str">
            <v>OBAGB037-EVS57-559</v>
          </cell>
          <cell r="C27" t="str">
            <v xml:space="preserve"> O bag twist cocco</v>
          </cell>
        </row>
        <row r="28">
          <cell r="B28" t="str">
            <v>HLESCE01-ECS00-612</v>
          </cell>
          <cell r="C28" t="str">
            <v xml:space="preserve"> O bag twist cocco</v>
          </cell>
        </row>
        <row r="29">
          <cell r="B29" t="str">
            <v>HLESCE01-ECS00-055</v>
          </cell>
          <cell r="C29" t="str">
            <v xml:space="preserve"> O bag twist cocco</v>
          </cell>
        </row>
        <row r="30">
          <cell r="B30" t="str">
            <v>HLESCE01-ECS00-613</v>
          </cell>
          <cell r="C30" t="str">
            <v xml:space="preserve"> O bag twist cocco</v>
          </cell>
        </row>
        <row r="31">
          <cell r="B31" t="str">
            <v>HLESGC19-EVS54-017</v>
          </cell>
          <cell r="C31" t="str">
            <v xml:space="preserve"> O bag twist cocco</v>
          </cell>
        </row>
        <row r="32">
          <cell r="B32" t="str">
            <v>HLESGC19-EVS54-078</v>
          </cell>
          <cell r="C32" t="str">
            <v xml:space="preserve"> O bag twist cocco</v>
          </cell>
        </row>
        <row r="33">
          <cell r="B33" t="str">
            <v>HLESGC19-EVS54-018</v>
          </cell>
          <cell r="C33" t="str">
            <v xml:space="preserve"> O bag twist cocco</v>
          </cell>
        </row>
        <row r="34">
          <cell r="B34" t="str">
            <v>HLESGC19-EVS54-371</v>
          </cell>
          <cell r="C34" t="str">
            <v xml:space="preserve"> O bag twist cocco</v>
          </cell>
        </row>
        <row r="35">
          <cell r="B35" t="str">
            <v>HLESGC19-EVS54-559</v>
          </cell>
          <cell r="C35" t="str">
            <v xml:space="preserve"> O bag twist cocco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sProduits.EAN13"/>
    </sheetNames>
    <sheetDataSet>
      <sheetData sheetId="0">
        <row r="1">
          <cell r="A1">
            <v>8056099179433</v>
          </cell>
          <cell r="B1" t="str">
            <v>OBAGB001-EVS00-371</v>
          </cell>
        </row>
        <row r="2">
          <cell r="A2">
            <v>8050450217574</v>
          </cell>
          <cell r="B2" t="str">
            <v>OBAGB001-EVS00-017</v>
          </cell>
        </row>
        <row r="3">
          <cell r="A3">
            <v>8051770308669</v>
          </cell>
          <cell r="B3" t="str">
            <v>OBAGB001-EVS00-078</v>
          </cell>
        </row>
        <row r="4">
          <cell r="A4">
            <v>8051770308652</v>
          </cell>
          <cell r="B4" t="str">
            <v>OBAGB001-EVS00-071</v>
          </cell>
        </row>
        <row r="5">
          <cell r="A5">
            <v>8051770308638</v>
          </cell>
          <cell r="B5" t="str">
            <v>OBAGB001-EVS00-055</v>
          </cell>
        </row>
        <row r="6">
          <cell r="A6">
            <v>8056099177125</v>
          </cell>
          <cell r="B6" t="str">
            <v>OBAGB002-EVS00-371</v>
          </cell>
        </row>
        <row r="7">
          <cell r="A7">
            <v>8050450218335</v>
          </cell>
          <cell r="B7" t="str">
            <v>OBAGB002-EVS00-017</v>
          </cell>
        </row>
        <row r="8">
          <cell r="A8">
            <v>8050450215631</v>
          </cell>
          <cell r="B8" t="str">
            <v>OBAGB002-EVS00-078</v>
          </cell>
        </row>
        <row r="9">
          <cell r="A9">
            <v>8051770309819</v>
          </cell>
          <cell r="B9" t="str">
            <v>OBAGB002-EVS00-071</v>
          </cell>
        </row>
        <row r="10">
          <cell r="A10">
            <v>8051770309833</v>
          </cell>
          <cell r="B10" t="str">
            <v>OBAGB002-EVS00-055</v>
          </cell>
        </row>
        <row r="11">
          <cell r="A11">
            <v>8058333587646</v>
          </cell>
          <cell r="B11" t="str">
            <v>OBAGB001-EVS00-002</v>
          </cell>
        </row>
        <row r="12">
          <cell r="A12">
            <v>8050450212456</v>
          </cell>
          <cell r="B12" t="str">
            <v>OBAGB001-EVS00-038</v>
          </cell>
        </row>
        <row r="13">
          <cell r="A13">
            <v>8050846039056</v>
          </cell>
          <cell r="B13" t="str">
            <v>OBAGB001-EVS00-463</v>
          </cell>
        </row>
        <row r="14">
          <cell r="A14">
            <v>8050538590667</v>
          </cell>
          <cell r="B14" t="str">
            <v>OBAGB001-EVS00-050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- EXPEAN13_PCOBAG01_2018121418"/>
    </sheetNames>
    <sheetDataSet>
      <sheetData sheetId="0">
        <row r="23">
          <cell r="A23">
            <v>3000020000032</v>
          </cell>
          <cell r="B23" t="str">
            <v xml:space="preserve">FULL         </v>
          </cell>
          <cell r="C23" t="str">
            <v xml:space="preserve">0CS01           </v>
          </cell>
          <cell r="D23" t="str">
            <v xml:space="preserve">     </v>
          </cell>
          <cell r="E23" t="str">
            <v xml:space="preserve">L    </v>
          </cell>
        </row>
        <row r="24">
          <cell r="A24">
            <v>3000020000025</v>
          </cell>
          <cell r="B24" t="str">
            <v xml:space="preserve">FULL         </v>
          </cell>
          <cell r="C24" t="str">
            <v xml:space="preserve">0CS01           </v>
          </cell>
          <cell r="D24" t="str">
            <v xml:space="preserve">     </v>
          </cell>
          <cell r="E24" t="str">
            <v xml:space="preserve">M    </v>
          </cell>
        </row>
        <row r="25">
          <cell r="A25">
            <v>3000020000018</v>
          </cell>
          <cell r="B25" t="str">
            <v xml:space="preserve">FULL         </v>
          </cell>
          <cell r="C25" t="str">
            <v xml:space="preserve">0CS01           </v>
          </cell>
          <cell r="D25" t="str">
            <v xml:space="preserve">     </v>
          </cell>
          <cell r="E25" t="str">
            <v xml:space="preserve">S    </v>
          </cell>
        </row>
        <row r="26">
          <cell r="A26">
            <v>3000020000049</v>
          </cell>
          <cell r="B26" t="str">
            <v xml:space="preserve">FULL         </v>
          </cell>
          <cell r="C26" t="str">
            <v xml:space="preserve">0CS01           </v>
          </cell>
          <cell r="D26" t="str">
            <v xml:space="preserve">     </v>
          </cell>
          <cell r="E26" t="str">
            <v xml:space="preserve">XL   </v>
          </cell>
        </row>
        <row r="27">
          <cell r="A27">
            <v>3000020000001</v>
          </cell>
          <cell r="B27" t="str">
            <v xml:space="preserve">FULL         </v>
          </cell>
          <cell r="C27" t="str">
            <v xml:space="preserve">0CS01           </v>
          </cell>
          <cell r="D27" t="str">
            <v xml:space="preserve">     </v>
          </cell>
          <cell r="E27" t="str">
            <v xml:space="preserve">XS   </v>
          </cell>
        </row>
        <row r="28">
          <cell r="A28">
            <v>3000210000033</v>
          </cell>
          <cell r="B28" t="str">
            <v xml:space="preserve">FULL         </v>
          </cell>
          <cell r="C28" t="str">
            <v xml:space="preserve">0CS16           </v>
          </cell>
          <cell r="D28" t="str">
            <v xml:space="preserve">     </v>
          </cell>
          <cell r="E28" t="str">
            <v xml:space="preserve">L    </v>
          </cell>
        </row>
        <row r="29">
          <cell r="A29">
            <v>3000210000026</v>
          </cell>
          <cell r="B29" t="str">
            <v xml:space="preserve">FULL         </v>
          </cell>
          <cell r="C29" t="str">
            <v xml:space="preserve">0CS16           </v>
          </cell>
          <cell r="D29" t="str">
            <v xml:space="preserve">     </v>
          </cell>
          <cell r="E29" t="str">
            <v xml:space="preserve">M    </v>
          </cell>
        </row>
        <row r="30">
          <cell r="A30">
            <v>3000210000019</v>
          </cell>
          <cell r="B30" t="str">
            <v xml:space="preserve">FULL         </v>
          </cell>
          <cell r="C30" t="str">
            <v xml:space="preserve">0CS16           </v>
          </cell>
          <cell r="D30" t="str">
            <v xml:space="preserve">     </v>
          </cell>
          <cell r="E30" t="str">
            <v xml:space="preserve">S    </v>
          </cell>
        </row>
        <row r="31">
          <cell r="A31">
            <v>3000210000040</v>
          </cell>
          <cell r="B31" t="str">
            <v xml:space="preserve">FULL         </v>
          </cell>
          <cell r="C31" t="str">
            <v xml:space="preserve">0CS16           </v>
          </cell>
          <cell r="D31" t="str">
            <v xml:space="preserve">     </v>
          </cell>
          <cell r="E31" t="str">
            <v xml:space="preserve">XL   </v>
          </cell>
        </row>
        <row r="32">
          <cell r="A32">
            <v>3000210000002</v>
          </cell>
          <cell r="B32" t="str">
            <v xml:space="preserve">FULL         </v>
          </cell>
          <cell r="C32" t="str">
            <v xml:space="preserve">0CS16           </v>
          </cell>
          <cell r="D32" t="str">
            <v xml:space="preserve">     </v>
          </cell>
          <cell r="E32" t="str">
            <v xml:space="preserve">XS   </v>
          </cell>
        </row>
        <row r="33">
          <cell r="A33">
            <v>8050538599196</v>
          </cell>
          <cell r="B33" t="str">
            <v xml:space="preserve">FULL         </v>
          </cell>
          <cell r="C33" t="str">
            <v xml:space="preserve">ABATJOUROJOY    </v>
          </cell>
          <cell r="D33" t="str">
            <v>ANTHR</v>
          </cell>
          <cell r="E33">
            <v>0</v>
          </cell>
        </row>
        <row r="34">
          <cell r="A34">
            <v>8050538599189</v>
          </cell>
          <cell r="B34" t="str">
            <v xml:space="preserve">FULL         </v>
          </cell>
          <cell r="C34" t="str">
            <v xml:space="preserve">ABATJOUROJOY    </v>
          </cell>
          <cell r="D34" t="str">
            <v>AUBER</v>
          </cell>
          <cell r="E34">
            <v>0</v>
          </cell>
        </row>
        <row r="35">
          <cell r="A35">
            <v>8050538599219</v>
          </cell>
          <cell r="B35" t="str">
            <v xml:space="preserve">FULL         </v>
          </cell>
          <cell r="C35" t="str">
            <v xml:space="preserve">ABATJOUROJOY    </v>
          </cell>
          <cell r="D35" t="str">
            <v xml:space="preserve">BLUE </v>
          </cell>
          <cell r="E35">
            <v>0</v>
          </cell>
        </row>
        <row r="36">
          <cell r="A36">
            <v>3006100431000</v>
          </cell>
          <cell r="B36" t="str">
            <v xml:space="preserve">FULL         </v>
          </cell>
          <cell r="C36" t="str">
            <v xml:space="preserve">ABATJOUROJOY    </v>
          </cell>
          <cell r="D36" t="str">
            <v xml:space="preserve">VERT </v>
          </cell>
          <cell r="E3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selection activeCell="C33" sqref="C33"/>
    </sheetView>
  </sheetViews>
  <sheetFormatPr baseColWidth="10" defaultRowHeight="15" x14ac:dyDescent="0.25"/>
  <sheetData>
    <row r="1" spans="1:9" x14ac:dyDescent="0.25">
      <c r="A1" t="s">
        <v>0</v>
      </c>
      <c r="C1" t="s">
        <v>1</v>
      </c>
      <c r="D1" s="1"/>
      <c r="E1" t="s">
        <v>2</v>
      </c>
    </row>
    <row r="2" spans="1:9" x14ac:dyDescent="0.25">
      <c r="A2" t="s">
        <v>3</v>
      </c>
      <c r="C2" t="s">
        <v>4</v>
      </c>
      <c r="D2" s="1"/>
      <c r="E2">
        <v>979.4</v>
      </c>
    </row>
    <row r="3" spans="1:9" x14ac:dyDescent="0.25">
      <c r="A3" t="s">
        <v>5</v>
      </c>
      <c r="B3" t="s">
        <v>6</v>
      </c>
      <c r="C3" t="s">
        <v>7</v>
      </c>
      <c r="D3" s="1" t="s">
        <v>8</v>
      </c>
      <c r="E3" t="s">
        <v>9</v>
      </c>
      <c r="F3" t="s">
        <v>10</v>
      </c>
      <c r="G3" t="s">
        <v>11</v>
      </c>
      <c r="H3" t="s">
        <v>12</v>
      </c>
      <c r="I3" t="s">
        <v>13</v>
      </c>
    </row>
    <row r="4" spans="1:9" x14ac:dyDescent="0.25">
      <c r="A4">
        <v>1</v>
      </c>
      <c r="B4" t="s">
        <v>14</v>
      </c>
      <c r="C4" t="s">
        <v>15</v>
      </c>
      <c r="D4" s="1">
        <v>133</v>
      </c>
      <c r="E4" t="s">
        <v>16</v>
      </c>
      <c r="F4">
        <v>8</v>
      </c>
      <c r="G4">
        <v>10.6</v>
      </c>
      <c r="H4">
        <v>84.8</v>
      </c>
      <c r="I4" t="s">
        <v>17</v>
      </c>
    </row>
    <row r="5" spans="1:9" x14ac:dyDescent="0.25">
      <c r="A5">
        <v>16</v>
      </c>
      <c r="B5" t="s">
        <v>18</v>
      </c>
      <c r="C5" t="s">
        <v>19</v>
      </c>
      <c r="D5" s="1">
        <v>389</v>
      </c>
      <c r="E5" t="s">
        <v>16</v>
      </c>
      <c r="F5">
        <v>8</v>
      </c>
      <c r="G5">
        <v>14.4</v>
      </c>
      <c r="H5">
        <v>115.2</v>
      </c>
      <c r="I5" t="s">
        <v>20</v>
      </c>
    </row>
    <row r="6" spans="1:9" x14ac:dyDescent="0.25">
      <c r="A6">
        <v>3</v>
      </c>
      <c r="B6" t="s">
        <v>21</v>
      </c>
      <c r="C6" t="s">
        <v>19</v>
      </c>
      <c r="D6" s="1">
        <v>389</v>
      </c>
      <c r="E6" t="s">
        <v>16</v>
      </c>
      <c r="F6">
        <v>10</v>
      </c>
      <c r="G6">
        <v>14.4</v>
      </c>
      <c r="H6">
        <v>144</v>
      </c>
      <c r="I6" t="s">
        <v>22</v>
      </c>
    </row>
    <row r="7" spans="1:9" x14ac:dyDescent="0.25">
      <c r="A7">
        <v>9</v>
      </c>
      <c r="B7" t="s">
        <v>23</v>
      </c>
      <c r="C7" t="s">
        <v>19</v>
      </c>
      <c r="D7" s="1">
        <v>17</v>
      </c>
      <c r="E7" t="s">
        <v>16</v>
      </c>
      <c r="F7">
        <v>3</v>
      </c>
      <c r="G7">
        <v>14.16</v>
      </c>
      <c r="H7">
        <v>42.48</v>
      </c>
      <c r="I7" t="s">
        <v>24</v>
      </c>
    </row>
    <row r="8" spans="1:9" x14ac:dyDescent="0.25">
      <c r="A8">
        <v>8</v>
      </c>
      <c r="B8" t="s">
        <v>18</v>
      </c>
      <c r="C8" t="s">
        <v>19</v>
      </c>
      <c r="D8" s="1">
        <v>24</v>
      </c>
      <c r="E8" t="s">
        <v>16</v>
      </c>
      <c r="F8">
        <v>8</v>
      </c>
      <c r="G8">
        <v>14.4</v>
      </c>
      <c r="H8">
        <v>115.2</v>
      </c>
      <c r="I8" t="s">
        <v>20</v>
      </c>
    </row>
    <row r="9" spans="1:9" x14ac:dyDescent="0.25">
      <c r="A9">
        <v>5</v>
      </c>
      <c r="B9" t="s">
        <v>18</v>
      </c>
      <c r="C9" t="s">
        <v>19</v>
      </c>
      <c r="D9" s="1">
        <v>541</v>
      </c>
      <c r="E9" t="s">
        <v>16</v>
      </c>
      <c r="F9">
        <v>6</v>
      </c>
      <c r="G9">
        <v>14.4</v>
      </c>
      <c r="H9">
        <v>86.4</v>
      </c>
      <c r="I9" t="s">
        <v>20</v>
      </c>
    </row>
    <row r="10" spans="1:9" x14ac:dyDescent="0.25">
      <c r="A10">
        <v>2</v>
      </c>
      <c r="B10" t="s">
        <v>23</v>
      </c>
      <c r="C10" t="s">
        <v>19</v>
      </c>
      <c r="D10" s="1">
        <v>78</v>
      </c>
      <c r="E10" t="s">
        <v>16</v>
      </c>
      <c r="F10">
        <v>3</v>
      </c>
      <c r="G10">
        <v>14.16</v>
      </c>
      <c r="H10">
        <v>42.48</v>
      </c>
      <c r="I10" t="s">
        <v>24</v>
      </c>
    </row>
    <row r="11" spans="1:9" x14ac:dyDescent="0.25">
      <c r="A11">
        <v>13</v>
      </c>
      <c r="B11" t="s">
        <v>25</v>
      </c>
      <c r="C11" t="s">
        <v>19</v>
      </c>
      <c r="D11" s="1">
        <v>24</v>
      </c>
      <c r="E11" t="s">
        <v>16</v>
      </c>
      <c r="F11">
        <v>2</v>
      </c>
      <c r="G11">
        <v>11.88</v>
      </c>
      <c r="H11">
        <v>23.76</v>
      </c>
      <c r="I11" t="s">
        <v>26</v>
      </c>
    </row>
    <row r="12" spans="1:9" x14ac:dyDescent="0.25">
      <c r="A12">
        <v>6</v>
      </c>
      <c r="B12" t="s">
        <v>25</v>
      </c>
      <c r="C12" t="s">
        <v>19</v>
      </c>
      <c r="D12" s="1">
        <v>71</v>
      </c>
      <c r="E12" t="s">
        <v>16</v>
      </c>
      <c r="F12">
        <v>2</v>
      </c>
      <c r="G12">
        <v>11.88</v>
      </c>
      <c r="H12">
        <v>23.76</v>
      </c>
      <c r="I12" t="s">
        <v>26</v>
      </c>
    </row>
    <row r="13" spans="1:9" x14ac:dyDescent="0.25">
      <c r="A13">
        <v>4</v>
      </c>
      <c r="B13" t="s">
        <v>27</v>
      </c>
      <c r="C13" t="s">
        <v>19</v>
      </c>
      <c r="D13" s="1">
        <v>24</v>
      </c>
      <c r="E13" t="s">
        <v>16</v>
      </c>
      <c r="F13">
        <v>5</v>
      </c>
      <c r="G13">
        <v>4.8</v>
      </c>
      <c r="H13">
        <v>24</v>
      </c>
      <c r="I13" t="s">
        <v>28</v>
      </c>
    </row>
    <row r="14" spans="1:9" x14ac:dyDescent="0.25">
      <c r="A14">
        <v>14</v>
      </c>
      <c r="B14" t="s">
        <v>29</v>
      </c>
      <c r="C14" t="s">
        <v>30</v>
      </c>
      <c r="D14" s="1">
        <v>18</v>
      </c>
      <c r="E14" t="s">
        <v>16</v>
      </c>
      <c r="F14">
        <v>5</v>
      </c>
      <c r="G14">
        <v>10.8</v>
      </c>
      <c r="H14">
        <v>54</v>
      </c>
      <c r="I14" t="s">
        <v>31</v>
      </c>
    </row>
    <row r="15" spans="1:9" x14ac:dyDescent="0.25">
      <c r="A15">
        <v>15</v>
      </c>
      <c r="B15" t="s">
        <v>29</v>
      </c>
      <c r="C15" t="s">
        <v>30</v>
      </c>
      <c r="D15" s="1">
        <v>258</v>
      </c>
      <c r="E15" t="s">
        <v>16</v>
      </c>
      <c r="F15">
        <v>8</v>
      </c>
      <c r="G15">
        <v>10.8</v>
      </c>
      <c r="H15">
        <v>86.4</v>
      </c>
      <c r="I15" t="s">
        <v>31</v>
      </c>
    </row>
    <row r="16" spans="1:9" x14ac:dyDescent="0.25">
      <c r="A16">
        <v>10</v>
      </c>
      <c r="B16" t="s">
        <v>32</v>
      </c>
      <c r="C16" t="s">
        <v>30</v>
      </c>
      <c r="D16" s="1">
        <v>18</v>
      </c>
      <c r="E16" t="s">
        <v>16</v>
      </c>
      <c r="F16">
        <v>3</v>
      </c>
      <c r="G16">
        <v>9</v>
      </c>
      <c r="H16">
        <v>27</v>
      </c>
      <c r="I16" t="s">
        <v>33</v>
      </c>
    </row>
    <row r="17" spans="1:9" x14ac:dyDescent="0.25">
      <c r="A17">
        <v>12</v>
      </c>
      <c r="B17" t="s">
        <v>32</v>
      </c>
      <c r="C17" t="s">
        <v>30</v>
      </c>
      <c r="D17" s="1">
        <v>86</v>
      </c>
      <c r="E17" t="s">
        <v>16</v>
      </c>
      <c r="F17">
        <v>5</v>
      </c>
      <c r="G17">
        <v>9</v>
      </c>
      <c r="H17">
        <v>45</v>
      </c>
      <c r="I17" t="s">
        <v>33</v>
      </c>
    </row>
    <row r="18" spans="1:9" x14ac:dyDescent="0.25">
      <c r="A18">
        <v>11</v>
      </c>
      <c r="B18" t="s">
        <v>32</v>
      </c>
      <c r="C18" t="s">
        <v>30</v>
      </c>
      <c r="D18" s="1">
        <v>258</v>
      </c>
      <c r="E18" t="s">
        <v>16</v>
      </c>
      <c r="F18">
        <v>3</v>
      </c>
      <c r="G18">
        <v>9</v>
      </c>
      <c r="H18">
        <v>27</v>
      </c>
      <c r="I18" t="s">
        <v>33</v>
      </c>
    </row>
    <row r="19" spans="1:9" x14ac:dyDescent="0.25">
      <c r="A19">
        <v>7</v>
      </c>
      <c r="B19" t="s">
        <v>34</v>
      </c>
      <c r="C19" t="s">
        <v>35</v>
      </c>
      <c r="D19" s="1">
        <v>18</v>
      </c>
      <c r="E19" t="s">
        <v>16</v>
      </c>
      <c r="F19">
        <v>2</v>
      </c>
      <c r="G19">
        <v>18.96</v>
      </c>
      <c r="H19">
        <v>37.92</v>
      </c>
      <c r="I19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18"/>
  <sheetViews>
    <sheetView tabSelected="1" workbookViewId="0">
      <selection activeCell="O4" sqref="O4"/>
    </sheetView>
  </sheetViews>
  <sheetFormatPr baseColWidth="10" defaultRowHeight="15" x14ac:dyDescent="0.25"/>
  <cols>
    <col min="1" max="1" width="11.42578125" style="13"/>
    <col min="2" max="2" width="29.42578125" style="13" bestFit="1" customWidth="1"/>
    <col min="3" max="3" width="14.85546875" style="14" customWidth="1"/>
    <col min="4" max="4" width="9.140625" style="14" customWidth="1"/>
    <col min="5" max="5" width="9.140625" style="13" customWidth="1"/>
    <col min="6" max="6" width="20" style="13" customWidth="1"/>
    <col min="7" max="7" width="7.42578125" style="13" customWidth="1"/>
    <col min="8" max="8" width="31" style="13" bestFit="1" customWidth="1"/>
    <col min="9" max="9" width="16.7109375" style="13" bestFit="1" customWidth="1"/>
    <col min="10" max="10" width="6.5703125" style="13" customWidth="1"/>
    <col min="11" max="12" width="14.85546875" style="14" customWidth="1"/>
    <col min="13" max="16384" width="11.42578125" style="13"/>
  </cols>
  <sheetData>
    <row r="1" spans="2:17" customFormat="1" x14ac:dyDescent="0.25">
      <c r="B1" t="str">
        <f>Proforma!B4 &amp; "-" &amp; Proforma!C4 &amp; "-" &amp; TEXT(Proforma!D4, "000")</f>
        <v>HLESCE01-ECS07-133</v>
      </c>
      <c r="C1" s="16" t="str">
        <f ca="1">IFERROR(INDEX(INDIRECT(tabEAN13 &amp; "!A:A"),$M1), "")</f>
        <v/>
      </c>
      <c r="D1" s="2"/>
      <c r="E1" s="3">
        <f ca="1">IFERROR(MATCH($B1,INDIRECT(tabEAN13.inconnus &amp; "!B:B"),0), "")</f>
        <v>10461</v>
      </c>
      <c r="F1" s="11" t="str">
        <f ca="1">IFERROR(INDEX(INDIRECT(tabEAN13.inconnus &amp; "!C:C"),$E1), "")</f>
        <v xml:space="preserve"> O bag winter 2018</v>
      </c>
      <c r="G1" s="11">
        <f ca="1">IFERROR(INDEX(INDIRECT(tabEAN13.inconnus &amp; "!D:D"),$E1), "")</f>
        <v>34</v>
      </c>
      <c r="H1" s="12" t="str">
        <f ca="1">IFERROR(INDEX(INDIRECT(tabEAN13.inconnus &amp; "!E:E"),$E1), "")</f>
        <v xml:space="preserve"> manico doppia catena a "t"</v>
      </c>
      <c r="I1" s="12" t="str">
        <f ca="1">IFERROR(INDEX(INDIRECT(tabEAN13.inconnus &amp; "!I:I"),$E1), "")</f>
        <v>grigio chiaro + silver</v>
      </c>
      <c r="J1" s="9" t="str">
        <f ca="1">IFERROR(INDEX(INDIRECT(tabEAN.Valmag &amp; "!C:C"), $Q1), "")</f>
        <v/>
      </c>
      <c r="K1" s="9" t="str">
        <f ca="1">IFERROR(INDEX(INDIRECT(tabEAN.Valmag &amp; "!D:D"), $Q1), "")</f>
        <v/>
      </c>
      <c r="L1" s="9" t="str">
        <f ca="1">IFERROR(INDEX(INDIRECT(tabEAN.Valmag &amp; "!E:E"), $Q1), "")</f>
        <v/>
      </c>
      <c r="M1" s="8" t="str">
        <f ca="1">IFERROR(MATCH($B1,INDIRECT(tabEAN13 &amp; "!B:B"),0), "")</f>
        <v/>
      </c>
      <c r="N1" s="15" t="str">
        <f ca="1">IFERROR(INDEX(INDIRECT(tabEAN13 &amp; "!E:E"),$M1), "")</f>
        <v/>
      </c>
      <c r="O1" s="15" t="str">
        <f ca="1">IFERROR(INDEX(INDIRECT(tabEAN13 &amp; "!I:I"),$M1), "")</f>
        <v/>
      </c>
      <c r="Q1" s="6" t="str">
        <f ca="1">IFERROR(MATCH($C1, INDIRECT(tabEAN.Valmag &amp; "!A:A"), 0), "")</f>
        <v/>
      </c>
    </row>
    <row r="2" spans="2:17" customFormat="1" x14ac:dyDescent="0.25">
      <c r="B2" t="str">
        <f>Proforma!B5 &amp; "-" &amp; Proforma!C5 &amp; "-" &amp; TEXT(Proforma!D5, "000")</f>
        <v>OBAGB001-EVS00-389</v>
      </c>
      <c r="C2" s="16">
        <f ca="1">IFERROR(INDEX(INDIRECT(tabEAN13 &amp; "!A:A"),$M2), "")</f>
        <v>8050846039049</v>
      </c>
      <c r="D2" s="2"/>
      <c r="E2" s="3">
        <f ca="1">IFERROR(MATCH($B2,INDIRECT(tabEAN13.inconnus &amp; "!B:B"),0), "")</f>
        <v>460</v>
      </c>
      <c r="F2" s="11" t="str">
        <f ca="1">IFERROR(INDEX(INDIRECT(tabEAN13.inconnus &amp; "!C:C"),$E2), "")</f>
        <v xml:space="preserve"> O bag fall 2018</v>
      </c>
      <c r="G2" s="11">
        <f ca="1">IFERROR(INDEX(INDIRECT(tabEAN13.inconnus &amp; "!D:D"),$E2), "")</f>
        <v>4</v>
      </c>
      <c r="H2" s="12" t="str">
        <f ca="1">IFERROR(INDEX(INDIRECT(tabEAN13.inconnus &amp; "!E:E"),$E2), "")</f>
        <v xml:space="preserve"> scocca O bag EVA</v>
      </c>
      <c r="I2" s="12" t="str">
        <f ca="1">IFERROR(INDEX(INDIRECT(tabEAN13.inconnus &amp; "!I:I"),$E2), "")</f>
        <v>silver</v>
      </c>
      <c r="J2" s="9" t="str">
        <f ca="1">IFERROR(INDEX(INDIRECT(tabEAN.Valmag &amp; "!C:C"), $Q2), "")</f>
        <v xml:space="preserve">OBODY           </v>
      </c>
      <c r="K2" s="9" t="str">
        <f ca="1">IFERROR(INDEX(INDIRECT(tabEAN.Valmag &amp; "!D:D"), $Q2), "")</f>
        <v>SILVE</v>
      </c>
      <c r="L2" s="9">
        <f ca="1">IFERROR(INDEX(INDIRECT(tabEAN.Valmag &amp; "!E:E"), $Q2), "")</f>
        <v>0</v>
      </c>
      <c r="M2" s="8">
        <f ca="1">IFERROR(MATCH($B2,INDIRECT(tabEAN13 &amp; "!B:B"),0), "")</f>
        <v>21</v>
      </c>
      <c r="N2" s="15" t="str">
        <f ca="1">IFERROR(INDEX(INDIRECT(tabEAN13 &amp; "!E:E"),$M2), "")</f>
        <v xml:space="preserve"> scocca O bag EVA</v>
      </c>
      <c r="O2" s="15" t="str">
        <f ca="1">IFERROR(INDEX(INDIRECT(tabEAN13 &amp; "!I:I"),$M2), "")</f>
        <v>silver</v>
      </c>
      <c r="Q2" s="6">
        <f ca="1">IFERROR(MATCH($C2, INDIRECT(tabEAN.Valmag &amp; "!A:A"), 0), "")</f>
        <v>7413</v>
      </c>
    </row>
    <row r="3" spans="2:17" customFormat="1" x14ac:dyDescent="0.25">
      <c r="B3" t="str">
        <f>Proforma!B6 &amp; "-" &amp; Proforma!C6 &amp; "-" &amp; TEXT(Proforma!D6, "000")</f>
        <v>OBAGB002-EVS00-389</v>
      </c>
      <c r="C3" s="16">
        <f ca="1">IFERROR(INDEX(INDIRECT(tabEAN13 &amp; "!A:A"),$M3), "")</f>
        <v>8050846039100</v>
      </c>
      <c r="D3" s="2"/>
      <c r="E3" s="3">
        <f ca="1">IFERROR(MATCH($B3,INDIRECT(tabEAN13.inconnus &amp; "!B:B"),0), "")</f>
        <v>478</v>
      </c>
      <c r="F3" s="11" t="str">
        <f ca="1">IFERROR(INDEX(INDIRECT(tabEAN13.inconnus &amp; "!C:C"),$E3), "")</f>
        <v xml:space="preserve"> O bag fall 2018</v>
      </c>
      <c r="G3" s="11">
        <f ca="1">IFERROR(INDEX(INDIRECT(tabEAN13.inconnus &amp; "!D:D"),$E3), "")</f>
        <v>6</v>
      </c>
      <c r="H3" s="12" t="str">
        <f ca="1">IFERROR(INDEX(INDIRECT(tabEAN13.inconnus &amp; "!E:E"),$E3), "")</f>
        <v xml:space="preserve"> scocca O bag mini EVA</v>
      </c>
      <c r="I3" s="12" t="str">
        <f ca="1">IFERROR(INDEX(INDIRECT(tabEAN13.inconnus &amp; "!I:I"),$E3), "")</f>
        <v>silver</v>
      </c>
      <c r="J3" s="9" t="str">
        <f ca="1">IFERROR(INDEX(INDIRECT(tabEAN.Valmag &amp; "!C:C"), $Q3), "")</f>
        <v xml:space="preserve">MINIOBODY       </v>
      </c>
      <c r="K3" s="9" t="str">
        <f ca="1">IFERROR(INDEX(INDIRECT(tabEAN.Valmag &amp; "!D:D"), $Q3), "")</f>
        <v>SILVE</v>
      </c>
      <c r="L3" s="9">
        <f ca="1">IFERROR(INDEX(INDIRECT(tabEAN.Valmag &amp; "!E:E"), $Q3), "")</f>
        <v>0</v>
      </c>
      <c r="M3" s="8">
        <f ca="1">IFERROR(MATCH($B3,INDIRECT(tabEAN13 &amp; "!B:B"),0), "")</f>
        <v>34</v>
      </c>
      <c r="N3" s="15" t="str">
        <f ca="1">IFERROR(INDEX(INDIRECT(tabEAN13 &amp; "!E:E"),$M3), "")</f>
        <v xml:space="preserve"> scocca O bag mini EVA</v>
      </c>
      <c r="O3" s="15" t="str">
        <f ca="1">IFERROR(INDEX(INDIRECT(tabEAN13 &amp; "!I:I"),$M3), "")</f>
        <v>silver</v>
      </c>
      <c r="Q3" s="6">
        <f ca="1">IFERROR(MATCH($C3, INDIRECT(tabEAN.Valmag &amp; "!A:A"), 0), "")</f>
        <v>7076</v>
      </c>
    </row>
    <row r="4" spans="2:17" customFormat="1" x14ac:dyDescent="0.25">
      <c r="B4" t="str">
        <f>Proforma!B7 &amp; "-" &amp; Proforma!C7 &amp; "-" &amp; TEXT(Proforma!D7, "000")</f>
        <v>OBAGB033-EVS00-017</v>
      </c>
      <c r="C4" s="16">
        <f ca="1">IFERROR(INDEX(INDIRECT(tabEAN13 &amp; "!A:A"),$M4), "")</f>
        <v>8050846039643</v>
      </c>
      <c r="D4" s="2"/>
      <c r="E4" s="3">
        <f ca="1">IFERROR(MATCH($B4,INDIRECT(tabEAN13.inconnus &amp; "!B:B"),0), "")</f>
        <v>531</v>
      </c>
      <c r="F4" s="11" t="str">
        <f ca="1">IFERROR(INDEX(INDIRECT(tabEAN13.inconnus &amp; "!C:C"),$E4), "")</f>
        <v xml:space="preserve"> O bag fall 2018</v>
      </c>
      <c r="G4" s="11">
        <f ca="1">IFERROR(INDEX(INDIRECT(tabEAN13.inconnus &amp; "!D:D"),$E4), "")</f>
        <v>12</v>
      </c>
      <c r="H4" s="12" t="str">
        <f ca="1">IFERROR(INDEX(INDIRECT(tabEAN13.inconnus &amp; "!E:E"),$E4), "")</f>
        <v xml:space="preserve"> scocca O bag urban EVA</v>
      </c>
      <c r="I4" s="12" t="str">
        <f ca="1">IFERROR(INDEX(INDIRECT(tabEAN13.inconnus &amp; "!I:I"),$E4), "")</f>
        <v>blu navy</v>
      </c>
      <c r="J4" s="9" t="str">
        <f ca="1">IFERROR(INDEX(INDIRECT(tabEAN.Valmag &amp; "!C:C"), $Q4), "")</f>
        <v xml:space="preserve">OURBAN          </v>
      </c>
      <c r="K4" s="9" t="str">
        <f ca="1">IFERROR(INDEX(INDIRECT(tabEAN.Valmag &amp; "!D:D"), $Q4), "")</f>
        <v xml:space="preserve">NAVY </v>
      </c>
      <c r="L4" s="9">
        <f ca="1">IFERROR(INDEX(INDIRECT(tabEAN.Valmag &amp; "!E:E"), $Q4), "")</f>
        <v>0</v>
      </c>
      <c r="M4" s="8">
        <f ca="1">IFERROR(MATCH($B4,INDIRECT(tabEAN13 &amp; "!B:B"),0), "")</f>
        <v>38</v>
      </c>
      <c r="N4" s="15" t="str">
        <f ca="1">IFERROR(INDEX(INDIRECT(tabEAN13 &amp; "!E:E"),$M4), "")</f>
        <v xml:space="preserve"> scocca O bag urban EVA</v>
      </c>
      <c r="O4" s="15" t="str">
        <f ca="1">IFERROR(INDEX(INDIRECT(tabEAN13 &amp; "!I:I"),$M4), "")</f>
        <v>blu navy</v>
      </c>
      <c r="Q4" s="6">
        <f ca="1">IFERROR(MATCH($C4, INDIRECT(tabEAN.Valmag &amp; "!A:A"), 0), "")</f>
        <v>9201</v>
      </c>
    </row>
    <row r="5" spans="2:17" customFormat="1" x14ac:dyDescent="0.25">
      <c r="B5" t="str">
        <f>Proforma!B8 &amp; "-" &amp; Proforma!C8 &amp; "-" &amp; TEXT(Proforma!D8, "000")</f>
        <v>OBAGB001-EVS00-024</v>
      </c>
      <c r="C5" s="16">
        <f ca="1">IFERROR(INDEX(INDIRECT(tabEAN13 &amp; "!A:A"),$M5), "")</f>
        <v>8050450214153</v>
      </c>
      <c r="D5" s="2"/>
      <c r="E5" s="3">
        <f ca="1">IFERROR(MATCH($B5,INDIRECT(tabEAN13.inconnus &amp; "!B:B"),0), "")</f>
        <v>456</v>
      </c>
      <c r="F5" s="11" t="str">
        <f ca="1">IFERROR(INDEX(INDIRECT(tabEAN13.inconnus &amp; "!C:C"),$E5), "")</f>
        <v xml:space="preserve"> O bag fall 2018</v>
      </c>
      <c r="G5" s="11">
        <f ca="1">IFERROR(INDEX(INDIRECT(tabEAN13.inconnus &amp; "!D:D"),$E5), "")</f>
        <v>4</v>
      </c>
      <c r="H5" s="12" t="str">
        <f ca="1">IFERROR(INDEX(INDIRECT(tabEAN13.inconnus &amp; "!E:E"),$E5), "")</f>
        <v xml:space="preserve"> scocca O bag EVA</v>
      </c>
      <c r="I5" s="12" t="str">
        <f ca="1">IFERROR(INDEX(INDIRECT(tabEAN13.inconnus &amp; "!I:I"),$E5), "")</f>
        <v>cioccolato</v>
      </c>
      <c r="J5" s="9" t="str">
        <f ca="1">IFERROR(INDEX(INDIRECT(tabEAN.Valmag &amp; "!C:C"), $Q5), "")</f>
        <v xml:space="preserve">OBODY           </v>
      </c>
      <c r="K5" s="9" t="str">
        <f ca="1">IFERROR(INDEX(INDIRECT(tabEAN.Valmag &amp; "!D:D"), $Q5), "")</f>
        <v>CHOCO</v>
      </c>
      <c r="L5" s="9">
        <f ca="1">IFERROR(INDEX(INDIRECT(tabEAN.Valmag &amp; "!E:E"), $Q5), "")</f>
        <v>0</v>
      </c>
      <c r="M5" s="8">
        <f ca="1">IFERROR(MATCH($B5,INDIRECT(tabEAN13 &amp; "!B:B"),0), "")</f>
        <v>17</v>
      </c>
      <c r="N5" s="15" t="str">
        <f ca="1">IFERROR(INDEX(INDIRECT(tabEAN13 &amp; "!E:E"),$M5), "")</f>
        <v xml:space="preserve"> scocca O bag EVA</v>
      </c>
      <c r="O5" s="15" t="str">
        <f ca="1">IFERROR(INDEX(INDIRECT(tabEAN13 &amp; "!I:I"),$M5), "")</f>
        <v>cioccolato</v>
      </c>
      <c r="Q5" s="6">
        <f ca="1">IFERROR(MATCH($C5, INDIRECT(tabEAN.Valmag &amp; "!A:A"), 0), "")</f>
        <v>7352</v>
      </c>
    </row>
    <row r="6" spans="2:17" customFormat="1" x14ac:dyDescent="0.25">
      <c r="B6" t="str">
        <f>Proforma!B9 &amp; "-" &amp; Proforma!C9 &amp; "-" &amp; TEXT(Proforma!D9, "000")</f>
        <v>OBAGB001-EVS00-541</v>
      </c>
      <c r="C6" s="16">
        <f ca="1">IFERROR(INDEX(INDIRECT(tabEAN13 &amp; "!A:A"),$M6), "")</f>
        <v>8050846039070</v>
      </c>
      <c r="D6" s="2"/>
      <c r="E6" s="3">
        <f ca="1">IFERROR(MATCH($B6,INDIRECT(tabEAN13.inconnus &amp; "!B:B"),0), "")</f>
        <v>467</v>
      </c>
      <c r="F6" s="11" t="str">
        <f ca="1">IFERROR(INDEX(INDIRECT(tabEAN13.inconnus &amp; "!C:C"),$E6), "")</f>
        <v xml:space="preserve"> O bag fall 2018</v>
      </c>
      <c r="G6" s="11">
        <f ca="1">IFERROR(INDEX(INDIRECT(tabEAN13.inconnus &amp; "!D:D"),$E6), "")</f>
        <v>5</v>
      </c>
      <c r="H6" s="12" t="str">
        <f ca="1">IFERROR(INDEX(INDIRECT(tabEAN13.inconnus &amp; "!E:E"),$E6), "")</f>
        <v xml:space="preserve"> scocca O bag EVA</v>
      </c>
      <c r="I6" s="12" t="str">
        <f ca="1">IFERROR(INDEX(INDIRECT(tabEAN13.inconnus &amp; "!I:I"),$E6), "")</f>
        <v>verde bosco</v>
      </c>
      <c r="J6" s="9" t="str">
        <f ca="1">IFERROR(INDEX(INDIRECT(tabEAN.Valmag &amp; "!C:C"), $Q6), "")</f>
        <v xml:space="preserve">OBODY           </v>
      </c>
      <c r="K6" s="9" t="str">
        <f ca="1">IFERROR(INDEX(INDIRECT(tabEAN.Valmag &amp; "!D:D"), $Q6), "")</f>
        <v>BOSCO</v>
      </c>
      <c r="L6" s="9">
        <f ca="1">IFERROR(INDEX(INDIRECT(tabEAN.Valmag &amp; "!E:E"), $Q6), "")</f>
        <v>0</v>
      </c>
      <c r="M6" s="8">
        <f ca="1">IFERROR(MATCH($B6,INDIRECT(tabEAN13 &amp; "!B:B"),0), "")</f>
        <v>23</v>
      </c>
      <c r="N6" s="15" t="str">
        <f ca="1">IFERROR(INDEX(INDIRECT(tabEAN13 &amp; "!E:E"),$M6), "")</f>
        <v xml:space="preserve"> scocca O bag EVA</v>
      </c>
      <c r="O6" s="15" t="str">
        <f ca="1">IFERROR(INDEX(INDIRECT(tabEAN13 &amp; "!I:I"),$M6), "")</f>
        <v>verde bosco</v>
      </c>
      <c r="Q6" s="6">
        <f ca="1">IFERROR(MATCH($C6, INDIRECT(tabEAN.Valmag &amp; "!A:A"), 0), "")</f>
        <v>7343</v>
      </c>
    </row>
    <row r="7" spans="2:17" customFormat="1" x14ac:dyDescent="0.25">
      <c r="B7" t="str">
        <f>Proforma!B10 &amp; "-" &amp; Proforma!C10 &amp; "-" &amp; TEXT(Proforma!D10, "000")</f>
        <v>OBAGB033-EVS00-078</v>
      </c>
      <c r="C7" s="16">
        <f ca="1">IFERROR(INDEX(INDIRECT(tabEAN13 &amp; "!A:A"),$M7), "")</f>
        <v>8050846039711</v>
      </c>
      <c r="D7" s="2"/>
      <c r="E7" s="3">
        <f ca="1">IFERROR(MATCH($B7,INDIRECT(tabEAN13.inconnus &amp; "!B:B"),0), "")</f>
        <v>538</v>
      </c>
      <c r="F7" s="11" t="str">
        <f ca="1">IFERROR(INDEX(INDIRECT(tabEAN13.inconnus &amp; "!C:C"),$E7), "")</f>
        <v xml:space="preserve"> O bag fall 2018</v>
      </c>
      <c r="G7" s="11">
        <f ca="1">IFERROR(INDEX(INDIRECT(tabEAN13.inconnus &amp; "!D:D"),$E7), "")</f>
        <v>12</v>
      </c>
      <c r="H7" s="12" t="str">
        <f ca="1">IFERROR(INDEX(INDIRECT(tabEAN13.inconnus &amp; "!E:E"),$E7), "")</f>
        <v xml:space="preserve"> scocca O bag urban EVA</v>
      </c>
      <c r="I7" s="12" t="str">
        <f ca="1">IFERROR(INDEX(INDIRECT(tabEAN13.inconnus &amp; "!I:I"),$E7), "")</f>
        <v>sabbia</v>
      </c>
      <c r="J7" s="9" t="str">
        <f ca="1">IFERROR(INDEX(INDIRECT(tabEAN.Valmag &amp; "!C:C"), $Q7), "")</f>
        <v xml:space="preserve">OURBAN          </v>
      </c>
      <c r="K7" s="9" t="str">
        <f ca="1">IFERROR(INDEX(INDIRECT(tabEAN.Valmag &amp; "!D:D"), $Q7), "")</f>
        <v xml:space="preserve">SAND </v>
      </c>
      <c r="L7" s="9">
        <f ca="1">IFERROR(INDEX(INDIRECT(tabEAN.Valmag &amp; "!E:E"), $Q7), "")</f>
        <v>0</v>
      </c>
      <c r="M7" s="8">
        <f ca="1">IFERROR(MATCH($B7,INDIRECT(tabEAN13 &amp; "!B:B"),0), "")</f>
        <v>45</v>
      </c>
      <c r="N7" s="15" t="str">
        <f ca="1">IFERROR(INDEX(INDIRECT(tabEAN13 &amp; "!E:E"),$M7), "")</f>
        <v xml:space="preserve"> scocca O bag urban EVA</v>
      </c>
      <c r="O7" s="15" t="str">
        <f ca="1">IFERROR(INDEX(INDIRECT(tabEAN13 &amp; "!I:I"),$M7), "")</f>
        <v>sabbia</v>
      </c>
      <c r="Q7" s="6">
        <f ca="1">IFERROR(MATCH($C7, INDIRECT(tabEAN.Valmag &amp; "!A:A"), 0), "")</f>
        <v>9204</v>
      </c>
    </row>
    <row r="8" spans="2:17" customFormat="1" x14ac:dyDescent="0.25">
      <c r="B8" t="str">
        <f>Proforma!B11 &amp; "-" &amp; Proforma!C11 &amp; "-" &amp; TEXT(Proforma!D11, "000")</f>
        <v>OBAGB034-EVS00-024</v>
      </c>
      <c r="C8" s="16" t="str">
        <f ca="1">IFERROR(INDEX(INDIRECT(tabEAN13 &amp; "!A:A"),$M8), "")</f>
        <v/>
      </c>
      <c r="D8" s="2"/>
      <c r="E8" s="3">
        <f ca="1">IFERROR(MATCH($B8,INDIRECT(tabEAN13.inconnus &amp; "!B:B"),0), "")</f>
        <v>10363</v>
      </c>
      <c r="F8" s="11" t="str">
        <f ca="1">IFERROR(INDEX(INDIRECT(tabEAN13.inconnus &amp; "!C:C"),$E8), "")</f>
        <v xml:space="preserve"> O bag winter 2018</v>
      </c>
      <c r="G8" s="11">
        <f ca="1">IFERROR(INDEX(INDIRECT(tabEAN13.inconnus &amp; "!D:D"),$E8), "")</f>
        <v>19</v>
      </c>
      <c r="H8" s="12" t="str">
        <f ca="1">IFERROR(INDEX(INDIRECT(tabEAN13.inconnus &amp; "!E:E"),$E8), "")</f>
        <v xml:space="preserve"> scocca O bag glam EVA</v>
      </c>
      <c r="I8" s="12" t="str">
        <f ca="1">IFERROR(INDEX(INDIRECT(tabEAN13.inconnus &amp; "!I:I"),$E8), "")</f>
        <v>cioccolato</v>
      </c>
      <c r="J8" s="9" t="str">
        <f ca="1">IFERROR(INDEX(INDIRECT(tabEAN.Valmag &amp; "!C:C"), $Q8), "")</f>
        <v/>
      </c>
      <c r="K8" s="9" t="str">
        <f ca="1">IFERROR(INDEX(INDIRECT(tabEAN.Valmag &amp; "!D:D"), $Q8), "")</f>
        <v/>
      </c>
      <c r="L8" s="9" t="str">
        <f ca="1">IFERROR(INDEX(INDIRECT(tabEAN.Valmag &amp; "!E:E"), $Q8), "")</f>
        <v/>
      </c>
      <c r="M8" s="8" t="str">
        <f ca="1">IFERROR(MATCH($B8,INDIRECT(tabEAN13 &amp; "!B:B"),0), "")</f>
        <v/>
      </c>
      <c r="N8" s="15" t="str">
        <f ca="1">IFERROR(INDEX(INDIRECT(tabEAN13 &amp; "!E:E"),$M8), "")</f>
        <v/>
      </c>
      <c r="O8" s="15" t="str">
        <f ca="1">IFERROR(INDEX(INDIRECT(tabEAN13 &amp; "!I:I"),$M8), "")</f>
        <v/>
      </c>
      <c r="Q8" s="6" t="str">
        <f ca="1">IFERROR(MATCH($C8, INDIRECT(tabEAN.Valmag &amp; "!A:A"), 0), "")</f>
        <v/>
      </c>
    </row>
    <row r="9" spans="2:17" customFormat="1" x14ac:dyDescent="0.25">
      <c r="B9" t="str">
        <f>Proforma!B12 &amp; "-" &amp; Proforma!C12 &amp; "-" &amp; TEXT(Proforma!D12, "000")</f>
        <v>OBAGB034-EVS00-071</v>
      </c>
      <c r="C9" s="16">
        <f ca="1">IFERROR(INDEX(INDIRECT(tabEAN13 &amp; "!A:A"),$M9), "")</f>
        <v>8050846039834</v>
      </c>
      <c r="D9" s="2"/>
      <c r="E9" s="3">
        <f ca="1">IFERROR(MATCH($B9,INDIRECT(tabEAN13.inconnus &amp; "!B:B"),0), "")</f>
        <v>548</v>
      </c>
      <c r="F9" s="11" t="str">
        <f ca="1">IFERROR(INDEX(INDIRECT(tabEAN13.inconnus &amp; "!C:C"),$E9), "")</f>
        <v xml:space="preserve"> O bag fall 2018</v>
      </c>
      <c r="G9" s="11">
        <f ca="1">IFERROR(INDEX(INDIRECT(tabEAN13.inconnus &amp; "!D:D"),$E9), "")</f>
        <v>13</v>
      </c>
      <c r="H9" s="12" t="str">
        <f ca="1">IFERROR(INDEX(INDIRECT(tabEAN13.inconnus &amp; "!E:E"),$E9), "")</f>
        <v xml:space="preserve"> scocca O bag glam EVA</v>
      </c>
      <c r="I9" s="12" t="str">
        <f ca="1">IFERROR(INDEX(INDIRECT(tabEAN13.inconnus &amp; "!I:I"),$E9), "")</f>
        <v>roccia</v>
      </c>
      <c r="J9" s="9" t="str">
        <f ca="1">IFERROR(INDEX(INDIRECT(tabEAN.Valmag &amp; "!C:C"), $Q9), "")</f>
        <v xml:space="preserve">OGLAM           </v>
      </c>
      <c r="K9" s="9" t="str">
        <f ca="1">IFERROR(INDEX(INDIRECT(tabEAN.Valmag &amp; "!D:D"), $Q9), "")</f>
        <v xml:space="preserve">ROCK </v>
      </c>
      <c r="L9" s="9">
        <f ca="1">IFERROR(INDEX(INDIRECT(tabEAN.Valmag &amp; "!E:E"), $Q9), "")</f>
        <v>0</v>
      </c>
      <c r="M9" s="8">
        <f ca="1">IFERROR(MATCH($B9,INDIRECT(tabEAN13 &amp; "!B:B"),0), "")</f>
        <v>55</v>
      </c>
      <c r="N9" s="15" t="str">
        <f ca="1">IFERROR(INDEX(INDIRECT(tabEAN13 &amp; "!E:E"),$M9), "")</f>
        <v xml:space="preserve"> scocca O bag glam EVA</v>
      </c>
      <c r="O9" s="15" t="str">
        <f ca="1">IFERROR(INDEX(INDIRECT(tabEAN13 &amp; "!I:I"),$M9), "")</f>
        <v>roccia</v>
      </c>
      <c r="Q9" s="6">
        <f ca="1">IFERROR(MATCH($C9, INDIRECT(tabEAN.Valmag &amp; "!A:A"), 0), "")</f>
        <v>8495</v>
      </c>
    </row>
    <row r="10" spans="2:17" customFormat="1" x14ac:dyDescent="0.25">
      <c r="B10" t="str">
        <f>Proforma!B13 &amp; "-" &amp; Proforma!C13 &amp; "-" &amp; TEXT(Proforma!D13, "000")</f>
        <v>OBAGB206-EVS00-024</v>
      </c>
      <c r="C10" s="16" t="str">
        <f ca="1">IFERROR(INDEX(INDIRECT(tabEAN13 &amp; "!A:A"),$M10), "")</f>
        <v/>
      </c>
      <c r="D10" s="2"/>
      <c r="E10" s="3">
        <f ca="1">IFERROR(MATCH($B10,INDIRECT(tabEAN13.inconnus &amp; "!B:B"),0), "")</f>
        <v>10374</v>
      </c>
      <c r="F10" s="11" t="str">
        <f ca="1">IFERROR(INDEX(INDIRECT(tabEAN13.inconnus &amp; "!C:C"),$E10), "")</f>
        <v xml:space="preserve"> O bag winter 2018</v>
      </c>
      <c r="G10" s="11">
        <f ca="1">IFERROR(INDEX(INDIRECT(tabEAN13.inconnus &amp; "!D:D"),$E10), "")</f>
        <v>20</v>
      </c>
      <c r="H10" s="12" t="str">
        <f ca="1">IFERROR(INDEX(INDIRECT(tabEAN13.inconnus &amp; "!E:E"),$E10), "")</f>
        <v xml:space="preserve"> scocca sotto O pocket EVA</v>
      </c>
      <c r="I10" s="12" t="str">
        <f ca="1">IFERROR(INDEX(INDIRECT(tabEAN13.inconnus &amp; "!I:I"),$E10), "")</f>
        <v>cioccolato</v>
      </c>
      <c r="J10" s="9" t="str">
        <f ca="1">IFERROR(INDEX(INDIRECT(tabEAN.Valmag &amp; "!C:C"), $Q10), "")</f>
        <v/>
      </c>
      <c r="K10" s="9" t="str">
        <f ca="1">IFERROR(INDEX(INDIRECT(tabEAN.Valmag &amp; "!D:D"), $Q10), "")</f>
        <v/>
      </c>
      <c r="L10" s="9" t="str">
        <f ca="1">IFERROR(INDEX(INDIRECT(tabEAN.Valmag &amp; "!E:E"), $Q10), "")</f>
        <v/>
      </c>
      <c r="M10" s="8" t="str">
        <f ca="1">IFERROR(MATCH($B10,INDIRECT(tabEAN13 &amp; "!B:B"),0), "")</f>
        <v/>
      </c>
      <c r="N10" s="15" t="str">
        <f ca="1">IFERROR(INDEX(INDIRECT(tabEAN13 &amp; "!E:E"),$M10), "")</f>
        <v/>
      </c>
      <c r="O10" s="15" t="str">
        <f ca="1">IFERROR(INDEX(INDIRECT(tabEAN13 &amp; "!I:I"),$M10), "")</f>
        <v/>
      </c>
      <c r="Q10" s="6" t="str">
        <f ca="1">IFERROR(MATCH($C10, INDIRECT(tabEAN.Valmag &amp; "!A:A"), 0), "")</f>
        <v/>
      </c>
    </row>
    <row r="11" spans="2:17" customFormat="1" x14ac:dyDescent="0.25">
      <c r="B11" t="str">
        <f>Proforma!B14 &amp; "-" &amp; Proforma!C14 &amp; "-" &amp; TEXT(Proforma!D14, "000")</f>
        <v>OBAGS001-TESR1-018</v>
      </c>
      <c r="C11" s="16" t="str">
        <f ca="1">IFERROR(INDEX(INDIRECT(tabEAN13 &amp; "!A:A"),$M11), "")</f>
        <v/>
      </c>
      <c r="D11" s="2"/>
      <c r="E11" s="3" t="str">
        <f ca="1">IFERROR(MATCH($B11,INDIRECT(tabEAN13.inconnus &amp; "!B:B"),0), "")</f>
        <v/>
      </c>
      <c r="F11" s="11" t="str">
        <f ca="1">IFERROR(INDEX(INDIRECT(tabEAN13.inconnus &amp; "!C:C"),$E11), "")</f>
        <v/>
      </c>
      <c r="G11" s="11" t="str">
        <f ca="1">IFERROR(INDEX(INDIRECT(tabEAN13.inconnus &amp; "!D:D"),$E11), "")</f>
        <v/>
      </c>
      <c r="H11" s="12" t="str">
        <f ca="1">IFERROR(INDEX(INDIRECT(tabEAN13.inconnus &amp; "!E:E"),$E11), "")</f>
        <v/>
      </c>
      <c r="I11" s="12" t="str">
        <f ca="1">IFERROR(INDEX(INDIRECT(tabEAN13.inconnus &amp; "!I:I"),$E11), "")</f>
        <v/>
      </c>
      <c r="J11" s="9" t="str">
        <f ca="1">IFERROR(INDEX(INDIRECT(tabEAN.Valmag &amp; "!C:C"), $Q11), "")</f>
        <v/>
      </c>
      <c r="K11" s="9" t="str">
        <f ca="1">IFERROR(INDEX(INDIRECT(tabEAN.Valmag &amp; "!D:D"), $Q11), "")</f>
        <v/>
      </c>
      <c r="L11" s="9" t="str">
        <f ca="1">IFERROR(INDEX(INDIRECT(tabEAN.Valmag &amp; "!E:E"), $Q11), "")</f>
        <v/>
      </c>
      <c r="M11" s="8" t="str">
        <f ca="1">IFERROR(MATCH($B11,INDIRECT(tabEAN13 &amp; "!B:B"),0), "")</f>
        <v/>
      </c>
      <c r="N11" s="15" t="str">
        <f ca="1">IFERROR(INDEX(INDIRECT(tabEAN13 &amp; "!E:E"),$M11), "")</f>
        <v/>
      </c>
      <c r="O11" s="15" t="str">
        <f ca="1">IFERROR(INDEX(INDIRECT(tabEAN13 &amp; "!I:I"),$M11), "")</f>
        <v/>
      </c>
      <c r="Q11" s="6" t="str">
        <f ca="1">IFERROR(MATCH($C11, INDIRECT(tabEAN.Valmag &amp; "!A:A"), 0), "")</f>
        <v/>
      </c>
    </row>
    <row r="12" spans="2:17" customFormat="1" x14ac:dyDescent="0.25">
      <c r="B12" t="str">
        <f>Proforma!B15 &amp; "-" &amp; Proforma!C15 &amp; "-" &amp; TEXT(Proforma!D15, "000")</f>
        <v>OBAGS001-TESR1-258</v>
      </c>
      <c r="C12" s="16" t="str">
        <f ca="1">IFERROR(INDEX(INDIRECT(tabEAN13 &amp; "!A:A"),$M12), "")</f>
        <v/>
      </c>
      <c r="D12" s="2"/>
      <c r="E12" s="3" t="str">
        <f ca="1">IFERROR(MATCH($B12,INDIRECT(tabEAN13.inconnus &amp; "!B:B"),0), "")</f>
        <v/>
      </c>
      <c r="F12" s="11" t="str">
        <f ca="1">IFERROR(INDEX(INDIRECT(tabEAN13.inconnus &amp; "!C:C"),$E12), "")</f>
        <v/>
      </c>
      <c r="G12" s="11" t="str">
        <f ca="1">IFERROR(INDEX(INDIRECT(tabEAN13.inconnus &amp; "!D:D"),$E12), "")</f>
        <v/>
      </c>
      <c r="H12" s="12" t="str">
        <f ca="1">IFERROR(INDEX(INDIRECT(tabEAN13.inconnus &amp; "!E:E"),$E12), "")</f>
        <v/>
      </c>
      <c r="I12" s="12" t="str">
        <f ca="1">IFERROR(INDEX(INDIRECT(tabEAN13.inconnus &amp; "!I:I"),$E12), "")</f>
        <v/>
      </c>
      <c r="J12" s="9" t="str">
        <f ca="1">IFERROR(INDEX(INDIRECT(tabEAN.Valmag &amp; "!C:C"), $Q12), "")</f>
        <v/>
      </c>
      <c r="K12" s="9" t="str">
        <f ca="1">IFERROR(INDEX(INDIRECT(tabEAN.Valmag &amp; "!D:D"), $Q12), "")</f>
        <v/>
      </c>
      <c r="L12" s="9" t="str">
        <f ca="1">IFERROR(INDEX(INDIRECT(tabEAN.Valmag &amp; "!E:E"), $Q12), "")</f>
        <v/>
      </c>
      <c r="M12" s="8" t="str">
        <f ca="1">IFERROR(MATCH($B12,INDIRECT(tabEAN13 &amp; "!B:B"),0), "")</f>
        <v/>
      </c>
      <c r="N12" s="15" t="str">
        <f ca="1">IFERROR(INDEX(INDIRECT(tabEAN13 &amp; "!E:E"),$M12), "")</f>
        <v/>
      </c>
      <c r="O12" s="15" t="str">
        <f ca="1">IFERROR(INDEX(INDIRECT(tabEAN13 &amp; "!I:I"),$M12), "")</f>
        <v/>
      </c>
      <c r="Q12" s="6" t="str">
        <f ca="1">IFERROR(MATCH($C12, INDIRECT(tabEAN.Valmag &amp; "!A:A"), 0), "")</f>
        <v/>
      </c>
    </row>
    <row r="13" spans="2:17" customFormat="1" x14ac:dyDescent="0.25">
      <c r="B13" t="str">
        <f>Proforma!B16 &amp; "-" &amp; Proforma!C16 &amp; "-" &amp; TEXT(Proforma!D16, "000")</f>
        <v>OBAGS002-TESR1-018</v>
      </c>
      <c r="C13" s="16" t="str">
        <f ca="1">IFERROR(INDEX(INDIRECT(tabEAN13 &amp; "!A:A"),$M13), "")</f>
        <v/>
      </c>
      <c r="D13" s="2"/>
      <c r="E13" s="3">
        <f ca="1">IFERROR(MATCH($B13,INDIRECT(tabEAN13.inconnus &amp; "!B:B"),0), "")</f>
        <v>10692</v>
      </c>
      <c r="F13" s="11" t="str">
        <f ca="1">IFERROR(INDEX(INDIRECT(tabEAN13.inconnus &amp; "!C:C"),$E13), "")</f>
        <v xml:space="preserve"> O bag winter 2018</v>
      </c>
      <c r="G13" s="11">
        <f ca="1">IFERROR(INDEX(INDIRECT(tabEAN13.inconnus &amp; "!D:D"),$E13), "")</f>
        <v>81</v>
      </c>
      <c r="H13" s="12" t="str">
        <f ca="1">IFERROR(INDEX(INDIRECT(tabEAN13.inconnus &amp; "!E:E"),$E13), "")</f>
        <v xml:space="preserve"> sacca interna zip O bag mini</v>
      </c>
      <c r="I13" s="12" t="str">
        <f ca="1">IFERROR(INDEX(INDIRECT(tabEAN13.inconnus &amp; "!I:I"),$E13), "")</f>
        <v>bordeaux</v>
      </c>
      <c r="J13" s="9" t="str">
        <f ca="1">IFERROR(INDEX(INDIRECT(tabEAN.Valmag &amp; "!C:C"), $Q13), "")</f>
        <v/>
      </c>
      <c r="K13" s="9" t="str">
        <f ca="1">IFERROR(INDEX(INDIRECT(tabEAN.Valmag &amp; "!D:D"), $Q13), "")</f>
        <v/>
      </c>
      <c r="L13" s="9" t="str">
        <f ca="1">IFERROR(INDEX(INDIRECT(tabEAN.Valmag &amp; "!E:E"), $Q13), "")</f>
        <v/>
      </c>
      <c r="M13" s="8" t="str">
        <f ca="1">IFERROR(MATCH($B13,INDIRECT(tabEAN13 &amp; "!B:B"),0), "")</f>
        <v/>
      </c>
      <c r="N13" s="15" t="str">
        <f ca="1">IFERROR(INDEX(INDIRECT(tabEAN13 &amp; "!E:E"),$M13), "")</f>
        <v/>
      </c>
      <c r="O13" s="15" t="str">
        <f ca="1">IFERROR(INDEX(INDIRECT(tabEAN13 &amp; "!I:I"),$M13), "")</f>
        <v/>
      </c>
      <c r="Q13" s="6" t="str">
        <f ca="1">IFERROR(MATCH($C13, INDIRECT(tabEAN.Valmag &amp; "!A:A"), 0), "")</f>
        <v/>
      </c>
    </row>
    <row r="14" spans="2:17" customFormat="1" x14ac:dyDescent="0.25">
      <c r="B14" t="str">
        <f>Proforma!B17 &amp; "-" &amp; Proforma!C17 &amp; "-" &amp; TEXT(Proforma!D17, "000")</f>
        <v>OBAGS002-TESR1-086</v>
      </c>
      <c r="C14" s="16" t="str">
        <f ca="1">IFERROR(INDEX(INDIRECT(tabEAN13 &amp; "!A:A"),$M14), "")</f>
        <v/>
      </c>
      <c r="D14" s="2"/>
      <c r="E14" s="3">
        <f ca="1">IFERROR(MATCH($B14,INDIRECT(tabEAN13.inconnus &amp; "!B:B"),0), "")</f>
        <v>10694</v>
      </c>
      <c r="F14" s="11" t="str">
        <f ca="1">IFERROR(INDEX(INDIRECT(tabEAN13.inconnus &amp; "!C:C"),$E14), "")</f>
        <v xml:space="preserve"> O bag winter 2018</v>
      </c>
      <c r="G14" s="11">
        <f ca="1">IFERROR(INDEX(INDIRECT(tabEAN13.inconnus &amp; "!D:D"),$E14), "")</f>
        <v>81</v>
      </c>
      <c r="H14" s="12" t="str">
        <f ca="1">IFERROR(INDEX(INDIRECT(tabEAN13.inconnus &amp; "!E:E"),$E14), "")</f>
        <v xml:space="preserve"> sacca interna zip O bag mini</v>
      </c>
      <c r="I14" s="12" t="str">
        <f ca="1">IFERROR(INDEX(INDIRECT(tabEAN13.inconnus &amp; "!I:I"),$E14), "")</f>
        <v>tortora</v>
      </c>
      <c r="J14" s="9" t="str">
        <f ca="1">IFERROR(INDEX(INDIRECT(tabEAN.Valmag &amp; "!C:C"), $Q14), "")</f>
        <v/>
      </c>
      <c r="K14" s="9" t="str">
        <f ca="1">IFERROR(INDEX(INDIRECT(tabEAN.Valmag &amp; "!D:D"), $Q14), "")</f>
        <v/>
      </c>
      <c r="L14" s="9" t="str">
        <f ca="1">IFERROR(INDEX(INDIRECT(tabEAN.Valmag &amp; "!E:E"), $Q14), "")</f>
        <v/>
      </c>
      <c r="M14" s="8" t="str">
        <f ca="1">IFERROR(MATCH($B14,INDIRECT(tabEAN13 &amp; "!B:B"),0), "")</f>
        <v/>
      </c>
      <c r="N14" s="15" t="str">
        <f ca="1">IFERROR(INDEX(INDIRECT(tabEAN13 &amp; "!E:E"),$M14), "")</f>
        <v/>
      </c>
      <c r="O14" s="15" t="str">
        <f ca="1">IFERROR(INDEX(INDIRECT(tabEAN13 &amp; "!I:I"),$M14), "")</f>
        <v/>
      </c>
      <c r="Q14" s="6" t="str">
        <f ca="1">IFERROR(MATCH($C14, INDIRECT(tabEAN.Valmag &amp; "!A:A"), 0), "")</f>
        <v/>
      </c>
    </row>
    <row r="15" spans="2:17" customFormat="1" x14ac:dyDescent="0.25">
      <c r="B15" t="str">
        <f>Proforma!B18 &amp; "-" &amp; Proforma!C18 &amp; "-" &amp; TEXT(Proforma!D18, "000")</f>
        <v>OBAGS002-TESR1-258</v>
      </c>
      <c r="C15" s="16" t="str">
        <f ca="1">IFERROR(INDEX(INDIRECT(tabEAN13 &amp; "!A:A"),$M15), "")</f>
        <v/>
      </c>
      <c r="D15" s="2"/>
      <c r="E15" s="3">
        <f ca="1">IFERROR(MATCH($B15,INDIRECT(tabEAN13.inconnus &amp; "!B:B"),0), "")</f>
        <v>10695</v>
      </c>
      <c r="F15" s="11" t="str">
        <f ca="1">IFERROR(INDEX(INDIRECT(tabEAN13.inconnus &amp; "!C:C"),$E15), "")</f>
        <v xml:space="preserve"> O bag winter 2018</v>
      </c>
      <c r="G15" s="11">
        <f ca="1">IFERROR(INDEX(INDIRECT(tabEAN13.inconnus &amp; "!D:D"),$E15), "")</f>
        <v>81</v>
      </c>
      <c r="H15" s="12" t="str">
        <f ca="1">IFERROR(INDEX(INDIRECT(tabEAN13.inconnus &amp; "!E:E"),$E15), "")</f>
        <v xml:space="preserve"> sacca interna zip O bag mini</v>
      </c>
      <c r="I15" s="12" t="str">
        <f ca="1">IFERROR(INDEX(INDIRECT(tabEAN13.inconnus &amp; "!I:I"),$E15), "")</f>
        <v>beige</v>
      </c>
      <c r="J15" s="9" t="str">
        <f ca="1">IFERROR(INDEX(INDIRECT(tabEAN.Valmag &amp; "!C:C"), $Q15), "")</f>
        <v/>
      </c>
      <c r="K15" s="9" t="str">
        <f ca="1">IFERROR(INDEX(INDIRECT(tabEAN.Valmag &amp; "!D:D"), $Q15), "")</f>
        <v/>
      </c>
      <c r="L15" s="9" t="str">
        <f ca="1">IFERROR(INDEX(INDIRECT(tabEAN.Valmag &amp; "!E:E"), $Q15), "")</f>
        <v/>
      </c>
      <c r="M15" s="8" t="str">
        <f ca="1">IFERROR(MATCH($B15,INDIRECT(tabEAN13 &amp; "!B:B"),0), "")</f>
        <v/>
      </c>
      <c r="N15" s="15" t="str">
        <f ca="1">IFERROR(INDEX(INDIRECT(tabEAN13 &amp; "!E:E"),$M15), "")</f>
        <v/>
      </c>
      <c r="O15" s="15" t="str">
        <f ca="1">IFERROR(INDEX(INDIRECT(tabEAN13 &amp; "!I:I"),$M15), "")</f>
        <v/>
      </c>
      <c r="Q15" s="6" t="str">
        <f ca="1">IFERROR(MATCH($C15, INDIRECT(tabEAN.Valmag &amp; "!A:A"), 0), "")</f>
        <v/>
      </c>
    </row>
    <row r="16" spans="2:17" customFormat="1" x14ac:dyDescent="0.25">
      <c r="B16" t="str">
        <f>Proforma!B19 &amp; "-" &amp; Proforma!C19 &amp; "-" &amp; TEXT(Proforma!D19, "000")</f>
        <v>SHOUX101-ECS00-018</v>
      </c>
      <c r="C16" s="16">
        <f ca="1">IFERROR(INDEX(INDIRECT(tabEAN13 &amp; "!A:A"),$M16), "")</f>
        <v>8050846035195</v>
      </c>
      <c r="D16" s="2"/>
      <c r="E16" s="3">
        <f ca="1">IFERROR(MATCH($B16,INDIRECT(tabEAN13.inconnus &amp; "!B:B"),0), "")</f>
        <v>676</v>
      </c>
      <c r="F16" s="11" t="str">
        <f ca="1">IFERROR(INDEX(INDIRECT(tabEAN13.inconnus &amp; "!C:C"),$E16), "")</f>
        <v xml:space="preserve"> O bag fall 2018</v>
      </c>
      <c r="G16" s="11">
        <f ca="1">IFERROR(INDEX(INDIRECT(tabEAN13.inconnus &amp; "!D:D"),$E16), "")</f>
        <v>37</v>
      </c>
      <c r="H16" s="12" t="str">
        <f ca="1">IFERROR(INDEX(INDIRECT(tabEAN13.inconnus &amp; "!E:E"),$E16), "")</f>
        <v xml:space="preserve"> tracolla extraslim 110 +</v>
      </c>
      <c r="I16" s="12" t="str">
        <f ca="1">IFERROR(INDEX(INDIRECT(tabEAN13.inconnus &amp; "!I:I"),$E16), "")</f>
        <v>bordeaux</v>
      </c>
      <c r="J16" s="9" t="str">
        <f ca="1">IFERROR(INDEX(INDIRECT(tabEAN.Valmag &amp; "!C:C"), $Q16), "")</f>
        <v>ANSESTUB/BANDOUL</v>
      </c>
      <c r="K16" s="9" t="str">
        <f ca="1">IFERROR(INDEX(INDIRECT(tabEAN.Valmag &amp; "!D:D"), $Q16), "")</f>
        <v xml:space="preserve">BDX  </v>
      </c>
      <c r="L16" s="9">
        <f ca="1">IFERROR(INDEX(INDIRECT(tabEAN.Valmag &amp; "!E:E"), $Q16), "")</f>
        <v>0</v>
      </c>
      <c r="M16" s="8">
        <f ca="1">IFERROR(MATCH($B16,INDIRECT(tabEAN13 &amp; "!B:B"),0), "")</f>
        <v>59</v>
      </c>
      <c r="N16" s="15" t="str">
        <f ca="1">IFERROR(INDEX(INDIRECT(tabEAN13 &amp; "!E:E"),$M16), "")</f>
        <v xml:space="preserve"> tracolla extraslim 110 +</v>
      </c>
      <c r="O16" s="15" t="str">
        <f ca="1">IFERROR(INDEX(INDIRECT(tabEAN13 &amp; "!I:I"),$M16), "")</f>
        <v>bordeaux</v>
      </c>
      <c r="Q16" s="6">
        <f ca="1">IFERROR(MATCH($C16, INDIRECT(tabEAN.Valmag &amp; "!A:A"), 0), "")</f>
        <v>2396</v>
      </c>
    </row>
    <row r="17" spans="3:12" x14ac:dyDescent="0.25">
      <c r="C17" s="13"/>
      <c r="D17" s="13"/>
      <c r="K17" s="13"/>
      <c r="L17" s="13"/>
    </row>
    <row r="18" spans="3:12" x14ac:dyDescent="0.25">
      <c r="F18" s="14"/>
      <c r="G18" s="14"/>
      <c r="H18" s="14"/>
    </row>
  </sheetData>
  <conditionalFormatting sqref="H1:I16">
    <cfRule type="expression" dxfId="1" priority="1">
      <formula>AND($C1 &lt;&gt; "", H1&lt;&gt;N1)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1"/>
  <sheetViews>
    <sheetView workbookViewId="0">
      <selection activeCell="B4" sqref="B4"/>
    </sheetView>
  </sheetViews>
  <sheetFormatPr baseColWidth="10" defaultRowHeight="15" x14ac:dyDescent="0.25"/>
  <cols>
    <col min="2" max="2" width="20.42578125" customWidth="1"/>
    <col min="3" max="3" width="14.5703125" customWidth="1"/>
    <col min="5" max="5" width="16.7109375" bestFit="1" customWidth="1"/>
    <col min="6" max="6" width="20.140625" bestFit="1" customWidth="1"/>
    <col min="8" max="9" width="14" bestFit="1" customWidth="1"/>
    <col min="10" max="10" width="16.7109375" bestFit="1" customWidth="1"/>
    <col min="11" max="11" width="7.140625" bestFit="1" customWidth="1"/>
  </cols>
  <sheetData>
    <row r="2" spans="1:12" x14ac:dyDescent="0.25">
      <c r="A2" t="s">
        <v>37</v>
      </c>
      <c r="B2" s="18" t="s">
        <v>44</v>
      </c>
    </row>
    <row r="3" spans="1:12" x14ac:dyDescent="0.25">
      <c r="A3" t="s">
        <v>38</v>
      </c>
      <c r="B3" s="19" t="s">
        <v>45</v>
      </c>
    </row>
    <row r="4" spans="1:12" x14ac:dyDescent="0.25">
      <c r="A4" t="s">
        <v>42</v>
      </c>
      <c r="B4" s="17" t="s">
        <v>43</v>
      </c>
    </row>
    <row r="6" spans="1:12" x14ac:dyDescent="0.25">
      <c r="A6" t="s">
        <v>39</v>
      </c>
    </row>
    <row r="7" spans="1:12" x14ac:dyDescent="0.25">
      <c r="B7" s="8" t="s">
        <v>40</v>
      </c>
      <c r="E7" s="7" t="s">
        <v>41</v>
      </c>
      <c r="H7" s="5" t="s">
        <v>42</v>
      </c>
    </row>
    <row r="8" spans="1:12" x14ac:dyDescent="0.25">
      <c r="B8" s="10" t="str">
        <f>[1]TousProduits!B22</f>
        <v>OBAGB037-EVS57-017</v>
      </c>
      <c r="C8" s="10" t="str">
        <f>[1]TousProduits!C22</f>
        <v xml:space="preserve"> O bag twist cocco</v>
      </c>
      <c r="E8" s="12">
        <f>[2]TousProduits.EAN13!A1</f>
        <v>8056099179433</v>
      </c>
      <c r="F8" s="12" t="str">
        <f>[2]TousProduits.EAN13!B1</f>
        <v>OBAGB001-EVS00-371</v>
      </c>
      <c r="H8" s="4">
        <f>'[3]0- EXPEAN13_PCOBAG01_2018121418'!A23</f>
        <v>3000020000032</v>
      </c>
      <c r="I8" s="4" t="str">
        <f>'[3]0- EXPEAN13_PCOBAG01_2018121418'!B23</f>
        <v xml:space="preserve">FULL         </v>
      </c>
      <c r="J8" s="4" t="str">
        <f>'[3]0- EXPEAN13_PCOBAG01_2018121418'!C23</f>
        <v xml:space="preserve">0CS01           </v>
      </c>
      <c r="K8" s="4" t="str">
        <f>'[3]0- EXPEAN13_PCOBAG01_2018121418'!D23</f>
        <v xml:space="preserve">     </v>
      </c>
      <c r="L8" s="4" t="str">
        <f>'[3]0- EXPEAN13_PCOBAG01_2018121418'!E23</f>
        <v xml:space="preserve">L    </v>
      </c>
    </row>
    <row r="9" spans="1:12" x14ac:dyDescent="0.25">
      <c r="B9" s="10" t="str">
        <f>[1]TousProduits!B23</f>
        <v>OBAGB037-EVS57-078</v>
      </c>
      <c r="C9" s="10" t="str">
        <f>[1]TousProduits!C23</f>
        <v xml:space="preserve"> O bag twist cocco</v>
      </c>
      <c r="E9" s="12">
        <f>[2]TousProduits.EAN13!A2</f>
        <v>8050450217574</v>
      </c>
      <c r="F9" s="12" t="str">
        <f>[2]TousProduits.EAN13!B2</f>
        <v>OBAGB001-EVS00-017</v>
      </c>
      <c r="H9" s="4">
        <f>'[3]0- EXPEAN13_PCOBAG01_2018121418'!A24</f>
        <v>3000020000025</v>
      </c>
      <c r="I9" s="4" t="str">
        <f>'[3]0- EXPEAN13_PCOBAG01_2018121418'!B24</f>
        <v xml:space="preserve">FULL         </v>
      </c>
      <c r="J9" s="4" t="str">
        <f>'[3]0- EXPEAN13_PCOBAG01_2018121418'!C24</f>
        <v xml:space="preserve">0CS01           </v>
      </c>
      <c r="K9" s="4" t="str">
        <f>'[3]0- EXPEAN13_PCOBAG01_2018121418'!D24</f>
        <v xml:space="preserve">     </v>
      </c>
      <c r="L9" s="4" t="str">
        <f>'[3]0- EXPEAN13_PCOBAG01_2018121418'!E24</f>
        <v xml:space="preserve">M    </v>
      </c>
    </row>
    <row r="10" spans="1:12" x14ac:dyDescent="0.25">
      <c r="B10" s="10" t="str">
        <f>[1]TousProduits!B24</f>
        <v>OBAGB037-EVS57-018</v>
      </c>
      <c r="C10" s="10" t="str">
        <f>[1]TousProduits!C24</f>
        <v xml:space="preserve"> O bag twist cocco</v>
      </c>
      <c r="E10" s="12">
        <f>[2]TousProduits.EAN13!A3</f>
        <v>8051770308669</v>
      </c>
      <c r="F10" s="12" t="str">
        <f>[2]TousProduits.EAN13!B3</f>
        <v>OBAGB001-EVS00-078</v>
      </c>
      <c r="H10" s="4">
        <f>'[3]0- EXPEAN13_PCOBAG01_2018121418'!A25</f>
        <v>3000020000018</v>
      </c>
      <c r="I10" s="4" t="str">
        <f>'[3]0- EXPEAN13_PCOBAG01_2018121418'!B25</f>
        <v xml:space="preserve">FULL         </v>
      </c>
      <c r="J10" s="4" t="str">
        <f>'[3]0- EXPEAN13_PCOBAG01_2018121418'!C25</f>
        <v xml:space="preserve">0CS01           </v>
      </c>
      <c r="K10" s="4" t="str">
        <f>'[3]0- EXPEAN13_PCOBAG01_2018121418'!D25</f>
        <v xml:space="preserve">     </v>
      </c>
      <c r="L10" s="4" t="str">
        <f>'[3]0- EXPEAN13_PCOBAG01_2018121418'!E25</f>
        <v xml:space="preserve">S    </v>
      </c>
    </row>
    <row r="11" spans="1:12" x14ac:dyDescent="0.25">
      <c r="B11" s="10" t="str">
        <f>[1]TousProduits!B25</f>
        <v>OBAGB037-EVS57-371</v>
      </c>
      <c r="C11" s="10" t="str">
        <f>[1]TousProduits!C25</f>
        <v xml:space="preserve"> O bag twist cocco</v>
      </c>
      <c r="E11" s="12">
        <f>[2]TousProduits.EAN13!A4</f>
        <v>8051770308652</v>
      </c>
      <c r="F11" s="12" t="str">
        <f>[2]TousProduits.EAN13!B4</f>
        <v>OBAGB001-EVS00-071</v>
      </c>
      <c r="H11" s="4">
        <f>'[3]0- EXPEAN13_PCOBAG01_2018121418'!A26</f>
        <v>3000020000049</v>
      </c>
      <c r="I11" s="4" t="str">
        <f>'[3]0- EXPEAN13_PCOBAG01_2018121418'!B26</f>
        <v xml:space="preserve">FULL         </v>
      </c>
      <c r="J11" s="4" t="str">
        <f>'[3]0- EXPEAN13_PCOBAG01_2018121418'!C26</f>
        <v xml:space="preserve">0CS01           </v>
      </c>
      <c r="K11" s="4" t="str">
        <f>'[3]0- EXPEAN13_PCOBAG01_2018121418'!D26</f>
        <v xml:space="preserve">     </v>
      </c>
      <c r="L11" s="4" t="str">
        <f>'[3]0- EXPEAN13_PCOBAG01_2018121418'!E26</f>
        <v xml:space="preserve">XL   </v>
      </c>
    </row>
    <row r="12" spans="1:12" x14ac:dyDescent="0.25">
      <c r="B12" s="10" t="str">
        <f>[1]TousProduits!B26</f>
        <v>OBAGB037-EVS57-055</v>
      </c>
      <c r="C12" s="10" t="str">
        <f>[1]TousProduits!C26</f>
        <v xml:space="preserve"> O bag twist cocco</v>
      </c>
      <c r="E12" s="12">
        <f>[2]TousProduits.EAN13!A5</f>
        <v>8051770308638</v>
      </c>
      <c r="F12" s="12" t="str">
        <f>[2]TousProduits.EAN13!B5</f>
        <v>OBAGB001-EVS00-055</v>
      </c>
      <c r="H12" s="4">
        <f>'[3]0- EXPEAN13_PCOBAG01_2018121418'!A27</f>
        <v>3000020000001</v>
      </c>
      <c r="I12" s="4" t="str">
        <f>'[3]0- EXPEAN13_PCOBAG01_2018121418'!B27</f>
        <v xml:space="preserve">FULL         </v>
      </c>
      <c r="J12" s="4" t="str">
        <f>'[3]0- EXPEAN13_PCOBAG01_2018121418'!C27</f>
        <v xml:space="preserve">0CS01           </v>
      </c>
      <c r="K12" s="4" t="str">
        <f>'[3]0- EXPEAN13_PCOBAG01_2018121418'!D27</f>
        <v xml:space="preserve">     </v>
      </c>
      <c r="L12" s="4" t="str">
        <f>'[3]0- EXPEAN13_PCOBAG01_2018121418'!E27</f>
        <v xml:space="preserve">XS   </v>
      </c>
    </row>
    <row r="13" spans="1:12" x14ac:dyDescent="0.25">
      <c r="B13" s="10" t="str">
        <f>[1]TousProduits!B27</f>
        <v>OBAGB037-EVS57-559</v>
      </c>
      <c r="C13" s="10" t="str">
        <f>[1]TousProduits!C27</f>
        <v xml:space="preserve"> O bag twist cocco</v>
      </c>
      <c r="E13" s="12">
        <f>[2]TousProduits.EAN13!A6</f>
        <v>8056099177125</v>
      </c>
      <c r="F13" s="12" t="str">
        <f>[2]TousProduits.EAN13!B6</f>
        <v>OBAGB002-EVS00-371</v>
      </c>
      <c r="H13" s="4">
        <f>'[3]0- EXPEAN13_PCOBAG01_2018121418'!A28</f>
        <v>3000210000033</v>
      </c>
      <c r="I13" s="4" t="str">
        <f>'[3]0- EXPEAN13_PCOBAG01_2018121418'!B28</f>
        <v xml:space="preserve">FULL         </v>
      </c>
      <c r="J13" s="4" t="str">
        <f>'[3]0- EXPEAN13_PCOBAG01_2018121418'!C28</f>
        <v xml:space="preserve">0CS16           </v>
      </c>
      <c r="K13" s="4" t="str">
        <f>'[3]0- EXPEAN13_PCOBAG01_2018121418'!D28</f>
        <v xml:space="preserve">     </v>
      </c>
      <c r="L13" s="4" t="str">
        <f>'[3]0- EXPEAN13_PCOBAG01_2018121418'!E28</f>
        <v xml:space="preserve">L    </v>
      </c>
    </row>
    <row r="14" spans="1:12" x14ac:dyDescent="0.25">
      <c r="B14" s="10" t="str">
        <f>[1]TousProduits!B28</f>
        <v>HLESCE01-ECS00-612</v>
      </c>
      <c r="C14" s="10" t="str">
        <f>[1]TousProduits!C28</f>
        <v xml:space="preserve"> O bag twist cocco</v>
      </c>
      <c r="E14" s="12">
        <f>[2]TousProduits.EAN13!A7</f>
        <v>8050450218335</v>
      </c>
      <c r="F14" s="12" t="str">
        <f>[2]TousProduits.EAN13!B7</f>
        <v>OBAGB002-EVS00-017</v>
      </c>
      <c r="H14" s="4">
        <f>'[3]0- EXPEAN13_PCOBAG01_2018121418'!A29</f>
        <v>3000210000026</v>
      </c>
      <c r="I14" s="4" t="str">
        <f>'[3]0- EXPEAN13_PCOBAG01_2018121418'!B29</f>
        <v xml:space="preserve">FULL         </v>
      </c>
      <c r="J14" s="4" t="str">
        <f>'[3]0- EXPEAN13_PCOBAG01_2018121418'!C29</f>
        <v xml:space="preserve">0CS16           </v>
      </c>
      <c r="K14" s="4" t="str">
        <f>'[3]0- EXPEAN13_PCOBAG01_2018121418'!D29</f>
        <v xml:space="preserve">     </v>
      </c>
      <c r="L14" s="4" t="str">
        <f>'[3]0- EXPEAN13_PCOBAG01_2018121418'!E29</f>
        <v xml:space="preserve">M    </v>
      </c>
    </row>
    <row r="15" spans="1:12" x14ac:dyDescent="0.25">
      <c r="B15" s="10" t="str">
        <f>[1]TousProduits!B29</f>
        <v>HLESCE01-ECS00-055</v>
      </c>
      <c r="C15" s="10" t="str">
        <f>[1]TousProduits!C29</f>
        <v xml:space="preserve"> O bag twist cocco</v>
      </c>
      <c r="E15" s="12">
        <f>[2]TousProduits.EAN13!A8</f>
        <v>8050450215631</v>
      </c>
      <c r="F15" s="12" t="str">
        <f>[2]TousProduits.EAN13!B8</f>
        <v>OBAGB002-EVS00-078</v>
      </c>
      <c r="H15" s="4">
        <f>'[3]0- EXPEAN13_PCOBAG01_2018121418'!A30</f>
        <v>3000210000019</v>
      </c>
      <c r="I15" s="4" t="str">
        <f>'[3]0- EXPEAN13_PCOBAG01_2018121418'!B30</f>
        <v xml:space="preserve">FULL         </v>
      </c>
      <c r="J15" s="4" t="str">
        <f>'[3]0- EXPEAN13_PCOBAG01_2018121418'!C30</f>
        <v xml:space="preserve">0CS16           </v>
      </c>
      <c r="K15" s="4" t="str">
        <f>'[3]0- EXPEAN13_PCOBAG01_2018121418'!D30</f>
        <v xml:space="preserve">     </v>
      </c>
      <c r="L15" s="4" t="str">
        <f>'[3]0- EXPEAN13_PCOBAG01_2018121418'!E30</f>
        <v xml:space="preserve">S    </v>
      </c>
    </row>
    <row r="16" spans="1:12" x14ac:dyDescent="0.25">
      <c r="B16" s="10" t="str">
        <f>[1]TousProduits!B30</f>
        <v>HLESCE01-ECS00-613</v>
      </c>
      <c r="C16" s="10" t="str">
        <f>[1]TousProduits!C30</f>
        <v xml:space="preserve"> O bag twist cocco</v>
      </c>
      <c r="E16" s="12">
        <f>[2]TousProduits.EAN13!A9</f>
        <v>8051770309819</v>
      </c>
      <c r="F16" s="12" t="str">
        <f>[2]TousProduits.EAN13!B9</f>
        <v>OBAGB002-EVS00-071</v>
      </c>
      <c r="H16" s="4">
        <f>'[3]0- EXPEAN13_PCOBAG01_2018121418'!A31</f>
        <v>3000210000040</v>
      </c>
      <c r="I16" s="4" t="str">
        <f>'[3]0- EXPEAN13_PCOBAG01_2018121418'!B31</f>
        <v xml:space="preserve">FULL         </v>
      </c>
      <c r="J16" s="4" t="str">
        <f>'[3]0- EXPEAN13_PCOBAG01_2018121418'!C31</f>
        <v xml:space="preserve">0CS16           </v>
      </c>
      <c r="K16" s="4" t="str">
        <f>'[3]0- EXPEAN13_PCOBAG01_2018121418'!D31</f>
        <v xml:space="preserve">     </v>
      </c>
      <c r="L16" s="4" t="str">
        <f>'[3]0- EXPEAN13_PCOBAG01_2018121418'!E31</f>
        <v xml:space="preserve">XL   </v>
      </c>
    </row>
    <row r="17" spans="2:12" x14ac:dyDescent="0.25">
      <c r="B17" s="10" t="str">
        <f>[1]TousProduits!B31</f>
        <v>HLESGC19-EVS54-017</v>
      </c>
      <c r="C17" s="10" t="str">
        <f>[1]TousProduits!C31</f>
        <v xml:space="preserve"> O bag twist cocco</v>
      </c>
      <c r="E17" s="12">
        <f>[2]TousProduits.EAN13!A10</f>
        <v>8051770309833</v>
      </c>
      <c r="F17" s="12" t="str">
        <f>[2]TousProduits.EAN13!B10</f>
        <v>OBAGB002-EVS00-055</v>
      </c>
      <c r="H17" s="4">
        <f>'[3]0- EXPEAN13_PCOBAG01_2018121418'!A32</f>
        <v>3000210000002</v>
      </c>
      <c r="I17" s="4" t="str">
        <f>'[3]0- EXPEAN13_PCOBAG01_2018121418'!B32</f>
        <v xml:space="preserve">FULL         </v>
      </c>
      <c r="J17" s="4" t="str">
        <f>'[3]0- EXPEAN13_PCOBAG01_2018121418'!C32</f>
        <v xml:space="preserve">0CS16           </v>
      </c>
      <c r="K17" s="4" t="str">
        <f>'[3]0- EXPEAN13_PCOBAG01_2018121418'!D32</f>
        <v xml:space="preserve">     </v>
      </c>
      <c r="L17" s="4" t="str">
        <f>'[3]0- EXPEAN13_PCOBAG01_2018121418'!E32</f>
        <v xml:space="preserve">XS   </v>
      </c>
    </row>
    <row r="18" spans="2:12" x14ac:dyDescent="0.25">
      <c r="B18" s="10" t="str">
        <f>[1]TousProduits!B32</f>
        <v>HLESGC19-EVS54-078</v>
      </c>
      <c r="C18" s="10" t="str">
        <f>[1]TousProduits!C32</f>
        <v xml:space="preserve"> O bag twist cocco</v>
      </c>
      <c r="E18" s="12">
        <f>[2]TousProduits.EAN13!A11</f>
        <v>8058333587646</v>
      </c>
      <c r="F18" s="12" t="str">
        <f>[2]TousProduits.EAN13!B11</f>
        <v>OBAGB001-EVS00-002</v>
      </c>
      <c r="H18" s="4">
        <f>'[3]0- EXPEAN13_PCOBAG01_2018121418'!A33</f>
        <v>8050538599196</v>
      </c>
      <c r="I18" s="4" t="str">
        <f>'[3]0- EXPEAN13_PCOBAG01_2018121418'!B33</f>
        <v xml:space="preserve">FULL         </v>
      </c>
      <c r="J18" s="4" t="str">
        <f>'[3]0- EXPEAN13_PCOBAG01_2018121418'!C33</f>
        <v xml:space="preserve">ABATJOUROJOY    </v>
      </c>
      <c r="K18" s="4" t="str">
        <f>'[3]0- EXPEAN13_PCOBAG01_2018121418'!D33</f>
        <v>ANTHR</v>
      </c>
      <c r="L18" s="4">
        <f>'[3]0- EXPEAN13_PCOBAG01_2018121418'!E33</f>
        <v>0</v>
      </c>
    </row>
    <row r="19" spans="2:12" x14ac:dyDescent="0.25">
      <c r="B19" s="10" t="str">
        <f>[1]TousProduits!B33</f>
        <v>HLESGC19-EVS54-018</v>
      </c>
      <c r="C19" s="10" t="str">
        <f>[1]TousProduits!C33</f>
        <v xml:space="preserve"> O bag twist cocco</v>
      </c>
      <c r="E19" s="12">
        <f>[2]TousProduits.EAN13!A12</f>
        <v>8050450212456</v>
      </c>
      <c r="F19" s="12" t="str">
        <f>[2]TousProduits.EAN13!B12</f>
        <v>OBAGB001-EVS00-038</v>
      </c>
      <c r="H19" s="4">
        <f>'[3]0- EXPEAN13_PCOBAG01_2018121418'!A34</f>
        <v>8050538599189</v>
      </c>
      <c r="I19" s="4" t="str">
        <f>'[3]0- EXPEAN13_PCOBAG01_2018121418'!B34</f>
        <v xml:space="preserve">FULL         </v>
      </c>
      <c r="J19" s="4" t="str">
        <f>'[3]0- EXPEAN13_PCOBAG01_2018121418'!C34</f>
        <v xml:space="preserve">ABATJOUROJOY    </v>
      </c>
      <c r="K19" s="4" t="str">
        <f>'[3]0- EXPEAN13_PCOBAG01_2018121418'!D34</f>
        <v>AUBER</v>
      </c>
      <c r="L19" s="4">
        <f>'[3]0- EXPEAN13_PCOBAG01_2018121418'!E34</f>
        <v>0</v>
      </c>
    </row>
    <row r="20" spans="2:12" x14ac:dyDescent="0.25">
      <c r="B20" s="10" t="str">
        <f>[1]TousProduits!B34</f>
        <v>HLESGC19-EVS54-371</v>
      </c>
      <c r="C20" s="10" t="str">
        <f>[1]TousProduits!C34</f>
        <v xml:space="preserve"> O bag twist cocco</v>
      </c>
      <c r="E20" s="12">
        <f>[2]TousProduits.EAN13!A13</f>
        <v>8050846039056</v>
      </c>
      <c r="F20" s="12" t="str">
        <f>[2]TousProduits.EAN13!B13</f>
        <v>OBAGB001-EVS00-463</v>
      </c>
      <c r="H20" s="4">
        <f>'[3]0- EXPEAN13_PCOBAG01_2018121418'!A35</f>
        <v>8050538599219</v>
      </c>
      <c r="I20" s="4" t="str">
        <f>'[3]0- EXPEAN13_PCOBAG01_2018121418'!B35</f>
        <v xml:space="preserve">FULL         </v>
      </c>
      <c r="J20" s="4" t="str">
        <f>'[3]0- EXPEAN13_PCOBAG01_2018121418'!C35</f>
        <v xml:space="preserve">ABATJOUROJOY    </v>
      </c>
      <c r="K20" s="4" t="str">
        <f>'[3]0- EXPEAN13_PCOBAG01_2018121418'!D35</f>
        <v xml:space="preserve">BLUE </v>
      </c>
      <c r="L20" s="4">
        <f>'[3]0- EXPEAN13_PCOBAG01_2018121418'!E35</f>
        <v>0</v>
      </c>
    </row>
    <row r="21" spans="2:12" x14ac:dyDescent="0.25">
      <c r="B21" s="10" t="str">
        <f>[1]TousProduits!B35</f>
        <v>HLESGC19-EVS54-559</v>
      </c>
      <c r="C21" s="10" t="str">
        <f>[1]TousProduits!C35</f>
        <v xml:space="preserve"> O bag twist cocco</v>
      </c>
      <c r="E21" s="12">
        <f>[2]TousProduits.EAN13!A14</f>
        <v>8050538590667</v>
      </c>
      <c r="F21" s="12" t="str">
        <f>[2]TousProduits.EAN13!B14</f>
        <v>OBAGB001-EVS00-050</v>
      </c>
      <c r="H21" s="4">
        <f>'[3]0- EXPEAN13_PCOBAG01_2018121418'!A36</f>
        <v>3006100431000</v>
      </c>
      <c r="I21" s="4" t="str">
        <f>'[3]0- EXPEAN13_PCOBAG01_2018121418'!B36</f>
        <v xml:space="preserve">FULL         </v>
      </c>
      <c r="J21" s="4" t="str">
        <f>'[3]0- EXPEAN13_PCOBAG01_2018121418'!C36</f>
        <v xml:space="preserve">ABATJOUROJOY    </v>
      </c>
      <c r="K21" s="4" t="str">
        <f>'[3]0- EXPEAN13_PCOBAG01_2018121418'!D36</f>
        <v xml:space="preserve">VERT </v>
      </c>
      <c r="L21" s="4">
        <f>'[3]0- EXPEAN13_PCOBAG01_2018121418'!E36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Proforma</vt:lpstr>
      <vt:lpstr>Préparation Import</vt:lpstr>
      <vt:lpstr>Import</vt:lpstr>
      <vt:lpstr>Données</vt:lpstr>
      <vt:lpstr>tabEAN.Valmag</vt:lpstr>
      <vt:lpstr>tabEAN13</vt:lpstr>
      <vt:lpstr>tabEAN13.inconnus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dcterms:created xsi:type="dcterms:W3CDTF">2018-12-16T11:44:40Z</dcterms:created>
  <dcterms:modified xsi:type="dcterms:W3CDTF">2018-12-17T09:33:41Z</dcterms:modified>
</cp:coreProperties>
</file>