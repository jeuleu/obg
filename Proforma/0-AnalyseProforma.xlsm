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Proforma\"/>
    </mc:Choice>
  </mc:AlternateContent>
  <bookViews>
    <workbookView xWindow="0" yWindow="0" windowWidth="28800" windowHeight="12435" firstSheet="1" activeTab="3"/>
  </bookViews>
  <sheets>
    <sheet name="Proforma BLA" sheetId="13" r:id="rId1"/>
    <sheet name="Proforma TLS" sheetId="12" r:id="rId2"/>
    <sheet name="Proforma" sheetId="1" r:id="rId3"/>
    <sheet name="Préparation Import" sheetId="6" r:id="rId4"/>
    <sheet name="Import 2018 50 3148 Valmag" sheetId="11" r:id="rId5"/>
    <sheet name="Données" sheetId="7" r:id="rId6"/>
  </sheets>
  <functionGroups builtInGroupCount="18"/>
  <externalReferences>
    <externalReference r:id="rId7"/>
    <externalReference r:id="rId8"/>
    <externalReference r:id="rId9"/>
  </externalReferences>
  <definedNames>
    <definedName name="tabEAN.Valmag">Données!$B$4</definedName>
    <definedName name="tabEAN13">Données!$B$2</definedName>
    <definedName name="tabEAN13.inconnus">Données!$B$3</definedName>
    <definedName name="_xlnm.Print_Area" localSheetId="3">'Préparation Import'!$A:$K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6" l="1"/>
  <c r="C27" i="6"/>
  <c r="S27" i="6"/>
  <c r="T27" i="6"/>
  <c r="U27" i="6"/>
  <c r="B28" i="6"/>
  <c r="C28" i="6"/>
  <c r="S28" i="6"/>
  <c r="T28" i="6"/>
  <c r="U28" i="6"/>
  <c r="B29" i="6"/>
  <c r="C29" i="6"/>
  <c r="S29" i="6"/>
  <c r="T29" i="6"/>
  <c r="U29" i="6"/>
  <c r="B30" i="6"/>
  <c r="C30" i="6"/>
  <c r="S30" i="6"/>
  <c r="T30" i="6"/>
  <c r="U30" i="6"/>
  <c r="B31" i="6"/>
  <c r="C31" i="6"/>
  <c r="S31" i="6"/>
  <c r="T31" i="6"/>
  <c r="U31" i="6"/>
  <c r="B32" i="6"/>
  <c r="C32" i="6"/>
  <c r="S32" i="6"/>
  <c r="T32" i="6"/>
  <c r="U32" i="6"/>
  <c r="B33" i="6"/>
  <c r="C33" i="6"/>
  <c r="S33" i="6"/>
  <c r="T33" i="6"/>
  <c r="U33" i="6"/>
  <c r="B34" i="6"/>
  <c r="C34" i="6"/>
  <c r="S34" i="6"/>
  <c r="T34" i="6"/>
  <c r="U34" i="6"/>
  <c r="B35" i="6"/>
  <c r="C35" i="6"/>
  <c r="S35" i="6"/>
  <c r="T35" i="6"/>
  <c r="U35" i="6"/>
  <c r="B36" i="6"/>
  <c r="C36" i="6"/>
  <c r="S36" i="6"/>
  <c r="T36" i="6"/>
  <c r="U36" i="6"/>
  <c r="B37" i="6"/>
  <c r="C37" i="6"/>
  <c r="S37" i="6"/>
  <c r="T37" i="6"/>
  <c r="U37" i="6"/>
  <c r="B38" i="6"/>
  <c r="C38" i="6"/>
  <c r="S38" i="6"/>
  <c r="T38" i="6"/>
  <c r="U38" i="6"/>
  <c r="B39" i="6"/>
  <c r="C39" i="6"/>
  <c r="S39" i="6"/>
  <c r="T39" i="6"/>
  <c r="U39" i="6"/>
  <c r="B40" i="6"/>
  <c r="C40" i="6"/>
  <c r="S40" i="6"/>
  <c r="T40" i="6"/>
  <c r="U40" i="6"/>
  <c r="B41" i="6"/>
  <c r="C41" i="6"/>
  <c r="S41" i="6"/>
  <c r="T41" i="6"/>
  <c r="U41" i="6"/>
  <c r="B42" i="6"/>
  <c r="C42" i="6"/>
  <c r="S42" i="6"/>
  <c r="T42" i="6"/>
  <c r="U42" i="6"/>
  <c r="B43" i="6"/>
  <c r="C43" i="6"/>
  <c r="S43" i="6"/>
  <c r="T43" i="6"/>
  <c r="U43" i="6"/>
  <c r="B44" i="6"/>
  <c r="C44" i="6"/>
  <c r="S44" i="6"/>
  <c r="T44" i="6"/>
  <c r="U44" i="6"/>
  <c r="B45" i="6"/>
  <c r="C45" i="6"/>
  <c r="S45" i="6"/>
  <c r="T45" i="6"/>
  <c r="U45" i="6"/>
  <c r="B46" i="6"/>
  <c r="C46" i="6"/>
  <c r="S46" i="6"/>
  <c r="T46" i="6"/>
  <c r="U46" i="6"/>
  <c r="B47" i="6"/>
  <c r="C47" i="6"/>
  <c r="S47" i="6"/>
  <c r="T47" i="6"/>
  <c r="U47" i="6"/>
  <c r="B48" i="6"/>
  <c r="C48" i="6"/>
  <c r="S48" i="6"/>
  <c r="W48" i="6" s="1"/>
  <c r="T48" i="6"/>
  <c r="U48" i="6"/>
  <c r="B49" i="6"/>
  <c r="C49" i="6"/>
  <c r="S49" i="6"/>
  <c r="T49" i="6"/>
  <c r="U49" i="6"/>
  <c r="B50" i="6"/>
  <c r="C50" i="6"/>
  <c r="S50" i="6"/>
  <c r="T50" i="6"/>
  <c r="U50" i="6"/>
  <c r="B51" i="6"/>
  <c r="C51" i="6"/>
  <c r="S51" i="6"/>
  <c r="T51" i="6"/>
  <c r="U51" i="6"/>
  <c r="B52" i="6"/>
  <c r="C52" i="6"/>
  <c r="S52" i="6"/>
  <c r="T52" i="6"/>
  <c r="U52" i="6"/>
  <c r="B53" i="6"/>
  <c r="C53" i="6"/>
  <c r="S53" i="6"/>
  <c r="T53" i="6"/>
  <c r="U53" i="6"/>
  <c r="B54" i="6"/>
  <c r="C54" i="6"/>
  <c r="S54" i="6"/>
  <c r="T54" i="6"/>
  <c r="U54" i="6"/>
  <c r="B55" i="6"/>
  <c r="C55" i="6"/>
  <c r="S55" i="6"/>
  <c r="T55" i="6"/>
  <c r="U55" i="6"/>
  <c r="B56" i="6"/>
  <c r="C56" i="6"/>
  <c r="S56" i="6"/>
  <c r="T56" i="6"/>
  <c r="U56" i="6"/>
  <c r="B57" i="6"/>
  <c r="C57" i="6"/>
  <c r="S57" i="6"/>
  <c r="T57" i="6"/>
  <c r="U57" i="6"/>
  <c r="B58" i="6"/>
  <c r="C58" i="6"/>
  <c r="S58" i="6"/>
  <c r="T58" i="6"/>
  <c r="U58" i="6"/>
  <c r="B59" i="6"/>
  <c r="C59" i="6"/>
  <c r="S59" i="6"/>
  <c r="T59" i="6"/>
  <c r="U59" i="6"/>
  <c r="B60" i="6"/>
  <c r="C60" i="6"/>
  <c r="S60" i="6"/>
  <c r="T60" i="6"/>
  <c r="U60" i="6"/>
  <c r="B61" i="6"/>
  <c r="C61" i="6"/>
  <c r="S61" i="6"/>
  <c r="T61" i="6"/>
  <c r="U61" i="6"/>
  <c r="B62" i="6"/>
  <c r="C62" i="6"/>
  <c r="S62" i="6"/>
  <c r="T62" i="6"/>
  <c r="U62" i="6"/>
  <c r="B63" i="6"/>
  <c r="C63" i="6"/>
  <c r="S63" i="6"/>
  <c r="T63" i="6"/>
  <c r="U63" i="6"/>
  <c r="B64" i="6"/>
  <c r="C64" i="6"/>
  <c r="S64" i="6"/>
  <c r="T64" i="6"/>
  <c r="U64" i="6"/>
  <c r="B65" i="6"/>
  <c r="C65" i="6"/>
  <c r="S65" i="6"/>
  <c r="T65" i="6"/>
  <c r="U65" i="6"/>
  <c r="B66" i="6"/>
  <c r="C66" i="6"/>
  <c r="S66" i="6"/>
  <c r="T66" i="6"/>
  <c r="U66" i="6"/>
  <c r="B67" i="6"/>
  <c r="C67" i="6"/>
  <c r="S67" i="6"/>
  <c r="T67" i="6"/>
  <c r="U67" i="6"/>
  <c r="B68" i="6"/>
  <c r="C68" i="6"/>
  <c r="S68" i="6"/>
  <c r="T68" i="6"/>
  <c r="U68" i="6"/>
  <c r="B69" i="6"/>
  <c r="C69" i="6"/>
  <c r="S69" i="6"/>
  <c r="T69" i="6"/>
  <c r="U69" i="6"/>
  <c r="B70" i="6"/>
  <c r="C70" i="6"/>
  <c r="S70" i="6"/>
  <c r="T70" i="6"/>
  <c r="U70" i="6"/>
  <c r="B71" i="6"/>
  <c r="C71" i="6"/>
  <c r="S71" i="6"/>
  <c r="T71" i="6"/>
  <c r="U71" i="6"/>
  <c r="B72" i="6"/>
  <c r="C72" i="6"/>
  <c r="S72" i="6"/>
  <c r="T72" i="6"/>
  <c r="U72" i="6"/>
  <c r="B73" i="6"/>
  <c r="C73" i="6"/>
  <c r="S73" i="6"/>
  <c r="T73" i="6"/>
  <c r="U73" i="6"/>
  <c r="B74" i="6"/>
  <c r="C74" i="6"/>
  <c r="S74" i="6"/>
  <c r="W74" i="6" s="1"/>
  <c r="T74" i="6"/>
  <c r="U74" i="6"/>
  <c r="B75" i="6"/>
  <c r="C75" i="6"/>
  <c r="S75" i="6"/>
  <c r="T75" i="6"/>
  <c r="U75" i="6"/>
  <c r="B76" i="6"/>
  <c r="C76" i="6"/>
  <c r="S76" i="6"/>
  <c r="T76" i="6"/>
  <c r="U76" i="6"/>
  <c r="B77" i="6"/>
  <c r="C77" i="6"/>
  <c r="S77" i="6"/>
  <c r="W77" i="6" s="1"/>
  <c r="T77" i="6"/>
  <c r="U77" i="6"/>
  <c r="B78" i="6"/>
  <c r="C78" i="6"/>
  <c r="S78" i="6"/>
  <c r="W78" i="6" s="1"/>
  <c r="T78" i="6"/>
  <c r="U78" i="6"/>
  <c r="B79" i="6"/>
  <c r="C79" i="6"/>
  <c r="S79" i="6"/>
  <c r="T79" i="6"/>
  <c r="U79" i="6"/>
  <c r="W79" i="6" s="1"/>
  <c r="B80" i="6"/>
  <c r="C80" i="6"/>
  <c r="S80" i="6"/>
  <c r="T80" i="6"/>
  <c r="U80" i="6"/>
  <c r="W80" i="6" s="1"/>
  <c r="B81" i="6"/>
  <c r="C81" i="6"/>
  <c r="S81" i="6"/>
  <c r="T81" i="6"/>
  <c r="U81" i="6"/>
  <c r="B82" i="6"/>
  <c r="C82" i="6"/>
  <c r="S82" i="6"/>
  <c r="W82" i="6" s="1"/>
  <c r="T82" i="6"/>
  <c r="U82" i="6"/>
  <c r="B83" i="6"/>
  <c r="C83" i="6"/>
  <c r="S83" i="6"/>
  <c r="T83" i="6"/>
  <c r="U83" i="6"/>
  <c r="B84" i="6"/>
  <c r="C84" i="6"/>
  <c r="S84" i="6"/>
  <c r="T84" i="6"/>
  <c r="U84" i="6"/>
  <c r="B85" i="6"/>
  <c r="C85" i="6"/>
  <c r="S85" i="6"/>
  <c r="W85" i="6" s="1"/>
  <c r="T85" i="6"/>
  <c r="U85" i="6"/>
  <c r="B86" i="6"/>
  <c r="C86" i="6"/>
  <c r="S86" i="6"/>
  <c r="T86" i="6"/>
  <c r="U86" i="6"/>
  <c r="B87" i="6"/>
  <c r="C87" i="6"/>
  <c r="S87" i="6"/>
  <c r="T87" i="6"/>
  <c r="U87" i="6"/>
  <c r="B88" i="6"/>
  <c r="C88" i="6"/>
  <c r="S88" i="6"/>
  <c r="T88" i="6"/>
  <c r="U88" i="6"/>
  <c r="B89" i="6"/>
  <c r="C89" i="6"/>
  <c r="S89" i="6"/>
  <c r="T89" i="6"/>
  <c r="U89" i="6"/>
  <c r="B90" i="6"/>
  <c r="C90" i="6"/>
  <c r="S90" i="6"/>
  <c r="T90" i="6"/>
  <c r="U90" i="6"/>
  <c r="B91" i="6"/>
  <c r="C91" i="6"/>
  <c r="S91" i="6"/>
  <c r="T91" i="6"/>
  <c r="U91" i="6"/>
  <c r="B92" i="6"/>
  <c r="C92" i="6"/>
  <c r="S92" i="6"/>
  <c r="T92" i="6"/>
  <c r="U92" i="6"/>
  <c r="B93" i="6"/>
  <c r="C93" i="6"/>
  <c r="S93" i="6"/>
  <c r="T93" i="6"/>
  <c r="U93" i="6"/>
  <c r="B94" i="6"/>
  <c r="C94" i="6"/>
  <c r="S94" i="6"/>
  <c r="T94" i="6"/>
  <c r="U94" i="6"/>
  <c r="B95" i="6"/>
  <c r="C95" i="6"/>
  <c r="S95" i="6"/>
  <c r="T95" i="6"/>
  <c r="U95" i="6"/>
  <c r="B96" i="6"/>
  <c r="C96" i="6"/>
  <c r="S96" i="6"/>
  <c r="T96" i="6"/>
  <c r="U96" i="6"/>
  <c r="B97" i="6"/>
  <c r="C97" i="6"/>
  <c r="S97" i="6"/>
  <c r="T97" i="6"/>
  <c r="U97" i="6"/>
  <c r="B98" i="6"/>
  <c r="C98" i="6"/>
  <c r="S98" i="6"/>
  <c r="T98" i="6"/>
  <c r="U98" i="6"/>
  <c r="B99" i="6"/>
  <c r="C99" i="6"/>
  <c r="S99" i="6"/>
  <c r="T99" i="6"/>
  <c r="U99" i="6"/>
  <c r="B100" i="6"/>
  <c r="C100" i="6"/>
  <c r="S100" i="6"/>
  <c r="T100" i="6"/>
  <c r="U100" i="6"/>
  <c r="B101" i="6"/>
  <c r="C101" i="6"/>
  <c r="S101" i="6"/>
  <c r="T101" i="6"/>
  <c r="U101" i="6"/>
  <c r="B102" i="6"/>
  <c r="C102" i="6"/>
  <c r="S102" i="6"/>
  <c r="T102" i="6"/>
  <c r="U102" i="6"/>
  <c r="B103" i="6"/>
  <c r="C103" i="6"/>
  <c r="S103" i="6"/>
  <c r="T103" i="6"/>
  <c r="U103" i="6"/>
  <c r="B104" i="6"/>
  <c r="C104" i="6"/>
  <c r="S104" i="6"/>
  <c r="T104" i="6"/>
  <c r="U104" i="6"/>
  <c r="B105" i="6"/>
  <c r="C105" i="6"/>
  <c r="S105" i="6"/>
  <c r="T105" i="6"/>
  <c r="U105" i="6"/>
  <c r="B106" i="6"/>
  <c r="C106" i="6"/>
  <c r="S106" i="6"/>
  <c r="T106" i="6"/>
  <c r="U106" i="6"/>
  <c r="B107" i="6"/>
  <c r="C107" i="6"/>
  <c r="S107" i="6"/>
  <c r="T107" i="6"/>
  <c r="U107" i="6"/>
  <c r="B108" i="6"/>
  <c r="C108" i="6"/>
  <c r="S108" i="6"/>
  <c r="T108" i="6"/>
  <c r="U108" i="6"/>
  <c r="B109" i="6"/>
  <c r="C109" i="6"/>
  <c r="S109" i="6"/>
  <c r="T109" i="6"/>
  <c r="U109" i="6"/>
  <c r="B110" i="6"/>
  <c r="C110" i="6"/>
  <c r="S110" i="6"/>
  <c r="T110" i="6"/>
  <c r="U110" i="6"/>
  <c r="B111" i="6"/>
  <c r="C111" i="6"/>
  <c r="S111" i="6"/>
  <c r="T111" i="6"/>
  <c r="U111" i="6"/>
  <c r="B112" i="6"/>
  <c r="C112" i="6"/>
  <c r="S112" i="6"/>
  <c r="T112" i="6"/>
  <c r="U112" i="6"/>
  <c r="B113" i="6"/>
  <c r="C113" i="6"/>
  <c r="S113" i="6"/>
  <c r="T113" i="6"/>
  <c r="U113" i="6"/>
  <c r="B114" i="6"/>
  <c r="C114" i="6"/>
  <c r="S114" i="6"/>
  <c r="T114" i="6"/>
  <c r="U114" i="6"/>
  <c r="B115" i="6"/>
  <c r="C115" i="6"/>
  <c r="S115" i="6"/>
  <c r="T115" i="6"/>
  <c r="U115" i="6"/>
  <c r="B116" i="6"/>
  <c r="C116" i="6"/>
  <c r="S116" i="6"/>
  <c r="T116" i="6"/>
  <c r="U116" i="6"/>
  <c r="B117" i="6"/>
  <c r="C117" i="6"/>
  <c r="S117" i="6"/>
  <c r="T117" i="6"/>
  <c r="U117" i="6"/>
  <c r="B118" i="6"/>
  <c r="C118" i="6"/>
  <c r="S118" i="6"/>
  <c r="T118" i="6"/>
  <c r="U118" i="6"/>
  <c r="B119" i="6"/>
  <c r="C119" i="6"/>
  <c r="S119" i="6"/>
  <c r="T119" i="6"/>
  <c r="U119" i="6"/>
  <c r="B120" i="6"/>
  <c r="C120" i="6"/>
  <c r="S120" i="6"/>
  <c r="T120" i="6"/>
  <c r="U120" i="6"/>
  <c r="B121" i="6"/>
  <c r="C121" i="6"/>
  <c r="S121" i="6"/>
  <c r="T121" i="6"/>
  <c r="U121" i="6"/>
  <c r="B122" i="6"/>
  <c r="C122" i="6"/>
  <c r="S122" i="6"/>
  <c r="T122" i="6"/>
  <c r="U122" i="6"/>
  <c r="B123" i="6"/>
  <c r="C123" i="6"/>
  <c r="S123" i="6"/>
  <c r="T123" i="6"/>
  <c r="U123" i="6"/>
  <c r="B124" i="6"/>
  <c r="C124" i="6"/>
  <c r="S124" i="6"/>
  <c r="T124" i="6"/>
  <c r="U124" i="6"/>
  <c r="B125" i="6"/>
  <c r="C125" i="6"/>
  <c r="S125" i="6"/>
  <c r="T125" i="6"/>
  <c r="U125" i="6"/>
  <c r="B126" i="6"/>
  <c r="C126" i="6"/>
  <c r="S126" i="6"/>
  <c r="T126" i="6"/>
  <c r="U126" i="6"/>
  <c r="B127" i="6"/>
  <c r="C127" i="6"/>
  <c r="S127" i="6"/>
  <c r="T127" i="6"/>
  <c r="U127" i="6"/>
  <c r="B128" i="6"/>
  <c r="C128" i="6"/>
  <c r="S128" i="6"/>
  <c r="T128" i="6"/>
  <c r="U128" i="6"/>
  <c r="B129" i="6"/>
  <c r="C129" i="6"/>
  <c r="S129" i="6"/>
  <c r="T129" i="6"/>
  <c r="U129" i="6"/>
  <c r="B130" i="6"/>
  <c r="C130" i="6"/>
  <c r="S130" i="6"/>
  <c r="T130" i="6"/>
  <c r="U130" i="6"/>
  <c r="B131" i="6"/>
  <c r="C131" i="6"/>
  <c r="S131" i="6"/>
  <c r="T131" i="6"/>
  <c r="U131" i="6"/>
  <c r="B132" i="6"/>
  <c r="C132" i="6"/>
  <c r="S132" i="6"/>
  <c r="W132" i="6" s="1"/>
  <c r="T132" i="6"/>
  <c r="U132" i="6"/>
  <c r="B133" i="6"/>
  <c r="C133" i="6"/>
  <c r="S133" i="6"/>
  <c r="T133" i="6"/>
  <c r="U133" i="6"/>
  <c r="W133" i="6"/>
  <c r="B134" i="6"/>
  <c r="C134" i="6"/>
  <c r="S134" i="6"/>
  <c r="T134" i="6"/>
  <c r="U134" i="6"/>
  <c r="B135" i="6"/>
  <c r="C135" i="6"/>
  <c r="S135" i="6"/>
  <c r="W135" i="6" s="1"/>
  <c r="T135" i="6"/>
  <c r="U135" i="6"/>
  <c r="B136" i="6"/>
  <c r="C136" i="6"/>
  <c r="S136" i="6"/>
  <c r="T136" i="6"/>
  <c r="U136" i="6"/>
  <c r="B137" i="6"/>
  <c r="C137" i="6"/>
  <c r="S137" i="6"/>
  <c r="T137" i="6"/>
  <c r="U137" i="6"/>
  <c r="B138" i="6"/>
  <c r="C138" i="6"/>
  <c r="S138" i="6"/>
  <c r="T138" i="6"/>
  <c r="U138" i="6"/>
  <c r="B139" i="6"/>
  <c r="C139" i="6"/>
  <c r="S139" i="6"/>
  <c r="W139" i="6" s="1"/>
  <c r="T139" i="6"/>
  <c r="U139" i="6"/>
  <c r="B140" i="6"/>
  <c r="C140" i="6"/>
  <c r="S140" i="6"/>
  <c r="T140" i="6"/>
  <c r="U140" i="6"/>
  <c r="W140" i="6"/>
  <c r="B141" i="6"/>
  <c r="C141" i="6"/>
  <c r="S141" i="6"/>
  <c r="T141" i="6"/>
  <c r="U141" i="6"/>
  <c r="B142" i="6"/>
  <c r="C142" i="6"/>
  <c r="S142" i="6"/>
  <c r="T142" i="6"/>
  <c r="U142" i="6"/>
  <c r="B143" i="6"/>
  <c r="C143" i="6"/>
  <c r="S143" i="6"/>
  <c r="T143" i="6"/>
  <c r="U143" i="6"/>
  <c r="W143" i="6" s="1"/>
  <c r="B144" i="6"/>
  <c r="C144" i="6"/>
  <c r="S144" i="6"/>
  <c r="T144" i="6"/>
  <c r="U144" i="6"/>
  <c r="B145" i="6"/>
  <c r="C145" i="6"/>
  <c r="S145" i="6"/>
  <c r="W145" i="6" s="1"/>
  <c r="T145" i="6"/>
  <c r="U145" i="6"/>
  <c r="B146" i="6"/>
  <c r="C146" i="6"/>
  <c r="S146" i="6"/>
  <c r="T146" i="6"/>
  <c r="U146" i="6"/>
  <c r="B147" i="6"/>
  <c r="C147" i="6"/>
  <c r="S147" i="6"/>
  <c r="T147" i="6"/>
  <c r="U147" i="6"/>
  <c r="B148" i="6"/>
  <c r="C148" i="6"/>
  <c r="S148" i="6"/>
  <c r="T148" i="6"/>
  <c r="W148" i="6" s="1"/>
  <c r="U148" i="6"/>
  <c r="B149" i="6"/>
  <c r="C149" i="6"/>
  <c r="S149" i="6"/>
  <c r="W149" i="6" s="1"/>
  <c r="T149" i="6"/>
  <c r="U149" i="6"/>
  <c r="B150" i="6"/>
  <c r="C150" i="6"/>
  <c r="S150" i="6"/>
  <c r="T150" i="6"/>
  <c r="U150" i="6"/>
  <c r="W150" i="6" s="1"/>
  <c r="B151" i="6"/>
  <c r="C151" i="6"/>
  <c r="S151" i="6"/>
  <c r="T151" i="6"/>
  <c r="U151" i="6"/>
  <c r="B152" i="6"/>
  <c r="C152" i="6"/>
  <c r="S152" i="6"/>
  <c r="W152" i="6" s="1"/>
  <c r="T152" i="6"/>
  <c r="U152" i="6"/>
  <c r="B153" i="6"/>
  <c r="C153" i="6"/>
  <c r="S153" i="6"/>
  <c r="T153" i="6"/>
  <c r="U153" i="6"/>
  <c r="B154" i="6"/>
  <c r="C154" i="6"/>
  <c r="S154" i="6"/>
  <c r="T154" i="6"/>
  <c r="U154" i="6"/>
  <c r="W154" i="6" s="1"/>
  <c r="B155" i="6"/>
  <c r="C155" i="6"/>
  <c r="S155" i="6"/>
  <c r="T155" i="6"/>
  <c r="W155" i="6" s="1"/>
  <c r="U155" i="6"/>
  <c r="B156" i="6"/>
  <c r="C156" i="6"/>
  <c r="S156" i="6"/>
  <c r="W156" i="6" s="1"/>
  <c r="T156" i="6"/>
  <c r="U156" i="6"/>
  <c r="B157" i="6"/>
  <c r="C157" i="6"/>
  <c r="S157" i="6"/>
  <c r="T157" i="6"/>
  <c r="U157" i="6"/>
  <c r="B158" i="6"/>
  <c r="C158" i="6"/>
  <c r="S158" i="6"/>
  <c r="T158" i="6"/>
  <c r="U158" i="6"/>
  <c r="B159" i="6"/>
  <c r="C159" i="6"/>
  <c r="S159" i="6"/>
  <c r="T159" i="6"/>
  <c r="U159" i="6"/>
  <c r="B160" i="6"/>
  <c r="C160" i="6"/>
  <c r="S160" i="6"/>
  <c r="T160" i="6"/>
  <c r="U160" i="6"/>
  <c r="B161" i="6"/>
  <c r="C161" i="6"/>
  <c r="S161" i="6"/>
  <c r="T161" i="6"/>
  <c r="U161" i="6"/>
  <c r="B162" i="6"/>
  <c r="C162" i="6"/>
  <c r="S162" i="6"/>
  <c r="T162" i="6"/>
  <c r="U162" i="6"/>
  <c r="W162" i="6" s="1"/>
  <c r="B163" i="6"/>
  <c r="C163" i="6"/>
  <c r="S163" i="6"/>
  <c r="T163" i="6"/>
  <c r="U163" i="6"/>
  <c r="B164" i="6"/>
  <c r="C164" i="6"/>
  <c r="S164" i="6"/>
  <c r="W164" i="6" s="1"/>
  <c r="T164" i="6"/>
  <c r="U164" i="6"/>
  <c r="B165" i="6"/>
  <c r="C165" i="6"/>
  <c r="S165" i="6"/>
  <c r="T165" i="6"/>
  <c r="U165" i="6"/>
  <c r="B166" i="6"/>
  <c r="C166" i="6"/>
  <c r="S166" i="6"/>
  <c r="T166" i="6"/>
  <c r="U166" i="6"/>
  <c r="B167" i="6"/>
  <c r="C167" i="6"/>
  <c r="S167" i="6"/>
  <c r="T167" i="6"/>
  <c r="U167" i="6"/>
  <c r="B168" i="6"/>
  <c r="C168" i="6"/>
  <c r="S168" i="6"/>
  <c r="T168" i="6"/>
  <c r="U168" i="6"/>
  <c r="B169" i="6"/>
  <c r="C169" i="6"/>
  <c r="S169" i="6"/>
  <c r="T169" i="6"/>
  <c r="U169" i="6"/>
  <c r="B170" i="6"/>
  <c r="C170" i="6"/>
  <c r="S170" i="6"/>
  <c r="T170" i="6"/>
  <c r="U170" i="6"/>
  <c r="B171" i="6"/>
  <c r="C171" i="6"/>
  <c r="S171" i="6"/>
  <c r="T171" i="6"/>
  <c r="U171" i="6"/>
  <c r="B172" i="6"/>
  <c r="C172" i="6"/>
  <c r="S172" i="6"/>
  <c r="T172" i="6"/>
  <c r="U172" i="6"/>
  <c r="B173" i="6"/>
  <c r="C173" i="6"/>
  <c r="S173" i="6"/>
  <c r="T173" i="6"/>
  <c r="U173" i="6"/>
  <c r="B174" i="6"/>
  <c r="C174" i="6"/>
  <c r="S174" i="6"/>
  <c r="T174" i="6"/>
  <c r="U174" i="6"/>
  <c r="B175" i="6"/>
  <c r="C175" i="6"/>
  <c r="S175" i="6"/>
  <c r="T175" i="6"/>
  <c r="U175" i="6"/>
  <c r="B176" i="6"/>
  <c r="C176" i="6"/>
  <c r="S176" i="6"/>
  <c r="T176" i="6"/>
  <c r="U176" i="6"/>
  <c r="B177" i="6"/>
  <c r="C177" i="6"/>
  <c r="S177" i="6"/>
  <c r="T177" i="6"/>
  <c r="U177" i="6"/>
  <c r="B178" i="6"/>
  <c r="C178" i="6"/>
  <c r="S178" i="6"/>
  <c r="T178" i="6"/>
  <c r="U178" i="6"/>
  <c r="B179" i="6"/>
  <c r="C179" i="6"/>
  <c r="S179" i="6"/>
  <c r="T179" i="6"/>
  <c r="U179" i="6"/>
  <c r="B180" i="6"/>
  <c r="C180" i="6"/>
  <c r="S180" i="6"/>
  <c r="T180" i="6"/>
  <c r="U180" i="6"/>
  <c r="B181" i="6"/>
  <c r="C181" i="6"/>
  <c r="S181" i="6"/>
  <c r="T181" i="6"/>
  <c r="U181" i="6"/>
  <c r="B182" i="6"/>
  <c r="C182" i="6"/>
  <c r="S182" i="6"/>
  <c r="T182" i="6"/>
  <c r="U182" i="6"/>
  <c r="B183" i="6"/>
  <c r="C183" i="6"/>
  <c r="S183" i="6"/>
  <c r="T183" i="6"/>
  <c r="U183" i="6"/>
  <c r="B184" i="6"/>
  <c r="C184" i="6"/>
  <c r="S184" i="6"/>
  <c r="T184" i="6"/>
  <c r="U184" i="6"/>
  <c r="B185" i="6"/>
  <c r="C185" i="6"/>
  <c r="S185" i="6"/>
  <c r="T185" i="6"/>
  <c r="U185" i="6"/>
  <c r="B186" i="6"/>
  <c r="C186" i="6"/>
  <c r="S186" i="6"/>
  <c r="T186" i="6"/>
  <c r="U186" i="6"/>
  <c r="B187" i="6"/>
  <c r="C187" i="6"/>
  <c r="S187" i="6"/>
  <c r="T187" i="6"/>
  <c r="U187" i="6"/>
  <c r="B188" i="6"/>
  <c r="C188" i="6"/>
  <c r="S188" i="6"/>
  <c r="T188" i="6"/>
  <c r="U188" i="6"/>
  <c r="B189" i="6"/>
  <c r="C189" i="6"/>
  <c r="S189" i="6"/>
  <c r="T189" i="6"/>
  <c r="U189" i="6"/>
  <c r="B190" i="6"/>
  <c r="C190" i="6"/>
  <c r="S190" i="6"/>
  <c r="T190" i="6"/>
  <c r="U190" i="6"/>
  <c r="B191" i="6"/>
  <c r="C191" i="6"/>
  <c r="S191" i="6"/>
  <c r="T191" i="6"/>
  <c r="U191" i="6"/>
  <c r="B192" i="6"/>
  <c r="C192" i="6"/>
  <c r="S192" i="6"/>
  <c r="T192" i="6"/>
  <c r="U192" i="6"/>
  <c r="B193" i="6"/>
  <c r="C193" i="6"/>
  <c r="S193" i="6"/>
  <c r="T193" i="6"/>
  <c r="U193" i="6"/>
  <c r="B194" i="6"/>
  <c r="C194" i="6"/>
  <c r="S194" i="6"/>
  <c r="T194" i="6"/>
  <c r="U194" i="6"/>
  <c r="B195" i="6"/>
  <c r="C195" i="6"/>
  <c r="S195" i="6"/>
  <c r="T195" i="6"/>
  <c r="U195" i="6"/>
  <c r="B196" i="6"/>
  <c r="C196" i="6"/>
  <c r="S196" i="6"/>
  <c r="T196" i="6"/>
  <c r="U196" i="6"/>
  <c r="B197" i="6"/>
  <c r="C197" i="6"/>
  <c r="S197" i="6"/>
  <c r="T197" i="6"/>
  <c r="U197" i="6"/>
  <c r="B198" i="6"/>
  <c r="C198" i="6"/>
  <c r="S198" i="6"/>
  <c r="T198" i="6"/>
  <c r="U198" i="6"/>
  <c r="B199" i="6"/>
  <c r="C199" i="6"/>
  <c r="S199" i="6"/>
  <c r="T199" i="6"/>
  <c r="U199" i="6"/>
  <c r="B200" i="6"/>
  <c r="C200" i="6"/>
  <c r="S200" i="6"/>
  <c r="T200" i="6"/>
  <c r="U200" i="6"/>
  <c r="B201" i="6"/>
  <c r="C201" i="6"/>
  <c r="S201" i="6"/>
  <c r="T201" i="6"/>
  <c r="U201" i="6"/>
  <c r="B202" i="6"/>
  <c r="C202" i="6"/>
  <c r="S202" i="6"/>
  <c r="T202" i="6"/>
  <c r="U202" i="6"/>
  <c r="B203" i="6"/>
  <c r="C203" i="6"/>
  <c r="S203" i="6"/>
  <c r="T203" i="6"/>
  <c r="U203" i="6"/>
  <c r="B204" i="6"/>
  <c r="C204" i="6"/>
  <c r="S204" i="6"/>
  <c r="T204" i="6"/>
  <c r="U204" i="6"/>
  <c r="B205" i="6"/>
  <c r="C205" i="6"/>
  <c r="S205" i="6"/>
  <c r="T205" i="6"/>
  <c r="U205" i="6"/>
  <c r="B206" i="6"/>
  <c r="C206" i="6"/>
  <c r="S206" i="6"/>
  <c r="T206" i="6"/>
  <c r="U206" i="6"/>
  <c r="B207" i="6"/>
  <c r="C207" i="6"/>
  <c r="S207" i="6"/>
  <c r="T207" i="6"/>
  <c r="U207" i="6"/>
  <c r="B208" i="6"/>
  <c r="C208" i="6"/>
  <c r="S208" i="6"/>
  <c r="T208" i="6"/>
  <c r="U208" i="6"/>
  <c r="B209" i="6"/>
  <c r="C209" i="6"/>
  <c r="S209" i="6"/>
  <c r="T209" i="6"/>
  <c r="U209" i="6"/>
  <c r="B210" i="6"/>
  <c r="C210" i="6"/>
  <c r="S210" i="6"/>
  <c r="T210" i="6"/>
  <c r="U210" i="6"/>
  <c r="B211" i="6"/>
  <c r="C211" i="6"/>
  <c r="S211" i="6"/>
  <c r="T211" i="6"/>
  <c r="U211" i="6"/>
  <c r="B212" i="6"/>
  <c r="C212" i="6"/>
  <c r="S212" i="6"/>
  <c r="T212" i="6"/>
  <c r="U212" i="6"/>
  <c r="B213" i="6"/>
  <c r="C213" i="6"/>
  <c r="S213" i="6"/>
  <c r="T213" i="6"/>
  <c r="U213" i="6"/>
  <c r="B18" i="6"/>
  <c r="C18" i="6"/>
  <c r="S18" i="6"/>
  <c r="T18" i="6"/>
  <c r="U18" i="6"/>
  <c r="B19" i="6"/>
  <c r="C19" i="6"/>
  <c r="S19" i="6"/>
  <c r="T19" i="6"/>
  <c r="U19" i="6"/>
  <c r="B20" i="6"/>
  <c r="C20" i="6"/>
  <c r="S20" i="6"/>
  <c r="T20" i="6"/>
  <c r="U20" i="6"/>
  <c r="B21" i="6"/>
  <c r="C21" i="6"/>
  <c r="S21" i="6"/>
  <c r="T21" i="6"/>
  <c r="U21" i="6"/>
  <c r="B22" i="6"/>
  <c r="C22" i="6"/>
  <c r="S22" i="6"/>
  <c r="T22" i="6"/>
  <c r="U22" i="6"/>
  <c r="B23" i="6"/>
  <c r="C23" i="6"/>
  <c r="S23" i="6"/>
  <c r="T23" i="6"/>
  <c r="U23" i="6"/>
  <c r="B24" i="6"/>
  <c r="C24" i="6"/>
  <c r="S24" i="6"/>
  <c r="T24" i="6"/>
  <c r="U24" i="6"/>
  <c r="B25" i="6"/>
  <c r="C25" i="6"/>
  <c r="S25" i="6"/>
  <c r="T25" i="6"/>
  <c r="U25" i="6"/>
  <c r="B26" i="6"/>
  <c r="C26" i="6"/>
  <c r="S26" i="6"/>
  <c r="T26" i="6"/>
  <c r="U26" i="6"/>
  <c r="Z133" i="6"/>
  <c r="Z145" i="6"/>
  <c r="Z149" i="6"/>
  <c r="AA133" i="6"/>
  <c r="Z140" i="6"/>
  <c r="AA149" i="6"/>
  <c r="AA152" i="6"/>
  <c r="AA154" i="6"/>
  <c r="AA162" i="6"/>
  <c r="Z132" i="6"/>
  <c r="Z148" i="6"/>
  <c r="Z164" i="6"/>
  <c r="AA145" i="6"/>
  <c r="Z152" i="6"/>
  <c r="Z154" i="6"/>
  <c r="Z162" i="6"/>
  <c r="AA140" i="6"/>
  <c r="Z156" i="6"/>
  <c r="AA132" i="6"/>
  <c r="AA164" i="6"/>
  <c r="AA148" i="6"/>
  <c r="W27" i="6" l="1"/>
  <c r="W38" i="6"/>
  <c r="W30" i="6"/>
  <c r="W25" i="6"/>
  <c r="W68" i="6"/>
  <c r="W60" i="6"/>
  <c r="W47" i="6"/>
  <c r="W34" i="6"/>
  <c r="W141" i="6"/>
  <c r="W40" i="6"/>
  <c r="W37" i="6"/>
  <c r="W24" i="6"/>
  <c r="W20" i="6"/>
  <c r="W183" i="6"/>
  <c r="W179" i="6"/>
  <c r="W175" i="6"/>
  <c r="W171" i="6"/>
  <c r="W168" i="6"/>
  <c r="W167" i="6"/>
  <c r="W161" i="6"/>
  <c r="W160" i="6"/>
  <c r="W159" i="6"/>
  <c r="W153" i="6"/>
  <c r="W138" i="6"/>
  <c r="W131" i="6"/>
  <c r="W101" i="6"/>
  <c r="W97" i="6"/>
  <c r="W93" i="6"/>
  <c r="W89" i="6"/>
  <c r="W87" i="6"/>
  <c r="W73" i="6"/>
  <c r="W71" i="6"/>
  <c r="W65" i="6"/>
  <c r="W64" i="6"/>
  <c r="W63" i="6"/>
  <c r="W57" i="6"/>
  <c r="W56" i="6"/>
  <c r="W55" i="6"/>
  <c r="W46" i="6"/>
  <c r="W28" i="6"/>
  <c r="W163" i="6"/>
  <c r="W81" i="6"/>
  <c r="W51" i="6"/>
  <c r="W36" i="6"/>
  <c r="W165" i="6"/>
  <c r="W157" i="6"/>
  <c r="W151" i="6"/>
  <c r="W147" i="6"/>
  <c r="W144" i="6"/>
  <c r="W142" i="6"/>
  <c r="W137" i="6"/>
  <c r="W136" i="6"/>
  <c r="W88" i="6"/>
  <c r="W86" i="6"/>
  <c r="W72" i="6"/>
  <c r="W70" i="6"/>
  <c r="W69" i="6"/>
  <c r="W62" i="6"/>
  <c r="W61" i="6"/>
  <c r="W54" i="6"/>
  <c r="W53" i="6"/>
  <c r="W32" i="6"/>
  <c r="W29" i="6"/>
  <c r="W26" i="6"/>
  <c r="W23" i="6"/>
  <c r="W19" i="6"/>
  <c r="W182" i="6"/>
  <c r="W178" i="6"/>
  <c r="W174" i="6"/>
  <c r="W128" i="6"/>
  <c r="W120" i="6"/>
  <c r="W116" i="6"/>
  <c r="W112" i="6"/>
  <c r="W108" i="6"/>
  <c r="W104" i="6"/>
  <c r="W92" i="6"/>
  <c r="W50" i="6"/>
  <c r="W42" i="6"/>
  <c r="W39" i="6"/>
  <c r="W31" i="6"/>
  <c r="W21" i="6"/>
  <c r="W180" i="6"/>
  <c r="W176" i="6"/>
  <c r="W172" i="6"/>
  <c r="W169" i="6"/>
  <c r="W146" i="6"/>
  <c r="W134" i="6"/>
  <c r="W114" i="6"/>
  <c r="W110" i="6"/>
  <c r="W106" i="6"/>
  <c r="W94" i="6"/>
  <c r="W90" i="6"/>
  <c r="W83" i="6"/>
  <c r="W75" i="6"/>
  <c r="W67" i="6"/>
  <c r="W59" i="6"/>
  <c r="W49" i="6"/>
  <c r="W35" i="6"/>
  <c r="W124" i="6"/>
  <c r="W22" i="6"/>
  <c r="W18" i="6"/>
  <c r="W181" i="6"/>
  <c r="W177" i="6"/>
  <c r="W173" i="6"/>
  <c r="W170" i="6"/>
  <c r="W158" i="6"/>
  <c r="W115" i="6"/>
  <c r="W107" i="6"/>
  <c r="W95" i="6"/>
  <c r="W84" i="6"/>
  <c r="W76" i="6"/>
  <c r="W66" i="6"/>
  <c r="W58" i="6"/>
  <c r="W52" i="6"/>
  <c r="W45" i="6"/>
  <c r="W43" i="6"/>
  <c r="W41" i="6"/>
  <c r="W33" i="6"/>
  <c r="W210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213" i="6"/>
  <c r="W211" i="6"/>
  <c r="W209" i="6"/>
  <c r="W212" i="6"/>
  <c r="W166" i="6"/>
  <c r="W109" i="6"/>
  <c r="W113" i="6"/>
  <c r="W105" i="6"/>
  <c r="W129" i="6"/>
  <c r="W125" i="6"/>
  <c r="W121" i="6"/>
  <c r="W117" i="6"/>
  <c r="W111" i="6"/>
  <c r="W44" i="6"/>
  <c r="W130" i="6"/>
  <c r="W126" i="6"/>
  <c r="W122" i="6"/>
  <c r="W118" i="6"/>
  <c r="W102" i="6"/>
  <c r="W98" i="6"/>
  <c r="W127" i="6"/>
  <c r="W123" i="6"/>
  <c r="W119" i="6"/>
  <c r="W91" i="6"/>
  <c r="W103" i="6"/>
  <c r="W99" i="6"/>
  <c r="W100" i="6"/>
  <c r="W96" i="6"/>
  <c r="U17" i="6"/>
  <c r="U16" i="6"/>
  <c r="U15" i="6"/>
  <c r="U14" i="6"/>
  <c r="U13" i="6"/>
  <c r="U12" i="6"/>
  <c r="U11" i="6"/>
  <c r="U10" i="6"/>
  <c r="U9" i="6"/>
  <c r="U8" i="6"/>
  <c r="U7" i="6"/>
  <c r="U6" i="6"/>
  <c r="U5" i="6"/>
  <c r="U4" i="6"/>
  <c r="U3" i="6"/>
  <c r="U2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T6" i="6"/>
  <c r="S6" i="6"/>
  <c r="T5" i="6"/>
  <c r="S5" i="6"/>
  <c r="T4" i="6"/>
  <c r="S4" i="6"/>
  <c r="T3" i="6"/>
  <c r="S3" i="6"/>
  <c r="T2" i="6"/>
  <c r="S2" i="6"/>
  <c r="B2" i="6"/>
  <c r="C2" i="6"/>
  <c r="B3" i="6"/>
  <c r="C3" i="6"/>
  <c r="B4" i="6"/>
  <c r="C4" i="6"/>
  <c r="B5" i="6"/>
  <c r="C5" i="6"/>
  <c r="B6" i="6"/>
  <c r="C6" i="6"/>
  <c r="B7" i="6"/>
  <c r="C7" i="6"/>
  <c r="B8" i="6"/>
  <c r="C8" i="6"/>
  <c r="B9" i="6"/>
  <c r="C9" i="6"/>
  <c r="B10" i="6"/>
  <c r="C10" i="6"/>
  <c r="B11" i="6"/>
  <c r="C11" i="6"/>
  <c r="B12" i="6"/>
  <c r="C12" i="6"/>
  <c r="B13" i="6"/>
  <c r="C13" i="6"/>
  <c r="B14" i="6"/>
  <c r="C14" i="6"/>
  <c r="B15" i="6"/>
  <c r="C15" i="6"/>
  <c r="B16" i="6"/>
  <c r="C16" i="6"/>
  <c r="B17" i="6"/>
  <c r="C17" i="6"/>
  <c r="H8" i="7"/>
  <c r="B15" i="7"/>
  <c r="C15" i="7"/>
  <c r="E15" i="7"/>
  <c r="F15" i="7"/>
  <c r="H15" i="7"/>
  <c r="I15" i="7"/>
  <c r="J15" i="7"/>
  <c r="K15" i="7"/>
  <c r="L15" i="7"/>
  <c r="B16" i="7"/>
  <c r="C16" i="7"/>
  <c r="E16" i="7"/>
  <c r="F16" i="7"/>
  <c r="H16" i="7"/>
  <c r="I16" i="7"/>
  <c r="J16" i="7"/>
  <c r="K16" i="7"/>
  <c r="L16" i="7"/>
  <c r="B17" i="7"/>
  <c r="C17" i="7"/>
  <c r="E17" i="7"/>
  <c r="F17" i="7"/>
  <c r="H17" i="7"/>
  <c r="I17" i="7"/>
  <c r="J17" i="7"/>
  <c r="K17" i="7"/>
  <c r="L17" i="7"/>
  <c r="B18" i="7"/>
  <c r="C18" i="7"/>
  <c r="E18" i="7"/>
  <c r="F18" i="7"/>
  <c r="H18" i="7"/>
  <c r="I18" i="7"/>
  <c r="J18" i="7"/>
  <c r="K18" i="7"/>
  <c r="L18" i="7"/>
  <c r="B19" i="7"/>
  <c r="C19" i="7"/>
  <c r="E19" i="7"/>
  <c r="F19" i="7"/>
  <c r="H19" i="7"/>
  <c r="I19" i="7"/>
  <c r="J19" i="7"/>
  <c r="K19" i="7"/>
  <c r="L19" i="7"/>
  <c r="B20" i="7"/>
  <c r="C20" i="7"/>
  <c r="E20" i="7"/>
  <c r="F20" i="7"/>
  <c r="H20" i="7"/>
  <c r="I20" i="7"/>
  <c r="J20" i="7"/>
  <c r="K20" i="7"/>
  <c r="L20" i="7"/>
  <c r="B21" i="7"/>
  <c r="C21" i="7"/>
  <c r="E21" i="7"/>
  <c r="F21" i="7"/>
  <c r="H21" i="7"/>
  <c r="I21" i="7"/>
  <c r="J21" i="7"/>
  <c r="K21" i="7"/>
  <c r="L21" i="7"/>
  <c r="C8" i="7"/>
  <c r="C9" i="7"/>
  <c r="C10" i="7"/>
  <c r="C11" i="7"/>
  <c r="C12" i="7"/>
  <c r="C13" i="7"/>
  <c r="C14" i="7"/>
  <c r="K8" i="7"/>
  <c r="L8" i="7"/>
  <c r="K9" i="7"/>
  <c r="L9" i="7"/>
  <c r="K10" i="7"/>
  <c r="L10" i="7"/>
  <c r="K11" i="7"/>
  <c r="L11" i="7"/>
  <c r="K12" i="7"/>
  <c r="L12" i="7"/>
  <c r="K13" i="7"/>
  <c r="L13" i="7"/>
  <c r="K14" i="7"/>
  <c r="L14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AA141" i="6"/>
  <c r="Z141" i="6"/>
  <c r="AA160" i="6"/>
  <c r="Z160" i="6"/>
  <c r="Z165" i="6"/>
  <c r="AA144" i="6"/>
  <c r="Z144" i="6"/>
  <c r="Z101" i="6"/>
  <c r="AA101" i="6"/>
  <c r="AA55" i="6"/>
  <c r="Z55" i="6"/>
  <c r="Z157" i="6"/>
  <c r="AA62" i="6"/>
  <c r="Z62" i="6"/>
  <c r="AA167" i="6"/>
  <c r="Z167" i="6"/>
  <c r="AA153" i="6"/>
  <c r="Z153" i="6"/>
  <c r="Z97" i="6"/>
  <c r="AA97" i="6"/>
  <c r="AA73" i="6"/>
  <c r="Z73" i="6"/>
  <c r="AA63" i="6"/>
  <c r="Z63" i="6"/>
  <c r="AA137" i="6"/>
  <c r="Z137" i="6"/>
  <c r="AA161" i="6"/>
  <c r="Z161" i="6"/>
  <c r="Z93" i="6"/>
  <c r="AA93" i="6"/>
  <c r="AA71" i="6"/>
  <c r="Z71" i="6"/>
  <c r="Z136" i="6"/>
  <c r="AA70" i="6"/>
  <c r="Z70" i="6"/>
  <c r="AA54" i="6"/>
  <c r="Z54" i="6"/>
  <c r="Z116" i="6"/>
  <c r="AA116" i="6"/>
  <c r="Z92" i="6"/>
  <c r="AA92" i="6"/>
  <c r="Z114" i="6"/>
  <c r="AA114" i="6"/>
  <c r="Z90" i="6"/>
  <c r="AA90" i="6"/>
  <c r="Z59" i="6"/>
  <c r="Z107" i="6"/>
  <c r="AA107" i="6"/>
  <c r="AA66" i="6"/>
  <c r="Z66" i="6"/>
  <c r="Z128" i="6"/>
  <c r="AA128" i="6"/>
  <c r="Z42" i="6"/>
  <c r="AA42" i="6"/>
  <c r="Z158" i="6"/>
  <c r="AA158" i="6"/>
  <c r="Z104" i="6"/>
  <c r="AA104" i="6"/>
  <c r="Z94" i="6"/>
  <c r="AA94" i="6"/>
  <c r="Z67" i="6"/>
  <c r="Z112" i="6"/>
  <c r="AA112" i="6"/>
  <c r="Z50" i="6"/>
  <c r="AA50" i="6"/>
  <c r="Z110" i="6"/>
  <c r="AA110" i="6"/>
  <c r="Z49" i="6"/>
  <c r="AA49" i="6"/>
  <c r="Z170" i="6"/>
  <c r="AA170" i="6"/>
  <c r="AA58" i="6"/>
  <c r="Z58" i="6"/>
  <c r="AA41" i="6"/>
  <c r="Z41" i="6"/>
  <c r="Z108" i="6"/>
  <c r="AA108" i="6"/>
  <c r="Z106" i="6"/>
  <c r="AA106" i="6"/>
  <c r="Z52" i="6"/>
  <c r="AA52" i="6"/>
  <c r="Z120" i="6"/>
  <c r="AA120" i="6"/>
  <c r="Z124" i="6"/>
  <c r="AA124" i="6"/>
  <c r="AA115" i="6"/>
  <c r="X148" i="6"/>
  <c r="AC164" i="6"/>
  <c r="AB132" i="6"/>
  <c r="J165" i="6"/>
  <c r="J157" i="6"/>
  <c r="J156" i="6"/>
  <c r="X144" i="6"/>
  <c r="Q107" i="6"/>
  <c r="K170" i="6"/>
  <c r="R158" i="6"/>
  <c r="AC153" i="6"/>
  <c r="K144" i="6"/>
  <c r="AB140" i="6"/>
  <c r="J162" i="6"/>
  <c r="J154" i="6"/>
  <c r="J152" i="6"/>
  <c r="X145" i="6"/>
  <c r="Q136" i="6"/>
  <c r="X107" i="6"/>
  <c r="R93" i="6"/>
  <c r="Q164" i="6"/>
  <c r="AB158" i="6"/>
  <c r="R148" i="6"/>
  <c r="J132" i="6"/>
  <c r="AC170" i="6"/>
  <c r="Q167" i="6"/>
  <c r="AC161" i="6"/>
  <c r="AB160" i="6"/>
  <c r="X162" i="6"/>
  <c r="Q161" i="6"/>
  <c r="R160" i="6"/>
  <c r="AC154" i="6"/>
  <c r="Q153" i="6"/>
  <c r="AB152" i="6"/>
  <c r="J140" i="6"/>
  <c r="X133" i="6"/>
  <c r="J128" i="6"/>
  <c r="AC128" i="6"/>
  <c r="Q124" i="6"/>
  <c r="X124" i="6"/>
  <c r="K120" i="6"/>
  <c r="AC70" i="6"/>
  <c r="K67" i="6"/>
  <c r="K59" i="6"/>
  <c r="R149" i="6"/>
  <c r="R145" i="6"/>
  <c r="R141" i="6"/>
  <c r="R137" i="6"/>
  <c r="R133" i="6"/>
  <c r="X93" i="6"/>
  <c r="R70" i="6"/>
  <c r="AC73" i="6"/>
  <c r="K49" i="6"/>
  <c r="K116" i="6"/>
  <c r="AB116" i="6"/>
  <c r="Q114" i="6"/>
  <c r="AC114" i="6"/>
  <c r="R112" i="6"/>
  <c r="X112" i="6"/>
  <c r="J110" i="6"/>
  <c r="K108" i="6"/>
  <c r="AB108" i="6"/>
  <c r="Q106" i="6"/>
  <c r="AC106" i="6"/>
  <c r="R104" i="6"/>
  <c r="X104" i="6"/>
  <c r="Q101" i="6"/>
  <c r="R97" i="6"/>
  <c r="AB97" i="6"/>
  <c r="X63" i="6"/>
  <c r="AB55" i="6"/>
  <c r="J50" i="6"/>
  <c r="K71" i="6"/>
  <c r="J94" i="6"/>
  <c r="K92" i="6"/>
  <c r="AB92" i="6"/>
  <c r="Q90" i="6"/>
  <c r="AC90" i="6"/>
  <c r="R63" i="6"/>
  <c r="R55" i="6"/>
  <c r="R52" i="6"/>
  <c r="X49" i="6"/>
  <c r="J73" i="6"/>
  <c r="AB66" i="6"/>
  <c r="Q66" i="6"/>
  <c r="AC62" i="6"/>
  <c r="K62" i="6"/>
  <c r="X58" i="6"/>
  <c r="R58" i="6"/>
  <c r="J54" i="6"/>
  <c r="X50" i="6"/>
  <c r="K42" i="6"/>
  <c r="X42" i="6"/>
  <c r="X41" i="6"/>
  <c r="K41" i="6"/>
  <c r="AA175" i="6"/>
  <c r="AA143" i="6"/>
  <c r="AA182" i="6"/>
  <c r="AA174" i="6"/>
  <c r="AA180" i="6"/>
  <c r="AA172" i="6"/>
  <c r="Z179" i="6"/>
  <c r="Z131" i="6"/>
  <c r="AA177" i="6"/>
  <c r="AA139" i="6"/>
  <c r="AA78" i="6"/>
  <c r="AA155" i="6"/>
  <c r="AA134" i="6"/>
  <c r="AA157" i="6"/>
  <c r="Z86" i="6"/>
  <c r="Z135" i="6"/>
  <c r="Z147" i="6"/>
  <c r="AA136" i="6"/>
  <c r="Z69" i="6"/>
  <c r="Z57" i="6"/>
  <c r="AA74" i="6"/>
  <c r="Z60" i="6"/>
  <c r="Z87" i="6"/>
  <c r="Z83" i="6"/>
  <c r="Z79" i="6"/>
  <c r="Z75" i="6"/>
  <c r="Z89" i="6"/>
  <c r="Z81" i="6"/>
  <c r="AA33" i="6"/>
  <c r="Z64" i="6"/>
  <c r="AA45" i="6"/>
  <c r="Z61" i="6"/>
  <c r="AA35" i="6"/>
  <c r="AA37" i="6"/>
  <c r="AA51" i="6"/>
  <c r="AA46" i="6"/>
  <c r="AA31" i="6"/>
  <c r="AA38" i="6"/>
  <c r="AA34" i="6"/>
  <c r="AA30" i="6"/>
  <c r="AA28" i="6"/>
  <c r="X132" i="6"/>
  <c r="AC167" i="6"/>
  <c r="K157" i="6"/>
  <c r="AB144" i="6"/>
  <c r="Q170" i="6"/>
  <c r="Q158" i="6"/>
  <c r="X140" i="6"/>
  <c r="Q162" i="6"/>
  <c r="R152" i="6"/>
  <c r="K136" i="6"/>
  <c r="J164" i="6"/>
  <c r="Q148" i="6"/>
  <c r="K132" i="6"/>
  <c r="K167" i="6"/>
  <c r="X115" i="6"/>
  <c r="K161" i="6"/>
  <c r="J153" i="6"/>
  <c r="AC149" i="6"/>
  <c r="R140" i="6"/>
  <c r="K128" i="6"/>
  <c r="AB124" i="6"/>
  <c r="AC120" i="6"/>
  <c r="Q67" i="6"/>
  <c r="K149" i="6"/>
  <c r="K141" i="6"/>
  <c r="K133" i="6"/>
  <c r="AB73" i="6"/>
  <c r="J49" i="6"/>
  <c r="X116" i="6"/>
  <c r="K112" i="6"/>
  <c r="Q110" i="6"/>
  <c r="R108" i="6"/>
  <c r="J106" i="6"/>
  <c r="AB104" i="6"/>
  <c r="AC101" i="6"/>
  <c r="X97" i="6"/>
  <c r="Q50" i="6"/>
  <c r="Q94" i="6"/>
  <c r="R92" i="6"/>
  <c r="J90" i="6"/>
  <c r="J63" i="6"/>
  <c r="AC49" i="6"/>
  <c r="R73" i="6"/>
  <c r="R66" i="6"/>
  <c r="AB58" i="6"/>
  <c r="Q58" i="6"/>
  <c r="K54" i="6"/>
  <c r="Q42" i="6"/>
  <c r="Q41" i="6"/>
  <c r="AA168" i="6"/>
  <c r="AA178" i="6"/>
  <c r="AA159" i="6"/>
  <c r="AA176" i="6"/>
  <c r="AA169" i="6"/>
  <c r="Z171" i="6"/>
  <c r="AA181" i="6"/>
  <c r="AA173" i="6"/>
  <c r="AA138" i="6"/>
  <c r="AA163" i="6"/>
  <c r="AA151" i="6"/>
  <c r="Z95" i="6"/>
  <c r="Z150" i="6"/>
  <c r="Z65" i="6"/>
  <c r="AA48" i="6"/>
  <c r="AA82" i="6"/>
  <c r="AA68" i="6"/>
  <c r="AA59" i="6"/>
  <c r="Z76" i="6"/>
  <c r="Z56" i="6"/>
  <c r="AA47" i="6"/>
  <c r="AA40" i="6"/>
  <c r="AA32" i="6"/>
  <c r="X164" i="6"/>
  <c r="AB167" i="6"/>
  <c r="R157" i="6"/>
  <c r="K107" i="6"/>
  <c r="J158" i="6"/>
  <c r="Q144" i="6"/>
  <c r="AB137" i="6"/>
  <c r="K154" i="6"/>
  <c r="J136" i="6"/>
  <c r="Q93" i="6"/>
  <c r="AC158" i="6"/>
  <c r="AB141" i="6"/>
  <c r="J167" i="6"/>
  <c r="X161" i="6"/>
  <c r="AC115" i="6"/>
  <c r="J160" i="6"/>
  <c r="R153" i="6"/>
  <c r="AB149" i="6"/>
  <c r="K140" i="6"/>
  <c r="AB128" i="6"/>
  <c r="AC124" i="6"/>
  <c r="X120" i="6"/>
  <c r="J59" i="6"/>
  <c r="J145" i="6"/>
  <c r="J137" i="6"/>
  <c r="AB93" i="6"/>
  <c r="X73" i="6"/>
  <c r="R49" i="6"/>
  <c r="K114" i="6"/>
  <c r="Q112" i="6"/>
  <c r="R110" i="6"/>
  <c r="J108" i="6"/>
  <c r="AB106" i="6"/>
  <c r="AC104" i="6"/>
  <c r="X101" i="6"/>
  <c r="AC63" i="6"/>
  <c r="R50" i="6"/>
  <c r="R94" i="6"/>
  <c r="X94" i="6"/>
  <c r="K90" i="6"/>
  <c r="K63" i="6"/>
  <c r="Q52" i="6"/>
  <c r="AC52" i="6"/>
  <c r="J66" i="6"/>
  <c r="Q62" i="6"/>
  <c r="K58" i="6"/>
  <c r="R54" i="6"/>
  <c r="J42" i="6"/>
  <c r="AC41" i="6"/>
  <c r="Z175" i="6"/>
  <c r="Z174" i="6"/>
  <c r="Z177" i="6"/>
  <c r="Z139" i="6"/>
  <c r="Z155" i="6"/>
  <c r="Z134" i="6"/>
  <c r="AA142" i="6"/>
  <c r="AA150" i="6"/>
  <c r="AA165" i="6"/>
  <c r="AA146" i="6"/>
  <c r="Z74" i="6"/>
  <c r="AA67" i="6"/>
  <c r="AA84" i="6"/>
  <c r="AA76" i="6"/>
  <c r="AA56" i="6"/>
  <c r="Z36" i="6"/>
  <c r="AC148" i="6"/>
  <c r="AB164" i="6"/>
  <c r="X167" i="6"/>
  <c r="Q165" i="6"/>
  <c r="Q157" i="6"/>
  <c r="K156" i="6"/>
  <c r="AC144" i="6"/>
  <c r="R107" i="6"/>
  <c r="R170" i="6"/>
  <c r="K158" i="6"/>
  <c r="AB153" i="6"/>
  <c r="R144" i="6"/>
  <c r="X137" i="6"/>
  <c r="R162" i="6"/>
  <c r="R154" i="6"/>
  <c r="Q152" i="6"/>
  <c r="AC145" i="6"/>
  <c r="R136" i="6"/>
  <c r="AC107" i="6"/>
  <c r="J93" i="6"/>
  <c r="R164" i="6"/>
  <c r="J148" i="6"/>
  <c r="X141" i="6"/>
  <c r="Q132" i="6"/>
  <c r="X170" i="6"/>
  <c r="R167" i="6"/>
  <c r="AB161" i="6"/>
  <c r="AB115" i="6"/>
  <c r="AC162" i="6"/>
  <c r="R161" i="6"/>
  <c r="K160" i="6"/>
  <c r="AB154" i="6"/>
  <c r="K153" i="6"/>
  <c r="X149" i="6"/>
  <c r="Q140" i="6"/>
  <c r="AC133" i="6"/>
  <c r="Q128" i="6"/>
  <c r="X128" i="6"/>
  <c r="K124" i="6"/>
  <c r="R120" i="6"/>
  <c r="AB120" i="6"/>
  <c r="AB70" i="6"/>
  <c r="R67" i="6"/>
  <c r="R59" i="6"/>
  <c r="Q149" i="6"/>
  <c r="Q145" i="6"/>
  <c r="Q141" i="6"/>
  <c r="Q137" i="6"/>
  <c r="Q133" i="6"/>
  <c r="AC93" i="6"/>
  <c r="Q70" i="6"/>
  <c r="X71" i="6"/>
  <c r="Q49" i="6"/>
  <c r="Q116" i="6"/>
  <c r="AC116" i="6"/>
  <c r="R114" i="6"/>
  <c r="X114" i="6"/>
  <c r="J112" i="6"/>
  <c r="K110" i="6"/>
  <c r="AB110" i="6"/>
  <c r="Q108" i="6"/>
  <c r="AC108" i="6"/>
  <c r="R106" i="6"/>
  <c r="X106" i="6"/>
  <c r="J104" i="6"/>
  <c r="R101" i="6"/>
  <c r="AB101" i="6"/>
  <c r="J97" i="6"/>
  <c r="AC97" i="6"/>
  <c r="AB63" i="6"/>
  <c r="K50" i="6"/>
  <c r="J71" i="6"/>
  <c r="K94" i="6"/>
  <c r="AB94" i="6"/>
  <c r="Q92" i="6"/>
  <c r="AC92" i="6"/>
  <c r="R90" i="6"/>
  <c r="X90" i="6"/>
  <c r="Q63" i="6"/>
  <c r="Q55" i="6"/>
  <c r="J52" i="6"/>
  <c r="AB52" i="6"/>
  <c r="Q73" i="6"/>
  <c r="AC66" i="6"/>
  <c r="K66" i="6"/>
  <c r="X62" i="6"/>
  <c r="R62" i="6"/>
  <c r="J58" i="6"/>
  <c r="AB54" i="6"/>
  <c r="Q54" i="6"/>
  <c r="AC50" i="6"/>
  <c r="R42" i="6"/>
  <c r="AB42" i="6"/>
  <c r="J41" i="6"/>
  <c r="Z183" i="6"/>
  <c r="Z168" i="6"/>
  <c r="Z178" i="6"/>
  <c r="Z159" i="6"/>
  <c r="Z176" i="6"/>
  <c r="Z169" i="6"/>
  <c r="AA179" i="6"/>
  <c r="AA131" i="6"/>
  <c r="Z181" i="6"/>
  <c r="Z173" i="6"/>
  <c r="Z138" i="6"/>
  <c r="Z163" i="6"/>
  <c r="Z151" i="6"/>
  <c r="AA95" i="6"/>
  <c r="AA156" i="6"/>
  <c r="AA86" i="6"/>
  <c r="AA135" i="6"/>
  <c r="AA147" i="6"/>
  <c r="Z115" i="6"/>
  <c r="AA69" i="6"/>
  <c r="AA57" i="6"/>
  <c r="Z82" i="6"/>
  <c r="Z68" i="6"/>
  <c r="AA60" i="6"/>
  <c r="AA87" i="6"/>
  <c r="AA83" i="6"/>
  <c r="AA79" i="6"/>
  <c r="AA75" i="6"/>
  <c r="AA89" i="6"/>
  <c r="AA81" i="6"/>
  <c r="Z33" i="6"/>
  <c r="AA64" i="6"/>
  <c r="Z45" i="6"/>
  <c r="AA61" i="6"/>
  <c r="Z35" i="6"/>
  <c r="Z37" i="6"/>
  <c r="Z51" i="6"/>
  <c r="Z46" i="6"/>
  <c r="Z31" i="6"/>
  <c r="Z38" i="6"/>
  <c r="Z34" i="6"/>
  <c r="Z30" i="6"/>
  <c r="Z28" i="6"/>
  <c r="AB148" i="6"/>
  <c r="K165" i="6"/>
  <c r="Q156" i="6"/>
  <c r="J107" i="6"/>
  <c r="J144" i="6"/>
  <c r="AC137" i="6"/>
  <c r="Q154" i="6"/>
  <c r="AB145" i="6"/>
  <c r="K93" i="6"/>
  <c r="X158" i="6"/>
  <c r="AC141" i="6"/>
  <c r="AB170" i="6"/>
  <c r="X160" i="6"/>
  <c r="AB162" i="6"/>
  <c r="Q160" i="6"/>
  <c r="X152" i="6"/>
  <c r="AB133" i="6"/>
  <c r="R124" i="6"/>
  <c r="J120" i="6"/>
  <c r="X70" i="6"/>
  <c r="Q59" i="6"/>
  <c r="K145" i="6"/>
  <c r="K137" i="6"/>
  <c r="J70" i="6"/>
  <c r="AC71" i="6"/>
  <c r="R116" i="6"/>
  <c r="J114" i="6"/>
  <c r="AB112" i="6"/>
  <c r="AC110" i="6"/>
  <c r="X108" i="6"/>
  <c r="K104" i="6"/>
  <c r="J101" i="6"/>
  <c r="K97" i="6"/>
  <c r="AC55" i="6"/>
  <c r="Q71" i="6"/>
  <c r="AC94" i="6"/>
  <c r="X92" i="6"/>
  <c r="J55" i="6"/>
  <c r="K52" i="6"/>
  <c r="X52" i="6"/>
  <c r="X66" i="6"/>
  <c r="J62" i="6"/>
  <c r="AC54" i="6"/>
  <c r="AB50" i="6"/>
  <c r="AB41" i="6"/>
  <c r="AA183" i="6"/>
  <c r="Z142" i="6"/>
  <c r="Z146" i="6"/>
  <c r="Z88" i="6"/>
  <c r="Z84" i="6"/>
  <c r="Z80" i="6"/>
  <c r="Z72" i="6"/>
  <c r="Z85" i="6"/>
  <c r="Z77" i="6"/>
  <c r="Z53" i="6"/>
  <c r="Z43" i="6"/>
  <c r="AA29" i="6"/>
  <c r="AA39" i="6"/>
  <c r="AA36" i="6"/>
  <c r="AA27" i="6"/>
  <c r="AC132" i="6"/>
  <c r="R165" i="6"/>
  <c r="R156" i="6"/>
  <c r="J170" i="6"/>
  <c r="X153" i="6"/>
  <c r="AC140" i="6"/>
  <c r="K162" i="6"/>
  <c r="K152" i="6"/>
  <c r="AB107" i="6"/>
  <c r="K164" i="6"/>
  <c r="K148" i="6"/>
  <c r="R132" i="6"/>
  <c r="AC160" i="6"/>
  <c r="J161" i="6"/>
  <c r="X154" i="6"/>
  <c r="AC152" i="6"/>
  <c r="R128" i="6"/>
  <c r="J124" i="6"/>
  <c r="Q120" i="6"/>
  <c r="J67" i="6"/>
  <c r="J149" i="6"/>
  <c r="J141" i="6"/>
  <c r="J133" i="6"/>
  <c r="K70" i="6"/>
  <c r="AB71" i="6"/>
  <c r="J116" i="6"/>
  <c r="AB114" i="6"/>
  <c r="AC112" i="6"/>
  <c r="X110" i="6"/>
  <c r="K106" i="6"/>
  <c r="Q104" i="6"/>
  <c r="K101" i="6"/>
  <c r="Q97" i="6"/>
  <c r="X55" i="6"/>
  <c r="R71" i="6"/>
  <c r="J92" i="6"/>
  <c r="AB90" i="6"/>
  <c r="K55" i="6"/>
  <c r="AB49" i="6"/>
  <c r="K73" i="6"/>
  <c r="AB62" i="6"/>
  <c r="AC58" i="6"/>
  <c r="X54" i="6"/>
  <c r="AC42" i="6"/>
  <c r="R41" i="6"/>
  <c r="Z143" i="6"/>
  <c r="Z182" i="6"/>
  <c r="Z180" i="6"/>
  <c r="Z172" i="6"/>
  <c r="AA171" i="6"/>
  <c r="Z78" i="6"/>
  <c r="AA65" i="6"/>
  <c r="Z48" i="6"/>
  <c r="AA88" i="6"/>
  <c r="AA80" i="6"/>
  <c r="AA72" i="6"/>
  <c r="AA85" i="6"/>
  <c r="AA77" i="6"/>
  <c r="AA53" i="6"/>
  <c r="AA43" i="6"/>
  <c r="Z29" i="6"/>
  <c r="Z47" i="6"/>
  <c r="Z39" i="6"/>
  <c r="Z40" i="6"/>
  <c r="Z32" i="6"/>
  <c r="Z27" i="6"/>
  <c r="Z26" i="6"/>
  <c r="Z25" i="6"/>
  <c r="Z21" i="6"/>
  <c r="Z19" i="6"/>
  <c r="Z18" i="6"/>
  <c r="AA23" i="6"/>
  <c r="Z22" i="6"/>
  <c r="AA26" i="6"/>
  <c r="AA25" i="6"/>
  <c r="AA21" i="6"/>
  <c r="AA19" i="6"/>
  <c r="AA18" i="6"/>
  <c r="Z24" i="6"/>
  <c r="AA24" i="6"/>
  <c r="Z23" i="6"/>
  <c r="Z20" i="6"/>
  <c r="AA22" i="6"/>
  <c r="AA20" i="6"/>
  <c r="O54" i="6" l="1"/>
  <c r="A54" i="6"/>
  <c r="E54" i="6" s="1"/>
  <c r="N54" i="6"/>
  <c r="O55" i="6"/>
  <c r="A55" i="6"/>
  <c r="E55" i="6" s="1"/>
  <c r="N55" i="6"/>
  <c r="A110" i="6"/>
  <c r="E110" i="6" s="1"/>
  <c r="O110" i="6"/>
  <c r="N110" i="6"/>
  <c r="N154" i="6"/>
  <c r="O154" i="6"/>
  <c r="A154" i="6"/>
  <c r="E154" i="6" s="1"/>
  <c r="N153" i="6"/>
  <c r="O153" i="6"/>
  <c r="A153" i="6"/>
  <c r="E153" i="6" s="1"/>
  <c r="O66" i="6"/>
  <c r="A66" i="6"/>
  <c r="N66" i="6"/>
  <c r="A52" i="6"/>
  <c r="E52" i="6" s="1"/>
  <c r="O52" i="6"/>
  <c r="N52" i="6"/>
  <c r="A92" i="6"/>
  <c r="E92" i="6" s="1"/>
  <c r="N92" i="6"/>
  <c r="O92" i="6"/>
  <c r="A108" i="6"/>
  <c r="E108" i="6" s="1"/>
  <c r="O108" i="6"/>
  <c r="N108" i="6"/>
  <c r="O70" i="6"/>
  <c r="N70" i="6"/>
  <c r="A70" i="6"/>
  <c r="E70" i="6" s="1"/>
  <c r="N152" i="6"/>
  <c r="O152" i="6"/>
  <c r="A152" i="6"/>
  <c r="E152" i="6" s="1"/>
  <c r="N160" i="6"/>
  <c r="O160" i="6"/>
  <c r="A160" i="6"/>
  <c r="E160" i="6" s="1"/>
  <c r="N158" i="6"/>
  <c r="O158" i="6"/>
  <c r="A158" i="6"/>
  <c r="E158" i="6" s="1"/>
  <c r="O62" i="6"/>
  <c r="A62" i="6"/>
  <c r="E62" i="6" s="1"/>
  <c r="N62" i="6"/>
  <c r="A90" i="6"/>
  <c r="E90" i="6" s="1"/>
  <c r="N90" i="6"/>
  <c r="O90" i="6"/>
  <c r="A106" i="6"/>
  <c r="E106" i="6" s="1"/>
  <c r="O106" i="6"/>
  <c r="N106" i="6"/>
  <c r="A114" i="6"/>
  <c r="E114" i="6" s="1"/>
  <c r="O114" i="6"/>
  <c r="N114" i="6"/>
  <c r="O71" i="6"/>
  <c r="A71" i="6"/>
  <c r="E71" i="6" s="1"/>
  <c r="N71" i="6"/>
  <c r="A128" i="6"/>
  <c r="E128" i="6" s="1"/>
  <c r="N128" i="6"/>
  <c r="O128" i="6"/>
  <c r="N149" i="6"/>
  <c r="O149" i="6"/>
  <c r="A149" i="6"/>
  <c r="E149" i="6" s="1"/>
  <c r="O170" i="6"/>
  <c r="A170" i="6"/>
  <c r="E170" i="6" s="1"/>
  <c r="N170" i="6"/>
  <c r="N141" i="6"/>
  <c r="O141" i="6"/>
  <c r="A141" i="6"/>
  <c r="E141" i="6" s="1"/>
  <c r="N137" i="6"/>
  <c r="O137" i="6"/>
  <c r="A137" i="6"/>
  <c r="E137" i="6" s="1"/>
  <c r="O167" i="6"/>
  <c r="A167" i="6"/>
  <c r="E167" i="6" s="1"/>
  <c r="N167" i="6"/>
  <c r="A94" i="6"/>
  <c r="E94" i="6" s="1"/>
  <c r="O94" i="6"/>
  <c r="N94" i="6"/>
  <c r="A101" i="6"/>
  <c r="E101" i="6" s="1"/>
  <c r="N101" i="6"/>
  <c r="O101" i="6"/>
  <c r="O73" i="6"/>
  <c r="A73" i="6"/>
  <c r="E73" i="6" s="1"/>
  <c r="N73" i="6"/>
  <c r="A120" i="6"/>
  <c r="E120" i="6" s="1"/>
  <c r="N120" i="6"/>
  <c r="O120" i="6"/>
  <c r="N161" i="6"/>
  <c r="O161" i="6"/>
  <c r="A161" i="6"/>
  <c r="E161" i="6" s="1"/>
  <c r="N164" i="6"/>
  <c r="O164" i="6"/>
  <c r="A164" i="6"/>
  <c r="E164" i="6" s="1"/>
  <c r="A97" i="6"/>
  <c r="E97" i="6" s="1"/>
  <c r="N97" i="6"/>
  <c r="O97" i="6"/>
  <c r="A116" i="6"/>
  <c r="E116" i="6" s="1"/>
  <c r="O116" i="6"/>
  <c r="N116" i="6"/>
  <c r="A115" i="6"/>
  <c r="E115" i="6" s="1"/>
  <c r="N140" i="6"/>
  <c r="O140" i="6"/>
  <c r="A140" i="6"/>
  <c r="E140" i="6" s="1"/>
  <c r="N132" i="6"/>
  <c r="O132" i="6"/>
  <c r="A132" i="6"/>
  <c r="E132" i="6" s="1"/>
  <c r="O41" i="6"/>
  <c r="A41" i="6"/>
  <c r="N41" i="6"/>
  <c r="O42" i="6"/>
  <c r="A42" i="6"/>
  <c r="E42" i="6" s="1"/>
  <c r="N42" i="6"/>
  <c r="A50" i="6"/>
  <c r="E50" i="6" s="1"/>
  <c r="O50" i="6"/>
  <c r="N50" i="6"/>
  <c r="O58" i="6"/>
  <c r="A58" i="6"/>
  <c r="E58" i="6" s="1"/>
  <c r="N58" i="6"/>
  <c r="A49" i="6"/>
  <c r="E49" i="6" s="1"/>
  <c r="N49" i="6"/>
  <c r="O49" i="6"/>
  <c r="O63" i="6"/>
  <c r="A63" i="6"/>
  <c r="E63" i="6" s="1"/>
  <c r="N63" i="6"/>
  <c r="A104" i="6"/>
  <c r="E104" i="6" s="1"/>
  <c r="N104" i="6"/>
  <c r="O104" i="6"/>
  <c r="A112" i="6"/>
  <c r="E112" i="6" s="1"/>
  <c r="N112" i="6"/>
  <c r="O112" i="6"/>
  <c r="A93" i="6"/>
  <c r="E93" i="6" s="1"/>
  <c r="N93" i="6"/>
  <c r="O93" i="6"/>
  <c r="A124" i="6"/>
  <c r="E124" i="6" s="1"/>
  <c r="N124" i="6"/>
  <c r="O124" i="6"/>
  <c r="N133" i="6"/>
  <c r="O133" i="6"/>
  <c r="A133" i="6"/>
  <c r="E133" i="6" s="1"/>
  <c r="N162" i="6"/>
  <c r="O162" i="6"/>
  <c r="A162" i="6"/>
  <c r="E162" i="6" s="1"/>
  <c r="A107" i="6"/>
  <c r="E107" i="6" s="1"/>
  <c r="N107" i="6"/>
  <c r="O107" i="6"/>
  <c r="N145" i="6"/>
  <c r="O145" i="6"/>
  <c r="A145" i="6"/>
  <c r="E145" i="6" s="1"/>
  <c r="N144" i="6"/>
  <c r="O144" i="6"/>
  <c r="A144" i="6"/>
  <c r="E144" i="6" s="1"/>
  <c r="N148" i="6"/>
  <c r="O148" i="6"/>
  <c r="A148" i="6"/>
  <c r="E148" i="6" s="1"/>
  <c r="W2" i="6"/>
  <c r="W6" i="6"/>
  <c r="W10" i="6"/>
  <c r="W14" i="6"/>
  <c r="W3" i="6"/>
  <c r="W5" i="6"/>
  <c r="W7" i="6"/>
  <c r="W9" i="6"/>
  <c r="W11" i="6"/>
  <c r="W13" i="6"/>
  <c r="W15" i="6"/>
  <c r="W17" i="6"/>
  <c r="W4" i="6"/>
  <c r="W8" i="6"/>
  <c r="W12" i="6"/>
  <c r="W16" i="6"/>
  <c r="E41" i="6"/>
  <c r="K27" i="6"/>
  <c r="K32" i="6"/>
  <c r="K40" i="6"/>
  <c r="K39" i="6"/>
  <c r="K47" i="6"/>
  <c r="K29" i="6"/>
  <c r="X43" i="6"/>
  <c r="AC53" i="6"/>
  <c r="AB77" i="6"/>
  <c r="X72" i="6"/>
  <c r="AC80" i="6"/>
  <c r="AB88" i="6"/>
  <c r="R48" i="6"/>
  <c r="J78" i="6"/>
  <c r="X171" i="6"/>
  <c r="R172" i="6"/>
  <c r="R180" i="6"/>
  <c r="K182" i="6"/>
  <c r="K143" i="6"/>
  <c r="AE54" i="6"/>
  <c r="AE55" i="6"/>
  <c r="AE110" i="6"/>
  <c r="AC27" i="6"/>
  <c r="AB36" i="6"/>
  <c r="AC29" i="6"/>
  <c r="K43" i="6"/>
  <c r="Q53" i="6"/>
  <c r="Q77" i="6"/>
  <c r="Q85" i="6"/>
  <c r="R72" i="6"/>
  <c r="R80" i="6"/>
  <c r="R84" i="6"/>
  <c r="R88" i="6"/>
  <c r="K146" i="6"/>
  <c r="K142" i="6"/>
  <c r="AC183" i="6"/>
  <c r="E66" i="6"/>
  <c r="AE52" i="6"/>
  <c r="AE152" i="6"/>
  <c r="AE160" i="6"/>
  <c r="AE158" i="6"/>
  <c r="J28" i="6"/>
  <c r="J30" i="6"/>
  <c r="J34" i="6"/>
  <c r="J38" i="6"/>
  <c r="J31" i="6"/>
  <c r="R46" i="6"/>
  <c r="R51" i="6"/>
  <c r="J37" i="6"/>
  <c r="J35" i="6"/>
  <c r="X61" i="6"/>
  <c r="R45" i="6"/>
  <c r="K33" i="6"/>
  <c r="X81" i="6"/>
  <c r="AC89" i="6"/>
  <c r="AB75" i="6"/>
  <c r="X83" i="6"/>
  <c r="AC87" i="6"/>
  <c r="AB60" i="6"/>
  <c r="R68" i="6"/>
  <c r="R82" i="6"/>
  <c r="AB69" i="6"/>
  <c r="Q115" i="6"/>
  <c r="AC147" i="6"/>
  <c r="AB135" i="6"/>
  <c r="X156" i="6"/>
  <c r="X95" i="6"/>
  <c r="Q151" i="6"/>
  <c r="Q163" i="6"/>
  <c r="R138" i="6"/>
  <c r="R173" i="6"/>
  <c r="R181" i="6"/>
  <c r="AB131" i="6"/>
  <c r="J169" i="6"/>
  <c r="Q176" i="6"/>
  <c r="J159" i="6"/>
  <c r="Q178" i="6"/>
  <c r="J168" i="6"/>
  <c r="Q183" i="6"/>
  <c r="Q27" i="6"/>
  <c r="Q32" i="6"/>
  <c r="Q40" i="6"/>
  <c r="Q39" i="6"/>
  <c r="Q47" i="6"/>
  <c r="Q29" i="6"/>
  <c r="AB43" i="6"/>
  <c r="X53" i="6"/>
  <c r="X85" i="6"/>
  <c r="AB72" i="6"/>
  <c r="AB80" i="6"/>
  <c r="K48" i="6"/>
  <c r="AB65" i="6"/>
  <c r="K78" i="6"/>
  <c r="AC171" i="6"/>
  <c r="J172" i="6"/>
  <c r="J180" i="6"/>
  <c r="R182" i="6"/>
  <c r="Q143" i="6"/>
  <c r="AE154" i="6"/>
  <c r="AE153" i="6"/>
  <c r="X27" i="6"/>
  <c r="AC39" i="6"/>
  <c r="AB29" i="6"/>
  <c r="R43" i="6"/>
  <c r="K53" i="6"/>
  <c r="R77" i="6"/>
  <c r="R85" i="6"/>
  <c r="K72" i="6"/>
  <c r="J80" i="6"/>
  <c r="J84" i="6"/>
  <c r="J88" i="6"/>
  <c r="R146" i="6"/>
  <c r="R142" i="6"/>
  <c r="AB183" i="6"/>
  <c r="AE92" i="6"/>
  <c r="R28" i="6"/>
  <c r="R30" i="6"/>
  <c r="R34" i="6"/>
  <c r="R38" i="6"/>
  <c r="R31" i="6"/>
  <c r="J46" i="6"/>
  <c r="J51" i="6"/>
  <c r="R37" i="6"/>
  <c r="R35" i="6"/>
  <c r="K45" i="6"/>
  <c r="X64" i="6"/>
  <c r="Q33" i="6"/>
  <c r="AC81" i="6"/>
  <c r="AB89" i="6"/>
  <c r="X79" i="6"/>
  <c r="AC83" i="6"/>
  <c r="AB87" i="6"/>
  <c r="J68" i="6"/>
  <c r="J82" i="6"/>
  <c r="AB57" i="6"/>
  <c r="AC69" i="6"/>
  <c r="R115" i="6"/>
  <c r="AB147" i="6"/>
  <c r="X86" i="6"/>
  <c r="AC156" i="6"/>
  <c r="AC95" i="6"/>
  <c r="R151" i="6"/>
  <c r="R163" i="6"/>
  <c r="Q138" i="6"/>
  <c r="J173" i="6"/>
  <c r="J181" i="6"/>
  <c r="X179" i="6"/>
  <c r="Q169" i="6"/>
  <c r="K176" i="6"/>
  <c r="K159" i="6"/>
  <c r="K178" i="6"/>
  <c r="R168" i="6"/>
  <c r="K183" i="6"/>
  <c r="AE62" i="6"/>
  <c r="R27" i="6"/>
  <c r="R32" i="6"/>
  <c r="R40" i="6"/>
  <c r="R39" i="6"/>
  <c r="J47" i="6"/>
  <c r="R29" i="6"/>
  <c r="AB53" i="6"/>
  <c r="AC77" i="6"/>
  <c r="AB85" i="6"/>
  <c r="X80" i="6"/>
  <c r="AC88" i="6"/>
  <c r="J48" i="6"/>
  <c r="X65" i="6"/>
  <c r="R78" i="6"/>
  <c r="K172" i="6"/>
  <c r="K180" i="6"/>
  <c r="Q182" i="6"/>
  <c r="J143" i="6"/>
  <c r="AB27" i="6"/>
  <c r="AC36" i="6"/>
  <c r="X39" i="6"/>
  <c r="J43" i="6"/>
  <c r="J53" i="6"/>
  <c r="K77" i="6"/>
  <c r="K85" i="6"/>
  <c r="J72" i="6"/>
  <c r="Q80" i="6"/>
  <c r="Q84" i="6"/>
  <c r="Q88" i="6"/>
  <c r="J146" i="6"/>
  <c r="J142" i="6"/>
  <c r="X183" i="6"/>
  <c r="AE66" i="6"/>
  <c r="AE108" i="6"/>
  <c r="AE70" i="6"/>
  <c r="Q28" i="6"/>
  <c r="Q30" i="6"/>
  <c r="Q34" i="6"/>
  <c r="Q38" i="6"/>
  <c r="Q31" i="6"/>
  <c r="Q46" i="6"/>
  <c r="Q51" i="6"/>
  <c r="Q37" i="6"/>
  <c r="Q35" i="6"/>
  <c r="AC61" i="6"/>
  <c r="J45" i="6"/>
  <c r="AB64" i="6"/>
  <c r="R33" i="6"/>
  <c r="X89" i="6"/>
  <c r="AC75" i="6"/>
  <c r="AB79" i="6"/>
  <c r="X87" i="6"/>
  <c r="AC60" i="6"/>
  <c r="Q68" i="6"/>
  <c r="Q82" i="6"/>
  <c r="X57" i="6"/>
  <c r="K115" i="6"/>
  <c r="X147" i="6"/>
  <c r="AC135" i="6"/>
  <c r="AB86" i="6"/>
  <c r="AB95" i="6"/>
  <c r="K151" i="6"/>
  <c r="K163" i="6"/>
  <c r="K138" i="6"/>
  <c r="K173" i="6"/>
  <c r="K181" i="6"/>
  <c r="AC131" i="6"/>
  <c r="AB179" i="6"/>
  <c r="K169" i="6"/>
  <c r="J176" i="6"/>
  <c r="R159" i="6"/>
  <c r="J178" i="6"/>
  <c r="K168" i="6"/>
  <c r="J183" i="6"/>
  <c r="AE90" i="6"/>
  <c r="AE106" i="6"/>
  <c r="AE114" i="6"/>
  <c r="AE128" i="6"/>
  <c r="R36" i="6"/>
  <c r="X76" i="6"/>
  <c r="AC84" i="6"/>
  <c r="AB67" i="6"/>
  <c r="R74" i="6"/>
  <c r="AB165" i="6"/>
  <c r="AC150" i="6"/>
  <c r="AB142" i="6"/>
  <c r="Q134" i="6"/>
  <c r="R155" i="6"/>
  <c r="R139" i="6"/>
  <c r="Q177" i="6"/>
  <c r="J174" i="6"/>
  <c r="J175" i="6"/>
  <c r="AE101" i="6"/>
  <c r="AE120" i="6"/>
  <c r="X40" i="6"/>
  <c r="X47" i="6"/>
  <c r="Q56" i="6"/>
  <c r="J76" i="6"/>
  <c r="AB59" i="6"/>
  <c r="X82" i="6"/>
  <c r="AC48" i="6"/>
  <c r="K65" i="6"/>
  <c r="R150" i="6"/>
  <c r="R95" i="6"/>
  <c r="AB151" i="6"/>
  <c r="X138" i="6"/>
  <c r="AC173" i="6"/>
  <c r="AB181" i="6"/>
  <c r="Q171" i="6"/>
  <c r="X176" i="6"/>
  <c r="AC159" i="6"/>
  <c r="AB178" i="6"/>
  <c r="J27" i="6"/>
  <c r="R47" i="6"/>
  <c r="AC85" i="6"/>
  <c r="AC65" i="6"/>
  <c r="Q180" i="6"/>
  <c r="X29" i="6"/>
  <c r="J85" i="6"/>
  <c r="K88" i="6"/>
  <c r="K30" i="6"/>
  <c r="K46" i="6"/>
  <c r="AB61" i="6"/>
  <c r="AB81" i="6"/>
  <c r="X60" i="6"/>
  <c r="X69" i="6"/>
  <c r="AB156" i="6"/>
  <c r="Q173" i="6"/>
  <c r="R169" i="6"/>
  <c r="Q168" i="6"/>
  <c r="X56" i="6"/>
  <c r="AB76" i="6"/>
  <c r="X67" i="6"/>
  <c r="X146" i="6"/>
  <c r="X165" i="6"/>
  <c r="AC142" i="6"/>
  <c r="J155" i="6"/>
  <c r="K139" i="6"/>
  <c r="R177" i="6"/>
  <c r="J56" i="6"/>
  <c r="AB82" i="6"/>
  <c r="X151" i="6"/>
  <c r="X169" i="6"/>
  <c r="AE132" i="6"/>
  <c r="X31" i="6"/>
  <c r="X35" i="6"/>
  <c r="Q81" i="6"/>
  <c r="J79" i="6"/>
  <c r="K60" i="6"/>
  <c r="K69" i="6"/>
  <c r="R135" i="6"/>
  <c r="AC155" i="6"/>
  <c r="K131" i="6"/>
  <c r="X182" i="6"/>
  <c r="AA118" i="6"/>
  <c r="Z191" i="6"/>
  <c r="Z211" i="6"/>
  <c r="AA98" i="6"/>
  <c r="AA205" i="6"/>
  <c r="Z195" i="6"/>
  <c r="Z204" i="6"/>
  <c r="Z212" i="6"/>
  <c r="J147" i="6"/>
  <c r="X139" i="6"/>
  <c r="R179" i="6"/>
  <c r="AB143" i="6"/>
  <c r="AA117" i="6"/>
  <c r="AA113" i="6"/>
  <c r="Z123" i="6"/>
  <c r="AA201" i="6"/>
  <c r="AA105" i="6"/>
  <c r="Z119" i="6"/>
  <c r="Z127" i="6"/>
  <c r="AA194" i="6"/>
  <c r="AC43" i="6"/>
  <c r="R143" i="6"/>
  <c r="K80" i="6"/>
  <c r="K38" i="6"/>
  <c r="AC64" i="6"/>
  <c r="X135" i="6"/>
  <c r="Q159" i="6"/>
  <c r="K74" i="6"/>
  <c r="Q155" i="6"/>
  <c r="AC32" i="6"/>
  <c r="X68" i="6"/>
  <c r="X163" i="6"/>
  <c r="AB176" i="6"/>
  <c r="X28" i="6"/>
  <c r="AC31" i="6"/>
  <c r="AC45" i="6"/>
  <c r="J81" i="6"/>
  <c r="Q83" i="6"/>
  <c r="J69" i="6"/>
  <c r="K86" i="6"/>
  <c r="AC139" i="6"/>
  <c r="X180" i="6"/>
  <c r="AE41" i="6"/>
  <c r="AA99" i="6"/>
  <c r="Z113" i="6"/>
  <c r="AA123" i="6"/>
  <c r="AA193" i="6"/>
  <c r="Z105" i="6"/>
  <c r="Z109" i="6"/>
  <c r="Z129" i="6"/>
  <c r="Z202" i="6"/>
  <c r="J32" i="6"/>
  <c r="J29" i="6"/>
  <c r="AC72" i="6"/>
  <c r="Q78" i="6"/>
  <c r="J182" i="6"/>
  <c r="Q43" i="6"/>
  <c r="Q72" i="6"/>
  <c r="Q146" i="6"/>
  <c r="K34" i="6"/>
  <c r="K51" i="6"/>
  <c r="Q45" i="6"/>
  <c r="X75" i="6"/>
  <c r="K68" i="6"/>
  <c r="J115" i="6"/>
  <c r="J151" i="6"/>
  <c r="Q181" i="6"/>
  <c r="R176" i="6"/>
  <c r="R183" i="6"/>
  <c r="K36" i="6"/>
  <c r="AC56" i="6"/>
  <c r="X84" i="6"/>
  <c r="J74" i="6"/>
  <c r="AC146" i="6"/>
  <c r="X150" i="6"/>
  <c r="J134" i="6"/>
  <c r="K155" i="6"/>
  <c r="Q139" i="6"/>
  <c r="Q174" i="6"/>
  <c r="K175" i="6"/>
  <c r="AE94" i="6"/>
  <c r="X32" i="6"/>
  <c r="AB40" i="6"/>
  <c r="K56" i="6"/>
  <c r="K76" i="6"/>
  <c r="AC68" i="6"/>
  <c r="AB48" i="6"/>
  <c r="R65" i="6"/>
  <c r="K95" i="6"/>
  <c r="AC151" i="6"/>
  <c r="AC138" i="6"/>
  <c r="X181" i="6"/>
  <c r="R171" i="6"/>
  <c r="AC176" i="6"/>
  <c r="X178" i="6"/>
  <c r="AB168" i="6"/>
  <c r="AE97" i="6"/>
  <c r="X30" i="6"/>
  <c r="AC34" i="6"/>
  <c r="AB38" i="6"/>
  <c r="X46" i="6"/>
  <c r="AB51" i="6"/>
  <c r="X37" i="6"/>
  <c r="J61" i="6"/>
  <c r="X45" i="6"/>
  <c r="K64" i="6"/>
  <c r="AB33" i="6"/>
  <c r="R81" i="6"/>
  <c r="R89" i="6"/>
  <c r="K75" i="6"/>
  <c r="K79" i="6"/>
  <c r="K83" i="6"/>
  <c r="K87" i="6"/>
  <c r="Q60" i="6"/>
  <c r="AB74" i="6"/>
  <c r="R57" i="6"/>
  <c r="J135" i="6"/>
  <c r="J86" i="6"/>
  <c r="AC134" i="6"/>
  <c r="AC177" i="6"/>
  <c r="X174" i="6"/>
  <c r="AA199" i="6"/>
  <c r="AA184" i="6"/>
  <c r="AA185" i="6"/>
  <c r="AA91" i="6"/>
  <c r="AA207" i="6"/>
  <c r="Z130" i="6"/>
  <c r="AA202" i="6"/>
  <c r="X88" i="6"/>
  <c r="AB171" i="6"/>
  <c r="X36" i="6"/>
  <c r="R53" i="6"/>
  <c r="Q142" i="6"/>
  <c r="AC79" i="6"/>
  <c r="J163" i="6"/>
  <c r="AE170" i="6"/>
  <c r="AE167" i="6"/>
  <c r="AB56" i="6"/>
  <c r="AB150" i="6"/>
  <c r="J177" i="6"/>
  <c r="R56" i="6"/>
  <c r="J150" i="6"/>
  <c r="AB138" i="6"/>
  <c r="AC178" i="6"/>
  <c r="AC30" i="6"/>
  <c r="AB46" i="6"/>
  <c r="Q61" i="6"/>
  <c r="J89" i="6"/>
  <c r="Q87" i="6"/>
  <c r="X136" i="6"/>
  <c r="K135" i="6"/>
  <c r="X78" i="6"/>
  <c r="J179" i="6"/>
  <c r="X175" i="6"/>
  <c r="AE50" i="6"/>
  <c r="Z117" i="6"/>
  <c r="AA103" i="6"/>
  <c r="AA200" i="6"/>
  <c r="Z201" i="6"/>
  <c r="Z187" i="6"/>
  <c r="Z196" i="6"/>
  <c r="Z186" i="6"/>
  <c r="J39" i="6"/>
  <c r="X77" i="6"/>
  <c r="Q48" i="6"/>
  <c r="Q172" i="6"/>
  <c r="AB39" i="6"/>
  <c r="J77" i="6"/>
  <c r="K84" i="6"/>
  <c r="K28" i="6"/>
  <c r="K31" i="6"/>
  <c r="K35" i="6"/>
  <c r="J33" i="6"/>
  <c r="AB83" i="6"/>
  <c r="AC57" i="6"/>
  <c r="AC86" i="6"/>
  <c r="J138" i="6"/>
  <c r="AC179" i="6"/>
  <c r="R178" i="6"/>
  <c r="AE71" i="6"/>
  <c r="AE149" i="6"/>
  <c r="AE141" i="6"/>
  <c r="AE137" i="6"/>
  <c r="J36" i="6"/>
  <c r="AC76" i="6"/>
  <c r="AC67" i="6"/>
  <c r="Q74" i="6"/>
  <c r="AC165" i="6"/>
  <c r="X142" i="6"/>
  <c r="R134" i="6"/>
  <c r="J139" i="6"/>
  <c r="K177" i="6"/>
  <c r="R174" i="6"/>
  <c r="AE73" i="6"/>
  <c r="AE161" i="6"/>
  <c r="AE164" i="6"/>
  <c r="AB32" i="6"/>
  <c r="AC47" i="6"/>
  <c r="Q76" i="6"/>
  <c r="X59" i="6"/>
  <c r="AC82" i="6"/>
  <c r="J65" i="6"/>
  <c r="K150" i="6"/>
  <c r="J95" i="6"/>
  <c r="AC163" i="6"/>
  <c r="X173" i="6"/>
  <c r="J171" i="6"/>
  <c r="AC169" i="6"/>
  <c r="X159" i="6"/>
  <c r="AC168" i="6"/>
  <c r="AE116" i="6"/>
  <c r="AC28" i="6"/>
  <c r="AB30" i="6"/>
  <c r="X38" i="6"/>
  <c r="AB31" i="6"/>
  <c r="AC46" i="6"/>
  <c r="AC37" i="6"/>
  <c r="AB35" i="6"/>
  <c r="K61" i="6"/>
  <c r="AB45" i="6"/>
  <c r="R64" i="6"/>
  <c r="K81" i="6"/>
  <c r="K89" i="6"/>
  <c r="R75" i="6"/>
  <c r="R79" i="6"/>
  <c r="R83" i="6"/>
  <c r="R87" i="6"/>
  <c r="J60" i="6"/>
  <c r="X74" i="6"/>
  <c r="Q57" i="6"/>
  <c r="Q69" i="6"/>
  <c r="AC136" i="6"/>
  <c r="R147" i="6"/>
  <c r="Q135" i="6"/>
  <c r="Q86" i="6"/>
  <c r="AB157" i="6"/>
  <c r="X155" i="6"/>
  <c r="AC78" i="6"/>
  <c r="AB139" i="6"/>
  <c r="R131" i="6"/>
  <c r="Q179" i="6"/>
  <c r="X172" i="6"/>
  <c r="AC180" i="6"/>
  <c r="AB174" i="6"/>
  <c r="X143" i="6"/>
  <c r="AC175" i="6"/>
  <c r="AE49" i="6"/>
  <c r="AE104" i="6"/>
  <c r="AE93" i="6"/>
  <c r="AE133" i="6"/>
  <c r="AE162" i="6"/>
  <c r="AE107" i="6"/>
  <c r="AE145" i="6"/>
  <c r="AE144" i="6"/>
  <c r="AE148" i="6"/>
  <c r="Z118" i="6"/>
  <c r="Z166" i="6"/>
  <c r="AA191" i="6"/>
  <c r="AA203" i="6"/>
  <c r="AA121" i="6"/>
  <c r="AA211" i="6"/>
  <c r="AA188" i="6"/>
  <c r="AA208" i="6"/>
  <c r="Z98" i="6"/>
  <c r="AA125" i="6"/>
  <c r="AA189" i="6"/>
  <c r="AA197" i="6"/>
  <c r="Z205" i="6"/>
  <c r="Z96" i="6"/>
  <c r="AA44" i="6"/>
  <c r="AA213" i="6"/>
  <c r="AA195" i="6"/>
  <c r="Z100" i="6"/>
  <c r="Z122" i="6"/>
  <c r="AA192" i="6"/>
  <c r="AA204" i="6"/>
  <c r="Z102" i="6"/>
  <c r="AA111" i="6"/>
  <c r="AA212" i="6"/>
  <c r="Z190" i="6"/>
  <c r="AA198" i="6"/>
  <c r="Z206" i="6"/>
  <c r="Q175" i="6"/>
  <c r="AC40" i="6"/>
  <c r="R76" i="6"/>
  <c r="AB68" i="6"/>
  <c r="Q65" i="6"/>
  <c r="Q150" i="6"/>
  <c r="AB163" i="6"/>
  <c r="AB173" i="6"/>
  <c r="K171" i="6"/>
  <c r="AB159" i="6"/>
  <c r="X168" i="6"/>
  <c r="AE115" i="6"/>
  <c r="AE140" i="6"/>
  <c r="AB28" i="6"/>
  <c r="X34" i="6"/>
  <c r="AC38" i="6"/>
  <c r="X51" i="6"/>
  <c r="AB37" i="6"/>
  <c r="R61" i="6"/>
  <c r="J64" i="6"/>
  <c r="AC33" i="6"/>
  <c r="Q89" i="6"/>
  <c r="J75" i="6"/>
  <c r="J83" i="6"/>
  <c r="J87" i="6"/>
  <c r="AC74" i="6"/>
  <c r="K57" i="6"/>
  <c r="AB136" i="6"/>
  <c r="Q147" i="6"/>
  <c r="R86" i="6"/>
  <c r="X134" i="6"/>
  <c r="AB78" i="6"/>
  <c r="X177" i="6"/>
  <c r="K179" i="6"/>
  <c r="AC172" i="6"/>
  <c r="AB180" i="6"/>
  <c r="AC143" i="6"/>
  <c r="AB175" i="6"/>
  <c r="AE112" i="6"/>
  <c r="AE124" i="6"/>
  <c r="AA166" i="6"/>
  <c r="Z203" i="6"/>
  <c r="Z121" i="6"/>
  <c r="Z188" i="6"/>
  <c r="Z208" i="6"/>
  <c r="Z125" i="6"/>
  <c r="Z189" i="6"/>
  <c r="Z197" i="6"/>
  <c r="AA96" i="6"/>
  <c r="Z44" i="6"/>
  <c r="Z213" i="6"/>
  <c r="AA100" i="6"/>
  <c r="AA122" i="6"/>
  <c r="Z192" i="6"/>
  <c r="AA102" i="6"/>
  <c r="Z111" i="6"/>
  <c r="AA190" i="6"/>
  <c r="Z198" i="6"/>
  <c r="AA206" i="6"/>
  <c r="R69" i="6"/>
  <c r="X157" i="6"/>
  <c r="AB155" i="6"/>
  <c r="J131" i="6"/>
  <c r="AB172" i="6"/>
  <c r="AC182" i="6"/>
  <c r="Z99" i="6"/>
  <c r="AA209" i="6"/>
  <c r="Z103" i="6"/>
  <c r="Z200" i="6"/>
  <c r="Z126" i="6"/>
  <c r="Z193" i="6"/>
  <c r="AA210" i="6"/>
  <c r="AA187" i="6"/>
  <c r="AA109" i="6"/>
  <c r="AA196" i="6"/>
  <c r="AA129" i="6"/>
  <c r="AA186" i="6"/>
  <c r="J40" i="6"/>
  <c r="K37" i="6"/>
  <c r="K82" i="6"/>
  <c r="X131" i="6"/>
  <c r="Q36" i="6"/>
  <c r="AB84" i="6"/>
  <c r="AB146" i="6"/>
  <c r="K134" i="6"/>
  <c r="K174" i="6"/>
  <c r="R175" i="6"/>
  <c r="AB47" i="6"/>
  <c r="AC59" i="6"/>
  <c r="X48" i="6"/>
  <c r="Q95" i="6"/>
  <c r="AC181" i="6"/>
  <c r="AB169" i="6"/>
  <c r="AB34" i="6"/>
  <c r="AC51" i="6"/>
  <c r="AC35" i="6"/>
  <c r="Q64" i="6"/>
  <c r="X33" i="6"/>
  <c r="Q75" i="6"/>
  <c r="Q79" i="6"/>
  <c r="R60" i="6"/>
  <c r="J57" i="6"/>
  <c r="K147" i="6"/>
  <c r="AC157" i="6"/>
  <c r="AB134" i="6"/>
  <c r="AB177" i="6"/>
  <c r="Q131" i="6"/>
  <c r="AC174" i="6"/>
  <c r="AB182" i="6"/>
  <c r="AE42" i="6"/>
  <c r="AE58" i="6"/>
  <c r="AE63" i="6"/>
  <c r="Z209" i="6"/>
  <c r="Z199" i="6"/>
  <c r="Z184" i="6"/>
  <c r="AA126" i="6"/>
  <c r="Z185" i="6"/>
  <c r="Z210" i="6"/>
  <c r="Z91" i="6"/>
  <c r="Z207" i="6"/>
  <c r="AA119" i="6"/>
  <c r="AA127" i="6"/>
  <c r="AA130" i="6"/>
  <c r="Z194" i="6"/>
  <c r="AB20" i="6"/>
  <c r="X22" i="6"/>
  <c r="K20" i="6"/>
  <c r="J23" i="6"/>
  <c r="AC24" i="6"/>
  <c r="R24" i="6"/>
  <c r="AB19" i="6"/>
  <c r="X21" i="6"/>
  <c r="AB25" i="6"/>
  <c r="K22" i="6"/>
  <c r="AB23" i="6"/>
  <c r="J18" i="6"/>
  <c r="J19" i="6"/>
  <c r="J21" i="6"/>
  <c r="J25" i="6"/>
  <c r="J26" i="6"/>
  <c r="AC20" i="6"/>
  <c r="AC22" i="6"/>
  <c r="Q20" i="6"/>
  <c r="Q23" i="6"/>
  <c r="J24" i="6"/>
  <c r="AB18" i="6"/>
  <c r="X19" i="6"/>
  <c r="AC21" i="6"/>
  <c r="AB26" i="6"/>
  <c r="R22" i="6"/>
  <c r="AC23" i="6"/>
  <c r="K18" i="6"/>
  <c r="K19" i="6"/>
  <c r="K21" i="6"/>
  <c r="Q25" i="6"/>
  <c r="Q26" i="6"/>
  <c r="R21" i="6"/>
  <c r="K26" i="6"/>
  <c r="X20" i="6"/>
  <c r="R20" i="6"/>
  <c r="K23" i="6"/>
  <c r="X24" i="6"/>
  <c r="K24" i="6"/>
  <c r="AC18" i="6"/>
  <c r="AC19" i="6"/>
  <c r="AC25" i="6"/>
  <c r="X26" i="6"/>
  <c r="J22" i="6"/>
  <c r="X23" i="6"/>
  <c r="Q18" i="6"/>
  <c r="Q19" i="6"/>
  <c r="Q21" i="6"/>
  <c r="R25" i="6"/>
  <c r="R26" i="6"/>
  <c r="AB22" i="6"/>
  <c r="J20" i="6"/>
  <c r="R23" i="6"/>
  <c r="AB24" i="6"/>
  <c r="Q24" i="6"/>
  <c r="X18" i="6"/>
  <c r="AB21" i="6"/>
  <c r="X25" i="6"/>
  <c r="AC26" i="6"/>
  <c r="Q22" i="6"/>
  <c r="R18" i="6"/>
  <c r="R19" i="6"/>
  <c r="K25" i="6"/>
  <c r="M114" i="6" l="1"/>
  <c r="M108" i="6"/>
  <c r="M54" i="6"/>
  <c r="M124" i="6"/>
  <c r="M107" i="6"/>
  <c r="M93" i="6"/>
  <c r="M132" i="6"/>
  <c r="M50" i="6"/>
  <c r="M116" i="6"/>
  <c r="M106" i="6"/>
  <c r="M49" i="6"/>
  <c r="M104" i="6"/>
  <c r="M152" i="6"/>
  <c r="M112" i="6"/>
  <c r="M160" i="6"/>
  <c r="M55" i="6"/>
  <c r="M158" i="6"/>
  <c r="M52" i="6"/>
  <c r="M110" i="6"/>
  <c r="N115" i="6"/>
  <c r="O115" i="6"/>
  <c r="M145" i="6"/>
  <c r="M63" i="6"/>
  <c r="M42" i="6"/>
  <c r="M97" i="6"/>
  <c r="M120" i="6"/>
  <c r="M128" i="6"/>
  <c r="M148" i="6"/>
  <c r="M162" i="6"/>
  <c r="M164" i="6"/>
  <c r="M161" i="6"/>
  <c r="M137" i="6"/>
  <c r="M141" i="6"/>
  <c r="M149" i="6"/>
  <c r="M144" i="6"/>
  <c r="M133" i="6"/>
  <c r="M58" i="6"/>
  <c r="M41" i="6"/>
  <c r="M101" i="6"/>
  <c r="M140" i="6"/>
  <c r="M73" i="6"/>
  <c r="M94" i="6"/>
  <c r="M167" i="6"/>
  <c r="M170" i="6"/>
  <c r="M71" i="6"/>
  <c r="M62" i="6"/>
  <c r="M92" i="6"/>
  <c r="M153" i="6"/>
  <c r="M154" i="6"/>
  <c r="M90" i="6"/>
  <c r="M66" i="6"/>
  <c r="M70" i="6"/>
  <c r="N175" i="6"/>
  <c r="A175" i="6"/>
  <c r="E175" i="6" s="1"/>
  <c r="O175" i="6"/>
  <c r="N143" i="6"/>
  <c r="O143" i="6"/>
  <c r="A143" i="6"/>
  <c r="E143" i="6" s="1"/>
  <c r="N182" i="6"/>
  <c r="A182" i="6"/>
  <c r="E182" i="6" s="1"/>
  <c r="O182" i="6"/>
  <c r="N174" i="6"/>
  <c r="A174" i="6"/>
  <c r="E174" i="6" s="1"/>
  <c r="O174" i="6"/>
  <c r="N180" i="6"/>
  <c r="A180" i="6"/>
  <c r="E180" i="6" s="1"/>
  <c r="O180" i="6"/>
  <c r="N172" i="6"/>
  <c r="A172" i="6"/>
  <c r="E172" i="6" s="1"/>
  <c r="O172" i="6"/>
  <c r="N177" i="6"/>
  <c r="A177" i="6"/>
  <c r="E177" i="6" s="1"/>
  <c r="O177" i="6"/>
  <c r="N139" i="6"/>
  <c r="O139" i="6"/>
  <c r="A139" i="6"/>
  <c r="E139" i="6" s="1"/>
  <c r="N78" i="6"/>
  <c r="A78" i="6"/>
  <c r="E78" i="6" s="1"/>
  <c r="O78" i="6"/>
  <c r="N155" i="6"/>
  <c r="O155" i="6"/>
  <c r="A155" i="6"/>
  <c r="E155" i="6" s="1"/>
  <c r="N134" i="6"/>
  <c r="O134" i="6"/>
  <c r="A134" i="6"/>
  <c r="E134" i="6" s="1"/>
  <c r="N157" i="6"/>
  <c r="O157" i="6"/>
  <c r="A157" i="6"/>
  <c r="E157" i="6" s="1"/>
  <c r="N136" i="6"/>
  <c r="O136" i="6"/>
  <c r="A136" i="6"/>
  <c r="E136" i="6" s="1"/>
  <c r="N74" i="6"/>
  <c r="A74" i="6"/>
  <c r="O74" i="6"/>
  <c r="A33" i="6"/>
  <c r="O33" i="6"/>
  <c r="N33" i="6"/>
  <c r="A45" i="6"/>
  <c r="E45" i="6" s="1"/>
  <c r="N45" i="6"/>
  <c r="O45" i="6"/>
  <c r="A35" i="6"/>
  <c r="O35" i="6"/>
  <c r="N35" i="6"/>
  <c r="A37" i="6"/>
  <c r="O37" i="6"/>
  <c r="N37" i="6"/>
  <c r="A51" i="6"/>
  <c r="E51" i="6" s="1"/>
  <c r="N51" i="6"/>
  <c r="O51" i="6"/>
  <c r="A46" i="6"/>
  <c r="E46" i="6" s="1"/>
  <c r="N46" i="6"/>
  <c r="O46" i="6"/>
  <c r="A31" i="6"/>
  <c r="O31" i="6"/>
  <c r="N31" i="6"/>
  <c r="A38" i="6"/>
  <c r="O38" i="6"/>
  <c r="N38" i="6"/>
  <c r="A34" i="6"/>
  <c r="O34" i="6"/>
  <c r="N34" i="6"/>
  <c r="A30" i="6"/>
  <c r="O30" i="6"/>
  <c r="N30" i="6"/>
  <c r="A28" i="6"/>
  <c r="E28" i="6" s="1"/>
  <c r="O28" i="6"/>
  <c r="N28" i="6"/>
  <c r="O168" i="6"/>
  <c r="A168" i="6"/>
  <c r="E168" i="6" s="1"/>
  <c r="N168" i="6"/>
  <c r="N178" i="6"/>
  <c r="A178" i="6"/>
  <c r="E178" i="6" s="1"/>
  <c r="O178" i="6"/>
  <c r="N159" i="6"/>
  <c r="O159" i="6"/>
  <c r="A159" i="6"/>
  <c r="E159" i="6" s="1"/>
  <c r="N176" i="6"/>
  <c r="A176" i="6"/>
  <c r="E176" i="6" s="1"/>
  <c r="O176" i="6"/>
  <c r="O169" i="6"/>
  <c r="A169" i="6"/>
  <c r="E169" i="6" s="1"/>
  <c r="N169" i="6"/>
  <c r="N181" i="6"/>
  <c r="A181" i="6"/>
  <c r="E181" i="6" s="1"/>
  <c r="O181" i="6"/>
  <c r="N173" i="6"/>
  <c r="A173" i="6"/>
  <c r="E173" i="6" s="1"/>
  <c r="O173" i="6"/>
  <c r="N138" i="6"/>
  <c r="O138" i="6"/>
  <c r="A138" i="6"/>
  <c r="E138" i="6" s="1"/>
  <c r="N163" i="6"/>
  <c r="O163" i="6"/>
  <c r="A163" i="6"/>
  <c r="E163" i="6" s="1"/>
  <c r="N151" i="6"/>
  <c r="O151" i="6"/>
  <c r="A151" i="6"/>
  <c r="E151" i="6" s="1"/>
  <c r="A48" i="6"/>
  <c r="E48" i="6" s="1"/>
  <c r="O48" i="6"/>
  <c r="N48" i="6"/>
  <c r="N82" i="6"/>
  <c r="A82" i="6"/>
  <c r="E82" i="6" s="1"/>
  <c r="O82" i="6"/>
  <c r="O68" i="6"/>
  <c r="A68" i="6"/>
  <c r="N68" i="6"/>
  <c r="O59" i="6"/>
  <c r="A59" i="6"/>
  <c r="N59" i="6"/>
  <c r="A47" i="6"/>
  <c r="E47" i="6" s="1"/>
  <c r="O47" i="6"/>
  <c r="N47" i="6"/>
  <c r="A40" i="6"/>
  <c r="O40" i="6"/>
  <c r="N40" i="6"/>
  <c r="A32" i="6"/>
  <c r="O32" i="6"/>
  <c r="N32" i="6"/>
  <c r="N142" i="6"/>
  <c r="O142" i="6"/>
  <c r="A142" i="6"/>
  <c r="E142" i="6" s="1"/>
  <c r="N150" i="6"/>
  <c r="O150" i="6"/>
  <c r="A150" i="6"/>
  <c r="E150" i="6" s="1"/>
  <c r="N165" i="6"/>
  <c r="O165" i="6"/>
  <c r="A165" i="6"/>
  <c r="E165" i="6" s="1"/>
  <c r="N146" i="6"/>
  <c r="O146" i="6"/>
  <c r="A146" i="6"/>
  <c r="E146" i="6" s="1"/>
  <c r="O67" i="6"/>
  <c r="A67" i="6"/>
  <c r="N67" i="6"/>
  <c r="N84" i="6"/>
  <c r="A84" i="6"/>
  <c r="O84" i="6"/>
  <c r="N76" i="6"/>
  <c r="A76" i="6"/>
  <c r="O76" i="6"/>
  <c r="O56" i="6"/>
  <c r="A56" i="6"/>
  <c r="N56" i="6"/>
  <c r="N179" i="6"/>
  <c r="A179" i="6"/>
  <c r="E179" i="6" s="1"/>
  <c r="O179" i="6"/>
  <c r="A131" i="6"/>
  <c r="E131" i="6" s="1"/>
  <c r="N131" i="6"/>
  <c r="O131" i="6"/>
  <c r="A95" i="6"/>
  <c r="E95" i="6" s="1"/>
  <c r="N95" i="6"/>
  <c r="O95" i="6"/>
  <c r="N156" i="6"/>
  <c r="O156" i="6"/>
  <c r="A156" i="6"/>
  <c r="E156" i="6" s="1"/>
  <c r="N86" i="6"/>
  <c r="A86" i="6"/>
  <c r="O86" i="6"/>
  <c r="N135" i="6"/>
  <c r="O135" i="6"/>
  <c r="A135" i="6"/>
  <c r="E135" i="6" s="1"/>
  <c r="N147" i="6"/>
  <c r="O147" i="6"/>
  <c r="A147" i="6"/>
  <c r="E147" i="6" s="1"/>
  <c r="O69" i="6"/>
  <c r="N69" i="6"/>
  <c r="A69" i="6"/>
  <c r="E69" i="6" s="1"/>
  <c r="O57" i="6"/>
  <c r="A57" i="6"/>
  <c r="E57" i="6" s="1"/>
  <c r="N57" i="6"/>
  <c r="O60" i="6"/>
  <c r="A60" i="6"/>
  <c r="N60" i="6"/>
  <c r="N87" i="6"/>
  <c r="A87" i="6"/>
  <c r="O87" i="6"/>
  <c r="N83" i="6"/>
  <c r="A83" i="6"/>
  <c r="E83" i="6" s="1"/>
  <c r="O83" i="6"/>
  <c r="N79" i="6"/>
  <c r="A79" i="6"/>
  <c r="E79" i="6" s="1"/>
  <c r="O79" i="6"/>
  <c r="N75" i="6"/>
  <c r="A75" i="6"/>
  <c r="O75" i="6"/>
  <c r="N89" i="6"/>
  <c r="A89" i="6"/>
  <c r="O89" i="6"/>
  <c r="N81" i="6"/>
  <c r="A81" i="6"/>
  <c r="E81" i="6" s="1"/>
  <c r="O81" i="6"/>
  <c r="O64" i="6"/>
  <c r="A64" i="6"/>
  <c r="N64" i="6"/>
  <c r="O61" i="6"/>
  <c r="A61" i="6"/>
  <c r="E61" i="6" s="1"/>
  <c r="N61" i="6"/>
  <c r="N183" i="6"/>
  <c r="A183" i="6"/>
  <c r="E183" i="6" s="1"/>
  <c r="O183" i="6"/>
  <c r="A29" i="6"/>
  <c r="E29" i="6" s="1"/>
  <c r="O29" i="6"/>
  <c r="N29" i="6"/>
  <c r="A39" i="6"/>
  <c r="O39" i="6"/>
  <c r="N39" i="6"/>
  <c r="A36" i="6"/>
  <c r="O36" i="6"/>
  <c r="N36" i="6"/>
  <c r="A27" i="6"/>
  <c r="E27" i="6" s="1"/>
  <c r="O27" i="6"/>
  <c r="N27" i="6"/>
  <c r="O171" i="6"/>
  <c r="A171" i="6"/>
  <c r="E171" i="6" s="1"/>
  <c r="N171" i="6"/>
  <c r="O65" i="6"/>
  <c r="A65" i="6"/>
  <c r="E65" i="6" s="1"/>
  <c r="N65" i="6"/>
  <c r="N88" i="6"/>
  <c r="A88" i="6"/>
  <c r="O88" i="6"/>
  <c r="N80" i="6"/>
  <c r="A80" i="6"/>
  <c r="E80" i="6" s="1"/>
  <c r="O80" i="6"/>
  <c r="O72" i="6"/>
  <c r="A72" i="6"/>
  <c r="E72" i="6" s="1"/>
  <c r="N72" i="6"/>
  <c r="N85" i="6"/>
  <c r="A85" i="6"/>
  <c r="O85" i="6"/>
  <c r="N77" i="6"/>
  <c r="A77" i="6"/>
  <c r="E77" i="6" s="1"/>
  <c r="O77" i="6"/>
  <c r="A53" i="6"/>
  <c r="E53" i="6" s="1"/>
  <c r="O53" i="6"/>
  <c r="N53" i="6"/>
  <c r="O43" i="6"/>
  <c r="A43" i="6"/>
  <c r="N43" i="6"/>
  <c r="O25" i="6"/>
  <c r="A25" i="6"/>
  <c r="N25" i="6"/>
  <c r="O18" i="6"/>
  <c r="A18" i="6"/>
  <c r="E18" i="6" s="1"/>
  <c r="N18" i="6"/>
  <c r="O23" i="6"/>
  <c r="A23" i="6"/>
  <c r="N23" i="6"/>
  <c r="A26" i="6"/>
  <c r="O26" i="6"/>
  <c r="N26" i="6"/>
  <c r="O24" i="6"/>
  <c r="A24" i="6"/>
  <c r="N24" i="6"/>
  <c r="O20" i="6"/>
  <c r="A20" i="6"/>
  <c r="N20" i="6"/>
  <c r="O19" i="6"/>
  <c r="A19" i="6"/>
  <c r="N19" i="6"/>
  <c r="O21" i="6"/>
  <c r="A21" i="6"/>
  <c r="N21" i="6"/>
  <c r="A22" i="6"/>
  <c r="O22" i="6"/>
  <c r="N22" i="6"/>
  <c r="F14" i="7"/>
  <c r="F13" i="7"/>
  <c r="F12" i="7"/>
  <c r="F11" i="7"/>
  <c r="F10" i="7"/>
  <c r="F9" i="7"/>
  <c r="F8" i="7"/>
  <c r="E9" i="7"/>
  <c r="E10" i="7"/>
  <c r="E11" i="7"/>
  <c r="E12" i="7"/>
  <c r="E13" i="7"/>
  <c r="E14" i="7"/>
  <c r="E8" i="7"/>
  <c r="B8" i="7"/>
  <c r="B9" i="7"/>
  <c r="B10" i="7"/>
  <c r="B11" i="7"/>
  <c r="B12" i="7"/>
  <c r="B13" i="7"/>
  <c r="B14" i="7"/>
  <c r="E21" i="6"/>
  <c r="E19" i="6"/>
  <c r="E20" i="6"/>
  <c r="E26" i="6"/>
  <c r="E35" i="6"/>
  <c r="E31" i="6"/>
  <c r="E68" i="6"/>
  <c r="E40" i="6"/>
  <c r="E56" i="6"/>
  <c r="E43" i="6"/>
  <c r="E36" i="6"/>
  <c r="E23" i="6"/>
  <c r="E24" i="6"/>
  <c r="E30" i="6"/>
  <c r="E38" i="6"/>
  <c r="E32" i="6"/>
  <c r="E67" i="6"/>
  <c r="E25" i="6"/>
  <c r="E39" i="6"/>
  <c r="E22" i="6"/>
  <c r="E37" i="6"/>
  <c r="E64" i="6"/>
  <c r="K206" i="6"/>
  <c r="K202" i="6"/>
  <c r="X202" i="6"/>
  <c r="R198" i="6"/>
  <c r="AC198" i="6"/>
  <c r="J194" i="6"/>
  <c r="AB194" i="6"/>
  <c r="K190" i="6"/>
  <c r="K186" i="6"/>
  <c r="X186" i="6"/>
  <c r="Q212" i="6"/>
  <c r="AB212" i="6"/>
  <c r="Q129" i="6"/>
  <c r="X129" i="6"/>
  <c r="J111" i="6"/>
  <c r="AB130" i="6"/>
  <c r="J130" i="6"/>
  <c r="AC102" i="6"/>
  <c r="Q102" i="6"/>
  <c r="X127" i="6"/>
  <c r="Q127" i="6"/>
  <c r="Q204" i="6"/>
  <c r="K196" i="6"/>
  <c r="X196" i="6"/>
  <c r="R192" i="6"/>
  <c r="AC192" i="6"/>
  <c r="R109" i="6"/>
  <c r="AC109" i="6"/>
  <c r="R122" i="6"/>
  <c r="AB119" i="6"/>
  <c r="K119" i="6"/>
  <c r="AC100" i="6"/>
  <c r="J100" i="6"/>
  <c r="J207" i="6"/>
  <c r="AB207" i="6"/>
  <c r="Q195" i="6"/>
  <c r="K187" i="6"/>
  <c r="X187" i="6"/>
  <c r="K213" i="6"/>
  <c r="X213" i="6"/>
  <c r="R105" i="6"/>
  <c r="AC105" i="6"/>
  <c r="R44" i="6"/>
  <c r="K91" i="6"/>
  <c r="AB91" i="6"/>
  <c r="AC96" i="6"/>
  <c r="R96" i="6"/>
  <c r="J210" i="6"/>
  <c r="AB210" i="6"/>
  <c r="K205" i="6"/>
  <c r="K201" i="6"/>
  <c r="X201" i="6"/>
  <c r="R197" i="6"/>
  <c r="AC197" i="6"/>
  <c r="AB193" i="6"/>
  <c r="Q193" i="6"/>
  <c r="Q189" i="6"/>
  <c r="K185" i="6"/>
  <c r="X185" i="6"/>
  <c r="J125" i="6"/>
  <c r="AC125" i="6"/>
  <c r="AC126" i="6"/>
  <c r="K126" i="6"/>
  <c r="R98" i="6"/>
  <c r="AB123" i="6"/>
  <c r="K123" i="6"/>
  <c r="R208" i="6"/>
  <c r="AC208" i="6"/>
  <c r="AB200" i="6"/>
  <c r="Q200" i="6"/>
  <c r="Q188" i="6"/>
  <c r="K184" i="6"/>
  <c r="X184" i="6"/>
  <c r="R211" i="6"/>
  <c r="AC211" i="6"/>
  <c r="R113" i="6"/>
  <c r="AC113" i="6"/>
  <c r="K121" i="6"/>
  <c r="AB103" i="6"/>
  <c r="J103" i="6"/>
  <c r="R203" i="6"/>
  <c r="AC203" i="6"/>
  <c r="J199" i="6"/>
  <c r="AB199" i="6"/>
  <c r="Q191" i="6"/>
  <c r="K209" i="6"/>
  <c r="X209" i="6"/>
  <c r="AB166" i="6"/>
  <c r="R166" i="6"/>
  <c r="Q117" i="6"/>
  <c r="X117" i="6"/>
  <c r="R118" i="6"/>
  <c r="AB99" i="6"/>
  <c r="J99" i="6"/>
  <c r="G148" i="6"/>
  <c r="H144" i="6"/>
  <c r="G107" i="6"/>
  <c r="H162" i="6"/>
  <c r="G133" i="6"/>
  <c r="G93" i="6"/>
  <c r="H112" i="6"/>
  <c r="I104" i="6"/>
  <c r="G49" i="6"/>
  <c r="G58" i="6"/>
  <c r="I50" i="6"/>
  <c r="I41" i="6"/>
  <c r="E74" i="6"/>
  <c r="AE45" i="6"/>
  <c r="X206" i="6"/>
  <c r="R206" i="6"/>
  <c r="R202" i="6"/>
  <c r="AC202" i="6"/>
  <c r="J198" i="6"/>
  <c r="AB198" i="6"/>
  <c r="Q194" i="6"/>
  <c r="X190" i="6"/>
  <c r="R190" i="6"/>
  <c r="R186" i="6"/>
  <c r="AC186" i="6"/>
  <c r="R212" i="6"/>
  <c r="AC212" i="6"/>
  <c r="K129" i="6"/>
  <c r="K111" i="6"/>
  <c r="AB111" i="6"/>
  <c r="X130" i="6"/>
  <c r="Q130" i="6"/>
  <c r="X102" i="6"/>
  <c r="K102" i="6"/>
  <c r="R127" i="6"/>
  <c r="K204" i="6"/>
  <c r="X204" i="6"/>
  <c r="R196" i="6"/>
  <c r="AC196" i="6"/>
  <c r="J192" i="6"/>
  <c r="AB192" i="6"/>
  <c r="J109" i="6"/>
  <c r="AB122" i="6"/>
  <c r="J122" i="6"/>
  <c r="AC119" i="6"/>
  <c r="J119" i="6"/>
  <c r="X100" i="6"/>
  <c r="Q100" i="6"/>
  <c r="Q207" i="6"/>
  <c r="K195" i="6"/>
  <c r="X195" i="6"/>
  <c r="R187" i="6"/>
  <c r="AC187" i="6"/>
  <c r="Q213" i="6"/>
  <c r="AC213" i="6"/>
  <c r="J105" i="6"/>
  <c r="K44" i="6"/>
  <c r="AC44" i="6"/>
  <c r="Q91" i="6"/>
  <c r="X91" i="6"/>
  <c r="X96" i="6"/>
  <c r="J96" i="6"/>
  <c r="Q210" i="6"/>
  <c r="X205" i="6"/>
  <c r="R205" i="6"/>
  <c r="R201" i="6"/>
  <c r="AC201" i="6"/>
  <c r="J197" i="6"/>
  <c r="AB197" i="6"/>
  <c r="K193" i="6"/>
  <c r="K189" i="6"/>
  <c r="X189" i="6"/>
  <c r="R185" i="6"/>
  <c r="AC185" i="6"/>
  <c r="Q125" i="6"/>
  <c r="X125" i="6"/>
  <c r="R126" i="6"/>
  <c r="AB98" i="6"/>
  <c r="J98" i="6"/>
  <c r="AC123" i="6"/>
  <c r="J123" i="6"/>
  <c r="J208" i="6"/>
  <c r="AB208" i="6"/>
  <c r="K200" i="6"/>
  <c r="K188" i="6"/>
  <c r="X188" i="6"/>
  <c r="R184" i="6"/>
  <c r="AC184" i="6"/>
  <c r="J211" i="6"/>
  <c r="AB211" i="6"/>
  <c r="J113" i="6"/>
  <c r="R121" i="6"/>
  <c r="AB121" i="6"/>
  <c r="X103" i="6"/>
  <c r="Q103" i="6"/>
  <c r="J203" i="6"/>
  <c r="AB203" i="6"/>
  <c r="Q199" i="6"/>
  <c r="K191" i="6"/>
  <c r="X191" i="6"/>
  <c r="R209" i="6"/>
  <c r="AC209" i="6"/>
  <c r="X166" i="6"/>
  <c r="Q166" i="6"/>
  <c r="K117" i="6"/>
  <c r="AB118" i="6"/>
  <c r="J118" i="6"/>
  <c r="X99" i="6"/>
  <c r="Q99" i="6"/>
  <c r="H148" i="6"/>
  <c r="I145" i="6"/>
  <c r="H107" i="6"/>
  <c r="G162" i="6"/>
  <c r="H124" i="6"/>
  <c r="H93" i="6"/>
  <c r="I112" i="6"/>
  <c r="G63" i="6"/>
  <c r="I49" i="6"/>
  <c r="H58" i="6"/>
  <c r="H42" i="6"/>
  <c r="H41" i="6"/>
  <c r="AE175" i="6"/>
  <c r="AE143" i="6"/>
  <c r="AE182" i="6"/>
  <c r="AE174" i="6"/>
  <c r="AE180" i="6"/>
  <c r="AE139" i="6"/>
  <c r="AE155" i="6"/>
  <c r="AE134" i="6"/>
  <c r="AE157" i="6"/>
  <c r="AE136" i="6"/>
  <c r="AE33" i="6"/>
  <c r="AE35" i="6"/>
  <c r="AE37" i="6"/>
  <c r="AE51" i="6"/>
  <c r="AE46" i="6"/>
  <c r="AE31" i="6"/>
  <c r="AE38" i="6"/>
  <c r="AE34" i="6"/>
  <c r="AE30" i="6"/>
  <c r="AB206" i="6"/>
  <c r="Q206" i="6"/>
  <c r="Q202" i="6"/>
  <c r="K198" i="6"/>
  <c r="X198" i="6"/>
  <c r="R194" i="6"/>
  <c r="AC194" i="6"/>
  <c r="AB190" i="6"/>
  <c r="Q190" i="6"/>
  <c r="Q186" i="6"/>
  <c r="K212" i="6"/>
  <c r="X212" i="6"/>
  <c r="J129" i="6"/>
  <c r="AC129" i="6"/>
  <c r="R111" i="6"/>
  <c r="AC111" i="6"/>
  <c r="R130" i="6"/>
  <c r="AB102" i="6"/>
  <c r="J102" i="6"/>
  <c r="AC127" i="6"/>
  <c r="J127" i="6"/>
  <c r="J204" i="6"/>
  <c r="AB204" i="6"/>
  <c r="Q196" i="6"/>
  <c r="K192" i="6"/>
  <c r="X192" i="6"/>
  <c r="Q109" i="6"/>
  <c r="X109" i="6"/>
  <c r="AC122" i="6"/>
  <c r="K122" i="6"/>
  <c r="R119" i="6"/>
  <c r="AB100" i="6"/>
  <c r="K100" i="6"/>
  <c r="R207" i="6"/>
  <c r="AC207" i="6"/>
  <c r="J195" i="6"/>
  <c r="AB195" i="6"/>
  <c r="Q187" i="6"/>
  <c r="R213" i="6"/>
  <c r="AB213" i="6"/>
  <c r="Q105" i="6"/>
  <c r="X105" i="6"/>
  <c r="J44" i="6"/>
  <c r="X44" i="6"/>
  <c r="J91" i="6"/>
  <c r="AB96" i="6"/>
  <c r="Q96" i="6"/>
  <c r="R210" i="6"/>
  <c r="AC210" i="6"/>
  <c r="AB205" i="6"/>
  <c r="Q205" i="6"/>
  <c r="Q201" i="6"/>
  <c r="K197" i="6"/>
  <c r="X197" i="6"/>
  <c r="AC193" i="6"/>
  <c r="J193" i="6"/>
  <c r="J189" i="6"/>
  <c r="AB189" i="6"/>
  <c r="Q185" i="6"/>
  <c r="R125" i="6"/>
  <c r="AB125" i="6"/>
  <c r="X126" i="6"/>
  <c r="Q126" i="6"/>
  <c r="X98" i="6"/>
  <c r="K98" i="6"/>
  <c r="R123" i="6"/>
  <c r="K208" i="6"/>
  <c r="X208" i="6"/>
  <c r="AC200" i="6"/>
  <c r="J200" i="6"/>
  <c r="J188" i="6"/>
  <c r="AB188" i="6"/>
  <c r="Q184" i="6"/>
  <c r="K211" i="6"/>
  <c r="X211" i="6"/>
  <c r="Q113" i="6"/>
  <c r="X113" i="6"/>
  <c r="Q121" i="6"/>
  <c r="X121" i="6"/>
  <c r="R103" i="6"/>
  <c r="K203" i="6"/>
  <c r="X203" i="6"/>
  <c r="R199" i="6"/>
  <c r="AC199" i="6"/>
  <c r="J191" i="6"/>
  <c r="AB191" i="6"/>
  <c r="Q209" i="6"/>
  <c r="AC166" i="6"/>
  <c r="K166" i="6"/>
  <c r="J117" i="6"/>
  <c r="AC117" i="6"/>
  <c r="AC118" i="6"/>
  <c r="K118" i="6"/>
  <c r="R99" i="6"/>
  <c r="I148" i="6"/>
  <c r="G144" i="6"/>
  <c r="G145" i="6"/>
  <c r="I162" i="6"/>
  <c r="H133" i="6"/>
  <c r="I124" i="6"/>
  <c r="G112" i="6"/>
  <c r="G104" i="6"/>
  <c r="I63" i="6"/>
  <c r="I58" i="6"/>
  <c r="H50" i="6"/>
  <c r="I42" i="6"/>
  <c r="E33" i="6"/>
  <c r="J206" i="6"/>
  <c r="K194" i="6"/>
  <c r="J186" i="6"/>
  <c r="AB129" i="6"/>
  <c r="K130" i="6"/>
  <c r="R204" i="6"/>
  <c r="Q192" i="6"/>
  <c r="Q122" i="6"/>
  <c r="K207" i="6"/>
  <c r="J187" i="6"/>
  <c r="AB105" i="6"/>
  <c r="AC91" i="6"/>
  <c r="AC205" i="6"/>
  <c r="Q197" i="6"/>
  <c r="AC189" i="6"/>
  <c r="AB126" i="6"/>
  <c r="X123" i="6"/>
  <c r="R200" i="6"/>
  <c r="AB184" i="6"/>
  <c r="J121" i="6"/>
  <c r="Q203" i="6"/>
  <c r="AC191" i="6"/>
  <c r="R117" i="6"/>
  <c r="AC99" i="6"/>
  <c r="I107" i="6"/>
  <c r="H104" i="6"/>
  <c r="G42" i="6"/>
  <c r="AE172" i="6"/>
  <c r="AE177" i="6"/>
  <c r="E34" i="6"/>
  <c r="AE28" i="6"/>
  <c r="H132" i="6"/>
  <c r="G115" i="6"/>
  <c r="H116" i="6"/>
  <c r="I97" i="6"/>
  <c r="AE48" i="6"/>
  <c r="G120" i="6"/>
  <c r="AE67" i="6"/>
  <c r="E76" i="6"/>
  <c r="H170" i="6"/>
  <c r="G114" i="6"/>
  <c r="H152" i="6"/>
  <c r="H52" i="6"/>
  <c r="I153" i="6"/>
  <c r="I54" i="6"/>
  <c r="AE65" i="6"/>
  <c r="AE57" i="6"/>
  <c r="E75" i="6"/>
  <c r="AE61" i="6"/>
  <c r="H108" i="6"/>
  <c r="G55" i="6"/>
  <c r="AE53" i="6"/>
  <c r="AC190" i="6"/>
  <c r="J212" i="6"/>
  <c r="J196" i="6"/>
  <c r="Q119" i="6"/>
  <c r="AB44" i="6"/>
  <c r="J201" i="6"/>
  <c r="Q208" i="6"/>
  <c r="K113" i="6"/>
  <c r="I144" i="6"/>
  <c r="H97" i="6"/>
  <c r="AE169" i="6"/>
  <c r="H161" i="6"/>
  <c r="I137" i="6"/>
  <c r="H128" i="6"/>
  <c r="AE179" i="6"/>
  <c r="AE156" i="6"/>
  <c r="AE147" i="6"/>
  <c r="E60" i="6"/>
  <c r="I108" i="6"/>
  <c r="AE39" i="6"/>
  <c r="G110" i="6"/>
  <c r="J202" i="6"/>
  <c r="X194" i="6"/>
  <c r="AB186" i="6"/>
  <c r="Q111" i="6"/>
  <c r="R102" i="6"/>
  <c r="AC204" i="6"/>
  <c r="K109" i="6"/>
  <c r="X119" i="6"/>
  <c r="X207" i="6"/>
  <c r="AB187" i="6"/>
  <c r="Q44" i="6"/>
  <c r="K96" i="6"/>
  <c r="J205" i="6"/>
  <c r="X193" i="6"/>
  <c r="J185" i="6"/>
  <c r="J126" i="6"/>
  <c r="Q123" i="6"/>
  <c r="R188" i="6"/>
  <c r="Q211" i="6"/>
  <c r="AC121" i="6"/>
  <c r="K199" i="6"/>
  <c r="J209" i="6"/>
  <c r="AB117" i="6"/>
  <c r="K99" i="6"/>
  <c r="I133" i="6"/>
  <c r="H63" i="6"/>
  <c r="G41" i="6"/>
  <c r="I140" i="6"/>
  <c r="H115" i="6"/>
  <c r="I116" i="6"/>
  <c r="I164" i="6"/>
  <c r="G161" i="6"/>
  <c r="I120" i="6"/>
  <c r="H101" i="6"/>
  <c r="H94" i="6"/>
  <c r="AE142" i="6"/>
  <c r="AE150" i="6"/>
  <c r="AE165" i="6"/>
  <c r="AE146" i="6"/>
  <c r="I167" i="6"/>
  <c r="I141" i="6"/>
  <c r="G170" i="6"/>
  <c r="G149" i="6"/>
  <c r="G71" i="6"/>
  <c r="H114" i="6"/>
  <c r="I106" i="6"/>
  <c r="I62" i="6"/>
  <c r="E86" i="6"/>
  <c r="AE69" i="6"/>
  <c r="E87" i="6"/>
  <c r="H160" i="6"/>
  <c r="H153" i="6"/>
  <c r="G54" i="6"/>
  <c r="AB202" i="6"/>
  <c r="X111" i="6"/>
  <c r="AB127" i="6"/>
  <c r="AB109" i="6"/>
  <c r="R195" i="6"/>
  <c r="K210" i="6"/>
  <c r="AC98" i="6"/>
  <c r="AC103" i="6"/>
  <c r="X118" i="6"/>
  <c r="I115" i="6"/>
  <c r="H164" i="6"/>
  <c r="I94" i="6"/>
  <c r="AE84" i="6"/>
  <c r="H141" i="6"/>
  <c r="H71" i="6"/>
  <c r="G62" i="6"/>
  <c r="AE95" i="6"/>
  <c r="AE135" i="6"/>
  <c r="I152" i="6"/>
  <c r="G52" i="6"/>
  <c r="AE29" i="6"/>
  <c r="G153" i="6"/>
  <c r="H54" i="6"/>
  <c r="AE88" i="6"/>
  <c r="AE77" i="6"/>
  <c r="AC206" i="6"/>
  <c r="Q198" i="6"/>
  <c r="J190" i="6"/>
  <c r="R129" i="6"/>
  <c r="AC130" i="6"/>
  <c r="K127" i="6"/>
  <c r="AB196" i="6"/>
  <c r="X122" i="6"/>
  <c r="R100" i="6"/>
  <c r="AC195" i="6"/>
  <c r="K105" i="6"/>
  <c r="R91" i="6"/>
  <c r="X210" i="6"/>
  <c r="AB201" i="6"/>
  <c r="R189" i="6"/>
  <c r="K125" i="6"/>
  <c r="Q98" i="6"/>
  <c r="X200" i="6"/>
  <c r="J184" i="6"/>
  <c r="AB113" i="6"/>
  <c r="K103" i="6"/>
  <c r="R191" i="6"/>
  <c r="J166" i="6"/>
  <c r="Q118" i="6"/>
  <c r="H145" i="6"/>
  <c r="I93" i="6"/>
  <c r="G50" i="6"/>
  <c r="AE78" i="6"/>
  <c r="AE74" i="6"/>
  <c r="G132" i="6"/>
  <c r="H140" i="6"/>
  <c r="G116" i="6"/>
  <c r="G97" i="6"/>
  <c r="AE178" i="6"/>
  <c r="AE159" i="6"/>
  <c r="AE176" i="6"/>
  <c r="AE181" i="6"/>
  <c r="AE138" i="6"/>
  <c r="AE163" i="6"/>
  <c r="AE151" i="6"/>
  <c r="E59" i="6"/>
  <c r="AE40" i="6"/>
  <c r="AE32" i="6"/>
  <c r="G164" i="6"/>
  <c r="H120" i="6"/>
  <c r="H73" i="6"/>
  <c r="I101" i="6"/>
  <c r="G167" i="6"/>
  <c r="H137" i="6"/>
  <c r="G141" i="6"/>
  <c r="I149" i="6"/>
  <c r="G128" i="6"/>
  <c r="I71" i="6"/>
  <c r="G106" i="6"/>
  <c r="H90" i="6"/>
  <c r="H62" i="6"/>
  <c r="AE86" i="6"/>
  <c r="AE87" i="6"/>
  <c r="AE83" i="6"/>
  <c r="AE79" i="6"/>
  <c r="AE75" i="6"/>
  <c r="AE89" i="6"/>
  <c r="AE81" i="6"/>
  <c r="I160" i="6"/>
  <c r="G152" i="6"/>
  <c r="H70" i="6"/>
  <c r="G92" i="6"/>
  <c r="I52" i="6"/>
  <c r="H66" i="6"/>
  <c r="I154" i="6"/>
  <c r="H110" i="6"/>
  <c r="I55" i="6"/>
  <c r="AE173" i="6"/>
  <c r="AE82" i="6"/>
  <c r="AE47" i="6"/>
  <c r="I161" i="6"/>
  <c r="G73" i="6"/>
  <c r="G94" i="6"/>
  <c r="E84" i="6"/>
  <c r="AE56" i="6"/>
  <c r="H167" i="6"/>
  <c r="G137" i="6"/>
  <c r="H149" i="6"/>
  <c r="I128" i="6"/>
  <c r="H106" i="6"/>
  <c r="I90" i="6"/>
  <c r="I158" i="6"/>
  <c r="G160" i="6"/>
  <c r="G108" i="6"/>
  <c r="H92" i="6"/>
  <c r="H154" i="6"/>
  <c r="I110" i="6"/>
  <c r="E88" i="6"/>
  <c r="AE72" i="6"/>
  <c r="E85" i="6"/>
  <c r="AE43" i="6"/>
  <c r="AE60" i="6"/>
  <c r="E89" i="6"/>
  <c r="AE64" i="6"/>
  <c r="H158" i="6"/>
  <c r="G70" i="6"/>
  <c r="I92" i="6"/>
  <c r="I66" i="6"/>
  <c r="G154" i="6"/>
  <c r="AE171" i="6"/>
  <c r="J213" i="6"/>
  <c r="R193" i="6"/>
  <c r="AB185" i="6"/>
  <c r="AC188" i="6"/>
  <c r="X199" i="6"/>
  <c r="AB209" i="6"/>
  <c r="G124" i="6"/>
  <c r="H49" i="6"/>
  <c r="I132" i="6"/>
  <c r="G140" i="6"/>
  <c r="AE168" i="6"/>
  <c r="AE68" i="6"/>
  <c r="AE59" i="6"/>
  <c r="I73" i="6"/>
  <c r="G101" i="6"/>
  <c r="AE76" i="6"/>
  <c r="I170" i="6"/>
  <c r="I114" i="6"/>
  <c r="G90" i="6"/>
  <c r="AE131" i="6"/>
  <c r="G158" i="6"/>
  <c r="I70" i="6"/>
  <c r="G66" i="6"/>
  <c r="AE183" i="6"/>
  <c r="AE36" i="6"/>
  <c r="AE27" i="6"/>
  <c r="H55" i="6"/>
  <c r="AE80" i="6"/>
  <c r="AE85" i="6"/>
  <c r="AE22" i="6"/>
  <c r="AE25" i="6"/>
  <c r="AE18" i="6"/>
  <c r="AE23" i="6"/>
  <c r="AE24" i="6"/>
  <c r="AE20" i="6"/>
  <c r="AE19" i="6"/>
  <c r="AE21" i="6"/>
  <c r="AE26" i="6"/>
  <c r="Z14" i="6"/>
  <c r="Z2" i="6"/>
  <c r="AA7" i="6"/>
  <c r="AA8" i="6"/>
  <c r="AA11" i="6"/>
  <c r="AA17" i="6"/>
  <c r="Z5" i="6"/>
  <c r="Z12" i="6"/>
  <c r="AA2" i="6"/>
  <c r="AA3" i="6"/>
  <c r="Z8" i="6"/>
  <c r="Z11" i="6"/>
  <c r="Z9" i="6"/>
  <c r="Z16" i="6"/>
  <c r="Z4" i="6"/>
  <c r="Z10" i="6"/>
  <c r="AA13" i="6"/>
  <c r="Z6" i="6"/>
  <c r="AA12" i="6"/>
  <c r="AA16" i="6"/>
  <c r="AA4" i="6"/>
  <c r="Z15" i="6"/>
  <c r="Z7" i="6"/>
  <c r="AA6" i="6"/>
  <c r="Z13" i="6"/>
  <c r="AA15" i="6"/>
  <c r="AA9" i="6"/>
  <c r="AA14" i="6"/>
  <c r="AA10" i="6"/>
  <c r="Z17" i="6"/>
  <c r="Z3" i="6"/>
  <c r="AA5" i="6"/>
  <c r="M30" i="6" l="1"/>
  <c r="M155" i="6"/>
  <c r="M143" i="6"/>
  <c r="M115" i="6"/>
  <c r="M95" i="6"/>
  <c r="M157" i="6"/>
  <c r="M24" i="6"/>
  <c r="M25" i="6"/>
  <c r="M65" i="6"/>
  <c r="M183" i="6"/>
  <c r="M82" i="6"/>
  <c r="M78" i="6"/>
  <c r="M67" i="6"/>
  <c r="M74" i="6"/>
  <c r="M53" i="6"/>
  <c r="M22" i="6"/>
  <c r="M69" i="6"/>
  <c r="M34" i="6"/>
  <c r="M136" i="6"/>
  <c r="M172" i="6"/>
  <c r="M131" i="6"/>
  <c r="M179" i="6"/>
  <c r="M28" i="6"/>
  <c r="M31" i="6"/>
  <c r="M35" i="6"/>
  <c r="M134" i="6"/>
  <c r="M177" i="6"/>
  <c r="M21" i="6"/>
  <c r="M26" i="6"/>
  <c r="M43" i="6"/>
  <c r="M72" i="6"/>
  <c r="M171" i="6"/>
  <c r="M56" i="6"/>
  <c r="M173" i="6"/>
  <c r="M169" i="6"/>
  <c r="M168" i="6"/>
  <c r="M38" i="6"/>
  <c r="M37" i="6"/>
  <c r="M139" i="6"/>
  <c r="M33" i="6"/>
  <c r="M20" i="6"/>
  <c r="M18" i="6"/>
  <c r="M81" i="6"/>
  <c r="M75" i="6"/>
  <c r="M79" i="6"/>
  <c r="M87" i="6"/>
  <c r="M147" i="6"/>
  <c r="M135" i="6"/>
  <c r="M156" i="6"/>
  <c r="M32" i="6"/>
  <c r="M59" i="6"/>
  <c r="M19" i="6"/>
  <c r="M23" i="6"/>
  <c r="M77" i="6"/>
  <c r="M85" i="6"/>
  <c r="M80" i="6"/>
  <c r="M88" i="6"/>
  <c r="M27" i="6"/>
  <c r="M36" i="6"/>
  <c r="M39" i="6"/>
  <c r="M29" i="6"/>
  <c r="M61" i="6"/>
  <c r="M64" i="6"/>
  <c r="M60" i="6"/>
  <c r="M57" i="6"/>
  <c r="M76" i="6"/>
  <c r="M84" i="6"/>
  <c r="M146" i="6"/>
  <c r="M165" i="6"/>
  <c r="M150" i="6"/>
  <c r="M142" i="6"/>
  <c r="M47" i="6"/>
  <c r="M48" i="6"/>
  <c r="M151" i="6"/>
  <c r="M163" i="6"/>
  <c r="M138" i="6"/>
  <c r="M181" i="6"/>
  <c r="M176" i="6"/>
  <c r="M159" i="6"/>
  <c r="M178" i="6"/>
  <c r="M89" i="6"/>
  <c r="M83" i="6"/>
  <c r="M86" i="6"/>
  <c r="M40" i="6"/>
  <c r="M68" i="6"/>
  <c r="M180" i="6"/>
  <c r="M174" i="6"/>
  <c r="M182" i="6"/>
  <c r="M175" i="6"/>
  <c r="M45" i="6"/>
  <c r="M46" i="6"/>
  <c r="M51" i="6"/>
  <c r="O99" i="6"/>
  <c r="A99" i="6"/>
  <c r="E99" i="6" s="1"/>
  <c r="N99" i="6"/>
  <c r="O118" i="6"/>
  <c r="A118" i="6"/>
  <c r="E118" i="6" s="1"/>
  <c r="N118" i="6"/>
  <c r="O117" i="6"/>
  <c r="N117" i="6"/>
  <c r="A117" i="6"/>
  <c r="E117" i="6" s="1"/>
  <c r="O166" i="6"/>
  <c r="N166" i="6"/>
  <c r="A166" i="6"/>
  <c r="E166" i="6" s="1"/>
  <c r="N209" i="6"/>
  <c r="A209" i="6"/>
  <c r="E209" i="6" s="1"/>
  <c r="O209" i="6"/>
  <c r="N191" i="6"/>
  <c r="O191" i="6"/>
  <c r="A191" i="6"/>
  <c r="E191" i="6" s="1"/>
  <c r="N199" i="6"/>
  <c r="A199" i="6"/>
  <c r="E199" i="6" s="1"/>
  <c r="O199" i="6"/>
  <c r="N203" i="6"/>
  <c r="A203" i="6"/>
  <c r="E203" i="6" s="1"/>
  <c r="O203" i="6"/>
  <c r="O103" i="6"/>
  <c r="A103" i="6"/>
  <c r="E103" i="6" s="1"/>
  <c r="N103" i="6"/>
  <c r="O121" i="6"/>
  <c r="N121" i="6"/>
  <c r="A121" i="6"/>
  <c r="E121" i="6" s="1"/>
  <c r="A113" i="6"/>
  <c r="E113" i="6" s="1"/>
  <c r="N113" i="6"/>
  <c r="O113" i="6"/>
  <c r="N211" i="6"/>
  <c r="A211" i="6"/>
  <c r="E211" i="6" s="1"/>
  <c r="O211" i="6"/>
  <c r="N184" i="6"/>
  <c r="O184" i="6"/>
  <c r="A184" i="6"/>
  <c r="E184" i="6" s="1"/>
  <c r="N188" i="6"/>
  <c r="A188" i="6"/>
  <c r="E188" i="6" s="1"/>
  <c r="O188" i="6"/>
  <c r="N200" i="6"/>
  <c r="A200" i="6"/>
  <c r="E200" i="6" s="1"/>
  <c r="O200" i="6"/>
  <c r="N208" i="6"/>
  <c r="A208" i="6"/>
  <c r="E208" i="6" s="1"/>
  <c r="O208" i="6"/>
  <c r="A123" i="6"/>
  <c r="E123" i="6" s="1"/>
  <c r="N123" i="6"/>
  <c r="O123" i="6"/>
  <c r="O98" i="6"/>
  <c r="N98" i="6"/>
  <c r="A98" i="6"/>
  <c r="O126" i="6"/>
  <c r="A126" i="6"/>
  <c r="E126" i="6" s="1"/>
  <c r="N126" i="6"/>
  <c r="O125" i="6"/>
  <c r="N125" i="6"/>
  <c r="A125" i="6"/>
  <c r="E125" i="6" s="1"/>
  <c r="N185" i="6"/>
  <c r="A185" i="6"/>
  <c r="E185" i="6" s="1"/>
  <c r="O185" i="6"/>
  <c r="N189" i="6"/>
  <c r="A189" i="6"/>
  <c r="E189" i="6" s="1"/>
  <c r="O189" i="6"/>
  <c r="N193" i="6"/>
  <c r="A193" i="6"/>
  <c r="E193" i="6" s="1"/>
  <c r="O193" i="6"/>
  <c r="N197" i="6"/>
  <c r="O197" i="6"/>
  <c r="A197" i="6"/>
  <c r="E197" i="6" s="1"/>
  <c r="N201" i="6"/>
  <c r="O201" i="6"/>
  <c r="A201" i="6"/>
  <c r="E201" i="6" s="1"/>
  <c r="N205" i="6"/>
  <c r="A205" i="6"/>
  <c r="E205" i="6" s="1"/>
  <c r="O205" i="6"/>
  <c r="N210" i="6"/>
  <c r="A210" i="6"/>
  <c r="E210" i="6" s="1"/>
  <c r="O210" i="6"/>
  <c r="A96" i="6"/>
  <c r="E96" i="6" s="1"/>
  <c r="N96" i="6"/>
  <c r="O96" i="6"/>
  <c r="A91" i="6"/>
  <c r="N91" i="6"/>
  <c r="O91" i="6"/>
  <c r="A44" i="6"/>
  <c r="O44" i="6"/>
  <c r="N44" i="6"/>
  <c r="A105" i="6"/>
  <c r="E105" i="6" s="1"/>
  <c r="N105" i="6"/>
  <c r="O105" i="6"/>
  <c r="A213" i="6"/>
  <c r="E213" i="6" s="1"/>
  <c r="N213" i="6"/>
  <c r="O213" i="6"/>
  <c r="N187" i="6"/>
  <c r="O187" i="6"/>
  <c r="A187" i="6"/>
  <c r="E187" i="6" s="1"/>
  <c r="N195" i="6"/>
  <c r="O195" i="6"/>
  <c r="A195" i="6"/>
  <c r="E195" i="6" s="1"/>
  <c r="N207" i="6"/>
  <c r="O207" i="6"/>
  <c r="A207" i="6"/>
  <c r="E207" i="6" s="1"/>
  <c r="A100" i="6"/>
  <c r="E100" i="6" s="1"/>
  <c r="N100" i="6"/>
  <c r="O100" i="6"/>
  <c r="A119" i="6"/>
  <c r="E119" i="6" s="1"/>
  <c r="N119" i="6"/>
  <c r="O119" i="6"/>
  <c r="O122" i="6"/>
  <c r="A122" i="6"/>
  <c r="E122" i="6" s="1"/>
  <c r="N122" i="6"/>
  <c r="A109" i="6"/>
  <c r="E109" i="6" s="1"/>
  <c r="N109" i="6"/>
  <c r="O109" i="6"/>
  <c r="N192" i="6"/>
  <c r="O192" i="6"/>
  <c r="A192" i="6"/>
  <c r="E192" i="6" s="1"/>
  <c r="N196" i="6"/>
  <c r="A196" i="6"/>
  <c r="E196" i="6" s="1"/>
  <c r="O196" i="6"/>
  <c r="N204" i="6"/>
  <c r="A204" i="6"/>
  <c r="E204" i="6" s="1"/>
  <c r="O204" i="6"/>
  <c r="A127" i="6"/>
  <c r="E127" i="6" s="1"/>
  <c r="N127" i="6"/>
  <c r="O127" i="6"/>
  <c r="O102" i="6"/>
  <c r="N102" i="6"/>
  <c r="A102" i="6"/>
  <c r="E102" i="6" s="1"/>
  <c r="O130" i="6"/>
  <c r="A130" i="6"/>
  <c r="E130" i="6" s="1"/>
  <c r="N130" i="6"/>
  <c r="A111" i="6"/>
  <c r="E111" i="6" s="1"/>
  <c r="N111" i="6"/>
  <c r="O111" i="6"/>
  <c r="O129" i="6"/>
  <c r="N129" i="6"/>
  <c r="A129" i="6"/>
  <c r="E129" i="6" s="1"/>
  <c r="N212" i="6"/>
  <c r="A212" i="6"/>
  <c r="E212" i="6" s="1"/>
  <c r="O212" i="6"/>
  <c r="N186" i="6"/>
  <c r="O186" i="6"/>
  <c r="A186" i="6"/>
  <c r="E186" i="6" s="1"/>
  <c r="N190" i="6"/>
  <c r="A190" i="6"/>
  <c r="E190" i="6" s="1"/>
  <c r="O190" i="6"/>
  <c r="N194" i="6"/>
  <c r="O194" i="6"/>
  <c r="A194" i="6"/>
  <c r="E194" i="6" s="1"/>
  <c r="N198" i="6"/>
  <c r="A198" i="6"/>
  <c r="E198" i="6" s="1"/>
  <c r="O198" i="6"/>
  <c r="N202" i="6"/>
  <c r="A202" i="6"/>
  <c r="E202" i="6" s="1"/>
  <c r="O202" i="6"/>
  <c r="N206" i="6"/>
  <c r="A206" i="6"/>
  <c r="E206" i="6" s="1"/>
  <c r="O206" i="6"/>
  <c r="E44" i="6"/>
  <c r="G43" i="6"/>
  <c r="H53" i="6"/>
  <c r="H77" i="6"/>
  <c r="H72" i="6"/>
  <c r="G80" i="6"/>
  <c r="H88" i="6"/>
  <c r="G171" i="6"/>
  <c r="I27" i="6"/>
  <c r="H36" i="6"/>
  <c r="G29" i="6"/>
  <c r="H183" i="6"/>
  <c r="G61" i="6"/>
  <c r="I81" i="6"/>
  <c r="G89" i="6"/>
  <c r="H75" i="6"/>
  <c r="I83" i="6"/>
  <c r="G87" i="6"/>
  <c r="I60" i="6"/>
  <c r="I69" i="6"/>
  <c r="G147" i="6"/>
  <c r="G135" i="6"/>
  <c r="I156" i="6"/>
  <c r="H95" i="6"/>
  <c r="I131" i="6"/>
  <c r="G56" i="6"/>
  <c r="G76" i="6"/>
  <c r="H84" i="6"/>
  <c r="I146" i="6"/>
  <c r="G165" i="6"/>
  <c r="G150" i="6"/>
  <c r="G32" i="6"/>
  <c r="I40" i="6"/>
  <c r="H47" i="6"/>
  <c r="G68" i="6"/>
  <c r="G82" i="6"/>
  <c r="H48" i="6"/>
  <c r="I163" i="6"/>
  <c r="H138" i="6"/>
  <c r="H173" i="6"/>
  <c r="I169" i="6"/>
  <c r="G176" i="6"/>
  <c r="G159" i="6"/>
  <c r="H168" i="6"/>
  <c r="H28" i="6"/>
  <c r="H30" i="6"/>
  <c r="G38" i="6"/>
  <c r="I31" i="6"/>
  <c r="I46" i="6"/>
  <c r="G37" i="6"/>
  <c r="I35" i="6"/>
  <c r="I45" i="6"/>
  <c r="I74" i="6"/>
  <c r="G136" i="6"/>
  <c r="H157" i="6"/>
  <c r="I155" i="6"/>
  <c r="G78" i="6"/>
  <c r="G139" i="6"/>
  <c r="I172" i="6"/>
  <c r="G180" i="6"/>
  <c r="H174" i="6"/>
  <c r="I143" i="6"/>
  <c r="G175" i="6"/>
  <c r="AE191" i="6"/>
  <c r="AE113" i="6"/>
  <c r="AE184" i="6"/>
  <c r="AE200" i="6"/>
  <c r="AE123" i="6"/>
  <c r="AE193" i="6"/>
  <c r="AE197" i="6"/>
  <c r="AE201" i="6"/>
  <c r="AE91" i="6"/>
  <c r="AE105" i="6"/>
  <c r="AE187" i="6"/>
  <c r="AE195" i="6"/>
  <c r="AE207" i="6"/>
  <c r="AE100" i="6"/>
  <c r="AE119" i="6"/>
  <c r="AE109" i="6"/>
  <c r="AE192" i="6"/>
  <c r="AE204" i="6"/>
  <c r="AE127" i="6"/>
  <c r="AE111" i="6"/>
  <c r="AE212" i="6"/>
  <c r="AE186" i="6"/>
  <c r="AE190" i="6"/>
  <c r="AE194" i="6"/>
  <c r="H43" i="6"/>
  <c r="G85" i="6"/>
  <c r="I88" i="6"/>
  <c r="H171" i="6"/>
  <c r="H29" i="6"/>
  <c r="H61" i="6"/>
  <c r="I75" i="6"/>
  <c r="G79" i="6"/>
  <c r="I57" i="6"/>
  <c r="I135" i="6"/>
  <c r="G156" i="6"/>
  <c r="G179" i="6"/>
  <c r="I84" i="6"/>
  <c r="G146" i="6"/>
  <c r="H142" i="6"/>
  <c r="G47" i="6"/>
  <c r="I68" i="6"/>
  <c r="H151" i="6"/>
  <c r="I173" i="6"/>
  <c r="G169" i="6"/>
  <c r="G178" i="6"/>
  <c r="G30" i="6"/>
  <c r="H38" i="6"/>
  <c r="H51" i="6"/>
  <c r="G45" i="6"/>
  <c r="H74" i="6"/>
  <c r="H134" i="6"/>
  <c r="I139" i="6"/>
  <c r="H172" i="6"/>
  <c r="I43" i="6"/>
  <c r="I53" i="6"/>
  <c r="I85" i="6"/>
  <c r="I72" i="6"/>
  <c r="H80" i="6"/>
  <c r="H65" i="6"/>
  <c r="I171" i="6"/>
  <c r="H27" i="6"/>
  <c r="G39" i="6"/>
  <c r="I29" i="6"/>
  <c r="G183" i="6"/>
  <c r="G64" i="6"/>
  <c r="G81" i="6"/>
  <c r="H89" i="6"/>
  <c r="I79" i="6"/>
  <c r="G83" i="6"/>
  <c r="H87" i="6"/>
  <c r="H57" i="6"/>
  <c r="G69" i="6"/>
  <c r="H147" i="6"/>
  <c r="I86" i="6"/>
  <c r="H156" i="6"/>
  <c r="I95" i="6"/>
  <c r="I179" i="6"/>
  <c r="H56" i="6"/>
  <c r="H76" i="6"/>
  <c r="G67" i="6"/>
  <c r="H146" i="6"/>
  <c r="H165" i="6"/>
  <c r="I142" i="6"/>
  <c r="I32" i="6"/>
  <c r="H40" i="6"/>
  <c r="G59" i="6"/>
  <c r="H68" i="6"/>
  <c r="H82" i="6"/>
  <c r="I151" i="6"/>
  <c r="G163" i="6"/>
  <c r="G138" i="6"/>
  <c r="I181" i="6"/>
  <c r="H169" i="6"/>
  <c r="H176" i="6"/>
  <c r="I178" i="6"/>
  <c r="I168" i="6"/>
  <c r="I28" i="6"/>
  <c r="G34" i="6"/>
  <c r="I38" i="6"/>
  <c r="H31" i="6"/>
  <c r="G51" i="6"/>
  <c r="I37" i="6"/>
  <c r="H35" i="6"/>
  <c r="G33" i="6"/>
  <c r="G74" i="6"/>
  <c r="H136" i="6"/>
  <c r="I134" i="6"/>
  <c r="G155" i="6"/>
  <c r="H78" i="6"/>
  <c r="I177" i="6"/>
  <c r="G172" i="6"/>
  <c r="H180" i="6"/>
  <c r="I182" i="6"/>
  <c r="G143" i="6"/>
  <c r="H175" i="6"/>
  <c r="E98" i="6"/>
  <c r="AE185" i="6"/>
  <c r="AE205" i="6"/>
  <c r="AE44" i="6"/>
  <c r="AE213" i="6"/>
  <c r="I77" i="6"/>
  <c r="G72" i="6"/>
  <c r="I65" i="6"/>
  <c r="G36" i="6"/>
  <c r="I39" i="6"/>
  <c r="H64" i="6"/>
  <c r="H81" i="6"/>
  <c r="H83" i="6"/>
  <c r="G60" i="6"/>
  <c r="H69" i="6"/>
  <c r="G86" i="6"/>
  <c r="H131" i="6"/>
  <c r="I56" i="6"/>
  <c r="H67" i="6"/>
  <c r="I150" i="6"/>
  <c r="H32" i="6"/>
  <c r="H59" i="6"/>
  <c r="G48" i="6"/>
  <c r="H163" i="6"/>
  <c r="G181" i="6"/>
  <c r="I159" i="6"/>
  <c r="G168" i="6"/>
  <c r="I34" i="6"/>
  <c r="G46" i="6"/>
  <c r="H37" i="6"/>
  <c r="I33" i="6"/>
  <c r="I157" i="6"/>
  <c r="H155" i="6"/>
  <c r="G177" i="6"/>
  <c r="I174" i="6"/>
  <c r="I80" i="6"/>
  <c r="I36" i="6"/>
  <c r="I64" i="6"/>
  <c r="I87" i="6"/>
  <c r="H135" i="6"/>
  <c r="H179" i="6"/>
  <c r="I165" i="6"/>
  <c r="I47" i="6"/>
  <c r="G151" i="6"/>
  <c r="I176" i="6"/>
  <c r="I30" i="6"/>
  <c r="I51" i="6"/>
  <c r="I136" i="6"/>
  <c r="H139" i="6"/>
  <c r="G182" i="6"/>
  <c r="AE118" i="6"/>
  <c r="AE203" i="6"/>
  <c r="G53" i="6"/>
  <c r="G88" i="6"/>
  <c r="I89" i="6"/>
  <c r="H86" i="6"/>
  <c r="H150" i="6"/>
  <c r="I138" i="6"/>
  <c r="H159" i="6"/>
  <c r="G35" i="6"/>
  <c r="H177" i="6"/>
  <c r="AE117" i="6"/>
  <c r="AE209" i="6"/>
  <c r="AE130" i="6"/>
  <c r="AE202" i="6"/>
  <c r="G77" i="6"/>
  <c r="I183" i="6"/>
  <c r="G57" i="6"/>
  <c r="G84" i="6"/>
  <c r="I82" i="6"/>
  <c r="H178" i="6"/>
  <c r="H45" i="6"/>
  <c r="I180" i="6"/>
  <c r="AE188" i="6"/>
  <c r="H85" i="6"/>
  <c r="G27" i="6"/>
  <c r="I61" i="6"/>
  <c r="H79" i="6"/>
  <c r="I147" i="6"/>
  <c r="G131" i="6"/>
  <c r="I67" i="6"/>
  <c r="G40" i="6"/>
  <c r="I48" i="6"/>
  <c r="H181" i="6"/>
  <c r="G28" i="6"/>
  <c r="H46" i="6"/>
  <c r="H33" i="6"/>
  <c r="I78" i="6"/>
  <c r="G174" i="6"/>
  <c r="I175" i="6"/>
  <c r="AE103" i="6"/>
  <c r="AE211" i="6"/>
  <c r="AE126" i="6"/>
  <c r="AE189" i="6"/>
  <c r="AE210" i="6"/>
  <c r="AE96" i="6"/>
  <c r="AE99" i="6"/>
  <c r="AE199" i="6"/>
  <c r="AE121" i="6"/>
  <c r="AE98" i="6"/>
  <c r="AE125" i="6"/>
  <c r="AE196" i="6"/>
  <c r="H39" i="6"/>
  <c r="H60" i="6"/>
  <c r="I76" i="6"/>
  <c r="I59" i="6"/>
  <c r="H34" i="6"/>
  <c r="G157" i="6"/>
  <c r="H182" i="6"/>
  <c r="AE166" i="6"/>
  <c r="AE208" i="6"/>
  <c r="AE122" i="6"/>
  <c r="AE129" i="6"/>
  <c r="AE198" i="6"/>
  <c r="AE206" i="6"/>
  <c r="G65" i="6"/>
  <c r="G75" i="6"/>
  <c r="G95" i="6"/>
  <c r="G142" i="6"/>
  <c r="G173" i="6"/>
  <c r="G31" i="6"/>
  <c r="G134" i="6"/>
  <c r="H143" i="6"/>
  <c r="E91" i="6"/>
  <c r="AE102" i="6"/>
  <c r="G26" i="6"/>
  <c r="G21" i="6"/>
  <c r="I19" i="6"/>
  <c r="G24" i="6"/>
  <c r="G23" i="6"/>
  <c r="I18" i="6"/>
  <c r="G22" i="6"/>
  <c r="I20" i="6"/>
  <c r="G18" i="6"/>
  <c r="I26" i="6"/>
  <c r="I21" i="6"/>
  <c r="H20" i="6"/>
  <c r="I24" i="6"/>
  <c r="I23" i="6"/>
  <c r="G25" i="6"/>
  <c r="H22" i="6"/>
  <c r="G19" i="6"/>
  <c r="H25" i="6"/>
  <c r="H26" i="6"/>
  <c r="H19" i="6"/>
  <c r="G20" i="6"/>
  <c r="H24" i="6"/>
  <c r="H18" i="6"/>
  <c r="I25" i="6"/>
  <c r="I22" i="6"/>
  <c r="H21" i="6"/>
  <c r="H23" i="6"/>
  <c r="X5" i="6"/>
  <c r="J3" i="6"/>
  <c r="R17" i="6"/>
  <c r="AC10" i="6"/>
  <c r="AB14" i="6"/>
  <c r="AB15" i="6"/>
  <c r="R13" i="6"/>
  <c r="AB6" i="6"/>
  <c r="J7" i="6"/>
  <c r="AB12" i="6"/>
  <c r="R6" i="6"/>
  <c r="K4" i="6"/>
  <c r="J11" i="6"/>
  <c r="K12" i="6"/>
  <c r="AB11" i="6"/>
  <c r="Q14" i="6"/>
  <c r="AC5" i="6"/>
  <c r="R3" i="6"/>
  <c r="K17" i="6"/>
  <c r="AB10" i="6"/>
  <c r="AC9" i="6"/>
  <c r="AC15" i="6"/>
  <c r="K13" i="6"/>
  <c r="AC6" i="6"/>
  <c r="R7" i="6"/>
  <c r="Q15" i="6"/>
  <c r="AC16" i="6"/>
  <c r="AC12" i="6"/>
  <c r="K6" i="6"/>
  <c r="AC13" i="6"/>
  <c r="R10" i="6"/>
  <c r="J4" i="6"/>
  <c r="K16" i="6"/>
  <c r="J9" i="6"/>
  <c r="Q11" i="6"/>
  <c r="J8" i="6"/>
  <c r="AC2" i="6"/>
  <c r="R12" i="6"/>
  <c r="R5" i="6"/>
  <c r="AB17" i="6"/>
  <c r="AC11" i="6"/>
  <c r="AC7" i="6"/>
  <c r="R2" i="6"/>
  <c r="R14" i="6"/>
  <c r="J17" i="6"/>
  <c r="X14" i="6"/>
  <c r="Q13" i="6"/>
  <c r="K7" i="6"/>
  <c r="X4" i="6"/>
  <c r="J6" i="6"/>
  <c r="J10" i="6"/>
  <c r="J16" i="6"/>
  <c r="K11" i="6"/>
  <c r="AB3" i="6"/>
  <c r="J12" i="6"/>
  <c r="X11" i="6"/>
  <c r="AB7" i="6"/>
  <c r="J14" i="6"/>
  <c r="J15" i="6"/>
  <c r="Q10" i="6"/>
  <c r="Q9" i="6"/>
  <c r="X3" i="6"/>
  <c r="X17" i="6"/>
  <c r="Q2" i="6"/>
  <c r="AB5" i="6"/>
  <c r="K3" i="6"/>
  <c r="Q17" i="6"/>
  <c r="AC14" i="6"/>
  <c r="AB9" i="6"/>
  <c r="X15" i="6"/>
  <c r="J13" i="6"/>
  <c r="Q7" i="6"/>
  <c r="K15" i="6"/>
  <c r="AB4" i="6"/>
  <c r="X16" i="6"/>
  <c r="X12" i="6"/>
  <c r="Q6" i="6"/>
  <c r="K10" i="6"/>
  <c r="R4" i="6"/>
  <c r="R16" i="6"/>
  <c r="R9" i="6"/>
  <c r="R11" i="6"/>
  <c r="K8" i="6"/>
  <c r="AC3" i="6"/>
  <c r="X2" i="6"/>
  <c r="Q12" i="6"/>
  <c r="Q5" i="6"/>
  <c r="AC17" i="6"/>
  <c r="AC8" i="6"/>
  <c r="X7" i="6"/>
  <c r="J2" i="6"/>
  <c r="K14" i="6"/>
  <c r="Q3" i="6"/>
  <c r="X10" i="6"/>
  <c r="X9" i="6"/>
  <c r="X6" i="6"/>
  <c r="R15" i="6"/>
  <c r="AB16" i="6"/>
  <c r="AB13" i="6"/>
  <c r="Q4" i="6"/>
  <c r="K9" i="6"/>
  <c r="Q8" i="6"/>
  <c r="AB2" i="6"/>
  <c r="J5" i="6"/>
  <c r="X8" i="6"/>
  <c r="K2" i="6"/>
  <c r="AC4" i="6"/>
  <c r="X13" i="6"/>
  <c r="Q16" i="6"/>
  <c r="R8" i="6"/>
  <c r="K5" i="6"/>
  <c r="AB8" i="6"/>
  <c r="M198" i="6" l="1"/>
  <c r="M212" i="6"/>
  <c r="M208" i="6"/>
  <c r="M211" i="6"/>
  <c r="M203" i="6"/>
  <c r="M100" i="6"/>
  <c r="M213" i="6"/>
  <c r="M202" i="6"/>
  <c r="M196" i="6"/>
  <c r="M185" i="6"/>
  <c r="M209" i="6"/>
  <c r="M119" i="6"/>
  <c r="M91" i="6"/>
  <c r="M123" i="6"/>
  <c r="M111" i="6"/>
  <c r="M206" i="6"/>
  <c r="M190" i="6"/>
  <c r="M127" i="6"/>
  <c r="M204" i="6"/>
  <c r="M109" i="6"/>
  <c r="M105" i="6"/>
  <c r="M205" i="6"/>
  <c r="M189" i="6"/>
  <c r="M188" i="6"/>
  <c r="M113" i="6"/>
  <c r="M96" i="6"/>
  <c r="M210" i="6"/>
  <c r="M193" i="6"/>
  <c r="M200" i="6"/>
  <c r="M199" i="6"/>
  <c r="M187" i="6"/>
  <c r="M184" i="6"/>
  <c r="M194" i="6"/>
  <c r="M195" i="6"/>
  <c r="M197" i="6"/>
  <c r="M192" i="6"/>
  <c r="M207" i="6"/>
  <c r="M201" i="6"/>
  <c r="M191" i="6"/>
  <c r="M186" i="6"/>
  <c r="M130" i="6"/>
  <c r="M122" i="6"/>
  <c r="M126" i="6"/>
  <c r="M103" i="6"/>
  <c r="M118" i="6"/>
  <c r="M99" i="6"/>
  <c r="M129" i="6"/>
  <c r="M102" i="6"/>
  <c r="M44" i="6"/>
  <c r="M125" i="6"/>
  <c r="M98" i="6"/>
  <c r="M121" i="6"/>
  <c r="M166" i="6"/>
  <c r="M117" i="6"/>
  <c r="N13" i="6"/>
  <c r="O13" i="6"/>
  <c r="A13" i="6"/>
  <c r="O8" i="6"/>
  <c r="A8" i="6"/>
  <c r="N8" i="6"/>
  <c r="O6" i="6"/>
  <c r="N6" i="6"/>
  <c r="A6" i="6"/>
  <c r="A9" i="6"/>
  <c r="N9" i="6"/>
  <c r="O9" i="6"/>
  <c r="N10" i="6"/>
  <c r="A10" i="6"/>
  <c r="O10" i="6"/>
  <c r="A7" i="6"/>
  <c r="O7" i="6"/>
  <c r="N7" i="6"/>
  <c r="A2" i="6"/>
  <c r="N2" i="6"/>
  <c r="O2" i="6"/>
  <c r="A12" i="6"/>
  <c r="O12" i="6"/>
  <c r="N12" i="6"/>
  <c r="O16" i="6"/>
  <c r="N16" i="6"/>
  <c r="A16" i="6"/>
  <c r="E16" i="6" s="1"/>
  <c r="O15" i="6"/>
  <c r="A15" i="6"/>
  <c r="E15" i="6" s="1"/>
  <c r="N15" i="6"/>
  <c r="A17" i="6"/>
  <c r="N17" i="6"/>
  <c r="O17" i="6"/>
  <c r="N3" i="6"/>
  <c r="O3" i="6"/>
  <c r="A3" i="6"/>
  <c r="A11" i="6"/>
  <c r="O11" i="6"/>
  <c r="N11" i="6"/>
  <c r="A4" i="6"/>
  <c r="N4" i="6"/>
  <c r="O4" i="6"/>
  <c r="O14" i="6"/>
  <c r="A14" i="6"/>
  <c r="E14" i="6" s="1"/>
  <c r="N14" i="6"/>
  <c r="O5" i="6"/>
  <c r="N5" i="6"/>
  <c r="A5" i="6"/>
  <c r="E9" i="6"/>
  <c r="G206" i="6"/>
  <c r="I198" i="6"/>
  <c r="G194" i="6"/>
  <c r="G190" i="6"/>
  <c r="I212" i="6"/>
  <c r="I129" i="6"/>
  <c r="I111" i="6"/>
  <c r="H102" i="6"/>
  <c r="G127" i="6"/>
  <c r="G204" i="6"/>
  <c r="I192" i="6"/>
  <c r="H109" i="6"/>
  <c r="I122" i="6"/>
  <c r="H100" i="6"/>
  <c r="G207" i="6"/>
  <c r="H195" i="6"/>
  <c r="H213" i="6"/>
  <c r="H105" i="6"/>
  <c r="H44" i="6"/>
  <c r="G96" i="6"/>
  <c r="H210" i="6"/>
  <c r="H205" i="6"/>
  <c r="I197" i="6"/>
  <c r="H193" i="6"/>
  <c r="H189" i="6"/>
  <c r="H125" i="6"/>
  <c r="G126" i="6"/>
  <c r="G98" i="6"/>
  <c r="I208" i="6"/>
  <c r="H200" i="6"/>
  <c r="H188" i="6"/>
  <c r="I211" i="6"/>
  <c r="H113" i="6"/>
  <c r="G121" i="6"/>
  <c r="I203" i="6"/>
  <c r="G199" i="6"/>
  <c r="H191" i="6"/>
  <c r="G166" i="6"/>
  <c r="I117" i="6"/>
  <c r="I118" i="6"/>
  <c r="H198" i="6"/>
  <c r="G186" i="6"/>
  <c r="G130" i="6"/>
  <c r="I204" i="6"/>
  <c r="H192" i="6"/>
  <c r="H122" i="6"/>
  <c r="I100" i="6"/>
  <c r="G187" i="6"/>
  <c r="G44" i="6"/>
  <c r="I96" i="6"/>
  <c r="G201" i="6"/>
  <c r="I189" i="6"/>
  <c r="G125" i="6"/>
  <c r="G123" i="6"/>
  <c r="I188" i="6"/>
  <c r="H211" i="6"/>
  <c r="H121" i="6"/>
  <c r="H203" i="6"/>
  <c r="G209" i="6"/>
  <c r="H118" i="6"/>
  <c r="H206" i="6"/>
  <c r="I194" i="6"/>
  <c r="H186" i="6"/>
  <c r="H111" i="6"/>
  <c r="H127" i="6"/>
  <c r="H196" i="6"/>
  <c r="G122" i="6"/>
  <c r="I119" i="6"/>
  <c r="G195" i="6"/>
  <c r="G105" i="6"/>
  <c r="I91" i="6"/>
  <c r="G205" i="6"/>
  <c r="I193" i="6"/>
  <c r="H185" i="6"/>
  <c r="I98" i="6"/>
  <c r="I200" i="6"/>
  <c r="H184" i="6"/>
  <c r="I121" i="6"/>
  <c r="I199" i="6"/>
  <c r="H209" i="6"/>
  <c r="G118" i="6"/>
  <c r="I202" i="6"/>
  <c r="G198" i="6"/>
  <c r="H194" i="6"/>
  <c r="I186" i="6"/>
  <c r="G212" i="6"/>
  <c r="G129" i="6"/>
  <c r="H130" i="6"/>
  <c r="I102" i="6"/>
  <c r="I127" i="6"/>
  <c r="I196" i="6"/>
  <c r="G192" i="6"/>
  <c r="I109" i="6"/>
  <c r="H119" i="6"/>
  <c r="G100" i="6"/>
  <c r="H207" i="6"/>
  <c r="I187" i="6"/>
  <c r="I213" i="6"/>
  <c r="I105" i="6"/>
  <c r="G91" i="6"/>
  <c r="H96" i="6"/>
  <c r="G210" i="6"/>
  <c r="I201" i="6"/>
  <c r="G197" i="6"/>
  <c r="G193" i="6"/>
  <c r="I185" i="6"/>
  <c r="I125" i="6"/>
  <c r="I126" i="6"/>
  <c r="H123" i="6"/>
  <c r="G208" i="6"/>
  <c r="G200" i="6"/>
  <c r="I184" i="6"/>
  <c r="G211" i="6"/>
  <c r="I113" i="6"/>
  <c r="H103" i="6"/>
  <c r="G203" i="6"/>
  <c r="H199" i="6"/>
  <c r="I209" i="6"/>
  <c r="I166" i="6"/>
  <c r="G117" i="6"/>
  <c r="H99" i="6"/>
  <c r="I206" i="6"/>
  <c r="H202" i="6"/>
  <c r="I190" i="6"/>
  <c r="H212" i="6"/>
  <c r="G111" i="6"/>
  <c r="G102" i="6"/>
  <c r="G196" i="6"/>
  <c r="G119" i="6"/>
  <c r="I195" i="6"/>
  <c r="G213" i="6"/>
  <c r="H91" i="6"/>
  <c r="I205" i="6"/>
  <c r="H197" i="6"/>
  <c r="G185" i="6"/>
  <c r="H98" i="6"/>
  <c r="H208" i="6"/>
  <c r="G184" i="6"/>
  <c r="G103" i="6"/>
  <c r="I191" i="6"/>
  <c r="H166" i="6"/>
  <c r="G99" i="6"/>
  <c r="G202" i="6"/>
  <c r="H190" i="6"/>
  <c r="H129" i="6"/>
  <c r="I130" i="6"/>
  <c r="H204" i="6"/>
  <c r="G109" i="6"/>
  <c r="I207" i="6"/>
  <c r="H187" i="6"/>
  <c r="I44" i="6"/>
  <c r="I210" i="6"/>
  <c r="H201" i="6"/>
  <c r="G189" i="6"/>
  <c r="H126" i="6"/>
  <c r="I123" i="6"/>
  <c r="G188" i="6"/>
  <c r="G113" i="6"/>
  <c r="I103" i="6"/>
  <c r="G191" i="6"/>
  <c r="H117" i="6"/>
  <c r="I99" i="6"/>
  <c r="E11" i="6"/>
  <c r="E12" i="6"/>
  <c r="E13" i="6"/>
  <c r="E7" i="6"/>
  <c r="AE16" i="6"/>
  <c r="E17" i="6"/>
  <c r="E4" i="6"/>
  <c r="AE15" i="6"/>
  <c r="AE5" i="6"/>
  <c r="AE11" i="6"/>
  <c r="AE8" i="6"/>
  <c r="E10" i="6"/>
  <c r="AE7" i="6"/>
  <c r="AE2" i="6"/>
  <c r="AE12" i="6"/>
  <c r="AE17" i="6"/>
  <c r="AE4" i="6"/>
  <c r="AE14" i="6"/>
  <c r="E8" i="6"/>
  <c r="E6" i="6"/>
  <c r="AE9" i="6"/>
  <c r="AE3" i="6"/>
  <c r="AE13" i="6"/>
  <c r="AE6" i="6"/>
  <c r="AE10" i="6"/>
  <c r="E3" i="6"/>
  <c r="E5" i="6"/>
  <c r="M15" i="6" l="1"/>
  <c r="M16" i="6"/>
  <c r="M7" i="6"/>
  <c r="M8" i="6"/>
  <c r="M3" i="6"/>
  <c r="M13" i="6"/>
  <c r="M12" i="6"/>
  <c r="M11" i="6"/>
  <c r="M14" i="6"/>
  <c r="M2" i="6"/>
  <c r="M5" i="6"/>
  <c r="M9" i="6"/>
  <c r="M6" i="6"/>
  <c r="M4" i="6"/>
  <c r="M17" i="6"/>
  <c r="M10" i="6"/>
  <c r="G10" i="6"/>
  <c r="H6" i="6"/>
  <c r="G13" i="6"/>
  <c r="H14" i="6"/>
  <c r="H12" i="6"/>
  <c r="H5" i="6"/>
  <c r="I3" i="6"/>
  <c r="G17" i="6"/>
  <c r="G8" i="6"/>
  <c r="I10" i="6"/>
  <c r="I6" i="6"/>
  <c r="G3" i="6"/>
  <c r="G9" i="6"/>
  <c r="G14" i="6"/>
  <c r="I17" i="6"/>
  <c r="G12" i="6"/>
  <c r="G2" i="6"/>
  <c r="I8" i="6"/>
  <c r="G16" i="6"/>
  <c r="H10" i="6"/>
  <c r="I9" i="6"/>
  <c r="H7" i="6"/>
  <c r="G15" i="6"/>
  <c r="G6" i="6"/>
  <c r="I13" i="6"/>
  <c r="H3" i="6"/>
  <c r="I14" i="6"/>
  <c r="I4" i="6"/>
  <c r="H17" i="6"/>
  <c r="I2" i="6"/>
  <c r="I7" i="6"/>
  <c r="H8" i="6"/>
  <c r="G5" i="6"/>
  <c r="I15" i="6"/>
  <c r="I16" i="6"/>
  <c r="H9" i="6"/>
  <c r="H4" i="6"/>
  <c r="H2" i="6"/>
  <c r="G7" i="6"/>
  <c r="H11" i="6"/>
  <c r="H15" i="6"/>
  <c r="I11" i="6"/>
  <c r="I5" i="6"/>
  <c r="H13" i="6"/>
  <c r="G4" i="6"/>
  <c r="I12" i="6"/>
  <c r="G11" i="6"/>
  <c r="H16" i="6"/>
</calcChain>
</file>

<file path=xl/sharedStrings.xml><?xml version="1.0" encoding="utf-8"?>
<sst xmlns="http://schemas.openxmlformats.org/spreadsheetml/2006/main" count="596" uniqueCount="118">
  <si>
    <t>Reference</t>
  </si>
  <si>
    <t>Facture</t>
  </si>
  <si>
    <t>Total</t>
  </si>
  <si>
    <t>2018 50 3148 27/11/2018</t>
  </si>
  <si>
    <t>EUR 1.011,40</t>
  </si>
  <si>
    <t>Ligne</t>
  </si>
  <si>
    <t>Modèle</t>
  </si>
  <si>
    <t>Code pièce</t>
  </si>
  <si>
    <t>Couleur</t>
  </si>
  <si>
    <t>Taille</t>
  </si>
  <si>
    <t>Quantité</t>
  </si>
  <si>
    <t>Prix unitaire</t>
  </si>
  <si>
    <t>Montant</t>
  </si>
  <si>
    <t>Libellé</t>
  </si>
  <si>
    <t>HLESCE01</t>
  </si>
  <si>
    <t>ECS07</t>
  </si>
  <si>
    <t>UNICA</t>
  </si>
  <si>
    <t>ANSES DOUBLE CHAÎNE EN « T » EN FAUX CUIR EFFET GRIFFÉ</t>
  </si>
  <si>
    <t>OBAGB001</t>
  </si>
  <si>
    <t>EVS00</t>
  </si>
  <si>
    <t>CORPS O BAG EVA COMPOUND</t>
  </si>
  <si>
    <t>OBAGB002</t>
  </si>
  <si>
    <t>CORPS O BAG MINI EVA COMPOUND</t>
  </si>
  <si>
    <t>OBAGB033</t>
  </si>
  <si>
    <t>CORPS O BAG URBAN EVA COMPOUND</t>
  </si>
  <si>
    <t>OBAGB034</t>
  </si>
  <si>
    <t>CORPS O BAG GLAM EVA COMPOUND</t>
  </si>
  <si>
    <t>OBAGB206</t>
  </si>
  <si>
    <t>CORPS INFÉRIEUR O POCKET EVA COMPOUND</t>
  </si>
  <si>
    <t>OBAGS001</t>
  </si>
  <si>
    <t>TESR1</t>
  </si>
  <si>
    <t>POCHETTE INTÉRIEURE FERMETURE ÉCLAIR O BAG EN TISSU COTTON CORDUROY</t>
  </si>
  <si>
    <t>OBAGS002</t>
  </si>
  <si>
    <t>POCHETTE INTÉRIEURE FERMETURE ÉCLAIR O BAG MINI EN TISSU COTTON CORDUROY</t>
  </si>
  <si>
    <t>SHOUX101</t>
  </si>
  <si>
    <t>ECS00</t>
  </si>
  <si>
    <t>BANDOULIÈRE EXTRASLIM 110 + ANSES TUBULAIRES + CLIP FAUX CUIR</t>
  </si>
  <si>
    <t>Connus</t>
  </si>
  <si>
    <t>Inconnus</t>
  </si>
  <si>
    <t>Page</t>
  </si>
  <si>
    <t>Catalogue</t>
  </si>
  <si>
    <t>Test d'ouverture des feuilles de calcul liées</t>
  </si>
  <si>
    <t>Tous produits</t>
  </si>
  <si>
    <t>Tous produits EAN</t>
  </si>
  <si>
    <t>EAN Valmag</t>
  </si>
  <si>
    <t>'[0- EXPEAN13_PCOBAG01_20181214181726.csv]0- EXPEAN13_PCOBAG01_2018121418'</t>
  </si>
  <si>
    <t>'[TousProduits.EAN13.csv]TousProduits.EAN13'</t>
  </si>
  <si>
    <t>'[TousProduits.csv]TousProduits'</t>
  </si>
  <si>
    <t>EAN13</t>
  </si>
  <si>
    <t>Quantite</t>
  </si>
  <si>
    <t>Prix vente</t>
  </si>
  <si>
    <t/>
  </si>
  <si>
    <t>VALMAG</t>
  </si>
  <si>
    <t>Nom catalogue</t>
  </si>
  <si>
    <t>Qté</t>
  </si>
  <si>
    <t>P vente</t>
  </si>
  <si>
    <t>P achat</t>
  </si>
  <si>
    <t>Code barre</t>
  </si>
  <si>
    <t>Total lu</t>
  </si>
  <si>
    <t>2018 50 3145 27/11/2018</t>
  </si>
  <si>
    <t>EUR 3.445,66</t>
  </si>
  <si>
    <t>3.384,66</t>
  </si>
  <si>
    <t>ModŠle</t>
  </si>
  <si>
    <t>Code piŠce</t>
  </si>
  <si>
    <t>Quantit‚</t>
  </si>
  <si>
    <t>Libell‚</t>
  </si>
  <si>
    <t>ANSES DOUBLE CHA×NE EN ®ÿTÿ¯ EN FAUX CUIR EFFET GRIFF</t>
  </si>
  <si>
    <t>CORPS INFRIEUR O POCKET EVA COMPOUND</t>
  </si>
  <si>
    <t>OBAGT002</t>
  </si>
  <si>
    <t>LAS34</t>
  </si>
  <si>
    <t>REVERS O BAG MINI EN LAINE RASE</t>
  </si>
  <si>
    <t>ACCEC020</t>
  </si>
  <si>
    <t>POCHETTE INTRIEURE FERMETURE CLAIR O BAG EN TISSU COTTON CORDUROY</t>
  </si>
  <si>
    <t>POCHETTE INTRIEURE FERMETURE CLAIR O BAG MINI EN TISSU COTTON CORDUROY</t>
  </si>
  <si>
    <t>BANDOULIÔRE EXTRASLIM 110 + ANSES TUBULAIRES + CLIP FAUX CUIR</t>
  </si>
  <si>
    <t>ACCESSOIRE POMPON + N?UD EVA COMPOUND + FAUSSE FOURRURE RENARD</t>
  </si>
  <si>
    <t>EVS47</t>
  </si>
  <si>
    <t>ANSES DOUBLE CHA×NE EN ®ÿTÿ¯ EN FAUX CUIR</t>
  </si>
  <si>
    <t>HLESF800</t>
  </si>
  <si>
    <t>ECS94</t>
  </si>
  <si>
    <t>ANSES COURTES AVEC BOUCLE FAUX CUIR EFFET GRIFF + STRASS</t>
  </si>
  <si>
    <t>OBAGB024</t>
  </si>
  <si>
    <t>CORPS O POCKET MICRO EVA COMPOUND</t>
  </si>
  <si>
    <t>OBAGC101</t>
  </si>
  <si>
    <t>FAS01</t>
  </si>
  <si>
    <t>COVER O BAG EN FAUSSE FOURRURE LAPIN</t>
  </si>
  <si>
    <t>OBAGC102</t>
  </si>
  <si>
    <t>COVER O BAG MINI EN FAUSSE FOURRURE LAPIN</t>
  </si>
  <si>
    <t>OBAGP006</t>
  </si>
  <si>
    <t>TEST5</t>
  </si>
  <si>
    <t>RABAT O POCKET EN TISSU LAINE TRESSE + BIJOUX</t>
  </si>
  <si>
    <t>OBAGPA24</t>
  </si>
  <si>
    <t>TEST9</t>
  </si>
  <si>
    <t>RABAT TOURNIQUET O POCKET MICRO VELOURS + BIJOUX</t>
  </si>
  <si>
    <t>OCLKD001</t>
  </si>
  <si>
    <t>MESC2</t>
  </si>
  <si>
    <t>O CLOCK MCANISME SHINY CRYSTALS</t>
  </si>
  <si>
    <t>2018 50 3178 28/11/2018</t>
  </si>
  <si>
    <t>EUR 112,82</t>
  </si>
  <si>
    <t>HLESGC00</t>
  </si>
  <si>
    <t>ECS04</t>
  </si>
  <si>
    <t>ANSES COURTES EN FAUX CUIR POMPON</t>
  </si>
  <si>
    <t>OBAGB032</t>
  </si>
  <si>
    <t>CORPS O BAG KNIT MINI EVA COMPOUND</t>
  </si>
  <si>
    <t>2018 50 3184 28/11/2018</t>
  </si>
  <si>
    <t>EUR 190,10</t>
  </si>
  <si>
    <t>OBAGB016</t>
  </si>
  <si>
    <t>CORPS O MOON EVA COMPOUND</t>
  </si>
  <si>
    <t>2018 50 3309 05/12/2018</t>
  </si>
  <si>
    <t>EUR 425,29</t>
  </si>
  <si>
    <t>HLESG000</t>
  </si>
  <si>
    <t>ANSES LONGUES EN FAUX CUIR POMPON</t>
  </si>
  <si>
    <t>OBAGB017</t>
  </si>
  <si>
    <t>CORPS O MOON LIGHT EVA COMPOUND</t>
  </si>
  <si>
    <t>2018 50 3316 05/12/2018</t>
  </si>
  <si>
    <t>EUR 707,69</t>
  </si>
  <si>
    <t>TOULOUSE</t>
  </si>
  <si>
    <t>BLAGNAC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</si>
</sst>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theme="1"/>
      <name val="Code EAN13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0" xfId="0" applyNumberFormat="1"/>
    <xf numFmtId="0" fontId="0" fillId="2" borderId="0" xfId="0" applyFill="1"/>
    <xf numFmtId="1" fontId="0" fillId="3" borderId="0" xfId="0" applyNumberFormat="1" applyFill="1"/>
    <xf numFmtId="0" fontId="0" fillId="4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1" fontId="0" fillId="6" borderId="0" xfId="0" applyNumberFormat="1" applyFill="1"/>
    <xf numFmtId="1" fontId="0" fillId="5" borderId="0" xfId="0" applyNumberFormat="1" applyFill="1"/>
    <xf numFmtId="0" fontId="0" fillId="0" borderId="0" xfId="0" applyFill="1"/>
    <xf numFmtId="1" fontId="0" fillId="0" borderId="0" xfId="0" applyNumberFormat="1" applyFill="1"/>
    <xf numFmtId="1" fontId="0" fillId="9" borderId="0" xfId="0" applyNumberFormat="1" applyFill="1"/>
    <xf numFmtId="1" fontId="0" fillId="7" borderId="0" xfId="0" applyNumberFormat="1" applyFill="1"/>
    <xf numFmtId="0" fontId="0" fillId="8" borderId="0" xfId="0" quotePrefix="1" applyFill="1"/>
    <xf numFmtId="0" fontId="0" fillId="7" borderId="0" xfId="0" quotePrefix="1" applyFill="1"/>
    <xf numFmtId="0" fontId="0" fillId="6" borderId="0" xfId="0" quotePrefix="1" applyFill="1"/>
    <xf numFmtId="0" fontId="1" fillId="0" borderId="0" xfId="0" applyFont="1" applyFill="1"/>
    <xf numFmtId="0" fontId="1" fillId="0" borderId="0" xfId="0" applyFont="1"/>
    <xf numFmtId="0" fontId="0" fillId="0" borderId="1" xfId="0" applyFill="1" applyBorder="1"/>
    <xf numFmtId="1" fontId="0" fillId="0" borderId="1" xfId="0" applyNumberFormat="1" applyFill="1" applyBorder="1"/>
    <xf numFmtId="0" fontId="2" fillId="0" borderId="0" xfId="0" applyFont="1" applyFill="1"/>
    <xf numFmtId="0" fontId="3" fillId="0" borderId="0" xfId="0" applyFont="1" applyFill="1"/>
    <xf numFmtId="0" fontId="4" fillId="4" borderId="0" xfId="0" applyFont="1" applyFill="1"/>
    <xf numFmtId="1" fontId="4" fillId="0" borderId="0" xfId="0" applyNumberFormat="1" applyFont="1" applyFill="1"/>
    <xf numFmtId="0" fontId="4" fillId="0" borderId="0" xfId="0" applyFont="1" applyFill="1"/>
    <xf numFmtId="0" fontId="4" fillId="10" borderId="0" xfId="0" applyFont="1" applyFill="1"/>
    <xf numFmtId="0" fontId="5" fillId="0" borderId="0" xfId="0" applyFont="1" applyFill="1"/>
    <xf numFmtId="1" fontId="5" fillId="6" borderId="0" xfId="0" applyNumberFormat="1" applyFont="1" applyFill="1"/>
  </cellXfs>
  <cellStyles count="1">
    <cellStyle name="Normal" xfId="0" builtinId="0"/>
  </cellStyles>
  <dxfs count="2"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fgColor auto="1"/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312742/Documents/Perso/Mac%20Jean%202018/Dominique/Automatisation%20factures/Catalogues/TousProduits.EAN13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-%20EXPEAN13_PCOBAG01_20181214181726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"/>
    </sheetNames>
    <sheetDataSet>
      <sheetData sheetId="0">
        <row r="22">
          <cell r="B22" t="str">
            <v>OBAGB037-EVS57-017</v>
          </cell>
          <cell r="C22" t="str">
            <v xml:space="preserve"> O bag twist cocco</v>
          </cell>
        </row>
        <row r="23">
          <cell r="B23" t="str">
            <v>OBAGB037-EVS57-078</v>
          </cell>
          <cell r="C23" t="str">
            <v xml:space="preserve"> O bag twist cocco</v>
          </cell>
        </row>
        <row r="24">
          <cell r="B24" t="str">
            <v>OBAGB037-EVS57-018</v>
          </cell>
          <cell r="C24" t="str">
            <v xml:space="preserve"> O bag twist cocco</v>
          </cell>
        </row>
        <row r="25">
          <cell r="B25" t="str">
            <v>OBAGB037-EVS57-371</v>
          </cell>
          <cell r="C25" t="str">
            <v xml:space="preserve"> O bag twist cocco</v>
          </cell>
        </row>
        <row r="26">
          <cell r="B26" t="str">
            <v>OBAGB037-EVS57-055</v>
          </cell>
          <cell r="C26" t="str">
            <v xml:space="preserve"> O bag twist cocco</v>
          </cell>
        </row>
        <row r="27">
          <cell r="B27" t="str">
            <v>OBAGB037-EVS57-559</v>
          </cell>
          <cell r="C27" t="str">
            <v xml:space="preserve"> O bag twist cocco</v>
          </cell>
        </row>
        <row r="28">
          <cell r="B28" t="str">
            <v>HLESCE01-ECS00-612</v>
          </cell>
          <cell r="C28" t="str">
            <v xml:space="preserve"> O bag twist cocco</v>
          </cell>
        </row>
        <row r="29">
          <cell r="B29" t="str">
            <v>HLESCE01-ECS00-055</v>
          </cell>
          <cell r="C29" t="str">
            <v xml:space="preserve"> O bag twist cocco</v>
          </cell>
        </row>
        <row r="30">
          <cell r="B30" t="str">
            <v>HLESCE01-ECS00-613</v>
          </cell>
          <cell r="C30" t="str">
            <v xml:space="preserve"> O bag twist cocco</v>
          </cell>
        </row>
        <row r="31">
          <cell r="B31" t="str">
            <v>HLESGC19-EVS54-017</v>
          </cell>
          <cell r="C31" t="str">
            <v xml:space="preserve"> O bag twist cocco</v>
          </cell>
        </row>
        <row r="32">
          <cell r="B32" t="str">
            <v>HLESGC19-EVS54-078</v>
          </cell>
          <cell r="C32" t="str">
            <v xml:space="preserve"> O bag twist cocco</v>
          </cell>
        </row>
        <row r="33">
          <cell r="B33" t="str">
            <v>HLESGC19-EVS54-018</v>
          </cell>
          <cell r="C33" t="str">
            <v xml:space="preserve"> O bag twist cocco</v>
          </cell>
        </row>
        <row r="34">
          <cell r="B34" t="str">
            <v>HLESGC19-EVS54-371</v>
          </cell>
          <cell r="C34" t="str">
            <v xml:space="preserve"> O bag twist cocco</v>
          </cell>
        </row>
        <row r="35">
          <cell r="B35" t="str">
            <v>HLESGC19-EVS54-559</v>
          </cell>
          <cell r="C35" t="str">
            <v xml:space="preserve"> O bag twist cocco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sProduits.EAN13"/>
    </sheetNames>
    <sheetDataSet>
      <sheetData sheetId="0">
        <row r="1">
          <cell r="A1">
            <v>8056099179433</v>
          </cell>
          <cell r="B1" t="str">
            <v>OBAGB001-EVS00-371</v>
          </cell>
        </row>
        <row r="2">
          <cell r="A2">
            <v>8050450217574</v>
          </cell>
          <cell r="B2" t="str">
            <v>OBAGB001-EVS00-017</v>
          </cell>
        </row>
        <row r="3">
          <cell r="A3">
            <v>8051770308669</v>
          </cell>
          <cell r="B3" t="str">
            <v>OBAGB001-EVS00-078</v>
          </cell>
        </row>
        <row r="4">
          <cell r="A4">
            <v>8051770308652</v>
          </cell>
          <cell r="B4" t="str">
            <v>OBAGB001-EVS00-071</v>
          </cell>
        </row>
        <row r="5">
          <cell r="A5">
            <v>8051770308638</v>
          </cell>
          <cell r="B5" t="str">
            <v>OBAGB001-EVS00-055</v>
          </cell>
        </row>
        <row r="6">
          <cell r="A6">
            <v>8056099177125</v>
          </cell>
          <cell r="B6" t="str">
            <v>OBAGB002-EVS00-371</v>
          </cell>
        </row>
        <row r="7">
          <cell r="A7">
            <v>8050450218335</v>
          </cell>
          <cell r="B7" t="str">
            <v>OBAGB002-EVS00-017</v>
          </cell>
        </row>
        <row r="8">
          <cell r="A8">
            <v>8050450215631</v>
          </cell>
          <cell r="B8" t="str">
            <v>OBAGB002-EVS00-078</v>
          </cell>
        </row>
        <row r="9">
          <cell r="A9">
            <v>8051770309819</v>
          </cell>
          <cell r="B9" t="str">
            <v>OBAGB002-EVS00-071</v>
          </cell>
        </row>
        <row r="10">
          <cell r="A10">
            <v>8051770309833</v>
          </cell>
          <cell r="B10" t="str">
            <v>OBAGB002-EVS00-055</v>
          </cell>
        </row>
        <row r="11">
          <cell r="A11">
            <v>8058333587646</v>
          </cell>
          <cell r="B11" t="str">
            <v>OBAGB001-EVS00-002</v>
          </cell>
        </row>
        <row r="12">
          <cell r="A12">
            <v>8050450212456</v>
          </cell>
          <cell r="B12" t="str">
            <v>OBAGB001-EVS00-038</v>
          </cell>
        </row>
        <row r="13">
          <cell r="A13">
            <v>8050846039056</v>
          </cell>
          <cell r="B13" t="str">
            <v>OBAGB001-EVS00-463</v>
          </cell>
        </row>
        <row r="14">
          <cell r="A14">
            <v>8050538590667</v>
          </cell>
          <cell r="B14" t="str">
            <v>OBAGB001-EVS00-050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- EXPEAN13_PCOBAG01_2018121418"/>
    </sheetNames>
    <sheetDataSet>
      <sheetData sheetId="0">
        <row r="23">
          <cell r="A23">
            <v>3000020000032</v>
          </cell>
          <cell r="B23" t="str">
            <v xml:space="preserve">FULL         </v>
          </cell>
          <cell r="C23" t="str">
            <v xml:space="preserve">0CS01           </v>
          </cell>
          <cell r="D23" t="str">
            <v xml:space="preserve">     </v>
          </cell>
          <cell r="E23" t="str">
            <v xml:space="preserve">L    </v>
          </cell>
        </row>
        <row r="24">
          <cell r="A24">
            <v>3000020000025</v>
          </cell>
          <cell r="B24" t="str">
            <v xml:space="preserve">FULL         </v>
          </cell>
          <cell r="C24" t="str">
            <v xml:space="preserve">0CS01           </v>
          </cell>
          <cell r="D24" t="str">
            <v xml:space="preserve">     </v>
          </cell>
          <cell r="E24" t="str">
            <v xml:space="preserve">M    </v>
          </cell>
        </row>
        <row r="25">
          <cell r="A25">
            <v>3000020000018</v>
          </cell>
          <cell r="B25" t="str">
            <v xml:space="preserve">FULL         </v>
          </cell>
          <cell r="C25" t="str">
            <v xml:space="preserve">0CS01           </v>
          </cell>
          <cell r="D25" t="str">
            <v xml:space="preserve">     </v>
          </cell>
          <cell r="E25" t="str">
            <v xml:space="preserve">S    </v>
          </cell>
        </row>
        <row r="26">
          <cell r="A26">
            <v>3000020000049</v>
          </cell>
          <cell r="B26" t="str">
            <v xml:space="preserve">FULL         </v>
          </cell>
          <cell r="C26" t="str">
            <v xml:space="preserve">0CS01           </v>
          </cell>
          <cell r="D26" t="str">
            <v xml:space="preserve">     </v>
          </cell>
          <cell r="E26" t="str">
            <v xml:space="preserve">XL   </v>
          </cell>
        </row>
        <row r="27">
          <cell r="A27">
            <v>3000020000001</v>
          </cell>
          <cell r="B27" t="str">
            <v xml:space="preserve">FULL         </v>
          </cell>
          <cell r="C27" t="str">
            <v xml:space="preserve">0CS01           </v>
          </cell>
          <cell r="D27" t="str">
            <v xml:space="preserve">     </v>
          </cell>
          <cell r="E27" t="str">
            <v xml:space="preserve">XS   </v>
          </cell>
        </row>
        <row r="28">
          <cell r="A28">
            <v>3000210000033</v>
          </cell>
          <cell r="B28" t="str">
            <v xml:space="preserve">FULL         </v>
          </cell>
          <cell r="C28" t="str">
            <v xml:space="preserve">0CS16           </v>
          </cell>
          <cell r="D28" t="str">
            <v xml:space="preserve">     </v>
          </cell>
          <cell r="E28" t="str">
            <v xml:space="preserve">L    </v>
          </cell>
        </row>
        <row r="29">
          <cell r="A29">
            <v>3000210000026</v>
          </cell>
          <cell r="B29" t="str">
            <v xml:space="preserve">FULL         </v>
          </cell>
          <cell r="C29" t="str">
            <v xml:space="preserve">0CS16           </v>
          </cell>
          <cell r="D29" t="str">
            <v xml:space="preserve">     </v>
          </cell>
          <cell r="E29" t="str">
            <v xml:space="preserve">M    </v>
          </cell>
        </row>
        <row r="30">
          <cell r="A30">
            <v>3000210000019</v>
          </cell>
          <cell r="B30" t="str">
            <v xml:space="preserve">FULL         </v>
          </cell>
          <cell r="C30" t="str">
            <v xml:space="preserve">0CS16           </v>
          </cell>
          <cell r="D30" t="str">
            <v xml:space="preserve">     </v>
          </cell>
          <cell r="E30" t="str">
            <v xml:space="preserve">S    </v>
          </cell>
        </row>
        <row r="31">
          <cell r="A31">
            <v>3000210000040</v>
          </cell>
          <cell r="B31" t="str">
            <v xml:space="preserve">FULL         </v>
          </cell>
          <cell r="C31" t="str">
            <v xml:space="preserve">0CS16           </v>
          </cell>
          <cell r="D31" t="str">
            <v xml:space="preserve">     </v>
          </cell>
          <cell r="E31" t="str">
            <v xml:space="preserve">XL   </v>
          </cell>
        </row>
        <row r="32">
          <cell r="A32">
            <v>3000210000002</v>
          </cell>
          <cell r="B32" t="str">
            <v xml:space="preserve">FULL         </v>
          </cell>
          <cell r="C32" t="str">
            <v xml:space="preserve">0CS16           </v>
          </cell>
          <cell r="D32" t="str">
            <v xml:space="preserve">     </v>
          </cell>
          <cell r="E32" t="str">
            <v xml:space="preserve">XS   </v>
          </cell>
        </row>
        <row r="33">
          <cell r="A33">
            <v>8050538599196</v>
          </cell>
          <cell r="B33" t="str">
            <v xml:space="preserve">FULL         </v>
          </cell>
          <cell r="C33" t="str">
            <v xml:space="preserve">ABATJOUROJOY    </v>
          </cell>
          <cell r="D33" t="str">
            <v>ANTHR</v>
          </cell>
          <cell r="E33">
            <v>0</v>
          </cell>
        </row>
        <row r="34">
          <cell r="A34">
            <v>8050538599189</v>
          </cell>
          <cell r="B34" t="str">
            <v xml:space="preserve">FULL         </v>
          </cell>
          <cell r="C34" t="str">
            <v xml:space="preserve">ABATJOUROJOY    </v>
          </cell>
          <cell r="D34" t="str">
            <v>AUBER</v>
          </cell>
          <cell r="E34">
            <v>0</v>
          </cell>
        </row>
        <row r="35">
          <cell r="A35">
            <v>8050538599219</v>
          </cell>
          <cell r="B35" t="str">
            <v xml:space="preserve">FULL         </v>
          </cell>
          <cell r="C35" t="str">
            <v xml:space="preserve">ABATJOUROJOY    </v>
          </cell>
          <cell r="D35" t="str">
            <v xml:space="preserve">BLUE </v>
          </cell>
          <cell r="E35">
            <v>0</v>
          </cell>
        </row>
        <row r="36">
          <cell r="A36">
            <v>3006100431000</v>
          </cell>
          <cell r="B36" t="str">
            <v xml:space="preserve">FULL         </v>
          </cell>
          <cell r="C36" t="str">
            <v xml:space="preserve">ABATJOUROJOY    </v>
          </cell>
          <cell r="D36" t="str">
            <v xml:space="preserve">VERT </v>
          </cell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65"/>
  <sheetViews>
    <sheetView topLeftCell="A40" workbookViewId="0">
      <selection activeCell="H1" sqref="H1:H1048576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E1" t="s">
        <v>2</v>
      </c>
      <c r="F1" t="s">
        <v>58</v>
      </c>
    </row>
    <row r="2" spans="1:9" x14ac:dyDescent="0.25">
      <c r="A2" t="s">
        <v>59</v>
      </c>
      <c r="C2" t="s">
        <v>60</v>
      </c>
      <c r="E2" t="s">
        <v>61</v>
      </c>
      <c r="F2">
        <v>3384.66</v>
      </c>
      <c r="I2" t="s">
        <v>117</v>
      </c>
    </row>
    <row r="3" spans="1:9" x14ac:dyDescent="0.25">
      <c r="A3" t="s">
        <v>5</v>
      </c>
      <c r="B3" t="s">
        <v>62</v>
      </c>
      <c r="C3" t="s">
        <v>63</v>
      </c>
      <c r="D3" t="s">
        <v>8</v>
      </c>
      <c r="E3" t="s">
        <v>9</v>
      </c>
      <c r="F3" t="s">
        <v>64</v>
      </c>
      <c r="G3" t="s">
        <v>11</v>
      </c>
      <c r="H3" t="s">
        <v>12</v>
      </c>
      <c r="I3" t="s">
        <v>65</v>
      </c>
    </row>
    <row r="4" spans="1:9" x14ac:dyDescent="0.25">
      <c r="A4">
        <v>32</v>
      </c>
      <c r="B4" t="s">
        <v>14</v>
      </c>
      <c r="C4" t="s">
        <v>15</v>
      </c>
      <c r="D4">
        <v>133</v>
      </c>
      <c r="E4" t="s">
        <v>16</v>
      </c>
      <c r="F4">
        <v>8</v>
      </c>
      <c r="G4">
        <v>10.6</v>
      </c>
      <c r="H4">
        <v>84.8</v>
      </c>
      <c r="I4" t="s">
        <v>66</v>
      </c>
    </row>
    <row r="5" spans="1:9" x14ac:dyDescent="0.25">
      <c r="A5">
        <v>33</v>
      </c>
      <c r="B5" t="s">
        <v>18</v>
      </c>
      <c r="C5" t="s">
        <v>19</v>
      </c>
      <c r="D5">
        <v>38</v>
      </c>
      <c r="E5" t="s">
        <v>16</v>
      </c>
      <c r="F5">
        <v>10</v>
      </c>
      <c r="G5">
        <v>14.4</v>
      </c>
      <c r="H5">
        <v>144</v>
      </c>
      <c r="I5" t="s">
        <v>20</v>
      </c>
    </row>
    <row r="6" spans="1:9" x14ac:dyDescent="0.25">
      <c r="A6">
        <v>30</v>
      </c>
      <c r="B6" t="s">
        <v>18</v>
      </c>
      <c r="C6" t="s">
        <v>19</v>
      </c>
      <c r="D6">
        <v>389</v>
      </c>
      <c r="E6" t="s">
        <v>16</v>
      </c>
      <c r="F6">
        <v>8</v>
      </c>
      <c r="G6">
        <v>14.4</v>
      </c>
      <c r="H6">
        <v>115.2</v>
      </c>
      <c r="I6" t="s">
        <v>20</v>
      </c>
    </row>
    <row r="7" spans="1:9" x14ac:dyDescent="0.25">
      <c r="A7">
        <v>34</v>
      </c>
      <c r="B7" t="s">
        <v>21</v>
      </c>
      <c r="C7" t="s">
        <v>19</v>
      </c>
      <c r="D7">
        <v>75</v>
      </c>
      <c r="E7" t="s">
        <v>16</v>
      </c>
      <c r="F7">
        <v>10</v>
      </c>
      <c r="G7">
        <v>14.4</v>
      </c>
      <c r="H7">
        <v>144</v>
      </c>
      <c r="I7" t="s">
        <v>22</v>
      </c>
    </row>
    <row r="8" spans="1:9" x14ac:dyDescent="0.25">
      <c r="A8">
        <v>29</v>
      </c>
      <c r="B8" t="s">
        <v>21</v>
      </c>
      <c r="C8" t="s">
        <v>19</v>
      </c>
      <c r="D8">
        <v>389</v>
      </c>
      <c r="E8" t="s">
        <v>16</v>
      </c>
      <c r="F8">
        <v>10</v>
      </c>
      <c r="G8">
        <v>14.4</v>
      </c>
      <c r="H8">
        <v>144</v>
      </c>
      <c r="I8" t="s">
        <v>22</v>
      </c>
    </row>
    <row r="9" spans="1:9" x14ac:dyDescent="0.25">
      <c r="A9">
        <v>20</v>
      </c>
      <c r="B9" t="s">
        <v>23</v>
      </c>
      <c r="C9" t="s">
        <v>19</v>
      </c>
      <c r="D9">
        <v>17</v>
      </c>
      <c r="E9" t="s">
        <v>16</v>
      </c>
      <c r="F9">
        <v>3</v>
      </c>
      <c r="G9">
        <v>14.16</v>
      </c>
      <c r="H9">
        <v>42.48</v>
      </c>
      <c r="I9" t="s">
        <v>24</v>
      </c>
    </row>
    <row r="10" spans="1:9" x14ac:dyDescent="0.25">
      <c r="A10">
        <v>31</v>
      </c>
      <c r="B10" t="s">
        <v>27</v>
      </c>
      <c r="C10" t="s">
        <v>19</v>
      </c>
      <c r="D10">
        <v>38</v>
      </c>
      <c r="E10" t="s">
        <v>16</v>
      </c>
      <c r="F10">
        <v>5</v>
      </c>
      <c r="G10">
        <v>4.8</v>
      </c>
      <c r="H10">
        <v>24</v>
      </c>
      <c r="I10" t="s">
        <v>67</v>
      </c>
    </row>
    <row r="11" spans="1:9" x14ac:dyDescent="0.25">
      <c r="A11">
        <v>42</v>
      </c>
      <c r="B11" t="s">
        <v>68</v>
      </c>
      <c r="C11" t="s">
        <v>69</v>
      </c>
      <c r="D11">
        <v>86</v>
      </c>
      <c r="E11" t="s">
        <v>16</v>
      </c>
      <c r="F11">
        <v>2</v>
      </c>
      <c r="G11">
        <v>9.66</v>
      </c>
      <c r="H11">
        <v>19.32</v>
      </c>
      <c r="I11" t="s">
        <v>70</v>
      </c>
    </row>
    <row r="12" spans="1:9" x14ac:dyDescent="0.25">
      <c r="A12">
        <v>38</v>
      </c>
      <c r="B12" t="s">
        <v>18</v>
      </c>
      <c r="C12" t="s">
        <v>19</v>
      </c>
      <c r="D12">
        <v>24</v>
      </c>
      <c r="E12" t="s">
        <v>16</v>
      </c>
      <c r="F12">
        <v>8</v>
      </c>
      <c r="G12">
        <v>14.4</v>
      </c>
      <c r="H12">
        <v>115.2</v>
      </c>
      <c r="I12" t="s">
        <v>20</v>
      </c>
    </row>
    <row r="13" spans="1:9" x14ac:dyDescent="0.25">
      <c r="A13">
        <v>37</v>
      </c>
      <c r="B13" t="s">
        <v>18</v>
      </c>
      <c r="C13" t="s">
        <v>19</v>
      </c>
      <c r="D13">
        <v>541</v>
      </c>
      <c r="E13" t="s">
        <v>16</v>
      </c>
      <c r="F13">
        <v>6</v>
      </c>
      <c r="G13">
        <v>14.4</v>
      </c>
      <c r="H13">
        <v>86.4</v>
      </c>
      <c r="I13" t="s">
        <v>20</v>
      </c>
    </row>
    <row r="14" spans="1:9" x14ac:dyDescent="0.25">
      <c r="A14">
        <v>40</v>
      </c>
      <c r="B14" t="s">
        <v>21</v>
      </c>
      <c r="C14" t="s">
        <v>19</v>
      </c>
      <c r="D14">
        <v>559</v>
      </c>
      <c r="E14" t="s">
        <v>16</v>
      </c>
      <c r="F14">
        <v>8</v>
      </c>
      <c r="G14">
        <v>14.4</v>
      </c>
      <c r="H14">
        <v>115.2</v>
      </c>
      <c r="I14" t="s">
        <v>22</v>
      </c>
    </row>
    <row r="15" spans="1:9" x14ac:dyDescent="0.25">
      <c r="A15">
        <v>28</v>
      </c>
      <c r="B15" t="s">
        <v>23</v>
      </c>
      <c r="C15" t="s">
        <v>19</v>
      </c>
      <c r="D15">
        <v>78</v>
      </c>
      <c r="E15" t="s">
        <v>16</v>
      </c>
      <c r="F15">
        <v>3</v>
      </c>
      <c r="G15">
        <v>14.16</v>
      </c>
      <c r="H15">
        <v>42.48</v>
      </c>
      <c r="I15" t="s">
        <v>24</v>
      </c>
    </row>
    <row r="16" spans="1:9" x14ac:dyDescent="0.25">
      <c r="A16">
        <v>39</v>
      </c>
      <c r="B16" t="s">
        <v>23</v>
      </c>
      <c r="C16" t="s">
        <v>34</v>
      </c>
      <c r="D16">
        <v>371</v>
      </c>
      <c r="E16" t="s">
        <v>16</v>
      </c>
      <c r="F16">
        <v>1</v>
      </c>
      <c r="G16">
        <v>14.16</v>
      </c>
      <c r="H16">
        <v>14.16</v>
      </c>
      <c r="I16" t="s">
        <v>24</v>
      </c>
    </row>
    <row r="17" spans="1:9" x14ac:dyDescent="0.25">
      <c r="A17">
        <v>25</v>
      </c>
      <c r="B17" t="s">
        <v>25</v>
      </c>
      <c r="C17" t="s">
        <v>71</v>
      </c>
      <c r="D17">
        <v>24</v>
      </c>
      <c r="E17" t="s">
        <v>16</v>
      </c>
      <c r="F17">
        <v>2</v>
      </c>
      <c r="G17">
        <v>11.88</v>
      </c>
      <c r="H17">
        <v>23.76</v>
      </c>
      <c r="I17" t="s">
        <v>26</v>
      </c>
    </row>
    <row r="18" spans="1:9" x14ac:dyDescent="0.25">
      <c r="A18">
        <v>36</v>
      </c>
      <c r="B18" t="s">
        <v>25</v>
      </c>
      <c r="C18" t="s">
        <v>71</v>
      </c>
      <c r="D18">
        <v>71</v>
      </c>
      <c r="E18" t="s">
        <v>16</v>
      </c>
      <c r="F18">
        <v>3</v>
      </c>
      <c r="G18">
        <v>11.88</v>
      </c>
      <c r="H18">
        <v>35.64</v>
      </c>
      <c r="I18" t="s">
        <v>26</v>
      </c>
    </row>
    <row r="19" spans="1:9" x14ac:dyDescent="0.25">
      <c r="A19">
        <v>43</v>
      </c>
      <c r="B19" t="s">
        <v>27</v>
      </c>
      <c r="C19" t="s">
        <v>19</v>
      </c>
      <c r="D19">
        <v>24</v>
      </c>
      <c r="E19" t="s">
        <v>16</v>
      </c>
      <c r="F19">
        <v>5</v>
      </c>
      <c r="G19">
        <v>4.8</v>
      </c>
      <c r="H19">
        <v>24</v>
      </c>
      <c r="I19" t="s">
        <v>67</v>
      </c>
    </row>
    <row r="20" spans="1:9" x14ac:dyDescent="0.25">
      <c r="A20">
        <v>35</v>
      </c>
      <c r="B20" t="s">
        <v>27</v>
      </c>
      <c r="C20" t="s">
        <v>19</v>
      </c>
      <c r="D20">
        <v>559</v>
      </c>
      <c r="E20" t="s">
        <v>16</v>
      </c>
      <c r="F20">
        <v>4</v>
      </c>
      <c r="G20">
        <v>4.8</v>
      </c>
      <c r="H20">
        <v>19.2</v>
      </c>
      <c r="I20" t="s">
        <v>67</v>
      </c>
    </row>
    <row r="21" spans="1:9" x14ac:dyDescent="0.25">
      <c r="A21">
        <v>26</v>
      </c>
      <c r="B21" t="s">
        <v>29</v>
      </c>
      <c r="C21" t="s">
        <v>19</v>
      </c>
      <c r="D21">
        <v>18</v>
      </c>
      <c r="E21" t="s">
        <v>16</v>
      </c>
      <c r="F21">
        <v>5</v>
      </c>
      <c r="G21">
        <v>10.8</v>
      </c>
      <c r="H21">
        <v>54</v>
      </c>
      <c r="I21" t="s">
        <v>72</v>
      </c>
    </row>
    <row r="22" spans="1:9" x14ac:dyDescent="0.25">
      <c r="A22">
        <v>44</v>
      </c>
      <c r="B22" t="s">
        <v>29</v>
      </c>
      <c r="C22" t="s">
        <v>19</v>
      </c>
      <c r="D22">
        <v>86</v>
      </c>
      <c r="E22" t="s">
        <v>16</v>
      </c>
      <c r="F22">
        <v>2</v>
      </c>
      <c r="G22">
        <v>10.8</v>
      </c>
      <c r="H22">
        <v>21.6</v>
      </c>
      <c r="I22" t="s">
        <v>72</v>
      </c>
    </row>
    <row r="23" spans="1:9" x14ac:dyDescent="0.25">
      <c r="A23">
        <v>27</v>
      </c>
      <c r="B23" t="s">
        <v>29</v>
      </c>
      <c r="C23" t="s">
        <v>19</v>
      </c>
      <c r="D23">
        <v>258</v>
      </c>
      <c r="E23" t="s">
        <v>16</v>
      </c>
      <c r="F23">
        <v>8</v>
      </c>
      <c r="G23">
        <v>10.8</v>
      </c>
      <c r="H23">
        <v>86.4</v>
      </c>
      <c r="I23" t="s">
        <v>72</v>
      </c>
    </row>
    <row r="24" spans="1:9" x14ac:dyDescent="0.25">
      <c r="A24">
        <v>21</v>
      </c>
      <c r="B24" t="s">
        <v>32</v>
      </c>
      <c r="C24" t="s">
        <v>30</v>
      </c>
      <c r="D24">
        <v>18</v>
      </c>
      <c r="E24" t="s">
        <v>16</v>
      </c>
      <c r="F24">
        <v>3</v>
      </c>
      <c r="G24">
        <v>9</v>
      </c>
      <c r="H24">
        <v>27</v>
      </c>
      <c r="I24" t="s">
        <v>73</v>
      </c>
    </row>
    <row r="25" spans="1:9" x14ac:dyDescent="0.25">
      <c r="A25">
        <v>22</v>
      </c>
      <c r="B25" t="s">
        <v>32</v>
      </c>
      <c r="C25" t="s">
        <v>30</v>
      </c>
      <c r="D25">
        <v>55</v>
      </c>
      <c r="E25" t="s">
        <v>16</v>
      </c>
      <c r="F25">
        <v>5</v>
      </c>
      <c r="G25">
        <v>9</v>
      </c>
      <c r="H25">
        <v>45</v>
      </c>
      <c r="I25" t="s">
        <v>73</v>
      </c>
    </row>
    <row r="26" spans="1:9" x14ac:dyDescent="0.25">
      <c r="A26">
        <v>24</v>
      </c>
      <c r="B26" t="s">
        <v>32</v>
      </c>
      <c r="C26" t="s">
        <v>30</v>
      </c>
      <c r="D26">
        <v>86</v>
      </c>
      <c r="E26" t="s">
        <v>16</v>
      </c>
      <c r="F26">
        <v>5</v>
      </c>
      <c r="G26">
        <v>9</v>
      </c>
      <c r="H26">
        <v>45</v>
      </c>
      <c r="I26" t="s">
        <v>73</v>
      </c>
    </row>
    <row r="27" spans="1:9" x14ac:dyDescent="0.25">
      <c r="A27">
        <v>23</v>
      </c>
      <c r="B27" t="s">
        <v>32</v>
      </c>
      <c r="C27" t="s">
        <v>30</v>
      </c>
      <c r="D27">
        <v>258</v>
      </c>
      <c r="E27" t="s">
        <v>16</v>
      </c>
      <c r="F27">
        <v>3</v>
      </c>
      <c r="G27">
        <v>9</v>
      </c>
      <c r="H27">
        <v>27</v>
      </c>
      <c r="I27" t="s">
        <v>73</v>
      </c>
    </row>
    <row r="28" spans="1:9" x14ac:dyDescent="0.25">
      <c r="A28">
        <v>41</v>
      </c>
      <c r="B28" t="s">
        <v>34</v>
      </c>
      <c r="C28" t="s">
        <v>30</v>
      </c>
      <c r="D28">
        <v>18</v>
      </c>
      <c r="E28" t="s">
        <v>16</v>
      </c>
      <c r="F28">
        <v>2</v>
      </c>
      <c r="G28">
        <v>18.96</v>
      </c>
      <c r="H28">
        <v>37.92</v>
      </c>
      <c r="I28" t="s">
        <v>74</v>
      </c>
    </row>
    <row r="29" spans="1:9" x14ac:dyDescent="0.25">
      <c r="A29">
        <v>15</v>
      </c>
      <c r="B29" t="s">
        <v>71</v>
      </c>
      <c r="C29" t="s">
        <v>30</v>
      </c>
      <c r="D29">
        <v>55</v>
      </c>
      <c r="E29" t="s">
        <v>16</v>
      </c>
      <c r="F29">
        <v>15</v>
      </c>
      <c r="G29">
        <v>5.9</v>
      </c>
      <c r="H29">
        <v>88.5</v>
      </c>
      <c r="I29" t="s">
        <v>75</v>
      </c>
    </row>
    <row r="30" spans="1:9" x14ac:dyDescent="0.25">
      <c r="A30">
        <v>13</v>
      </c>
      <c r="B30" t="s">
        <v>71</v>
      </c>
      <c r="C30" t="s">
        <v>30</v>
      </c>
      <c r="D30">
        <v>76</v>
      </c>
      <c r="E30" t="s">
        <v>16</v>
      </c>
      <c r="F30">
        <v>10</v>
      </c>
      <c r="G30">
        <v>5.9</v>
      </c>
      <c r="H30">
        <v>59</v>
      </c>
      <c r="I30" t="s">
        <v>75</v>
      </c>
    </row>
    <row r="31" spans="1:9" x14ac:dyDescent="0.25">
      <c r="A31">
        <v>6</v>
      </c>
      <c r="B31" t="s">
        <v>71</v>
      </c>
      <c r="C31" t="s">
        <v>76</v>
      </c>
      <c r="D31">
        <v>371</v>
      </c>
      <c r="E31" t="s">
        <v>16</v>
      </c>
      <c r="F31">
        <v>10</v>
      </c>
      <c r="G31">
        <v>5.9</v>
      </c>
      <c r="H31">
        <v>59</v>
      </c>
      <c r="I31" t="s">
        <v>75</v>
      </c>
    </row>
    <row r="32" spans="1:9" x14ac:dyDescent="0.25">
      <c r="A32">
        <v>5</v>
      </c>
      <c r="B32" t="s">
        <v>14</v>
      </c>
      <c r="C32" t="s">
        <v>35</v>
      </c>
      <c r="D32">
        <v>55</v>
      </c>
      <c r="E32" t="s">
        <v>16</v>
      </c>
      <c r="F32">
        <v>10</v>
      </c>
      <c r="G32">
        <v>12.66</v>
      </c>
      <c r="H32">
        <v>126.6</v>
      </c>
      <c r="I32" t="s">
        <v>77</v>
      </c>
    </row>
    <row r="33" spans="1:9" x14ac:dyDescent="0.25">
      <c r="A33">
        <v>4</v>
      </c>
      <c r="B33" t="s">
        <v>78</v>
      </c>
      <c r="C33" t="s">
        <v>79</v>
      </c>
      <c r="D33">
        <v>55</v>
      </c>
      <c r="E33" t="s">
        <v>16</v>
      </c>
      <c r="F33">
        <v>10</v>
      </c>
      <c r="G33">
        <v>9</v>
      </c>
      <c r="H33">
        <v>90</v>
      </c>
      <c r="I33" t="s">
        <v>80</v>
      </c>
    </row>
    <row r="34" spans="1:9" x14ac:dyDescent="0.25">
      <c r="A34">
        <v>11</v>
      </c>
      <c r="B34" t="s">
        <v>78</v>
      </c>
      <c r="C34" t="s">
        <v>79</v>
      </c>
      <c r="D34">
        <v>559</v>
      </c>
      <c r="E34" t="s">
        <v>16</v>
      </c>
      <c r="F34">
        <v>6</v>
      </c>
      <c r="G34">
        <v>9</v>
      </c>
      <c r="H34">
        <v>54</v>
      </c>
      <c r="I34" t="s">
        <v>80</v>
      </c>
    </row>
    <row r="35" spans="1:9" x14ac:dyDescent="0.25">
      <c r="A35">
        <v>17</v>
      </c>
      <c r="B35" t="s">
        <v>18</v>
      </c>
      <c r="C35" t="s">
        <v>19</v>
      </c>
      <c r="D35">
        <v>76</v>
      </c>
      <c r="E35" t="s">
        <v>16</v>
      </c>
      <c r="F35">
        <v>4</v>
      </c>
      <c r="G35">
        <v>14.4</v>
      </c>
      <c r="H35">
        <v>57.6</v>
      </c>
      <c r="I35" t="s">
        <v>20</v>
      </c>
    </row>
    <row r="36" spans="1:9" x14ac:dyDescent="0.25">
      <c r="A36">
        <v>7</v>
      </c>
      <c r="B36" t="s">
        <v>21</v>
      </c>
      <c r="C36" t="s">
        <v>19</v>
      </c>
      <c r="D36">
        <v>76</v>
      </c>
      <c r="E36" t="s">
        <v>16</v>
      </c>
      <c r="F36">
        <v>5</v>
      </c>
      <c r="G36">
        <v>14.4</v>
      </c>
      <c r="H36">
        <v>72</v>
      </c>
      <c r="I36" t="s">
        <v>22</v>
      </c>
    </row>
    <row r="37" spans="1:9" x14ac:dyDescent="0.25">
      <c r="A37">
        <v>3</v>
      </c>
      <c r="B37" t="s">
        <v>81</v>
      </c>
      <c r="C37" t="s">
        <v>19</v>
      </c>
      <c r="D37">
        <v>76</v>
      </c>
      <c r="E37" t="s">
        <v>16</v>
      </c>
      <c r="F37">
        <v>5</v>
      </c>
      <c r="G37">
        <v>4.8</v>
      </c>
      <c r="H37">
        <v>24</v>
      </c>
      <c r="I37" t="s">
        <v>82</v>
      </c>
    </row>
    <row r="38" spans="1:9" x14ac:dyDescent="0.25">
      <c r="A38">
        <v>12</v>
      </c>
      <c r="B38" t="s">
        <v>83</v>
      </c>
      <c r="C38" t="s">
        <v>84</v>
      </c>
      <c r="D38">
        <v>55</v>
      </c>
      <c r="E38" t="s">
        <v>16</v>
      </c>
      <c r="F38">
        <v>6</v>
      </c>
      <c r="G38">
        <v>29.4</v>
      </c>
      <c r="H38">
        <v>176.4</v>
      </c>
      <c r="I38" t="s">
        <v>85</v>
      </c>
    </row>
    <row r="39" spans="1:9" x14ac:dyDescent="0.25">
      <c r="A39">
        <v>14</v>
      </c>
      <c r="B39" t="s">
        <v>83</v>
      </c>
      <c r="C39" t="s">
        <v>84</v>
      </c>
      <c r="D39">
        <v>371</v>
      </c>
      <c r="E39" t="s">
        <v>16</v>
      </c>
      <c r="F39">
        <v>4</v>
      </c>
      <c r="G39">
        <v>29.4</v>
      </c>
      <c r="H39">
        <v>117.6</v>
      </c>
      <c r="I39" t="s">
        <v>85</v>
      </c>
    </row>
    <row r="40" spans="1:9" x14ac:dyDescent="0.25">
      <c r="A40">
        <v>46</v>
      </c>
      <c r="B40" t="s">
        <v>86</v>
      </c>
      <c r="C40" t="s">
        <v>84</v>
      </c>
      <c r="D40">
        <v>55</v>
      </c>
      <c r="E40" t="s">
        <v>16</v>
      </c>
      <c r="F40">
        <v>6</v>
      </c>
      <c r="G40">
        <v>25.68</v>
      </c>
      <c r="H40">
        <v>154.08000000000001</v>
      </c>
      <c r="I40" t="s">
        <v>87</v>
      </c>
    </row>
    <row r="41" spans="1:9" x14ac:dyDescent="0.25">
      <c r="A41">
        <v>45</v>
      </c>
      <c r="B41" t="s">
        <v>86</v>
      </c>
      <c r="C41" t="s">
        <v>84</v>
      </c>
      <c r="D41">
        <v>371</v>
      </c>
      <c r="E41" t="s">
        <v>16</v>
      </c>
      <c r="F41">
        <v>4</v>
      </c>
      <c r="G41">
        <v>25.68</v>
      </c>
      <c r="H41">
        <v>102.72</v>
      </c>
      <c r="I41" t="s">
        <v>87</v>
      </c>
    </row>
    <row r="42" spans="1:9" x14ac:dyDescent="0.25">
      <c r="A42">
        <v>10</v>
      </c>
      <c r="B42" t="s">
        <v>88</v>
      </c>
      <c r="C42" t="s">
        <v>89</v>
      </c>
      <c r="D42">
        <v>55</v>
      </c>
      <c r="E42" t="s">
        <v>16</v>
      </c>
      <c r="F42">
        <v>6</v>
      </c>
      <c r="G42">
        <v>12.1</v>
      </c>
      <c r="H42">
        <v>72.599999999999994</v>
      </c>
      <c r="I42" t="s">
        <v>90</v>
      </c>
    </row>
    <row r="43" spans="1:9" x14ac:dyDescent="0.25">
      <c r="A43">
        <v>18</v>
      </c>
      <c r="B43" t="s">
        <v>91</v>
      </c>
      <c r="C43" t="s">
        <v>92</v>
      </c>
      <c r="D43">
        <v>17</v>
      </c>
      <c r="E43" t="s">
        <v>16</v>
      </c>
      <c r="F43">
        <v>3</v>
      </c>
      <c r="G43">
        <v>11.2</v>
      </c>
      <c r="H43">
        <v>33.6</v>
      </c>
      <c r="I43" t="s">
        <v>93</v>
      </c>
    </row>
    <row r="44" spans="1:9" x14ac:dyDescent="0.25">
      <c r="A44">
        <v>16</v>
      </c>
      <c r="B44" t="s">
        <v>91</v>
      </c>
      <c r="C44" t="s">
        <v>92</v>
      </c>
      <c r="D44">
        <v>18</v>
      </c>
      <c r="E44" t="s">
        <v>16</v>
      </c>
      <c r="F44">
        <v>4</v>
      </c>
      <c r="G44">
        <v>11.2</v>
      </c>
      <c r="H44">
        <v>44.8</v>
      </c>
      <c r="I44" t="s">
        <v>93</v>
      </c>
    </row>
    <row r="45" spans="1:9" x14ac:dyDescent="0.25">
      <c r="A45">
        <v>2</v>
      </c>
      <c r="B45" t="s">
        <v>91</v>
      </c>
      <c r="C45" t="s">
        <v>92</v>
      </c>
      <c r="D45">
        <v>55</v>
      </c>
      <c r="E45" t="s">
        <v>16</v>
      </c>
      <c r="F45">
        <v>4</v>
      </c>
      <c r="G45">
        <v>11.2</v>
      </c>
      <c r="H45">
        <v>44.8</v>
      </c>
      <c r="I45" t="s">
        <v>93</v>
      </c>
    </row>
    <row r="46" spans="1:9" x14ac:dyDescent="0.25">
      <c r="A46">
        <v>19</v>
      </c>
      <c r="B46" t="s">
        <v>91</v>
      </c>
      <c r="C46" t="s">
        <v>92</v>
      </c>
      <c r="D46">
        <v>134</v>
      </c>
      <c r="E46" t="s">
        <v>16</v>
      </c>
      <c r="F46">
        <v>3</v>
      </c>
      <c r="G46">
        <v>11.2</v>
      </c>
      <c r="H46">
        <v>33.6</v>
      </c>
      <c r="I46" t="s">
        <v>93</v>
      </c>
    </row>
    <row r="47" spans="1:9" x14ac:dyDescent="0.25">
      <c r="A47">
        <v>9</v>
      </c>
      <c r="B47" t="s">
        <v>94</v>
      </c>
      <c r="C47" t="s">
        <v>95</v>
      </c>
      <c r="D47">
        <v>55</v>
      </c>
      <c r="E47" t="s">
        <v>16</v>
      </c>
      <c r="F47">
        <v>15</v>
      </c>
      <c r="G47">
        <v>10.9</v>
      </c>
      <c r="H47">
        <v>163.5</v>
      </c>
      <c r="I47" t="s">
        <v>96</v>
      </c>
    </row>
    <row r="48" spans="1:9" x14ac:dyDescent="0.25">
      <c r="A48">
        <v>8</v>
      </c>
      <c r="B48" t="s">
        <v>94</v>
      </c>
      <c r="C48" t="s">
        <v>95</v>
      </c>
      <c r="D48">
        <v>76</v>
      </c>
      <c r="E48" t="s">
        <v>16</v>
      </c>
      <c r="F48">
        <v>10</v>
      </c>
      <c r="G48">
        <v>10.9</v>
      </c>
      <c r="H48">
        <v>109</v>
      </c>
      <c r="I48" t="s">
        <v>96</v>
      </c>
    </row>
    <row r="49" spans="1:9" x14ac:dyDescent="0.25">
      <c r="A49">
        <v>1</v>
      </c>
      <c r="B49" t="s">
        <v>94</v>
      </c>
      <c r="C49" t="s">
        <v>95</v>
      </c>
      <c r="D49">
        <v>389</v>
      </c>
      <c r="E49" t="s">
        <v>16</v>
      </c>
      <c r="F49">
        <v>15</v>
      </c>
      <c r="G49">
        <v>10.9</v>
      </c>
      <c r="H49">
        <v>163.5</v>
      </c>
      <c r="I49" t="s">
        <v>96</v>
      </c>
    </row>
    <row r="50" spans="1:9" x14ac:dyDescent="0.25">
      <c r="A50" t="s">
        <v>0</v>
      </c>
      <c r="C50" t="s">
        <v>1</v>
      </c>
      <c r="E50" t="s">
        <v>2</v>
      </c>
      <c r="F50" t="s">
        <v>58</v>
      </c>
    </row>
    <row r="51" spans="1:9" x14ac:dyDescent="0.25">
      <c r="A51" t="s">
        <v>104</v>
      </c>
      <c r="C51" t="s">
        <v>105</v>
      </c>
      <c r="E51">
        <v>166.1</v>
      </c>
      <c r="F51">
        <v>166.1</v>
      </c>
      <c r="I51" t="s">
        <v>117</v>
      </c>
    </row>
    <row r="52" spans="1:9" x14ac:dyDescent="0.25">
      <c r="A52" t="s">
        <v>5</v>
      </c>
      <c r="B52" t="s">
        <v>62</v>
      </c>
      <c r="C52" t="s">
        <v>63</v>
      </c>
      <c r="D52" t="s">
        <v>8</v>
      </c>
      <c r="E52" t="s">
        <v>9</v>
      </c>
      <c r="F52" t="s">
        <v>64</v>
      </c>
      <c r="G52" t="s">
        <v>11</v>
      </c>
      <c r="H52" t="s">
        <v>12</v>
      </c>
      <c r="I52" t="s">
        <v>65</v>
      </c>
    </row>
    <row r="53" spans="1:9" x14ac:dyDescent="0.25">
      <c r="A53">
        <v>1</v>
      </c>
      <c r="B53" t="s">
        <v>99</v>
      </c>
      <c r="C53" t="s">
        <v>100</v>
      </c>
      <c r="D53">
        <v>38</v>
      </c>
      <c r="E53" t="s">
        <v>16</v>
      </c>
      <c r="F53">
        <v>10</v>
      </c>
      <c r="G53">
        <v>6.05</v>
      </c>
      <c r="H53">
        <v>60.5</v>
      </c>
      <c r="I53" t="s">
        <v>101</v>
      </c>
    </row>
    <row r="54" spans="1:9" x14ac:dyDescent="0.25">
      <c r="A54">
        <v>2</v>
      </c>
      <c r="B54" t="s">
        <v>106</v>
      </c>
      <c r="C54" t="s">
        <v>19</v>
      </c>
      <c r="D54">
        <v>24</v>
      </c>
      <c r="E54" t="s">
        <v>16</v>
      </c>
      <c r="F54">
        <v>2</v>
      </c>
      <c r="G54">
        <v>12.6</v>
      </c>
      <c r="H54">
        <v>25.2</v>
      </c>
      <c r="I54" t="s">
        <v>107</v>
      </c>
    </row>
    <row r="55" spans="1:9" x14ac:dyDescent="0.25">
      <c r="A55">
        <v>3</v>
      </c>
      <c r="B55" t="s">
        <v>102</v>
      </c>
      <c r="C55" t="s">
        <v>19</v>
      </c>
      <c r="D55">
        <v>559</v>
      </c>
      <c r="E55" t="s">
        <v>16</v>
      </c>
      <c r="F55">
        <v>2</v>
      </c>
      <c r="G55">
        <v>14.16</v>
      </c>
      <c r="H55">
        <v>28.32</v>
      </c>
      <c r="I55" t="s">
        <v>103</v>
      </c>
    </row>
    <row r="56" spans="1:9" x14ac:dyDescent="0.25">
      <c r="A56">
        <v>5</v>
      </c>
      <c r="B56" t="s">
        <v>23</v>
      </c>
      <c r="C56" t="s">
        <v>19</v>
      </c>
      <c r="D56">
        <v>18</v>
      </c>
      <c r="E56" t="s">
        <v>16</v>
      </c>
      <c r="F56">
        <v>2</v>
      </c>
      <c r="G56">
        <v>14.16</v>
      </c>
      <c r="H56">
        <v>28.32</v>
      </c>
      <c r="I56" t="s">
        <v>24</v>
      </c>
    </row>
    <row r="57" spans="1:9" x14ac:dyDescent="0.25">
      <c r="A57">
        <v>4</v>
      </c>
      <c r="B57" t="s">
        <v>25</v>
      </c>
      <c r="C57" t="s">
        <v>19</v>
      </c>
      <c r="D57">
        <v>540</v>
      </c>
      <c r="E57" t="s">
        <v>16</v>
      </c>
      <c r="F57">
        <v>2</v>
      </c>
      <c r="G57">
        <v>11.88</v>
      </c>
      <c r="H57">
        <v>23.76</v>
      </c>
      <c r="I57" t="s">
        <v>26</v>
      </c>
    </row>
    <row r="58" spans="1:9" x14ac:dyDescent="0.25">
      <c r="A58" t="s">
        <v>0</v>
      </c>
      <c r="C58" t="s">
        <v>1</v>
      </c>
      <c r="E58" t="s">
        <v>2</v>
      </c>
      <c r="F58" t="s">
        <v>58</v>
      </c>
    </row>
    <row r="59" spans="1:9" x14ac:dyDescent="0.25">
      <c r="A59" t="s">
        <v>108</v>
      </c>
      <c r="C59" t="s">
        <v>109</v>
      </c>
      <c r="E59">
        <v>397.29</v>
      </c>
      <c r="F59">
        <v>397.29</v>
      </c>
      <c r="I59" t="s">
        <v>117</v>
      </c>
    </row>
    <row r="60" spans="1:9" x14ac:dyDescent="0.25">
      <c r="A60" t="s">
        <v>5</v>
      </c>
      <c r="B60" t="s">
        <v>62</v>
      </c>
      <c r="C60" t="s">
        <v>63</v>
      </c>
      <c r="D60" t="s">
        <v>8</v>
      </c>
      <c r="E60" t="s">
        <v>9</v>
      </c>
      <c r="F60" t="s">
        <v>64</v>
      </c>
      <c r="G60" t="s">
        <v>11</v>
      </c>
      <c r="H60" t="s">
        <v>12</v>
      </c>
      <c r="I60" t="s">
        <v>65</v>
      </c>
    </row>
    <row r="61" spans="1:9" x14ac:dyDescent="0.25">
      <c r="A61">
        <v>2</v>
      </c>
      <c r="B61" t="s">
        <v>110</v>
      </c>
      <c r="C61" t="s">
        <v>100</v>
      </c>
      <c r="D61">
        <v>38</v>
      </c>
      <c r="E61" t="s">
        <v>16</v>
      </c>
      <c r="F61">
        <v>15</v>
      </c>
      <c r="G61">
        <v>7.03</v>
      </c>
      <c r="H61">
        <v>105.45</v>
      </c>
      <c r="I61" t="s">
        <v>111</v>
      </c>
    </row>
    <row r="62" spans="1:9" x14ac:dyDescent="0.25">
      <c r="A62">
        <v>1</v>
      </c>
      <c r="B62" t="s">
        <v>21</v>
      </c>
      <c r="C62" t="s">
        <v>19</v>
      </c>
      <c r="D62">
        <v>26</v>
      </c>
      <c r="E62" t="s">
        <v>16</v>
      </c>
      <c r="F62">
        <v>8</v>
      </c>
      <c r="G62">
        <v>14.4</v>
      </c>
      <c r="H62">
        <v>115.2</v>
      </c>
      <c r="I62" t="s">
        <v>22</v>
      </c>
    </row>
    <row r="63" spans="1:9" x14ac:dyDescent="0.25">
      <c r="A63">
        <v>5</v>
      </c>
      <c r="B63" t="s">
        <v>18</v>
      </c>
      <c r="C63" t="s">
        <v>19</v>
      </c>
      <c r="D63">
        <v>559</v>
      </c>
      <c r="E63" t="s">
        <v>16</v>
      </c>
      <c r="F63">
        <v>8</v>
      </c>
      <c r="G63">
        <v>14.4</v>
      </c>
      <c r="H63">
        <v>115.2</v>
      </c>
      <c r="I63" t="s">
        <v>20</v>
      </c>
    </row>
    <row r="64" spans="1:9" x14ac:dyDescent="0.25">
      <c r="A64">
        <v>3</v>
      </c>
      <c r="B64" t="s">
        <v>112</v>
      </c>
      <c r="C64" t="s">
        <v>19</v>
      </c>
      <c r="D64">
        <v>540</v>
      </c>
      <c r="E64" t="s">
        <v>16</v>
      </c>
      <c r="F64">
        <v>3</v>
      </c>
      <c r="G64">
        <v>11.04</v>
      </c>
      <c r="H64">
        <v>33.119999999999997</v>
      </c>
      <c r="I64" t="s">
        <v>113</v>
      </c>
    </row>
    <row r="65" spans="1:9" x14ac:dyDescent="0.25">
      <c r="A65">
        <v>4</v>
      </c>
      <c r="B65" t="s">
        <v>102</v>
      </c>
      <c r="C65" t="s">
        <v>19</v>
      </c>
      <c r="D65">
        <v>78</v>
      </c>
      <c r="E65" t="s">
        <v>16</v>
      </c>
      <c r="F65">
        <v>2</v>
      </c>
      <c r="G65">
        <v>14.16</v>
      </c>
      <c r="H65">
        <v>28.32</v>
      </c>
      <c r="I65" t="s">
        <v>103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35"/>
  <sheetViews>
    <sheetView workbookViewId="0">
      <selection activeCell="H1" sqref="A1:XFD1048576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E1" t="s">
        <v>2</v>
      </c>
      <c r="F1" t="s">
        <v>58</v>
      </c>
    </row>
    <row r="2" spans="1:9" x14ac:dyDescent="0.25">
      <c r="A2" t="s">
        <v>97</v>
      </c>
      <c r="C2" t="s">
        <v>98</v>
      </c>
      <c r="E2">
        <v>88.82</v>
      </c>
      <c r="F2">
        <v>88.82</v>
      </c>
      <c r="I2" t="s">
        <v>116</v>
      </c>
    </row>
    <row r="3" spans="1:9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</row>
    <row r="4" spans="1:9" x14ac:dyDescent="0.25">
      <c r="A4">
        <v>2</v>
      </c>
      <c r="B4" t="s">
        <v>99</v>
      </c>
      <c r="C4" t="s">
        <v>100</v>
      </c>
      <c r="D4">
        <v>38</v>
      </c>
      <c r="E4">
        <v>10</v>
      </c>
      <c r="F4">
        <v>10</v>
      </c>
      <c r="G4">
        <v>6.05</v>
      </c>
      <c r="H4">
        <v>60.5</v>
      </c>
      <c r="I4" t="s">
        <v>101</v>
      </c>
    </row>
    <row r="5" spans="1:9" x14ac:dyDescent="0.25">
      <c r="A5">
        <v>1</v>
      </c>
      <c r="B5" t="s">
        <v>102</v>
      </c>
      <c r="C5" t="s">
        <v>19</v>
      </c>
      <c r="D5">
        <v>559</v>
      </c>
      <c r="E5">
        <v>2</v>
      </c>
      <c r="F5">
        <v>2</v>
      </c>
      <c r="G5">
        <v>14.16</v>
      </c>
      <c r="H5">
        <v>28.32</v>
      </c>
      <c r="I5" t="s">
        <v>103</v>
      </c>
    </row>
    <row r="6" spans="1:9" x14ac:dyDescent="0.25">
      <c r="A6" t="s">
        <v>0</v>
      </c>
      <c r="C6" t="s">
        <v>1</v>
      </c>
      <c r="E6" t="s">
        <v>2</v>
      </c>
      <c r="F6" t="s">
        <v>58</v>
      </c>
    </row>
    <row r="7" spans="1:9" x14ac:dyDescent="0.25">
      <c r="A7" t="s">
        <v>114</v>
      </c>
      <c r="C7" t="s">
        <v>115</v>
      </c>
      <c r="E7">
        <v>675.69</v>
      </c>
      <c r="F7">
        <v>675.69</v>
      </c>
      <c r="I7" t="s">
        <v>116</v>
      </c>
    </row>
    <row r="8" spans="1:9" x14ac:dyDescent="0.25">
      <c r="A8" t="s">
        <v>5</v>
      </c>
      <c r="B8" t="s">
        <v>62</v>
      </c>
      <c r="C8" t="s">
        <v>63</v>
      </c>
      <c r="D8" t="s">
        <v>8</v>
      </c>
      <c r="E8" t="s">
        <v>9</v>
      </c>
      <c r="F8" t="s">
        <v>64</v>
      </c>
      <c r="G8" t="s">
        <v>11</v>
      </c>
      <c r="H8" t="s">
        <v>12</v>
      </c>
      <c r="I8" t="s">
        <v>65</v>
      </c>
    </row>
    <row r="9" spans="1:9" x14ac:dyDescent="0.25">
      <c r="A9">
        <v>3</v>
      </c>
      <c r="B9" t="s">
        <v>110</v>
      </c>
      <c r="C9" t="s">
        <v>100</v>
      </c>
      <c r="D9">
        <v>38</v>
      </c>
      <c r="E9" t="s">
        <v>16</v>
      </c>
      <c r="F9">
        <v>15</v>
      </c>
      <c r="G9">
        <v>7.03</v>
      </c>
      <c r="H9">
        <v>105.45</v>
      </c>
      <c r="I9" t="s">
        <v>111</v>
      </c>
    </row>
    <row r="10" spans="1:9" x14ac:dyDescent="0.25">
      <c r="A10">
        <v>1</v>
      </c>
      <c r="B10" t="s">
        <v>21</v>
      </c>
      <c r="C10" t="s">
        <v>19</v>
      </c>
      <c r="D10">
        <v>26</v>
      </c>
      <c r="E10" t="s">
        <v>16</v>
      </c>
      <c r="F10">
        <v>8</v>
      </c>
      <c r="G10">
        <v>14.4</v>
      </c>
      <c r="H10">
        <v>115.2</v>
      </c>
      <c r="I10" t="s">
        <v>22</v>
      </c>
    </row>
    <row r="11" spans="1:9" x14ac:dyDescent="0.25">
      <c r="A11">
        <v>2</v>
      </c>
      <c r="B11" t="s">
        <v>21</v>
      </c>
      <c r="C11" t="s">
        <v>19</v>
      </c>
      <c r="D11">
        <v>75</v>
      </c>
      <c r="E11" t="s">
        <v>16</v>
      </c>
      <c r="F11">
        <v>10</v>
      </c>
      <c r="G11">
        <v>14.4</v>
      </c>
      <c r="H11">
        <v>144</v>
      </c>
      <c r="I11" t="s">
        <v>22</v>
      </c>
    </row>
    <row r="12" spans="1:9" x14ac:dyDescent="0.25">
      <c r="A12">
        <v>6</v>
      </c>
      <c r="B12" t="s">
        <v>18</v>
      </c>
      <c r="C12" t="s">
        <v>19</v>
      </c>
      <c r="D12">
        <v>559</v>
      </c>
      <c r="E12" t="s">
        <v>16</v>
      </c>
      <c r="F12">
        <v>8</v>
      </c>
      <c r="G12">
        <v>14.4</v>
      </c>
      <c r="H12">
        <v>115.2</v>
      </c>
      <c r="I12" t="s">
        <v>20</v>
      </c>
    </row>
    <row r="13" spans="1:9" x14ac:dyDescent="0.25">
      <c r="A13">
        <v>7</v>
      </c>
      <c r="B13" t="s">
        <v>21</v>
      </c>
      <c r="C13" t="s">
        <v>19</v>
      </c>
      <c r="D13">
        <v>559</v>
      </c>
      <c r="E13" t="s">
        <v>16</v>
      </c>
      <c r="F13">
        <v>8</v>
      </c>
      <c r="G13">
        <v>14.4</v>
      </c>
      <c r="H13">
        <v>115.2</v>
      </c>
      <c r="I13" t="s">
        <v>22</v>
      </c>
    </row>
    <row r="14" spans="1:9" x14ac:dyDescent="0.25">
      <c r="A14">
        <v>8</v>
      </c>
      <c r="B14" t="s">
        <v>112</v>
      </c>
      <c r="C14" t="s">
        <v>19</v>
      </c>
      <c r="D14">
        <v>540</v>
      </c>
      <c r="E14" t="s">
        <v>16</v>
      </c>
      <c r="F14">
        <v>3</v>
      </c>
      <c r="G14">
        <v>11.04</v>
      </c>
      <c r="H14">
        <v>33.119999999999997</v>
      </c>
      <c r="I14" t="s">
        <v>113</v>
      </c>
    </row>
    <row r="15" spans="1:9" x14ac:dyDescent="0.25">
      <c r="A15">
        <v>4</v>
      </c>
      <c r="B15" t="s">
        <v>102</v>
      </c>
      <c r="C15" t="s">
        <v>19</v>
      </c>
      <c r="D15">
        <v>78</v>
      </c>
      <c r="E15" t="s">
        <v>16</v>
      </c>
      <c r="F15">
        <v>2</v>
      </c>
      <c r="G15">
        <v>14.16</v>
      </c>
      <c r="H15">
        <v>28.32</v>
      </c>
      <c r="I15" t="s">
        <v>103</v>
      </c>
    </row>
    <row r="16" spans="1:9" x14ac:dyDescent="0.25">
      <c r="A16">
        <v>5</v>
      </c>
      <c r="B16" t="s">
        <v>27</v>
      </c>
      <c r="C16" t="s">
        <v>19</v>
      </c>
      <c r="D16">
        <v>559</v>
      </c>
      <c r="E16" t="s">
        <v>16</v>
      </c>
      <c r="F16">
        <v>4</v>
      </c>
      <c r="G16">
        <v>4.8</v>
      </c>
      <c r="H16">
        <v>19.2</v>
      </c>
      <c r="I16" t="s">
        <v>67</v>
      </c>
    </row>
    <row r="17" spans="1:9" x14ac:dyDescent="0.25">
      <c r="A17" t="s">
        <v>0</v>
      </c>
      <c r="C17" t="s">
        <v>1</v>
      </c>
      <c r="E17" t="s">
        <v>2</v>
      </c>
    </row>
    <row r="18" spans="1:9" x14ac:dyDescent="0.25">
      <c r="A18" t="s">
        <v>3</v>
      </c>
      <c r="C18" t="s">
        <v>4</v>
      </c>
      <c r="E18">
        <v>979.4</v>
      </c>
      <c r="I18" t="s">
        <v>116</v>
      </c>
    </row>
    <row r="19" spans="1:9" x14ac:dyDescent="0.25">
      <c r="A19" t="s">
        <v>5</v>
      </c>
      <c r="B19" t="s">
        <v>6</v>
      </c>
      <c r="C19" t="s">
        <v>7</v>
      </c>
      <c r="D19" t="s">
        <v>8</v>
      </c>
      <c r="E19" t="s">
        <v>9</v>
      </c>
      <c r="F19" t="s">
        <v>10</v>
      </c>
      <c r="G19" t="s">
        <v>11</v>
      </c>
      <c r="H19" t="s">
        <v>12</v>
      </c>
      <c r="I19" t="s">
        <v>13</v>
      </c>
    </row>
    <row r="20" spans="1:9" x14ac:dyDescent="0.25">
      <c r="A20">
        <v>1</v>
      </c>
      <c r="B20" t="s">
        <v>14</v>
      </c>
      <c r="C20" t="s">
        <v>15</v>
      </c>
      <c r="D20">
        <v>133</v>
      </c>
      <c r="E20" t="s">
        <v>16</v>
      </c>
      <c r="F20">
        <v>8</v>
      </c>
      <c r="G20">
        <v>10.6</v>
      </c>
      <c r="H20">
        <v>84.8</v>
      </c>
      <c r="I20" t="s">
        <v>17</v>
      </c>
    </row>
    <row r="21" spans="1:9" x14ac:dyDescent="0.25">
      <c r="A21">
        <v>16</v>
      </c>
      <c r="B21" t="s">
        <v>18</v>
      </c>
      <c r="C21" t="s">
        <v>19</v>
      </c>
      <c r="D21">
        <v>389</v>
      </c>
      <c r="E21" t="s">
        <v>16</v>
      </c>
      <c r="F21">
        <v>8</v>
      </c>
      <c r="G21">
        <v>14.4</v>
      </c>
      <c r="H21">
        <v>115.2</v>
      </c>
      <c r="I21" t="s">
        <v>20</v>
      </c>
    </row>
    <row r="22" spans="1:9" x14ac:dyDescent="0.25">
      <c r="A22">
        <v>3</v>
      </c>
      <c r="B22" t="s">
        <v>21</v>
      </c>
      <c r="C22" t="s">
        <v>19</v>
      </c>
      <c r="D22">
        <v>389</v>
      </c>
      <c r="E22" t="s">
        <v>16</v>
      </c>
      <c r="F22">
        <v>10</v>
      </c>
      <c r="G22">
        <v>14.4</v>
      </c>
      <c r="H22">
        <v>144</v>
      </c>
      <c r="I22" t="s">
        <v>22</v>
      </c>
    </row>
    <row r="23" spans="1:9" x14ac:dyDescent="0.25">
      <c r="A23">
        <v>9</v>
      </c>
      <c r="B23" t="s">
        <v>23</v>
      </c>
      <c r="C23" t="s">
        <v>19</v>
      </c>
      <c r="D23">
        <v>17</v>
      </c>
      <c r="E23" t="s">
        <v>16</v>
      </c>
      <c r="F23">
        <v>3</v>
      </c>
      <c r="G23">
        <v>14.16</v>
      </c>
      <c r="H23">
        <v>42.48</v>
      </c>
      <c r="I23" t="s">
        <v>24</v>
      </c>
    </row>
    <row r="24" spans="1:9" x14ac:dyDescent="0.25">
      <c r="A24">
        <v>8</v>
      </c>
      <c r="B24" t="s">
        <v>18</v>
      </c>
      <c r="C24" t="s">
        <v>19</v>
      </c>
      <c r="D24">
        <v>24</v>
      </c>
      <c r="E24" t="s">
        <v>16</v>
      </c>
      <c r="F24">
        <v>8</v>
      </c>
      <c r="G24">
        <v>14.4</v>
      </c>
      <c r="H24">
        <v>115.2</v>
      </c>
      <c r="I24" t="s">
        <v>20</v>
      </c>
    </row>
    <row r="25" spans="1:9" x14ac:dyDescent="0.25">
      <c r="A25">
        <v>5</v>
      </c>
      <c r="B25" t="s">
        <v>18</v>
      </c>
      <c r="C25" t="s">
        <v>19</v>
      </c>
      <c r="D25">
        <v>541</v>
      </c>
      <c r="E25" t="s">
        <v>16</v>
      </c>
      <c r="F25">
        <v>6</v>
      </c>
      <c r="G25">
        <v>14.4</v>
      </c>
      <c r="H25">
        <v>86.4</v>
      </c>
      <c r="I25" t="s">
        <v>20</v>
      </c>
    </row>
    <row r="26" spans="1:9" x14ac:dyDescent="0.25">
      <c r="A26">
        <v>2</v>
      </c>
      <c r="B26" t="s">
        <v>23</v>
      </c>
      <c r="C26" t="s">
        <v>19</v>
      </c>
      <c r="D26">
        <v>78</v>
      </c>
      <c r="E26" t="s">
        <v>16</v>
      </c>
      <c r="F26">
        <v>3</v>
      </c>
      <c r="G26">
        <v>14.16</v>
      </c>
      <c r="H26">
        <v>42.48</v>
      </c>
      <c r="I26" t="s">
        <v>24</v>
      </c>
    </row>
    <row r="27" spans="1:9" x14ac:dyDescent="0.25">
      <c r="A27">
        <v>13</v>
      </c>
      <c r="B27" t="s">
        <v>25</v>
      </c>
      <c r="C27" t="s">
        <v>19</v>
      </c>
      <c r="D27">
        <v>24</v>
      </c>
      <c r="E27" t="s">
        <v>16</v>
      </c>
      <c r="F27">
        <v>2</v>
      </c>
      <c r="G27">
        <v>11.88</v>
      </c>
      <c r="H27">
        <v>23.76</v>
      </c>
      <c r="I27" t="s">
        <v>26</v>
      </c>
    </row>
    <row r="28" spans="1:9" x14ac:dyDescent="0.25">
      <c r="A28">
        <v>6</v>
      </c>
      <c r="B28" t="s">
        <v>25</v>
      </c>
      <c r="C28" t="s">
        <v>19</v>
      </c>
      <c r="D28">
        <v>71</v>
      </c>
      <c r="E28" t="s">
        <v>16</v>
      </c>
      <c r="F28">
        <v>2</v>
      </c>
      <c r="G28">
        <v>11.88</v>
      </c>
      <c r="H28">
        <v>23.76</v>
      </c>
      <c r="I28" t="s">
        <v>26</v>
      </c>
    </row>
    <row r="29" spans="1:9" x14ac:dyDescent="0.25">
      <c r="A29">
        <v>4</v>
      </c>
      <c r="B29" t="s">
        <v>27</v>
      </c>
      <c r="C29" t="s">
        <v>19</v>
      </c>
      <c r="D29">
        <v>24</v>
      </c>
      <c r="E29" t="s">
        <v>16</v>
      </c>
      <c r="F29">
        <v>5</v>
      </c>
      <c r="G29">
        <v>4.8</v>
      </c>
      <c r="H29">
        <v>24</v>
      </c>
      <c r="I29" t="s">
        <v>28</v>
      </c>
    </row>
    <row r="30" spans="1:9" x14ac:dyDescent="0.25">
      <c r="A30">
        <v>14</v>
      </c>
      <c r="B30" t="s">
        <v>29</v>
      </c>
      <c r="C30" t="s">
        <v>30</v>
      </c>
      <c r="D30">
        <v>18</v>
      </c>
      <c r="E30" t="s">
        <v>16</v>
      </c>
      <c r="F30">
        <v>5</v>
      </c>
      <c r="G30">
        <v>10.8</v>
      </c>
      <c r="H30">
        <v>54</v>
      </c>
      <c r="I30" t="s">
        <v>31</v>
      </c>
    </row>
    <row r="31" spans="1:9" x14ac:dyDescent="0.25">
      <c r="A31">
        <v>15</v>
      </c>
      <c r="B31" t="s">
        <v>29</v>
      </c>
      <c r="C31" t="s">
        <v>30</v>
      </c>
      <c r="D31">
        <v>258</v>
      </c>
      <c r="E31" t="s">
        <v>16</v>
      </c>
      <c r="F31">
        <v>8</v>
      </c>
      <c r="G31">
        <v>10.8</v>
      </c>
      <c r="H31">
        <v>86.4</v>
      </c>
      <c r="I31" t="s">
        <v>31</v>
      </c>
    </row>
    <row r="32" spans="1:9" x14ac:dyDescent="0.25">
      <c r="A32">
        <v>10</v>
      </c>
      <c r="B32" t="s">
        <v>32</v>
      </c>
      <c r="C32" t="s">
        <v>30</v>
      </c>
      <c r="D32">
        <v>18</v>
      </c>
      <c r="E32" t="s">
        <v>16</v>
      </c>
      <c r="F32">
        <v>3</v>
      </c>
      <c r="G32">
        <v>9</v>
      </c>
      <c r="H32">
        <v>27</v>
      </c>
      <c r="I32" t="s">
        <v>33</v>
      </c>
    </row>
    <row r="33" spans="1:9" x14ac:dyDescent="0.25">
      <c r="A33">
        <v>12</v>
      </c>
      <c r="B33" t="s">
        <v>32</v>
      </c>
      <c r="C33" t="s">
        <v>30</v>
      </c>
      <c r="D33">
        <v>86</v>
      </c>
      <c r="E33" t="s">
        <v>16</v>
      </c>
      <c r="F33">
        <v>5</v>
      </c>
      <c r="G33">
        <v>9</v>
      </c>
      <c r="H33">
        <v>45</v>
      </c>
      <c r="I33" t="s">
        <v>33</v>
      </c>
    </row>
    <row r="34" spans="1:9" x14ac:dyDescent="0.25">
      <c r="A34">
        <v>11</v>
      </c>
      <c r="B34" t="s">
        <v>32</v>
      </c>
      <c r="C34" t="s">
        <v>30</v>
      </c>
      <c r="D34">
        <v>258</v>
      </c>
      <c r="E34" t="s">
        <v>16</v>
      </c>
      <c r="F34">
        <v>3</v>
      </c>
      <c r="G34">
        <v>9</v>
      </c>
      <c r="H34">
        <v>27</v>
      </c>
      <c r="I34" t="s">
        <v>33</v>
      </c>
    </row>
    <row r="35" spans="1:9" x14ac:dyDescent="0.25">
      <c r="A35">
        <v>7</v>
      </c>
      <c r="B35" t="s">
        <v>34</v>
      </c>
      <c r="C35" t="s">
        <v>35</v>
      </c>
      <c r="D35">
        <v>18</v>
      </c>
      <c r="E35" t="s">
        <v>16</v>
      </c>
      <c r="F35">
        <v>2</v>
      </c>
      <c r="G35">
        <v>18.96</v>
      </c>
      <c r="H35">
        <v>37.92</v>
      </c>
      <c r="I35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35"/>
  <sheetViews>
    <sheetView workbookViewId="0">
      <selection sqref="A1:XFD1048576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E1" t="s">
        <v>2</v>
      </c>
      <c r="F1" t="s">
        <v>58</v>
      </c>
    </row>
    <row r="2" spans="1:9" x14ac:dyDescent="0.25">
      <c r="A2" t="s">
        <v>97</v>
      </c>
      <c r="C2" t="s">
        <v>98</v>
      </c>
      <c r="E2">
        <v>88.82</v>
      </c>
      <c r="F2">
        <v>88.82</v>
      </c>
      <c r="I2" t="s">
        <v>116</v>
      </c>
    </row>
    <row r="3" spans="1:9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</row>
    <row r="4" spans="1:9" x14ac:dyDescent="0.25">
      <c r="A4">
        <v>2</v>
      </c>
      <c r="B4" t="s">
        <v>99</v>
      </c>
      <c r="C4" t="s">
        <v>100</v>
      </c>
      <c r="D4">
        <v>38</v>
      </c>
      <c r="E4">
        <v>10</v>
      </c>
      <c r="F4">
        <v>10</v>
      </c>
      <c r="G4">
        <v>6.05</v>
      </c>
      <c r="H4">
        <v>60.5</v>
      </c>
      <c r="I4" t="s">
        <v>101</v>
      </c>
    </row>
    <row r="5" spans="1:9" x14ac:dyDescent="0.25">
      <c r="A5">
        <v>1</v>
      </c>
      <c r="B5" t="s">
        <v>102</v>
      </c>
      <c r="C5" t="s">
        <v>19</v>
      </c>
      <c r="D5">
        <v>559</v>
      </c>
      <c r="E5">
        <v>2</v>
      </c>
      <c r="F5">
        <v>2</v>
      </c>
      <c r="G5">
        <v>14.16</v>
      </c>
      <c r="H5">
        <v>28.32</v>
      </c>
      <c r="I5" t="s">
        <v>103</v>
      </c>
    </row>
    <row r="6" spans="1:9" x14ac:dyDescent="0.25">
      <c r="A6" t="s">
        <v>0</v>
      </c>
      <c r="C6" t="s">
        <v>1</v>
      </c>
      <c r="E6" t="s">
        <v>2</v>
      </c>
      <c r="F6" t="s">
        <v>58</v>
      </c>
    </row>
    <row r="7" spans="1:9" x14ac:dyDescent="0.25">
      <c r="A7" t="s">
        <v>114</v>
      </c>
      <c r="C7" t="s">
        <v>115</v>
      </c>
      <c r="E7">
        <v>675.69</v>
      </c>
      <c r="F7">
        <v>675.69</v>
      </c>
      <c r="I7" t="s">
        <v>116</v>
      </c>
    </row>
    <row r="8" spans="1:9" x14ac:dyDescent="0.25">
      <c r="A8" t="s">
        <v>5</v>
      </c>
      <c r="B8" t="s">
        <v>62</v>
      </c>
      <c r="C8" t="s">
        <v>63</v>
      </c>
      <c r="D8" t="s">
        <v>8</v>
      </c>
      <c r="E8" t="s">
        <v>9</v>
      </c>
      <c r="F8" t="s">
        <v>64</v>
      </c>
      <c r="G8" t="s">
        <v>11</v>
      </c>
      <c r="H8" t="s">
        <v>12</v>
      </c>
      <c r="I8" t="s">
        <v>65</v>
      </c>
    </row>
    <row r="9" spans="1:9" x14ac:dyDescent="0.25">
      <c r="A9">
        <v>3</v>
      </c>
      <c r="B9" t="s">
        <v>110</v>
      </c>
      <c r="C9" t="s">
        <v>100</v>
      </c>
      <c r="D9">
        <v>38</v>
      </c>
      <c r="E9" t="s">
        <v>16</v>
      </c>
      <c r="F9">
        <v>15</v>
      </c>
      <c r="G9">
        <v>7.03</v>
      </c>
      <c r="H9">
        <v>105.45</v>
      </c>
      <c r="I9" t="s">
        <v>111</v>
      </c>
    </row>
    <row r="10" spans="1:9" x14ac:dyDescent="0.25">
      <c r="A10">
        <v>1</v>
      </c>
      <c r="B10" t="s">
        <v>21</v>
      </c>
      <c r="C10" t="s">
        <v>19</v>
      </c>
      <c r="D10">
        <v>26</v>
      </c>
      <c r="E10" t="s">
        <v>16</v>
      </c>
      <c r="F10">
        <v>8</v>
      </c>
      <c r="G10">
        <v>14.4</v>
      </c>
      <c r="H10">
        <v>115.2</v>
      </c>
      <c r="I10" t="s">
        <v>22</v>
      </c>
    </row>
    <row r="11" spans="1:9" x14ac:dyDescent="0.25">
      <c r="A11">
        <v>2</v>
      </c>
      <c r="B11" t="s">
        <v>21</v>
      </c>
      <c r="C11" t="s">
        <v>19</v>
      </c>
      <c r="D11">
        <v>75</v>
      </c>
      <c r="E11" t="s">
        <v>16</v>
      </c>
      <c r="F11">
        <v>10</v>
      </c>
      <c r="G11">
        <v>14.4</v>
      </c>
      <c r="H11">
        <v>144</v>
      </c>
      <c r="I11" t="s">
        <v>22</v>
      </c>
    </row>
    <row r="12" spans="1:9" x14ac:dyDescent="0.25">
      <c r="A12">
        <v>6</v>
      </c>
      <c r="B12" t="s">
        <v>18</v>
      </c>
      <c r="C12" t="s">
        <v>19</v>
      </c>
      <c r="D12">
        <v>559</v>
      </c>
      <c r="E12" t="s">
        <v>16</v>
      </c>
      <c r="F12">
        <v>8</v>
      </c>
      <c r="G12">
        <v>14.4</v>
      </c>
      <c r="H12">
        <v>115.2</v>
      </c>
      <c r="I12" t="s">
        <v>20</v>
      </c>
    </row>
    <row r="13" spans="1:9" x14ac:dyDescent="0.25">
      <c r="A13">
        <v>7</v>
      </c>
      <c r="B13" t="s">
        <v>21</v>
      </c>
      <c r="C13" t="s">
        <v>19</v>
      </c>
      <c r="D13">
        <v>559</v>
      </c>
      <c r="E13" t="s">
        <v>16</v>
      </c>
      <c r="F13">
        <v>8</v>
      </c>
      <c r="G13">
        <v>14.4</v>
      </c>
      <c r="H13">
        <v>115.2</v>
      </c>
      <c r="I13" t="s">
        <v>22</v>
      </c>
    </row>
    <row r="14" spans="1:9" x14ac:dyDescent="0.25">
      <c r="A14">
        <v>8</v>
      </c>
      <c r="B14" t="s">
        <v>112</v>
      </c>
      <c r="C14" t="s">
        <v>19</v>
      </c>
      <c r="D14">
        <v>540</v>
      </c>
      <c r="E14" t="s">
        <v>16</v>
      </c>
      <c r="F14">
        <v>3</v>
      </c>
      <c r="G14">
        <v>11.04</v>
      </c>
      <c r="H14">
        <v>33.119999999999997</v>
      </c>
      <c r="I14" t="s">
        <v>113</v>
      </c>
    </row>
    <row r="15" spans="1:9" x14ac:dyDescent="0.25">
      <c r="A15">
        <v>4</v>
      </c>
      <c r="B15" t="s">
        <v>102</v>
      </c>
      <c r="C15" t="s">
        <v>19</v>
      </c>
      <c r="D15">
        <v>78</v>
      </c>
      <c r="E15" t="s">
        <v>16</v>
      </c>
      <c r="F15">
        <v>2</v>
      </c>
      <c r="G15">
        <v>14.16</v>
      </c>
      <c r="H15">
        <v>28.32</v>
      </c>
      <c r="I15" t="s">
        <v>103</v>
      </c>
    </row>
    <row r="16" spans="1:9" x14ac:dyDescent="0.25">
      <c r="A16">
        <v>5</v>
      </c>
      <c r="B16" t="s">
        <v>27</v>
      </c>
      <c r="C16" t="s">
        <v>19</v>
      </c>
      <c r="D16">
        <v>559</v>
      </c>
      <c r="E16" t="s">
        <v>16</v>
      </c>
      <c r="F16">
        <v>4</v>
      </c>
      <c r="G16">
        <v>4.8</v>
      </c>
      <c r="H16">
        <v>19.2</v>
      </c>
      <c r="I16" t="s">
        <v>67</v>
      </c>
    </row>
    <row r="17" spans="1:9" x14ac:dyDescent="0.25">
      <c r="A17" t="s">
        <v>0</v>
      </c>
      <c r="C17" t="s">
        <v>1</v>
      </c>
      <c r="E17" t="s">
        <v>2</v>
      </c>
    </row>
    <row r="18" spans="1:9" x14ac:dyDescent="0.25">
      <c r="A18" t="s">
        <v>3</v>
      </c>
      <c r="C18" t="s">
        <v>4</v>
      </c>
      <c r="E18">
        <v>979.4</v>
      </c>
      <c r="I18" t="s">
        <v>116</v>
      </c>
    </row>
    <row r="19" spans="1:9" x14ac:dyDescent="0.25">
      <c r="A19" t="s">
        <v>5</v>
      </c>
      <c r="B19" t="s">
        <v>6</v>
      </c>
      <c r="C19" t="s">
        <v>7</v>
      </c>
      <c r="D19" t="s">
        <v>8</v>
      </c>
      <c r="E19" t="s">
        <v>9</v>
      </c>
      <c r="F19" t="s">
        <v>10</v>
      </c>
      <c r="G19" t="s">
        <v>11</v>
      </c>
      <c r="H19" t="s">
        <v>12</v>
      </c>
      <c r="I19" t="s">
        <v>13</v>
      </c>
    </row>
    <row r="20" spans="1:9" x14ac:dyDescent="0.25">
      <c r="A20">
        <v>1</v>
      </c>
      <c r="B20" t="s">
        <v>14</v>
      </c>
      <c r="C20" t="s">
        <v>15</v>
      </c>
      <c r="D20">
        <v>133</v>
      </c>
      <c r="E20" t="s">
        <v>16</v>
      </c>
      <c r="F20">
        <v>8</v>
      </c>
      <c r="G20">
        <v>10.6</v>
      </c>
      <c r="H20">
        <v>84.8</v>
      </c>
      <c r="I20" t="s">
        <v>17</v>
      </c>
    </row>
    <row r="21" spans="1:9" x14ac:dyDescent="0.25">
      <c r="A21">
        <v>16</v>
      </c>
      <c r="B21" t="s">
        <v>18</v>
      </c>
      <c r="C21" t="s">
        <v>19</v>
      </c>
      <c r="D21">
        <v>389</v>
      </c>
      <c r="E21" t="s">
        <v>16</v>
      </c>
      <c r="F21">
        <v>8</v>
      </c>
      <c r="G21">
        <v>14.4</v>
      </c>
      <c r="H21">
        <v>115.2</v>
      </c>
      <c r="I21" t="s">
        <v>20</v>
      </c>
    </row>
    <row r="22" spans="1:9" x14ac:dyDescent="0.25">
      <c r="A22">
        <v>3</v>
      </c>
      <c r="B22" t="s">
        <v>21</v>
      </c>
      <c r="C22" t="s">
        <v>19</v>
      </c>
      <c r="D22">
        <v>389</v>
      </c>
      <c r="E22" t="s">
        <v>16</v>
      </c>
      <c r="F22">
        <v>10</v>
      </c>
      <c r="G22">
        <v>14.4</v>
      </c>
      <c r="H22">
        <v>144</v>
      </c>
      <c r="I22" t="s">
        <v>22</v>
      </c>
    </row>
    <row r="23" spans="1:9" x14ac:dyDescent="0.25">
      <c r="A23">
        <v>9</v>
      </c>
      <c r="B23" t="s">
        <v>23</v>
      </c>
      <c r="C23" t="s">
        <v>19</v>
      </c>
      <c r="D23">
        <v>17</v>
      </c>
      <c r="E23" t="s">
        <v>16</v>
      </c>
      <c r="F23">
        <v>3</v>
      </c>
      <c r="G23">
        <v>14.16</v>
      </c>
      <c r="H23">
        <v>42.48</v>
      </c>
      <c r="I23" t="s">
        <v>24</v>
      </c>
    </row>
    <row r="24" spans="1:9" x14ac:dyDescent="0.25">
      <c r="A24">
        <v>8</v>
      </c>
      <c r="B24" t="s">
        <v>18</v>
      </c>
      <c r="C24" t="s">
        <v>19</v>
      </c>
      <c r="D24">
        <v>24</v>
      </c>
      <c r="E24" t="s">
        <v>16</v>
      </c>
      <c r="F24">
        <v>8</v>
      </c>
      <c r="G24">
        <v>14.4</v>
      </c>
      <c r="H24">
        <v>115.2</v>
      </c>
      <c r="I24" t="s">
        <v>20</v>
      </c>
    </row>
    <row r="25" spans="1:9" x14ac:dyDescent="0.25">
      <c r="A25">
        <v>5</v>
      </c>
      <c r="B25" t="s">
        <v>18</v>
      </c>
      <c r="C25" t="s">
        <v>19</v>
      </c>
      <c r="D25">
        <v>541</v>
      </c>
      <c r="E25" t="s">
        <v>16</v>
      </c>
      <c r="F25">
        <v>6</v>
      </c>
      <c r="G25">
        <v>14.4</v>
      </c>
      <c r="H25">
        <v>86.4</v>
      </c>
      <c r="I25" t="s">
        <v>20</v>
      </c>
    </row>
    <row r="26" spans="1:9" x14ac:dyDescent="0.25">
      <c r="A26">
        <v>2</v>
      </c>
      <c r="B26" t="s">
        <v>23</v>
      </c>
      <c r="C26" t="s">
        <v>19</v>
      </c>
      <c r="D26">
        <v>78</v>
      </c>
      <c r="E26" t="s">
        <v>16</v>
      </c>
      <c r="F26">
        <v>3</v>
      </c>
      <c r="G26">
        <v>14.16</v>
      </c>
      <c r="H26">
        <v>42.48</v>
      </c>
      <c r="I26" t="s">
        <v>24</v>
      </c>
    </row>
    <row r="27" spans="1:9" x14ac:dyDescent="0.25">
      <c r="A27">
        <v>13</v>
      </c>
      <c r="B27" t="s">
        <v>25</v>
      </c>
      <c r="C27" t="s">
        <v>19</v>
      </c>
      <c r="D27">
        <v>24</v>
      </c>
      <c r="E27" t="s">
        <v>16</v>
      </c>
      <c r="F27">
        <v>2</v>
      </c>
      <c r="G27">
        <v>11.88</v>
      </c>
      <c r="H27">
        <v>23.76</v>
      </c>
      <c r="I27" t="s">
        <v>26</v>
      </c>
    </row>
    <row r="28" spans="1:9" x14ac:dyDescent="0.25">
      <c r="A28">
        <v>6</v>
      </c>
      <c r="B28" t="s">
        <v>25</v>
      </c>
      <c r="C28" t="s">
        <v>19</v>
      </c>
      <c r="D28">
        <v>71</v>
      </c>
      <c r="E28" t="s">
        <v>16</v>
      </c>
      <c r="F28">
        <v>2</v>
      </c>
      <c r="G28">
        <v>11.88</v>
      </c>
      <c r="H28">
        <v>23.76</v>
      </c>
      <c r="I28" t="s">
        <v>26</v>
      </c>
    </row>
    <row r="29" spans="1:9" x14ac:dyDescent="0.25">
      <c r="A29">
        <v>4</v>
      </c>
      <c r="B29" t="s">
        <v>27</v>
      </c>
      <c r="C29" t="s">
        <v>19</v>
      </c>
      <c r="D29">
        <v>24</v>
      </c>
      <c r="E29" t="s">
        <v>16</v>
      </c>
      <c r="F29">
        <v>5</v>
      </c>
      <c r="G29">
        <v>4.8</v>
      </c>
      <c r="H29">
        <v>24</v>
      </c>
      <c r="I29" t="s">
        <v>28</v>
      </c>
    </row>
    <row r="30" spans="1:9" x14ac:dyDescent="0.25">
      <c r="A30">
        <v>14</v>
      </c>
      <c r="B30" t="s">
        <v>29</v>
      </c>
      <c r="C30" t="s">
        <v>30</v>
      </c>
      <c r="D30">
        <v>18</v>
      </c>
      <c r="E30" t="s">
        <v>16</v>
      </c>
      <c r="F30">
        <v>5</v>
      </c>
      <c r="G30">
        <v>10.8</v>
      </c>
      <c r="H30">
        <v>54</v>
      </c>
      <c r="I30" t="s">
        <v>31</v>
      </c>
    </row>
    <row r="31" spans="1:9" x14ac:dyDescent="0.25">
      <c r="A31">
        <v>15</v>
      </c>
      <c r="B31" t="s">
        <v>29</v>
      </c>
      <c r="C31" t="s">
        <v>30</v>
      </c>
      <c r="D31">
        <v>258</v>
      </c>
      <c r="E31" t="s">
        <v>16</v>
      </c>
      <c r="F31">
        <v>8</v>
      </c>
      <c r="G31">
        <v>10.8</v>
      </c>
      <c r="H31">
        <v>86.4</v>
      </c>
      <c r="I31" t="s">
        <v>31</v>
      </c>
    </row>
    <row r="32" spans="1:9" x14ac:dyDescent="0.25">
      <c r="A32">
        <v>10</v>
      </c>
      <c r="B32" t="s">
        <v>32</v>
      </c>
      <c r="C32" t="s">
        <v>30</v>
      </c>
      <c r="D32">
        <v>18</v>
      </c>
      <c r="E32" t="s">
        <v>16</v>
      </c>
      <c r="F32">
        <v>3</v>
      </c>
      <c r="G32">
        <v>9</v>
      </c>
      <c r="H32">
        <v>27</v>
      </c>
      <c r="I32" t="s">
        <v>33</v>
      </c>
    </row>
    <row r="33" spans="1:9" x14ac:dyDescent="0.25">
      <c r="A33">
        <v>12</v>
      </c>
      <c r="B33" t="s">
        <v>32</v>
      </c>
      <c r="C33" t="s">
        <v>30</v>
      </c>
      <c r="D33">
        <v>86</v>
      </c>
      <c r="E33" t="s">
        <v>16</v>
      </c>
      <c r="F33">
        <v>5</v>
      </c>
      <c r="G33">
        <v>9</v>
      </c>
      <c r="H33">
        <v>45</v>
      </c>
      <c r="I33" t="s">
        <v>33</v>
      </c>
    </row>
    <row r="34" spans="1:9" x14ac:dyDescent="0.25">
      <c r="A34">
        <v>11</v>
      </c>
      <c r="B34" t="s">
        <v>32</v>
      </c>
      <c r="C34" t="s">
        <v>30</v>
      </c>
      <c r="D34">
        <v>258</v>
      </c>
      <c r="E34" t="s">
        <v>16</v>
      </c>
      <c r="F34">
        <v>3</v>
      </c>
      <c r="G34">
        <v>9</v>
      </c>
      <c r="H34">
        <v>27</v>
      </c>
      <c r="I34" t="s">
        <v>33</v>
      </c>
    </row>
    <row r="35" spans="1:9" x14ac:dyDescent="0.25">
      <c r="A35">
        <v>7</v>
      </c>
      <c r="B35" t="s">
        <v>34</v>
      </c>
      <c r="C35" t="s">
        <v>35</v>
      </c>
      <c r="D35">
        <v>18</v>
      </c>
      <c r="E35" t="s">
        <v>16</v>
      </c>
      <c r="F35">
        <v>2</v>
      </c>
      <c r="G35">
        <v>18.96</v>
      </c>
      <c r="H35">
        <v>37.92</v>
      </c>
      <c r="I35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E213"/>
  <sheetViews>
    <sheetView tabSelected="1" workbookViewId="0">
      <selection activeCell="N3" sqref="N3"/>
    </sheetView>
  </sheetViews>
  <sheetFormatPr baseColWidth="10" defaultRowHeight="15" x14ac:dyDescent="0.25"/>
  <cols>
    <col min="1" max="1" width="14" style="11" bestFit="1" customWidth="1"/>
    <col min="2" max="2" width="5.85546875" style="11" customWidth="1"/>
    <col min="3" max="3" width="7.28515625" style="11" bestFit="1" customWidth="1"/>
    <col min="4" max="4" width="6.42578125" style="11" customWidth="1"/>
    <col min="5" max="5" width="15.140625" style="11" bestFit="1" customWidth="1"/>
    <col min="6" max="6" width="4.42578125" style="11" customWidth="1"/>
    <col min="7" max="7" width="12.42578125" style="26" customWidth="1"/>
    <col min="8" max="8" width="6.5703125" style="25" customWidth="1"/>
    <col min="9" max="9" width="3.140625" style="25" customWidth="1"/>
    <col min="10" max="10" width="22.85546875" style="26" customWidth="1"/>
    <col min="11" max="11" width="16.7109375" style="26" bestFit="1" customWidth="1"/>
    <col min="12" max="12" width="8.5703125" style="11" customWidth="1"/>
    <col min="13" max="15" width="4.7109375" style="18" customWidth="1"/>
    <col min="16" max="16" width="3" style="11" customWidth="1"/>
    <col min="17" max="17" width="20" style="11" customWidth="1"/>
    <col min="18" max="18" width="7.42578125" style="28" customWidth="1"/>
    <col min="19" max="21" width="11.42578125" style="11"/>
    <col min="22" max="22" width="6.140625" style="11" customWidth="1"/>
    <col min="23" max="23" width="29.42578125" style="11" bestFit="1" customWidth="1"/>
    <col min="24" max="24" width="14.85546875" style="12" customWidth="1"/>
    <col min="25" max="25" width="9.140625" style="12" customWidth="1"/>
    <col min="26" max="26" width="9.140625" style="11" customWidth="1"/>
    <col min="27" max="16384" width="11.42578125" style="11"/>
  </cols>
  <sheetData>
    <row r="1" spans="1:31" x14ac:dyDescent="0.25">
      <c r="A1" s="20" t="s">
        <v>48</v>
      </c>
      <c r="B1" s="20" t="s">
        <v>54</v>
      </c>
      <c r="C1" s="20" t="s">
        <v>56</v>
      </c>
      <c r="D1" s="20" t="s">
        <v>55</v>
      </c>
      <c r="E1" s="11" t="s">
        <v>57</v>
      </c>
      <c r="G1" s="24" t="s">
        <v>52</v>
      </c>
      <c r="J1" s="26" t="s">
        <v>53</v>
      </c>
      <c r="K1" s="26" t="s">
        <v>8</v>
      </c>
      <c r="Q1" s="11" t="s">
        <v>40</v>
      </c>
      <c r="R1" s="28" t="s">
        <v>39</v>
      </c>
    </row>
    <row r="2" spans="1:31" customFormat="1" ht="33.75" x14ac:dyDescent="0.5">
      <c r="A2" s="21">
        <f ca="1">X2</f>
        <v>8058983596722</v>
      </c>
      <c r="B2" s="20">
        <f>Proforma!F4</f>
        <v>10</v>
      </c>
      <c r="C2" s="20">
        <f>Proforma!G4</f>
        <v>6.05</v>
      </c>
      <c r="D2" s="20"/>
      <c r="E2" s="22"/>
      <c r="G2" s="27" t="str">
        <f t="shared" ref="G2:G65" ca="1" si="0">IFERROR(INDEX(INDIRECT(tabEAN.Valmag &amp; "!C:C"), $AE2), "")</f>
        <v xml:space="preserve">ANSES/F.CUIR    </v>
      </c>
      <c r="H2" s="27" t="str">
        <f t="shared" ref="H2:H65" ca="1" si="1">IFERROR(INDEX(INDIRECT(tabEAN.Valmag &amp; "!D:D"), $AE2), "")</f>
        <v>NAPAN</v>
      </c>
      <c r="I2" s="27" t="str">
        <f t="shared" ref="I2:I65" ca="1" si="2">IFERROR(INDEX(INDIRECT(tabEAN.Valmag &amp; "!E:E"), $AE2), "")</f>
        <v xml:space="preserve">S    </v>
      </c>
      <c r="J2" s="25" t="str">
        <f t="shared" ref="J2:J65" ca="1" si="3">IFERROR(INDEX(INDIRECT(tabEAN13.inconnus &amp; "!E:E"),$Z2), "")</f>
        <v xml:space="preserve"> manico corto ecopelle</v>
      </c>
      <c r="K2" s="25" t="str">
        <f t="shared" ref="K2:K65" ca="1" si="4">IFERROR(INDEX(INDIRECT(tabEAN13.inconnus &amp; "!I:I"),$Z2), "")</f>
        <v>grafite</v>
      </c>
      <c r="M2" s="19" t="b">
        <f ca="1">OR(N2:O2)</f>
        <v>0</v>
      </c>
      <c r="N2" s="19" t="b">
        <f t="shared" ref="N2:N17" ca="1" si="5">AND($X2 &lt;&gt; "", J2&lt;&gt;AB2)</f>
        <v>0</v>
      </c>
      <c r="O2" s="19" t="b">
        <f t="shared" ref="O2:O17" ca="1" si="6">AND($X2 &lt;&gt; "", K2&lt;&gt;AC2)</f>
        <v>0</v>
      </c>
      <c r="P2" s="11"/>
      <c r="Q2" s="9" t="str">
        <f t="shared" ref="Q2:Q65" ca="1" si="7">IFERROR(INDEX(INDIRECT(tabEAN13.inconnus &amp; "!C:C"),$Z2), "")</f>
        <v xml:space="preserve"> O bag fall 2018</v>
      </c>
      <c r="R2" s="29">
        <f t="shared" ref="R2:R65" ca="1" si="8">IFERROR(INDEX(INDIRECT(tabEAN13.inconnus &amp; "!D:D"),$Z2), "")</f>
        <v>28</v>
      </c>
      <c r="S2" s="2" t="str">
        <f>Proforma!B4</f>
        <v>HLESGC00</v>
      </c>
      <c r="T2" s="2" t="str">
        <f>Proforma!C4</f>
        <v>ECS04</v>
      </c>
      <c r="U2" s="2">
        <f>Proforma!D4</f>
        <v>38</v>
      </c>
      <c r="W2" t="str">
        <f t="shared" ref="W2:W17" si="9">S2 &amp; "-" &amp; T2 &amp; "-" &amp; TEXT(U2, "000")</f>
        <v>HLESGC00-ECS04-038</v>
      </c>
      <c r="X2" s="14">
        <f t="shared" ref="X2:X65" ca="1" si="10">IFERROR(INDEX(INDIRECT(tabEAN13 &amp; "!A:A"),$AA2), "")</f>
        <v>8058983596722</v>
      </c>
      <c r="Y2" s="1"/>
      <c r="Z2" s="2">
        <f t="shared" ref="Z2:Z65" ca="1" si="11">IFERROR(MATCH($W2,INDIRECT(tabEAN13.inconnus &amp; "!B:B"),0), "")</f>
        <v>630</v>
      </c>
      <c r="AA2" s="7">
        <f t="shared" ref="AA2:AA65" ca="1" si="12">IFERROR(MATCH($W2,INDIRECT(tabEAN13 &amp; "!B:B"),0), "")</f>
        <v>90</v>
      </c>
      <c r="AB2" s="13" t="str">
        <f t="shared" ref="AB2:AB65" ca="1" si="13">IFERROR(INDEX(INDIRECT(tabEAN13 &amp; "!E:E"),$AA2), "")</f>
        <v xml:space="preserve"> manico corto ecopelle</v>
      </c>
      <c r="AC2" s="13" t="str">
        <f t="shared" ref="AC2:AC65" ca="1" si="14">IFERROR(INDEX(INDIRECT(tabEAN13 &amp; "!I:I"),$AA2), "")</f>
        <v>grafite</v>
      </c>
      <c r="AE2" s="5">
        <f t="shared" ref="AE2:AE65" ca="1" si="15">IFERROR(MATCH($X2, INDIRECT(tabEAN.Valmag &amp; "!A:A"), 0), "")</f>
        <v>760</v>
      </c>
    </row>
    <row r="3" spans="1:31" customFormat="1" ht="33.75" x14ac:dyDescent="0.5">
      <c r="A3" s="21" t="str">
        <f t="shared" ref="A3:A17" ca="1" si="16">X3</f>
        <v/>
      </c>
      <c r="B3" s="20">
        <f>Proforma!F5</f>
        <v>2</v>
      </c>
      <c r="C3" s="20">
        <f>Proforma!G5</f>
        <v>14.16</v>
      </c>
      <c r="D3" s="20">
        <v>42</v>
      </c>
      <c r="E3" s="23" t="str">
        <f t="shared" ref="E3:E16" ca="1" si="17">IF(A3&lt;&gt;"",codeEAN13(INT(A3/10)),"")</f>
        <v/>
      </c>
      <c r="G3" s="27" t="str">
        <f t="shared" ca="1" si="0"/>
        <v/>
      </c>
      <c r="H3" s="27" t="str">
        <f t="shared" ca="1" si="1"/>
        <v/>
      </c>
      <c r="I3" s="27" t="str">
        <f t="shared" ca="1" si="2"/>
        <v/>
      </c>
      <c r="J3" s="25" t="str">
        <f t="shared" ca="1" si="3"/>
        <v xml:space="preserve"> scocca O bag knit mini EVA</v>
      </c>
      <c r="K3" s="25" t="str">
        <f t="shared" ca="1" si="4"/>
        <v>rame</v>
      </c>
      <c r="M3" s="19" t="b">
        <f t="shared" ref="M3:M17" ca="1" si="18">OR(N3:O3)</f>
        <v>0</v>
      </c>
      <c r="N3" s="19" t="b">
        <f t="shared" ca="1" si="5"/>
        <v>0</v>
      </c>
      <c r="O3" s="19" t="b">
        <f t="shared" ca="1" si="6"/>
        <v>0</v>
      </c>
      <c r="P3" s="11"/>
      <c r="Q3" s="9" t="str">
        <f t="shared" ca="1" si="7"/>
        <v xml:space="preserve"> O bag winter 2018</v>
      </c>
      <c r="R3" s="29">
        <f t="shared" ca="1" si="8"/>
        <v>14</v>
      </c>
      <c r="S3" s="2" t="str">
        <f>Proforma!B5</f>
        <v>OBAGB032</v>
      </c>
      <c r="T3" s="2" t="str">
        <f>Proforma!C5</f>
        <v>EVS00</v>
      </c>
      <c r="U3" s="2">
        <f>Proforma!D5</f>
        <v>559</v>
      </c>
      <c r="W3" t="str">
        <f t="shared" si="9"/>
        <v>OBAGB032-EVS00-559</v>
      </c>
      <c r="X3" s="14" t="str">
        <f t="shared" ca="1" si="10"/>
        <v/>
      </c>
      <c r="Y3" s="1"/>
      <c r="Z3" s="2">
        <f t="shared" ca="1" si="11"/>
        <v>10332</v>
      </c>
      <c r="AA3" s="7" t="str">
        <f t="shared" ca="1" si="12"/>
        <v/>
      </c>
      <c r="AB3" s="13" t="str">
        <f t="shared" ca="1" si="13"/>
        <v/>
      </c>
      <c r="AC3" s="13" t="str">
        <f t="shared" ca="1" si="14"/>
        <v/>
      </c>
      <c r="AE3" s="5" t="str">
        <f t="shared" ca="1" si="15"/>
        <v/>
      </c>
    </row>
    <row r="4" spans="1:31" customFormat="1" ht="33.75" x14ac:dyDescent="0.5">
      <c r="A4" s="21" t="str">
        <f t="shared" ca="1" si="16"/>
        <v/>
      </c>
      <c r="B4" s="20" t="str">
        <f>Proforma!F6</f>
        <v>Total lu</v>
      </c>
      <c r="C4" s="20">
        <f>Proforma!G6</f>
        <v>0</v>
      </c>
      <c r="D4" s="20">
        <v>42</v>
      </c>
      <c r="E4" s="23" t="str">
        <f t="shared" ca="1" si="17"/>
        <v/>
      </c>
      <c r="G4" s="27" t="str">
        <f t="shared" ca="1" si="0"/>
        <v/>
      </c>
      <c r="H4" s="27" t="str">
        <f t="shared" ca="1" si="1"/>
        <v/>
      </c>
      <c r="I4" s="27" t="str">
        <f t="shared" ca="1" si="2"/>
        <v/>
      </c>
      <c r="J4" s="25" t="str">
        <f t="shared" ca="1" si="3"/>
        <v/>
      </c>
      <c r="K4" s="25" t="str">
        <f t="shared" ca="1" si="4"/>
        <v/>
      </c>
      <c r="M4" s="19" t="b">
        <f t="shared" ca="1" si="18"/>
        <v>0</v>
      </c>
      <c r="N4" s="19" t="b">
        <f t="shared" ca="1" si="5"/>
        <v>0</v>
      </c>
      <c r="O4" s="19" t="b">
        <f t="shared" ca="1" si="6"/>
        <v>0</v>
      </c>
      <c r="P4" s="11"/>
      <c r="Q4" s="9" t="str">
        <f t="shared" ca="1" si="7"/>
        <v/>
      </c>
      <c r="R4" s="29" t="str">
        <f t="shared" ca="1" si="8"/>
        <v/>
      </c>
      <c r="S4" s="2">
        <f>Proforma!B6</f>
        <v>0</v>
      </c>
      <c r="T4" s="2" t="str">
        <f>Proforma!C6</f>
        <v>Facture</v>
      </c>
      <c r="U4" s="2">
        <f>Proforma!D6</f>
        <v>0</v>
      </c>
      <c r="W4" t="str">
        <f t="shared" si="9"/>
        <v>0-Facture-000</v>
      </c>
      <c r="X4" s="14" t="str">
        <f t="shared" ca="1" si="10"/>
        <v/>
      </c>
      <c r="Y4" s="1"/>
      <c r="Z4" s="2" t="str">
        <f t="shared" ca="1" si="11"/>
        <v/>
      </c>
      <c r="AA4" s="7" t="str">
        <f t="shared" ca="1" si="12"/>
        <v/>
      </c>
      <c r="AB4" s="13" t="str">
        <f t="shared" ca="1" si="13"/>
        <v/>
      </c>
      <c r="AC4" s="13" t="str">
        <f t="shared" ca="1" si="14"/>
        <v/>
      </c>
      <c r="AE4" s="5" t="str">
        <f t="shared" ca="1" si="15"/>
        <v/>
      </c>
    </row>
    <row r="5" spans="1:31" customFormat="1" ht="33.75" x14ac:dyDescent="0.5">
      <c r="A5" s="21" t="str">
        <f t="shared" ca="1" si="16"/>
        <v/>
      </c>
      <c r="B5" s="20">
        <f>Proforma!F7</f>
        <v>675.69</v>
      </c>
      <c r="C5" s="20">
        <f>Proforma!G7</f>
        <v>0</v>
      </c>
      <c r="D5" s="20"/>
      <c r="E5" s="23" t="str">
        <f t="shared" ca="1" si="17"/>
        <v/>
      </c>
      <c r="G5" s="27" t="str">
        <f t="shared" ca="1" si="0"/>
        <v/>
      </c>
      <c r="H5" s="27" t="str">
        <f t="shared" ca="1" si="1"/>
        <v/>
      </c>
      <c r="I5" s="27" t="str">
        <f t="shared" ca="1" si="2"/>
        <v/>
      </c>
      <c r="J5" s="25" t="str">
        <f t="shared" ca="1" si="3"/>
        <v/>
      </c>
      <c r="K5" s="25" t="str">
        <f t="shared" ca="1" si="4"/>
        <v/>
      </c>
      <c r="M5" s="19" t="b">
        <f t="shared" ca="1" si="18"/>
        <v>0</v>
      </c>
      <c r="N5" s="19" t="b">
        <f t="shared" ca="1" si="5"/>
        <v>0</v>
      </c>
      <c r="O5" s="19" t="b">
        <f t="shared" ca="1" si="6"/>
        <v>0</v>
      </c>
      <c r="P5" s="11"/>
      <c r="Q5" s="9" t="str">
        <f t="shared" ca="1" si="7"/>
        <v/>
      </c>
      <c r="R5" s="29" t="str">
        <f t="shared" ca="1" si="8"/>
        <v/>
      </c>
      <c r="S5" s="2">
        <f>Proforma!B7</f>
        <v>0</v>
      </c>
      <c r="T5" s="2" t="str">
        <f>Proforma!C7</f>
        <v>EUR 707,69</v>
      </c>
      <c r="U5" s="2">
        <f>Proforma!D7</f>
        <v>0</v>
      </c>
      <c r="W5" t="str">
        <f t="shared" si="9"/>
        <v>0-EUR 707,69-000</v>
      </c>
      <c r="X5" s="14" t="str">
        <f t="shared" ca="1" si="10"/>
        <v/>
      </c>
      <c r="Y5" s="1"/>
      <c r="Z5" s="2" t="str">
        <f t="shared" ca="1" si="11"/>
        <v/>
      </c>
      <c r="AA5" s="7" t="str">
        <f t="shared" ca="1" si="12"/>
        <v/>
      </c>
      <c r="AB5" s="13" t="str">
        <f t="shared" ca="1" si="13"/>
        <v/>
      </c>
      <c r="AC5" s="13" t="str">
        <f t="shared" ca="1" si="14"/>
        <v/>
      </c>
      <c r="AE5" s="5" t="str">
        <f t="shared" ca="1" si="15"/>
        <v/>
      </c>
    </row>
    <row r="6" spans="1:31" customFormat="1" ht="33.75" x14ac:dyDescent="0.5">
      <c r="A6" s="21" t="str">
        <f t="shared" ca="1" si="16"/>
        <v/>
      </c>
      <c r="B6" s="20" t="str">
        <f>Proforma!F8</f>
        <v>Quantit‚</v>
      </c>
      <c r="C6" s="20" t="str">
        <f>Proforma!G8</f>
        <v>Prix unitaire</v>
      </c>
      <c r="D6" s="20">
        <v>42</v>
      </c>
      <c r="E6" s="23" t="str">
        <f t="shared" ca="1" si="17"/>
        <v/>
      </c>
      <c r="G6" s="27" t="str">
        <f t="shared" ca="1" si="0"/>
        <v/>
      </c>
      <c r="H6" s="27" t="str">
        <f t="shared" ca="1" si="1"/>
        <v/>
      </c>
      <c r="I6" s="27" t="str">
        <f t="shared" ca="1" si="2"/>
        <v/>
      </c>
      <c r="J6" s="25" t="str">
        <f t="shared" ca="1" si="3"/>
        <v/>
      </c>
      <c r="K6" s="25" t="str">
        <f t="shared" ca="1" si="4"/>
        <v/>
      </c>
      <c r="M6" s="19" t="b">
        <f t="shared" ca="1" si="18"/>
        <v>0</v>
      </c>
      <c r="N6" s="19" t="b">
        <f t="shared" ca="1" si="5"/>
        <v>0</v>
      </c>
      <c r="O6" s="19" t="b">
        <f t="shared" ca="1" si="6"/>
        <v>0</v>
      </c>
      <c r="P6" s="11"/>
      <c r="Q6" s="9" t="str">
        <f t="shared" ca="1" si="7"/>
        <v/>
      </c>
      <c r="R6" s="29" t="str">
        <f t="shared" ca="1" si="8"/>
        <v/>
      </c>
      <c r="S6" s="2" t="str">
        <f>Proforma!B8</f>
        <v>ModŠle</v>
      </c>
      <c r="T6" s="2" t="str">
        <f>Proforma!C8</f>
        <v>Code piŠce</v>
      </c>
      <c r="U6" s="2" t="str">
        <f>Proforma!D8</f>
        <v>Couleur</v>
      </c>
      <c r="W6" t="str">
        <f t="shared" si="9"/>
        <v>ModŠle-Code piŠce-Couleur</v>
      </c>
      <c r="X6" s="14" t="str">
        <f t="shared" ca="1" si="10"/>
        <v/>
      </c>
      <c r="Y6" s="1"/>
      <c r="Z6" s="2" t="str">
        <f t="shared" ca="1" si="11"/>
        <v/>
      </c>
      <c r="AA6" s="7" t="str">
        <f t="shared" ca="1" si="12"/>
        <v/>
      </c>
      <c r="AB6" s="13" t="str">
        <f t="shared" ca="1" si="13"/>
        <v/>
      </c>
      <c r="AC6" s="13" t="str">
        <f t="shared" ca="1" si="14"/>
        <v/>
      </c>
      <c r="AE6" s="5" t="str">
        <f t="shared" ca="1" si="15"/>
        <v/>
      </c>
    </row>
    <row r="7" spans="1:31" customFormat="1" ht="33.75" x14ac:dyDescent="0.5">
      <c r="A7" s="21">
        <f t="shared" ca="1" si="16"/>
        <v>8058983596524</v>
      </c>
      <c r="B7" s="20">
        <f>Proforma!F9</f>
        <v>15</v>
      </c>
      <c r="C7" s="20">
        <f>Proforma!G9</f>
        <v>7.03</v>
      </c>
      <c r="D7" s="20">
        <v>42</v>
      </c>
      <c r="E7" s="23" t="str">
        <f t="shared" ca="1" si="17"/>
        <v>8APITSD*fjgfce+</v>
      </c>
      <c r="G7" s="27" t="str">
        <f t="shared" ca="1" si="0"/>
        <v xml:space="preserve">ANSES/F.CUIR    </v>
      </c>
      <c r="H7" s="27" t="str">
        <f t="shared" ca="1" si="1"/>
        <v>NAPAN</v>
      </c>
      <c r="I7" s="27" t="str">
        <f t="shared" ca="1" si="2"/>
        <v xml:space="preserve">L    </v>
      </c>
      <c r="J7" s="25" t="str">
        <f t="shared" ca="1" si="3"/>
        <v xml:space="preserve"> manico lungo ecopelle</v>
      </c>
      <c r="K7" s="25" t="str">
        <f t="shared" ca="1" si="4"/>
        <v>grafite</v>
      </c>
      <c r="M7" s="19" t="b">
        <f t="shared" ca="1" si="18"/>
        <v>0</v>
      </c>
      <c r="N7" s="19" t="b">
        <f t="shared" ca="1" si="5"/>
        <v>0</v>
      </c>
      <c r="O7" s="19" t="b">
        <f t="shared" ca="1" si="6"/>
        <v>0</v>
      </c>
      <c r="P7" s="11"/>
      <c r="Q7" s="9" t="str">
        <f t="shared" ca="1" si="7"/>
        <v xml:space="preserve"> O bag fall 2018</v>
      </c>
      <c r="R7" s="29">
        <f t="shared" ca="1" si="8"/>
        <v>19</v>
      </c>
      <c r="S7" s="2" t="str">
        <f>Proforma!B9</f>
        <v>HLESG000</v>
      </c>
      <c r="T7" s="2" t="str">
        <f>Proforma!C9</f>
        <v>ECS04</v>
      </c>
      <c r="U7" s="2">
        <f>Proforma!D9</f>
        <v>38</v>
      </c>
      <c r="W7" t="str">
        <f t="shared" si="9"/>
        <v>HLESG000-ECS04-038</v>
      </c>
      <c r="X7" s="14">
        <f t="shared" ca="1" si="10"/>
        <v>8058983596524</v>
      </c>
      <c r="Y7" s="1"/>
      <c r="Z7" s="2">
        <f t="shared" ca="1" si="11"/>
        <v>586</v>
      </c>
      <c r="AA7" s="7">
        <f t="shared" ca="1" si="12"/>
        <v>84</v>
      </c>
      <c r="AB7" s="13" t="str">
        <f t="shared" ca="1" si="13"/>
        <v xml:space="preserve"> manico lungo ecopelle</v>
      </c>
      <c r="AC7" s="13" t="str">
        <f t="shared" ca="1" si="14"/>
        <v>grafite</v>
      </c>
      <c r="AE7" s="5">
        <f t="shared" ca="1" si="15"/>
        <v>756</v>
      </c>
    </row>
    <row r="8" spans="1:31" customFormat="1" ht="33.75" x14ac:dyDescent="0.5">
      <c r="A8" s="21" t="str">
        <f t="shared" ca="1" si="16"/>
        <v/>
      </c>
      <c r="B8" s="20">
        <f>Proforma!F10</f>
        <v>8</v>
      </c>
      <c r="C8" s="20">
        <f>Proforma!G10</f>
        <v>14.4</v>
      </c>
      <c r="D8" s="20"/>
      <c r="E8" s="23" t="str">
        <f t="shared" ca="1" si="17"/>
        <v/>
      </c>
      <c r="G8" s="27" t="str">
        <f t="shared" ca="1" si="0"/>
        <v/>
      </c>
      <c r="H8" s="27" t="str">
        <f t="shared" ca="1" si="1"/>
        <v/>
      </c>
      <c r="I8" s="27" t="str">
        <f t="shared" ca="1" si="2"/>
        <v/>
      </c>
      <c r="J8" s="25" t="str">
        <f t="shared" ca="1" si="3"/>
        <v xml:space="preserve"> scocca O bag mini XL</v>
      </c>
      <c r="K8" s="25" t="str">
        <f t="shared" ca="1" si="4"/>
        <v>cobalto</v>
      </c>
      <c r="M8" s="19" t="b">
        <f t="shared" ca="1" si="18"/>
        <v>0</v>
      </c>
      <c r="N8" s="19" t="b">
        <f t="shared" ca="1" si="5"/>
        <v>0</v>
      </c>
      <c r="O8" s="19" t="b">
        <f t="shared" ca="1" si="6"/>
        <v>0</v>
      </c>
      <c r="P8" s="11"/>
      <c r="Q8" s="9" t="str">
        <f t="shared" ca="1" si="7"/>
        <v xml:space="preserve"> O bag spring 19</v>
      </c>
      <c r="R8" s="29">
        <f t="shared" ca="1" si="8"/>
        <v>8</v>
      </c>
      <c r="S8" s="2" t="str">
        <f>Proforma!B10</f>
        <v>OBAGB002</v>
      </c>
      <c r="T8" s="2" t="str">
        <f>Proforma!C10</f>
        <v>EVS00</v>
      </c>
      <c r="U8" s="2">
        <f>Proforma!D10</f>
        <v>26</v>
      </c>
      <c r="W8" t="str">
        <f t="shared" si="9"/>
        <v>OBAGB002-EVS00-026</v>
      </c>
      <c r="X8" s="14" t="str">
        <f t="shared" ca="1" si="10"/>
        <v/>
      </c>
      <c r="Y8" s="1"/>
      <c r="Z8" s="2">
        <f t="shared" ca="1" si="11"/>
        <v>5475</v>
      </c>
      <c r="AA8" s="7" t="str">
        <f t="shared" ca="1" si="12"/>
        <v/>
      </c>
      <c r="AB8" s="13" t="str">
        <f t="shared" ca="1" si="13"/>
        <v/>
      </c>
      <c r="AC8" s="13" t="str">
        <f t="shared" ca="1" si="14"/>
        <v/>
      </c>
      <c r="AE8" s="5" t="str">
        <f t="shared" ca="1" si="15"/>
        <v/>
      </c>
    </row>
    <row r="9" spans="1:31" customFormat="1" ht="33.75" x14ac:dyDescent="0.5">
      <c r="A9" s="21">
        <f t="shared" ca="1" si="16"/>
        <v>8050450218342</v>
      </c>
      <c r="B9" s="20">
        <f>Proforma!F11</f>
        <v>10</v>
      </c>
      <c r="C9" s="20">
        <f>Proforma!G11</f>
        <v>14.4</v>
      </c>
      <c r="D9" s="20"/>
      <c r="E9" s="23" t="str">
        <f t="shared" ca="1" si="17"/>
        <v>8APAOPA*cbidec+</v>
      </c>
      <c r="G9" s="27" t="str">
        <f t="shared" ca="1" si="0"/>
        <v xml:space="preserve">MINIOBODY       </v>
      </c>
      <c r="H9" s="27" t="str">
        <f t="shared" ca="1" si="1"/>
        <v>ROSMO</v>
      </c>
      <c r="I9" s="27">
        <f t="shared" ca="1" si="2"/>
        <v>0</v>
      </c>
      <c r="J9" s="25" t="str">
        <f t="shared" ca="1" si="3"/>
        <v xml:space="preserve"> scocca O bag mini EVA</v>
      </c>
      <c r="K9" s="25" t="str">
        <f t="shared" ca="1" si="4"/>
        <v>rosa smoke</v>
      </c>
      <c r="M9" s="19" t="b">
        <f t="shared" ca="1" si="18"/>
        <v>0</v>
      </c>
      <c r="N9" s="19" t="b">
        <f t="shared" ca="1" si="5"/>
        <v>0</v>
      </c>
      <c r="O9" s="19" t="b">
        <f t="shared" ca="1" si="6"/>
        <v>0</v>
      </c>
      <c r="P9" s="11"/>
      <c r="Q9" s="9" t="str">
        <f t="shared" ca="1" si="7"/>
        <v xml:space="preserve"> O bag fall 2018</v>
      </c>
      <c r="R9" s="29">
        <f t="shared" ca="1" si="8"/>
        <v>6</v>
      </c>
      <c r="S9" s="2" t="str">
        <f>Proforma!B11</f>
        <v>OBAGB002</v>
      </c>
      <c r="T9" s="2" t="str">
        <f>Proforma!C11</f>
        <v>EVS00</v>
      </c>
      <c r="U9" s="2">
        <f>Proforma!D11</f>
        <v>75</v>
      </c>
      <c r="W9" t="str">
        <f t="shared" si="9"/>
        <v>OBAGB002-EVS00-075</v>
      </c>
      <c r="X9" s="14">
        <f t="shared" ca="1" si="10"/>
        <v>8050450218342</v>
      </c>
      <c r="Y9" s="1"/>
      <c r="Z9" s="2">
        <f t="shared" ca="1" si="11"/>
        <v>477</v>
      </c>
      <c r="AA9" s="7">
        <f t="shared" ca="1" si="12"/>
        <v>33</v>
      </c>
      <c r="AB9" s="13" t="str">
        <f t="shared" ca="1" si="13"/>
        <v xml:space="preserve"> scocca O bag mini EVA</v>
      </c>
      <c r="AC9" s="13" t="str">
        <f t="shared" ca="1" si="14"/>
        <v>rosa smoke</v>
      </c>
      <c r="AE9" s="5">
        <f t="shared" ca="1" si="15"/>
        <v>7065</v>
      </c>
    </row>
    <row r="10" spans="1:31" customFormat="1" ht="33.75" x14ac:dyDescent="0.5">
      <c r="A10" s="21">
        <f t="shared" ca="1" si="16"/>
        <v>8050846039087</v>
      </c>
      <c r="B10" s="20">
        <f>Proforma!F12</f>
        <v>8</v>
      </c>
      <c r="C10" s="20">
        <f>Proforma!G12</f>
        <v>14.4</v>
      </c>
      <c r="D10" s="20"/>
      <c r="E10" s="23" t="str">
        <f t="shared" ca="1" si="17"/>
        <v>8APASOG*adjaih+</v>
      </c>
      <c r="G10" s="27" t="str">
        <f t="shared" ca="1" si="0"/>
        <v xml:space="preserve">OBODY           </v>
      </c>
      <c r="H10" s="27" t="str">
        <f t="shared" ca="1" si="1"/>
        <v>BRONZ</v>
      </c>
      <c r="I10" s="27">
        <f t="shared" ca="1" si="2"/>
        <v>0</v>
      </c>
      <c r="J10" s="25" t="str">
        <f t="shared" ca="1" si="3"/>
        <v xml:space="preserve"> scocca O bag EVA</v>
      </c>
      <c r="K10" s="25" t="str">
        <f t="shared" ca="1" si="4"/>
        <v>rame</v>
      </c>
      <c r="M10" s="19" t="b">
        <f t="shared" ca="1" si="18"/>
        <v>0</v>
      </c>
      <c r="N10" s="19" t="b">
        <f t="shared" ca="1" si="5"/>
        <v>0</v>
      </c>
      <c r="O10" s="19" t="b">
        <f t="shared" ca="1" si="6"/>
        <v>0</v>
      </c>
      <c r="P10" s="11"/>
      <c r="Q10" s="9" t="str">
        <f t="shared" ca="1" si="7"/>
        <v xml:space="preserve"> O bag fall 2018</v>
      </c>
      <c r="R10" s="29">
        <f t="shared" ca="1" si="8"/>
        <v>4</v>
      </c>
      <c r="S10" s="2" t="str">
        <f>Proforma!B12</f>
        <v>OBAGB001</v>
      </c>
      <c r="T10" s="2" t="str">
        <f>Proforma!C12</f>
        <v>EVS00</v>
      </c>
      <c r="U10" s="2">
        <f>Proforma!D12</f>
        <v>559</v>
      </c>
      <c r="W10" t="str">
        <f t="shared" si="9"/>
        <v>OBAGB001-EVS00-559</v>
      </c>
      <c r="X10" s="14">
        <f t="shared" ca="1" si="10"/>
        <v>8050846039087</v>
      </c>
      <c r="Y10" s="1"/>
      <c r="Z10" s="2">
        <f t="shared" ca="1" si="11"/>
        <v>459</v>
      </c>
      <c r="AA10" s="7">
        <f t="shared" ca="1" si="12"/>
        <v>20</v>
      </c>
      <c r="AB10" s="13" t="str">
        <f t="shared" ca="1" si="13"/>
        <v xml:space="preserve"> scocca O bag EVA</v>
      </c>
      <c r="AC10" s="13" t="str">
        <f t="shared" ca="1" si="14"/>
        <v>rame</v>
      </c>
      <c r="AE10" s="5">
        <f t="shared" ca="1" si="15"/>
        <v>7347</v>
      </c>
    </row>
    <row r="11" spans="1:31" customFormat="1" ht="33.75" x14ac:dyDescent="0.5">
      <c r="A11" s="21">
        <f t="shared" ca="1" si="16"/>
        <v>8050846039148</v>
      </c>
      <c r="B11" s="20">
        <f>Proforma!F13</f>
        <v>8</v>
      </c>
      <c r="C11" s="20">
        <f>Proforma!G13</f>
        <v>14.4</v>
      </c>
      <c r="D11" s="20"/>
      <c r="E11" s="23" t="str">
        <f t="shared" ca="1" si="17"/>
        <v>8APASOG*adjbei+</v>
      </c>
      <c r="G11" s="27" t="str">
        <f t="shared" ca="1" si="0"/>
        <v xml:space="preserve">MINIOBODY       </v>
      </c>
      <c r="H11" s="27" t="str">
        <f t="shared" ca="1" si="1"/>
        <v>BRONZ</v>
      </c>
      <c r="I11" s="27">
        <f t="shared" ca="1" si="2"/>
        <v>0</v>
      </c>
      <c r="J11" s="25" t="str">
        <f t="shared" ca="1" si="3"/>
        <v xml:space="preserve"> scocca O bag mini EVA</v>
      </c>
      <c r="K11" s="25" t="str">
        <f t="shared" ca="1" si="4"/>
        <v>rame</v>
      </c>
      <c r="M11" s="19" t="b">
        <f t="shared" ca="1" si="18"/>
        <v>0</v>
      </c>
      <c r="N11" s="19" t="b">
        <f t="shared" ca="1" si="5"/>
        <v>0</v>
      </c>
      <c r="O11" s="19" t="b">
        <f t="shared" ca="1" si="6"/>
        <v>0</v>
      </c>
      <c r="P11" s="11"/>
      <c r="Q11" s="9" t="str">
        <f t="shared" ca="1" si="7"/>
        <v xml:space="preserve"> O bag fall 2018</v>
      </c>
      <c r="R11" s="29">
        <f t="shared" ca="1" si="8"/>
        <v>6</v>
      </c>
      <c r="S11" s="2" t="str">
        <f>Proforma!B13</f>
        <v>OBAGB002</v>
      </c>
      <c r="T11" s="2" t="str">
        <f>Proforma!C13</f>
        <v>EVS00</v>
      </c>
      <c r="U11" s="2">
        <f>Proforma!D13</f>
        <v>559</v>
      </c>
      <c r="W11" t="str">
        <f t="shared" si="9"/>
        <v>OBAGB002-EVS00-559</v>
      </c>
      <c r="X11" s="14">
        <f t="shared" ca="1" si="10"/>
        <v>8050846039148</v>
      </c>
      <c r="Y11" s="1"/>
      <c r="Z11" s="2">
        <f t="shared" ca="1" si="11"/>
        <v>476</v>
      </c>
      <c r="AA11" s="7">
        <f t="shared" ca="1" si="12"/>
        <v>32</v>
      </c>
      <c r="AB11" s="13" t="str">
        <f t="shared" ca="1" si="13"/>
        <v xml:space="preserve"> scocca O bag mini EVA</v>
      </c>
      <c r="AC11" s="13" t="str">
        <f t="shared" ca="1" si="14"/>
        <v>rame</v>
      </c>
      <c r="AE11" s="5">
        <f t="shared" ca="1" si="15"/>
        <v>6988</v>
      </c>
    </row>
    <row r="12" spans="1:31" customFormat="1" ht="33.75" x14ac:dyDescent="0.5">
      <c r="A12" s="21">
        <f t="shared" ca="1" si="16"/>
        <v>8050846039278</v>
      </c>
      <c r="B12" s="20">
        <f>Proforma!F14</f>
        <v>3</v>
      </c>
      <c r="C12" s="20">
        <f>Proforma!G14</f>
        <v>11.04</v>
      </c>
      <c r="D12" s="20"/>
      <c r="E12" s="23" t="str">
        <f t="shared" ca="1" si="17"/>
        <v>8APASOG*adjchi+</v>
      </c>
      <c r="G12" s="27" t="str">
        <f t="shared" ca="1" si="0"/>
        <v xml:space="preserve">OMOONLIGHT      </v>
      </c>
      <c r="H12" s="27" t="str">
        <f t="shared" ca="1" si="1"/>
        <v>CURRY</v>
      </c>
      <c r="I12" s="27">
        <f t="shared" ca="1" si="2"/>
        <v>0</v>
      </c>
      <c r="J12" s="25" t="str">
        <f t="shared" ca="1" si="3"/>
        <v xml:space="preserve"> scocca O moon light EVA</v>
      </c>
      <c r="K12" s="25" t="str">
        <f t="shared" ca="1" si="4"/>
        <v>curry</v>
      </c>
      <c r="M12" s="19" t="b">
        <f t="shared" ca="1" si="18"/>
        <v>0</v>
      </c>
      <c r="N12" s="19" t="b">
        <f t="shared" ca="1" si="5"/>
        <v>0</v>
      </c>
      <c r="O12" s="19" t="b">
        <f t="shared" ca="1" si="6"/>
        <v>0</v>
      </c>
      <c r="P12" s="11"/>
      <c r="Q12" s="9" t="str">
        <f t="shared" ca="1" si="7"/>
        <v xml:space="preserve"> O bag fall 2018</v>
      </c>
      <c r="R12" s="29">
        <f t="shared" ca="1" si="8"/>
        <v>9</v>
      </c>
      <c r="S12" s="2" t="str">
        <f>Proforma!B14</f>
        <v>OBAGB017</v>
      </c>
      <c r="T12" s="2" t="str">
        <f>Proforma!C14</f>
        <v>EVS00</v>
      </c>
      <c r="U12" s="2">
        <f>Proforma!D14</f>
        <v>540</v>
      </c>
      <c r="W12" t="str">
        <f t="shared" si="9"/>
        <v>OBAGB017-EVS00-540</v>
      </c>
      <c r="X12" s="14">
        <f t="shared" ca="1" si="10"/>
        <v>8050846039278</v>
      </c>
      <c r="Y12" s="1"/>
      <c r="Z12" s="2">
        <f t="shared" ca="1" si="11"/>
        <v>504</v>
      </c>
      <c r="AA12" s="7">
        <f t="shared" ca="1" si="12"/>
        <v>41</v>
      </c>
      <c r="AB12" s="13" t="str">
        <f t="shared" ca="1" si="13"/>
        <v xml:space="preserve"> scocca O moon light EVA</v>
      </c>
      <c r="AC12" s="13" t="str">
        <f t="shared" ca="1" si="14"/>
        <v>curry</v>
      </c>
      <c r="AE12" s="5">
        <f t="shared" ca="1" si="15"/>
        <v>8719</v>
      </c>
    </row>
    <row r="13" spans="1:31" customFormat="1" ht="33.75" x14ac:dyDescent="0.5">
      <c r="A13" s="21">
        <f t="shared" ca="1" si="16"/>
        <v>8050846039575</v>
      </c>
      <c r="B13" s="20">
        <f>Proforma!F15</f>
        <v>2</v>
      </c>
      <c r="C13" s="20">
        <f>Proforma!G15</f>
        <v>14.16</v>
      </c>
      <c r="D13" s="20"/>
      <c r="E13" s="23" t="str">
        <f t="shared" ca="1" si="17"/>
        <v>8APASOG*adjfhf+</v>
      </c>
      <c r="G13" s="27" t="str">
        <f t="shared" ca="1" si="0"/>
        <v/>
      </c>
      <c r="H13" s="27" t="str">
        <f t="shared" ca="1" si="1"/>
        <v/>
      </c>
      <c r="I13" s="27" t="str">
        <f t="shared" ca="1" si="2"/>
        <v/>
      </c>
      <c r="J13" s="25" t="str">
        <f t="shared" ca="1" si="3"/>
        <v xml:space="preserve"> scocca O bag knit mini EVA</v>
      </c>
      <c r="K13" s="25" t="str">
        <f t="shared" ca="1" si="4"/>
        <v>sabbia</v>
      </c>
      <c r="M13" s="19" t="b">
        <f t="shared" ca="1" si="18"/>
        <v>0</v>
      </c>
      <c r="N13" s="19" t="b">
        <f t="shared" ca="1" si="5"/>
        <v>0</v>
      </c>
      <c r="O13" s="19" t="b">
        <f t="shared" ca="1" si="6"/>
        <v>0</v>
      </c>
      <c r="P13" s="11"/>
      <c r="Q13" s="9" t="str">
        <f t="shared" ca="1" si="7"/>
        <v xml:space="preserve"> O bag fall 2018</v>
      </c>
      <c r="R13" s="29">
        <f t="shared" ca="1" si="8"/>
        <v>11</v>
      </c>
      <c r="S13" s="2" t="str">
        <f>Proforma!B15</f>
        <v>OBAGB032</v>
      </c>
      <c r="T13" s="2" t="str">
        <f>Proforma!C15</f>
        <v>EVS00</v>
      </c>
      <c r="U13" s="2">
        <f>Proforma!D15</f>
        <v>78</v>
      </c>
      <c r="W13" t="str">
        <f t="shared" si="9"/>
        <v>OBAGB032-EVS00-078</v>
      </c>
      <c r="X13" s="14">
        <f t="shared" ca="1" si="10"/>
        <v>8050846039575</v>
      </c>
      <c r="Y13" s="1"/>
      <c r="Z13" s="2">
        <f t="shared" ca="1" si="11"/>
        <v>529</v>
      </c>
      <c r="AA13" s="7">
        <f t="shared" ca="1" si="12"/>
        <v>134</v>
      </c>
      <c r="AB13" s="13" t="str">
        <f t="shared" ca="1" si="13"/>
        <v xml:space="preserve"> scocca O bag knit mini EVA</v>
      </c>
      <c r="AC13" s="13" t="str">
        <f t="shared" ca="1" si="14"/>
        <v>sabbia</v>
      </c>
      <c r="AE13" s="5" t="str">
        <f t="shared" ca="1" si="15"/>
        <v/>
      </c>
    </row>
    <row r="14" spans="1:31" customFormat="1" ht="33.75" x14ac:dyDescent="0.5">
      <c r="A14" s="21" t="str">
        <f t="shared" ca="1" si="16"/>
        <v/>
      </c>
      <c r="B14" s="20">
        <f>Proforma!F16</f>
        <v>4</v>
      </c>
      <c r="C14" s="20">
        <f>Proforma!G16</f>
        <v>4.8</v>
      </c>
      <c r="D14" s="20"/>
      <c r="E14" s="23" t="str">
        <f t="shared" ca="1" si="17"/>
        <v/>
      </c>
      <c r="G14" s="27" t="str">
        <f t="shared" ca="1" si="0"/>
        <v/>
      </c>
      <c r="H14" s="27" t="str">
        <f t="shared" ca="1" si="1"/>
        <v/>
      </c>
      <c r="I14" s="27" t="str">
        <f t="shared" ca="1" si="2"/>
        <v/>
      </c>
      <c r="J14" s="25" t="str">
        <f t="shared" ca="1" si="3"/>
        <v/>
      </c>
      <c r="K14" s="25" t="str">
        <f t="shared" ca="1" si="4"/>
        <v/>
      </c>
      <c r="M14" s="19" t="b">
        <f t="shared" ca="1" si="18"/>
        <v>0</v>
      </c>
      <c r="N14" s="19" t="b">
        <f t="shared" ca="1" si="5"/>
        <v>0</v>
      </c>
      <c r="O14" s="19" t="b">
        <f t="shared" ca="1" si="6"/>
        <v>0</v>
      </c>
      <c r="P14" s="11"/>
      <c r="Q14" s="9" t="str">
        <f t="shared" ca="1" si="7"/>
        <v/>
      </c>
      <c r="R14" s="29" t="str">
        <f t="shared" ca="1" si="8"/>
        <v/>
      </c>
      <c r="S14" s="2" t="str">
        <f>Proforma!B16</f>
        <v>OBAGB206</v>
      </c>
      <c r="T14" s="2" t="str">
        <f>Proforma!C16</f>
        <v>EVS00</v>
      </c>
      <c r="U14" s="2">
        <f>Proforma!D16</f>
        <v>559</v>
      </c>
      <c r="W14" t="str">
        <f t="shared" si="9"/>
        <v>OBAGB206-EVS00-559</v>
      </c>
      <c r="X14" s="14" t="str">
        <f t="shared" ca="1" si="10"/>
        <v/>
      </c>
      <c r="Y14" s="1"/>
      <c r="Z14" s="2" t="str">
        <f t="shared" ca="1" si="11"/>
        <v/>
      </c>
      <c r="AA14" s="7" t="str">
        <f t="shared" ca="1" si="12"/>
        <v/>
      </c>
      <c r="AB14" s="13" t="str">
        <f t="shared" ca="1" si="13"/>
        <v/>
      </c>
      <c r="AC14" s="13" t="str">
        <f t="shared" ca="1" si="14"/>
        <v/>
      </c>
      <c r="AE14" s="5" t="str">
        <f t="shared" ca="1" si="15"/>
        <v/>
      </c>
    </row>
    <row r="15" spans="1:31" customFormat="1" ht="33.75" x14ac:dyDescent="0.5">
      <c r="A15" s="21" t="str">
        <f t="shared" ca="1" si="16"/>
        <v/>
      </c>
      <c r="B15" s="20">
        <f>Proforma!F17</f>
        <v>0</v>
      </c>
      <c r="C15" s="20">
        <f>Proforma!G17</f>
        <v>0</v>
      </c>
      <c r="D15" s="20"/>
      <c r="E15" s="23" t="str">
        <f t="shared" ca="1" si="17"/>
        <v/>
      </c>
      <c r="G15" s="27" t="str">
        <f t="shared" ca="1" si="0"/>
        <v/>
      </c>
      <c r="H15" s="27" t="str">
        <f t="shared" ca="1" si="1"/>
        <v/>
      </c>
      <c r="I15" s="27" t="str">
        <f t="shared" ca="1" si="2"/>
        <v/>
      </c>
      <c r="J15" s="25" t="str">
        <f t="shared" ca="1" si="3"/>
        <v/>
      </c>
      <c r="K15" s="25" t="str">
        <f t="shared" ca="1" si="4"/>
        <v/>
      </c>
      <c r="M15" s="19" t="b">
        <f t="shared" ca="1" si="18"/>
        <v>0</v>
      </c>
      <c r="N15" s="19" t="b">
        <f t="shared" ca="1" si="5"/>
        <v>0</v>
      </c>
      <c r="O15" s="19" t="b">
        <f t="shared" ca="1" si="6"/>
        <v>0</v>
      </c>
      <c r="P15" s="11"/>
      <c r="Q15" s="9" t="str">
        <f t="shared" ca="1" si="7"/>
        <v/>
      </c>
      <c r="R15" s="29" t="str">
        <f t="shared" ca="1" si="8"/>
        <v/>
      </c>
      <c r="S15" s="2">
        <f>Proforma!B17</f>
        <v>0</v>
      </c>
      <c r="T15" s="2" t="str">
        <f>Proforma!C17</f>
        <v>Facture</v>
      </c>
      <c r="U15" s="2">
        <f>Proforma!D17</f>
        <v>0</v>
      </c>
      <c r="W15" t="str">
        <f t="shared" si="9"/>
        <v>0-Facture-000</v>
      </c>
      <c r="X15" s="14" t="str">
        <f t="shared" ca="1" si="10"/>
        <v/>
      </c>
      <c r="Y15" s="1"/>
      <c r="Z15" s="2" t="str">
        <f t="shared" ca="1" si="11"/>
        <v/>
      </c>
      <c r="AA15" s="7" t="str">
        <f t="shared" ca="1" si="12"/>
        <v/>
      </c>
      <c r="AB15" s="13" t="str">
        <f t="shared" ca="1" si="13"/>
        <v/>
      </c>
      <c r="AC15" s="13" t="str">
        <f t="shared" ca="1" si="14"/>
        <v/>
      </c>
      <c r="AE15" s="5" t="str">
        <f t="shared" ca="1" si="15"/>
        <v/>
      </c>
    </row>
    <row r="16" spans="1:31" customFormat="1" ht="33.75" x14ac:dyDescent="0.5">
      <c r="A16" s="21" t="str">
        <f t="shared" ca="1" si="16"/>
        <v/>
      </c>
      <c r="B16" s="20">
        <f>Proforma!F18</f>
        <v>0</v>
      </c>
      <c r="C16" s="20">
        <f>Proforma!G18</f>
        <v>0</v>
      </c>
      <c r="D16" s="20"/>
      <c r="E16" s="23" t="str">
        <f t="shared" ca="1" si="17"/>
        <v/>
      </c>
      <c r="G16" s="27" t="str">
        <f t="shared" ca="1" si="0"/>
        <v/>
      </c>
      <c r="H16" s="27" t="str">
        <f t="shared" ca="1" si="1"/>
        <v/>
      </c>
      <c r="I16" s="27" t="str">
        <f t="shared" ca="1" si="2"/>
        <v/>
      </c>
      <c r="J16" s="25" t="str">
        <f t="shared" ca="1" si="3"/>
        <v/>
      </c>
      <c r="K16" s="25" t="str">
        <f t="shared" ca="1" si="4"/>
        <v/>
      </c>
      <c r="M16" s="19" t="b">
        <f t="shared" ca="1" si="18"/>
        <v>0</v>
      </c>
      <c r="N16" s="19" t="b">
        <f t="shared" ca="1" si="5"/>
        <v>0</v>
      </c>
      <c r="O16" s="19" t="b">
        <f t="shared" ca="1" si="6"/>
        <v>0</v>
      </c>
      <c r="P16" s="11"/>
      <c r="Q16" s="9" t="str">
        <f t="shared" ca="1" si="7"/>
        <v/>
      </c>
      <c r="R16" s="29" t="str">
        <f t="shared" ca="1" si="8"/>
        <v/>
      </c>
      <c r="S16" s="2">
        <f>Proforma!B18</f>
        <v>0</v>
      </c>
      <c r="T16" s="2" t="str">
        <f>Proforma!C18</f>
        <v>EUR 1.011,40</v>
      </c>
      <c r="U16" s="2">
        <f>Proforma!D18</f>
        <v>0</v>
      </c>
      <c r="W16" t="str">
        <f t="shared" si="9"/>
        <v>0-EUR 1.011,40-000</v>
      </c>
      <c r="X16" s="14" t="str">
        <f t="shared" ca="1" si="10"/>
        <v/>
      </c>
      <c r="Y16" s="1"/>
      <c r="Z16" s="2" t="str">
        <f t="shared" ca="1" si="11"/>
        <v/>
      </c>
      <c r="AA16" s="7" t="str">
        <f t="shared" ca="1" si="12"/>
        <v/>
      </c>
      <c r="AB16" s="13" t="str">
        <f t="shared" ca="1" si="13"/>
        <v/>
      </c>
      <c r="AC16" s="13" t="str">
        <f t="shared" ca="1" si="14"/>
        <v/>
      </c>
      <c r="AE16" s="5" t="str">
        <f t="shared" ca="1" si="15"/>
        <v/>
      </c>
    </row>
    <row r="17" spans="1:31" customFormat="1" ht="33.75" x14ac:dyDescent="0.5">
      <c r="A17" s="21" t="str">
        <f t="shared" ca="1" si="16"/>
        <v/>
      </c>
      <c r="B17" s="20" t="str">
        <f>Proforma!F19</f>
        <v>Quantité</v>
      </c>
      <c r="C17" s="20" t="str">
        <f>Proforma!G19</f>
        <v>Prix unitaire</v>
      </c>
      <c r="D17" s="20"/>
      <c r="E17" s="23" t="str">
        <f ca="1">IF(A17&lt;&gt;"",codeEAN13(INT(A17/10)),"")</f>
        <v/>
      </c>
      <c r="G17" s="27" t="str">
        <f t="shared" ca="1" si="0"/>
        <v/>
      </c>
      <c r="H17" s="27" t="str">
        <f t="shared" ca="1" si="1"/>
        <v/>
      </c>
      <c r="I17" s="27" t="str">
        <f t="shared" ca="1" si="2"/>
        <v/>
      </c>
      <c r="J17" s="25" t="str">
        <f t="shared" ca="1" si="3"/>
        <v/>
      </c>
      <c r="K17" s="25" t="str">
        <f t="shared" ca="1" si="4"/>
        <v/>
      </c>
      <c r="M17" s="19" t="b">
        <f t="shared" ca="1" si="18"/>
        <v>0</v>
      </c>
      <c r="N17" s="19" t="b">
        <f t="shared" ca="1" si="5"/>
        <v>0</v>
      </c>
      <c r="O17" s="19" t="b">
        <f t="shared" ca="1" si="6"/>
        <v>0</v>
      </c>
      <c r="P17" s="11"/>
      <c r="Q17" s="9" t="str">
        <f t="shared" ca="1" si="7"/>
        <v/>
      </c>
      <c r="R17" s="29" t="str">
        <f t="shared" ca="1" si="8"/>
        <v/>
      </c>
      <c r="S17" s="2" t="str">
        <f>Proforma!B19</f>
        <v>Modèle</v>
      </c>
      <c r="T17" s="2" t="str">
        <f>Proforma!C19</f>
        <v>Code pièce</v>
      </c>
      <c r="U17" s="2" t="str">
        <f>Proforma!D19</f>
        <v>Couleur</v>
      </c>
      <c r="W17" t="str">
        <f t="shared" si="9"/>
        <v>Modèle-Code pièce-Couleur</v>
      </c>
      <c r="X17" s="14" t="str">
        <f t="shared" ca="1" si="10"/>
        <v/>
      </c>
      <c r="Y17" s="1"/>
      <c r="Z17" s="2" t="str">
        <f t="shared" ca="1" si="11"/>
        <v/>
      </c>
      <c r="AA17" s="7" t="str">
        <f t="shared" ca="1" si="12"/>
        <v/>
      </c>
      <c r="AB17" s="13" t="str">
        <f t="shared" ca="1" si="13"/>
        <v/>
      </c>
      <c r="AC17" s="13" t="str">
        <f t="shared" ca="1" si="14"/>
        <v/>
      </c>
      <c r="AE17" s="5" t="str">
        <f t="shared" ca="1" si="15"/>
        <v/>
      </c>
    </row>
    <row r="18" spans="1:31" customFormat="1" ht="33.75" x14ac:dyDescent="0.5">
      <c r="A18" s="21" t="str">
        <f t="shared" ref="A18:A26" ca="1" si="19">X18</f>
        <v/>
      </c>
      <c r="B18" s="20">
        <f>Proforma!F20</f>
        <v>8</v>
      </c>
      <c r="C18" s="20">
        <f>Proforma!G20</f>
        <v>10.6</v>
      </c>
      <c r="D18" s="20"/>
      <c r="E18" s="23" t="str">
        <f ca="1">IF(A18&lt;&gt;"",codeEAN13(INT(A18/10)),"")</f>
        <v/>
      </c>
      <c r="G18" s="27" t="str">
        <f t="shared" ca="1" si="0"/>
        <v/>
      </c>
      <c r="H18" s="27" t="str">
        <f t="shared" ca="1" si="1"/>
        <v/>
      </c>
      <c r="I18" s="27" t="str">
        <f t="shared" ca="1" si="2"/>
        <v/>
      </c>
      <c r="J18" s="25" t="str">
        <f t="shared" ca="1" si="3"/>
        <v xml:space="preserve"> manico doppia catena a "t"</v>
      </c>
      <c r="K18" s="25" t="str">
        <f t="shared" ca="1" si="4"/>
        <v>grigio chiaro + silver</v>
      </c>
      <c r="M18" s="19" t="b">
        <f t="shared" ref="M18:M26" ca="1" si="20">OR(N18:O18)</f>
        <v>0</v>
      </c>
      <c r="N18" s="19" t="b">
        <f t="shared" ref="N18:N26" ca="1" si="21">AND($X18 &lt;&gt; "", J18&lt;&gt;AB18)</f>
        <v>0</v>
      </c>
      <c r="O18" s="19" t="b">
        <f t="shared" ref="O18:O26" ca="1" si="22">AND($X18 &lt;&gt; "", K18&lt;&gt;AC18)</f>
        <v>0</v>
      </c>
      <c r="P18" s="11"/>
      <c r="Q18" s="9" t="str">
        <f t="shared" ca="1" si="7"/>
        <v xml:space="preserve"> O bag winter 2018</v>
      </c>
      <c r="R18" s="29">
        <f t="shared" ca="1" si="8"/>
        <v>34</v>
      </c>
      <c r="S18" s="2" t="str">
        <f>Proforma!B20</f>
        <v>HLESCE01</v>
      </c>
      <c r="T18" s="2" t="str">
        <f>Proforma!C20</f>
        <v>ECS07</v>
      </c>
      <c r="U18" s="2">
        <f>Proforma!D20</f>
        <v>133</v>
      </c>
      <c r="W18" t="str">
        <f t="shared" ref="W18:W26" si="23">S18 &amp; "-" &amp; T18 &amp; "-" &amp; TEXT(U18, "000")</f>
        <v>HLESCE01-ECS07-133</v>
      </c>
      <c r="X18" s="14" t="str">
        <f t="shared" ca="1" si="10"/>
        <v/>
      </c>
      <c r="Y18" s="1"/>
      <c r="Z18" s="2">
        <f t="shared" ca="1" si="11"/>
        <v>10461</v>
      </c>
      <c r="AA18" s="7" t="str">
        <f t="shared" ca="1" si="12"/>
        <v/>
      </c>
      <c r="AB18" s="13" t="str">
        <f t="shared" ca="1" si="13"/>
        <v/>
      </c>
      <c r="AC18" s="13" t="str">
        <f t="shared" ca="1" si="14"/>
        <v/>
      </c>
      <c r="AE18" s="5" t="str">
        <f t="shared" ca="1" si="15"/>
        <v/>
      </c>
    </row>
    <row r="19" spans="1:31" customFormat="1" ht="33.75" x14ac:dyDescent="0.5">
      <c r="A19" s="21">
        <f t="shared" ca="1" si="19"/>
        <v>8050846039049</v>
      </c>
      <c r="B19" s="20">
        <f>Proforma!F21</f>
        <v>8</v>
      </c>
      <c r="C19" s="20">
        <f>Proforma!G21</f>
        <v>14.4</v>
      </c>
      <c r="D19" s="20"/>
      <c r="E19" s="23" t="str">
        <f ca="1">IF(A19&lt;&gt;"",codeEAN13(INT(A19/10)),"")</f>
        <v>8APASOG*adjaej+</v>
      </c>
      <c r="G19" s="27" t="str">
        <f t="shared" ca="1" si="0"/>
        <v xml:space="preserve">OBODY           </v>
      </c>
      <c r="H19" s="27" t="str">
        <f t="shared" ca="1" si="1"/>
        <v>SILVE</v>
      </c>
      <c r="I19" s="27">
        <f t="shared" ca="1" si="2"/>
        <v>0</v>
      </c>
      <c r="J19" s="25" t="str">
        <f t="shared" ca="1" si="3"/>
        <v xml:space="preserve"> scocca O bag EVA</v>
      </c>
      <c r="K19" s="25" t="str">
        <f t="shared" ca="1" si="4"/>
        <v>silver</v>
      </c>
      <c r="M19" s="19" t="b">
        <f t="shared" ca="1" si="20"/>
        <v>0</v>
      </c>
      <c r="N19" s="19" t="b">
        <f t="shared" ca="1" si="21"/>
        <v>0</v>
      </c>
      <c r="O19" s="19" t="b">
        <f t="shared" ca="1" si="22"/>
        <v>0</v>
      </c>
      <c r="P19" s="11"/>
      <c r="Q19" s="9" t="str">
        <f t="shared" ca="1" si="7"/>
        <v xml:space="preserve"> O bag fall 2018</v>
      </c>
      <c r="R19" s="29">
        <f t="shared" ca="1" si="8"/>
        <v>4</v>
      </c>
      <c r="S19" s="2" t="str">
        <f>Proforma!B21</f>
        <v>OBAGB001</v>
      </c>
      <c r="T19" s="2" t="str">
        <f>Proforma!C21</f>
        <v>EVS00</v>
      </c>
      <c r="U19" s="2">
        <f>Proforma!D21</f>
        <v>389</v>
      </c>
      <c r="W19" t="str">
        <f t="shared" si="23"/>
        <v>OBAGB001-EVS00-389</v>
      </c>
      <c r="X19" s="14">
        <f t="shared" ca="1" si="10"/>
        <v>8050846039049</v>
      </c>
      <c r="Y19" s="1"/>
      <c r="Z19" s="2">
        <f t="shared" ca="1" si="11"/>
        <v>460</v>
      </c>
      <c r="AA19" s="7">
        <f t="shared" ca="1" si="12"/>
        <v>21</v>
      </c>
      <c r="AB19" s="13" t="str">
        <f t="shared" ca="1" si="13"/>
        <v xml:space="preserve"> scocca O bag EVA</v>
      </c>
      <c r="AC19" s="13" t="str">
        <f t="shared" ca="1" si="14"/>
        <v>silver</v>
      </c>
      <c r="AE19" s="5">
        <f t="shared" ca="1" si="15"/>
        <v>7413</v>
      </c>
    </row>
    <row r="20" spans="1:31" customFormat="1" ht="33.75" x14ac:dyDescent="0.5">
      <c r="A20" s="21">
        <f t="shared" ca="1" si="19"/>
        <v>8050846039100</v>
      </c>
      <c r="B20" s="20">
        <f>Proforma!F22</f>
        <v>10</v>
      </c>
      <c r="C20" s="20">
        <f>Proforma!G22</f>
        <v>14.4</v>
      </c>
      <c r="D20" s="20"/>
      <c r="E20" s="23" t="str">
        <f ca="1">IF(A20&lt;&gt;"",codeEAN13(INT(A20/10)),"")</f>
        <v>8APASOG*adjbaa+</v>
      </c>
      <c r="G20" s="27" t="str">
        <f t="shared" ca="1" si="0"/>
        <v xml:space="preserve">MINIOBODY       </v>
      </c>
      <c r="H20" s="27" t="str">
        <f t="shared" ca="1" si="1"/>
        <v>SILVE</v>
      </c>
      <c r="I20" s="27">
        <f t="shared" ca="1" si="2"/>
        <v>0</v>
      </c>
      <c r="J20" s="25" t="str">
        <f t="shared" ca="1" si="3"/>
        <v xml:space="preserve"> scocca O bag mini EVA</v>
      </c>
      <c r="K20" s="25" t="str">
        <f t="shared" ca="1" si="4"/>
        <v>silver</v>
      </c>
      <c r="M20" s="19" t="b">
        <f t="shared" ca="1" si="20"/>
        <v>0</v>
      </c>
      <c r="N20" s="19" t="b">
        <f t="shared" ca="1" si="21"/>
        <v>0</v>
      </c>
      <c r="O20" s="19" t="b">
        <f t="shared" ca="1" si="22"/>
        <v>0</v>
      </c>
      <c r="P20" s="11"/>
      <c r="Q20" s="9" t="str">
        <f t="shared" ca="1" si="7"/>
        <v xml:space="preserve"> O bag fall 2018</v>
      </c>
      <c r="R20" s="29">
        <f t="shared" ca="1" si="8"/>
        <v>6</v>
      </c>
      <c r="S20" s="2" t="str">
        <f>Proforma!B22</f>
        <v>OBAGB002</v>
      </c>
      <c r="T20" s="2" t="str">
        <f>Proforma!C22</f>
        <v>EVS00</v>
      </c>
      <c r="U20" s="2">
        <f>Proforma!D22</f>
        <v>389</v>
      </c>
      <c r="W20" t="str">
        <f t="shared" si="23"/>
        <v>OBAGB002-EVS00-389</v>
      </c>
      <c r="X20" s="14">
        <f t="shared" ca="1" si="10"/>
        <v>8050846039100</v>
      </c>
      <c r="Y20" s="1"/>
      <c r="Z20" s="2">
        <f t="shared" ca="1" si="11"/>
        <v>478</v>
      </c>
      <c r="AA20" s="7">
        <f t="shared" ca="1" si="12"/>
        <v>34</v>
      </c>
      <c r="AB20" s="13" t="str">
        <f t="shared" ca="1" si="13"/>
        <v xml:space="preserve"> scocca O bag mini EVA</v>
      </c>
      <c r="AC20" s="13" t="str">
        <f t="shared" ca="1" si="14"/>
        <v>silver</v>
      </c>
      <c r="AE20" s="5">
        <f t="shared" ca="1" si="15"/>
        <v>7076</v>
      </c>
    </row>
    <row r="21" spans="1:31" customFormat="1" ht="33.75" x14ac:dyDescent="0.5">
      <c r="A21" s="21">
        <f t="shared" ca="1" si="19"/>
        <v>8050846039643</v>
      </c>
      <c r="B21" s="20">
        <f>Proforma!F23</f>
        <v>3</v>
      </c>
      <c r="C21" s="20">
        <f>Proforma!G23</f>
        <v>14.16</v>
      </c>
      <c r="D21" s="20"/>
      <c r="E21" s="23" t="str">
        <f ca="1">IF(A21&lt;&gt;"",codeEAN13(INT(A21/10)),"")</f>
        <v>8APASOG*adjged+</v>
      </c>
      <c r="G21" s="27" t="str">
        <f t="shared" ca="1" si="0"/>
        <v xml:space="preserve">OURBAN          </v>
      </c>
      <c r="H21" s="27" t="str">
        <f t="shared" ca="1" si="1"/>
        <v xml:space="preserve">NAVY </v>
      </c>
      <c r="I21" s="27">
        <f t="shared" ca="1" si="2"/>
        <v>0</v>
      </c>
      <c r="J21" s="25" t="str">
        <f t="shared" ca="1" si="3"/>
        <v xml:space="preserve"> scocca O bag urban EVA</v>
      </c>
      <c r="K21" s="25" t="str">
        <f t="shared" ca="1" si="4"/>
        <v>blu navy</v>
      </c>
      <c r="M21" s="19" t="b">
        <f t="shared" ca="1" si="20"/>
        <v>0</v>
      </c>
      <c r="N21" s="19" t="b">
        <f t="shared" ca="1" si="21"/>
        <v>0</v>
      </c>
      <c r="O21" s="19" t="b">
        <f t="shared" ca="1" si="22"/>
        <v>0</v>
      </c>
      <c r="P21" s="11"/>
      <c r="Q21" s="9" t="str">
        <f t="shared" ca="1" si="7"/>
        <v xml:space="preserve"> O bag fall 2018</v>
      </c>
      <c r="R21" s="29">
        <f t="shared" ca="1" si="8"/>
        <v>12</v>
      </c>
      <c r="S21" s="2" t="str">
        <f>Proforma!B23</f>
        <v>OBAGB033</v>
      </c>
      <c r="T21" s="2" t="str">
        <f>Proforma!C23</f>
        <v>EVS00</v>
      </c>
      <c r="U21" s="2">
        <f>Proforma!D23</f>
        <v>17</v>
      </c>
      <c r="W21" t="str">
        <f t="shared" si="23"/>
        <v>OBAGB033-EVS00-017</v>
      </c>
      <c r="X21" s="14">
        <f t="shared" ca="1" si="10"/>
        <v>8050846039643</v>
      </c>
      <c r="Y21" s="1"/>
      <c r="Z21" s="2">
        <f t="shared" ca="1" si="11"/>
        <v>531</v>
      </c>
      <c r="AA21" s="7">
        <f t="shared" ca="1" si="12"/>
        <v>46</v>
      </c>
      <c r="AB21" s="13" t="str">
        <f t="shared" ca="1" si="13"/>
        <v xml:space="preserve"> scocca O bag urban EVA</v>
      </c>
      <c r="AC21" s="13" t="str">
        <f t="shared" ca="1" si="14"/>
        <v>blu navy</v>
      </c>
      <c r="AE21" s="5">
        <f t="shared" ca="1" si="15"/>
        <v>9201</v>
      </c>
    </row>
    <row r="22" spans="1:31" customFormat="1" ht="33.75" x14ac:dyDescent="0.5">
      <c r="A22" s="21">
        <f t="shared" ca="1" si="19"/>
        <v>8050450214153</v>
      </c>
      <c r="B22" s="20">
        <f>Proforma!F24</f>
        <v>8</v>
      </c>
      <c r="C22" s="20">
        <f>Proforma!G24</f>
        <v>14.4</v>
      </c>
      <c r="D22" s="20"/>
      <c r="E22" s="23" t="str">
        <f ca="1">IF(A22&lt;&gt;"",codeEAN13(INT(A22/10)),"")</f>
        <v>8APAOPA*cbebfd+</v>
      </c>
      <c r="G22" s="27" t="str">
        <f t="shared" ca="1" si="0"/>
        <v xml:space="preserve">OBODY           </v>
      </c>
      <c r="H22" s="27" t="str">
        <f t="shared" ca="1" si="1"/>
        <v>CHOCO</v>
      </c>
      <c r="I22" s="27">
        <f t="shared" ca="1" si="2"/>
        <v>0</v>
      </c>
      <c r="J22" s="25" t="str">
        <f t="shared" ca="1" si="3"/>
        <v xml:space="preserve"> scocca O bag EVA</v>
      </c>
      <c r="K22" s="25" t="str">
        <f t="shared" ca="1" si="4"/>
        <v>cioccolato</v>
      </c>
      <c r="M22" s="19" t="b">
        <f t="shared" ca="1" si="20"/>
        <v>0</v>
      </c>
      <c r="N22" s="19" t="b">
        <f t="shared" ca="1" si="21"/>
        <v>0</v>
      </c>
      <c r="O22" s="19" t="b">
        <f t="shared" ca="1" si="22"/>
        <v>0</v>
      </c>
      <c r="P22" s="11"/>
      <c r="Q22" s="9" t="str">
        <f t="shared" ca="1" si="7"/>
        <v xml:space="preserve"> O bag fall 2018</v>
      </c>
      <c r="R22" s="29">
        <f t="shared" ca="1" si="8"/>
        <v>4</v>
      </c>
      <c r="S22" s="2" t="str">
        <f>Proforma!B24</f>
        <v>OBAGB001</v>
      </c>
      <c r="T22" s="2" t="str">
        <f>Proforma!C24</f>
        <v>EVS00</v>
      </c>
      <c r="U22" s="2">
        <f>Proforma!D24</f>
        <v>24</v>
      </c>
      <c r="W22" t="str">
        <f t="shared" si="23"/>
        <v>OBAGB001-EVS00-024</v>
      </c>
      <c r="X22" s="14">
        <f t="shared" ca="1" si="10"/>
        <v>8050450214153</v>
      </c>
      <c r="Y22" s="1"/>
      <c r="Z22" s="2">
        <f t="shared" ca="1" si="11"/>
        <v>456</v>
      </c>
      <c r="AA22" s="7">
        <f t="shared" ca="1" si="12"/>
        <v>17</v>
      </c>
      <c r="AB22" s="13" t="str">
        <f t="shared" ca="1" si="13"/>
        <v xml:space="preserve"> scocca O bag EVA</v>
      </c>
      <c r="AC22" s="13" t="str">
        <f t="shared" ca="1" si="14"/>
        <v>cioccolato</v>
      </c>
      <c r="AE22" s="5">
        <f t="shared" ca="1" si="15"/>
        <v>7352</v>
      </c>
    </row>
    <row r="23" spans="1:31" customFormat="1" ht="33.75" x14ac:dyDescent="0.5">
      <c r="A23" s="21">
        <f t="shared" ca="1" si="19"/>
        <v>8050846039070</v>
      </c>
      <c r="B23" s="20">
        <f>Proforma!F25</f>
        <v>6</v>
      </c>
      <c r="C23" s="20">
        <f>Proforma!G25</f>
        <v>14.4</v>
      </c>
      <c r="D23" s="20"/>
      <c r="E23" s="23" t="str">
        <f ca="1">IF(A23&lt;&gt;"",codeEAN13(INT(A23/10)),"")</f>
        <v>8APASOG*adjaha+</v>
      </c>
      <c r="G23" s="27" t="str">
        <f t="shared" ca="1" si="0"/>
        <v xml:space="preserve">OBODY           </v>
      </c>
      <c r="H23" s="27" t="str">
        <f t="shared" ca="1" si="1"/>
        <v>BOSCO</v>
      </c>
      <c r="I23" s="27">
        <f t="shared" ca="1" si="2"/>
        <v>0</v>
      </c>
      <c r="J23" s="25" t="str">
        <f t="shared" ca="1" si="3"/>
        <v xml:space="preserve"> scocca O bag EVA</v>
      </c>
      <c r="K23" s="25" t="str">
        <f t="shared" ca="1" si="4"/>
        <v>verde bosco</v>
      </c>
      <c r="M23" s="19" t="b">
        <f t="shared" ca="1" si="20"/>
        <v>0</v>
      </c>
      <c r="N23" s="19" t="b">
        <f t="shared" ca="1" si="21"/>
        <v>0</v>
      </c>
      <c r="O23" s="19" t="b">
        <f t="shared" ca="1" si="22"/>
        <v>0</v>
      </c>
      <c r="P23" s="11"/>
      <c r="Q23" s="9" t="str">
        <f t="shared" ca="1" si="7"/>
        <v xml:space="preserve"> O bag fall 2018</v>
      </c>
      <c r="R23" s="29">
        <f t="shared" ca="1" si="8"/>
        <v>5</v>
      </c>
      <c r="S23" s="2" t="str">
        <f>Proforma!B25</f>
        <v>OBAGB001</v>
      </c>
      <c r="T23" s="2" t="str">
        <f>Proforma!C25</f>
        <v>EVS00</v>
      </c>
      <c r="U23" s="2">
        <f>Proforma!D25</f>
        <v>541</v>
      </c>
      <c r="W23" t="str">
        <f t="shared" si="23"/>
        <v>OBAGB001-EVS00-541</v>
      </c>
      <c r="X23" s="14">
        <f t="shared" ca="1" si="10"/>
        <v>8050846039070</v>
      </c>
      <c r="Y23" s="1"/>
      <c r="Z23" s="2">
        <f t="shared" ca="1" si="11"/>
        <v>467</v>
      </c>
      <c r="AA23" s="7">
        <f t="shared" ca="1" si="12"/>
        <v>23</v>
      </c>
      <c r="AB23" s="13" t="str">
        <f t="shared" ca="1" si="13"/>
        <v xml:space="preserve"> scocca O bag EVA</v>
      </c>
      <c r="AC23" s="13" t="str">
        <f t="shared" ca="1" si="14"/>
        <v>verde bosco</v>
      </c>
      <c r="AE23" s="5">
        <f t="shared" ca="1" si="15"/>
        <v>7343</v>
      </c>
    </row>
    <row r="24" spans="1:31" customFormat="1" ht="33.75" x14ac:dyDescent="0.5">
      <c r="A24" s="21">
        <f t="shared" ca="1" si="19"/>
        <v>8050846039711</v>
      </c>
      <c r="B24" s="20">
        <f>Proforma!F26</f>
        <v>3</v>
      </c>
      <c r="C24" s="20">
        <f>Proforma!G26</f>
        <v>14.16</v>
      </c>
      <c r="D24" s="20"/>
      <c r="E24" s="23" t="str">
        <f ca="1">IF(A24&lt;&gt;"",codeEAN13(INT(A24/10)),"")</f>
        <v>8APASOG*adjhbb+</v>
      </c>
      <c r="G24" s="27" t="str">
        <f t="shared" ca="1" si="0"/>
        <v xml:space="preserve">OURBAN          </v>
      </c>
      <c r="H24" s="27" t="str">
        <f t="shared" ca="1" si="1"/>
        <v xml:space="preserve">SAND </v>
      </c>
      <c r="I24" s="27">
        <f t="shared" ca="1" si="2"/>
        <v>0</v>
      </c>
      <c r="J24" s="25" t="str">
        <f t="shared" ca="1" si="3"/>
        <v xml:space="preserve"> scocca O bag urban EVA</v>
      </c>
      <c r="K24" s="25" t="str">
        <f t="shared" ca="1" si="4"/>
        <v>sabbia</v>
      </c>
      <c r="M24" s="19" t="b">
        <f t="shared" ca="1" si="20"/>
        <v>0</v>
      </c>
      <c r="N24" s="19" t="b">
        <f t="shared" ca="1" si="21"/>
        <v>0</v>
      </c>
      <c r="O24" s="19" t="b">
        <f t="shared" ca="1" si="22"/>
        <v>0</v>
      </c>
      <c r="P24" s="11"/>
      <c r="Q24" s="9" t="str">
        <f t="shared" ca="1" si="7"/>
        <v xml:space="preserve"> O bag fall 2018</v>
      </c>
      <c r="R24" s="29">
        <f t="shared" ca="1" si="8"/>
        <v>12</v>
      </c>
      <c r="S24" s="2" t="str">
        <f>Proforma!B26</f>
        <v>OBAGB033</v>
      </c>
      <c r="T24" s="2" t="str">
        <f>Proforma!C26</f>
        <v>EVS00</v>
      </c>
      <c r="U24" s="2">
        <f>Proforma!D26</f>
        <v>78</v>
      </c>
      <c r="W24" t="str">
        <f t="shared" si="23"/>
        <v>OBAGB033-EVS00-078</v>
      </c>
      <c r="X24" s="14">
        <f t="shared" ca="1" si="10"/>
        <v>8050846039711</v>
      </c>
      <c r="Y24" s="1"/>
      <c r="Z24" s="2">
        <f t="shared" ca="1" si="11"/>
        <v>538</v>
      </c>
      <c r="AA24" s="7">
        <f t="shared" ca="1" si="12"/>
        <v>53</v>
      </c>
      <c r="AB24" s="13" t="str">
        <f t="shared" ca="1" si="13"/>
        <v xml:space="preserve"> scocca O bag urban EVA</v>
      </c>
      <c r="AC24" s="13" t="str">
        <f t="shared" ca="1" si="14"/>
        <v>sabbia</v>
      </c>
      <c r="AE24" s="5">
        <f t="shared" ca="1" si="15"/>
        <v>9204</v>
      </c>
    </row>
    <row r="25" spans="1:31" customFormat="1" ht="33.75" x14ac:dyDescent="0.5">
      <c r="A25" s="21" t="str">
        <f t="shared" ca="1" si="19"/>
        <v/>
      </c>
      <c r="B25" s="20">
        <f>Proforma!F27</f>
        <v>2</v>
      </c>
      <c r="C25" s="20">
        <f>Proforma!G27</f>
        <v>11.88</v>
      </c>
      <c r="D25" s="20"/>
      <c r="E25" s="23" t="str">
        <f ca="1">IF(A25&lt;&gt;"",codeEAN13(INT(A25/10)),"")</f>
        <v/>
      </c>
      <c r="G25" s="27" t="str">
        <f t="shared" ca="1" si="0"/>
        <v/>
      </c>
      <c r="H25" s="27" t="str">
        <f t="shared" ca="1" si="1"/>
        <v/>
      </c>
      <c r="I25" s="27" t="str">
        <f t="shared" ca="1" si="2"/>
        <v/>
      </c>
      <c r="J25" s="25" t="str">
        <f t="shared" ca="1" si="3"/>
        <v xml:space="preserve"> scocca O bag glam EVA</v>
      </c>
      <c r="K25" s="25" t="str">
        <f t="shared" ca="1" si="4"/>
        <v>cioccolato</v>
      </c>
      <c r="M25" s="19" t="b">
        <f t="shared" ca="1" si="20"/>
        <v>0</v>
      </c>
      <c r="N25" s="19" t="b">
        <f t="shared" ca="1" si="21"/>
        <v>0</v>
      </c>
      <c r="O25" s="19" t="b">
        <f t="shared" ca="1" si="22"/>
        <v>0</v>
      </c>
      <c r="P25" s="11"/>
      <c r="Q25" s="9" t="str">
        <f t="shared" ca="1" si="7"/>
        <v xml:space="preserve"> O bag winter 2018</v>
      </c>
      <c r="R25" s="29">
        <f t="shared" ca="1" si="8"/>
        <v>19</v>
      </c>
      <c r="S25" s="2" t="str">
        <f>Proforma!B27</f>
        <v>OBAGB034</v>
      </c>
      <c r="T25" s="2" t="str">
        <f>Proforma!C27</f>
        <v>EVS00</v>
      </c>
      <c r="U25" s="2">
        <f>Proforma!D27</f>
        <v>24</v>
      </c>
      <c r="W25" t="str">
        <f t="shared" si="23"/>
        <v>OBAGB034-EVS00-024</v>
      </c>
      <c r="X25" s="14" t="str">
        <f t="shared" ca="1" si="10"/>
        <v/>
      </c>
      <c r="Y25" s="1"/>
      <c r="Z25" s="2">
        <f t="shared" ca="1" si="11"/>
        <v>10363</v>
      </c>
      <c r="AA25" s="7" t="str">
        <f t="shared" ca="1" si="12"/>
        <v/>
      </c>
      <c r="AB25" s="13" t="str">
        <f t="shared" ca="1" si="13"/>
        <v/>
      </c>
      <c r="AC25" s="13" t="str">
        <f t="shared" ca="1" si="14"/>
        <v/>
      </c>
      <c r="AE25" s="5" t="str">
        <f t="shared" ca="1" si="15"/>
        <v/>
      </c>
    </row>
    <row r="26" spans="1:31" customFormat="1" ht="33.75" x14ac:dyDescent="0.5">
      <c r="A26" s="21">
        <f t="shared" ca="1" si="19"/>
        <v>8050846039834</v>
      </c>
      <c r="B26" s="20">
        <f>Proforma!F28</f>
        <v>2</v>
      </c>
      <c r="C26" s="20">
        <f>Proforma!G28</f>
        <v>11.88</v>
      </c>
      <c r="D26" s="20"/>
      <c r="E26" s="23" t="str">
        <f ca="1">IF(A26&lt;&gt;"",codeEAN13(INT(A26/10)),"")</f>
        <v>8APASOG*adjide+</v>
      </c>
      <c r="G26" s="27" t="str">
        <f t="shared" ca="1" si="0"/>
        <v xml:space="preserve">OGLAM           </v>
      </c>
      <c r="H26" s="27" t="str">
        <f t="shared" ca="1" si="1"/>
        <v xml:space="preserve">ROCK </v>
      </c>
      <c r="I26" s="27">
        <f t="shared" ca="1" si="2"/>
        <v>0</v>
      </c>
      <c r="J26" s="25" t="str">
        <f t="shared" ca="1" si="3"/>
        <v xml:space="preserve"> scocca O bag glam EVA</v>
      </c>
      <c r="K26" s="25" t="str">
        <f t="shared" ca="1" si="4"/>
        <v>roccia</v>
      </c>
      <c r="M26" s="19" t="b">
        <f t="shared" ca="1" si="20"/>
        <v>0</v>
      </c>
      <c r="N26" s="19" t="b">
        <f t="shared" ca="1" si="21"/>
        <v>0</v>
      </c>
      <c r="O26" s="19" t="b">
        <f t="shared" ca="1" si="22"/>
        <v>0</v>
      </c>
      <c r="P26" s="11"/>
      <c r="Q26" s="9" t="str">
        <f t="shared" ca="1" si="7"/>
        <v xml:space="preserve"> O bag fall 2018</v>
      </c>
      <c r="R26" s="29">
        <f t="shared" ca="1" si="8"/>
        <v>13</v>
      </c>
      <c r="S26" s="2" t="str">
        <f>Proforma!B28</f>
        <v>OBAGB034</v>
      </c>
      <c r="T26" s="2" t="str">
        <f>Proforma!C28</f>
        <v>EVS00</v>
      </c>
      <c r="U26" s="2">
        <f>Proforma!D28</f>
        <v>71</v>
      </c>
      <c r="W26" t="str">
        <f t="shared" si="23"/>
        <v>OBAGB034-EVS00-071</v>
      </c>
      <c r="X26" s="14">
        <f t="shared" ca="1" si="10"/>
        <v>8050846039834</v>
      </c>
      <c r="Y26" s="1"/>
      <c r="Z26" s="2">
        <f t="shared" ca="1" si="11"/>
        <v>548</v>
      </c>
      <c r="AA26" s="7">
        <f t="shared" ca="1" si="12"/>
        <v>63</v>
      </c>
      <c r="AB26" s="13" t="str">
        <f t="shared" ca="1" si="13"/>
        <v xml:space="preserve"> scocca O bag glam EVA</v>
      </c>
      <c r="AC26" s="13" t="str">
        <f t="shared" ca="1" si="14"/>
        <v>roccia</v>
      </c>
      <c r="AE26" s="5">
        <f t="shared" ca="1" si="15"/>
        <v>8495</v>
      </c>
    </row>
    <row r="27" spans="1:31" customFormat="1" ht="33.75" x14ac:dyDescent="0.5">
      <c r="A27" s="21" t="str">
        <f t="shared" ref="A27:A90" ca="1" si="24">X27</f>
        <v/>
      </c>
      <c r="B27" s="20">
        <f>Proforma!F29</f>
        <v>5</v>
      </c>
      <c r="C27" s="20">
        <f>Proforma!G29</f>
        <v>4.8</v>
      </c>
      <c r="D27" s="20"/>
      <c r="E27" s="23" t="str">
        <f ca="1">IF(A27&lt;&gt;"",codeEAN13(INT(A27/10)),"")</f>
        <v/>
      </c>
      <c r="G27" s="27" t="str">
        <f t="shared" ca="1" si="0"/>
        <v/>
      </c>
      <c r="H27" s="27" t="str">
        <f t="shared" ca="1" si="1"/>
        <v/>
      </c>
      <c r="I27" s="27" t="str">
        <f t="shared" ca="1" si="2"/>
        <v/>
      </c>
      <c r="J27" s="25" t="str">
        <f t="shared" ca="1" si="3"/>
        <v xml:space="preserve"> scocca sotto O pocket EVA</v>
      </c>
      <c r="K27" s="25" t="str">
        <f t="shared" ca="1" si="4"/>
        <v>cioccolato</v>
      </c>
      <c r="M27" s="19" t="b">
        <f t="shared" ref="M27:M90" ca="1" si="25">OR(N27:O27)</f>
        <v>0</v>
      </c>
      <c r="N27" s="19" t="b">
        <f t="shared" ref="N27:N90" ca="1" si="26">AND($X27 &lt;&gt; "", J27&lt;&gt;AB27)</f>
        <v>0</v>
      </c>
      <c r="O27" s="19" t="b">
        <f t="shared" ref="O27:O90" ca="1" si="27">AND($X27 &lt;&gt; "", K27&lt;&gt;AC27)</f>
        <v>0</v>
      </c>
      <c r="P27" s="11"/>
      <c r="Q27" s="9" t="str">
        <f t="shared" ca="1" si="7"/>
        <v xml:space="preserve"> O bag winter 2018</v>
      </c>
      <c r="R27" s="29">
        <f t="shared" ca="1" si="8"/>
        <v>20</v>
      </c>
      <c r="S27" s="2" t="str">
        <f>Proforma!B29</f>
        <v>OBAGB206</v>
      </c>
      <c r="T27" s="2" t="str">
        <f>Proforma!C29</f>
        <v>EVS00</v>
      </c>
      <c r="U27" s="2">
        <f>Proforma!D29</f>
        <v>24</v>
      </c>
      <c r="W27" t="str">
        <f t="shared" ref="W27:W90" si="28">S27 &amp; "-" &amp; T27 &amp; "-" &amp; TEXT(U27, "000")</f>
        <v>OBAGB206-EVS00-024</v>
      </c>
      <c r="X27" s="14" t="str">
        <f t="shared" ca="1" si="10"/>
        <v/>
      </c>
      <c r="Y27" s="1"/>
      <c r="Z27" s="2">
        <f t="shared" ca="1" si="11"/>
        <v>10374</v>
      </c>
      <c r="AA27" s="7" t="str">
        <f t="shared" ca="1" si="12"/>
        <v/>
      </c>
      <c r="AB27" s="13" t="str">
        <f t="shared" ca="1" si="13"/>
        <v/>
      </c>
      <c r="AC27" s="13" t="str">
        <f t="shared" ca="1" si="14"/>
        <v/>
      </c>
      <c r="AE27" s="5" t="str">
        <f t="shared" ca="1" si="15"/>
        <v/>
      </c>
    </row>
    <row r="28" spans="1:31" customFormat="1" ht="33.75" x14ac:dyDescent="0.5">
      <c r="A28" s="21" t="str">
        <f t="shared" ca="1" si="24"/>
        <v/>
      </c>
      <c r="B28" s="20">
        <f>Proforma!F30</f>
        <v>5</v>
      </c>
      <c r="C28" s="20">
        <f>Proforma!G30</f>
        <v>10.8</v>
      </c>
      <c r="D28" s="20"/>
      <c r="E28" s="23" t="str">
        <f ca="1">IF(A28&lt;&gt;"",codeEAN13(INT(A28/10)),"")</f>
        <v/>
      </c>
      <c r="G28" s="27" t="str">
        <f t="shared" ca="1" si="0"/>
        <v/>
      </c>
      <c r="H28" s="27" t="str">
        <f t="shared" ca="1" si="1"/>
        <v/>
      </c>
      <c r="I28" s="27" t="str">
        <f t="shared" ca="1" si="2"/>
        <v/>
      </c>
      <c r="J28" s="25" t="str">
        <f t="shared" ca="1" si="3"/>
        <v/>
      </c>
      <c r="K28" s="25" t="str">
        <f t="shared" ca="1" si="4"/>
        <v/>
      </c>
      <c r="M28" s="19" t="b">
        <f t="shared" ca="1" si="25"/>
        <v>0</v>
      </c>
      <c r="N28" s="19" t="b">
        <f t="shared" ca="1" si="26"/>
        <v>0</v>
      </c>
      <c r="O28" s="19" t="b">
        <f t="shared" ca="1" si="27"/>
        <v>0</v>
      </c>
      <c r="P28" s="11"/>
      <c r="Q28" s="9" t="str">
        <f t="shared" ca="1" si="7"/>
        <v/>
      </c>
      <c r="R28" s="29" t="str">
        <f t="shared" ca="1" si="8"/>
        <v/>
      </c>
      <c r="S28" s="2" t="str">
        <f>Proforma!B30</f>
        <v>OBAGS001</v>
      </c>
      <c r="T28" s="2" t="str">
        <f>Proforma!C30</f>
        <v>TESR1</v>
      </c>
      <c r="U28" s="2">
        <f>Proforma!D30</f>
        <v>18</v>
      </c>
      <c r="W28" t="str">
        <f t="shared" si="28"/>
        <v>OBAGS001-TESR1-018</v>
      </c>
      <c r="X28" s="14" t="str">
        <f t="shared" ca="1" si="10"/>
        <v/>
      </c>
      <c r="Y28" s="1"/>
      <c r="Z28" s="2" t="str">
        <f t="shared" ca="1" si="11"/>
        <v/>
      </c>
      <c r="AA28" s="7" t="str">
        <f t="shared" ca="1" si="12"/>
        <v/>
      </c>
      <c r="AB28" s="13" t="str">
        <f t="shared" ca="1" si="13"/>
        <v/>
      </c>
      <c r="AC28" s="13" t="str">
        <f t="shared" ca="1" si="14"/>
        <v/>
      </c>
      <c r="AE28" s="5" t="str">
        <f t="shared" ca="1" si="15"/>
        <v/>
      </c>
    </row>
    <row r="29" spans="1:31" customFormat="1" ht="33.75" x14ac:dyDescent="0.5">
      <c r="A29" s="21" t="str">
        <f t="shared" ca="1" si="24"/>
        <v/>
      </c>
      <c r="B29" s="20">
        <f>Proforma!F31</f>
        <v>8</v>
      </c>
      <c r="C29" s="20">
        <f>Proforma!G31</f>
        <v>10.8</v>
      </c>
      <c r="D29" s="20"/>
      <c r="E29" s="23" t="str">
        <f ca="1">IF(A29&lt;&gt;"",codeEAN13(INT(A29/10)),"")</f>
        <v/>
      </c>
      <c r="G29" s="27" t="str">
        <f t="shared" ca="1" si="0"/>
        <v/>
      </c>
      <c r="H29" s="27" t="str">
        <f t="shared" ca="1" si="1"/>
        <v/>
      </c>
      <c r="I29" s="27" t="str">
        <f t="shared" ca="1" si="2"/>
        <v/>
      </c>
      <c r="J29" s="25" t="str">
        <f t="shared" ca="1" si="3"/>
        <v/>
      </c>
      <c r="K29" s="25" t="str">
        <f t="shared" ca="1" si="4"/>
        <v/>
      </c>
      <c r="M29" s="19" t="b">
        <f t="shared" ca="1" si="25"/>
        <v>0</v>
      </c>
      <c r="N29" s="19" t="b">
        <f t="shared" ca="1" si="26"/>
        <v>0</v>
      </c>
      <c r="O29" s="19" t="b">
        <f t="shared" ca="1" si="27"/>
        <v>0</v>
      </c>
      <c r="P29" s="11"/>
      <c r="Q29" s="9" t="str">
        <f t="shared" ca="1" si="7"/>
        <v/>
      </c>
      <c r="R29" s="29" t="str">
        <f t="shared" ca="1" si="8"/>
        <v/>
      </c>
      <c r="S29" s="2" t="str">
        <f>Proforma!B31</f>
        <v>OBAGS001</v>
      </c>
      <c r="T29" s="2" t="str">
        <f>Proforma!C31</f>
        <v>TESR1</v>
      </c>
      <c r="U29" s="2">
        <f>Proforma!D31</f>
        <v>258</v>
      </c>
      <c r="W29" t="str">
        <f t="shared" si="28"/>
        <v>OBAGS001-TESR1-258</v>
      </c>
      <c r="X29" s="14" t="str">
        <f t="shared" ca="1" si="10"/>
        <v/>
      </c>
      <c r="Y29" s="1"/>
      <c r="Z29" s="2" t="str">
        <f t="shared" ca="1" si="11"/>
        <v/>
      </c>
      <c r="AA29" s="7" t="str">
        <f t="shared" ca="1" si="12"/>
        <v/>
      </c>
      <c r="AB29" s="13" t="str">
        <f t="shared" ca="1" si="13"/>
        <v/>
      </c>
      <c r="AC29" s="13" t="str">
        <f t="shared" ca="1" si="14"/>
        <v/>
      </c>
      <c r="AE29" s="5" t="str">
        <f t="shared" ca="1" si="15"/>
        <v/>
      </c>
    </row>
    <row r="30" spans="1:31" customFormat="1" ht="33.75" x14ac:dyDescent="0.5">
      <c r="A30" s="21">
        <f t="shared" ca="1" si="24"/>
        <v>8050846033368</v>
      </c>
      <c r="B30" s="20">
        <f>Proforma!F32</f>
        <v>3</v>
      </c>
      <c r="C30" s="20">
        <f>Proforma!G32</f>
        <v>9</v>
      </c>
      <c r="D30" s="20"/>
      <c r="E30" s="23" t="str">
        <f ca="1">IF(A30&lt;&gt;"",codeEAN13(INT(A30/10)),"")</f>
        <v>8APASOG*adddgi+</v>
      </c>
      <c r="G30" s="27" t="str">
        <f t="shared" ca="1" si="0"/>
        <v xml:space="preserve">CANOGLAM        </v>
      </c>
      <c r="H30" s="27" t="str">
        <f t="shared" ca="1" si="1"/>
        <v>VELBD</v>
      </c>
      <c r="I30" s="27">
        <f t="shared" ca="1" si="2"/>
        <v>0</v>
      </c>
      <c r="J30" s="25" t="str">
        <f t="shared" ca="1" si="3"/>
        <v xml:space="preserve"> sacca interna zip O bag mini</v>
      </c>
      <c r="K30" s="25" t="str">
        <f t="shared" ca="1" si="4"/>
        <v>bordeaux</v>
      </c>
      <c r="M30" s="19" t="b">
        <f t="shared" ca="1" si="25"/>
        <v>0</v>
      </c>
      <c r="N30" s="19" t="b">
        <f t="shared" ca="1" si="26"/>
        <v>0</v>
      </c>
      <c r="O30" s="19" t="b">
        <f t="shared" ca="1" si="27"/>
        <v>0</v>
      </c>
      <c r="P30" s="11"/>
      <c r="Q30" s="9" t="str">
        <f t="shared" ca="1" si="7"/>
        <v xml:space="preserve"> O bag winter 2018</v>
      </c>
      <c r="R30" s="29">
        <f t="shared" ca="1" si="8"/>
        <v>81</v>
      </c>
      <c r="S30" s="2" t="str">
        <f>Proforma!B32</f>
        <v>OBAGS002</v>
      </c>
      <c r="T30" s="2" t="str">
        <f>Proforma!C32</f>
        <v>TESR1</v>
      </c>
      <c r="U30" s="2">
        <f>Proforma!D32</f>
        <v>18</v>
      </c>
      <c r="W30" t="str">
        <f t="shared" si="28"/>
        <v>OBAGS002-TESR1-018</v>
      </c>
      <c r="X30" s="14">
        <f t="shared" ca="1" si="10"/>
        <v>8050846033368</v>
      </c>
      <c r="Y30" s="1"/>
      <c r="Z30" s="2">
        <f t="shared" ca="1" si="11"/>
        <v>10692</v>
      </c>
      <c r="AA30" s="7">
        <f t="shared" ca="1" si="12"/>
        <v>162</v>
      </c>
      <c r="AB30" s="13" t="str">
        <f t="shared" ca="1" si="13"/>
        <v xml:space="preserve"> sacca interna zip O bag mini</v>
      </c>
      <c r="AC30" s="13" t="str">
        <f t="shared" ca="1" si="14"/>
        <v>bordeaux</v>
      </c>
      <c r="AE30" s="5">
        <f t="shared" ca="1" si="15"/>
        <v>4409</v>
      </c>
    </row>
    <row r="31" spans="1:31" customFormat="1" ht="33.75" x14ac:dyDescent="0.5">
      <c r="A31" s="21">
        <f t="shared" ca="1" si="24"/>
        <v>8050846033351</v>
      </c>
      <c r="B31" s="20">
        <f>Proforma!F33</f>
        <v>5</v>
      </c>
      <c r="C31" s="20">
        <f>Proforma!G33</f>
        <v>9</v>
      </c>
      <c r="D31" s="20"/>
      <c r="E31" s="23" t="str">
        <f ca="1">IF(A31&lt;&gt;"",codeEAN13(INT(A31/10)),"")</f>
        <v>8APASOG*adddfb+</v>
      </c>
      <c r="G31" s="27" t="str">
        <f t="shared" ca="1" si="0"/>
        <v xml:space="preserve">CANOGLAM        </v>
      </c>
      <c r="H31" s="27" t="str">
        <f t="shared" ca="1" si="1"/>
        <v>VELTO</v>
      </c>
      <c r="I31" s="27">
        <f t="shared" ca="1" si="2"/>
        <v>0</v>
      </c>
      <c r="J31" s="25" t="str">
        <f t="shared" ca="1" si="3"/>
        <v xml:space="preserve"> sacca interna zip O bag mini</v>
      </c>
      <c r="K31" s="25" t="str">
        <f t="shared" ca="1" si="4"/>
        <v>tortora</v>
      </c>
      <c r="M31" s="19" t="b">
        <f t="shared" ca="1" si="25"/>
        <v>0</v>
      </c>
      <c r="N31" s="19" t="b">
        <f t="shared" ca="1" si="26"/>
        <v>0</v>
      </c>
      <c r="O31" s="19" t="b">
        <f t="shared" ca="1" si="27"/>
        <v>0</v>
      </c>
      <c r="P31" s="11"/>
      <c r="Q31" s="9" t="str">
        <f t="shared" ca="1" si="7"/>
        <v xml:space="preserve"> O bag winter 2018</v>
      </c>
      <c r="R31" s="29">
        <f t="shared" ca="1" si="8"/>
        <v>81</v>
      </c>
      <c r="S31" s="2" t="str">
        <f>Proforma!B33</f>
        <v>OBAGS002</v>
      </c>
      <c r="T31" s="2" t="str">
        <f>Proforma!C33</f>
        <v>TESR1</v>
      </c>
      <c r="U31" s="2">
        <f>Proforma!D33</f>
        <v>86</v>
      </c>
      <c r="W31" t="str">
        <f t="shared" si="28"/>
        <v>OBAGS002-TESR1-086</v>
      </c>
      <c r="X31" s="14">
        <f t="shared" ca="1" si="10"/>
        <v>8050846033351</v>
      </c>
      <c r="Y31" s="1"/>
      <c r="Z31" s="2">
        <f t="shared" ca="1" si="11"/>
        <v>10694</v>
      </c>
      <c r="AA31" s="7">
        <f t="shared" ca="1" si="12"/>
        <v>164</v>
      </c>
      <c r="AB31" s="13" t="str">
        <f t="shared" ca="1" si="13"/>
        <v xml:space="preserve"> sacca interna zip O bag mini</v>
      </c>
      <c r="AC31" s="13" t="str">
        <f t="shared" ca="1" si="14"/>
        <v>tortora</v>
      </c>
      <c r="AE31" s="5">
        <f t="shared" ca="1" si="15"/>
        <v>4418</v>
      </c>
    </row>
    <row r="32" spans="1:31" customFormat="1" ht="33.75" x14ac:dyDescent="0.5">
      <c r="A32" s="21">
        <f t="shared" ca="1" si="24"/>
        <v>8050846033399</v>
      </c>
      <c r="B32" s="20">
        <f>Proforma!F34</f>
        <v>3</v>
      </c>
      <c r="C32" s="20">
        <f>Proforma!G34</f>
        <v>9</v>
      </c>
      <c r="D32" s="20"/>
      <c r="E32" s="23" t="str">
        <f ca="1">IF(A32&lt;&gt;"",codeEAN13(INT(A32/10)),"")</f>
        <v>8APASOG*adddjj+</v>
      </c>
      <c r="G32" s="27" t="str">
        <f t="shared" ca="1" si="0"/>
        <v xml:space="preserve">CANOGLAM        </v>
      </c>
      <c r="H32" s="27" t="str">
        <f t="shared" ca="1" si="1"/>
        <v>VELBE</v>
      </c>
      <c r="I32" s="27">
        <f t="shared" ca="1" si="2"/>
        <v>0</v>
      </c>
      <c r="J32" s="25" t="str">
        <f t="shared" ca="1" si="3"/>
        <v xml:space="preserve"> sacca interna zip O bag mini</v>
      </c>
      <c r="K32" s="25" t="str">
        <f t="shared" ca="1" si="4"/>
        <v>beige</v>
      </c>
      <c r="M32" s="19" t="b">
        <f t="shared" ca="1" si="25"/>
        <v>0</v>
      </c>
      <c r="N32" s="19" t="b">
        <f t="shared" ca="1" si="26"/>
        <v>0</v>
      </c>
      <c r="O32" s="19" t="b">
        <f t="shared" ca="1" si="27"/>
        <v>0</v>
      </c>
      <c r="P32" s="11"/>
      <c r="Q32" s="9" t="str">
        <f t="shared" ca="1" si="7"/>
        <v xml:space="preserve"> O bag winter 2018</v>
      </c>
      <c r="R32" s="29">
        <f t="shared" ca="1" si="8"/>
        <v>81</v>
      </c>
      <c r="S32" s="2" t="str">
        <f>Proforma!B34</f>
        <v>OBAGS002</v>
      </c>
      <c r="T32" s="2" t="str">
        <f>Proforma!C34</f>
        <v>TESR1</v>
      </c>
      <c r="U32" s="2">
        <f>Proforma!D34</f>
        <v>258</v>
      </c>
      <c r="W32" t="str">
        <f t="shared" si="28"/>
        <v>OBAGS002-TESR1-258</v>
      </c>
      <c r="X32" s="14">
        <f t="shared" ca="1" si="10"/>
        <v>8050846033399</v>
      </c>
      <c r="Y32" s="1"/>
      <c r="Z32" s="2">
        <f t="shared" ca="1" si="11"/>
        <v>10695</v>
      </c>
      <c r="AA32" s="7">
        <f t="shared" ca="1" si="12"/>
        <v>165</v>
      </c>
      <c r="AB32" s="13" t="str">
        <f t="shared" ca="1" si="13"/>
        <v xml:space="preserve"> sacca interna zip O bag mini</v>
      </c>
      <c r="AC32" s="13" t="str">
        <f t="shared" ca="1" si="14"/>
        <v>beige</v>
      </c>
      <c r="AE32" s="5">
        <f t="shared" ca="1" si="15"/>
        <v>4410</v>
      </c>
    </row>
    <row r="33" spans="1:31" customFormat="1" ht="33.75" x14ac:dyDescent="0.5">
      <c r="A33" s="21">
        <f t="shared" ca="1" si="24"/>
        <v>8050846035195</v>
      </c>
      <c r="B33" s="20">
        <f>Proforma!F35</f>
        <v>2</v>
      </c>
      <c r="C33" s="20">
        <f>Proforma!G35</f>
        <v>18.96</v>
      </c>
      <c r="D33" s="20"/>
      <c r="E33" s="23" t="str">
        <f ca="1">IF(A33&lt;&gt;"",codeEAN13(INT(A33/10)),"")</f>
        <v>8APASOG*adfbjf+</v>
      </c>
      <c r="G33" s="27" t="str">
        <f t="shared" ca="1" si="0"/>
        <v>ANSESTUB/BANDOUL</v>
      </c>
      <c r="H33" s="27" t="str">
        <f t="shared" ca="1" si="1"/>
        <v xml:space="preserve">BDX  </v>
      </c>
      <c r="I33" s="27">
        <f t="shared" ca="1" si="2"/>
        <v>0</v>
      </c>
      <c r="J33" s="25" t="str">
        <f t="shared" ca="1" si="3"/>
        <v xml:space="preserve"> tracolla extraslim 110 +</v>
      </c>
      <c r="K33" s="25" t="str">
        <f t="shared" ca="1" si="4"/>
        <v>bordeaux</v>
      </c>
      <c r="M33" s="19" t="b">
        <f t="shared" ca="1" si="25"/>
        <v>0</v>
      </c>
      <c r="N33" s="19" t="b">
        <f t="shared" ca="1" si="26"/>
        <v>0</v>
      </c>
      <c r="O33" s="19" t="b">
        <f t="shared" ca="1" si="27"/>
        <v>0</v>
      </c>
      <c r="P33" s="11"/>
      <c r="Q33" s="9" t="str">
        <f t="shared" ca="1" si="7"/>
        <v xml:space="preserve"> O bag fall 2018</v>
      </c>
      <c r="R33" s="29">
        <f t="shared" ca="1" si="8"/>
        <v>37</v>
      </c>
      <c r="S33" s="2" t="str">
        <f>Proforma!B35</f>
        <v>SHOUX101</v>
      </c>
      <c r="T33" s="2" t="str">
        <f>Proforma!C35</f>
        <v>ECS00</v>
      </c>
      <c r="U33" s="2">
        <f>Proforma!D35</f>
        <v>18</v>
      </c>
      <c r="W33" t="str">
        <f t="shared" si="28"/>
        <v>SHOUX101-ECS00-018</v>
      </c>
      <c r="X33" s="14">
        <f t="shared" ca="1" si="10"/>
        <v>8050846035195</v>
      </c>
      <c r="Y33" s="1"/>
      <c r="Z33" s="2">
        <f t="shared" ca="1" si="11"/>
        <v>676</v>
      </c>
      <c r="AA33" s="7">
        <f t="shared" ca="1" si="12"/>
        <v>93</v>
      </c>
      <c r="AB33" s="13" t="str">
        <f t="shared" ca="1" si="13"/>
        <v xml:space="preserve"> tracolla extraslim 110 +</v>
      </c>
      <c r="AC33" s="13" t="str">
        <f t="shared" ca="1" si="14"/>
        <v>bordeaux</v>
      </c>
      <c r="AE33" s="5">
        <f t="shared" ca="1" si="15"/>
        <v>2396</v>
      </c>
    </row>
    <row r="34" spans="1:31" customFormat="1" ht="33.75" x14ac:dyDescent="0.5">
      <c r="A34" s="21" t="str">
        <f t="shared" ca="1" si="24"/>
        <v/>
      </c>
      <c r="B34" s="20">
        <f>Proforma!F36</f>
        <v>0</v>
      </c>
      <c r="C34" s="20">
        <f>Proforma!G36</f>
        <v>0</v>
      </c>
      <c r="D34" s="20"/>
      <c r="E34" s="23" t="str">
        <f ca="1">IF(A34&lt;&gt;"",codeEAN13(INT(A34/10)),"")</f>
        <v/>
      </c>
      <c r="G34" s="27" t="str">
        <f t="shared" ca="1" si="0"/>
        <v/>
      </c>
      <c r="H34" s="27" t="str">
        <f t="shared" ca="1" si="1"/>
        <v/>
      </c>
      <c r="I34" s="27" t="str">
        <f t="shared" ca="1" si="2"/>
        <v/>
      </c>
      <c r="J34" s="25" t="str">
        <f t="shared" ca="1" si="3"/>
        <v/>
      </c>
      <c r="K34" s="25" t="str">
        <f t="shared" ca="1" si="4"/>
        <v/>
      </c>
      <c r="M34" s="19" t="b">
        <f t="shared" ca="1" si="25"/>
        <v>0</v>
      </c>
      <c r="N34" s="19" t="b">
        <f t="shared" ca="1" si="26"/>
        <v>0</v>
      </c>
      <c r="O34" s="19" t="b">
        <f t="shared" ca="1" si="27"/>
        <v>0</v>
      </c>
      <c r="P34" s="11"/>
      <c r="Q34" s="9" t="str">
        <f t="shared" ca="1" si="7"/>
        <v/>
      </c>
      <c r="R34" s="29" t="str">
        <f t="shared" ca="1" si="8"/>
        <v/>
      </c>
      <c r="S34" s="2">
        <f>Proforma!B36</f>
        <v>0</v>
      </c>
      <c r="T34" s="2">
        <f>Proforma!C36</f>
        <v>0</v>
      </c>
      <c r="U34" s="2">
        <f>Proforma!D36</f>
        <v>0</v>
      </c>
      <c r="W34" t="str">
        <f t="shared" si="28"/>
        <v>0-0-000</v>
      </c>
      <c r="X34" s="14" t="str">
        <f t="shared" ca="1" si="10"/>
        <v/>
      </c>
      <c r="Y34" s="1"/>
      <c r="Z34" s="2" t="str">
        <f t="shared" ca="1" si="11"/>
        <v/>
      </c>
      <c r="AA34" s="7" t="str">
        <f t="shared" ca="1" si="12"/>
        <v/>
      </c>
      <c r="AB34" s="13" t="str">
        <f t="shared" ca="1" si="13"/>
        <v/>
      </c>
      <c r="AC34" s="13" t="str">
        <f t="shared" ca="1" si="14"/>
        <v/>
      </c>
      <c r="AE34" s="5" t="str">
        <f t="shared" ca="1" si="15"/>
        <v/>
      </c>
    </row>
    <row r="35" spans="1:31" customFormat="1" ht="33.75" x14ac:dyDescent="0.5">
      <c r="A35" s="21" t="str">
        <f t="shared" ca="1" si="24"/>
        <v/>
      </c>
      <c r="B35" s="20">
        <f>Proforma!F37</f>
        <v>0</v>
      </c>
      <c r="C35" s="20">
        <f>Proforma!G37</f>
        <v>0</v>
      </c>
      <c r="D35" s="20"/>
      <c r="E35" s="23" t="str">
        <f ca="1">IF(A35&lt;&gt;"",codeEAN13(INT(A35/10)),"")</f>
        <v/>
      </c>
      <c r="G35" s="27" t="str">
        <f t="shared" ca="1" si="0"/>
        <v/>
      </c>
      <c r="H35" s="27" t="str">
        <f t="shared" ca="1" si="1"/>
        <v/>
      </c>
      <c r="I35" s="27" t="str">
        <f t="shared" ca="1" si="2"/>
        <v/>
      </c>
      <c r="J35" s="25" t="str">
        <f t="shared" ca="1" si="3"/>
        <v/>
      </c>
      <c r="K35" s="25" t="str">
        <f t="shared" ca="1" si="4"/>
        <v/>
      </c>
      <c r="M35" s="19" t="b">
        <f t="shared" ca="1" si="25"/>
        <v>0</v>
      </c>
      <c r="N35" s="19" t="b">
        <f t="shared" ca="1" si="26"/>
        <v>0</v>
      </c>
      <c r="O35" s="19" t="b">
        <f t="shared" ca="1" si="27"/>
        <v>0</v>
      </c>
      <c r="P35" s="11"/>
      <c r="Q35" s="9" t="str">
        <f t="shared" ca="1" si="7"/>
        <v/>
      </c>
      <c r="R35" s="29" t="str">
        <f t="shared" ca="1" si="8"/>
        <v/>
      </c>
      <c r="S35" s="2">
        <f>Proforma!B37</f>
        <v>0</v>
      </c>
      <c r="T35" s="2">
        <f>Proforma!C37</f>
        <v>0</v>
      </c>
      <c r="U35" s="2">
        <f>Proforma!D37</f>
        <v>0</v>
      </c>
      <c r="W35" t="str">
        <f t="shared" si="28"/>
        <v>0-0-000</v>
      </c>
      <c r="X35" s="14" t="str">
        <f t="shared" ca="1" si="10"/>
        <v/>
      </c>
      <c r="Y35" s="1"/>
      <c r="Z35" s="2" t="str">
        <f t="shared" ca="1" si="11"/>
        <v/>
      </c>
      <c r="AA35" s="7" t="str">
        <f t="shared" ca="1" si="12"/>
        <v/>
      </c>
      <c r="AB35" s="13" t="str">
        <f t="shared" ca="1" si="13"/>
        <v/>
      </c>
      <c r="AC35" s="13" t="str">
        <f t="shared" ca="1" si="14"/>
        <v/>
      </c>
      <c r="AE35" s="5" t="str">
        <f t="shared" ca="1" si="15"/>
        <v/>
      </c>
    </row>
    <row r="36" spans="1:31" customFormat="1" ht="33.75" x14ac:dyDescent="0.5">
      <c r="A36" s="21" t="str">
        <f t="shared" ca="1" si="24"/>
        <v/>
      </c>
      <c r="B36" s="20">
        <f>Proforma!F38</f>
        <v>0</v>
      </c>
      <c r="C36" s="20">
        <f>Proforma!G38</f>
        <v>0</v>
      </c>
      <c r="D36" s="20"/>
      <c r="E36" s="23" t="str">
        <f ca="1">IF(A36&lt;&gt;"",codeEAN13(INT(A36/10)),"")</f>
        <v/>
      </c>
      <c r="G36" s="27" t="str">
        <f t="shared" ca="1" si="0"/>
        <v/>
      </c>
      <c r="H36" s="27" t="str">
        <f t="shared" ca="1" si="1"/>
        <v/>
      </c>
      <c r="I36" s="27" t="str">
        <f t="shared" ca="1" si="2"/>
        <v/>
      </c>
      <c r="J36" s="25" t="str">
        <f t="shared" ca="1" si="3"/>
        <v/>
      </c>
      <c r="K36" s="25" t="str">
        <f t="shared" ca="1" si="4"/>
        <v/>
      </c>
      <c r="M36" s="19" t="b">
        <f t="shared" ca="1" si="25"/>
        <v>0</v>
      </c>
      <c r="N36" s="19" t="b">
        <f t="shared" ca="1" si="26"/>
        <v>0</v>
      </c>
      <c r="O36" s="19" t="b">
        <f t="shared" ca="1" si="27"/>
        <v>0</v>
      </c>
      <c r="P36" s="11"/>
      <c r="Q36" s="9" t="str">
        <f t="shared" ca="1" si="7"/>
        <v/>
      </c>
      <c r="R36" s="29" t="str">
        <f t="shared" ca="1" si="8"/>
        <v/>
      </c>
      <c r="S36" s="2">
        <f>Proforma!B38</f>
        <v>0</v>
      </c>
      <c r="T36" s="2">
        <f>Proforma!C38</f>
        <v>0</v>
      </c>
      <c r="U36" s="2">
        <f>Proforma!D38</f>
        <v>0</v>
      </c>
      <c r="W36" t="str">
        <f t="shared" si="28"/>
        <v>0-0-000</v>
      </c>
      <c r="X36" s="14" t="str">
        <f t="shared" ca="1" si="10"/>
        <v/>
      </c>
      <c r="Y36" s="1"/>
      <c r="Z36" s="2" t="str">
        <f t="shared" ca="1" si="11"/>
        <v/>
      </c>
      <c r="AA36" s="7" t="str">
        <f t="shared" ca="1" si="12"/>
        <v/>
      </c>
      <c r="AB36" s="13" t="str">
        <f t="shared" ca="1" si="13"/>
        <v/>
      </c>
      <c r="AC36" s="13" t="str">
        <f t="shared" ca="1" si="14"/>
        <v/>
      </c>
      <c r="AE36" s="5" t="str">
        <f t="shared" ca="1" si="15"/>
        <v/>
      </c>
    </row>
    <row r="37" spans="1:31" customFormat="1" ht="33.75" x14ac:dyDescent="0.5">
      <c r="A37" s="21" t="str">
        <f t="shared" ca="1" si="24"/>
        <v/>
      </c>
      <c r="B37" s="20">
        <f>Proforma!F39</f>
        <v>0</v>
      </c>
      <c r="C37" s="20">
        <f>Proforma!G39</f>
        <v>0</v>
      </c>
      <c r="D37" s="20"/>
      <c r="E37" s="23" t="str">
        <f ca="1">IF(A37&lt;&gt;"",codeEAN13(INT(A37/10)),"")</f>
        <v/>
      </c>
      <c r="G37" s="27" t="str">
        <f t="shared" ca="1" si="0"/>
        <v/>
      </c>
      <c r="H37" s="27" t="str">
        <f t="shared" ca="1" si="1"/>
        <v/>
      </c>
      <c r="I37" s="27" t="str">
        <f t="shared" ca="1" si="2"/>
        <v/>
      </c>
      <c r="J37" s="25" t="str">
        <f t="shared" ca="1" si="3"/>
        <v/>
      </c>
      <c r="K37" s="25" t="str">
        <f t="shared" ca="1" si="4"/>
        <v/>
      </c>
      <c r="M37" s="19" t="b">
        <f t="shared" ca="1" si="25"/>
        <v>0</v>
      </c>
      <c r="N37" s="19" t="b">
        <f t="shared" ca="1" si="26"/>
        <v>0</v>
      </c>
      <c r="O37" s="19" t="b">
        <f t="shared" ca="1" si="27"/>
        <v>0</v>
      </c>
      <c r="P37" s="11"/>
      <c r="Q37" s="9" t="str">
        <f t="shared" ca="1" si="7"/>
        <v/>
      </c>
      <c r="R37" s="29" t="str">
        <f t="shared" ca="1" si="8"/>
        <v/>
      </c>
      <c r="S37" s="2">
        <f>Proforma!B39</f>
        <v>0</v>
      </c>
      <c r="T37" s="2">
        <f>Proforma!C39</f>
        <v>0</v>
      </c>
      <c r="U37" s="2">
        <f>Proforma!D39</f>
        <v>0</v>
      </c>
      <c r="W37" t="str">
        <f t="shared" si="28"/>
        <v>0-0-000</v>
      </c>
      <c r="X37" s="14" t="str">
        <f t="shared" ca="1" si="10"/>
        <v/>
      </c>
      <c r="Y37" s="1"/>
      <c r="Z37" s="2" t="str">
        <f t="shared" ca="1" si="11"/>
        <v/>
      </c>
      <c r="AA37" s="7" t="str">
        <f t="shared" ca="1" si="12"/>
        <v/>
      </c>
      <c r="AB37" s="13" t="str">
        <f t="shared" ca="1" si="13"/>
        <v/>
      </c>
      <c r="AC37" s="13" t="str">
        <f t="shared" ca="1" si="14"/>
        <v/>
      </c>
      <c r="AE37" s="5" t="str">
        <f t="shared" ca="1" si="15"/>
        <v/>
      </c>
    </row>
    <row r="38" spans="1:31" customFormat="1" ht="33.75" x14ac:dyDescent="0.5">
      <c r="A38" s="21" t="str">
        <f t="shared" ca="1" si="24"/>
        <v/>
      </c>
      <c r="B38" s="20">
        <f>Proforma!F40</f>
        <v>0</v>
      </c>
      <c r="C38" s="20">
        <f>Proforma!G40</f>
        <v>0</v>
      </c>
      <c r="D38" s="20"/>
      <c r="E38" s="23" t="str">
        <f ca="1">IF(A38&lt;&gt;"",codeEAN13(INT(A38/10)),"")</f>
        <v/>
      </c>
      <c r="G38" s="27" t="str">
        <f t="shared" ca="1" si="0"/>
        <v/>
      </c>
      <c r="H38" s="27" t="str">
        <f t="shared" ca="1" si="1"/>
        <v/>
      </c>
      <c r="I38" s="27" t="str">
        <f t="shared" ca="1" si="2"/>
        <v/>
      </c>
      <c r="J38" s="25" t="str">
        <f t="shared" ca="1" si="3"/>
        <v/>
      </c>
      <c r="K38" s="25" t="str">
        <f t="shared" ca="1" si="4"/>
        <v/>
      </c>
      <c r="M38" s="19" t="b">
        <f t="shared" ca="1" si="25"/>
        <v>0</v>
      </c>
      <c r="N38" s="19" t="b">
        <f t="shared" ca="1" si="26"/>
        <v>0</v>
      </c>
      <c r="O38" s="19" t="b">
        <f t="shared" ca="1" si="27"/>
        <v>0</v>
      </c>
      <c r="P38" s="11"/>
      <c r="Q38" s="9" t="str">
        <f t="shared" ca="1" si="7"/>
        <v/>
      </c>
      <c r="R38" s="29" t="str">
        <f t="shared" ca="1" si="8"/>
        <v/>
      </c>
      <c r="S38" s="2">
        <f>Proforma!B40</f>
        <v>0</v>
      </c>
      <c r="T38" s="2">
        <f>Proforma!C40</f>
        <v>0</v>
      </c>
      <c r="U38" s="2">
        <f>Proforma!D40</f>
        <v>0</v>
      </c>
      <c r="W38" t="str">
        <f t="shared" si="28"/>
        <v>0-0-000</v>
      </c>
      <c r="X38" s="14" t="str">
        <f t="shared" ca="1" si="10"/>
        <v/>
      </c>
      <c r="Y38" s="1"/>
      <c r="Z38" s="2" t="str">
        <f t="shared" ca="1" si="11"/>
        <v/>
      </c>
      <c r="AA38" s="7" t="str">
        <f t="shared" ca="1" si="12"/>
        <v/>
      </c>
      <c r="AB38" s="13" t="str">
        <f t="shared" ca="1" si="13"/>
        <v/>
      </c>
      <c r="AC38" s="13" t="str">
        <f t="shared" ca="1" si="14"/>
        <v/>
      </c>
      <c r="AE38" s="5" t="str">
        <f t="shared" ca="1" si="15"/>
        <v/>
      </c>
    </row>
    <row r="39" spans="1:31" customFormat="1" ht="33.75" x14ac:dyDescent="0.5">
      <c r="A39" s="21" t="str">
        <f t="shared" ca="1" si="24"/>
        <v/>
      </c>
      <c r="B39" s="20">
        <f>Proforma!F41</f>
        <v>0</v>
      </c>
      <c r="C39" s="20">
        <f>Proforma!G41</f>
        <v>0</v>
      </c>
      <c r="D39" s="20"/>
      <c r="E39" s="23" t="str">
        <f ca="1">IF(A39&lt;&gt;"",codeEAN13(INT(A39/10)),"")</f>
        <v/>
      </c>
      <c r="G39" s="27" t="str">
        <f t="shared" ca="1" si="0"/>
        <v/>
      </c>
      <c r="H39" s="27" t="str">
        <f t="shared" ca="1" si="1"/>
        <v/>
      </c>
      <c r="I39" s="27" t="str">
        <f t="shared" ca="1" si="2"/>
        <v/>
      </c>
      <c r="J39" s="25" t="str">
        <f t="shared" ca="1" si="3"/>
        <v/>
      </c>
      <c r="K39" s="25" t="str">
        <f t="shared" ca="1" si="4"/>
        <v/>
      </c>
      <c r="M39" s="19" t="b">
        <f t="shared" ca="1" si="25"/>
        <v>0</v>
      </c>
      <c r="N39" s="19" t="b">
        <f t="shared" ca="1" si="26"/>
        <v>0</v>
      </c>
      <c r="O39" s="19" t="b">
        <f t="shared" ca="1" si="27"/>
        <v>0</v>
      </c>
      <c r="P39" s="11"/>
      <c r="Q39" s="9" t="str">
        <f t="shared" ca="1" si="7"/>
        <v/>
      </c>
      <c r="R39" s="29" t="str">
        <f t="shared" ca="1" si="8"/>
        <v/>
      </c>
      <c r="S39" s="2">
        <f>Proforma!B41</f>
        <v>0</v>
      </c>
      <c r="T39" s="2">
        <f>Proforma!C41</f>
        <v>0</v>
      </c>
      <c r="U39" s="2">
        <f>Proforma!D41</f>
        <v>0</v>
      </c>
      <c r="W39" t="str">
        <f t="shared" si="28"/>
        <v>0-0-000</v>
      </c>
      <c r="X39" s="14" t="str">
        <f t="shared" ca="1" si="10"/>
        <v/>
      </c>
      <c r="Y39" s="1"/>
      <c r="Z39" s="2" t="str">
        <f t="shared" ca="1" si="11"/>
        <v/>
      </c>
      <c r="AA39" s="7" t="str">
        <f t="shared" ca="1" si="12"/>
        <v/>
      </c>
      <c r="AB39" s="13" t="str">
        <f t="shared" ca="1" si="13"/>
        <v/>
      </c>
      <c r="AC39" s="13" t="str">
        <f t="shared" ca="1" si="14"/>
        <v/>
      </c>
      <c r="AE39" s="5" t="str">
        <f t="shared" ca="1" si="15"/>
        <v/>
      </c>
    </row>
    <row r="40" spans="1:31" customFormat="1" ht="33.75" x14ac:dyDescent="0.5">
      <c r="A40" s="21" t="str">
        <f t="shared" ca="1" si="24"/>
        <v/>
      </c>
      <c r="B40" s="20">
        <f>Proforma!F42</f>
        <v>0</v>
      </c>
      <c r="C40" s="20">
        <f>Proforma!G42</f>
        <v>0</v>
      </c>
      <c r="D40" s="20"/>
      <c r="E40" s="23" t="str">
        <f ca="1">IF(A40&lt;&gt;"",codeEAN13(INT(A40/10)),"")</f>
        <v/>
      </c>
      <c r="G40" s="27" t="str">
        <f t="shared" ca="1" si="0"/>
        <v/>
      </c>
      <c r="H40" s="27" t="str">
        <f t="shared" ca="1" si="1"/>
        <v/>
      </c>
      <c r="I40" s="27" t="str">
        <f t="shared" ca="1" si="2"/>
        <v/>
      </c>
      <c r="J40" s="25" t="str">
        <f t="shared" ca="1" si="3"/>
        <v/>
      </c>
      <c r="K40" s="25" t="str">
        <f t="shared" ca="1" si="4"/>
        <v/>
      </c>
      <c r="M40" s="19" t="b">
        <f t="shared" ca="1" si="25"/>
        <v>0</v>
      </c>
      <c r="N40" s="19" t="b">
        <f t="shared" ca="1" si="26"/>
        <v>0</v>
      </c>
      <c r="O40" s="19" t="b">
        <f t="shared" ca="1" si="27"/>
        <v>0</v>
      </c>
      <c r="P40" s="11"/>
      <c r="Q40" s="9" t="str">
        <f t="shared" ca="1" si="7"/>
        <v/>
      </c>
      <c r="R40" s="29" t="str">
        <f t="shared" ca="1" si="8"/>
        <v/>
      </c>
      <c r="S40" s="2">
        <f>Proforma!B42</f>
        <v>0</v>
      </c>
      <c r="T40" s="2">
        <f>Proforma!C42</f>
        <v>0</v>
      </c>
      <c r="U40" s="2">
        <f>Proforma!D42</f>
        <v>0</v>
      </c>
      <c r="W40" t="str">
        <f t="shared" si="28"/>
        <v>0-0-000</v>
      </c>
      <c r="X40" s="14" t="str">
        <f t="shared" ca="1" si="10"/>
        <v/>
      </c>
      <c r="Y40" s="1"/>
      <c r="Z40" s="2" t="str">
        <f t="shared" ca="1" si="11"/>
        <v/>
      </c>
      <c r="AA40" s="7" t="str">
        <f t="shared" ca="1" si="12"/>
        <v/>
      </c>
      <c r="AB40" s="13" t="str">
        <f t="shared" ca="1" si="13"/>
        <v/>
      </c>
      <c r="AC40" s="13" t="str">
        <f t="shared" ca="1" si="14"/>
        <v/>
      </c>
      <c r="AE40" s="5" t="str">
        <f t="shared" ca="1" si="15"/>
        <v/>
      </c>
    </row>
    <row r="41" spans="1:31" customFormat="1" ht="33.75" x14ac:dyDescent="0.5">
      <c r="A41" s="21" t="str">
        <f t="shared" ca="1" si="24"/>
        <v/>
      </c>
      <c r="B41" s="20">
        <f>Proforma!F43</f>
        <v>0</v>
      </c>
      <c r="C41" s="20">
        <f>Proforma!G43</f>
        <v>0</v>
      </c>
      <c r="D41" s="20"/>
      <c r="E41" s="23" t="str">
        <f ca="1">IF(A41&lt;&gt;"",codeEAN13(INT(A41/10)),"")</f>
        <v/>
      </c>
      <c r="G41" s="27" t="str">
        <f t="shared" ca="1" si="0"/>
        <v/>
      </c>
      <c r="H41" s="27" t="str">
        <f t="shared" ca="1" si="1"/>
        <v/>
      </c>
      <c r="I41" s="27" t="str">
        <f t="shared" ca="1" si="2"/>
        <v/>
      </c>
      <c r="J41" s="25" t="str">
        <f t="shared" ca="1" si="3"/>
        <v/>
      </c>
      <c r="K41" s="25" t="str">
        <f t="shared" ca="1" si="4"/>
        <v/>
      </c>
      <c r="M41" s="19" t="b">
        <f t="shared" ca="1" si="25"/>
        <v>0</v>
      </c>
      <c r="N41" s="19" t="b">
        <f t="shared" ca="1" si="26"/>
        <v>0</v>
      </c>
      <c r="O41" s="19" t="b">
        <f t="shared" ca="1" si="27"/>
        <v>0</v>
      </c>
      <c r="P41" s="11"/>
      <c r="Q41" s="9" t="str">
        <f t="shared" ca="1" si="7"/>
        <v/>
      </c>
      <c r="R41" s="29" t="str">
        <f t="shared" ca="1" si="8"/>
        <v/>
      </c>
      <c r="S41" s="2">
        <f>Proforma!B43</f>
        <v>0</v>
      </c>
      <c r="T41" s="2">
        <f>Proforma!C43</f>
        <v>0</v>
      </c>
      <c r="U41" s="2">
        <f>Proforma!D43</f>
        <v>0</v>
      </c>
      <c r="W41" t="str">
        <f t="shared" si="28"/>
        <v>0-0-000</v>
      </c>
      <c r="X41" s="14" t="str">
        <f t="shared" ca="1" si="10"/>
        <v/>
      </c>
      <c r="Y41" s="1"/>
      <c r="Z41" s="2" t="str">
        <f t="shared" ca="1" si="11"/>
        <v/>
      </c>
      <c r="AA41" s="7" t="str">
        <f t="shared" ca="1" si="12"/>
        <v/>
      </c>
      <c r="AB41" s="13" t="str">
        <f t="shared" ca="1" si="13"/>
        <v/>
      </c>
      <c r="AC41" s="13" t="str">
        <f t="shared" ca="1" si="14"/>
        <v/>
      </c>
      <c r="AE41" s="5" t="str">
        <f t="shared" ca="1" si="15"/>
        <v/>
      </c>
    </row>
    <row r="42" spans="1:31" customFormat="1" ht="33.75" x14ac:dyDescent="0.5">
      <c r="A42" s="21" t="str">
        <f t="shared" ca="1" si="24"/>
        <v/>
      </c>
      <c r="B42" s="20">
        <f>Proforma!F44</f>
        <v>0</v>
      </c>
      <c r="C42" s="20">
        <f>Proforma!G44</f>
        <v>0</v>
      </c>
      <c r="D42" s="20"/>
      <c r="E42" s="23" t="str">
        <f ca="1">IF(A42&lt;&gt;"",codeEAN13(INT(A42/10)),"")</f>
        <v/>
      </c>
      <c r="G42" s="27" t="str">
        <f t="shared" ca="1" si="0"/>
        <v/>
      </c>
      <c r="H42" s="27" t="str">
        <f t="shared" ca="1" si="1"/>
        <v/>
      </c>
      <c r="I42" s="27" t="str">
        <f t="shared" ca="1" si="2"/>
        <v/>
      </c>
      <c r="J42" s="25" t="str">
        <f t="shared" ca="1" si="3"/>
        <v/>
      </c>
      <c r="K42" s="25" t="str">
        <f t="shared" ca="1" si="4"/>
        <v/>
      </c>
      <c r="M42" s="19" t="b">
        <f t="shared" ca="1" si="25"/>
        <v>0</v>
      </c>
      <c r="N42" s="19" t="b">
        <f t="shared" ca="1" si="26"/>
        <v>0</v>
      </c>
      <c r="O42" s="19" t="b">
        <f t="shared" ca="1" si="27"/>
        <v>0</v>
      </c>
      <c r="P42" s="11"/>
      <c r="Q42" s="9" t="str">
        <f t="shared" ca="1" si="7"/>
        <v/>
      </c>
      <c r="R42" s="29" t="str">
        <f t="shared" ca="1" si="8"/>
        <v/>
      </c>
      <c r="S42" s="2">
        <f>Proforma!B44</f>
        <v>0</v>
      </c>
      <c r="T42" s="2">
        <f>Proforma!C44</f>
        <v>0</v>
      </c>
      <c r="U42" s="2">
        <f>Proforma!D44</f>
        <v>0</v>
      </c>
      <c r="W42" t="str">
        <f t="shared" si="28"/>
        <v>0-0-000</v>
      </c>
      <c r="X42" s="14" t="str">
        <f t="shared" ca="1" si="10"/>
        <v/>
      </c>
      <c r="Y42" s="1"/>
      <c r="Z42" s="2" t="str">
        <f t="shared" ca="1" si="11"/>
        <v/>
      </c>
      <c r="AA42" s="7" t="str">
        <f t="shared" ca="1" si="12"/>
        <v/>
      </c>
      <c r="AB42" s="13" t="str">
        <f t="shared" ca="1" si="13"/>
        <v/>
      </c>
      <c r="AC42" s="13" t="str">
        <f t="shared" ca="1" si="14"/>
        <v/>
      </c>
      <c r="AE42" s="5" t="str">
        <f t="shared" ca="1" si="15"/>
        <v/>
      </c>
    </row>
    <row r="43" spans="1:31" customFormat="1" ht="33.75" x14ac:dyDescent="0.5">
      <c r="A43" s="21" t="str">
        <f t="shared" ca="1" si="24"/>
        <v/>
      </c>
      <c r="B43" s="20">
        <f>Proforma!F45</f>
        <v>0</v>
      </c>
      <c r="C43" s="20">
        <f>Proforma!G45</f>
        <v>0</v>
      </c>
      <c r="D43" s="20"/>
      <c r="E43" s="23" t="str">
        <f ca="1">IF(A43&lt;&gt;"",codeEAN13(INT(A43/10)),"")</f>
        <v/>
      </c>
      <c r="G43" s="27" t="str">
        <f t="shared" ca="1" si="0"/>
        <v/>
      </c>
      <c r="H43" s="27" t="str">
        <f t="shared" ca="1" si="1"/>
        <v/>
      </c>
      <c r="I43" s="27" t="str">
        <f t="shared" ca="1" si="2"/>
        <v/>
      </c>
      <c r="J43" s="25" t="str">
        <f t="shared" ca="1" si="3"/>
        <v/>
      </c>
      <c r="K43" s="25" t="str">
        <f t="shared" ca="1" si="4"/>
        <v/>
      </c>
      <c r="M43" s="19" t="b">
        <f t="shared" ca="1" si="25"/>
        <v>0</v>
      </c>
      <c r="N43" s="19" t="b">
        <f t="shared" ca="1" si="26"/>
        <v>0</v>
      </c>
      <c r="O43" s="19" t="b">
        <f t="shared" ca="1" si="27"/>
        <v>0</v>
      </c>
      <c r="P43" s="11"/>
      <c r="Q43" s="9" t="str">
        <f t="shared" ca="1" si="7"/>
        <v/>
      </c>
      <c r="R43" s="29" t="str">
        <f t="shared" ca="1" si="8"/>
        <v/>
      </c>
      <c r="S43" s="2">
        <f>Proforma!B45</f>
        <v>0</v>
      </c>
      <c r="T43" s="2">
        <f>Proforma!C45</f>
        <v>0</v>
      </c>
      <c r="U43" s="2">
        <f>Proforma!D45</f>
        <v>0</v>
      </c>
      <c r="W43" t="str">
        <f t="shared" si="28"/>
        <v>0-0-000</v>
      </c>
      <c r="X43" s="14" t="str">
        <f t="shared" ca="1" si="10"/>
        <v/>
      </c>
      <c r="Y43" s="1"/>
      <c r="Z43" s="2" t="str">
        <f t="shared" ca="1" si="11"/>
        <v/>
      </c>
      <c r="AA43" s="7" t="str">
        <f t="shared" ca="1" si="12"/>
        <v/>
      </c>
      <c r="AB43" s="13" t="str">
        <f t="shared" ca="1" si="13"/>
        <v/>
      </c>
      <c r="AC43" s="13" t="str">
        <f t="shared" ca="1" si="14"/>
        <v/>
      </c>
      <c r="AE43" s="5" t="str">
        <f t="shared" ca="1" si="15"/>
        <v/>
      </c>
    </row>
    <row r="44" spans="1:31" customFormat="1" ht="33.75" x14ac:dyDescent="0.5">
      <c r="A44" s="21" t="str">
        <f t="shared" ca="1" si="24"/>
        <v/>
      </c>
      <c r="B44" s="20">
        <f>Proforma!F46</f>
        <v>0</v>
      </c>
      <c r="C44" s="20">
        <f>Proforma!G46</f>
        <v>0</v>
      </c>
      <c r="D44" s="20"/>
      <c r="E44" s="23" t="str">
        <f ca="1">IF(A44&lt;&gt;"",codeEAN13(INT(A44/10)),"")</f>
        <v/>
      </c>
      <c r="G44" s="27" t="str">
        <f t="shared" ca="1" si="0"/>
        <v/>
      </c>
      <c r="H44" s="27" t="str">
        <f t="shared" ca="1" si="1"/>
        <v/>
      </c>
      <c r="I44" s="27" t="str">
        <f t="shared" ca="1" si="2"/>
        <v/>
      </c>
      <c r="J44" s="25" t="str">
        <f t="shared" ca="1" si="3"/>
        <v/>
      </c>
      <c r="K44" s="25" t="str">
        <f t="shared" ca="1" si="4"/>
        <v/>
      </c>
      <c r="M44" s="19" t="b">
        <f t="shared" ca="1" si="25"/>
        <v>0</v>
      </c>
      <c r="N44" s="19" t="b">
        <f t="shared" ca="1" si="26"/>
        <v>0</v>
      </c>
      <c r="O44" s="19" t="b">
        <f t="shared" ca="1" si="27"/>
        <v>0</v>
      </c>
      <c r="P44" s="11"/>
      <c r="Q44" s="9" t="str">
        <f t="shared" ca="1" si="7"/>
        <v/>
      </c>
      <c r="R44" s="29" t="str">
        <f t="shared" ca="1" si="8"/>
        <v/>
      </c>
      <c r="S44" s="2">
        <f>Proforma!B46</f>
        <v>0</v>
      </c>
      <c r="T44" s="2">
        <f>Proforma!C46</f>
        <v>0</v>
      </c>
      <c r="U44" s="2">
        <f>Proforma!D46</f>
        <v>0</v>
      </c>
      <c r="W44" t="str">
        <f t="shared" si="28"/>
        <v>0-0-000</v>
      </c>
      <c r="X44" s="14" t="str">
        <f t="shared" ca="1" si="10"/>
        <v/>
      </c>
      <c r="Y44" s="1"/>
      <c r="Z44" s="2" t="str">
        <f t="shared" ca="1" si="11"/>
        <v/>
      </c>
      <c r="AA44" s="7" t="str">
        <f t="shared" ca="1" si="12"/>
        <v/>
      </c>
      <c r="AB44" s="13" t="str">
        <f t="shared" ca="1" si="13"/>
        <v/>
      </c>
      <c r="AC44" s="13" t="str">
        <f t="shared" ca="1" si="14"/>
        <v/>
      </c>
      <c r="AE44" s="5" t="str">
        <f t="shared" ca="1" si="15"/>
        <v/>
      </c>
    </row>
    <row r="45" spans="1:31" customFormat="1" ht="33.75" x14ac:dyDescent="0.5">
      <c r="A45" s="21" t="str">
        <f t="shared" ca="1" si="24"/>
        <v/>
      </c>
      <c r="B45" s="20">
        <f>Proforma!F47</f>
        <v>0</v>
      </c>
      <c r="C45" s="20">
        <f>Proforma!G47</f>
        <v>0</v>
      </c>
      <c r="D45" s="20"/>
      <c r="E45" s="23" t="str">
        <f ca="1">IF(A45&lt;&gt;"",codeEAN13(INT(A45/10)),"")</f>
        <v/>
      </c>
      <c r="G45" s="27" t="str">
        <f t="shared" ca="1" si="0"/>
        <v/>
      </c>
      <c r="H45" s="27" t="str">
        <f t="shared" ca="1" si="1"/>
        <v/>
      </c>
      <c r="I45" s="27" t="str">
        <f t="shared" ca="1" si="2"/>
        <v/>
      </c>
      <c r="J45" s="25" t="str">
        <f t="shared" ca="1" si="3"/>
        <v/>
      </c>
      <c r="K45" s="25" t="str">
        <f t="shared" ca="1" si="4"/>
        <v/>
      </c>
      <c r="M45" s="19" t="b">
        <f t="shared" ca="1" si="25"/>
        <v>0</v>
      </c>
      <c r="N45" s="19" t="b">
        <f t="shared" ca="1" si="26"/>
        <v>0</v>
      </c>
      <c r="O45" s="19" t="b">
        <f t="shared" ca="1" si="27"/>
        <v>0</v>
      </c>
      <c r="P45" s="11"/>
      <c r="Q45" s="9" t="str">
        <f t="shared" ca="1" si="7"/>
        <v/>
      </c>
      <c r="R45" s="29" t="str">
        <f t="shared" ca="1" si="8"/>
        <v/>
      </c>
      <c r="S45" s="2">
        <f>Proforma!B47</f>
        <v>0</v>
      </c>
      <c r="T45" s="2">
        <f>Proforma!C47</f>
        <v>0</v>
      </c>
      <c r="U45" s="2">
        <f>Proforma!D47</f>
        <v>0</v>
      </c>
      <c r="W45" t="str">
        <f t="shared" si="28"/>
        <v>0-0-000</v>
      </c>
      <c r="X45" s="14" t="str">
        <f t="shared" ca="1" si="10"/>
        <v/>
      </c>
      <c r="Y45" s="1"/>
      <c r="Z45" s="2" t="str">
        <f t="shared" ca="1" si="11"/>
        <v/>
      </c>
      <c r="AA45" s="7" t="str">
        <f t="shared" ca="1" si="12"/>
        <v/>
      </c>
      <c r="AB45" s="13" t="str">
        <f t="shared" ca="1" si="13"/>
        <v/>
      </c>
      <c r="AC45" s="13" t="str">
        <f t="shared" ca="1" si="14"/>
        <v/>
      </c>
      <c r="AE45" s="5" t="str">
        <f t="shared" ca="1" si="15"/>
        <v/>
      </c>
    </row>
    <row r="46" spans="1:31" customFormat="1" ht="33.75" x14ac:dyDescent="0.5">
      <c r="A46" s="21" t="str">
        <f t="shared" ca="1" si="24"/>
        <v/>
      </c>
      <c r="B46" s="20">
        <f>Proforma!F48</f>
        <v>0</v>
      </c>
      <c r="C46" s="20">
        <f>Proforma!G48</f>
        <v>0</v>
      </c>
      <c r="D46" s="20"/>
      <c r="E46" s="23" t="str">
        <f ca="1">IF(A46&lt;&gt;"",codeEAN13(INT(A46/10)),"")</f>
        <v/>
      </c>
      <c r="G46" s="27" t="str">
        <f t="shared" ca="1" si="0"/>
        <v/>
      </c>
      <c r="H46" s="27" t="str">
        <f t="shared" ca="1" si="1"/>
        <v/>
      </c>
      <c r="I46" s="27" t="str">
        <f t="shared" ca="1" si="2"/>
        <v/>
      </c>
      <c r="J46" s="25" t="str">
        <f t="shared" ca="1" si="3"/>
        <v/>
      </c>
      <c r="K46" s="25" t="str">
        <f t="shared" ca="1" si="4"/>
        <v/>
      </c>
      <c r="M46" s="19" t="b">
        <f t="shared" ca="1" si="25"/>
        <v>0</v>
      </c>
      <c r="N46" s="19" t="b">
        <f t="shared" ca="1" si="26"/>
        <v>0</v>
      </c>
      <c r="O46" s="19" t="b">
        <f t="shared" ca="1" si="27"/>
        <v>0</v>
      </c>
      <c r="P46" s="11"/>
      <c r="Q46" s="9" t="str">
        <f t="shared" ca="1" si="7"/>
        <v/>
      </c>
      <c r="R46" s="29" t="str">
        <f t="shared" ca="1" si="8"/>
        <v/>
      </c>
      <c r="S46" s="2">
        <f>Proforma!B48</f>
        <v>0</v>
      </c>
      <c r="T46" s="2">
        <f>Proforma!C48</f>
        <v>0</v>
      </c>
      <c r="U46" s="2">
        <f>Proforma!D48</f>
        <v>0</v>
      </c>
      <c r="W46" t="str">
        <f t="shared" si="28"/>
        <v>0-0-000</v>
      </c>
      <c r="X46" s="14" t="str">
        <f t="shared" ca="1" si="10"/>
        <v/>
      </c>
      <c r="Y46" s="1"/>
      <c r="Z46" s="2" t="str">
        <f t="shared" ca="1" si="11"/>
        <v/>
      </c>
      <c r="AA46" s="7" t="str">
        <f t="shared" ca="1" si="12"/>
        <v/>
      </c>
      <c r="AB46" s="13" t="str">
        <f t="shared" ca="1" si="13"/>
        <v/>
      </c>
      <c r="AC46" s="13" t="str">
        <f t="shared" ca="1" si="14"/>
        <v/>
      </c>
      <c r="AE46" s="5" t="str">
        <f t="shared" ca="1" si="15"/>
        <v/>
      </c>
    </row>
    <row r="47" spans="1:31" customFormat="1" ht="33.75" x14ac:dyDescent="0.5">
      <c r="A47" s="21" t="str">
        <f t="shared" ca="1" si="24"/>
        <v/>
      </c>
      <c r="B47" s="20">
        <f>Proforma!F49</f>
        <v>0</v>
      </c>
      <c r="C47" s="20">
        <f>Proforma!G49</f>
        <v>0</v>
      </c>
      <c r="D47" s="20"/>
      <c r="E47" s="23" t="str">
        <f ca="1">IF(A47&lt;&gt;"",codeEAN13(INT(A47/10)),"")</f>
        <v/>
      </c>
      <c r="G47" s="27" t="str">
        <f t="shared" ca="1" si="0"/>
        <v/>
      </c>
      <c r="H47" s="27" t="str">
        <f t="shared" ca="1" si="1"/>
        <v/>
      </c>
      <c r="I47" s="27" t="str">
        <f t="shared" ca="1" si="2"/>
        <v/>
      </c>
      <c r="J47" s="25" t="str">
        <f t="shared" ca="1" si="3"/>
        <v/>
      </c>
      <c r="K47" s="25" t="str">
        <f t="shared" ca="1" si="4"/>
        <v/>
      </c>
      <c r="M47" s="19" t="b">
        <f t="shared" ca="1" si="25"/>
        <v>0</v>
      </c>
      <c r="N47" s="19" t="b">
        <f t="shared" ca="1" si="26"/>
        <v>0</v>
      </c>
      <c r="O47" s="19" t="b">
        <f t="shared" ca="1" si="27"/>
        <v>0</v>
      </c>
      <c r="P47" s="11"/>
      <c r="Q47" s="9" t="str">
        <f t="shared" ca="1" si="7"/>
        <v/>
      </c>
      <c r="R47" s="29" t="str">
        <f t="shared" ca="1" si="8"/>
        <v/>
      </c>
      <c r="S47" s="2">
        <f>Proforma!B49</f>
        <v>0</v>
      </c>
      <c r="T47" s="2">
        <f>Proforma!C49</f>
        <v>0</v>
      </c>
      <c r="U47" s="2">
        <f>Proforma!D49</f>
        <v>0</v>
      </c>
      <c r="W47" t="str">
        <f t="shared" si="28"/>
        <v>0-0-000</v>
      </c>
      <c r="X47" s="14" t="str">
        <f t="shared" ca="1" si="10"/>
        <v/>
      </c>
      <c r="Y47" s="1"/>
      <c r="Z47" s="2" t="str">
        <f t="shared" ca="1" si="11"/>
        <v/>
      </c>
      <c r="AA47" s="7" t="str">
        <f t="shared" ca="1" si="12"/>
        <v/>
      </c>
      <c r="AB47" s="13" t="str">
        <f t="shared" ca="1" si="13"/>
        <v/>
      </c>
      <c r="AC47" s="13" t="str">
        <f t="shared" ca="1" si="14"/>
        <v/>
      </c>
      <c r="AE47" s="5" t="str">
        <f t="shared" ca="1" si="15"/>
        <v/>
      </c>
    </row>
    <row r="48" spans="1:31" customFormat="1" ht="33.75" x14ac:dyDescent="0.5">
      <c r="A48" s="21" t="str">
        <f t="shared" ca="1" si="24"/>
        <v/>
      </c>
      <c r="B48" s="20" t="e">
        <f>Proforma!#REF!</f>
        <v>#REF!</v>
      </c>
      <c r="C48" s="20" t="e">
        <f>Proforma!#REF!</f>
        <v>#REF!</v>
      </c>
      <c r="D48" s="20"/>
      <c r="E48" s="23" t="str">
        <f ca="1">IF(A48&lt;&gt;"",codeEAN13(INT(A48/10)),"")</f>
        <v/>
      </c>
      <c r="G48" s="27" t="str">
        <f t="shared" ca="1" si="0"/>
        <v/>
      </c>
      <c r="H48" s="27" t="str">
        <f t="shared" ca="1" si="1"/>
        <v/>
      </c>
      <c r="I48" s="27" t="str">
        <f t="shared" ca="1" si="2"/>
        <v/>
      </c>
      <c r="J48" s="25" t="str">
        <f t="shared" ca="1" si="3"/>
        <v/>
      </c>
      <c r="K48" s="25" t="str">
        <f t="shared" ca="1" si="4"/>
        <v/>
      </c>
      <c r="M48" s="19" t="b">
        <f t="shared" ca="1" si="25"/>
        <v>0</v>
      </c>
      <c r="N48" s="19" t="b">
        <f t="shared" ca="1" si="26"/>
        <v>0</v>
      </c>
      <c r="O48" s="19" t="b">
        <f t="shared" ca="1" si="27"/>
        <v>0</v>
      </c>
      <c r="P48" s="11"/>
      <c r="Q48" s="9" t="str">
        <f t="shared" ca="1" si="7"/>
        <v/>
      </c>
      <c r="R48" s="29" t="str">
        <f t="shared" ca="1" si="8"/>
        <v/>
      </c>
      <c r="S48" s="2" t="e">
        <f>Proforma!#REF!</f>
        <v>#REF!</v>
      </c>
      <c r="T48" s="2" t="e">
        <f>Proforma!#REF!</f>
        <v>#REF!</v>
      </c>
      <c r="U48" s="2" t="e">
        <f>Proforma!#REF!</f>
        <v>#REF!</v>
      </c>
      <c r="W48" t="e">
        <f t="shared" si="28"/>
        <v>#REF!</v>
      </c>
      <c r="X48" s="14" t="str">
        <f t="shared" ca="1" si="10"/>
        <v/>
      </c>
      <c r="Y48" s="1"/>
      <c r="Z48" s="2" t="str">
        <f t="shared" ca="1" si="11"/>
        <v/>
      </c>
      <c r="AA48" s="7" t="str">
        <f t="shared" ca="1" si="12"/>
        <v/>
      </c>
      <c r="AB48" s="13" t="str">
        <f t="shared" ca="1" si="13"/>
        <v/>
      </c>
      <c r="AC48" s="13" t="str">
        <f t="shared" ca="1" si="14"/>
        <v/>
      </c>
      <c r="AE48" s="5" t="str">
        <f t="shared" ca="1" si="15"/>
        <v/>
      </c>
    </row>
    <row r="49" spans="1:31" customFormat="1" ht="33.75" x14ac:dyDescent="0.5">
      <c r="A49" s="21" t="str">
        <f t="shared" ca="1" si="24"/>
        <v/>
      </c>
      <c r="B49" s="20" t="e">
        <f>Proforma!#REF!</f>
        <v>#REF!</v>
      </c>
      <c r="C49" s="20" t="e">
        <f>Proforma!#REF!</f>
        <v>#REF!</v>
      </c>
      <c r="D49" s="20"/>
      <c r="E49" s="23" t="str">
        <f ca="1">IF(A49&lt;&gt;"",codeEAN13(INT(A49/10)),"")</f>
        <v/>
      </c>
      <c r="G49" s="27" t="str">
        <f t="shared" ca="1" si="0"/>
        <v/>
      </c>
      <c r="H49" s="27" t="str">
        <f t="shared" ca="1" si="1"/>
        <v/>
      </c>
      <c r="I49" s="27" t="str">
        <f t="shared" ca="1" si="2"/>
        <v/>
      </c>
      <c r="J49" s="25" t="str">
        <f t="shared" ca="1" si="3"/>
        <v/>
      </c>
      <c r="K49" s="25" t="str">
        <f t="shared" ca="1" si="4"/>
        <v/>
      </c>
      <c r="M49" s="19" t="b">
        <f t="shared" ca="1" si="25"/>
        <v>0</v>
      </c>
      <c r="N49" s="19" t="b">
        <f t="shared" ca="1" si="26"/>
        <v>0</v>
      </c>
      <c r="O49" s="19" t="b">
        <f t="shared" ca="1" si="27"/>
        <v>0</v>
      </c>
      <c r="P49" s="11"/>
      <c r="Q49" s="9" t="str">
        <f t="shared" ca="1" si="7"/>
        <v/>
      </c>
      <c r="R49" s="29" t="str">
        <f t="shared" ca="1" si="8"/>
        <v/>
      </c>
      <c r="S49" s="2" t="e">
        <f>Proforma!#REF!</f>
        <v>#REF!</v>
      </c>
      <c r="T49" s="2" t="e">
        <f>Proforma!#REF!</f>
        <v>#REF!</v>
      </c>
      <c r="U49" s="2" t="e">
        <f>Proforma!#REF!</f>
        <v>#REF!</v>
      </c>
      <c r="W49" t="e">
        <f t="shared" si="28"/>
        <v>#REF!</v>
      </c>
      <c r="X49" s="14" t="str">
        <f t="shared" ca="1" si="10"/>
        <v/>
      </c>
      <c r="Y49" s="1"/>
      <c r="Z49" s="2" t="str">
        <f t="shared" ca="1" si="11"/>
        <v/>
      </c>
      <c r="AA49" s="7" t="str">
        <f t="shared" ca="1" si="12"/>
        <v/>
      </c>
      <c r="AB49" s="13" t="str">
        <f t="shared" ca="1" si="13"/>
        <v/>
      </c>
      <c r="AC49" s="13" t="str">
        <f t="shared" ca="1" si="14"/>
        <v/>
      </c>
      <c r="AE49" s="5" t="str">
        <f t="shared" ca="1" si="15"/>
        <v/>
      </c>
    </row>
    <row r="50" spans="1:31" customFormat="1" ht="33.75" x14ac:dyDescent="0.5">
      <c r="A50" s="21" t="str">
        <f t="shared" ca="1" si="24"/>
        <v/>
      </c>
      <c r="B50" s="20" t="e">
        <f>Proforma!#REF!</f>
        <v>#REF!</v>
      </c>
      <c r="C50" s="20" t="e">
        <f>Proforma!#REF!</f>
        <v>#REF!</v>
      </c>
      <c r="D50" s="20"/>
      <c r="E50" s="23" t="str">
        <f ca="1">IF(A50&lt;&gt;"",codeEAN13(INT(A50/10)),"")</f>
        <v/>
      </c>
      <c r="G50" s="27" t="str">
        <f t="shared" ca="1" si="0"/>
        <v/>
      </c>
      <c r="H50" s="27" t="str">
        <f t="shared" ca="1" si="1"/>
        <v/>
      </c>
      <c r="I50" s="27" t="str">
        <f t="shared" ca="1" si="2"/>
        <v/>
      </c>
      <c r="J50" s="25" t="str">
        <f t="shared" ca="1" si="3"/>
        <v/>
      </c>
      <c r="K50" s="25" t="str">
        <f t="shared" ca="1" si="4"/>
        <v/>
      </c>
      <c r="M50" s="19" t="b">
        <f t="shared" ca="1" si="25"/>
        <v>0</v>
      </c>
      <c r="N50" s="19" t="b">
        <f t="shared" ca="1" si="26"/>
        <v>0</v>
      </c>
      <c r="O50" s="19" t="b">
        <f t="shared" ca="1" si="27"/>
        <v>0</v>
      </c>
      <c r="P50" s="11"/>
      <c r="Q50" s="9" t="str">
        <f t="shared" ca="1" si="7"/>
        <v/>
      </c>
      <c r="R50" s="29" t="str">
        <f t="shared" ca="1" si="8"/>
        <v/>
      </c>
      <c r="S50" s="2" t="e">
        <f>Proforma!#REF!</f>
        <v>#REF!</v>
      </c>
      <c r="T50" s="2" t="e">
        <f>Proforma!#REF!</f>
        <v>#REF!</v>
      </c>
      <c r="U50" s="2" t="e">
        <f>Proforma!#REF!</f>
        <v>#REF!</v>
      </c>
      <c r="W50" t="e">
        <f t="shared" si="28"/>
        <v>#REF!</v>
      </c>
      <c r="X50" s="14" t="str">
        <f t="shared" ca="1" si="10"/>
        <v/>
      </c>
      <c r="Y50" s="1"/>
      <c r="Z50" s="2" t="str">
        <f t="shared" ca="1" si="11"/>
        <v/>
      </c>
      <c r="AA50" s="7" t="str">
        <f t="shared" ca="1" si="12"/>
        <v/>
      </c>
      <c r="AB50" s="13" t="str">
        <f t="shared" ca="1" si="13"/>
        <v/>
      </c>
      <c r="AC50" s="13" t="str">
        <f t="shared" ca="1" si="14"/>
        <v/>
      </c>
      <c r="AE50" s="5" t="str">
        <f t="shared" ca="1" si="15"/>
        <v/>
      </c>
    </row>
    <row r="51" spans="1:31" customFormat="1" ht="33.75" x14ac:dyDescent="0.5">
      <c r="A51" s="21" t="str">
        <f t="shared" ca="1" si="24"/>
        <v/>
      </c>
      <c r="B51" s="20" t="e">
        <f>Proforma!#REF!</f>
        <v>#REF!</v>
      </c>
      <c r="C51" s="20" t="e">
        <f>Proforma!#REF!</f>
        <v>#REF!</v>
      </c>
      <c r="D51" s="20"/>
      <c r="E51" s="23" t="str">
        <f ca="1">IF(A51&lt;&gt;"",codeEAN13(INT(A51/10)),"")</f>
        <v/>
      </c>
      <c r="G51" s="27" t="str">
        <f t="shared" ca="1" si="0"/>
        <v/>
      </c>
      <c r="H51" s="27" t="str">
        <f t="shared" ca="1" si="1"/>
        <v/>
      </c>
      <c r="I51" s="27" t="str">
        <f t="shared" ca="1" si="2"/>
        <v/>
      </c>
      <c r="J51" s="25" t="str">
        <f t="shared" ca="1" si="3"/>
        <v/>
      </c>
      <c r="K51" s="25" t="str">
        <f t="shared" ca="1" si="4"/>
        <v/>
      </c>
      <c r="M51" s="19" t="b">
        <f t="shared" ca="1" si="25"/>
        <v>0</v>
      </c>
      <c r="N51" s="19" t="b">
        <f t="shared" ca="1" si="26"/>
        <v>0</v>
      </c>
      <c r="O51" s="19" t="b">
        <f t="shared" ca="1" si="27"/>
        <v>0</v>
      </c>
      <c r="P51" s="11"/>
      <c r="Q51" s="9" t="str">
        <f t="shared" ca="1" si="7"/>
        <v/>
      </c>
      <c r="R51" s="29" t="str">
        <f t="shared" ca="1" si="8"/>
        <v/>
      </c>
      <c r="S51" s="2" t="e">
        <f>Proforma!#REF!</f>
        <v>#REF!</v>
      </c>
      <c r="T51" s="2" t="e">
        <f>Proforma!#REF!</f>
        <v>#REF!</v>
      </c>
      <c r="U51" s="2" t="e">
        <f>Proforma!#REF!</f>
        <v>#REF!</v>
      </c>
      <c r="W51" t="e">
        <f t="shared" si="28"/>
        <v>#REF!</v>
      </c>
      <c r="X51" s="14" t="str">
        <f t="shared" ca="1" si="10"/>
        <v/>
      </c>
      <c r="Y51" s="1"/>
      <c r="Z51" s="2" t="str">
        <f t="shared" ca="1" si="11"/>
        <v/>
      </c>
      <c r="AA51" s="7" t="str">
        <f t="shared" ca="1" si="12"/>
        <v/>
      </c>
      <c r="AB51" s="13" t="str">
        <f t="shared" ca="1" si="13"/>
        <v/>
      </c>
      <c r="AC51" s="13" t="str">
        <f t="shared" ca="1" si="14"/>
        <v/>
      </c>
      <c r="AE51" s="5" t="str">
        <f t="shared" ca="1" si="15"/>
        <v/>
      </c>
    </row>
    <row r="52" spans="1:31" customFormat="1" ht="33.75" x14ac:dyDescent="0.5">
      <c r="A52" s="21" t="str">
        <f t="shared" ca="1" si="24"/>
        <v/>
      </c>
      <c r="B52" s="20" t="e">
        <f>Proforma!#REF!</f>
        <v>#REF!</v>
      </c>
      <c r="C52" s="20" t="e">
        <f>Proforma!#REF!</f>
        <v>#REF!</v>
      </c>
      <c r="D52" s="20"/>
      <c r="E52" s="23" t="str">
        <f ca="1">IF(A52&lt;&gt;"",codeEAN13(INT(A52/10)),"")</f>
        <v/>
      </c>
      <c r="G52" s="27" t="str">
        <f t="shared" ca="1" si="0"/>
        <v/>
      </c>
      <c r="H52" s="27" t="str">
        <f t="shared" ca="1" si="1"/>
        <v/>
      </c>
      <c r="I52" s="27" t="str">
        <f t="shared" ca="1" si="2"/>
        <v/>
      </c>
      <c r="J52" s="25" t="str">
        <f t="shared" ca="1" si="3"/>
        <v/>
      </c>
      <c r="K52" s="25" t="str">
        <f t="shared" ca="1" si="4"/>
        <v/>
      </c>
      <c r="M52" s="19" t="b">
        <f t="shared" ca="1" si="25"/>
        <v>0</v>
      </c>
      <c r="N52" s="19" t="b">
        <f t="shared" ca="1" si="26"/>
        <v>0</v>
      </c>
      <c r="O52" s="19" t="b">
        <f t="shared" ca="1" si="27"/>
        <v>0</v>
      </c>
      <c r="P52" s="11"/>
      <c r="Q52" s="9" t="str">
        <f t="shared" ca="1" si="7"/>
        <v/>
      </c>
      <c r="R52" s="29" t="str">
        <f t="shared" ca="1" si="8"/>
        <v/>
      </c>
      <c r="S52" s="2" t="e">
        <f>Proforma!#REF!</f>
        <v>#REF!</v>
      </c>
      <c r="T52" s="2" t="e">
        <f>Proforma!#REF!</f>
        <v>#REF!</v>
      </c>
      <c r="U52" s="2" t="e">
        <f>Proforma!#REF!</f>
        <v>#REF!</v>
      </c>
      <c r="W52" t="e">
        <f t="shared" si="28"/>
        <v>#REF!</v>
      </c>
      <c r="X52" s="14" t="str">
        <f t="shared" ca="1" si="10"/>
        <v/>
      </c>
      <c r="Y52" s="1"/>
      <c r="Z52" s="2" t="str">
        <f t="shared" ca="1" si="11"/>
        <v/>
      </c>
      <c r="AA52" s="7" t="str">
        <f t="shared" ca="1" si="12"/>
        <v/>
      </c>
      <c r="AB52" s="13" t="str">
        <f t="shared" ca="1" si="13"/>
        <v/>
      </c>
      <c r="AC52" s="13" t="str">
        <f t="shared" ca="1" si="14"/>
        <v/>
      </c>
      <c r="AE52" s="5" t="str">
        <f t="shared" ca="1" si="15"/>
        <v/>
      </c>
    </row>
    <row r="53" spans="1:31" customFormat="1" ht="33.75" x14ac:dyDescent="0.5">
      <c r="A53" s="21" t="str">
        <f t="shared" ca="1" si="24"/>
        <v/>
      </c>
      <c r="B53" s="20">
        <f>Proforma!F50</f>
        <v>0</v>
      </c>
      <c r="C53" s="20">
        <f>Proforma!G50</f>
        <v>0</v>
      </c>
      <c r="D53" s="20"/>
      <c r="E53" s="23" t="str">
        <f ca="1">IF(A53&lt;&gt;"",codeEAN13(INT(A53/10)),"")</f>
        <v/>
      </c>
      <c r="G53" s="27" t="str">
        <f t="shared" ca="1" si="0"/>
        <v/>
      </c>
      <c r="H53" s="27" t="str">
        <f t="shared" ca="1" si="1"/>
        <v/>
      </c>
      <c r="I53" s="27" t="str">
        <f t="shared" ca="1" si="2"/>
        <v/>
      </c>
      <c r="J53" s="25" t="str">
        <f t="shared" ca="1" si="3"/>
        <v/>
      </c>
      <c r="K53" s="25" t="str">
        <f t="shared" ca="1" si="4"/>
        <v/>
      </c>
      <c r="M53" s="19" t="b">
        <f t="shared" ca="1" si="25"/>
        <v>0</v>
      </c>
      <c r="N53" s="19" t="b">
        <f t="shared" ca="1" si="26"/>
        <v>0</v>
      </c>
      <c r="O53" s="19" t="b">
        <f t="shared" ca="1" si="27"/>
        <v>0</v>
      </c>
      <c r="P53" s="11"/>
      <c r="Q53" s="9" t="str">
        <f t="shared" ca="1" si="7"/>
        <v/>
      </c>
      <c r="R53" s="29" t="str">
        <f t="shared" ca="1" si="8"/>
        <v/>
      </c>
      <c r="S53" s="2">
        <f>Proforma!B50</f>
        <v>0</v>
      </c>
      <c r="T53" s="2">
        <f>Proforma!C50</f>
        <v>0</v>
      </c>
      <c r="U53" s="2">
        <f>Proforma!D50</f>
        <v>0</v>
      </c>
      <c r="W53" t="str">
        <f t="shared" si="28"/>
        <v>0-0-000</v>
      </c>
      <c r="X53" s="14" t="str">
        <f t="shared" ca="1" si="10"/>
        <v/>
      </c>
      <c r="Y53" s="1"/>
      <c r="Z53" s="2" t="str">
        <f t="shared" ca="1" si="11"/>
        <v/>
      </c>
      <c r="AA53" s="7" t="str">
        <f t="shared" ca="1" si="12"/>
        <v/>
      </c>
      <c r="AB53" s="13" t="str">
        <f t="shared" ca="1" si="13"/>
        <v/>
      </c>
      <c r="AC53" s="13" t="str">
        <f t="shared" ca="1" si="14"/>
        <v/>
      </c>
      <c r="AE53" s="5" t="str">
        <f t="shared" ca="1" si="15"/>
        <v/>
      </c>
    </row>
    <row r="54" spans="1:31" customFormat="1" ht="33.75" x14ac:dyDescent="0.5">
      <c r="A54" s="21" t="str">
        <f t="shared" ca="1" si="24"/>
        <v/>
      </c>
      <c r="B54" s="20">
        <f>Proforma!F51</f>
        <v>0</v>
      </c>
      <c r="C54" s="20">
        <f>Proforma!G51</f>
        <v>0</v>
      </c>
      <c r="D54" s="20"/>
      <c r="E54" s="23" t="str">
        <f ca="1">IF(A54&lt;&gt;"",codeEAN13(INT(A54/10)),"")</f>
        <v/>
      </c>
      <c r="G54" s="27" t="str">
        <f t="shared" ca="1" si="0"/>
        <v/>
      </c>
      <c r="H54" s="27" t="str">
        <f t="shared" ca="1" si="1"/>
        <v/>
      </c>
      <c r="I54" s="27" t="str">
        <f t="shared" ca="1" si="2"/>
        <v/>
      </c>
      <c r="J54" s="25" t="str">
        <f t="shared" ca="1" si="3"/>
        <v/>
      </c>
      <c r="K54" s="25" t="str">
        <f t="shared" ca="1" si="4"/>
        <v/>
      </c>
      <c r="M54" s="19" t="b">
        <f t="shared" ca="1" si="25"/>
        <v>0</v>
      </c>
      <c r="N54" s="19" t="b">
        <f t="shared" ca="1" si="26"/>
        <v>0</v>
      </c>
      <c r="O54" s="19" t="b">
        <f t="shared" ca="1" si="27"/>
        <v>0</v>
      </c>
      <c r="P54" s="11"/>
      <c r="Q54" s="9" t="str">
        <f t="shared" ca="1" si="7"/>
        <v/>
      </c>
      <c r="R54" s="29" t="str">
        <f t="shared" ca="1" si="8"/>
        <v/>
      </c>
      <c r="S54" s="2">
        <f>Proforma!B51</f>
        <v>0</v>
      </c>
      <c r="T54" s="2">
        <f>Proforma!C51</f>
        <v>0</v>
      </c>
      <c r="U54" s="2">
        <f>Proforma!D51</f>
        <v>0</v>
      </c>
      <c r="W54" t="str">
        <f t="shared" si="28"/>
        <v>0-0-000</v>
      </c>
      <c r="X54" s="14" t="str">
        <f t="shared" ca="1" si="10"/>
        <v/>
      </c>
      <c r="Y54" s="1"/>
      <c r="Z54" s="2" t="str">
        <f t="shared" ca="1" si="11"/>
        <v/>
      </c>
      <c r="AA54" s="7" t="str">
        <f t="shared" ca="1" si="12"/>
        <v/>
      </c>
      <c r="AB54" s="13" t="str">
        <f t="shared" ca="1" si="13"/>
        <v/>
      </c>
      <c r="AC54" s="13" t="str">
        <f t="shared" ca="1" si="14"/>
        <v/>
      </c>
      <c r="AE54" s="5" t="str">
        <f t="shared" ca="1" si="15"/>
        <v/>
      </c>
    </row>
    <row r="55" spans="1:31" customFormat="1" ht="33.75" x14ac:dyDescent="0.5">
      <c r="A55" s="21" t="str">
        <f t="shared" ca="1" si="24"/>
        <v/>
      </c>
      <c r="B55" s="20">
        <f>Proforma!F52</f>
        <v>0</v>
      </c>
      <c r="C55" s="20">
        <f>Proforma!G52</f>
        <v>0</v>
      </c>
      <c r="D55" s="20"/>
      <c r="E55" s="23" t="str">
        <f ca="1">IF(A55&lt;&gt;"",codeEAN13(INT(A55/10)),"")</f>
        <v/>
      </c>
      <c r="G55" s="27" t="str">
        <f t="shared" ca="1" si="0"/>
        <v/>
      </c>
      <c r="H55" s="27" t="str">
        <f t="shared" ca="1" si="1"/>
        <v/>
      </c>
      <c r="I55" s="27" t="str">
        <f t="shared" ca="1" si="2"/>
        <v/>
      </c>
      <c r="J55" s="25" t="str">
        <f t="shared" ca="1" si="3"/>
        <v/>
      </c>
      <c r="K55" s="25" t="str">
        <f t="shared" ca="1" si="4"/>
        <v/>
      </c>
      <c r="M55" s="19" t="b">
        <f t="shared" ca="1" si="25"/>
        <v>0</v>
      </c>
      <c r="N55" s="19" t="b">
        <f t="shared" ca="1" si="26"/>
        <v>0</v>
      </c>
      <c r="O55" s="19" t="b">
        <f t="shared" ca="1" si="27"/>
        <v>0</v>
      </c>
      <c r="P55" s="11"/>
      <c r="Q55" s="9" t="str">
        <f t="shared" ca="1" si="7"/>
        <v/>
      </c>
      <c r="R55" s="29" t="str">
        <f t="shared" ca="1" si="8"/>
        <v/>
      </c>
      <c r="S55" s="2">
        <f>Proforma!B52</f>
        <v>0</v>
      </c>
      <c r="T55" s="2">
        <f>Proforma!C52</f>
        <v>0</v>
      </c>
      <c r="U55" s="2">
        <f>Proforma!D52</f>
        <v>0</v>
      </c>
      <c r="W55" t="str">
        <f t="shared" si="28"/>
        <v>0-0-000</v>
      </c>
      <c r="X55" s="14" t="str">
        <f t="shared" ca="1" si="10"/>
        <v/>
      </c>
      <c r="Y55" s="1"/>
      <c r="Z55" s="2" t="str">
        <f t="shared" ca="1" si="11"/>
        <v/>
      </c>
      <c r="AA55" s="7" t="str">
        <f t="shared" ca="1" si="12"/>
        <v/>
      </c>
      <c r="AB55" s="13" t="str">
        <f t="shared" ca="1" si="13"/>
        <v/>
      </c>
      <c r="AC55" s="13" t="str">
        <f t="shared" ca="1" si="14"/>
        <v/>
      </c>
      <c r="AE55" s="5" t="str">
        <f t="shared" ca="1" si="15"/>
        <v/>
      </c>
    </row>
    <row r="56" spans="1:31" customFormat="1" ht="33.75" x14ac:dyDescent="0.5">
      <c r="A56" s="21" t="str">
        <f t="shared" ca="1" si="24"/>
        <v/>
      </c>
      <c r="B56" s="20">
        <f>Proforma!F53</f>
        <v>0</v>
      </c>
      <c r="C56" s="20">
        <f>Proforma!G53</f>
        <v>0</v>
      </c>
      <c r="D56" s="20"/>
      <c r="E56" s="23" t="str">
        <f ca="1">IF(A56&lt;&gt;"",codeEAN13(INT(A56/10)),"")</f>
        <v/>
      </c>
      <c r="G56" s="27" t="str">
        <f t="shared" ca="1" si="0"/>
        <v/>
      </c>
      <c r="H56" s="27" t="str">
        <f t="shared" ca="1" si="1"/>
        <v/>
      </c>
      <c r="I56" s="27" t="str">
        <f t="shared" ca="1" si="2"/>
        <v/>
      </c>
      <c r="J56" s="25" t="str">
        <f t="shared" ca="1" si="3"/>
        <v/>
      </c>
      <c r="K56" s="25" t="str">
        <f t="shared" ca="1" si="4"/>
        <v/>
      </c>
      <c r="M56" s="19" t="b">
        <f t="shared" ca="1" si="25"/>
        <v>0</v>
      </c>
      <c r="N56" s="19" t="b">
        <f t="shared" ca="1" si="26"/>
        <v>0</v>
      </c>
      <c r="O56" s="19" t="b">
        <f t="shared" ca="1" si="27"/>
        <v>0</v>
      </c>
      <c r="P56" s="11"/>
      <c r="Q56" s="9" t="str">
        <f t="shared" ca="1" si="7"/>
        <v/>
      </c>
      <c r="R56" s="29" t="str">
        <f t="shared" ca="1" si="8"/>
        <v/>
      </c>
      <c r="S56" s="2">
        <f>Proforma!B53</f>
        <v>0</v>
      </c>
      <c r="T56" s="2">
        <f>Proforma!C53</f>
        <v>0</v>
      </c>
      <c r="U56" s="2">
        <f>Proforma!D53</f>
        <v>0</v>
      </c>
      <c r="W56" t="str">
        <f t="shared" si="28"/>
        <v>0-0-000</v>
      </c>
      <c r="X56" s="14" t="str">
        <f t="shared" ca="1" si="10"/>
        <v/>
      </c>
      <c r="Y56" s="1"/>
      <c r="Z56" s="2" t="str">
        <f t="shared" ca="1" si="11"/>
        <v/>
      </c>
      <c r="AA56" s="7" t="str">
        <f t="shared" ca="1" si="12"/>
        <v/>
      </c>
      <c r="AB56" s="13" t="str">
        <f t="shared" ca="1" si="13"/>
        <v/>
      </c>
      <c r="AC56" s="13" t="str">
        <f t="shared" ca="1" si="14"/>
        <v/>
      </c>
      <c r="AE56" s="5" t="str">
        <f t="shared" ca="1" si="15"/>
        <v/>
      </c>
    </row>
    <row r="57" spans="1:31" customFormat="1" ht="33.75" x14ac:dyDescent="0.5">
      <c r="A57" s="21" t="str">
        <f t="shared" ca="1" si="24"/>
        <v/>
      </c>
      <c r="B57" s="20">
        <f>Proforma!F54</f>
        <v>0</v>
      </c>
      <c r="C57" s="20">
        <f>Proforma!G54</f>
        <v>0</v>
      </c>
      <c r="D57" s="20"/>
      <c r="E57" s="23" t="str">
        <f ca="1">IF(A57&lt;&gt;"",codeEAN13(INT(A57/10)),"")</f>
        <v/>
      </c>
      <c r="G57" s="27" t="str">
        <f t="shared" ca="1" si="0"/>
        <v/>
      </c>
      <c r="H57" s="27" t="str">
        <f t="shared" ca="1" si="1"/>
        <v/>
      </c>
      <c r="I57" s="27" t="str">
        <f t="shared" ca="1" si="2"/>
        <v/>
      </c>
      <c r="J57" s="25" t="str">
        <f t="shared" ca="1" si="3"/>
        <v/>
      </c>
      <c r="K57" s="25" t="str">
        <f t="shared" ca="1" si="4"/>
        <v/>
      </c>
      <c r="M57" s="19" t="b">
        <f t="shared" ca="1" si="25"/>
        <v>0</v>
      </c>
      <c r="N57" s="19" t="b">
        <f t="shared" ca="1" si="26"/>
        <v>0</v>
      </c>
      <c r="O57" s="19" t="b">
        <f t="shared" ca="1" si="27"/>
        <v>0</v>
      </c>
      <c r="P57" s="11"/>
      <c r="Q57" s="9" t="str">
        <f t="shared" ca="1" si="7"/>
        <v/>
      </c>
      <c r="R57" s="29" t="str">
        <f t="shared" ca="1" si="8"/>
        <v/>
      </c>
      <c r="S57" s="2">
        <f>Proforma!B54</f>
        <v>0</v>
      </c>
      <c r="T57" s="2">
        <f>Proforma!C54</f>
        <v>0</v>
      </c>
      <c r="U57" s="2">
        <f>Proforma!D54</f>
        <v>0</v>
      </c>
      <c r="W57" t="str">
        <f t="shared" si="28"/>
        <v>0-0-000</v>
      </c>
      <c r="X57" s="14" t="str">
        <f t="shared" ca="1" si="10"/>
        <v/>
      </c>
      <c r="Y57" s="1"/>
      <c r="Z57" s="2" t="str">
        <f t="shared" ca="1" si="11"/>
        <v/>
      </c>
      <c r="AA57" s="7" t="str">
        <f t="shared" ca="1" si="12"/>
        <v/>
      </c>
      <c r="AB57" s="13" t="str">
        <f t="shared" ca="1" si="13"/>
        <v/>
      </c>
      <c r="AC57" s="13" t="str">
        <f t="shared" ca="1" si="14"/>
        <v/>
      </c>
      <c r="AE57" s="5" t="str">
        <f t="shared" ca="1" si="15"/>
        <v/>
      </c>
    </row>
    <row r="58" spans="1:31" customFormat="1" ht="33.75" x14ac:dyDescent="0.5">
      <c r="A58" s="21" t="str">
        <f t="shared" ca="1" si="24"/>
        <v/>
      </c>
      <c r="B58" s="20">
        <f>Proforma!F55</f>
        <v>0</v>
      </c>
      <c r="C58" s="20">
        <f>Proforma!G55</f>
        <v>0</v>
      </c>
      <c r="D58" s="20"/>
      <c r="E58" s="23" t="str">
        <f ca="1">IF(A58&lt;&gt;"",codeEAN13(INT(A58/10)),"")</f>
        <v/>
      </c>
      <c r="G58" s="27" t="str">
        <f t="shared" ca="1" si="0"/>
        <v/>
      </c>
      <c r="H58" s="27" t="str">
        <f t="shared" ca="1" si="1"/>
        <v/>
      </c>
      <c r="I58" s="27" t="str">
        <f t="shared" ca="1" si="2"/>
        <v/>
      </c>
      <c r="J58" s="25" t="str">
        <f t="shared" ca="1" si="3"/>
        <v/>
      </c>
      <c r="K58" s="25" t="str">
        <f t="shared" ca="1" si="4"/>
        <v/>
      </c>
      <c r="M58" s="19" t="b">
        <f t="shared" ca="1" si="25"/>
        <v>0</v>
      </c>
      <c r="N58" s="19" t="b">
        <f t="shared" ca="1" si="26"/>
        <v>0</v>
      </c>
      <c r="O58" s="19" t="b">
        <f t="shared" ca="1" si="27"/>
        <v>0</v>
      </c>
      <c r="P58" s="11"/>
      <c r="Q58" s="9" t="str">
        <f t="shared" ca="1" si="7"/>
        <v/>
      </c>
      <c r="R58" s="29" t="str">
        <f t="shared" ca="1" si="8"/>
        <v/>
      </c>
      <c r="S58" s="2">
        <f>Proforma!B55</f>
        <v>0</v>
      </c>
      <c r="T58" s="2">
        <f>Proforma!C55</f>
        <v>0</v>
      </c>
      <c r="U58" s="2">
        <f>Proforma!D55</f>
        <v>0</v>
      </c>
      <c r="W58" t="str">
        <f t="shared" si="28"/>
        <v>0-0-000</v>
      </c>
      <c r="X58" s="14" t="str">
        <f t="shared" ca="1" si="10"/>
        <v/>
      </c>
      <c r="Y58" s="1"/>
      <c r="Z58" s="2" t="str">
        <f t="shared" ca="1" si="11"/>
        <v/>
      </c>
      <c r="AA58" s="7" t="str">
        <f t="shared" ca="1" si="12"/>
        <v/>
      </c>
      <c r="AB58" s="13" t="str">
        <f t="shared" ca="1" si="13"/>
        <v/>
      </c>
      <c r="AC58" s="13" t="str">
        <f t="shared" ca="1" si="14"/>
        <v/>
      </c>
      <c r="AE58" s="5" t="str">
        <f t="shared" ca="1" si="15"/>
        <v/>
      </c>
    </row>
    <row r="59" spans="1:31" customFormat="1" ht="33.75" x14ac:dyDescent="0.5">
      <c r="A59" s="21" t="str">
        <f t="shared" ca="1" si="24"/>
        <v/>
      </c>
      <c r="B59" s="20">
        <f>Proforma!F56</f>
        <v>0</v>
      </c>
      <c r="C59" s="20">
        <f>Proforma!G56</f>
        <v>0</v>
      </c>
      <c r="D59" s="20"/>
      <c r="E59" s="23" t="str">
        <f ca="1">IF(A59&lt;&gt;"",codeEAN13(INT(A59/10)),"")</f>
        <v/>
      </c>
      <c r="G59" s="27" t="str">
        <f t="shared" ca="1" si="0"/>
        <v/>
      </c>
      <c r="H59" s="27" t="str">
        <f t="shared" ca="1" si="1"/>
        <v/>
      </c>
      <c r="I59" s="27" t="str">
        <f t="shared" ca="1" si="2"/>
        <v/>
      </c>
      <c r="J59" s="25" t="str">
        <f t="shared" ca="1" si="3"/>
        <v/>
      </c>
      <c r="K59" s="25" t="str">
        <f t="shared" ca="1" si="4"/>
        <v/>
      </c>
      <c r="M59" s="19" t="b">
        <f t="shared" ca="1" si="25"/>
        <v>0</v>
      </c>
      <c r="N59" s="19" t="b">
        <f t="shared" ca="1" si="26"/>
        <v>0</v>
      </c>
      <c r="O59" s="19" t="b">
        <f t="shared" ca="1" si="27"/>
        <v>0</v>
      </c>
      <c r="P59" s="11"/>
      <c r="Q59" s="9" t="str">
        <f t="shared" ca="1" si="7"/>
        <v/>
      </c>
      <c r="R59" s="29" t="str">
        <f t="shared" ca="1" si="8"/>
        <v/>
      </c>
      <c r="S59" s="2">
        <f>Proforma!B56</f>
        <v>0</v>
      </c>
      <c r="T59" s="2">
        <f>Proforma!C56</f>
        <v>0</v>
      </c>
      <c r="U59" s="2">
        <f>Proforma!D56</f>
        <v>0</v>
      </c>
      <c r="W59" t="str">
        <f t="shared" si="28"/>
        <v>0-0-000</v>
      </c>
      <c r="X59" s="14" t="str">
        <f t="shared" ca="1" si="10"/>
        <v/>
      </c>
      <c r="Y59" s="1"/>
      <c r="Z59" s="2" t="str">
        <f t="shared" ca="1" si="11"/>
        <v/>
      </c>
      <c r="AA59" s="7" t="str">
        <f t="shared" ca="1" si="12"/>
        <v/>
      </c>
      <c r="AB59" s="13" t="str">
        <f t="shared" ca="1" si="13"/>
        <v/>
      </c>
      <c r="AC59" s="13" t="str">
        <f t="shared" ca="1" si="14"/>
        <v/>
      </c>
      <c r="AE59" s="5" t="str">
        <f t="shared" ca="1" si="15"/>
        <v/>
      </c>
    </row>
    <row r="60" spans="1:31" customFormat="1" ht="33.75" x14ac:dyDescent="0.5">
      <c r="A60" s="21" t="str">
        <f t="shared" ca="1" si="24"/>
        <v/>
      </c>
      <c r="B60" s="20">
        <f>Proforma!F57</f>
        <v>0</v>
      </c>
      <c r="C60" s="20">
        <f>Proforma!G57</f>
        <v>0</v>
      </c>
      <c r="D60" s="20"/>
      <c r="E60" s="23" t="str">
        <f ca="1">IF(A60&lt;&gt;"",codeEAN13(INT(A60/10)),"")</f>
        <v/>
      </c>
      <c r="G60" s="27" t="str">
        <f t="shared" ca="1" si="0"/>
        <v/>
      </c>
      <c r="H60" s="27" t="str">
        <f t="shared" ca="1" si="1"/>
        <v/>
      </c>
      <c r="I60" s="27" t="str">
        <f t="shared" ca="1" si="2"/>
        <v/>
      </c>
      <c r="J60" s="25" t="str">
        <f t="shared" ca="1" si="3"/>
        <v/>
      </c>
      <c r="K60" s="25" t="str">
        <f t="shared" ca="1" si="4"/>
        <v/>
      </c>
      <c r="M60" s="19" t="b">
        <f t="shared" ca="1" si="25"/>
        <v>0</v>
      </c>
      <c r="N60" s="19" t="b">
        <f t="shared" ca="1" si="26"/>
        <v>0</v>
      </c>
      <c r="O60" s="19" t="b">
        <f t="shared" ca="1" si="27"/>
        <v>0</v>
      </c>
      <c r="P60" s="11"/>
      <c r="Q60" s="9" t="str">
        <f t="shared" ca="1" si="7"/>
        <v/>
      </c>
      <c r="R60" s="29" t="str">
        <f t="shared" ca="1" si="8"/>
        <v/>
      </c>
      <c r="S60" s="2">
        <f>Proforma!B57</f>
        <v>0</v>
      </c>
      <c r="T60" s="2">
        <f>Proforma!C57</f>
        <v>0</v>
      </c>
      <c r="U60" s="2">
        <f>Proforma!D57</f>
        <v>0</v>
      </c>
      <c r="W60" t="str">
        <f t="shared" si="28"/>
        <v>0-0-000</v>
      </c>
      <c r="X60" s="14" t="str">
        <f t="shared" ca="1" si="10"/>
        <v/>
      </c>
      <c r="Y60" s="1"/>
      <c r="Z60" s="2" t="str">
        <f t="shared" ca="1" si="11"/>
        <v/>
      </c>
      <c r="AA60" s="7" t="str">
        <f t="shared" ca="1" si="12"/>
        <v/>
      </c>
      <c r="AB60" s="13" t="str">
        <f t="shared" ca="1" si="13"/>
        <v/>
      </c>
      <c r="AC60" s="13" t="str">
        <f t="shared" ca="1" si="14"/>
        <v/>
      </c>
      <c r="AE60" s="5" t="str">
        <f t="shared" ca="1" si="15"/>
        <v/>
      </c>
    </row>
    <row r="61" spans="1:31" customFormat="1" ht="33.75" x14ac:dyDescent="0.5">
      <c r="A61" s="21" t="str">
        <f t="shared" ca="1" si="24"/>
        <v/>
      </c>
      <c r="B61" s="20">
        <f>Proforma!F58</f>
        <v>0</v>
      </c>
      <c r="C61" s="20">
        <f>Proforma!G58</f>
        <v>0</v>
      </c>
      <c r="D61" s="20"/>
      <c r="E61" s="23" t="str">
        <f ca="1">IF(A61&lt;&gt;"",codeEAN13(INT(A61/10)),"")</f>
        <v/>
      </c>
      <c r="G61" s="27" t="str">
        <f t="shared" ca="1" si="0"/>
        <v/>
      </c>
      <c r="H61" s="27" t="str">
        <f t="shared" ca="1" si="1"/>
        <v/>
      </c>
      <c r="I61" s="27" t="str">
        <f t="shared" ca="1" si="2"/>
        <v/>
      </c>
      <c r="J61" s="25" t="str">
        <f t="shared" ca="1" si="3"/>
        <v/>
      </c>
      <c r="K61" s="25" t="str">
        <f t="shared" ca="1" si="4"/>
        <v/>
      </c>
      <c r="M61" s="19" t="b">
        <f t="shared" ca="1" si="25"/>
        <v>0</v>
      </c>
      <c r="N61" s="19" t="b">
        <f t="shared" ca="1" si="26"/>
        <v>0</v>
      </c>
      <c r="O61" s="19" t="b">
        <f t="shared" ca="1" si="27"/>
        <v>0</v>
      </c>
      <c r="P61" s="11"/>
      <c r="Q61" s="9" t="str">
        <f t="shared" ca="1" si="7"/>
        <v/>
      </c>
      <c r="R61" s="29" t="str">
        <f t="shared" ca="1" si="8"/>
        <v/>
      </c>
      <c r="S61" s="2">
        <f>Proforma!B58</f>
        <v>0</v>
      </c>
      <c r="T61" s="2">
        <f>Proforma!C58</f>
        <v>0</v>
      </c>
      <c r="U61" s="2">
        <f>Proforma!D58</f>
        <v>0</v>
      </c>
      <c r="W61" t="str">
        <f t="shared" si="28"/>
        <v>0-0-000</v>
      </c>
      <c r="X61" s="14" t="str">
        <f t="shared" ca="1" si="10"/>
        <v/>
      </c>
      <c r="Y61" s="1"/>
      <c r="Z61" s="2" t="str">
        <f t="shared" ca="1" si="11"/>
        <v/>
      </c>
      <c r="AA61" s="7" t="str">
        <f t="shared" ca="1" si="12"/>
        <v/>
      </c>
      <c r="AB61" s="13" t="str">
        <f t="shared" ca="1" si="13"/>
        <v/>
      </c>
      <c r="AC61" s="13" t="str">
        <f t="shared" ca="1" si="14"/>
        <v/>
      </c>
      <c r="AE61" s="5" t="str">
        <f t="shared" ca="1" si="15"/>
        <v/>
      </c>
    </row>
    <row r="62" spans="1:31" customFormat="1" ht="33.75" x14ac:dyDescent="0.5">
      <c r="A62" s="21" t="str">
        <f t="shared" ca="1" si="24"/>
        <v/>
      </c>
      <c r="B62" s="20">
        <f>Proforma!F59</f>
        <v>0</v>
      </c>
      <c r="C62" s="20">
        <f>Proforma!G59</f>
        <v>0</v>
      </c>
      <c r="D62" s="20"/>
      <c r="E62" s="23" t="str">
        <f ca="1">IF(A62&lt;&gt;"",codeEAN13(INT(A62/10)),"")</f>
        <v/>
      </c>
      <c r="G62" s="27" t="str">
        <f t="shared" ca="1" si="0"/>
        <v/>
      </c>
      <c r="H62" s="27" t="str">
        <f t="shared" ca="1" si="1"/>
        <v/>
      </c>
      <c r="I62" s="27" t="str">
        <f t="shared" ca="1" si="2"/>
        <v/>
      </c>
      <c r="J62" s="25" t="str">
        <f t="shared" ca="1" si="3"/>
        <v/>
      </c>
      <c r="K62" s="25" t="str">
        <f t="shared" ca="1" si="4"/>
        <v/>
      </c>
      <c r="M62" s="19" t="b">
        <f t="shared" ca="1" si="25"/>
        <v>0</v>
      </c>
      <c r="N62" s="19" t="b">
        <f t="shared" ca="1" si="26"/>
        <v>0</v>
      </c>
      <c r="O62" s="19" t="b">
        <f t="shared" ca="1" si="27"/>
        <v>0</v>
      </c>
      <c r="P62" s="11"/>
      <c r="Q62" s="9" t="str">
        <f t="shared" ca="1" si="7"/>
        <v/>
      </c>
      <c r="R62" s="29" t="str">
        <f t="shared" ca="1" si="8"/>
        <v/>
      </c>
      <c r="S62" s="2">
        <f>Proforma!B59</f>
        <v>0</v>
      </c>
      <c r="T62" s="2">
        <f>Proforma!C59</f>
        <v>0</v>
      </c>
      <c r="U62" s="2">
        <f>Proforma!D59</f>
        <v>0</v>
      </c>
      <c r="W62" t="str">
        <f t="shared" si="28"/>
        <v>0-0-000</v>
      </c>
      <c r="X62" s="14" t="str">
        <f t="shared" ca="1" si="10"/>
        <v/>
      </c>
      <c r="Y62" s="1"/>
      <c r="Z62" s="2" t="str">
        <f t="shared" ca="1" si="11"/>
        <v/>
      </c>
      <c r="AA62" s="7" t="str">
        <f t="shared" ca="1" si="12"/>
        <v/>
      </c>
      <c r="AB62" s="13" t="str">
        <f t="shared" ca="1" si="13"/>
        <v/>
      </c>
      <c r="AC62" s="13" t="str">
        <f t="shared" ca="1" si="14"/>
        <v/>
      </c>
      <c r="AE62" s="5" t="str">
        <f t="shared" ca="1" si="15"/>
        <v/>
      </c>
    </row>
    <row r="63" spans="1:31" customFormat="1" ht="33.75" x14ac:dyDescent="0.5">
      <c r="A63" s="21" t="str">
        <f t="shared" ca="1" si="24"/>
        <v/>
      </c>
      <c r="B63" s="20">
        <f>Proforma!F60</f>
        <v>0</v>
      </c>
      <c r="C63" s="20">
        <f>Proforma!G60</f>
        <v>0</v>
      </c>
      <c r="D63" s="20"/>
      <c r="E63" s="23" t="str">
        <f ca="1">IF(A63&lt;&gt;"",codeEAN13(INT(A63/10)),"")</f>
        <v/>
      </c>
      <c r="G63" s="27" t="str">
        <f t="shared" ca="1" si="0"/>
        <v/>
      </c>
      <c r="H63" s="27" t="str">
        <f t="shared" ca="1" si="1"/>
        <v/>
      </c>
      <c r="I63" s="27" t="str">
        <f t="shared" ca="1" si="2"/>
        <v/>
      </c>
      <c r="J63" s="25" t="str">
        <f t="shared" ca="1" si="3"/>
        <v/>
      </c>
      <c r="K63" s="25" t="str">
        <f t="shared" ca="1" si="4"/>
        <v/>
      </c>
      <c r="M63" s="19" t="b">
        <f t="shared" ca="1" si="25"/>
        <v>0</v>
      </c>
      <c r="N63" s="19" t="b">
        <f t="shared" ca="1" si="26"/>
        <v>0</v>
      </c>
      <c r="O63" s="19" t="b">
        <f t="shared" ca="1" si="27"/>
        <v>0</v>
      </c>
      <c r="P63" s="11"/>
      <c r="Q63" s="9" t="str">
        <f t="shared" ca="1" si="7"/>
        <v/>
      </c>
      <c r="R63" s="29" t="str">
        <f t="shared" ca="1" si="8"/>
        <v/>
      </c>
      <c r="S63" s="2">
        <f>Proforma!B60</f>
        <v>0</v>
      </c>
      <c r="T63" s="2">
        <f>Proforma!C60</f>
        <v>0</v>
      </c>
      <c r="U63" s="2">
        <f>Proforma!D60</f>
        <v>0</v>
      </c>
      <c r="W63" t="str">
        <f t="shared" si="28"/>
        <v>0-0-000</v>
      </c>
      <c r="X63" s="14" t="str">
        <f t="shared" ca="1" si="10"/>
        <v/>
      </c>
      <c r="Y63" s="1"/>
      <c r="Z63" s="2" t="str">
        <f t="shared" ca="1" si="11"/>
        <v/>
      </c>
      <c r="AA63" s="7" t="str">
        <f t="shared" ca="1" si="12"/>
        <v/>
      </c>
      <c r="AB63" s="13" t="str">
        <f t="shared" ca="1" si="13"/>
        <v/>
      </c>
      <c r="AC63" s="13" t="str">
        <f t="shared" ca="1" si="14"/>
        <v/>
      </c>
      <c r="AE63" s="5" t="str">
        <f t="shared" ca="1" si="15"/>
        <v/>
      </c>
    </row>
    <row r="64" spans="1:31" customFormat="1" ht="33.75" x14ac:dyDescent="0.5">
      <c r="A64" s="21" t="str">
        <f t="shared" ca="1" si="24"/>
        <v/>
      </c>
      <c r="B64" s="20">
        <f>Proforma!F61</f>
        <v>0</v>
      </c>
      <c r="C64" s="20">
        <f>Proforma!G61</f>
        <v>0</v>
      </c>
      <c r="D64" s="20"/>
      <c r="E64" s="23" t="str">
        <f ca="1">IF(A64&lt;&gt;"",codeEAN13(INT(A64/10)),"")</f>
        <v/>
      </c>
      <c r="G64" s="27" t="str">
        <f t="shared" ca="1" si="0"/>
        <v/>
      </c>
      <c r="H64" s="27" t="str">
        <f t="shared" ca="1" si="1"/>
        <v/>
      </c>
      <c r="I64" s="27" t="str">
        <f t="shared" ca="1" si="2"/>
        <v/>
      </c>
      <c r="J64" s="25" t="str">
        <f t="shared" ca="1" si="3"/>
        <v/>
      </c>
      <c r="K64" s="25" t="str">
        <f t="shared" ca="1" si="4"/>
        <v/>
      </c>
      <c r="M64" s="19" t="b">
        <f t="shared" ca="1" si="25"/>
        <v>0</v>
      </c>
      <c r="N64" s="19" t="b">
        <f t="shared" ca="1" si="26"/>
        <v>0</v>
      </c>
      <c r="O64" s="19" t="b">
        <f t="shared" ca="1" si="27"/>
        <v>0</v>
      </c>
      <c r="P64" s="11"/>
      <c r="Q64" s="9" t="str">
        <f t="shared" ca="1" si="7"/>
        <v/>
      </c>
      <c r="R64" s="29" t="str">
        <f t="shared" ca="1" si="8"/>
        <v/>
      </c>
      <c r="S64" s="2">
        <f>Proforma!B61</f>
        <v>0</v>
      </c>
      <c r="T64" s="2">
        <f>Proforma!C61</f>
        <v>0</v>
      </c>
      <c r="U64" s="2">
        <f>Proforma!D61</f>
        <v>0</v>
      </c>
      <c r="W64" t="str">
        <f t="shared" si="28"/>
        <v>0-0-000</v>
      </c>
      <c r="X64" s="14" t="str">
        <f t="shared" ca="1" si="10"/>
        <v/>
      </c>
      <c r="Y64" s="1"/>
      <c r="Z64" s="2" t="str">
        <f t="shared" ca="1" si="11"/>
        <v/>
      </c>
      <c r="AA64" s="7" t="str">
        <f t="shared" ca="1" si="12"/>
        <v/>
      </c>
      <c r="AB64" s="13" t="str">
        <f t="shared" ca="1" si="13"/>
        <v/>
      </c>
      <c r="AC64" s="13" t="str">
        <f t="shared" ca="1" si="14"/>
        <v/>
      </c>
      <c r="AE64" s="5" t="str">
        <f t="shared" ca="1" si="15"/>
        <v/>
      </c>
    </row>
    <row r="65" spans="1:31" customFormat="1" ht="33.75" x14ac:dyDescent="0.5">
      <c r="A65" s="21" t="str">
        <f t="shared" ca="1" si="24"/>
        <v/>
      </c>
      <c r="B65" s="20">
        <f>Proforma!F62</f>
        <v>0</v>
      </c>
      <c r="C65" s="20">
        <f>Proforma!G62</f>
        <v>0</v>
      </c>
      <c r="D65" s="20"/>
      <c r="E65" s="23" t="str">
        <f ca="1">IF(A65&lt;&gt;"",codeEAN13(INT(A65/10)),"")</f>
        <v/>
      </c>
      <c r="G65" s="27" t="str">
        <f t="shared" ca="1" si="0"/>
        <v/>
      </c>
      <c r="H65" s="27" t="str">
        <f t="shared" ca="1" si="1"/>
        <v/>
      </c>
      <c r="I65" s="27" t="str">
        <f t="shared" ca="1" si="2"/>
        <v/>
      </c>
      <c r="J65" s="25" t="str">
        <f t="shared" ca="1" si="3"/>
        <v/>
      </c>
      <c r="K65" s="25" t="str">
        <f t="shared" ca="1" si="4"/>
        <v/>
      </c>
      <c r="M65" s="19" t="b">
        <f t="shared" ca="1" si="25"/>
        <v>0</v>
      </c>
      <c r="N65" s="19" t="b">
        <f t="shared" ca="1" si="26"/>
        <v>0</v>
      </c>
      <c r="O65" s="19" t="b">
        <f t="shared" ca="1" si="27"/>
        <v>0</v>
      </c>
      <c r="P65" s="11"/>
      <c r="Q65" s="9" t="str">
        <f t="shared" ca="1" si="7"/>
        <v/>
      </c>
      <c r="R65" s="29" t="str">
        <f t="shared" ca="1" si="8"/>
        <v/>
      </c>
      <c r="S65" s="2">
        <f>Proforma!B62</f>
        <v>0</v>
      </c>
      <c r="T65" s="2">
        <f>Proforma!C62</f>
        <v>0</v>
      </c>
      <c r="U65" s="2">
        <f>Proforma!D62</f>
        <v>0</v>
      </c>
      <c r="W65" t="str">
        <f t="shared" si="28"/>
        <v>0-0-000</v>
      </c>
      <c r="X65" s="14" t="str">
        <f t="shared" ca="1" si="10"/>
        <v/>
      </c>
      <c r="Y65" s="1"/>
      <c r="Z65" s="2" t="str">
        <f t="shared" ca="1" si="11"/>
        <v/>
      </c>
      <c r="AA65" s="7" t="str">
        <f t="shared" ca="1" si="12"/>
        <v/>
      </c>
      <c r="AB65" s="13" t="str">
        <f t="shared" ca="1" si="13"/>
        <v/>
      </c>
      <c r="AC65" s="13" t="str">
        <f t="shared" ca="1" si="14"/>
        <v/>
      </c>
      <c r="AE65" s="5" t="str">
        <f t="shared" ca="1" si="15"/>
        <v/>
      </c>
    </row>
    <row r="66" spans="1:31" customFormat="1" ht="33.75" x14ac:dyDescent="0.5">
      <c r="A66" s="21" t="str">
        <f t="shared" ca="1" si="24"/>
        <v/>
      </c>
      <c r="B66" s="20">
        <f>Proforma!F63</f>
        <v>0</v>
      </c>
      <c r="C66" s="20">
        <f>Proforma!G63</f>
        <v>0</v>
      </c>
      <c r="D66" s="20"/>
      <c r="E66" s="23" t="str">
        <f ca="1">IF(A66&lt;&gt;"",codeEAN13(INT(A66/10)),"")</f>
        <v/>
      </c>
      <c r="G66" s="27" t="str">
        <f t="shared" ref="G66:G129" ca="1" si="29">IFERROR(INDEX(INDIRECT(tabEAN.Valmag &amp; "!C:C"), $AE66), "")</f>
        <v/>
      </c>
      <c r="H66" s="27" t="str">
        <f t="shared" ref="H66:H129" ca="1" si="30">IFERROR(INDEX(INDIRECT(tabEAN.Valmag &amp; "!D:D"), $AE66), "")</f>
        <v/>
      </c>
      <c r="I66" s="27" t="str">
        <f t="shared" ref="I66:I129" ca="1" si="31">IFERROR(INDEX(INDIRECT(tabEAN.Valmag &amp; "!E:E"), $AE66), "")</f>
        <v/>
      </c>
      <c r="J66" s="25" t="str">
        <f t="shared" ref="J66:J129" ca="1" si="32">IFERROR(INDEX(INDIRECT(tabEAN13.inconnus &amp; "!E:E"),$Z66), "")</f>
        <v/>
      </c>
      <c r="K66" s="25" t="str">
        <f t="shared" ref="K66:K129" ca="1" si="33">IFERROR(INDEX(INDIRECT(tabEAN13.inconnus &amp; "!I:I"),$Z66), "")</f>
        <v/>
      </c>
      <c r="M66" s="19" t="b">
        <f t="shared" ca="1" si="25"/>
        <v>0</v>
      </c>
      <c r="N66" s="19" t="b">
        <f t="shared" ca="1" si="26"/>
        <v>0</v>
      </c>
      <c r="O66" s="19" t="b">
        <f t="shared" ca="1" si="27"/>
        <v>0</v>
      </c>
      <c r="P66" s="11"/>
      <c r="Q66" s="9" t="str">
        <f t="shared" ref="Q66:Q129" ca="1" si="34">IFERROR(INDEX(INDIRECT(tabEAN13.inconnus &amp; "!C:C"),$Z66), "")</f>
        <v/>
      </c>
      <c r="R66" s="29" t="str">
        <f t="shared" ref="R66:R129" ca="1" si="35">IFERROR(INDEX(INDIRECT(tabEAN13.inconnus &amp; "!D:D"),$Z66), "")</f>
        <v/>
      </c>
      <c r="S66" s="2">
        <f>Proforma!B63</f>
        <v>0</v>
      </c>
      <c r="T66" s="2">
        <f>Proforma!C63</f>
        <v>0</v>
      </c>
      <c r="U66" s="2">
        <f>Proforma!D63</f>
        <v>0</v>
      </c>
      <c r="W66" t="str">
        <f t="shared" si="28"/>
        <v>0-0-000</v>
      </c>
      <c r="X66" s="14" t="str">
        <f t="shared" ref="X66:X129" ca="1" si="36">IFERROR(INDEX(INDIRECT(tabEAN13 &amp; "!A:A"),$AA66), "")</f>
        <v/>
      </c>
      <c r="Y66" s="1"/>
      <c r="Z66" s="2" t="str">
        <f t="shared" ref="Z66:Z129" ca="1" si="37">IFERROR(MATCH($W66,INDIRECT(tabEAN13.inconnus &amp; "!B:B"),0), "")</f>
        <v/>
      </c>
      <c r="AA66" s="7" t="str">
        <f t="shared" ref="AA66:AA129" ca="1" si="38">IFERROR(MATCH($W66,INDIRECT(tabEAN13 &amp; "!B:B"),0), "")</f>
        <v/>
      </c>
      <c r="AB66" s="13" t="str">
        <f t="shared" ref="AB66:AB129" ca="1" si="39">IFERROR(INDEX(INDIRECT(tabEAN13 &amp; "!E:E"),$AA66), "")</f>
        <v/>
      </c>
      <c r="AC66" s="13" t="str">
        <f t="shared" ref="AC66:AC129" ca="1" si="40">IFERROR(INDEX(INDIRECT(tabEAN13 &amp; "!I:I"),$AA66), "")</f>
        <v/>
      </c>
      <c r="AE66" s="5" t="str">
        <f t="shared" ref="AE66:AE129" ca="1" si="41">IFERROR(MATCH($X66, INDIRECT(tabEAN.Valmag &amp; "!A:A"), 0), "")</f>
        <v/>
      </c>
    </row>
    <row r="67" spans="1:31" customFormat="1" ht="33.75" x14ac:dyDescent="0.5">
      <c r="A67" s="21" t="str">
        <f t="shared" ca="1" si="24"/>
        <v/>
      </c>
      <c r="B67" s="20">
        <f>Proforma!F64</f>
        <v>0</v>
      </c>
      <c r="C67" s="20">
        <f>Proforma!G64</f>
        <v>0</v>
      </c>
      <c r="D67" s="20"/>
      <c r="E67" s="23" t="str">
        <f ca="1">IF(A67&lt;&gt;"",codeEAN13(INT(A67/10)),"")</f>
        <v/>
      </c>
      <c r="G67" s="27" t="str">
        <f t="shared" ca="1" si="29"/>
        <v/>
      </c>
      <c r="H67" s="27" t="str">
        <f t="shared" ca="1" si="30"/>
        <v/>
      </c>
      <c r="I67" s="27" t="str">
        <f t="shared" ca="1" si="31"/>
        <v/>
      </c>
      <c r="J67" s="25" t="str">
        <f t="shared" ca="1" si="32"/>
        <v/>
      </c>
      <c r="K67" s="25" t="str">
        <f t="shared" ca="1" si="33"/>
        <v/>
      </c>
      <c r="M67" s="19" t="b">
        <f t="shared" ca="1" si="25"/>
        <v>0</v>
      </c>
      <c r="N67" s="19" t="b">
        <f t="shared" ca="1" si="26"/>
        <v>0</v>
      </c>
      <c r="O67" s="19" t="b">
        <f t="shared" ca="1" si="27"/>
        <v>0</v>
      </c>
      <c r="P67" s="11"/>
      <c r="Q67" s="9" t="str">
        <f t="shared" ca="1" si="34"/>
        <v/>
      </c>
      <c r="R67" s="29" t="str">
        <f t="shared" ca="1" si="35"/>
        <v/>
      </c>
      <c r="S67" s="2">
        <f>Proforma!B64</f>
        <v>0</v>
      </c>
      <c r="T67" s="2">
        <f>Proforma!C64</f>
        <v>0</v>
      </c>
      <c r="U67" s="2">
        <f>Proforma!D64</f>
        <v>0</v>
      </c>
      <c r="W67" t="str">
        <f t="shared" si="28"/>
        <v>0-0-000</v>
      </c>
      <c r="X67" s="14" t="str">
        <f t="shared" ca="1" si="36"/>
        <v/>
      </c>
      <c r="Y67" s="1"/>
      <c r="Z67" s="2" t="str">
        <f t="shared" ca="1" si="37"/>
        <v/>
      </c>
      <c r="AA67" s="7" t="str">
        <f t="shared" ca="1" si="38"/>
        <v/>
      </c>
      <c r="AB67" s="13" t="str">
        <f t="shared" ca="1" si="39"/>
        <v/>
      </c>
      <c r="AC67" s="13" t="str">
        <f t="shared" ca="1" si="40"/>
        <v/>
      </c>
      <c r="AE67" s="5" t="str">
        <f t="shared" ca="1" si="41"/>
        <v/>
      </c>
    </row>
    <row r="68" spans="1:31" customFormat="1" ht="33.75" x14ac:dyDescent="0.5">
      <c r="A68" s="21" t="str">
        <f t="shared" ca="1" si="24"/>
        <v/>
      </c>
      <c r="B68" s="20">
        <f>Proforma!F65</f>
        <v>0</v>
      </c>
      <c r="C68" s="20">
        <f>Proforma!G65</f>
        <v>0</v>
      </c>
      <c r="D68" s="20"/>
      <c r="E68" s="23" t="str">
        <f ca="1">IF(A68&lt;&gt;"",codeEAN13(INT(A68/10)),"")</f>
        <v/>
      </c>
      <c r="G68" s="27" t="str">
        <f t="shared" ca="1" si="29"/>
        <v/>
      </c>
      <c r="H68" s="27" t="str">
        <f t="shared" ca="1" si="30"/>
        <v/>
      </c>
      <c r="I68" s="27" t="str">
        <f t="shared" ca="1" si="31"/>
        <v/>
      </c>
      <c r="J68" s="25" t="str">
        <f t="shared" ca="1" si="32"/>
        <v/>
      </c>
      <c r="K68" s="25" t="str">
        <f t="shared" ca="1" si="33"/>
        <v/>
      </c>
      <c r="M68" s="19" t="b">
        <f t="shared" ca="1" si="25"/>
        <v>0</v>
      </c>
      <c r="N68" s="19" t="b">
        <f t="shared" ca="1" si="26"/>
        <v>0</v>
      </c>
      <c r="O68" s="19" t="b">
        <f t="shared" ca="1" si="27"/>
        <v>0</v>
      </c>
      <c r="P68" s="11"/>
      <c r="Q68" s="9" t="str">
        <f t="shared" ca="1" si="34"/>
        <v/>
      </c>
      <c r="R68" s="29" t="str">
        <f t="shared" ca="1" si="35"/>
        <v/>
      </c>
      <c r="S68" s="2">
        <f>Proforma!B65</f>
        <v>0</v>
      </c>
      <c r="T68" s="2">
        <f>Proforma!C65</f>
        <v>0</v>
      </c>
      <c r="U68" s="2">
        <f>Proforma!D65</f>
        <v>0</v>
      </c>
      <c r="W68" t="str">
        <f t="shared" si="28"/>
        <v>0-0-000</v>
      </c>
      <c r="X68" s="14" t="str">
        <f t="shared" ca="1" si="36"/>
        <v/>
      </c>
      <c r="Y68" s="1"/>
      <c r="Z68" s="2" t="str">
        <f t="shared" ca="1" si="37"/>
        <v/>
      </c>
      <c r="AA68" s="7" t="str">
        <f t="shared" ca="1" si="38"/>
        <v/>
      </c>
      <c r="AB68" s="13" t="str">
        <f t="shared" ca="1" si="39"/>
        <v/>
      </c>
      <c r="AC68" s="13" t="str">
        <f t="shared" ca="1" si="40"/>
        <v/>
      </c>
      <c r="AE68" s="5" t="str">
        <f t="shared" ca="1" si="41"/>
        <v/>
      </c>
    </row>
    <row r="69" spans="1:31" customFormat="1" ht="33.75" x14ac:dyDescent="0.5">
      <c r="A69" s="21" t="str">
        <f t="shared" ca="1" si="24"/>
        <v/>
      </c>
      <c r="B69" s="20" t="e">
        <f>Proforma!#REF!</f>
        <v>#REF!</v>
      </c>
      <c r="C69" s="20" t="e">
        <f>Proforma!#REF!</f>
        <v>#REF!</v>
      </c>
      <c r="D69" s="20"/>
      <c r="E69" s="23" t="str">
        <f ca="1">IF(A69&lt;&gt;"",codeEAN13(INT(A69/10)),"")</f>
        <v/>
      </c>
      <c r="G69" s="27" t="str">
        <f t="shared" ca="1" si="29"/>
        <v/>
      </c>
      <c r="H69" s="27" t="str">
        <f t="shared" ca="1" si="30"/>
        <v/>
      </c>
      <c r="I69" s="27" t="str">
        <f t="shared" ca="1" si="31"/>
        <v/>
      </c>
      <c r="J69" s="25" t="str">
        <f t="shared" ca="1" si="32"/>
        <v/>
      </c>
      <c r="K69" s="25" t="str">
        <f t="shared" ca="1" si="33"/>
        <v/>
      </c>
      <c r="M69" s="19" t="b">
        <f t="shared" ca="1" si="25"/>
        <v>0</v>
      </c>
      <c r="N69" s="19" t="b">
        <f t="shared" ca="1" si="26"/>
        <v>0</v>
      </c>
      <c r="O69" s="19" t="b">
        <f t="shared" ca="1" si="27"/>
        <v>0</v>
      </c>
      <c r="P69" s="11"/>
      <c r="Q69" s="9" t="str">
        <f t="shared" ca="1" si="34"/>
        <v/>
      </c>
      <c r="R69" s="29" t="str">
        <f t="shared" ca="1" si="35"/>
        <v/>
      </c>
      <c r="S69" s="2" t="e">
        <f>Proforma!#REF!</f>
        <v>#REF!</v>
      </c>
      <c r="T69" s="2" t="e">
        <f>Proforma!#REF!</f>
        <v>#REF!</v>
      </c>
      <c r="U69" s="2" t="e">
        <f>Proforma!#REF!</f>
        <v>#REF!</v>
      </c>
      <c r="W69" t="e">
        <f t="shared" si="28"/>
        <v>#REF!</v>
      </c>
      <c r="X69" s="14" t="str">
        <f t="shared" ca="1" si="36"/>
        <v/>
      </c>
      <c r="Y69" s="1"/>
      <c r="Z69" s="2" t="str">
        <f t="shared" ca="1" si="37"/>
        <v/>
      </c>
      <c r="AA69" s="7" t="str">
        <f t="shared" ca="1" si="38"/>
        <v/>
      </c>
      <c r="AB69" s="13" t="str">
        <f t="shared" ca="1" si="39"/>
        <v/>
      </c>
      <c r="AC69" s="13" t="str">
        <f t="shared" ca="1" si="40"/>
        <v/>
      </c>
      <c r="AE69" s="5" t="str">
        <f t="shared" ca="1" si="41"/>
        <v/>
      </c>
    </row>
    <row r="70" spans="1:31" customFormat="1" ht="33.75" x14ac:dyDescent="0.5">
      <c r="A70" s="21" t="str">
        <f t="shared" ca="1" si="24"/>
        <v/>
      </c>
      <c r="B70" s="20" t="e">
        <f>Proforma!#REF!</f>
        <v>#REF!</v>
      </c>
      <c r="C70" s="20" t="e">
        <f>Proforma!#REF!</f>
        <v>#REF!</v>
      </c>
      <c r="D70" s="20"/>
      <c r="E70" s="23" t="str">
        <f ca="1">IF(A70&lt;&gt;"",codeEAN13(INT(A70/10)),"")</f>
        <v/>
      </c>
      <c r="G70" s="27" t="str">
        <f t="shared" ca="1" si="29"/>
        <v/>
      </c>
      <c r="H70" s="27" t="str">
        <f t="shared" ca="1" si="30"/>
        <v/>
      </c>
      <c r="I70" s="27" t="str">
        <f t="shared" ca="1" si="31"/>
        <v/>
      </c>
      <c r="J70" s="25" t="str">
        <f t="shared" ca="1" si="32"/>
        <v/>
      </c>
      <c r="K70" s="25" t="str">
        <f t="shared" ca="1" si="33"/>
        <v/>
      </c>
      <c r="M70" s="19" t="b">
        <f t="shared" ca="1" si="25"/>
        <v>0</v>
      </c>
      <c r="N70" s="19" t="b">
        <f t="shared" ca="1" si="26"/>
        <v>0</v>
      </c>
      <c r="O70" s="19" t="b">
        <f t="shared" ca="1" si="27"/>
        <v>0</v>
      </c>
      <c r="P70" s="11"/>
      <c r="Q70" s="9" t="str">
        <f t="shared" ca="1" si="34"/>
        <v/>
      </c>
      <c r="R70" s="29" t="str">
        <f t="shared" ca="1" si="35"/>
        <v/>
      </c>
      <c r="S70" s="2" t="e">
        <f>Proforma!#REF!</f>
        <v>#REF!</v>
      </c>
      <c r="T70" s="2" t="e">
        <f>Proforma!#REF!</f>
        <v>#REF!</v>
      </c>
      <c r="U70" s="2" t="e">
        <f>Proforma!#REF!</f>
        <v>#REF!</v>
      </c>
      <c r="W70" t="e">
        <f t="shared" si="28"/>
        <v>#REF!</v>
      </c>
      <c r="X70" s="14" t="str">
        <f t="shared" ca="1" si="36"/>
        <v/>
      </c>
      <c r="Y70" s="1"/>
      <c r="Z70" s="2" t="str">
        <f t="shared" ca="1" si="37"/>
        <v/>
      </c>
      <c r="AA70" s="7" t="str">
        <f t="shared" ca="1" si="38"/>
        <v/>
      </c>
      <c r="AB70" s="13" t="str">
        <f t="shared" ca="1" si="39"/>
        <v/>
      </c>
      <c r="AC70" s="13" t="str">
        <f t="shared" ca="1" si="40"/>
        <v/>
      </c>
      <c r="AE70" s="5" t="str">
        <f t="shared" ca="1" si="41"/>
        <v/>
      </c>
    </row>
    <row r="71" spans="1:31" customFormat="1" ht="33.75" x14ac:dyDescent="0.5">
      <c r="A71" s="21" t="str">
        <f t="shared" ca="1" si="24"/>
        <v/>
      </c>
      <c r="B71" s="20" t="e">
        <f>Proforma!#REF!</f>
        <v>#REF!</v>
      </c>
      <c r="C71" s="20" t="e">
        <f>Proforma!#REF!</f>
        <v>#REF!</v>
      </c>
      <c r="D71" s="20"/>
      <c r="E71" s="23" t="str">
        <f ca="1">IF(A71&lt;&gt;"",codeEAN13(INT(A71/10)),"")</f>
        <v/>
      </c>
      <c r="G71" s="27" t="str">
        <f t="shared" ca="1" si="29"/>
        <v/>
      </c>
      <c r="H71" s="27" t="str">
        <f t="shared" ca="1" si="30"/>
        <v/>
      </c>
      <c r="I71" s="27" t="str">
        <f t="shared" ca="1" si="31"/>
        <v/>
      </c>
      <c r="J71" s="25" t="str">
        <f t="shared" ca="1" si="32"/>
        <v/>
      </c>
      <c r="K71" s="25" t="str">
        <f t="shared" ca="1" si="33"/>
        <v/>
      </c>
      <c r="M71" s="19" t="b">
        <f t="shared" ca="1" si="25"/>
        <v>0</v>
      </c>
      <c r="N71" s="19" t="b">
        <f t="shared" ca="1" si="26"/>
        <v>0</v>
      </c>
      <c r="O71" s="19" t="b">
        <f t="shared" ca="1" si="27"/>
        <v>0</v>
      </c>
      <c r="P71" s="11"/>
      <c r="Q71" s="9" t="str">
        <f t="shared" ca="1" si="34"/>
        <v/>
      </c>
      <c r="R71" s="29" t="str">
        <f t="shared" ca="1" si="35"/>
        <v/>
      </c>
      <c r="S71" s="2" t="e">
        <f>Proforma!#REF!</f>
        <v>#REF!</v>
      </c>
      <c r="T71" s="2" t="e">
        <f>Proforma!#REF!</f>
        <v>#REF!</v>
      </c>
      <c r="U71" s="2" t="e">
        <f>Proforma!#REF!</f>
        <v>#REF!</v>
      </c>
      <c r="W71" t="e">
        <f t="shared" si="28"/>
        <v>#REF!</v>
      </c>
      <c r="X71" s="14" t="str">
        <f t="shared" ca="1" si="36"/>
        <v/>
      </c>
      <c r="Y71" s="1"/>
      <c r="Z71" s="2" t="str">
        <f t="shared" ca="1" si="37"/>
        <v/>
      </c>
      <c r="AA71" s="7" t="str">
        <f t="shared" ca="1" si="38"/>
        <v/>
      </c>
      <c r="AB71" s="13" t="str">
        <f t="shared" ca="1" si="39"/>
        <v/>
      </c>
      <c r="AC71" s="13" t="str">
        <f t="shared" ca="1" si="40"/>
        <v/>
      </c>
      <c r="AE71" s="5" t="str">
        <f t="shared" ca="1" si="41"/>
        <v/>
      </c>
    </row>
    <row r="72" spans="1:31" customFormat="1" ht="33.75" x14ac:dyDescent="0.5">
      <c r="A72" s="21" t="str">
        <f t="shared" ca="1" si="24"/>
        <v/>
      </c>
      <c r="B72" s="20" t="e">
        <f>Proforma!#REF!</f>
        <v>#REF!</v>
      </c>
      <c r="C72" s="20" t="e">
        <f>Proforma!#REF!</f>
        <v>#REF!</v>
      </c>
      <c r="D72" s="20"/>
      <c r="E72" s="23" t="str">
        <f ca="1">IF(A72&lt;&gt;"",codeEAN13(INT(A72/10)),"")</f>
        <v/>
      </c>
      <c r="G72" s="27" t="str">
        <f t="shared" ca="1" si="29"/>
        <v/>
      </c>
      <c r="H72" s="27" t="str">
        <f t="shared" ca="1" si="30"/>
        <v/>
      </c>
      <c r="I72" s="27" t="str">
        <f t="shared" ca="1" si="31"/>
        <v/>
      </c>
      <c r="J72" s="25" t="str">
        <f t="shared" ca="1" si="32"/>
        <v/>
      </c>
      <c r="K72" s="25" t="str">
        <f t="shared" ca="1" si="33"/>
        <v/>
      </c>
      <c r="M72" s="19" t="b">
        <f t="shared" ca="1" si="25"/>
        <v>0</v>
      </c>
      <c r="N72" s="19" t="b">
        <f t="shared" ca="1" si="26"/>
        <v>0</v>
      </c>
      <c r="O72" s="19" t="b">
        <f t="shared" ca="1" si="27"/>
        <v>0</v>
      </c>
      <c r="P72" s="11"/>
      <c r="Q72" s="9" t="str">
        <f t="shared" ca="1" si="34"/>
        <v/>
      </c>
      <c r="R72" s="29" t="str">
        <f t="shared" ca="1" si="35"/>
        <v/>
      </c>
      <c r="S72" s="2" t="e">
        <f>Proforma!#REF!</f>
        <v>#REF!</v>
      </c>
      <c r="T72" s="2" t="e">
        <f>Proforma!#REF!</f>
        <v>#REF!</v>
      </c>
      <c r="U72" s="2" t="e">
        <f>Proforma!#REF!</f>
        <v>#REF!</v>
      </c>
      <c r="W72" t="e">
        <f t="shared" si="28"/>
        <v>#REF!</v>
      </c>
      <c r="X72" s="14" t="str">
        <f t="shared" ca="1" si="36"/>
        <v/>
      </c>
      <c r="Y72" s="1"/>
      <c r="Z72" s="2" t="str">
        <f t="shared" ca="1" si="37"/>
        <v/>
      </c>
      <c r="AA72" s="7" t="str">
        <f t="shared" ca="1" si="38"/>
        <v/>
      </c>
      <c r="AB72" s="13" t="str">
        <f t="shared" ca="1" si="39"/>
        <v/>
      </c>
      <c r="AC72" s="13" t="str">
        <f t="shared" ca="1" si="40"/>
        <v/>
      </c>
      <c r="AE72" s="5" t="str">
        <f t="shared" ca="1" si="41"/>
        <v/>
      </c>
    </row>
    <row r="73" spans="1:31" customFormat="1" ht="33.75" x14ac:dyDescent="0.5">
      <c r="A73" s="21" t="str">
        <f t="shared" ca="1" si="24"/>
        <v/>
      </c>
      <c r="B73" s="20" t="e">
        <f>Proforma!#REF!</f>
        <v>#REF!</v>
      </c>
      <c r="C73" s="20" t="e">
        <f>Proforma!#REF!</f>
        <v>#REF!</v>
      </c>
      <c r="D73" s="20"/>
      <c r="E73" s="23" t="str">
        <f ca="1">IF(A73&lt;&gt;"",codeEAN13(INT(A73/10)),"")</f>
        <v/>
      </c>
      <c r="G73" s="27" t="str">
        <f t="shared" ca="1" si="29"/>
        <v/>
      </c>
      <c r="H73" s="27" t="str">
        <f t="shared" ca="1" si="30"/>
        <v/>
      </c>
      <c r="I73" s="27" t="str">
        <f t="shared" ca="1" si="31"/>
        <v/>
      </c>
      <c r="J73" s="25" t="str">
        <f t="shared" ca="1" si="32"/>
        <v/>
      </c>
      <c r="K73" s="25" t="str">
        <f t="shared" ca="1" si="33"/>
        <v/>
      </c>
      <c r="M73" s="19" t="b">
        <f t="shared" ca="1" si="25"/>
        <v>0</v>
      </c>
      <c r="N73" s="19" t="b">
        <f t="shared" ca="1" si="26"/>
        <v>0</v>
      </c>
      <c r="O73" s="19" t="b">
        <f t="shared" ca="1" si="27"/>
        <v>0</v>
      </c>
      <c r="P73" s="11"/>
      <c r="Q73" s="9" t="str">
        <f t="shared" ca="1" si="34"/>
        <v/>
      </c>
      <c r="R73" s="29" t="str">
        <f t="shared" ca="1" si="35"/>
        <v/>
      </c>
      <c r="S73" s="2" t="e">
        <f>Proforma!#REF!</f>
        <v>#REF!</v>
      </c>
      <c r="T73" s="2" t="e">
        <f>Proforma!#REF!</f>
        <v>#REF!</v>
      </c>
      <c r="U73" s="2" t="e">
        <f>Proforma!#REF!</f>
        <v>#REF!</v>
      </c>
      <c r="W73" t="e">
        <f t="shared" si="28"/>
        <v>#REF!</v>
      </c>
      <c r="X73" s="14" t="str">
        <f t="shared" ca="1" si="36"/>
        <v/>
      </c>
      <c r="Y73" s="1"/>
      <c r="Z73" s="2" t="str">
        <f t="shared" ca="1" si="37"/>
        <v/>
      </c>
      <c r="AA73" s="7" t="str">
        <f t="shared" ca="1" si="38"/>
        <v/>
      </c>
      <c r="AB73" s="13" t="str">
        <f t="shared" ca="1" si="39"/>
        <v/>
      </c>
      <c r="AC73" s="13" t="str">
        <f t="shared" ca="1" si="40"/>
        <v/>
      </c>
      <c r="AE73" s="5" t="str">
        <f t="shared" ca="1" si="41"/>
        <v/>
      </c>
    </row>
    <row r="74" spans="1:31" customFormat="1" ht="33.75" x14ac:dyDescent="0.5">
      <c r="A74" s="21" t="str">
        <f t="shared" ca="1" si="24"/>
        <v/>
      </c>
      <c r="B74" s="20" t="e">
        <f>Proforma!#REF!</f>
        <v>#REF!</v>
      </c>
      <c r="C74" s="20" t="e">
        <f>Proforma!#REF!</f>
        <v>#REF!</v>
      </c>
      <c r="D74" s="20"/>
      <c r="E74" s="23" t="str">
        <f ca="1">IF(A74&lt;&gt;"",codeEAN13(INT(A74/10)),"")</f>
        <v/>
      </c>
      <c r="G74" s="27" t="str">
        <f t="shared" ca="1" si="29"/>
        <v/>
      </c>
      <c r="H74" s="27" t="str">
        <f t="shared" ca="1" si="30"/>
        <v/>
      </c>
      <c r="I74" s="27" t="str">
        <f t="shared" ca="1" si="31"/>
        <v/>
      </c>
      <c r="J74" s="25" t="str">
        <f t="shared" ca="1" si="32"/>
        <v/>
      </c>
      <c r="K74" s="25" t="str">
        <f t="shared" ca="1" si="33"/>
        <v/>
      </c>
      <c r="M74" s="19" t="b">
        <f t="shared" ca="1" si="25"/>
        <v>0</v>
      </c>
      <c r="N74" s="19" t="b">
        <f t="shared" ca="1" si="26"/>
        <v>0</v>
      </c>
      <c r="O74" s="19" t="b">
        <f t="shared" ca="1" si="27"/>
        <v>0</v>
      </c>
      <c r="P74" s="11"/>
      <c r="Q74" s="9" t="str">
        <f t="shared" ca="1" si="34"/>
        <v/>
      </c>
      <c r="R74" s="29" t="str">
        <f t="shared" ca="1" si="35"/>
        <v/>
      </c>
      <c r="S74" s="2" t="e">
        <f>Proforma!#REF!</f>
        <v>#REF!</v>
      </c>
      <c r="T74" s="2" t="e">
        <f>Proforma!#REF!</f>
        <v>#REF!</v>
      </c>
      <c r="U74" s="2" t="e">
        <f>Proforma!#REF!</f>
        <v>#REF!</v>
      </c>
      <c r="W74" t="e">
        <f t="shared" si="28"/>
        <v>#REF!</v>
      </c>
      <c r="X74" s="14" t="str">
        <f t="shared" ca="1" si="36"/>
        <v/>
      </c>
      <c r="Y74" s="1"/>
      <c r="Z74" s="2" t="str">
        <f t="shared" ca="1" si="37"/>
        <v/>
      </c>
      <c r="AA74" s="7" t="str">
        <f t="shared" ca="1" si="38"/>
        <v/>
      </c>
      <c r="AB74" s="13" t="str">
        <f t="shared" ca="1" si="39"/>
        <v/>
      </c>
      <c r="AC74" s="13" t="str">
        <f t="shared" ca="1" si="40"/>
        <v/>
      </c>
      <c r="AE74" s="5" t="str">
        <f t="shared" ca="1" si="41"/>
        <v/>
      </c>
    </row>
    <row r="75" spans="1:31" customFormat="1" ht="33.75" x14ac:dyDescent="0.5">
      <c r="A75" s="21" t="str">
        <f t="shared" ca="1" si="24"/>
        <v/>
      </c>
      <c r="B75" s="20" t="e">
        <f>Proforma!#REF!</f>
        <v>#REF!</v>
      </c>
      <c r="C75" s="20" t="e">
        <f>Proforma!#REF!</f>
        <v>#REF!</v>
      </c>
      <c r="D75" s="20"/>
      <c r="E75" s="23" t="str">
        <f ca="1">IF(A75&lt;&gt;"",codeEAN13(INT(A75/10)),"")</f>
        <v/>
      </c>
      <c r="G75" s="27" t="str">
        <f t="shared" ca="1" si="29"/>
        <v/>
      </c>
      <c r="H75" s="27" t="str">
        <f t="shared" ca="1" si="30"/>
        <v/>
      </c>
      <c r="I75" s="27" t="str">
        <f t="shared" ca="1" si="31"/>
        <v/>
      </c>
      <c r="J75" s="25" t="str">
        <f t="shared" ca="1" si="32"/>
        <v/>
      </c>
      <c r="K75" s="25" t="str">
        <f t="shared" ca="1" si="33"/>
        <v/>
      </c>
      <c r="M75" s="19" t="b">
        <f t="shared" ca="1" si="25"/>
        <v>0</v>
      </c>
      <c r="N75" s="19" t="b">
        <f t="shared" ca="1" si="26"/>
        <v>0</v>
      </c>
      <c r="O75" s="19" t="b">
        <f t="shared" ca="1" si="27"/>
        <v>0</v>
      </c>
      <c r="P75" s="11"/>
      <c r="Q75" s="9" t="str">
        <f t="shared" ca="1" si="34"/>
        <v/>
      </c>
      <c r="R75" s="29" t="str">
        <f t="shared" ca="1" si="35"/>
        <v/>
      </c>
      <c r="S75" s="2" t="e">
        <f>Proforma!#REF!</f>
        <v>#REF!</v>
      </c>
      <c r="T75" s="2" t="e">
        <f>Proforma!#REF!</f>
        <v>#REF!</v>
      </c>
      <c r="U75" s="2" t="e">
        <f>Proforma!#REF!</f>
        <v>#REF!</v>
      </c>
      <c r="W75" t="e">
        <f t="shared" si="28"/>
        <v>#REF!</v>
      </c>
      <c r="X75" s="14" t="str">
        <f t="shared" ca="1" si="36"/>
        <v/>
      </c>
      <c r="Y75" s="1"/>
      <c r="Z75" s="2" t="str">
        <f t="shared" ca="1" si="37"/>
        <v/>
      </c>
      <c r="AA75" s="7" t="str">
        <f t="shared" ca="1" si="38"/>
        <v/>
      </c>
      <c r="AB75" s="13" t="str">
        <f t="shared" ca="1" si="39"/>
        <v/>
      </c>
      <c r="AC75" s="13" t="str">
        <f t="shared" ca="1" si="40"/>
        <v/>
      </c>
      <c r="AE75" s="5" t="str">
        <f t="shared" ca="1" si="41"/>
        <v/>
      </c>
    </row>
    <row r="76" spans="1:31" customFormat="1" ht="33.75" x14ac:dyDescent="0.5">
      <c r="A76" s="21" t="str">
        <f t="shared" ca="1" si="24"/>
        <v/>
      </c>
      <c r="B76" s="20" t="e">
        <f>Proforma!#REF!</f>
        <v>#REF!</v>
      </c>
      <c r="C76" s="20" t="e">
        <f>Proforma!#REF!</f>
        <v>#REF!</v>
      </c>
      <c r="D76" s="20"/>
      <c r="E76" s="23" t="str">
        <f ca="1">IF(A76&lt;&gt;"",codeEAN13(INT(A76/10)),"")</f>
        <v/>
      </c>
      <c r="G76" s="27" t="str">
        <f t="shared" ca="1" si="29"/>
        <v/>
      </c>
      <c r="H76" s="27" t="str">
        <f t="shared" ca="1" si="30"/>
        <v/>
      </c>
      <c r="I76" s="27" t="str">
        <f t="shared" ca="1" si="31"/>
        <v/>
      </c>
      <c r="J76" s="25" t="str">
        <f t="shared" ca="1" si="32"/>
        <v/>
      </c>
      <c r="K76" s="25" t="str">
        <f t="shared" ca="1" si="33"/>
        <v/>
      </c>
      <c r="M76" s="19" t="b">
        <f t="shared" ca="1" si="25"/>
        <v>0</v>
      </c>
      <c r="N76" s="19" t="b">
        <f t="shared" ca="1" si="26"/>
        <v>0</v>
      </c>
      <c r="O76" s="19" t="b">
        <f t="shared" ca="1" si="27"/>
        <v>0</v>
      </c>
      <c r="P76" s="11"/>
      <c r="Q76" s="9" t="str">
        <f t="shared" ca="1" si="34"/>
        <v/>
      </c>
      <c r="R76" s="29" t="str">
        <f t="shared" ca="1" si="35"/>
        <v/>
      </c>
      <c r="S76" s="2" t="e">
        <f>Proforma!#REF!</f>
        <v>#REF!</v>
      </c>
      <c r="T76" s="2" t="e">
        <f>Proforma!#REF!</f>
        <v>#REF!</v>
      </c>
      <c r="U76" s="2" t="e">
        <f>Proforma!#REF!</f>
        <v>#REF!</v>
      </c>
      <c r="W76" t="e">
        <f t="shared" si="28"/>
        <v>#REF!</v>
      </c>
      <c r="X76" s="14" t="str">
        <f t="shared" ca="1" si="36"/>
        <v/>
      </c>
      <c r="Y76" s="1"/>
      <c r="Z76" s="2" t="str">
        <f t="shared" ca="1" si="37"/>
        <v/>
      </c>
      <c r="AA76" s="7" t="str">
        <f t="shared" ca="1" si="38"/>
        <v/>
      </c>
      <c r="AB76" s="13" t="str">
        <f t="shared" ca="1" si="39"/>
        <v/>
      </c>
      <c r="AC76" s="13" t="str">
        <f t="shared" ca="1" si="40"/>
        <v/>
      </c>
      <c r="AE76" s="5" t="str">
        <f t="shared" ca="1" si="41"/>
        <v/>
      </c>
    </row>
    <row r="77" spans="1:31" customFormat="1" ht="33.75" x14ac:dyDescent="0.5">
      <c r="A77" s="21" t="str">
        <f t="shared" ca="1" si="24"/>
        <v/>
      </c>
      <c r="B77" s="20" t="e">
        <f>Proforma!#REF!</f>
        <v>#REF!</v>
      </c>
      <c r="C77" s="20" t="e">
        <f>Proforma!#REF!</f>
        <v>#REF!</v>
      </c>
      <c r="D77" s="20"/>
      <c r="E77" s="23" t="str">
        <f ca="1">IF(A77&lt;&gt;"",codeEAN13(INT(A77/10)),"")</f>
        <v/>
      </c>
      <c r="G77" s="27" t="str">
        <f t="shared" ca="1" si="29"/>
        <v/>
      </c>
      <c r="H77" s="27" t="str">
        <f t="shared" ca="1" si="30"/>
        <v/>
      </c>
      <c r="I77" s="27" t="str">
        <f t="shared" ca="1" si="31"/>
        <v/>
      </c>
      <c r="J77" s="25" t="str">
        <f t="shared" ca="1" si="32"/>
        <v/>
      </c>
      <c r="K77" s="25" t="str">
        <f t="shared" ca="1" si="33"/>
        <v/>
      </c>
      <c r="M77" s="19" t="b">
        <f t="shared" ca="1" si="25"/>
        <v>0</v>
      </c>
      <c r="N77" s="19" t="b">
        <f t="shared" ca="1" si="26"/>
        <v>0</v>
      </c>
      <c r="O77" s="19" t="b">
        <f t="shared" ca="1" si="27"/>
        <v>0</v>
      </c>
      <c r="P77" s="11"/>
      <c r="Q77" s="9" t="str">
        <f t="shared" ca="1" si="34"/>
        <v/>
      </c>
      <c r="R77" s="29" t="str">
        <f t="shared" ca="1" si="35"/>
        <v/>
      </c>
      <c r="S77" s="2" t="e">
        <f>Proforma!#REF!</f>
        <v>#REF!</v>
      </c>
      <c r="T77" s="2" t="e">
        <f>Proforma!#REF!</f>
        <v>#REF!</v>
      </c>
      <c r="U77" s="2" t="e">
        <f>Proforma!#REF!</f>
        <v>#REF!</v>
      </c>
      <c r="W77" t="e">
        <f t="shared" si="28"/>
        <v>#REF!</v>
      </c>
      <c r="X77" s="14" t="str">
        <f t="shared" ca="1" si="36"/>
        <v/>
      </c>
      <c r="Y77" s="1"/>
      <c r="Z77" s="2" t="str">
        <f t="shared" ca="1" si="37"/>
        <v/>
      </c>
      <c r="AA77" s="7" t="str">
        <f t="shared" ca="1" si="38"/>
        <v/>
      </c>
      <c r="AB77" s="13" t="str">
        <f t="shared" ca="1" si="39"/>
        <v/>
      </c>
      <c r="AC77" s="13" t="str">
        <f t="shared" ca="1" si="40"/>
        <v/>
      </c>
      <c r="AE77" s="5" t="str">
        <f t="shared" ca="1" si="41"/>
        <v/>
      </c>
    </row>
    <row r="78" spans="1:31" customFormat="1" ht="33.75" x14ac:dyDescent="0.5">
      <c r="A78" s="21" t="str">
        <f t="shared" ca="1" si="24"/>
        <v/>
      </c>
      <c r="B78" s="20" t="e">
        <f>Proforma!#REF!</f>
        <v>#REF!</v>
      </c>
      <c r="C78" s="20" t="e">
        <f>Proforma!#REF!</f>
        <v>#REF!</v>
      </c>
      <c r="D78" s="20"/>
      <c r="E78" s="23" t="str">
        <f ca="1">IF(A78&lt;&gt;"",codeEAN13(INT(A78/10)),"")</f>
        <v/>
      </c>
      <c r="G78" s="27" t="str">
        <f t="shared" ca="1" si="29"/>
        <v/>
      </c>
      <c r="H78" s="27" t="str">
        <f t="shared" ca="1" si="30"/>
        <v/>
      </c>
      <c r="I78" s="27" t="str">
        <f t="shared" ca="1" si="31"/>
        <v/>
      </c>
      <c r="J78" s="25" t="str">
        <f t="shared" ca="1" si="32"/>
        <v/>
      </c>
      <c r="K78" s="25" t="str">
        <f t="shared" ca="1" si="33"/>
        <v/>
      </c>
      <c r="M78" s="19" t="b">
        <f t="shared" ca="1" si="25"/>
        <v>0</v>
      </c>
      <c r="N78" s="19" t="b">
        <f t="shared" ca="1" si="26"/>
        <v>0</v>
      </c>
      <c r="O78" s="19" t="b">
        <f t="shared" ca="1" si="27"/>
        <v>0</v>
      </c>
      <c r="P78" s="11"/>
      <c r="Q78" s="9" t="str">
        <f t="shared" ca="1" si="34"/>
        <v/>
      </c>
      <c r="R78" s="29" t="str">
        <f t="shared" ca="1" si="35"/>
        <v/>
      </c>
      <c r="S78" s="2" t="e">
        <f>Proforma!#REF!</f>
        <v>#REF!</v>
      </c>
      <c r="T78" s="2" t="e">
        <f>Proforma!#REF!</f>
        <v>#REF!</v>
      </c>
      <c r="U78" s="2" t="e">
        <f>Proforma!#REF!</f>
        <v>#REF!</v>
      </c>
      <c r="W78" t="e">
        <f t="shared" si="28"/>
        <v>#REF!</v>
      </c>
      <c r="X78" s="14" t="str">
        <f t="shared" ca="1" si="36"/>
        <v/>
      </c>
      <c r="Y78" s="1"/>
      <c r="Z78" s="2" t="str">
        <f t="shared" ca="1" si="37"/>
        <v/>
      </c>
      <c r="AA78" s="7" t="str">
        <f t="shared" ca="1" si="38"/>
        <v/>
      </c>
      <c r="AB78" s="13" t="str">
        <f t="shared" ca="1" si="39"/>
        <v/>
      </c>
      <c r="AC78" s="13" t="str">
        <f t="shared" ca="1" si="40"/>
        <v/>
      </c>
      <c r="AE78" s="5" t="str">
        <f t="shared" ca="1" si="41"/>
        <v/>
      </c>
    </row>
    <row r="79" spans="1:31" customFormat="1" ht="33.75" x14ac:dyDescent="0.5">
      <c r="A79" s="21" t="str">
        <f t="shared" ca="1" si="24"/>
        <v/>
      </c>
      <c r="B79" s="20" t="e">
        <f>Proforma!#REF!</f>
        <v>#REF!</v>
      </c>
      <c r="C79" s="20" t="e">
        <f>Proforma!#REF!</f>
        <v>#REF!</v>
      </c>
      <c r="D79" s="20"/>
      <c r="E79" s="23" t="str">
        <f ca="1">IF(A79&lt;&gt;"",codeEAN13(INT(A79/10)),"")</f>
        <v/>
      </c>
      <c r="G79" s="27" t="str">
        <f t="shared" ca="1" si="29"/>
        <v/>
      </c>
      <c r="H79" s="27" t="str">
        <f t="shared" ca="1" si="30"/>
        <v/>
      </c>
      <c r="I79" s="27" t="str">
        <f t="shared" ca="1" si="31"/>
        <v/>
      </c>
      <c r="J79" s="25" t="str">
        <f t="shared" ca="1" si="32"/>
        <v/>
      </c>
      <c r="K79" s="25" t="str">
        <f t="shared" ca="1" si="33"/>
        <v/>
      </c>
      <c r="M79" s="19" t="b">
        <f t="shared" ca="1" si="25"/>
        <v>0</v>
      </c>
      <c r="N79" s="19" t="b">
        <f t="shared" ca="1" si="26"/>
        <v>0</v>
      </c>
      <c r="O79" s="19" t="b">
        <f t="shared" ca="1" si="27"/>
        <v>0</v>
      </c>
      <c r="P79" s="11"/>
      <c r="Q79" s="9" t="str">
        <f t="shared" ca="1" si="34"/>
        <v/>
      </c>
      <c r="R79" s="29" t="str">
        <f t="shared" ca="1" si="35"/>
        <v/>
      </c>
      <c r="S79" s="2" t="e">
        <f>Proforma!#REF!</f>
        <v>#REF!</v>
      </c>
      <c r="T79" s="2" t="e">
        <f>Proforma!#REF!</f>
        <v>#REF!</v>
      </c>
      <c r="U79" s="2" t="e">
        <f>Proforma!#REF!</f>
        <v>#REF!</v>
      </c>
      <c r="W79" t="e">
        <f t="shared" si="28"/>
        <v>#REF!</v>
      </c>
      <c r="X79" s="14" t="str">
        <f t="shared" ca="1" si="36"/>
        <v/>
      </c>
      <c r="Y79" s="1"/>
      <c r="Z79" s="2" t="str">
        <f t="shared" ca="1" si="37"/>
        <v/>
      </c>
      <c r="AA79" s="7" t="str">
        <f t="shared" ca="1" si="38"/>
        <v/>
      </c>
      <c r="AB79" s="13" t="str">
        <f t="shared" ca="1" si="39"/>
        <v/>
      </c>
      <c r="AC79" s="13" t="str">
        <f t="shared" ca="1" si="40"/>
        <v/>
      </c>
      <c r="AE79" s="5" t="str">
        <f t="shared" ca="1" si="41"/>
        <v/>
      </c>
    </row>
    <row r="80" spans="1:31" customFormat="1" ht="33.75" x14ac:dyDescent="0.5">
      <c r="A80" s="21" t="str">
        <f t="shared" ca="1" si="24"/>
        <v/>
      </c>
      <c r="B80" s="20" t="e">
        <f>Proforma!#REF!</f>
        <v>#REF!</v>
      </c>
      <c r="C80" s="20" t="e">
        <f>Proforma!#REF!</f>
        <v>#REF!</v>
      </c>
      <c r="D80" s="20"/>
      <c r="E80" s="23" t="str">
        <f ca="1">IF(A80&lt;&gt;"",codeEAN13(INT(A80/10)),"")</f>
        <v/>
      </c>
      <c r="G80" s="27" t="str">
        <f t="shared" ca="1" si="29"/>
        <v/>
      </c>
      <c r="H80" s="27" t="str">
        <f t="shared" ca="1" si="30"/>
        <v/>
      </c>
      <c r="I80" s="27" t="str">
        <f t="shared" ca="1" si="31"/>
        <v/>
      </c>
      <c r="J80" s="25" t="str">
        <f t="shared" ca="1" si="32"/>
        <v/>
      </c>
      <c r="K80" s="25" t="str">
        <f t="shared" ca="1" si="33"/>
        <v/>
      </c>
      <c r="M80" s="19" t="b">
        <f t="shared" ca="1" si="25"/>
        <v>0</v>
      </c>
      <c r="N80" s="19" t="b">
        <f t="shared" ca="1" si="26"/>
        <v>0</v>
      </c>
      <c r="O80" s="19" t="b">
        <f t="shared" ca="1" si="27"/>
        <v>0</v>
      </c>
      <c r="P80" s="11"/>
      <c r="Q80" s="9" t="str">
        <f t="shared" ca="1" si="34"/>
        <v/>
      </c>
      <c r="R80" s="29" t="str">
        <f t="shared" ca="1" si="35"/>
        <v/>
      </c>
      <c r="S80" s="2" t="e">
        <f>Proforma!#REF!</f>
        <v>#REF!</v>
      </c>
      <c r="T80" s="2" t="e">
        <f>Proforma!#REF!</f>
        <v>#REF!</v>
      </c>
      <c r="U80" s="2" t="e">
        <f>Proforma!#REF!</f>
        <v>#REF!</v>
      </c>
      <c r="W80" t="e">
        <f t="shared" si="28"/>
        <v>#REF!</v>
      </c>
      <c r="X80" s="14" t="str">
        <f t="shared" ca="1" si="36"/>
        <v/>
      </c>
      <c r="Y80" s="1"/>
      <c r="Z80" s="2" t="str">
        <f t="shared" ca="1" si="37"/>
        <v/>
      </c>
      <c r="AA80" s="7" t="str">
        <f t="shared" ca="1" si="38"/>
        <v/>
      </c>
      <c r="AB80" s="13" t="str">
        <f t="shared" ca="1" si="39"/>
        <v/>
      </c>
      <c r="AC80" s="13" t="str">
        <f t="shared" ca="1" si="40"/>
        <v/>
      </c>
      <c r="AE80" s="5" t="str">
        <f t="shared" ca="1" si="41"/>
        <v/>
      </c>
    </row>
    <row r="81" spans="1:31" customFormat="1" ht="33.75" x14ac:dyDescent="0.5">
      <c r="A81" s="21" t="str">
        <f t="shared" ca="1" si="24"/>
        <v/>
      </c>
      <c r="B81" s="20" t="e">
        <f>Proforma!#REF!</f>
        <v>#REF!</v>
      </c>
      <c r="C81" s="20" t="e">
        <f>Proforma!#REF!</f>
        <v>#REF!</v>
      </c>
      <c r="D81" s="20"/>
      <c r="E81" s="23" t="str">
        <f ca="1">IF(A81&lt;&gt;"",codeEAN13(INT(A81/10)),"")</f>
        <v/>
      </c>
      <c r="G81" s="27" t="str">
        <f t="shared" ca="1" si="29"/>
        <v/>
      </c>
      <c r="H81" s="27" t="str">
        <f t="shared" ca="1" si="30"/>
        <v/>
      </c>
      <c r="I81" s="27" t="str">
        <f t="shared" ca="1" si="31"/>
        <v/>
      </c>
      <c r="J81" s="25" t="str">
        <f t="shared" ca="1" si="32"/>
        <v/>
      </c>
      <c r="K81" s="25" t="str">
        <f t="shared" ca="1" si="33"/>
        <v/>
      </c>
      <c r="M81" s="19" t="b">
        <f t="shared" ca="1" si="25"/>
        <v>0</v>
      </c>
      <c r="N81" s="19" t="b">
        <f t="shared" ca="1" si="26"/>
        <v>0</v>
      </c>
      <c r="O81" s="19" t="b">
        <f t="shared" ca="1" si="27"/>
        <v>0</v>
      </c>
      <c r="P81" s="11"/>
      <c r="Q81" s="9" t="str">
        <f t="shared" ca="1" si="34"/>
        <v/>
      </c>
      <c r="R81" s="29" t="str">
        <f t="shared" ca="1" si="35"/>
        <v/>
      </c>
      <c r="S81" s="2" t="e">
        <f>Proforma!#REF!</f>
        <v>#REF!</v>
      </c>
      <c r="T81" s="2" t="e">
        <f>Proforma!#REF!</f>
        <v>#REF!</v>
      </c>
      <c r="U81" s="2" t="e">
        <f>Proforma!#REF!</f>
        <v>#REF!</v>
      </c>
      <c r="W81" t="e">
        <f t="shared" si="28"/>
        <v>#REF!</v>
      </c>
      <c r="X81" s="14" t="str">
        <f t="shared" ca="1" si="36"/>
        <v/>
      </c>
      <c r="Y81" s="1"/>
      <c r="Z81" s="2" t="str">
        <f t="shared" ca="1" si="37"/>
        <v/>
      </c>
      <c r="AA81" s="7" t="str">
        <f t="shared" ca="1" si="38"/>
        <v/>
      </c>
      <c r="AB81" s="13" t="str">
        <f t="shared" ca="1" si="39"/>
        <v/>
      </c>
      <c r="AC81" s="13" t="str">
        <f t="shared" ca="1" si="40"/>
        <v/>
      </c>
      <c r="AE81" s="5" t="str">
        <f t="shared" ca="1" si="41"/>
        <v/>
      </c>
    </row>
    <row r="82" spans="1:31" customFormat="1" ht="33.75" x14ac:dyDescent="0.5">
      <c r="A82" s="21" t="str">
        <f t="shared" ca="1" si="24"/>
        <v/>
      </c>
      <c r="B82" s="20" t="e">
        <f>Proforma!#REF!</f>
        <v>#REF!</v>
      </c>
      <c r="C82" s="20" t="e">
        <f>Proforma!#REF!</f>
        <v>#REF!</v>
      </c>
      <c r="D82" s="20"/>
      <c r="E82" s="23" t="str">
        <f ca="1">IF(A82&lt;&gt;"",codeEAN13(INT(A82/10)),"")</f>
        <v/>
      </c>
      <c r="G82" s="27" t="str">
        <f t="shared" ca="1" si="29"/>
        <v/>
      </c>
      <c r="H82" s="27" t="str">
        <f t="shared" ca="1" si="30"/>
        <v/>
      </c>
      <c r="I82" s="27" t="str">
        <f t="shared" ca="1" si="31"/>
        <v/>
      </c>
      <c r="J82" s="25" t="str">
        <f t="shared" ca="1" si="32"/>
        <v/>
      </c>
      <c r="K82" s="25" t="str">
        <f t="shared" ca="1" si="33"/>
        <v/>
      </c>
      <c r="M82" s="19" t="b">
        <f t="shared" ca="1" si="25"/>
        <v>0</v>
      </c>
      <c r="N82" s="19" t="b">
        <f t="shared" ca="1" si="26"/>
        <v>0</v>
      </c>
      <c r="O82" s="19" t="b">
        <f t="shared" ca="1" si="27"/>
        <v>0</v>
      </c>
      <c r="P82" s="11"/>
      <c r="Q82" s="9" t="str">
        <f t="shared" ca="1" si="34"/>
        <v/>
      </c>
      <c r="R82" s="29" t="str">
        <f t="shared" ca="1" si="35"/>
        <v/>
      </c>
      <c r="S82" s="2" t="e">
        <f>Proforma!#REF!</f>
        <v>#REF!</v>
      </c>
      <c r="T82" s="2" t="e">
        <f>Proforma!#REF!</f>
        <v>#REF!</v>
      </c>
      <c r="U82" s="2" t="e">
        <f>Proforma!#REF!</f>
        <v>#REF!</v>
      </c>
      <c r="W82" t="e">
        <f t="shared" si="28"/>
        <v>#REF!</v>
      </c>
      <c r="X82" s="14" t="str">
        <f t="shared" ca="1" si="36"/>
        <v/>
      </c>
      <c r="Y82" s="1"/>
      <c r="Z82" s="2" t="str">
        <f t="shared" ca="1" si="37"/>
        <v/>
      </c>
      <c r="AA82" s="7" t="str">
        <f t="shared" ca="1" si="38"/>
        <v/>
      </c>
      <c r="AB82" s="13" t="str">
        <f t="shared" ca="1" si="39"/>
        <v/>
      </c>
      <c r="AC82" s="13" t="str">
        <f t="shared" ca="1" si="40"/>
        <v/>
      </c>
      <c r="AE82" s="5" t="str">
        <f t="shared" ca="1" si="41"/>
        <v/>
      </c>
    </row>
    <row r="83" spans="1:31" customFormat="1" ht="33.75" x14ac:dyDescent="0.5">
      <c r="A83" s="21" t="str">
        <f t="shared" ca="1" si="24"/>
        <v/>
      </c>
      <c r="B83" s="20" t="e">
        <f>Proforma!#REF!</f>
        <v>#REF!</v>
      </c>
      <c r="C83" s="20" t="e">
        <f>Proforma!#REF!</f>
        <v>#REF!</v>
      </c>
      <c r="D83" s="20"/>
      <c r="E83" s="23" t="str">
        <f ca="1">IF(A83&lt;&gt;"",codeEAN13(INT(A83/10)),"")</f>
        <v/>
      </c>
      <c r="G83" s="27" t="str">
        <f t="shared" ca="1" si="29"/>
        <v/>
      </c>
      <c r="H83" s="27" t="str">
        <f t="shared" ca="1" si="30"/>
        <v/>
      </c>
      <c r="I83" s="27" t="str">
        <f t="shared" ca="1" si="31"/>
        <v/>
      </c>
      <c r="J83" s="25" t="str">
        <f t="shared" ca="1" si="32"/>
        <v/>
      </c>
      <c r="K83" s="25" t="str">
        <f t="shared" ca="1" si="33"/>
        <v/>
      </c>
      <c r="M83" s="19" t="b">
        <f t="shared" ca="1" si="25"/>
        <v>0</v>
      </c>
      <c r="N83" s="19" t="b">
        <f t="shared" ca="1" si="26"/>
        <v>0</v>
      </c>
      <c r="O83" s="19" t="b">
        <f t="shared" ca="1" si="27"/>
        <v>0</v>
      </c>
      <c r="P83" s="11"/>
      <c r="Q83" s="9" t="str">
        <f t="shared" ca="1" si="34"/>
        <v/>
      </c>
      <c r="R83" s="29" t="str">
        <f t="shared" ca="1" si="35"/>
        <v/>
      </c>
      <c r="S83" s="2" t="e">
        <f>Proforma!#REF!</f>
        <v>#REF!</v>
      </c>
      <c r="T83" s="2" t="e">
        <f>Proforma!#REF!</f>
        <v>#REF!</v>
      </c>
      <c r="U83" s="2" t="e">
        <f>Proforma!#REF!</f>
        <v>#REF!</v>
      </c>
      <c r="W83" t="e">
        <f t="shared" si="28"/>
        <v>#REF!</v>
      </c>
      <c r="X83" s="14" t="str">
        <f t="shared" ca="1" si="36"/>
        <v/>
      </c>
      <c r="Y83" s="1"/>
      <c r="Z83" s="2" t="str">
        <f t="shared" ca="1" si="37"/>
        <v/>
      </c>
      <c r="AA83" s="7" t="str">
        <f t="shared" ca="1" si="38"/>
        <v/>
      </c>
      <c r="AB83" s="13" t="str">
        <f t="shared" ca="1" si="39"/>
        <v/>
      </c>
      <c r="AC83" s="13" t="str">
        <f t="shared" ca="1" si="40"/>
        <v/>
      </c>
      <c r="AE83" s="5" t="str">
        <f t="shared" ca="1" si="41"/>
        <v/>
      </c>
    </row>
    <row r="84" spans="1:31" customFormat="1" ht="33.75" x14ac:dyDescent="0.5">
      <c r="A84" s="21" t="str">
        <f t="shared" ca="1" si="24"/>
        <v/>
      </c>
      <c r="B84" s="20" t="e">
        <f>Proforma!#REF!</f>
        <v>#REF!</v>
      </c>
      <c r="C84" s="20" t="e">
        <f>Proforma!#REF!</f>
        <v>#REF!</v>
      </c>
      <c r="D84" s="20"/>
      <c r="E84" s="23" t="str">
        <f ca="1">IF(A84&lt;&gt;"",codeEAN13(INT(A84/10)),"")</f>
        <v/>
      </c>
      <c r="G84" s="27" t="str">
        <f t="shared" ca="1" si="29"/>
        <v/>
      </c>
      <c r="H84" s="27" t="str">
        <f t="shared" ca="1" si="30"/>
        <v/>
      </c>
      <c r="I84" s="27" t="str">
        <f t="shared" ca="1" si="31"/>
        <v/>
      </c>
      <c r="J84" s="25" t="str">
        <f t="shared" ca="1" si="32"/>
        <v/>
      </c>
      <c r="K84" s="25" t="str">
        <f t="shared" ca="1" si="33"/>
        <v/>
      </c>
      <c r="M84" s="19" t="b">
        <f t="shared" ca="1" si="25"/>
        <v>0</v>
      </c>
      <c r="N84" s="19" t="b">
        <f t="shared" ca="1" si="26"/>
        <v>0</v>
      </c>
      <c r="O84" s="19" t="b">
        <f t="shared" ca="1" si="27"/>
        <v>0</v>
      </c>
      <c r="P84" s="11"/>
      <c r="Q84" s="9" t="str">
        <f t="shared" ca="1" si="34"/>
        <v/>
      </c>
      <c r="R84" s="29" t="str">
        <f t="shared" ca="1" si="35"/>
        <v/>
      </c>
      <c r="S84" s="2" t="e">
        <f>Proforma!#REF!</f>
        <v>#REF!</v>
      </c>
      <c r="T84" s="2" t="e">
        <f>Proforma!#REF!</f>
        <v>#REF!</v>
      </c>
      <c r="U84" s="2" t="e">
        <f>Proforma!#REF!</f>
        <v>#REF!</v>
      </c>
      <c r="W84" t="e">
        <f t="shared" si="28"/>
        <v>#REF!</v>
      </c>
      <c r="X84" s="14" t="str">
        <f t="shared" ca="1" si="36"/>
        <v/>
      </c>
      <c r="Y84" s="1"/>
      <c r="Z84" s="2" t="str">
        <f t="shared" ca="1" si="37"/>
        <v/>
      </c>
      <c r="AA84" s="7" t="str">
        <f t="shared" ca="1" si="38"/>
        <v/>
      </c>
      <c r="AB84" s="13" t="str">
        <f t="shared" ca="1" si="39"/>
        <v/>
      </c>
      <c r="AC84" s="13" t="str">
        <f t="shared" ca="1" si="40"/>
        <v/>
      </c>
      <c r="AE84" s="5" t="str">
        <f t="shared" ca="1" si="41"/>
        <v/>
      </c>
    </row>
    <row r="85" spans="1:31" customFormat="1" ht="33.75" x14ac:dyDescent="0.5">
      <c r="A85" s="21" t="str">
        <f t="shared" ca="1" si="24"/>
        <v/>
      </c>
      <c r="B85" s="20" t="e">
        <f>Proforma!#REF!</f>
        <v>#REF!</v>
      </c>
      <c r="C85" s="20" t="e">
        <f>Proforma!#REF!</f>
        <v>#REF!</v>
      </c>
      <c r="D85" s="20"/>
      <c r="E85" s="23" t="str">
        <f ca="1">IF(A85&lt;&gt;"",codeEAN13(INT(A85/10)),"")</f>
        <v/>
      </c>
      <c r="G85" s="27" t="str">
        <f t="shared" ca="1" si="29"/>
        <v/>
      </c>
      <c r="H85" s="27" t="str">
        <f t="shared" ca="1" si="30"/>
        <v/>
      </c>
      <c r="I85" s="27" t="str">
        <f t="shared" ca="1" si="31"/>
        <v/>
      </c>
      <c r="J85" s="25" t="str">
        <f t="shared" ca="1" si="32"/>
        <v/>
      </c>
      <c r="K85" s="25" t="str">
        <f t="shared" ca="1" si="33"/>
        <v/>
      </c>
      <c r="M85" s="19" t="b">
        <f t="shared" ca="1" si="25"/>
        <v>0</v>
      </c>
      <c r="N85" s="19" t="b">
        <f t="shared" ca="1" si="26"/>
        <v>0</v>
      </c>
      <c r="O85" s="19" t="b">
        <f t="shared" ca="1" si="27"/>
        <v>0</v>
      </c>
      <c r="P85" s="11"/>
      <c r="Q85" s="9" t="str">
        <f t="shared" ca="1" si="34"/>
        <v/>
      </c>
      <c r="R85" s="29" t="str">
        <f t="shared" ca="1" si="35"/>
        <v/>
      </c>
      <c r="S85" s="2" t="e">
        <f>Proforma!#REF!</f>
        <v>#REF!</v>
      </c>
      <c r="T85" s="2" t="e">
        <f>Proforma!#REF!</f>
        <v>#REF!</v>
      </c>
      <c r="U85" s="2" t="e">
        <f>Proforma!#REF!</f>
        <v>#REF!</v>
      </c>
      <c r="W85" t="e">
        <f t="shared" si="28"/>
        <v>#REF!</v>
      </c>
      <c r="X85" s="14" t="str">
        <f t="shared" ca="1" si="36"/>
        <v/>
      </c>
      <c r="Y85" s="1"/>
      <c r="Z85" s="2" t="str">
        <f t="shared" ca="1" si="37"/>
        <v/>
      </c>
      <c r="AA85" s="7" t="str">
        <f t="shared" ca="1" si="38"/>
        <v/>
      </c>
      <c r="AB85" s="13" t="str">
        <f t="shared" ca="1" si="39"/>
        <v/>
      </c>
      <c r="AC85" s="13" t="str">
        <f t="shared" ca="1" si="40"/>
        <v/>
      </c>
      <c r="AE85" s="5" t="str">
        <f t="shared" ca="1" si="41"/>
        <v/>
      </c>
    </row>
    <row r="86" spans="1:31" customFormat="1" ht="33.75" x14ac:dyDescent="0.5">
      <c r="A86" s="21" t="str">
        <f t="shared" ca="1" si="24"/>
        <v/>
      </c>
      <c r="B86" s="20" t="e">
        <f>Proforma!#REF!</f>
        <v>#REF!</v>
      </c>
      <c r="C86" s="20" t="e">
        <f>Proforma!#REF!</f>
        <v>#REF!</v>
      </c>
      <c r="D86" s="20"/>
      <c r="E86" s="23" t="str">
        <f ca="1">IF(A86&lt;&gt;"",codeEAN13(INT(A86/10)),"")</f>
        <v/>
      </c>
      <c r="G86" s="27" t="str">
        <f t="shared" ca="1" si="29"/>
        <v/>
      </c>
      <c r="H86" s="27" t="str">
        <f t="shared" ca="1" si="30"/>
        <v/>
      </c>
      <c r="I86" s="27" t="str">
        <f t="shared" ca="1" si="31"/>
        <v/>
      </c>
      <c r="J86" s="25" t="str">
        <f t="shared" ca="1" si="32"/>
        <v/>
      </c>
      <c r="K86" s="25" t="str">
        <f t="shared" ca="1" si="33"/>
        <v/>
      </c>
      <c r="M86" s="19" t="b">
        <f t="shared" ca="1" si="25"/>
        <v>0</v>
      </c>
      <c r="N86" s="19" t="b">
        <f t="shared" ca="1" si="26"/>
        <v>0</v>
      </c>
      <c r="O86" s="19" t="b">
        <f t="shared" ca="1" si="27"/>
        <v>0</v>
      </c>
      <c r="P86" s="11"/>
      <c r="Q86" s="9" t="str">
        <f t="shared" ca="1" si="34"/>
        <v/>
      </c>
      <c r="R86" s="29" t="str">
        <f t="shared" ca="1" si="35"/>
        <v/>
      </c>
      <c r="S86" s="2" t="e">
        <f>Proforma!#REF!</f>
        <v>#REF!</v>
      </c>
      <c r="T86" s="2" t="e">
        <f>Proforma!#REF!</f>
        <v>#REF!</v>
      </c>
      <c r="U86" s="2" t="e">
        <f>Proforma!#REF!</f>
        <v>#REF!</v>
      </c>
      <c r="W86" t="e">
        <f t="shared" si="28"/>
        <v>#REF!</v>
      </c>
      <c r="X86" s="14" t="str">
        <f t="shared" ca="1" si="36"/>
        <v/>
      </c>
      <c r="Y86" s="1"/>
      <c r="Z86" s="2" t="str">
        <f t="shared" ca="1" si="37"/>
        <v/>
      </c>
      <c r="AA86" s="7" t="str">
        <f t="shared" ca="1" si="38"/>
        <v/>
      </c>
      <c r="AB86" s="13" t="str">
        <f t="shared" ca="1" si="39"/>
        <v/>
      </c>
      <c r="AC86" s="13" t="str">
        <f t="shared" ca="1" si="40"/>
        <v/>
      </c>
      <c r="AE86" s="5" t="str">
        <f t="shared" ca="1" si="41"/>
        <v/>
      </c>
    </row>
    <row r="87" spans="1:31" customFormat="1" ht="33.75" x14ac:dyDescent="0.5">
      <c r="A87" s="21" t="str">
        <f t="shared" ca="1" si="24"/>
        <v/>
      </c>
      <c r="B87" s="20" t="e">
        <f>Proforma!#REF!</f>
        <v>#REF!</v>
      </c>
      <c r="C87" s="20" t="e">
        <f>Proforma!#REF!</f>
        <v>#REF!</v>
      </c>
      <c r="D87" s="20"/>
      <c r="E87" s="23" t="str">
        <f ca="1">IF(A87&lt;&gt;"",codeEAN13(INT(A87/10)),"")</f>
        <v/>
      </c>
      <c r="G87" s="27" t="str">
        <f t="shared" ca="1" si="29"/>
        <v/>
      </c>
      <c r="H87" s="27" t="str">
        <f t="shared" ca="1" si="30"/>
        <v/>
      </c>
      <c r="I87" s="27" t="str">
        <f t="shared" ca="1" si="31"/>
        <v/>
      </c>
      <c r="J87" s="25" t="str">
        <f t="shared" ca="1" si="32"/>
        <v/>
      </c>
      <c r="K87" s="25" t="str">
        <f t="shared" ca="1" si="33"/>
        <v/>
      </c>
      <c r="M87" s="19" t="b">
        <f t="shared" ca="1" si="25"/>
        <v>0</v>
      </c>
      <c r="N87" s="19" t="b">
        <f t="shared" ca="1" si="26"/>
        <v>0</v>
      </c>
      <c r="O87" s="19" t="b">
        <f t="shared" ca="1" si="27"/>
        <v>0</v>
      </c>
      <c r="P87" s="11"/>
      <c r="Q87" s="9" t="str">
        <f t="shared" ca="1" si="34"/>
        <v/>
      </c>
      <c r="R87" s="29" t="str">
        <f t="shared" ca="1" si="35"/>
        <v/>
      </c>
      <c r="S87" s="2" t="e">
        <f>Proforma!#REF!</f>
        <v>#REF!</v>
      </c>
      <c r="T87" s="2" t="e">
        <f>Proforma!#REF!</f>
        <v>#REF!</v>
      </c>
      <c r="U87" s="2" t="e">
        <f>Proforma!#REF!</f>
        <v>#REF!</v>
      </c>
      <c r="W87" t="e">
        <f t="shared" si="28"/>
        <v>#REF!</v>
      </c>
      <c r="X87" s="14" t="str">
        <f t="shared" ca="1" si="36"/>
        <v/>
      </c>
      <c r="Y87" s="1"/>
      <c r="Z87" s="2" t="str">
        <f t="shared" ca="1" si="37"/>
        <v/>
      </c>
      <c r="AA87" s="7" t="str">
        <f t="shared" ca="1" si="38"/>
        <v/>
      </c>
      <c r="AB87" s="13" t="str">
        <f t="shared" ca="1" si="39"/>
        <v/>
      </c>
      <c r="AC87" s="13" t="str">
        <f t="shared" ca="1" si="40"/>
        <v/>
      </c>
      <c r="AE87" s="5" t="str">
        <f t="shared" ca="1" si="41"/>
        <v/>
      </c>
    </row>
    <row r="88" spans="1:31" customFormat="1" ht="33.75" x14ac:dyDescent="0.5">
      <c r="A88" s="21" t="str">
        <f t="shared" ca="1" si="24"/>
        <v/>
      </c>
      <c r="B88" s="20" t="e">
        <f>Proforma!#REF!</f>
        <v>#REF!</v>
      </c>
      <c r="C88" s="20" t="e">
        <f>Proforma!#REF!</f>
        <v>#REF!</v>
      </c>
      <c r="D88" s="20"/>
      <c r="E88" s="23" t="str">
        <f ca="1">IF(A88&lt;&gt;"",codeEAN13(INT(A88/10)),"")</f>
        <v/>
      </c>
      <c r="G88" s="27" t="str">
        <f t="shared" ca="1" si="29"/>
        <v/>
      </c>
      <c r="H88" s="27" t="str">
        <f t="shared" ca="1" si="30"/>
        <v/>
      </c>
      <c r="I88" s="27" t="str">
        <f t="shared" ca="1" si="31"/>
        <v/>
      </c>
      <c r="J88" s="25" t="str">
        <f t="shared" ca="1" si="32"/>
        <v/>
      </c>
      <c r="K88" s="25" t="str">
        <f t="shared" ca="1" si="33"/>
        <v/>
      </c>
      <c r="M88" s="19" t="b">
        <f t="shared" ca="1" si="25"/>
        <v>0</v>
      </c>
      <c r="N88" s="19" t="b">
        <f t="shared" ca="1" si="26"/>
        <v>0</v>
      </c>
      <c r="O88" s="19" t="b">
        <f t="shared" ca="1" si="27"/>
        <v>0</v>
      </c>
      <c r="P88" s="11"/>
      <c r="Q88" s="9" t="str">
        <f t="shared" ca="1" si="34"/>
        <v/>
      </c>
      <c r="R88" s="29" t="str">
        <f t="shared" ca="1" si="35"/>
        <v/>
      </c>
      <c r="S88" s="2" t="e">
        <f>Proforma!#REF!</f>
        <v>#REF!</v>
      </c>
      <c r="T88" s="2" t="e">
        <f>Proforma!#REF!</f>
        <v>#REF!</v>
      </c>
      <c r="U88" s="2" t="e">
        <f>Proforma!#REF!</f>
        <v>#REF!</v>
      </c>
      <c r="W88" t="e">
        <f t="shared" si="28"/>
        <v>#REF!</v>
      </c>
      <c r="X88" s="14" t="str">
        <f t="shared" ca="1" si="36"/>
        <v/>
      </c>
      <c r="Y88" s="1"/>
      <c r="Z88" s="2" t="str">
        <f t="shared" ca="1" si="37"/>
        <v/>
      </c>
      <c r="AA88" s="7" t="str">
        <f t="shared" ca="1" si="38"/>
        <v/>
      </c>
      <c r="AB88" s="13" t="str">
        <f t="shared" ca="1" si="39"/>
        <v/>
      </c>
      <c r="AC88" s="13" t="str">
        <f t="shared" ca="1" si="40"/>
        <v/>
      </c>
      <c r="AE88" s="5" t="str">
        <f t="shared" ca="1" si="41"/>
        <v/>
      </c>
    </row>
    <row r="89" spans="1:31" customFormat="1" ht="33.75" x14ac:dyDescent="0.5">
      <c r="A89" s="21" t="str">
        <f t="shared" ca="1" si="24"/>
        <v/>
      </c>
      <c r="B89" s="20" t="e">
        <f>Proforma!#REF!</f>
        <v>#REF!</v>
      </c>
      <c r="C89" s="20" t="e">
        <f>Proforma!#REF!</f>
        <v>#REF!</v>
      </c>
      <c r="D89" s="20"/>
      <c r="E89" s="23" t="str">
        <f ca="1">IF(A89&lt;&gt;"",codeEAN13(INT(A89/10)),"")</f>
        <v/>
      </c>
      <c r="G89" s="27" t="str">
        <f t="shared" ca="1" si="29"/>
        <v/>
      </c>
      <c r="H89" s="27" t="str">
        <f t="shared" ca="1" si="30"/>
        <v/>
      </c>
      <c r="I89" s="27" t="str">
        <f t="shared" ca="1" si="31"/>
        <v/>
      </c>
      <c r="J89" s="25" t="str">
        <f t="shared" ca="1" si="32"/>
        <v/>
      </c>
      <c r="K89" s="25" t="str">
        <f t="shared" ca="1" si="33"/>
        <v/>
      </c>
      <c r="M89" s="19" t="b">
        <f t="shared" ca="1" si="25"/>
        <v>0</v>
      </c>
      <c r="N89" s="19" t="b">
        <f t="shared" ca="1" si="26"/>
        <v>0</v>
      </c>
      <c r="O89" s="19" t="b">
        <f t="shared" ca="1" si="27"/>
        <v>0</v>
      </c>
      <c r="P89" s="11"/>
      <c r="Q89" s="9" t="str">
        <f t="shared" ca="1" si="34"/>
        <v/>
      </c>
      <c r="R89" s="29" t="str">
        <f t="shared" ca="1" si="35"/>
        <v/>
      </c>
      <c r="S89" s="2" t="e">
        <f>Proforma!#REF!</f>
        <v>#REF!</v>
      </c>
      <c r="T89" s="2" t="e">
        <f>Proforma!#REF!</f>
        <v>#REF!</v>
      </c>
      <c r="U89" s="2" t="e">
        <f>Proforma!#REF!</f>
        <v>#REF!</v>
      </c>
      <c r="W89" t="e">
        <f t="shared" si="28"/>
        <v>#REF!</v>
      </c>
      <c r="X89" s="14" t="str">
        <f t="shared" ca="1" si="36"/>
        <v/>
      </c>
      <c r="Y89" s="1"/>
      <c r="Z89" s="2" t="str">
        <f t="shared" ca="1" si="37"/>
        <v/>
      </c>
      <c r="AA89" s="7" t="str">
        <f t="shared" ca="1" si="38"/>
        <v/>
      </c>
      <c r="AB89" s="13" t="str">
        <f t="shared" ca="1" si="39"/>
        <v/>
      </c>
      <c r="AC89" s="13" t="str">
        <f t="shared" ca="1" si="40"/>
        <v/>
      </c>
      <c r="AE89" s="5" t="str">
        <f t="shared" ca="1" si="41"/>
        <v/>
      </c>
    </row>
    <row r="90" spans="1:31" customFormat="1" ht="33.75" x14ac:dyDescent="0.5">
      <c r="A90" s="21" t="str">
        <f t="shared" ca="1" si="24"/>
        <v/>
      </c>
      <c r="B90" s="20" t="e">
        <f>Proforma!#REF!</f>
        <v>#REF!</v>
      </c>
      <c r="C90" s="20" t="e">
        <f>Proforma!#REF!</f>
        <v>#REF!</v>
      </c>
      <c r="D90" s="20"/>
      <c r="E90" s="23" t="str">
        <f ca="1">IF(A90&lt;&gt;"",codeEAN13(INT(A90/10)),"")</f>
        <v/>
      </c>
      <c r="G90" s="27" t="str">
        <f t="shared" ca="1" si="29"/>
        <v/>
      </c>
      <c r="H90" s="27" t="str">
        <f t="shared" ca="1" si="30"/>
        <v/>
      </c>
      <c r="I90" s="27" t="str">
        <f t="shared" ca="1" si="31"/>
        <v/>
      </c>
      <c r="J90" s="25" t="str">
        <f t="shared" ca="1" si="32"/>
        <v/>
      </c>
      <c r="K90" s="25" t="str">
        <f t="shared" ca="1" si="33"/>
        <v/>
      </c>
      <c r="M90" s="19" t="b">
        <f t="shared" ca="1" si="25"/>
        <v>0</v>
      </c>
      <c r="N90" s="19" t="b">
        <f t="shared" ca="1" si="26"/>
        <v>0</v>
      </c>
      <c r="O90" s="19" t="b">
        <f t="shared" ca="1" si="27"/>
        <v>0</v>
      </c>
      <c r="P90" s="11"/>
      <c r="Q90" s="9" t="str">
        <f t="shared" ca="1" si="34"/>
        <v/>
      </c>
      <c r="R90" s="29" t="str">
        <f t="shared" ca="1" si="35"/>
        <v/>
      </c>
      <c r="S90" s="2" t="e">
        <f>Proforma!#REF!</f>
        <v>#REF!</v>
      </c>
      <c r="T90" s="2" t="e">
        <f>Proforma!#REF!</f>
        <v>#REF!</v>
      </c>
      <c r="U90" s="2" t="e">
        <f>Proforma!#REF!</f>
        <v>#REF!</v>
      </c>
      <c r="W90" t="e">
        <f t="shared" si="28"/>
        <v>#REF!</v>
      </c>
      <c r="X90" s="14" t="str">
        <f t="shared" ca="1" si="36"/>
        <v/>
      </c>
      <c r="Y90" s="1"/>
      <c r="Z90" s="2" t="str">
        <f t="shared" ca="1" si="37"/>
        <v/>
      </c>
      <c r="AA90" s="7" t="str">
        <f t="shared" ca="1" si="38"/>
        <v/>
      </c>
      <c r="AB90" s="13" t="str">
        <f t="shared" ca="1" si="39"/>
        <v/>
      </c>
      <c r="AC90" s="13" t="str">
        <f t="shared" ca="1" si="40"/>
        <v/>
      </c>
      <c r="AE90" s="5" t="str">
        <f t="shared" ca="1" si="41"/>
        <v/>
      </c>
    </row>
    <row r="91" spans="1:31" customFormat="1" ht="33.75" x14ac:dyDescent="0.5">
      <c r="A91" s="21" t="str">
        <f t="shared" ref="A91:A154" ca="1" si="42">X91</f>
        <v/>
      </c>
      <c r="B91" s="20" t="e">
        <f>Proforma!#REF!</f>
        <v>#REF!</v>
      </c>
      <c r="C91" s="20" t="e">
        <f>Proforma!#REF!</f>
        <v>#REF!</v>
      </c>
      <c r="D91" s="20"/>
      <c r="E91" s="23" t="str">
        <f ca="1">IF(A91&lt;&gt;"",codeEAN13(INT(A91/10)),"")</f>
        <v/>
      </c>
      <c r="G91" s="27" t="str">
        <f t="shared" ca="1" si="29"/>
        <v/>
      </c>
      <c r="H91" s="27" t="str">
        <f t="shared" ca="1" si="30"/>
        <v/>
      </c>
      <c r="I91" s="27" t="str">
        <f t="shared" ca="1" si="31"/>
        <v/>
      </c>
      <c r="J91" s="25" t="str">
        <f t="shared" ca="1" si="32"/>
        <v/>
      </c>
      <c r="K91" s="25" t="str">
        <f t="shared" ca="1" si="33"/>
        <v/>
      </c>
      <c r="M91" s="19" t="b">
        <f t="shared" ref="M91:M154" ca="1" si="43">OR(N91:O91)</f>
        <v>0</v>
      </c>
      <c r="N91" s="19" t="b">
        <f t="shared" ref="N91:N154" ca="1" si="44">AND($X91 &lt;&gt; "", J91&lt;&gt;AB91)</f>
        <v>0</v>
      </c>
      <c r="O91" s="19" t="b">
        <f t="shared" ref="O91:O154" ca="1" si="45">AND($X91 &lt;&gt; "", K91&lt;&gt;AC91)</f>
        <v>0</v>
      </c>
      <c r="P91" s="11"/>
      <c r="Q91" s="9" t="str">
        <f t="shared" ca="1" si="34"/>
        <v/>
      </c>
      <c r="R91" s="29" t="str">
        <f t="shared" ca="1" si="35"/>
        <v/>
      </c>
      <c r="S91" s="2" t="e">
        <f>Proforma!#REF!</f>
        <v>#REF!</v>
      </c>
      <c r="T91" s="2" t="e">
        <f>Proforma!#REF!</f>
        <v>#REF!</v>
      </c>
      <c r="U91" s="2" t="e">
        <f>Proforma!#REF!</f>
        <v>#REF!</v>
      </c>
      <c r="W91" t="e">
        <f t="shared" ref="W91:W154" si="46">S91 &amp; "-" &amp; T91 &amp; "-" &amp; TEXT(U91, "000")</f>
        <v>#REF!</v>
      </c>
      <c r="X91" s="14" t="str">
        <f t="shared" ca="1" si="36"/>
        <v/>
      </c>
      <c r="Y91" s="1"/>
      <c r="Z91" s="2" t="str">
        <f t="shared" ca="1" si="37"/>
        <v/>
      </c>
      <c r="AA91" s="7" t="str">
        <f t="shared" ca="1" si="38"/>
        <v/>
      </c>
      <c r="AB91" s="13" t="str">
        <f t="shared" ca="1" si="39"/>
        <v/>
      </c>
      <c r="AC91" s="13" t="str">
        <f t="shared" ca="1" si="40"/>
        <v/>
      </c>
      <c r="AE91" s="5" t="str">
        <f t="shared" ca="1" si="41"/>
        <v/>
      </c>
    </row>
    <row r="92" spans="1:31" customFormat="1" ht="33.75" x14ac:dyDescent="0.5">
      <c r="A92" s="21" t="str">
        <f t="shared" ca="1" si="42"/>
        <v/>
      </c>
      <c r="B92" s="20" t="e">
        <f>Proforma!#REF!</f>
        <v>#REF!</v>
      </c>
      <c r="C92" s="20" t="e">
        <f>Proforma!#REF!</f>
        <v>#REF!</v>
      </c>
      <c r="D92" s="20"/>
      <c r="E92" s="23" t="str">
        <f ca="1">IF(A92&lt;&gt;"",codeEAN13(INT(A92/10)),"")</f>
        <v/>
      </c>
      <c r="G92" s="27" t="str">
        <f t="shared" ca="1" si="29"/>
        <v/>
      </c>
      <c r="H92" s="27" t="str">
        <f t="shared" ca="1" si="30"/>
        <v/>
      </c>
      <c r="I92" s="27" t="str">
        <f t="shared" ca="1" si="31"/>
        <v/>
      </c>
      <c r="J92" s="25" t="str">
        <f t="shared" ca="1" si="32"/>
        <v/>
      </c>
      <c r="K92" s="25" t="str">
        <f t="shared" ca="1" si="33"/>
        <v/>
      </c>
      <c r="M92" s="19" t="b">
        <f t="shared" ca="1" si="43"/>
        <v>0</v>
      </c>
      <c r="N92" s="19" t="b">
        <f t="shared" ca="1" si="44"/>
        <v>0</v>
      </c>
      <c r="O92" s="19" t="b">
        <f t="shared" ca="1" si="45"/>
        <v>0</v>
      </c>
      <c r="P92" s="11"/>
      <c r="Q92" s="9" t="str">
        <f t="shared" ca="1" si="34"/>
        <v/>
      </c>
      <c r="R92" s="29" t="str">
        <f t="shared" ca="1" si="35"/>
        <v/>
      </c>
      <c r="S92" s="2" t="e">
        <f>Proforma!#REF!</f>
        <v>#REF!</v>
      </c>
      <c r="T92" s="2" t="e">
        <f>Proforma!#REF!</f>
        <v>#REF!</v>
      </c>
      <c r="U92" s="2" t="e">
        <f>Proforma!#REF!</f>
        <v>#REF!</v>
      </c>
      <c r="W92" t="e">
        <f t="shared" si="46"/>
        <v>#REF!</v>
      </c>
      <c r="X92" s="14" t="str">
        <f t="shared" ca="1" si="36"/>
        <v/>
      </c>
      <c r="Y92" s="1"/>
      <c r="Z92" s="2" t="str">
        <f t="shared" ca="1" si="37"/>
        <v/>
      </c>
      <c r="AA92" s="7" t="str">
        <f t="shared" ca="1" si="38"/>
        <v/>
      </c>
      <c r="AB92" s="13" t="str">
        <f t="shared" ca="1" si="39"/>
        <v/>
      </c>
      <c r="AC92" s="13" t="str">
        <f t="shared" ca="1" si="40"/>
        <v/>
      </c>
      <c r="AE92" s="5" t="str">
        <f t="shared" ca="1" si="41"/>
        <v/>
      </c>
    </row>
    <row r="93" spans="1:31" customFormat="1" ht="33.75" x14ac:dyDescent="0.5">
      <c r="A93" s="21" t="str">
        <f t="shared" ca="1" si="42"/>
        <v/>
      </c>
      <c r="B93" s="20" t="e">
        <f>Proforma!#REF!</f>
        <v>#REF!</v>
      </c>
      <c r="C93" s="20" t="e">
        <f>Proforma!#REF!</f>
        <v>#REF!</v>
      </c>
      <c r="D93" s="20"/>
      <c r="E93" s="23" t="str">
        <f ca="1">IF(A93&lt;&gt;"",codeEAN13(INT(A93/10)),"")</f>
        <v/>
      </c>
      <c r="G93" s="27" t="str">
        <f t="shared" ca="1" si="29"/>
        <v/>
      </c>
      <c r="H93" s="27" t="str">
        <f t="shared" ca="1" si="30"/>
        <v/>
      </c>
      <c r="I93" s="27" t="str">
        <f t="shared" ca="1" si="31"/>
        <v/>
      </c>
      <c r="J93" s="25" t="str">
        <f t="shared" ca="1" si="32"/>
        <v/>
      </c>
      <c r="K93" s="25" t="str">
        <f t="shared" ca="1" si="33"/>
        <v/>
      </c>
      <c r="M93" s="19" t="b">
        <f t="shared" ca="1" si="43"/>
        <v>0</v>
      </c>
      <c r="N93" s="19" t="b">
        <f t="shared" ca="1" si="44"/>
        <v>0</v>
      </c>
      <c r="O93" s="19" t="b">
        <f t="shared" ca="1" si="45"/>
        <v>0</v>
      </c>
      <c r="P93" s="11"/>
      <c r="Q93" s="9" t="str">
        <f t="shared" ca="1" si="34"/>
        <v/>
      </c>
      <c r="R93" s="29" t="str">
        <f t="shared" ca="1" si="35"/>
        <v/>
      </c>
      <c r="S93" s="2" t="e">
        <f>Proforma!#REF!</f>
        <v>#REF!</v>
      </c>
      <c r="T93" s="2" t="e">
        <f>Proforma!#REF!</f>
        <v>#REF!</v>
      </c>
      <c r="U93" s="2" t="e">
        <f>Proforma!#REF!</f>
        <v>#REF!</v>
      </c>
      <c r="W93" t="e">
        <f t="shared" si="46"/>
        <v>#REF!</v>
      </c>
      <c r="X93" s="14" t="str">
        <f t="shared" ca="1" si="36"/>
        <v/>
      </c>
      <c r="Y93" s="1"/>
      <c r="Z93" s="2" t="str">
        <f t="shared" ca="1" si="37"/>
        <v/>
      </c>
      <c r="AA93" s="7" t="str">
        <f t="shared" ca="1" si="38"/>
        <v/>
      </c>
      <c r="AB93" s="13" t="str">
        <f t="shared" ca="1" si="39"/>
        <v/>
      </c>
      <c r="AC93" s="13" t="str">
        <f t="shared" ca="1" si="40"/>
        <v/>
      </c>
      <c r="AE93" s="5" t="str">
        <f t="shared" ca="1" si="41"/>
        <v/>
      </c>
    </row>
    <row r="94" spans="1:31" customFormat="1" ht="33.75" x14ac:dyDescent="0.5">
      <c r="A94" s="21" t="str">
        <f t="shared" ca="1" si="42"/>
        <v/>
      </c>
      <c r="B94" s="20" t="e">
        <f>Proforma!#REF!</f>
        <v>#REF!</v>
      </c>
      <c r="C94" s="20" t="e">
        <f>Proforma!#REF!</f>
        <v>#REF!</v>
      </c>
      <c r="D94" s="20"/>
      <c r="E94" s="23" t="str">
        <f ca="1">IF(A94&lt;&gt;"",codeEAN13(INT(A94/10)),"")</f>
        <v/>
      </c>
      <c r="G94" s="27" t="str">
        <f t="shared" ca="1" si="29"/>
        <v/>
      </c>
      <c r="H94" s="27" t="str">
        <f t="shared" ca="1" si="30"/>
        <v/>
      </c>
      <c r="I94" s="27" t="str">
        <f t="shared" ca="1" si="31"/>
        <v/>
      </c>
      <c r="J94" s="25" t="str">
        <f t="shared" ca="1" si="32"/>
        <v/>
      </c>
      <c r="K94" s="25" t="str">
        <f t="shared" ca="1" si="33"/>
        <v/>
      </c>
      <c r="M94" s="19" t="b">
        <f t="shared" ca="1" si="43"/>
        <v>0</v>
      </c>
      <c r="N94" s="19" t="b">
        <f t="shared" ca="1" si="44"/>
        <v>0</v>
      </c>
      <c r="O94" s="19" t="b">
        <f t="shared" ca="1" si="45"/>
        <v>0</v>
      </c>
      <c r="P94" s="11"/>
      <c r="Q94" s="9" t="str">
        <f t="shared" ca="1" si="34"/>
        <v/>
      </c>
      <c r="R94" s="29" t="str">
        <f t="shared" ca="1" si="35"/>
        <v/>
      </c>
      <c r="S94" s="2" t="e">
        <f>Proforma!#REF!</f>
        <v>#REF!</v>
      </c>
      <c r="T94" s="2" t="e">
        <f>Proforma!#REF!</f>
        <v>#REF!</v>
      </c>
      <c r="U94" s="2" t="e">
        <f>Proforma!#REF!</f>
        <v>#REF!</v>
      </c>
      <c r="W94" t="e">
        <f t="shared" si="46"/>
        <v>#REF!</v>
      </c>
      <c r="X94" s="14" t="str">
        <f t="shared" ca="1" si="36"/>
        <v/>
      </c>
      <c r="Y94" s="1"/>
      <c r="Z94" s="2" t="str">
        <f t="shared" ca="1" si="37"/>
        <v/>
      </c>
      <c r="AA94" s="7" t="str">
        <f t="shared" ca="1" si="38"/>
        <v/>
      </c>
      <c r="AB94" s="13" t="str">
        <f t="shared" ca="1" si="39"/>
        <v/>
      </c>
      <c r="AC94" s="13" t="str">
        <f t="shared" ca="1" si="40"/>
        <v/>
      </c>
      <c r="AE94" s="5" t="str">
        <f t="shared" ca="1" si="41"/>
        <v/>
      </c>
    </row>
    <row r="95" spans="1:31" customFormat="1" ht="33.75" x14ac:dyDescent="0.5">
      <c r="A95" s="21" t="str">
        <f t="shared" ca="1" si="42"/>
        <v/>
      </c>
      <c r="B95" s="20" t="e">
        <f>Proforma!#REF!</f>
        <v>#REF!</v>
      </c>
      <c r="C95" s="20" t="e">
        <f>Proforma!#REF!</f>
        <v>#REF!</v>
      </c>
      <c r="D95" s="20"/>
      <c r="E95" s="23" t="str">
        <f ca="1">IF(A95&lt;&gt;"",codeEAN13(INT(A95/10)),"")</f>
        <v/>
      </c>
      <c r="G95" s="27" t="str">
        <f t="shared" ca="1" si="29"/>
        <v/>
      </c>
      <c r="H95" s="27" t="str">
        <f t="shared" ca="1" si="30"/>
        <v/>
      </c>
      <c r="I95" s="27" t="str">
        <f t="shared" ca="1" si="31"/>
        <v/>
      </c>
      <c r="J95" s="25" t="str">
        <f t="shared" ca="1" si="32"/>
        <v/>
      </c>
      <c r="K95" s="25" t="str">
        <f t="shared" ca="1" si="33"/>
        <v/>
      </c>
      <c r="M95" s="19" t="b">
        <f t="shared" ca="1" si="43"/>
        <v>0</v>
      </c>
      <c r="N95" s="19" t="b">
        <f t="shared" ca="1" si="44"/>
        <v>0</v>
      </c>
      <c r="O95" s="19" t="b">
        <f t="shared" ca="1" si="45"/>
        <v>0</v>
      </c>
      <c r="P95" s="11"/>
      <c r="Q95" s="9" t="str">
        <f t="shared" ca="1" si="34"/>
        <v/>
      </c>
      <c r="R95" s="29" t="str">
        <f t="shared" ca="1" si="35"/>
        <v/>
      </c>
      <c r="S95" s="2" t="e">
        <f>Proforma!#REF!</f>
        <v>#REF!</v>
      </c>
      <c r="T95" s="2" t="e">
        <f>Proforma!#REF!</f>
        <v>#REF!</v>
      </c>
      <c r="U95" s="2" t="e">
        <f>Proforma!#REF!</f>
        <v>#REF!</v>
      </c>
      <c r="W95" t="e">
        <f t="shared" si="46"/>
        <v>#REF!</v>
      </c>
      <c r="X95" s="14" t="str">
        <f t="shared" ca="1" si="36"/>
        <v/>
      </c>
      <c r="Y95" s="1"/>
      <c r="Z95" s="2" t="str">
        <f t="shared" ca="1" si="37"/>
        <v/>
      </c>
      <c r="AA95" s="7" t="str">
        <f t="shared" ca="1" si="38"/>
        <v/>
      </c>
      <c r="AB95" s="13" t="str">
        <f t="shared" ca="1" si="39"/>
        <v/>
      </c>
      <c r="AC95" s="13" t="str">
        <f t="shared" ca="1" si="40"/>
        <v/>
      </c>
      <c r="AE95" s="5" t="str">
        <f t="shared" ca="1" si="41"/>
        <v/>
      </c>
    </row>
    <row r="96" spans="1:31" customFormat="1" ht="33.75" x14ac:dyDescent="0.5">
      <c r="A96" s="21" t="str">
        <f t="shared" ca="1" si="42"/>
        <v/>
      </c>
      <c r="B96" s="20" t="e">
        <f>Proforma!#REF!</f>
        <v>#REF!</v>
      </c>
      <c r="C96" s="20" t="e">
        <f>Proforma!#REF!</f>
        <v>#REF!</v>
      </c>
      <c r="D96" s="20"/>
      <c r="E96" s="23" t="str">
        <f ca="1">IF(A96&lt;&gt;"",codeEAN13(INT(A96/10)),"")</f>
        <v/>
      </c>
      <c r="G96" s="27" t="str">
        <f t="shared" ca="1" si="29"/>
        <v/>
      </c>
      <c r="H96" s="27" t="str">
        <f t="shared" ca="1" si="30"/>
        <v/>
      </c>
      <c r="I96" s="27" t="str">
        <f t="shared" ca="1" si="31"/>
        <v/>
      </c>
      <c r="J96" s="25" t="str">
        <f t="shared" ca="1" si="32"/>
        <v/>
      </c>
      <c r="K96" s="25" t="str">
        <f t="shared" ca="1" si="33"/>
        <v/>
      </c>
      <c r="M96" s="19" t="b">
        <f t="shared" ca="1" si="43"/>
        <v>0</v>
      </c>
      <c r="N96" s="19" t="b">
        <f t="shared" ca="1" si="44"/>
        <v>0</v>
      </c>
      <c r="O96" s="19" t="b">
        <f t="shared" ca="1" si="45"/>
        <v>0</v>
      </c>
      <c r="P96" s="11"/>
      <c r="Q96" s="9" t="str">
        <f t="shared" ca="1" si="34"/>
        <v/>
      </c>
      <c r="R96" s="29" t="str">
        <f t="shared" ca="1" si="35"/>
        <v/>
      </c>
      <c r="S96" s="2" t="e">
        <f>Proforma!#REF!</f>
        <v>#REF!</v>
      </c>
      <c r="T96" s="2" t="e">
        <f>Proforma!#REF!</f>
        <v>#REF!</v>
      </c>
      <c r="U96" s="2" t="e">
        <f>Proforma!#REF!</f>
        <v>#REF!</v>
      </c>
      <c r="W96" t="e">
        <f t="shared" si="46"/>
        <v>#REF!</v>
      </c>
      <c r="X96" s="14" t="str">
        <f t="shared" ca="1" si="36"/>
        <v/>
      </c>
      <c r="Y96" s="1"/>
      <c r="Z96" s="2" t="str">
        <f t="shared" ca="1" si="37"/>
        <v/>
      </c>
      <c r="AA96" s="7" t="str">
        <f t="shared" ca="1" si="38"/>
        <v/>
      </c>
      <c r="AB96" s="13" t="str">
        <f t="shared" ca="1" si="39"/>
        <v/>
      </c>
      <c r="AC96" s="13" t="str">
        <f t="shared" ca="1" si="40"/>
        <v/>
      </c>
      <c r="AE96" s="5" t="str">
        <f t="shared" ca="1" si="41"/>
        <v/>
      </c>
    </row>
    <row r="97" spans="1:31" customFormat="1" ht="33.75" x14ac:dyDescent="0.5">
      <c r="A97" s="21" t="str">
        <f t="shared" ca="1" si="42"/>
        <v/>
      </c>
      <c r="B97" s="20" t="e">
        <f>Proforma!#REF!</f>
        <v>#REF!</v>
      </c>
      <c r="C97" s="20" t="e">
        <f>Proforma!#REF!</f>
        <v>#REF!</v>
      </c>
      <c r="D97" s="20"/>
      <c r="E97" s="23" t="str">
        <f ca="1">IF(A97&lt;&gt;"",codeEAN13(INT(A97/10)),"")</f>
        <v/>
      </c>
      <c r="G97" s="27" t="str">
        <f t="shared" ca="1" si="29"/>
        <v/>
      </c>
      <c r="H97" s="27" t="str">
        <f t="shared" ca="1" si="30"/>
        <v/>
      </c>
      <c r="I97" s="27" t="str">
        <f t="shared" ca="1" si="31"/>
        <v/>
      </c>
      <c r="J97" s="25" t="str">
        <f t="shared" ca="1" si="32"/>
        <v/>
      </c>
      <c r="K97" s="25" t="str">
        <f t="shared" ca="1" si="33"/>
        <v/>
      </c>
      <c r="M97" s="19" t="b">
        <f t="shared" ca="1" si="43"/>
        <v>0</v>
      </c>
      <c r="N97" s="19" t="b">
        <f t="shared" ca="1" si="44"/>
        <v>0</v>
      </c>
      <c r="O97" s="19" t="b">
        <f t="shared" ca="1" si="45"/>
        <v>0</v>
      </c>
      <c r="P97" s="11"/>
      <c r="Q97" s="9" t="str">
        <f t="shared" ca="1" si="34"/>
        <v/>
      </c>
      <c r="R97" s="29" t="str">
        <f t="shared" ca="1" si="35"/>
        <v/>
      </c>
      <c r="S97" s="2" t="e">
        <f>Proforma!#REF!</f>
        <v>#REF!</v>
      </c>
      <c r="T97" s="2" t="e">
        <f>Proforma!#REF!</f>
        <v>#REF!</v>
      </c>
      <c r="U97" s="2" t="e">
        <f>Proforma!#REF!</f>
        <v>#REF!</v>
      </c>
      <c r="W97" t="e">
        <f t="shared" si="46"/>
        <v>#REF!</v>
      </c>
      <c r="X97" s="14" t="str">
        <f t="shared" ca="1" si="36"/>
        <v/>
      </c>
      <c r="Y97" s="1"/>
      <c r="Z97" s="2" t="str">
        <f t="shared" ca="1" si="37"/>
        <v/>
      </c>
      <c r="AA97" s="7" t="str">
        <f t="shared" ca="1" si="38"/>
        <v/>
      </c>
      <c r="AB97" s="13" t="str">
        <f t="shared" ca="1" si="39"/>
        <v/>
      </c>
      <c r="AC97" s="13" t="str">
        <f t="shared" ca="1" si="40"/>
        <v/>
      </c>
      <c r="AE97" s="5" t="str">
        <f t="shared" ca="1" si="41"/>
        <v/>
      </c>
    </row>
    <row r="98" spans="1:31" customFormat="1" ht="33.75" x14ac:dyDescent="0.5">
      <c r="A98" s="21" t="str">
        <f t="shared" ca="1" si="42"/>
        <v/>
      </c>
      <c r="B98" s="20" t="e">
        <f>Proforma!#REF!</f>
        <v>#REF!</v>
      </c>
      <c r="C98" s="20" t="e">
        <f>Proforma!#REF!</f>
        <v>#REF!</v>
      </c>
      <c r="D98" s="20"/>
      <c r="E98" s="23" t="str">
        <f ca="1">IF(A98&lt;&gt;"",codeEAN13(INT(A98/10)),"")</f>
        <v/>
      </c>
      <c r="G98" s="27" t="str">
        <f t="shared" ca="1" si="29"/>
        <v/>
      </c>
      <c r="H98" s="27" t="str">
        <f t="shared" ca="1" si="30"/>
        <v/>
      </c>
      <c r="I98" s="27" t="str">
        <f t="shared" ca="1" si="31"/>
        <v/>
      </c>
      <c r="J98" s="25" t="str">
        <f t="shared" ca="1" si="32"/>
        <v/>
      </c>
      <c r="K98" s="25" t="str">
        <f t="shared" ca="1" si="33"/>
        <v/>
      </c>
      <c r="M98" s="19" t="b">
        <f t="shared" ca="1" si="43"/>
        <v>0</v>
      </c>
      <c r="N98" s="19" t="b">
        <f t="shared" ca="1" si="44"/>
        <v>0</v>
      </c>
      <c r="O98" s="19" t="b">
        <f t="shared" ca="1" si="45"/>
        <v>0</v>
      </c>
      <c r="P98" s="11"/>
      <c r="Q98" s="9" t="str">
        <f t="shared" ca="1" si="34"/>
        <v/>
      </c>
      <c r="R98" s="29" t="str">
        <f t="shared" ca="1" si="35"/>
        <v/>
      </c>
      <c r="S98" s="2" t="e">
        <f>Proforma!#REF!</f>
        <v>#REF!</v>
      </c>
      <c r="T98" s="2" t="e">
        <f>Proforma!#REF!</f>
        <v>#REF!</v>
      </c>
      <c r="U98" s="2" t="e">
        <f>Proforma!#REF!</f>
        <v>#REF!</v>
      </c>
      <c r="W98" t="e">
        <f t="shared" si="46"/>
        <v>#REF!</v>
      </c>
      <c r="X98" s="14" t="str">
        <f t="shared" ca="1" si="36"/>
        <v/>
      </c>
      <c r="Y98" s="1"/>
      <c r="Z98" s="2" t="str">
        <f t="shared" ca="1" si="37"/>
        <v/>
      </c>
      <c r="AA98" s="7" t="str">
        <f t="shared" ca="1" si="38"/>
        <v/>
      </c>
      <c r="AB98" s="13" t="str">
        <f t="shared" ca="1" si="39"/>
        <v/>
      </c>
      <c r="AC98" s="13" t="str">
        <f t="shared" ca="1" si="40"/>
        <v/>
      </c>
      <c r="AE98" s="5" t="str">
        <f t="shared" ca="1" si="41"/>
        <v/>
      </c>
    </row>
    <row r="99" spans="1:31" customFormat="1" ht="33.75" x14ac:dyDescent="0.5">
      <c r="A99" s="21" t="str">
        <f t="shared" ca="1" si="42"/>
        <v/>
      </c>
      <c r="B99" s="20">
        <f>Proforma!F66</f>
        <v>0</v>
      </c>
      <c r="C99" s="20">
        <f>Proforma!G66</f>
        <v>0</v>
      </c>
      <c r="D99" s="20"/>
      <c r="E99" s="23" t="str">
        <f ca="1">IF(A99&lt;&gt;"",codeEAN13(INT(A99/10)),"")</f>
        <v/>
      </c>
      <c r="G99" s="27" t="str">
        <f t="shared" ca="1" si="29"/>
        <v/>
      </c>
      <c r="H99" s="27" t="str">
        <f t="shared" ca="1" si="30"/>
        <v/>
      </c>
      <c r="I99" s="27" t="str">
        <f t="shared" ca="1" si="31"/>
        <v/>
      </c>
      <c r="J99" s="25" t="str">
        <f t="shared" ca="1" si="32"/>
        <v/>
      </c>
      <c r="K99" s="25" t="str">
        <f t="shared" ca="1" si="33"/>
        <v/>
      </c>
      <c r="M99" s="19" t="b">
        <f t="shared" ca="1" si="43"/>
        <v>0</v>
      </c>
      <c r="N99" s="19" t="b">
        <f t="shared" ca="1" si="44"/>
        <v>0</v>
      </c>
      <c r="O99" s="19" t="b">
        <f t="shared" ca="1" si="45"/>
        <v>0</v>
      </c>
      <c r="P99" s="11"/>
      <c r="Q99" s="9" t="str">
        <f t="shared" ca="1" si="34"/>
        <v/>
      </c>
      <c r="R99" s="29" t="str">
        <f t="shared" ca="1" si="35"/>
        <v/>
      </c>
      <c r="S99" s="2">
        <f>Proforma!B66</f>
        <v>0</v>
      </c>
      <c r="T99" s="2">
        <f>Proforma!C66</f>
        <v>0</v>
      </c>
      <c r="U99" s="2">
        <f>Proforma!D66</f>
        <v>0</v>
      </c>
      <c r="W99" t="str">
        <f t="shared" si="46"/>
        <v>0-0-000</v>
      </c>
      <c r="X99" s="14" t="str">
        <f t="shared" ca="1" si="36"/>
        <v/>
      </c>
      <c r="Y99" s="1"/>
      <c r="Z99" s="2" t="str">
        <f t="shared" ca="1" si="37"/>
        <v/>
      </c>
      <c r="AA99" s="7" t="str">
        <f t="shared" ca="1" si="38"/>
        <v/>
      </c>
      <c r="AB99" s="13" t="str">
        <f t="shared" ca="1" si="39"/>
        <v/>
      </c>
      <c r="AC99" s="13" t="str">
        <f t="shared" ca="1" si="40"/>
        <v/>
      </c>
      <c r="AE99" s="5" t="str">
        <f t="shared" ca="1" si="41"/>
        <v/>
      </c>
    </row>
    <row r="100" spans="1:31" customFormat="1" ht="33.75" x14ac:dyDescent="0.5">
      <c r="A100" s="21" t="str">
        <f t="shared" ca="1" si="42"/>
        <v/>
      </c>
      <c r="B100" s="20">
        <f>Proforma!F67</f>
        <v>0</v>
      </c>
      <c r="C100" s="20">
        <f>Proforma!G67</f>
        <v>0</v>
      </c>
      <c r="D100" s="20"/>
      <c r="E100" s="23" t="str">
        <f ca="1">IF(A100&lt;&gt;"",codeEAN13(INT(A100/10)),"")</f>
        <v/>
      </c>
      <c r="G100" s="27" t="str">
        <f t="shared" ca="1" si="29"/>
        <v/>
      </c>
      <c r="H100" s="27" t="str">
        <f t="shared" ca="1" si="30"/>
        <v/>
      </c>
      <c r="I100" s="27" t="str">
        <f t="shared" ca="1" si="31"/>
        <v/>
      </c>
      <c r="J100" s="25" t="str">
        <f t="shared" ca="1" si="32"/>
        <v/>
      </c>
      <c r="K100" s="25" t="str">
        <f t="shared" ca="1" si="33"/>
        <v/>
      </c>
      <c r="M100" s="19" t="b">
        <f t="shared" ca="1" si="43"/>
        <v>0</v>
      </c>
      <c r="N100" s="19" t="b">
        <f t="shared" ca="1" si="44"/>
        <v>0</v>
      </c>
      <c r="O100" s="19" t="b">
        <f t="shared" ca="1" si="45"/>
        <v>0</v>
      </c>
      <c r="P100" s="11"/>
      <c r="Q100" s="9" t="str">
        <f t="shared" ca="1" si="34"/>
        <v/>
      </c>
      <c r="R100" s="29" t="str">
        <f t="shared" ca="1" si="35"/>
        <v/>
      </c>
      <c r="S100" s="2">
        <f>Proforma!B67</f>
        <v>0</v>
      </c>
      <c r="T100" s="2">
        <f>Proforma!C67</f>
        <v>0</v>
      </c>
      <c r="U100" s="2">
        <f>Proforma!D67</f>
        <v>0</v>
      </c>
      <c r="W100" t="str">
        <f t="shared" si="46"/>
        <v>0-0-000</v>
      </c>
      <c r="X100" s="14" t="str">
        <f t="shared" ca="1" si="36"/>
        <v/>
      </c>
      <c r="Y100" s="1"/>
      <c r="Z100" s="2" t="str">
        <f t="shared" ca="1" si="37"/>
        <v/>
      </c>
      <c r="AA100" s="7" t="str">
        <f t="shared" ca="1" si="38"/>
        <v/>
      </c>
      <c r="AB100" s="13" t="str">
        <f t="shared" ca="1" si="39"/>
        <v/>
      </c>
      <c r="AC100" s="13" t="str">
        <f t="shared" ca="1" si="40"/>
        <v/>
      </c>
      <c r="AE100" s="5" t="str">
        <f t="shared" ca="1" si="41"/>
        <v/>
      </c>
    </row>
    <row r="101" spans="1:31" customFormat="1" ht="33.75" x14ac:dyDescent="0.5">
      <c r="A101" s="21" t="str">
        <f t="shared" ca="1" si="42"/>
        <v/>
      </c>
      <c r="B101" s="20">
        <f>Proforma!F68</f>
        <v>0</v>
      </c>
      <c r="C101" s="20">
        <f>Proforma!G68</f>
        <v>0</v>
      </c>
      <c r="D101" s="20"/>
      <c r="E101" s="23" t="str">
        <f ca="1">IF(A101&lt;&gt;"",codeEAN13(INT(A101/10)),"")</f>
        <v/>
      </c>
      <c r="G101" s="27" t="str">
        <f t="shared" ca="1" si="29"/>
        <v/>
      </c>
      <c r="H101" s="27" t="str">
        <f t="shared" ca="1" si="30"/>
        <v/>
      </c>
      <c r="I101" s="27" t="str">
        <f t="shared" ca="1" si="31"/>
        <v/>
      </c>
      <c r="J101" s="25" t="str">
        <f t="shared" ca="1" si="32"/>
        <v/>
      </c>
      <c r="K101" s="25" t="str">
        <f t="shared" ca="1" si="33"/>
        <v/>
      </c>
      <c r="M101" s="19" t="b">
        <f t="shared" ca="1" si="43"/>
        <v>0</v>
      </c>
      <c r="N101" s="19" t="b">
        <f t="shared" ca="1" si="44"/>
        <v>0</v>
      </c>
      <c r="O101" s="19" t="b">
        <f t="shared" ca="1" si="45"/>
        <v>0</v>
      </c>
      <c r="P101" s="11"/>
      <c r="Q101" s="9" t="str">
        <f t="shared" ca="1" si="34"/>
        <v/>
      </c>
      <c r="R101" s="29" t="str">
        <f t="shared" ca="1" si="35"/>
        <v/>
      </c>
      <c r="S101" s="2">
        <f>Proforma!B68</f>
        <v>0</v>
      </c>
      <c r="T101" s="2">
        <f>Proforma!C68</f>
        <v>0</v>
      </c>
      <c r="U101" s="2">
        <f>Proforma!D68</f>
        <v>0</v>
      </c>
      <c r="W101" t="str">
        <f t="shared" si="46"/>
        <v>0-0-000</v>
      </c>
      <c r="X101" s="14" t="str">
        <f t="shared" ca="1" si="36"/>
        <v/>
      </c>
      <c r="Y101" s="1"/>
      <c r="Z101" s="2" t="str">
        <f t="shared" ca="1" si="37"/>
        <v/>
      </c>
      <c r="AA101" s="7" t="str">
        <f t="shared" ca="1" si="38"/>
        <v/>
      </c>
      <c r="AB101" s="13" t="str">
        <f t="shared" ca="1" si="39"/>
        <v/>
      </c>
      <c r="AC101" s="13" t="str">
        <f t="shared" ca="1" si="40"/>
        <v/>
      </c>
      <c r="AE101" s="5" t="str">
        <f t="shared" ca="1" si="41"/>
        <v/>
      </c>
    </row>
    <row r="102" spans="1:31" customFormat="1" ht="33.75" x14ac:dyDescent="0.5">
      <c r="A102" s="21" t="str">
        <f t="shared" ca="1" si="42"/>
        <v/>
      </c>
      <c r="B102" s="20">
        <f>Proforma!F69</f>
        <v>0</v>
      </c>
      <c r="C102" s="20">
        <f>Proforma!G69</f>
        <v>0</v>
      </c>
      <c r="D102" s="20"/>
      <c r="E102" s="23" t="str">
        <f ca="1">IF(A102&lt;&gt;"",codeEAN13(INT(A102/10)),"")</f>
        <v/>
      </c>
      <c r="G102" s="27" t="str">
        <f t="shared" ca="1" si="29"/>
        <v/>
      </c>
      <c r="H102" s="27" t="str">
        <f t="shared" ca="1" si="30"/>
        <v/>
      </c>
      <c r="I102" s="27" t="str">
        <f t="shared" ca="1" si="31"/>
        <v/>
      </c>
      <c r="J102" s="25" t="str">
        <f t="shared" ca="1" si="32"/>
        <v/>
      </c>
      <c r="K102" s="25" t="str">
        <f t="shared" ca="1" si="33"/>
        <v/>
      </c>
      <c r="M102" s="19" t="b">
        <f t="shared" ca="1" si="43"/>
        <v>0</v>
      </c>
      <c r="N102" s="19" t="b">
        <f t="shared" ca="1" si="44"/>
        <v>0</v>
      </c>
      <c r="O102" s="19" t="b">
        <f t="shared" ca="1" si="45"/>
        <v>0</v>
      </c>
      <c r="P102" s="11"/>
      <c r="Q102" s="9" t="str">
        <f t="shared" ca="1" si="34"/>
        <v/>
      </c>
      <c r="R102" s="29" t="str">
        <f t="shared" ca="1" si="35"/>
        <v/>
      </c>
      <c r="S102" s="2">
        <f>Proforma!B69</f>
        <v>0</v>
      </c>
      <c r="T102" s="2">
        <f>Proforma!C69</f>
        <v>0</v>
      </c>
      <c r="U102" s="2">
        <f>Proforma!D69</f>
        <v>0</v>
      </c>
      <c r="W102" t="str">
        <f t="shared" si="46"/>
        <v>0-0-000</v>
      </c>
      <c r="X102" s="14" t="str">
        <f t="shared" ca="1" si="36"/>
        <v/>
      </c>
      <c r="Y102" s="1"/>
      <c r="Z102" s="2" t="str">
        <f t="shared" ca="1" si="37"/>
        <v/>
      </c>
      <c r="AA102" s="7" t="str">
        <f t="shared" ca="1" si="38"/>
        <v/>
      </c>
      <c r="AB102" s="13" t="str">
        <f t="shared" ca="1" si="39"/>
        <v/>
      </c>
      <c r="AC102" s="13" t="str">
        <f t="shared" ca="1" si="40"/>
        <v/>
      </c>
      <c r="AE102" s="5" t="str">
        <f t="shared" ca="1" si="41"/>
        <v/>
      </c>
    </row>
    <row r="103" spans="1:31" customFormat="1" ht="33.75" x14ac:dyDescent="0.5">
      <c r="A103" s="21" t="str">
        <f t="shared" ca="1" si="42"/>
        <v/>
      </c>
      <c r="B103" s="20">
        <f>Proforma!F70</f>
        <v>0</v>
      </c>
      <c r="C103" s="20">
        <f>Proforma!G70</f>
        <v>0</v>
      </c>
      <c r="D103" s="20"/>
      <c r="E103" s="23" t="str">
        <f ca="1">IF(A103&lt;&gt;"",codeEAN13(INT(A103/10)),"")</f>
        <v/>
      </c>
      <c r="G103" s="27" t="str">
        <f t="shared" ca="1" si="29"/>
        <v/>
      </c>
      <c r="H103" s="27" t="str">
        <f t="shared" ca="1" si="30"/>
        <v/>
      </c>
      <c r="I103" s="27" t="str">
        <f t="shared" ca="1" si="31"/>
        <v/>
      </c>
      <c r="J103" s="25" t="str">
        <f t="shared" ca="1" si="32"/>
        <v/>
      </c>
      <c r="K103" s="25" t="str">
        <f t="shared" ca="1" si="33"/>
        <v/>
      </c>
      <c r="M103" s="19" t="b">
        <f t="shared" ca="1" si="43"/>
        <v>0</v>
      </c>
      <c r="N103" s="19" t="b">
        <f t="shared" ca="1" si="44"/>
        <v>0</v>
      </c>
      <c r="O103" s="19" t="b">
        <f t="shared" ca="1" si="45"/>
        <v>0</v>
      </c>
      <c r="P103" s="11"/>
      <c r="Q103" s="9" t="str">
        <f t="shared" ca="1" si="34"/>
        <v/>
      </c>
      <c r="R103" s="29" t="str">
        <f t="shared" ca="1" si="35"/>
        <v/>
      </c>
      <c r="S103" s="2">
        <f>Proforma!B70</f>
        <v>0</v>
      </c>
      <c r="T103" s="2">
        <f>Proforma!C70</f>
        <v>0</v>
      </c>
      <c r="U103" s="2">
        <f>Proforma!D70</f>
        <v>0</v>
      </c>
      <c r="W103" t="str">
        <f t="shared" si="46"/>
        <v>0-0-000</v>
      </c>
      <c r="X103" s="14" t="str">
        <f t="shared" ca="1" si="36"/>
        <v/>
      </c>
      <c r="Y103" s="1"/>
      <c r="Z103" s="2" t="str">
        <f t="shared" ca="1" si="37"/>
        <v/>
      </c>
      <c r="AA103" s="7" t="str">
        <f t="shared" ca="1" si="38"/>
        <v/>
      </c>
      <c r="AB103" s="13" t="str">
        <f t="shared" ca="1" si="39"/>
        <v/>
      </c>
      <c r="AC103" s="13" t="str">
        <f t="shared" ca="1" si="40"/>
        <v/>
      </c>
      <c r="AE103" s="5" t="str">
        <f t="shared" ca="1" si="41"/>
        <v/>
      </c>
    </row>
    <row r="104" spans="1:31" customFormat="1" ht="33.75" x14ac:dyDescent="0.5">
      <c r="A104" s="21" t="str">
        <f t="shared" ca="1" si="42"/>
        <v/>
      </c>
      <c r="B104" s="20">
        <f>Proforma!F71</f>
        <v>0</v>
      </c>
      <c r="C104" s="20">
        <f>Proforma!G71</f>
        <v>0</v>
      </c>
      <c r="D104" s="20"/>
      <c r="E104" s="23" t="str">
        <f ca="1">IF(A104&lt;&gt;"",codeEAN13(INT(A104/10)),"")</f>
        <v/>
      </c>
      <c r="G104" s="27" t="str">
        <f t="shared" ca="1" si="29"/>
        <v/>
      </c>
      <c r="H104" s="27" t="str">
        <f t="shared" ca="1" si="30"/>
        <v/>
      </c>
      <c r="I104" s="27" t="str">
        <f t="shared" ca="1" si="31"/>
        <v/>
      </c>
      <c r="J104" s="25" t="str">
        <f t="shared" ca="1" si="32"/>
        <v/>
      </c>
      <c r="K104" s="25" t="str">
        <f t="shared" ca="1" si="33"/>
        <v/>
      </c>
      <c r="M104" s="19" t="b">
        <f t="shared" ca="1" si="43"/>
        <v>0</v>
      </c>
      <c r="N104" s="19" t="b">
        <f t="shared" ca="1" si="44"/>
        <v>0</v>
      </c>
      <c r="O104" s="19" t="b">
        <f t="shared" ca="1" si="45"/>
        <v>0</v>
      </c>
      <c r="P104" s="11"/>
      <c r="Q104" s="9" t="str">
        <f t="shared" ca="1" si="34"/>
        <v/>
      </c>
      <c r="R104" s="29" t="str">
        <f t="shared" ca="1" si="35"/>
        <v/>
      </c>
      <c r="S104" s="2">
        <f>Proforma!B71</f>
        <v>0</v>
      </c>
      <c r="T104" s="2">
        <f>Proforma!C71</f>
        <v>0</v>
      </c>
      <c r="U104" s="2">
        <f>Proforma!D71</f>
        <v>0</v>
      </c>
      <c r="W104" t="str">
        <f t="shared" si="46"/>
        <v>0-0-000</v>
      </c>
      <c r="X104" s="14" t="str">
        <f t="shared" ca="1" si="36"/>
        <v/>
      </c>
      <c r="Y104" s="1"/>
      <c r="Z104" s="2" t="str">
        <f t="shared" ca="1" si="37"/>
        <v/>
      </c>
      <c r="AA104" s="7" t="str">
        <f t="shared" ca="1" si="38"/>
        <v/>
      </c>
      <c r="AB104" s="13" t="str">
        <f t="shared" ca="1" si="39"/>
        <v/>
      </c>
      <c r="AC104" s="13" t="str">
        <f t="shared" ca="1" si="40"/>
        <v/>
      </c>
      <c r="AE104" s="5" t="str">
        <f t="shared" ca="1" si="41"/>
        <v/>
      </c>
    </row>
    <row r="105" spans="1:31" customFormat="1" ht="33.75" x14ac:dyDescent="0.5">
      <c r="A105" s="21" t="str">
        <f t="shared" ca="1" si="42"/>
        <v/>
      </c>
      <c r="B105" s="20">
        <f>Proforma!F72</f>
        <v>0</v>
      </c>
      <c r="C105" s="20">
        <f>Proforma!G72</f>
        <v>0</v>
      </c>
      <c r="D105" s="20"/>
      <c r="E105" s="23" t="str">
        <f ca="1">IF(A105&lt;&gt;"",codeEAN13(INT(A105/10)),"")</f>
        <v/>
      </c>
      <c r="G105" s="27" t="str">
        <f t="shared" ca="1" si="29"/>
        <v/>
      </c>
      <c r="H105" s="27" t="str">
        <f t="shared" ca="1" si="30"/>
        <v/>
      </c>
      <c r="I105" s="27" t="str">
        <f t="shared" ca="1" si="31"/>
        <v/>
      </c>
      <c r="J105" s="25" t="str">
        <f t="shared" ca="1" si="32"/>
        <v/>
      </c>
      <c r="K105" s="25" t="str">
        <f t="shared" ca="1" si="33"/>
        <v/>
      </c>
      <c r="M105" s="19" t="b">
        <f t="shared" ca="1" si="43"/>
        <v>0</v>
      </c>
      <c r="N105" s="19" t="b">
        <f t="shared" ca="1" si="44"/>
        <v>0</v>
      </c>
      <c r="O105" s="19" t="b">
        <f t="shared" ca="1" si="45"/>
        <v>0</v>
      </c>
      <c r="P105" s="11"/>
      <c r="Q105" s="9" t="str">
        <f t="shared" ca="1" si="34"/>
        <v/>
      </c>
      <c r="R105" s="29" t="str">
        <f t="shared" ca="1" si="35"/>
        <v/>
      </c>
      <c r="S105" s="2">
        <f>Proforma!B72</f>
        <v>0</v>
      </c>
      <c r="T105" s="2">
        <f>Proforma!C72</f>
        <v>0</v>
      </c>
      <c r="U105" s="2">
        <f>Proforma!D72</f>
        <v>0</v>
      </c>
      <c r="W105" t="str">
        <f t="shared" si="46"/>
        <v>0-0-000</v>
      </c>
      <c r="X105" s="14" t="str">
        <f t="shared" ca="1" si="36"/>
        <v/>
      </c>
      <c r="Y105" s="1"/>
      <c r="Z105" s="2" t="str">
        <f t="shared" ca="1" si="37"/>
        <v/>
      </c>
      <c r="AA105" s="7" t="str">
        <f t="shared" ca="1" si="38"/>
        <v/>
      </c>
      <c r="AB105" s="13" t="str">
        <f t="shared" ca="1" si="39"/>
        <v/>
      </c>
      <c r="AC105" s="13" t="str">
        <f t="shared" ca="1" si="40"/>
        <v/>
      </c>
      <c r="AE105" s="5" t="str">
        <f t="shared" ca="1" si="41"/>
        <v/>
      </c>
    </row>
    <row r="106" spans="1:31" customFormat="1" ht="33.75" x14ac:dyDescent="0.5">
      <c r="A106" s="21" t="str">
        <f t="shared" ca="1" si="42"/>
        <v/>
      </c>
      <c r="B106" s="20">
        <f>Proforma!F73</f>
        <v>0</v>
      </c>
      <c r="C106" s="20">
        <f>Proforma!G73</f>
        <v>0</v>
      </c>
      <c r="D106" s="20"/>
      <c r="E106" s="23" t="str">
        <f ca="1">IF(A106&lt;&gt;"",codeEAN13(INT(A106/10)),"")</f>
        <v/>
      </c>
      <c r="G106" s="27" t="str">
        <f t="shared" ca="1" si="29"/>
        <v/>
      </c>
      <c r="H106" s="27" t="str">
        <f t="shared" ca="1" si="30"/>
        <v/>
      </c>
      <c r="I106" s="27" t="str">
        <f t="shared" ca="1" si="31"/>
        <v/>
      </c>
      <c r="J106" s="25" t="str">
        <f t="shared" ca="1" si="32"/>
        <v/>
      </c>
      <c r="K106" s="25" t="str">
        <f t="shared" ca="1" si="33"/>
        <v/>
      </c>
      <c r="M106" s="19" t="b">
        <f t="shared" ca="1" si="43"/>
        <v>0</v>
      </c>
      <c r="N106" s="19" t="b">
        <f t="shared" ca="1" si="44"/>
        <v>0</v>
      </c>
      <c r="O106" s="19" t="b">
        <f t="shared" ca="1" si="45"/>
        <v>0</v>
      </c>
      <c r="P106" s="11"/>
      <c r="Q106" s="9" t="str">
        <f t="shared" ca="1" si="34"/>
        <v/>
      </c>
      <c r="R106" s="29" t="str">
        <f t="shared" ca="1" si="35"/>
        <v/>
      </c>
      <c r="S106" s="2">
        <f>Proforma!B73</f>
        <v>0</v>
      </c>
      <c r="T106" s="2">
        <f>Proforma!C73</f>
        <v>0</v>
      </c>
      <c r="U106" s="2">
        <f>Proforma!D73</f>
        <v>0</v>
      </c>
      <c r="W106" t="str">
        <f t="shared" si="46"/>
        <v>0-0-000</v>
      </c>
      <c r="X106" s="14" t="str">
        <f t="shared" ca="1" si="36"/>
        <v/>
      </c>
      <c r="Y106" s="1"/>
      <c r="Z106" s="2" t="str">
        <f t="shared" ca="1" si="37"/>
        <v/>
      </c>
      <c r="AA106" s="7" t="str">
        <f t="shared" ca="1" si="38"/>
        <v/>
      </c>
      <c r="AB106" s="13" t="str">
        <f t="shared" ca="1" si="39"/>
        <v/>
      </c>
      <c r="AC106" s="13" t="str">
        <f t="shared" ca="1" si="40"/>
        <v/>
      </c>
      <c r="AE106" s="5" t="str">
        <f t="shared" ca="1" si="41"/>
        <v/>
      </c>
    </row>
    <row r="107" spans="1:31" customFormat="1" ht="33.75" x14ac:dyDescent="0.5">
      <c r="A107" s="21" t="str">
        <f t="shared" ca="1" si="42"/>
        <v/>
      </c>
      <c r="B107" s="20">
        <f>Proforma!F74</f>
        <v>0</v>
      </c>
      <c r="C107" s="20">
        <f>Proforma!G74</f>
        <v>0</v>
      </c>
      <c r="D107" s="20"/>
      <c r="E107" s="23" t="str">
        <f ca="1">IF(A107&lt;&gt;"",codeEAN13(INT(A107/10)),"")</f>
        <v/>
      </c>
      <c r="G107" s="27" t="str">
        <f t="shared" ca="1" si="29"/>
        <v/>
      </c>
      <c r="H107" s="27" t="str">
        <f t="shared" ca="1" si="30"/>
        <v/>
      </c>
      <c r="I107" s="27" t="str">
        <f t="shared" ca="1" si="31"/>
        <v/>
      </c>
      <c r="J107" s="25" t="str">
        <f t="shared" ca="1" si="32"/>
        <v/>
      </c>
      <c r="K107" s="25" t="str">
        <f t="shared" ca="1" si="33"/>
        <v/>
      </c>
      <c r="M107" s="19" t="b">
        <f t="shared" ca="1" si="43"/>
        <v>0</v>
      </c>
      <c r="N107" s="19" t="b">
        <f t="shared" ca="1" si="44"/>
        <v>0</v>
      </c>
      <c r="O107" s="19" t="b">
        <f t="shared" ca="1" si="45"/>
        <v>0</v>
      </c>
      <c r="P107" s="11"/>
      <c r="Q107" s="9" t="str">
        <f t="shared" ca="1" si="34"/>
        <v/>
      </c>
      <c r="R107" s="29" t="str">
        <f t="shared" ca="1" si="35"/>
        <v/>
      </c>
      <c r="S107" s="2">
        <f>Proforma!B74</f>
        <v>0</v>
      </c>
      <c r="T107" s="2">
        <f>Proforma!C74</f>
        <v>0</v>
      </c>
      <c r="U107" s="2">
        <f>Proforma!D74</f>
        <v>0</v>
      </c>
      <c r="W107" t="str">
        <f t="shared" si="46"/>
        <v>0-0-000</v>
      </c>
      <c r="X107" s="14" t="str">
        <f t="shared" ca="1" si="36"/>
        <v/>
      </c>
      <c r="Y107" s="1"/>
      <c r="Z107" s="2" t="str">
        <f t="shared" ca="1" si="37"/>
        <v/>
      </c>
      <c r="AA107" s="7" t="str">
        <f t="shared" ca="1" si="38"/>
        <v/>
      </c>
      <c r="AB107" s="13" t="str">
        <f t="shared" ca="1" si="39"/>
        <v/>
      </c>
      <c r="AC107" s="13" t="str">
        <f t="shared" ca="1" si="40"/>
        <v/>
      </c>
      <c r="AE107" s="5" t="str">
        <f t="shared" ca="1" si="41"/>
        <v/>
      </c>
    </row>
    <row r="108" spans="1:31" customFormat="1" ht="33.75" x14ac:dyDescent="0.5">
      <c r="A108" s="21" t="str">
        <f t="shared" ca="1" si="42"/>
        <v/>
      </c>
      <c r="B108" s="20">
        <f>Proforma!F75</f>
        <v>0</v>
      </c>
      <c r="C108" s="20">
        <f>Proforma!G75</f>
        <v>0</v>
      </c>
      <c r="D108" s="20"/>
      <c r="E108" s="23" t="str">
        <f ca="1">IF(A108&lt;&gt;"",codeEAN13(INT(A108/10)),"")</f>
        <v/>
      </c>
      <c r="G108" s="27" t="str">
        <f t="shared" ca="1" si="29"/>
        <v/>
      </c>
      <c r="H108" s="27" t="str">
        <f t="shared" ca="1" si="30"/>
        <v/>
      </c>
      <c r="I108" s="27" t="str">
        <f t="shared" ca="1" si="31"/>
        <v/>
      </c>
      <c r="J108" s="25" t="str">
        <f t="shared" ca="1" si="32"/>
        <v/>
      </c>
      <c r="K108" s="25" t="str">
        <f t="shared" ca="1" si="33"/>
        <v/>
      </c>
      <c r="M108" s="19" t="b">
        <f t="shared" ca="1" si="43"/>
        <v>0</v>
      </c>
      <c r="N108" s="19" t="b">
        <f t="shared" ca="1" si="44"/>
        <v>0</v>
      </c>
      <c r="O108" s="19" t="b">
        <f t="shared" ca="1" si="45"/>
        <v>0</v>
      </c>
      <c r="P108" s="11"/>
      <c r="Q108" s="9" t="str">
        <f t="shared" ca="1" si="34"/>
        <v/>
      </c>
      <c r="R108" s="29" t="str">
        <f t="shared" ca="1" si="35"/>
        <v/>
      </c>
      <c r="S108" s="2">
        <f>Proforma!B75</f>
        <v>0</v>
      </c>
      <c r="T108" s="2">
        <f>Proforma!C75</f>
        <v>0</v>
      </c>
      <c r="U108" s="2">
        <f>Proforma!D75</f>
        <v>0</v>
      </c>
      <c r="W108" t="str">
        <f t="shared" si="46"/>
        <v>0-0-000</v>
      </c>
      <c r="X108" s="14" t="str">
        <f t="shared" ca="1" si="36"/>
        <v/>
      </c>
      <c r="Y108" s="1"/>
      <c r="Z108" s="2" t="str">
        <f t="shared" ca="1" si="37"/>
        <v/>
      </c>
      <c r="AA108" s="7" t="str">
        <f t="shared" ca="1" si="38"/>
        <v/>
      </c>
      <c r="AB108" s="13" t="str">
        <f t="shared" ca="1" si="39"/>
        <v/>
      </c>
      <c r="AC108" s="13" t="str">
        <f t="shared" ca="1" si="40"/>
        <v/>
      </c>
      <c r="AE108" s="5" t="str">
        <f t="shared" ca="1" si="41"/>
        <v/>
      </c>
    </row>
    <row r="109" spans="1:31" customFormat="1" ht="33.75" x14ac:dyDescent="0.5">
      <c r="A109" s="21" t="str">
        <f t="shared" ca="1" si="42"/>
        <v/>
      </c>
      <c r="B109" s="20">
        <f>Proforma!F76</f>
        <v>0</v>
      </c>
      <c r="C109" s="20">
        <f>Proforma!G76</f>
        <v>0</v>
      </c>
      <c r="D109" s="20"/>
      <c r="E109" s="23" t="str">
        <f ca="1">IF(A109&lt;&gt;"",codeEAN13(INT(A109/10)),"")</f>
        <v/>
      </c>
      <c r="G109" s="27" t="str">
        <f t="shared" ca="1" si="29"/>
        <v/>
      </c>
      <c r="H109" s="27" t="str">
        <f t="shared" ca="1" si="30"/>
        <v/>
      </c>
      <c r="I109" s="27" t="str">
        <f t="shared" ca="1" si="31"/>
        <v/>
      </c>
      <c r="J109" s="25" t="str">
        <f t="shared" ca="1" si="32"/>
        <v/>
      </c>
      <c r="K109" s="25" t="str">
        <f t="shared" ca="1" si="33"/>
        <v/>
      </c>
      <c r="M109" s="19" t="b">
        <f t="shared" ca="1" si="43"/>
        <v>0</v>
      </c>
      <c r="N109" s="19" t="b">
        <f t="shared" ca="1" si="44"/>
        <v>0</v>
      </c>
      <c r="O109" s="19" t="b">
        <f t="shared" ca="1" si="45"/>
        <v>0</v>
      </c>
      <c r="P109" s="11"/>
      <c r="Q109" s="9" t="str">
        <f t="shared" ca="1" si="34"/>
        <v/>
      </c>
      <c r="R109" s="29" t="str">
        <f t="shared" ca="1" si="35"/>
        <v/>
      </c>
      <c r="S109" s="2">
        <f>Proforma!B76</f>
        <v>0</v>
      </c>
      <c r="T109" s="2">
        <f>Proforma!C76</f>
        <v>0</v>
      </c>
      <c r="U109" s="2">
        <f>Proforma!D76</f>
        <v>0</v>
      </c>
      <c r="W109" t="str">
        <f t="shared" si="46"/>
        <v>0-0-000</v>
      </c>
      <c r="X109" s="14" t="str">
        <f t="shared" ca="1" si="36"/>
        <v/>
      </c>
      <c r="Y109" s="1"/>
      <c r="Z109" s="2" t="str">
        <f t="shared" ca="1" si="37"/>
        <v/>
      </c>
      <c r="AA109" s="7" t="str">
        <f t="shared" ca="1" si="38"/>
        <v/>
      </c>
      <c r="AB109" s="13" t="str">
        <f t="shared" ca="1" si="39"/>
        <v/>
      </c>
      <c r="AC109" s="13" t="str">
        <f t="shared" ca="1" si="40"/>
        <v/>
      </c>
      <c r="AE109" s="5" t="str">
        <f t="shared" ca="1" si="41"/>
        <v/>
      </c>
    </row>
    <row r="110" spans="1:31" customFormat="1" ht="33.75" x14ac:dyDescent="0.5">
      <c r="A110" s="21" t="str">
        <f t="shared" ca="1" si="42"/>
        <v/>
      </c>
      <c r="B110" s="20">
        <f>Proforma!F77</f>
        <v>0</v>
      </c>
      <c r="C110" s="20">
        <f>Proforma!G77</f>
        <v>0</v>
      </c>
      <c r="D110" s="20"/>
      <c r="E110" s="23" t="str">
        <f ca="1">IF(A110&lt;&gt;"",codeEAN13(INT(A110/10)),"")</f>
        <v/>
      </c>
      <c r="G110" s="27" t="str">
        <f t="shared" ca="1" si="29"/>
        <v/>
      </c>
      <c r="H110" s="27" t="str">
        <f t="shared" ca="1" si="30"/>
        <v/>
      </c>
      <c r="I110" s="27" t="str">
        <f t="shared" ca="1" si="31"/>
        <v/>
      </c>
      <c r="J110" s="25" t="str">
        <f t="shared" ca="1" si="32"/>
        <v/>
      </c>
      <c r="K110" s="25" t="str">
        <f t="shared" ca="1" si="33"/>
        <v/>
      </c>
      <c r="M110" s="19" t="b">
        <f t="shared" ca="1" si="43"/>
        <v>0</v>
      </c>
      <c r="N110" s="19" t="b">
        <f t="shared" ca="1" si="44"/>
        <v>0</v>
      </c>
      <c r="O110" s="19" t="b">
        <f t="shared" ca="1" si="45"/>
        <v>0</v>
      </c>
      <c r="P110" s="11"/>
      <c r="Q110" s="9" t="str">
        <f t="shared" ca="1" si="34"/>
        <v/>
      </c>
      <c r="R110" s="29" t="str">
        <f t="shared" ca="1" si="35"/>
        <v/>
      </c>
      <c r="S110" s="2">
        <f>Proforma!B77</f>
        <v>0</v>
      </c>
      <c r="T110" s="2">
        <f>Proforma!C77</f>
        <v>0</v>
      </c>
      <c r="U110" s="2">
        <f>Proforma!D77</f>
        <v>0</v>
      </c>
      <c r="W110" t="str">
        <f t="shared" si="46"/>
        <v>0-0-000</v>
      </c>
      <c r="X110" s="14" t="str">
        <f t="shared" ca="1" si="36"/>
        <v/>
      </c>
      <c r="Y110" s="1"/>
      <c r="Z110" s="2" t="str">
        <f t="shared" ca="1" si="37"/>
        <v/>
      </c>
      <c r="AA110" s="7" t="str">
        <f t="shared" ca="1" si="38"/>
        <v/>
      </c>
      <c r="AB110" s="13" t="str">
        <f t="shared" ca="1" si="39"/>
        <v/>
      </c>
      <c r="AC110" s="13" t="str">
        <f t="shared" ca="1" si="40"/>
        <v/>
      </c>
      <c r="AE110" s="5" t="str">
        <f t="shared" ca="1" si="41"/>
        <v/>
      </c>
    </row>
    <row r="111" spans="1:31" customFormat="1" ht="33.75" x14ac:dyDescent="0.5">
      <c r="A111" s="21" t="str">
        <f t="shared" ca="1" si="42"/>
        <v/>
      </c>
      <c r="B111" s="20">
        <f>Proforma!F78</f>
        <v>0</v>
      </c>
      <c r="C111" s="20">
        <f>Proforma!G78</f>
        <v>0</v>
      </c>
      <c r="D111" s="20"/>
      <c r="E111" s="23" t="str">
        <f ca="1">IF(A111&lt;&gt;"",codeEAN13(INT(A111/10)),"")</f>
        <v/>
      </c>
      <c r="G111" s="27" t="str">
        <f t="shared" ca="1" si="29"/>
        <v/>
      </c>
      <c r="H111" s="27" t="str">
        <f t="shared" ca="1" si="30"/>
        <v/>
      </c>
      <c r="I111" s="27" t="str">
        <f t="shared" ca="1" si="31"/>
        <v/>
      </c>
      <c r="J111" s="25" t="str">
        <f t="shared" ca="1" si="32"/>
        <v/>
      </c>
      <c r="K111" s="25" t="str">
        <f t="shared" ca="1" si="33"/>
        <v/>
      </c>
      <c r="M111" s="19" t="b">
        <f t="shared" ca="1" si="43"/>
        <v>0</v>
      </c>
      <c r="N111" s="19" t="b">
        <f t="shared" ca="1" si="44"/>
        <v>0</v>
      </c>
      <c r="O111" s="19" t="b">
        <f t="shared" ca="1" si="45"/>
        <v>0</v>
      </c>
      <c r="P111" s="11"/>
      <c r="Q111" s="9" t="str">
        <f t="shared" ca="1" si="34"/>
        <v/>
      </c>
      <c r="R111" s="29" t="str">
        <f t="shared" ca="1" si="35"/>
        <v/>
      </c>
      <c r="S111" s="2">
        <f>Proforma!B78</f>
        <v>0</v>
      </c>
      <c r="T111" s="2">
        <f>Proforma!C78</f>
        <v>0</v>
      </c>
      <c r="U111" s="2">
        <f>Proforma!D78</f>
        <v>0</v>
      </c>
      <c r="W111" t="str">
        <f t="shared" si="46"/>
        <v>0-0-000</v>
      </c>
      <c r="X111" s="14" t="str">
        <f t="shared" ca="1" si="36"/>
        <v/>
      </c>
      <c r="Y111" s="1"/>
      <c r="Z111" s="2" t="str">
        <f t="shared" ca="1" si="37"/>
        <v/>
      </c>
      <c r="AA111" s="7" t="str">
        <f t="shared" ca="1" si="38"/>
        <v/>
      </c>
      <c r="AB111" s="13" t="str">
        <f t="shared" ca="1" si="39"/>
        <v/>
      </c>
      <c r="AC111" s="13" t="str">
        <f t="shared" ca="1" si="40"/>
        <v/>
      </c>
      <c r="AE111" s="5" t="str">
        <f t="shared" ca="1" si="41"/>
        <v/>
      </c>
    </row>
    <row r="112" spans="1:31" customFormat="1" ht="33.75" x14ac:dyDescent="0.5">
      <c r="A112" s="21" t="str">
        <f t="shared" ca="1" si="42"/>
        <v/>
      </c>
      <c r="B112" s="20">
        <f>Proforma!F79</f>
        <v>0</v>
      </c>
      <c r="C112" s="20">
        <f>Proforma!G79</f>
        <v>0</v>
      </c>
      <c r="D112" s="20"/>
      <c r="E112" s="23" t="str">
        <f ca="1">IF(A112&lt;&gt;"",codeEAN13(INT(A112/10)),"")</f>
        <v/>
      </c>
      <c r="G112" s="27" t="str">
        <f t="shared" ca="1" si="29"/>
        <v/>
      </c>
      <c r="H112" s="27" t="str">
        <f t="shared" ca="1" si="30"/>
        <v/>
      </c>
      <c r="I112" s="27" t="str">
        <f t="shared" ca="1" si="31"/>
        <v/>
      </c>
      <c r="J112" s="25" t="str">
        <f t="shared" ca="1" si="32"/>
        <v/>
      </c>
      <c r="K112" s="25" t="str">
        <f t="shared" ca="1" si="33"/>
        <v/>
      </c>
      <c r="M112" s="19" t="b">
        <f t="shared" ca="1" si="43"/>
        <v>0</v>
      </c>
      <c r="N112" s="19" t="b">
        <f t="shared" ca="1" si="44"/>
        <v>0</v>
      </c>
      <c r="O112" s="19" t="b">
        <f t="shared" ca="1" si="45"/>
        <v>0</v>
      </c>
      <c r="P112" s="11"/>
      <c r="Q112" s="9" t="str">
        <f t="shared" ca="1" si="34"/>
        <v/>
      </c>
      <c r="R112" s="29" t="str">
        <f t="shared" ca="1" si="35"/>
        <v/>
      </c>
      <c r="S112" s="2">
        <f>Proforma!B79</f>
        <v>0</v>
      </c>
      <c r="T112" s="2">
        <f>Proforma!C79</f>
        <v>0</v>
      </c>
      <c r="U112" s="2">
        <f>Proforma!D79</f>
        <v>0</v>
      </c>
      <c r="W112" t="str">
        <f t="shared" si="46"/>
        <v>0-0-000</v>
      </c>
      <c r="X112" s="14" t="str">
        <f t="shared" ca="1" si="36"/>
        <v/>
      </c>
      <c r="Y112" s="1"/>
      <c r="Z112" s="2" t="str">
        <f t="shared" ca="1" si="37"/>
        <v/>
      </c>
      <c r="AA112" s="7" t="str">
        <f t="shared" ca="1" si="38"/>
        <v/>
      </c>
      <c r="AB112" s="13" t="str">
        <f t="shared" ca="1" si="39"/>
        <v/>
      </c>
      <c r="AC112" s="13" t="str">
        <f t="shared" ca="1" si="40"/>
        <v/>
      </c>
      <c r="AE112" s="5" t="str">
        <f t="shared" ca="1" si="41"/>
        <v/>
      </c>
    </row>
    <row r="113" spans="1:31" customFormat="1" ht="33.75" x14ac:dyDescent="0.5">
      <c r="A113" s="21" t="str">
        <f t="shared" ca="1" si="42"/>
        <v/>
      </c>
      <c r="B113" s="20">
        <f>Proforma!F80</f>
        <v>0</v>
      </c>
      <c r="C113" s="20">
        <f>Proforma!G80</f>
        <v>0</v>
      </c>
      <c r="D113" s="20"/>
      <c r="E113" s="23" t="str">
        <f ca="1">IF(A113&lt;&gt;"",codeEAN13(INT(A113/10)),"")</f>
        <v/>
      </c>
      <c r="G113" s="27" t="str">
        <f t="shared" ca="1" si="29"/>
        <v/>
      </c>
      <c r="H113" s="27" t="str">
        <f t="shared" ca="1" si="30"/>
        <v/>
      </c>
      <c r="I113" s="27" t="str">
        <f t="shared" ca="1" si="31"/>
        <v/>
      </c>
      <c r="J113" s="25" t="str">
        <f t="shared" ca="1" si="32"/>
        <v/>
      </c>
      <c r="K113" s="25" t="str">
        <f t="shared" ca="1" si="33"/>
        <v/>
      </c>
      <c r="M113" s="19" t="b">
        <f t="shared" ca="1" si="43"/>
        <v>0</v>
      </c>
      <c r="N113" s="19" t="b">
        <f t="shared" ca="1" si="44"/>
        <v>0</v>
      </c>
      <c r="O113" s="19" t="b">
        <f t="shared" ca="1" si="45"/>
        <v>0</v>
      </c>
      <c r="P113" s="11"/>
      <c r="Q113" s="9" t="str">
        <f t="shared" ca="1" si="34"/>
        <v/>
      </c>
      <c r="R113" s="29" t="str">
        <f t="shared" ca="1" si="35"/>
        <v/>
      </c>
      <c r="S113" s="2">
        <f>Proforma!B80</f>
        <v>0</v>
      </c>
      <c r="T113" s="2">
        <f>Proforma!C80</f>
        <v>0</v>
      </c>
      <c r="U113" s="2">
        <f>Proforma!D80</f>
        <v>0</v>
      </c>
      <c r="W113" t="str">
        <f t="shared" si="46"/>
        <v>0-0-000</v>
      </c>
      <c r="X113" s="14" t="str">
        <f t="shared" ca="1" si="36"/>
        <v/>
      </c>
      <c r="Y113" s="1"/>
      <c r="Z113" s="2" t="str">
        <f t="shared" ca="1" si="37"/>
        <v/>
      </c>
      <c r="AA113" s="7" t="str">
        <f t="shared" ca="1" si="38"/>
        <v/>
      </c>
      <c r="AB113" s="13" t="str">
        <f t="shared" ca="1" si="39"/>
        <v/>
      </c>
      <c r="AC113" s="13" t="str">
        <f t="shared" ca="1" si="40"/>
        <v/>
      </c>
      <c r="AE113" s="5" t="str">
        <f t="shared" ca="1" si="41"/>
        <v/>
      </c>
    </row>
    <row r="114" spans="1:31" customFormat="1" ht="33.75" x14ac:dyDescent="0.5">
      <c r="A114" s="21" t="str">
        <f t="shared" ca="1" si="42"/>
        <v/>
      </c>
      <c r="B114" s="20">
        <f>Proforma!F81</f>
        <v>0</v>
      </c>
      <c r="C114" s="20">
        <f>Proforma!G81</f>
        <v>0</v>
      </c>
      <c r="D114" s="20"/>
      <c r="E114" s="23" t="str">
        <f ca="1">IF(A114&lt;&gt;"",codeEAN13(INT(A114/10)),"")</f>
        <v/>
      </c>
      <c r="G114" s="27" t="str">
        <f t="shared" ca="1" si="29"/>
        <v/>
      </c>
      <c r="H114" s="27" t="str">
        <f t="shared" ca="1" si="30"/>
        <v/>
      </c>
      <c r="I114" s="27" t="str">
        <f t="shared" ca="1" si="31"/>
        <v/>
      </c>
      <c r="J114" s="25" t="str">
        <f t="shared" ca="1" si="32"/>
        <v/>
      </c>
      <c r="K114" s="25" t="str">
        <f t="shared" ca="1" si="33"/>
        <v/>
      </c>
      <c r="M114" s="19" t="b">
        <f t="shared" ca="1" si="43"/>
        <v>0</v>
      </c>
      <c r="N114" s="19" t="b">
        <f t="shared" ca="1" si="44"/>
        <v>0</v>
      </c>
      <c r="O114" s="19" t="b">
        <f t="shared" ca="1" si="45"/>
        <v>0</v>
      </c>
      <c r="P114" s="11"/>
      <c r="Q114" s="9" t="str">
        <f t="shared" ca="1" si="34"/>
        <v/>
      </c>
      <c r="R114" s="29" t="str">
        <f t="shared" ca="1" si="35"/>
        <v/>
      </c>
      <c r="S114" s="2">
        <f>Proforma!B81</f>
        <v>0</v>
      </c>
      <c r="T114" s="2">
        <f>Proforma!C81</f>
        <v>0</v>
      </c>
      <c r="U114" s="2">
        <f>Proforma!D81</f>
        <v>0</v>
      </c>
      <c r="W114" t="str">
        <f t="shared" si="46"/>
        <v>0-0-000</v>
      </c>
      <c r="X114" s="14" t="str">
        <f t="shared" ca="1" si="36"/>
        <v/>
      </c>
      <c r="Y114" s="1"/>
      <c r="Z114" s="2" t="str">
        <f t="shared" ca="1" si="37"/>
        <v/>
      </c>
      <c r="AA114" s="7" t="str">
        <f t="shared" ca="1" si="38"/>
        <v/>
      </c>
      <c r="AB114" s="13" t="str">
        <f t="shared" ca="1" si="39"/>
        <v/>
      </c>
      <c r="AC114" s="13" t="str">
        <f t="shared" ca="1" si="40"/>
        <v/>
      </c>
      <c r="AE114" s="5" t="str">
        <f t="shared" ca="1" si="41"/>
        <v/>
      </c>
    </row>
    <row r="115" spans="1:31" customFormat="1" ht="33.75" x14ac:dyDescent="0.5">
      <c r="A115" s="21" t="str">
        <f t="shared" ca="1" si="42"/>
        <v/>
      </c>
      <c r="B115" s="20">
        <f>Proforma!F82</f>
        <v>0</v>
      </c>
      <c r="C115" s="20">
        <f>Proforma!G82</f>
        <v>0</v>
      </c>
      <c r="D115" s="20"/>
      <c r="E115" s="23" t="str">
        <f ca="1">IF(A115&lt;&gt;"",codeEAN13(INT(A115/10)),"")</f>
        <v/>
      </c>
      <c r="G115" s="27" t="str">
        <f t="shared" ca="1" si="29"/>
        <v/>
      </c>
      <c r="H115" s="27" t="str">
        <f t="shared" ca="1" si="30"/>
        <v/>
      </c>
      <c r="I115" s="27" t="str">
        <f t="shared" ca="1" si="31"/>
        <v/>
      </c>
      <c r="J115" s="25" t="str">
        <f t="shared" ca="1" si="32"/>
        <v/>
      </c>
      <c r="K115" s="25" t="str">
        <f t="shared" ca="1" si="33"/>
        <v/>
      </c>
      <c r="M115" s="19" t="b">
        <f t="shared" ca="1" si="43"/>
        <v>0</v>
      </c>
      <c r="N115" s="19" t="b">
        <f t="shared" ca="1" si="44"/>
        <v>0</v>
      </c>
      <c r="O115" s="19" t="b">
        <f t="shared" ca="1" si="45"/>
        <v>0</v>
      </c>
      <c r="P115" s="11"/>
      <c r="Q115" s="9" t="str">
        <f t="shared" ca="1" si="34"/>
        <v/>
      </c>
      <c r="R115" s="29" t="str">
        <f t="shared" ca="1" si="35"/>
        <v/>
      </c>
      <c r="S115" s="2">
        <f>Proforma!B82</f>
        <v>0</v>
      </c>
      <c r="T115" s="2">
        <f>Proforma!C82</f>
        <v>0</v>
      </c>
      <c r="U115" s="2">
        <f>Proforma!D82</f>
        <v>0</v>
      </c>
      <c r="W115" t="str">
        <f t="shared" si="46"/>
        <v>0-0-000</v>
      </c>
      <c r="X115" s="14" t="str">
        <f t="shared" ca="1" si="36"/>
        <v/>
      </c>
      <c r="Y115" s="1"/>
      <c r="Z115" s="2" t="str">
        <f t="shared" ca="1" si="37"/>
        <v/>
      </c>
      <c r="AA115" s="7" t="str">
        <f t="shared" ca="1" si="38"/>
        <v/>
      </c>
      <c r="AB115" s="13" t="str">
        <f t="shared" ca="1" si="39"/>
        <v/>
      </c>
      <c r="AC115" s="13" t="str">
        <f t="shared" ca="1" si="40"/>
        <v/>
      </c>
      <c r="AE115" s="5" t="str">
        <f t="shared" ca="1" si="41"/>
        <v/>
      </c>
    </row>
    <row r="116" spans="1:31" customFormat="1" ht="33.75" x14ac:dyDescent="0.5">
      <c r="A116" s="21" t="str">
        <f t="shared" ca="1" si="42"/>
        <v/>
      </c>
      <c r="B116" s="20">
        <f>Proforma!F83</f>
        <v>0</v>
      </c>
      <c r="C116" s="20">
        <f>Proforma!G83</f>
        <v>0</v>
      </c>
      <c r="D116" s="20"/>
      <c r="E116" s="23" t="str">
        <f ca="1">IF(A116&lt;&gt;"",codeEAN13(INT(A116/10)),"")</f>
        <v/>
      </c>
      <c r="G116" s="27" t="str">
        <f t="shared" ca="1" si="29"/>
        <v/>
      </c>
      <c r="H116" s="27" t="str">
        <f t="shared" ca="1" si="30"/>
        <v/>
      </c>
      <c r="I116" s="27" t="str">
        <f t="shared" ca="1" si="31"/>
        <v/>
      </c>
      <c r="J116" s="25" t="str">
        <f t="shared" ca="1" si="32"/>
        <v/>
      </c>
      <c r="K116" s="25" t="str">
        <f t="shared" ca="1" si="33"/>
        <v/>
      </c>
      <c r="M116" s="19" t="b">
        <f t="shared" ca="1" si="43"/>
        <v>0</v>
      </c>
      <c r="N116" s="19" t="b">
        <f t="shared" ca="1" si="44"/>
        <v>0</v>
      </c>
      <c r="O116" s="19" t="b">
        <f t="shared" ca="1" si="45"/>
        <v>0</v>
      </c>
      <c r="P116" s="11"/>
      <c r="Q116" s="9" t="str">
        <f t="shared" ca="1" si="34"/>
        <v/>
      </c>
      <c r="R116" s="29" t="str">
        <f t="shared" ca="1" si="35"/>
        <v/>
      </c>
      <c r="S116" s="2">
        <f>Proforma!B83</f>
        <v>0</v>
      </c>
      <c r="T116" s="2">
        <f>Proforma!C83</f>
        <v>0</v>
      </c>
      <c r="U116" s="2">
        <f>Proforma!D83</f>
        <v>0</v>
      </c>
      <c r="W116" t="str">
        <f t="shared" si="46"/>
        <v>0-0-000</v>
      </c>
      <c r="X116" s="14" t="str">
        <f t="shared" ca="1" si="36"/>
        <v/>
      </c>
      <c r="Y116" s="1"/>
      <c r="Z116" s="2" t="str">
        <f t="shared" ca="1" si="37"/>
        <v/>
      </c>
      <c r="AA116" s="7" t="str">
        <f t="shared" ca="1" si="38"/>
        <v/>
      </c>
      <c r="AB116" s="13" t="str">
        <f t="shared" ca="1" si="39"/>
        <v/>
      </c>
      <c r="AC116" s="13" t="str">
        <f t="shared" ca="1" si="40"/>
        <v/>
      </c>
      <c r="AE116" s="5" t="str">
        <f t="shared" ca="1" si="41"/>
        <v/>
      </c>
    </row>
    <row r="117" spans="1:31" customFormat="1" ht="33.75" x14ac:dyDescent="0.5">
      <c r="A117" s="21" t="str">
        <f t="shared" ca="1" si="42"/>
        <v/>
      </c>
      <c r="B117" s="20">
        <f>Proforma!F84</f>
        <v>0</v>
      </c>
      <c r="C117" s="20">
        <f>Proforma!G84</f>
        <v>0</v>
      </c>
      <c r="D117" s="20"/>
      <c r="E117" s="23" t="str">
        <f ca="1">IF(A117&lt;&gt;"",codeEAN13(INT(A117/10)),"")</f>
        <v/>
      </c>
      <c r="G117" s="27" t="str">
        <f t="shared" ca="1" si="29"/>
        <v/>
      </c>
      <c r="H117" s="27" t="str">
        <f t="shared" ca="1" si="30"/>
        <v/>
      </c>
      <c r="I117" s="27" t="str">
        <f t="shared" ca="1" si="31"/>
        <v/>
      </c>
      <c r="J117" s="25" t="str">
        <f t="shared" ca="1" si="32"/>
        <v/>
      </c>
      <c r="K117" s="25" t="str">
        <f t="shared" ca="1" si="33"/>
        <v/>
      </c>
      <c r="M117" s="19" t="b">
        <f t="shared" ca="1" si="43"/>
        <v>0</v>
      </c>
      <c r="N117" s="19" t="b">
        <f t="shared" ca="1" si="44"/>
        <v>0</v>
      </c>
      <c r="O117" s="19" t="b">
        <f t="shared" ca="1" si="45"/>
        <v>0</v>
      </c>
      <c r="P117" s="11"/>
      <c r="Q117" s="9" t="str">
        <f t="shared" ca="1" si="34"/>
        <v/>
      </c>
      <c r="R117" s="29" t="str">
        <f t="shared" ca="1" si="35"/>
        <v/>
      </c>
      <c r="S117" s="2">
        <f>Proforma!B84</f>
        <v>0</v>
      </c>
      <c r="T117" s="2">
        <f>Proforma!C84</f>
        <v>0</v>
      </c>
      <c r="U117" s="2">
        <f>Proforma!D84</f>
        <v>0</v>
      </c>
      <c r="W117" t="str">
        <f t="shared" si="46"/>
        <v>0-0-000</v>
      </c>
      <c r="X117" s="14" t="str">
        <f t="shared" ca="1" si="36"/>
        <v/>
      </c>
      <c r="Y117" s="1"/>
      <c r="Z117" s="2" t="str">
        <f t="shared" ca="1" si="37"/>
        <v/>
      </c>
      <c r="AA117" s="7" t="str">
        <f t="shared" ca="1" si="38"/>
        <v/>
      </c>
      <c r="AB117" s="13" t="str">
        <f t="shared" ca="1" si="39"/>
        <v/>
      </c>
      <c r="AC117" s="13" t="str">
        <f t="shared" ca="1" si="40"/>
        <v/>
      </c>
      <c r="AE117" s="5" t="str">
        <f t="shared" ca="1" si="41"/>
        <v/>
      </c>
    </row>
    <row r="118" spans="1:31" customFormat="1" ht="33.75" x14ac:dyDescent="0.5">
      <c r="A118" s="21" t="str">
        <f t="shared" ca="1" si="42"/>
        <v/>
      </c>
      <c r="B118" s="20">
        <f>Proforma!F85</f>
        <v>0</v>
      </c>
      <c r="C118" s="20">
        <f>Proforma!G85</f>
        <v>0</v>
      </c>
      <c r="D118" s="20"/>
      <c r="E118" s="23" t="str">
        <f ca="1">IF(A118&lt;&gt;"",codeEAN13(INT(A118/10)),"")</f>
        <v/>
      </c>
      <c r="G118" s="27" t="str">
        <f t="shared" ca="1" si="29"/>
        <v/>
      </c>
      <c r="H118" s="27" t="str">
        <f t="shared" ca="1" si="30"/>
        <v/>
      </c>
      <c r="I118" s="27" t="str">
        <f t="shared" ca="1" si="31"/>
        <v/>
      </c>
      <c r="J118" s="25" t="str">
        <f t="shared" ca="1" si="32"/>
        <v/>
      </c>
      <c r="K118" s="25" t="str">
        <f t="shared" ca="1" si="33"/>
        <v/>
      </c>
      <c r="M118" s="19" t="b">
        <f t="shared" ca="1" si="43"/>
        <v>0</v>
      </c>
      <c r="N118" s="19" t="b">
        <f t="shared" ca="1" si="44"/>
        <v>0</v>
      </c>
      <c r="O118" s="19" t="b">
        <f t="shared" ca="1" si="45"/>
        <v>0</v>
      </c>
      <c r="P118" s="11"/>
      <c r="Q118" s="9" t="str">
        <f t="shared" ca="1" si="34"/>
        <v/>
      </c>
      <c r="R118" s="29" t="str">
        <f t="shared" ca="1" si="35"/>
        <v/>
      </c>
      <c r="S118" s="2">
        <f>Proforma!B85</f>
        <v>0</v>
      </c>
      <c r="T118" s="2">
        <f>Proforma!C85</f>
        <v>0</v>
      </c>
      <c r="U118" s="2">
        <f>Proforma!D85</f>
        <v>0</v>
      </c>
      <c r="W118" t="str">
        <f t="shared" si="46"/>
        <v>0-0-000</v>
      </c>
      <c r="X118" s="14" t="str">
        <f t="shared" ca="1" si="36"/>
        <v/>
      </c>
      <c r="Y118" s="1"/>
      <c r="Z118" s="2" t="str">
        <f t="shared" ca="1" si="37"/>
        <v/>
      </c>
      <c r="AA118" s="7" t="str">
        <f t="shared" ca="1" si="38"/>
        <v/>
      </c>
      <c r="AB118" s="13" t="str">
        <f t="shared" ca="1" si="39"/>
        <v/>
      </c>
      <c r="AC118" s="13" t="str">
        <f t="shared" ca="1" si="40"/>
        <v/>
      </c>
      <c r="AE118" s="5" t="str">
        <f t="shared" ca="1" si="41"/>
        <v/>
      </c>
    </row>
    <row r="119" spans="1:31" customFormat="1" ht="33.75" x14ac:dyDescent="0.5">
      <c r="A119" s="21" t="str">
        <f t="shared" ca="1" si="42"/>
        <v/>
      </c>
      <c r="B119" s="20">
        <f>Proforma!F86</f>
        <v>0</v>
      </c>
      <c r="C119" s="20">
        <f>Proforma!G86</f>
        <v>0</v>
      </c>
      <c r="D119" s="20"/>
      <c r="E119" s="23" t="str">
        <f ca="1">IF(A119&lt;&gt;"",codeEAN13(INT(A119/10)),"")</f>
        <v/>
      </c>
      <c r="G119" s="27" t="str">
        <f t="shared" ca="1" si="29"/>
        <v/>
      </c>
      <c r="H119" s="27" t="str">
        <f t="shared" ca="1" si="30"/>
        <v/>
      </c>
      <c r="I119" s="27" t="str">
        <f t="shared" ca="1" si="31"/>
        <v/>
      </c>
      <c r="J119" s="25" t="str">
        <f t="shared" ca="1" si="32"/>
        <v/>
      </c>
      <c r="K119" s="25" t="str">
        <f t="shared" ca="1" si="33"/>
        <v/>
      </c>
      <c r="M119" s="19" t="b">
        <f t="shared" ca="1" si="43"/>
        <v>0</v>
      </c>
      <c r="N119" s="19" t="b">
        <f t="shared" ca="1" si="44"/>
        <v>0</v>
      </c>
      <c r="O119" s="19" t="b">
        <f t="shared" ca="1" si="45"/>
        <v>0</v>
      </c>
      <c r="P119" s="11"/>
      <c r="Q119" s="9" t="str">
        <f t="shared" ca="1" si="34"/>
        <v/>
      </c>
      <c r="R119" s="29" t="str">
        <f t="shared" ca="1" si="35"/>
        <v/>
      </c>
      <c r="S119" s="2">
        <f>Proforma!B86</f>
        <v>0</v>
      </c>
      <c r="T119" s="2">
        <f>Proforma!C86</f>
        <v>0</v>
      </c>
      <c r="U119" s="2">
        <f>Proforma!D86</f>
        <v>0</v>
      </c>
      <c r="W119" t="str">
        <f t="shared" si="46"/>
        <v>0-0-000</v>
      </c>
      <c r="X119" s="14" t="str">
        <f t="shared" ca="1" si="36"/>
        <v/>
      </c>
      <c r="Y119" s="1"/>
      <c r="Z119" s="2" t="str">
        <f t="shared" ca="1" si="37"/>
        <v/>
      </c>
      <c r="AA119" s="7" t="str">
        <f t="shared" ca="1" si="38"/>
        <v/>
      </c>
      <c r="AB119" s="13" t="str">
        <f t="shared" ca="1" si="39"/>
        <v/>
      </c>
      <c r="AC119" s="13" t="str">
        <f t="shared" ca="1" si="40"/>
        <v/>
      </c>
      <c r="AE119" s="5" t="str">
        <f t="shared" ca="1" si="41"/>
        <v/>
      </c>
    </row>
    <row r="120" spans="1:31" customFormat="1" ht="33.75" x14ac:dyDescent="0.5">
      <c r="A120" s="21" t="str">
        <f t="shared" ca="1" si="42"/>
        <v/>
      </c>
      <c r="B120" s="20">
        <f>Proforma!F87</f>
        <v>0</v>
      </c>
      <c r="C120" s="20">
        <f>Proforma!G87</f>
        <v>0</v>
      </c>
      <c r="D120" s="20"/>
      <c r="E120" s="23" t="str">
        <f ca="1">IF(A120&lt;&gt;"",codeEAN13(INT(A120/10)),"")</f>
        <v/>
      </c>
      <c r="G120" s="27" t="str">
        <f t="shared" ca="1" si="29"/>
        <v/>
      </c>
      <c r="H120" s="27" t="str">
        <f t="shared" ca="1" si="30"/>
        <v/>
      </c>
      <c r="I120" s="27" t="str">
        <f t="shared" ca="1" si="31"/>
        <v/>
      </c>
      <c r="J120" s="25" t="str">
        <f t="shared" ca="1" si="32"/>
        <v/>
      </c>
      <c r="K120" s="25" t="str">
        <f t="shared" ca="1" si="33"/>
        <v/>
      </c>
      <c r="M120" s="19" t="b">
        <f t="shared" ca="1" si="43"/>
        <v>0</v>
      </c>
      <c r="N120" s="19" t="b">
        <f t="shared" ca="1" si="44"/>
        <v>0</v>
      </c>
      <c r="O120" s="19" t="b">
        <f t="shared" ca="1" si="45"/>
        <v>0</v>
      </c>
      <c r="P120" s="11"/>
      <c r="Q120" s="9" t="str">
        <f t="shared" ca="1" si="34"/>
        <v/>
      </c>
      <c r="R120" s="29" t="str">
        <f t="shared" ca="1" si="35"/>
        <v/>
      </c>
      <c r="S120" s="2">
        <f>Proforma!B87</f>
        <v>0</v>
      </c>
      <c r="T120" s="2">
        <f>Proforma!C87</f>
        <v>0</v>
      </c>
      <c r="U120" s="2">
        <f>Proforma!D87</f>
        <v>0</v>
      </c>
      <c r="W120" t="str">
        <f t="shared" si="46"/>
        <v>0-0-000</v>
      </c>
      <c r="X120" s="14" t="str">
        <f t="shared" ca="1" si="36"/>
        <v/>
      </c>
      <c r="Y120" s="1"/>
      <c r="Z120" s="2" t="str">
        <f t="shared" ca="1" si="37"/>
        <v/>
      </c>
      <c r="AA120" s="7" t="str">
        <f t="shared" ca="1" si="38"/>
        <v/>
      </c>
      <c r="AB120" s="13" t="str">
        <f t="shared" ca="1" si="39"/>
        <v/>
      </c>
      <c r="AC120" s="13" t="str">
        <f t="shared" ca="1" si="40"/>
        <v/>
      </c>
      <c r="AE120" s="5" t="str">
        <f t="shared" ca="1" si="41"/>
        <v/>
      </c>
    </row>
    <row r="121" spans="1:31" customFormat="1" ht="33.75" x14ac:dyDescent="0.5">
      <c r="A121" s="21" t="str">
        <f t="shared" ca="1" si="42"/>
        <v/>
      </c>
      <c r="B121" s="20">
        <f>Proforma!F88</f>
        <v>0</v>
      </c>
      <c r="C121" s="20">
        <f>Proforma!G88</f>
        <v>0</v>
      </c>
      <c r="D121" s="20"/>
      <c r="E121" s="23" t="str">
        <f ca="1">IF(A121&lt;&gt;"",codeEAN13(INT(A121/10)),"")</f>
        <v/>
      </c>
      <c r="G121" s="27" t="str">
        <f t="shared" ca="1" si="29"/>
        <v/>
      </c>
      <c r="H121" s="27" t="str">
        <f t="shared" ca="1" si="30"/>
        <v/>
      </c>
      <c r="I121" s="27" t="str">
        <f t="shared" ca="1" si="31"/>
        <v/>
      </c>
      <c r="J121" s="25" t="str">
        <f t="shared" ca="1" si="32"/>
        <v/>
      </c>
      <c r="K121" s="25" t="str">
        <f t="shared" ca="1" si="33"/>
        <v/>
      </c>
      <c r="M121" s="19" t="b">
        <f t="shared" ca="1" si="43"/>
        <v>0</v>
      </c>
      <c r="N121" s="19" t="b">
        <f t="shared" ca="1" si="44"/>
        <v>0</v>
      </c>
      <c r="O121" s="19" t="b">
        <f t="shared" ca="1" si="45"/>
        <v>0</v>
      </c>
      <c r="P121" s="11"/>
      <c r="Q121" s="9" t="str">
        <f t="shared" ca="1" si="34"/>
        <v/>
      </c>
      <c r="R121" s="29" t="str">
        <f t="shared" ca="1" si="35"/>
        <v/>
      </c>
      <c r="S121" s="2">
        <f>Proforma!B88</f>
        <v>0</v>
      </c>
      <c r="T121" s="2">
        <f>Proforma!C88</f>
        <v>0</v>
      </c>
      <c r="U121" s="2">
        <f>Proforma!D88</f>
        <v>0</v>
      </c>
      <c r="W121" t="str">
        <f t="shared" si="46"/>
        <v>0-0-000</v>
      </c>
      <c r="X121" s="14" t="str">
        <f t="shared" ca="1" si="36"/>
        <v/>
      </c>
      <c r="Y121" s="1"/>
      <c r="Z121" s="2" t="str">
        <f t="shared" ca="1" si="37"/>
        <v/>
      </c>
      <c r="AA121" s="7" t="str">
        <f t="shared" ca="1" si="38"/>
        <v/>
      </c>
      <c r="AB121" s="13" t="str">
        <f t="shared" ca="1" si="39"/>
        <v/>
      </c>
      <c r="AC121" s="13" t="str">
        <f t="shared" ca="1" si="40"/>
        <v/>
      </c>
      <c r="AE121" s="5" t="str">
        <f t="shared" ca="1" si="41"/>
        <v/>
      </c>
    </row>
    <row r="122" spans="1:31" customFormat="1" ht="33.75" x14ac:dyDescent="0.5">
      <c r="A122" s="21" t="str">
        <f t="shared" ca="1" si="42"/>
        <v/>
      </c>
      <c r="B122" s="20">
        <f>Proforma!F89</f>
        <v>0</v>
      </c>
      <c r="C122" s="20">
        <f>Proforma!G89</f>
        <v>0</v>
      </c>
      <c r="D122" s="20"/>
      <c r="E122" s="23" t="str">
        <f ca="1">IF(A122&lt;&gt;"",codeEAN13(INT(A122/10)),"")</f>
        <v/>
      </c>
      <c r="G122" s="27" t="str">
        <f t="shared" ca="1" si="29"/>
        <v/>
      </c>
      <c r="H122" s="27" t="str">
        <f t="shared" ca="1" si="30"/>
        <v/>
      </c>
      <c r="I122" s="27" t="str">
        <f t="shared" ca="1" si="31"/>
        <v/>
      </c>
      <c r="J122" s="25" t="str">
        <f t="shared" ca="1" si="32"/>
        <v/>
      </c>
      <c r="K122" s="25" t="str">
        <f t="shared" ca="1" si="33"/>
        <v/>
      </c>
      <c r="M122" s="19" t="b">
        <f t="shared" ca="1" si="43"/>
        <v>0</v>
      </c>
      <c r="N122" s="19" t="b">
        <f t="shared" ca="1" si="44"/>
        <v>0</v>
      </c>
      <c r="O122" s="19" t="b">
        <f t="shared" ca="1" si="45"/>
        <v>0</v>
      </c>
      <c r="P122" s="11"/>
      <c r="Q122" s="9" t="str">
        <f t="shared" ca="1" si="34"/>
        <v/>
      </c>
      <c r="R122" s="29" t="str">
        <f t="shared" ca="1" si="35"/>
        <v/>
      </c>
      <c r="S122" s="2">
        <f>Proforma!B89</f>
        <v>0</v>
      </c>
      <c r="T122" s="2">
        <f>Proforma!C89</f>
        <v>0</v>
      </c>
      <c r="U122" s="2">
        <f>Proforma!D89</f>
        <v>0</v>
      </c>
      <c r="W122" t="str">
        <f t="shared" si="46"/>
        <v>0-0-000</v>
      </c>
      <c r="X122" s="14" t="str">
        <f t="shared" ca="1" si="36"/>
        <v/>
      </c>
      <c r="Y122" s="1"/>
      <c r="Z122" s="2" t="str">
        <f t="shared" ca="1" si="37"/>
        <v/>
      </c>
      <c r="AA122" s="7" t="str">
        <f t="shared" ca="1" si="38"/>
        <v/>
      </c>
      <c r="AB122" s="13" t="str">
        <f t="shared" ca="1" si="39"/>
        <v/>
      </c>
      <c r="AC122" s="13" t="str">
        <f t="shared" ca="1" si="40"/>
        <v/>
      </c>
      <c r="AE122" s="5" t="str">
        <f t="shared" ca="1" si="41"/>
        <v/>
      </c>
    </row>
    <row r="123" spans="1:31" customFormat="1" ht="33.75" x14ac:dyDescent="0.5">
      <c r="A123" s="21" t="str">
        <f t="shared" ca="1" si="42"/>
        <v/>
      </c>
      <c r="B123" s="20">
        <f>Proforma!F90</f>
        <v>0</v>
      </c>
      <c r="C123" s="20">
        <f>Proforma!G90</f>
        <v>0</v>
      </c>
      <c r="D123" s="20"/>
      <c r="E123" s="23" t="str">
        <f ca="1">IF(A123&lt;&gt;"",codeEAN13(INT(A123/10)),"")</f>
        <v/>
      </c>
      <c r="G123" s="27" t="str">
        <f t="shared" ca="1" si="29"/>
        <v/>
      </c>
      <c r="H123" s="27" t="str">
        <f t="shared" ca="1" si="30"/>
        <v/>
      </c>
      <c r="I123" s="27" t="str">
        <f t="shared" ca="1" si="31"/>
        <v/>
      </c>
      <c r="J123" s="25" t="str">
        <f t="shared" ca="1" si="32"/>
        <v/>
      </c>
      <c r="K123" s="25" t="str">
        <f t="shared" ca="1" si="33"/>
        <v/>
      </c>
      <c r="M123" s="19" t="b">
        <f t="shared" ca="1" si="43"/>
        <v>0</v>
      </c>
      <c r="N123" s="19" t="b">
        <f t="shared" ca="1" si="44"/>
        <v>0</v>
      </c>
      <c r="O123" s="19" t="b">
        <f t="shared" ca="1" si="45"/>
        <v>0</v>
      </c>
      <c r="P123" s="11"/>
      <c r="Q123" s="9" t="str">
        <f t="shared" ca="1" si="34"/>
        <v/>
      </c>
      <c r="R123" s="29" t="str">
        <f t="shared" ca="1" si="35"/>
        <v/>
      </c>
      <c r="S123" s="2">
        <f>Proforma!B90</f>
        <v>0</v>
      </c>
      <c r="T123" s="2">
        <f>Proforma!C90</f>
        <v>0</v>
      </c>
      <c r="U123" s="2">
        <f>Proforma!D90</f>
        <v>0</v>
      </c>
      <c r="W123" t="str">
        <f t="shared" si="46"/>
        <v>0-0-000</v>
      </c>
      <c r="X123" s="14" t="str">
        <f t="shared" ca="1" si="36"/>
        <v/>
      </c>
      <c r="Y123" s="1"/>
      <c r="Z123" s="2" t="str">
        <f t="shared" ca="1" si="37"/>
        <v/>
      </c>
      <c r="AA123" s="7" t="str">
        <f t="shared" ca="1" si="38"/>
        <v/>
      </c>
      <c r="AB123" s="13" t="str">
        <f t="shared" ca="1" si="39"/>
        <v/>
      </c>
      <c r="AC123" s="13" t="str">
        <f t="shared" ca="1" si="40"/>
        <v/>
      </c>
      <c r="AE123" s="5" t="str">
        <f t="shared" ca="1" si="41"/>
        <v/>
      </c>
    </row>
    <row r="124" spans="1:31" customFormat="1" ht="33.75" x14ac:dyDescent="0.5">
      <c r="A124" s="21" t="str">
        <f t="shared" ca="1" si="42"/>
        <v/>
      </c>
      <c r="B124" s="20">
        <f>Proforma!F91</f>
        <v>0</v>
      </c>
      <c r="C124" s="20">
        <f>Proforma!G91</f>
        <v>0</v>
      </c>
      <c r="D124" s="20"/>
      <c r="E124" s="23" t="str">
        <f ca="1">IF(A124&lt;&gt;"",codeEAN13(INT(A124/10)),"")</f>
        <v/>
      </c>
      <c r="G124" s="27" t="str">
        <f t="shared" ca="1" si="29"/>
        <v/>
      </c>
      <c r="H124" s="27" t="str">
        <f t="shared" ca="1" si="30"/>
        <v/>
      </c>
      <c r="I124" s="27" t="str">
        <f t="shared" ca="1" si="31"/>
        <v/>
      </c>
      <c r="J124" s="25" t="str">
        <f t="shared" ca="1" si="32"/>
        <v/>
      </c>
      <c r="K124" s="25" t="str">
        <f t="shared" ca="1" si="33"/>
        <v/>
      </c>
      <c r="M124" s="19" t="b">
        <f t="shared" ca="1" si="43"/>
        <v>0</v>
      </c>
      <c r="N124" s="19" t="b">
        <f t="shared" ca="1" si="44"/>
        <v>0</v>
      </c>
      <c r="O124" s="19" t="b">
        <f t="shared" ca="1" si="45"/>
        <v>0</v>
      </c>
      <c r="P124" s="11"/>
      <c r="Q124" s="9" t="str">
        <f t="shared" ca="1" si="34"/>
        <v/>
      </c>
      <c r="R124" s="29" t="str">
        <f t="shared" ca="1" si="35"/>
        <v/>
      </c>
      <c r="S124" s="2">
        <f>Proforma!B91</f>
        <v>0</v>
      </c>
      <c r="T124" s="2">
        <f>Proforma!C91</f>
        <v>0</v>
      </c>
      <c r="U124" s="2">
        <f>Proforma!D91</f>
        <v>0</v>
      </c>
      <c r="W124" t="str">
        <f t="shared" si="46"/>
        <v>0-0-000</v>
      </c>
      <c r="X124" s="14" t="str">
        <f t="shared" ca="1" si="36"/>
        <v/>
      </c>
      <c r="Y124" s="1"/>
      <c r="Z124" s="2" t="str">
        <f t="shared" ca="1" si="37"/>
        <v/>
      </c>
      <c r="AA124" s="7" t="str">
        <f t="shared" ca="1" si="38"/>
        <v/>
      </c>
      <c r="AB124" s="13" t="str">
        <f t="shared" ca="1" si="39"/>
        <v/>
      </c>
      <c r="AC124" s="13" t="str">
        <f t="shared" ca="1" si="40"/>
        <v/>
      </c>
      <c r="AE124" s="5" t="str">
        <f t="shared" ca="1" si="41"/>
        <v/>
      </c>
    </row>
    <row r="125" spans="1:31" customFormat="1" ht="33.75" x14ac:dyDescent="0.5">
      <c r="A125" s="21" t="str">
        <f t="shared" ca="1" si="42"/>
        <v/>
      </c>
      <c r="B125" s="20">
        <f>Proforma!F92</f>
        <v>0</v>
      </c>
      <c r="C125" s="20">
        <f>Proforma!G92</f>
        <v>0</v>
      </c>
      <c r="D125" s="20"/>
      <c r="E125" s="23" t="str">
        <f ca="1">IF(A125&lt;&gt;"",codeEAN13(INT(A125/10)),"")</f>
        <v/>
      </c>
      <c r="G125" s="27" t="str">
        <f t="shared" ca="1" si="29"/>
        <v/>
      </c>
      <c r="H125" s="27" t="str">
        <f t="shared" ca="1" si="30"/>
        <v/>
      </c>
      <c r="I125" s="27" t="str">
        <f t="shared" ca="1" si="31"/>
        <v/>
      </c>
      <c r="J125" s="25" t="str">
        <f t="shared" ca="1" si="32"/>
        <v/>
      </c>
      <c r="K125" s="25" t="str">
        <f t="shared" ca="1" si="33"/>
        <v/>
      </c>
      <c r="M125" s="19" t="b">
        <f t="shared" ca="1" si="43"/>
        <v>0</v>
      </c>
      <c r="N125" s="19" t="b">
        <f t="shared" ca="1" si="44"/>
        <v>0</v>
      </c>
      <c r="O125" s="19" t="b">
        <f t="shared" ca="1" si="45"/>
        <v>0</v>
      </c>
      <c r="P125" s="11"/>
      <c r="Q125" s="9" t="str">
        <f t="shared" ca="1" si="34"/>
        <v/>
      </c>
      <c r="R125" s="29" t="str">
        <f t="shared" ca="1" si="35"/>
        <v/>
      </c>
      <c r="S125" s="2">
        <f>Proforma!B92</f>
        <v>0</v>
      </c>
      <c r="T125" s="2">
        <f>Proforma!C92</f>
        <v>0</v>
      </c>
      <c r="U125" s="2">
        <f>Proforma!D92</f>
        <v>0</v>
      </c>
      <c r="W125" t="str">
        <f t="shared" si="46"/>
        <v>0-0-000</v>
      </c>
      <c r="X125" s="14" t="str">
        <f t="shared" ca="1" si="36"/>
        <v/>
      </c>
      <c r="Y125" s="1"/>
      <c r="Z125" s="2" t="str">
        <f t="shared" ca="1" si="37"/>
        <v/>
      </c>
      <c r="AA125" s="7" t="str">
        <f t="shared" ca="1" si="38"/>
        <v/>
      </c>
      <c r="AB125" s="13" t="str">
        <f t="shared" ca="1" si="39"/>
        <v/>
      </c>
      <c r="AC125" s="13" t="str">
        <f t="shared" ca="1" si="40"/>
        <v/>
      </c>
      <c r="AE125" s="5" t="str">
        <f t="shared" ca="1" si="41"/>
        <v/>
      </c>
    </row>
    <row r="126" spans="1:31" customFormat="1" ht="33.75" x14ac:dyDescent="0.5">
      <c r="A126" s="21" t="str">
        <f t="shared" ca="1" si="42"/>
        <v/>
      </c>
      <c r="B126" s="20">
        <f>Proforma!F93</f>
        <v>0</v>
      </c>
      <c r="C126" s="20">
        <f>Proforma!G93</f>
        <v>0</v>
      </c>
      <c r="D126" s="20"/>
      <c r="E126" s="23" t="str">
        <f ca="1">IF(A126&lt;&gt;"",codeEAN13(INT(A126/10)),"")</f>
        <v/>
      </c>
      <c r="G126" s="27" t="str">
        <f t="shared" ca="1" si="29"/>
        <v/>
      </c>
      <c r="H126" s="27" t="str">
        <f t="shared" ca="1" si="30"/>
        <v/>
      </c>
      <c r="I126" s="27" t="str">
        <f t="shared" ca="1" si="31"/>
        <v/>
      </c>
      <c r="J126" s="25" t="str">
        <f t="shared" ca="1" si="32"/>
        <v/>
      </c>
      <c r="K126" s="25" t="str">
        <f t="shared" ca="1" si="33"/>
        <v/>
      </c>
      <c r="M126" s="19" t="b">
        <f t="shared" ca="1" si="43"/>
        <v>0</v>
      </c>
      <c r="N126" s="19" t="b">
        <f t="shared" ca="1" si="44"/>
        <v>0</v>
      </c>
      <c r="O126" s="19" t="b">
        <f t="shared" ca="1" si="45"/>
        <v>0</v>
      </c>
      <c r="P126" s="11"/>
      <c r="Q126" s="9" t="str">
        <f t="shared" ca="1" si="34"/>
        <v/>
      </c>
      <c r="R126" s="29" t="str">
        <f t="shared" ca="1" si="35"/>
        <v/>
      </c>
      <c r="S126" s="2">
        <f>Proforma!B93</f>
        <v>0</v>
      </c>
      <c r="T126" s="2">
        <f>Proforma!C93</f>
        <v>0</v>
      </c>
      <c r="U126" s="2">
        <f>Proforma!D93</f>
        <v>0</v>
      </c>
      <c r="W126" t="str">
        <f t="shared" si="46"/>
        <v>0-0-000</v>
      </c>
      <c r="X126" s="14" t="str">
        <f t="shared" ca="1" si="36"/>
        <v/>
      </c>
      <c r="Y126" s="1"/>
      <c r="Z126" s="2" t="str">
        <f t="shared" ca="1" si="37"/>
        <v/>
      </c>
      <c r="AA126" s="7" t="str">
        <f t="shared" ca="1" si="38"/>
        <v/>
      </c>
      <c r="AB126" s="13" t="str">
        <f t="shared" ca="1" si="39"/>
        <v/>
      </c>
      <c r="AC126" s="13" t="str">
        <f t="shared" ca="1" si="40"/>
        <v/>
      </c>
      <c r="AE126" s="5" t="str">
        <f t="shared" ca="1" si="41"/>
        <v/>
      </c>
    </row>
    <row r="127" spans="1:31" customFormat="1" ht="33.75" x14ac:dyDescent="0.5">
      <c r="A127" s="21" t="str">
        <f t="shared" ca="1" si="42"/>
        <v/>
      </c>
      <c r="B127" s="20">
        <f>Proforma!F94</f>
        <v>0</v>
      </c>
      <c r="C127" s="20">
        <f>Proforma!G94</f>
        <v>0</v>
      </c>
      <c r="D127" s="20"/>
      <c r="E127" s="23" t="str">
        <f ca="1">IF(A127&lt;&gt;"",codeEAN13(INT(A127/10)),"")</f>
        <v/>
      </c>
      <c r="G127" s="27" t="str">
        <f t="shared" ca="1" si="29"/>
        <v/>
      </c>
      <c r="H127" s="27" t="str">
        <f t="shared" ca="1" si="30"/>
        <v/>
      </c>
      <c r="I127" s="27" t="str">
        <f t="shared" ca="1" si="31"/>
        <v/>
      </c>
      <c r="J127" s="25" t="str">
        <f t="shared" ca="1" si="32"/>
        <v/>
      </c>
      <c r="K127" s="25" t="str">
        <f t="shared" ca="1" si="33"/>
        <v/>
      </c>
      <c r="M127" s="19" t="b">
        <f t="shared" ca="1" si="43"/>
        <v>0</v>
      </c>
      <c r="N127" s="19" t="b">
        <f t="shared" ca="1" si="44"/>
        <v>0</v>
      </c>
      <c r="O127" s="19" t="b">
        <f t="shared" ca="1" si="45"/>
        <v>0</v>
      </c>
      <c r="P127" s="11"/>
      <c r="Q127" s="9" t="str">
        <f t="shared" ca="1" si="34"/>
        <v/>
      </c>
      <c r="R127" s="29" t="str">
        <f t="shared" ca="1" si="35"/>
        <v/>
      </c>
      <c r="S127" s="2">
        <f>Proforma!B94</f>
        <v>0</v>
      </c>
      <c r="T127" s="2">
        <f>Proforma!C94</f>
        <v>0</v>
      </c>
      <c r="U127" s="2">
        <f>Proforma!D94</f>
        <v>0</v>
      </c>
      <c r="W127" t="str">
        <f t="shared" si="46"/>
        <v>0-0-000</v>
      </c>
      <c r="X127" s="14" t="str">
        <f t="shared" ca="1" si="36"/>
        <v/>
      </c>
      <c r="Y127" s="1"/>
      <c r="Z127" s="2" t="str">
        <f t="shared" ca="1" si="37"/>
        <v/>
      </c>
      <c r="AA127" s="7" t="str">
        <f t="shared" ca="1" si="38"/>
        <v/>
      </c>
      <c r="AB127" s="13" t="str">
        <f t="shared" ca="1" si="39"/>
        <v/>
      </c>
      <c r="AC127" s="13" t="str">
        <f t="shared" ca="1" si="40"/>
        <v/>
      </c>
      <c r="AE127" s="5" t="str">
        <f t="shared" ca="1" si="41"/>
        <v/>
      </c>
    </row>
    <row r="128" spans="1:31" customFormat="1" ht="33.75" x14ac:dyDescent="0.5">
      <c r="A128" s="21" t="str">
        <f t="shared" ca="1" si="42"/>
        <v/>
      </c>
      <c r="B128" s="20">
        <f>Proforma!F95</f>
        <v>0</v>
      </c>
      <c r="C128" s="20">
        <f>Proforma!G95</f>
        <v>0</v>
      </c>
      <c r="D128" s="20"/>
      <c r="E128" s="23" t="str">
        <f ca="1">IF(A128&lt;&gt;"",codeEAN13(INT(A128/10)),"")</f>
        <v/>
      </c>
      <c r="G128" s="27" t="str">
        <f t="shared" ca="1" si="29"/>
        <v/>
      </c>
      <c r="H128" s="27" t="str">
        <f t="shared" ca="1" si="30"/>
        <v/>
      </c>
      <c r="I128" s="27" t="str">
        <f t="shared" ca="1" si="31"/>
        <v/>
      </c>
      <c r="J128" s="25" t="str">
        <f t="shared" ca="1" si="32"/>
        <v/>
      </c>
      <c r="K128" s="25" t="str">
        <f t="shared" ca="1" si="33"/>
        <v/>
      </c>
      <c r="M128" s="19" t="b">
        <f t="shared" ca="1" si="43"/>
        <v>0</v>
      </c>
      <c r="N128" s="19" t="b">
        <f t="shared" ca="1" si="44"/>
        <v>0</v>
      </c>
      <c r="O128" s="19" t="b">
        <f t="shared" ca="1" si="45"/>
        <v>0</v>
      </c>
      <c r="P128" s="11"/>
      <c r="Q128" s="9" t="str">
        <f t="shared" ca="1" si="34"/>
        <v/>
      </c>
      <c r="R128" s="29" t="str">
        <f t="shared" ca="1" si="35"/>
        <v/>
      </c>
      <c r="S128" s="2">
        <f>Proforma!B95</f>
        <v>0</v>
      </c>
      <c r="T128" s="2">
        <f>Proforma!C95</f>
        <v>0</v>
      </c>
      <c r="U128" s="2">
        <f>Proforma!D95</f>
        <v>0</v>
      </c>
      <c r="W128" t="str">
        <f t="shared" si="46"/>
        <v>0-0-000</v>
      </c>
      <c r="X128" s="14" t="str">
        <f t="shared" ca="1" si="36"/>
        <v/>
      </c>
      <c r="Y128" s="1"/>
      <c r="Z128" s="2" t="str">
        <f t="shared" ca="1" si="37"/>
        <v/>
      </c>
      <c r="AA128" s="7" t="str">
        <f t="shared" ca="1" si="38"/>
        <v/>
      </c>
      <c r="AB128" s="13" t="str">
        <f t="shared" ca="1" si="39"/>
        <v/>
      </c>
      <c r="AC128" s="13" t="str">
        <f t="shared" ca="1" si="40"/>
        <v/>
      </c>
      <c r="AE128" s="5" t="str">
        <f t="shared" ca="1" si="41"/>
        <v/>
      </c>
    </row>
    <row r="129" spans="1:31" customFormat="1" ht="33.75" x14ac:dyDescent="0.5">
      <c r="A129" s="21" t="str">
        <f t="shared" ca="1" si="42"/>
        <v/>
      </c>
      <c r="B129" s="20">
        <f>Proforma!F96</f>
        <v>0</v>
      </c>
      <c r="C129" s="20">
        <f>Proforma!G96</f>
        <v>0</v>
      </c>
      <c r="D129" s="20"/>
      <c r="E129" s="23" t="str">
        <f ca="1">IF(A129&lt;&gt;"",codeEAN13(INT(A129/10)),"")</f>
        <v/>
      </c>
      <c r="G129" s="27" t="str">
        <f t="shared" ca="1" si="29"/>
        <v/>
      </c>
      <c r="H129" s="27" t="str">
        <f t="shared" ca="1" si="30"/>
        <v/>
      </c>
      <c r="I129" s="27" t="str">
        <f t="shared" ca="1" si="31"/>
        <v/>
      </c>
      <c r="J129" s="25" t="str">
        <f t="shared" ca="1" si="32"/>
        <v/>
      </c>
      <c r="K129" s="25" t="str">
        <f t="shared" ca="1" si="33"/>
        <v/>
      </c>
      <c r="M129" s="19" t="b">
        <f t="shared" ca="1" si="43"/>
        <v>0</v>
      </c>
      <c r="N129" s="19" t="b">
        <f t="shared" ca="1" si="44"/>
        <v>0</v>
      </c>
      <c r="O129" s="19" t="b">
        <f t="shared" ca="1" si="45"/>
        <v>0</v>
      </c>
      <c r="P129" s="11"/>
      <c r="Q129" s="9" t="str">
        <f t="shared" ca="1" si="34"/>
        <v/>
      </c>
      <c r="R129" s="29" t="str">
        <f t="shared" ca="1" si="35"/>
        <v/>
      </c>
      <c r="S129" s="2">
        <f>Proforma!B96</f>
        <v>0</v>
      </c>
      <c r="T129" s="2">
        <f>Proforma!C96</f>
        <v>0</v>
      </c>
      <c r="U129" s="2">
        <f>Proforma!D96</f>
        <v>0</v>
      </c>
      <c r="W129" t="str">
        <f t="shared" si="46"/>
        <v>0-0-000</v>
      </c>
      <c r="X129" s="14" t="str">
        <f t="shared" ca="1" si="36"/>
        <v/>
      </c>
      <c r="Y129" s="1"/>
      <c r="Z129" s="2" t="str">
        <f t="shared" ca="1" si="37"/>
        <v/>
      </c>
      <c r="AA129" s="7" t="str">
        <f t="shared" ca="1" si="38"/>
        <v/>
      </c>
      <c r="AB129" s="13" t="str">
        <f t="shared" ca="1" si="39"/>
        <v/>
      </c>
      <c r="AC129" s="13" t="str">
        <f t="shared" ca="1" si="40"/>
        <v/>
      </c>
      <c r="AE129" s="5" t="str">
        <f t="shared" ca="1" si="41"/>
        <v/>
      </c>
    </row>
    <row r="130" spans="1:31" customFormat="1" ht="33.75" x14ac:dyDescent="0.5">
      <c r="A130" s="21" t="str">
        <f t="shared" ca="1" si="42"/>
        <v/>
      </c>
      <c r="B130" s="20">
        <f>Proforma!F97</f>
        <v>0</v>
      </c>
      <c r="C130" s="20">
        <f>Proforma!G97</f>
        <v>0</v>
      </c>
      <c r="D130" s="20"/>
      <c r="E130" s="23" t="str">
        <f ca="1">IF(A130&lt;&gt;"",codeEAN13(INT(A130/10)),"")</f>
        <v/>
      </c>
      <c r="G130" s="27" t="str">
        <f t="shared" ref="G130:G193" ca="1" si="47">IFERROR(INDEX(INDIRECT(tabEAN.Valmag &amp; "!C:C"), $AE130), "")</f>
        <v/>
      </c>
      <c r="H130" s="27" t="str">
        <f t="shared" ref="H130:H193" ca="1" si="48">IFERROR(INDEX(INDIRECT(tabEAN.Valmag &amp; "!D:D"), $AE130), "")</f>
        <v/>
      </c>
      <c r="I130" s="27" t="str">
        <f t="shared" ref="I130:I193" ca="1" si="49">IFERROR(INDEX(INDIRECT(tabEAN.Valmag &amp; "!E:E"), $AE130), "")</f>
        <v/>
      </c>
      <c r="J130" s="25" t="str">
        <f t="shared" ref="J130:J193" ca="1" si="50">IFERROR(INDEX(INDIRECT(tabEAN13.inconnus &amp; "!E:E"),$Z130), "")</f>
        <v/>
      </c>
      <c r="K130" s="25" t="str">
        <f t="shared" ref="K130:K193" ca="1" si="51">IFERROR(INDEX(INDIRECT(tabEAN13.inconnus &amp; "!I:I"),$Z130), "")</f>
        <v/>
      </c>
      <c r="M130" s="19" t="b">
        <f t="shared" ca="1" si="43"/>
        <v>0</v>
      </c>
      <c r="N130" s="19" t="b">
        <f t="shared" ca="1" si="44"/>
        <v>0</v>
      </c>
      <c r="O130" s="19" t="b">
        <f t="shared" ca="1" si="45"/>
        <v>0</v>
      </c>
      <c r="P130" s="11"/>
      <c r="Q130" s="9" t="str">
        <f t="shared" ref="Q130:Q193" ca="1" si="52">IFERROR(INDEX(INDIRECT(tabEAN13.inconnus &amp; "!C:C"),$Z130), "")</f>
        <v/>
      </c>
      <c r="R130" s="29" t="str">
        <f t="shared" ref="R130:R193" ca="1" si="53">IFERROR(INDEX(INDIRECT(tabEAN13.inconnus &amp; "!D:D"),$Z130), "")</f>
        <v/>
      </c>
      <c r="S130" s="2">
        <f>Proforma!B97</f>
        <v>0</v>
      </c>
      <c r="T130" s="2">
        <f>Proforma!C97</f>
        <v>0</v>
      </c>
      <c r="U130" s="2">
        <f>Proforma!D97</f>
        <v>0</v>
      </c>
      <c r="W130" t="str">
        <f t="shared" si="46"/>
        <v>0-0-000</v>
      </c>
      <c r="X130" s="14" t="str">
        <f t="shared" ref="X130:X193" ca="1" si="54">IFERROR(INDEX(INDIRECT(tabEAN13 &amp; "!A:A"),$AA130), "")</f>
        <v/>
      </c>
      <c r="Y130" s="1"/>
      <c r="Z130" s="2" t="str">
        <f t="shared" ref="Z130:Z193" ca="1" si="55">IFERROR(MATCH($W130,INDIRECT(tabEAN13.inconnus &amp; "!B:B"),0), "")</f>
        <v/>
      </c>
      <c r="AA130" s="7" t="str">
        <f t="shared" ref="AA130:AA193" ca="1" si="56">IFERROR(MATCH($W130,INDIRECT(tabEAN13 &amp; "!B:B"),0), "")</f>
        <v/>
      </c>
      <c r="AB130" s="13" t="str">
        <f t="shared" ref="AB130:AB193" ca="1" si="57">IFERROR(INDEX(INDIRECT(tabEAN13 &amp; "!E:E"),$AA130), "")</f>
        <v/>
      </c>
      <c r="AC130" s="13" t="str">
        <f t="shared" ref="AC130:AC193" ca="1" si="58">IFERROR(INDEX(INDIRECT(tabEAN13 &amp; "!I:I"),$AA130), "")</f>
        <v/>
      </c>
      <c r="AE130" s="5" t="str">
        <f t="shared" ref="AE130:AE193" ca="1" si="59">IFERROR(MATCH($X130, INDIRECT(tabEAN.Valmag &amp; "!A:A"), 0), "")</f>
        <v/>
      </c>
    </row>
    <row r="131" spans="1:31" customFormat="1" ht="33.75" x14ac:dyDescent="0.5">
      <c r="A131" s="21" t="str">
        <f t="shared" ca="1" si="42"/>
        <v/>
      </c>
      <c r="B131" s="20">
        <f>Proforma!F98</f>
        <v>0</v>
      </c>
      <c r="C131" s="20">
        <f>Proforma!G98</f>
        <v>0</v>
      </c>
      <c r="D131" s="20"/>
      <c r="E131" s="23" t="str">
        <f ca="1">IF(A131&lt;&gt;"",codeEAN13(INT(A131/10)),"")</f>
        <v/>
      </c>
      <c r="G131" s="27" t="str">
        <f t="shared" ca="1" si="47"/>
        <v/>
      </c>
      <c r="H131" s="27" t="str">
        <f t="shared" ca="1" si="48"/>
        <v/>
      </c>
      <c r="I131" s="27" t="str">
        <f t="shared" ca="1" si="49"/>
        <v/>
      </c>
      <c r="J131" s="25" t="str">
        <f t="shared" ca="1" si="50"/>
        <v/>
      </c>
      <c r="K131" s="25" t="str">
        <f t="shared" ca="1" si="51"/>
        <v/>
      </c>
      <c r="M131" s="19" t="b">
        <f t="shared" ca="1" si="43"/>
        <v>0</v>
      </c>
      <c r="N131" s="19" t="b">
        <f t="shared" ca="1" si="44"/>
        <v>0</v>
      </c>
      <c r="O131" s="19" t="b">
        <f t="shared" ca="1" si="45"/>
        <v>0</v>
      </c>
      <c r="P131" s="11"/>
      <c r="Q131" s="9" t="str">
        <f t="shared" ca="1" si="52"/>
        <v/>
      </c>
      <c r="R131" s="29" t="str">
        <f t="shared" ca="1" si="53"/>
        <v/>
      </c>
      <c r="S131" s="2">
        <f>Proforma!B98</f>
        <v>0</v>
      </c>
      <c r="T131" s="2">
        <f>Proforma!C98</f>
        <v>0</v>
      </c>
      <c r="U131" s="2">
        <f>Proforma!D98</f>
        <v>0</v>
      </c>
      <c r="W131" t="str">
        <f t="shared" si="46"/>
        <v>0-0-000</v>
      </c>
      <c r="X131" s="14" t="str">
        <f t="shared" ca="1" si="54"/>
        <v/>
      </c>
      <c r="Y131" s="1"/>
      <c r="Z131" s="2" t="str">
        <f t="shared" ca="1" si="55"/>
        <v/>
      </c>
      <c r="AA131" s="7" t="str">
        <f t="shared" ca="1" si="56"/>
        <v/>
      </c>
      <c r="AB131" s="13" t="str">
        <f t="shared" ca="1" si="57"/>
        <v/>
      </c>
      <c r="AC131" s="13" t="str">
        <f t="shared" ca="1" si="58"/>
        <v/>
      </c>
      <c r="AE131" s="5" t="str">
        <f t="shared" ca="1" si="59"/>
        <v/>
      </c>
    </row>
    <row r="132" spans="1:31" customFormat="1" ht="33.75" x14ac:dyDescent="0.5">
      <c r="A132" s="21" t="str">
        <f t="shared" ca="1" si="42"/>
        <v/>
      </c>
      <c r="B132" s="20">
        <f>Proforma!F99</f>
        <v>0</v>
      </c>
      <c r="C132" s="20">
        <f>Proforma!G99</f>
        <v>0</v>
      </c>
      <c r="D132" s="20"/>
      <c r="E132" s="23" t="str">
        <f ca="1">IF(A132&lt;&gt;"",codeEAN13(INT(A132/10)),"")</f>
        <v/>
      </c>
      <c r="G132" s="27" t="str">
        <f t="shared" ca="1" si="47"/>
        <v/>
      </c>
      <c r="H132" s="27" t="str">
        <f t="shared" ca="1" si="48"/>
        <v/>
      </c>
      <c r="I132" s="27" t="str">
        <f t="shared" ca="1" si="49"/>
        <v/>
      </c>
      <c r="J132" s="25" t="str">
        <f t="shared" ca="1" si="50"/>
        <v/>
      </c>
      <c r="K132" s="25" t="str">
        <f t="shared" ca="1" si="51"/>
        <v/>
      </c>
      <c r="M132" s="19" t="b">
        <f t="shared" ca="1" si="43"/>
        <v>0</v>
      </c>
      <c r="N132" s="19" t="b">
        <f t="shared" ca="1" si="44"/>
        <v>0</v>
      </c>
      <c r="O132" s="19" t="b">
        <f t="shared" ca="1" si="45"/>
        <v>0</v>
      </c>
      <c r="P132" s="11"/>
      <c r="Q132" s="9" t="str">
        <f t="shared" ca="1" si="52"/>
        <v/>
      </c>
      <c r="R132" s="29" t="str">
        <f t="shared" ca="1" si="53"/>
        <v/>
      </c>
      <c r="S132" s="2">
        <f>Proforma!B99</f>
        <v>0</v>
      </c>
      <c r="T132" s="2">
        <f>Proforma!C99</f>
        <v>0</v>
      </c>
      <c r="U132" s="2">
        <f>Proforma!D99</f>
        <v>0</v>
      </c>
      <c r="W132" t="str">
        <f t="shared" si="46"/>
        <v>0-0-000</v>
      </c>
      <c r="X132" s="14" t="str">
        <f t="shared" ca="1" si="54"/>
        <v/>
      </c>
      <c r="Y132" s="1"/>
      <c r="Z132" s="2" t="str">
        <f t="shared" ca="1" si="55"/>
        <v/>
      </c>
      <c r="AA132" s="7" t="str">
        <f t="shared" ca="1" si="56"/>
        <v/>
      </c>
      <c r="AB132" s="13" t="str">
        <f t="shared" ca="1" si="57"/>
        <v/>
      </c>
      <c r="AC132" s="13" t="str">
        <f t="shared" ca="1" si="58"/>
        <v/>
      </c>
      <c r="AE132" s="5" t="str">
        <f t="shared" ca="1" si="59"/>
        <v/>
      </c>
    </row>
    <row r="133" spans="1:31" customFormat="1" ht="33.75" x14ac:dyDescent="0.5">
      <c r="A133" s="21" t="str">
        <f t="shared" ca="1" si="42"/>
        <v/>
      </c>
      <c r="B133" s="20">
        <f>Proforma!F100</f>
        <v>0</v>
      </c>
      <c r="C133" s="20">
        <f>Proforma!G100</f>
        <v>0</v>
      </c>
      <c r="D133" s="20"/>
      <c r="E133" s="23" t="str">
        <f ca="1">IF(A133&lt;&gt;"",codeEAN13(INT(A133/10)),"")</f>
        <v/>
      </c>
      <c r="G133" s="27" t="str">
        <f t="shared" ca="1" si="47"/>
        <v/>
      </c>
      <c r="H133" s="27" t="str">
        <f t="shared" ca="1" si="48"/>
        <v/>
      </c>
      <c r="I133" s="27" t="str">
        <f t="shared" ca="1" si="49"/>
        <v/>
      </c>
      <c r="J133" s="25" t="str">
        <f t="shared" ca="1" si="50"/>
        <v/>
      </c>
      <c r="K133" s="25" t="str">
        <f t="shared" ca="1" si="51"/>
        <v/>
      </c>
      <c r="M133" s="19" t="b">
        <f t="shared" ca="1" si="43"/>
        <v>0</v>
      </c>
      <c r="N133" s="19" t="b">
        <f t="shared" ca="1" si="44"/>
        <v>0</v>
      </c>
      <c r="O133" s="19" t="b">
        <f t="shared" ca="1" si="45"/>
        <v>0</v>
      </c>
      <c r="P133" s="11"/>
      <c r="Q133" s="9" t="str">
        <f t="shared" ca="1" si="52"/>
        <v/>
      </c>
      <c r="R133" s="29" t="str">
        <f t="shared" ca="1" si="53"/>
        <v/>
      </c>
      <c r="S133" s="2">
        <f>Proforma!B100</f>
        <v>0</v>
      </c>
      <c r="T133" s="2">
        <f>Proforma!C100</f>
        <v>0</v>
      </c>
      <c r="U133" s="2">
        <f>Proforma!D100</f>
        <v>0</v>
      </c>
      <c r="W133" t="str">
        <f t="shared" si="46"/>
        <v>0-0-000</v>
      </c>
      <c r="X133" s="14" t="str">
        <f t="shared" ca="1" si="54"/>
        <v/>
      </c>
      <c r="Y133" s="1"/>
      <c r="Z133" s="2" t="str">
        <f t="shared" ca="1" si="55"/>
        <v/>
      </c>
      <c r="AA133" s="7" t="str">
        <f t="shared" ca="1" si="56"/>
        <v/>
      </c>
      <c r="AB133" s="13" t="str">
        <f t="shared" ca="1" si="57"/>
        <v/>
      </c>
      <c r="AC133" s="13" t="str">
        <f t="shared" ca="1" si="58"/>
        <v/>
      </c>
      <c r="AE133" s="5" t="str">
        <f t="shared" ca="1" si="59"/>
        <v/>
      </c>
    </row>
    <row r="134" spans="1:31" customFormat="1" ht="33.75" x14ac:dyDescent="0.5">
      <c r="A134" s="21" t="str">
        <f t="shared" ca="1" si="42"/>
        <v/>
      </c>
      <c r="B134" s="20">
        <f>Proforma!F101</f>
        <v>0</v>
      </c>
      <c r="C134" s="20">
        <f>Proforma!G101</f>
        <v>0</v>
      </c>
      <c r="D134" s="20"/>
      <c r="E134" s="23" t="str">
        <f ca="1">IF(A134&lt;&gt;"",codeEAN13(INT(A134/10)),"")</f>
        <v/>
      </c>
      <c r="G134" s="27" t="str">
        <f t="shared" ca="1" si="47"/>
        <v/>
      </c>
      <c r="H134" s="27" t="str">
        <f t="shared" ca="1" si="48"/>
        <v/>
      </c>
      <c r="I134" s="27" t="str">
        <f t="shared" ca="1" si="49"/>
        <v/>
      </c>
      <c r="J134" s="25" t="str">
        <f t="shared" ca="1" si="50"/>
        <v/>
      </c>
      <c r="K134" s="25" t="str">
        <f t="shared" ca="1" si="51"/>
        <v/>
      </c>
      <c r="M134" s="19" t="b">
        <f t="shared" ca="1" si="43"/>
        <v>0</v>
      </c>
      <c r="N134" s="19" t="b">
        <f t="shared" ca="1" si="44"/>
        <v>0</v>
      </c>
      <c r="O134" s="19" t="b">
        <f t="shared" ca="1" si="45"/>
        <v>0</v>
      </c>
      <c r="P134" s="11"/>
      <c r="Q134" s="9" t="str">
        <f t="shared" ca="1" si="52"/>
        <v/>
      </c>
      <c r="R134" s="29" t="str">
        <f t="shared" ca="1" si="53"/>
        <v/>
      </c>
      <c r="S134" s="2">
        <f>Proforma!B101</f>
        <v>0</v>
      </c>
      <c r="T134" s="2">
        <f>Proforma!C101</f>
        <v>0</v>
      </c>
      <c r="U134" s="2">
        <f>Proforma!D101</f>
        <v>0</v>
      </c>
      <c r="W134" t="str">
        <f t="shared" si="46"/>
        <v>0-0-000</v>
      </c>
      <c r="X134" s="14" t="str">
        <f t="shared" ca="1" si="54"/>
        <v/>
      </c>
      <c r="Y134" s="1"/>
      <c r="Z134" s="2" t="str">
        <f t="shared" ca="1" si="55"/>
        <v/>
      </c>
      <c r="AA134" s="7" t="str">
        <f t="shared" ca="1" si="56"/>
        <v/>
      </c>
      <c r="AB134" s="13" t="str">
        <f t="shared" ca="1" si="57"/>
        <v/>
      </c>
      <c r="AC134" s="13" t="str">
        <f t="shared" ca="1" si="58"/>
        <v/>
      </c>
      <c r="AE134" s="5" t="str">
        <f t="shared" ca="1" si="59"/>
        <v/>
      </c>
    </row>
    <row r="135" spans="1:31" customFormat="1" ht="33.75" x14ac:dyDescent="0.5">
      <c r="A135" s="21" t="str">
        <f t="shared" ca="1" si="42"/>
        <v/>
      </c>
      <c r="B135" s="20">
        <f>Proforma!F102</f>
        <v>0</v>
      </c>
      <c r="C135" s="20">
        <f>Proforma!G102</f>
        <v>0</v>
      </c>
      <c r="D135" s="20"/>
      <c r="E135" s="23" t="str">
        <f ca="1">IF(A135&lt;&gt;"",codeEAN13(INT(A135/10)),"")</f>
        <v/>
      </c>
      <c r="G135" s="27" t="str">
        <f t="shared" ca="1" si="47"/>
        <v/>
      </c>
      <c r="H135" s="27" t="str">
        <f t="shared" ca="1" si="48"/>
        <v/>
      </c>
      <c r="I135" s="27" t="str">
        <f t="shared" ca="1" si="49"/>
        <v/>
      </c>
      <c r="J135" s="25" t="str">
        <f t="shared" ca="1" si="50"/>
        <v/>
      </c>
      <c r="K135" s="25" t="str">
        <f t="shared" ca="1" si="51"/>
        <v/>
      </c>
      <c r="M135" s="19" t="b">
        <f t="shared" ca="1" si="43"/>
        <v>0</v>
      </c>
      <c r="N135" s="19" t="b">
        <f t="shared" ca="1" si="44"/>
        <v>0</v>
      </c>
      <c r="O135" s="19" t="b">
        <f t="shared" ca="1" si="45"/>
        <v>0</v>
      </c>
      <c r="P135" s="11"/>
      <c r="Q135" s="9" t="str">
        <f t="shared" ca="1" si="52"/>
        <v/>
      </c>
      <c r="R135" s="29" t="str">
        <f t="shared" ca="1" si="53"/>
        <v/>
      </c>
      <c r="S135" s="2">
        <f>Proforma!B102</f>
        <v>0</v>
      </c>
      <c r="T135" s="2">
        <f>Proforma!C102</f>
        <v>0</v>
      </c>
      <c r="U135" s="2">
        <f>Proforma!D102</f>
        <v>0</v>
      </c>
      <c r="W135" t="str">
        <f t="shared" si="46"/>
        <v>0-0-000</v>
      </c>
      <c r="X135" s="14" t="str">
        <f t="shared" ca="1" si="54"/>
        <v/>
      </c>
      <c r="Y135" s="1"/>
      <c r="Z135" s="2" t="str">
        <f t="shared" ca="1" si="55"/>
        <v/>
      </c>
      <c r="AA135" s="7" t="str">
        <f t="shared" ca="1" si="56"/>
        <v/>
      </c>
      <c r="AB135" s="13" t="str">
        <f t="shared" ca="1" si="57"/>
        <v/>
      </c>
      <c r="AC135" s="13" t="str">
        <f t="shared" ca="1" si="58"/>
        <v/>
      </c>
      <c r="AE135" s="5" t="str">
        <f t="shared" ca="1" si="59"/>
        <v/>
      </c>
    </row>
    <row r="136" spans="1:31" customFormat="1" ht="33.75" x14ac:dyDescent="0.5">
      <c r="A136" s="21" t="str">
        <f t="shared" ca="1" si="42"/>
        <v/>
      </c>
      <c r="B136" s="20">
        <f>Proforma!F103</f>
        <v>0</v>
      </c>
      <c r="C136" s="20">
        <f>Proforma!G103</f>
        <v>0</v>
      </c>
      <c r="D136" s="20"/>
      <c r="E136" s="23" t="str">
        <f ca="1">IF(A136&lt;&gt;"",codeEAN13(INT(A136/10)),"")</f>
        <v/>
      </c>
      <c r="G136" s="27" t="str">
        <f t="shared" ca="1" si="47"/>
        <v/>
      </c>
      <c r="H136" s="27" t="str">
        <f t="shared" ca="1" si="48"/>
        <v/>
      </c>
      <c r="I136" s="27" t="str">
        <f t="shared" ca="1" si="49"/>
        <v/>
      </c>
      <c r="J136" s="25" t="str">
        <f t="shared" ca="1" si="50"/>
        <v/>
      </c>
      <c r="K136" s="25" t="str">
        <f t="shared" ca="1" si="51"/>
        <v/>
      </c>
      <c r="M136" s="19" t="b">
        <f t="shared" ca="1" si="43"/>
        <v>0</v>
      </c>
      <c r="N136" s="19" t="b">
        <f t="shared" ca="1" si="44"/>
        <v>0</v>
      </c>
      <c r="O136" s="19" t="b">
        <f t="shared" ca="1" si="45"/>
        <v>0</v>
      </c>
      <c r="P136" s="11"/>
      <c r="Q136" s="9" t="str">
        <f t="shared" ca="1" si="52"/>
        <v/>
      </c>
      <c r="R136" s="29" t="str">
        <f t="shared" ca="1" si="53"/>
        <v/>
      </c>
      <c r="S136" s="2">
        <f>Proforma!B103</f>
        <v>0</v>
      </c>
      <c r="T136" s="2">
        <f>Proforma!C103</f>
        <v>0</v>
      </c>
      <c r="U136" s="2">
        <f>Proforma!D103</f>
        <v>0</v>
      </c>
      <c r="W136" t="str">
        <f t="shared" si="46"/>
        <v>0-0-000</v>
      </c>
      <c r="X136" s="14" t="str">
        <f t="shared" ca="1" si="54"/>
        <v/>
      </c>
      <c r="Y136" s="1"/>
      <c r="Z136" s="2" t="str">
        <f t="shared" ca="1" si="55"/>
        <v/>
      </c>
      <c r="AA136" s="7" t="str">
        <f t="shared" ca="1" si="56"/>
        <v/>
      </c>
      <c r="AB136" s="13" t="str">
        <f t="shared" ca="1" si="57"/>
        <v/>
      </c>
      <c r="AC136" s="13" t="str">
        <f t="shared" ca="1" si="58"/>
        <v/>
      </c>
      <c r="AE136" s="5" t="str">
        <f t="shared" ca="1" si="59"/>
        <v/>
      </c>
    </row>
    <row r="137" spans="1:31" customFormat="1" ht="33.75" x14ac:dyDescent="0.5">
      <c r="A137" s="21" t="str">
        <f t="shared" ca="1" si="42"/>
        <v/>
      </c>
      <c r="B137" s="20">
        <f>Proforma!F104</f>
        <v>0</v>
      </c>
      <c r="C137" s="20">
        <f>Proforma!G104</f>
        <v>0</v>
      </c>
      <c r="D137" s="20"/>
      <c r="E137" s="23" t="str">
        <f ca="1">IF(A137&lt;&gt;"",codeEAN13(INT(A137/10)),"")</f>
        <v/>
      </c>
      <c r="G137" s="27" t="str">
        <f t="shared" ca="1" si="47"/>
        <v/>
      </c>
      <c r="H137" s="27" t="str">
        <f t="shared" ca="1" si="48"/>
        <v/>
      </c>
      <c r="I137" s="27" t="str">
        <f t="shared" ca="1" si="49"/>
        <v/>
      </c>
      <c r="J137" s="25" t="str">
        <f t="shared" ca="1" si="50"/>
        <v/>
      </c>
      <c r="K137" s="25" t="str">
        <f t="shared" ca="1" si="51"/>
        <v/>
      </c>
      <c r="M137" s="19" t="b">
        <f t="shared" ca="1" si="43"/>
        <v>0</v>
      </c>
      <c r="N137" s="19" t="b">
        <f t="shared" ca="1" si="44"/>
        <v>0</v>
      </c>
      <c r="O137" s="19" t="b">
        <f t="shared" ca="1" si="45"/>
        <v>0</v>
      </c>
      <c r="P137" s="11"/>
      <c r="Q137" s="9" t="str">
        <f t="shared" ca="1" si="52"/>
        <v/>
      </c>
      <c r="R137" s="29" t="str">
        <f t="shared" ca="1" si="53"/>
        <v/>
      </c>
      <c r="S137" s="2">
        <f>Proforma!B104</f>
        <v>0</v>
      </c>
      <c r="T137" s="2">
        <f>Proforma!C104</f>
        <v>0</v>
      </c>
      <c r="U137" s="2">
        <f>Proforma!D104</f>
        <v>0</v>
      </c>
      <c r="W137" t="str">
        <f t="shared" si="46"/>
        <v>0-0-000</v>
      </c>
      <c r="X137" s="14" t="str">
        <f t="shared" ca="1" si="54"/>
        <v/>
      </c>
      <c r="Y137" s="1"/>
      <c r="Z137" s="2" t="str">
        <f t="shared" ca="1" si="55"/>
        <v/>
      </c>
      <c r="AA137" s="7" t="str">
        <f t="shared" ca="1" si="56"/>
        <v/>
      </c>
      <c r="AB137" s="13" t="str">
        <f t="shared" ca="1" si="57"/>
        <v/>
      </c>
      <c r="AC137" s="13" t="str">
        <f t="shared" ca="1" si="58"/>
        <v/>
      </c>
      <c r="AE137" s="5" t="str">
        <f t="shared" ca="1" si="59"/>
        <v/>
      </c>
    </row>
    <row r="138" spans="1:31" customFormat="1" ht="33.75" x14ac:dyDescent="0.5">
      <c r="A138" s="21" t="str">
        <f t="shared" ca="1" si="42"/>
        <v/>
      </c>
      <c r="B138" s="20">
        <f>Proforma!F105</f>
        <v>0</v>
      </c>
      <c r="C138" s="20">
        <f>Proforma!G105</f>
        <v>0</v>
      </c>
      <c r="D138" s="20"/>
      <c r="E138" s="23" t="str">
        <f ca="1">IF(A138&lt;&gt;"",codeEAN13(INT(A138/10)),"")</f>
        <v/>
      </c>
      <c r="G138" s="27" t="str">
        <f t="shared" ca="1" si="47"/>
        <v/>
      </c>
      <c r="H138" s="27" t="str">
        <f t="shared" ca="1" si="48"/>
        <v/>
      </c>
      <c r="I138" s="27" t="str">
        <f t="shared" ca="1" si="49"/>
        <v/>
      </c>
      <c r="J138" s="25" t="str">
        <f t="shared" ca="1" si="50"/>
        <v/>
      </c>
      <c r="K138" s="25" t="str">
        <f t="shared" ca="1" si="51"/>
        <v/>
      </c>
      <c r="M138" s="19" t="b">
        <f t="shared" ca="1" si="43"/>
        <v>0</v>
      </c>
      <c r="N138" s="19" t="b">
        <f t="shared" ca="1" si="44"/>
        <v>0</v>
      </c>
      <c r="O138" s="19" t="b">
        <f t="shared" ca="1" si="45"/>
        <v>0</v>
      </c>
      <c r="P138" s="11"/>
      <c r="Q138" s="9" t="str">
        <f t="shared" ca="1" si="52"/>
        <v/>
      </c>
      <c r="R138" s="29" t="str">
        <f t="shared" ca="1" si="53"/>
        <v/>
      </c>
      <c r="S138" s="2">
        <f>Proforma!B105</f>
        <v>0</v>
      </c>
      <c r="T138" s="2">
        <f>Proforma!C105</f>
        <v>0</v>
      </c>
      <c r="U138" s="2">
        <f>Proforma!D105</f>
        <v>0</v>
      </c>
      <c r="W138" t="str">
        <f t="shared" si="46"/>
        <v>0-0-000</v>
      </c>
      <c r="X138" s="14" t="str">
        <f t="shared" ca="1" si="54"/>
        <v/>
      </c>
      <c r="Y138" s="1"/>
      <c r="Z138" s="2" t="str">
        <f t="shared" ca="1" si="55"/>
        <v/>
      </c>
      <c r="AA138" s="7" t="str">
        <f t="shared" ca="1" si="56"/>
        <v/>
      </c>
      <c r="AB138" s="13" t="str">
        <f t="shared" ca="1" si="57"/>
        <v/>
      </c>
      <c r="AC138" s="13" t="str">
        <f t="shared" ca="1" si="58"/>
        <v/>
      </c>
      <c r="AE138" s="5" t="str">
        <f t="shared" ca="1" si="59"/>
        <v/>
      </c>
    </row>
    <row r="139" spans="1:31" customFormat="1" ht="33.75" x14ac:dyDescent="0.5">
      <c r="A139" s="21" t="str">
        <f t="shared" ca="1" si="42"/>
        <v/>
      </c>
      <c r="B139" s="20">
        <f>Proforma!F106</f>
        <v>0</v>
      </c>
      <c r="C139" s="20">
        <f>Proforma!G106</f>
        <v>0</v>
      </c>
      <c r="D139" s="20"/>
      <c r="E139" s="23" t="str">
        <f ca="1">IF(A139&lt;&gt;"",codeEAN13(INT(A139/10)),"")</f>
        <v/>
      </c>
      <c r="G139" s="27" t="str">
        <f t="shared" ca="1" si="47"/>
        <v/>
      </c>
      <c r="H139" s="27" t="str">
        <f t="shared" ca="1" si="48"/>
        <v/>
      </c>
      <c r="I139" s="27" t="str">
        <f t="shared" ca="1" si="49"/>
        <v/>
      </c>
      <c r="J139" s="25" t="str">
        <f t="shared" ca="1" si="50"/>
        <v/>
      </c>
      <c r="K139" s="25" t="str">
        <f t="shared" ca="1" si="51"/>
        <v/>
      </c>
      <c r="M139" s="19" t="b">
        <f t="shared" ca="1" si="43"/>
        <v>0</v>
      </c>
      <c r="N139" s="19" t="b">
        <f t="shared" ca="1" si="44"/>
        <v>0</v>
      </c>
      <c r="O139" s="19" t="b">
        <f t="shared" ca="1" si="45"/>
        <v>0</v>
      </c>
      <c r="P139" s="11"/>
      <c r="Q139" s="9" t="str">
        <f t="shared" ca="1" si="52"/>
        <v/>
      </c>
      <c r="R139" s="29" t="str">
        <f t="shared" ca="1" si="53"/>
        <v/>
      </c>
      <c r="S139" s="2">
        <f>Proforma!B106</f>
        <v>0</v>
      </c>
      <c r="T139" s="2">
        <f>Proforma!C106</f>
        <v>0</v>
      </c>
      <c r="U139" s="2">
        <f>Proforma!D106</f>
        <v>0</v>
      </c>
      <c r="W139" t="str">
        <f t="shared" si="46"/>
        <v>0-0-000</v>
      </c>
      <c r="X139" s="14" t="str">
        <f t="shared" ca="1" si="54"/>
        <v/>
      </c>
      <c r="Y139" s="1"/>
      <c r="Z139" s="2" t="str">
        <f t="shared" ca="1" si="55"/>
        <v/>
      </c>
      <c r="AA139" s="7" t="str">
        <f t="shared" ca="1" si="56"/>
        <v/>
      </c>
      <c r="AB139" s="13" t="str">
        <f t="shared" ca="1" si="57"/>
        <v/>
      </c>
      <c r="AC139" s="13" t="str">
        <f t="shared" ca="1" si="58"/>
        <v/>
      </c>
      <c r="AE139" s="5" t="str">
        <f t="shared" ca="1" si="59"/>
        <v/>
      </c>
    </row>
    <row r="140" spans="1:31" customFormat="1" ht="33.75" x14ac:dyDescent="0.5">
      <c r="A140" s="21" t="str">
        <f t="shared" ca="1" si="42"/>
        <v/>
      </c>
      <c r="B140" s="20">
        <f>Proforma!F107</f>
        <v>0</v>
      </c>
      <c r="C140" s="20">
        <f>Proforma!G107</f>
        <v>0</v>
      </c>
      <c r="D140" s="20"/>
      <c r="E140" s="23" t="str">
        <f ca="1">IF(A140&lt;&gt;"",codeEAN13(INT(A140/10)),"")</f>
        <v/>
      </c>
      <c r="G140" s="27" t="str">
        <f t="shared" ca="1" si="47"/>
        <v/>
      </c>
      <c r="H140" s="27" t="str">
        <f t="shared" ca="1" si="48"/>
        <v/>
      </c>
      <c r="I140" s="27" t="str">
        <f t="shared" ca="1" si="49"/>
        <v/>
      </c>
      <c r="J140" s="25" t="str">
        <f t="shared" ca="1" si="50"/>
        <v/>
      </c>
      <c r="K140" s="25" t="str">
        <f t="shared" ca="1" si="51"/>
        <v/>
      </c>
      <c r="M140" s="19" t="b">
        <f t="shared" ca="1" si="43"/>
        <v>0</v>
      </c>
      <c r="N140" s="19" t="b">
        <f t="shared" ca="1" si="44"/>
        <v>0</v>
      </c>
      <c r="O140" s="19" t="b">
        <f t="shared" ca="1" si="45"/>
        <v>0</v>
      </c>
      <c r="P140" s="11"/>
      <c r="Q140" s="9" t="str">
        <f t="shared" ca="1" si="52"/>
        <v/>
      </c>
      <c r="R140" s="29" t="str">
        <f t="shared" ca="1" si="53"/>
        <v/>
      </c>
      <c r="S140" s="2">
        <f>Proforma!B107</f>
        <v>0</v>
      </c>
      <c r="T140" s="2">
        <f>Proforma!C107</f>
        <v>0</v>
      </c>
      <c r="U140" s="2">
        <f>Proforma!D107</f>
        <v>0</v>
      </c>
      <c r="W140" t="str">
        <f t="shared" si="46"/>
        <v>0-0-000</v>
      </c>
      <c r="X140" s="14" t="str">
        <f t="shared" ca="1" si="54"/>
        <v/>
      </c>
      <c r="Y140" s="1"/>
      <c r="Z140" s="2" t="str">
        <f t="shared" ca="1" si="55"/>
        <v/>
      </c>
      <c r="AA140" s="7" t="str">
        <f t="shared" ca="1" si="56"/>
        <v/>
      </c>
      <c r="AB140" s="13" t="str">
        <f t="shared" ca="1" si="57"/>
        <v/>
      </c>
      <c r="AC140" s="13" t="str">
        <f t="shared" ca="1" si="58"/>
        <v/>
      </c>
      <c r="AE140" s="5" t="str">
        <f t="shared" ca="1" si="59"/>
        <v/>
      </c>
    </row>
    <row r="141" spans="1:31" customFormat="1" ht="33.75" x14ac:dyDescent="0.5">
      <c r="A141" s="21" t="str">
        <f t="shared" ca="1" si="42"/>
        <v/>
      </c>
      <c r="B141" s="20">
        <f>Proforma!F108</f>
        <v>0</v>
      </c>
      <c r="C141" s="20">
        <f>Proforma!G108</f>
        <v>0</v>
      </c>
      <c r="D141" s="20"/>
      <c r="E141" s="23" t="str">
        <f ca="1">IF(A141&lt;&gt;"",codeEAN13(INT(A141/10)),"")</f>
        <v/>
      </c>
      <c r="G141" s="27" t="str">
        <f t="shared" ca="1" si="47"/>
        <v/>
      </c>
      <c r="H141" s="27" t="str">
        <f t="shared" ca="1" si="48"/>
        <v/>
      </c>
      <c r="I141" s="27" t="str">
        <f t="shared" ca="1" si="49"/>
        <v/>
      </c>
      <c r="J141" s="25" t="str">
        <f t="shared" ca="1" si="50"/>
        <v/>
      </c>
      <c r="K141" s="25" t="str">
        <f t="shared" ca="1" si="51"/>
        <v/>
      </c>
      <c r="M141" s="19" t="b">
        <f t="shared" ca="1" si="43"/>
        <v>0</v>
      </c>
      <c r="N141" s="19" t="b">
        <f t="shared" ca="1" si="44"/>
        <v>0</v>
      </c>
      <c r="O141" s="19" t="b">
        <f t="shared" ca="1" si="45"/>
        <v>0</v>
      </c>
      <c r="P141" s="11"/>
      <c r="Q141" s="9" t="str">
        <f t="shared" ca="1" si="52"/>
        <v/>
      </c>
      <c r="R141" s="29" t="str">
        <f t="shared" ca="1" si="53"/>
        <v/>
      </c>
      <c r="S141" s="2">
        <f>Proforma!B108</f>
        <v>0</v>
      </c>
      <c r="T141" s="2">
        <f>Proforma!C108</f>
        <v>0</v>
      </c>
      <c r="U141" s="2">
        <f>Proforma!D108</f>
        <v>0</v>
      </c>
      <c r="W141" t="str">
        <f t="shared" si="46"/>
        <v>0-0-000</v>
      </c>
      <c r="X141" s="14" t="str">
        <f t="shared" ca="1" si="54"/>
        <v/>
      </c>
      <c r="Y141" s="1"/>
      <c r="Z141" s="2" t="str">
        <f t="shared" ca="1" si="55"/>
        <v/>
      </c>
      <c r="AA141" s="7" t="str">
        <f t="shared" ca="1" si="56"/>
        <v/>
      </c>
      <c r="AB141" s="13" t="str">
        <f t="shared" ca="1" si="57"/>
        <v/>
      </c>
      <c r="AC141" s="13" t="str">
        <f t="shared" ca="1" si="58"/>
        <v/>
      </c>
      <c r="AE141" s="5" t="str">
        <f t="shared" ca="1" si="59"/>
        <v/>
      </c>
    </row>
    <row r="142" spans="1:31" customFormat="1" ht="33.75" x14ac:dyDescent="0.5">
      <c r="A142" s="21" t="str">
        <f t="shared" ca="1" si="42"/>
        <v/>
      </c>
      <c r="B142" s="20">
        <f>Proforma!F109</f>
        <v>0</v>
      </c>
      <c r="C142" s="20">
        <f>Proforma!G109</f>
        <v>0</v>
      </c>
      <c r="D142" s="20"/>
      <c r="E142" s="23" t="str">
        <f ca="1">IF(A142&lt;&gt;"",codeEAN13(INT(A142/10)),"")</f>
        <v/>
      </c>
      <c r="G142" s="27" t="str">
        <f t="shared" ca="1" si="47"/>
        <v/>
      </c>
      <c r="H142" s="27" t="str">
        <f t="shared" ca="1" si="48"/>
        <v/>
      </c>
      <c r="I142" s="27" t="str">
        <f t="shared" ca="1" si="49"/>
        <v/>
      </c>
      <c r="J142" s="25" t="str">
        <f t="shared" ca="1" si="50"/>
        <v/>
      </c>
      <c r="K142" s="25" t="str">
        <f t="shared" ca="1" si="51"/>
        <v/>
      </c>
      <c r="M142" s="19" t="b">
        <f t="shared" ca="1" si="43"/>
        <v>0</v>
      </c>
      <c r="N142" s="19" t="b">
        <f t="shared" ca="1" si="44"/>
        <v>0</v>
      </c>
      <c r="O142" s="19" t="b">
        <f t="shared" ca="1" si="45"/>
        <v>0</v>
      </c>
      <c r="P142" s="11"/>
      <c r="Q142" s="9" t="str">
        <f t="shared" ca="1" si="52"/>
        <v/>
      </c>
      <c r="R142" s="29" t="str">
        <f t="shared" ca="1" si="53"/>
        <v/>
      </c>
      <c r="S142" s="2">
        <f>Proforma!B109</f>
        <v>0</v>
      </c>
      <c r="T142" s="2">
        <f>Proforma!C109</f>
        <v>0</v>
      </c>
      <c r="U142" s="2">
        <f>Proforma!D109</f>
        <v>0</v>
      </c>
      <c r="W142" t="str">
        <f t="shared" si="46"/>
        <v>0-0-000</v>
      </c>
      <c r="X142" s="14" t="str">
        <f t="shared" ca="1" si="54"/>
        <v/>
      </c>
      <c r="Y142" s="1"/>
      <c r="Z142" s="2" t="str">
        <f t="shared" ca="1" si="55"/>
        <v/>
      </c>
      <c r="AA142" s="7" t="str">
        <f t="shared" ca="1" si="56"/>
        <v/>
      </c>
      <c r="AB142" s="13" t="str">
        <f t="shared" ca="1" si="57"/>
        <v/>
      </c>
      <c r="AC142" s="13" t="str">
        <f t="shared" ca="1" si="58"/>
        <v/>
      </c>
      <c r="AE142" s="5" t="str">
        <f t="shared" ca="1" si="59"/>
        <v/>
      </c>
    </row>
    <row r="143" spans="1:31" customFormat="1" ht="33.75" x14ac:dyDescent="0.5">
      <c r="A143" s="21" t="str">
        <f t="shared" ca="1" si="42"/>
        <v/>
      </c>
      <c r="B143" s="20">
        <f>Proforma!F110</f>
        <v>0</v>
      </c>
      <c r="C143" s="20">
        <f>Proforma!G110</f>
        <v>0</v>
      </c>
      <c r="D143" s="20"/>
      <c r="E143" s="23" t="str">
        <f ca="1">IF(A143&lt;&gt;"",codeEAN13(INT(A143/10)),"")</f>
        <v/>
      </c>
      <c r="G143" s="27" t="str">
        <f t="shared" ca="1" si="47"/>
        <v/>
      </c>
      <c r="H143" s="27" t="str">
        <f t="shared" ca="1" si="48"/>
        <v/>
      </c>
      <c r="I143" s="27" t="str">
        <f t="shared" ca="1" si="49"/>
        <v/>
      </c>
      <c r="J143" s="25" t="str">
        <f t="shared" ca="1" si="50"/>
        <v/>
      </c>
      <c r="K143" s="25" t="str">
        <f t="shared" ca="1" si="51"/>
        <v/>
      </c>
      <c r="M143" s="19" t="b">
        <f t="shared" ca="1" si="43"/>
        <v>0</v>
      </c>
      <c r="N143" s="19" t="b">
        <f t="shared" ca="1" si="44"/>
        <v>0</v>
      </c>
      <c r="O143" s="19" t="b">
        <f t="shared" ca="1" si="45"/>
        <v>0</v>
      </c>
      <c r="P143" s="11"/>
      <c r="Q143" s="9" t="str">
        <f t="shared" ca="1" si="52"/>
        <v/>
      </c>
      <c r="R143" s="29" t="str">
        <f t="shared" ca="1" si="53"/>
        <v/>
      </c>
      <c r="S143" s="2">
        <f>Proforma!B110</f>
        <v>0</v>
      </c>
      <c r="T143" s="2">
        <f>Proforma!C110</f>
        <v>0</v>
      </c>
      <c r="U143" s="2">
        <f>Proforma!D110</f>
        <v>0</v>
      </c>
      <c r="W143" t="str">
        <f t="shared" si="46"/>
        <v>0-0-000</v>
      </c>
      <c r="X143" s="14" t="str">
        <f t="shared" ca="1" si="54"/>
        <v/>
      </c>
      <c r="Y143" s="1"/>
      <c r="Z143" s="2" t="str">
        <f t="shared" ca="1" si="55"/>
        <v/>
      </c>
      <c r="AA143" s="7" t="str">
        <f t="shared" ca="1" si="56"/>
        <v/>
      </c>
      <c r="AB143" s="13" t="str">
        <f t="shared" ca="1" si="57"/>
        <v/>
      </c>
      <c r="AC143" s="13" t="str">
        <f t="shared" ca="1" si="58"/>
        <v/>
      </c>
      <c r="AE143" s="5" t="str">
        <f t="shared" ca="1" si="59"/>
        <v/>
      </c>
    </row>
    <row r="144" spans="1:31" customFormat="1" ht="33.75" x14ac:dyDescent="0.5">
      <c r="A144" s="21" t="str">
        <f t="shared" ca="1" si="42"/>
        <v/>
      </c>
      <c r="B144" s="20">
        <f>Proforma!F111</f>
        <v>0</v>
      </c>
      <c r="C144" s="20">
        <f>Proforma!G111</f>
        <v>0</v>
      </c>
      <c r="D144" s="20"/>
      <c r="E144" s="23" t="str">
        <f ca="1">IF(A144&lt;&gt;"",codeEAN13(INT(A144/10)),"")</f>
        <v/>
      </c>
      <c r="G144" s="27" t="str">
        <f t="shared" ca="1" si="47"/>
        <v/>
      </c>
      <c r="H144" s="27" t="str">
        <f t="shared" ca="1" si="48"/>
        <v/>
      </c>
      <c r="I144" s="27" t="str">
        <f t="shared" ca="1" si="49"/>
        <v/>
      </c>
      <c r="J144" s="25" t="str">
        <f t="shared" ca="1" si="50"/>
        <v/>
      </c>
      <c r="K144" s="25" t="str">
        <f t="shared" ca="1" si="51"/>
        <v/>
      </c>
      <c r="M144" s="19" t="b">
        <f t="shared" ca="1" si="43"/>
        <v>0</v>
      </c>
      <c r="N144" s="19" t="b">
        <f t="shared" ca="1" si="44"/>
        <v>0</v>
      </c>
      <c r="O144" s="19" t="b">
        <f t="shared" ca="1" si="45"/>
        <v>0</v>
      </c>
      <c r="P144" s="11"/>
      <c r="Q144" s="9" t="str">
        <f t="shared" ca="1" si="52"/>
        <v/>
      </c>
      <c r="R144" s="29" t="str">
        <f t="shared" ca="1" si="53"/>
        <v/>
      </c>
      <c r="S144" s="2">
        <f>Proforma!B111</f>
        <v>0</v>
      </c>
      <c r="T144" s="2">
        <f>Proforma!C111</f>
        <v>0</v>
      </c>
      <c r="U144" s="2">
        <f>Proforma!D111</f>
        <v>0</v>
      </c>
      <c r="W144" t="str">
        <f t="shared" si="46"/>
        <v>0-0-000</v>
      </c>
      <c r="X144" s="14" t="str">
        <f t="shared" ca="1" si="54"/>
        <v/>
      </c>
      <c r="Y144" s="1"/>
      <c r="Z144" s="2" t="str">
        <f t="shared" ca="1" si="55"/>
        <v/>
      </c>
      <c r="AA144" s="7" t="str">
        <f t="shared" ca="1" si="56"/>
        <v/>
      </c>
      <c r="AB144" s="13" t="str">
        <f t="shared" ca="1" si="57"/>
        <v/>
      </c>
      <c r="AC144" s="13" t="str">
        <f t="shared" ca="1" si="58"/>
        <v/>
      </c>
      <c r="AE144" s="5" t="str">
        <f t="shared" ca="1" si="59"/>
        <v/>
      </c>
    </row>
    <row r="145" spans="1:31" customFormat="1" ht="33.75" x14ac:dyDescent="0.5">
      <c r="A145" s="21" t="str">
        <f t="shared" ca="1" si="42"/>
        <v/>
      </c>
      <c r="B145" s="20">
        <f>Proforma!F112</f>
        <v>0</v>
      </c>
      <c r="C145" s="20">
        <f>Proforma!G112</f>
        <v>0</v>
      </c>
      <c r="D145" s="20"/>
      <c r="E145" s="23" t="str">
        <f ca="1">IF(A145&lt;&gt;"",codeEAN13(INT(A145/10)),"")</f>
        <v/>
      </c>
      <c r="G145" s="27" t="str">
        <f t="shared" ca="1" si="47"/>
        <v/>
      </c>
      <c r="H145" s="27" t="str">
        <f t="shared" ca="1" si="48"/>
        <v/>
      </c>
      <c r="I145" s="27" t="str">
        <f t="shared" ca="1" si="49"/>
        <v/>
      </c>
      <c r="J145" s="25" t="str">
        <f t="shared" ca="1" si="50"/>
        <v/>
      </c>
      <c r="K145" s="25" t="str">
        <f t="shared" ca="1" si="51"/>
        <v/>
      </c>
      <c r="M145" s="19" t="b">
        <f t="shared" ca="1" si="43"/>
        <v>0</v>
      </c>
      <c r="N145" s="19" t="b">
        <f t="shared" ca="1" si="44"/>
        <v>0</v>
      </c>
      <c r="O145" s="19" t="b">
        <f t="shared" ca="1" si="45"/>
        <v>0</v>
      </c>
      <c r="P145" s="11"/>
      <c r="Q145" s="9" t="str">
        <f t="shared" ca="1" si="52"/>
        <v/>
      </c>
      <c r="R145" s="29" t="str">
        <f t="shared" ca="1" si="53"/>
        <v/>
      </c>
      <c r="S145" s="2">
        <f>Proforma!B112</f>
        <v>0</v>
      </c>
      <c r="T145" s="2">
        <f>Proforma!C112</f>
        <v>0</v>
      </c>
      <c r="U145" s="2">
        <f>Proforma!D112</f>
        <v>0</v>
      </c>
      <c r="W145" t="str">
        <f t="shared" si="46"/>
        <v>0-0-000</v>
      </c>
      <c r="X145" s="14" t="str">
        <f t="shared" ca="1" si="54"/>
        <v/>
      </c>
      <c r="Y145" s="1"/>
      <c r="Z145" s="2" t="str">
        <f t="shared" ca="1" si="55"/>
        <v/>
      </c>
      <c r="AA145" s="7" t="str">
        <f t="shared" ca="1" si="56"/>
        <v/>
      </c>
      <c r="AB145" s="13" t="str">
        <f t="shared" ca="1" si="57"/>
        <v/>
      </c>
      <c r="AC145" s="13" t="str">
        <f t="shared" ca="1" si="58"/>
        <v/>
      </c>
      <c r="AE145" s="5" t="str">
        <f t="shared" ca="1" si="59"/>
        <v/>
      </c>
    </row>
    <row r="146" spans="1:31" customFormat="1" ht="33.75" x14ac:dyDescent="0.5">
      <c r="A146" s="21" t="str">
        <f t="shared" ca="1" si="42"/>
        <v/>
      </c>
      <c r="B146" s="20">
        <f>Proforma!F113</f>
        <v>0</v>
      </c>
      <c r="C146" s="20">
        <f>Proforma!G113</f>
        <v>0</v>
      </c>
      <c r="D146" s="20"/>
      <c r="E146" s="23" t="str">
        <f ca="1">IF(A146&lt;&gt;"",codeEAN13(INT(A146/10)),"")</f>
        <v/>
      </c>
      <c r="G146" s="27" t="str">
        <f t="shared" ca="1" si="47"/>
        <v/>
      </c>
      <c r="H146" s="27" t="str">
        <f t="shared" ca="1" si="48"/>
        <v/>
      </c>
      <c r="I146" s="27" t="str">
        <f t="shared" ca="1" si="49"/>
        <v/>
      </c>
      <c r="J146" s="25" t="str">
        <f t="shared" ca="1" si="50"/>
        <v/>
      </c>
      <c r="K146" s="25" t="str">
        <f t="shared" ca="1" si="51"/>
        <v/>
      </c>
      <c r="M146" s="19" t="b">
        <f t="shared" ca="1" si="43"/>
        <v>0</v>
      </c>
      <c r="N146" s="19" t="b">
        <f t="shared" ca="1" si="44"/>
        <v>0</v>
      </c>
      <c r="O146" s="19" t="b">
        <f t="shared" ca="1" si="45"/>
        <v>0</v>
      </c>
      <c r="P146" s="11"/>
      <c r="Q146" s="9" t="str">
        <f t="shared" ca="1" si="52"/>
        <v/>
      </c>
      <c r="R146" s="29" t="str">
        <f t="shared" ca="1" si="53"/>
        <v/>
      </c>
      <c r="S146" s="2">
        <f>Proforma!B113</f>
        <v>0</v>
      </c>
      <c r="T146" s="2">
        <f>Proforma!C113</f>
        <v>0</v>
      </c>
      <c r="U146" s="2">
        <f>Proforma!D113</f>
        <v>0</v>
      </c>
      <c r="W146" t="str">
        <f t="shared" si="46"/>
        <v>0-0-000</v>
      </c>
      <c r="X146" s="14" t="str">
        <f t="shared" ca="1" si="54"/>
        <v/>
      </c>
      <c r="Y146" s="1"/>
      <c r="Z146" s="2" t="str">
        <f t="shared" ca="1" si="55"/>
        <v/>
      </c>
      <c r="AA146" s="7" t="str">
        <f t="shared" ca="1" si="56"/>
        <v/>
      </c>
      <c r="AB146" s="13" t="str">
        <f t="shared" ca="1" si="57"/>
        <v/>
      </c>
      <c r="AC146" s="13" t="str">
        <f t="shared" ca="1" si="58"/>
        <v/>
      </c>
      <c r="AE146" s="5" t="str">
        <f t="shared" ca="1" si="59"/>
        <v/>
      </c>
    </row>
    <row r="147" spans="1:31" customFormat="1" ht="33.75" x14ac:dyDescent="0.5">
      <c r="A147" s="21" t="str">
        <f t="shared" ca="1" si="42"/>
        <v/>
      </c>
      <c r="B147" s="20">
        <f>Proforma!F114</f>
        <v>0</v>
      </c>
      <c r="C147" s="20">
        <f>Proforma!G114</f>
        <v>0</v>
      </c>
      <c r="D147" s="20"/>
      <c r="E147" s="23" t="str">
        <f ca="1">IF(A147&lt;&gt;"",codeEAN13(INT(A147/10)),"")</f>
        <v/>
      </c>
      <c r="G147" s="27" t="str">
        <f t="shared" ca="1" si="47"/>
        <v/>
      </c>
      <c r="H147" s="27" t="str">
        <f t="shared" ca="1" si="48"/>
        <v/>
      </c>
      <c r="I147" s="27" t="str">
        <f t="shared" ca="1" si="49"/>
        <v/>
      </c>
      <c r="J147" s="25" t="str">
        <f t="shared" ca="1" si="50"/>
        <v/>
      </c>
      <c r="K147" s="25" t="str">
        <f t="shared" ca="1" si="51"/>
        <v/>
      </c>
      <c r="M147" s="19" t="b">
        <f t="shared" ca="1" si="43"/>
        <v>0</v>
      </c>
      <c r="N147" s="19" t="b">
        <f t="shared" ca="1" si="44"/>
        <v>0</v>
      </c>
      <c r="O147" s="19" t="b">
        <f t="shared" ca="1" si="45"/>
        <v>0</v>
      </c>
      <c r="P147" s="11"/>
      <c r="Q147" s="9" t="str">
        <f t="shared" ca="1" si="52"/>
        <v/>
      </c>
      <c r="R147" s="29" t="str">
        <f t="shared" ca="1" si="53"/>
        <v/>
      </c>
      <c r="S147" s="2">
        <f>Proforma!B114</f>
        <v>0</v>
      </c>
      <c r="T147" s="2">
        <f>Proforma!C114</f>
        <v>0</v>
      </c>
      <c r="U147" s="2">
        <f>Proforma!D114</f>
        <v>0</v>
      </c>
      <c r="W147" t="str">
        <f t="shared" si="46"/>
        <v>0-0-000</v>
      </c>
      <c r="X147" s="14" t="str">
        <f t="shared" ca="1" si="54"/>
        <v/>
      </c>
      <c r="Y147" s="1"/>
      <c r="Z147" s="2" t="str">
        <f t="shared" ca="1" si="55"/>
        <v/>
      </c>
      <c r="AA147" s="7" t="str">
        <f t="shared" ca="1" si="56"/>
        <v/>
      </c>
      <c r="AB147" s="13" t="str">
        <f t="shared" ca="1" si="57"/>
        <v/>
      </c>
      <c r="AC147" s="13" t="str">
        <f t="shared" ca="1" si="58"/>
        <v/>
      </c>
      <c r="AE147" s="5" t="str">
        <f t="shared" ca="1" si="59"/>
        <v/>
      </c>
    </row>
    <row r="148" spans="1:31" customFormat="1" ht="33.75" x14ac:dyDescent="0.5">
      <c r="A148" s="21" t="str">
        <f t="shared" ca="1" si="42"/>
        <v/>
      </c>
      <c r="B148" s="20">
        <f>Proforma!F115</f>
        <v>0</v>
      </c>
      <c r="C148" s="20">
        <f>Proforma!G115</f>
        <v>0</v>
      </c>
      <c r="D148" s="20"/>
      <c r="E148" s="23" t="str">
        <f ca="1">IF(A148&lt;&gt;"",codeEAN13(INT(A148/10)),"")</f>
        <v/>
      </c>
      <c r="G148" s="27" t="str">
        <f t="shared" ca="1" si="47"/>
        <v/>
      </c>
      <c r="H148" s="27" t="str">
        <f t="shared" ca="1" si="48"/>
        <v/>
      </c>
      <c r="I148" s="27" t="str">
        <f t="shared" ca="1" si="49"/>
        <v/>
      </c>
      <c r="J148" s="25" t="str">
        <f t="shared" ca="1" si="50"/>
        <v/>
      </c>
      <c r="K148" s="25" t="str">
        <f t="shared" ca="1" si="51"/>
        <v/>
      </c>
      <c r="M148" s="19" t="b">
        <f t="shared" ca="1" si="43"/>
        <v>0</v>
      </c>
      <c r="N148" s="19" t="b">
        <f t="shared" ca="1" si="44"/>
        <v>0</v>
      </c>
      <c r="O148" s="19" t="b">
        <f t="shared" ca="1" si="45"/>
        <v>0</v>
      </c>
      <c r="P148" s="11"/>
      <c r="Q148" s="9" t="str">
        <f t="shared" ca="1" si="52"/>
        <v/>
      </c>
      <c r="R148" s="29" t="str">
        <f t="shared" ca="1" si="53"/>
        <v/>
      </c>
      <c r="S148" s="2">
        <f>Proforma!B115</f>
        <v>0</v>
      </c>
      <c r="T148" s="2">
        <f>Proforma!C115</f>
        <v>0</v>
      </c>
      <c r="U148" s="2">
        <f>Proforma!D115</f>
        <v>0</v>
      </c>
      <c r="W148" t="str">
        <f t="shared" si="46"/>
        <v>0-0-000</v>
      </c>
      <c r="X148" s="14" t="str">
        <f t="shared" ca="1" si="54"/>
        <v/>
      </c>
      <c r="Y148" s="1"/>
      <c r="Z148" s="2" t="str">
        <f t="shared" ca="1" si="55"/>
        <v/>
      </c>
      <c r="AA148" s="7" t="str">
        <f t="shared" ca="1" si="56"/>
        <v/>
      </c>
      <c r="AB148" s="13" t="str">
        <f t="shared" ca="1" si="57"/>
        <v/>
      </c>
      <c r="AC148" s="13" t="str">
        <f t="shared" ca="1" si="58"/>
        <v/>
      </c>
      <c r="AE148" s="5" t="str">
        <f t="shared" ca="1" si="59"/>
        <v/>
      </c>
    </row>
    <row r="149" spans="1:31" customFormat="1" ht="33.75" x14ac:dyDescent="0.5">
      <c r="A149" s="21" t="str">
        <f t="shared" ca="1" si="42"/>
        <v/>
      </c>
      <c r="B149" s="20">
        <f>Proforma!F116</f>
        <v>0</v>
      </c>
      <c r="C149" s="20">
        <f>Proforma!G116</f>
        <v>0</v>
      </c>
      <c r="D149" s="20"/>
      <c r="E149" s="23" t="str">
        <f ca="1">IF(A149&lt;&gt;"",codeEAN13(INT(A149/10)),"")</f>
        <v/>
      </c>
      <c r="G149" s="27" t="str">
        <f t="shared" ca="1" si="47"/>
        <v/>
      </c>
      <c r="H149" s="27" t="str">
        <f t="shared" ca="1" si="48"/>
        <v/>
      </c>
      <c r="I149" s="27" t="str">
        <f t="shared" ca="1" si="49"/>
        <v/>
      </c>
      <c r="J149" s="25" t="str">
        <f t="shared" ca="1" si="50"/>
        <v/>
      </c>
      <c r="K149" s="25" t="str">
        <f t="shared" ca="1" si="51"/>
        <v/>
      </c>
      <c r="M149" s="19" t="b">
        <f t="shared" ca="1" si="43"/>
        <v>0</v>
      </c>
      <c r="N149" s="19" t="b">
        <f t="shared" ca="1" si="44"/>
        <v>0</v>
      </c>
      <c r="O149" s="19" t="b">
        <f t="shared" ca="1" si="45"/>
        <v>0</v>
      </c>
      <c r="P149" s="11"/>
      <c r="Q149" s="9" t="str">
        <f t="shared" ca="1" si="52"/>
        <v/>
      </c>
      <c r="R149" s="29" t="str">
        <f t="shared" ca="1" si="53"/>
        <v/>
      </c>
      <c r="S149" s="2">
        <f>Proforma!B116</f>
        <v>0</v>
      </c>
      <c r="T149" s="2">
        <f>Proforma!C116</f>
        <v>0</v>
      </c>
      <c r="U149" s="2">
        <f>Proforma!D116</f>
        <v>0</v>
      </c>
      <c r="W149" t="str">
        <f t="shared" si="46"/>
        <v>0-0-000</v>
      </c>
      <c r="X149" s="14" t="str">
        <f t="shared" ca="1" si="54"/>
        <v/>
      </c>
      <c r="Y149" s="1"/>
      <c r="Z149" s="2" t="str">
        <f t="shared" ca="1" si="55"/>
        <v/>
      </c>
      <c r="AA149" s="7" t="str">
        <f t="shared" ca="1" si="56"/>
        <v/>
      </c>
      <c r="AB149" s="13" t="str">
        <f t="shared" ca="1" si="57"/>
        <v/>
      </c>
      <c r="AC149" s="13" t="str">
        <f t="shared" ca="1" si="58"/>
        <v/>
      </c>
      <c r="AE149" s="5" t="str">
        <f t="shared" ca="1" si="59"/>
        <v/>
      </c>
    </row>
    <row r="150" spans="1:31" customFormat="1" ht="33.75" x14ac:dyDescent="0.5">
      <c r="A150" s="21" t="str">
        <f t="shared" ca="1" si="42"/>
        <v/>
      </c>
      <c r="B150" s="20">
        <f>Proforma!F117</f>
        <v>0</v>
      </c>
      <c r="C150" s="20">
        <f>Proforma!G117</f>
        <v>0</v>
      </c>
      <c r="D150" s="20"/>
      <c r="E150" s="23" t="str">
        <f ca="1">IF(A150&lt;&gt;"",codeEAN13(INT(A150/10)),"")</f>
        <v/>
      </c>
      <c r="G150" s="27" t="str">
        <f t="shared" ca="1" si="47"/>
        <v/>
      </c>
      <c r="H150" s="27" t="str">
        <f t="shared" ca="1" si="48"/>
        <v/>
      </c>
      <c r="I150" s="27" t="str">
        <f t="shared" ca="1" si="49"/>
        <v/>
      </c>
      <c r="J150" s="25" t="str">
        <f t="shared" ca="1" si="50"/>
        <v/>
      </c>
      <c r="K150" s="25" t="str">
        <f t="shared" ca="1" si="51"/>
        <v/>
      </c>
      <c r="M150" s="19" t="b">
        <f t="shared" ca="1" si="43"/>
        <v>0</v>
      </c>
      <c r="N150" s="19" t="b">
        <f t="shared" ca="1" si="44"/>
        <v>0</v>
      </c>
      <c r="O150" s="19" t="b">
        <f t="shared" ca="1" si="45"/>
        <v>0</v>
      </c>
      <c r="P150" s="11"/>
      <c r="Q150" s="9" t="str">
        <f t="shared" ca="1" si="52"/>
        <v/>
      </c>
      <c r="R150" s="29" t="str">
        <f t="shared" ca="1" si="53"/>
        <v/>
      </c>
      <c r="S150" s="2">
        <f>Proforma!B117</f>
        <v>0</v>
      </c>
      <c r="T150" s="2">
        <f>Proforma!C117</f>
        <v>0</v>
      </c>
      <c r="U150" s="2">
        <f>Proforma!D117</f>
        <v>0</v>
      </c>
      <c r="W150" t="str">
        <f t="shared" si="46"/>
        <v>0-0-000</v>
      </c>
      <c r="X150" s="14" t="str">
        <f t="shared" ca="1" si="54"/>
        <v/>
      </c>
      <c r="Y150" s="1"/>
      <c r="Z150" s="2" t="str">
        <f t="shared" ca="1" si="55"/>
        <v/>
      </c>
      <c r="AA150" s="7" t="str">
        <f t="shared" ca="1" si="56"/>
        <v/>
      </c>
      <c r="AB150" s="13" t="str">
        <f t="shared" ca="1" si="57"/>
        <v/>
      </c>
      <c r="AC150" s="13" t="str">
        <f t="shared" ca="1" si="58"/>
        <v/>
      </c>
      <c r="AE150" s="5" t="str">
        <f t="shared" ca="1" si="59"/>
        <v/>
      </c>
    </row>
    <row r="151" spans="1:31" customFormat="1" ht="33.75" x14ac:dyDescent="0.5">
      <c r="A151" s="21" t="str">
        <f t="shared" ca="1" si="42"/>
        <v/>
      </c>
      <c r="B151" s="20">
        <f>Proforma!F118</f>
        <v>0</v>
      </c>
      <c r="C151" s="20">
        <f>Proforma!G118</f>
        <v>0</v>
      </c>
      <c r="D151" s="20"/>
      <c r="E151" s="23" t="str">
        <f ca="1">IF(A151&lt;&gt;"",codeEAN13(INT(A151/10)),"")</f>
        <v/>
      </c>
      <c r="G151" s="27" t="str">
        <f t="shared" ca="1" si="47"/>
        <v/>
      </c>
      <c r="H151" s="27" t="str">
        <f t="shared" ca="1" si="48"/>
        <v/>
      </c>
      <c r="I151" s="27" t="str">
        <f t="shared" ca="1" si="49"/>
        <v/>
      </c>
      <c r="J151" s="25" t="str">
        <f t="shared" ca="1" si="50"/>
        <v/>
      </c>
      <c r="K151" s="25" t="str">
        <f t="shared" ca="1" si="51"/>
        <v/>
      </c>
      <c r="M151" s="19" t="b">
        <f t="shared" ca="1" si="43"/>
        <v>0</v>
      </c>
      <c r="N151" s="19" t="b">
        <f t="shared" ca="1" si="44"/>
        <v>0</v>
      </c>
      <c r="O151" s="19" t="b">
        <f t="shared" ca="1" si="45"/>
        <v>0</v>
      </c>
      <c r="P151" s="11"/>
      <c r="Q151" s="9" t="str">
        <f t="shared" ca="1" si="52"/>
        <v/>
      </c>
      <c r="R151" s="29" t="str">
        <f t="shared" ca="1" si="53"/>
        <v/>
      </c>
      <c r="S151" s="2">
        <f>Proforma!B118</f>
        <v>0</v>
      </c>
      <c r="T151" s="2">
        <f>Proforma!C118</f>
        <v>0</v>
      </c>
      <c r="U151" s="2">
        <f>Proforma!D118</f>
        <v>0</v>
      </c>
      <c r="W151" t="str">
        <f t="shared" si="46"/>
        <v>0-0-000</v>
      </c>
      <c r="X151" s="14" t="str">
        <f t="shared" ca="1" si="54"/>
        <v/>
      </c>
      <c r="Y151" s="1"/>
      <c r="Z151" s="2" t="str">
        <f t="shared" ca="1" si="55"/>
        <v/>
      </c>
      <c r="AA151" s="7" t="str">
        <f t="shared" ca="1" si="56"/>
        <v/>
      </c>
      <c r="AB151" s="13" t="str">
        <f t="shared" ca="1" si="57"/>
        <v/>
      </c>
      <c r="AC151" s="13" t="str">
        <f t="shared" ca="1" si="58"/>
        <v/>
      </c>
      <c r="AE151" s="5" t="str">
        <f t="shared" ca="1" si="59"/>
        <v/>
      </c>
    </row>
    <row r="152" spans="1:31" customFormat="1" ht="33.75" x14ac:dyDescent="0.5">
      <c r="A152" s="21" t="str">
        <f t="shared" ca="1" si="42"/>
        <v/>
      </c>
      <c r="B152" s="20">
        <f>Proforma!F119</f>
        <v>0</v>
      </c>
      <c r="C152" s="20">
        <f>Proforma!G119</f>
        <v>0</v>
      </c>
      <c r="D152" s="20"/>
      <c r="E152" s="23" t="str">
        <f ca="1">IF(A152&lt;&gt;"",codeEAN13(INT(A152/10)),"")</f>
        <v/>
      </c>
      <c r="G152" s="27" t="str">
        <f t="shared" ca="1" si="47"/>
        <v/>
      </c>
      <c r="H152" s="27" t="str">
        <f t="shared" ca="1" si="48"/>
        <v/>
      </c>
      <c r="I152" s="27" t="str">
        <f t="shared" ca="1" si="49"/>
        <v/>
      </c>
      <c r="J152" s="25" t="str">
        <f t="shared" ca="1" si="50"/>
        <v/>
      </c>
      <c r="K152" s="25" t="str">
        <f t="shared" ca="1" si="51"/>
        <v/>
      </c>
      <c r="M152" s="19" t="b">
        <f t="shared" ca="1" si="43"/>
        <v>0</v>
      </c>
      <c r="N152" s="19" t="b">
        <f t="shared" ca="1" si="44"/>
        <v>0</v>
      </c>
      <c r="O152" s="19" t="b">
        <f t="shared" ca="1" si="45"/>
        <v>0</v>
      </c>
      <c r="P152" s="11"/>
      <c r="Q152" s="9" t="str">
        <f t="shared" ca="1" si="52"/>
        <v/>
      </c>
      <c r="R152" s="29" t="str">
        <f t="shared" ca="1" si="53"/>
        <v/>
      </c>
      <c r="S152" s="2">
        <f>Proforma!B119</f>
        <v>0</v>
      </c>
      <c r="T152" s="2">
        <f>Proforma!C119</f>
        <v>0</v>
      </c>
      <c r="U152" s="2">
        <f>Proforma!D119</f>
        <v>0</v>
      </c>
      <c r="W152" t="str">
        <f t="shared" si="46"/>
        <v>0-0-000</v>
      </c>
      <c r="X152" s="14" t="str">
        <f t="shared" ca="1" si="54"/>
        <v/>
      </c>
      <c r="Y152" s="1"/>
      <c r="Z152" s="2" t="str">
        <f t="shared" ca="1" si="55"/>
        <v/>
      </c>
      <c r="AA152" s="7" t="str">
        <f t="shared" ca="1" si="56"/>
        <v/>
      </c>
      <c r="AB152" s="13" t="str">
        <f t="shared" ca="1" si="57"/>
        <v/>
      </c>
      <c r="AC152" s="13" t="str">
        <f t="shared" ca="1" si="58"/>
        <v/>
      </c>
      <c r="AE152" s="5" t="str">
        <f t="shared" ca="1" si="59"/>
        <v/>
      </c>
    </row>
    <row r="153" spans="1:31" customFormat="1" ht="33.75" x14ac:dyDescent="0.5">
      <c r="A153" s="21" t="str">
        <f t="shared" ca="1" si="42"/>
        <v/>
      </c>
      <c r="B153" s="20">
        <f>Proforma!F120</f>
        <v>0</v>
      </c>
      <c r="C153" s="20">
        <f>Proforma!G120</f>
        <v>0</v>
      </c>
      <c r="D153" s="20"/>
      <c r="E153" s="23" t="str">
        <f ca="1">IF(A153&lt;&gt;"",codeEAN13(INT(A153/10)),"")</f>
        <v/>
      </c>
      <c r="G153" s="27" t="str">
        <f t="shared" ca="1" si="47"/>
        <v/>
      </c>
      <c r="H153" s="27" t="str">
        <f t="shared" ca="1" si="48"/>
        <v/>
      </c>
      <c r="I153" s="27" t="str">
        <f t="shared" ca="1" si="49"/>
        <v/>
      </c>
      <c r="J153" s="25" t="str">
        <f t="shared" ca="1" si="50"/>
        <v/>
      </c>
      <c r="K153" s="25" t="str">
        <f t="shared" ca="1" si="51"/>
        <v/>
      </c>
      <c r="M153" s="19" t="b">
        <f t="shared" ca="1" si="43"/>
        <v>0</v>
      </c>
      <c r="N153" s="19" t="b">
        <f t="shared" ca="1" si="44"/>
        <v>0</v>
      </c>
      <c r="O153" s="19" t="b">
        <f t="shared" ca="1" si="45"/>
        <v>0</v>
      </c>
      <c r="P153" s="11"/>
      <c r="Q153" s="9" t="str">
        <f t="shared" ca="1" si="52"/>
        <v/>
      </c>
      <c r="R153" s="29" t="str">
        <f t="shared" ca="1" si="53"/>
        <v/>
      </c>
      <c r="S153" s="2">
        <f>Proforma!B120</f>
        <v>0</v>
      </c>
      <c r="T153" s="2">
        <f>Proforma!C120</f>
        <v>0</v>
      </c>
      <c r="U153" s="2">
        <f>Proforma!D120</f>
        <v>0</v>
      </c>
      <c r="W153" t="str">
        <f t="shared" si="46"/>
        <v>0-0-000</v>
      </c>
      <c r="X153" s="14" t="str">
        <f t="shared" ca="1" si="54"/>
        <v/>
      </c>
      <c r="Y153" s="1"/>
      <c r="Z153" s="2" t="str">
        <f t="shared" ca="1" si="55"/>
        <v/>
      </c>
      <c r="AA153" s="7" t="str">
        <f t="shared" ca="1" si="56"/>
        <v/>
      </c>
      <c r="AB153" s="13" t="str">
        <f t="shared" ca="1" si="57"/>
        <v/>
      </c>
      <c r="AC153" s="13" t="str">
        <f t="shared" ca="1" si="58"/>
        <v/>
      </c>
      <c r="AE153" s="5" t="str">
        <f t="shared" ca="1" si="59"/>
        <v/>
      </c>
    </row>
    <row r="154" spans="1:31" customFormat="1" ht="33.75" x14ac:dyDescent="0.5">
      <c r="A154" s="21" t="str">
        <f t="shared" ca="1" si="42"/>
        <v/>
      </c>
      <c r="B154" s="20">
        <f>Proforma!F121</f>
        <v>0</v>
      </c>
      <c r="C154" s="20">
        <f>Proforma!G121</f>
        <v>0</v>
      </c>
      <c r="D154" s="20"/>
      <c r="E154" s="23" t="str">
        <f ca="1">IF(A154&lt;&gt;"",codeEAN13(INT(A154/10)),"")</f>
        <v/>
      </c>
      <c r="G154" s="27" t="str">
        <f t="shared" ca="1" si="47"/>
        <v/>
      </c>
      <c r="H154" s="27" t="str">
        <f t="shared" ca="1" si="48"/>
        <v/>
      </c>
      <c r="I154" s="27" t="str">
        <f t="shared" ca="1" si="49"/>
        <v/>
      </c>
      <c r="J154" s="25" t="str">
        <f t="shared" ca="1" si="50"/>
        <v/>
      </c>
      <c r="K154" s="25" t="str">
        <f t="shared" ca="1" si="51"/>
        <v/>
      </c>
      <c r="M154" s="19" t="b">
        <f t="shared" ca="1" si="43"/>
        <v>0</v>
      </c>
      <c r="N154" s="19" t="b">
        <f t="shared" ca="1" si="44"/>
        <v>0</v>
      </c>
      <c r="O154" s="19" t="b">
        <f t="shared" ca="1" si="45"/>
        <v>0</v>
      </c>
      <c r="P154" s="11"/>
      <c r="Q154" s="9" t="str">
        <f t="shared" ca="1" si="52"/>
        <v/>
      </c>
      <c r="R154" s="29" t="str">
        <f t="shared" ca="1" si="53"/>
        <v/>
      </c>
      <c r="S154" s="2">
        <f>Proforma!B121</f>
        <v>0</v>
      </c>
      <c r="T154" s="2">
        <f>Proforma!C121</f>
        <v>0</v>
      </c>
      <c r="U154" s="2">
        <f>Proforma!D121</f>
        <v>0</v>
      </c>
      <c r="W154" t="str">
        <f t="shared" si="46"/>
        <v>0-0-000</v>
      </c>
      <c r="X154" s="14" t="str">
        <f t="shared" ca="1" si="54"/>
        <v/>
      </c>
      <c r="Y154" s="1"/>
      <c r="Z154" s="2" t="str">
        <f t="shared" ca="1" si="55"/>
        <v/>
      </c>
      <c r="AA154" s="7" t="str">
        <f t="shared" ca="1" si="56"/>
        <v/>
      </c>
      <c r="AB154" s="13" t="str">
        <f t="shared" ca="1" si="57"/>
        <v/>
      </c>
      <c r="AC154" s="13" t="str">
        <f t="shared" ca="1" si="58"/>
        <v/>
      </c>
      <c r="AE154" s="5" t="str">
        <f t="shared" ca="1" si="59"/>
        <v/>
      </c>
    </row>
    <row r="155" spans="1:31" customFormat="1" ht="33.75" x14ac:dyDescent="0.5">
      <c r="A155" s="21" t="str">
        <f t="shared" ref="A155:A213" ca="1" si="60">X155</f>
        <v/>
      </c>
      <c r="B155" s="20">
        <f>Proforma!F122</f>
        <v>0</v>
      </c>
      <c r="C155" s="20">
        <f>Proforma!G122</f>
        <v>0</v>
      </c>
      <c r="D155" s="20"/>
      <c r="E155" s="23" t="str">
        <f ca="1">IF(A155&lt;&gt;"",codeEAN13(INT(A155/10)),"")</f>
        <v/>
      </c>
      <c r="G155" s="27" t="str">
        <f t="shared" ca="1" si="47"/>
        <v/>
      </c>
      <c r="H155" s="27" t="str">
        <f t="shared" ca="1" si="48"/>
        <v/>
      </c>
      <c r="I155" s="27" t="str">
        <f t="shared" ca="1" si="49"/>
        <v/>
      </c>
      <c r="J155" s="25" t="str">
        <f t="shared" ca="1" si="50"/>
        <v/>
      </c>
      <c r="K155" s="25" t="str">
        <f t="shared" ca="1" si="51"/>
        <v/>
      </c>
      <c r="M155" s="19" t="b">
        <f t="shared" ref="M155:M213" ca="1" si="61">OR(N155:O155)</f>
        <v>0</v>
      </c>
      <c r="N155" s="19" t="b">
        <f t="shared" ref="N155:N213" ca="1" si="62">AND($X155 &lt;&gt; "", J155&lt;&gt;AB155)</f>
        <v>0</v>
      </c>
      <c r="O155" s="19" t="b">
        <f t="shared" ref="O155:O213" ca="1" si="63">AND($X155 &lt;&gt; "", K155&lt;&gt;AC155)</f>
        <v>0</v>
      </c>
      <c r="P155" s="11"/>
      <c r="Q155" s="9" t="str">
        <f t="shared" ca="1" si="52"/>
        <v/>
      </c>
      <c r="R155" s="29" t="str">
        <f t="shared" ca="1" si="53"/>
        <v/>
      </c>
      <c r="S155" s="2">
        <f>Proforma!B122</f>
        <v>0</v>
      </c>
      <c r="T155" s="2">
        <f>Proforma!C122</f>
        <v>0</v>
      </c>
      <c r="U155" s="2">
        <f>Proforma!D122</f>
        <v>0</v>
      </c>
      <c r="W155" t="str">
        <f t="shared" ref="W155:W213" si="64">S155 &amp; "-" &amp; T155 &amp; "-" &amp; TEXT(U155, "000")</f>
        <v>0-0-000</v>
      </c>
      <c r="X155" s="14" t="str">
        <f t="shared" ca="1" si="54"/>
        <v/>
      </c>
      <c r="Y155" s="1"/>
      <c r="Z155" s="2" t="str">
        <f t="shared" ca="1" si="55"/>
        <v/>
      </c>
      <c r="AA155" s="7" t="str">
        <f t="shared" ca="1" si="56"/>
        <v/>
      </c>
      <c r="AB155" s="13" t="str">
        <f t="shared" ca="1" si="57"/>
        <v/>
      </c>
      <c r="AC155" s="13" t="str">
        <f t="shared" ca="1" si="58"/>
        <v/>
      </c>
      <c r="AE155" s="5" t="str">
        <f t="shared" ca="1" si="59"/>
        <v/>
      </c>
    </row>
    <row r="156" spans="1:31" customFormat="1" ht="33.75" x14ac:dyDescent="0.5">
      <c r="A156" s="21" t="str">
        <f t="shared" ca="1" si="60"/>
        <v/>
      </c>
      <c r="B156" s="20">
        <f>Proforma!F123</f>
        <v>0</v>
      </c>
      <c r="C156" s="20">
        <f>Proforma!G123</f>
        <v>0</v>
      </c>
      <c r="D156" s="20"/>
      <c r="E156" s="23" t="str">
        <f ca="1">IF(A156&lt;&gt;"",codeEAN13(INT(A156/10)),"")</f>
        <v/>
      </c>
      <c r="G156" s="27" t="str">
        <f t="shared" ca="1" si="47"/>
        <v/>
      </c>
      <c r="H156" s="27" t="str">
        <f t="shared" ca="1" si="48"/>
        <v/>
      </c>
      <c r="I156" s="27" t="str">
        <f t="shared" ca="1" si="49"/>
        <v/>
      </c>
      <c r="J156" s="25" t="str">
        <f t="shared" ca="1" si="50"/>
        <v/>
      </c>
      <c r="K156" s="25" t="str">
        <f t="shared" ca="1" si="51"/>
        <v/>
      </c>
      <c r="M156" s="19" t="b">
        <f t="shared" ca="1" si="61"/>
        <v>0</v>
      </c>
      <c r="N156" s="19" t="b">
        <f t="shared" ca="1" si="62"/>
        <v>0</v>
      </c>
      <c r="O156" s="19" t="b">
        <f t="shared" ca="1" si="63"/>
        <v>0</v>
      </c>
      <c r="P156" s="11"/>
      <c r="Q156" s="9" t="str">
        <f t="shared" ca="1" si="52"/>
        <v/>
      </c>
      <c r="R156" s="29" t="str">
        <f t="shared" ca="1" si="53"/>
        <v/>
      </c>
      <c r="S156" s="2">
        <f>Proforma!B123</f>
        <v>0</v>
      </c>
      <c r="T156" s="2">
        <f>Proforma!C123</f>
        <v>0</v>
      </c>
      <c r="U156" s="2">
        <f>Proforma!D123</f>
        <v>0</v>
      </c>
      <c r="W156" t="str">
        <f t="shared" si="64"/>
        <v>0-0-000</v>
      </c>
      <c r="X156" s="14" t="str">
        <f t="shared" ca="1" si="54"/>
        <v/>
      </c>
      <c r="Y156" s="1"/>
      <c r="Z156" s="2" t="str">
        <f t="shared" ca="1" si="55"/>
        <v/>
      </c>
      <c r="AA156" s="7" t="str">
        <f t="shared" ca="1" si="56"/>
        <v/>
      </c>
      <c r="AB156" s="13" t="str">
        <f t="shared" ca="1" si="57"/>
        <v/>
      </c>
      <c r="AC156" s="13" t="str">
        <f t="shared" ca="1" si="58"/>
        <v/>
      </c>
      <c r="AE156" s="5" t="str">
        <f t="shared" ca="1" si="59"/>
        <v/>
      </c>
    </row>
    <row r="157" spans="1:31" customFormat="1" ht="33.75" x14ac:dyDescent="0.5">
      <c r="A157" s="21" t="str">
        <f t="shared" ca="1" si="60"/>
        <v/>
      </c>
      <c r="B157" s="20">
        <f>Proforma!F124</f>
        <v>0</v>
      </c>
      <c r="C157" s="20">
        <f>Proforma!G124</f>
        <v>0</v>
      </c>
      <c r="D157" s="20"/>
      <c r="E157" s="23" t="str">
        <f ca="1">IF(A157&lt;&gt;"",codeEAN13(INT(A157/10)),"")</f>
        <v/>
      </c>
      <c r="G157" s="27" t="str">
        <f t="shared" ca="1" si="47"/>
        <v/>
      </c>
      <c r="H157" s="27" t="str">
        <f t="shared" ca="1" si="48"/>
        <v/>
      </c>
      <c r="I157" s="27" t="str">
        <f t="shared" ca="1" si="49"/>
        <v/>
      </c>
      <c r="J157" s="25" t="str">
        <f t="shared" ca="1" si="50"/>
        <v/>
      </c>
      <c r="K157" s="25" t="str">
        <f t="shared" ca="1" si="51"/>
        <v/>
      </c>
      <c r="M157" s="19" t="b">
        <f t="shared" ca="1" si="61"/>
        <v>0</v>
      </c>
      <c r="N157" s="19" t="b">
        <f t="shared" ca="1" si="62"/>
        <v>0</v>
      </c>
      <c r="O157" s="19" t="b">
        <f t="shared" ca="1" si="63"/>
        <v>0</v>
      </c>
      <c r="P157" s="11"/>
      <c r="Q157" s="9" t="str">
        <f t="shared" ca="1" si="52"/>
        <v/>
      </c>
      <c r="R157" s="29" t="str">
        <f t="shared" ca="1" si="53"/>
        <v/>
      </c>
      <c r="S157" s="2">
        <f>Proforma!B124</f>
        <v>0</v>
      </c>
      <c r="T157" s="2">
        <f>Proforma!C124</f>
        <v>0</v>
      </c>
      <c r="U157" s="2">
        <f>Proforma!D124</f>
        <v>0</v>
      </c>
      <c r="W157" t="str">
        <f t="shared" si="64"/>
        <v>0-0-000</v>
      </c>
      <c r="X157" s="14" t="str">
        <f t="shared" ca="1" si="54"/>
        <v/>
      </c>
      <c r="Y157" s="1"/>
      <c r="Z157" s="2" t="str">
        <f t="shared" ca="1" si="55"/>
        <v/>
      </c>
      <c r="AA157" s="7" t="str">
        <f t="shared" ca="1" si="56"/>
        <v/>
      </c>
      <c r="AB157" s="13" t="str">
        <f t="shared" ca="1" si="57"/>
        <v/>
      </c>
      <c r="AC157" s="13" t="str">
        <f t="shared" ca="1" si="58"/>
        <v/>
      </c>
      <c r="AE157" s="5" t="str">
        <f t="shared" ca="1" si="59"/>
        <v/>
      </c>
    </row>
    <row r="158" spans="1:31" customFormat="1" ht="33.75" x14ac:dyDescent="0.5">
      <c r="A158" s="21" t="str">
        <f t="shared" ca="1" si="60"/>
        <v/>
      </c>
      <c r="B158" s="20">
        <f>Proforma!F125</f>
        <v>0</v>
      </c>
      <c r="C158" s="20">
        <f>Proforma!G125</f>
        <v>0</v>
      </c>
      <c r="D158" s="20"/>
      <c r="E158" s="23" t="str">
        <f ca="1">IF(A158&lt;&gt;"",codeEAN13(INT(A158/10)),"")</f>
        <v/>
      </c>
      <c r="G158" s="27" t="str">
        <f t="shared" ca="1" si="47"/>
        <v/>
      </c>
      <c r="H158" s="27" t="str">
        <f t="shared" ca="1" si="48"/>
        <v/>
      </c>
      <c r="I158" s="27" t="str">
        <f t="shared" ca="1" si="49"/>
        <v/>
      </c>
      <c r="J158" s="25" t="str">
        <f t="shared" ca="1" si="50"/>
        <v/>
      </c>
      <c r="K158" s="25" t="str">
        <f t="shared" ca="1" si="51"/>
        <v/>
      </c>
      <c r="M158" s="19" t="b">
        <f t="shared" ca="1" si="61"/>
        <v>0</v>
      </c>
      <c r="N158" s="19" t="b">
        <f t="shared" ca="1" si="62"/>
        <v>0</v>
      </c>
      <c r="O158" s="19" t="b">
        <f t="shared" ca="1" si="63"/>
        <v>0</v>
      </c>
      <c r="P158" s="11"/>
      <c r="Q158" s="9" t="str">
        <f t="shared" ca="1" si="52"/>
        <v/>
      </c>
      <c r="R158" s="29" t="str">
        <f t="shared" ca="1" si="53"/>
        <v/>
      </c>
      <c r="S158" s="2">
        <f>Proforma!B125</f>
        <v>0</v>
      </c>
      <c r="T158" s="2">
        <f>Proforma!C125</f>
        <v>0</v>
      </c>
      <c r="U158" s="2">
        <f>Proforma!D125</f>
        <v>0</v>
      </c>
      <c r="W158" t="str">
        <f t="shared" si="64"/>
        <v>0-0-000</v>
      </c>
      <c r="X158" s="14" t="str">
        <f t="shared" ca="1" si="54"/>
        <v/>
      </c>
      <c r="Y158" s="1"/>
      <c r="Z158" s="2" t="str">
        <f t="shared" ca="1" si="55"/>
        <v/>
      </c>
      <c r="AA158" s="7" t="str">
        <f t="shared" ca="1" si="56"/>
        <v/>
      </c>
      <c r="AB158" s="13" t="str">
        <f t="shared" ca="1" si="57"/>
        <v/>
      </c>
      <c r="AC158" s="13" t="str">
        <f t="shared" ca="1" si="58"/>
        <v/>
      </c>
      <c r="AE158" s="5" t="str">
        <f t="shared" ca="1" si="59"/>
        <v/>
      </c>
    </row>
    <row r="159" spans="1:31" customFormat="1" ht="33.75" x14ac:dyDescent="0.5">
      <c r="A159" s="21" t="str">
        <f t="shared" ca="1" si="60"/>
        <v/>
      </c>
      <c r="B159" s="20">
        <f>Proforma!F126</f>
        <v>0</v>
      </c>
      <c r="C159" s="20">
        <f>Proforma!G126</f>
        <v>0</v>
      </c>
      <c r="D159" s="20"/>
      <c r="E159" s="23" t="str">
        <f ca="1">IF(A159&lt;&gt;"",codeEAN13(INT(A159/10)),"")</f>
        <v/>
      </c>
      <c r="G159" s="27" t="str">
        <f t="shared" ca="1" si="47"/>
        <v/>
      </c>
      <c r="H159" s="27" t="str">
        <f t="shared" ca="1" si="48"/>
        <v/>
      </c>
      <c r="I159" s="27" t="str">
        <f t="shared" ca="1" si="49"/>
        <v/>
      </c>
      <c r="J159" s="25" t="str">
        <f t="shared" ca="1" si="50"/>
        <v/>
      </c>
      <c r="K159" s="25" t="str">
        <f t="shared" ca="1" si="51"/>
        <v/>
      </c>
      <c r="M159" s="19" t="b">
        <f t="shared" ca="1" si="61"/>
        <v>0</v>
      </c>
      <c r="N159" s="19" t="b">
        <f t="shared" ca="1" si="62"/>
        <v>0</v>
      </c>
      <c r="O159" s="19" t="b">
        <f t="shared" ca="1" si="63"/>
        <v>0</v>
      </c>
      <c r="P159" s="11"/>
      <c r="Q159" s="9" t="str">
        <f t="shared" ca="1" si="52"/>
        <v/>
      </c>
      <c r="R159" s="29" t="str">
        <f t="shared" ca="1" si="53"/>
        <v/>
      </c>
      <c r="S159" s="2">
        <f>Proforma!B126</f>
        <v>0</v>
      </c>
      <c r="T159" s="2">
        <f>Proforma!C126</f>
        <v>0</v>
      </c>
      <c r="U159" s="2">
        <f>Proforma!D126</f>
        <v>0</v>
      </c>
      <c r="W159" t="str">
        <f t="shared" si="64"/>
        <v>0-0-000</v>
      </c>
      <c r="X159" s="14" t="str">
        <f t="shared" ca="1" si="54"/>
        <v/>
      </c>
      <c r="Y159" s="1"/>
      <c r="Z159" s="2" t="str">
        <f t="shared" ca="1" si="55"/>
        <v/>
      </c>
      <c r="AA159" s="7" t="str">
        <f t="shared" ca="1" si="56"/>
        <v/>
      </c>
      <c r="AB159" s="13" t="str">
        <f t="shared" ca="1" si="57"/>
        <v/>
      </c>
      <c r="AC159" s="13" t="str">
        <f t="shared" ca="1" si="58"/>
        <v/>
      </c>
      <c r="AE159" s="5" t="str">
        <f t="shared" ca="1" si="59"/>
        <v/>
      </c>
    </row>
    <row r="160" spans="1:31" customFormat="1" ht="33.75" x14ac:dyDescent="0.5">
      <c r="A160" s="21" t="str">
        <f t="shared" ca="1" si="60"/>
        <v/>
      </c>
      <c r="B160" s="20">
        <f>Proforma!F127</f>
        <v>0</v>
      </c>
      <c r="C160" s="20">
        <f>Proforma!G127</f>
        <v>0</v>
      </c>
      <c r="D160" s="20"/>
      <c r="E160" s="23" t="str">
        <f ca="1">IF(A160&lt;&gt;"",codeEAN13(INT(A160/10)),"")</f>
        <v/>
      </c>
      <c r="G160" s="27" t="str">
        <f t="shared" ca="1" si="47"/>
        <v/>
      </c>
      <c r="H160" s="27" t="str">
        <f t="shared" ca="1" si="48"/>
        <v/>
      </c>
      <c r="I160" s="27" t="str">
        <f t="shared" ca="1" si="49"/>
        <v/>
      </c>
      <c r="J160" s="25" t="str">
        <f t="shared" ca="1" si="50"/>
        <v/>
      </c>
      <c r="K160" s="25" t="str">
        <f t="shared" ca="1" si="51"/>
        <v/>
      </c>
      <c r="M160" s="19" t="b">
        <f t="shared" ca="1" si="61"/>
        <v>0</v>
      </c>
      <c r="N160" s="19" t="b">
        <f t="shared" ca="1" si="62"/>
        <v>0</v>
      </c>
      <c r="O160" s="19" t="b">
        <f t="shared" ca="1" si="63"/>
        <v>0</v>
      </c>
      <c r="P160" s="11"/>
      <c r="Q160" s="9" t="str">
        <f t="shared" ca="1" si="52"/>
        <v/>
      </c>
      <c r="R160" s="29" t="str">
        <f t="shared" ca="1" si="53"/>
        <v/>
      </c>
      <c r="S160" s="2">
        <f>Proforma!B127</f>
        <v>0</v>
      </c>
      <c r="T160" s="2">
        <f>Proforma!C127</f>
        <v>0</v>
      </c>
      <c r="U160" s="2">
        <f>Proforma!D127</f>
        <v>0</v>
      </c>
      <c r="W160" t="str">
        <f t="shared" si="64"/>
        <v>0-0-000</v>
      </c>
      <c r="X160" s="14" t="str">
        <f t="shared" ca="1" si="54"/>
        <v/>
      </c>
      <c r="Y160" s="1"/>
      <c r="Z160" s="2" t="str">
        <f t="shared" ca="1" si="55"/>
        <v/>
      </c>
      <c r="AA160" s="7" t="str">
        <f t="shared" ca="1" si="56"/>
        <v/>
      </c>
      <c r="AB160" s="13" t="str">
        <f t="shared" ca="1" si="57"/>
        <v/>
      </c>
      <c r="AC160" s="13" t="str">
        <f t="shared" ca="1" si="58"/>
        <v/>
      </c>
      <c r="AE160" s="5" t="str">
        <f t="shared" ca="1" si="59"/>
        <v/>
      </c>
    </row>
    <row r="161" spans="1:31" customFormat="1" ht="33.75" x14ac:dyDescent="0.5">
      <c r="A161" s="21" t="str">
        <f t="shared" ca="1" si="60"/>
        <v/>
      </c>
      <c r="B161" s="20">
        <f>Proforma!F128</f>
        <v>0</v>
      </c>
      <c r="C161" s="20">
        <f>Proforma!G128</f>
        <v>0</v>
      </c>
      <c r="D161" s="20"/>
      <c r="E161" s="23" t="str">
        <f ca="1">IF(A161&lt;&gt;"",codeEAN13(INT(A161/10)),"")</f>
        <v/>
      </c>
      <c r="G161" s="27" t="str">
        <f t="shared" ca="1" si="47"/>
        <v/>
      </c>
      <c r="H161" s="27" t="str">
        <f t="shared" ca="1" si="48"/>
        <v/>
      </c>
      <c r="I161" s="27" t="str">
        <f t="shared" ca="1" si="49"/>
        <v/>
      </c>
      <c r="J161" s="25" t="str">
        <f t="shared" ca="1" si="50"/>
        <v/>
      </c>
      <c r="K161" s="25" t="str">
        <f t="shared" ca="1" si="51"/>
        <v/>
      </c>
      <c r="M161" s="19" t="b">
        <f t="shared" ca="1" si="61"/>
        <v>0</v>
      </c>
      <c r="N161" s="19" t="b">
        <f t="shared" ca="1" si="62"/>
        <v>0</v>
      </c>
      <c r="O161" s="19" t="b">
        <f t="shared" ca="1" si="63"/>
        <v>0</v>
      </c>
      <c r="P161" s="11"/>
      <c r="Q161" s="9" t="str">
        <f t="shared" ca="1" si="52"/>
        <v/>
      </c>
      <c r="R161" s="29" t="str">
        <f t="shared" ca="1" si="53"/>
        <v/>
      </c>
      <c r="S161" s="2">
        <f>Proforma!B128</f>
        <v>0</v>
      </c>
      <c r="T161" s="2">
        <f>Proforma!C128</f>
        <v>0</v>
      </c>
      <c r="U161" s="2">
        <f>Proforma!D128</f>
        <v>0</v>
      </c>
      <c r="W161" t="str">
        <f t="shared" si="64"/>
        <v>0-0-000</v>
      </c>
      <c r="X161" s="14" t="str">
        <f t="shared" ca="1" si="54"/>
        <v/>
      </c>
      <c r="Y161" s="1"/>
      <c r="Z161" s="2" t="str">
        <f t="shared" ca="1" si="55"/>
        <v/>
      </c>
      <c r="AA161" s="7" t="str">
        <f t="shared" ca="1" si="56"/>
        <v/>
      </c>
      <c r="AB161" s="13" t="str">
        <f t="shared" ca="1" si="57"/>
        <v/>
      </c>
      <c r="AC161" s="13" t="str">
        <f t="shared" ca="1" si="58"/>
        <v/>
      </c>
      <c r="AE161" s="5" t="str">
        <f t="shared" ca="1" si="59"/>
        <v/>
      </c>
    </row>
    <row r="162" spans="1:31" customFormat="1" ht="33.75" x14ac:dyDescent="0.5">
      <c r="A162" s="21" t="str">
        <f t="shared" ca="1" si="60"/>
        <v/>
      </c>
      <c r="B162" s="20">
        <f>Proforma!F129</f>
        <v>0</v>
      </c>
      <c r="C162" s="20">
        <f>Proforma!G129</f>
        <v>0</v>
      </c>
      <c r="D162" s="20"/>
      <c r="E162" s="23" t="str">
        <f ca="1">IF(A162&lt;&gt;"",codeEAN13(INT(A162/10)),"")</f>
        <v/>
      </c>
      <c r="G162" s="27" t="str">
        <f t="shared" ca="1" si="47"/>
        <v/>
      </c>
      <c r="H162" s="27" t="str">
        <f t="shared" ca="1" si="48"/>
        <v/>
      </c>
      <c r="I162" s="27" t="str">
        <f t="shared" ca="1" si="49"/>
        <v/>
      </c>
      <c r="J162" s="25" t="str">
        <f t="shared" ca="1" si="50"/>
        <v/>
      </c>
      <c r="K162" s="25" t="str">
        <f t="shared" ca="1" si="51"/>
        <v/>
      </c>
      <c r="M162" s="19" t="b">
        <f t="shared" ca="1" si="61"/>
        <v>0</v>
      </c>
      <c r="N162" s="19" t="b">
        <f t="shared" ca="1" si="62"/>
        <v>0</v>
      </c>
      <c r="O162" s="19" t="b">
        <f t="shared" ca="1" si="63"/>
        <v>0</v>
      </c>
      <c r="P162" s="11"/>
      <c r="Q162" s="9" t="str">
        <f t="shared" ca="1" si="52"/>
        <v/>
      </c>
      <c r="R162" s="29" t="str">
        <f t="shared" ca="1" si="53"/>
        <v/>
      </c>
      <c r="S162" s="2">
        <f>Proforma!B129</f>
        <v>0</v>
      </c>
      <c r="T162" s="2">
        <f>Proforma!C129</f>
        <v>0</v>
      </c>
      <c r="U162" s="2">
        <f>Proforma!D129</f>
        <v>0</v>
      </c>
      <c r="W162" t="str">
        <f t="shared" si="64"/>
        <v>0-0-000</v>
      </c>
      <c r="X162" s="14" t="str">
        <f t="shared" ca="1" si="54"/>
        <v/>
      </c>
      <c r="Y162" s="1"/>
      <c r="Z162" s="2" t="str">
        <f t="shared" ca="1" si="55"/>
        <v/>
      </c>
      <c r="AA162" s="7" t="str">
        <f t="shared" ca="1" si="56"/>
        <v/>
      </c>
      <c r="AB162" s="13" t="str">
        <f t="shared" ca="1" si="57"/>
        <v/>
      </c>
      <c r="AC162" s="13" t="str">
        <f t="shared" ca="1" si="58"/>
        <v/>
      </c>
      <c r="AE162" s="5" t="str">
        <f t="shared" ca="1" si="59"/>
        <v/>
      </c>
    </row>
    <row r="163" spans="1:31" customFormat="1" ht="33.75" x14ac:dyDescent="0.5">
      <c r="A163" s="21" t="str">
        <f t="shared" ca="1" si="60"/>
        <v/>
      </c>
      <c r="B163" s="20">
        <f>Proforma!F130</f>
        <v>0</v>
      </c>
      <c r="C163" s="20">
        <f>Proforma!G130</f>
        <v>0</v>
      </c>
      <c r="D163" s="20"/>
      <c r="E163" s="23" t="str">
        <f ca="1">IF(A163&lt;&gt;"",codeEAN13(INT(A163/10)),"")</f>
        <v/>
      </c>
      <c r="G163" s="27" t="str">
        <f t="shared" ca="1" si="47"/>
        <v/>
      </c>
      <c r="H163" s="27" t="str">
        <f t="shared" ca="1" si="48"/>
        <v/>
      </c>
      <c r="I163" s="27" t="str">
        <f t="shared" ca="1" si="49"/>
        <v/>
      </c>
      <c r="J163" s="25" t="str">
        <f t="shared" ca="1" si="50"/>
        <v/>
      </c>
      <c r="K163" s="25" t="str">
        <f t="shared" ca="1" si="51"/>
        <v/>
      </c>
      <c r="M163" s="19" t="b">
        <f t="shared" ca="1" si="61"/>
        <v>0</v>
      </c>
      <c r="N163" s="19" t="b">
        <f t="shared" ca="1" si="62"/>
        <v>0</v>
      </c>
      <c r="O163" s="19" t="b">
        <f t="shared" ca="1" si="63"/>
        <v>0</v>
      </c>
      <c r="P163" s="11"/>
      <c r="Q163" s="9" t="str">
        <f t="shared" ca="1" si="52"/>
        <v/>
      </c>
      <c r="R163" s="29" t="str">
        <f t="shared" ca="1" si="53"/>
        <v/>
      </c>
      <c r="S163" s="2">
        <f>Proforma!B130</f>
        <v>0</v>
      </c>
      <c r="T163" s="2">
        <f>Proforma!C130</f>
        <v>0</v>
      </c>
      <c r="U163" s="2">
        <f>Proforma!D130</f>
        <v>0</v>
      </c>
      <c r="W163" t="str">
        <f t="shared" si="64"/>
        <v>0-0-000</v>
      </c>
      <c r="X163" s="14" t="str">
        <f t="shared" ca="1" si="54"/>
        <v/>
      </c>
      <c r="Y163" s="1"/>
      <c r="Z163" s="2" t="str">
        <f t="shared" ca="1" si="55"/>
        <v/>
      </c>
      <c r="AA163" s="7" t="str">
        <f t="shared" ca="1" si="56"/>
        <v/>
      </c>
      <c r="AB163" s="13" t="str">
        <f t="shared" ca="1" si="57"/>
        <v/>
      </c>
      <c r="AC163" s="13" t="str">
        <f t="shared" ca="1" si="58"/>
        <v/>
      </c>
      <c r="AE163" s="5" t="str">
        <f t="shared" ca="1" si="59"/>
        <v/>
      </c>
    </row>
    <row r="164" spans="1:31" customFormat="1" ht="33.75" x14ac:dyDescent="0.5">
      <c r="A164" s="21" t="str">
        <f t="shared" ca="1" si="60"/>
        <v/>
      </c>
      <c r="B164" s="20">
        <f>Proforma!F131</f>
        <v>0</v>
      </c>
      <c r="C164" s="20">
        <f>Proforma!G131</f>
        <v>0</v>
      </c>
      <c r="D164" s="20"/>
      <c r="E164" s="23" t="str">
        <f ca="1">IF(A164&lt;&gt;"",codeEAN13(INT(A164/10)),"")</f>
        <v/>
      </c>
      <c r="G164" s="27" t="str">
        <f t="shared" ca="1" si="47"/>
        <v/>
      </c>
      <c r="H164" s="27" t="str">
        <f t="shared" ca="1" si="48"/>
        <v/>
      </c>
      <c r="I164" s="27" t="str">
        <f t="shared" ca="1" si="49"/>
        <v/>
      </c>
      <c r="J164" s="25" t="str">
        <f t="shared" ca="1" si="50"/>
        <v/>
      </c>
      <c r="K164" s="25" t="str">
        <f t="shared" ca="1" si="51"/>
        <v/>
      </c>
      <c r="M164" s="19" t="b">
        <f t="shared" ca="1" si="61"/>
        <v>0</v>
      </c>
      <c r="N164" s="19" t="b">
        <f t="shared" ca="1" si="62"/>
        <v>0</v>
      </c>
      <c r="O164" s="19" t="b">
        <f t="shared" ca="1" si="63"/>
        <v>0</v>
      </c>
      <c r="P164" s="11"/>
      <c r="Q164" s="9" t="str">
        <f t="shared" ca="1" si="52"/>
        <v/>
      </c>
      <c r="R164" s="29" t="str">
        <f t="shared" ca="1" si="53"/>
        <v/>
      </c>
      <c r="S164" s="2">
        <f>Proforma!B131</f>
        <v>0</v>
      </c>
      <c r="T164" s="2">
        <f>Proforma!C131</f>
        <v>0</v>
      </c>
      <c r="U164" s="2">
        <f>Proforma!D131</f>
        <v>0</v>
      </c>
      <c r="W164" t="str">
        <f t="shared" si="64"/>
        <v>0-0-000</v>
      </c>
      <c r="X164" s="14" t="str">
        <f t="shared" ca="1" si="54"/>
        <v/>
      </c>
      <c r="Y164" s="1"/>
      <c r="Z164" s="2" t="str">
        <f t="shared" ca="1" si="55"/>
        <v/>
      </c>
      <c r="AA164" s="7" t="str">
        <f t="shared" ca="1" si="56"/>
        <v/>
      </c>
      <c r="AB164" s="13" t="str">
        <f t="shared" ca="1" si="57"/>
        <v/>
      </c>
      <c r="AC164" s="13" t="str">
        <f t="shared" ca="1" si="58"/>
        <v/>
      </c>
      <c r="AE164" s="5" t="str">
        <f t="shared" ca="1" si="59"/>
        <v/>
      </c>
    </row>
    <row r="165" spans="1:31" customFormat="1" ht="33.75" x14ac:dyDescent="0.5">
      <c r="A165" s="21" t="str">
        <f t="shared" ca="1" si="60"/>
        <v/>
      </c>
      <c r="B165" s="20">
        <f>Proforma!F132</f>
        <v>0</v>
      </c>
      <c r="C165" s="20">
        <f>Proforma!G132</f>
        <v>0</v>
      </c>
      <c r="D165" s="20"/>
      <c r="E165" s="23" t="str">
        <f ca="1">IF(A165&lt;&gt;"",codeEAN13(INT(A165/10)),"")</f>
        <v/>
      </c>
      <c r="G165" s="27" t="str">
        <f t="shared" ca="1" si="47"/>
        <v/>
      </c>
      <c r="H165" s="27" t="str">
        <f t="shared" ca="1" si="48"/>
        <v/>
      </c>
      <c r="I165" s="27" t="str">
        <f t="shared" ca="1" si="49"/>
        <v/>
      </c>
      <c r="J165" s="25" t="str">
        <f t="shared" ca="1" si="50"/>
        <v/>
      </c>
      <c r="K165" s="25" t="str">
        <f t="shared" ca="1" si="51"/>
        <v/>
      </c>
      <c r="M165" s="19" t="b">
        <f t="shared" ca="1" si="61"/>
        <v>0</v>
      </c>
      <c r="N165" s="19" t="b">
        <f t="shared" ca="1" si="62"/>
        <v>0</v>
      </c>
      <c r="O165" s="19" t="b">
        <f t="shared" ca="1" si="63"/>
        <v>0</v>
      </c>
      <c r="P165" s="11"/>
      <c r="Q165" s="9" t="str">
        <f t="shared" ca="1" si="52"/>
        <v/>
      </c>
      <c r="R165" s="29" t="str">
        <f t="shared" ca="1" si="53"/>
        <v/>
      </c>
      <c r="S165" s="2">
        <f>Proforma!B132</f>
        <v>0</v>
      </c>
      <c r="T165" s="2">
        <f>Proforma!C132</f>
        <v>0</v>
      </c>
      <c r="U165" s="2">
        <f>Proforma!D132</f>
        <v>0</v>
      </c>
      <c r="W165" t="str">
        <f t="shared" si="64"/>
        <v>0-0-000</v>
      </c>
      <c r="X165" s="14" t="str">
        <f t="shared" ca="1" si="54"/>
        <v/>
      </c>
      <c r="Y165" s="1"/>
      <c r="Z165" s="2" t="str">
        <f t="shared" ca="1" si="55"/>
        <v/>
      </c>
      <c r="AA165" s="7" t="str">
        <f t="shared" ca="1" si="56"/>
        <v/>
      </c>
      <c r="AB165" s="13" t="str">
        <f t="shared" ca="1" si="57"/>
        <v/>
      </c>
      <c r="AC165" s="13" t="str">
        <f t="shared" ca="1" si="58"/>
        <v/>
      </c>
      <c r="AE165" s="5" t="str">
        <f t="shared" ca="1" si="59"/>
        <v/>
      </c>
    </row>
    <row r="166" spans="1:31" customFormat="1" ht="33.75" x14ac:dyDescent="0.5">
      <c r="A166" s="21" t="str">
        <f t="shared" ca="1" si="60"/>
        <v/>
      </c>
      <c r="B166" s="20">
        <f>Proforma!F133</f>
        <v>0</v>
      </c>
      <c r="C166" s="20">
        <f>Proforma!G133</f>
        <v>0</v>
      </c>
      <c r="D166" s="20"/>
      <c r="E166" s="23" t="str">
        <f ca="1">IF(A166&lt;&gt;"",codeEAN13(INT(A166/10)),"")</f>
        <v/>
      </c>
      <c r="G166" s="27" t="str">
        <f t="shared" ca="1" si="47"/>
        <v/>
      </c>
      <c r="H166" s="27" t="str">
        <f t="shared" ca="1" si="48"/>
        <v/>
      </c>
      <c r="I166" s="27" t="str">
        <f t="shared" ca="1" si="49"/>
        <v/>
      </c>
      <c r="J166" s="25" t="str">
        <f t="shared" ca="1" si="50"/>
        <v/>
      </c>
      <c r="K166" s="25" t="str">
        <f t="shared" ca="1" si="51"/>
        <v/>
      </c>
      <c r="M166" s="19" t="b">
        <f t="shared" ca="1" si="61"/>
        <v>0</v>
      </c>
      <c r="N166" s="19" t="b">
        <f t="shared" ca="1" si="62"/>
        <v>0</v>
      </c>
      <c r="O166" s="19" t="b">
        <f t="shared" ca="1" si="63"/>
        <v>0</v>
      </c>
      <c r="P166" s="11"/>
      <c r="Q166" s="9" t="str">
        <f t="shared" ca="1" si="52"/>
        <v/>
      </c>
      <c r="R166" s="29" t="str">
        <f t="shared" ca="1" si="53"/>
        <v/>
      </c>
      <c r="S166" s="2">
        <f>Proforma!B133</f>
        <v>0</v>
      </c>
      <c r="T166" s="2">
        <f>Proforma!C133</f>
        <v>0</v>
      </c>
      <c r="U166" s="2">
        <f>Proforma!D133</f>
        <v>0</v>
      </c>
      <c r="W166" t="str">
        <f t="shared" si="64"/>
        <v>0-0-000</v>
      </c>
      <c r="X166" s="14" t="str">
        <f t="shared" ca="1" si="54"/>
        <v/>
      </c>
      <c r="Y166" s="1"/>
      <c r="Z166" s="2" t="str">
        <f t="shared" ca="1" si="55"/>
        <v/>
      </c>
      <c r="AA166" s="7" t="str">
        <f t="shared" ca="1" si="56"/>
        <v/>
      </c>
      <c r="AB166" s="13" t="str">
        <f t="shared" ca="1" si="57"/>
        <v/>
      </c>
      <c r="AC166" s="13" t="str">
        <f t="shared" ca="1" si="58"/>
        <v/>
      </c>
      <c r="AE166" s="5" t="str">
        <f t="shared" ca="1" si="59"/>
        <v/>
      </c>
    </row>
    <row r="167" spans="1:31" customFormat="1" ht="33.75" x14ac:dyDescent="0.5">
      <c r="A167" s="21" t="str">
        <f t="shared" ca="1" si="60"/>
        <v/>
      </c>
      <c r="B167" s="20">
        <f>Proforma!F134</f>
        <v>0</v>
      </c>
      <c r="C167" s="20">
        <f>Proforma!G134</f>
        <v>0</v>
      </c>
      <c r="D167" s="20"/>
      <c r="E167" s="23" t="str">
        <f ca="1">IF(A167&lt;&gt;"",codeEAN13(INT(A167/10)),"")</f>
        <v/>
      </c>
      <c r="G167" s="27" t="str">
        <f t="shared" ca="1" si="47"/>
        <v/>
      </c>
      <c r="H167" s="27" t="str">
        <f t="shared" ca="1" si="48"/>
        <v/>
      </c>
      <c r="I167" s="27" t="str">
        <f t="shared" ca="1" si="49"/>
        <v/>
      </c>
      <c r="J167" s="25" t="str">
        <f t="shared" ca="1" si="50"/>
        <v/>
      </c>
      <c r="K167" s="25" t="str">
        <f t="shared" ca="1" si="51"/>
        <v/>
      </c>
      <c r="M167" s="19" t="b">
        <f t="shared" ca="1" si="61"/>
        <v>0</v>
      </c>
      <c r="N167" s="19" t="b">
        <f t="shared" ca="1" si="62"/>
        <v>0</v>
      </c>
      <c r="O167" s="19" t="b">
        <f t="shared" ca="1" si="63"/>
        <v>0</v>
      </c>
      <c r="P167" s="11"/>
      <c r="Q167" s="9" t="str">
        <f t="shared" ca="1" si="52"/>
        <v/>
      </c>
      <c r="R167" s="29" t="str">
        <f t="shared" ca="1" si="53"/>
        <v/>
      </c>
      <c r="S167" s="2">
        <f>Proforma!B134</f>
        <v>0</v>
      </c>
      <c r="T167" s="2">
        <f>Proforma!C134</f>
        <v>0</v>
      </c>
      <c r="U167" s="2">
        <f>Proforma!D134</f>
        <v>0</v>
      </c>
      <c r="W167" t="str">
        <f t="shared" si="64"/>
        <v>0-0-000</v>
      </c>
      <c r="X167" s="14" t="str">
        <f t="shared" ca="1" si="54"/>
        <v/>
      </c>
      <c r="Y167" s="1"/>
      <c r="Z167" s="2" t="str">
        <f t="shared" ca="1" si="55"/>
        <v/>
      </c>
      <c r="AA167" s="7" t="str">
        <f t="shared" ca="1" si="56"/>
        <v/>
      </c>
      <c r="AB167" s="13" t="str">
        <f t="shared" ca="1" si="57"/>
        <v/>
      </c>
      <c r="AC167" s="13" t="str">
        <f t="shared" ca="1" si="58"/>
        <v/>
      </c>
      <c r="AE167" s="5" t="str">
        <f t="shared" ca="1" si="59"/>
        <v/>
      </c>
    </row>
    <row r="168" spans="1:31" customFormat="1" ht="33.75" x14ac:dyDescent="0.5">
      <c r="A168" s="21" t="str">
        <f t="shared" ca="1" si="60"/>
        <v/>
      </c>
      <c r="B168" s="20">
        <f>Proforma!F135</f>
        <v>0</v>
      </c>
      <c r="C168" s="20">
        <f>Proforma!G135</f>
        <v>0</v>
      </c>
      <c r="D168" s="20"/>
      <c r="E168" s="23" t="str">
        <f ca="1">IF(A168&lt;&gt;"",codeEAN13(INT(A168/10)),"")</f>
        <v/>
      </c>
      <c r="G168" s="27" t="str">
        <f t="shared" ca="1" si="47"/>
        <v/>
      </c>
      <c r="H168" s="27" t="str">
        <f t="shared" ca="1" si="48"/>
        <v/>
      </c>
      <c r="I168" s="27" t="str">
        <f t="shared" ca="1" si="49"/>
        <v/>
      </c>
      <c r="J168" s="25" t="str">
        <f t="shared" ca="1" si="50"/>
        <v/>
      </c>
      <c r="K168" s="25" t="str">
        <f t="shared" ca="1" si="51"/>
        <v/>
      </c>
      <c r="M168" s="19" t="b">
        <f t="shared" ca="1" si="61"/>
        <v>0</v>
      </c>
      <c r="N168" s="19" t="b">
        <f t="shared" ca="1" si="62"/>
        <v>0</v>
      </c>
      <c r="O168" s="19" t="b">
        <f t="shared" ca="1" si="63"/>
        <v>0</v>
      </c>
      <c r="P168" s="11"/>
      <c r="Q168" s="9" t="str">
        <f t="shared" ca="1" si="52"/>
        <v/>
      </c>
      <c r="R168" s="29" t="str">
        <f t="shared" ca="1" si="53"/>
        <v/>
      </c>
      <c r="S168" s="2">
        <f>Proforma!B135</f>
        <v>0</v>
      </c>
      <c r="T168" s="2">
        <f>Proforma!C135</f>
        <v>0</v>
      </c>
      <c r="U168" s="2">
        <f>Proforma!D135</f>
        <v>0</v>
      </c>
      <c r="W168" t="str">
        <f t="shared" si="64"/>
        <v>0-0-000</v>
      </c>
      <c r="X168" s="14" t="str">
        <f t="shared" ca="1" si="54"/>
        <v/>
      </c>
      <c r="Y168" s="1"/>
      <c r="Z168" s="2" t="str">
        <f t="shared" ca="1" si="55"/>
        <v/>
      </c>
      <c r="AA168" s="7" t="str">
        <f t="shared" ca="1" si="56"/>
        <v/>
      </c>
      <c r="AB168" s="13" t="str">
        <f t="shared" ca="1" si="57"/>
        <v/>
      </c>
      <c r="AC168" s="13" t="str">
        <f t="shared" ca="1" si="58"/>
        <v/>
      </c>
      <c r="AE168" s="5" t="str">
        <f t="shared" ca="1" si="59"/>
        <v/>
      </c>
    </row>
    <row r="169" spans="1:31" customFormat="1" ht="33.75" x14ac:dyDescent="0.5">
      <c r="A169" s="21" t="str">
        <f t="shared" ca="1" si="60"/>
        <v/>
      </c>
      <c r="B169" s="20">
        <f>Proforma!F136</f>
        <v>0</v>
      </c>
      <c r="C169" s="20">
        <f>Proforma!G136</f>
        <v>0</v>
      </c>
      <c r="D169" s="20"/>
      <c r="E169" s="23" t="str">
        <f ca="1">IF(A169&lt;&gt;"",codeEAN13(INT(A169/10)),"")</f>
        <v/>
      </c>
      <c r="G169" s="27" t="str">
        <f t="shared" ca="1" si="47"/>
        <v/>
      </c>
      <c r="H169" s="27" t="str">
        <f t="shared" ca="1" si="48"/>
        <v/>
      </c>
      <c r="I169" s="27" t="str">
        <f t="shared" ca="1" si="49"/>
        <v/>
      </c>
      <c r="J169" s="25" t="str">
        <f t="shared" ca="1" si="50"/>
        <v/>
      </c>
      <c r="K169" s="25" t="str">
        <f t="shared" ca="1" si="51"/>
        <v/>
      </c>
      <c r="M169" s="19" t="b">
        <f t="shared" ca="1" si="61"/>
        <v>0</v>
      </c>
      <c r="N169" s="19" t="b">
        <f t="shared" ca="1" si="62"/>
        <v>0</v>
      </c>
      <c r="O169" s="19" t="b">
        <f t="shared" ca="1" si="63"/>
        <v>0</v>
      </c>
      <c r="P169" s="11"/>
      <c r="Q169" s="9" t="str">
        <f t="shared" ca="1" si="52"/>
        <v/>
      </c>
      <c r="R169" s="29" t="str">
        <f t="shared" ca="1" si="53"/>
        <v/>
      </c>
      <c r="S169" s="2">
        <f>Proforma!B136</f>
        <v>0</v>
      </c>
      <c r="T169" s="2">
        <f>Proforma!C136</f>
        <v>0</v>
      </c>
      <c r="U169" s="2">
        <f>Proforma!D136</f>
        <v>0</v>
      </c>
      <c r="W169" t="str">
        <f t="shared" si="64"/>
        <v>0-0-000</v>
      </c>
      <c r="X169" s="14" t="str">
        <f t="shared" ca="1" si="54"/>
        <v/>
      </c>
      <c r="Y169" s="1"/>
      <c r="Z169" s="2" t="str">
        <f t="shared" ca="1" si="55"/>
        <v/>
      </c>
      <c r="AA169" s="7" t="str">
        <f t="shared" ca="1" si="56"/>
        <v/>
      </c>
      <c r="AB169" s="13" t="str">
        <f t="shared" ca="1" si="57"/>
        <v/>
      </c>
      <c r="AC169" s="13" t="str">
        <f t="shared" ca="1" si="58"/>
        <v/>
      </c>
      <c r="AE169" s="5" t="str">
        <f t="shared" ca="1" si="59"/>
        <v/>
      </c>
    </row>
    <row r="170" spans="1:31" customFormat="1" ht="33.75" x14ac:dyDescent="0.5">
      <c r="A170" s="21" t="str">
        <f t="shared" ca="1" si="60"/>
        <v/>
      </c>
      <c r="B170" s="20">
        <f>Proforma!F137</f>
        <v>0</v>
      </c>
      <c r="C170" s="20">
        <f>Proforma!G137</f>
        <v>0</v>
      </c>
      <c r="D170" s="20"/>
      <c r="E170" s="23" t="str">
        <f ca="1">IF(A170&lt;&gt;"",codeEAN13(INT(A170/10)),"")</f>
        <v/>
      </c>
      <c r="G170" s="27" t="str">
        <f t="shared" ca="1" si="47"/>
        <v/>
      </c>
      <c r="H170" s="27" t="str">
        <f t="shared" ca="1" si="48"/>
        <v/>
      </c>
      <c r="I170" s="27" t="str">
        <f t="shared" ca="1" si="49"/>
        <v/>
      </c>
      <c r="J170" s="25" t="str">
        <f t="shared" ca="1" si="50"/>
        <v/>
      </c>
      <c r="K170" s="25" t="str">
        <f t="shared" ca="1" si="51"/>
        <v/>
      </c>
      <c r="M170" s="19" t="b">
        <f t="shared" ca="1" si="61"/>
        <v>0</v>
      </c>
      <c r="N170" s="19" t="b">
        <f t="shared" ca="1" si="62"/>
        <v>0</v>
      </c>
      <c r="O170" s="19" t="b">
        <f t="shared" ca="1" si="63"/>
        <v>0</v>
      </c>
      <c r="P170" s="11"/>
      <c r="Q170" s="9" t="str">
        <f t="shared" ca="1" si="52"/>
        <v/>
      </c>
      <c r="R170" s="29" t="str">
        <f t="shared" ca="1" si="53"/>
        <v/>
      </c>
      <c r="S170" s="2">
        <f>Proforma!B137</f>
        <v>0</v>
      </c>
      <c r="T170" s="2">
        <f>Proforma!C137</f>
        <v>0</v>
      </c>
      <c r="U170" s="2">
        <f>Proforma!D137</f>
        <v>0</v>
      </c>
      <c r="W170" t="str">
        <f t="shared" si="64"/>
        <v>0-0-000</v>
      </c>
      <c r="X170" s="14" t="str">
        <f t="shared" ca="1" si="54"/>
        <v/>
      </c>
      <c r="Y170" s="1"/>
      <c r="Z170" s="2" t="str">
        <f t="shared" ca="1" si="55"/>
        <v/>
      </c>
      <c r="AA170" s="7" t="str">
        <f t="shared" ca="1" si="56"/>
        <v/>
      </c>
      <c r="AB170" s="13" t="str">
        <f t="shared" ca="1" si="57"/>
        <v/>
      </c>
      <c r="AC170" s="13" t="str">
        <f t="shared" ca="1" si="58"/>
        <v/>
      </c>
      <c r="AE170" s="5" t="str">
        <f t="shared" ca="1" si="59"/>
        <v/>
      </c>
    </row>
    <row r="171" spans="1:31" customFormat="1" ht="33.75" x14ac:dyDescent="0.5">
      <c r="A171" s="21" t="str">
        <f t="shared" ca="1" si="60"/>
        <v/>
      </c>
      <c r="B171" s="20">
        <f>Proforma!F138</f>
        <v>0</v>
      </c>
      <c r="C171" s="20">
        <f>Proforma!G138</f>
        <v>0</v>
      </c>
      <c r="D171" s="20"/>
      <c r="E171" s="23" t="str">
        <f ca="1">IF(A171&lt;&gt;"",codeEAN13(INT(A171/10)),"")</f>
        <v/>
      </c>
      <c r="G171" s="27" t="str">
        <f t="shared" ca="1" si="47"/>
        <v/>
      </c>
      <c r="H171" s="27" t="str">
        <f t="shared" ca="1" si="48"/>
        <v/>
      </c>
      <c r="I171" s="27" t="str">
        <f t="shared" ca="1" si="49"/>
        <v/>
      </c>
      <c r="J171" s="25" t="str">
        <f t="shared" ca="1" si="50"/>
        <v/>
      </c>
      <c r="K171" s="25" t="str">
        <f t="shared" ca="1" si="51"/>
        <v/>
      </c>
      <c r="M171" s="19" t="b">
        <f t="shared" ca="1" si="61"/>
        <v>0</v>
      </c>
      <c r="N171" s="19" t="b">
        <f t="shared" ca="1" si="62"/>
        <v>0</v>
      </c>
      <c r="O171" s="19" t="b">
        <f t="shared" ca="1" si="63"/>
        <v>0</v>
      </c>
      <c r="P171" s="11"/>
      <c r="Q171" s="9" t="str">
        <f t="shared" ca="1" si="52"/>
        <v/>
      </c>
      <c r="R171" s="29" t="str">
        <f t="shared" ca="1" si="53"/>
        <v/>
      </c>
      <c r="S171" s="2">
        <f>Proforma!B138</f>
        <v>0</v>
      </c>
      <c r="T171" s="2">
        <f>Proforma!C138</f>
        <v>0</v>
      </c>
      <c r="U171" s="2">
        <f>Proforma!D138</f>
        <v>0</v>
      </c>
      <c r="W171" t="str">
        <f t="shared" si="64"/>
        <v>0-0-000</v>
      </c>
      <c r="X171" s="14" t="str">
        <f t="shared" ca="1" si="54"/>
        <v/>
      </c>
      <c r="Y171" s="1"/>
      <c r="Z171" s="2" t="str">
        <f t="shared" ca="1" si="55"/>
        <v/>
      </c>
      <c r="AA171" s="7" t="str">
        <f t="shared" ca="1" si="56"/>
        <v/>
      </c>
      <c r="AB171" s="13" t="str">
        <f t="shared" ca="1" si="57"/>
        <v/>
      </c>
      <c r="AC171" s="13" t="str">
        <f t="shared" ca="1" si="58"/>
        <v/>
      </c>
      <c r="AE171" s="5" t="str">
        <f t="shared" ca="1" si="59"/>
        <v/>
      </c>
    </row>
    <row r="172" spans="1:31" customFormat="1" ht="33.75" x14ac:dyDescent="0.5">
      <c r="A172" s="21" t="str">
        <f t="shared" ca="1" si="60"/>
        <v/>
      </c>
      <c r="B172" s="20">
        <f>Proforma!F139</f>
        <v>0</v>
      </c>
      <c r="C172" s="20">
        <f>Proforma!G139</f>
        <v>0</v>
      </c>
      <c r="D172" s="20"/>
      <c r="E172" s="23" t="str">
        <f ca="1">IF(A172&lt;&gt;"",codeEAN13(INT(A172/10)),"")</f>
        <v/>
      </c>
      <c r="G172" s="27" t="str">
        <f t="shared" ca="1" si="47"/>
        <v/>
      </c>
      <c r="H172" s="27" t="str">
        <f t="shared" ca="1" si="48"/>
        <v/>
      </c>
      <c r="I172" s="27" t="str">
        <f t="shared" ca="1" si="49"/>
        <v/>
      </c>
      <c r="J172" s="25" t="str">
        <f t="shared" ca="1" si="50"/>
        <v/>
      </c>
      <c r="K172" s="25" t="str">
        <f t="shared" ca="1" si="51"/>
        <v/>
      </c>
      <c r="M172" s="19" t="b">
        <f t="shared" ca="1" si="61"/>
        <v>0</v>
      </c>
      <c r="N172" s="19" t="b">
        <f t="shared" ca="1" si="62"/>
        <v>0</v>
      </c>
      <c r="O172" s="19" t="b">
        <f t="shared" ca="1" si="63"/>
        <v>0</v>
      </c>
      <c r="P172" s="11"/>
      <c r="Q172" s="9" t="str">
        <f t="shared" ca="1" si="52"/>
        <v/>
      </c>
      <c r="R172" s="29" t="str">
        <f t="shared" ca="1" si="53"/>
        <v/>
      </c>
      <c r="S172" s="2">
        <f>Proforma!B139</f>
        <v>0</v>
      </c>
      <c r="T172" s="2">
        <f>Proforma!C139</f>
        <v>0</v>
      </c>
      <c r="U172" s="2">
        <f>Proforma!D139</f>
        <v>0</v>
      </c>
      <c r="W172" t="str">
        <f t="shared" si="64"/>
        <v>0-0-000</v>
      </c>
      <c r="X172" s="14" t="str">
        <f t="shared" ca="1" si="54"/>
        <v/>
      </c>
      <c r="Y172" s="1"/>
      <c r="Z172" s="2" t="str">
        <f t="shared" ca="1" si="55"/>
        <v/>
      </c>
      <c r="AA172" s="7" t="str">
        <f t="shared" ca="1" si="56"/>
        <v/>
      </c>
      <c r="AB172" s="13" t="str">
        <f t="shared" ca="1" si="57"/>
        <v/>
      </c>
      <c r="AC172" s="13" t="str">
        <f t="shared" ca="1" si="58"/>
        <v/>
      </c>
      <c r="AE172" s="5" t="str">
        <f t="shared" ca="1" si="59"/>
        <v/>
      </c>
    </row>
    <row r="173" spans="1:31" customFormat="1" ht="33.75" x14ac:dyDescent="0.5">
      <c r="A173" s="21" t="str">
        <f t="shared" ca="1" si="60"/>
        <v/>
      </c>
      <c r="B173" s="20">
        <f>Proforma!F140</f>
        <v>0</v>
      </c>
      <c r="C173" s="20">
        <f>Proforma!G140</f>
        <v>0</v>
      </c>
      <c r="D173" s="20"/>
      <c r="E173" s="23" t="str">
        <f ca="1">IF(A173&lt;&gt;"",codeEAN13(INT(A173/10)),"")</f>
        <v/>
      </c>
      <c r="G173" s="27" t="str">
        <f t="shared" ca="1" si="47"/>
        <v/>
      </c>
      <c r="H173" s="27" t="str">
        <f t="shared" ca="1" si="48"/>
        <v/>
      </c>
      <c r="I173" s="27" t="str">
        <f t="shared" ca="1" si="49"/>
        <v/>
      </c>
      <c r="J173" s="25" t="str">
        <f t="shared" ca="1" si="50"/>
        <v/>
      </c>
      <c r="K173" s="25" t="str">
        <f t="shared" ca="1" si="51"/>
        <v/>
      </c>
      <c r="M173" s="19" t="b">
        <f t="shared" ca="1" si="61"/>
        <v>0</v>
      </c>
      <c r="N173" s="19" t="b">
        <f t="shared" ca="1" si="62"/>
        <v>0</v>
      </c>
      <c r="O173" s="19" t="b">
        <f t="shared" ca="1" si="63"/>
        <v>0</v>
      </c>
      <c r="P173" s="11"/>
      <c r="Q173" s="9" t="str">
        <f t="shared" ca="1" si="52"/>
        <v/>
      </c>
      <c r="R173" s="29" t="str">
        <f t="shared" ca="1" si="53"/>
        <v/>
      </c>
      <c r="S173" s="2">
        <f>Proforma!B140</f>
        <v>0</v>
      </c>
      <c r="T173" s="2">
        <f>Proforma!C140</f>
        <v>0</v>
      </c>
      <c r="U173" s="2">
        <f>Proforma!D140</f>
        <v>0</v>
      </c>
      <c r="W173" t="str">
        <f t="shared" si="64"/>
        <v>0-0-000</v>
      </c>
      <c r="X173" s="14" t="str">
        <f t="shared" ca="1" si="54"/>
        <v/>
      </c>
      <c r="Y173" s="1"/>
      <c r="Z173" s="2" t="str">
        <f t="shared" ca="1" si="55"/>
        <v/>
      </c>
      <c r="AA173" s="7" t="str">
        <f t="shared" ca="1" si="56"/>
        <v/>
      </c>
      <c r="AB173" s="13" t="str">
        <f t="shared" ca="1" si="57"/>
        <v/>
      </c>
      <c r="AC173" s="13" t="str">
        <f t="shared" ca="1" si="58"/>
        <v/>
      </c>
      <c r="AE173" s="5" t="str">
        <f t="shared" ca="1" si="59"/>
        <v/>
      </c>
    </row>
    <row r="174" spans="1:31" customFormat="1" ht="33.75" x14ac:dyDescent="0.5">
      <c r="A174" s="21" t="str">
        <f t="shared" ca="1" si="60"/>
        <v/>
      </c>
      <c r="B174" s="20">
        <f>Proforma!F141</f>
        <v>0</v>
      </c>
      <c r="C174" s="20">
        <f>Proforma!G141</f>
        <v>0</v>
      </c>
      <c r="D174" s="20"/>
      <c r="E174" s="23" t="str">
        <f ca="1">IF(A174&lt;&gt;"",codeEAN13(INT(A174/10)),"")</f>
        <v/>
      </c>
      <c r="G174" s="27" t="str">
        <f t="shared" ca="1" si="47"/>
        <v/>
      </c>
      <c r="H174" s="27" t="str">
        <f t="shared" ca="1" si="48"/>
        <v/>
      </c>
      <c r="I174" s="27" t="str">
        <f t="shared" ca="1" si="49"/>
        <v/>
      </c>
      <c r="J174" s="25" t="str">
        <f t="shared" ca="1" si="50"/>
        <v/>
      </c>
      <c r="K174" s="25" t="str">
        <f t="shared" ca="1" si="51"/>
        <v/>
      </c>
      <c r="M174" s="19" t="b">
        <f t="shared" ca="1" si="61"/>
        <v>0</v>
      </c>
      <c r="N174" s="19" t="b">
        <f t="shared" ca="1" si="62"/>
        <v>0</v>
      </c>
      <c r="O174" s="19" t="b">
        <f t="shared" ca="1" si="63"/>
        <v>0</v>
      </c>
      <c r="P174" s="11"/>
      <c r="Q174" s="9" t="str">
        <f t="shared" ca="1" si="52"/>
        <v/>
      </c>
      <c r="R174" s="29" t="str">
        <f t="shared" ca="1" si="53"/>
        <v/>
      </c>
      <c r="S174" s="2">
        <f>Proforma!B141</f>
        <v>0</v>
      </c>
      <c r="T174" s="2">
        <f>Proforma!C141</f>
        <v>0</v>
      </c>
      <c r="U174" s="2">
        <f>Proforma!D141</f>
        <v>0</v>
      </c>
      <c r="W174" t="str">
        <f t="shared" si="64"/>
        <v>0-0-000</v>
      </c>
      <c r="X174" s="14" t="str">
        <f t="shared" ca="1" si="54"/>
        <v/>
      </c>
      <c r="Y174" s="1"/>
      <c r="Z174" s="2" t="str">
        <f t="shared" ca="1" si="55"/>
        <v/>
      </c>
      <c r="AA174" s="7" t="str">
        <f t="shared" ca="1" si="56"/>
        <v/>
      </c>
      <c r="AB174" s="13" t="str">
        <f t="shared" ca="1" si="57"/>
        <v/>
      </c>
      <c r="AC174" s="13" t="str">
        <f t="shared" ca="1" si="58"/>
        <v/>
      </c>
      <c r="AE174" s="5" t="str">
        <f t="shared" ca="1" si="59"/>
        <v/>
      </c>
    </row>
    <row r="175" spans="1:31" customFormat="1" ht="33.75" x14ac:dyDescent="0.5">
      <c r="A175" s="21" t="str">
        <f t="shared" ca="1" si="60"/>
        <v/>
      </c>
      <c r="B175" s="20">
        <f>Proforma!F142</f>
        <v>0</v>
      </c>
      <c r="C175" s="20">
        <f>Proforma!G142</f>
        <v>0</v>
      </c>
      <c r="D175" s="20"/>
      <c r="E175" s="23" t="str">
        <f ca="1">IF(A175&lt;&gt;"",codeEAN13(INT(A175/10)),"")</f>
        <v/>
      </c>
      <c r="G175" s="27" t="str">
        <f t="shared" ca="1" si="47"/>
        <v/>
      </c>
      <c r="H175" s="27" t="str">
        <f t="shared" ca="1" si="48"/>
        <v/>
      </c>
      <c r="I175" s="27" t="str">
        <f t="shared" ca="1" si="49"/>
        <v/>
      </c>
      <c r="J175" s="25" t="str">
        <f t="shared" ca="1" si="50"/>
        <v/>
      </c>
      <c r="K175" s="25" t="str">
        <f t="shared" ca="1" si="51"/>
        <v/>
      </c>
      <c r="M175" s="19" t="b">
        <f t="shared" ca="1" si="61"/>
        <v>0</v>
      </c>
      <c r="N175" s="19" t="b">
        <f t="shared" ca="1" si="62"/>
        <v>0</v>
      </c>
      <c r="O175" s="19" t="b">
        <f t="shared" ca="1" si="63"/>
        <v>0</v>
      </c>
      <c r="P175" s="11"/>
      <c r="Q175" s="9" t="str">
        <f t="shared" ca="1" si="52"/>
        <v/>
      </c>
      <c r="R175" s="29" t="str">
        <f t="shared" ca="1" si="53"/>
        <v/>
      </c>
      <c r="S175" s="2">
        <f>Proforma!B142</f>
        <v>0</v>
      </c>
      <c r="T175" s="2">
        <f>Proforma!C142</f>
        <v>0</v>
      </c>
      <c r="U175" s="2">
        <f>Proforma!D142</f>
        <v>0</v>
      </c>
      <c r="W175" t="str">
        <f t="shared" si="64"/>
        <v>0-0-000</v>
      </c>
      <c r="X175" s="14" t="str">
        <f t="shared" ca="1" si="54"/>
        <v/>
      </c>
      <c r="Y175" s="1"/>
      <c r="Z175" s="2" t="str">
        <f t="shared" ca="1" si="55"/>
        <v/>
      </c>
      <c r="AA175" s="7" t="str">
        <f t="shared" ca="1" si="56"/>
        <v/>
      </c>
      <c r="AB175" s="13" t="str">
        <f t="shared" ca="1" si="57"/>
        <v/>
      </c>
      <c r="AC175" s="13" t="str">
        <f t="shared" ca="1" si="58"/>
        <v/>
      </c>
      <c r="AE175" s="5" t="str">
        <f t="shared" ca="1" si="59"/>
        <v/>
      </c>
    </row>
    <row r="176" spans="1:31" customFormat="1" ht="33.75" x14ac:dyDescent="0.5">
      <c r="A176" s="21" t="str">
        <f t="shared" ca="1" si="60"/>
        <v/>
      </c>
      <c r="B176" s="20">
        <f>Proforma!F143</f>
        <v>0</v>
      </c>
      <c r="C176" s="20">
        <f>Proforma!G143</f>
        <v>0</v>
      </c>
      <c r="D176" s="20"/>
      <c r="E176" s="23" t="str">
        <f ca="1">IF(A176&lt;&gt;"",codeEAN13(INT(A176/10)),"")</f>
        <v/>
      </c>
      <c r="G176" s="27" t="str">
        <f t="shared" ca="1" si="47"/>
        <v/>
      </c>
      <c r="H176" s="27" t="str">
        <f t="shared" ca="1" si="48"/>
        <v/>
      </c>
      <c r="I176" s="27" t="str">
        <f t="shared" ca="1" si="49"/>
        <v/>
      </c>
      <c r="J176" s="25" t="str">
        <f t="shared" ca="1" si="50"/>
        <v/>
      </c>
      <c r="K176" s="25" t="str">
        <f t="shared" ca="1" si="51"/>
        <v/>
      </c>
      <c r="M176" s="19" t="b">
        <f t="shared" ca="1" si="61"/>
        <v>0</v>
      </c>
      <c r="N176" s="19" t="b">
        <f t="shared" ca="1" si="62"/>
        <v>0</v>
      </c>
      <c r="O176" s="19" t="b">
        <f t="shared" ca="1" si="63"/>
        <v>0</v>
      </c>
      <c r="P176" s="11"/>
      <c r="Q176" s="9" t="str">
        <f t="shared" ca="1" si="52"/>
        <v/>
      </c>
      <c r="R176" s="29" t="str">
        <f t="shared" ca="1" si="53"/>
        <v/>
      </c>
      <c r="S176" s="2">
        <f>Proforma!B143</f>
        <v>0</v>
      </c>
      <c r="T176" s="2">
        <f>Proforma!C143</f>
        <v>0</v>
      </c>
      <c r="U176" s="2">
        <f>Proforma!D143</f>
        <v>0</v>
      </c>
      <c r="W176" t="str">
        <f t="shared" si="64"/>
        <v>0-0-000</v>
      </c>
      <c r="X176" s="14" t="str">
        <f t="shared" ca="1" si="54"/>
        <v/>
      </c>
      <c r="Y176" s="1"/>
      <c r="Z176" s="2" t="str">
        <f t="shared" ca="1" si="55"/>
        <v/>
      </c>
      <c r="AA176" s="7" t="str">
        <f t="shared" ca="1" si="56"/>
        <v/>
      </c>
      <c r="AB176" s="13" t="str">
        <f t="shared" ca="1" si="57"/>
        <v/>
      </c>
      <c r="AC176" s="13" t="str">
        <f t="shared" ca="1" si="58"/>
        <v/>
      </c>
      <c r="AE176" s="5" t="str">
        <f t="shared" ca="1" si="59"/>
        <v/>
      </c>
    </row>
    <row r="177" spans="1:31" customFormat="1" ht="33.75" x14ac:dyDescent="0.5">
      <c r="A177" s="21" t="str">
        <f t="shared" ca="1" si="60"/>
        <v/>
      </c>
      <c r="B177" s="20">
        <f>Proforma!F144</f>
        <v>0</v>
      </c>
      <c r="C177" s="20">
        <f>Proforma!G144</f>
        <v>0</v>
      </c>
      <c r="D177" s="20"/>
      <c r="E177" s="23" t="str">
        <f ca="1">IF(A177&lt;&gt;"",codeEAN13(INT(A177/10)),"")</f>
        <v/>
      </c>
      <c r="G177" s="27" t="str">
        <f t="shared" ca="1" si="47"/>
        <v/>
      </c>
      <c r="H177" s="27" t="str">
        <f t="shared" ca="1" si="48"/>
        <v/>
      </c>
      <c r="I177" s="27" t="str">
        <f t="shared" ca="1" si="49"/>
        <v/>
      </c>
      <c r="J177" s="25" t="str">
        <f t="shared" ca="1" si="50"/>
        <v/>
      </c>
      <c r="K177" s="25" t="str">
        <f t="shared" ca="1" si="51"/>
        <v/>
      </c>
      <c r="M177" s="19" t="b">
        <f t="shared" ca="1" si="61"/>
        <v>0</v>
      </c>
      <c r="N177" s="19" t="b">
        <f t="shared" ca="1" si="62"/>
        <v>0</v>
      </c>
      <c r="O177" s="19" t="b">
        <f t="shared" ca="1" si="63"/>
        <v>0</v>
      </c>
      <c r="P177" s="11"/>
      <c r="Q177" s="9" t="str">
        <f t="shared" ca="1" si="52"/>
        <v/>
      </c>
      <c r="R177" s="29" t="str">
        <f t="shared" ca="1" si="53"/>
        <v/>
      </c>
      <c r="S177" s="2">
        <f>Proforma!B144</f>
        <v>0</v>
      </c>
      <c r="T177" s="2">
        <f>Proforma!C144</f>
        <v>0</v>
      </c>
      <c r="U177" s="2">
        <f>Proforma!D144</f>
        <v>0</v>
      </c>
      <c r="W177" t="str">
        <f t="shared" si="64"/>
        <v>0-0-000</v>
      </c>
      <c r="X177" s="14" t="str">
        <f t="shared" ca="1" si="54"/>
        <v/>
      </c>
      <c r="Y177" s="1"/>
      <c r="Z177" s="2" t="str">
        <f t="shared" ca="1" si="55"/>
        <v/>
      </c>
      <c r="AA177" s="7" t="str">
        <f t="shared" ca="1" si="56"/>
        <v/>
      </c>
      <c r="AB177" s="13" t="str">
        <f t="shared" ca="1" si="57"/>
        <v/>
      </c>
      <c r="AC177" s="13" t="str">
        <f t="shared" ca="1" si="58"/>
        <v/>
      </c>
      <c r="AE177" s="5" t="str">
        <f t="shared" ca="1" si="59"/>
        <v/>
      </c>
    </row>
    <row r="178" spans="1:31" customFormat="1" ht="33.75" x14ac:dyDescent="0.5">
      <c r="A178" s="21" t="str">
        <f t="shared" ca="1" si="60"/>
        <v/>
      </c>
      <c r="B178" s="20">
        <f>Proforma!F145</f>
        <v>0</v>
      </c>
      <c r="C178" s="20">
        <f>Proforma!G145</f>
        <v>0</v>
      </c>
      <c r="D178" s="20"/>
      <c r="E178" s="23" t="str">
        <f ca="1">IF(A178&lt;&gt;"",codeEAN13(INT(A178/10)),"")</f>
        <v/>
      </c>
      <c r="G178" s="27" t="str">
        <f t="shared" ca="1" si="47"/>
        <v/>
      </c>
      <c r="H178" s="27" t="str">
        <f t="shared" ca="1" si="48"/>
        <v/>
      </c>
      <c r="I178" s="27" t="str">
        <f t="shared" ca="1" si="49"/>
        <v/>
      </c>
      <c r="J178" s="25" t="str">
        <f t="shared" ca="1" si="50"/>
        <v/>
      </c>
      <c r="K178" s="25" t="str">
        <f t="shared" ca="1" si="51"/>
        <v/>
      </c>
      <c r="M178" s="19" t="b">
        <f t="shared" ca="1" si="61"/>
        <v>0</v>
      </c>
      <c r="N178" s="19" t="b">
        <f t="shared" ca="1" si="62"/>
        <v>0</v>
      </c>
      <c r="O178" s="19" t="b">
        <f t="shared" ca="1" si="63"/>
        <v>0</v>
      </c>
      <c r="P178" s="11"/>
      <c r="Q178" s="9" t="str">
        <f t="shared" ca="1" si="52"/>
        <v/>
      </c>
      <c r="R178" s="29" t="str">
        <f t="shared" ca="1" si="53"/>
        <v/>
      </c>
      <c r="S178" s="2">
        <f>Proforma!B145</f>
        <v>0</v>
      </c>
      <c r="T178" s="2">
        <f>Proforma!C145</f>
        <v>0</v>
      </c>
      <c r="U178" s="2">
        <f>Proforma!D145</f>
        <v>0</v>
      </c>
      <c r="W178" t="str">
        <f t="shared" si="64"/>
        <v>0-0-000</v>
      </c>
      <c r="X178" s="14" t="str">
        <f t="shared" ca="1" si="54"/>
        <v/>
      </c>
      <c r="Y178" s="1"/>
      <c r="Z178" s="2" t="str">
        <f t="shared" ca="1" si="55"/>
        <v/>
      </c>
      <c r="AA178" s="7" t="str">
        <f t="shared" ca="1" si="56"/>
        <v/>
      </c>
      <c r="AB178" s="13" t="str">
        <f t="shared" ca="1" si="57"/>
        <v/>
      </c>
      <c r="AC178" s="13" t="str">
        <f t="shared" ca="1" si="58"/>
        <v/>
      </c>
      <c r="AE178" s="5" t="str">
        <f t="shared" ca="1" si="59"/>
        <v/>
      </c>
    </row>
    <row r="179" spans="1:31" customFormat="1" ht="33.75" x14ac:dyDescent="0.5">
      <c r="A179" s="21" t="str">
        <f t="shared" ca="1" si="60"/>
        <v/>
      </c>
      <c r="B179" s="20">
        <f>Proforma!F146</f>
        <v>0</v>
      </c>
      <c r="C179" s="20">
        <f>Proforma!G146</f>
        <v>0</v>
      </c>
      <c r="D179" s="20"/>
      <c r="E179" s="23" t="str">
        <f ca="1">IF(A179&lt;&gt;"",codeEAN13(INT(A179/10)),"")</f>
        <v/>
      </c>
      <c r="G179" s="27" t="str">
        <f t="shared" ca="1" si="47"/>
        <v/>
      </c>
      <c r="H179" s="27" t="str">
        <f t="shared" ca="1" si="48"/>
        <v/>
      </c>
      <c r="I179" s="27" t="str">
        <f t="shared" ca="1" si="49"/>
        <v/>
      </c>
      <c r="J179" s="25" t="str">
        <f t="shared" ca="1" si="50"/>
        <v/>
      </c>
      <c r="K179" s="25" t="str">
        <f t="shared" ca="1" si="51"/>
        <v/>
      </c>
      <c r="M179" s="19" t="b">
        <f t="shared" ca="1" si="61"/>
        <v>0</v>
      </c>
      <c r="N179" s="19" t="b">
        <f t="shared" ca="1" si="62"/>
        <v>0</v>
      </c>
      <c r="O179" s="19" t="b">
        <f t="shared" ca="1" si="63"/>
        <v>0</v>
      </c>
      <c r="P179" s="11"/>
      <c r="Q179" s="9" t="str">
        <f t="shared" ca="1" si="52"/>
        <v/>
      </c>
      <c r="R179" s="29" t="str">
        <f t="shared" ca="1" si="53"/>
        <v/>
      </c>
      <c r="S179" s="2">
        <f>Proforma!B146</f>
        <v>0</v>
      </c>
      <c r="T179" s="2">
        <f>Proforma!C146</f>
        <v>0</v>
      </c>
      <c r="U179" s="2">
        <f>Proforma!D146</f>
        <v>0</v>
      </c>
      <c r="W179" t="str">
        <f t="shared" si="64"/>
        <v>0-0-000</v>
      </c>
      <c r="X179" s="14" t="str">
        <f t="shared" ca="1" si="54"/>
        <v/>
      </c>
      <c r="Y179" s="1"/>
      <c r="Z179" s="2" t="str">
        <f t="shared" ca="1" si="55"/>
        <v/>
      </c>
      <c r="AA179" s="7" t="str">
        <f t="shared" ca="1" si="56"/>
        <v/>
      </c>
      <c r="AB179" s="13" t="str">
        <f t="shared" ca="1" si="57"/>
        <v/>
      </c>
      <c r="AC179" s="13" t="str">
        <f t="shared" ca="1" si="58"/>
        <v/>
      </c>
      <c r="AE179" s="5" t="str">
        <f t="shared" ca="1" si="59"/>
        <v/>
      </c>
    </row>
    <row r="180" spans="1:31" customFormat="1" ht="33.75" x14ac:dyDescent="0.5">
      <c r="A180" s="21" t="str">
        <f t="shared" ca="1" si="60"/>
        <v/>
      </c>
      <c r="B180" s="20">
        <f>Proforma!F147</f>
        <v>0</v>
      </c>
      <c r="C180" s="20">
        <f>Proforma!G147</f>
        <v>0</v>
      </c>
      <c r="D180" s="20"/>
      <c r="E180" s="23" t="str">
        <f ca="1">IF(A180&lt;&gt;"",codeEAN13(INT(A180/10)),"")</f>
        <v/>
      </c>
      <c r="G180" s="27" t="str">
        <f t="shared" ca="1" si="47"/>
        <v/>
      </c>
      <c r="H180" s="27" t="str">
        <f t="shared" ca="1" si="48"/>
        <v/>
      </c>
      <c r="I180" s="27" t="str">
        <f t="shared" ca="1" si="49"/>
        <v/>
      </c>
      <c r="J180" s="25" t="str">
        <f t="shared" ca="1" si="50"/>
        <v/>
      </c>
      <c r="K180" s="25" t="str">
        <f t="shared" ca="1" si="51"/>
        <v/>
      </c>
      <c r="M180" s="19" t="b">
        <f t="shared" ca="1" si="61"/>
        <v>0</v>
      </c>
      <c r="N180" s="19" t="b">
        <f t="shared" ca="1" si="62"/>
        <v>0</v>
      </c>
      <c r="O180" s="19" t="b">
        <f t="shared" ca="1" si="63"/>
        <v>0</v>
      </c>
      <c r="P180" s="11"/>
      <c r="Q180" s="9" t="str">
        <f t="shared" ca="1" si="52"/>
        <v/>
      </c>
      <c r="R180" s="29" t="str">
        <f t="shared" ca="1" si="53"/>
        <v/>
      </c>
      <c r="S180" s="2">
        <f>Proforma!B147</f>
        <v>0</v>
      </c>
      <c r="T180" s="2">
        <f>Proforma!C147</f>
        <v>0</v>
      </c>
      <c r="U180" s="2">
        <f>Proforma!D147</f>
        <v>0</v>
      </c>
      <c r="W180" t="str">
        <f t="shared" si="64"/>
        <v>0-0-000</v>
      </c>
      <c r="X180" s="14" t="str">
        <f t="shared" ca="1" si="54"/>
        <v/>
      </c>
      <c r="Y180" s="1"/>
      <c r="Z180" s="2" t="str">
        <f t="shared" ca="1" si="55"/>
        <v/>
      </c>
      <c r="AA180" s="7" t="str">
        <f t="shared" ca="1" si="56"/>
        <v/>
      </c>
      <c r="AB180" s="13" t="str">
        <f t="shared" ca="1" si="57"/>
        <v/>
      </c>
      <c r="AC180" s="13" t="str">
        <f t="shared" ca="1" si="58"/>
        <v/>
      </c>
      <c r="AE180" s="5" t="str">
        <f t="shared" ca="1" si="59"/>
        <v/>
      </c>
    </row>
    <row r="181" spans="1:31" customFormat="1" ht="33.75" x14ac:dyDescent="0.5">
      <c r="A181" s="21" t="str">
        <f t="shared" ca="1" si="60"/>
        <v/>
      </c>
      <c r="B181" s="20">
        <f>Proforma!F148</f>
        <v>0</v>
      </c>
      <c r="C181" s="20">
        <f>Proforma!G148</f>
        <v>0</v>
      </c>
      <c r="D181" s="20"/>
      <c r="E181" s="23" t="str">
        <f ca="1">IF(A181&lt;&gt;"",codeEAN13(INT(A181/10)),"")</f>
        <v/>
      </c>
      <c r="G181" s="27" t="str">
        <f t="shared" ca="1" si="47"/>
        <v/>
      </c>
      <c r="H181" s="27" t="str">
        <f t="shared" ca="1" si="48"/>
        <v/>
      </c>
      <c r="I181" s="27" t="str">
        <f t="shared" ca="1" si="49"/>
        <v/>
      </c>
      <c r="J181" s="25" t="str">
        <f t="shared" ca="1" si="50"/>
        <v/>
      </c>
      <c r="K181" s="25" t="str">
        <f t="shared" ca="1" si="51"/>
        <v/>
      </c>
      <c r="M181" s="19" t="b">
        <f t="shared" ca="1" si="61"/>
        <v>0</v>
      </c>
      <c r="N181" s="19" t="b">
        <f t="shared" ca="1" si="62"/>
        <v>0</v>
      </c>
      <c r="O181" s="19" t="b">
        <f t="shared" ca="1" si="63"/>
        <v>0</v>
      </c>
      <c r="P181" s="11"/>
      <c r="Q181" s="9" t="str">
        <f t="shared" ca="1" si="52"/>
        <v/>
      </c>
      <c r="R181" s="29" t="str">
        <f t="shared" ca="1" si="53"/>
        <v/>
      </c>
      <c r="S181" s="2">
        <f>Proforma!B148</f>
        <v>0</v>
      </c>
      <c r="T181" s="2">
        <f>Proforma!C148</f>
        <v>0</v>
      </c>
      <c r="U181" s="2">
        <f>Proforma!D148</f>
        <v>0</v>
      </c>
      <c r="W181" t="str">
        <f t="shared" si="64"/>
        <v>0-0-000</v>
      </c>
      <c r="X181" s="14" t="str">
        <f t="shared" ca="1" si="54"/>
        <v/>
      </c>
      <c r="Y181" s="1"/>
      <c r="Z181" s="2" t="str">
        <f t="shared" ca="1" si="55"/>
        <v/>
      </c>
      <c r="AA181" s="7" t="str">
        <f t="shared" ca="1" si="56"/>
        <v/>
      </c>
      <c r="AB181" s="13" t="str">
        <f t="shared" ca="1" si="57"/>
        <v/>
      </c>
      <c r="AC181" s="13" t="str">
        <f t="shared" ca="1" si="58"/>
        <v/>
      </c>
      <c r="AE181" s="5" t="str">
        <f t="shared" ca="1" si="59"/>
        <v/>
      </c>
    </row>
    <row r="182" spans="1:31" customFormat="1" ht="33.75" x14ac:dyDescent="0.5">
      <c r="A182" s="21" t="str">
        <f t="shared" ca="1" si="60"/>
        <v/>
      </c>
      <c r="B182" s="20">
        <f>Proforma!F149</f>
        <v>0</v>
      </c>
      <c r="C182" s="20">
        <f>Proforma!G149</f>
        <v>0</v>
      </c>
      <c r="D182" s="20"/>
      <c r="E182" s="23" t="str">
        <f ca="1">IF(A182&lt;&gt;"",codeEAN13(INT(A182/10)),"")</f>
        <v/>
      </c>
      <c r="G182" s="27" t="str">
        <f t="shared" ca="1" si="47"/>
        <v/>
      </c>
      <c r="H182" s="27" t="str">
        <f t="shared" ca="1" si="48"/>
        <v/>
      </c>
      <c r="I182" s="27" t="str">
        <f t="shared" ca="1" si="49"/>
        <v/>
      </c>
      <c r="J182" s="25" t="str">
        <f t="shared" ca="1" si="50"/>
        <v/>
      </c>
      <c r="K182" s="25" t="str">
        <f t="shared" ca="1" si="51"/>
        <v/>
      </c>
      <c r="M182" s="19" t="b">
        <f t="shared" ca="1" si="61"/>
        <v>0</v>
      </c>
      <c r="N182" s="19" t="b">
        <f t="shared" ca="1" si="62"/>
        <v>0</v>
      </c>
      <c r="O182" s="19" t="b">
        <f t="shared" ca="1" si="63"/>
        <v>0</v>
      </c>
      <c r="P182" s="11"/>
      <c r="Q182" s="9" t="str">
        <f t="shared" ca="1" si="52"/>
        <v/>
      </c>
      <c r="R182" s="29" t="str">
        <f t="shared" ca="1" si="53"/>
        <v/>
      </c>
      <c r="S182" s="2">
        <f>Proforma!B149</f>
        <v>0</v>
      </c>
      <c r="T182" s="2">
        <f>Proforma!C149</f>
        <v>0</v>
      </c>
      <c r="U182" s="2">
        <f>Proforma!D149</f>
        <v>0</v>
      </c>
      <c r="W182" t="str">
        <f t="shared" si="64"/>
        <v>0-0-000</v>
      </c>
      <c r="X182" s="14" t="str">
        <f t="shared" ca="1" si="54"/>
        <v/>
      </c>
      <c r="Y182" s="1"/>
      <c r="Z182" s="2" t="str">
        <f t="shared" ca="1" si="55"/>
        <v/>
      </c>
      <c r="AA182" s="7" t="str">
        <f t="shared" ca="1" si="56"/>
        <v/>
      </c>
      <c r="AB182" s="13" t="str">
        <f t="shared" ca="1" si="57"/>
        <v/>
      </c>
      <c r="AC182" s="13" t="str">
        <f t="shared" ca="1" si="58"/>
        <v/>
      </c>
      <c r="AE182" s="5" t="str">
        <f t="shared" ca="1" si="59"/>
        <v/>
      </c>
    </row>
    <row r="183" spans="1:31" customFormat="1" ht="33.75" x14ac:dyDescent="0.5">
      <c r="A183" s="21" t="str">
        <f t="shared" ca="1" si="60"/>
        <v/>
      </c>
      <c r="B183" s="20">
        <f>Proforma!F150</f>
        <v>0</v>
      </c>
      <c r="C183" s="20">
        <f>Proforma!G150</f>
        <v>0</v>
      </c>
      <c r="D183" s="20"/>
      <c r="E183" s="23" t="str">
        <f ca="1">IF(A183&lt;&gt;"",codeEAN13(INT(A183/10)),"")</f>
        <v/>
      </c>
      <c r="G183" s="27" t="str">
        <f t="shared" ca="1" si="47"/>
        <v/>
      </c>
      <c r="H183" s="27" t="str">
        <f t="shared" ca="1" si="48"/>
        <v/>
      </c>
      <c r="I183" s="27" t="str">
        <f t="shared" ca="1" si="49"/>
        <v/>
      </c>
      <c r="J183" s="25" t="str">
        <f t="shared" ca="1" si="50"/>
        <v/>
      </c>
      <c r="K183" s="25" t="str">
        <f t="shared" ca="1" si="51"/>
        <v/>
      </c>
      <c r="M183" s="19" t="b">
        <f t="shared" ca="1" si="61"/>
        <v>0</v>
      </c>
      <c r="N183" s="19" t="b">
        <f t="shared" ca="1" si="62"/>
        <v>0</v>
      </c>
      <c r="O183" s="19" t="b">
        <f t="shared" ca="1" si="63"/>
        <v>0</v>
      </c>
      <c r="P183" s="11"/>
      <c r="Q183" s="9" t="str">
        <f t="shared" ca="1" si="52"/>
        <v/>
      </c>
      <c r="R183" s="29" t="str">
        <f t="shared" ca="1" si="53"/>
        <v/>
      </c>
      <c r="S183" s="2">
        <f>Proforma!B150</f>
        <v>0</v>
      </c>
      <c r="T183" s="2">
        <f>Proforma!C150</f>
        <v>0</v>
      </c>
      <c r="U183" s="2">
        <f>Proforma!D150</f>
        <v>0</v>
      </c>
      <c r="W183" t="str">
        <f t="shared" si="64"/>
        <v>0-0-000</v>
      </c>
      <c r="X183" s="14" t="str">
        <f t="shared" ca="1" si="54"/>
        <v/>
      </c>
      <c r="Y183" s="1"/>
      <c r="Z183" s="2" t="str">
        <f t="shared" ca="1" si="55"/>
        <v/>
      </c>
      <c r="AA183" s="7" t="str">
        <f t="shared" ca="1" si="56"/>
        <v/>
      </c>
      <c r="AB183" s="13" t="str">
        <f t="shared" ca="1" si="57"/>
        <v/>
      </c>
      <c r="AC183" s="13" t="str">
        <f t="shared" ca="1" si="58"/>
        <v/>
      </c>
      <c r="AE183" s="5" t="str">
        <f t="shared" ca="1" si="59"/>
        <v/>
      </c>
    </row>
    <row r="184" spans="1:31" customFormat="1" ht="33.75" x14ac:dyDescent="0.5">
      <c r="A184" s="21" t="str">
        <f t="shared" ca="1" si="60"/>
        <v/>
      </c>
      <c r="B184" s="20">
        <f>Proforma!F151</f>
        <v>0</v>
      </c>
      <c r="C184" s="20">
        <f>Proforma!G151</f>
        <v>0</v>
      </c>
      <c r="D184" s="20"/>
      <c r="E184" s="23" t="str">
        <f ca="1">IF(A184&lt;&gt;"",codeEAN13(INT(A184/10)),"")</f>
        <v/>
      </c>
      <c r="G184" s="27" t="str">
        <f t="shared" ca="1" si="47"/>
        <v/>
      </c>
      <c r="H184" s="27" t="str">
        <f t="shared" ca="1" si="48"/>
        <v/>
      </c>
      <c r="I184" s="27" t="str">
        <f t="shared" ca="1" si="49"/>
        <v/>
      </c>
      <c r="J184" s="25" t="str">
        <f t="shared" ca="1" si="50"/>
        <v/>
      </c>
      <c r="K184" s="25" t="str">
        <f t="shared" ca="1" si="51"/>
        <v/>
      </c>
      <c r="M184" s="19" t="b">
        <f t="shared" ca="1" si="61"/>
        <v>0</v>
      </c>
      <c r="N184" s="19" t="b">
        <f t="shared" ca="1" si="62"/>
        <v>0</v>
      </c>
      <c r="O184" s="19" t="b">
        <f t="shared" ca="1" si="63"/>
        <v>0</v>
      </c>
      <c r="P184" s="11"/>
      <c r="Q184" s="9" t="str">
        <f t="shared" ca="1" si="52"/>
        <v/>
      </c>
      <c r="R184" s="29" t="str">
        <f t="shared" ca="1" si="53"/>
        <v/>
      </c>
      <c r="S184" s="2">
        <f>Proforma!B151</f>
        <v>0</v>
      </c>
      <c r="T184" s="2">
        <f>Proforma!C151</f>
        <v>0</v>
      </c>
      <c r="U184" s="2">
        <f>Proforma!D151</f>
        <v>0</v>
      </c>
      <c r="W184" t="str">
        <f t="shared" si="64"/>
        <v>0-0-000</v>
      </c>
      <c r="X184" s="14" t="str">
        <f t="shared" ca="1" si="54"/>
        <v/>
      </c>
      <c r="Y184" s="1"/>
      <c r="Z184" s="2" t="str">
        <f t="shared" ca="1" si="55"/>
        <v/>
      </c>
      <c r="AA184" s="7" t="str">
        <f t="shared" ca="1" si="56"/>
        <v/>
      </c>
      <c r="AB184" s="13" t="str">
        <f t="shared" ca="1" si="57"/>
        <v/>
      </c>
      <c r="AC184" s="13" t="str">
        <f t="shared" ca="1" si="58"/>
        <v/>
      </c>
      <c r="AE184" s="5" t="str">
        <f t="shared" ca="1" si="59"/>
        <v/>
      </c>
    </row>
    <row r="185" spans="1:31" customFormat="1" ht="33.75" x14ac:dyDescent="0.5">
      <c r="A185" s="21" t="str">
        <f t="shared" ca="1" si="60"/>
        <v/>
      </c>
      <c r="B185" s="20">
        <f>Proforma!F152</f>
        <v>0</v>
      </c>
      <c r="C185" s="20">
        <f>Proforma!G152</f>
        <v>0</v>
      </c>
      <c r="D185" s="20"/>
      <c r="E185" s="23" t="str">
        <f ca="1">IF(A185&lt;&gt;"",codeEAN13(INT(A185/10)),"")</f>
        <v/>
      </c>
      <c r="G185" s="27" t="str">
        <f t="shared" ca="1" si="47"/>
        <v/>
      </c>
      <c r="H185" s="27" t="str">
        <f t="shared" ca="1" si="48"/>
        <v/>
      </c>
      <c r="I185" s="27" t="str">
        <f t="shared" ca="1" si="49"/>
        <v/>
      </c>
      <c r="J185" s="25" t="str">
        <f t="shared" ca="1" si="50"/>
        <v/>
      </c>
      <c r="K185" s="25" t="str">
        <f t="shared" ca="1" si="51"/>
        <v/>
      </c>
      <c r="M185" s="19" t="b">
        <f t="shared" ca="1" si="61"/>
        <v>0</v>
      </c>
      <c r="N185" s="19" t="b">
        <f t="shared" ca="1" si="62"/>
        <v>0</v>
      </c>
      <c r="O185" s="19" t="b">
        <f t="shared" ca="1" si="63"/>
        <v>0</v>
      </c>
      <c r="P185" s="11"/>
      <c r="Q185" s="9" t="str">
        <f t="shared" ca="1" si="52"/>
        <v/>
      </c>
      <c r="R185" s="29" t="str">
        <f t="shared" ca="1" si="53"/>
        <v/>
      </c>
      <c r="S185" s="2">
        <f>Proforma!B152</f>
        <v>0</v>
      </c>
      <c r="T185" s="2">
        <f>Proforma!C152</f>
        <v>0</v>
      </c>
      <c r="U185" s="2">
        <f>Proforma!D152</f>
        <v>0</v>
      </c>
      <c r="W185" t="str">
        <f t="shared" si="64"/>
        <v>0-0-000</v>
      </c>
      <c r="X185" s="14" t="str">
        <f t="shared" ca="1" si="54"/>
        <v/>
      </c>
      <c r="Y185" s="1"/>
      <c r="Z185" s="2" t="str">
        <f t="shared" ca="1" si="55"/>
        <v/>
      </c>
      <c r="AA185" s="7" t="str">
        <f t="shared" ca="1" si="56"/>
        <v/>
      </c>
      <c r="AB185" s="13" t="str">
        <f t="shared" ca="1" si="57"/>
        <v/>
      </c>
      <c r="AC185" s="13" t="str">
        <f t="shared" ca="1" si="58"/>
        <v/>
      </c>
      <c r="AE185" s="5" t="str">
        <f t="shared" ca="1" si="59"/>
        <v/>
      </c>
    </row>
    <row r="186" spans="1:31" customFormat="1" ht="33.75" x14ac:dyDescent="0.5">
      <c r="A186" s="21" t="str">
        <f t="shared" ca="1" si="60"/>
        <v/>
      </c>
      <c r="B186" s="20">
        <f>Proforma!F153</f>
        <v>0</v>
      </c>
      <c r="C186" s="20">
        <f>Proforma!G153</f>
        <v>0</v>
      </c>
      <c r="D186" s="20"/>
      <c r="E186" s="23" t="str">
        <f ca="1">IF(A186&lt;&gt;"",codeEAN13(INT(A186/10)),"")</f>
        <v/>
      </c>
      <c r="G186" s="27" t="str">
        <f t="shared" ca="1" si="47"/>
        <v/>
      </c>
      <c r="H186" s="27" t="str">
        <f t="shared" ca="1" si="48"/>
        <v/>
      </c>
      <c r="I186" s="27" t="str">
        <f t="shared" ca="1" si="49"/>
        <v/>
      </c>
      <c r="J186" s="25" t="str">
        <f t="shared" ca="1" si="50"/>
        <v/>
      </c>
      <c r="K186" s="25" t="str">
        <f t="shared" ca="1" si="51"/>
        <v/>
      </c>
      <c r="M186" s="19" t="b">
        <f t="shared" ca="1" si="61"/>
        <v>0</v>
      </c>
      <c r="N186" s="19" t="b">
        <f t="shared" ca="1" si="62"/>
        <v>0</v>
      </c>
      <c r="O186" s="19" t="b">
        <f t="shared" ca="1" si="63"/>
        <v>0</v>
      </c>
      <c r="P186" s="11"/>
      <c r="Q186" s="9" t="str">
        <f t="shared" ca="1" si="52"/>
        <v/>
      </c>
      <c r="R186" s="29" t="str">
        <f t="shared" ca="1" si="53"/>
        <v/>
      </c>
      <c r="S186" s="2">
        <f>Proforma!B153</f>
        <v>0</v>
      </c>
      <c r="T186" s="2">
        <f>Proforma!C153</f>
        <v>0</v>
      </c>
      <c r="U186" s="2">
        <f>Proforma!D153</f>
        <v>0</v>
      </c>
      <c r="W186" t="str">
        <f t="shared" si="64"/>
        <v>0-0-000</v>
      </c>
      <c r="X186" s="14" t="str">
        <f t="shared" ca="1" si="54"/>
        <v/>
      </c>
      <c r="Y186" s="1"/>
      <c r="Z186" s="2" t="str">
        <f t="shared" ca="1" si="55"/>
        <v/>
      </c>
      <c r="AA186" s="7" t="str">
        <f t="shared" ca="1" si="56"/>
        <v/>
      </c>
      <c r="AB186" s="13" t="str">
        <f t="shared" ca="1" si="57"/>
        <v/>
      </c>
      <c r="AC186" s="13" t="str">
        <f t="shared" ca="1" si="58"/>
        <v/>
      </c>
      <c r="AE186" s="5" t="str">
        <f t="shared" ca="1" si="59"/>
        <v/>
      </c>
    </row>
    <row r="187" spans="1:31" customFormat="1" ht="33.75" x14ac:dyDescent="0.5">
      <c r="A187" s="21" t="str">
        <f t="shared" ca="1" si="60"/>
        <v/>
      </c>
      <c r="B187" s="20">
        <f>Proforma!F154</f>
        <v>0</v>
      </c>
      <c r="C187" s="20">
        <f>Proforma!G154</f>
        <v>0</v>
      </c>
      <c r="D187" s="20"/>
      <c r="E187" s="23" t="str">
        <f ca="1">IF(A187&lt;&gt;"",codeEAN13(INT(A187/10)),"")</f>
        <v/>
      </c>
      <c r="G187" s="27" t="str">
        <f t="shared" ca="1" si="47"/>
        <v/>
      </c>
      <c r="H187" s="27" t="str">
        <f t="shared" ca="1" si="48"/>
        <v/>
      </c>
      <c r="I187" s="27" t="str">
        <f t="shared" ca="1" si="49"/>
        <v/>
      </c>
      <c r="J187" s="25" t="str">
        <f t="shared" ca="1" si="50"/>
        <v/>
      </c>
      <c r="K187" s="25" t="str">
        <f t="shared" ca="1" si="51"/>
        <v/>
      </c>
      <c r="M187" s="19" t="b">
        <f t="shared" ca="1" si="61"/>
        <v>0</v>
      </c>
      <c r="N187" s="19" t="b">
        <f t="shared" ca="1" si="62"/>
        <v>0</v>
      </c>
      <c r="O187" s="19" t="b">
        <f t="shared" ca="1" si="63"/>
        <v>0</v>
      </c>
      <c r="P187" s="11"/>
      <c r="Q187" s="9" t="str">
        <f t="shared" ca="1" si="52"/>
        <v/>
      </c>
      <c r="R187" s="29" t="str">
        <f t="shared" ca="1" si="53"/>
        <v/>
      </c>
      <c r="S187" s="2">
        <f>Proforma!B154</f>
        <v>0</v>
      </c>
      <c r="T187" s="2">
        <f>Proforma!C154</f>
        <v>0</v>
      </c>
      <c r="U187" s="2">
        <f>Proforma!D154</f>
        <v>0</v>
      </c>
      <c r="W187" t="str">
        <f t="shared" si="64"/>
        <v>0-0-000</v>
      </c>
      <c r="X187" s="14" t="str">
        <f t="shared" ca="1" si="54"/>
        <v/>
      </c>
      <c r="Y187" s="1"/>
      <c r="Z187" s="2" t="str">
        <f t="shared" ca="1" si="55"/>
        <v/>
      </c>
      <c r="AA187" s="7" t="str">
        <f t="shared" ca="1" si="56"/>
        <v/>
      </c>
      <c r="AB187" s="13" t="str">
        <f t="shared" ca="1" si="57"/>
        <v/>
      </c>
      <c r="AC187" s="13" t="str">
        <f t="shared" ca="1" si="58"/>
        <v/>
      </c>
      <c r="AE187" s="5" t="str">
        <f t="shared" ca="1" si="59"/>
        <v/>
      </c>
    </row>
    <row r="188" spans="1:31" customFormat="1" ht="33.75" x14ac:dyDescent="0.5">
      <c r="A188" s="21" t="str">
        <f t="shared" ca="1" si="60"/>
        <v/>
      </c>
      <c r="B188" s="20">
        <f>Proforma!F155</f>
        <v>0</v>
      </c>
      <c r="C188" s="20">
        <f>Proforma!G155</f>
        <v>0</v>
      </c>
      <c r="D188" s="20"/>
      <c r="E188" s="23" t="str">
        <f ca="1">IF(A188&lt;&gt;"",codeEAN13(INT(A188/10)),"")</f>
        <v/>
      </c>
      <c r="G188" s="27" t="str">
        <f t="shared" ca="1" si="47"/>
        <v/>
      </c>
      <c r="H188" s="27" t="str">
        <f t="shared" ca="1" si="48"/>
        <v/>
      </c>
      <c r="I188" s="27" t="str">
        <f t="shared" ca="1" si="49"/>
        <v/>
      </c>
      <c r="J188" s="25" t="str">
        <f t="shared" ca="1" si="50"/>
        <v/>
      </c>
      <c r="K188" s="25" t="str">
        <f t="shared" ca="1" si="51"/>
        <v/>
      </c>
      <c r="M188" s="19" t="b">
        <f t="shared" ca="1" si="61"/>
        <v>0</v>
      </c>
      <c r="N188" s="19" t="b">
        <f t="shared" ca="1" si="62"/>
        <v>0</v>
      </c>
      <c r="O188" s="19" t="b">
        <f t="shared" ca="1" si="63"/>
        <v>0</v>
      </c>
      <c r="P188" s="11"/>
      <c r="Q188" s="9" t="str">
        <f t="shared" ca="1" si="52"/>
        <v/>
      </c>
      <c r="R188" s="29" t="str">
        <f t="shared" ca="1" si="53"/>
        <v/>
      </c>
      <c r="S188" s="2">
        <f>Proforma!B155</f>
        <v>0</v>
      </c>
      <c r="T188" s="2">
        <f>Proforma!C155</f>
        <v>0</v>
      </c>
      <c r="U188" s="2">
        <f>Proforma!D155</f>
        <v>0</v>
      </c>
      <c r="W188" t="str">
        <f t="shared" si="64"/>
        <v>0-0-000</v>
      </c>
      <c r="X188" s="14" t="str">
        <f t="shared" ca="1" si="54"/>
        <v/>
      </c>
      <c r="Y188" s="1"/>
      <c r="Z188" s="2" t="str">
        <f t="shared" ca="1" si="55"/>
        <v/>
      </c>
      <c r="AA188" s="7" t="str">
        <f t="shared" ca="1" si="56"/>
        <v/>
      </c>
      <c r="AB188" s="13" t="str">
        <f t="shared" ca="1" si="57"/>
        <v/>
      </c>
      <c r="AC188" s="13" t="str">
        <f t="shared" ca="1" si="58"/>
        <v/>
      </c>
      <c r="AE188" s="5" t="str">
        <f t="shared" ca="1" si="59"/>
        <v/>
      </c>
    </row>
    <row r="189" spans="1:31" customFormat="1" ht="33.75" x14ac:dyDescent="0.5">
      <c r="A189" s="21" t="str">
        <f t="shared" ca="1" si="60"/>
        <v/>
      </c>
      <c r="B189" s="20">
        <f>Proforma!F156</f>
        <v>0</v>
      </c>
      <c r="C189" s="20">
        <f>Proforma!G156</f>
        <v>0</v>
      </c>
      <c r="D189" s="20"/>
      <c r="E189" s="23" t="str">
        <f ca="1">IF(A189&lt;&gt;"",codeEAN13(INT(A189/10)),"")</f>
        <v/>
      </c>
      <c r="G189" s="27" t="str">
        <f t="shared" ca="1" si="47"/>
        <v/>
      </c>
      <c r="H189" s="27" t="str">
        <f t="shared" ca="1" si="48"/>
        <v/>
      </c>
      <c r="I189" s="27" t="str">
        <f t="shared" ca="1" si="49"/>
        <v/>
      </c>
      <c r="J189" s="25" t="str">
        <f t="shared" ca="1" si="50"/>
        <v/>
      </c>
      <c r="K189" s="25" t="str">
        <f t="shared" ca="1" si="51"/>
        <v/>
      </c>
      <c r="M189" s="19" t="b">
        <f t="shared" ca="1" si="61"/>
        <v>0</v>
      </c>
      <c r="N189" s="19" t="b">
        <f t="shared" ca="1" si="62"/>
        <v>0</v>
      </c>
      <c r="O189" s="19" t="b">
        <f t="shared" ca="1" si="63"/>
        <v>0</v>
      </c>
      <c r="P189" s="11"/>
      <c r="Q189" s="9" t="str">
        <f t="shared" ca="1" si="52"/>
        <v/>
      </c>
      <c r="R189" s="29" t="str">
        <f t="shared" ca="1" si="53"/>
        <v/>
      </c>
      <c r="S189" s="2">
        <f>Proforma!B156</f>
        <v>0</v>
      </c>
      <c r="T189" s="2">
        <f>Proforma!C156</f>
        <v>0</v>
      </c>
      <c r="U189" s="2">
        <f>Proforma!D156</f>
        <v>0</v>
      </c>
      <c r="W189" t="str">
        <f t="shared" si="64"/>
        <v>0-0-000</v>
      </c>
      <c r="X189" s="14" t="str">
        <f t="shared" ca="1" si="54"/>
        <v/>
      </c>
      <c r="Y189" s="1"/>
      <c r="Z189" s="2" t="str">
        <f t="shared" ca="1" si="55"/>
        <v/>
      </c>
      <c r="AA189" s="7" t="str">
        <f t="shared" ca="1" si="56"/>
        <v/>
      </c>
      <c r="AB189" s="13" t="str">
        <f t="shared" ca="1" si="57"/>
        <v/>
      </c>
      <c r="AC189" s="13" t="str">
        <f t="shared" ca="1" si="58"/>
        <v/>
      </c>
      <c r="AE189" s="5" t="str">
        <f t="shared" ca="1" si="59"/>
        <v/>
      </c>
    </row>
    <row r="190" spans="1:31" customFormat="1" ht="33.75" x14ac:dyDescent="0.5">
      <c r="A190" s="21" t="str">
        <f t="shared" ca="1" si="60"/>
        <v/>
      </c>
      <c r="B190" s="20">
        <f>Proforma!F157</f>
        <v>0</v>
      </c>
      <c r="C190" s="20">
        <f>Proforma!G157</f>
        <v>0</v>
      </c>
      <c r="D190" s="20"/>
      <c r="E190" s="23" t="str">
        <f ca="1">IF(A190&lt;&gt;"",codeEAN13(INT(A190/10)),"")</f>
        <v/>
      </c>
      <c r="G190" s="27" t="str">
        <f t="shared" ca="1" si="47"/>
        <v/>
      </c>
      <c r="H190" s="27" t="str">
        <f t="shared" ca="1" si="48"/>
        <v/>
      </c>
      <c r="I190" s="27" t="str">
        <f t="shared" ca="1" si="49"/>
        <v/>
      </c>
      <c r="J190" s="25" t="str">
        <f t="shared" ca="1" si="50"/>
        <v/>
      </c>
      <c r="K190" s="25" t="str">
        <f t="shared" ca="1" si="51"/>
        <v/>
      </c>
      <c r="M190" s="19" t="b">
        <f t="shared" ca="1" si="61"/>
        <v>0</v>
      </c>
      <c r="N190" s="19" t="b">
        <f t="shared" ca="1" si="62"/>
        <v>0</v>
      </c>
      <c r="O190" s="19" t="b">
        <f t="shared" ca="1" si="63"/>
        <v>0</v>
      </c>
      <c r="P190" s="11"/>
      <c r="Q190" s="9" t="str">
        <f t="shared" ca="1" si="52"/>
        <v/>
      </c>
      <c r="R190" s="29" t="str">
        <f t="shared" ca="1" si="53"/>
        <v/>
      </c>
      <c r="S190" s="2">
        <f>Proforma!B157</f>
        <v>0</v>
      </c>
      <c r="T190" s="2">
        <f>Proforma!C157</f>
        <v>0</v>
      </c>
      <c r="U190" s="2">
        <f>Proforma!D157</f>
        <v>0</v>
      </c>
      <c r="W190" t="str">
        <f t="shared" si="64"/>
        <v>0-0-000</v>
      </c>
      <c r="X190" s="14" t="str">
        <f t="shared" ca="1" si="54"/>
        <v/>
      </c>
      <c r="Y190" s="1"/>
      <c r="Z190" s="2" t="str">
        <f t="shared" ca="1" si="55"/>
        <v/>
      </c>
      <c r="AA190" s="7" t="str">
        <f t="shared" ca="1" si="56"/>
        <v/>
      </c>
      <c r="AB190" s="13" t="str">
        <f t="shared" ca="1" si="57"/>
        <v/>
      </c>
      <c r="AC190" s="13" t="str">
        <f t="shared" ca="1" si="58"/>
        <v/>
      </c>
      <c r="AE190" s="5" t="str">
        <f t="shared" ca="1" si="59"/>
        <v/>
      </c>
    </row>
    <row r="191" spans="1:31" customFormat="1" ht="33.75" x14ac:dyDescent="0.5">
      <c r="A191" s="21" t="str">
        <f t="shared" ca="1" si="60"/>
        <v/>
      </c>
      <c r="B191" s="20">
        <f>Proforma!F158</f>
        <v>0</v>
      </c>
      <c r="C191" s="20">
        <f>Proforma!G158</f>
        <v>0</v>
      </c>
      <c r="D191" s="20"/>
      <c r="E191" s="23" t="str">
        <f ca="1">IF(A191&lt;&gt;"",codeEAN13(INT(A191/10)),"")</f>
        <v/>
      </c>
      <c r="G191" s="27" t="str">
        <f t="shared" ca="1" si="47"/>
        <v/>
      </c>
      <c r="H191" s="27" t="str">
        <f t="shared" ca="1" si="48"/>
        <v/>
      </c>
      <c r="I191" s="27" t="str">
        <f t="shared" ca="1" si="49"/>
        <v/>
      </c>
      <c r="J191" s="25" t="str">
        <f t="shared" ca="1" si="50"/>
        <v/>
      </c>
      <c r="K191" s="25" t="str">
        <f t="shared" ca="1" si="51"/>
        <v/>
      </c>
      <c r="M191" s="19" t="b">
        <f t="shared" ca="1" si="61"/>
        <v>0</v>
      </c>
      <c r="N191" s="19" t="b">
        <f t="shared" ca="1" si="62"/>
        <v>0</v>
      </c>
      <c r="O191" s="19" t="b">
        <f t="shared" ca="1" si="63"/>
        <v>0</v>
      </c>
      <c r="P191" s="11"/>
      <c r="Q191" s="9" t="str">
        <f t="shared" ca="1" si="52"/>
        <v/>
      </c>
      <c r="R191" s="29" t="str">
        <f t="shared" ca="1" si="53"/>
        <v/>
      </c>
      <c r="S191" s="2">
        <f>Proforma!B158</f>
        <v>0</v>
      </c>
      <c r="T191" s="2">
        <f>Proforma!C158</f>
        <v>0</v>
      </c>
      <c r="U191" s="2">
        <f>Proforma!D158</f>
        <v>0</v>
      </c>
      <c r="W191" t="str">
        <f t="shared" si="64"/>
        <v>0-0-000</v>
      </c>
      <c r="X191" s="14" t="str">
        <f t="shared" ca="1" si="54"/>
        <v/>
      </c>
      <c r="Y191" s="1"/>
      <c r="Z191" s="2" t="str">
        <f t="shared" ca="1" si="55"/>
        <v/>
      </c>
      <c r="AA191" s="7" t="str">
        <f t="shared" ca="1" si="56"/>
        <v/>
      </c>
      <c r="AB191" s="13" t="str">
        <f t="shared" ca="1" si="57"/>
        <v/>
      </c>
      <c r="AC191" s="13" t="str">
        <f t="shared" ca="1" si="58"/>
        <v/>
      </c>
      <c r="AE191" s="5" t="str">
        <f t="shared" ca="1" si="59"/>
        <v/>
      </c>
    </row>
    <row r="192" spans="1:31" customFormat="1" ht="33.75" x14ac:dyDescent="0.5">
      <c r="A192" s="21" t="str">
        <f t="shared" ca="1" si="60"/>
        <v/>
      </c>
      <c r="B192" s="20">
        <f>Proforma!F159</f>
        <v>0</v>
      </c>
      <c r="C192" s="20">
        <f>Proforma!G159</f>
        <v>0</v>
      </c>
      <c r="D192" s="20"/>
      <c r="E192" s="23" t="str">
        <f ca="1">IF(A192&lt;&gt;"",codeEAN13(INT(A192/10)),"")</f>
        <v/>
      </c>
      <c r="G192" s="27" t="str">
        <f t="shared" ca="1" si="47"/>
        <v/>
      </c>
      <c r="H192" s="27" t="str">
        <f t="shared" ca="1" si="48"/>
        <v/>
      </c>
      <c r="I192" s="27" t="str">
        <f t="shared" ca="1" si="49"/>
        <v/>
      </c>
      <c r="J192" s="25" t="str">
        <f t="shared" ca="1" si="50"/>
        <v/>
      </c>
      <c r="K192" s="25" t="str">
        <f t="shared" ca="1" si="51"/>
        <v/>
      </c>
      <c r="M192" s="19" t="b">
        <f t="shared" ca="1" si="61"/>
        <v>0</v>
      </c>
      <c r="N192" s="19" t="b">
        <f t="shared" ca="1" si="62"/>
        <v>0</v>
      </c>
      <c r="O192" s="19" t="b">
        <f t="shared" ca="1" si="63"/>
        <v>0</v>
      </c>
      <c r="P192" s="11"/>
      <c r="Q192" s="9" t="str">
        <f t="shared" ca="1" si="52"/>
        <v/>
      </c>
      <c r="R192" s="29" t="str">
        <f t="shared" ca="1" si="53"/>
        <v/>
      </c>
      <c r="S192" s="2">
        <f>Proforma!B159</f>
        <v>0</v>
      </c>
      <c r="T192" s="2">
        <f>Proforma!C159</f>
        <v>0</v>
      </c>
      <c r="U192" s="2">
        <f>Proforma!D159</f>
        <v>0</v>
      </c>
      <c r="W192" t="str">
        <f t="shared" si="64"/>
        <v>0-0-000</v>
      </c>
      <c r="X192" s="14" t="str">
        <f t="shared" ca="1" si="54"/>
        <v/>
      </c>
      <c r="Y192" s="1"/>
      <c r="Z192" s="2" t="str">
        <f t="shared" ca="1" si="55"/>
        <v/>
      </c>
      <c r="AA192" s="7" t="str">
        <f t="shared" ca="1" si="56"/>
        <v/>
      </c>
      <c r="AB192" s="13" t="str">
        <f t="shared" ca="1" si="57"/>
        <v/>
      </c>
      <c r="AC192" s="13" t="str">
        <f t="shared" ca="1" si="58"/>
        <v/>
      </c>
      <c r="AE192" s="5" t="str">
        <f t="shared" ca="1" si="59"/>
        <v/>
      </c>
    </row>
    <row r="193" spans="1:31" customFormat="1" ht="33.75" x14ac:dyDescent="0.5">
      <c r="A193" s="21" t="str">
        <f t="shared" ca="1" si="60"/>
        <v/>
      </c>
      <c r="B193" s="20">
        <f>Proforma!F160</f>
        <v>0</v>
      </c>
      <c r="C193" s="20">
        <f>Proforma!G160</f>
        <v>0</v>
      </c>
      <c r="D193" s="20"/>
      <c r="E193" s="23" t="str">
        <f ca="1">IF(A193&lt;&gt;"",codeEAN13(INT(A193/10)),"")</f>
        <v/>
      </c>
      <c r="G193" s="27" t="str">
        <f t="shared" ca="1" si="47"/>
        <v/>
      </c>
      <c r="H193" s="27" t="str">
        <f t="shared" ca="1" si="48"/>
        <v/>
      </c>
      <c r="I193" s="27" t="str">
        <f t="shared" ca="1" si="49"/>
        <v/>
      </c>
      <c r="J193" s="25" t="str">
        <f t="shared" ca="1" si="50"/>
        <v/>
      </c>
      <c r="K193" s="25" t="str">
        <f t="shared" ca="1" si="51"/>
        <v/>
      </c>
      <c r="M193" s="19" t="b">
        <f t="shared" ca="1" si="61"/>
        <v>0</v>
      </c>
      <c r="N193" s="19" t="b">
        <f t="shared" ca="1" si="62"/>
        <v>0</v>
      </c>
      <c r="O193" s="19" t="b">
        <f t="shared" ca="1" si="63"/>
        <v>0</v>
      </c>
      <c r="P193" s="11"/>
      <c r="Q193" s="9" t="str">
        <f t="shared" ca="1" si="52"/>
        <v/>
      </c>
      <c r="R193" s="29" t="str">
        <f t="shared" ca="1" si="53"/>
        <v/>
      </c>
      <c r="S193" s="2">
        <f>Proforma!B160</f>
        <v>0</v>
      </c>
      <c r="T193" s="2">
        <f>Proforma!C160</f>
        <v>0</v>
      </c>
      <c r="U193" s="2">
        <f>Proforma!D160</f>
        <v>0</v>
      </c>
      <c r="W193" t="str">
        <f t="shared" si="64"/>
        <v>0-0-000</v>
      </c>
      <c r="X193" s="14" t="str">
        <f t="shared" ca="1" si="54"/>
        <v/>
      </c>
      <c r="Y193" s="1"/>
      <c r="Z193" s="2" t="str">
        <f t="shared" ca="1" si="55"/>
        <v/>
      </c>
      <c r="AA193" s="7" t="str">
        <f t="shared" ca="1" si="56"/>
        <v/>
      </c>
      <c r="AB193" s="13" t="str">
        <f t="shared" ca="1" si="57"/>
        <v/>
      </c>
      <c r="AC193" s="13" t="str">
        <f t="shared" ca="1" si="58"/>
        <v/>
      </c>
      <c r="AE193" s="5" t="str">
        <f t="shared" ca="1" si="59"/>
        <v/>
      </c>
    </row>
    <row r="194" spans="1:31" customFormat="1" ht="33.75" x14ac:dyDescent="0.5">
      <c r="A194" s="21" t="str">
        <f t="shared" ca="1" si="60"/>
        <v/>
      </c>
      <c r="B194" s="20">
        <f>Proforma!F161</f>
        <v>0</v>
      </c>
      <c r="C194" s="20">
        <f>Proforma!G161</f>
        <v>0</v>
      </c>
      <c r="D194" s="20"/>
      <c r="E194" s="23" t="str">
        <f ca="1">IF(A194&lt;&gt;"",codeEAN13(INT(A194/10)),"")</f>
        <v/>
      </c>
      <c r="G194" s="27" t="str">
        <f t="shared" ref="G194:G213" ca="1" si="65">IFERROR(INDEX(INDIRECT(tabEAN.Valmag &amp; "!C:C"), $AE194), "")</f>
        <v/>
      </c>
      <c r="H194" s="27" t="str">
        <f t="shared" ref="H194:H213" ca="1" si="66">IFERROR(INDEX(INDIRECT(tabEAN.Valmag &amp; "!D:D"), $AE194), "")</f>
        <v/>
      </c>
      <c r="I194" s="27" t="str">
        <f t="shared" ref="I194:I213" ca="1" si="67">IFERROR(INDEX(INDIRECT(tabEAN.Valmag &amp; "!E:E"), $AE194), "")</f>
        <v/>
      </c>
      <c r="J194" s="25" t="str">
        <f t="shared" ref="J194:J213" ca="1" si="68">IFERROR(INDEX(INDIRECT(tabEAN13.inconnus &amp; "!E:E"),$Z194), "")</f>
        <v/>
      </c>
      <c r="K194" s="25" t="str">
        <f t="shared" ref="K194:K213" ca="1" si="69">IFERROR(INDEX(INDIRECT(tabEAN13.inconnus &amp; "!I:I"),$Z194), "")</f>
        <v/>
      </c>
      <c r="M194" s="19" t="b">
        <f t="shared" ca="1" si="61"/>
        <v>0</v>
      </c>
      <c r="N194" s="19" t="b">
        <f t="shared" ca="1" si="62"/>
        <v>0</v>
      </c>
      <c r="O194" s="19" t="b">
        <f t="shared" ca="1" si="63"/>
        <v>0</v>
      </c>
      <c r="P194" s="11"/>
      <c r="Q194" s="9" t="str">
        <f t="shared" ref="Q194:Q213" ca="1" si="70">IFERROR(INDEX(INDIRECT(tabEAN13.inconnus &amp; "!C:C"),$Z194), "")</f>
        <v/>
      </c>
      <c r="R194" s="29" t="str">
        <f t="shared" ref="R194:R213" ca="1" si="71">IFERROR(INDEX(INDIRECT(tabEAN13.inconnus &amp; "!D:D"),$Z194), "")</f>
        <v/>
      </c>
      <c r="S194" s="2">
        <f>Proforma!B161</f>
        <v>0</v>
      </c>
      <c r="T194" s="2">
        <f>Proforma!C161</f>
        <v>0</v>
      </c>
      <c r="U194" s="2">
        <f>Proforma!D161</f>
        <v>0</v>
      </c>
      <c r="W194" t="str">
        <f t="shared" si="64"/>
        <v>0-0-000</v>
      </c>
      <c r="X194" s="14" t="str">
        <f t="shared" ref="X194:X213" ca="1" si="72">IFERROR(INDEX(INDIRECT(tabEAN13 &amp; "!A:A"),$AA194), "")</f>
        <v/>
      </c>
      <c r="Y194" s="1"/>
      <c r="Z194" s="2" t="str">
        <f t="shared" ref="Z194:Z213" ca="1" si="73">IFERROR(MATCH($W194,INDIRECT(tabEAN13.inconnus &amp; "!B:B"),0), "")</f>
        <v/>
      </c>
      <c r="AA194" s="7" t="str">
        <f t="shared" ref="AA194:AA213" ca="1" si="74">IFERROR(MATCH($W194,INDIRECT(tabEAN13 &amp; "!B:B"),0), "")</f>
        <v/>
      </c>
      <c r="AB194" s="13" t="str">
        <f t="shared" ref="AB194:AB213" ca="1" si="75">IFERROR(INDEX(INDIRECT(tabEAN13 &amp; "!E:E"),$AA194), "")</f>
        <v/>
      </c>
      <c r="AC194" s="13" t="str">
        <f t="shared" ref="AC194:AC213" ca="1" si="76">IFERROR(INDEX(INDIRECT(tabEAN13 &amp; "!I:I"),$AA194), "")</f>
        <v/>
      </c>
      <c r="AE194" s="5" t="str">
        <f t="shared" ref="AE194:AE213" ca="1" si="77">IFERROR(MATCH($X194, INDIRECT(tabEAN.Valmag &amp; "!A:A"), 0), "")</f>
        <v/>
      </c>
    </row>
    <row r="195" spans="1:31" customFormat="1" ht="33.75" x14ac:dyDescent="0.5">
      <c r="A195" s="21" t="str">
        <f t="shared" ca="1" si="60"/>
        <v/>
      </c>
      <c r="B195" s="20">
        <f>Proforma!F162</f>
        <v>0</v>
      </c>
      <c r="C195" s="20">
        <f>Proforma!G162</f>
        <v>0</v>
      </c>
      <c r="D195" s="20"/>
      <c r="E195" s="23" t="str">
        <f ca="1">IF(A195&lt;&gt;"",codeEAN13(INT(A195/10)),"")</f>
        <v/>
      </c>
      <c r="G195" s="27" t="str">
        <f t="shared" ca="1" si="65"/>
        <v/>
      </c>
      <c r="H195" s="27" t="str">
        <f t="shared" ca="1" si="66"/>
        <v/>
      </c>
      <c r="I195" s="27" t="str">
        <f t="shared" ca="1" si="67"/>
        <v/>
      </c>
      <c r="J195" s="25" t="str">
        <f t="shared" ca="1" si="68"/>
        <v/>
      </c>
      <c r="K195" s="25" t="str">
        <f t="shared" ca="1" si="69"/>
        <v/>
      </c>
      <c r="M195" s="19" t="b">
        <f t="shared" ca="1" si="61"/>
        <v>0</v>
      </c>
      <c r="N195" s="19" t="b">
        <f t="shared" ca="1" si="62"/>
        <v>0</v>
      </c>
      <c r="O195" s="19" t="b">
        <f t="shared" ca="1" si="63"/>
        <v>0</v>
      </c>
      <c r="P195" s="11"/>
      <c r="Q195" s="9" t="str">
        <f t="shared" ca="1" si="70"/>
        <v/>
      </c>
      <c r="R195" s="29" t="str">
        <f t="shared" ca="1" si="71"/>
        <v/>
      </c>
      <c r="S195" s="2">
        <f>Proforma!B162</f>
        <v>0</v>
      </c>
      <c r="T195" s="2">
        <f>Proforma!C162</f>
        <v>0</v>
      </c>
      <c r="U195" s="2">
        <f>Proforma!D162</f>
        <v>0</v>
      </c>
      <c r="W195" t="str">
        <f t="shared" si="64"/>
        <v>0-0-000</v>
      </c>
      <c r="X195" s="14" t="str">
        <f t="shared" ca="1" si="72"/>
        <v/>
      </c>
      <c r="Y195" s="1"/>
      <c r="Z195" s="2" t="str">
        <f t="shared" ca="1" si="73"/>
        <v/>
      </c>
      <c r="AA195" s="7" t="str">
        <f t="shared" ca="1" si="74"/>
        <v/>
      </c>
      <c r="AB195" s="13" t="str">
        <f t="shared" ca="1" si="75"/>
        <v/>
      </c>
      <c r="AC195" s="13" t="str">
        <f t="shared" ca="1" si="76"/>
        <v/>
      </c>
      <c r="AE195" s="5" t="str">
        <f t="shared" ca="1" si="77"/>
        <v/>
      </c>
    </row>
    <row r="196" spans="1:31" customFormat="1" ht="33.75" x14ac:dyDescent="0.5">
      <c r="A196" s="21" t="str">
        <f t="shared" ca="1" si="60"/>
        <v/>
      </c>
      <c r="B196" s="20">
        <f>Proforma!F163</f>
        <v>0</v>
      </c>
      <c r="C196" s="20">
        <f>Proforma!G163</f>
        <v>0</v>
      </c>
      <c r="D196" s="20"/>
      <c r="E196" s="23" t="str">
        <f ca="1">IF(A196&lt;&gt;"",codeEAN13(INT(A196/10)),"")</f>
        <v/>
      </c>
      <c r="G196" s="27" t="str">
        <f t="shared" ca="1" si="65"/>
        <v/>
      </c>
      <c r="H196" s="27" t="str">
        <f t="shared" ca="1" si="66"/>
        <v/>
      </c>
      <c r="I196" s="27" t="str">
        <f t="shared" ca="1" si="67"/>
        <v/>
      </c>
      <c r="J196" s="25" t="str">
        <f t="shared" ca="1" si="68"/>
        <v/>
      </c>
      <c r="K196" s="25" t="str">
        <f t="shared" ca="1" si="69"/>
        <v/>
      </c>
      <c r="M196" s="19" t="b">
        <f t="shared" ca="1" si="61"/>
        <v>0</v>
      </c>
      <c r="N196" s="19" t="b">
        <f t="shared" ca="1" si="62"/>
        <v>0</v>
      </c>
      <c r="O196" s="19" t="b">
        <f t="shared" ca="1" si="63"/>
        <v>0</v>
      </c>
      <c r="P196" s="11"/>
      <c r="Q196" s="9" t="str">
        <f t="shared" ca="1" si="70"/>
        <v/>
      </c>
      <c r="R196" s="29" t="str">
        <f t="shared" ca="1" si="71"/>
        <v/>
      </c>
      <c r="S196" s="2">
        <f>Proforma!B163</f>
        <v>0</v>
      </c>
      <c r="T196" s="2">
        <f>Proforma!C163</f>
        <v>0</v>
      </c>
      <c r="U196" s="2">
        <f>Proforma!D163</f>
        <v>0</v>
      </c>
      <c r="W196" t="str">
        <f t="shared" si="64"/>
        <v>0-0-000</v>
      </c>
      <c r="X196" s="14" t="str">
        <f t="shared" ca="1" si="72"/>
        <v/>
      </c>
      <c r="Y196" s="1"/>
      <c r="Z196" s="2" t="str">
        <f t="shared" ca="1" si="73"/>
        <v/>
      </c>
      <c r="AA196" s="7" t="str">
        <f t="shared" ca="1" si="74"/>
        <v/>
      </c>
      <c r="AB196" s="13" t="str">
        <f t="shared" ca="1" si="75"/>
        <v/>
      </c>
      <c r="AC196" s="13" t="str">
        <f t="shared" ca="1" si="76"/>
        <v/>
      </c>
      <c r="AE196" s="5" t="str">
        <f t="shared" ca="1" si="77"/>
        <v/>
      </c>
    </row>
    <row r="197" spans="1:31" customFormat="1" ht="33.75" x14ac:dyDescent="0.5">
      <c r="A197" s="21" t="str">
        <f t="shared" ca="1" si="60"/>
        <v/>
      </c>
      <c r="B197" s="20">
        <f>Proforma!F164</f>
        <v>0</v>
      </c>
      <c r="C197" s="20">
        <f>Proforma!G164</f>
        <v>0</v>
      </c>
      <c r="D197" s="20"/>
      <c r="E197" s="23" t="str">
        <f ca="1">IF(A197&lt;&gt;"",codeEAN13(INT(A197/10)),"")</f>
        <v/>
      </c>
      <c r="G197" s="27" t="str">
        <f t="shared" ca="1" si="65"/>
        <v/>
      </c>
      <c r="H197" s="27" t="str">
        <f t="shared" ca="1" si="66"/>
        <v/>
      </c>
      <c r="I197" s="27" t="str">
        <f t="shared" ca="1" si="67"/>
        <v/>
      </c>
      <c r="J197" s="25" t="str">
        <f t="shared" ca="1" si="68"/>
        <v/>
      </c>
      <c r="K197" s="25" t="str">
        <f t="shared" ca="1" si="69"/>
        <v/>
      </c>
      <c r="M197" s="19" t="b">
        <f t="shared" ca="1" si="61"/>
        <v>0</v>
      </c>
      <c r="N197" s="19" t="b">
        <f t="shared" ca="1" si="62"/>
        <v>0</v>
      </c>
      <c r="O197" s="19" t="b">
        <f t="shared" ca="1" si="63"/>
        <v>0</v>
      </c>
      <c r="P197" s="11"/>
      <c r="Q197" s="9" t="str">
        <f t="shared" ca="1" si="70"/>
        <v/>
      </c>
      <c r="R197" s="29" t="str">
        <f t="shared" ca="1" si="71"/>
        <v/>
      </c>
      <c r="S197" s="2">
        <f>Proforma!B164</f>
        <v>0</v>
      </c>
      <c r="T197" s="2">
        <f>Proforma!C164</f>
        <v>0</v>
      </c>
      <c r="U197" s="2">
        <f>Proforma!D164</f>
        <v>0</v>
      </c>
      <c r="W197" t="str">
        <f t="shared" si="64"/>
        <v>0-0-000</v>
      </c>
      <c r="X197" s="14" t="str">
        <f t="shared" ca="1" si="72"/>
        <v/>
      </c>
      <c r="Y197" s="1"/>
      <c r="Z197" s="2" t="str">
        <f t="shared" ca="1" si="73"/>
        <v/>
      </c>
      <c r="AA197" s="7" t="str">
        <f t="shared" ca="1" si="74"/>
        <v/>
      </c>
      <c r="AB197" s="13" t="str">
        <f t="shared" ca="1" si="75"/>
        <v/>
      </c>
      <c r="AC197" s="13" t="str">
        <f t="shared" ca="1" si="76"/>
        <v/>
      </c>
      <c r="AE197" s="5" t="str">
        <f t="shared" ca="1" si="77"/>
        <v/>
      </c>
    </row>
    <row r="198" spans="1:31" customFormat="1" ht="33.75" x14ac:dyDescent="0.5">
      <c r="A198" s="21" t="str">
        <f t="shared" ca="1" si="60"/>
        <v/>
      </c>
      <c r="B198" s="20">
        <f>Proforma!F165</f>
        <v>0</v>
      </c>
      <c r="C198" s="20">
        <f>Proforma!G165</f>
        <v>0</v>
      </c>
      <c r="D198" s="20"/>
      <c r="E198" s="23" t="str">
        <f ca="1">IF(A198&lt;&gt;"",codeEAN13(INT(A198/10)),"")</f>
        <v/>
      </c>
      <c r="G198" s="27" t="str">
        <f t="shared" ca="1" si="65"/>
        <v/>
      </c>
      <c r="H198" s="27" t="str">
        <f t="shared" ca="1" si="66"/>
        <v/>
      </c>
      <c r="I198" s="27" t="str">
        <f t="shared" ca="1" si="67"/>
        <v/>
      </c>
      <c r="J198" s="25" t="str">
        <f t="shared" ca="1" si="68"/>
        <v/>
      </c>
      <c r="K198" s="25" t="str">
        <f t="shared" ca="1" si="69"/>
        <v/>
      </c>
      <c r="M198" s="19" t="b">
        <f t="shared" ca="1" si="61"/>
        <v>0</v>
      </c>
      <c r="N198" s="19" t="b">
        <f t="shared" ca="1" si="62"/>
        <v>0</v>
      </c>
      <c r="O198" s="19" t="b">
        <f t="shared" ca="1" si="63"/>
        <v>0</v>
      </c>
      <c r="P198" s="11"/>
      <c r="Q198" s="9" t="str">
        <f t="shared" ca="1" si="70"/>
        <v/>
      </c>
      <c r="R198" s="29" t="str">
        <f t="shared" ca="1" si="71"/>
        <v/>
      </c>
      <c r="S198" s="2">
        <f>Proforma!B165</f>
        <v>0</v>
      </c>
      <c r="T198" s="2">
        <f>Proforma!C165</f>
        <v>0</v>
      </c>
      <c r="U198" s="2">
        <f>Proforma!D165</f>
        <v>0</v>
      </c>
      <c r="W198" t="str">
        <f t="shared" si="64"/>
        <v>0-0-000</v>
      </c>
      <c r="X198" s="14" t="str">
        <f t="shared" ca="1" si="72"/>
        <v/>
      </c>
      <c r="Y198" s="1"/>
      <c r="Z198" s="2" t="str">
        <f t="shared" ca="1" si="73"/>
        <v/>
      </c>
      <c r="AA198" s="7" t="str">
        <f t="shared" ca="1" si="74"/>
        <v/>
      </c>
      <c r="AB198" s="13" t="str">
        <f t="shared" ca="1" si="75"/>
        <v/>
      </c>
      <c r="AC198" s="13" t="str">
        <f t="shared" ca="1" si="76"/>
        <v/>
      </c>
      <c r="AE198" s="5" t="str">
        <f t="shared" ca="1" si="77"/>
        <v/>
      </c>
    </row>
    <row r="199" spans="1:31" customFormat="1" ht="33.75" x14ac:dyDescent="0.5">
      <c r="A199" s="21" t="str">
        <f t="shared" ca="1" si="60"/>
        <v/>
      </c>
      <c r="B199" s="20">
        <f>Proforma!F166</f>
        <v>0</v>
      </c>
      <c r="C199" s="20">
        <f>Proforma!G166</f>
        <v>0</v>
      </c>
      <c r="D199" s="20"/>
      <c r="E199" s="23" t="str">
        <f ca="1">IF(A199&lt;&gt;"",codeEAN13(INT(A199/10)),"")</f>
        <v/>
      </c>
      <c r="G199" s="27" t="str">
        <f t="shared" ca="1" si="65"/>
        <v/>
      </c>
      <c r="H199" s="27" t="str">
        <f t="shared" ca="1" si="66"/>
        <v/>
      </c>
      <c r="I199" s="27" t="str">
        <f t="shared" ca="1" si="67"/>
        <v/>
      </c>
      <c r="J199" s="25" t="str">
        <f t="shared" ca="1" si="68"/>
        <v/>
      </c>
      <c r="K199" s="25" t="str">
        <f t="shared" ca="1" si="69"/>
        <v/>
      </c>
      <c r="M199" s="19" t="b">
        <f t="shared" ca="1" si="61"/>
        <v>0</v>
      </c>
      <c r="N199" s="19" t="b">
        <f t="shared" ca="1" si="62"/>
        <v>0</v>
      </c>
      <c r="O199" s="19" t="b">
        <f t="shared" ca="1" si="63"/>
        <v>0</v>
      </c>
      <c r="P199" s="11"/>
      <c r="Q199" s="9" t="str">
        <f t="shared" ca="1" si="70"/>
        <v/>
      </c>
      <c r="R199" s="29" t="str">
        <f t="shared" ca="1" si="71"/>
        <v/>
      </c>
      <c r="S199" s="2">
        <f>Proforma!B166</f>
        <v>0</v>
      </c>
      <c r="T199" s="2">
        <f>Proforma!C166</f>
        <v>0</v>
      </c>
      <c r="U199" s="2">
        <f>Proforma!D166</f>
        <v>0</v>
      </c>
      <c r="W199" t="str">
        <f t="shared" si="64"/>
        <v>0-0-000</v>
      </c>
      <c r="X199" s="14" t="str">
        <f t="shared" ca="1" si="72"/>
        <v/>
      </c>
      <c r="Y199" s="1"/>
      <c r="Z199" s="2" t="str">
        <f t="shared" ca="1" si="73"/>
        <v/>
      </c>
      <c r="AA199" s="7" t="str">
        <f t="shared" ca="1" si="74"/>
        <v/>
      </c>
      <c r="AB199" s="13" t="str">
        <f t="shared" ca="1" si="75"/>
        <v/>
      </c>
      <c r="AC199" s="13" t="str">
        <f t="shared" ca="1" si="76"/>
        <v/>
      </c>
      <c r="AE199" s="5" t="str">
        <f t="shared" ca="1" si="77"/>
        <v/>
      </c>
    </row>
    <row r="200" spans="1:31" customFormat="1" ht="33.75" x14ac:dyDescent="0.5">
      <c r="A200" s="21" t="str">
        <f t="shared" ca="1" si="60"/>
        <v/>
      </c>
      <c r="B200" s="20">
        <f>Proforma!F167</f>
        <v>0</v>
      </c>
      <c r="C200" s="20">
        <f>Proforma!G167</f>
        <v>0</v>
      </c>
      <c r="D200" s="20"/>
      <c r="E200" s="23" t="str">
        <f ca="1">IF(A200&lt;&gt;"",codeEAN13(INT(A200/10)),"")</f>
        <v/>
      </c>
      <c r="G200" s="27" t="str">
        <f t="shared" ca="1" si="65"/>
        <v/>
      </c>
      <c r="H200" s="27" t="str">
        <f t="shared" ca="1" si="66"/>
        <v/>
      </c>
      <c r="I200" s="27" t="str">
        <f t="shared" ca="1" si="67"/>
        <v/>
      </c>
      <c r="J200" s="25" t="str">
        <f t="shared" ca="1" si="68"/>
        <v/>
      </c>
      <c r="K200" s="25" t="str">
        <f t="shared" ca="1" si="69"/>
        <v/>
      </c>
      <c r="M200" s="19" t="b">
        <f t="shared" ca="1" si="61"/>
        <v>0</v>
      </c>
      <c r="N200" s="19" t="b">
        <f t="shared" ca="1" si="62"/>
        <v>0</v>
      </c>
      <c r="O200" s="19" t="b">
        <f t="shared" ca="1" si="63"/>
        <v>0</v>
      </c>
      <c r="P200" s="11"/>
      <c r="Q200" s="9" t="str">
        <f t="shared" ca="1" si="70"/>
        <v/>
      </c>
      <c r="R200" s="29" t="str">
        <f t="shared" ca="1" si="71"/>
        <v/>
      </c>
      <c r="S200" s="2">
        <f>Proforma!B167</f>
        <v>0</v>
      </c>
      <c r="T200" s="2">
        <f>Proforma!C167</f>
        <v>0</v>
      </c>
      <c r="U200" s="2">
        <f>Proforma!D167</f>
        <v>0</v>
      </c>
      <c r="W200" t="str">
        <f t="shared" si="64"/>
        <v>0-0-000</v>
      </c>
      <c r="X200" s="14" t="str">
        <f t="shared" ca="1" si="72"/>
        <v/>
      </c>
      <c r="Y200" s="1"/>
      <c r="Z200" s="2" t="str">
        <f t="shared" ca="1" si="73"/>
        <v/>
      </c>
      <c r="AA200" s="7" t="str">
        <f t="shared" ca="1" si="74"/>
        <v/>
      </c>
      <c r="AB200" s="13" t="str">
        <f t="shared" ca="1" si="75"/>
        <v/>
      </c>
      <c r="AC200" s="13" t="str">
        <f t="shared" ca="1" si="76"/>
        <v/>
      </c>
      <c r="AE200" s="5" t="str">
        <f t="shared" ca="1" si="77"/>
        <v/>
      </c>
    </row>
    <row r="201" spans="1:31" customFormat="1" ht="33.75" x14ac:dyDescent="0.5">
      <c r="A201" s="21" t="str">
        <f t="shared" ca="1" si="60"/>
        <v/>
      </c>
      <c r="B201" s="20">
        <f>Proforma!F168</f>
        <v>0</v>
      </c>
      <c r="C201" s="20">
        <f>Proforma!G168</f>
        <v>0</v>
      </c>
      <c r="D201" s="20"/>
      <c r="E201" s="23" t="str">
        <f ca="1">IF(A201&lt;&gt;"",codeEAN13(INT(A201/10)),"")</f>
        <v/>
      </c>
      <c r="G201" s="27" t="str">
        <f t="shared" ca="1" si="65"/>
        <v/>
      </c>
      <c r="H201" s="27" t="str">
        <f t="shared" ca="1" si="66"/>
        <v/>
      </c>
      <c r="I201" s="27" t="str">
        <f t="shared" ca="1" si="67"/>
        <v/>
      </c>
      <c r="J201" s="25" t="str">
        <f t="shared" ca="1" si="68"/>
        <v/>
      </c>
      <c r="K201" s="25" t="str">
        <f t="shared" ca="1" si="69"/>
        <v/>
      </c>
      <c r="M201" s="19" t="b">
        <f t="shared" ca="1" si="61"/>
        <v>0</v>
      </c>
      <c r="N201" s="19" t="b">
        <f t="shared" ca="1" si="62"/>
        <v>0</v>
      </c>
      <c r="O201" s="19" t="b">
        <f t="shared" ca="1" si="63"/>
        <v>0</v>
      </c>
      <c r="P201" s="11"/>
      <c r="Q201" s="9" t="str">
        <f t="shared" ca="1" si="70"/>
        <v/>
      </c>
      <c r="R201" s="29" t="str">
        <f t="shared" ca="1" si="71"/>
        <v/>
      </c>
      <c r="S201" s="2">
        <f>Proforma!B168</f>
        <v>0</v>
      </c>
      <c r="T201" s="2">
        <f>Proforma!C168</f>
        <v>0</v>
      </c>
      <c r="U201" s="2">
        <f>Proforma!D168</f>
        <v>0</v>
      </c>
      <c r="W201" t="str">
        <f t="shared" si="64"/>
        <v>0-0-000</v>
      </c>
      <c r="X201" s="14" t="str">
        <f t="shared" ca="1" si="72"/>
        <v/>
      </c>
      <c r="Y201" s="1"/>
      <c r="Z201" s="2" t="str">
        <f t="shared" ca="1" si="73"/>
        <v/>
      </c>
      <c r="AA201" s="7" t="str">
        <f t="shared" ca="1" si="74"/>
        <v/>
      </c>
      <c r="AB201" s="13" t="str">
        <f t="shared" ca="1" si="75"/>
        <v/>
      </c>
      <c r="AC201" s="13" t="str">
        <f t="shared" ca="1" si="76"/>
        <v/>
      </c>
      <c r="AE201" s="5" t="str">
        <f t="shared" ca="1" si="77"/>
        <v/>
      </c>
    </row>
    <row r="202" spans="1:31" customFormat="1" ht="33.75" x14ac:dyDescent="0.5">
      <c r="A202" s="21" t="str">
        <f t="shared" ca="1" si="60"/>
        <v/>
      </c>
      <c r="B202" s="20">
        <f>Proforma!F169</f>
        <v>0</v>
      </c>
      <c r="C202" s="20">
        <f>Proforma!G169</f>
        <v>0</v>
      </c>
      <c r="D202" s="20"/>
      <c r="E202" s="23" t="str">
        <f ca="1">IF(A202&lt;&gt;"",codeEAN13(INT(A202/10)),"")</f>
        <v/>
      </c>
      <c r="G202" s="27" t="str">
        <f t="shared" ca="1" si="65"/>
        <v/>
      </c>
      <c r="H202" s="27" t="str">
        <f t="shared" ca="1" si="66"/>
        <v/>
      </c>
      <c r="I202" s="27" t="str">
        <f t="shared" ca="1" si="67"/>
        <v/>
      </c>
      <c r="J202" s="25" t="str">
        <f t="shared" ca="1" si="68"/>
        <v/>
      </c>
      <c r="K202" s="25" t="str">
        <f t="shared" ca="1" si="69"/>
        <v/>
      </c>
      <c r="M202" s="19" t="b">
        <f t="shared" ca="1" si="61"/>
        <v>0</v>
      </c>
      <c r="N202" s="19" t="b">
        <f t="shared" ca="1" si="62"/>
        <v>0</v>
      </c>
      <c r="O202" s="19" t="b">
        <f t="shared" ca="1" si="63"/>
        <v>0</v>
      </c>
      <c r="P202" s="11"/>
      <c r="Q202" s="9" t="str">
        <f t="shared" ca="1" si="70"/>
        <v/>
      </c>
      <c r="R202" s="29" t="str">
        <f t="shared" ca="1" si="71"/>
        <v/>
      </c>
      <c r="S202" s="2">
        <f>Proforma!B169</f>
        <v>0</v>
      </c>
      <c r="T202" s="2">
        <f>Proforma!C169</f>
        <v>0</v>
      </c>
      <c r="U202" s="2">
        <f>Proforma!D169</f>
        <v>0</v>
      </c>
      <c r="W202" t="str">
        <f t="shared" si="64"/>
        <v>0-0-000</v>
      </c>
      <c r="X202" s="14" t="str">
        <f t="shared" ca="1" si="72"/>
        <v/>
      </c>
      <c r="Y202" s="1"/>
      <c r="Z202" s="2" t="str">
        <f t="shared" ca="1" si="73"/>
        <v/>
      </c>
      <c r="AA202" s="7" t="str">
        <f t="shared" ca="1" si="74"/>
        <v/>
      </c>
      <c r="AB202" s="13" t="str">
        <f t="shared" ca="1" si="75"/>
        <v/>
      </c>
      <c r="AC202" s="13" t="str">
        <f t="shared" ca="1" si="76"/>
        <v/>
      </c>
      <c r="AE202" s="5" t="str">
        <f t="shared" ca="1" si="77"/>
        <v/>
      </c>
    </row>
    <row r="203" spans="1:31" customFormat="1" ht="33.75" x14ac:dyDescent="0.5">
      <c r="A203" s="21" t="str">
        <f t="shared" ca="1" si="60"/>
        <v/>
      </c>
      <c r="B203" s="20">
        <f>Proforma!F170</f>
        <v>0</v>
      </c>
      <c r="C203" s="20">
        <f>Proforma!G170</f>
        <v>0</v>
      </c>
      <c r="D203" s="20"/>
      <c r="E203" s="23" t="str">
        <f ca="1">IF(A203&lt;&gt;"",codeEAN13(INT(A203/10)),"")</f>
        <v/>
      </c>
      <c r="G203" s="27" t="str">
        <f t="shared" ca="1" si="65"/>
        <v/>
      </c>
      <c r="H203" s="27" t="str">
        <f t="shared" ca="1" si="66"/>
        <v/>
      </c>
      <c r="I203" s="27" t="str">
        <f t="shared" ca="1" si="67"/>
        <v/>
      </c>
      <c r="J203" s="25" t="str">
        <f t="shared" ca="1" si="68"/>
        <v/>
      </c>
      <c r="K203" s="25" t="str">
        <f t="shared" ca="1" si="69"/>
        <v/>
      </c>
      <c r="M203" s="19" t="b">
        <f t="shared" ca="1" si="61"/>
        <v>0</v>
      </c>
      <c r="N203" s="19" t="b">
        <f t="shared" ca="1" si="62"/>
        <v>0</v>
      </c>
      <c r="O203" s="19" t="b">
        <f t="shared" ca="1" si="63"/>
        <v>0</v>
      </c>
      <c r="P203" s="11"/>
      <c r="Q203" s="9" t="str">
        <f t="shared" ca="1" si="70"/>
        <v/>
      </c>
      <c r="R203" s="29" t="str">
        <f t="shared" ca="1" si="71"/>
        <v/>
      </c>
      <c r="S203" s="2">
        <f>Proforma!B170</f>
        <v>0</v>
      </c>
      <c r="T203" s="2">
        <f>Proforma!C170</f>
        <v>0</v>
      </c>
      <c r="U203" s="2">
        <f>Proforma!D170</f>
        <v>0</v>
      </c>
      <c r="W203" t="str">
        <f t="shared" si="64"/>
        <v>0-0-000</v>
      </c>
      <c r="X203" s="14" t="str">
        <f t="shared" ca="1" si="72"/>
        <v/>
      </c>
      <c r="Y203" s="1"/>
      <c r="Z203" s="2" t="str">
        <f t="shared" ca="1" si="73"/>
        <v/>
      </c>
      <c r="AA203" s="7" t="str">
        <f t="shared" ca="1" si="74"/>
        <v/>
      </c>
      <c r="AB203" s="13" t="str">
        <f t="shared" ca="1" si="75"/>
        <v/>
      </c>
      <c r="AC203" s="13" t="str">
        <f t="shared" ca="1" si="76"/>
        <v/>
      </c>
      <c r="AE203" s="5" t="str">
        <f t="shared" ca="1" si="77"/>
        <v/>
      </c>
    </row>
    <row r="204" spans="1:31" customFormat="1" ht="33.75" x14ac:dyDescent="0.5">
      <c r="A204" s="21" t="str">
        <f t="shared" ca="1" si="60"/>
        <v/>
      </c>
      <c r="B204" s="20">
        <f>Proforma!F171</f>
        <v>0</v>
      </c>
      <c r="C204" s="20">
        <f>Proforma!G171</f>
        <v>0</v>
      </c>
      <c r="D204" s="20"/>
      <c r="E204" s="23" t="str">
        <f ca="1">IF(A204&lt;&gt;"",codeEAN13(INT(A204/10)),"")</f>
        <v/>
      </c>
      <c r="G204" s="27" t="str">
        <f t="shared" ca="1" si="65"/>
        <v/>
      </c>
      <c r="H204" s="27" t="str">
        <f t="shared" ca="1" si="66"/>
        <v/>
      </c>
      <c r="I204" s="27" t="str">
        <f t="shared" ca="1" si="67"/>
        <v/>
      </c>
      <c r="J204" s="25" t="str">
        <f t="shared" ca="1" si="68"/>
        <v/>
      </c>
      <c r="K204" s="25" t="str">
        <f t="shared" ca="1" si="69"/>
        <v/>
      </c>
      <c r="M204" s="19" t="b">
        <f t="shared" ca="1" si="61"/>
        <v>0</v>
      </c>
      <c r="N204" s="19" t="b">
        <f t="shared" ca="1" si="62"/>
        <v>0</v>
      </c>
      <c r="O204" s="19" t="b">
        <f t="shared" ca="1" si="63"/>
        <v>0</v>
      </c>
      <c r="P204" s="11"/>
      <c r="Q204" s="9" t="str">
        <f t="shared" ca="1" si="70"/>
        <v/>
      </c>
      <c r="R204" s="29" t="str">
        <f t="shared" ca="1" si="71"/>
        <v/>
      </c>
      <c r="S204" s="2">
        <f>Proforma!B171</f>
        <v>0</v>
      </c>
      <c r="T204" s="2">
        <f>Proforma!C171</f>
        <v>0</v>
      </c>
      <c r="U204" s="2">
        <f>Proforma!D171</f>
        <v>0</v>
      </c>
      <c r="W204" t="str">
        <f t="shared" si="64"/>
        <v>0-0-000</v>
      </c>
      <c r="X204" s="14" t="str">
        <f t="shared" ca="1" si="72"/>
        <v/>
      </c>
      <c r="Y204" s="1"/>
      <c r="Z204" s="2" t="str">
        <f t="shared" ca="1" si="73"/>
        <v/>
      </c>
      <c r="AA204" s="7" t="str">
        <f t="shared" ca="1" si="74"/>
        <v/>
      </c>
      <c r="AB204" s="13" t="str">
        <f t="shared" ca="1" si="75"/>
        <v/>
      </c>
      <c r="AC204" s="13" t="str">
        <f t="shared" ca="1" si="76"/>
        <v/>
      </c>
      <c r="AE204" s="5" t="str">
        <f t="shared" ca="1" si="77"/>
        <v/>
      </c>
    </row>
    <row r="205" spans="1:31" customFormat="1" ht="33.75" x14ac:dyDescent="0.5">
      <c r="A205" s="21" t="str">
        <f t="shared" ca="1" si="60"/>
        <v/>
      </c>
      <c r="B205" s="20">
        <f>Proforma!F172</f>
        <v>0</v>
      </c>
      <c r="C205" s="20">
        <f>Proforma!G172</f>
        <v>0</v>
      </c>
      <c r="D205" s="20"/>
      <c r="E205" s="23" t="str">
        <f ca="1">IF(A205&lt;&gt;"",codeEAN13(INT(A205/10)),"")</f>
        <v/>
      </c>
      <c r="G205" s="27" t="str">
        <f t="shared" ca="1" si="65"/>
        <v/>
      </c>
      <c r="H205" s="27" t="str">
        <f t="shared" ca="1" si="66"/>
        <v/>
      </c>
      <c r="I205" s="27" t="str">
        <f t="shared" ca="1" si="67"/>
        <v/>
      </c>
      <c r="J205" s="25" t="str">
        <f t="shared" ca="1" si="68"/>
        <v/>
      </c>
      <c r="K205" s="25" t="str">
        <f t="shared" ca="1" si="69"/>
        <v/>
      </c>
      <c r="M205" s="19" t="b">
        <f t="shared" ca="1" si="61"/>
        <v>0</v>
      </c>
      <c r="N205" s="19" t="b">
        <f t="shared" ca="1" si="62"/>
        <v>0</v>
      </c>
      <c r="O205" s="19" t="b">
        <f t="shared" ca="1" si="63"/>
        <v>0</v>
      </c>
      <c r="P205" s="11"/>
      <c r="Q205" s="9" t="str">
        <f t="shared" ca="1" si="70"/>
        <v/>
      </c>
      <c r="R205" s="29" t="str">
        <f t="shared" ca="1" si="71"/>
        <v/>
      </c>
      <c r="S205" s="2">
        <f>Proforma!B172</f>
        <v>0</v>
      </c>
      <c r="T205" s="2">
        <f>Proforma!C172</f>
        <v>0</v>
      </c>
      <c r="U205" s="2">
        <f>Proforma!D172</f>
        <v>0</v>
      </c>
      <c r="W205" t="str">
        <f t="shared" si="64"/>
        <v>0-0-000</v>
      </c>
      <c r="X205" s="14" t="str">
        <f t="shared" ca="1" si="72"/>
        <v/>
      </c>
      <c r="Y205" s="1"/>
      <c r="Z205" s="2" t="str">
        <f t="shared" ca="1" si="73"/>
        <v/>
      </c>
      <c r="AA205" s="7" t="str">
        <f t="shared" ca="1" si="74"/>
        <v/>
      </c>
      <c r="AB205" s="13" t="str">
        <f t="shared" ca="1" si="75"/>
        <v/>
      </c>
      <c r="AC205" s="13" t="str">
        <f t="shared" ca="1" si="76"/>
        <v/>
      </c>
      <c r="AE205" s="5" t="str">
        <f t="shared" ca="1" si="77"/>
        <v/>
      </c>
    </row>
    <row r="206" spans="1:31" customFormat="1" ht="33.75" x14ac:dyDescent="0.5">
      <c r="A206" s="21" t="str">
        <f t="shared" ca="1" si="60"/>
        <v/>
      </c>
      <c r="B206" s="20">
        <f>Proforma!F173</f>
        <v>0</v>
      </c>
      <c r="C206" s="20">
        <f>Proforma!G173</f>
        <v>0</v>
      </c>
      <c r="D206" s="20"/>
      <c r="E206" s="23" t="str">
        <f ca="1">IF(A206&lt;&gt;"",codeEAN13(INT(A206/10)),"")</f>
        <v/>
      </c>
      <c r="G206" s="27" t="str">
        <f t="shared" ca="1" si="65"/>
        <v/>
      </c>
      <c r="H206" s="27" t="str">
        <f t="shared" ca="1" si="66"/>
        <v/>
      </c>
      <c r="I206" s="27" t="str">
        <f t="shared" ca="1" si="67"/>
        <v/>
      </c>
      <c r="J206" s="25" t="str">
        <f t="shared" ca="1" si="68"/>
        <v/>
      </c>
      <c r="K206" s="25" t="str">
        <f t="shared" ca="1" si="69"/>
        <v/>
      </c>
      <c r="M206" s="19" t="b">
        <f t="shared" ca="1" si="61"/>
        <v>0</v>
      </c>
      <c r="N206" s="19" t="b">
        <f t="shared" ca="1" si="62"/>
        <v>0</v>
      </c>
      <c r="O206" s="19" t="b">
        <f t="shared" ca="1" si="63"/>
        <v>0</v>
      </c>
      <c r="P206" s="11"/>
      <c r="Q206" s="9" t="str">
        <f t="shared" ca="1" si="70"/>
        <v/>
      </c>
      <c r="R206" s="29" t="str">
        <f t="shared" ca="1" si="71"/>
        <v/>
      </c>
      <c r="S206" s="2">
        <f>Proforma!B173</f>
        <v>0</v>
      </c>
      <c r="T206" s="2">
        <f>Proforma!C173</f>
        <v>0</v>
      </c>
      <c r="U206" s="2">
        <f>Proforma!D173</f>
        <v>0</v>
      </c>
      <c r="W206" t="str">
        <f t="shared" si="64"/>
        <v>0-0-000</v>
      </c>
      <c r="X206" s="14" t="str">
        <f t="shared" ca="1" si="72"/>
        <v/>
      </c>
      <c r="Y206" s="1"/>
      <c r="Z206" s="2" t="str">
        <f t="shared" ca="1" si="73"/>
        <v/>
      </c>
      <c r="AA206" s="7" t="str">
        <f t="shared" ca="1" si="74"/>
        <v/>
      </c>
      <c r="AB206" s="13" t="str">
        <f t="shared" ca="1" si="75"/>
        <v/>
      </c>
      <c r="AC206" s="13" t="str">
        <f t="shared" ca="1" si="76"/>
        <v/>
      </c>
      <c r="AE206" s="5" t="str">
        <f t="shared" ca="1" si="77"/>
        <v/>
      </c>
    </row>
    <row r="207" spans="1:31" customFormat="1" ht="33.75" x14ac:dyDescent="0.5">
      <c r="A207" s="21" t="str">
        <f t="shared" ca="1" si="60"/>
        <v/>
      </c>
      <c r="B207" s="20">
        <f>Proforma!F174</f>
        <v>0</v>
      </c>
      <c r="C207" s="20">
        <f>Proforma!G174</f>
        <v>0</v>
      </c>
      <c r="D207" s="20"/>
      <c r="E207" s="23" t="str">
        <f ca="1">IF(A207&lt;&gt;"",codeEAN13(INT(A207/10)),"")</f>
        <v/>
      </c>
      <c r="G207" s="27" t="str">
        <f t="shared" ca="1" si="65"/>
        <v/>
      </c>
      <c r="H207" s="27" t="str">
        <f t="shared" ca="1" si="66"/>
        <v/>
      </c>
      <c r="I207" s="27" t="str">
        <f t="shared" ca="1" si="67"/>
        <v/>
      </c>
      <c r="J207" s="25" t="str">
        <f t="shared" ca="1" si="68"/>
        <v/>
      </c>
      <c r="K207" s="25" t="str">
        <f t="shared" ca="1" si="69"/>
        <v/>
      </c>
      <c r="M207" s="19" t="b">
        <f t="shared" ca="1" si="61"/>
        <v>0</v>
      </c>
      <c r="N207" s="19" t="b">
        <f t="shared" ca="1" si="62"/>
        <v>0</v>
      </c>
      <c r="O207" s="19" t="b">
        <f t="shared" ca="1" si="63"/>
        <v>0</v>
      </c>
      <c r="P207" s="11"/>
      <c r="Q207" s="9" t="str">
        <f t="shared" ca="1" si="70"/>
        <v/>
      </c>
      <c r="R207" s="29" t="str">
        <f t="shared" ca="1" si="71"/>
        <v/>
      </c>
      <c r="S207" s="2">
        <f>Proforma!B174</f>
        <v>0</v>
      </c>
      <c r="T207" s="2">
        <f>Proforma!C174</f>
        <v>0</v>
      </c>
      <c r="U207" s="2">
        <f>Proforma!D174</f>
        <v>0</v>
      </c>
      <c r="W207" t="str">
        <f t="shared" si="64"/>
        <v>0-0-000</v>
      </c>
      <c r="X207" s="14" t="str">
        <f t="shared" ca="1" si="72"/>
        <v/>
      </c>
      <c r="Y207" s="1"/>
      <c r="Z207" s="2" t="str">
        <f t="shared" ca="1" si="73"/>
        <v/>
      </c>
      <c r="AA207" s="7" t="str">
        <f t="shared" ca="1" si="74"/>
        <v/>
      </c>
      <c r="AB207" s="13" t="str">
        <f t="shared" ca="1" si="75"/>
        <v/>
      </c>
      <c r="AC207" s="13" t="str">
        <f t="shared" ca="1" si="76"/>
        <v/>
      </c>
      <c r="AE207" s="5" t="str">
        <f t="shared" ca="1" si="77"/>
        <v/>
      </c>
    </row>
    <row r="208" spans="1:31" customFormat="1" ht="33.75" x14ac:dyDescent="0.5">
      <c r="A208" s="21" t="str">
        <f t="shared" ca="1" si="60"/>
        <v/>
      </c>
      <c r="B208" s="20">
        <f>Proforma!F175</f>
        <v>0</v>
      </c>
      <c r="C208" s="20">
        <f>Proforma!G175</f>
        <v>0</v>
      </c>
      <c r="D208" s="20"/>
      <c r="E208" s="23" t="str">
        <f ca="1">IF(A208&lt;&gt;"",codeEAN13(INT(A208/10)),"")</f>
        <v/>
      </c>
      <c r="G208" s="27" t="str">
        <f t="shared" ca="1" si="65"/>
        <v/>
      </c>
      <c r="H208" s="27" t="str">
        <f t="shared" ca="1" si="66"/>
        <v/>
      </c>
      <c r="I208" s="27" t="str">
        <f t="shared" ca="1" si="67"/>
        <v/>
      </c>
      <c r="J208" s="25" t="str">
        <f t="shared" ca="1" si="68"/>
        <v/>
      </c>
      <c r="K208" s="25" t="str">
        <f t="shared" ca="1" si="69"/>
        <v/>
      </c>
      <c r="M208" s="19" t="b">
        <f t="shared" ca="1" si="61"/>
        <v>0</v>
      </c>
      <c r="N208" s="19" t="b">
        <f t="shared" ca="1" si="62"/>
        <v>0</v>
      </c>
      <c r="O208" s="19" t="b">
        <f t="shared" ca="1" si="63"/>
        <v>0</v>
      </c>
      <c r="P208" s="11"/>
      <c r="Q208" s="9" t="str">
        <f t="shared" ca="1" si="70"/>
        <v/>
      </c>
      <c r="R208" s="29" t="str">
        <f t="shared" ca="1" si="71"/>
        <v/>
      </c>
      <c r="S208" s="2">
        <f>Proforma!B175</f>
        <v>0</v>
      </c>
      <c r="T208" s="2">
        <f>Proforma!C175</f>
        <v>0</v>
      </c>
      <c r="U208" s="2">
        <f>Proforma!D175</f>
        <v>0</v>
      </c>
      <c r="W208" t="str">
        <f t="shared" si="64"/>
        <v>0-0-000</v>
      </c>
      <c r="X208" s="14" t="str">
        <f t="shared" ca="1" si="72"/>
        <v/>
      </c>
      <c r="Y208" s="1"/>
      <c r="Z208" s="2" t="str">
        <f t="shared" ca="1" si="73"/>
        <v/>
      </c>
      <c r="AA208" s="7" t="str">
        <f t="shared" ca="1" si="74"/>
        <v/>
      </c>
      <c r="AB208" s="13" t="str">
        <f t="shared" ca="1" si="75"/>
        <v/>
      </c>
      <c r="AC208" s="13" t="str">
        <f t="shared" ca="1" si="76"/>
        <v/>
      </c>
      <c r="AE208" s="5" t="str">
        <f t="shared" ca="1" si="77"/>
        <v/>
      </c>
    </row>
    <row r="209" spans="1:31" customFormat="1" ht="33.75" x14ac:dyDescent="0.5">
      <c r="A209" s="21" t="str">
        <f t="shared" ca="1" si="60"/>
        <v/>
      </c>
      <c r="B209" s="20">
        <f>Proforma!F176</f>
        <v>0</v>
      </c>
      <c r="C209" s="20">
        <f>Proforma!G176</f>
        <v>0</v>
      </c>
      <c r="D209" s="20"/>
      <c r="E209" s="23" t="str">
        <f ca="1">IF(A209&lt;&gt;"",codeEAN13(INT(A209/10)),"")</f>
        <v/>
      </c>
      <c r="G209" s="27" t="str">
        <f t="shared" ca="1" si="65"/>
        <v/>
      </c>
      <c r="H209" s="27" t="str">
        <f t="shared" ca="1" si="66"/>
        <v/>
      </c>
      <c r="I209" s="27" t="str">
        <f t="shared" ca="1" si="67"/>
        <v/>
      </c>
      <c r="J209" s="25" t="str">
        <f t="shared" ca="1" si="68"/>
        <v/>
      </c>
      <c r="K209" s="25" t="str">
        <f t="shared" ca="1" si="69"/>
        <v/>
      </c>
      <c r="M209" s="19" t="b">
        <f t="shared" ca="1" si="61"/>
        <v>0</v>
      </c>
      <c r="N209" s="19" t="b">
        <f t="shared" ca="1" si="62"/>
        <v>0</v>
      </c>
      <c r="O209" s="19" t="b">
        <f t="shared" ca="1" si="63"/>
        <v>0</v>
      </c>
      <c r="P209" s="11"/>
      <c r="Q209" s="9" t="str">
        <f t="shared" ca="1" si="70"/>
        <v/>
      </c>
      <c r="R209" s="29" t="str">
        <f t="shared" ca="1" si="71"/>
        <v/>
      </c>
      <c r="S209" s="2">
        <f>Proforma!B176</f>
        <v>0</v>
      </c>
      <c r="T209" s="2">
        <f>Proforma!C176</f>
        <v>0</v>
      </c>
      <c r="U209" s="2">
        <f>Proforma!D176</f>
        <v>0</v>
      </c>
      <c r="W209" t="str">
        <f t="shared" si="64"/>
        <v>0-0-000</v>
      </c>
      <c r="X209" s="14" t="str">
        <f t="shared" ca="1" si="72"/>
        <v/>
      </c>
      <c r="Y209" s="1"/>
      <c r="Z209" s="2" t="str">
        <f t="shared" ca="1" si="73"/>
        <v/>
      </c>
      <c r="AA209" s="7" t="str">
        <f t="shared" ca="1" si="74"/>
        <v/>
      </c>
      <c r="AB209" s="13" t="str">
        <f t="shared" ca="1" si="75"/>
        <v/>
      </c>
      <c r="AC209" s="13" t="str">
        <f t="shared" ca="1" si="76"/>
        <v/>
      </c>
      <c r="AE209" s="5" t="str">
        <f t="shared" ca="1" si="77"/>
        <v/>
      </c>
    </row>
    <row r="210" spans="1:31" customFormat="1" ht="33.75" x14ac:dyDescent="0.5">
      <c r="A210" s="21" t="str">
        <f t="shared" ca="1" si="60"/>
        <v/>
      </c>
      <c r="B210" s="20">
        <f>Proforma!F177</f>
        <v>0</v>
      </c>
      <c r="C210" s="20">
        <f>Proforma!G177</f>
        <v>0</v>
      </c>
      <c r="D210" s="20"/>
      <c r="E210" s="23" t="str">
        <f ca="1">IF(A210&lt;&gt;"",codeEAN13(INT(A210/10)),"")</f>
        <v/>
      </c>
      <c r="G210" s="27" t="str">
        <f t="shared" ca="1" si="65"/>
        <v/>
      </c>
      <c r="H210" s="27" t="str">
        <f t="shared" ca="1" si="66"/>
        <v/>
      </c>
      <c r="I210" s="27" t="str">
        <f t="shared" ca="1" si="67"/>
        <v/>
      </c>
      <c r="J210" s="25" t="str">
        <f t="shared" ca="1" si="68"/>
        <v/>
      </c>
      <c r="K210" s="25" t="str">
        <f t="shared" ca="1" si="69"/>
        <v/>
      </c>
      <c r="M210" s="19" t="b">
        <f t="shared" ca="1" si="61"/>
        <v>0</v>
      </c>
      <c r="N210" s="19" t="b">
        <f t="shared" ca="1" si="62"/>
        <v>0</v>
      </c>
      <c r="O210" s="19" t="b">
        <f t="shared" ca="1" si="63"/>
        <v>0</v>
      </c>
      <c r="P210" s="11"/>
      <c r="Q210" s="9" t="str">
        <f t="shared" ca="1" si="70"/>
        <v/>
      </c>
      <c r="R210" s="29" t="str">
        <f t="shared" ca="1" si="71"/>
        <v/>
      </c>
      <c r="S210" s="2">
        <f>Proforma!B177</f>
        <v>0</v>
      </c>
      <c r="T210" s="2">
        <f>Proforma!C177</f>
        <v>0</v>
      </c>
      <c r="U210" s="2">
        <f>Proforma!D177</f>
        <v>0</v>
      </c>
      <c r="W210" t="str">
        <f t="shared" si="64"/>
        <v>0-0-000</v>
      </c>
      <c r="X210" s="14" t="str">
        <f t="shared" ca="1" si="72"/>
        <v/>
      </c>
      <c r="Y210" s="1"/>
      <c r="Z210" s="2" t="str">
        <f t="shared" ca="1" si="73"/>
        <v/>
      </c>
      <c r="AA210" s="7" t="str">
        <f t="shared" ca="1" si="74"/>
        <v/>
      </c>
      <c r="AB210" s="13" t="str">
        <f t="shared" ca="1" si="75"/>
        <v/>
      </c>
      <c r="AC210" s="13" t="str">
        <f t="shared" ca="1" si="76"/>
        <v/>
      </c>
      <c r="AE210" s="5" t="str">
        <f t="shared" ca="1" si="77"/>
        <v/>
      </c>
    </row>
    <row r="211" spans="1:31" customFormat="1" ht="33.75" x14ac:dyDescent="0.5">
      <c r="A211" s="21" t="str">
        <f t="shared" ca="1" si="60"/>
        <v/>
      </c>
      <c r="B211" s="20">
        <f>Proforma!F178</f>
        <v>0</v>
      </c>
      <c r="C211" s="20">
        <f>Proforma!G178</f>
        <v>0</v>
      </c>
      <c r="D211" s="20"/>
      <c r="E211" s="23" t="str">
        <f ca="1">IF(A211&lt;&gt;"",codeEAN13(INT(A211/10)),"")</f>
        <v/>
      </c>
      <c r="G211" s="27" t="str">
        <f t="shared" ca="1" si="65"/>
        <v/>
      </c>
      <c r="H211" s="27" t="str">
        <f t="shared" ca="1" si="66"/>
        <v/>
      </c>
      <c r="I211" s="27" t="str">
        <f t="shared" ca="1" si="67"/>
        <v/>
      </c>
      <c r="J211" s="25" t="str">
        <f t="shared" ca="1" si="68"/>
        <v/>
      </c>
      <c r="K211" s="25" t="str">
        <f t="shared" ca="1" si="69"/>
        <v/>
      </c>
      <c r="M211" s="19" t="b">
        <f t="shared" ca="1" si="61"/>
        <v>0</v>
      </c>
      <c r="N211" s="19" t="b">
        <f t="shared" ca="1" si="62"/>
        <v>0</v>
      </c>
      <c r="O211" s="19" t="b">
        <f t="shared" ca="1" si="63"/>
        <v>0</v>
      </c>
      <c r="P211" s="11"/>
      <c r="Q211" s="9" t="str">
        <f t="shared" ca="1" si="70"/>
        <v/>
      </c>
      <c r="R211" s="29" t="str">
        <f t="shared" ca="1" si="71"/>
        <v/>
      </c>
      <c r="S211" s="2">
        <f>Proforma!B178</f>
        <v>0</v>
      </c>
      <c r="T211" s="2">
        <f>Proforma!C178</f>
        <v>0</v>
      </c>
      <c r="U211" s="2">
        <f>Proforma!D178</f>
        <v>0</v>
      </c>
      <c r="W211" t="str">
        <f t="shared" si="64"/>
        <v>0-0-000</v>
      </c>
      <c r="X211" s="14" t="str">
        <f t="shared" ca="1" si="72"/>
        <v/>
      </c>
      <c r="Y211" s="1"/>
      <c r="Z211" s="2" t="str">
        <f t="shared" ca="1" si="73"/>
        <v/>
      </c>
      <c r="AA211" s="7" t="str">
        <f t="shared" ca="1" si="74"/>
        <v/>
      </c>
      <c r="AB211" s="13" t="str">
        <f t="shared" ca="1" si="75"/>
        <v/>
      </c>
      <c r="AC211" s="13" t="str">
        <f t="shared" ca="1" si="76"/>
        <v/>
      </c>
      <c r="AE211" s="5" t="str">
        <f t="shared" ca="1" si="77"/>
        <v/>
      </c>
    </row>
    <row r="212" spans="1:31" customFormat="1" ht="33.75" x14ac:dyDescent="0.5">
      <c r="A212" s="21" t="str">
        <f t="shared" ca="1" si="60"/>
        <v/>
      </c>
      <c r="B212" s="20">
        <f>Proforma!F179</f>
        <v>0</v>
      </c>
      <c r="C212" s="20">
        <f>Proforma!G179</f>
        <v>0</v>
      </c>
      <c r="D212" s="20"/>
      <c r="E212" s="23" t="str">
        <f ca="1">IF(A212&lt;&gt;"",codeEAN13(INT(A212/10)),"")</f>
        <v/>
      </c>
      <c r="G212" s="27" t="str">
        <f t="shared" ca="1" si="65"/>
        <v/>
      </c>
      <c r="H212" s="27" t="str">
        <f t="shared" ca="1" si="66"/>
        <v/>
      </c>
      <c r="I212" s="27" t="str">
        <f t="shared" ca="1" si="67"/>
        <v/>
      </c>
      <c r="J212" s="25" t="str">
        <f t="shared" ca="1" si="68"/>
        <v/>
      </c>
      <c r="K212" s="25" t="str">
        <f t="shared" ca="1" si="69"/>
        <v/>
      </c>
      <c r="M212" s="19" t="b">
        <f t="shared" ca="1" si="61"/>
        <v>0</v>
      </c>
      <c r="N212" s="19" t="b">
        <f t="shared" ca="1" si="62"/>
        <v>0</v>
      </c>
      <c r="O212" s="19" t="b">
        <f t="shared" ca="1" si="63"/>
        <v>0</v>
      </c>
      <c r="P212" s="11"/>
      <c r="Q212" s="9" t="str">
        <f t="shared" ca="1" si="70"/>
        <v/>
      </c>
      <c r="R212" s="29" t="str">
        <f t="shared" ca="1" si="71"/>
        <v/>
      </c>
      <c r="S212" s="2">
        <f>Proforma!B179</f>
        <v>0</v>
      </c>
      <c r="T212" s="2">
        <f>Proforma!C179</f>
        <v>0</v>
      </c>
      <c r="U212" s="2">
        <f>Proforma!D179</f>
        <v>0</v>
      </c>
      <c r="W212" t="str">
        <f t="shared" si="64"/>
        <v>0-0-000</v>
      </c>
      <c r="X212" s="14" t="str">
        <f t="shared" ca="1" si="72"/>
        <v/>
      </c>
      <c r="Y212" s="1"/>
      <c r="Z212" s="2" t="str">
        <f t="shared" ca="1" si="73"/>
        <v/>
      </c>
      <c r="AA212" s="7" t="str">
        <f t="shared" ca="1" si="74"/>
        <v/>
      </c>
      <c r="AB212" s="13" t="str">
        <f t="shared" ca="1" si="75"/>
        <v/>
      </c>
      <c r="AC212" s="13" t="str">
        <f t="shared" ca="1" si="76"/>
        <v/>
      </c>
      <c r="AE212" s="5" t="str">
        <f t="shared" ca="1" si="77"/>
        <v/>
      </c>
    </row>
    <row r="213" spans="1:31" customFormat="1" ht="33.75" x14ac:dyDescent="0.5">
      <c r="A213" s="21" t="str">
        <f t="shared" ca="1" si="60"/>
        <v/>
      </c>
      <c r="B213" s="20">
        <f>Proforma!F180</f>
        <v>0</v>
      </c>
      <c r="C213" s="20">
        <f>Proforma!G180</f>
        <v>0</v>
      </c>
      <c r="D213" s="20"/>
      <c r="E213" s="23" t="str">
        <f ca="1">IF(A213&lt;&gt;"",codeEAN13(INT(A213/10)),"")</f>
        <v/>
      </c>
      <c r="G213" s="27" t="str">
        <f t="shared" ca="1" si="65"/>
        <v/>
      </c>
      <c r="H213" s="27" t="str">
        <f t="shared" ca="1" si="66"/>
        <v/>
      </c>
      <c r="I213" s="27" t="str">
        <f t="shared" ca="1" si="67"/>
        <v/>
      </c>
      <c r="J213" s="25" t="str">
        <f t="shared" ca="1" si="68"/>
        <v/>
      </c>
      <c r="K213" s="25" t="str">
        <f t="shared" ca="1" si="69"/>
        <v/>
      </c>
      <c r="M213" s="19" t="b">
        <f t="shared" ca="1" si="61"/>
        <v>0</v>
      </c>
      <c r="N213" s="19" t="b">
        <f t="shared" ca="1" si="62"/>
        <v>0</v>
      </c>
      <c r="O213" s="19" t="b">
        <f t="shared" ca="1" si="63"/>
        <v>0</v>
      </c>
      <c r="P213" s="11"/>
      <c r="Q213" s="9" t="str">
        <f t="shared" ca="1" si="70"/>
        <v/>
      </c>
      <c r="R213" s="29" t="str">
        <f t="shared" ca="1" si="71"/>
        <v/>
      </c>
      <c r="S213" s="2">
        <f>Proforma!B180</f>
        <v>0</v>
      </c>
      <c r="T213" s="2">
        <f>Proforma!C180</f>
        <v>0</v>
      </c>
      <c r="U213" s="2">
        <f>Proforma!D180</f>
        <v>0</v>
      </c>
      <c r="W213" t="str">
        <f t="shared" si="64"/>
        <v>0-0-000</v>
      </c>
      <c r="X213" s="14" t="str">
        <f t="shared" ca="1" si="72"/>
        <v/>
      </c>
      <c r="Y213" s="1"/>
      <c r="Z213" s="2" t="str">
        <f t="shared" ca="1" si="73"/>
        <v/>
      </c>
      <c r="AA213" s="7" t="str">
        <f t="shared" ca="1" si="74"/>
        <v/>
      </c>
      <c r="AB213" s="13" t="str">
        <f t="shared" ca="1" si="75"/>
        <v/>
      </c>
      <c r="AC213" s="13" t="str">
        <f t="shared" ca="1" si="76"/>
        <v/>
      </c>
      <c r="AE213" s="5" t="str">
        <f t="shared" ca="1" si="77"/>
        <v/>
      </c>
    </row>
  </sheetData>
  <conditionalFormatting sqref="M2:O213">
    <cfRule type="cellIs" dxfId="1" priority="1" operator="equal">
      <formula>TRUE</formula>
    </cfRule>
  </conditionalFormatting>
  <conditionalFormatting sqref="J2:K213">
    <cfRule type="expression" dxfId="0" priority="5">
      <formula>AND($X2 &lt;&gt; "", J2&lt;&gt;AB2)</formula>
    </cfRule>
  </conditionalFormatting>
  <pageMargins left="0.25" right="0.25" top="0.75" bottom="0.75" header="0.3" footer="0.3"/>
  <pageSetup paperSize="9" scale="8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7"/>
  <sheetViews>
    <sheetView workbookViewId="0">
      <selection activeCell="D7" sqref="D7"/>
    </sheetView>
  </sheetViews>
  <sheetFormatPr baseColWidth="10" defaultRowHeight="15" x14ac:dyDescent="0.25"/>
  <cols>
    <col min="1" max="1" width="16.7109375" style="1" bestFit="1" customWidth="1"/>
  </cols>
  <sheetData>
    <row r="1" spans="1:4" x14ac:dyDescent="0.25">
      <c r="A1" s="1" t="s">
        <v>48</v>
      </c>
      <c r="B1" t="s">
        <v>49</v>
      </c>
      <c r="C1" t="s">
        <v>11</v>
      </c>
      <c r="D1" t="s">
        <v>50</v>
      </c>
    </row>
    <row r="2" spans="1:4" x14ac:dyDescent="0.25">
      <c r="A2" s="1" t="s">
        <v>51</v>
      </c>
      <c r="B2">
        <v>8</v>
      </c>
      <c r="C2">
        <v>10.6</v>
      </c>
    </row>
    <row r="3" spans="1:4" x14ac:dyDescent="0.25">
      <c r="A3" s="1">
        <v>8050846039049</v>
      </c>
      <c r="B3">
        <v>8</v>
      </c>
      <c r="C3">
        <v>14.4</v>
      </c>
      <c r="D3">
        <v>42</v>
      </c>
    </row>
    <row r="4" spans="1:4" x14ac:dyDescent="0.25">
      <c r="A4" s="1">
        <v>8050846039100</v>
      </c>
      <c r="B4">
        <v>10</v>
      </c>
      <c r="C4">
        <v>14.4</v>
      </c>
      <c r="D4">
        <v>42</v>
      </c>
    </row>
    <row r="5" spans="1:4" x14ac:dyDescent="0.25">
      <c r="A5" s="1">
        <v>8050846039643</v>
      </c>
      <c r="B5">
        <v>3</v>
      </c>
      <c r="C5">
        <v>14.16</v>
      </c>
    </row>
    <row r="6" spans="1:4" x14ac:dyDescent="0.25">
      <c r="A6" s="1">
        <v>8050450214153</v>
      </c>
      <c r="B6" s="1">
        <v>8</v>
      </c>
      <c r="C6">
        <v>14.4</v>
      </c>
      <c r="D6">
        <v>42</v>
      </c>
    </row>
    <row r="7" spans="1:4" x14ac:dyDescent="0.25">
      <c r="A7" s="1">
        <v>8050846039070</v>
      </c>
      <c r="B7">
        <v>6</v>
      </c>
      <c r="C7">
        <v>14.4</v>
      </c>
      <c r="D7">
        <v>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L21"/>
  <sheetViews>
    <sheetView workbookViewId="0">
      <selection activeCell="B4" sqref="B4"/>
    </sheetView>
  </sheetViews>
  <sheetFormatPr baseColWidth="10" defaultRowHeight="15" x14ac:dyDescent="0.25"/>
  <cols>
    <col min="2" max="2" width="20.42578125" customWidth="1"/>
    <col min="3" max="3" width="14.5703125" customWidth="1"/>
    <col min="5" max="5" width="16.7109375" bestFit="1" customWidth="1"/>
    <col min="6" max="6" width="20.140625" bestFit="1" customWidth="1"/>
    <col min="8" max="9" width="14" bestFit="1" customWidth="1"/>
    <col min="10" max="10" width="16.7109375" bestFit="1" customWidth="1"/>
    <col min="11" max="11" width="7.140625" bestFit="1" customWidth="1"/>
  </cols>
  <sheetData>
    <row r="2" spans="1:12" x14ac:dyDescent="0.25">
      <c r="A2" t="s">
        <v>37</v>
      </c>
      <c r="B2" s="16" t="s">
        <v>46</v>
      </c>
    </row>
    <row r="3" spans="1:12" x14ac:dyDescent="0.25">
      <c r="A3" t="s">
        <v>38</v>
      </c>
      <c r="B3" s="17" t="s">
        <v>47</v>
      </c>
    </row>
    <row r="4" spans="1:12" x14ac:dyDescent="0.25">
      <c r="A4" t="s">
        <v>44</v>
      </c>
      <c r="B4" s="15" t="s">
        <v>45</v>
      </c>
    </row>
    <row r="6" spans="1:12" x14ac:dyDescent="0.25">
      <c r="A6" t="s">
        <v>41</v>
      </c>
    </row>
    <row r="7" spans="1:12" x14ac:dyDescent="0.25">
      <c r="B7" s="7" t="s">
        <v>42</v>
      </c>
      <c r="E7" s="6" t="s">
        <v>43</v>
      </c>
      <c r="H7" s="4" t="s">
        <v>44</v>
      </c>
    </row>
    <row r="8" spans="1:12" x14ac:dyDescent="0.25">
      <c r="B8" s="8" t="str">
        <f>[1]TousProduits!B22</f>
        <v>OBAGB037-EVS57-017</v>
      </c>
      <c r="C8" s="8" t="str">
        <f>[1]TousProduits!C22</f>
        <v xml:space="preserve"> O bag twist cocco</v>
      </c>
      <c r="E8" s="10">
        <f>[2]TousProduits.EAN13!A1</f>
        <v>8056099179433</v>
      </c>
      <c r="F8" s="10" t="str">
        <f>[2]TousProduits.EAN13!B1</f>
        <v>OBAGB001-EVS00-371</v>
      </c>
      <c r="H8" s="3">
        <f>'[3]0- EXPEAN13_PCOBAG01_2018121418'!A23</f>
        <v>3000020000032</v>
      </c>
      <c r="I8" s="3" t="str">
        <f>'[3]0- EXPEAN13_PCOBAG01_2018121418'!B23</f>
        <v xml:space="preserve">FULL         </v>
      </c>
      <c r="J8" s="3" t="str">
        <f>'[3]0- EXPEAN13_PCOBAG01_2018121418'!C23</f>
        <v xml:space="preserve">0CS01           </v>
      </c>
      <c r="K8" s="3" t="str">
        <f>'[3]0- EXPEAN13_PCOBAG01_2018121418'!D23</f>
        <v xml:space="preserve">     </v>
      </c>
      <c r="L8" s="3" t="str">
        <f>'[3]0- EXPEAN13_PCOBAG01_2018121418'!E23</f>
        <v xml:space="preserve">L    </v>
      </c>
    </row>
    <row r="9" spans="1:12" x14ac:dyDescent="0.25">
      <c r="B9" s="8" t="str">
        <f>[1]TousProduits!B23</f>
        <v>OBAGB037-EVS57-078</v>
      </c>
      <c r="C9" s="8" t="str">
        <f>[1]TousProduits!C23</f>
        <v xml:space="preserve"> O bag twist cocco</v>
      </c>
      <c r="E9" s="10">
        <f>[2]TousProduits.EAN13!A2</f>
        <v>8050450217574</v>
      </c>
      <c r="F9" s="10" t="str">
        <f>[2]TousProduits.EAN13!B2</f>
        <v>OBAGB001-EVS00-017</v>
      </c>
      <c r="H9" s="3">
        <f>'[3]0- EXPEAN13_PCOBAG01_2018121418'!A24</f>
        <v>3000020000025</v>
      </c>
      <c r="I9" s="3" t="str">
        <f>'[3]0- EXPEAN13_PCOBAG01_2018121418'!B24</f>
        <v xml:space="preserve">FULL         </v>
      </c>
      <c r="J9" s="3" t="str">
        <f>'[3]0- EXPEAN13_PCOBAG01_2018121418'!C24</f>
        <v xml:space="preserve">0CS01           </v>
      </c>
      <c r="K9" s="3" t="str">
        <f>'[3]0- EXPEAN13_PCOBAG01_2018121418'!D24</f>
        <v xml:space="preserve">     </v>
      </c>
      <c r="L9" s="3" t="str">
        <f>'[3]0- EXPEAN13_PCOBAG01_2018121418'!E24</f>
        <v xml:space="preserve">M    </v>
      </c>
    </row>
    <row r="10" spans="1:12" x14ac:dyDescent="0.25">
      <c r="B10" s="8" t="str">
        <f>[1]TousProduits!B24</f>
        <v>OBAGB037-EVS57-018</v>
      </c>
      <c r="C10" s="8" t="str">
        <f>[1]TousProduits!C24</f>
        <v xml:space="preserve"> O bag twist cocco</v>
      </c>
      <c r="E10" s="10">
        <f>[2]TousProduits.EAN13!A3</f>
        <v>8051770308669</v>
      </c>
      <c r="F10" s="10" t="str">
        <f>[2]TousProduits.EAN13!B3</f>
        <v>OBAGB001-EVS00-078</v>
      </c>
      <c r="H10" s="3">
        <f>'[3]0- EXPEAN13_PCOBAG01_2018121418'!A25</f>
        <v>3000020000018</v>
      </c>
      <c r="I10" s="3" t="str">
        <f>'[3]0- EXPEAN13_PCOBAG01_2018121418'!B25</f>
        <v xml:space="preserve">FULL         </v>
      </c>
      <c r="J10" s="3" t="str">
        <f>'[3]0- EXPEAN13_PCOBAG01_2018121418'!C25</f>
        <v xml:space="preserve">0CS01           </v>
      </c>
      <c r="K10" s="3" t="str">
        <f>'[3]0- EXPEAN13_PCOBAG01_2018121418'!D25</f>
        <v xml:space="preserve">     </v>
      </c>
      <c r="L10" s="3" t="str">
        <f>'[3]0- EXPEAN13_PCOBAG01_2018121418'!E25</f>
        <v xml:space="preserve">S    </v>
      </c>
    </row>
    <row r="11" spans="1:12" x14ac:dyDescent="0.25">
      <c r="B11" s="8" t="str">
        <f>[1]TousProduits!B25</f>
        <v>OBAGB037-EVS57-371</v>
      </c>
      <c r="C11" s="8" t="str">
        <f>[1]TousProduits!C25</f>
        <v xml:space="preserve"> O bag twist cocco</v>
      </c>
      <c r="E11" s="10">
        <f>[2]TousProduits.EAN13!A4</f>
        <v>8051770308652</v>
      </c>
      <c r="F11" s="10" t="str">
        <f>[2]TousProduits.EAN13!B4</f>
        <v>OBAGB001-EVS00-071</v>
      </c>
      <c r="H11" s="3">
        <f>'[3]0- EXPEAN13_PCOBAG01_2018121418'!A26</f>
        <v>3000020000049</v>
      </c>
      <c r="I11" s="3" t="str">
        <f>'[3]0- EXPEAN13_PCOBAG01_2018121418'!B26</f>
        <v xml:space="preserve">FULL         </v>
      </c>
      <c r="J11" s="3" t="str">
        <f>'[3]0- EXPEAN13_PCOBAG01_2018121418'!C26</f>
        <v xml:space="preserve">0CS01           </v>
      </c>
      <c r="K11" s="3" t="str">
        <f>'[3]0- EXPEAN13_PCOBAG01_2018121418'!D26</f>
        <v xml:space="preserve">     </v>
      </c>
      <c r="L11" s="3" t="str">
        <f>'[3]0- EXPEAN13_PCOBAG01_2018121418'!E26</f>
        <v xml:space="preserve">XL   </v>
      </c>
    </row>
    <row r="12" spans="1:12" x14ac:dyDescent="0.25">
      <c r="B12" s="8" t="str">
        <f>[1]TousProduits!B26</f>
        <v>OBAGB037-EVS57-055</v>
      </c>
      <c r="C12" s="8" t="str">
        <f>[1]TousProduits!C26</f>
        <v xml:space="preserve"> O bag twist cocco</v>
      </c>
      <c r="E12" s="10">
        <f>[2]TousProduits.EAN13!A5</f>
        <v>8051770308638</v>
      </c>
      <c r="F12" s="10" t="str">
        <f>[2]TousProduits.EAN13!B5</f>
        <v>OBAGB001-EVS00-055</v>
      </c>
      <c r="H12" s="3">
        <f>'[3]0- EXPEAN13_PCOBAG01_2018121418'!A27</f>
        <v>3000020000001</v>
      </c>
      <c r="I12" s="3" t="str">
        <f>'[3]0- EXPEAN13_PCOBAG01_2018121418'!B27</f>
        <v xml:space="preserve">FULL         </v>
      </c>
      <c r="J12" s="3" t="str">
        <f>'[3]0- EXPEAN13_PCOBAG01_2018121418'!C27</f>
        <v xml:space="preserve">0CS01           </v>
      </c>
      <c r="K12" s="3" t="str">
        <f>'[3]0- EXPEAN13_PCOBAG01_2018121418'!D27</f>
        <v xml:space="preserve">     </v>
      </c>
      <c r="L12" s="3" t="str">
        <f>'[3]0- EXPEAN13_PCOBAG01_2018121418'!E27</f>
        <v xml:space="preserve">XS   </v>
      </c>
    </row>
    <row r="13" spans="1:12" x14ac:dyDescent="0.25">
      <c r="B13" s="8" t="str">
        <f>[1]TousProduits!B27</f>
        <v>OBAGB037-EVS57-559</v>
      </c>
      <c r="C13" s="8" t="str">
        <f>[1]TousProduits!C27</f>
        <v xml:space="preserve"> O bag twist cocco</v>
      </c>
      <c r="E13" s="10">
        <f>[2]TousProduits.EAN13!A6</f>
        <v>8056099177125</v>
      </c>
      <c r="F13" s="10" t="str">
        <f>[2]TousProduits.EAN13!B6</f>
        <v>OBAGB002-EVS00-371</v>
      </c>
      <c r="H13" s="3">
        <f>'[3]0- EXPEAN13_PCOBAG01_2018121418'!A28</f>
        <v>3000210000033</v>
      </c>
      <c r="I13" s="3" t="str">
        <f>'[3]0- EXPEAN13_PCOBAG01_2018121418'!B28</f>
        <v xml:space="preserve">FULL         </v>
      </c>
      <c r="J13" s="3" t="str">
        <f>'[3]0- EXPEAN13_PCOBAG01_2018121418'!C28</f>
        <v xml:space="preserve">0CS16           </v>
      </c>
      <c r="K13" s="3" t="str">
        <f>'[3]0- EXPEAN13_PCOBAG01_2018121418'!D28</f>
        <v xml:space="preserve">     </v>
      </c>
      <c r="L13" s="3" t="str">
        <f>'[3]0- EXPEAN13_PCOBAG01_2018121418'!E28</f>
        <v xml:space="preserve">L    </v>
      </c>
    </row>
    <row r="14" spans="1:12" x14ac:dyDescent="0.25">
      <c r="B14" s="8" t="str">
        <f>[1]TousProduits!B28</f>
        <v>HLESCE01-ECS00-612</v>
      </c>
      <c r="C14" s="8" t="str">
        <f>[1]TousProduits!C28</f>
        <v xml:space="preserve"> O bag twist cocco</v>
      </c>
      <c r="E14" s="10">
        <f>[2]TousProduits.EAN13!A7</f>
        <v>8050450218335</v>
      </c>
      <c r="F14" s="10" t="str">
        <f>[2]TousProduits.EAN13!B7</f>
        <v>OBAGB002-EVS00-017</v>
      </c>
      <c r="H14" s="3">
        <f>'[3]0- EXPEAN13_PCOBAG01_2018121418'!A29</f>
        <v>3000210000026</v>
      </c>
      <c r="I14" s="3" t="str">
        <f>'[3]0- EXPEAN13_PCOBAG01_2018121418'!B29</f>
        <v xml:space="preserve">FULL         </v>
      </c>
      <c r="J14" s="3" t="str">
        <f>'[3]0- EXPEAN13_PCOBAG01_2018121418'!C29</f>
        <v xml:space="preserve">0CS16           </v>
      </c>
      <c r="K14" s="3" t="str">
        <f>'[3]0- EXPEAN13_PCOBAG01_2018121418'!D29</f>
        <v xml:space="preserve">     </v>
      </c>
      <c r="L14" s="3" t="str">
        <f>'[3]0- EXPEAN13_PCOBAG01_2018121418'!E29</f>
        <v xml:space="preserve">M    </v>
      </c>
    </row>
    <row r="15" spans="1:12" x14ac:dyDescent="0.25">
      <c r="B15" s="8" t="str">
        <f>[1]TousProduits!B29</f>
        <v>HLESCE01-ECS00-055</v>
      </c>
      <c r="C15" s="8" t="str">
        <f>[1]TousProduits!C29</f>
        <v xml:space="preserve"> O bag twist cocco</v>
      </c>
      <c r="E15" s="10">
        <f>[2]TousProduits.EAN13!A8</f>
        <v>8050450215631</v>
      </c>
      <c r="F15" s="10" t="str">
        <f>[2]TousProduits.EAN13!B8</f>
        <v>OBAGB002-EVS00-078</v>
      </c>
      <c r="H15" s="3">
        <f>'[3]0- EXPEAN13_PCOBAG01_2018121418'!A30</f>
        <v>3000210000019</v>
      </c>
      <c r="I15" s="3" t="str">
        <f>'[3]0- EXPEAN13_PCOBAG01_2018121418'!B30</f>
        <v xml:space="preserve">FULL         </v>
      </c>
      <c r="J15" s="3" t="str">
        <f>'[3]0- EXPEAN13_PCOBAG01_2018121418'!C30</f>
        <v xml:space="preserve">0CS16           </v>
      </c>
      <c r="K15" s="3" t="str">
        <f>'[3]0- EXPEAN13_PCOBAG01_2018121418'!D30</f>
        <v xml:space="preserve">     </v>
      </c>
      <c r="L15" s="3" t="str">
        <f>'[3]0- EXPEAN13_PCOBAG01_2018121418'!E30</f>
        <v xml:space="preserve">S    </v>
      </c>
    </row>
    <row r="16" spans="1:12" x14ac:dyDescent="0.25">
      <c r="B16" s="8" t="str">
        <f>[1]TousProduits!B30</f>
        <v>HLESCE01-ECS00-613</v>
      </c>
      <c r="C16" s="8" t="str">
        <f>[1]TousProduits!C30</f>
        <v xml:space="preserve"> O bag twist cocco</v>
      </c>
      <c r="E16" s="10">
        <f>[2]TousProduits.EAN13!A9</f>
        <v>8051770309819</v>
      </c>
      <c r="F16" s="10" t="str">
        <f>[2]TousProduits.EAN13!B9</f>
        <v>OBAGB002-EVS00-071</v>
      </c>
      <c r="H16" s="3">
        <f>'[3]0- EXPEAN13_PCOBAG01_2018121418'!A31</f>
        <v>3000210000040</v>
      </c>
      <c r="I16" s="3" t="str">
        <f>'[3]0- EXPEAN13_PCOBAG01_2018121418'!B31</f>
        <v xml:space="preserve">FULL         </v>
      </c>
      <c r="J16" s="3" t="str">
        <f>'[3]0- EXPEAN13_PCOBAG01_2018121418'!C31</f>
        <v xml:space="preserve">0CS16           </v>
      </c>
      <c r="K16" s="3" t="str">
        <f>'[3]0- EXPEAN13_PCOBAG01_2018121418'!D31</f>
        <v xml:space="preserve">     </v>
      </c>
      <c r="L16" s="3" t="str">
        <f>'[3]0- EXPEAN13_PCOBAG01_2018121418'!E31</f>
        <v xml:space="preserve">XL   </v>
      </c>
    </row>
    <row r="17" spans="2:12" x14ac:dyDescent="0.25">
      <c r="B17" s="8" t="str">
        <f>[1]TousProduits!B31</f>
        <v>HLESGC19-EVS54-017</v>
      </c>
      <c r="C17" s="8" t="str">
        <f>[1]TousProduits!C31</f>
        <v xml:space="preserve"> O bag twist cocco</v>
      </c>
      <c r="E17" s="10">
        <f>[2]TousProduits.EAN13!A10</f>
        <v>8051770309833</v>
      </c>
      <c r="F17" s="10" t="str">
        <f>[2]TousProduits.EAN13!B10</f>
        <v>OBAGB002-EVS00-055</v>
      </c>
      <c r="H17" s="3">
        <f>'[3]0- EXPEAN13_PCOBAG01_2018121418'!A32</f>
        <v>3000210000002</v>
      </c>
      <c r="I17" s="3" t="str">
        <f>'[3]0- EXPEAN13_PCOBAG01_2018121418'!B32</f>
        <v xml:space="preserve">FULL         </v>
      </c>
      <c r="J17" s="3" t="str">
        <f>'[3]0- EXPEAN13_PCOBAG01_2018121418'!C32</f>
        <v xml:space="preserve">0CS16           </v>
      </c>
      <c r="K17" s="3" t="str">
        <f>'[3]0- EXPEAN13_PCOBAG01_2018121418'!D32</f>
        <v xml:space="preserve">     </v>
      </c>
      <c r="L17" s="3" t="str">
        <f>'[3]0- EXPEAN13_PCOBAG01_2018121418'!E32</f>
        <v xml:space="preserve">XS   </v>
      </c>
    </row>
    <row r="18" spans="2:12" x14ac:dyDescent="0.25">
      <c r="B18" s="8" t="str">
        <f>[1]TousProduits!B32</f>
        <v>HLESGC19-EVS54-078</v>
      </c>
      <c r="C18" s="8" t="str">
        <f>[1]TousProduits!C32</f>
        <v xml:space="preserve"> O bag twist cocco</v>
      </c>
      <c r="E18" s="10">
        <f>[2]TousProduits.EAN13!A11</f>
        <v>8058333587646</v>
      </c>
      <c r="F18" s="10" t="str">
        <f>[2]TousProduits.EAN13!B11</f>
        <v>OBAGB001-EVS00-002</v>
      </c>
      <c r="H18" s="3">
        <f>'[3]0- EXPEAN13_PCOBAG01_2018121418'!A33</f>
        <v>8050538599196</v>
      </c>
      <c r="I18" s="3" t="str">
        <f>'[3]0- EXPEAN13_PCOBAG01_2018121418'!B33</f>
        <v xml:space="preserve">FULL         </v>
      </c>
      <c r="J18" s="3" t="str">
        <f>'[3]0- EXPEAN13_PCOBAG01_2018121418'!C33</f>
        <v xml:space="preserve">ABATJOUROJOY    </v>
      </c>
      <c r="K18" s="3" t="str">
        <f>'[3]0- EXPEAN13_PCOBAG01_2018121418'!D33</f>
        <v>ANTHR</v>
      </c>
      <c r="L18" s="3">
        <f>'[3]0- EXPEAN13_PCOBAG01_2018121418'!E33</f>
        <v>0</v>
      </c>
    </row>
    <row r="19" spans="2:12" x14ac:dyDescent="0.25">
      <c r="B19" s="8" t="str">
        <f>[1]TousProduits!B33</f>
        <v>HLESGC19-EVS54-018</v>
      </c>
      <c r="C19" s="8" t="str">
        <f>[1]TousProduits!C33</f>
        <v xml:space="preserve"> O bag twist cocco</v>
      </c>
      <c r="E19" s="10">
        <f>[2]TousProduits.EAN13!A12</f>
        <v>8050450212456</v>
      </c>
      <c r="F19" s="10" t="str">
        <f>[2]TousProduits.EAN13!B12</f>
        <v>OBAGB001-EVS00-038</v>
      </c>
      <c r="H19" s="3">
        <f>'[3]0- EXPEAN13_PCOBAG01_2018121418'!A34</f>
        <v>8050538599189</v>
      </c>
      <c r="I19" s="3" t="str">
        <f>'[3]0- EXPEAN13_PCOBAG01_2018121418'!B34</f>
        <v xml:space="preserve">FULL         </v>
      </c>
      <c r="J19" s="3" t="str">
        <f>'[3]0- EXPEAN13_PCOBAG01_2018121418'!C34</f>
        <v xml:space="preserve">ABATJOUROJOY    </v>
      </c>
      <c r="K19" s="3" t="str">
        <f>'[3]0- EXPEAN13_PCOBAG01_2018121418'!D34</f>
        <v>AUBER</v>
      </c>
      <c r="L19" s="3">
        <f>'[3]0- EXPEAN13_PCOBAG01_2018121418'!E34</f>
        <v>0</v>
      </c>
    </row>
    <row r="20" spans="2:12" x14ac:dyDescent="0.25">
      <c r="B20" s="8" t="str">
        <f>[1]TousProduits!B34</f>
        <v>HLESGC19-EVS54-371</v>
      </c>
      <c r="C20" s="8" t="str">
        <f>[1]TousProduits!C34</f>
        <v xml:space="preserve"> O bag twist cocco</v>
      </c>
      <c r="E20" s="10">
        <f>[2]TousProduits.EAN13!A13</f>
        <v>8050846039056</v>
      </c>
      <c r="F20" s="10" t="str">
        <f>[2]TousProduits.EAN13!B13</f>
        <v>OBAGB001-EVS00-463</v>
      </c>
      <c r="H20" s="3">
        <f>'[3]0- EXPEAN13_PCOBAG01_2018121418'!A35</f>
        <v>8050538599219</v>
      </c>
      <c r="I20" s="3" t="str">
        <f>'[3]0- EXPEAN13_PCOBAG01_2018121418'!B35</f>
        <v xml:space="preserve">FULL         </v>
      </c>
      <c r="J20" s="3" t="str">
        <f>'[3]0- EXPEAN13_PCOBAG01_2018121418'!C35</f>
        <v xml:space="preserve">ABATJOUROJOY    </v>
      </c>
      <c r="K20" s="3" t="str">
        <f>'[3]0- EXPEAN13_PCOBAG01_2018121418'!D35</f>
        <v xml:space="preserve">BLUE </v>
      </c>
      <c r="L20" s="3">
        <f>'[3]0- EXPEAN13_PCOBAG01_2018121418'!E35</f>
        <v>0</v>
      </c>
    </row>
    <row r="21" spans="2:12" x14ac:dyDescent="0.25">
      <c r="B21" s="8" t="str">
        <f>[1]TousProduits!B35</f>
        <v>HLESGC19-EVS54-559</v>
      </c>
      <c r="C21" s="8" t="str">
        <f>[1]TousProduits!C35</f>
        <v xml:space="preserve"> O bag twist cocco</v>
      </c>
      <c r="E21" s="10">
        <f>[2]TousProduits.EAN13!A14</f>
        <v>8050538590667</v>
      </c>
      <c r="F21" s="10" t="str">
        <f>[2]TousProduits.EAN13!B14</f>
        <v>OBAGB001-EVS00-050</v>
      </c>
      <c r="H21" s="3">
        <f>'[3]0- EXPEAN13_PCOBAG01_2018121418'!A36</f>
        <v>3006100431000</v>
      </c>
      <c r="I21" s="3" t="str">
        <f>'[3]0- EXPEAN13_PCOBAG01_2018121418'!B36</f>
        <v xml:space="preserve">FULL         </v>
      </c>
      <c r="J21" s="3" t="str">
        <f>'[3]0- EXPEAN13_PCOBAG01_2018121418'!C36</f>
        <v xml:space="preserve">ABATJOUROJOY    </v>
      </c>
      <c r="K21" s="3" t="str">
        <f>'[3]0- EXPEAN13_PCOBAG01_2018121418'!D36</f>
        <v xml:space="preserve">VERT </v>
      </c>
      <c r="L21" s="3">
        <f>'[3]0- EXPEAN13_PCOBAG01_2018121418'!E36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4</vt:i4>
      </vt:variant>
    </vt:vector>
  </HeadingPairs>
  <TitlesOfParts>
    <vt:vector size="10" baseType="lpstr">
      <vt:lpstr>Proforma BLA</vt:lpstr>
      <vt:lpstr>Proforma TLS</vt:lpstr>
      <vt:lpstr>Proforma</vt:lpstr>
      <vt:lpstr>Préparation Import</vt:lpstr>
      <vt:lpstr>Import 2018 50 3148 Valmag</vt:lpstr>
      <vt:lpstr>Données</vt:lpstr>
      <vt:lpstr>tabEAN.Valmag</vt:lpstr>
      <vt:lpstr>tabEAN13</vt:lpstr>
      <vt:lpstr>tabEAN13.inconnus</vt:lpstr>
      <vt:lpstr>'Préparation Import'!Zone_d_impression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2018-12-17T21:05:36Z</cp:lastPrinted>
  <dcterms:created xsi:type="dcterms:W3CDTF">2018-12-16T11:44:40Z</dcterms:created>
  <dcterms:modified xsi:type="dcterms:W3CDTF">2018-12-18T07:58:15Z</dcterms:modified>
</cp:coreProperties>
</file>