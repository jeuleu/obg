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Proforma\"/>
    </mc:Choice>
  </mc:AlternateContent>
  <bookViews>
    <workbookView xWindow="0" yWindow="0" windowWidth="28800" windowHeight="12435"/>
  </bookViews>
  <sheets>
    <sheet name="Feuil1" sheetId="1" r:id="rId1"/>
    <sheet name="Feuil2" sheetId="2" r:id="rId2"/>
  </sheets>
  <functionGroups builtInGroupCount="18"/>
  <externalReferences>
    <externalReference r:id="rId3"/>
  </externalReferences>
  <definedNames>
    <definedName name="listeFichierPDF">Feuil2!$A:$A</definedName>
    <definedName name="_xlnm.Print_Area" localSheetId="0">Feuil1!$A:$J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1" i="1" l="1"/>
  <c r="I2" i="1"/>
  <c r="I3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A52" i="1"/>
  <c r="B52" i="1"/>
  <c r="C52" i="1"/>
  <c r="J52" i="1" s="1"/>
  <c r="D52" i="1"/>
  <c r="E52" i="1"/>
  <c r="F52" i="1"/>
  <c r="G52" i="1"/>
  <c r="H52" i="1"/>
  <c r="A53" i="1"/>
  <c r="B53" i="1"/>
  <c r="C53" i="1"/>
  <c r="J53" i="1" s="1"/>
  <c r="D53" i="1"/>
  <c r="E53" i="1"/>
  <c r="F53" i="1"/>
  <c r="G53" i="1"/>
  <c r="H53" i="1"/>
  <c r="A54" i="1"/>
  <c r="B54" i="1"/>
  <c r="C54" i="1"/>
  <c r="J54" i="1" s="1"/>
  <c r="D54" i="1"/>
  <c r="E54" i="1"/>
  <c r="F54" i="1"/>
  <c r="G54" i="1"/>
  <c r="H54" i="1"/>
  <c r="A55" i="1"/>
  <c r="B55" i="1"/>
  <c r="C55" i="1"/>
  <c r="J55" i="1" s="1"/>
  <c r="D55" i="1"/>
  <c r="E55" i="1"/>
  <c r="F55" i="1"/>
  <c r="G55" i="1"/>
  <c r="H55" i="1"/>
  <c r="A56" i="1"/>
  <c r="B56" i="1"/>
  <c r="C56" i="1"/>
  <c r="J56" i="1" s="1"/>
  <c r="D56" i="1"/>
  <c r="E56" i="1"/>
  <c r="F56" i="1"/>
  <c r="G56" i="1"/>
  <c r="H56" i="1"/>
  <c r="A57" i="1"/>
  <c r="B57" i="1"/>
  <c r="C57" i="1"/>
  <c r="J57" i="1" s="1"/>
  <c r="D57" i="1"/>
  <c r="E57" i="1"/>
  <c r="F57" i="1"/>
  <c r="G57" i="1"/>
  <c r="H57" i="1"/>
  <c r="A58" i="1"/>
  <c r="B58" i="1"/>
  <c r="C58" i="1"/>
  <c r="J58" i="1" s="1"/>
  <c r="D58" i="1"/>
  <c r="E58" i="1"/>
  <c r="F58" i="1"/>
  <c r="G58" i="1"/>
  <c r="H58" i="1"/>
  <c r="A59" i="1"/>
  <c r="B59" i="1"/>
  <c r="C59" i="1"/>
  <c r="J59" i="1" s="1"/>
  <c r="D59" i="1"/>
  <c r="E59" i="1"/>
  <c r="F59" i="1"/>
  <c r="G59" i="1"/>
  <c r="H59" i="1"/>
  <c r="A60" i="1"/>
  <c r="B60" i="1"/>
  <c r="C60" i="1"/>
  <c r="J60" i="1" s="1"/>
  <c r="D60" i="1"/>
  <c r="E60" i="1"/>
  <c r="F60" i="1"/>
  <c r="G60" i="1"/>
  <c r="H60" i="1"/>
  <c r="L5" i="1" l="1"/>
  <c r="L8" i="1" s="1"/>
  <c r="C1" i="1"/>
  <c r="D1" i="1"/>
  <c r="C2" i="1"/>
  <c r="D2" i="1"/>
  <c r="A13" i="1" l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J25" i="1" s="1"/>
  <c r="D25" i="1"/>
  <c r="E25" i="1"/>
  <c r="F25" i="1"/>
  <c r="G25" i="1"/>
  <c r="H25" i="1"/>
  <c r="A26" i="1"/>
  <c r="B26" i="1"/>
  <c r="C26" i="1"/>
  <c r="J26" i="1" s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J30" i="1" s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J32" i="1" s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H12" i="1"/>
  <c r="G12" i="1"/>
  <c r="F12" i="1"/>
  <c r="E12" i="1"/>
  <c r="D12" i="1"/>
  <c r="C12" i="1"/>
  <c r="B12" i="1"/>
  <c r="A12" i="1"/>
  <c r="H11" i="1"/>
  <c r="G11" i="1"/>
  <c r="F11" i="1"/>
  <c r="E11" i="1"/>
  <c r="D11" i="1"/>
  <c r="C11" i="1"/>
  <c r="B11" i="1"/>
  <c r="A11" i="1"/>
  <c r="H10" i="1"/>
  <c r="G10" i="1"/>
  <c r="F10" i="1"/>
  <c r="E10" i="1"/>
  <c r="D10" i="1"/>
  <c r="C10" i="1"/>
  <c r="B10" i="1"/>
  <c r="A10" i="1"/>
  <c r="H9" i="1"/>
  <c r="G9" i="1"/>
  <c r="F9" i="1"/>
  <c r="E9" i="1"/>
  <c r="D9" i="1"/>
  <c r="C9" i="1"/>
  <c r="B9" i="1"/>
  <c r="A9" i="1"/>
  <c r="H8" i="1"/>
  <c r="G8" i="1"/>
  <c r="F8" i="1"/>
  <c r="E8" i="1"/>
  <c r="D8" i="1"/>
  <c r="C8" i="1"/>
  <c r="B8" i="1"/>
  <c r="A8" i="1"/>
  <c r="H7" i="1"/>
  <c r="G7" i="1"/>
  <c r="F7" i="1"/>
  <c r="E7" i="1"/>
  <c r="D7" i="1"/>
  <c r="C7" i="1"/>
  <c r="B7" i="1"/>
  <c r="A7" i="1"/>
  <c r="H6" i="1"/>
  <c r="G6" i="1"/>
  <c r="F6" i="1"/>
  <c r="E6" i="1"/>
  <c r="D6" i="1"/>
  <c r="C6" i="1"/>
  <c r="B6" i="1"/>
  <c r="A6" i="1"/>
  <c r="H5" i="1"/>
  <c r="G5" i="1"/>
  <c r="F5" i="1"/>
  <c r="E5" i="1"/>
  <c r="D5" i="1"/>
  <c r="C5" i="1"/>
  <c r="B5" i="1"/>
  <c r="A5" i="1"/>
  <c r="H4" i="1"/>
  <c r="G4" i="1"/>
  <c r="F4" i="1"/>
  <c r="E4" i="1"/>
  <c r="D4" i="1"/>
  <c r="C4" i="1"/>
  <c r="B4" i="1"/>
  <c r="A4" i="1"/>
  <c r="H3" i="1"/>
  <c r="G3" i="1"/>
  <c r="F3" i="1"/>
  <c r="E3" i="1"/>
  <c r="D3" i="1"/>
  <c r="C3" i="1"/>
  <c r="B3" i="1"/>
  <c r="A3" i="1"/>
  <c r="H2" i="1"/>
  <c r="G2" i="1"/>
  <c r="F2" i="1"/>
  <c r="E2" i="1"/>
  <c r="B2" i="1"/>
  <c r="A2" i="1"/>
  <c r="H1" i="1"/>
  <c r="G1" i="1"/>
  <c r="K5" i="1" s="1"/>
  <c r="F1" i="1"/>
  <c r="E1" i="1"/>
  <c r="B1" i="1"/>
  <c r="A1" i="1"/>
  <c r="J27" i="1"/>
  <c r="J11" i="1"/>
  <c r="J29" i="1"/>
  <c r="J28" i="1"/>
  <c r="J5" i="1"/>
  <c r="J3" i="1"/>
  <c r="J2" i="1"/>
  <c r="J1" i="1"/>
  <c r="J6" i="1"/>
  <c r="J20" i="1"/>
  <c r="J42" i="1"/>
  <c r="J45" i="1"/>
  <c r="J46" i="1"/>
  <c r="J48" i="1"/>
  <c r="J50" i="1"/>
  <c r="J36" i="1"/>
  <c r="J34" i="1"/>
  <c r="J38" i="1"/>
  <c r="J10" i="1"/>
  <c r="J8" i="1"/>
  <c r="J12" i="1"/>
  <c r="J13" i="1"/>
  <c r="J15" i="1"/>
  <c r="J21" i="1"/>
  <c r="J22" i="1"/>
  <c r="J41" i="1"/>
  <c r="J44" i="1"/>
  <c r="J47" i="1"/>
  <c r="J49" i="1"/>
  <c r="J43" i="1"/>
  <c r="J4" i="1"/>
  <c r="J9" i="1"/>
  <c r="J40" i="1"/>
  <c r="J23" i="1"/>
  <c r="J37" i="1"/>
  <c r="J39" i="1"/>
  <c r="J14" i="1"/>
  <c r="J7" i="1"/>
  <c r="J16" i="1"/>
  <c r="J33" i="1"/>
  <c r="J17" i="1"/>
  <c r="J18" i="1"/>
  <c r="J19" i="1"/>
  <c r="J24" i="1"/>
  <c r="J31" i="1"/>
  <c r="J35" i="1"/>
  <c r="J51" i="1"/>
  <c r="K37" i="1" l="1"/>
  <c r="L37" i="1" s="1"/>
  <c r="K36" i="1"/>
  <c r="L36" i="1" s="1"/>
  <c r="K35" i="1"/>
  <c r="L35" i="1" s="1"/>
  <c r="K34" i="1"/>
  <c r="L34" i="1" s="1"/>
  <c r="K33" i="1"/>
  <c r="L33" i="1" s="1"/>
  <c r="K32" i="1"/>
  <c r="L32" i="1" s="1"/>
  <c r="K31" i="1"/>
  <c r="L31" i="1" s="1"/>
  <c r="K25" i="1"/>
  <c r="L25" i="1" s="1"/>
  <c r="K20" i="1"/>
  <c r="L20" i="1" s="1"/>
  <c r="K19" i="1"/>
  <c r="L19" i="1" s="1"/>
  <c r="K17" i="1"/>
  <c r="L17" i="1" s="1"/>
  <c r="K16" i="1"/>
  <c r="L16" i="1" s="1"/>
  <c r="K15" i="1"/>
  <c r="L15" i="1" s="1"/>
  <c r="K14" i="1"/>
  <c r="L14" i="1" s="1"/>
  <c r="K13" i="1"/>
  <c r="L13" i="1" s="1"/>
  <c r="K11" i="1"/>
  <c r="L11" i="1" s="1"/>
  <c r="K12" i="1"/>
  <c r="L12" i="1" s="1"/>
  <c r="K30" i="1"/>
  <c r="L30" i="1" s="1"/>
  <c r="K29" i="1"/>
  <c r="L29" i="1" s="1"/>
  <c r="K28" i="1"/>
  <c r="L28" i="1" s="1"/>
  <c r="K27" i="1"/>
  <c r="L27" i="1" s="1"/>
  <c r="K26" i="1"/>
  <c r="L26" i="1" s="1"/>
  <c r="K24" i="1"/>
  <c r="L24" i="1" s="1"/>
  <c r="K23" i="1"/>
  <c r="L23" i="1" s="1"/>
  <c r="K22" i="1"/>
  <c r="L22" i="1" s="1"/>
  <c r="K21" i="1"/>
  <c r="L21" i="1" s="1"/>
  <c r="K18" i="1"/>
  <c r="L18" i="1" s="1"/>
</calcChain>
</file>

<file path=xl/sharedStrings.xml><?xml version="1.0" encoding="utf-8"?>
<sst xmlns="http://schemas.openxmlformats.org/spreadsheetml/2006/main" count="14" uniqueCount="13">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</sst>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General;&quot;&quot;"/>
    <numFmt numFmtId="165" formatCode="###0;###0;&quot;&quot;"/>
  </numFmts>
  <fonts count="3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1" fontId="0" fillId="2" borderId="0" xfId="0" applyNumberFormat="1" applyFill="1"/>
    <xf numFmtId="0" fontId="1" fillId="3" borderId="0" xfId="0" applyFont="1" applyFill="1"/>
    <xf numFmtId="164" fontId="0" fillId="3" borderId="0" xfId="0" applyNumberFormat="1" applyFill="1"/>
    <xf numFmtId="165" fontId="0" fillId="3" borderId="0" xfId="0" applyNumberFormat="1" applyFill="1"/>
    <xf numFmtId="164" fontId="2" fillId="3" borderId="0" xfId="0" applyNumberFormat="1" applyFont="1" applyFill="1"/>
    <xf numFmtId="0" fontId="2" fillId="2" borderId="0" xfId="0" applyFont="1" applyFill="1"/>
    <xf numFmtId="164" fontId="0" fillId="2" borderId="0" xfId="0" applyNumberFormat="1" applyFill="1"/>
    <xf numFmtId="164" fontId="0" fillId="4" borderId="0" xfId="0" applyNumberFormat="1" applyFill="1"/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AN13_trait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N13_traite"/>
    </sheetNames>
    <sheetDataSet>
      <sheetData sheetId="0">
        <row r="1">
          <cell r="A1" t="str">
            <v>ENTETE</v>
          </cell>
        </row>
        <row r="2">
          <cell r="A2" t="str">
            <v>EAN13</v>
          </cell>
        </row>
        <row r="3">
          <cell r="A3" t="str">
            <v>' 08</v>
          </cell>
          <cell r="B3" t="str">
            <v>CodeBarre</v>
          </cell>
          <cell r="C3" t="str">
            <v>CodeBarre</v>
          </cell>
          <cell r="D3" t="str">
            <v>CodeBarre</v>
          </cell>
          <cell r="E3" t="str">
            <v>CodeBarre</v>
          </cell>
          <cell r="F3" t="str">
            <v>CodeBarre</v>
          </cell>
          <cell r="G3" t="str">
            <v>CodeBarre</v>
          </cell>
          <cell r="H3" t="str">
            <v>CodeBarre</v>
          </cell>
          <cell r="I3" t="str">
            <v>CodeBarre</v>
          </cell>
        </row>
        <row r="4">
          <cell r="A4" t="str">
            <v>'001</v>
          </cell>
          <cell r="B4">
            <v>32</v>
          </cell>
          <cell r="C4">
            <v>8058047002022</v>
          </cell>
          <cell r="D4" t="str">
            <v>ACCEO114-MAS00-076</v>
          </cell>
          <cell r="E4" t="str">
            <v>ACCESSORIO PORTACHIAVI LETTERING LOVE MATERIALE PLASTICO</v>
          </cell>
          <cell r="F4" t="str">
            <v>UNICA</v>
          </cell>
          <cell r="G4">
            <v>6</v>
          </cell>
          <cell r="H4">
            <v>7.78</v>
          </cell>
          <cell r="I4">
            <v>46.68</v>
          </cell>
        </row>
        <row r="5">
          <cell r="A5" t="str">
            <v>'002</v>
          </cell>
          <cell r="B5">
            <v>37</v>
          </cell>
          <cell r="C5" t="str">
            <v>CodeBarre</v>
          </cell>
          <cell r="D5" t="str">
            <v>ACCEO117-EVS00-076</v>
          </cell>
          <cell r="E5" t="str">
            <v>ACCESSORIO PORTACHIAVI PIERCED HEART EVA COMPOUND</v>
          </cell>
          <cell r="F5" t="str">
            <v>UNICA</v>
          </cell>
          <cell r="G5">
            <v>4</v>
          </cell>
          <cell r="H5">
            <v>5.19</v>
          </cell>
          <cell r="I5">
            <v>20.76</v>
          </cell>
        </row>
        <row r="6">
          <cell r="A6" t="str">
            <v>'003</v>
          </cell>
          <cell r="B6">
            <v>28</v>
          </cell>
          <cell r="C6">
            <v>8058047002008</v>
          </cell>
          <cell r="D6" t="str">
            <v>ACCEP001-ECSE4-055</v>
          </cell>
          <cell r="E6" t="str">
            <v>ACCESSORIO POCHETTE ECOPELLE STAMPA LOVE</v>
          </cell>
          <cell r="F6" t="str">
            <v>UNICA</v>
          </cell>
          <cell r="G6">
            <v>3</v>
          </cell>
          <cell r="H6">
            <v>10</v>
          </cell>
          <cell r="I6">
            <v>30</v>
          </cell>
        </row>
        <row r="7">
          <cell r="A7" t="str">
            <v>'004</v>
          </cell>
          <cell r="B7">
            <v>33</v>
          </cell>
          <cell r="C7">
            <v>8058047001995</v>
          </cell>
          <cell r="D7" t="str">
            <v>ACCEP001-ECSE4-076</v>
          </cell>
          <cell r="E7" t="str">
            <v>ACCESSORIO POCHETTE ECOPELLE STAMPA LOVE</v>
          </cell>
          <cell r="F7" t="str">
            <v>UNICA</v>
          </cell>
          <cell r="G7">
            <v>3</v>
          </cell>
          <cell r="H7">
            <v>10</v>
          </cell>
          <cell r="I7">
            <v>30</v>
          </cell>
        </row>
        <row r="8">
          <cell r="A8" t="str">
            <v>'005</v>
          </cell>
          <cell r="B8">
            <v>46</v>
          </cell>
          <cell r="C8">
            <v>8058047002015</v>
          </cell>
          <cell r="D8" t="str">
            <v>ACCEP001-ECSE4-371</v>
          </cell>
          <cell r="E8" t="str">
            <v>ACCESSORIO POCHETTE ECOPELLE STAMPA LOVE</v>
          </cell>
          <cell r="F8" t="str">
            <v>UNICA</v>
          </cell>
          <cell r="G8">
            <v>3</v>
          </cell>
          <cell r="H8">
            <v>10</v>
          </cell>
          <cell r="I8">
            <v>30</v>
          </cell>
        </row>
        <row r="9">
          <cell r="A9" t="str">
            <v>'006</v>
          </cell>
          <cell r="B9">
            <v>47</v>
          </cell>
          <cell r="C9">
            <v>8050846035133</v>
          </cell>
          <cell r="D9" t="str">
            <v>HLESCE01-ECS00-055</v>
          </cell>
          <cell r="E9" t="str">
            <v>ANSES DOUBLE CHAINE EN Â"Â TÂ Â" EN FAUX CUIR</v>
          </cell>
          <cell r="F9" t="str">
            <v>UNICA</v>
          </cell>
          <cell r="G9">
            <v>6</v>
          </cell>
          <cell r="H9">
            <v>12.66</v>
          </cell>
          <cell r="I9">
            <v>75.959999999999994</v>
          </cell>
        </row>
        <row r="10">
          <cell r="A10" t="str">
            <v>'006</v>
          </cell>
          <cell r="B10">
            <v>47</v>
          </cell>
          <cell r="C10">
            <v>8050846035133</v>
          </cell>
          <cell r="D10" t="str">
            <v>HLESCE01-ECS00-055</v>
          </cell>
          <cell r="E10" t="str">
            <v>ANSES DOUBLE CHAINE EN Â"Â TÂ Â" EN FAUX CUIR</v>
          </cell>
          <cell r="F10" t="str">
            <v>UNICA</v>
          </cell>
          <cell r="G10">
            <v>6</v>
          </cell>
          <cell r="H10">
            <v>12.66</v>
          </cell>
          <cell r="I10">
            <v>75.959999999999994</v>
          </cell>
        </row>
        <row r="11">
          <cell r="A11" t="str">
            <v>'007</v>
          </cell>
          <cell r="B11">
            <v>48</v>
          </cell>
          <cell r="C11">
            <v>8050846011151</v>
          </cell>
          <cell r="D11" t="str">
            <v>HLESMD00-ECS46-055</v>
          </cell>
          <cell r="E11" t="str">
            <v>MICRO-ANSES TUBULAIRES COURTES EN FAUX CUIR LISSE</v>
          </cell>
          <cell r="F11" t="str">
            <v>UNICA</v>
          </cell>
          <cell r="G11">
            <v>6</v>
          </cell>
          <cell r="H11">
            <v>12.66</v>
          </cell>
          <cell r="I11">
            <v>75.959999999999994</v>
          </cell>
        </row>
        <row r="12">
          <cell r="A12" t="str">
            <v>'007</v>
          </cell>
          <cell r="B12">
            <v>48</v>
          </cell>
          <cell r="C12">
            <v>8050846011151</v>
          </cell>
          <cell r="D12" t="str">
            <v>HLESMD00-ECS46-055</v>
          </cell>
          <cell r="E12" t="str">
            <v>MICRO-ANSES TUBULAIRES COURTES EN FAUX CUIR LISSE</v>
          </cell>
          <cell r="F12" t="str">
            <v>UNICA</v>
          </cell>
          <cell r="G12">
            <v>6</v>
          </cell>
          <cell r="H12">
            <v>12.66</v>
          </cell>
          <cell r="I12">
            <v>75.959999999999994</v>
          </cell>
        </row>
        <row r="13">
          <cell r="A13" t="str">
            <v>'008</v>
          </cell>
          <cell r="B13">
            <v>39</v>
          </cell>
          <cell r="C13">
            <v>8058047001919</v>
          </cell>
          <cell r="D13" t="str">
            <v>OBAGB001-EVS59-038</v>
          </cell>
          <cell r="E13" t="str">
            <v>SCOCCA O BAG EVA COMPOUND STAMPA LOVE</v>
          </cell>
          <cell r="F13" t="str">
            <v>UNICA</v>
          </cell>
          <cell r="G13">
            <v>3</v>
          </cell>
          <cell r="H13">
            <v>27.78</v>
          </cell>
          <cell r="I13">
            <v>83.34</v>
          </cell>
        </row>
        <row r="14">
          <cell r="A14" t="str">
            <v>'009</v>
          </cell>
          <cell r="B14">
            <v>38</v>
          </cell>
          <cell r="C14">
            <v>8058047001926</v>
          </cell>
          <cell r="D14" t="str">
            <v>OBAGB001-EVS59-076</v>
          </cell>
          <cell r="E14" t="str">
            <v>SCOCCA O BAG EVA COMPOUND STAMPA LOVE</v>
          </cell>
          <cell r="F14" t="str">
            <v>UNICA</v>
          </cell>
          <cell r="G14">
            <v>3</v>
          </cell>
          <cell r="H14">
            <v>27.78</v>
          </cell>
          <cell r="I14">
            <v>83.34</v>
          </cell>
        </row>
        <row r="15">
          <cell r="A15" t="str">
            <v>'010</v>
          </cell>
          <cell r="B15">
            <v>49</v>
          </cell>
          <cell r="C15">
            <v>8058047001933</v>
          </cell>
          <cell r="D15" t="str">
            <v>OBAGB002-EVS59-038</v>
          </cell>
          <cell r="E15" t="str">
            <v>SCOCCA O BAG MINI EVA COMPOUND STAMPA LOVE</v>
          </cell>
          <cell r="F15" t="str">
            <v>UNICA</v>
          </cell>
          <cell r="G15">
            <v>3</v>
          </cell>
          <cell r="H15">
            <v>27.78</v>
          </cell>
          <cell r="I15">
            <v>83.34</v>
          </cell>
        </row>
        <row r="16">
          <cell r="A16" t="str">
            <v>'011</v>
          </cell>
          <cell r="B16">
            <v>44</v>
          </cell>
          <cell r="C16">
            <v>8058047001940</v>
          </cell>
          <cell r="D16" t="str">
            <v>OBAGB002-EVS59-076</v>
          </cell>
          <cell r="E16" t="str">
            <v>SCOCCA O BAG MINI EVA COMPOUND STAMPA LOVE</v>
          </cell>
          <cell r="F16" t="str">
            <v>UNICA</v>
          </cell>
          <cell r="G16">
            <v>3</v>
          </cell>
          <cell r="H16">
            <v>27.78</v>
          </cell>
          <cell r="I16">
            <v>83.34</v>
          </cell>
        </row>
        <row r="17">
          <cell r="A17" t="str">
            <v>'012</v>
          </cell>
          <cell r="B17">
            <v>43</v>
          </cell>
          <cell r="C17">
            <v>8058047001957</v>
          </cell>
          <cell r="D17" t="str">
            <v>OBAGS001-TESBV-055</v>
          </cell>
          <cell r="E17" t="str">
            <v>SACCA INTERNA ZIP O BAG TESSUTO STAMPA LOVE</v>
          </cell>
          <cell r="F17" t="str">
            <v>UNICA</v>
          </cell>
          <cell r="G17">
            <v>3</v>
          </cell>
          <cell r="H17">
            <v>11.85</v>
          </cell>
          <cell r="I17">
            <v>35.549999999999997</v>
          </cell>
        </row>
        <row r="18">
          <cell r="A18" t="str">
            <v>'013</v>
          </cell>
          <cell r="B18">
            <v>30</v>
          </cell>
          <cell r="C18">
            <v>8058047001964</v>
          </cell>
          <cell r="D18" t="str">
            <v>OBAGS001-TESBV-076</v>
          </cell>
          <cell r="E18" t="str">
            <v>SACCA INTERNA ZIP O BAG TESSUTO STAMPA LOVE</v>
          </cell>
          <cell r="F18" t="str">
            <v>UNICA</v>
          </cell>
          <cell r="G18">
            <v>3</v>
          </cell>
          <cell r="H18">
            <v>11.85</v>
          </cell>
          <cell r="I18">
            <v>35.549999999999997</v>
          </cell>
        </row>
        <row r="19">
          <cell r="A19" t="str">
            <v>'014</v>
          </cell>
          <cell r="B19">
            <v>2</v>
          </cell>
          <cell r="C19">
            <v>8058047001971</v>
          </cell>
          <cell r="D19" t="str">
            <v>OBAGS002-TESBV-055</v>
          </cell>
          <cell r="E19" t="str">
            <v>SACCA INTERNA ZIP O BAG MINI TESSUTO STAMPA LOVE</v>
          </cell>
          <cell r="F19" t="str">
            <v>UNICA</v>
          </cell>
          <cell r="G19">
            <v>3</v>
          </cell>
          <cell r="H19">
            <v>11.85</v>
          </cell>
          <cell r="I19">
            <v>35.549999999999997</v>
          </cell>
        </row>
        <row r="20">
          <cell r="A20" t="str">
            <v>'015</v>
          </cell>
          <cell r="B20">
            <v>34</v>
          </cell>
          <cell r="C20">
            <v>8058047001988</v>
          </cell>
          <cell r="D20" t="str">
            <v>OBAGS002-TESBV-076</v>
          </cell>
          <cell r="E20" t="str">
            <v>SACCA INTERNA ZIP O BAG MINI TESSUTO STAMPA LOVE</v>
          </cell>
          <cell r="F20" t="str">
            <v>UNICA</v>
          </cell>
          <cell r="G20">
            <v>3</v>
          </cell>
          <cell r="H20">
            <v>11.85</v>
          </cell>
          <cell r="I20">
            <v>35.549999999999997</v>
          </cell>
        </row>
        <row r="21">
          <cell r="A21" t="str">
            <v>'016</v>
          </cell>
          <cell r="B21">
            <v>27</v>
          </cell>
          <cell r="C21">
            <v>8058047001896</v>
          </cell>
          <cell r="D21" t="str">
            <v>OCLKD001-MESF5-008</v>
          </cell>
          <cell r="E21" t="str">
            <v>O CLOCK MECCANISMO SPARKLING HEART</v>
          </cell>
          <cell r="F21" t="str">
            <v>UNICA</v>
          </cell>
          <cell r="G21">
            <v>4</v>
          </cell>
          <cell r="H21">
            <v>9.6300000000000008</v>
          </cell>
          <cell r="I21">
            <v>38.520000000000003</v>
          </cell>
        </row>
        <row r="22">
          <cell r="A22" t="str">
            <v>'017</v>
          </cell>
          <cell r="B22">
            <v>45</v>
          </cell>
          <cell r="C22">
            <v>8058047001889</v>
          </cell>
          <cell r="D22" t="str">
            <v>OCLKD001-MESF5-025</v>
          </cell>
          <cell r="E22" t="str">
            <v>O CLOCK MECCANISMO SPARKLING HEART</v>
          </cell>
          <cell r="F22" t="str">
            <v>UNICA</v>
          </cell>
          <cell r="G22">
            <v>4</v>
          </cell>
          <cell r="H22">
            <v>9.6300000000000008</v>
          </cell>
          <cell r="I22">
            <v>38.520000000000003</v>
          </cell>
        </row>
        <row r="23">
          <cell r="A23" t="str">
            <v>'018</v>
          </cell>
          <cell r="B23">
            <v>42</v>
          </cell>
          <cell r="C23">
            <v>8058047001902</v>
          </cell>
          <cell r="D23" t="str">
            <v>OCLKD001-MESF5-076</v>
          </cell>
          <cell r="E23" t="str">
            <v>O CLOCK MECCANISMO SPARKLING HEART</v>
          </cell>
          <cell r="F23" t="str">
            <v>UNICA</v>
          </cell>
          <cell r="G23">
            <v>3</v>
          </cell>
          <cell r="H23">
            <v>9.6300000000000008</v>
          </cell>
          <cell r="I23">
            <v>28.89</v>
          </cell>
        </row>
        <row r="24">
          <cell r="A24" t="str">
            <v>'019</v>
          </cell>
          <cell r="B24">
            <v>31</v>
          </cell>
          <cell r="C24">
            <v>8058047001872</v>
          </cell>
          <cell r="D24" t="str">
            <v>OCLKD001-MESF6-004</v>
          </cell>
          <cell r="E24" t="str">
            <v>O CLOCK MECCANISMO SHINY HEARTS</v>
          </cell>
          <cell r="F24" t="str">
            <v>UNICA</v>
          </cell>
          <cell r="G24">
            <v>3</v>
          </cell>
          <cell r="H24">
            <v>9.6300000000000008</v>
          </cell>
          <cell r="I24">
            <v>28.89</v>
          </cell>
        </row>
        <row r="25">
          <cell r="A25" t="str">
            <v>'020</v>
          </cell>
          <cell r="B25">
            <v>41</v>
          </cell>
          <cell r="C25" t="str">
            <v>CodeBarre</v>
          </cell>
          <cell r="D25" t="str">
            <v>OCLKS007-SIS01-025</v>
          </cell>
          <cell r="E25" t="str">
            <v>O CLOCK BRACELET COVER EN SILICONE</v>
          </cell>
          <cell r="F25" t="str">
            <v>S</v>
          </cell>
          <cell r="G25">
            <v>2</v>
          </cell>
          <cell r="H25">
            <v>3.6</v>
          </cell>
          <cell r="I25">
            <v>7.2</v>
          </cell>
        </row>
        <row r="26">
          <cell r="A26" t="str">
            <v>'021</v>
          </cell>
          <cell r="B26">
            <v>36</v>
          </cell>
          <cell r="C26" t="str">
            <v>CodeBarre</v>
          </cell>
          <cell r="D26" t="str">
            <v>OCLKS007-SIS01-025</v>
          </cell>
          <cell r="E26" t="str">
            <v>O CLOCK BRACELET COVER EN SILICONE</v>
          </cell>
          <cell r="F26" t="str">
            <v>M</v>
          </cell>
          <cell r="G26">
            <v>2</v>
          </cell>
          <cell r="H26">
            <v>3.6</v>
          </cell>
          <cell r="I26">
            <v>7.2</v>
          </cell>
        </row>
        <row r="27">
          <cell r="A27" t="str">
            <v>'022</v>
          </cell>
          <cell r="B27">
            <v>29</v>
          </cell>
          <cell r="C27" t="str">
            <v>CodeBarre</v>
          </cell>
          <cell r="D27" t="str">
            <v>OCLKS007-SIS01-055</v>
          </cell>
          <cell r="E27" t="str">
            <v>O CLOCK BRACELET COVER EN SILICONE</v>
          </cell>
          <cell r="F27" t="str">
            <v>S</v>
          </cell>
          <cell r="G27">
            <v>3</v>
          </cell>
          <cell r="H27">
            <v>3.6</v>
          </cell>
          <cell r="I27">
            <v>10.8</v>
          </cell>
        </row>
        <row r="28">
          <cell r="A28" t="str">
            <v>'023</v>
          </cell>
          <cell r="B28">
            <v>26</v>
          </cell>
          <cell r="C28" t="str">
            <v>CodeBarre</v>
          </cell>
          <cell r="D28" t="str">
            <v>OCLKS007-SIS01-055</v>
          </cell>
          <cell r="E28" t="str">
            <v>O CLOCK BRACELET COVER EN SILICONE</v>
          </cell>
          <cell r="F28" t="str">
            <v>M</v>
          </cell>
          <cell r="G28">
            <v>2</v>
          </cell>
          <cell r="H28">
            <v>3.6</v>
          </cell>
          <cell r="I28">
            <v>7.2</v>
          </cell>
        </row>
        <row r="29">
          <cell r="A29" t="str">
            <v>'024</v>
          </cell>
          <cell r="B29">
            <v>40</v>
          </cell>
          <cell r="C29" t="str">
            <v>CodeBarre</v>
          </cell>
          <cell r="D29" t="str">
            <v>OCLKS007-SIS01-076</v>
          </cell>
          <cell r="E29" t="str">
            <v>O CLOCK BRACELET COVER EN SILICONE</v>
          </cell>
          <cell r="F29" t="str">
            <v>S</v>
          </cell>
          <cell r="G29">
            <v>3</v>
          </cell>
          <cell r="H29">
            <v>3.6</v>
          </cell>
          <cell r="I29">
            <v>10.8</v>
          </cell>
        </row>
        <row r="30">
          <cell r="A30" t="str">
            <v>'025</v>
          </cell>
          <cell r="B30">
            <v>35</v>
          </cell>
          <cell r="C30" t="str">
            <v>CodeBarre</v>
          </cell>
          <cell r="D30" t="str">
            <v>OCLKS007-SIS01-076</v>
          </cell>
          <cell r="E30" t="str">
            <v>O CLOCK BRACELET COVER EN SILICONE</v>
          </cell>
          <cell r="F30" t="str">
            <v>M</v>
          </cell>
          <cell r="G30">
            <v>2</v>
          </cell>
          <cell r="H30">
            <v>3.6</v>
          </cell>
          <cell r="I30">
            <v>7.2</v>
          </cell>
        </row>
        <row r="31">
          <cell r="A31" t="str">
            <v>'026</v>
          </cell>
          <cell r="B31">
            <v>10</v>
          </cell>
          <cell r="C31">
            <v>8058047002022</v>
          </cell>
          <cell r="D31" t="str">
            <v>ACCEO114-MAS00-076</v>
          </cell>
          <cell r="E31" t="str">
            <v>ACCESSORIO PORTACHIAVI LETTERING LOVE MATERIALE PLASTICO</v>
          </cell>
          <cell r="F31" t="str">
            <v>UNICA</v>
          </cell>
          <cell r="G31">
            <v>6</v>
          </cell>
          <cell r="H31">
            <v>7.78</v>
          </cell>
          <cell r="I31">
            <v>46.68</v>
          </cell>
        </row>
        <row r="32">
          <cell r="A32" t="str">
            <v>'027</v>
          </cell>
          <cell r="B32">
            <v>6</v>
          </cell>
          <cell r="C32" t="str">
            <v>CodeBarre</v>
          </cell>
          <cell r="D32" t="str">
            <v>ACCEO117-EVS00-076</v>
          </cell>
          <cell r="E32" t="str">
            <v>ACCESSORIO PORTACHIAVI PIERCED HEART EVA COMPOUND</v>
          </cell>
          <cell r="F32" t="str">
            <v>UNICA</v>
          </cell>
          <cell r="G32">
            <v>4</v>
          </cell>
          <cell r="H32">
            <v>5.19</v>
          </cell>
          <cell r="I32">
            <v>20.76</v>
          </cell>
        </row>
        <row r="33">
          <cell r="A33" t="str">
            <v>'028</v>
          </cell>
          <cell r="B33">
            <v>20</v>
          </cell>
          <cell r="C33">
            <v>8058047002008</v>
          </cell>
          <cell r="D33" t="str">
            <v>ACCEP001-ECSE4-055</v>
          </cell>
          <cell r="E33" t="str">
            <v>ACCESSORIO POCHETTE ECOPELLE STAMPA LOVE</v>
          </cell>
          <cell r="F33" t="str">
            <v>UNICA</v>
          </cell>
          <cell r="G33">
            <v>3</v>
          </cell>
          <cell r="H33">
            <v>10</v>
          </cell>
          <cell r="I33">
            <v>30</v>
          </cell>
        </row>
        <row r="34">
          <cell r="A34" t="str">
            <v>'029</v>
          </cell>
          <cell r="B34">
            <v>21</v>
          </cell>
          <cell r="C34">
            <v>8058047001995</v>
          </cell>
          <cell r="D34" t="str">
            <v>ACCEP001-ECSE4-076</v>
          </cell>
          <cell r="E34" t="str">
            <v>ACCESSORIO POCHETTE ECOPELLE STAMPA LOVE</v>
          </cell>
          <cell r="F34" t="str">
            <v>UNICA</v>
          </cell>
          <cell r="G34">
            <v>3</v>
          </cell>
          <cell r="H34">
            <v>10</v>
          </cell>
          <cell r="I34">
            <v>30</v>
          </cell>
        </row>
        <row r="35">
          <cell r="A35" t="str">
            <v>'030</v>
          </cell>
          <cell r="B35">
            <v>25</v>
          </cell>
          <cell r="C35">
            <v>8058047002015</v>
          </cell>
          <cell r="D35" t="str">
            <v>ACCEP001-ECSE4-371</v>
          </cell>
          <cell r="E35" t="str">
            <v>ACCESSORIO POCHETTE ECOPELLE STAMPA LOVE</v>
          </cell>
          <cell r="F35" t="str">
            <v>UNICA</v>
          </cell>
          <cell r="G35">
            <v>3</v>
          </cell>
          <cell r="H35">
            <v>10</v>
          </cell>
          <cell r="I35">
            <v>30</v>
          </cell>
        </row>
        <row r="36">
          <cell r="A36" t="str">
            <v>'031</v>
          </cell>
          <cell r="B36">
            <v>4</v>
          </cell>
          <cell r="C36">
            <v>8050846035133</v>
          </cell>
          <cell r="D36" t="str">
            <v>HLESCE01-ECS00-055</v>
          </cell>
          <cell r="E36" t="str">
            <v>ANSES DOUBLE CHAINE EN Â"Â TÂ Â" EN FAUX CUIR</v>
          </cell>
          <cell r="F36" t="str">
            <v>UNICA</v>
          </cell>
          <cell r="G36">
            <v>6</v>
          </cell>
          <cell r="H36">
            <v>12.66</v>
          </cell>
          <cell r="I36">
            <v>75.959999999999994</v>
          </cell>
        </row>
        <row r="37">
          <cell r="A37" t="str">
            <v>'031</v>
          </cell>
          <cell r="B37">
            <v>4</v>
          </cell>
          <cell r="C37">
            <v>8050846035133</v>
          </cell>
          <cell r="D37" t="str">
            <v>HLESCE01-ECS00-055</v>
          </cell>
          <cell r="E37" t="str">
            <v>ANSES DOUBLE CHAINE EN Â"Â TÂ Â" EN FAUX CUIR</v>
          </cell>
          <cell r="F37" t="str">
            <v>UNICA</v>
          </cell>
          <cell r="G37">
            <v>6</v>
          </cell>
          <cell r="H37">
            <v>12.66</v>
          </cell>
          <cell r="I37">
            <v>75.959999999999994</v>
          </cell>
        </row>
        <row r="38">
          <cell r="A38" t="str">
            <v>'032</v>
          </cell>
          <cell r="B38">
            <v>19</v>
          </cell>
          <cell r="C38">
            <v>8050846011151</v>
          </cell>
          <cell r="D38" t="str">
            <v>HLESMD00-ECS46-055</v>
          </cell>
          <cell r="E38" t="str">
            <v>MICRO-ANSES TUBULAIRES COURTES EN FAUX CUIR LISSE</v>
          </cell>
          <cell r="F38" t="str">
            <v>UNICA</v>
          </cell>
          <cell r="G38">
            <v>6</v>
          </cell>
          <cell r="H38">
            <v>12.66</v>
          </cell>
          <cell r="I38">
            <v>75.959999999999994</v>
          </cell>
        </row>
        <row r="39">
          <cell r="A39" t="str">
            <v>'032</v>
          </cell>
          <cell r="B39">
            <v>19</v>
          </cell>
          <cell r="C39">
            <v>8050846011151</v>
          </cell>
          <cell r="D39" t="str">
            <v>HLESMD00-ECS46-055</v>
          </cell>
          <cell r="E39" t="str">
            <v>MICRO-ANSES TUBULAIRES COURTES EN FAUX CUIR LISSE</v>
          </cell>
          <cell r="F39" t="str">
            <v>UNICA</v>
          </cell>
          <cell r="G39">
            <v>6</v>
          </cell>
          <cell r="H39">
            <v>12.66</v>
          </cell>
          <cell r="I39">
            <v>75.959999999999994</v>
          </cell>
        </row>
        <row r="40">
          <cell r="A40" t="str">
            <v>'033</v>
          </cell>
          <cell r="B40">
            <v>12</v>
          </cell>
          <cell r="C40">
            <v>8058047001919</v>
          </cell>
          <cell r="D40" t="str">
            <v>OBAGB001-EVS59-038</v>
          </cell>
          <cell r="E40" t="str">
            <v>SCOCCA O BAG EVA COMPOUND STAMPA LOVE</v>
          </cell>
          <cell r="F40" t="str">
            <v>UNICA</v>
          </cell>
          <cell r="G40">
            <v>3</v>
          </cell>
          <cell r="H40">
            <v>27.78</v>
          </cell>
          <cell r="I40">
            <v>83.34</v>
          </cell>
        </row>
        <row r="41">
          <cell r="A41" t="str">
            <v>'034</v>
          </cell>
          <cell r="B41">
            <v>22</v>
          </cell>
          <cell r="C41">
            <v>8058047001926</v>
          </cell>
          <cell r="D41" t="str">
            <v>OBAGB001-EVS59-076</v>
          </cell>
          <cell r="E41" t="str">
            <v>SCOCCA O BAG EVA COMPOUND STAMPA LOVE</v>
          </cell>
          <cell r="F41" t="str">
            <v>UNICA</v>
          </cell>
          <cell r="G41">
            <v>3</v>
          </cell>
          <cell r="H41">
            <v>27.78</v>
          </cell>
          <cell r="I41">
            <v>83.34</v>
          </cell>
        </row>
        <row r="42">
          <cell r="A42" t="str">
            <v>'035</v>
          </cell>
          <cell r="B42">
            <v>11</v>
          </cell>
          <cell r="C42">
            <v>8058047001933</v>
          </cell>
          <cell r="D42" t="str">
            <v>OBAGB002-EVS59-038</v>
          </cell>
          <cell r="E42" t="str">
            <v>SCOCCA O BAG MINI EVA COMPOUND STAMPA LOVE</v>
          </cell>
          <cell r="F42" t="str">
            <v>UNICA</v>
          </cell>
          <cell r="G42">
            <v>3</v>
          </cell>
          <cell r="H42">
            <v>27.78</v>
          </cell>
          <cell r="I42">
            <v>83.34</v>
          </cell>
        </row>
        <row r="43">
          <cell r="A43" t="str">
            <v>'036</v>
          </cell>
          <cell r="B43">
            <v>50</v>
          </cell>
          <cell r="C43">
            <v>8058047001940</v>
          </cell>
          <cell r="D43" t="str">
            <v>OBAGB002-EVS59-076</v>
          </cell>
          <cell r="E43" t="str">
            <v>SCOCCA O BAG MINI EVA COMPOUND STAMPA LOVE</v>
          </cell>
          <cell r="F43" t="str">
            <v>UNICA</v>
          </cell>
          <cell r="G43">
            <v>3</v>
          </cell>
          <cell r="H43">
            <v>27.78</v>
          </cell>
          <cell r="I43">
            <v>83.34</v>
          </cell>
        </row>
        <row r="44">
          <cell r="A44" t="str">
            <v>'037</v>
          </cell>
          <cell r="B44">
            <v>15</v>
          </cell>
          <cell r="C44">
            <v>8058047001957</v>
          </cell>
          <cell r="D44" t="str">
            <v>OBAGS001-TESBV-055</v>
          </cell>
          <cell r="E44" t="str">
            <v>SACCA INTERNA ZIP O BAG TESSUTO STAMPA LOVE</v>
          </cell>
          <cell r="F44" t="str">
            <v>UNICA</v>
          </cell>
          <cell r="G44">
            <v>3</v>
          </cell>
          <cell r="H44">
            <v>11.85</v>
          </cell>
          <cell r="I44">
            <v>35.549999999999997</v>
          </cell>
        </row>
        <row r="45">
          <cell r="A45" t="str">
            <v>'038</v>
          </cell>
          <cell r="B45">
            <v>24</v>
          </cell>
          <cell r="C45">
            <v>8058047001964</v>
          </cell>
          <cell r="D45" t="str">
            <v>OBAGS001-TESBV-076</v>
          </cell>
          <cell r="E45" t="str">
            <v>SACCA INTERNA ZIP O BAG TESSUTO STAMPA LOVE</v>
          </cell>
          <cell r="F45" t="str">
            <v>UNICA</v>
          </cell>
          <cell r="G45">
            <v>3</v>
          </cell>
          <cell r="H45">
            <v>11.85</v>
          </cell>
          <cell r="I45">
            <v>35.549999999999997</v>
          </cell>
        </row>
        <row r="46">
          <cell r="A46" t="str">
            <v>'039</v>
          </cell>
          <cell r="B46">
            <v>18</v>
          </cell>
          <cell r="C46">
            <v>8058047001971</v>
          </cell>
          <cell r="D46" t="str">
            <v>OBAGS002-TESBV-055</v>
          </cell>
          <cell r="E46" t="str">
            <v>SACCA INTERNA ZIP O BAG MINI TESSUTO STAMPA LOVE</v>
          </cell>
          <cell r="F46" t="str">
            <v>UNICA</v>
          </cell>
          <cell r="G46">
            <v>3</v>
          </cell>
          <cell r="H46">
            <v>11.85</v>
          </cell>
          <cell r="I46">
            <v>35.549999999999997</v>
          </cell>
        </row>
        <row r="47">
          <cell r="A47" t="str">
            <v>'040</v>
          </cell>
          <cell r="B47">
            <v>23</v>
          </cell>
          <cell r="C47">
            <v>8058047001988</v>
          </cell>
          <cell r="D47" t="str">
            <v>OBAGS002-TESBV-076</v>
          </cell>
          <cell r="E47" t="str">
            <v>SACCA INTERNA ZIP O BAG MINI TESSUTO STAMPA LOVE</v>
          </cell>
          <cell r="F47" t="str">
            <v>UNICA</v>
          </cell>
          <cell r="G47">
            <v>3</v>
          </cell>
          <cell r="H47">
            <v>11.85</v>
          </cell>
          <cell r="I47">
            <v>35.549999999999997</v>
          </cell>
        </row>
        <row r="48">
          <cell r="A48" t="str">
            <v>'041</v>
          </cell>
          <cell r="B48">
            <v>17</v>
          </cell>
          <cell r="C48">
            <v>8058047001896</v>
          </cell>
          <cell r="D48" t="str">
            <v>OCLKD001-MESF5-008</v>
          </cell>
          <cell r="E48" t="str">
            <v>O CLOCK MECCANISMO SPARKLING HEART</v>
          </cell>
          <cell r="F48" t="str">
            <v>UNICA</v>
          </cell>
          <cell r="G48">
            <v>4</v>
          </cell>
          <cell r="H48">
            <v>9.6300000000000008</v>
          </cell>
          <cell r="I48">
            <v>38.520000000000003</v>
          </cell>
        </row>
        <row r="49">
          <cell r="A49" t="str">
            <v>'042</v>
          </cell>
          <cell r="B49">
            <v>5</v>
          </cell>
          <cell r="C49">
            <v>8058047001889</v>
          </cell>
          <cell r="D49" t="str">
            <v>OCLKD001-MESF5-025</v>
          </cell>
          <cell r="E49" t="str">
            <v>O CLOCK MECCANISMO SPARKLING HEART</v>
          </cell>
          <cell r="F49" t="str">
            <v>UNICA</v>
          </cell>
          <cell r="G49">
            <v>4</v>
          </cell>
          <cell r="H49">
            <v>9.6300000000000008</v>
          </cell>
          <cell r="I49">
            <v>38.520000000000003</v>
          </cell>
        </row>
        <row r="50">
          <cell r="A50" t="str">
            <v>'043</v>
          </cell>
          <cell r="B50">
            <v>1</v>
          </cell>
          <cell r="C50">
            <v>8058047001902</v>
          </cell>
          <cell r="D50" t="str">
            <v>OCLKD001-MESF5-076</v>
          </cell>
          <cell r="E50" t="str">
            <v>O CLOCK MECCANISMO SPARKLING HEART</v>
          </cell>
          <cell r="F50" t="str">
            <v>UNICA</v>
          </cell>
          <cell r="G50">
            <v>3</v>
          </cell>
          <cell r="H50">
            <v>9.6300000000000008</v>
          </cell>
          <cell r="I50">
            <v>28.89</v>
          </cell>
        </row>
        <row r="51">
          <cell r="A51" t="str">
            <v>'044</v>
          </cell>
          <cell r="B51">
            <v>14</v>
          </cell>
          <cell r="C51">
            <v>8058047001872</v>
          </cell>
          <cell r="D51" t="str">
            <v>OCLKD001-MESF6-004</v>
          </cell>
          <cell r="E51" t="str">
            <v>O CLOCK MECCANISMO SHINY HEARTS</v>
          </cell>
          <cell r="F51" t="str">
            <v>UNICA</v>
          </cell>
          <cell r="G51">
            <v>3</v>
          </cell>
          <cell r="H51">
            <v>9.6300000000000008</v>
          </cell>
          <cell r="I51">
            <v>28.89</v>
          </cell>
        </row>
        <row r="52">
          <cell r="A52" t="str">
            <v>'045</v>
          </cell>
          <cell r="B52">
            <v>9</v>
          </cell>
          <cell r="C52" t="str">
            <v>CodeBarre</v>
          </cell>
          <cell r="D52" t="str">
            <v>OCLKS007-SIS01-025</v>
          </cell>
          <cell r="E52" t="str">
            <v>O CLOCK BRACELET COVER EN SILICONE</v>
          </cell>
          <cell r="F52" t="str">
            <v>S</v>
          </cell>
          <cell r="G52">
            <v>2</v>
          </cell>
          <cell r="H52">
            <v>3.6</v>
          </cell>
          <cell r="I52">
            <v>7.2</v>
          </cell>
        </row>
        <row r="53">
          <cell r="A53" t="str">
            <v>'046</v>
          </cell>
          <cell r="B53">
            <v>16</v>
          </cell>
          <cell r="C53" t="str">
            <v>CodeBarre</v>
          </cell>
          <cell r="D53" t="str">
            <v>OCLKS007-SIS01-025</v>
          </cell>
          <cell r="E53" t="str">
            <v>O CLOCK BRACELET COVER EN SILICONE</v>
          </cell>
          <cell r="F53" t="str">
            <v>M</v>
          </cell>
          <cell r="G53">
            <v>2</v>
          </cell>
          <cell r="H53">
            <v>3.6</v>
          </cell>
          <cell r="I53">
            <v>7.2</v>
          </cell>
        </row>
        <row r="54">
          <cell r="A54" t="str">
            <v>'047</v>
          </cell>
          <cell r="B54">
            <v>8</v>
          </cell>
          <cell r="C54" t="str">
            <v>CodeBarre</v>
          </cell>
          <cell r="D54" t="str">
            <v>OCLKS007-SIS01-055</v>
          </cell>
          <cell r="E54" t="str">
            <v>O CLOCK BRACELET COVER EN SILICONE</v>
          </cell>
          <cell r="F54" t="str">
            <v>S</v>
          </cell>
          <cell r="G54">
            <v>3</v>
          </cell>
          <cell r="H54">
            <v>3.6</v>
          </cell>
          <cell r="I54">
            <v>10.8</v>
          </cell>
        </row>
        <row r="55">
          <cell r="A55" t="str">
            <v>'048</v>
          </cell>
          <cell r="B55">
            <v>13</v>
          </cell>
          <cell r="C55" t="str">
            <v>CodeBarre</v>
          </cell>
          <cell r="D55" t="str">
            <v>OCLKS007-SIS01-055</v>
          </cell>
          <cell r="E55" t="str">
            <v>O CLOCK BRACELET COVER EN SILICONE</v>
          </cell>
          <cell r="F55" t="str">
            <v>M</v>
          </cell>
          <cell r="G55">
            <v>2</v>
          </cell>
          <cell r="H55">
            <v>3.6</v>
          </cell>
          <cell r="I55">
            <v>7.2</v>
          </cell>
        </row>
        <row r="56">
          <cell r="A56" t="str">
            <v>'049</v>
          </cell>
          <cell r="B56">
            <v>7</v>
          </cell>
          <cell r="C56" t="str">
            <v>CodeBarre</v>
          </cell>
          <cell r="D56" t="str">
            <v>OCLKS007-SIS01-076</v>
          </cell>
          <cell r="E56" t="str">
            <v>O CLOCK BRACELET COVER EN SILICONE</v>
          </cell>
          <cell r="F56" t="str">
            <v>S</v>
          </cell>
          <cell r="G56">
            <v>3</v>
          </cell>
          <cell r="H56">
            <v>3.6</v>
          </cell>
          <cell r="I56">
            <v>10.8</v>
          </cell>
        </row>
        <row r="57">
          <cell r="A57" t="str">
            <v>'050</v>
          </cell>
          <cell r="B57">
            <v>3</v>
          </cell>
          <cell r="C57" t="str">
            <v>CodeBarre</v>
          </cell>
          <cell r="D57" t="str">
            <v>OCLKS007-SIS01-076</v>
          </cell>
          <cell r="E57" t="str">
            <v>O CLOCK BRACELET COVER EN SILICONE</v>
          </cell>
          <cell r="F57" t="str">
            <v>M</v>
          </cell>
          <cell r="G57">
            <v>2</v>
          </cell>
          <cell r="H57">
            <v>3.6</v>
          </cell>
          <cell r="I57">
            <v>7.2</v>
          </cell>
        </row>
        <row r="58">
          <cell r="A58">
            <v>1</v>
          </cell>
          <cell r="B58" t="str">
            <v>Produit</v>
          </cell>
          <cell r="C58" t="str">
            <v>CodeBarre</v>
          </cell>
          <cell r="D58" t="str">
            <v>Code piece</v>
          </cell>
          <cell r="E58" t="str">
            <v>Couleur</v>
          </cell>
          <cell r="F58" t="str">
            <v>Taille</v>
          </cell>
          <cell r="G58" t="str">
            <v>Libelle</v>
          </cell>
          <cell r="H58" t="str">
            <v>Quantite</v>
          </cell>
          <cell r="I58" t="str">
            <v>Prix unitaire</v>
          </cell>
        </row>
        <row r="59">
          <cell r="A59">
            <v>2</v>
          </cell>
          <cell r="B59" t="str">
            <v>Boutique</v>
          </cell>
          <cell r="C59" t="str">
            <v>CodeBarre</v>
          </cell>
          <cell r="D59" t="str">
            <v>CodeBarre</v>
          </cell>
          <cell r="E59" t="str">
            <v>TOULOUSE</v>
          </cell>
          <cell r="F59" t="str">
            <v>CodeBarre</v>
          </cell>
          <cell r="G59" t="str">
            <v>CodeBarre</v>
          </cell>
          <cell r="H59" t="str">
            <v>CodeBarre</v>
          </cell>
          <cell r="I59" t="str">
            <v>CodeBarre</v>
          </cell>
        </row>
        <row r="60">
          <cell r="A60">
            <v>3</v>
          </cell>
          <cell r="B60" t="str">
            <v>Ref. facture</v>
          </cell>
          <cell r="C60" t="str">
            <v>CodeBarre</v>
          </cell>
          <cell r="D60" t="str">
            <v>CodeBarre</v>
          </cell>
          <cell r="E60" t="str">
            <v>2019 50 228 28/01/2019</v>
          </cell>
          <cell r="F60" t="str">
            <v>CodeBarre</v>
          </cell>
          <cell r="G60" t="str">
            <v>CodeBarre</v>
          </cell>
          <cell r="H60" t="str">
            <v>CodeBarre</v>
          </cell>
          <cell r="I60" t="str">
            <v>CodeBarre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L60"/>
  <sheetViews>
    <sheetView tabSelected="1" topLeftCell="A4" workbookViewId="0">
      <selection activeCell="E6" sqref="E6"/>
    </sheetView>
  </sheetViews>
  <sheetFormatPr baseColWidth="10" defaultRowHeight="15" x14ac:dyDescent="0.25"/>
  <cols>
    <col min="1" max="1" width="5.85546875" style="1" customWidth="1"/>
    <col min="2" max="2" width="5.42578125" style="1" customWidth="1"/>
    <col min="3" max="3" width="16.42578125" style="2" customWidth="1"/>
    <col min="4" max="4" width="21.28515625" style="7" bestFit="1" customWidth="1"/>
    <col min="5" max="5" width="56.7109375" style="1" bestFit="1" customWidth="1"/>
    <col min="6" max="6" width="9.140625" style="1" customWidth="1"/>
    <col min="7" max="7" width="5.7109375" style="1" customWidth="1"/>
    <col min="8" max="8" width="8" style="1" customWidth="1"/>
    <col min="9" max="9" width="10.42578125" style="1" customWidth="1"/>
    <col min="10" max="10" width="14.85546875" style="1" bestFit="1" customWidth="1"/>
    <col min="11" max="11" width="12" style="1" bestFit="1" customWidth="1"/>
    <col min="12" max="16384" width="11.42578125" style="1"/>
  </cols>
  <sheetData>
    <row r="1" spans="1:12" ht="31.5" x14ac:dyDescent="0.45">
      <c r="A1" s="4" t="str">
        <f>[1]EAN13_traite!A1</f>
        <v>ENTETE</v>
      </c>
      <c r="B1" s="4">
        <f>[1]EAN13_traite!B1</f>
        <v>0</v>
      </c>
      <c r="C1" s="5">
        <f>[1]EAN13_traite!C1</f>
        <v>0</v>
      </c>
      <c r="D1" s="6">
        <f>[1]EAN13_traite!D1</f>
        <v>0</v>
      </c>
      <c r="E1" s="4">
        <f>[1]EAN13_traite!E1</f>
        <v>0</v>
      </c>
      <c r="F1" s="4">
        <f>[1]EAN13_traite!F1</f>
        <v>0</v>
      </c>
      <c r="G1" s="4">
        <f>[1]EAN13_traite!G1</f>
        <v>0</v>
      </c>
      <c r="H1" s="4">
        <f>[1]EAN13_traite!H1</f>
        <v>0</v>
      </c>
      <c r="I1" s="4">
        <f>[1]EAN13_traite!I1</f>
        <v>0</v>
      </c>
      <c r="J1" s="3" t="str">
        <f t="shared" ref="J1:J12" si="0">IF(ISNUMBER($C1),codeEAN13(INT(C1/10)),"")</f>
        <v/>
      </c>
    </row>
    <row r="2" spans="1:12" ht="31.5" x14ac:dyDescent="0.45">
      <c r="A2" s="4" t="str">
        <f>[1]EAN13_traite!A2</f>
        <v>EAN13</v>
      </c>
      <c r="B2" s="4">
        <f>[1]EAN13_traite!B2</f>
        <v>0</v>
      </c>
      <c r="C2" s="5">
        <f>[1]EAN13_traite!C2</f>
        <v>0</v>
      </c>
      <c r="D2" s="6">
        <f>[1]EAN13_traite!D2</f>
        <v>0</v>
      </c>
      <c r="E2" s="4">
        <f>[1]EAN13_traite!E2</f>
        <v>0</v>
      </c>
      <c r="F2" s="4">
        <f>[1]EAN13_traite!F2</f>
        <v>0</v>
      </c>
      <c r="G2" s="4">
        <f>[1]EAN13_traite!G2</f>
        <v>0</v>
      </c>
      <c r="H2" s="4">
        <f>[1]EAN13_traite!H2</f>
        <v>0</v>
      </c>
      <c r="I2" s="4">
        <f>[1]EAN13_traite!I2</f>
        <v>0</v>
      </c>
      <c r="J2" s="3" t="str">
        <f t="shared" si="0"/>
        <v/>
      </c>
    </row>
    <row r="3" spans="1:12" ht="31.5" x14ac:dyDescent="0.45">
      <c r="A3" s="4" t="str">
        <f>[1]EAN13_traite!A3</f>
        <v>' 08</v>
      </c>
      <c r="B3" s="4" t="str">
        <f>[1]EAN13_traite!B3</f>
        <v>CodeBarre</v>
      </c>
      <c r="C3" s="5" t="str">
        <f>[1]EAN13_traite!C3</f>
        <v>CodeBarre</v>
      </c>
      <c r="D3" s="6" t="str">
        <f>[1]EAN13_traite!D3</f>
        <v>CodeBarre</v>
      </c>
      <c r="E3" s="4" t="str">
        <f>[1]EAN13_traite!E3</f>
        <v>CodeBarre</v>
      </c>
      <c r="F3" s="4" t="str">
        <f>[1]EAN13_traite!F3</f>
        <v>CodeBarre</v>
      </c>
      <c r="G3" s="4" t="str">
        <f>[1]EAN13_traite!G3</f>
        <v>CodeBarre</v>
      </c>
      <c r="H3" s="4" t="str">
        <f>[1]EAN13_traite!H3</f>
        <v>CodeBarre</v>
      </c>
      <c r="I3" s="4" t="str">
        <f>[1]EAN13_traite!I3</f>
        <v>CodeBarre</v>
      </c>
      <c r="J3" s="3" t="str">
        <f t="shared" si="0"/>
        <v/>
      </c>
      <c r="K3" s="1" t="s">
        <v>1</v>
      </c>
    </row>
    <row r="4" spans="1:12" ht="31.5" x14ac:dyDescent="0.45">
      <c r="A4" s="4" t="str">
        <f>[1]EAN13_traite!A4</f>
        <v>'001</v>
      </c>
      <c r="B4" s="4">
        <f>[1]EAN13_traite!B4</f>
        <v>32</v>
      </c>
      <c r="C4" s="5">
        <f>[1]EAN13_traite!C4</f>
        <v>8058047002022</v>
      </c>
      <c r="D4" s="6" t="str">
        <f>[1]EAN13_traite!D4</f>
        <v>ACCEO114-MAS00-076</v>
      </c>
      <c r="E4" s="4" t="str">
        <f>[1]EAN13_traite!E4</f>
        <v>ACCESSORIO PORTACHIAVI LETTERING LOVE MATERIALE PLASTICO</v>
      </c>
      <c r="F4" s="4" t="str">
        <f>[1]EAN13_traite!F4</f>
        <v>UNICA</v>
      </c>
      <c r="G4" s="4">
        <f>[1]EAN13_traite!G4</f>
        <v>6</v>
      </c>
      <c r="H4" s="4">
        <f>[1]EAN13_traite!H4</f>
        <v>7.78</v>
      </c>
      <c r="I4" s="4">
        <f>[1]EAN13_traite!I4</f>
        <v>46.68</v>
      </c>
      <c r="J4" s="3" t="str">
        <f t="shared" si="0"/>
        <v>8APIKOH*aacacc+</v>
      </c>
      <c r="K4" s="1" t="s">
        <v>0</v>
      </c>
    </row>
    <row r="5" spans="1:12" ht="31.5" x14ac:dyDescent="0.45">
      <c r="A5" s="4" t="str">
        <f>[1]EAN13_traite!A5</f>
        <v>'002</v>
      </c>
      <c r="B5" s="4">
        <f>[1]EAN13_traite!B5</f>
        <v>37</v>
      </c>
      <c r="C5" s="5" t="str">
        <f>[1]EAN13_traite!C5</f>
        <v>CodeBarre</v>
      </c>
      <c r="D5" s="6" t="str">
        <f>[1]EAN13_traite!D5</f>
        <v>ACCEO117-EVS00-076</v>
      </c>
      <c r="E5" s="4" t="str">
        <f>[1]EAN13_traite!E5</f>
        <v>ACCESSORIO PORTACHIAVI PIERCED HEART EVA COMPOUND</v>
      </c>
      <c r="F5" s="4" t="str">
        <f>[1]EAN13_traite!F5</f>
        <v>UNICA</v>
      </c>
      <c r="G5" s="4">
        <f>[1]EAN13_traite!G5</f>
        <v>4</v>
      </c>
      <c r="H5" s="4">
        <f>[1]EAN13_traite!H5</f>
        <v>5.19</v>
      </c>
      <c r="I5" s="4">
        <f>[1]EAN13_traite!I5</f>
        <v>20.76</v>
      </c>
      <c r="J5" s="3" t="str">
        <f t="shared" si="0"/>
        <v/>
      </c>
      <c r="K5" s="1">
        <f>SUMPRODUCT(G:G,H:H)</f>
        <v>2244.1199999999994</v>
      </c>
      <c r="L5" s="8">
        <f>SUM(I:I)</f>
        <v>2244.119999999999</v>
      </c>
    </row>
    <row r="6" spans="1:12" ht="31.5" x14ac:dyDescent="0.45">
      <c r="A6" s="4" t="str">
        <f>[1]EAN13_traite!A6</f>
        <v>'003</v>
      </c>
      <c r="B6" s="4">
        <f>[1]EAN13_traite!B6</f>
        <v>28</v>
      </c>
      <c r="C6" s="5">
        <f>[1]EAN13_traite!C6</f>
        <v>8058047002008</v>
      </c>
      <c r="D6" s="6" t="str">
        <f>[1]EAN13_traite!D6</f>
        <v>ACCEP001-ECSE4-055</v>
      </c>
      <c r="E6" s="4" t="str">
        <f>[1]EAN13_traite!E6</f>
        <v>ACCESSORIO POCHETTE ECOPELLE STAMPA LOVE</v>
      </c>
      <c r="F6" s="4" t="str">
        <f>[1]EAN13_traite!F6</f>
        <v>UNICA</v>
      </c>
      <c r="G6" s="4">
        <f>[1]EAN13_traite!G6</f>
        <v>3</v>
      </c>
      <c r="H6" s="4">
        <f>[1]EAN13_traite!H6</f>
        <v>10</v>
      </c>
      <c r="I6" s="4">
        <f>[1]EAN13_traite!I6</f>
        <v>30</v>
      </c>
      <c r="J6" s="3" t="str">
        <f t="shared" si="0"/>
        <v>8APIKOH*aacaai+</v>
      </c>
      <c r="K6" s="1" t="s">
        <v>4</v>
      </c>
    </row>
    <row r="7" spans="1:12" ht="31.5" x14ac:dyDescent="0.45">
      <c r="A7" s="4" t="str">
        <f>[1]EAN13_traite!A7</f>
        <v>'004</v>
      </c>
      <c r="B7" s="4">
        <f>[1]EAN13_traite!B7</f>
        <v>33</v>
      </c>
      <c r="C7" s="5">
        <f>[1]EAN13_traite!C7</f>
        <v>8058047001995</v>
      </c>
      <c r="D7" s="6" t="str">
        <f>[1]EAN13_traite!D7</f>
        <v>ACCEP001-ECSE4-076</v>
      </c>
      <c r="E7" s="4" t="str">
        <f>[1]EAN13_traite!E7</f>
        <v>ACCESSORIO POCHETTE ECOPELLE STAMPA LOVE</v>
      </c>
      <c r="F7" s="4" t="str">
        <f>[1]EAN13_traite!F7</f>
        <v>UNICA</v>
      </c>
      <c r="G7" s="4">
        <f>[1]EAN13_traite!G7</f>
        <v>3</v>
      </c>
      <c r="H7" s="4">
        <f>[1]EAN13_traite!H7</f>
        <v>10</v>
      </c>
      <c r="I7" s="4">
        <f>[1]EAN13_traite!I7</f>
        <v>30</v>
      </c>
      <c r="J7" s="3" t="str">
        <f t="shared" si="0"/>
        <v>8APIKOH*aabjjf+</v>
      </c>
    </row>
    <row r="8" spans="1:12" ht="31.5" x14ac:dyDescent="0.45">
      <c r="A8" s="4" t="str">
        <f>[1]EAN13_traite!A8</f>
        <v>'005</v>
      </c>
      <c r="B8" s="4">
        <f>[1]EAN13_traite!B8</f>
        <v>46</v>
      </c>
      <c r="C8" s="5">
        <f>[1]EAN13_traite!C8</f>
        <v>8058047002015</v>
      </c>
      <c r="D8" s="6" t="str">
        <f>[1]EAN13_traite!D8</f>
        <v>ACCEP001-ECSE4-371</v>
      </c>
      <c r="E8" s="4" t="str">
        <f>[1]EAN13_traite!E8</f>
        <v>ACCESSORIO POCHETTE ECOPELLE STAMPA LOVE</v>
      </c>
      <c r="F8" s="4" t="str">
        <f>[1]EAN13_traite!F8</f>
        <v>UNICA</v>
      </c>
      <c r="G8" s="4">
        <f>[1]EAN13_traite!G8</f>
        <v>3</v>
      </c>
      <c r="H8" s="4">
        <f>[1]EAN13_traite!H8</f>
        <v>10</v>
      </c>
      <c r="I8" s="4">
        <f>[1]EAN13_traite!I8</f>
        <v>30</v>
      </c>
      <c r="J8" s="3" t="str">
        <f t="shared" si="0"/>
        <v>8APIKOH*aacabf+</v>
      </c>
      <c r="L8" s="8">
        <f>L5-I27-I30</f>
        <v>2226.119999999999</v>
      </c>
    </row>
    <row r="9" spans="1:12" ht="31.5" x14ac:dyDescent="0.45">
      <c r="A9" s="4" t="str">
        <f>[1]EAN13_traite!A9</f>
        <v>'006</v>
      </c>
      <c r="B9" s="4">
        <f>[1]EAN13_traite!B9</f>
        <v>47</v>
      </c>
      <c r="C9" s="5">
        <f>[1]EAN13_traite!C9</f>
        <v>8050846035133</v>
      </c>
      <c r="D9" s="6" t="str">
        <f>[1]EAN13_traite!D9</f>
        <v>HLESCE01-ECS00-055</v>
      </c>
      <c r="E9" s="4" t="str">
        <f>[1]EAN13_traite!E9</f>
        <v>ANSES DOUBLE CHAINE EN Â"Â TÂ Â" EN FAUX CUIR</v>
      </c>
      <c r="F9" s="4" t="str">
        <f>[1]EAN13_traite!F9</f>
        <v>UNICA</v>
      </c>
      <c r="G9" s="4">
        <f>[1]EAN13_traite!G9</f>
        <v>6</v>
      </c>
      <c r="H9" s="4">
        <f>[1]EAN13_traite!H9</f>
        <v>12.66</v>
      </c>
      <c r="I9" s="4">
        <f>[1]EAN13_traite!I9</f>
        <v>75.959999999999994</v>
      </c>
      <c r="J9" s="3" t="str">
        <f t="shared" si="0"/>
        <v>8APASOG*adfbdd+</v>
      </c>
    </row>
    <row r="10" spans="1:12" ht="31.5" x14ac:dyDescent="0.45">
      <c r="A10" s="4" t="str">
        <f>[1]EAN13_traite!A10</f>
        <v>'006</v>
      </c>
      <c r="B10" s="4">
        <f>[1]EAN13_traite!B10</f>
        <v>47</v>
      </c>
      <c r="C10" s="5">
        <f>[1]EAN13_traite!C10</f>
        <v>8050846035133</v>
      </c>
      <c r="D10" s="6" t="str">
        <f>[1]EAN13_traite!D10</f>
        <v>HLESCE01-ECS00-055</v>
      </c>
      <c r="E10" s="4" t="str">
        <f>[1]EAN13_traite!E10</f>
        <v>ANSES DOUBLE CHAINE EN Â"Â TÂ Â" EN FAUX CUIR</v>
      </c>
      <c r="F10" s="4" t="str">
        <f>[1]EAN13_traite!F10</f>
        <v>UNICA</v>
      </c>
      <c r="G10" s="4">
        <f>[1]EAN13_traite!G10</f>
        <v>6</v>
      </c>
      <c r="H10" s="4">
        <f>[1]EAN13_traite!H10</f>
        <v>12.66</v>
      </c>
      <c r="I10" s="4">
        <f>[1]EAN13_traite!I10</f>
        <v>75.959999999999994</v>
      </c>
      <c r="J10" s="3" t="str">
        <f t="shared" si="0"/>
        <v>8APASOG*adfbdd+</v>
      </c>
    </row>
    <row r="11" spans="1:12" ht="31.5" x14ac:dyDescent="0.45">
      <c r="A11" s="4" t="str">
        <f>[1]EAN13_traite!A11</f>
        <v>'007</v>
      </c>
      <c r="B11" s="4">
        <f>[1]EAN13_traite!B11</f>
        <v>48</v>
      </c>
      <c r="C11" s="5">
        <f>[1]EAN13_traite!C11</f>
        <v>8050846011151</v>
      </c>
      <c r="D11" s="6" t="str">
        <f>[1]EAN13_traite!D11</f>
        <v>HLESMD00-ECS46-055</v>
      </c>
      <c r="E11" s="4" t="str">
        <f>[1]EAN13_traite!E11</f>
        <v>MICRO-ANSES TUBULAIRES COURTES EN FAUX CUIR LISSE</v>
      </c>
      <c r="F11" s="4" t="str">
        <f>[1]EAN13_traite!F11</f>
        <v>UNICA</v>
      </c>
      <c r="G11" s="4">
        <f>[1]EAN13_traite!G11</f>
        <v>6</v>
      </c>
      <c r="H11" s="4">
        <f>[1]EAN13_traite!H11</f>
        <v>12.66</v>
      </c>
      <c r="I11" s="4">
        <f>[1]EAN13_traite!I11</f>
        <v>75.959999999999994</v>
      </c>
      <c r="J11" s="3" t="str">
        <f>IF(ISNUMBER(A22),codeEAN13(INT(A22/10)),"")</f>
        <v/>
      </c>
      <c r="K11" s="9">
        <f>G11*H11</f>
        <v>75.960000000000008</v>
      </c>
      <c r="L11" s="9">
        <f>I11-K11</f>
        <v>0</v>
      </c>
    </row>
    <row r="12" spans="1:12" ht="31.5" x14ac:dyDescent="0.45">
      <c r="A12" s="4" t="str">
        <f>[1]EAN13_traite!A12</f>
        <v>'007</v>
      </c>
      <c r="B12" s="4">
        <f>[1]EAN13_traite!B12</f>
        <v>48</v>
      </c>
      <c r="C12" s="5">
        <f>[1]EAN13_traite!C12</f>
        <v>8050846011151</v>
      </c>
      <c r="D12" s="6" t="str">
        <f>[1]EAN13_traite!D12</f>
        <v>HLESMD00-ECS46-055</v>
      </c>
      <c r="E12" s="4" t="str">
        <f>[1]EAN13_traite!E12</f>
        <v>MICRO-ANSES TUBULAIRES COURTES EN FAUX CUIR LISSE</v>
      </c>
      <c r="F12" s="4" t="str">
        <f>[1]EAN13_traite!F12</f>
        <v>UNICA</v>
      </c>
      <c r="G12" s="4">
        <f>[1]EAN13_traite!G12</f>
        <v>6</v>
      </c>
      <c r="H12" s="4">
        <f>[1]EAN13_traite!H12</f>
        <v>12.66</v>
      </c>
      <c r="I12" s="4">
        <f>[1]EAN13_traite!I12</f>
        <v>75.959999999999994</v>
      </c>
      <c r="J12" s="3" t="str">
        <f t="shared" si="0"/>
        <v>8APASOG*abbbfb+</v>
      </c>
      <c r="K12" s="9">
        <f t="shared" ref="K12:K31" si="1">G12*H12</f>
        <v>75.960000000000008</v>
      </c>
      <c r="L12" s="9">
        <f t="shared" ref="L12:L31" si="2">I12-K12</f>
        <v>0</v>
      </c>
    </row>
    <row r="13" spans="1:12" ht="31.5" x14ac:dyDescent="0.45">
      <c r="A13" s="4" t="str">
        <f>[1]EAN13_traite!A13</f>
        <v>'008</v>
      </c>
      <c r="B13" s="4">
        <f>[1]EAN13_traite!B13</f>
        <v>39</v>
      </c>
      <c r="C13" s="5">
        <f>[1]EAN13_traite!C13</f>
        <v>8058047001919</v>
      </c>
      <c r="D13" s="6" t="str">
        <f>[1]EAN13_traite!D13</f>
        <v>OBAGB001-EVS59-038</v>
      </c>
      <c r="E13" s="4" t="str">
        <f>[1]EAN13_traite!E13</f>
        <v>SCOCCA O BAG EVA COMPOUND STAMPA LOVE</v>
      </c>
      <c r="F13" s="4" t="str">
        <f>[1]EAN13_traite!F13</f>
        <v>UNICA</v>
      </c>
      <c r="G13" s="4">
        <f>[1]EAN13_traite!G13</f>
        <v>3</v>
      </c>
      <c r="H13" s="4">
        <f>[1]EAN13_traite!H13</f>
        <v>27.78</v>
      </c>
      <c r="I13" s="4">
        <f>[1]EAN13_traite!I13</f>
        <v>83.34</v>
      </c>
      <c r="J13" s="3" t="str">
        <f t="shared" ref="J13:J51" si="3">IF(ISNUMBER($C13),codeEAN13(INT(C13/10)),"")</f>
        <v>8APIKOH*aabjbj+</v>
      </c>
      <c r="K13" s="9">
        <f t="shared" si="1"/>
        <v>83.34</v>
      </c>
      <c r="L13" s="9">
        <f t="shared" si="2"/>
        <v>0</v>
      </c>
    </row>
    <row r="14" spans="1:12" ht="31.5" x14ac:dyDescent="0.45">
      <c r="A14" s="4" t="str">
        <f>[1]EAN13_traite!A14</f>
        <v>'009</v>
      </c>
      <c r="B14" s="4">
        <f>[1]EAN13_traite!B14</f>
        <v>38</v>
      </c>
      <c r="C14" s="5">
        <f>[1]EAN13_traite!C14</f>
        <v>8058047001926</v>
      </c>
      <c r="D14" s="6" t="str">
        <f>[1]EAN13_traite!D14</f>
        <v>OBAGB001-EVS59-076</v>
      </c>
      <c r="E14" s="4" t="str">
        <f>[1]EAN13_traite!E14</f>
        <v>SCOCCA O BAG EVA COMPOUND STAMPA LOVE</v>
      </c>
      <c r="F14" s="4" t="str">
        <f>[1]EAN13_traite!F14</f>
        <v>UNICA</v>
      </c>
      <c r="G14" s="4">
        <f>[1]EAN13_traite!G14</f>
        <v>3</v>
      </c>
      <c r="H14" s="4">
        <f>[1]EAN13_traite!H14</f>
        <v>27.78</v>
      </c>
      <c r="I14" s="4">
        <f>[1]EAN13_traite!I14</f>
        <v>83.34</v>
      </c>
      <c r="J14" s="3" t="str">
        <f t="shared" si="3"/>
        <v>8APIKOH*aabjcg+</v>
      </c>
      <c r="K14" s="9">
        <f t="shared" si="1"/>
        <v>83.34</v>
      </c>
      <c r="L14" s="9">
        <f t="shared" si="2"/>
        <v>0</v>
      </c>
    </row>
    <row r="15" spans="1:12" ht="31.5" x14ac:dyDescent="0.45">
      <c r="A15" s="4" t="str">
        <f>[1]EAN13_traite!A15</f>
        <v>'010</v>
      </c>
      <c r="B15" s="4">
        <f>[1]EAN13_traite!B15</f>
        <v>49</v>
      </c>
      <c r="C15" s="5">
        <f>[1]EAN13_traite!C15</f>
        <v>8058047001933</v>
      </c>
      <c r="D15" s="6" t="str">
        <f>[1]EAN13_traite!D15</f>
        <v>OBAGB002-EVS59-038</v>
      </c>
      <c r="E15" s="4" t="str">
        <f>[1]EAN13_traite!E15</f>
        <v>SCOCCA O BAG MINI EVA COMPOUND STAMPA LOVE</v>
      </c>
      <c r="F15" s="4" t="str">
        <f>[1]EAN13_traite!F15</f>
        <v>UNICA</v>
      </c>
      <c r="G15" s="4">
        <f>[1]EAN13_traite!G15</f>
        <v>3</v>
      </c>
      <c r="H15" s="4">
        <f>[1]EAN13_traite!H15</f>
        <v>27.78</v>
      </c>
      <c r="I15" s="4">
        <f>[1]EAN13_traite!I15</f>
        <v>83.34</v>
      </c>
      <c r="J15" s="3" t="str">
        <f t="shared" si="3"/>
        <v>8APIKOH*aabjdd+</v>
      </c>
      <c r="K15" s="9">
        <f t="shared" si="1"/>
        <v>83.34</v>
      </c>
      <c r="L15" s="9">
        <f t="shared" si="2"/>
        <v>0</v>
      </c>
    </row>
    <row r="16" spans="1:12" ht="31.5" x14ac:dyDescent="0.45">
      <c r="A16" s="4" t="str">
        <f>[1]EAN13_traite!A16</f>
        <v>'011</v>
      </c>
      <c r="B16" s="4">
        <f>[1]EAN13_traite!B16</f>
        <v>44</v>
      </c>
      <c r="C16" s="5">
        <f>[1]EAN13_traite!C16</f>
        <v>8058047001940</v>
      </c>
      <c r="D16" s="6" t="str">
        <f>[1]EAN13_traite!D16</f>
        <v>OBAGB002-EVS59-076</v>
      </c>
      <c r="E16" s="4" t="str">
        <f>[1]EAN13_traite!E16</f>
        <v>SCOCCA O BAG MINI EVA COMPOUND STAMPA LOVE</v>
      </c>
      <c r="F16" s="4" t="str">
        <f>[1]EAN13_traite!F16</f>
        <v>UNICA</v>
      </c>
      <c r="G16" s="4">
        <f>[1]EAN13_traite!G16</f>
        <v>3</v>
      </c>
      <c r="H16" s="4">
        <f>[1]EAN13_traite!H16</f>
        <v>27.78</v>
      </c>
      <c r="I16" s="4">
        <f>[1]EAN13_traite!I16</f>
        <v>83.34</v>
      </c>
      <c r="J16" s="3" t="str">
        <f t="shared" si="3"/>
        <v>8APIKOH*aabjea+</v>
      </c>
      <c r="K16" s="9">
        <f t="shared" si="1"/>
        <v>83.34</v>
      </c>
      <c r="L16" s="9">
        <f t="shared" si="2"/>
        <v>0</v>
      </c>
    </row>
    <row r="17" spans="1:12" ht="31.5" x14ac:dyDescent="0.45">
      <c r="A17" s="4" t="str">
        <f>[1]EAN13_traite!A17</f>
        <v>'012</v>
      </c>
      <c r="B17" s="4">
        <f>[1]EAN13_traite!B17</f>
        <v>43</v>
      </c>
      <c r="C17" s="5">
        <f>[1]EAN13_traite!C17</f>
        <v>8058047001957</v>
      </c>
      <c r="D17" s="6" t="str">
        <f>[1]EAN13_traite!D17</f>
        <v>OBAGS001-TESBV-055</v>
      </c>
      <c r="E17" s="4" t="str">
        <f>[1]EAN13_traite!E17</f>
        <v>SACCA INTERNA ZIP O BAG TESSUTO STAMPA LOVE</v>
      </c>
      <c r="F17" s="4" t="str">
        <f>[1]EAN13_traite!F17</f>
        <v>UNICA</v>
      </c>
      <c r="G17" s="4">
        <f>[1]EAN13_traite!G17</f>
        <v>3</v>
      </c>
      <c r="H17" s="4">
        <f>[1]EAN13_traite!H17</f>
        <v>11.85</v>
      </c>
      <c r="I17" s="4">
        <f>[1]EAN13_traite!I17</f>
        <v>35.549999999999997</v>
      </c>
      <c r="J17" s="3" t="str">
        <f t="shared" si="3"/>
        <v>8APIKOH*aabjfh+</v>
      </c>
      <c r="K17" s="9">
        <f t="shared" si="1"/>
        <v>35.549999999999997</v>
      </c>
      <c r="L17" s="9">
        <f t="shared" si="2"/>
        <v>0</v>
      </c>
    </row>
    <row r="18" spans="1:12" ht="31.5" x14ac:dyDescent="0.45">
      <c r="A18" s="4" t="str">
        <f>[1]EAN13_traite!A18</f>
        <v>'013</v>
      </c>
      <c r="B18" s="4">
        <f>[1]EAN13_traite!B18</f>
        <v>30</v>
      </c>
      <c r="C18" s="5">
        <f>[1]EAN13_traite!C18</f>
        <v>8058047001964</v>
      </c>
      <c r="D18" s="6" t="str">
        <f>[1]EAN13_traite!D18</f>
        <v>OBAGS001-TESBV-076</v>
      </c>
      <c r="E18" s="4" t="str">
        <f>[1]EAN13_traite!E18</f>
        <v>SACCA INTERNA ZIP O BAG TESSUTO STAMPA LOVE</v>
      </c>
      <c r="F18" s="4" t="str">
        <f>[1]EAN13_traite!F18</f>
        <v>UNICA</v>
      </c>
      <c r="G18" s="4">
        <f>[1]EAN13_traite!G18</f>
        <v>3</v>
      </c>
      <c r="H18" s="4">
        <f>[1]EAN13_traite!H18</f>
        <v>11.85</v>
      </c>
      <c r="I18" s="4">
        <f>[1]EAN13_traite!I18</f>
        <v>35.549999999999997</v>
      </c>
      <c r="J18" s="3" t="str">
        <f t="shared" si="3"/>
        <v>8APIKOH*aabjge+</v>
      </c>
      <c r="K18" s="9">
        <f t="shared" si="1"/>
        <v>35.549999999999997</v>
      </c>
      <c r="L18" s="9">
        <f t="shared" si="2"/>
        <v>0</v>
      </c>
    </row>
    <row r="19" spans="1:12" ht="31.5" x14ac:dyDescent="0.45">
      <c r="A19" s="4" t="str">
        <f>[1]EAN13_traite!A19</f>
        <v>'014</v>
      </c>
      <c r="B19" s="4">
        <f>[1]EAN13_traite!B19</f>
        <v>2</v>
      </c>
      <c r="C19" s="5">
        <f>[1]EAN13_traite!C19</f>
        <v>8058047001971</v>
      </c>
      <c r="D19" s="6" t="str">
        <f>[1]EAN13_traite!D19</f>
        <v>OBAGS002-TESBV-055</v>
      </c>
      <c r="E19" s="4" t="str">
        <f>[1]EAN13_traite!E19</f>
        <v>SACCA INTERNA ZIP O BAG MINI TESSUTO STAMPA LOVE</v>
      </c>
      <c r="F19" s="4" t="str">
        <f>[1]EAN13_traite!F19</f>
        <v>UNICA</v>
      </c>
      <c r="G19" s="4">
        <f>[1]EAN13_traite!G19</f>
        <v>3</v>
      </c>
      <c r="H19" s="4">
        <f>[1]EAN13_traite!H19</f>
        <v>11.85</v>
      </c>
      <c r="I19" s="4">
        <f>[1]EAN13_traite!I19</f>
        <v>35.549999999999997</v>
      </c>
      <c r="J19" s="3" t="str">
        <f t="shared" si="3"/>
        <v>8APIKOH*aabjhb+</v>
      </c>
      <c r="K19" s="9">
        <f t="shared" si="1"/>
        <v>35.549999999999997</v>
      </c>
      <c r="L19" s="9">
        <f t="shared" si="2"/>
        <v>0</v>
      </c>
    </row>
    <row r="20" spans="1:12" ht="31.5" x14ac:dyDescent="0.45">
      <c r="A20" s="4" t="str">
        <f>[1]EAN13_traite!A20</f>
        <v>'015</v>
      </c>
      <c r="B20" s="4">
        <f>[1]EAN13_traite!B20</f>
        <v>34</v>
      </c>
      <c r="C20" s="5">
        <f>[1]EAN13_traite!C20</f>
        <v>8058047001988</v>
      </c>
      <c r="D20" s="6" t="str">
        <f>[1]EAN13_traite!D20</f>
        <v>OBAGS002-TESBV-076</v>
      </c>
      <c r="E20" s="4" t="str">
        <f>[1]EAN13_traite!E20</f>
        <v>SACCA INTERNA ZIP O BAG MINI TESSUTO STAMPA LOVE</v>
      </c>
      <c r="F20" s="4" t="str">
        <f>[1]EAN13_traite!F20</f>
        <v>UNICA</v>
      </c>
      <c r="G20" s="4">
        <f>[1]EAN13_traite!G20</f>
        <v>3</v>
      </c>
      <c r="H20" s="4">
        <f>[1]EAN13_traite!H20</f>
        <v>11.85</v>
      </c>
      <c r="I20" s="4">
        <f>[1]EAN13_traite!I20</f>
        <v>35.549999999999997</v>
      </c>
      <c r="J20" s="3" t="str">
        <f t="shared" si="3"/>
        <v>8APIKOH*aabjii+</v>
      </c>
      <c r="K20" s="9">
        <f t="shared" si="1"/>
        <v>35.549999999999997</v>
      </c>
      <c r="L20" s="9">
        <f t="shared" si="2"/>
        <v>0</v>
      </c>
    </row>
    <row r="21" spans="1:12" ht="31.5" x14ac:dyDescent="0.45">
      <c r="A21" s="4" t="str">
        <f>[1]EAN13_traite!A21</f>
        <v>'016</v>
      </c>
      <c r="B21" s="4">
        <f>[1]EAN13_traite!B21</f>
        <v>27</v>
      </c>
      <c r="C21" s="5">
        <f>[1]EAN13_traite!C21</f>
        <v>8058047001896</v>
      </c>
      <c r="D21" s="6" t="str">
        <f>[1]EAN13_traite!D21</f>
        <v>OCLKD001-MESF5-008</v>
      </c>
      <c r="E21" s="4" t="str">
        <f>[1]EAN13_traite!E21</f>
        <v>O CLOCK MECCANISMO SPARKLING HEART</v>
      </c>
      <c r="F21" s="4" t="str">
        <f>[1]EAN13_traite!F21</f>
        <v>UNICA</v>
      </c>
      <c r="G21" s="4">
        <f>[1]EAN13_traite!G21</f>
        <v>4</v>
      </c>
      <c r="H21" s="4">
        <f>[1]EAN13_traite!H21</f>
        <v>9.6300000000000008</v>
      </c>
      <c r="I21" s="4">
        <f>[1]EAN13_traite!I21</f>
        <v>38.520000000000003</v>
      </c>
      <c r="J21" s="3" t="str">
        <f t="shared" si="3"/>
        <v>8APIKOH*aabijg+</v>
      </c>
      <c r="K21" s="9">
        <f t="shared" si="1"/>
        <v>38.520000000000003</v>
      </c>
      <c r="L21" s="9">
        <f t="shared" si="2"/>
        <v>0</v>
      </c>
    </row>
    <row r="22" spans="1:12" ht="31.5" x14ac:dyDescent="0.45">
      <c r="A22" s="4" t="str">
        <f>[1]EAN13_traite!A22</f>
        <v>'017</v>
      </c>
      <c r="B22" s="4">
        <f>[1]EAN13_traite!B22</f>
        <v>45</v>
      </c>
      <c r="C22" s="5">
        <f>[1]EAN13_traite!C22</f>
        <v>8058047001889</v>
      </c>
      <c r="D22" s="6" t="str">
        <f>[1]EAN13_traite!D22</f>
        <v>OCLKD001-MESF5-025</v>
      </c>
      <c r="E22" s="4" t="str">
        <f>[1]EAN13_traite!E22</f>
        <v>O CLOCK MECCANISMO SPARKLING HEART</v>
      </c>
      <c r="F22" s="4" t="str">
        <f>[1]EAN13_traite!F22</f>
        <v>UNICA</v>
      </c>
      <c r="G22" s="4">
        <f>[1]EAN13_traite!G22</f>
        <v>4</v>
      </c>
      <c r="H22" s="4">
        <f>[1]EAN13_traite!H22</f>
        <v>9.6300000000000008</v>
      </c>
      <c r="I22" s="4">
        <f>[1]EAN13_traite!I22</f>
        <v>38.520000000000003</v>
      </c>
      <c r="J22" s="3" t="str">
        <f t="shared" si="3"/>
        <v>8APIKOH*aabiij+</v>
      </c>
      <c r="K22" s="9">
        <f t="shared" si="1"/>
        <v>38.520000000000003</v>
      </c>
      <c r="L22" s="9">
        <f t="shared" si="2"/>
        <v>0</v>
      </c>
    </row>
    <row r="23" spans="1:12" ht="31.5" x14ac:dyDescent="0.45">
      <c r="A23" s="4" t="str">
        <f>[1]EAN13_traite!A23</f>
        <v>'018</v>
      </c>
      <c r="B23" s="4">
        <f>[1]EAN13_traite!B23</f>
        <v>42</v>
      </c>
      <c r="C23" s="5">
        <f>[1]EAN13_traite!C23</f>
        <v>8058047001902</v>
      </c>
      <c r="D23" s="6" t="str">
        <f>[1]EAN13_traite!D23</f>
        <v>OCLKD001-MESF5-076</v>
      </c>
      <c r="E23" s="4" t="str">
        <f>[1]EAN13_traite!E23</f>
        <v>O CLOCK MECCANISMO SPARKLING HEART</v>
      </c>
      <c r="F23" s="4" t="str">
        <f>[1]EAN13_traite!F23</f>
        <v>UNICA</v>
      </c>
      <c r="G23" s="4">
        <f>[1]EAN13_traite!G23</f>
        <v>3</v>
      </c>
      <c r="H23" s="4">
        <f>[1]EAN13_traite!H23</f>
        <v>9.6300000000000008</v>
      </c>
      <c r="I23" s="4">
        <f>[1]EAN13_traite!I23</f>
        <v>28.89</v>
      </c>
      <c r="J23" s="3" t="str">
        <f t="shared" si="3"/>
        <v>8APIKOH*aabjac+</v>
      </c>
      <c r="K23" s="9">
        <f t="shared" si="1"/>
        <v>28.89</v>
      </c>
      <c r="L23" s="9">
        <f t="shared" si="2"/>
        <v>0</v>
      </c>
    </row>
    <row r="24" spans="1:12" ht="31.5" x14ac:dyDescent="0.45">
      <c r="A24" s="4" t="str">
        <f>[1]EAN13_traite!A24</f>
        <v>'019</v>
      </c>
      <c r="B24" s="4">
        <f>[1]EAN13_traite!B24</f>
        <v>31</v>
      </c>
      <c r="C24" s="5">
        <f>[1]EAN13_traite!C24</f>
        <v>8058047001872</v>
      </c>
      <c r="D24" s="6" t="str">
        <f>[1]EAN13_traite!D24</f>
        <v>OCLKD001-MESF6-004</v>
      </c>
      <c r="E24" s="4" t="str">
        <f>[1]EAN13_traite!E24</f>
        <v>O CLOCK MECCANISMO SHINY HEARTS</v>
      </c>
      <c r="F24" s="4" t="str">
        <f>[1]EAN13_traite!F24</f>
        <v>UNICA</v>
      </c>
      <c r="G24" s="4">
        <f>[1]EAN13_traite!G24</f>
        <v>3</v>
      </c>
      <c r="H24" s="4">
        <f>[1]EAN13_traite!H24</f>
        <v>9.6300000000000008</v>
      </c>
      <c r="I24" s="4">
        <f>[1]EAN13_traite!I24</f>
        <v>28.89</v>
      </c>
      <c r="J24" s="3" t="str">
        <f t="shared" si="3"/>
        <v>8APIKOH*aabihc+</v>
      </c>
      <c r="K24" s="9">
        <f t="shared" si="1"/>
        <v>28.89</v>
      </c>
      <c r="L24" s="9">
        <f t="shared" si="2"/>
        <v>0</v>
      </c>
    </row>
    <row r="25" spans="1:12" ht="31.5" x14ac:dyDescent="0.45">
      <c r="A25" s="4" t="str">
        <f>[1]EAN13_traite!A25</f>
        <v>'020</v>
      </c>
      <c r="B25" s="4">
        <f>[1]EAN13_traite!B25</f>
        <v>41</v>
      </c>
      <c r="C25" s="5" t="str">
        <f>[1]EAN13_traite!C25</f>
        <v>CodeBarre</v>
      </c>
      <c r="D25" s="6" t="str">
        <f>[1]EAN13_traite!D25</f>
        <v>OCLKS007-SIS01-025</v>
      </c>
      <c r="E25" s="4" t="str">
        <f>[1]EAN13_traite!E25</f>
        <v>O CLOCK BRACELET COVER EN SILICONE</v>
      </c>
      <c r="F25" s="4" t="str">
        <f>[1]EAN13_traite!F25</f>
        <v>S</v>
      </c>
      <c r="G25" s="4">
        <f>[1]EAN13_traite!G25</f>
        <v>2</v>
      </c>
      <c r="H25" s="4">
        <f>[1]EAN13_traite!H25</f>
        <v>3.6</v>
      </c>
      <c r="I25" s="4">
        <f>[1]EAN13_traite!I25</f>
        <v>7.2</v>
      </c>
      <c r="J25" s="3" t="str">
        <f t="shared" si="3"/>
        <v/>
      </c>
      <c r="K25" s="9">
        <f t="shared" si="1"/>
        <v>7.2</v>
      </c>
      <c r="L25" s="9">
        <f t="shared" si="2"/>
        <v>0</v>
      </c>
    </row>
    <row r="26" spans="1:12" ht="31.5" x14ac:dyDescent="0.45">
      <c r="A26" s="4" t="str">
        <f>[1]EAN13_traite!A26</f>
        <v>'021</v>
      </c>
      <c r="B26" s="4">
        <f>[1]EAN13_traite!B26</f>
        <v>36</v>
      </c>
      <c r="C26" s="5" t="str">
        <f>[1]EAN13_traite!C26</f>
        <v>CodeBarre</v>
      </c>
      <c r="D26" s="6" t="str">
        <f>[1]EAN13_traite!D26</f>
        <v>OCLKS007-SIS01-025</v>
      </c>
      <c r="E26" s="4" t="str">
        <f>[1]EAN13_traite!E26</f>
        <v>O CLOCK BRACELET COVER EN SILICONE</v>
      </c>
      <c r="F26" s="4" t="str">
        <f>[1]EAN13_traite!F26</f>
        <v>M</v>
      </c>
      <c r="G26" s="4">
        <f>[1]EAN13_traite!G26</f>
        <v>2</v>
      </c>
      <c r="H26" s="4">
        <f>[1]EAN13_traite!H26</f>
        <v>3.6</v>
      </c>
      <c r="I26" s="4">
        <f>[1]EAN13_traite!I26</f>
        <v>7.2</v>
      </c>
      <c r="J26" s="3" t="str">
        <f t="shared" si="3"/>
        <v/>
      </c>
      <c r="K26" s="9">
        <f t="shared" si="1"/>
        <v>7.2</v>
      </c>
      <c r="L26" s="9">
        <f t="shared" si="2"/>
        <v>0</v>
      </c>
    </row>
    <row r="27" spans="1:12" ht="31.5" x14ac:dyDescent="0.45">
      <c r="A27" s="4" t="str">
        <f>[1]EAN13_traite!A27</f>
        <v>'022</v>
      </c>
      <c r="B27" s="4">
        <f>[1]EAN13_traite!B27</f>
        <v>29</v>
      </c>
      <c r="C27" s="5" t="str">
        <f>[1]EAN13_traite!C27</f>
        <v>CodeBarre</v>
      </c>
      <c r="D27" s="6" t="str">
        <f>[1]EAN13_traite!D27</f>
        <v>OCLKS007-SIS01-055</v>
      </c>
      <c r="E27" s="4" t="str">
        <f>[1]EAN13_traite!E27</f>
        <v>O CLOCK BRACELET COVER EN SILICONE</v>
      </c>
      <c r="F27" s="4" t="str">
        <f>[1]EAN13_traite!F27</f>
        <v>S</v>
      </c>
      <c r="G27" s="4">
        <f>[1]EAN13_traite!G27</f>
        <v>3</v>
      </c>
      <c r="H27" s="4">
        <f>[1]EAN13_traite!H27</f>
        <v>3.6</v>
      </c>
      <c r="I27" s="4">
        <f>[1]EAN13_traite!I27</f>
        <v>10.8</v>
      </c>
      <c r="J27" s="3" t="str">
        <f t="shared" si="3"/>
        <v/>
      </c>
      <c r="K27" s="9">
        <f t="shared" si="1"/>
        <v>10.8</v>
      </c>
      <c r="L27" s="9">
        <f t="shared" si="2"/>
        <v>0</v>
      </c>
    </row>
    <row r="28" spans="1:12" ht="31.5" x14ac:dyDescent="0.45">
      <c r="A28" s="4" t="str">
        <f>[1]EAN13_traite!A28</f>
        <v>'023</v>
      </c>
      <c r="B28" s="4">
        <f>[1]EAN13_traite!B28</f>
        <v>26</v>
      </c>
      <c r="C28" s="5" t="str">
        <f>[1]EAN13_traite!C28</f>
        <v>CodeBarre</v>
      </c>
      <c r="D28" s="6" t="str">
        <f>[1]EAN13_traite!D28</f>
        <v>OCLKS007-SIS01-055</v>
      </c>
      <c r="E28" s="4" t="str">
        <f>[1]EAN13_traite!E28</f>
        <v>O CLOCK BRACELET COVER EN SILICONE</v>
      </c>
      <c r="F28" s="4" t="str">
        <f>[1]EAN13_traite!F28</f>
        <v>M</v>
      </c>
      <c r="G28" s="4">
        <f>[1]EAN13_traite!G28</f>
        <v>2</v>
      </c>
      <c r="H28" s="4">
        <f>[1]EAN13_traite!H28</f>
        <v>3.6</v>
      </c>
      <c r="I28" s="4">
        <f>[1]EAN13_traite!I28</f>
        <v>7.2</v>
      </c>
      <c r="J28" s="3" t="str">
        <f t="shared" si="3"/>
        <v/>
      </c>
      <c r="K28" s="9">
        <f t="shared" si="1"/>
        <v>7.2</v>
      </c>
      <c r="L28" s="9">
        <f t="shared" si="2"/>
        <v>0</v>
      </c>
    </row>
    <row r="29" spans="1:12" ht="31.5" x14ac:dyDescent="0.45">
      <c r="A29" s="4" t="str">
        <f>[1]EAN13_traite!A29</f>
        <v>'024</v>
      </c>
      <c r="B29" s="4">
        <f>[1]EAN13_traite!B29</f>
        <v>40</v>
      </c>
      <c r="C29" s="5" t="str">
        <f>[1]EAN13_traite!C29</f>
        <v>CodeBarre</v>
      </c>
      <c r="D29" s="6" t="str">
        <f>[1]EAN13_traite!D29</f>
        <v>OCLKS007-SIS01-076</v>
      </c>
      <c r="E29" s="4" t="str">
        <f>[1]EAN13_traite!E29</f>
        <v>O CLOCK BRACELET COVER EN SILICONE</v>
      </c>
      <c r="F29" s="4" t="str">
        <f>[1]EAN13_traite!F29</f>
        <v>S</v>
      </c>
      <c r="G29" s="4">
        <f>[1]EAN13_traite!G29</f>
        <v>3</v>
      </c>
      <c r="H29" s="4">
        <f>[1]EAN13_traite!H29</f>
        <v>3.6</v>
      </c>
      <c r="I29" s="4">
        <f>[1]EAN13_traite!I29</f>
        <v>10.8</v>
      </c>
      <c r="J29" s="3" t="str">
        <f t="shared" si="3"/>
        <v/>
      </c>
      <c r="K29" s="9">
        <f t="shared" si="1"/>
        <v>10.8</v>
      </c>
      <c r="L29" s="9">
        <f t="shared" si="2"/>
        <v>0</v>
      </c>
    </row>
    <row r="30" spans="1:12" ht="31.5" x14ac:dyDescent="0.45">
      <c r="A30" s="4" t="str">
        <f>[1]EAN13_traite!A30</f>
        <v>'025</v>
      </c>
      <c r="B30" s="4">
        <f>[1]EAN13_traite!B30</f>
        <v>35</v>
      </c>
      <c r="C30" s="5" t="str">
        <f>[1]EAN13_traite!C30</f>
        <v>CodeBarre</v>
      </c>
      <c r="D30" s="6" t="str">
        <f>[1]EAN13_traite!D30</f>
        <v>OCLKS007-SIS01-076</v>
      </c>
      <c r="E30" s="4" t="str">
        <f>[1]EAN13_traite!E30</f>
        <v>O CLOCK BRACELET COVER EN SILICONE</v>
      </c>
      <c r="F30" s="4" t="str">
        <f>[1]EAN13_traite!F30</f>
        <v>M</v>
      </c>
      <c r="G30" s="4">
        <f>[1]EAN13_traite!G30</f>
        <v>2</v>
      </c>
      <c r="H30" s="4">
        <f>[1]EAN13_traite!H30</f>
        <v>3.6</v>
      </c>
      <c r="I30" s="4">
        <f>[1]EAN13_traite!I30</f>
        <v>7.2</v>
      </c>
      <c r="J30" s="3" t="str">
        <f t="shared" si="3"/>
        <v/>
      </c>
      <c r="K30" s="9">
        <f t="shared" si="1"/>
        <v>7.2</v>
      </c>
      <c r="L30" s="9">
        <f t="shared" si="2"/>
        <v>0</v>
      </c>
    </row>
    <row r="31" spans="1:12" ht="31.5" x14ac:dyDescent="0.45">
      <c r="A31" s="4" t="str">
        <f>[1]EAN13_traite!A31</f>
        <v>'026</v>
      </c>
      <c r="B31" s="4">
        <f>[1]EAN13_traite!B31</f>
        <v>10</v>
      </c>
      <c r="C31" s="5">
        <f>[1]EAN13_traite!C31</f>
        <v>8058047002022</v>
      </c>
      <c r="D31" s="6" t="str">
        <f>[1]EAN13_traite!D31</f>
        <v>ACCEO114-MAS00-076</v>
      </c>
      <c r="E31" s="4" t="str">
        <f>[1]EAN13_traite!E31</f>
        <v>ACCESSORIO PORTACHIAVI LETTERING LOVE MATERIALE PLASTICO</v>
      </c>
      <c r="F31" s="4" t="str">
        <f>[1]EAN13_traite!F31</f>
        <v>UNICA</v>
      </c>
      <c r="G31" s="4">
        <f>[1]EAN13_traite!G31</f>
        <v>6</v>
      </c>
      <c r="H31" s="4">
        <f>[1]EAN13_traite!H31</f>
        <v>7.78</v>
      </c>
      <c r="I31" s="4">
        <f>[1]EAN13_traite!I31</f>
        <v>46.68</v>
      </c>
      <c r="J31" s="3" t="str">
        <f t="shared" si="3"/>
        <v>8APIKOH*aacacc+</v>
      </c>
      <c r="K31" s="9">
        <f t="shared" si="1"/>
        <v>46.68</v>
      </c>
      <c r="L31" s="9">
        <f t="shared" si="2"/>
        <v>0</v>
      </c>
    </row>
    <row r="32" spans="1:12" ht="31.5" x14ac:dyDescent="0.45">
      <c r="A32" s="4" t="str">
        <f>[1]EAN13_traite!A32</f>
        <v>'027</v>
      </c>
      <c r="B32" s="4">
        <f>[1]EAN13_traite!B32</f>
        <v>6</v>
      </c>
      <c r="C32" s="5" t="str">
        <f>[1]EAN13_traite!C32</f>
        <v>CodeBarre</v>
      </c>
      <c r="D32" s="6" t="str">
        <f>[1]EAN13_traite!D32</f>
        <v>ACCEO117-EVS00-076</v>
      </c>
      <c r="E32" s="4" t="str">
        <f>[1]EAN13_traite!E32</f>
        <v>ACCESSORIO PORTACHIAVI PIERCED HEART EVA COMPOUND</v>
      </c>
      <c r="F32" s="4" t="str">
        <f>[1]EAN13_traite!F32</f>
        <v>UNICA</v>
      </c>
      <c r="G32" s="4">
        <f>[1]EAN13_traite!G32</f>
        <v>4</v>
      </c>
      <c r="H32" s="4">
        <f>[1]EAN13_traite!H32</f>
        <v>5.19</v>
      </c>
      <c r="I32" s="4">
        <f>[1]EAN13_traite!I32</f>
        <v>20.76</v>
      </c>
      <c r="J32" s="3" t="str">
        <f t="shared" si="3"/>
        <v/>
      </c>
      <c r="K32" s="9">
        <f t="shared" ref="K32:K37" si="4">G32*H32</f>
        <v>20.76</v>
      </c>
      <c r="L32" s="9">
        <f t="shared" ref="L32:L37" si="5">I32-K32</f>
        <v>0</v>
      </c>
    </row>
    <row r="33" spans="1:12" ht="31.5" x14ac:dyDescent="0.45">
      <c r="A33" s="4" t="str">
        <f>[1]EAN13_traite!A33</f>
        <v>'028</v>
      </c>
      <c r="B33" s="4">
        <f>[1]EAN13_traite!B33</f>
        <v>20</v>
      </c>
      <c r="C33" s="5">
        <f>[1]EAN13_traite!C33</f>
        <v>8058047002008</v>
      </c>
      <c r="D33" s="6" t="str">
        <f>[1]EAN13_traite!D33</f>
        <v>ACCEP001-ECSE4-055</v>
      </c>
      <c r="E33" s="4" t="str">
        <f>[1]EAN13_traite!E33</f>
        <v>ACCESSORIO POCHETTE ECOPELLE STAMPA LOVE</v>
      </c>
      <c r="F33" s="4" t="str">
        <f>[1]EAN13_traite!F33</f>
        <v>UNICA</v>
      </c>
      <c r="G33" s="4">
        <f>[1]EAN13_traite!G33</f>
        <v>3</v>
      </c>
      <c r="H33" s="4">
        <f>[1]EAN13_traite!H33</f>
        <v>10</v>
      </c>
      <c r="I33" s="4">
        <f>[1]EAN13_traite!I33</f>
        <v>30</v>
      </c>
      <c r="J33" s="3" t="str">
        <f t="shared" si="3"/>
        <v>8APIKOH*aacaai+</v>
      </c>
      <c r="K33" s="9">
        <f t="shared" si="4"/>
        <v>30</v>
      </c>
      <c r="L33" s="9">
        <f t="shared" si="5"/>
        <v>0</v>
      </c>
    </row>
    <row r="34" spans="1:12" ht="31.5" x14ac:dyDescent="0.45">
      <c r="A34" s="4" t="str">
        <f>[1]EAN13_traite!A34</f>
        <v>'029</v>
      </c>
      <c r="B34" s="4">
        <f>[1]EAN13_traite!B34</f>
        <v>21</v>
      </c>
      <c r="C34" s="5">
        <f>[1]EAN13_traite!C34</f>
        <v>8058047001995</v>
      </c>
      <c r="D34" s="6" t="str">
        <f>[1]EAN13_traite!D34</f>
        <v>ACCEP001-ECSE4-076</v>
      </c>
      <c r="E34" s="4" t="str">
        <f>[1]EAN13_traite!E34</f>
        <v>ACCESSORIO POCHETTE ECOPELLE STAMPA LOVE</v>
      </c>
      <c r="F34" s="4" t="str">
        <f>[1]EAN13_traite!F34</f>
        <v>UNICA</v>
      </c>
      <c r="G34" s="4">
        <f>[1]EAN13_traite!G34</f>
        <v>3</v>
      </c>
      <c r="H34" s="4">
        <f>[1]EAN13_traite!H34</f>
        <v>10</v>
      </c>
      <c r="I34" s="4">
        <f>[1]EAN13_traite!I34</f>
        <v>30</v>
      </c>
      <c r="J34" s="3" t="str">
        <f t="shared" si="3"/>
        <v>8APIKOH*aabjjf+</v>
      </c>
      <c r="K34" s="9">
        <f t="shared" si="4"/>
        <v>30</v>
      </c>
      <c r="L34" s="9">
        <f t="shared" si="5"/>
        <v>0</v>
      </c>
    </row>
    <row r="35" spans="1:12" ht="31.5" x14ac:dyDescent="0.45">
      <c r="A35" s="4" t="str">
        <f>[1]EAN13_traite!A35</f>
        <v>'030</v>
      </c>
      <c r="B35" s="4">
        <f>[1]EAN13_traite!B35</f>
        <v>25</v>
      </c>
      <c r="C35" s="5">
        <f>[1]EAN13_traite!C35</f>
        <v>8058047002015</v>
      </c>
      <c r="D35" s="6" t="str">
        <f>[1]EAN13_traite!D35</f>
        <v>ACCEP001-ECSE4-371</v>
      </c>
      <c r="E35" s="4" t="str">
        <f>[1]EAN13_traite!E35</f>
        <v>ACCESSORIO POCHETTE ECOPELLE STAMPA LOVE</v>
      </c>
      <c r="F35" s="4" t="str">
        <f>[1]EAN13_traite!F35</f>
        <v>UNICA</v>
      </c>
      <c r="G35" s="4">
        <f>[1]EAN13_traite!G35</f>
        <v>3</v>
      </c>
      <c r="H35" s="4">
        <f>[1]EAN13_traite!H35</f>
        <v>10</v>
      </c>
      <c r="I35" s="4">
        <f>[1]EAN13_traite!I35</f>
        <v>30</v>
      </c>
      <c r="J35" s="3" t="str">
        <f t="shared" si="3"/>
        <v>8APIKOH*aacabf+</v>
      </c>
      <c r="K35" s="9">
        <f t="shared" si="4"/>
        <v>30</v>
      </c>
      <c r="L35" s="9">
        <f t="shared" si="5"/>
        <v>0</v>
      </c>
    </row>
    <row r="36" spans="1:12" ht="31.5" x14ac:dyDescent="0.45">
      <c r="A36" s="4" t="str">
        <f>[1]EAN13_traite!A36</f>
        <v>'031</v>
      </c>
      <c r="B36" s="4">
        <f>[1]EAN13_traite!B36</f>
        <v>4</v>
      </c>
      <c r="C36" s="5">
        <f>[1]EAN13_traite!C36</f>
        <v>8050846035133</v>
      </c>
      <c r="D36" s="6" t="str">
        <f>[1]EAN13_traite!D36</f>
        <v>HLESCE01-ECS00-055</v>
      </c>
      <c r="E36" s="4" t="str">
        <f>[1]EAN13_traite!E36</f>
        <v>ANSES DOUBLE CHAINE EN Â"Â TÂ Â" EN FAUX CUIR</v>
      </c>
      <c r="F36" s="4" t="str">
        <f>[1]EAN13_traite!F36</f>
        <v>UNICA</v>
      </c>
      <c r="G36" s="4">
        <f>[1]EAN13_traite!G36</f>
        <v>6</v>
      </c>
      <c r="H36" s="4">
        <f>[1]EAN13_traite!H36</f>
        <v>12.66</v>
      </c>
      <c r="I36" s="4">
        <f>[1]EAN13_traite!I36</f>
        <v>75.959999999999994</v>
      </c>
      <c r="J36" s="3" t="str">
        <f t="shared" si="3"/>
        <v>8APASOG*adfbdd+</v>
      </c>
      <c r="K36" s="9">
        <f t="shared" si="4"/>
        <v>75.960000000000008</v>
      </c>
      <c r="L36" s="9">
        <f t="shared" si="5"/>
        <v>0</v>
      </c>
    </row>
    <row r="37" spans="1:12" ht="31.5" x14ac:dyDescent="0.45">
      <c r="A37" s="4" t="str">
        <f>[1]EAN13_traite!A37</f>
        <v>'031</v>
      </c>
      <c r="B37" s="4">
        <f>[1]EAN13_traite!B37</f>
        <v>4</v>
      </c>
      <c r="C37" s="5">
        <f>[1]EAN13_traite!C37</f>
        <v>8050846035133</v>
      </c>
      <c r="D37" s="6" t="str">
        <f>[1]EAN13_traite!D37</f>
        <v>HLESCE01-ECS00-055</v>
      </c>
      <c r="E37" s="4" t="str">
        <f>[1]EAN13_traite!E37</f>
        <v>ANSES DOUBLE CHAINE EN Â"Â TÂ Â" EN FAUX CUIR</v>
      </c>
      <c r="F37" s="4" t="str">
        <f>[1]EAN13_traite!F37</f>
        <v>UNICA</v>
      </c>
      <c r="G37" s="4">
        <f>[1]EAN13_traite!G37</f>
        <v>6</v>
      </c>
      <c r="H37" s="4">
        <f>[1]EAN13_traite!H37</f>
        <v>12.66</v>
      </c>
      <c r="I37" s="4">
        <f>[1]EAN13_traite!I37</f>
        <v>75.959999999999994</v>
      </c>
      <c r="J37" s="3" t="str">
        <f t="shared" si="3"/>
        <v>8APASOG*adfbdd+</v>
      </c>
      <c r="K37" s="9">
        <f t="shared" si="4"/>
        <v>75.960000000000008</v>
      </c>
      <c r="L37" s="9">
        <f t="shared" si="5"/>
        <v>0</v>
      </c>
    </row>
    <row r="38" spans="1:12" ht="31.5" x14ac:dyDescent="0.45">
      <c r="A38" s="4" t="str">
        <f>[1]EAN13_traite!A38</f>
        <v>'032</v>
      </c>
      <c r="B38" s="4">
        <f>[1]EAN13_traite!B38</f>
        <v>19</v>
      </c>
      <c r="C38" s="5">
        <f>[1]EAN13_traite!C38</f>
        <v>8050846011151</v>
      </c>
      <c r="D38" s="6" t="str">
        <f>[1]EAN13_traite!D38</f>
        <v>HLESMD00-ECS46-055</v>
      </c>
      <c r="E38" s="4" t="str">
        <f>[1]EAN13_traite!E38</f>
        <v>MICRO-ANSES TUBULAIRES COURTES EN FAUX CUIR LISSE</v>
      </c>
      <c r="F38" s="4" t="str">
        <f>[1]EAN13_traite!F38</f>
        <v>UNICA</v>
      </c>
      <c r="G38" s="4">
        <f>[1]EAN13_traite!G38</f>
        <v>6</v>
      </c>
      <c r="H38" s="4">
        <f>[1]EAN13_traite!H38</f>
        <v>12.66</v>
      </c>
      <c r="I38" s="4">
        <f>[1]EAN13_traite!I38</f>
        <v>75.959999999999994</v>
      </c>
      <c r="J38" s="3" t="str">
        <f t="shared" si="3"/>
        <v>8APASOG*abbbfb+</v>
      </c>
    </row>
    <row r="39" spans="1:12" ht="31.5" x14ac:dyDescent="0.45">
      <c r="A39" s="4" t="str">
        <f>[1]EAN13_traite!A39</f>
        <v>'032</v>
      </c>
      <c r="B39" s="4">
        <f>[1]EAN13_traite!B39</f>
        <v>19</v>
      </c>
      <c r="C39" s="5">
        <f>[1]EAN13_traite!C39</f>
        <v>8050846011151</v>
      </c>
      <c r="D39" s="6" t="str">
        <f>[1]EAN13_traite!D39</f>
        <v>HLESMD00-ECS46-055</v>
      </c>
      <c r="E39" s="4" t="str">
        <f>[1]EAN13_traite!E39</f>
        <v>MICRO-ANSES TUBULAIRES COURTES EN FAUX CUIR LISSE</v>
      </c>
      <c r="F39" s="4" t="str">
        <f>[1]EAN13_traite!F39</f>
        <v>UNICA</v>
      </c>
      <c r="G39" s="4">
        <f>[1]EAN13_traite!G39</f>
        <v>6</v>
      </c>
      <c r="H39" s="4">
        <f>[1]EAN13_traite!H39</f>
        <v>12.66</v>
      </c>
      <c r="I39" s="4">
        <f>[1]EAN13_traite!I39</f>
        <v>75.959999999999994</v>
      </c>
      <c r="J39" s="3" t="str">
        <f t="shared" si="3"/>
        <v>8APASOG*abbbfb+</v>
      </c>
    </row>
    <row r="40" spans="1:12" ht="31.5" x14ac:dyDescent="0.45">
      <c r="A40" s="4" t="str">
        <f>[1]EAN13_traite!A40</f>
        <v>'033</v>
      </c>
      <c r="B40" s="4">
        <f>[1]EAN13_traite!B40</f>
        <v>12</v>
      </c>
      <c r="C40" s="5">
        <f>[1]EAN13_traite!C40</f>
        <v>8058047001919</v>
      </c>
      <c r="D40" s="6" t="str">
        <f>[1]EAN13_traite!D40</f>
        <v>OBAGB001-EVS59-038</v>
      </c>
      <c r="E40" s="4" t="str">
        <f>[1]EAN13_traite!E40</f>
        <v>SCOCCA O BAG EVA COMPOUND STAMPA LOVE</v>
      </c>
      <c r="F40" s="4" t="str">
        <f>[1]EAN13_traite!F40</f>
        <v>UNICA</v>
      </c>
      <c r="G40" s="4">
        <f>[1]EAN13_traite!G40</f>
        <v>3</v>
      </c>
      <c r="H40" s="4">
        <f>[1]EAN13_traite!H40</f>
        <v>27.78</v>
      </c>
      <c r="I40" s="4">
        <f>[1]EAN13_traite!I40</f>
        <v>83.34</v>
      </c>
      <c r="J40" s="3" t="str">
        <f t="shared" si="3"/>
        <v>8APIKOH*aabjbj+</v>
      </c>
    </row>
    <row r="41" spans="1:12" ht="31.5" x14ac:dyDescent="0.45">
      <c r="A41" s="4" t="str">
        <f>[1]EAN13_traite!A41</f>
        <v>'034</v>
      </c>
      <c r="B41" s="4">
        <f>[1]EAN13_traite!B41</f>
        <v>22</v>
      </c>
      <c r="C41" s="5">
        <f>[1]EAN13_traite!C41</f>
        <v>8058047001926</v>
      </c>
      <c r="D41" s="6" t="str">
        <f>[1]EAN13_traite!D41</f>
        <v>OBAGB001-EVS59-076</v>
      </c>
      <c r="E41" s="4" t="str">
        <f>[1]EAN13_traite!E41</f>
        <v>SCOCCA O BAG EVA COMPOUND STAMPA LOVE</v>
      </c>
      <c r="F41" s="4" t="str">
        <f>[1]EAN13_traite!F41</f>
        <v>UNICA</v>
      </c>
      <c r="G41" s="4">
        <f>[1]EAN13_traite!G41</f>
        <v>3</v>
      </c>
      <c r="H41" s="4">
        <f>[1]EAN13_traite!H41</f>
        <v>27.78</v>
      </c>
      <c r="I41" s="4">
        <f>[1]EAN13_traite!I41</f>
        <v>83.34</v>
      </c>
      <c r="J41" s="3" t="str">
        <f t="shared" si="3"/>
        <v>8APIKOH*aabjcg+</v>
      </c>
    </row>
    <row r="42" spans="1:12" ht="31.5" x14ac:dyDescent="0.45">
      <c r="A42" s="4" t="str">
        <f>[1]EAN13_traite!A42</f>
        <v>'035</v>
      </c>
      <c r="B42" s="4">
        <f>[1]EAN13_traite!B42</f>
        <v>11</v>
      </c>
      <c r="C42" s="5">
        <f>[1]EAN13_traite!C42</f>
        <v>8058047001933</v>
      </c>
      <c r="D42" s="6" t="str">
        <f>[1]EAN13_traite!D42</f>
        <v>OBAGB002-EVS59-038</v>
      </c>
      <c r="E42" s="4" t="str">
        <f>[1]EAN13_traite!E42</f>
        <v>SCOCCA O BAG MINI EVA COMPOUND STAMPA LOVE</v>
      </c>
      <c r="F42" s="4" t="str">
        <f>[1]EAN13_traite!F42</f>
        <v>UNICA</v>
      </c>
      <c r="G42" s="4">
        <f>[1]EAN13_traite!G42</f>
        <v>3</v>
      </c>
      <c r="H42" s="4">
        <f>[1]EAN13_traite!H42</f>
        <v>27.78</v>
      </c>
      <c r="I42" s="4">
        <f>[1]EAN13_traite!I42</f>
        <v>83.34</v>
      </c>
      <c r="J42" s="3" t="str">
        <f t="shared" si="3"/>
        <v>8APIKOH*aabjdd+</v>
      </c>
    </row>
    <row r="43" spans="1:12" ht="31.5" x14ac:dyDescent="0.45">
      <c r="A43" s="4" t="str">
        <f>[1]EAN13_traite!A43</f>
        <v>'036</v>
      </c>
      <c r="B43" s="4">
        <f>[1]EAN13_traite!B43</f>
        <v>50</v>
      </c>
      <c r="C43" s="5">
        <f>[1]EAN13_traite!C43</f>
        <v>8058047001940</v>
      </c>
      <c r="D43" s="6" t="str">
        <f>[1]EAN13_traite!D43</f>
        <v>OBAGB002-EVS59-076</v>
      </c>
      <c r="E43" s="4" t="str">
        <f>[1]EAN13_traite!E43</f>
        <v>SCOCCA O BAG MINI EVA COMPOUND STAMPA LOVE</v>
      </c>
      <c r="F43" s="4" t="str">
        <f>[1]EAN13_traite!F43</f>
        <v>UNICA</v>
      </c>
      <c r="G43" s="4">
        <f>[1]EAN13_traite!G43</f>
        <v>3</v>
      </c>
      <c r="H43" s="4">
        <f>[1]EAN13_traite!H43</f>
        <v>27.78</v>
      </c>
      <c r="I43" s="4">
        <f>[1]EAN13_traite!I43</f>
        <v>83.34</v>
      </c>
      <c r="J43" s="3" t="str">
        <f t="shared" si="3"/>
        <v>8APIKOH*aabjea+</v>
      </c>
    </row>
    <row r="44" spans="1:12" ht="31.5" x14ac:dyDescent="0.45">
      <c r="A44" s="4" t="str">
        <f>[1]EAN13_traite!A44</f>
        <v>'037</v>
      </c>
      <c r="B44" s="4">
        <f>[1]EAN13_traite!B44</f>
        <v>15</v>
      </c>
      <c r="C44" s="5">
        <f>[1]EAN13_traite!C44</f>
        <v>8058047001957</v>
      </c>
      <c r="D44" s="6" t="str">
        <f>[1]EAN13_traite!D44</f>
        <v>OBAGS001-TESBV-055</v>
      </c>
      <c r="E44" s="4" t="str">
        <f>[1]EAN13_traite!E44</f>
        <v>SACCA INTERNA ZIP O BAG TESSUTO STAMPA LOVE</v>
      </c>
      <c r="F44" s="4" t="str">
        <f>[1]EAN13_traite!F44</f>
        <v>UNICA</v>
      </c>
      <c r="G44" s="4">
        <f>[1]EAN13_traite!G44</f>
        <v>3</v>
      </c>
      <c r="H44" s="4">
        <f>[1]EAN13_traite!H44</f>
        <v>11.85</v>
      </c>
      <c r="I44" s="4">
        <f>[1]EAN13_traite!I44</f>
        <v>35.549999999999997</v>
      </c>
      <c r="J44" s="3" t="str">
        <f t="shared" si="3"/>
        <v>8APIKOH*aabjfh+</v>
      </c>
    </row>
    <row r="45" spans="1:12" ht="31.5" x14ac:dyDescent="0.45">
      <c r="A45" s="4" t="str">
        <f>[1]EAN13_traite!A45</f>
        <v>'038</v>
      </c>
      <c r="B45" s="4">
        <f>[1]EAN13_traite!B45</f>
        <v>24</v>
      </c>
      <c r="C45" s="5">
        <f>[1]EAN13_traite!C45</f>
        <v>8058047001964</v>
      </c>
      <c r="D45" s="6" t="str">
        <f>[1]EAN13_traite!D45</f>
        <v>OBAGS001-TESBV-076</v>
      </c>
      <c r="E45" s="4" t="str">
        <f>[1]EAN13_traite!E45</f>
        <v>SACCA INTERNA ZIP O BAG TESSUTO STAMPA LOVE</v>
      </c>
      <c r="F45" s="4" t="str">
        <f>[1]EAN13_traite!F45</f>
        <v>UNICA</v>
      </c>
      <c r="G45" s="4">
        <f>[1]EAN13_traite!G45</f>
        <v>3</v>
      </c>
      <c r="H45" s="4">
        <f>[1]EAN13_traite!H45</f>
        <v>11.85</v>
      </c>
      <c r="I45" s="4">
        <f>[1]EAN13_traite!I45</f>
        <v>35.549999999999997</v>
      </c>
      <c r="J45" s="3" t="str">
        <f t="shared" si="3"/>
        <v>8APIKOH*aabjge+</v>
      </c>
    </row>
    <row r="46" spans="1:12" ht="31.5" x14ac:dyDescent="0.45">
      <c r="A46" s="4" t="str">
        <f>[1]EAN13_traite!A46</f>
        <v>'039</v>
      </c>
      <c r="B46" s="4">
        <f>[1]EAN13_traite!B46</f>
        <v>18</v>
      </c>
      <c r="C46" s="5">
        <f>[1]EAN13_traite!C46</f>
        <v>8058047001971</v>
      </c>
      <c r="D46" s="6" t="str">
        <f>[1]EAN13_traite!D46</f>
        <v>OBAGS002-TESBV-055</v>
      </c>
      <c r="E46" s="4" t="str">
        <f>[1]EAN13_traite!E46</f>
        <v>SACCA INTERNA ZIP O BAG MINI TESSUTO STAMPA LOVE</v>
      </c>
      <c r="F46" s="4" t="str">
        <f>[1]EAN13_traite!F46</f>
        <v>UNICA</v>
      </c>
      <c r="G46" s="4">
        <f>[1]EAN13_traite!G46</f>
        <v>3</v>
      </c>
      <c r="H46" s="4">
        <f>[1]EAN13_traite!H46</f>
        <v>11.85</v>
      </c>
      <c r="I46" s="4">
        <f>[1]EAN13_traite!I46</f>
        <v>35.549999999999997</v>
      </c>
      <c r="J46" s="3" t="str">
        <f t="shared" si="3"/>
        <v>8APIKOH*aabjhb+</v>
      </c>
    </row>
    <row r="47" spans="1:12" ht="31.5" x14ac:dyDescent="0.45">
      <c r="A47" s="4" t="str">
        <f>[1]EAN13_traite!A47</f>
        <v>'040</v>
      </c>
      <c r="B47" s="4">
        <f>[1]EAN13_traite!B47</f>
        <v>23</v>
      </c>
      <c r="C47" s="5">
        <f>[1]EAN13_traite!C47</f>
        <v>8058047001988</v>
      </c>
      <c r="D47" s="6" t="str">
        <f>[1]EAN13_traite!D47</f>
        <v>OBAGS002-TESBV-076</v>
      </c>
      <c r="E47" s="4" t="str">
        <f>[1]EAN13_traite!E47</f>
        <v>SACCA INTERNA ZIP O BAG MINI TESSUTO STAMPA LOVE</v>
      </c>
      <c r="F47" s="4" t="str">
        <f>[1]EAN13_traite!F47</f>
        <v>UNICA</v>
      </c>
      <c r="G47" s="4">
        <f>[1]EAN13_traite!G47</f>
        <v>3</v>
      </c>
      <c r="H47" s="4">
        <f>[1]EAN13_traite!H47</f>
        <v>11.85</v>
      </c>
      <c r="I47" s="4">
        <f>[1]EAN13_traite!I47</f>
        <v>35.549999999999997</v>
      </c>
      <c r="J47" s="3" t="str">
        <f t="shared" si="3"/>
        <v>8APIKOH*aabjii+</v>
      </c>
    </row>
    <row r="48" spans="1:12" ht="31.5" x14ac:dyDescent="0.45">
      <c r="A48" s="4" t="str">
        <f>[1]EAN13_traite!A48</f>
        <v>'041</v>
      </c>
      <c r="B48" s="4">
        <f>[1]EAN13_traite!B48</f>
        <v>17</v>
      </c>
      <c r="C48" s="5">
        <f>[1]EAN13_traite!C48</f>
        <v>8058047001896</v>
      </c>
      <c r="D48" s="6" t="str">
        <f>[1]EAN13_traite!D48</f>
        <v>OCLKD001-MESF5-008</v>
      </c>
      <c r="E48" s="4" t="str">
        <f>[1]EAN13_traite!E48</f>
        <v>O CLOCK MECCANISMO SPARKLING HEART</v>
      </c>
      <c r="F48" s="4" t="str">
        <f>[1]EAN13_traite!F48</f>
        <v>UNICA</v>
      </c>
      <c r="G48" s="4">
        <f>[1]EAN13_traite!G48</f>
        <v>4</v>
      </c>
      <c r="H48" s="4">
        <f>[1]EAN13_traite!H48</f>
        <v>9.6300000000000008</v>
      </c>
      <c r="I48" s="4">
        <f>[1]EAN13_traite!I48</f>
        <v>38.520000000000003</v>
      </c>
      <c r="J48" s="3" t="str">
        <f t="shared" si="3"/>
        <v>8APIKOH*aabijg+</v>
      </c>
    </row>
    <row r="49" spans="1:10" ht="31.5" x14ac:dyDescent="0.45">
      <c r="A49" s="4" t="str">
        <f>[1]EAN13_traite!A49</f>
        <v>'042</v>
      </c>
      <c r="B49" s="4">
        <f>[1]EAN13_traite!B49</f>
        <v>5</v>
      </c>
      <c r="C49" s="5">
        <f>[1]EAN13_traite!C49</f>
        <v>8058047001889</v>
      </c>
      <c r="D49" s="6" t="str">
        <f>[1]EAN13_traite!D49</f>
        <v>OCLKD001-MESF5-025</v>
      </c>
      <c r="E49" s="4" t="str">
        <f>[1]EAN13_traite!E49</f>
        <v>O CLOCK MECCANISMO SPARKLING HEART</v>
      </c>
      <c r="F49" s="4" t="str">
        <f>[1]EAN13_traite!F49</f>
        <v>UNICA</v>
      </c>
      <c r="G49" s="4">
        <f>[1]EAN13_traite!G49</f>
        <v>4</v>
      </c>
      <c r="H49" s="4">
        <f>[1]EAN13_traite!H49</f>
        <v>9.6300000000000008</v>
      </c>
      <c r="I49" s="4">
        <f>[1]EAN13_traite!I49</f>
        <v>38.520000000000003</v>
      </c>
      <c r="J49" s="3" t="str">
        <f t="shared" si="3"/>
        <v>8APIKOH*aabiij+</v>
      </c>
    </row>
    <row r="50" spans="1:10" ht="31.5" x14ac:dyDescent="0.45">
      <c r="A50" s="4" t="str">
        <f>[1]EAN13_traite!A50</f>
        <v>'043</v>
      </c>
      <c r="B50" s="4">
        <f>[1]EAN13_traite!B50</f>
        <v>1</v>
      </c>
      <c r="C50" s="5">
        <f>[1]EAN13_traite!C50</f>
        <v>8058047001902</v>
      </c>
      <c r="D50" s="6" t="str">
        <f>[1]EAN13_traite!D50</f>
        <v>OCLKD001-MESF5-076</v>
      </c>
      <c r="E50" s="4" t="str">
        <f>[1]EAN13_traite!E50</f>
        <v>O CLOCK MECCANISMO SPARKLING HEART</v>
      </c>
      <c r="F50" s="4" t="str">
        <f>[1]EAN13_traite!F50</f>
        <v>UNICA</v>
      </c>
      <c r="G50" s="4">
        <f>[1]EAN13_traite!G50</f>
        <v>3</v>
      </c>
      <c r="H50" s="4">
        <f>[1]EAN13_traite!H50</f>
        <v>9.6300000000000008</v>
      </c>
      <c r="I50" s="4">
        <f>[1]EAN13_traite!I50</f>
        <v>28.89</v>
      </c>
      <c r="J50" s="3" t="str">
        <f t="shared" si="3"/>
        <v>8APIKOH*aabjac+</v>
      </c>
    </row>
    <row r="51" spans="1:10" ht="31.5" x14ac:dyDescent="0.45">
      <c r="A51" s="4" t="str">
        <f>[1]EAN13_traite!A51</f>
        <v>'044</v>
      </c>
      <c r="B51" s="4">
        <f>[1]EAN13_traite!B51</f>
        <v>14</v>
      </c>
      <c r="C51" s="5">
        <f>[1]EAN13_traite!C51</f>
        <v>8058047001872</v>
      </c>
      <c r="D51" s="6" t="str">
        <f>[1]EAN13_traite!D51</f>
        <v>OCLKD001-MESF6-004</v>
      </c>
      <c r="E51" s="4" t="str">
        <f>[1]EAN13_traite!E51</f>
        <v>O CLOCK MECCANISMO SHINY HEARTS</v>
      </c>
      <c r="F51" s="4" t="str">
        <f>[1]EAN13_traite!F51</f>
        <v>UNICA</v>
      </c>
      <c r="G51" s="4">
        <f>[1]EAN13_traite!G51</f>
        <v>3</v>
      </c>
      <c r="H51" s="4">
        <f>[1]EAN13_traite!H51</f>
        <v>9.6300000000000008</v>
      </c>
      <c r="I51" s="4">
        <f>[1]EAN13_traite!I51</f>
        <v>28.89</v>
      </c>
      <c r="J51" s="3" t="str">
        <f t="shared" si="3"/>
        <v>8APIKOH*aabihc+</v>
      </c>
    </row>
    <row r="52" spans="1:10" ht="31.5" x14ac:dyDescent="0.45">
      <c r="A52" s="4" t="str">
        <f>[1]EAN13_traite!A52</f>
        <v>'045</v>
      </c>
      <c r="B52" s="4">
        <f>[1]EAN13_traite!B52</f>
        <v>9</v>
      </c>
      <c r="C52" s="5" t="str">
        <f>[1]EAN13_traite!C52</f>
        <v>CodeBarre</v>
      </c>
      <c r="D52" s="6" t="str">
        <f>[1]EAN13_traite!D52</f>
        <v>OCLKS007-SIS01-025</v>
      </c>
      <c r="E52" s="4" t="str">
        <f>[1]EAN13_traite!E52</f>
        <v>O CLOCK BRACELET COVER EN SILICONE</v>
      </c>
      <c r="F52" s="4" t="str">
        <f>[1]EAN13_traite!F52</f>
        <v>S</v>
      </c>
      <c r="G52" s="4">
        <f>[1]EAN13_traite!G52</f>
        <v>2</v>
      </c>
      <c r="H52" s="4">
        <f>[1]EAN13_traite!H52</f>
        <v>3.6</v>
      </c>
      <c r="I52" s="4">
        <f>[1]EAN13_traite!I52</f>
        <v>7.2</v>
      </c>
      <c r="J52" s="3" t="str">
        <f t="shared" ref="J52:J60" si="6">IF(ISNUMBER($C52),codeEAN13(INT(C52/10)),"")</f>
        <v/>
      </c>
    </row>
    <row r="53" spans="1:10" ht="31.5" x14ac:dyDescent="0.45">
      <c r="A53" s="4" t="str">
        <f>[1]EAN13_traite!A53</f>
        <v>'046</v>
      </c>
      <c r="B53" s="4">
        <f>[1]EAN13_traite!B53</f>
        <v>16</v>
      </c>
      <c r="C53" s="5" t="str">
        <f>[1]EAN13_traite!C53</f>
        <v>CodeBarre</v>
      </c>
      <c r="D53" s="6" t="str">
        <f>[1]EAN13_traite!D53</f>
        <v>OCLKS007-SIS01-025</v>
      </c>
      <c r="E53" s="4" t="str">
        <f>[1]EAN13_traite!E53</f>
        <v>O CLOCK BRACELET COVER EN SILICONE</v>
      </c>
      <c r="F53" s="4" t="str">
        <f>[1]EAN13_traite!F53</f>
        <v>M</v>
      </c>
      <c r="G53" s="4">
        <f>[1]EAN13_traite!G53</f>
        <v>2</v>
      </c>
      <c r="H53" s="4">
        <f>[1]EAN13_traite!H53</f>
        <v>3.6</v>
      </c>
      <c r="I53" s="4">
        <f>[1]EAN13_traite!I53</f>
        <v>7.2</v>
      </c>
      <c r="J53" s="3" t="str">
        <f t="shared" si="6"/>
        <v/>
      </c>
    </row>
    <row r="54" spans="1:10" ht="31.5" x14ac:dyDescent="0.45">
      <c r="A54" s="4" t="str">
        <f>[1]EAN13_traite!A54</f>
        <v>'047</v>
      </c>
      <c r="B54" s="4">
        <f>[1]EAN13_traite!B54</f>
        <v>8</v>
      </c>
      <c r="C54" s="5" t="str">
        <f>[1]EAN13_traite!C54</f>
        <v>CodeBarre</v>
      </c>
      <c r="D54" s="6" t="str">
        <f>[1]EAN13_traite!D54</f>
        <v>OCLKS007-SIS01-055</v>
      </c>
      <c r="E54" s="4" t="str">
        <f>[1]EAN13_traite!E54</f>
        <v>O CLOCK BRACELET COVER EN SILICONE</v>
      </c>
      <c r="F54" s="4" t="str">
        <f>[1]EAN13_traite!F54</f>
        <v>S</v>
      </c>
      <c r="G54" s="4">
        <f>[1]EAN13_traite!G54</f>
        <v>3</v>
      </c>
      <c r="H54" s="4">
        <f>[1]EAN13_traite!H54</f>
        <v>3.6</v>
      </c>
      <c r="I54" s="4">
        <f>[1]EAN13_traite!I54</f>
        <v>10.8</v>
      </c>
      <c r="J54" s="3" t="str">
        <f t="shared" si="6"/>
        <v/>
      </c>
    </row>
    <row r="55" spans="1:10" ht="31.5" x14ac:dyDescent="0.45">
      <c r="A55" s="4" t="str">
        <f>[1]EAN13_traite!A55</f>
        <v>'048</v>
      </c>
      <c r="B55" s="4">
        <f>[1]EAN13_traite!B55</f>
        <v>13</v>
      </c>
      <c r="C55" s="5" t="str">
        <f>[1]EAN13_traite!C55</f>
        <v>CodeBarre</v>
      </c>
      <c r="D55" s="6" t="str">
        <f>[1]EAN13_traite!D55</f>
        <v>OCLKS007-SIS01-055</v>
      </c>
      <c r="E55" s="4" t="str">
        <f>[1]EAN13_traite!E55</f>
        <v>O CLOCK BRACELET COVER EN SILICONE</v>
      </c>
      <c r="F55" s="4" t="str">
        <f>[1]EAN13_traite!F55</f>
        <v>M</v>
      </c>
      <c r="G55" s="4">
        <f>[1]EAN13_traite!G55</f>
        <v>2</v>
      </c>
      <c r="H55" s="4">
        <f>[1]EAN13_traite!H55</f>
        <v>3.6</v>
      </c>
      <c r="I55" s="4">
        <f>[1]EAN13_traite!I55</f>
        <v>7.2</v>
      </c>
      <c r="J55" s="3" t="str">
        <f t="shared" si="6"/>
        <v/>
      </c>
    </row>
    <row r="56" spans="1:10" ht="31.5" x14ac:dyDescent="0.45">
      <c r="A56" s="4" t="str">
        <f>[1]EAN13_traite!A56</f>
        <v>'049</v>
      </c>
      <c r="B56" s="4">
        <f>[1]EAN13_traite!B56</f>
        <v>7</v>
      </c>
      <c r="C56" s="5" t="str">
        <f>[1]EAN13_traite!C56</f>
        <v>CodeBarre</v>
      </c>
      <c r="D56" s="6" t="str">
        <f>[1]EAN13_traite!D56</f>
        <v>OCLKS007-SIS01-076</v>
      </c>
      <c r="E56" s="4" t="str">
        <f>[1]EAN13_traite!E56</f>
        <v>O CLOCK BRACELET COVER EN SILICONE</v>
      </c>
      <c r="F56" s="4" t="str">
        <f>[1]EAN13_traite!F56</f>
        <v>S</v>
      </c>
      <c r="G56" s="4">
        <f>[1]EAN13_traite!G56</f>
        <v>3</v>
      </c>
      <c r="H56" s="4">
        <f>[1]EAN13_traite!H56</f>
        <v>3.6</v>
      </c>
      <c r="I56" s="4">
        <f>[1]EAN13_traite!I56</f>
        <v>10.8</v>
      </c>
      <c r="J56" s="3" t="str">
        <f t="shared" si="6"/>
        <v/>
      </c>
    </row>
    <row r="57" spans="1:10" ht="31.5" x14ac:dyDescent="0.45">
      <c r="A57" s="4" t="str">
        <f>[1]EAN13_traite!A57</f>
        <v>'050</v>
      </c>
      <c r="B57" s="4">
        <f>[1]EAN13_traite!B57</f>
        <v>3</v>
      </c>
      <c r="C57" s="5" t="str">
        <f>[1]EAN13_traite!C57</f>
        <v>CodeBarre</v>
      </c>
      <c r="D57" s="6" t="str">
        <f>[1]EAN13_traite!D57</f>
        <v>OCLKS007-SIS01-076</v>
      </c>
      <c r="E57" s="4" t="str">
        <f>[1]EAN13_traite!E57</f>
        <v>O CLOCK BRACELET COVER EN SILICONE</v>
      </c>
      <c r="F57" s="4" t="str">
        <f>[1]EAN13_traite!F57</f>
        <v>M</v>
      </c>
      <c r="G57" s="4">
        <f>[1]EAN13_traite!G57</f>
        <v>2</v>
      </c>
      <c r="H57" s="4">
        <f>[1]EAN13_traite!H57</f>
        <v>3.6</v>
      </c>
      <c r="I57" s="4">
        <f>[1]EAN13_traite!I57</f>
        <v>7.2</v>
      </c>
      <c r="J57" s="3" t="str">
        <f t="shared" si="6"/>
        <v/>
      </c>
    </row>
    <row r="58" spans="1:10" ht="31.5" x14ac:dyDescent="0.45">
      <c r="A58" s="4">
        <f>[1]EAN13_traite!A58</f>
        <v>1</v>
      </c>
      <c r="B58" s="4" t="str">
        <f>[1]EAN13_traite!B58</f>
        <v>Produit</v>
      </c>
      <c r="C58" s="5" t="str">
        <f>[1]EAN13_traite!C58</f>
        <v>CodeBarre</v>
      </c>
      <c r="D58" s="6" t="str">
        <f>[1]EAN13_traite!D58</f>
        <v>Code piece</v>
      </c>
      <c r="E58" s="4" t="str">
        <f>[1]EAN13_traite!E58</f>
        <v>Couleur</v>
      </c>
      <c r="F58" s="4" t="str">
        <f>[1]EAN13_traite!F58</f>
        <v>Taille</v>
      </c>
      <c r="G58" s="4" t="str">
        <f>[1]EAN13_traite!G58</f>
        <v>Libelle</v>
      </c>
      <c r="H58" s="4" t="str">
        <f>[1]EAN13_traite!H58</f>
        <v>Quantite</v>
      </c>
      <c r="I58" s="4" t="str">
        <f>[1]EAN13_traite!I58</f>
        <v>Prix unitaire</v>
      </c>
      <c r="J58" s="3" t="str">
        <f t="shared" si="6"/>
        <v/>
      </c>
    </row>
    <row r="59" spans="1:10" ht="31.5" x14ac:dyDescent="0.45">
      <c r="A59" s="4">
        <f>[1]EAN13_traite!A59</f>
        <v>2</v>
      </c>
      <c r="B59" s="4" t="str">
        <f>[1]EAN13_traite!B59</f>
        <v>Boutique</v>
      </c>
      <c r="C59" s="5" t="str">
        <f>[1]EAN13_traite!C59</f>
        <v>CodeBarre</v>
      </c>
      <c r="D59" s="6" t="str">
        <f>[1]EAN13_traite!D59</f>
        <v>CodeBarre</v>
      </c>
      <c r="E59" s="4" t="str">
        <f>[1]EAN13_traite!E59</f>
        <v>TOULOUSE</v>
      </c>
      <c r="F59" s="4" t="str">
        <f>[1]EAN13_traite!F59</f>
        <v>CodeBarre</v>
      </c>
      <c r="G59" s="4" t="str">
        <f>[1]EAN13_traite!G59</f>
        <v>CodeBarre</v>
      </c>
      <c r="H59" s="4" t="str">
        <f>[1]EAN13_traite!H59</f>
        <v>CodeBarre</v>
      </c>
      <c r="I59" s="4" t="str">
        <f>[1]EAN13_traite!I59</f>
        <v>CodeBarre</v>
      </c>
      <c r="J59" s="3" t="str">
        <f t="shared" si="6"/>
        <v/>
      </c>
    </row>
    <row r="60" spans="1:10" ht="31.5" x14ac:dyDescent="0.45">
      <c r="A60" s="4">
        <f>[1]EAN13_traite!A60</f>
        <v>3</v>
      </c>
      <c r="B60" s="4" t="str">
        <f>[1]EAN13_traite!B60</f>
        <v>Ref. facture</v>
      </c>
      <c r="C60" s="5" t="str">
        <f>[1]EAN13_traite!C60</f>
        <v>CodeBarre</v>
      </c>
      <c r="D60" s="6" t="str">
        <f>[1]EAN13_traite!D60</f>
        <v>CodeBarre</v>
      </c>
      <c r="E60" s="4" t="str">
        <f>[1]EAN13_traite!E60</f>
        <v>2019 50 228 28/01/2019</v>
      </c>
      <c r="F60" s="4" t="str">
        <f>[1]EAN13_traite!F60</f>
        <v>CodeBarre</v>
      </c>
      <c r="G60" s="4" t="str">
        <f>[1]EAN13_traite!G60</f>
        <v>CodeBarre</v>
      </c>
      <c r="H60" s="4" t="str">
        <f>[1]EAN13_traite!H60</f>
        <v>CodeBarre</v>
      </c>
      <c r="I60" s="4" t="str">
        <f>[1]EAN13_traite!I60</f>
        <v>CodeBarre</v>
      </c>
      <c r="J60" s="3" t="str">
        <f t="shared" si="6"/>
        <v/>
      </c>
    </row>
  </sheetData>
  <conditionalFormatting sqref="A1:A60">
    <cfRule type="expression" dxfId="0" priority="1">
      <formula>$A1=$A2</formula>
    </cfRule>
  </conditionalFormatting>
  <dataValidations count="1">
    <dataValidation type="list" allowBlank="1" showInputMessage="1" showErrorMessage="1" sqref="K6">
      <formula1>listeFichierPDF</formula1>
    </dataValidation>
  </dataValidations>
  <pageMargins left="0.7" right="0.7" top="0.75" bottom="0.75" header="0.3" footer="0.3"/>
  <pageSetup paperSize="9" scale="56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sqref="A1:A1048576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Feuil1</vt:lpstr>
      <vt:lpstr>Feuil2</vt:lpstr>
      <vt:lpstr>listeFichierPDF</vt:lpstr>
      <vt:lpstr>Feuil1!Zone_d_impression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2019-01-28T22:48:09Z</cp:lastPrinted>
  <dcterms:created xsi:type="dcterms:W3CDTF">2019-01-26T14:59:38Z</dcterms:created>
  <dcterms:modified xsi:type="dcterms:W3CDTF">2019-01-28T22:48:15Z</dcterms:modified>
</cp:coreProperties>
</file>