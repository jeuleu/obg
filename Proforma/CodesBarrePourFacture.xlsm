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Proforma\"/>
    </mc:Choice>
  </mc:AlternateContent>
  <bookViews>
    <workbookView xWindow="0" yWindow="0" windowWidth="28800" windowHeight="12435" activeTab="1"/>
  </bookViews>
  <sheets>
    <sheet name="Feuil1" sheetId="1" r:id="rId1"/>
    <sheet name="Feuil2" sheetId="2" r:id="rId2"/>
  </sheets>
  <functionGroups builtInGroupCount="18"/>
  <externalReferences>
    <externalReference r:id="rId3"/>
  </externalReferences>
  <definedNames>
    <definedName name="nomFichier">Feuil2!$I$1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A52" i="1"/>
  <c r="B52" i="1"/>
  <c r="C52" i="1"/>
  <c r="D52" i="1"/>
  <c r="E52" i="1"/>
  <c r="F52" i="1"/>
  <c r="G52" i="1"/>
  <c r="H52" i="1"/>
  <c r="A53" i="1"/>
  <c r="B53" i="1"/>
  <c r="C53" i="1"/>
  <c r="D53" i="1"/>
  <c r="E53" i="1"/>
  <c r="F53" i="1"/>
  <c r="G53" i="1"/>
  <c r="H53" i="1"/>
  <c r="A54" i="1"/>
  <c r="B54" i="1"/>
  <c r="C54" i="1"/>
  <c r="D54" i="1"/>
  <c r="E54" i="1"/>
  <c r="F54" i="1"/>
  <c r="G54" i="1"/>
  <c r="H54" i="1"/>
  <c r="A55" i="1"/>
  <c r="B55" i="1"/>
  <c r="C55" i="1"/>
  <c r="D55" i="1"/>
  <c r="E55" i="1"/>
  <c r="F55" i="1"/>
  <c r="G55" i="1"/>
  <c r="H55" i="1"/>
  <c r="A56" i="1"/>
  <c r="B56" i="1"/>
  <c r="C56" i="1"/>
  <c r="D56" i="1"/>
  <c r="E56" i="1"/>
  <c r="F56" i="1"/>
  <c r="G56" i="1"/>
  <c r="H56" i="1"/>
  <c r="A57" i="1"/>
  <c r="B57" i="1"/>
  <c r="C57" i="1"/>
  <c r="D57" i="1"/>
  <c r="E57" i="1"/>
  <c r="F57" i="1"/>
  <c r="G57" i="1"/>
  <c r="H57" i="1"/>
  <c r="A58" i="1"/>
  <c r="B58" i="1"/>
  <c r="C58" i="1"/>
  <c r="D58" i="1"/>
  <c r="E58" i="1"/>
  <c r="F58" i="1"/>
  <c r="G58" i="1"/>
  <c r="H58" i="1"/>
  <c r="A59" i="1"/>
  <c r="B59" i="1"/>
  <c r="C59" i="1"/>
  <c r="D59" i="1"/>
  <c r="E59" i="1"/>
  <c r="F59" i="1"/>
  <c r="G59" i="1"/>
  <c r="H59" i="1"/>
  <c r="A60" i="1"/>
  <c r="B60" i="1"/>
  <c r="C60" i="1"/>
  <c r="D60" i="1"/>
  <c r="E60" i="1"/>
  <c r="F60" i="1"/>
  <c r="G60" i="1"/>
  <c r="H60" i="1"/>
  <c r="J11" i="1"/>
  <c r="J52" i="1"/>
  <c r="J60" i="1"/>
  <c r="J53" i="1"/>
  <c r="J59" i="1"/>
  <c r="J55" i="1"/>
  <c r="J58" i="1"/>
  <c r="J54" i="1"/>
  <c r="J56" i="1"/>
  <c r="J57" i="1"/>
  <c r="C1" i="1" l="1"/>
  <c r="D1" i="1"/>
  <c r="C2" i="1"/>
  <c r="D2" i="1"/>
  <c r="A13" i="1" l="1"/>
  <c r="B13" i="1"/>
  <c r="C13" i="1"/>
  <c r="D13" i="1"/>
  <c r="E13" i="1"/>
  <c r="F13" i="1"/>
  <c r="G13" i="1"/>
  <c r="H13" i="1"/>
  <c r="A14" i="1"/>
  <c r="B14" i="1"/>
  <c r="C14" i="1"/>
  <c r="D14" i="1"/>
  <c r="E14" i="1"/>
  <c r="F14" i="1"/>
  <c r="G14" i="1"/>
  <c r="H14" i="1"/>
  <c r="A15" i="1"/>
  <c r="B15" i="1"/>
  <c r="C15" i="1"/>
  <c r="D15" i="1"/>
  <c r="E15" i="1"/>
  <c r="F15" i="1"/>
  <c r="G15" i="1"/>
  <c r="H15" i="1"/>
  <c r="A16" i="1"/>
  <c r="B16" i="1"/>
  <c r="C16" i="1"/>
  <c r="D16" i="1"/>
  <c r="E16" i="1"/>
  <c r="F16" i="1"/>
  <c r="G16" i="1"/>
  <c r="H16" i="1"/>
  <c r="A17" i="1"/>
  <c r="B17" i="1"/>
  <c r="C17" i="1"/>
  <c r="D17" i="1"/>
  <c r="E17" i="1"/>
  <c r="F17" i="1"/>
  <c r="G17" i="1"/>
  <c r="H17" i="1"/>
  <c r="A18" i="1"/>
  <c r="B18" i="1"/>
  <c r="C18" i="1"/>
  <c r="D18" i="1"/>
  <c r="E18" i="1"/>
  <c r="F18" i="1"/>
  <c r="G18" i="1"/>
  <c r="H18" i="1"/>
  <c r="A19" i="1"/>
  <c r="B19" i="1"/>
  <c r="C19" i="1"/>
  <c r="D19" i="1"/>
  <c r="E19" i="1"/>
  <c r="F19" i="1"/>
  <c r="G19" i="1"/>
  <c r="H19" i="1"/>
  <c r="A20" i="1"/>
  <c r="B20" i="1"/>
  <c r="C20" i="1"/>
  <c r="D20" i="1"/>
  <c r="E20" i="1"/>
  <c r="F20" i="1"/>
  <c r="G20" i="1"/>
  <c r="H20" i="1"/>
  <c r="A21" i="1"/>
  <c r="B21" i="1"/>
  <c r="C21" i="1"/>
  <c r="J21" i="1" s="1"/>
  <c r="D21" i="1"/>
  <c r="E21" i="1"/>
  <c r="F21" i="1"/>
  <c r="G21" i="1"/>
  <c r="H21" i="1"/>
  <c r="A22" i="1"/>
  <c r="B22" i="1"/>
  <c r="C22" i="1"/>
  <c r="J22" i="1" s="1"/>
  <c r="D22" i="1"/>
  <c r="E22" i="1"/>
  <c r="F22" i="1"/>
  <c r="G22" i="1"/>
  <c r="H22" i="1"/>
  <c r="A23" i="1"/>
  <c r="B23" i="1"/>
  <c r="C23" i="1"/>
  <c r="D23" i="1"/>
  <c r="E23" i="1"/>
  <c r="F23" i="1"/>
  <c r="G23" i="1"/>
  <c r="H23" i="1"/>
  <c r="A24" i="1"/>
  <c r="B24" i="1"/>
  <c r="C24" i="1"/>
  <c r="D24" i="1"/>
  <c r="E24" i="1"/>
  <c r="F24" i="1"/>
  <c r="G24" i="1"/>
  <c r="H24" i="1"/>
  <c r="A25" i="1"/>
  <c r="B25" i="1"/>
  <c r="C25" i="1"/>
  <c r="J25" i="1" s="1"/>
  <c r="D25" i="1"/>
  <c r="E25" i="1"/>
  <c r="F25" i="1"/>
  <c r="G25" i="1"/>
  <c r="H25" i="1"/>
  <c r="A26" i="1"/>
  <c r="B26" i="1"/>
  <c r="C26" i="1"/>
  <c r="J26" i="1" s="1"/>
  <c r="D26" i="1"/>
  <c r="E26" i="1"/>
  <c r="F26" i="1"/>
  <c r="G26" i="1"/>
  <c r="H26" i="1"/>
  <c r="A27" i="1"/>
  <c r="B27" i="1"/>
  <c r="C27" i="1"/>
  <c r="D27" i="1"/>
  <c r="E27" i="1"/>
  <c r="F27" i="1"/>
  <c r="G27" i="1"/>
  <c r="H27" i="1"/>
  <c r="A28" i="1"/>
  <c r="B28" i="1"/>
  <c r="C28" i="1"/>
  <c r="D28" i="1"/>
  <c r="E28" i="1"/>
  <c r="F28" i="1"/>
  <c r="G28" i="1"/>
  <c r="H28" i="1"/>
  <c r="A29" i="1"/>
  <c r="B29" i="1"/>
  <c r="C29" i="1"/>
  <c r="D29" i="1"/>
  <c r="E29" i="1"/>
  <c r="F29" i="1"/>
  <c r="G29" i="1"/>
  <c r="H29" i="1"/>
  <c r="A30" i="1"/>
  <c r="B30" i="1"/>
  <c r="C30" i="1"/>
  <c r="D30" i="1"/>
  <c r="E30" i="1"/>
  <c r="F30" i="1"/>
  <c r="G30" i="1"/>
  <c r="H30" i="1"/>
  <c r="A31" i="1"/>
  <c r="B31" i="1"/>
  <c r="C31" i="1"/>
  <c r="D31" i="1"/>
  <c r="E31" i="1"/>
  <c r="F31" i="1"/>
  <c r="G31" i="1"/>
  <c r="H31" i="1"/>
  <c r="A32" i="1"/>
  <c r="B32" i="1"/>
  <c r="C32" i="1"/>
  <c r="D32" i="1"/>
  <c r="E32" i="1"/>
  <c r="F32" i="1"/>
  <c r="G32" i="1"/>
  <c r="H32" i="1"/>
  <c r="A33" i="1"/>
  <c r="B33" i="1"/>
  <c r="C33" i="1"/>
  <c r="D33" i="1"/>
  <c r="E33" i="1"/>
  <c r="F33" i="1"/>
  <c r="G33" i="1"/>
  <c r="H33" i="1"/>
  <c r="A34" i="1"/>
  <c r="B34" i="1"/>
  <c r="C34" i="1"/>
  <c r="D34" i="1"/>
  <c r="E34" i="1"/>
  <c r="F34" i="1"/>
  <c r="G34" i="1"/>
  <c r="H34" i="1"/>
  <c r="A35" i="1"/>
  <c r="B35" i="1"/>
  <c r="C35" i="1"/>
  <c r="D35" i="1"/>
  <c r="E35" i="1"/>
  <c r="F35" i="1"/>
  <c r="G35" i="1"/>
  <c r="H35" i="1"/>
  <c r="A36" i="1"/>
  <c r="B36" i="1"/>
  <c r="C36" i="1"/>
  <c r="D36" i="1"/>
  <c r="E36" i="1"/>
  <c r="F36" i="1"/>
  <c r="G36" i="1"/>
  <c r="H36" i="1"/>
  <c r="A37" i="1"/>
  <c r="B37" i="1"/>
  <c r="C37" i="1"/>
  <c r="D37" i="1"/>
  <c r="E37" i="1"/>
  <c r="F37" i="1"/>
  <c r="G37" i="1"/>
  <c r="H37" i="1"/>
  <c r="A38" i="1"/>
  <c r="B38" i="1"/>
  <c r="C38" i="1"/>
  <c r="D38" i="1"/>
  <c r="E38" i="1"/>
  <c r="F38" i="1"/>
  <c r="G38" i="1"/>
  <c r="H38" i="1"/>
  <c r="A39" i="1"/>
  <c r="B39" i="1"/>
  <c r="C39" i="1"/>
  <c r="D39" i="1"/>
  <c r="E39" i="1"/>
  <c r="F39" i="1"/>
  <c r="G39" i="1"/>
  <c r="H39" i="1"/>
  <c r="A40" i="1"/>
  <c r="B40" i="1"/>
  <c r="C40" i="1"/>
  <c r="D40" i="1"/>
  <c r="E40" i="1"/>
  <c r="F40" i="1"/>
  <c r="G40" i="1"/>
  <c r="H40" i="1"/>
  <c r="A41" i="1"/>
  <c r="B41" i="1"/>
  <c r="C41" i="1"/>
  <c r="D41" i="1"/>
  <c r="E41" i="1"/>
  <c r="F41" i="1"/>
  <c r="G41" i="1"/>
  <c r="H41" i="1"/>
  <c r="A42" i="1"/>
  <c r="B42" i="1"/>
  <c r="C42" i="1"/>
  <c r="D42" i="1"/>
  <c r="E42" i="1"/>
  <c r="F42" i="1"/>
  <c r="G42" i="1"/>
  <c r="H42" i="1"/>
  <c r="A43" i="1"/>
  <c r="B43" i="1"/>
  <c r="C43" i="1"/>
  <c r="D43" i="1"/>
  <c r="E43" i="1"/>
  <c r="F43" i="1"/>
  <c r="G43" i="1"/>
  <c r="H43" i="1"/>
  <c r="A44" i="1"/>
  <c r="B44" i="1"/>
  <c r="C44" i="1"/>
  <c r="D44" i="1"/>
  <c r="E44" i="1"/>
  <c r="F44" i="1"/>
  <c r="G44" i="1"/>
  <c r="H44" i="1"/>
  <c r="A45" i="1"/>
  <c r="B45" i="1"/>
  <c r="C45" i="1"/>
  <c r="D45" i="1"/>
  <c r="E45" i="1"/>
  <c r="F45" i="1"/>
  <c r="G45" i="1"/>
  <c r="H45" i="1"/>
  <c r="A46" i="1"/>
  <c r="B46" i="1"/>
  <c r="C46" i="1"/>
  <c r="D46" i="1"/>
  <c r="E46" i="1"/>
  <c r="F46" i="1"/>
  <c r="G46" i="1"/>
  <c r="H46" i="1"/>
  <c r="A47" i="1"/>
  <c r="B47" i="1"/>
  <c r="C47" i="1"/>
  <c r="D47" i="1"/>
  <c r="E47" i="1"/>
  <c r="F47" i="1"/>
  <c r="G47" i="1"/>
  <c r="H47" i="1"/>
  <c r="A48" i="1"/>
  <c r="B48" i="1"/>
  <c r="C48" i="1"/>
  <c r="D48" i="1"/>
  <c r="E48" i="1"/>
  <c r="F48" i="1"/>
  <c r="G48" i="1"/>
  <c r="H48" i="1"/>
  <c r="A49" i="1"/>
  <c r="B49" i="1"/>
  <c r="C49" i="1"/>
  <c r="D49" i="1"/>
  <c r="E49" i="1"/>
  <c r="F49" i="1"/>
  <c r="G49" i="1"/>
  <c r="H49" i="1"/>
  <c r="A50" i="1"/>
  <c r="B50" i="1"/>
  <c r="C50" i="1"/>
  <c r="D50" i="1"/>
  <c r="E50" i="1"/>
  <c r="F50" i="1"/>
  <c r="G50" i="1"/>
  <c r="H50" i="1"/>
  <c r="A51" i="1"/>
  <c r="B51" i="1"/>
  <c r="C51" i="1"/>
  <c r="D51" i="1"/>
  <c r="E51" i="1"/>
  <c r="F51" i="1"/>
  <c r="G51" i="1"/>
  <c r="H51" i="1"/>
  <c r="H12" i="1"/>
  <c r="G12" i="1"/>
  <c r="F12" i="1"/>
  <c r="E12" i="1"/>
  <c r="D12" i="1"/>
  <c r="C12" i="1"/>
  <c r="B12" i="1"/>
  <c r="A12" i="1"/>
  <c r="H11" i="1"/>
  <c r="G11" i="1"/>
  <c r="F11" i="1"/>
  <c r="E11" i="1"/>
  <c r="D11" i="1"/>
  <c r="C11" i="1"/>
  <c r="B11" i="1"/>
  <c r="A11" i="1"/>
  <c r="H10" i="1"/>
  <c r="G10" i="1"/>
  <c r="F10" i="1"/>
  <c r="E10" i="1"/>
  <c r="D10" i="1"/>
  <c r="C10" i="1"/>
  <c r="B10" i="1"/>
  <c r="A10" i="1"/>
  <c r="H9" i="1"/>
  <c r="G9" i="1"/>
  <c r="F9" i="1"/>
  <c r="E9" i="1"/>
  <c r="D9" i="1"/>
  <c r="C9" i="1"/>
  <c r="B9" i="1"/>
  <c r="A9" i="1"/>
  <c r="H8" i="1"/>
  <c r="G8" i="1"/>
  <c r="F8" i="1"/>
  <c r="E8" i="1"/>
  <c r="D8" i="1"/>
  <c r="C8" i="1"/>
  <c r="B8" i="1"/>
  <c r="A8" i="1"/>
  <c r="H7" i="1"/>
  <c r="G7" i="1"/>
  <c r="F7" i="1"/>
  <c r="E7" i="1"/>
  <c r="D7" i="1"/>
  <c r="C7" i="1"/>
  <c r="B7" i="1"/>
  <c r="A7" i="1"/>
  <c r="H6" i="1"/>
  <c r="G6" i="1"/>
  <c r="F6" i="1"/>
  <c r="E6" i="1"/>
  <c r="D6" i="1"/>
  <c r="C6" i="1"/>
  <c r="B6" i="1"/>
  <c r="A6" i="1"/>
  <c r="H5" i="1"/>
  <c r="G5" i="1"/>
  <c r="F5" i="1"/>
  <c r="E5" i="1"/>
  <c r="D5" i="1"/>
  <c r="C5" i="1"/>
  <c r="B5" i="1"/>
  <c r="A5" i="1"/>
  <c r="H4" i="1"/>
  <c r="G4" i="1"/>
  <c r="F4" i="1"/>
  <c r="E4" i="1"/>
  <c r="D4" i="1"/>
  <c r="C4" i="1"/>
  <c r="B4" i="1"/>
  <c r="A4" i="1"/>
  <c r="H3" i="1"/>
  <c r="G3" i="1"/>
  <c r="F3" i="1"/>
  <c r="E3" i="1"/>
  <c r="D3" i="1"/>
  <c r="C3" i="1"/>
  <c r="B3" i="1"/>
  <c r="A3" i="1"/>
  <c r="H2" i="1"/>
  <c r="G2" i="1"/>
  <c r="F2" i="1"/>
  <c r="E2" i="1"/>
  <c r="B2" i="1"/>
  <c r="A2" i="1"/>
  <c r="H1" i="1"/>
  <c r="G1" i="1"/>
  <c r="K5" i="1" s="1"/>
  <c r="F1" i="1"/>
  <c r="E1" i="1"/>
  <c r="B1" i="1"/>
  <c r="A1" i="1"/>
  <c r="J2" i="1"/>
  <c r="J13" i="1"/>
  <c r="J15" i="1"/>
  <c r="J17" i="1"/>
  <c r="J27" i="1"/>
  <c r="J30" i="1"/>
  <c r="J18" i="1"/>
  <c r="J19" i="1"/>
  <c r="J24" i="1"/>
  <c r="J28" i="1"/>
  <c r="J31" i="1"/>
  <c r="J29" i="1"/>
  <c r="J12" i="1"/>
  <c r="J14" i="1"/>
  <c r="J43" i="1"/>
  <c r="J32" i="1"/>
  <c r="J49" i="1"/>
  <c r="J41" i="1"/>
  <c r="J50" i="1"/>
  <c r="J35" i="1"/>
  <c r="J20" i="1"/>
  <c r="J34" i="1"/>
  <c r="J40" i="1"/>
  <c r="J45" i="1"/>
  <c r="J48" i="1"/>
  <c r="J16" i="1"/>
  <c r="J23" i="1"/>
  <c r="J33" i="1"/>
  <c r="J37" i="1"/>
  <c r="J38" i="1"/>
  <c r="J39" i="1"/>
  <c r="J42" i="1"/>
  <c r="J44" i="1"/>
  <c r="J46" i="1"/>
  <c r="J47" i="1"/>
  <c r="J51" i="1"/>
  <c r="J36" i="1"/>
  <c r="J9" i="1"/>
  <c r="J3" i="1"/>
  <c r="J10" i="1"/>
  <c r="J6" i="1"/>
  <c r="J1" i="1"/>
  <c r="J8" i="1"/>
  <c r="J7" i="1"/>
  <c r="J4" i="1"/>
  <c r="J5" i="1"/>
  <c r="G2" i="2"/>
  <c r="H1" i="2"/>
  <c r="G1" i="2"/>
  <c r="C2" i="2"/>
  <c r="A1" i="2"/>
  <c r="E1" i="2"/>
  <c r="C1" i="2"/>
  <c r="F1" i="2"/>
  <c r="B1" i="2"/>
  <c r="E21" i="2"/>
  <c r="H21" i="2"/>
  <c r="G21" i="2"/>
  <c r="F21" i="2"/>
  <c r="C21" i="2"/>
  <c r="C22" i="2"/>
  <c r="A16" i="2"/>
  <c r="E16" i="2"/>
  <c r="B17" i="2"/>
  <c r="F17" i="2"/>
  <c r="C18" i="2"/>
  <c r="G18" i="2"/>
  <c r="D19" i="2"/>
  <c r="A20" i="2"/>
  <c r="E20" i="2"/>
  <c r="B21" i="2"/>
  <c r="G22" i="2"/>
  <c r="B16" i="2"/>
  <c r="F16" i="2"/>
  <c r="C17" i="2"/>
  <c r="G17" i="2"/>
  <c r="D18" i="2"/>
  <c r="A19" i="2"/>
  <c r="E19" i="2"/>
  <c r="B20" i="2"/>
  <c r="F20" i="2"/>
  <c r="D16" i="2"/>
  <c r="E17" i="2"/>
  <c r="C19" i="2"/>
  <c r="D20" i="2"/>
  <c r="C16" i="2"/>
  <c r="G16" i="2"/>
  <c r="D17" i="2"/>
  <c r="A18" i="2"/>
  <c r="E18" i="2"/>
  <c r="B19" i="2"/>
  <c r="F19" i="2"/>
  <c r="C20" i="2"/>
  <c r="G20" i="2"/>
  <c r="A17" i="2"/>
  <c r="B18" i="2"/>
  <c r="F18" i="2"/>
  <c r="G19" i="2"/>
  <c r="A21" i="2"/>
  <c r="G15" i="2"/>
  <c r="C15" i="2"/>
  <c r="F14" i="2"/>
  <c r="B14" i="2"/>
  <c r="E13" i="2"/>
  <c r="A13" i="2"/>
  <c r="D12" i="2"/>
  <c r="G11" i="2"/>
  <c r="C11" i="2"/>
  <c r="F10" i="2"/>
  <c r="B10" i="2"/>
  <c r="E9" i="2"/>
  <c r="A9" i="2"/>
  <c r="D8" i="2"/>
  <c r="G7" i="2"/>
  <c r="C7" i="2"/>
  <c r="F6" i="2"/>
  <c r="B6" i="2"/>
  <c r="E5" i="2"/>
  <c r="A5" i="2"/>
  <c r="D4" i="2"/>
  <c r="G3" i="2"/>
  <c r="C3" i="2"/>
  <c r="F15" i="2"/>
  <c r="E14" i="2"/>
  <c r="D13" i="2"/>
  <c r="C12" i="2"/>
  <c r="B11" i="2"/>
  <c r="A10" i="2"/>
  <c r="G8" i="2"/>
  <c r="F7" i="2"/>
  <c r="E6" i="2"/>
  <c r="D5" i="2"/>
  <c r="C4" i="2"/>
  <c r="B3" i="2"/>
  <c r="E15" i="2"/>
  <c r="D14" i="2"/>
  <c r="C13" i="2"/>
  <c r="B12" i="2"/>
  <c r="A11" i="2"/>
  <c r="G9" i="2"/>
  <c r="F8" i="2"/>
  <c r="E7" i="2"/>
  <c r="D6" i="2"/>
  <c r="C5" i="2"/>
  <c r="B4" i="2"/>
  <c r="A3" i="2"/>
  <c r="D15" i="2"/>
  <c r="G14" i="2"/>
  <c r="C14" i="2"/>
  <c r="F13" i="2"/>
  <c r="B13" i="2"/>
  <c r="E12" i="2"/>
  <c r="A12" i="2"/>
  <c r="D11" i="2"/>
  <c r="G10" i="2"/>
  <c r="C10" i="2"/>
  <c r="F9" i="2"/>
  <c r="B9" i="2"/>
  <c r="E8" i="2"/>
  <c r="A8" i="2"/>
  <c r="D7" i="2"/>
  <c r="G6" i="2"/>
  <c r="C6" i="2"/>
  <c r="F5" i="2"/>
  <c r="B5" i="2"/>
  <c r="E4" i="2"/>
  <c r="A4" i="2"/>
  <c r="D3" i="2"/>
  <c r="B15" i="2"/>
  <c r="A14" i="2"/>
  <c r="G12" i="2"/>
  <c r="F11" i="2"/>
  <c r="E10" i="2"/>
  <c r="D9" i="2"/>
  <c r="C8" i="2"/>
  <c r="B7" i="2"/>
  <c r="A6" i="2"/>
  <c r="G4" i="2"/>
  <c r="F3" i="2"/>
  <c r="A15" i="2"/>
  <c r="G13" i="2"/>
  <c r="F12" i="2"/>
  <c r="E11" i="2"/>
  <c r="D10" i="2"/>
  <c r="C9" i="2"/>
  <c r="B8" i="2"/>
  <c r="A7" i="2"/>
  <c r="G5" i="2"/>
  <c r="F4" i="2"/>
  <c r="E3" i="2"/>
  <c r="A2" i="2"/>
  <c r="I1" i="2"/>
  <c r="A22" i="2"/>
  <c r="I21" i="2"/>
</calcChain>
</file>

<file path=xl/sharedStrings.xml><?xml version="1.0" encoding="utf-8"?>
<sst xmlns="http://schemas.openxmlformats.org/spreadsheetml/2006/main" count="1" uniqueCount="1">
  <si>
    <t>Total calculé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</si>
</sst>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General;General;&quot;&quot;"/>
    <numFmt numFmtId="165" formatCode="###0;###0;&quot;&quot;"/>
    <numFmt numFmtId="168" formatCode="General&quot; x&quot;"/>
    <numFmt numFmtId="170" formatCode="0.00\ &quot;€&quot;\ &quot; =&quot;"/>
    <numFmt numFmtId="171" formatCode="#,##0.00\ &quot;€&quot;"/>
  </numFmts>
  <fonts count="4" x14ac:knownFonts="1">
    <font>
      <sz val="11"/>
      <color theme="1"/>
      <name val="Calibri"/>
      <family val="2"/>
      <scheme val="minor"/>
    </font>
    <font>
      <sz val="25"/>
      <color theme="1"/>
      <name val="Code EAN13"/>
      <charset val="2"/>
    </font>
    <font>
      <b/>
      <sz val="11"/>
      <color theme="1"/>
      <name val="Calibri"/>
      <family val="2"/>
      <scheme val="minor"/>
    </font>
    <font>
      <sz val="30"/>
      <color theme="1"/>
      <name val="Code EAN13"/>
      <charset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1" fontId="0" fillId="2" borderId="0" xfId="0" applyNumberFormat="1" applyFill="1"/>
    <xf numFmtId="0" fontId="1" fillId="3" borderId="0" xfId="0" applyFont="1" applyFill="1"/>
    <xf numFmtId="164" fontId="0" fillId="3" borderId="0" xfId="0" applyNumberFormat="1" applyFill="1"/>
    <xf numFmtId="165" fontId="0" fillId="3" borderId="0" xfId="0" applyNumberFormat="1" applyFill="1"/>
    <xf numFmtId="164" fontId="2" fillId="3" borderId="0" xfId="0" applyNumberFormat="1" applyFont="1" applyFill="1"/>
    <xf numFmtId="0" fontId="2" fillId="2" borderId="0" xfId="0" applyFont="1" applyFill="1"/>
    <xf numFmtId="0" fontId="2" fillId="0" borderId="0" xfId="0" applyFont="1"/>
    <xf numFmtId="168" fontId="0" fillId="0" borderId="0" xfId="0" applyNumberFormat="1"/>
    <xf numFmtId="170" fontId="0" fillId="0" borderId="0" xfId="0" applyNumberFormat="1"/>
    <xf numFmtId="171" fontId="0" fillId="0" borderId="0" xfId="0" applyNumberFormat="1"/>
    <xf numFmtId="171" fontId="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</cellXfs>
  <cellStyles count="1">
    <cellStyle name="Normal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AN13_traite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AN13_traite"/>
    </sheetNames>
    <sheetDataSet>
      <sheetData sheetId="0">
        <row r="1">
          <cell r="A1" t="str">
            <v>ENTETE</v>
          </cell>
        </row>
        <row r="2">
          <cell r="A2">
            <v>1</v>
          </cell>
          <cell r="B2" t="str">
            <v>Produit</v>
          </cell>
          <cell r="C2" t="str">
            <v>Code piece</v>
          </cell>
          <cell r="D2" t="str">
            <v>Couleur</v>
          </cell>
          <cell r="E2" t="str">
            <v>Taille</v>
          </cell>
          <cell r="F2" t="str">
            <v>Libelle</v>
          </cell>
          <cell r="G2" t="str">
            <v>Quantite</v>
          </cell>
          <cell r="H2" t="str">
            <v>Prix unitaire</v>
          </cell>
          <cell r="I2" t="str">
            <v>Montant</v>
          </cell>
        </row>
        <row r="3">
          <cell r="A3">
            <v>2</v>
          </cell>
          <cell r="B3" t="str">
            <v>Boutique</v>
          </cell>
          <cell r="D3" t="str">
            <v>TOULOUSE</v>
          </cell>
        </row>
        <row r="4">
          <cell r="A4">
            <v>3</v>
          </cell>
          <cell r="B4" t="str">
            <v>Ref. facture</v>
          </cell>
          <cell r="D4" t="str">
            <v>2018 321 2766 19/12/2018</v>
          </cell>
        </row>
        <row r="5">
          <cell r="A5">
            <v>4</v>
          </cell>
          <cell r="B5" t="str">
            <v>Total facture</v>
          </cell>
        </row>
        <row r="6">
          <cell r="A6">
            <v>5</v>
          </cell>
          <cell r="B6" t="str">
            <v>Total produits</v>
          </cell>
        </row>
        <row r="7">
          <cell r="A7">
            <v>6</v>
          </cell>
          <cell r="B7" t="str">
            <v>Cumul montant</v>
          </cell>
          <cell r="D7" t="str">
            <v>1334.41</v>
          </cell>
          <cell r="F7" t="str">
            <v>Etat courant = 'fichierTraite'</v>
          </cell>
        </row>
        <row r="8">
          <cell r="A8">
            <v>7</v>
          </cell>
          <cell r="B8" t="str">
            <v>ANOMALIE MONTANT</v>
          </cell>
          <cell r="D8" t="str">
            <v>1334.41</v>
          </cell>
        </row>
        <row r="9">
          <cell r="A9">
            <v>8</v>
          </cell>
        </row>
        <row r="10">
          <cell r="A10" t="str">
            <v>EAN13</v>
          </cell>
        </row>
        <row r="11">
          <cell r="A11">
            <v>1</v>
          </cell>
          <cell r="B11">
            <v>7</v>
          </cell>
          <cell r="C11">
            <v>8050846039643</v>
          </cell>
          <cell r="D11" t="str">
            <v>OBAGB033-EVS00-017</v>
          </cell>
          <cell r="E11" t="str">
            <v>CORPS O BAG URBAN EVA COMPOUND NAVY</v>
          </cell>
          <cell r="F11" t="str">
            <v>UNICA</v>
          </cell>
          <cell r="G11">
            <v>3</v>
          </cell>
          <cell r="H11">
            <v>14.16</v>
          </cell>
          <cell r="I11">
            <v>42.48</v>
          </cell>
        </row>
        <row r="12">
          <cell r="A12">
            <v>2</v>
          </cell>
          <cell r="B12">
            <v>13</v>
          </cell>
          <cell r="C12">
            <v>8050846039049</v>
          </cell>
          <cell r="D12" t="str">
            <v>OBAGB001-EVS00-389</v>
          </cell>
          <cell r="E12" t="str">
            <v>CORPS O BAG EVA COMPOUND SILVER</v>
          </cell>
          <cell r="F12" t="str">
            <v>UNICA</v>
          </cell>
          <cell r="G12">
            <v>8</v>
          </cell>
          <cell r="H12">
            <v>14.4</v>
          </cell>
          <cell r="I12">
            <v>115.2</v>
          </cell>
        </row>
        <row r="13">
          <cell r="A13">
            <v>3</v>
          </cell>
          <cell r="B13">
            <v>14</v>
          </cell>
          <cell r="C13" t="str">
            <v>CodeBarre</v>
          </cell>
          <cell r="D13" t="str">
            <v>HLESCE01-ECS07-133</v>
          </cell>
          <cell r="E13" t="str">
            <v>ANSES DOUBLE CHAINE EN Â"Â TÂ Â" EN FAUX CUIR EFFET GRIFFE GRIS CLAIR</v>
          </cell>
          <cell r="F13" t="str">
            <v>UNICA</v>
          </cell>
          <cell r="G13">
            <v>8</v>
          </cell>
          <cell r="H13">
            <v>10.6</v>
          </cell>
          <cell r="I13">
            <v>84.8</v>
          </cell>
        </row>
        <row r="14">
          <cell r="A14">
            <v>4</v>
          </cell>
          <cell r="B14">
            <v>19</v>
          </cell>
          <cell r="C14">
            <v>8050846039100</v>
          </cell>
          <cell r="D14" t="str">
            <v>OBAGB002-EVS00-389</v>
          </cell>
          <cell r="E14" t="str">
            <v>CORPS O BAG MINI EVA COMPOUND SILVER</v>
          </cell>
          <cell r="F14" t="str">
            <v>UNICA</v>
          </cell>
          <cell r="G14">
            <v>10</v>
          </cell>
          <cell r="H14">
            <v>14.4</v>
          </cell>
          <cell r="I14">
            <v>144</v>
          </cell>
        </row>
        <row r="15">
          <cell r="A15">
            <v>5</v>
          </cell>
          <cell r="B15">
            <v>4</v>
          </cell>
          <cell r="C15" t="str">
            <v>CodeBarre</v>
          </cell>
          <cell r="D15" t="str">
            <v>OBAGS002-TESR1-086</v>
          </cell>
          <cell r="E15" t="str">
            <v>POCHETTE INTERIEURE FERMETURE ECLAIR O BAG MINI EN TISSU COTTON CORDUROY GRIS TOUR</v>
          </cell>
          <cell r="F15" t="str">
            <v>UNICA</v>
          </cell>
          <cell r="G15">
            <v>5</v>
          </cell>
          <cell r="H15">
            <v>9</v>
          </cell>
          <cell r="I15">
            <v>45</v>
          </cell>
        </row>
        <row r="16">
          <cell r="A16">
            <v>6</v>
          </cell>
          <cell r="B16">
            <v>6</v>
          </cell>
          <cell r="C16" t="str">
            <v>CodeBarre</v>
          </cell>
          <cell r="D16" t="str">
            <v>OBAGS002-TESR1-018</v>
          </cell>
          <cell r="E16" t="str">
            <v>POCHETTE INTERIEURE FERMETURE ECLAIR O BAG MINI EN TISSU COTTON CORDUROY BORDEAUX</v>
          </cell>
          <cell r="F16" t="str">
            <v>UNICA</v>
          </cell>
          <cell r="G16">
            <v>3</v>
          </cell>
          <cell r="H16">
            <v>9</v>
          </cell>
          <cell r="I16">
            <v>27</v>
          </cell>
        </row>
        <row r="17">
          <cell r="A17">
            <v>7</v>
          </cell>
          <cell r="B17">
            <v>8</v>
          </cell>
          <cell r="C17" t="str">
            <v>CodeBarre</v>
          </cell>
          <cell r="D17" t="str">
            <v>OBAGS001-TESR1-018</v>
          </cell>
          <cell r="E17" t="str">
            <v>POCHETTE INTERIEURE FERMETURE ECLAIR O BAG EN TISSU COTTON CORDUROY BORDEAUX</v>
          </cell>
          <cell r="F17" t="str">
            <v>UNICA</v>
          </cell>
          <cell r="G17">
            <v>5</v>
          </cell>
          <cell r="H17">
            <v>10.8</v>
          </cell>
          <cell r="I17">
            <v>54</v>
          </cell>
        </row>
        <row r="18">
          <cell r="A18">
            <v>8</v>
          </cell>
          <cell r="B18">
            <v>9</v>
          </cell>
          <cell r="C18">
            <v>8050846039711</v>
          </cell>
          <cell r="D18" t="str">
            <v>OBAGB033-EVS00-078</v>
          </cell>
          <cell r="E18" t="str">
            <v>CORPS O BAG URBAN EVA COMPOUND SABLE</v>
          </cell>
          <cell r="F18" t="str">
            <v>UNICA</v>
          </cell>
          <cell r="G18">
            <v>3</v>
          </cell>
          <cell r="H18">
            <v>14.16</v>
          </cell>
          <cell r="I18">
            <v>42.48</v>
          </cell>
        </row>
        <row r="19">
          <cell r="A19">
            <v>8</v>
          </cell>
          <cell r="B19">
            <v>9</v>
          </cell>
          <cell r="C19">
            <v>8050846039711</v>
          </cell>
          <cell r="D19" t="str">
            <v>OBAGB033-EVS00-078</v>
          </cell>
          <cell r="E19" t="str">
            <v>CORPS O BAG URBAN EVA COMPOUND SABLE</v>
          </cell>
          <cell r="F19" t="str">
            <v>UNICA</v>
          </cell>
          <cell r="G19">
            <v>3</v>
          </cell>
          <cell r="H19">
            <v>14.16</v>
          </cell>
          <cell r="I19">
            <v>42.48</v>
          </cell>
        </row>
        <row r="20">
          <cell r="A20">
            <v>9</v>
          </cell>
          <cell r="B20">
            <v>10</v>
          </cell>
          <cell r="C20" t="str">
            <v>CodeBarre</v>
          </cell>
          <cell r="D20" t="str">
            <v>SHOUX101-ECS00-018</v>
          </cell>
          <cell r="E20" t="str">
            <v>BANDOULIÃˆRE EXTRASLIM 110 + ANSES TUBULAIRES + CLIP FAUX CUIR BORDEAUX</v>
          </cell>
          <cell r="F20" t="str">
            <v>UNICA</v>
          </cell>
          <cell r="G20">
            <v>2</v>
          </cell>
          <cell r="H20">
            <v>7.78</v>
          </cell>
          <cell r="I20">
            <v>15.56</v>
          </cell>
        </row>
        <row r="21">
          <cell r="A21">
            <v>10</v>
          </cell>
          <cell r="B21">
            <v>12</v>
          </cell>
          <cell r="C21" t="str">
            <v>CodeBarre</v>
          </cell>
          <cell r="D21" t="str">
            <v>OBAGS002-TESR1-258</v>
          </cell>
          <cell r="E21" t="str">
            <v>POCHETTE INTERIEURE FERMETURE ECLAIR O BAG MINI EN TISSU COTTON CORDUROY BEIGE</v>
          </cell>
          <cell r="F21" t="str">
            <v>UNICA</v>
          </cell>
          <cell r="G21">
            <v>3</v>
          </cell>
          <cell r="H21">
            <v>9</v>
          </cell>
          <cell r="I21">
            <v>27</v>
          </cell>
        </row>
        <row r="22">
          <cell r="A22">
            <v>11</v>
          </cell>
          <cell r="B22">
            <v>17</v>
          </cell>
          <cell r="C22" t="str">
            <v>CodeBarre</v>
          </cell>
          <cell r="D22" t="str">
            <v>OBAGB206-EVS00-024</v>
          </cell>
          <cell r="E22" t="str">
            <v>CORPS INFERIEUR O POCKET EVA COMPOUND CHOCOLAT</v>
          </cell>
          <cell r="F22" t="str">
            <v>UNICA</v>
          </cell>
          <cell r="G22">
            <v>5</v>
          </cell>
          <cell r="H22">
            <v>4.8</v>
          </cell>
          <cell r="I22">
            <v>24</v>
          </cell>
        </row>
        <row r="23">
          <cell r="A23">
            <v>12</v>
          </cell>
          <cell r="B23">
            <v>18</v>
          </cell>
          <cell r="C23" t="str">
            <v>CodeBarre</v>
          </cell>
          <cell r="D23" t="str">
            <v>OBAGB034-EVS00-024</v>
          </cell>
          <cell r="E23" t="str">
            <v>CORPS O BAG GLAM EVA COMPOUND CHOCOLAT</v>
          </cell>
          <cell r="F23" t="str">
            <v>UNICA</v>
          </cell>
          <cell r="G23">
            <v>2</v>
          </cell>
          <cell r="H23">
            <v>12.59</v>
          </cell>
          <cell r="I23">
            <v>25.18</v>
          </cell>
        </row>
        <row r="24">
          <cell r="A24">
            <v>13</v>
          </cell>
          <cell r="B24">
            <v>20</v>
          </cell>
          <cell r="C24">
            <v>8050450214153</v>
          </cell>
          <cell r="D24" t="str">
            <v>OBAGB001-EVS00-024</v>
          </cell>
          <cell r="E24" t="str">
            <v>CORPS O BAG EVA COMPOUND CHOCOLAT</v>
          </cell>
          <cell r="F24" t="str">
            <v>UNICA</v>
          </cell>
          <cell r="G24">
            <v>8</v>
          </cell>
          <cell r="H24">
            <v>14.4</v>
          </cell>
          <cell r="I24">
            <v>115.2</v>
          </cell>
        </row>
        <row r="25">
          <cell r="A25">
            <v>14</v>
          </cell>
          <cell r="B25">
            <v>24</v>
          </cell>
          <cell r="C25" t="str">
            <v>CodeBarre</v>
          </cell>
          <cell r="D25" t="str">
            <v>OBAGS001-TESR1-258</v>
          </cell>
          <cell r="E25" t="str">
            <v>POCHETTE INTERIEURE FERMETURE ECLAIR O BAG EN TISSU COTTON CORDUROY BEIGE</v>
          </cell>
          <cell r="F25" t="str">
            <v>UNICA</v>
          </cell>
          <cell r="G25">
            <v>8</v>
          </cell>
          <cell r="H25">
            <v>10.8</v>
          </cell>
          <cell r="I25">
            <v>86.4</v>
          </cell>
        </row>
        <row r="26">
          <cell r="A26">
            <v>15</v>
          </cell>
          <cell r="B26">
            <v>5</v>
          </cell>
          <cell r="C26" t="str">
            <v>CodeBarre</v>
          </cell>
          <cell r="D26" t="str">
            <v>HLESGC00-ECS04-038</v>
          </cell>
          <cell r="E26" t="str">
            <v>ANSES COURTES EN FAUX CUIR POMPON GRIS GRAPHITE</v>
          </cell>
          <cell r="F26" t="str">
            <v>UNICA</v>
          </cell>
          <cell r="G26">
            <v>10</v>
          </cell>
          <cell r="H26">
            <v>6.05</v>
          </cell>
          <cell r="I26">
            <v>60.5</v>
          </cell>
        </row>
        <row r="27">
          <cell r="A27">
            <v>16</v>
          </cell>
          <cell r="B27">
            <v>15</v>
          </cell>
          <cell r="C27" t="str">
            <v>CodeBarre</v>
          </cell>
          <cell r="D27" t="str">
            <v>OBAGB032-EVS00-559</v>
          </cell>
          <cell r="E27" t="str">
            <v>CORPS O BAG KNIT MINI EVA COMPOUND CUIVRE</v>
          </cell>
          <cell r="F27" t="str">
            <v>UNICA</v>
          </cell>
          <cell r="G27">
            <v>2</v>
          </cell>
          <cell r="H27">
            <v>14.16</v>
          </cell>
          <cell r="I27">
            <v>28.32</v>
          </cell>
        </row>
        <row r="28">
          <cell r="A28">
            <v>17</v>
          </cell>
          <cell r="B28">
            <v>3</v>
          </cell>
          <cell r="C28">
            <v>8050846006560</v>
          </cell>
          <cell r="D28" t="str">
            <v>OBAGB002-EVS00-026</v>
          </cell>
          <cell r="E28" t="str">
            <v>CORPS O BAG MINI EVA COMPOUND BLEU COBALT</v>
          </cell>
          <cell r="F28" t="str">
            <v>UNICA</v>
          </cell>
          <cell r="G28">
            <v>2</v>
          </cell>
          <cell r="H28">
            <v>14.4</v>
          </cell>
          <cell r="I28">
            <v>28.8</v>
          </cell>
        </row>
        <row r="29">
          <cell r="A29">
            <v>17</v>
          </cell>
          <cell r="B29">
            <v>3</v>
          </cell>
          <cell r="C29">
            <v>8050846006560</v>
          </cell>
          <cell r="D29" t="str">
            <v>OBAGB002-EVS00-026</v>
          </cell>
          <cell r="E29" t="str">
            <v>CORPS O BAG MINI EVA COMPOUND BLEU COBALT</v>
          </cell>
          <cell r="F29" t="str">
            <v>UNICA</v>
          </cell>
          <cell r="G29">
            <v>2</v>
          </cell>
          <cell r="H29">
            <v>14.4</v>
          </cell>
          <cell r="I29">
            <v>28.8</v>
          </cell>
        </row>
        <row r="30">
          <cell r="A30">
            <v>18</v>
          </cell>
          <cell r="B30">
            <v>21</v>
          </cell>
          <cell r="C30" t="str">
            <v>CodeBarre</v>
          </cell>
          <cell r="D30" t="str">
            <v>HLESG000-ECS04-038</v>
          </cell>
          <cell r="E30" t="str">
            <v>ANSES LONGUES EN FAUX CUIR POMPON GRIS GRAPHITE</v>
          </cell>
          <cell r="F30" t="str">
            <v>UNICA</v>
          </cell>
          <cell r="G30">
            <v>15</v>
          </cell>
          <cell r="H30">
            <v>7.03</v>
          </cell>
          <cell r="I30">
            <v>105.45</v>
          </cell>
        </row>
        <row r="31">
          <cell r="A31">
            <v>19</v>
          </cell>
          <cell r="B31">
            <v>23</v>
          </cell>
          <cell r="C31">
            <v>8050846006560</v>
          </cell>
          <cell r="D31" t="str">
            <v>OBAGB002-EVS00-026</v>
          </cell>
          <cell r="E31" t="str">
            <v>P002 BONIFICO CLIENTE</v>
          </cell>
          <cell r="F31" t="str">
            <v>UNICA</v>
          </cell>
          <cell r="G31">
            <v>6</v>
          </cell>
          <cell r="H31">
            <v>14.4</v>
          </cell>
          <cell r="I31">
            <v>86.4</v>
          </cell>
        </row>
        <row r="32">
          <cell r="A32">
            <v>19</v>
          </cell>
          <cell r="B32">
            <v>23</v>
          </cell>
          <cell r="C32">
            <v>8050846006560</v>
          </cell>
          <cell r="D32" t="str">
            <v>OBAGB002-EVS00-026</v>
          </cell>
          <cell r="E32" t="str">
            <v>P002 BONIFICO CLIENTE</v>
          </cell>
          <cell r="F32" t="str">
            <v>UNICA</v>
          </cell>
          <cell r="G32">
            <v>6</v>
          </cell>
          <cell r="H32">
            <v>14.4</v>
          </cell>
          <cell r="I32">
            <v>86.4</v>
          </cell>
        </row>
        <row r="33">
          <cell r="A33">
            <v>20</v>
          </cell>
          <cell r="B33">
            <v>1</v>
          </cell>
          <cell r="C33" t="str">
            <v>CodeBarre</v>
          </cell>
          <cell r="D33" t="str">
            <v>OBAGB032-EVS00-078</v>
          </cell>
          <cell r="E33" t="str">
            <v>CORPS O BAG MINI EVA COMPOUND BLEU COBALT</v>
          </cell>
          <cell r="F33" t="str">
            <v>UNICA</v>
          </cell>
          <cell r="G33">
            <v>2</v>
          </cell>
          <cell r="H33">
            <v>14.16</v>
          </cell>
          <cell r="I33">
            <v>28.32</v>
          </cell>
        </row>
        <row r="34">
          <cell r="A34">
            <v>21</v>
          </cell>
          <cell r="B34">
            <v>2</v>
          </cell>
          <cell r="C34">
            <v>8050846039148</v>
          </cell>
          <cell r="D34" t="str">
            <v>OBAGB002-EVS00-559</v>
          </cell>
          <cell r="E34" t="str">
            <v>CORPS O BAG KNIT MINI EVA COMPOUND SABLE</v>
          </cell>
          <cell r="F34" t="str">
            <v>UNICA</v>
          </cell>
          <cell r="G34">
            <v>2</v>
          </cell>
          <cell r="H34">
            <v>14.4</v>
          </cell>
          <cell r="I34">
            <v>28.8</v>
          </cell>
        </row>
        <row r="35">
          <cell r="A35">
            <v>22</v>
          </cell>
          <cell r="B35">
            <v>11</v>
          </cell>
          <cell r="C35">
            <v>8050846039148</v>
          </cell>
          <cell r="D35" t="str">
            <v>OBAGB002-EVS00-559</v>
          </cell>
          <cell r="E35" t="str">
            <v>CORPS O BAG MINI EVA COMPOUND CUIVRE</v>
          </cell>
          <cell r="F35" t="str">
            <v>UNICA</v>
          </cell>
          <cell r="G35">
            <v>6</v>
          </cell>
          <cell r="H35">
            <v>14.4</v>
          </cell>
          <cell r="I35">
            <v>86.4</v>
          </cell>
        </row>
        <row r="36">
          <cell r="A36">
            <v>23</v>
          </cell>
          <cell r="B36">
            <v>16</v>
          </cell>
          <cell r="C36" t="str">
            <v>CodeBarre</v>
          </cell>
          <cell r="D36" t="str">
            <v>OBAGB017-EVS00-540</v>
          </cell>
          <cell r="E36" t="str">
            <v>CORPS O BAG MINI EVA COMPOUND CUIVRE</v>
          </cell>
          <cell r="F36" t="str">
            <v>UNICA</v>
          </cell>
          <cell r="G36">
            <v>3</v>
          </cell>
          <cell r="H36">
            <v>11.04</v>
          </cell>
          <cell r="I36">
            <v>33.119999999999997</v>
          </cell>
        </row>
        <row r="37">
          <cell r="A37">
            <v>24</v>
          </cell>
          <cell r="B37">
            <v>22</v>
          </cell>
          <cell r="C37" t="str">
            <v>CodeBarre</v>
          </cell>
          <cell r="D37" t="str">
            <v>OBAGB206-EVS00-559</v>
          </cell>
          <cell r="E37" t="str">
            <v>CORPS O MOON LIGHT EVA COMPOUND CURRY</v>
          </cell>
          <cell r="F37" t="str">
            <v>UNICA</v>
          </cell>
          <cell r="G37">
            <v>4</v>
          </cell>
          <cell r="H37">
            <v>4.8</v>
          </cell>
          <cell r="I37">
            <v>0</v>
          </cell>
        </row>
        <row r="38">
          <cell r="A38">
            <v>25</v>
          </cell>
          <cell r="B38">
            <v>25</v>
          </cell>
          <cell r="C38">
            <v>8050846039087</v>
          </cell>
          <cell r="D38" t="str">
            <v>OBAGB001-EVS00-559</v>
          </cell>
          <cell r="E38" t="str">
            <v>CORPS INFERIEUR O POCKET EVA COMPOUND CUIVRE</v>
          </cell>
          <cell r="F38" t="str">
            <v>UNICA</v>
          </cell>
          <cell r="G38">
            <v>8</v>
          </cell>
          <cell r="H38">
            <v>14.4</v>
          </cell>
          <cell r="I38">
            <v>0</v>
          </cell>
        </row>
        <row r="39">
          <cell r="A39" t="str">
            <v>MANQUANT</v>
          </cell>
        </row>
        <row r="40">
          <cell r="A40">
            <v>24</v>
          </cell>
          <cell r="B40">
            <v>22</v>
          </cell>
          <cell r="C40" t="str">
            <v>OBAGB206-EVS00-559</v>
          </cell>
          <cell r="D40" t="str">
            <v>-</v>
          </cell>
          <cell r="E40" t="str">
            <v>-</v>
          </cell>
          <cell r="F40" t="str">
            <v>CORPS O MOON LIGHT EVA COMPOUND CURRY</v>
          </cell>
          <cell r="G40" t="str">
            <v>UNICA</v>
          </cell>
        </row>
        <row r="41">
          <cell r="A41">
            <v>18</v>
          </cell>
          <cell r="B41">
            <v>21</v>
          </cell>
          <cell r="C41" t="str">
            <v>HLESG000-ECS04-038</v>
          </cell>
          <cell r="D41" t="str">
            <v>O bag fall 19</v>
          </cell>
          <cell r="E41" t="str">
            <v>p027-1-03</v>
          </cell>
          <cell r="F41" t="str">
            <v>ANSES LONGUES EN FAUX CUIR POMPON GRIS GRAPHITE</v>
          </cell>
          <cell r="G41" t="str">
            <v>UNICA</v>
          </cell>
        </row>
        <row r="42">
          <cell r="A42">
            <v>15</v>
          </cell>
          <cell r="B42">
            <v>5</v>
          </cell>
          <cell r="C42" t="str">
            <v>HLESGC00-ECS04-038</v>
          </cell>
          <cell r="D42" t="str">
            <v>O bag fall 19</v>
          </cell>
          <cell r="E42" t="str">
            <v>p033-1-03</v>
          </cell>
          <cell r="F42" t="str">
            <v>ANSES COURTES EN FAUX CUIR POMPON GRIS GRAPHITE</v>
          </cell>
          <cell r="G42" t="str">
            <v>UNICA</v>
          </cell>
        </row>
        <row r="43">
          <cell r="A43">
            <v>23</v>
          </cell>
          <cell r="B43">
            <v>16</v>
          </cell>
          <cell r="C43" t="str">
            <v>OBAGB017-EVS00-540</v>
          </cell>
          <cell r="D43" t="str">
            <v>O bag fall 2018</v>
          </cell>
          <cell r="E43" t="str">
            <v>p009-1-06</v>
          </cell>
          <cell r="F43" t="str">
            <v>CORPS O BAG MINI EVA COMPOUND CUIVRE</v>
          </cell>
          <cell r="G43" t="str">
            <v>UNICA</v>
          </cell>
        </row>
        <row r="44">
          <cell r="A44">
            <v>20</v>
          </cell>
          <cell r="B44">
            <v>1</v>
          </cell>
          <cell r="C44" t="str">
            <v>OBAGB032-EVS00-078</v>
          </cell>
          <cell r="D44" t="str">
            <v>O bag fall 2018</v>
          </cell>
          <cell r="E44" t="str">
            <v>p011-1-09</v>
          </cell>
          <cell r="F44" t="str">
            <v>CORPS O BAG MINI EVA COMPOUND BLEU COBALT</v>
          </cell>
          <cell r="G44" t="str">
            <v>UNICA</v>
          </cell>
        </row>
        <row r="45">
          <cell r="A45">
            <v>18</v>
          </cell>
          <cell r="B45">
            <v>21</v>
          </cell>
          <cell r="C45" t="str">
            <v>HLESG000-ECS04-038</v>
          </cell>
          <cell r="D45" t="str">
            <v>O bag fall 2018</v>
          </cell>
          <cell r="E45" t="str">
            <v>p019-1-08</v>
          </cell>
          <cell r="F45" t="str">
            <v>ANSES LONGUES EN FAUX CUIR POMPON GRIS GRAPHITE</v>
          </cell>
          <cell r="G45" t="str">
            <v>UNICA</v>
          </cell>
        </row>
        <row r="46">
          <cell r="A46">
            <v>15</v>
          </cell>
          <cell r="B46">
            <v>5</v>
          </cell>
          <cell r="C46" t="str">
            <v>HLESGC00-ECS04-038</v>
          </cell>
          <cell r="D46" t="str">
            <v>O bag fall 2018</v>
          </cell>
          <cell r="E46" t="str">
            <v>p028-1-06</v>
          </cell>
          <cell r="F46" t="str">
            <v>ANSES COURTES EN FAUX CUIR POMPON GRIS GRAPHITE</v>
          </cell>
          <cell r="G46" t="str">
            <v>UNICA</v>
          </cell>
        </row>
        <row r="47">
          <cell r="A47">
            <v>9</v>
          </cell>
          <cell r="B47">
            <v>10</v>
          </cell>
          <cell r="C47" t="str">
            <v>SHOUX101-ECS00-018</v>
          </cell>
          <cell r="D47" t="str">
            <v>O bag fall 2018</v>
          </cell>
          <cell r="E47" t="str">
            <v>p037-1-07</v>
          </cell>
          <cell r="F47" t="str">
            <v>BANDOULIÃˆRE EXTRASLIM 110 + ANSES TUBULAIRES + CLIP FAUX CUIR BORDEAUX</v>
          </cell>
          <cell r="G47" t="str">
            <v>UNICA</v>
          </cell>
        </row>
        <row r="48">
          <cell r="A48">
            <v>14</v>
          </cell>
          <cell r="B48">
            <v>24</v>
          </cell>
          <cell r="C48" t="str">
            <v>OBAGS001-TESR1-258</v>
          </cell>
          <cell r="D48" t="str">
            <v>O bag fall 2018</v>
          </cell>
          <cell r="E48" t="str">
            <v>p080-1-01</v>
          </cell>
          <cell r="F48" t="str">
            <v>POCHETTE INTERIEURE FERMETURE ECLAIR O BAG EN TISSU COTTON CORDUROY BEIGE</v>
          </cell>
          <cell r="G48" t="str">
            <v>UNICA</v>
          </cell>
        </row>
        <row r="49">
          <cell r="A49">
            <v>7</v>
          </cell>
          <cell r="B49">
            <v>8</v>
          </cell>
          <cell r="C49" t="str">
            <v>OBAGS001-TESR1-018</v>
          </cell>
          <cell r="D49" t="str">
            <v>O bag fall 2018</v>
          </cell>
          <cell r="E49" t="str">
            <v>p080-1-03</v>
          </cell>
          <cell r="F49" t="str">
            <v>POCHETTE INTERIEURE FERMETURE ECLAIR O BAG EN TISSU COTTON CORDUROY BORDEAUX</v>
          </cell>
          <cell r="G49" t="str">
            <v>UNICA</v>
          </cell>
        </row>
        <row r="50">
          <cell r="A50">
            <v>5</v>
          </cell>
          <cell r="B50">
            <v>4</v>
          </cell>
          <cell r="C50" t="str">
            <v>OBAGS002-TESR1-086</v>
          </cell>
          <cell r="D50" t="str">
            <v>O bag fall 2018</v>
          </cell>
          <cell r="E50" t="str">
            <v>p083-1-03</v>
          </cell>
          <cell r="F50" t="str">
            <v>POCHETTE INTERIEURE FERMETURE ECLAIR O BAG MINI EN TISSU COTTON CORDUROY GRIS TOUR</v>
          </cell>
          <cell r="G50" t="str">
            <v>UNICA</v>
          </cell>
        </row>
        <row r="51">
          <cell r="A51">
            <v>6</v>
          </cell>
          <cell r="B51">
            <v>6</v>
          </cell>
          <cell r="C51" t="str">
            <v>OBAGS002-TESR1-018</v>
          </cell>
          <cell r="D51" t="str">
            <v>O bag fall 2018</v>
          </cell>
          <cell r="E51" t="str">
            <v>p083-1-04</v>
          </cell>
          <cell r="F51" t="str">
            <v>POCHETTE INTERIEURE FERMETURE ECLAIR O BAG MINI EN TISSU COTTON CORDUROY BORDEAUX</v>
          </cell>
          <cell r="G51" t="str">
            <v>UNICA</v>
          </cell>
        </row>
        <row r="52">
          <cell r="A52">
            <v>10</v>
          </cell>
          <cell r="B52">
            <v>12</v>
          </cell>
          <cell r="C52" t="str">
            <v>OBAGS002-TESR1-258</v>
          </cell>
          <cell r="D52" t="str">
            <v>O bag fall 2018</v>
          </cell>
          <cell r="E52" t="str">
            <v>p083-1-05</v>
          </cell>
          <cell r="F52" t="str">
            <v>POCHETTE INTERIEURE FERMETURE ECLAIR O BAG MINI EN TISSU COTTON CORDUROY BEIGE</v>
          </cell>
          <cell r="G52" t="str">
            <v>UNICA</v>
          </cell>
        </row>
        <row r="53">
          <cell r="A53">
            <v>18</v>
          </cell>
          <cell r="B53">
            <v>21</v>
          </cell>
          <cell r="C53" t="str">
            <v>HLESG000-ECS04-038</v>
          </cell>
          <cell r="D53" t="str">
            <v>O bag spring 19</v>
          </cell>
          <cell r="E53" t="str">
            <v>p024-1-04</v>
          </cell>
          <cell r="F53" t="str">
            <v>ANSES LONGUES EN FAUX CUIR POMPON GRIS GRAPHITE</v>
          </cell>
          <cell r="G53" t="str">
            <v>UNICA</v>
          </cell>
        </row>
        <row r="54">
          <cell r="A54">
            <v>18</v>
          </cell>
          <cell r="B54">
            <v>21</v>
          </cell>
          <cell r="C54" t="str">
            <v>HLESG000-ECS04-038</v>
          </cell>
          <cell r="D54" t="str">
            <v>O bag spring 2018</v>
          </cell>
          <cell r="E54" t="str">
            <v>p025-1-01</v>
          </cell>
          <cell r="F54" t="str">
            <v>ANSES LONGUES EN FAUX CUIR POMPON GRIS GRAPHITE</v>
          </cell>
          <cell r="G54" t="str">
            <v>UNICA</v>
          </cell>
        </row>
        <row r="55">
          <cell r="A55">
            <v>15</v>
          </cell>
          <cell r="B55">
            <v>5</v>
          </cell>
          <cell r="C55" t="str">
            <v>HLESGC00-ECS04-038</v>
          </cell>
          <cell r="D55" t="str">
            <v>O bag spring 2018</v>
          </cell>
          <cell r="E55" t="str">
            <v>p038-1-01</v>
          </cell>
          <cell r="F55" t="str">
            <v>ANSES COURTES EN FAUX CUIR POMPON GRIS GRAPHITE</v>
          </cell>
          <cell r="G55" t="str">
            <v>UNICA</v>
          </cell>
        </row>
        <row r="56">
          <cell r="A56">
            <v>18</v>
          </cell>
          <cell r="B56">
            <v>21</v>
          </cell>
          <cell r="C56" t="str">
            <v>HLESG000-ECS04-038</v>
          </cell>
          <cell r="D56" t="str">
            <v>O bag summer '19</v>
          </cell>
          <cell r="E56" t="str">
            <v>p038-1-05</v>
          </cell>
          <cell r="F56" t="str">
            <v>ANSES LONGUES EN FAUX CUIR POMPON GRIS GRAPHITE</v>
          </cell>
          <cell r="G56" t="str">
            <v>UNICA</v>
          </cell>
        </row>
        <row r="57">
          <cell r="A57">
            <v>15</v>
          </cell>
          <cell r="B57">
            <v>5</v>
          </cell>
          <cell r="C57" t="str">
            <v>HLESGC00-ECS04-038</v>
          </cell>
          <cell r="D57" t="str">
            <v>O bag summer '19</v>
          </cell>
          <cell r="E57" t="str">
            <v>p048-1-05</v>
          </cell>
          <cell r="F57" t="str">
            <v>ANSES COURTES EN FAUX CUIR POMPON GRIS GRAPHITE</v>
          </cell>
          <cell r="G57" t="str">
            <v>UNICA</v>
          </cell>
        </row>
        <row r="58">
          <cell r="A58">
            <v>18</v>
          </cell>
          <cell r="B58">
            <v>21</v>
          </cell>
          <cell r="C58" t="str">
            <v>HLESG000-ECS04-038</v>
          </cell>
          <cell r="D58" t="str">
            <v>O bag summer 2018</v>
          </cell>
          <cell r="E58" t="str">
            <v>p025-1-01</v>
          </cell>
          <cell r="F58" t="str">
            <v>ANSES LONGUES EN FAUX CUIR POMPON GRIS GRAPHITE</v>
          </cell>
          <cell r="G58" t="str">
            <v>UNICA</v>
          </cell>
        </row>
        <row r="59">
          <cell r="A59">
            <v>15</v>
          </cell>
          <cell r="B59">
            <v>5</v>
          </cell>
          <cell r="C59" t="str">
            <v>HLESGC00-ECS04-038</v>
          </cell>
          <cell r="D59" t="str">
            <v>O bag summer 2018</v>
          </cell>
          <cell r="E59" t="str">
            <v>p039-1-01</v>
          </cell>
          <cell r="F59" t="str">
            <v>ANSES COURTES EN FAUX CUIR POMPON GRIS GRAPHITE</v>
          </cell>
          <cell r="G59" t="str">
            <v>UNICA</v>
          </cell>
        </row>
        <row r="60">
          <cell r="A60">
            <v>23</v>
          </cell>
          <cell r="B60">
            <v>16</v>
          </cell>
          <cell r="C60" t="str">
            <v>OBAGB017-EVS00-540</v>
          </cell>
          <cell r="D60" t="str">
            <v>O bag winter 2018</v>
          </cell>
          <cell r="E60" t="str">
            <v>p010-1-05</v>
          </cell>
          <cell r="F60" t="str">
            <v>CORPS O BAG MINI EVA COMPOUND CUIVRE</v>
          </cell>
          <cell r="G60" t="str">
            <v>UNICA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60"/>
  <sheetViews>
    <sheetView workbookViewId="0">
      <selection activeCell="J12" sqref="J12"/>
    </sheetView>
  </sheetViews>
  <sheetFormatPr baseColWidth="10" defaultRowHeight="15" x14ac:dyDescent="0.25"/>
  <cols>
    <col min="1" max="2" width="11.42578125" style="1"/>
    <col min="3" max="3" width="16.7109375" style="2" bestFit="1" customWidth="1"/>
    <col min="4" max="4" width="21.28515625" style="7" bestFit="1" customWidth="1"/>
    <col min="5" max="5" width="56.7109375" style="1" bestFit="1" customWidth="1"/>
    <col min="6" max="9" width="18.28515625" style="1" customWidth="1"/>
    <col min="10" max="10" width="14.85546875" style="1" bestFit="1" customWidth="1"/>
    <col min="11" max="11" width="12" style="1" bestFit="1" customWidth="1"/>
    <col min="12" max="16384" width="11.42578125" style="1"/>
  </cols>
  <sheetData>
    <row r="1" spans="1:11" ht="31.5" x14ac:dyDescent="0.45">
      <c r="A1" s="4" t="str">
        <f>[1]EAN13_traite!A1</f>
        <v>ENTETE</v>
      </c>
      <c r="B1" s="4">
        <f>[1]EAN13_traite!B1</f>
        <v>0</v>
      </c>
      <c r="C1" s="5">
        <f>[1]EAN13_traite!C1</f>
        <v>0</v>
      </c>
      <c r="D1" s="6">
        <f>[1]EAN13_traite!D1</f>
        <v>0</v>
      </c>
      <c r="E1" s="4">
        <f>[1]EAN13_traite!E1</f>
        <v>0</v>
      </c>
      <c r="F1" s="4">
        <f>[1]EAN13_traite!F1</f>
        <v>0</v>
      </c>
      <c r="G1" s="4">
        <f>[1]EAN13_traite!G1</f>
        <v>0</v>
      </c>
      <c r="H1" s="4">
        <f>[1]EAN13_traite!H1</f>
        <v>0</v>
      </c>
      <c r="I1" s="4">
        <f>[1]EAN13_traite!I1</f>
        <v>0</v>
      </c>
      <c r="J1" s="3" t="str">
        <f t="shared" ref="J1:J12" si="0">IF(ISNUMBER($C1),codeEAN13(INT(C1/10)),"")</f>
        <v/>
      </c>
    </row>
    <row r="2" spans="1:11" ht="31.5" x14ac:dyDescent="0.45">
      <c r="A2" s="4">
        <f>[1]EAN13_traite!A2</f>
        <v>1</v>
      </c>
      <c r="B2" s="4" t="str">
        <f>[1]EAN13_traite!B2</f>
        <v>Produit</v>
      </c>
      <c r="C2" s="5" t="str">
        <f>[1]EAN13_traite!C2</f>
        <v>Code piece</v>
      </c>
      <c r="D2" s="6" t="str">
        <f>[1]EAN13_traite!D2</f>
        <v>Couleur</v>
      </c>
      <c r="E2" s="4" t="str">
        <f>[1]EAN13_traite!E2</f>
        <v>Taille</v>
      </c>
      <c r="F2" s="4" t="str">
        <f>[1]EAN13_traite!F2</f>
        <v>Libelle</v>
      </c>
      <c r="G2" s="4" t="str">
        <f>[1]EAN13_traite!G2</f>
        <v>Quantite</v>
      </c>
      <c r="H2" s="4" t="str">
        <f>[1]EAN13_traite!H2</f>
        <v>Prix unitaire</v>
      </c>
      <c r="I2" s="4" t="str">
        <f>[1]EAN13_traite!I2</f>
        <v>Montant</v>
      </c>
      <c r="J2" s="3" t="str">
        <f t="shared" si="0"/>
        <v/>
      </c>
    </row>
    <row r="3" spans="1:11" ht="31.5" x14ac:dyDescent="0.45">
      <c r="A3" s="4">
        <f>[1]EAN13_traite!A3</f>
        <v>2</v>
      </c>
      <c r="B3" s="4" t="str">
        <f>[1]EAN13_traite!B3</f>
        <v>Boutique</v>
      </c>
      <c r="C3" s="5">
        <f>[1]EAN13_traite!C3</f>
        <v>0</v>
      </c>
      <c r="D3" s="6" t="str">
        <f>[1]EAN13_traite!D3</f>
        <v>TOULOUSE</v>
      </c>
      <c r="E3" s="4">
        <f>[1]EAN13_traite!E3</f>
        <v>0</v>
      </c>
      <c r="F3" s="4">
        <f>[1]EAN13_traite!F3</f>
        <v>0</v>
      </c>
      <c r="G3" s="4">
        <f>[1]EAN13_traite!G3</f>
        <v>0</v>
      </c>
      <c r="H3" s="4">
        <f>[1]EAN13_traite!H3</f>
        <v>0</v>
      </c>
      <c r="I3" s="4">
        <f>[1]EAN13_traite!I3</f>
        <v>0</v>
      </c>
      <c r="J3" s="3" t="str">
        <f t="shared" si="0"/>
        <v/>
      </c>
    </row>
    <row r="4" spans="1:11" ht="31.5" x14ac:dyDescent="0.45">
      <c r="A4" s="4">
        <f>[1]EAN13_traite!A4</f>
        <v>3</v>
      </c>
      <c r="B4" s="4" t="str">
        <f>[1]EAN13_traite!B4</f>
        <v>Ref. facture</v>
      </c>
      <c r="C4" s="5">
        <f>[1]EAN13_traite!C4</f>
        <v>0</v>
      </c>
      <c r="D4" s="6" t="str">
        <f>[1]EAN13_traite!D4</f>
        <v>2018 321 2766 19/12/2018</v>
      </c>
      <c r="E4" s="4">
        <f>[1]EAN13_traite!E4</f>
        <v>0</v>
      </c>
      <c r="F4" s="4">
        <f>[1]EAN13_traite!F4</f>
        <v>0</v>
      </c>
      <c r="G4" s="4">
        <f>[1]EAN13_traite!G4</f>
        <v>0</v>
      </c>
      <c r="H4" s="4">
        <f>[1]EAN13_traite!H4</f>
        <v>0</v>
      </c>
      <c r="I4" s="4">
        <f>[1]EAN13_traite!I4</f>
        <v>0</v>
      </c>
      <c r="J4" s="3" t="str">
        <f t="shared" si="0"/>
        <v/>
      </c>
      <c r="K4" s="1" t="s">
        <v>0</v>
      </c>
    </row>
    <row r="5" spans="1:11" ht="31.5" x14ac:dyDescent="0.45">
      <c r="A5" s="4">
        <f>[1]EAN13_traite!A5</f>
        <v>4</v>
      </c>
      <c r="B5" s="4" t="str">
        <f>[1]EAN13_traite!B5</f>
        <v>Total facture</v>
      </c>
      <c r="C5" s="5">
        <f>[1]EAN13_traite!C5</f>
        <v>0</v>
      </c>
      <c r="D5" s="6">
        <f>[1]EAN13_traite!D5</f>
        <v>0</v>
      </c>
      <c r="E5" s="4">
        <f>[1]EAN13_traite!E5</f>
        <v>0</v>
      </c>
      <c r="F5" s="4">
        <f>[1]EAN13_traite!F5</f>
        <v>0</v>
      </c>
      <c r="G5" s="4">
        <f>[1]EAN13_traite!G5</f>
        <v>0</v>
      </c>
      <c r="H5" s="4">
        <f>[1]EAN13_traite!H5</f>
        <v>0</v>
      </c>
      <c r="I5" s="4">
        <f>[1]EAN13_traite!I5</f>
        <v>0</v>
      </c>
      <c r="J5" s="3" t="str">
        <f t="shared" si="0"/>
        <v/>
      </c>
      <c r="K5" s="1">
        <f>SUMPRODUCT(G:G,H:H)</f>
        <v>1626.4900000000002</v>
      </c>
    </row>
    <row r="6" spans="1:11" ht="31.5" x14ac:dyDescent="0.45">
      <c r="A6" s="4">
        <f>[1]EAN13_traite!A6</f>
        <v>5</v>
      </c>
      <c r="B6" s="4" t="str">
        <f>[1]EAN13_traite!B6</f>
        <v>Total produits</v>
      </c>
      <c r="C6" s="5">
        <f>[1]EAN13_traite!C6</f>
        <v>0</v>
      </c>
      <c r="D6" s="6">
        <f>[1]EAN13_traite!D6</f>
        <v>0</v>
      </c>
      <c r="E6" s="4">
        <f>[1]EAN13_traite!E6</f>
        <v>0</v>
      </c>
      <c r="F6" s="4">
        <f>[1]EAN13_traite!F6</f>
        <v>0</v>
      </c>
      <c r="G6" s="4">
        <f>[1]EAN13_traite!G6</f>
        <v>0</v>
      </c>
      <c r="H6" s="4">
        <f>[1]EAN13_traite!H6</f>
        <v>0</v>
      </c>
      <c r="I6" s="4">
        <f>[1]EAN13_traite!I6</f>
        <v>0</v>
      </c>
      <c r="J6" s="3" t="str">
        <f t="shared" si="0"/>
        <v/>
      </c>
    </row>
    <row r="7" spans="1:11" ht="31.5" x14ac:dyDescent="0.45">
      <c r="A7" s="4">
        <f>[1]EAN13_traite!A7</f>
        <v>6</v>
      </c>
      <c r="B7" s="4" t="str">
        <f>[1]EAN13_traite!B7</f>
        <v>Cumul montant</v>
      </c>
      <c r="C7" s="5">
        <f>[1]EAN13_traite!C7</f>
        <v>0</v>
      </c>
      <c r="D7" s="6" t="str">
        <f>[1]EAN13_traite!D7</f>
        <v>1334.41</v>
      </c>
      <c r="E7" s="4">
        <f>[1]EAN13_traite!E7</f>
        <v>0</v>
      </c>
      <c r="F7" s="4" t="str">
        <f>[1]EAN13_traite!F7</f>
        <v>Etat courant = 'fichierTraite'</v>
      </c>
      <c r="G7" s="4">
        <f>[1]EAN13_traite!G7</f>
        <v>0</v>
      </c>
      <c r="H7" s="4">
        <f>[1]EAN13_traite!H7</f>
        <v>0</v>
      </c>
      <c r="I7" s="4">
        <f>[1]EAN13_traite!I7</f>
        <v>0</v>
      </c>
      <c r="J7" s="3" t="str">
        <f t="shared" si="0"/>
        <v/>
      </c>
    </row>
    <row r="8" spans="1:11" ht="31.5" x14ac:dyDescent="0.45">
      <c r="A8" s="4">
        <f>[1]EAN13_traite!A8</f>
        <v>7</v>
      </c>
      <c r="B8" s="4" t="str">
        <f>[1]EAN13_traite!B8</f>
        <v>ANOMALIE MONTANT</v>
      </c>
      <c r="C8" s="5">
        <f>[1]EAN13_traite!C8</f>
        <v>0</v>
      </c>
      <c r="D8" s="6" t="str">
        <f>[1]EAN13_traite!D8</f>
        <v>1334.41</v>
      </c>
      <c r="E8" s="4">
        <f>[1]EAN13_traite!E8</f>
        <v>0</v>
      </c>
      <c r="F8" s="4">
        <f>[1]EAN13_traite!F8</f>
        <v>0</v>
      </c>
      <c r="G8" s="4">
        <f>[1]EAN13_traite!G8</f>
        <v>0</v>
      </c>
      <c r="H8" s="4">
        <f>[1]EAN13_traite!H8</f>
        <v>0</v>
      </c>
      <c r="I8" s="4">
        <f>[1]EAN13_traite!I8</f>
        <v>0</v>
      </c>
      <c r="J8" s="3" t="str">
        <f t="shared" si="0"/>
        <v/>
      </c>
    </row>
    <row r="9" spans="1:11" ht="31.5" x14ac:dyDescent="0.45">
      <c r="A9" s="4">
        <f>[1]EAN13_traite!A9</f>
        <v>8</v>
      </c>
      <c r="B9" s="4">
        <f>[1]EAN13_traite!B9</f>
        <v>0</v>
      </c>
      <c r="C9" s="5">
        <f>[1]EAN13_traite!C9</f>
        <v>0</v>
      </c>
      <c r="D9" s="6">
        <f>[1]EAN13_traite!D9</f>
        <v>0</v>
      </c>
      <c r="E9" s="4">
        <f>[1]EAN13_traite!E9</f>
        <v>0</v>
      </c>
      <c r="F9" s="4">
        <f>[1]EAN13_traite!F9</f>
        <v>0</v>
      </c>
      <c r="G9" s="4">
        <f>[1]EAN13_traite!G9</f>
        <v>0</v>
      </c>
      <c r="H9" s="4">
        <f>[1]EAN13_traite!H9</f>
        <v>0</v>
      </c>
      <c r="I9" s="4">
        <f>[1]EAN13_traite!I9</f>
        <v>0</v>
      </c>
      <c r="J9" s="3" t="str">
        <f t="shared" si="0"/>
        <v/>
      </c>
    </row>
    <row r="10" spans="1:11" ht="31.5" x14ac:dyDescent="0.45">
      <c r="A10" s="4" t="str">
        <f>[1]EAN13_traite!A10</f>
        <v>EAN13</v>
      </c>
      <c r="B10" s="4">
        <f>[1]EAN13_traite!B10</f>
        <v>0</v>
      </c>
      <c r="C10" s="5">
        <f>[1]EAN13_traite!C10</f>
        <v>0</v>
      </c>
      <c r="D10" s="6">
        <f>[1]EAN13_traite!D10</f>
        <v>0</v>
      </c>
      <c r="E10" s="4">
        <f>[1]EAN13_traite!E10</f>
        <v>0</v>
      </c>
      <c r="F10" s="4">
        <f>[1]EAN13_traite!F10</f>
        <v>0</v>
      </c>
      <c r="G10" s="4">
        <f>[1]EAN13_traite!G10</f>
        <v>0</v>
      </c>
      <c r="H10" s="4">
        <f>[1]EAN13_traite!H10</f>
        <v>0</v>
      </c>
      <c r="I10" s="4">
        <f>[1]EAN13_traite!I10</f>
        <v>0</v>
      </c>
      <c r="J10" s="3" t="str">
        <f t="shared" si="0"/>
        <v/>
      </c>
    </row>
    <row r="11" spans="1:11" ht="31.5" x14ac:dyDescent="0.45">
      <c r="A11" s="4">
        <f>[1]EAN13_traite!A11</f>
        <v>1</v>
      </c>
      <c r="B11" s="4">
        <f>[1]EAN13_traite!B11</f>
        <v>7</v>
      </c>
      <c r="C11" s="5">
        <f>[1]EAN13_traite!C11</f>
        <v>8050846039643</v>
      </c>
      <c r="D11" s="6" t="str">
        <f>[1]EAN13_traite!D11</f>
        <v>OBAGB033-EVS00-017</v>
      </c>
      <c r="E11" s="4" t="str">
        <f>[1]EAN13_traite!E11</f>
        <v>CORPS O BAG URBAN EVA COMPOUND NAVY</v>
      </c>
      <c r="F11" s="4" t="str">
        <f>[1]EAN13_traite!F11</f>
        <v>UNICA</v>
      </c>
      <c r="G11" s="4">
        <f>[1]EAN13_traite!G11</f>
        <v>3</v>
      </c>
      <c r="H11" s="4">
        <f>[1]EAN13_traite!H11</f>
        <v>14.16</v>
      </c>
      <c r="I11" s="4">
        <f>[1]EAN13_traite!I11</f>
        <v>42.48</v>
      </c>
      <c r="J11" s="3" t="str">
        <f>IF(ISNUMBER(A22),codeEAN13(INT(A22/10)),"")</f>
        <v/>
      </c>
    </row>
    <row r="12" spans="1:11" ht="31.5" x14ac:dyDescent="0.45">
      <c r="A12" s="4">
        <f>[1]EAN13_traite!A12</f>
        <v>2</v>
      </c>
      <c r="B12" s="4">
        <f>[1]EAN13_traite!B12</f>
        <v>13</v>
      </c>
      <c r="C12" s="5">
        <f>[1]EAN13_traite!C12</f>
        <v>8050846039049</v>
      </c>
      <c r="D12" s="6" t="str">
        <f>[1]EAN13_traite!D12</f>
        <v>OBAGB001-EVS00-389</v>
      </c>
      <c r="E12" s="4" t="str">
        <f>[1]EAN13_traite!E12</f>
        <v>CORPS O BAG EVA COMPOUND SILVER</v>
      </c>
      <c r="F12" s="4" t="str">
        <f>[1]EAN13_traite!F12</f>
        <v>UNICA</v>
      </c>
      <c r="G12" s="4">
        <f>[1]EAN13_traite!G12</f>
        <v>8</v>
      </c>
      <c r="H12" s="4">
        <f>[1]EAN13_traite!H12</f>
        <v>14.4</v>
      </c>
      <c r="I12" s="4">
        <f>[1]EAN13_traite!I12</f>
        <v>115.2</v>
      </c>
      <c r="J12" s="3" t="str">
        <f t="shared" si="0"/>
        <v>8APASOG*adjaej+</v>
      </c>
    </row>
    <row r="13" spans="1:11" ht="31.5" x14ac:dyDescent="0.45">
      <c r="A13" s="4">
        <f>[1]EAN13_traite!A13</f>
        <v>3</v>
      </c>
      <c r="B13" s="4">
        <f>[1]EAN13_traite!B13</f>
        <v>14</v>
      </c>
      <c r="C13" s="5" t="str">
        <f>[1]EAN13_traite!C13</f>
        <v>CodeBarre</v>
      </c>
      <c r="D13" s="6" t="str">
        <f>[1]EAN13_traite!D13</f>
        <v>HLESCE01-ECS07-133</v>
      </c>
      <c r="E13" s="4" t="str">
        <f>[1]EAN13_traite!E13</f>
        <v>ANSES DOUBLE CHAINE EN Â"Â TÂ Â" EN FAUX CUIR EFFET GRIFFE GRIS CLAIR</v>
      </c>
      <c r="F13" s="4" t="str">
        <f>[1]EAN13_traite!F13</f>
        <v>UNICA</v>
      </c>
      <c r="G13" s="4">
        <f>[1]EAN13_traite!G13</f>
        <v>8</v>
      </c>
      <c r="H13" s="4">
        <f>[1]EAN13_traite!H13</f>
        <v>10.6</v>
      </c>
      <c r="I13" s="4">
        <f>[1]EAN13_traite!I13</f>
        <v>84.8</v>
      </c>
      <c r="J13" s="3" t="str">
        <f t="shared" ref="J13:J51" si="1">IF(ISNUMBER($C13),codeEAN13(INT(C13/10)),"")</f>
        <v/>
      </c>
    </row>
    <row r="14" spans="1:11" ht="31.5" x14ac:dyDescent="0.45">
      <c r="A14" s="4">
        <f>[1]EAN13_traite!A14</f>
        <v>4</v>
      </c>
      <c r="B14" s="4">
        <f>[1]EAN13_traite!B14</f>
        <v>19</v>
      </c>
      <c r="C14" s="5">
        <f>[1]EAN13_traite!C14</f>
        <v>8050846039100</v>
      </c>
      <c r="D14" s="6" t="str">
        <f>[1]EAN13_traite!D14</f>
        <v>OBAGB002-EVS00-389</v>
      </c>
      <c r="E14" s="4" t="str">
        <f>[1]EAN13_traite!E14</f>
        <v>CORPS O BAG MINI EVA COMPOUND SILVER</v>
      </c>
      <c r="F14" s="4" t="str">
        <f>[1]EAN13_traite!F14</f>
        <v>UNICA</v>
      </c>
      <c r="G14" s="4">
        <f>[1]EAN13_traite!G14</f>
        <v>10</v>
      </c>
      <c r="H14" s="4">
        <f>[1]EAN13_traite!H14</f>
        <v>14.4</v>
      </c>
      <c r="I14" s="4">
        <f>[1]EAN13_traite!I14</f>
        <v>144</v>
      </c>
      <c r="J14" s="3" t="str">
        <f t="shared" si="1"/>
        <v>8APASOG*adjbaa+</v>
      </c>
    </row>
    <row r="15" spans="1:11" ht="31.5" x14ac:dyDescent="0.45">
      <c r="A15" s="4">
        <f>[1]EAN13_traite!A15</f>
        <v>5</v>
      </c>
      <c r="B15" s="4">
        <f>[1]EAN13_traite!B15</f>
        <v>4</v>
      </c>
      <c r="C15" s="5" t="str">
        <f>[1]EAN13_traite!C15</f>
        <v>CodeBarre</v>
      </c>
      <c r="D15" s="6" t="str">
        <f>[1]EAN13_traite!D15</f>
        <v>OBAGS002-TESR1-086</v>
      </c>
      <c r="E15" s="4" t="str">
        <f>[1]EAN13_traite!E15</f>
        <v>POCHETTE INTERIEURE FERMETURE ECLAIR O BAG MINI EN TISSU COTTON CORDUROY GRIS TOUR</v>
      </c>
      <c r="F15" s="4" t="str">
        <f>[1]EAN13_traite!F15</f>
        <v>UNICA</v>
      </c>
      <c r="G15" s="4">
        <f>[1]EAN13_traite!G15</f>
        <v>5</v>
      </c>
      <c r="H15" s="4">
        <f>[1]EAN13_traite!H15</f>
        <v>9</v>
      </c>
      <c r="I15" s="4">
        <f>[1]EAN13_traite!I15</f>
        <v>45</v>
      </c>
      <c r="J15" s="3" t="str">
        <f t="shared" si="1"/>
        <v/>
      </c>
    </row>
    <row r="16" spans="1:11" ht="31.5" x14ac:dyDescent="0.45">
      <c r="A16" s="4">
        <f>[1]EAN13_traite!A16</f>
        <v>6</v>
      </c>
      <c r="B16" s="4">
        <f>[1]EAN13_traite!B16</f>
        <v>6</v>
      </c>
      <c r="C16" s="5" t="str">
        <f>[1]EAN13_traite!C16</f>
        <v>CodeBarre</v>
      </c>
      <c r="D16" s="6" t="str">
        <f>[1]EAN13_traite!D16</f>
        <v>OBAGS002-TESR1-018</v>
      </c>
      <c r="E16" s="4" t="str">
        <f>[1]EAN13_traite!E16</f>
        <v>POCHETTE INTERIEURE FERMETURE ECLAIR O BAG MINI EN TISSU COTTON CORDUROY BORDEAUX</v>
      </c>
      <c r="F16" s="4" t="str">
        <f>[1]EAN13_traite!F16</f>
        <v>UNICA</v>
      </c>
      <c r="G16" s="4">
        <f>[1]EAN13_traite!G16</f>
        <v>3</v>
      </c>
      <c r="H16" s="4">
        <f>[1]EAN13_traite!H16</f>
        <v>9</v>
      </c>
      <c r="I16" s="4">
        <f>[1]EAN13_traite!I16</f>
        <v>27</v>
      </c>
      <c r="J16" s="3" t="str">
        <f t="shared" si="1"/>
        <v/>
      </c>
    </row>
    <row r="17" spans="1:10" ht="31.5" x14ac:dyDescent="0.45">
      <c r="A17" s="4">
        <f>[1]EAN13_traite!A17</f>
        <v>7</v>
      </c>
      <c r="B17" s="4">
        <f>[1]EAN13_traite!B17</f>
        <v>8</v>
      </c>
      <c r="C17" s="5" t="str">
        <f>[1]EAN13_traite!C17</f>
        <v>CodeBarre</v>
      </c>
      <c r="D17" s="6" t="str">
        <f>[1]EAN13_traite!D17</f>
        <v>OBAGS001-TESR1-018</v>
      </c>
      <c r="E17" s="4" t="str">
        <f>[1]EAN13_traite!E17</f>
        <v>POCHETTE INTERIEURE FERMETURE ECLAIR O BAG EN TISSU COTTON CORDUROY BORDEAUX</v>
      </c>
      <c r="F17" s="4" t="str">
        <f>[1]EAN13_traite!F17</f>
        <v>UNICA</v>
      </c>
      <c r="G17" s="4">
        <f>[1]EAN13_traite!G17</f>
        <v>5</v>
      </c>
      <c r="H17" s="4">
        <f>[1]EAN13_traite!H17</f>
        <v>10.8</v>
      </c>
      <c r="I17" s="4">
        <f>[1]EAN13_traite!I17</f>
        <v>54</v>
      </c>
      <c r="J17" s="3" t="str">
        <f t="shared" si="1"/>
        <v/>
      </c>
    </row>
    <row r="18" spans="1:10" ht="31.5" x14ac:dyDescent="0.45">
      <c r="A18" s="4">
        <f>[1]EAN13_traite!A18</f>
        <v>8</v>
      </c>
      <c r="B18" s="4">
        <f>[1]EAN13_traite!B18</f>
        <v>9</v>
      </c>
      <c r="C18" s="5">
        <f>[1]EAN13_traite!C18</f>
        <v>8050846039711</v>
      </c>
      <c r="D18" s="6" t="str">
        <f>[1]EAN13_traite!D18</f>
        <v>OBAGB033-EVS00-078</v>
      </c>
      <c r="E18" s="4" t="str">
        <f>[1]EAN13_traite!E18</f>
        <v>CORPS O BAG URBAN EVA COMPOUND SABLE</v>
      </c>
      <c r="F18" s="4" t="str">
        <f>[1]EAN13_traite!F18</f>
        <v>UNICA</v>
      </c>
      <c r="G18" s="4">
        <f>[1]EAN13_traite!G18</f>
        <v>3</v>
      </c>
      <c r="H18" s="4">
        <f>[1]EAN13_traite!H18</f>
        <v>14.16</v>
      </c>
      <c r="I18" s="4">
        <f>[1]EAN13_traite!I18</f>
        <v>42.48</v>
      </c>
      <c r="J18" s="3" t="str">
        <f t="shared" si="1"/>
        <v>8APASOG*adjhbb+</v>
      </c>
    </row>
    <row r="19" spans="1:10" ht="31.5" x14ac:dyDescent="0.45">
      <c r="A19" s="4">
        <f>[1]EAN13_traite!A19</f>
        <v>8</v>
      </c>
      <c r="B19" s="4">
        <f>[1]EAN13_traite!B19</f>
        <v>9</v>
      </c>
      <c r="C19" s="5">
        <f>[1]EAN13_traite!C19</f>
        <v>8050846039711</v>
      </c>
      <c r="D19" s="6" t="str">
        <f>[1]EAN13_traite!D19</f>
        <v>OBAGB033-EVS00-078</v>
      </c>
      <c r="E19" s="4" t="str">
        <f>[1]EAN13_traite!E19</f>
        <v>CORPS O BAG URBAN EVA COMPOUND SABLE</v>
      </c>
      <c r="F19" s="4" t="str">
        <f>[1]EAN13_traite!F19</f>
        <v>UNICA</v>
      </c>
      <c r="G19" s="4">
        <f>[1]EAN13_traite!G19</f>
        <v>3</v>
      </c>
      <c r="H19" s="4">
        <f>[1]EAN13_traite!H19</f>
        <v>14.16</v>
      </c>
      <c r="I19" s="4">
        <f>[1]EAN13_traite!I19</f>
        <v>42.48</v>
      </c>
      <c r="J19" s="3" t="str">
        <f t="shared" si="1"/>
        <v>8APASOG*adjhbb+</v>
      </c>
    </row>
    <row r="20" spans="1:10" ht="31.5" x14ac:dyDescent="0.45">
      <c r="A20" s="4">
        <f>[1]EAN13_traite!A20</f>
        <v>9</v>
      </c>
      <c r="B20" s="4">
        <f>[1]EAN13_traite!B20</f>
        <v>10</v>
      </c>
      <c r="C20" s="5" t="str">
        <f>[1]EAN13_traite!C20</f>
        <v>CodeBarre</v>
      </c>
      <c r="D20" s="6" t="str">
        <f>[1]EAN13_traite!D20</f>
        <v>SHOUX101-ECS00-018</v>
      </c>
      <c r="E20" s="4" t="str">
        <f>[1]EAN13_traite!E20</f>
        <v>BANDOULIÃˆRE EXTRASLIM 110 + ANSES TUBULAIRES + CLIP FAUX CUIR BORDEAUX</v>
      </c>
      <c r="F20" s="4" t="str">
        <f>[1]EAN13_traite!F20</f>
        <v>UNICA</v>
      </c>
      <c r="G20" s="4">
        <f>[1]EAN13_traite!G20</f>
        <v>2</v>
      </c>
      <c r="H20" s="4">
        <f>[1]EAN13_traite!H20</f>
        <v>7.78</v>
      </c>
      <c r="I20" s="4">
        <f>[1]EAN13_traite!I20</f>
        <v>15.56</v>
      </c>
      <c r="J20" s="3" t="str">
        <f t="shared" si="1"/>
        <v/>
      </c>
    </row>
    <row r="21" spans="1:10" ht="31.5" x14ac:dyDescent="0.45">
      <c r="A21" s="4">
        <f>[1]EAN13_traite!A21</f>
        <v>10</v>
      </c>
      <c r="B21" s="4">
        <f>[1]EAN13_traite!B21</f>
        <v>12</v>
      </c>
      <c r="C21" s="5" t="str">
        <f>[1]EAN13_traite!C21</f>
        <v>CodeBarre</v>
      </c>
      <c r="D21" s="6" t="str">
        <f>[1]EAN13_traite!D21</f>
        <v>OBAGS002-TESR1-258</v>
      </c>
      <c r="E21" s="4" t="str">
        <f>[1]EAN13_traite!E21</f>
        <v>POCHETTE INTERIEURE FERMETURE ECLAIR O BAG MINI EN TISSU COTTON CORDUROY BEIGE</v>
      </c>
      <c r="F21" s="4" t="str">
        <f>[1]EAN13_traite!F21</f>
        <v>UNICA</v>
      </c>
      <c r="G21" s="4">
        <f>[1]EAN13_traite!G21</f>
        <v>3</v>
      </c>
      <c r="H21" s="4">
        <f>[1]EAN13_traite!H21</f>
        <v>9</v>
      </c>
      <c r="I21" s="4">
        <f>[1]EAN13_traite!I21</f>
        <v>27</v>
      </c>
      <c r="J21" s="3" t="str">
        <f t="shared" si="1"/>
        <v/>
      </c>
    </row>
    <row r="22" spans="1:10" ht="31.5" x14ac:dyDescent="0.45">
      <c r="A22" s="4">
        <f>[1]EAN13_traite!A22</f>
        <v>11</v>
      </c>
      <c r="B22" s="4">
        <f>[1]EAN13_traite!B22</f>
        <v>17</v>
      </c>
      <c r="C22" s="5" t="str">
        <f>[1]EAN13_traite!C22</f>
        <v>CodeBarre</v>
      </c>
      <c r="D22" s="6" t="str">
        <f>[1]EAN13_traite!D22</f>
        <v>OBAGB206-EVS00-024</v>
      </c>
      <c r="E22" s="4" t="str">
        <f>[1]EAN13_traite!E22</f>
        <v>CORPS INFERIEUR O POCKET EVA COMPOUND CHOCOLAT</v>
      </c>
      <c r="F22" s="4" t="str">
        <f>[1]EAN13_traite!F22</f>
        <v>UNICA</v>
      </c>
      <c r="G22" s="4">
        <f>[1]EAN13_traite!G22</f>
        <v>5</v>
      </c>
      <c r="H22" s="4">
        <f>[1]EAN13_traite!H22</f>
        <v>4.8</v>
      </c>
      <c r="I22" s="4">
        <f>[1]EAN13_traite!I22</f>
        <v>24</v>
      </c>
      <c r="J22" s="3" t="str">
        <f t="shared" si="1"/>
        <v/>
      </c>
    </row>
    <row r="23" spans="1:10" ht="31.5" x14ac:dyDescent="0.45">
      <c r="A23" s="4">
        <f>[1]EAN13_traite!A23</f>
        <v>12</v>
      </c>
      <c r="B23" s="4">
        <f>[1]EAN13_traite!B23</f>
        <v>18</v>
      </c>
      <c r="C23" s="5" t="str">
        <f>[1]EAN13_traite!C23</f>
        <v>CodeBarre</v>
      </c>
      <c r="D23" s="6" t="str">
        <f>[1]EAN13_traite!D23</f>
        <v>OBAGB034-EVS00-024</v>
      </c>
      <c r="E23" s="4" t="str">
        <f>[1]EAN13_traite!E23</f>
        <v>CORPS O BAG GLAM EVA COMPOUND CHOCOLAT</v>
      </c>
      <c r="F23" s="4" t="str">
        <f>[1]EAN13_traite!F23</f>
        <v>UNICA</v>
      </c>
      <c r="G23" s="4">
        <f>[1]EAN13_traite!G23</f>
        <v>2</v>
      </c>
      <c r="H23" s="4">
        <f>[1]EAN13_traite!H23</f>
        <v>12.59</v>
      </c>
      <c r="I23" s="4">
        <f>[1]EAN13_traite!I23</f>
        <v>25.18</v>
      </c>
      <c r="J23" s="3" t="str">
        <f t="shared" si="1"/>
        <v/>
      </c>
    </row>
    <row r="24" spans="1:10" ht="31.5" x14ac:dyDescent="0.45">
      <c r="A24" s="4">
        <f>[1]EAN13_traite!A24</f>
        <v>13</v>
      </c>
      <c r="B24" s="4">
        <f>[1]EAN13_traite!B24</f>
        <v>20</v>
      </c>
      <c r="C24" s="5">
        <f>[1]EAN13_traite!C24</f>
        <v>8050450214153</v>
      </c>
      <c r="D24" s="6" t="str">
        <f>[1]EAN13_traite!D24</f>
        <v>OBAGB001-EVS00-024</v>
      </c>
      <c r="E24" s="4" t="str">
        <f>[1]EAN13_traite!E24</f>
        <v>CORPS O BAG EVA COMPOUND CHOCOLAT</v>
      </c>
      <c r="F24" s="4" t="str">
        <f>[1]EAN13_traite!F24</f>
        <v>UNICA</v>
      </c>
      <c r="G24" s="4">
        <f>[1]EAN13_traite!G24</f>
        <v>8</v>
      </c>
      <c r="H24" s="4">
        <f>[1]EAN13_traite!H24</f>
        <v>14.4</v>
      </c>
      <c r="I24" s="4">
        <f>[1]EAN13_traite!I24</f>
        <v>115.2</v>
      </c>
      <c r="J24" s="3" t="str">
        <f t="shared" si="1"/>
        <v>8APAOPA*cbebfd+</v>
      </c>
    </row>
    <row r="25" spans="1:10" ht="31.5" x14ac:dyDescent="0.45">
      <c r="A25" s="4">
        <f>[1]EAN13_traite!A25</f>
        <v>14</v>
      </c>
      <c r="B25" s="4">
        <f>[1]EAN13_traite!B25</f>
        <v>24</v>
      </c>
      <c r="C25" s="5" t="str">
        <f>[1]EAN13_traite!C25</f>
        <v>CodeBarre</v>
      </c>
      <c r="D25" s="6" t="str">
        <f>[1]EAN13_traite!D25</f>
        <v>OBAGS001-TESR1-258</v>
      </c>
      <c r="E25" s="4" t="str">
        <f>[1]EAN13_traite!E25</f>
        <v>POCHETTE INTERIEURE FERMETURE ECLAIR O BAG EN TISSU COTTON CORDUROY BEIGE</v>
      </c>
      <c r="F25" s="4" t="str">
        <f>[1]EAN13_traite!F25</f>
        <v>UNICA</v>
      </c>
      <c r="G25" s="4">
        <f>[1]EAN13_traite!G25</f>
        <v>8</v>
      </c>
      <c r="H25" s="4">
        <f>[1]EAN13_traite!H25</f>
        <v>10.8</v>
      </c>
      <c r="I25" s="4">
        <f>[1]EAN13_traite!I25</f>
        <v>86.4</v>
      </c>
      <c r="J25" s="3" t="str">
        <f t="shared" si="1"/>
        <v/>
      </c>
    </row>
    <row r="26" spans="1:10" ht="31.5" x14ac:dyDescent="0.45">
      <c r="A26" s="4">
        <f>[1]EAN13_traite!A26</f>
        <v>15</v>
      </c>
      <c r="B26" s="4">
        <f>[1]EAN13_traite!B26</f>
        <v>5</v>
      </c>
      <c r="C26" s="5" t="str">
        <f>[1]EAN13_traite!C26</f>
        <v>CodeBarre</v>
      </c>
      <c r="D26" s="6" t="str">
        <f>[1]EAN13_traite!D26</f>
        <v>HLESGC00-ECS04-038</v>
      </c>
      <c r="E26" s="4" t="str">
        <f>[1]EAN13_traite!E26</f>
        <v>ANSES COURTES EN FAUX CUIR POMPON GRIS GRAPHITE</v>
      </c>
      <c r="F26" s="4" t="str">
        <f>[1]EAN13_traite!F26</f>
        <v>UNICA</v>
      </c>
      <c r="G26" s="4">
        <f>[1]EAN13_traite!G26</f>
        <v>10</v>
      </c>
      <c r="H26" s="4">
        <f>[1]EAN13_traite!H26</f>
        <v>6.05</v>
      </c>
      <c r="I26" s="4">
        <f>[1]EAN13_traite!I26</f>
        <v>60.5</v>
      </c>
      <c r="J26" s="3" t="str">
        <f t="shared" si="1"/>
        <v/>
      </c>
    </row>
    <row r="27" spans="1:10" ht="31.5" x14ac:dyDescent="0.45">
      <c r="A27" s="4">
        <f>[1]EAN13_traite!A27</f>
        <v>16</v>
      </c>
      <c r="B27" s="4">
        <f>[1]EAN13_traite!B27</f>
        <v>15</v>
      </c>
      <c r="C27" s="5" t="str">
        <f>[1]EAN13_traite!C27</f>
        <v>CodeBarre</v>
      </c>
      <c r="D27" s="6" t="str">
        <f>[1]EAN13_traite!D27</f>
        <v>OBAGB032-EVS00-559</v>
      </c>
      <c r="E27" s="4" t="str">
        <f>[1]EAN13_traite!E27</f>
        <v>CORPS O BAG KNIT MINI EVA COMPOUND CUIVRE</v>
      </c>
      <c r="F27" s="4" t="str">
        <f>[1]EAN13_traite!F27</f>
        <v>UNICA</v>
      </c>
      <c r="G27" s="4">
        <f>[1]EAN13_traite!G27</f>
        <v>2</v>
      </c>
      <c r="H27" s="4">
        <f>[1]EAN13_traite!H27</f>
        <v>14.16</v>
      </c>
      <c r="I27" s="4">
        <f>[1]EAN13_traite!I27</f>
        <v>28.32</v>
      </c>
      <c r="J27" s="3" t="str">
        <f t="shared" si="1"/>
        <v/>
      </c>
    </row>
    <row r="28" spans="1:10" ht="31.5" x14ac:dyDescent="0.45">
      <c r="A28" s="4">
        <f>[1]EAN13_traite!A28</f>
        <v>17</v>
      </c>
      <c r="B28" s="4">
        <f>[1]EAN13_traite!B28</f>
        <v>3</v>
      </c>
      <c r="C28" s="5">
        <f>[1]EAN13_traite!C28</f>
        <v>8050846006560</v>
      </c>
      <c r="D28" s="6" t="str">
        <f>[1]EAN13_traite!D28</f>
        <v>OBAGB002-EVS00-026</v>
      </c>
      <c r="E28" s="4" t="str">
        <f>[1]EAN13_traite!E28</f>
        <v>CORPS O BAG MINI EVA COMPOUND BLEU COBALT</v>
      </c>
      <c r="F28" s="4" t="str">
        <f>[1]EAN13_traite!F28</f>
        <v>UNICA</v>
      </c>
      <c r="G28" s="4">
        <f>[1]EAN13_traite!G28</f>
        <v>2</v>
      </c>
      <c r="H28" s="4">
        <f>[1]EAN13_traite!H28</f>
        <v>14.4</v>
      </c>
      <c r="I28" s="4">
        <f>[1]EAN13_traite!I28</f>
        <v>28.8</v>
      </c>
      <c r="J28" s="3" t="str">
        <f t="shared" si="1"/>
        <v>8APASOG*aagfga+</v>
      </c>
    </row>
    <row r="29" spans="1:10" ht="31.5" x14ac:dyDescent="0.45">
      <c r="A29" s="4">
        <f>[1]EAN13_traite!A29</f>
        <v>17</v>
      </c>
      <c r="B29" s="4">
        <f>[1]EAN13_traite!B29</f>
        <v>3</v>
      </c>
      <c r="C29" s="5">
        <f>[1]EAN13_traite!C29</f>
        <v>8050846006560</v>
      </c>
      <c r="D29" s="6" t="str">
        <f>[1]EAN13_traite!D29</f>
        <v>OBAGB002-EVS00-026</v>
      </c>
      <c r="E29" s="4" t="str">
        <f>[1]EAN13_traite!E29</f>
        <v>CORPS O BAG MINI EVA COMPOUND BLEU COBALT</v>
      </c>
      <c r="F29" s="4" t="str">
        <f>[1]EAN13_traite!F29</f>
        <v>UNICA</v>
      </c>
      <c r="G29" s="4">
        <f>[1]EAN13_traite!G29</f>
        <v>2</v>
      </c>
      <c r="H29" s="4">
        <f>[1]EAN13_traite!H29</f>
        <v>14.4</v>
      </c>
      <c r="I29" s="4">
        <f>[1]EAN13_traite!I29</f>
        <v>28.8</v>
      </c>
      <c r="J29" s="3" t="str">
        <f t="shared" si="1"/>
        <v>8APASOG*aagfga+</v>
      </c>
    </row>
    <row r="30" spans="1:10" ht="31.5" x14ac:dyDescent="0.45">
      <c r="A30" s="4">
        <f>[1]EAN13_traite!A30</f>
        <v>18</v>
      </c>
      <c r="B30" s="4">
        <f>[1]EAN13_traite!B30</f>
        <v>21</v>
      </c>
      <c r="C30" s="5" t="str">
        <f>[1]EAN13_traite!C30</f>
        <v>CodeBarre</v>
      </c>
      <c r="D30" s="6" t="str">
        <f>[1]EAN13_traite!D30</f>
        <v>HLESG000-ECS04-038</v>
      </c>
      <c r="E30" s="4" t="str">
        <f>[1]EAN13_traite!E30</f>
        <v>ANSES LONGUES EN FAUX CUIR POMPON GRIS GRAPHITE</v>
      </c>
      <c r="F30" s="4" t="str">
        <f>[1]EAN13_traite!F30</f>
        <v>UNICA</v>
      </c>
      <c r="G30" s="4">
        <f>[1]EAN13_traite!G30</f>
        <v>15</v>
      </c>
      <c r="H30" s="4">
        <f>[1]EAN13_traite!H30</f>
        <v>7.03</v>
      </c>
      <c r="I30" s="4">
        <f>[1]EAN13_traite!I30</f>
        <v>105.45</v>
      </c>
      <c r="J30" s="3" t="str">
        <f t="shared" si="1"/>
        <v/>
      </c>
    </row>
    <row r="31" spans="1:10" ht="31.5" x14ac:dyDescent="0.45">
      <c r="A31" s="4">
        <f>[1]EAN13_traite!A31</f>
        <v>19</v>
      </c>
      <c r="B31" s="4">
        <f>[1]EAN13_traite!B31</f>
        <v>23</v>
      </c>
      <c r="C31" s="5">
        <f>[1]EAN13_traite!C31</f>
        <v>8050846006560</v>
      </c>
      <c r="D31" s="6" t="str">
        <f>[1]EAN13_traite!D31</f>
        <v>OBAGB002-EVS00-026</v>
      </c>
      <c r="E31" s="4" t="str">
        <f>[1]EAN13_traite!E31</f>
        <v>P002 BONIFICO CLIENTE</v>
      </c>
      <c r="F31" s="4" t="str">
        <f>[1]EAN13_traite!F31</f>
        <v>UNICA</v>
      </c>
      <c r="G31" s="4">
        <f>[1]EAN13_traite!G31</f>
        <v>6</v>
      </c>
      <c r="H31" s="4">
        <f>[1]EAN13_traite!H31</f>
        <v>14.4</v>
      </c>
      <c r="I31" s="4">
        <f>[1]EAN13_traite!I31</f>
        <v>86.4</v>
      </c>
      <c r="J31" s="3" t="str">
        <f t="shared" si="1"/>
        <v>8APASOG*aagfga+</v>
      </c>
    </row>
    <row r="32" spans="1:10" ht="31.5" x14ac:dyDescent="0.45">
      <c r="A32" s="4">
        <f>[1]EAN13_traite!A32</f>
        <v>19</v>
      </c>
      <c r="B32" s="4">
        <f>[1]EAN13_traite!B32</f>
        <v>23</v>
      </c>
      <c r="C32" s="5">
        <f>[1]EAN13_traite!C32</f>
        <v>8050846006560</v>
      </c>
      <c r="D32" s="6" t="str">
        <f>[1]EAN13_traite!D32</f>
        <v>OBAGB002-EVS00-026</v>
      </c>
      <c r="E32" s="4" t="str">
        <f>[1]EAN13_traite!E32</f>
        <v>P002 BONIFICO CLIENTE</v>
      </c>
      <c r="F32" s="4" t="str">
        <f>[1]EAN13_traite!F32</f>
        <v>UNICA</v>
      </c>
      <c r="G32" s="4">
        <f>[1]EAN13_traite!G32</f>
        <v>6</v>
      </c>
      <c r="H32" s="4">
        <f>[1]EAN13_traite!H32</f>
        <v>14.4</v>
      </c>
      <c r="I32" s="4">
        <f>[1]EAN13_traite!I32</f>
        <v>86.4</v>
      </c>
      <c r="J32" s="3" t="str">
        <f t="shared" si="1"/>
        <v>8APASOG*aagfga+</v>
      </c>
    </row>
    <row r="33" spans="1:10" ht="31.5" x14ac:dyDescent="0.45">
      <c r="A33" s="4">
        <f>[1]EAN13_traite!A33</f>
        <v>20</v>
      </c>
      <c r="B33" s="4">
        <f>[1]EAN13_traite!B33</f>
        <v>1</v>
      </c>
      <c r="C33" s="5" t="str">
        <f>[1]EAN13_traite!C33</f>
        <v>CodeBarre</v>
      </c>
      <c r="D33" s="6" t="str">
        <f>[1]EAN13_traite!D33</f>
        <v>OBAGB032-EVS00-078</v>
      </c>
      <c r="E33" s="4" t="str">
        <f>[1]EAN13_traite!E33</f>
        <v>CORPS O BAG MINI EVA COMPOUND BLEU COBALT</v>
      </c>
      <c r="F33" s="4" t="str">
        <f>[1]EAN13_traite!F33</f>
        <v>UNICA</v>
      </c>
      <c r="G33" s="4">
        <f>[1]EAN13_traite!G33</f>
        <v>2</v>
      </c>
      <c r="H33" s="4">
        <f>[1]EAN13_traite!H33</f>
        <v>14.16</v>
      </c>
      <c r="I33" s="4">
        <f>[1]EAN13_traite!I33</f>
        <v>28.32</v>
      </c>
      <c r="J33" s="3" t="str">
        <f t="shared" si="1"/>
        <v/>
      </c>
    </row>
    <row r="34" spans="1:10" ht="31.5" x14ac:dyDescent="0.45">
      <c r="A34" s="4">
        <f>[1]EAN13_traite!A34</f>
        <v>21</v>
      </c>
      <c r="B34" s="4">
        <f>[1]EAN13_traite!B34</f>
        <v>2</v>
      </c>
      <c r="C34" s="5">
        <f>[1]EAN13_traite!C34</f>
        <v>8050846039148</v>
      </c>
      <c r="D34" s="6" t="str">
        <f>[1]EAN13_traite!D34</f>
        <v>OBAGB002-EVS00-559</v>
      </c>
      <c r="E34" s="4" t="str">
        <f>[1]EAN13_traite!E34</f>
        <v>CORPS O BAG KNIT MINI EVA COMPOUND SABLE</v>
      </c>
      <c r="F34" s="4" t="str">
        <f>[1]EAN13_traite!F34</f>
        <v>UNICA</v>
      </c>
      <c r="G34" s="4">
        <f>[1]EAN13_traite!G34</f>
        <v>2</v>
      </c>
      <c r="H34" s="4">
        <f>[1]EAN13_traite!H34</f>
        <v>14.4</v>
      </c>
      <c r="I34" s="4">
        <f>[1]EAN13_traite!I34</f>
        <v>28.8</v>
      </c>
      <c r="J34" s="3" t="str">
        <f t="shared" si="1"/>
        <v>8APASOG*adjbei+</v>
      </c>
    </row>
    <row r="35" spans="1:10" ht="31.5" x14ac:dyDescent="0.45">
      <c r="A35" s="4">
        <f>[1]EAN13_traite!A35</f>
        <v>22</v>
      </c>
      <c r="B35" s="4">
        <f>[1]EAN13_traite!B35</f>
        <v>11</v>
      </c>
      <c r="C35" s="5">
        <f>[1]EAN13_traite!C35</f>
        <v>8050846039148</v>
      </c>
      <c r="D35" s="6" t="str">
        <f>[1]EAN13_traite!D35</f>
        <v>OBAGB002-EVS00-559</v>
      </c>
      <c r="E35" s="4" t="str">
        <f>[1]EAN13_traite!E35</f>
        <v>CORPS O BAG MINI EVA COMPOUND CUIVRE</v>
      </c>
      <c r="F35" s="4" t="str">
        <f>[1]EAN13_traite!F35</f>
        <v>UNICA</v>
      </c>
      <c r="G35" s="4">
        <f>[1]EAN13_traite!G35</f>
        <v>6</v>
      </c>
      <c r="H35" s="4">
        <f>[1]EAN13_traite!H35</f>
        <v>14.4</v>
      </c>
      <c r="I35" s="4">
        <f>[1]EAN13_traite!I35</f>
        <v>86.4</v>
      </c>
      <c r="J35" s="3" t="str">
        <f t="shared" si="1"/>
        <v>8APASOG*adjbei+</v>
      </c>
    </row>
    <row r="36" spans="1:10" ht="31.5" x14ac:dyDescent="0.45">
      <c r="A36" s="4">
        <f>[1]EAN13_traite!A36</f>
        <v>23</v>
      </c>
      <c r="B36" s="4">
        <f>[1]EAN13_traite!B36</f>
        <v>16</v>
      </c>
      <c r="C36" s="5" t="str">
        <f>[1]EAN13_traite!C36</f>
        <v>CodeBarre</v>
      </c>
      <c r="D36" s="6" t="str">
        <f>[1]EAN13_traite!D36</f>
        <v>OBAGB017-EVS00-540</v>
      </c>
      <c r="E36" s="4" t="str">
        <f>[1]EAN13_traite!E36</f>
        <v>CORPS O BAG MINI EVA COMPOUND CUIVRE</v>
      </c>
      <c r="F36" s="4" t="str">
        <f>[1]EAN13_traite!F36</f>
        <v>UNICA</v>
      </c>
      <c r="G36" s="4">
        <f>[1]EAN13_traite!G36</f>
        <v>3</v>
      </c>
      <c r="H36" s="4">
        <f>[1]EAN13_traite!H36</f>
        <v>11.04</v>
      </c>
      <c r="I36" s="4">
        <f>[1]EAN13_traite!I36</f>
        <v>33.119999999999997</v>
      </c>
      <c r="J36" s="3" t="str">
        <f t="shared" si="1"/>
        <v/>
      </c>
    </row>
    <row r="37" spans="1:10" ht="31.5" x14ac:dyDescent="0.45">
      <c r="A37" s="4">
        <f>[1]EAN13_traite!A37</f>
        <v>24</v>
      </c>
      <c r="B37" s="4">
        <f>[1]EAN13_traite!B37</f>
        <v>22</v>
      </c>
      <c r="C37" s="5" t="str">
        <f>[1]EAN13_traite!C37</f>
        <v>CodeBarre</v>
      </c>
      <c r="D37" s="6" t="str">
        <f>[1]EAN13_traite!D37</f>
        <v>OBAGB206-EVS00-559</v>
      </c>
      <c r="E37" s="4" t="str">
        <f>[1]EAN13_traite!E37</f>
        <v>CORPS O MOON LIGHT EVA COMPOUND CURRY</v>
      </c>
      <c r="F37" s="4" t="str">
        <f>[1]EAN13_traite!F37</f>
        <v>UNICA</v>
      </c>
      <c r="G37" s="4">
        <f>[1]EAN13_traite!G37</f>
        <v>4</v>
      </c>
      <c r="H37" s="4">
        <f>[1]EAN13_traite!H37</f>
        <v>4.8</v>
      </c>
      <c r="I37" s="4">
        <f>[1]EAN13_traite!I37</f>
        <v>0</v>
      </c>
      <c r="J37" s="3" t="str">
        <f t="shared" si="1"/>
        <v/>
      </c>
    </row>
    <row r="38" spans="1:10" ht="31.5" x14ac:dyDescent="0.45">
      <c r="A38" s="4">
        <f>[1]EAN13_traite!A38</f>
        <v>25</v>
      </c>
      <c r="B38" s="4">
        <f>[1]EAN13_traite!B38</f>
        <v>25</v>
      </c>
      <c r="C38" s="5">
        <f>[1]EAN13_traite!C38</f>
        <v>8050846039087</v>
      </c>
      <c r="D38" s="6" t="str">
        <f>[1]EAN13_traite!D38</f>
        <v>OBAGB001-EVS00-559</v>
      </c>
      <c r="E38" s="4" t="str">
        <f>[1]EAN13_traite!E38</f>
        <v>CORPS INFERIEUR O POCKET EVA COMPOUND CUIVRE</v>
      </c>
      <c r="F38" s="4" t="str">
        <f>[1]EAN13_traite!F38</f>
        <v>UNICA</v>
      </c>
      <c r="G38" s="4">
        <f>[1]EAN13_traite!G38</f>
        <v>8</v>
      </c>
      <c r="H38" s="4">
        <f>[1]EAN13_traite!H38</f>
        <v>14.4</v>
      </c>
      <c r="I38" s="4">
        <f>[1]EAN13_traite!I38</f>
        <v>0</v>
      </c>
      <c r="J38" s="3" t="str">
        <f t="shared" si="1"/>
        <v>8APASOG*adjaih+</v>
      </c>
    </row>
    <row r="39" spans="1:10" ht="31.5" x14ac:dyDescent="0.45">
      <c r="A39" s="4" t="str">
        <f>[1]EAN13_traite!A39</f>
        <v>MANQUANT</v>
      </c>
      <c r="B39" s="4">
        <f>[1]EAN13_traite!B39</f>
        <v>0</v>
      </c>
      <c r="C39" s="5">
        <f>[1]EAN13_traite!C39</f>
        <v>0</v>
      </c>
      <c r="D39" s="6">
        <f>[1]EAN13_traite!D39</f>
        <v>0</v>
      </c>
      <c r="E39" s="4">
        <f>[1]EAN13_traite!E39</f>
        <v>0</v>
      </c>
      <c r="F39" s="4">
        <f>[1]EAN13_traite!F39</f>
        <v>0</v>
      </c>
      <c r="G39" s="4">
        <f>[1]EAN13_traite!G39</f>
        <v>0</v>
      </c>
      <c r="H39" s="4">
        <f>[1]EAN13_traite!H39</f>
        <v>0</v>
      </c>
      <c r="I39" s="4">
        <f>[1]EAN13_traite!I39</f>
        <v>0</v>
      </c>
      <c r="J39" s="3" t="str">
        <f t="shared" si="1"/>
        <v/>
      </c>
    </row>
    <row r="40" spans="1:10" ht="31.5" x14ac:dyDescent="0.45">
      <c r="A40" s="4">
        <f>[1]EAN13_traite!A40</f>
        <v>24</v>
      </c>
      <c r="B40" s="4">
        <f>[1]EAN13_traite!B40</f>
        <v>22</v>
      </c>
      <c r="C40" s="5" t="str">
        <f>[1]EAN13_traite!C40</f>
        <v>OBAGB206-EVS00-559</v>
      </c>
      <c r="D40" s="6" t="str">
        <f>[1]EAN13_traite!D40</f>
        <v>-</v>
      </c>
      <c r="E40" s="4" t="str">
        <f>[1]EAN13_traite!E40</f>
        <v>-</v>
      </c>
      <c r="F40" s="4" t="str">
        <f>[1]EAN13_traite!F40</f>
        <v>CORPS O MOON LIGHT EVA COMPOUND CURRY</v>
      </c>
      <c r="G40" s="4" t="str">
        <f>[1]EAN13_traite!G40</f>
        <v>UNICA</v>
      </c>
      <c r="H40" s="4">
        <f>[1]EAN13_traite!H40</f>
        <v>0</v>
      </c>
      <c r="I40" s="4">
        <f>[1]EAN13_traite!I40</f>
        <v>0</v>
      </c>
      <c r="J40" s="3" t="str">
        <f t="shared" si="1"/>
        <v/>
      </c>
    </row>
    <row r="41" spans="1:10" ht="31.5" x14ac:dyDescent="0.45">
      <c r="A41" s="4">
        <f>[1]EAN13_traite!A41</f>
        <v>18</v>
      </c>
      <c r="B41" s="4">
        <f>[1]EAN13_traite!B41</f>
        <v>21</v>
      </c>
      <c r="C41" s="5" t="str">
        <f>[1]EAN13_traite!C41</f>
        <v>HLESG000-ECS04-038</v>
      </c>
      <c r="D41" s="6" t="str">
        <f>[1]EAN13_traite!D41</f>
        <v>O bag fall 19</v>
      </c>
      <c r="E41" s="4" t="str">
        <f>[1]EAN13_traite!E41</f>
        <v>p027-1-03</v>
      </c>
      <c r="F41" s="4" t="str">
        <f>[1]EAN13_traite!F41</f>
        <v>ANSES LONGUES EN FAUX CUIR POMPON GRIS GRAPHITE</v>
      </c>
      <c r="G41" s="4" t="str">
        <f>[1]EAN13_traite!G41</f>
        <v>UNICA</v>
      </c>
      <c r="H41" s="4">
        <f>[1]EAN13_traite!H41</f>
        <v>0</v>
      </c>
      <c r="I41" s="4">
        <f>[1]EAN13_traite!I41</f>
        <v>0</v>
      </c>
      <c r="J41" s="3" t="str">
        <f t="shared" si="1"/>
        <v/>
      </c>
    </row>
    <row r="42" spans="1:10" ht="31.5" x14ac:dyDescent="0.45">
      <c r="A42" s="4">
        <f>[1]EAN13_traite!A42</f>
        <v>15</v>
      </c>
      <c r="B42" s="4">
        <f>[1]EAN13_traite!B42</f>
        <v>5</v>
      </c>
      <c r="C42" s="5" t="str">
        <f>[1]EAN13_traite!C42</f>
        <v>HLESGC00-ECS04-038</v>
      </c>
      <c r="D42" s="6" t="str">
        <f>[1]EAN13_traite!D42</f>
        <v>O bag fall 19</v>
      </c>
      <c r="E42" s="4" t="str">
        <f>[1]EAN13_traite!E42</f>
        <v>p033-1-03</v>
      </c>
      <c r="F42" s="4" t="str">
        <f>[1]EAN13_traite!F42</f>
        <v>ANSES COURTES EN FAUX CUIR POMPON GRIS GRAPHITE</v>
      </c>
      <c r="G42" s="4" t="str">
        <f>[1]EAN13_traite!G42</f>
        <v>UNICA</v>
      </c>
      <c r="H42" s="4">
        <f>[1]EAN13_traite!H42</f>
        <v>0</v>
      </c>
      <c r="I42" s="4">
        <f>[1]EAN13_traite!I42</f>
        <v>0</v>
      </c>
      <c r="J42" s="3" t="str">
        <f t="shared" si="1"/>
        <v/>
      </c>
    </row>
    <row r="43" spans="1:10" ht="31.5" x14ac:dyDescent="0.45">
      <c r="A43" s="4">
        <f>[1]EAN13_traite!A43</f>
        <v>23</v>
      </c>
      <c r="B43" s="4">
        <f>[1]EAN13_traite!B43</f>
        <v>16</v>
      </c>
      <c r="C43" s="5" t="str">
        <f>[1]EAN13_traite!C43</f>
        <v>OBAGB017-EVS00-540</v>
      </c>
      <c r="D43" s="6" t="str">
        <f>[1]EAN13_traite!D43</f>
        <v>O bag fall 2018</v>
      </c>
      <c r="E43" s="4" t="str">
        <f>[1]EAN13_traite!E43</f>
        <v>p009-1-06</v>
      </c>
      <c r="F43" s="4" t="str">
        <f>[1]EAN13_traite!F43</f>
        <v>CORPS O BAG MINI EVA COMPOUND CUIVRE</v>
      </c>
      <c r="G43" s="4" t="str">
        <f>[1]EAN13_traite!G43</f>
        <v>UNICA</v>
      </c>
      <c r="H43" s="4">
        <f>[1]EAN13_traite!H43</f>
        <v>0</v>
      </c>
      <c r="I43" s="4">
        <f>[1]EAN13_traite!I43</f>
        <v>0</v>
      </c>
      <c r="J43" s="3" t="str">
        <f t="shared" si="1"/>
        <v/>
      </c>
    </row>
    <row r="44" spans="1:10" ht="31.5" x14ac:dyDescent="0.45">
      <c r="A44" s="4">
        <f>[1]EAN13_traite!A44</f>
        <v>20</v>
      </c>
      <c r="B44" s="4">
        <f>[1]EAN13_traite!B44</f>
        <v>1</v>
      </c>
      <c r="C44" s="5" t="str">
        <f>[1]EAN13_traite!C44</f>
        <v>OBAGB032-EVS00-078</v>
      </c>
      <c r="D44" s="6" t="str">
        <f>[1]EAN13_traite!D44</f>
        <v>O bag fall 2018</v>
      </c>
      <c r="E44" s="4" t="str">
        <f>[1]EAN13_traite!E44</f>
        <v>p011-1-09</v>
      </c>
      <c r="F44" s="4" t="str">
        <f>[1]EAN13_traite!F44</f>
        <v>CORPS O BAG MINI EVA COMPOUND BLEU COBALT</v>
      </c>
      <c r="G44" s="4" t="str">
        <f>[1]EAN13_traite!G44</f>
        <v>UNICA</v>
      </c>
      <c r="H44" s="4">
        <f>[1]EAN13_traite!H44</f>
        <v>0</v>
      </c>
      <c r="I44" s="4">
        <f>[1]EAN13_traite!I44</f>
        <v>0</v>
      </c>
      <c r="J44" s="3" t="str">
        <f t="shared" si="1"/>
        <v/>
      </c>
    </row>
    <row r="45" spans="1:10" ht="31.5" x14ac:dyDescent="0.45">
      <c r="A45" s="4">
        <f>[1]EAN13_traite!A45</f>
        <v>18</v>
      </c>
      <c r="B45" s="4">
        <f>[1]EAN13_traite!B45</f>
        <v>21</v>
      </c>
      <c r="C45" s="5" t="str">
        <f>[1]EAN13_traite!C45</f>
        <v>HLESG000-ECS04-038</v>
      </c>
      <c r="D45" s="6" t="str">
        <f>[1]EAN13_traite!D45</f>
        <v>O bag fall 2018</v>
      </c>
      <c r="E45" s="4" t="str">
        <f>[1]EAN13_traite!E45</f>
        <v>p019-1-08</v>
      </c>
      <c r="F45" s="4" t="str">
        <f>[1]EAN13_traite!F45</f>
        <v>ANSES LONGUES EN FAUX CUIR POMPON GRIS GRAPHITE</v>
      </c>
      <c r="G45" s="4" t="str">
        <f>[1]EAN13_traite!G45</f>
        <v>UNICA</v>
      </c>
      <c r="H45" s="4">
        <f>[1]EAN13_traite!H45</f>
        <v>0</v>
      </c>
      <c r="I45" s="4">
        <f>[1]EAN13_traite!I45</f>
        <v>0</v>
      </c>
      <c r="J45" s="3" t="str">
        <f t="shared" si="1"/>
        <v/>
      </c>
    </row>
    <row r="46" spans="1:10" ht="31.5" x14ac:dyDescent="0.45">
      <c r="A46" s="4">
        <f>[1]EAN13_traite!A46</f>
        <v>15</v>
      </c>
      <c r="B46" s="4">
        <f>[1]EAN13_traite!B46</f>
        <v>5</v>
      </c>
      <c r="C46" s="5" t="str">
        <f>[1]EAN13_traite!C46</f>
        <v>HLESGC00-ECS04-038</v>
      </c>
      <c r="D46" s="6" t="str">
        <f>[1]EAN13_traite!D46</f>
        <v>O bag fall 2018</v>
      </c>
      <c r="E46" s="4" t="str">
        <f>[1]EAN13_traite!E46</f>
        <v>p028-1-06</v>
      </c>
      <c r="F46" s="4" t="str">
        <f>[1]EAN13_traite!F46</f>
        <v>ANSES COURTES EN FAUX CUIR POMPON GRIS GRAPHITE</v>
      </c>
      <c r="G46" s="4" t="str">
        <f>[1]EAN13_traite!G46</f>
        <v>UNICA</v>
      </c>
      <c r="H46" s="4">
        <f>[1]EAN13_traite!H46</f>
        <v>0</v>
      </c>
      <c r="I46" s="4">
        <f>[1]EAN13_traite!I46</f>
        <v>0</v>
      </c>
      <c r="J46" s="3" t="str">
        <f t="shared" si="1"/>
        <v/>
      </c>
    </row>
    <row r="47" spans="1:10" ht="31.5" x14ac:dyDescent="0.45">
      <c r="A47" s="4">
        <f>[1]EAN13_traite!A47</f>
        <v>9</v>
      </c>
      <c r="B47" s="4">
        <f>[1]EAN13_traite!B47</f>
        <v>10</v>
      </c>
      <c r="C47" s="5" t="str">
        <f>[1]EAN13_traite!C47</f>
        <v>SHOUX101-ECS00-018</v>
      </c>
      <c r="D47" s="6" t="str">
        <f>[1]EAN13_traite!D47</f>
        <v>O bag fall 2018</v>
      </c>
      <c r="E47" s="4" t="str">
        <f>[1]EAN13_traite!E47</f>
        <v>p037-1-07</v>
      </c>
      <c r="F47" s="4" t="str">
        <f>[1]EAN13_traite!F47</f>
        <v>BANDOULIÃˆRE EXTRASLIM 110 + ANSES TUBULAIRES + CLIP FAUX CUIR BORDEAUX</v>
      </c>
      <c r="G47" s="4" t="str">
        <f>[1]EAN13_traite!G47</f>
        <v>UNICA</v>
      </c>
      <c r="H47" s="4">
        <f>[1]EAN13_traite!H47</f>
        <v>0</v>
      </c>
      <c r="I47" s="4">
        <f>[1]EAN13_traite!I47</f>
        <v>0</v>
      </c>
      <c r="J47" s="3" t="str">
        <f t="shared" si="1"/>
        <v/>
      </c>
    </row>
    <row r="48" spans="1:10" ht="31.5" x14ac:dyDescent="0.45">
      <c r="A48" s="4">
        <f>[1]EAN13_traite!A48</f>
        <v>14</v>
      </c>
      <c r="B48" s="4">
        <f>[1]EAN13_traite!B48</f>
        <v>24</v>
      </c>
      <c r="C48" s="5" t="str">
        <f>[1]EAN13_traite!C48</f>
        <v>OBAGS001-TESR1-258</v>
      </c>
      <c r="D48" s="6" t="str">
        <f>[1]EAN13_traite!D48</f>
        <v>O bag fall 2018</v>
      </c>
      <c r="E48" s="4" t="str">
        <f>[1]EAN13_traite!E48</f>
        <v>p080-1-01</v>
      </c>
      <c r="F48" s="4" t="str">
        <f>[1]EAN13_traite!F48</f>
        <v>POCHETTE INTERIEURE FERMETURE ECLAIR O BAG EN TISSU COTTON CORDUROY BEIGE</v>
      </c>
      <c r="G48" s="4" t="str">
        <f>[1]EAN13_traite!G48</f>
        <v>UNICA</v>
      </c>
      <c r="H48" s="4">
        <f>[1]EAN13_traite!H48</f>
        <v>0</v>
      </c>
      <c r="I48" s="4">
        <f>[1]EAN13_traite!I48</f>
        <v>0</v>
      </c>
      <c r="J48" s="3" t="str">
        <f t="shared" si="1"/>
        <v/>
      </c>
    </row>
    <row r="49" spans="1:10" ht="31.5" x14ac:dyDescent="0.45">
      <c r="A49" s="4">
        <f>[1]EAN13_traite!A49</f>
        <v>7</v>
      </c>
      <c r="B49" s="4">
        <f>[1]EAN13_traite!B49</f>
        <v>8</v>
      </c>
      <c r="C49" s="5" t="str">
        <f>[1]EAN13_traite!C49</f>
        <v>OBAGS001-TESR1-018</v>
      </c>
      <c r="D49" s="6" t="str">
        <f>[1]EAN13_traite!D49</f>
        <v>O bag fall 2018</v>
      </c>
      <c r="E49" s="4" t="str">
        <f>[1]EAN13_traite!E49</f>
        <v>p080-1-03</v>
      </c>
      <c r="F49" s="4" t="str">
        <f>[1]EAN13_traite!F49</f>
        <v>POCHETTE INTERIEURE FERMETURE ECLAIR O BAG EN TISSU COTTON CORDUROY BORDEAUX</v>
      </c>
      <c r="G49" s="4" t="str">
        <f>[1]EAN13_traite!G49</f>
        <v>UNICA</v>
      </c>
      <c r="H49" s="4">
        <f>[1]EAN13_traite!H49</f>
        <v>0</v>
      </c>
      <c r="I49" s="4">
        <f>[1]EAN13_traite!I49</f>
        <v>0</v>
      </c>
      <c r="J49" s="3" t="str">
        <f t="shared" si="1"/>
        <v/>
      </c>
    </row>
    <row r="50" spans="1:10" ht="31.5" x14ac:dyDescent="0.45">
      <c r="A50" s="4">
        <f>[1]EAN13_traite!A50</f>
        <v>5</v>
      </c>
      <c r="B50" s="4">
        <f>[1]EAN13_traite!B50</f>
        <v>4</v>
      </c>
      <c r="C50" s="5" t="str">
        <f>[1]EAN13_traite!C50</f>
        <v>OBAGS002-TESR1-086</v>
      </c>
      <c r="D50" s="6" t="str">
        <f>[1]EAN13_traite!D50</f>
        <v>O bag fall 2018</v>
      </c>
      <c r="E50" s="4" t="str">
        <f>[1]EAN13_traite!E50</f>
        <v>p083-1-03</v>
      </c>
      <c r="F50" s="4" t="str">
        <f>[1]EAN13_traite!F50</f>
        <v>POCHETTE INTERIEURE FERMETURE ECLAIR O BAG MINI EN TISSU COTTON CORDUROY GRIS TOUR</v>
      </c>
      <c r="G50" s="4" t="str">
        <f>[1]EAN13_traite!G50</f>
        <v>UNICA</v>
      </c>
      <c r="H50" s="4">
        <f>[1]EAN13_traite!H50</f>
        <v>0</v>
      </c>
      <c r="I50" s="4">
        <f>[1]EAN13_traite!I50</f>
        <v>0</v>
      </c>
      <c r="J50" s="3" t="str">
        <f t="shared" si="1"/>
        <v/>
      </c>
    </row>
    <row r="51" spans="1:10" ht="31.5" x14ac:dyDescent="0.45">
      <c r="A51" s="4">
        <f>[1]EAN13_traite!A51</f>
        <v>6</v>
      </c>
      <c r="B51" s="4">
        <f>[1]EAN13_traite!B51</f>
        <v>6</v>
      </c>
      <c r="C51" s="5" t="str">
        <f>[1]EAN13_traite!C51</f>
        <v>OBAGS002-TESR1-018</v>
      </c>
      <c r="D51" s="6" t="str">
        <f>[1]EAN13_traite!D51</f>
        <v>O bag fall 2018</v>
      </c>
      <c r="E51" s="4" t="str">
        <f>[1]EAN13_traite!E51</f>
        <v>p083-1-04</v>
      </c>
      <c r="F51" s="4" t="str">
        <f>[1]EAN13_traite!F51</f>
        <v>POCHETTE INTERIEURE FERMETURE ECLAIR O BAG MINI EN TISSU COTTON CORDUROY BORDEAUX</v>
      </c>
      <c r="G51" s="4" t="str">
        <f>[1]EAN13_traite!G51</f>
        <v>UNICA</v>
      </c>
      <c r="H51" s="4">
        <f>[1]EAN13_traite!H51</f>
        <v>0</v>
      </c>
      <c r="I51" s="4">
        <f>[1]EAN13_traite!I51</f>
        <v>0</v>
      </c>
      <c r="J51" s="3" t="str">
        <f t="shared" si="1"/>
        <v/>
      </c>
    </row>
    <row r="52" spans="1:10" ht="31.5" x14ac:dyDescent="0.45">
      <c r="A52" s="4">
        <f>[1]EAN13_traite!A52</f>
        <v>10</v>
      </c>
      <c r="B52" s="4">
        <f>[1]EAN13_traite!B52</f>
        <v>12</v>
      </c>
      <c r="C52" s="5" t="str">
        <f>[1]EAN13_traite!C52</f>
        <v>OBAGS002-TESR1-258</v>
      </c>
      <c r="D52" s="6" t="str">
        <f>[1]EAN13_traite!D52</f>
        <v>O bag fall 2018</v>
      </c>
      <c r="E52" s="4" t="str">
        <f>[1]EAN13_traite!E52</f>
        <v>p083-1-05</v>
      </c>
      <c r="F52" s="4" t="str">
        <f>[1]EAN13_traite!F52</f>
        <v>POCHETTE INTERIEURE FERMETURE ECLAIR O BAG MINI EN TISSU COTTON CORDUROY BEIGE</v>
      </c>
      <c r="G52" s="4" t="str">
        <f>[1]EAN13_traite!G52</f>
        <v>UNICA</v>
      </c>
      <c r="H52" s="4">
        <f>[1]EAN13_traite!H52</f>
        <v>0</v>
      </c>
      <c r="I52" s="4">
        <f>[1]EAN13_traite!I52</f>
        <v>0</v>
      </c>
      <c r="J52" s="3" t="str">
        <f t="shared" ref="J52:J60" si="2">IF(ISNUMBER($C52),codeEAN13(INT(C52/10)),"")</f>
        <v/>
      </c>
    </row>
    <row r="53" spans="1:10" ht="31.5" x14ac:dyDescent="0.45">
      <c r="A53" s="4">
        <f>[1]EAN13_traite!A53</f>
        <v>18</v>
      </c>
      <c r="B53" s="4">
        <f>[1]EAN13_traite!B53</f>
        <v>21</v>
      </c>
      <c r="C53" s="5" t="str">
        <f>[1]EAN13_traite!C53</f>
        <v>HLESG000-ECS04-038</v>
      </c>
      <c r="D53" s="6" t="str">
        <f>[1]EAN13_traite!D53</f>
        <v>O bag spring 19</v>
      </c>
      <c r="E53" s="4" t="str">
        <f>[1]EAN13_traite!E53</f>
        <v>p024-1-04</v>
      </c>
      <c r="F53" s="4" t="str">
        <f>[1]EAN13_traite!F53</f>
        <v>ANSES LONGUES EN FAUX CUIR POMPON GRIS GRAPHITE</v>
      </c>
      <c r="G53" s="4" t="str">
        <f>[1]EAN13_traite!G53</f>
        <v>UNICA</v>
      </c>
      <c r="H53" s="4">
        <f>[1]EAN13_traite!H53</f>
        <v>0</v>
      </c>
      <c r="I53" s="4">
        <f>[1]EAN13_traite!I53</f>
        <v>0</v>
      </c>
      <c r="J53" s="3" t="str">
        <f t="shared" si="2"/>
        <v/>
      </c>
    </row>
    <row r="54" spans="1:10" ht="31.5" x14ac:dyDescent="0.45">
      <c r="A54" s="4">
        <f>[1]EAN13_traite!A54</f>
        <v>18</v>
      </c>
      <c r="B54" s="4">
        <f>[1]EAN13_traite!B54</f>
        <v>21</v>
      </c>
      <c r="C54" s="5" t="str">
        <f>[1]EAN13_traite!C54</f>
        <v>HLESG000-ECS04-038</v>
      </c>
      <c r="D54" s="6" t="str">
        <f>[1]EAN13_traite!D54</f>
        <v>O bag spring 2018</v>
      </c>
      <c r="E54" s="4" t="str">
        <f>[1]EAN13_traite!E54</f>
        <v>p025-1-01</v>
      </c>
      <c r="F54" s="4" t="str">
        <f>[1]EAN13_traite!F54</f>
        <v>ANSES LONGUES EN FAUX CUIR POMPON GRIS GRAPHITE</v>
      </c>
      <c r="G54" s="4" t="str">
        <f>[1]EAN13_traite!G54</f>
        <v>UNICA</v>
      </c>
      <c r="H54" s="4">
        <f>[1]EAN13_traite!H54</f>
        <v>0</v>
      </c>
      <c r="I54" s="4">
        <f>[1]EAN13_traite!I54</f>
        <v>0</v>
      </c>
      <c r="J54" s="3" t="str">
        <f t="shared" si="2"/>
        <v/>
      </c>
    </row>
    <row r="55" spans="1:10" ht="31.5" x14ac:dyDescent="0.45">
      <c r="A55" s="4">
        <f>[1]EAN13_traite!A55</f>
        <v>15</v>
      </c>
      <c r="B55" s="4">
        <f>[1]EAN13_traite!B55</f>
        <v>5</v>
      </c>
      <c r="C55" s="5" t="str">
        <f>[1]EAN13_traite!C55</f>
        <v>HLESGC00-ECS04-038</v>
      </c>
      <c r="D55" s="6" t="str">
        <f>[1]EAN13_traite!D55</f>
        <v>O bag spring 2018</v>
      </c>
      <c r="E55" s="4" t="str">
        <f>[1]EAN13_traite!E55</f>
        <v>p038-1-01</v>
      </c>
      <c r="F55" s="4" t="str">
        <f>[1]EAN13_traite!F55</f>
        <v>ANSES COURTES EN FAUX CUIR POMPON GRIS GRAPHITE</v>
      </c>
      <c r="G55" s="4" t="str">
        <f>[1]EAN13_traite!G55</f>
        <v>UNICA</v>
      </c>
      <c r="H55" s="4">
        <f>[1]EAN13_traite!H55</f>
        <v>0</v>
      </c>
      <c r="I55" s="4">
        <f>[1]EAN13_traite!I55</f>
        <v>0</v>
      </c>
      <c r="J55" s="3" t="str">
        <f t="shared" si="2"/>
        <v/>
      </c>
    </row>
    <row r="56" spans="1:10" ht="31.5" x14ac:dyDescent="0.45">
      <c r="A56" s="4">
        <f>[1]EAN13_traite!A56</f>
        <v>18</v>
      </c>
      <c r="B56" s="4">
        <f>[1]EAN13_traite!B56</f>
        <v>21</v>
      </c>
      <c r="C56" s="5" t="str">
        <f>[1]EAN13_traite!C56</f>
        <v>HLESG000-ECS04-038</v>
      </c>
      <c r="D56" s="6" t="str">
        <f>[1]EAN13_traite!D56</f>
        <v>O bag summer '19</v>
      </c>
      <c r="E56" s="4" t="str">
        <f>[1]EAN13_traite!E56</f>
        <v>p038-1-05</v>
      </c>
      <c r="F56" s="4" t="str">
        <f>[1]EAN13_traite!F56</f>
        <v>ANSES LONGUES EN FAUX CUIR POMPON GRIS GRAPHITE</v>
      </c>
      <c r="G56" s="4" t="str">
        <f>[1]EAN13_traite!G56</f>
        <v>UNICA</v>
      </c>
      <c r="H56" s="4">
        <f>[1]EAN13_traite!H56</f>
        <v>0</v>
      </c>
      <c r="I56" s="4">
        <f>[1]EAN13_traite!I56</f>
        <v>0</v>
      </c>
      <c r="J56" s="3" t="str">
        <f t="shared" si="2"/>
        <v/>
      </c>
    </row>
    <row r="57" spans="1:10" ht="31.5" x14ac:dyDescent="0.45">
      <c r="A57" s="4">
        <f>[1]EAN13_traite!A57</f>
        <v>15</v>
      </c>
      <c r="B57" s="4">
        <f>[1]EAN13_traite!B57</f>
        <v>5</v>
      </c>
      <c r="C57" s="5" t="str">
        <f>[1]EAN13_traite!C57</f>
        <v>HLESGC00-ECS04-038</v>
      </c>
      <c r="D57" s="6" t="str">
        <f>[1]EAN13_traite!D57</f>
        <v>O bag summer '19</v>
      </c>
      <c r="E57" s="4" t="str">
        <f>[1]EAN13_traite!E57</f>
        <v>p048-1-05</v>
      </c>
      <c r="F57" s="4" t="str">
        <f>[1]EAN13_traite!F57</f>
        <v>ANSES COURTES EN FAUX CUIR POMPON GRIS GRAPHITE</v>
      </c>
      <c r="G57" s="4" t="str">
        <f>[1]EAN13_traite!G57</f>
        <v>UNICA</v>
      </c>
      <c r="H57" s="4">
        <f>[1]EAN13_traite!H57</f>
        <v>0</v>
      </c>
      <c r="I57" s="4">
        <f>[1]EAN13_traite!I57</f>
        <v>0</v>
      </c>
      <c r="J57" s="3" t="str">
        <f t="shared" si="2"/>
        <v/>
      </c>
    </row>
    <row r="58" spans="1:10" ht="31.5" x14ac:dyDescent="0.45">
      <c r="A58" s="4">
        <f>[1]EAN13_traite!A58</f>
        <v>18</v>
      </c>
      <c r="B58" s="4">
        <f>[1]EAN13_traite!B58</f>
        <v>21</v>
      </c>
      <c r="C58" s="5" t="str">
        <f>[1]EAN13_traite!C58</f>
        <v>HLESG000-ECS04-038</v>
      </c>
      <c r="D58" s="6" t="str">
        <f>[1]EAN13_traite!D58</f>
        <v>O bag summer 2018</v>
      </c>
      <c r="E58" s="4" t="str">
        <f>[1]EAN13_traite!E58</f>
        <v>p025-1-01</v>
      </c>
      <c r="F58" s="4" t="str">
        <f>[1]EAN13_traite!F58</f>
        <v>ANSES LONGUES EN FAUX CUIR POMPON GRIS GRAPHITE</v>
      </c>
      <c r="G58" s="4" t="str">
        <f>[1]EAN13_traite!G58</f>
        <v>UNICA</v>
      </c>
      <c r="H58" s="4">
        <f>[1]EAN13_traite!H58</f>
        <v>0</v>
      </c>
      <c r="I58" s="4">
        <f>[1]EAN13_traite!I58</f>
        <v>0</v>
      </c>
      <c r="J58" s="3" t="str">
        <f t="shared" si="2"/>
        <v/>
      </c>
    </row>
    <row r="59" spans="1:10" ht="31.5" x14ac:dyDescent="0.45">
      <c r="A59" s="4">
        <f>[1]EAN13_traite!A59</f>
        <v>15</v>
      </c>
      <c r="B59" s="4">
        <f>[1]EAN13_traite!B59</f>
        <v>5</v>
      </c>
      <c r="C59" s="5" t="str">
        <f>[1]EAN13_traite!C59</f>
        <v>HLESGC00-ECS04-038</v>
      </c>
      <c r="D59" s="6" t="str">
        <f>[1]EAN13_traite!D59</f>
        <v>O bag summer 2018</v>
      </c>
      <c r="E59" s="4" t="str">
        <f>[1]EAN13_traite!E59</f>
        <v>p039-1-01</v>
      </c>
      <c r="F59" s="4" t="str">
        <f>[1]EAN13_traite!F59</f>
        <v>ANSES COURTES EN FAUX CUIR POMPON GRIS GRAPHITE</v>
      </c>
      <c r="G59" s="4" t="str">
        <f>[1]EAN13_traite!G59</f>
        <v>UNICA</v>
      </c>
      <c r="H59" s="4">
        <f>[1]EAN13_traite!H59</f>
        <v>0</v>
      </c>
      <c r="I59" s="4">
        <f>[1]EAN13_traite!I59</f>
        <v>0</v>
      </c>
      <c r="J59" s="3" t="str">
        <f t="shared" si="2"/>
        <v/>
      </c>
    </row>
    <row r="60" spans="1:10" ht="31.5" x14ac:dyDescent="0.45">
      <c r="A60" s="4">
        <f>[1]EAN13_traite!A60</f>
        <v>23</v>
      </c>
      <c r="B60" s="4">
        <f>[1]EAN13_traite!B60</f>
        <v>16</v>
      </c>
      <c r="C60" s="5" t="str">
        <f>[1]EAN13_traite!C60</f>
        <v>OBAGB017-EVS00-540</v>
      </c>
      <c r="D60" s="6" t="str">
        <f>[1]EAN13_traite!D60</f>
        <v>O bag winter 2018</v>
      </c>
      <c r="E60" s="4" t="str">
        <f>[1]EAN13_traite!E60</f>
        <v>p010-1-05</v>
      </c>
      <c r="F60" s="4" t="str">
        <f>[1]EAN13_traite!F60</f>
        <v>CORPS O BAG MINI EVA COMPOUND CUIVRE</v>
      </c>
      <c r="G60" s="4" t="str">
        <f>[1]EAN13_traite!G60</f>
        <v>UNICA</v>
      </c>
      <c r="H60" s="4">
        <f>[1]EAN13_traite!H60</f>
        <v>0</v>
      </c>
      <c r="I60" s="4">
        <f>[1]EAN13_traite!I60</f>
        <v>0</v>
      </c>
      <c r="J60" s="3" t="str">
        <f t="shared" si="2"/>
        <v/>
      </c>
    </row>
  </sheetData>
  <conditionalFormatting sqref="A1:A60">
    <cfRule type="expression" dxfId="0" priority="1">
      <formula>$A1=$A2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2"/>
  <sheetViews>
    <sheetView tabSelected="1" topLeftCell="A4" workbookViewId="0">
      <selection activeCell="C31" sqref="C31"/>
    </sheetView>
  </sheetViews>
  <sheetFormatPr baseColWidth="10" defaultRowHeight="15" x14ac:dyDescent="0.25"/>
  <cols>
    <col min="1" max="1" width="9.7109375" customWidth="1"/>
    <col min="2" max="2" width="8.5703125" customWidth="1"/>
    <col min="9" max="9" width="15.85546875" bestFit="1" customWidth="1"/>
  </cols>
  <sheetData>
    <row r="1" spans="1:9" x14ac:dyDescent="0.25">
      <c r="A1" s="1">
        <f ca="1">INDIRECT("'"&amp;nomFichier&amp;"'!"&amp;CHAR(64+COLUMN(A1))&amp;ROUNDUP(ROW(A1)/2,0))</f>
        <v>1</v>
      </c>
      <c r="B1" s="1">
        <f ca="1">INDIRECT("'"&amp;nomFichier&amp;"'!"&amp;CHAR(64+COLUMN(B1))&amp;ROUNDUP(ROW(B1)/2,0))</f>
        <v>7</v>
      </c>
      <c r="C1" t="str">
        <f ca="1">INDIRECT("'"&amp;nomFichier&amp;"'!"&amp;CHAR(64+COLUMN(D1))&amp;ROUNDUP(ROW(D1)/2,0))</f>
        <v>OBAGB033-EVS00-017</v>
      </c>
      <c r="E1" t="str">
        <f ca="1">INDIRECT("'"&amp;nomFichier&amp;"'!"&amp;CHAR(64+COLUMN(F1))&amp;ROUNDUP(ROW(F1)/2,0))</f>
        <v>UNICA</v>
      </c>
      <c r="F1" s="9">
        <f ca="1">INDIRECT("'"&amp;nomFichier&amp;"'!"&amp;CHAR(64+COLUMN(G1))&amp;ROUNDUP(ROW(G1)/2,0))</f>
        <v>3</v>
      </c>
      <c r="G1" s="10">
        <f ca="1">INDIRECT("'"&amp;nomFichier&amp;"'!"&amp;CHAR(64+COLUMN(H1))&amp;ROUNDUP(ROW(H1)/2,0))</f>
        <v>14.16</v>
      </c>
      <c r="H1" s="11">
        <f ca="1">INDIRECT("'"&amp;nomFichier&amp;"'!"&amp;CHAR(64+COLUMN(I1))&amp;ROUNDUP(ROW(I1)/2,0))</f>
        <v>42.48</v>
      </c>
      <c r="I1" s="12" t="str">
        <f ca="1">IF(ISNUMBER(A2),codeEAN13(INT(A2/10)),"")</f>
        <v>8APASOG*adjged+</v>
      </c>
    </row>
    <row r="2" spans="1:9" x14ac:dyDescent="0.25">
      <c r="A2" s="13">
        <f ca="1">INDIRECT("'"&amp;nomFichier&amp;"'!"&amp;CHAR(64+COLUMN(C1))&amp;ROUNDUP(ROW(C1)/2,0))</f>
        <v>8050846039643</v>
      </c>
      <c r="B2" s="13"/>
      <c r="C2" s="8" t="str">
        <f ca="1">INDIRECT("'"&amp;nomFichier&amp;"'!"&amp;CHAR(64+COLUMN(E1))&amp;ROUNDUP(ROW(E1)/2,0))</f>
        <v>CORPS O BAG URBAN EVA COMPOUND NAVY</v>
      </c>
      <c r="G2">
        <f ca="1">INDIRECT("'"&amp;nomFichier&amp;"'!"&amp;CHAR(64+COLUMN(G2))&amp;ROUNDUP(ROW(G2)/2,0))</f>
        <v>3</v>
      </c>
      <c r="I2" s="12"/>
    </row>
    <row r="3" spans="1:9" x14ac:dyDescent="0.25">
      <c r="A3">
        <f ca="1">INDIRECT("'"&amp;nomFichier&amp;"'!"&amp;CHAR(64+COLUMN(A3))&amp;ROUNDUP(ROW(A3)/2,0))</f>
        <v>1</v>
      </c>
      <c r="B3" t="str">
        <f ca="1">INDIRECT("'"&amp;nomFichier&amp;"'!"&amp;CHAR(64+COLUMN(B3))&amp;ROUNDUP(ROW(B3)/2,0))</f>
        <v>Produit</v>
      </c>
      <c r="C3" t="str">
        <f ca="1">INDIRECT("'"&amp;nomFichier&amp;"'!"&amp;CHAR(64+COLUMN(C3))&amp;ROUNDUP(ROW(C3)/2,0))</f>
        <v>Code piece</v>
      </c>
      <c r="D3" t="str">
        <f ca="1">INDIRECT("'"&amp;nomFichier&amp;"'!"&amp;CHAR(64+COLUMN(D3))&amp;ROUNDUP(ROW(D3)/2,0))</f>
        <v>Couleur</v>
      </c>
      <c r="E3" t="str">
        <f ca="1">INDIRECT("'"&amp;nomFichier&amp;"'!"&amp;CHAR(64+COLUMN(E3))&amp;ROUNDUP(ROW(E3)/2,0))</f>
        <v>Taille</v>
      </c>
      <c r="F3" t="str">
        <f ca="1">INDIRECT("'"&amp;nomFichier&amp;"'!"&amp;CHAR(64+COLUMN(F3))&amp;ROUNDUP(ROW(F3)/2,0))</f>
        <v>Libelle</v>
      </c>
      <c r="G3" t="str">
        <f ca="1">INDIRECT("'"&amp;nomFichier&amp;"'!"&amp;CHAR(64+COLUMN(G3))&amp;ROUNDUP(ROW(G3)/2,0))</f>
        <v>Quantite</v>
      </c>
    </row>
    <row r="4" spans="1:9" x14ac:dyDescent="0.25">
      <c r="A4">
        <f ca="1">INDIRECT("'"&amp;nomFichier&amp;"'!"&amp;CHAR(64+COLUMN(A4))&amp;ROUNDUP(ROW(A4)/2,0))</f>
        <v>1</v>
      </c>
      <c r="B4" t="str">
        <f ca="1">INDIRECT("'"&amp;nomFichier&amp;"'!"&amp;CHAR(64+COLUMN(B4))&amp;ROUNDUP(ROW(B4)/2,0))</f>
        <v>Produit</v>
      </c>
      <c r="C4" t="str">
        <f ca="1">INDIRECT("'"&amp;nomFichier&amp;"'!"&amp;CHAR(64+COLUMN(C4))&amp;ROUNDUP(ROW(C4)/2,0))</f>
        <v>Code piece</v>
      </c>
      <c r="D4" t="str">
        <f ca="1">INDIRECT("'"&amp;nomFichier&amp;"'!"&amp;CHAR(64+COLUMN(D4))&amp;ROUNDUP(ROW(D4)/2,0))</f>
        <v>Couleur</v>
      </c>
      <c r="E4" t="str">
        <f ca="1">INDIRECT("'"&amp;nomFichier&amp;"'!"&amp;CHAR(64+COLUMN(E4))&amp;ROUNDUP(ROW(E4)/2,0))</f>
        <v>Taille</v>
      </c>
      <c r="F4" t="str">
        <f ca="1">INDIRECT("'"&amp;nomFichier&amp;"'!"&amp;CHAR(64+COLUMN(F4))&amp;ROUNDUP(ROW(F4)/2,0))</f>
        <v>Libelle</v>
      </c>
      <c r="G4" t="str">
        <f ca="1">INDIRECT("'"&amp;nomFichier&amp;"'!"&amp;CHAR(64+COLUMN(G4))&amp;ROUNDUP(ROW(G4)/2,0))</f>
        <v>Quantite</v>
      </c>
    </row>
    <row r="5" spans="1:9" x14ac:dyDescent="0.25">
      <c r="A5">
        <f ca="1">INDIRECT("'"&amp;nomFichier&amp;"'!"&amp;CHAR(64+COLUMN(A5))&amp;ROUNDUP(ROW(A5)/2,0))</f>
        <v>2</v>
      </c>
      <c r="B5" t="str">
        <f ca="1">INDIRECT("'"&amp;nomFichier&amp;"'!"&amp;CHAR(64+COLUMN(B5))&amp;ROUNDUP(ROW(B5)/2,0))</f>
        <v>Boutique</v>
      </c>
      <c r="C5">
        <f ca="1">INDIRECT("'"&amp;nomFichier&amp;"'!"&amp;CHAR(64+COLUMN(C5))&amp;ROUNDUP(ROW(C5)/2,0))</f>
        <v>0</v>
      </c>
      <c r="D5" t="str">
        <f ca="1">INDIRECT("'"&amp;nomFichier&amp;"'!"&amp;CHAR(64+COLUMN(D5))&amp;ROUNDUP(ROW(D5)/2,0))</f>
        <v>TOULOUSE</v>
      </c>
      <c r="E5">
        <f ca="1">INDIRECT("'"&amp;nomFichier&amp;"'!"&amp;CHAR(64+COLUMN(E5))&amp;ROUNDUP(ROW(E5)/2,0))</f>
        <v>0</v>
      </c>
      <c r="F5">
        <f ca="1">INDIRECT("'"&amp;nomFichier&amp;"'!"&amp;CHAR(64+COLUMN(F5))&amp;ROUNDUP(ROW(F5)/2,0))</f>
        <v>0</v>
      </c>
      <c r="G5">
        <f ca="1">INDIRECT("'"&amp;nomFichier&amp;"'!"&amp;CHAR(64+COLUMN(G5))&amp;ROUNDUP(ROW(G5)/2,0))</f>
        <v>0</v>
      </c>
    </row>
    <row r="6" spans="1:9" x14ac:dyDescent="0.25">
      <c r="A6">
        <f ca="1">INDIRECT("'"&amp;nomFichier&amp;"'!"&amp;CHAR(64+COLUMN(A6))&amp;ROUNDUP(ROW(A6)/2,0))</f>
        <v>2</v>
      </c>
      <c r="B6" t="str">
        <f ca="1">INDIRECT("'"&amp;nomFichier&amp;"'!"&amp;CHAR(64+COLUMN(B6))&amp;ROUNDUP(ROW(B6)/2,0))</f>
        <v>Boutique</v>
      </c>
      <c r="C6">
        <f ca="1">INDIRECT("'"&amp;nomFichier&amp;"'!"&amp;CHAR(64+COLUMN(C6))&amp;ROUNDUP(ROW(C6)/2,0))</f>
        <v>0</v>
      </c>
      <c r="D6" t="str">
        <f ca="1">INDIRECT("'"&amp;nomFichier&amp;"'!"&amp;CHAR(64+COLUMN(D6))&amp;ROUNDUP(ROW(D6)/2,0))</f>
        <v>TOULOUSE</v>
      </c>
      <c r="E6">
        <f ca="1">INDIRECT("'"&amp;nomFichier&amp;"'!"&amp;CHAR(64+COLUMN(E6))&amp;ROUNDUP(ROW(E6)/2,0))</f>
        <v>0</v>
      </c>
      <c r="F6">
        <f ca="1">INDIRECT("'"&amp;nomFichier&amp;"'!"&amp;CHAR(64+COLUMN(F6))&amp;ROUNDUP(ROW(F6)/2,0))</f>
        <v>0</v>
      </c>
      <c r="G6">
        <f ca="1">INDIRECT("'"&amp;nomFichier&amp;"'!"&amp;CHAR(64+COLUMN(G6))&amp;ROUNDUP(ROW(G6)/2,0))</f>
        <v>0</v>
      </c>
    </row>
    <row r="7" spans="1:9" x14ac:dyDescent="0.25">
      <c r="A7">
        <f ca="1">INDIRECT("'"&amp;nomFichier&amp;"'!"&amp;CHAR(64+COLUMN(A7))&amp;ROUNDUP(ROW(A7)/2,0))</f>
        <v>3</v>
      </c>
      <c r="B7" t="str">
        <f ca="1">INDIRECT("'"&amp;nomFichier&amp;"'!"&amp;CHAR(64+COLUMN(B7))&amp;ROUNDUP(ROW(B7)/2,0))</f>
        <v>Ref. facture</v>
      </c>
      <c r="C7">
        <f ca="1">INDIRECT("'"&amp;nomFichier&amp;"'!"&amp;CHAR(64+COLUMN(C7))&amp;ROUNDUP(ROW(C7)/2,0))</f>
        <v>0</v>
      </c>
      <c r="D7" t="str">
        <f ca="1">INDIRECT("'"&amp;nomFichier&amp;"'!"&amp;CHAR(64+COLUMN(D7))&amp;ROUNDUP(ROW(D7)/2,0))</f>
        <v>2018 321 2766 19/12/2018</v>
      </c>
      <c r="E7">
        <f ca="1">INDIRECT("'"&amp;nomFichier&amp;"'!"&amp;CHAR(64+COLUMN(E7))&amp;ROUNDUP(ROW(E7)/2,0))</f>
        <v>0</v>
      </c>
      <c r="F7">
        <f ca="1">INDIRECT("'"&amp;nomFichier&amp;"'!"&amp;CHAR(64+COLUMN(F7))&amp;ROUNDUP(ROW(F7)/2,0))</f>
        <v>0</v>
      </c>
      <c r="G7">
        <f ca="1">INDIRECT("'"&amp;nomFichier&amp;"'!"&amp;CHAR(64+COLUMN(G7))&amp;ROUNDUP(ROW(G7)/2,0))</f>
        <v>0</v>
      </c>
    </row>
    <row r="8" spans="1:9" x14ac:dyDescent="0.25">
      <c r="A8">
        <f ca="1">INDIRECT("'"&amp;nomFichier&amp;"'!"&amp;CHAR(64+COLUMN(A8))&amp;ROUNDUP(ROW(A8)/2,0))</f>
        <v>3</v>
      </c>
      <c r="B8" t="str">
        <f ca="1">INDIRECT("'"&amp;nomFichier&amp;"'!"&amp;CHAR(64+COLUMN(B8))&amp;ROUNDUP(ROW(B8)/2,0))</f>
        <v>Ref. facture</v>
      </c>
      <c r="C8">
        <f ca="1">INDIRECT("'"&amp;nomFichier&amp;"'!"&amp;CHAR(64+COLUMN(C8))&amp;ROUNDUP(ROW(C8)/2,0))</f>
        <v>0</v>
      </c>
      <c r="D8" t="str">
        <f ca="1">INDIRECT("'"&amp;nomFichier&amp;"'!"&amp;CHAR(64+COLUMN(D8))&amp;ROUNDUP(ROW(D8)/2,0))</f>
        <v>2018 321 2766 19/12/2018</v>
      </c>
      <c r="E8">
        <f ca="1">INDIRECT("'"&amp;nomFichier&amp;"'!"&amp;CHAR(64+COLUMN(E8))&amp;ROUNDUP(ROW(E8)/2,0))</f>
        <v>0</v>
      </c>
      <c r="F8">
        <f ca="1">INDIRECT("'"&amp;nomFichier&amp;"'!"&amp;CHAR(64+COLUMN(F8))&amp;ROUNDUP(ROW(F8)/2,0))</f>
        <v>0</v>
      </c>
      <c r="G8">
        <f ca="1">INDIRECT("'"&amp;nomFichier&amp;"'!"&amp;CHAR(64+COLUMN(G8))&amp;ROUNDUP(ROW(G8)/2,0))</f>
        <v>0</v>
      </c>
    </row>
    <row r="9" spans="1:9" x14ac:dyDescent="0.25">
      <c r="A9">
        <f ca="1">INDIRECT("'"&amp;nomFichier&amp;"'!"&amp;CHAR(64+COLUMN(A9))&amp;ROUNDUP(ROW(A9)/2,0))</f>
        <v>4</v>
      </c>
      <c r="B9" t="str">
        <f ca="1">INDIRECT("'"&amp;nomFichier&amp;"'!"&amp;CHAR(64+COLUMN(B9))&amp;ROUNDUP(ROW(B9)/2,0))</f>
        <v>Total facture</v>
      </c>
      <c r="C9">
        <f ca="1">INDIRECT("'"&amp;nomFichier&amp;"'!"&amp;CHAR(64+COLUMN(C9))&amp;ROUNDUP(ROW(C9)/2,0))</f>
        <v>0</v>
      </c>
      <c r="D9">
        <f ca="1">INDIRECT("'"&amp;nomFichier&amp;"'!"&amp;CHAR(64+COLUMN(D9))&amp;ROUNDUP(ROW(D9)/2,0))</f>
        <v>0</v>
      </c>
      <c r="E9">
        <f ca="1">INDIRECT("'"&amp;nomFichier&amp;"'!"&amp;CHAR(64+COLUMN(E9))&amp;ROUNDUP(ROW(E9)/2,0))</f>
        <v>0</v>
      </c>
      <c r="F9">
        <f ca="1">INDIRECT("'"&amp;nomFichier&amp;"'!"&amp;CHAR(64+COLUMN(F9))&amp;ROUNDUP(ROW(F9)/2,0))</f>
        <v>0</v>
      </c>
      <c r="G9">
        <f ca="1">INDIRECT("'"&amp;nomFichier&amp;"'!"&amp;CHAR(64+COLUMN(G9))&amp;ROUNDUP(ROW(G9)/2,0))</f>
        <v>0</v>
      </c>
    </row>
    <row r="10" spans="1:9" x14ac:dyDescent="0.25">
      <c r="A10">
        <f ca="1">INDIRECT("'"&amp;nomFichier&amp;"'!"&amp;CHAR(64+COLUMN(A10))&amp;ROUNDUP(ROW(A10)/2,0))</f>
        <v>4</v>
      </c>
      <c r="B10" t="str">
        <f ca="1">INDIRECT("'"&amp;nomFichier&amp;"'!"&amp;CHAR(64+COLUMN(B10))&amp;ROUNDUP(ROW(B10)/2,0))</f>
        <v>Total facture</v>
      </c>
      <c r="C10">
        <f ca="1">INDIRECT("'"&amp;nomFichier&amp;"'!"&amp;CHAR(64+COLUMN(C10))&amp;ROUNDUP(ROW(C10)/2,0))</f>
        <v>0</v>
      </c>
      <c r="D10">
        <f ca="1">INDIRECT("'"&amp;nomFichier&amp;"'!"&amp;CHAR(64+COLUMN(D10))&amp;ROUNDUP(ROW(D10)/2,0))</f>
        <v>0</v>
      </c>
      <c r="E10">
        <f ca="1">INDIRECT("'"&amp;nomFichier&amp;"'!"&amp;CHAR(64+COLUMN(E10))&amp;ROUNDUP(ROW(E10)/2,0))</f>
        <v>0</v>
      </c>
      <c r="F10">
        <f ca="1">INDIRECT("'"&amp;nomFichier&amp;"'!"&amp;CHAR(64+COLUMN(F10))&amp;ROUNDUP(ROW(F10)/2,0))</f>
        <v>0</v>
      </c>
      <c r="G10">
        <f ca="1">INDIRECT("'"&amp;nomFichier&amp;"'!"&amp;CHAR(64+COLUMN(G10))&amp;ROUNDUP(ROW(G10)/2,0))</f>
        <v>0</v>
      </c>
    </row>
    <row r="11" spans="1:9" x14ac:dyDescent="0.25">
      <c r="A11">
        <f ca="1">INDIRECT("'"&amp;nomFichier&amp;"'!"&amp;CHAR(64+COLUMN(A11))&amp;ROUNDUP(ROW(A11)/2,0))</f>
        <v>5</v>
      </c>
      <c r="B11" t="str">
        <f ca="1">INDIRECT("'"&amp;nomFichier&amp;"'!"&amp;CHAR(64+COLUMN(B11))&amp;ROUNDUP(ROW(B11)/2,0))</f>
        <v>Total produits</v>
      </c>
      <c r="C11">
        <f ca="1">INDIRECT("'"&amp;nomFichier&amp;"'!"&amp;CHAR(64+COLUMN(C11))&amp;ROUNDUP(ROW(C11)/2,0))</f>
        <v>0</v>
      </c>
      <c r="D11">
        <f ca="1">INDIRECT("'"&amp;nomFichier&amp;"'!"&amp;CHAR(64+COLUMN(D11))&amp;ROUNDUP(ROW(D11)/2,0))</f>
        <v>0</v>
      </c>
      <c r="E11">
        <f ca="1">INDIRECT("'"&amp;nomFichier&amp;"'!"&amp;CHAR(64+COLUMN(E11))&amp;ROUNDUP(ROW(E11)/2,0))</f>
        <v>0</v>
      </c>
      <c r="F11">
        <f ca="1">INDIRECT("'"&amp;nomFichier&amp;"'!"&amp;CHAR(64+COLUMN(F11))&amp;ROUNDUP(ROW(F11)/2,0))</f>
        <v>0</v>
      </c>
      <c r="G11">
        <f ca="1">INDIRECT("'"&amp;nomFichier&amp;"'!"&amp;CHAR(64+COLUMN(G11))&amp;ROUNDUP(ROW(G11)/2,0))</f>
        <v>0</v>
      </c>
    </row>
    <row r="12" spans="1:9" x14ac:dyDescent="0.25">
      <c r="A12">
        <f ca="1">INDIRECT("'"&amp;nomFichier&amp;"'!"&amp;CHAR(64+COLUMN(A12))&amp;ROUNDUP(ROW(A12)/2,0))</f>
        <v>5</v>
      </c>
      <c r="B12" t="str">
        <f ca="1">INDIRECT("'"&amp;nomFichier&amp;"'!"&amp;CHAR(64+COLUMN(B12))&amp;ROUNDUP(ROW(B12)/2,0))</f>
        <v>Total produits</v>
      </c>
      <c r="C12">
        <f ca="1">INDIRECT("'"&amp;nomFichier&amp;"'!"&amp;CHAR(64+COLUMN(C12))&amp;ROUNDUP(ROW(C12)/2,0))</f>
        <v>0</v>
      </c>
      <c r="D12">
        <f ca="1">INDIRECT("'"&amp;nomFichier&amp;"'!"&amp;CHAR(64+COLUMN(D12))&amp;ROUNDUP(ROW(D12)/2,0))</f>
        <v>0</v>
      </c>
      <c r="E12">
        <f ca="1">INDIRECT("'"&amp;nomFichier&amp;"'!"&amp;CHAR(64+COLUMN(E12))&amp;ROUNDUP(ROW(E12)/2,0))</f>
        <v>0</v>
      </c>
      <c r="F12">
        <f ca="1">INDIRECT("'"&amp;nomFichier&amp;"'!"&amp;CHAR(64+COLUMN(F12))&amp;ROUNDUP(ROW(F12)/2,0))</f>
        <v>0</v>
      </c>
      <c r="G12">
        <f ca="1">INDIRECT("'"&amp;nomFichier&amp;"'!"&amp;CHAR(64+COLUMN(G12))&amp;ROUNDUP(ROW(G12)/2,0))</f>
        <v>0</v>
      </c>
    </row>
    <row r="13" spans="1:9" x14ac:dyDescent="0.25">
      <c r="A13">
        <f ca="1">INDIRECT("'"&amp;nomFichier&amp;"'!"&amp;CHAR(64+COLUMN(A13))&amp;ROUNDUP(ROW(A13)/2,0))</f>
        <v>6</v>
      </c>
      <c r="B13" t="str">
        <f ca="1">INDIRECT("'"&amp;nomFichier&amp;"'!"&amp;CHAR(64+COLUMN(B13))&amp;ROUNDUP(ROW(B13)/2,0))</f>
        <v>Cumul montant</v>
      </c>
      <c r="C13">
        <f ca="1">INDIRECT("'"&amp;nomFichier&amp;"'!"&amp;CHAR(64+COLUMN(C13))&amp;ROUNDUP(ROW(C13)/2,0))</f>
        <v>0</v>
      </c>
      <c r="D13" t="str">
        <f ca="1">INDIRECT("'"&amp;nomFichier&amp;"'!"&amp;CHAR(64+COLUMN(D13))&amp;ROUNDUP(ROW(D13)/2,0))</f>
        <v>1334.41</v>
      </c>
      <c r="E13">
        <f ca="1">INDIRECT("'"&amp;nomFichier&amp;"'!"&amp;CHAR(64+COLUMN(E13))&amp;ROUNDUP(ROW(E13)/2,0))</f>
        <v>0</v>
      </c>
      <c r="F13" t="str">
        <f ca="1">INDIRECT("'"&amp;nomFichier&amp;"'!"&amp;CHAR(64+COLUMN(F13))&amp;ROUNDUP(ROW(F13)/2,0))</f>
        <v>Etat courant = 'fichierTraite'</v>
      </c>
      <c r="G13">
        <f ca="1">INDIRECT("'"&amp;nomFichier&amp;"'!"&amp;CHAR(64+COLUMN(G13))&amp;ROUNDUP(ROW(G13)/2,0))</f>
        <v>0</v>
      </c>
    </row>
    <row r="14" spans="1:9" x14ac:dyDescent="0.25">
      <c r="A14">
        <f ca="1">INDIRECT("'"&amp;nomFichier&amp;"'!"&amp;CHAR(64+COLUMN(A14))&amp;ROUNDUP(ROW(A14)/2,0))</f>
        <v>6</v>
      </c>
      <c r="B14" t="str">
        <f ca="1">INDIRECT("'"&amp;nomFichier&amp;"'!"&amp;CHAR(64+COLUMN(B14))&amp;ROUNDUP(ROW(B14)/2,0))</f>
        <v>Cumul montant</v>
      </c>
      <c r="C14">
        <f ca="1">INDIRECT("'"&amp;nomFichier&amp;"'!"&amp;CHAR(64+COLUMN(C14))&amp;ROUNDUP(ROW(C14)/2,0))</f>
        <v>0</v>
      </c>
      <c r="D14" t="str">
        <f ca="1">INDIRECT("'"&amp;nomFichier&amp;"'!"&amp;CHAR(64+COLUMN(D14))&amp;ROUNDUP(ROW(D14)/2,0))</f>
        <v>1334.41</v>
      </c>
      <c r="E14">
        <f ca="1">INDIRECT("'"&amp;nomFichier&amp;"'!"&amp;CHAR(64+COLUMN(E14))&amp;ROUNDUP(ROW(E14)/2,0))</f>
        <v>0</v>
      </c>
      <c r="F14" t="str">
        <f ca="1">INDIRECT("'"&amp;nomFichier&amp;"'!"&amp;CHAR(64+COLUMN(F14))&amp;ROUNDUP(ROW(F14)/2,0))</f>
        <v>Etat courant = 'fichierTraite'</v>
      </c>
      <c r="G14">
        <f ca="1">INDIRECT("'"&amp;nomFichier&amp;"'!"&amp;CHAR(64+COLUMN(G14))&amp;ROUNDUP(ROW(G14)/2,0))</f>
        <v>0</v>
      </c>
    </row>
    <row r="15" spans="1:9" x14ac:dyDescent="0.25">
      <c r="A15">
        <f ca="1">INDIRECT("'"&amp;nomFichier&amp;"'!"&amp;CHAR(64+COLUMN(A15))&amp;ROUNDUP(ROW(A15)/2,0))</f>
        <v>7</v>
      </c>
      <c r="B15" t="str">
        <f ca="1">INDIRECT("'"&amp;nomFichier&amp;"'!"&amp;CHAR(64+COLUMN(B15))&amp;ROUNDUP(ROW(B15)/2,0))</f>
        <v>ANOMALIE MONTANT</v>
      </c>
      <c r="C15">
        <f ca="1">INDIRECT("'"&amp;nomFichier&amp;"'!"&amp;CHAR(64+COLUMN(C15))&amp;ROUNDUP(ROW(C15)/2,0))</f>
        <v>0</v>
      </c>
      <c r="D15" t="str">
        <f ca="1">INDIRECT("'"&amp;nomFichier&amp;"'!"&amp;CHAR(64+COLUMN(D15))&amp;ROUNDUP(ROW(D15)/2,0))</f>
        <v>1334.41</v>
      </c>
      <c r="E15">
        <f ca="1">INDIRECT("'"&amp;nomFichier&amp;"'!"&amp;CHAR(64+COLUMN(E15))&amp;ROUNDUP(ROW(E15)/2,0))</f>
        <v>0</v>
      </c>
      <c r="F15">
        <f ca="1">INDIRECT("'"&amp;nomFichier&amp;"'!"&amp;CHAR(64+COLUMN(F15))&amp;ROUNDUP(ROW(F15)/2,0))</f>
        <v>0</v>
      </c>
      <c r="G15">
        <f ca="1">INDIRECT("'"&amp;nomFichier&amp;"'!"&amp;CHAR(64+COLUMN(G15))&amp;ROUNDUP(ROW(G15)/2,0))</f>
        <v>0</v>
      </c>
    </row>
    <row r="16" spans="1:9" x14ac:dyDescent="0.25">
      <c r="A16">
        <f ca="1">INDIRECT("'"&amp;nomFichier&amp;"'!"&amp;CHAR(64+COLUMN(A16))&amp;ROUNDUP(ROW(A16)/2,0))</f>
        <v>7</v>
      </c>
      <c r="B16" t="str">
        <f ca="1">INDIRECT("'"&amp;nomFichier&amp;"'!"&amp;CHAR(64+COLUMN(B16))&amp;ROUNDUP(ROW(B16)/2,0))</f>
        <v>ANOMALIE MONTANT</v>
      </c>
      <c r="C16">
        <f ca="1">INDIRECT("'"&amp;nomFichier&amp;"'!"&amp;CHAR(64+COLUMN(C16))&amp;ROUNDUP(ROW(C16)/2,0))</f>
        <v>0</v>
      </c>
      <c r="D16" t="str">
        <f ca="1">INDIRECT("'"&amp;nomFichier&amp;"'!"&amp;CHAR(64+COLUMN(D16))&amp;ROUNDUP(ROW(D16)/2,0))</f>
        <v>1334.41</v>
      </c>
      <c r="E16">
        <f ca="1">INDIRECT("'"&amp;nomFichier&amp;"'!"&amp;CHAR(64+COLUMN(E16))&amp;ROUNDUP(ROW(E16)/2,0))</f>
        <v>0</v>
      </c>
      <c r="F16">
        <f ca="1">INDIRECT("'"&amp;nomFichier&amp;"'!"&amp;CHAR(64+COLUMN(F16))&amp;ROUNDUP(ROW(F16)/2,0))</f>
        <v>0</v>
      </c>
      <c r="G16">
        <f ca="1">INDIRECT("'"&amp;nomFichier&amp;"'!"&amp;CHAR(64+COLUMN(G16))&amp;ROUNDUP(ROW(G16)/2,0))</f>
        <v>0</v>
      </c>
    </row>
    <row r="17" spans="1:9" x14ac:dyDescent="0.25">
      <c r="A17">
        <f ca="1">INDIRECT("'"&amp;nomFichier&amp;"'!"&amp;CHAR(64+COLUMN(A17))&amp;ROUNDUP(ROW(A17)/2,0))</f>
        <v>8</v>
      </c>
      <c r="B17">
        <f ca="1">INDIRECT("'"&amp;nomFichier&amp;"'!"&amp;CHAR(64+COLUMN(B17))&amp;ROUNDUP(ROW(B17)/2,0))</f>
        <v>0</v>
      </c>
      <c r="C17">
        <f ca="1">INDIRECT("'"&amp;nomFichier&amp;"'!"&amp;CHAR(64+COLUMN(C17))&amp;ROUNDUP(ROW(C17)/2,0))</f>
        <v>0</v>
      </c>
      <c r="D17">
        <f ca="1">INDIRECT("'"&amp;nomFichier&amp;"'!"&amp;CHAR(64+COLUMN(D17))&amp;ROUNDUP(ROW(D17)/2,0))</f>
        <v>0</v>
      </c>
      <c r="E17">
        <f ca="1">INDIRECT("'"&amp;nomFichier&amp;"'!"&amp;CHAR(64+COLUMN(E17))&amp;ROUNDUP(ROW(E17)/2,0))</f>
        <v>0</v>
      </c>
      <c r="F17">
        <f ca="1">INDIRECT("'"&amp;nomFichier&amp;"'!"&amp;CHAR(64+COLUMN(F17))&amp;ROUNDUP(ROW(F17)/2,0))</f>
        <v>0</v>
      </c>
      <c r="G17">
        <f ca="1">INDIRECT("'"&amp;nomFichier&amp;"'!"&amp;CHAR(64+COLUMN(G17))&amp;ROUNDUP(ROW(G17)/2,0))</f>
        <v>0</v>
      </c>
    </row>
    <row r="18" spans="1:9" x14ac:dyDescent="0.25">
      <c r="A18">
        <f ca="1">INDIRECT("'"&amp;nomFichier&amp;"'!"&amp;CHAR(64+COLUMN(A18))&amp;ROUNDUP(ROW(A18)/2,0))</f>
        <v>8</v>
      </c>
      <c r="B18">
        <f ca="1">INDIRECT("'"&amp;nomFichier&amp;"'!"&amp;CHAR(64+COLUMN(B18))&amp;ROUNDUP(ROW(B18)/2,0))</f>
        <v>0</v>
      </c>
      <c r="C18">
        <f ca="1">INDIRECT("'"&amp;nomFichier&amp;"'!"&amp;CHAR(64+COLUMN(C18))&amp;ROUNDUP(ROW(C18)/2,0))</f>
        <v>0</v>
      </c>
      <c r="D18">
        <f ca="1">INDIRECT("'"&amp;nomFichier&amp;"'!"&amp;CHAR(64+COLUMN(D18))&amp;ROUNDUP(ROW(D18)/2,0))</f>
        <v>0</v>
      </c>
      <c r="E18">
        <f ca="1">INDIRECT("'"&amp;nomFichier&amp;"'!"&amp;CHAR(64+COLUMN(E18))&amp;ROUNDUP(ROW(E18)/2,0))</f>
        <v>0</v>
      </c>
      <c r="F18">
        <f ca="1">INDIRECT("'"&amp;nomFichier&amp;"'!"&amp;CHAR(64+COLUMN(F18))&amp;ROUNDUP(ROW(F18)/2,0))</f>
        <v>0</v>
      </c>
      <c r="G18">
        <f ca="1">INDIRECT("'"&amp;nomFichier&amp;"'!"&amp;CHAR(64+COLUMN(G18))&amp;ROUNDUP(ROW(G18)/2,0))</f>
        <v>0</v>
      </c>
    </row>
    <row r="19" spans="1:9" x14ac:dyDescent="0.25">
      <c r="A19" t="str">
        <f ca="1">INDIRECT("'"&amp;nomFichier&amp;"'!"&amp;CHAR(64+COLUMN(A19))&amp;ROUNDUP(ROW(A19)/2,0))</f>
        <v>EAN13</v>
      </c>
      <c r="B19">
        <f ca="1">INDIRECT("'"&amp;nomFichier&amp;"'!"&amp;CHAR(64+COLUMN(B19))&amp;ROUNDUP(ROW(B19)/2,0))</f>
        <v>0</v>
      </c>
      <c r="C19">
        <f ca="1">INDIRECT("'"&amp;nomFichier&amp;"'!"&amp;CHAR(64+COLUMN(C19))&amp;ROUNDUP(ROW(C19)/2,0))</f>
        <v>0</v>
      </c>
      <c r="D19">
        <f ca="1">INDIRECT("'"&amp;nomFichier&amp;"'!"&amp;CHAR(64+COLUMN(D19))&amp;ROUNDUP(ROW(D19)/2,0))</f>
        <v>0</v>
      </c>
      <c r="E19">
        <f ca="1">INDIRECT("'"&amp;nomFichier&amp;"'!"&amp;CHAR(64+COLUMN(E19))&amp;ROUNDUP(ROW(E19)/2,0))</f>
        <v>0</v>
      </c>
      <c r="F19">
        <f ca="1">INDIRECT("'"&amp;nomFichier&amp;"'!"&amp;CHAR(64+COLUMN(F19))&amp;ROUNDUP(ROW(F19)/2,0))</f>
        <v>0</v>
      </c>
      <c r="G19">
        <f ca="1">INDIRECT("'"&amp;nomFichier&amp;"'!"&amp;CHAR(64+COLUMN(G19))&amp;ROUNDUP(ROW(G19)/2,0))</f>
        <v>0</v>
      </c>
    </row>
    <row r="20" spans="1:9" x14ac:dyDescent="0.25">
      <c r="A20" t="str">
        <f ca="1">INDIRECT("'"&amp;nomFichier&amp;"'!"&amp;CHAR(64+COLUMN(A20))&amp;ROUNDUP(ROW(A20)/2,0))</f>
        <v>EAN13</v>
      </c>
      <c r="B20">
        <f ca="1">INDIRECT("'"&amp;nomFichier&amp;"'!"&amp;CHAR(64+COLUMN(B20))&amp;ROUNDUP(ROW(B20)/2,0))</f>
        <v>0</v>
      </c>
      <c r="C20">
        <f ca="1">INDIRECT("'"&amp;nomFichier&amp;"'!"&amp;CHAR(64+COLUMN(C20))&amp;ROUNDUP(ROW(C20)/2,0))</f>
        <v>0</v>
      </c>
      <c r="D20">
        <f ca="1">INDIRECT("'"&amp;nomFichier&amp;"'!"&amp;CHAR(64+COLUMN(D20))&amp;ROUNDUP(ROW(D20)/2,0))</f>
        <v>0</v>
      </c>
      <c r="E20">
        <f ca="1">INDIRECT("'"&amp;nomFichier&amp;"'!"&amp;CHAR(64+COLUMN(E20))&amp;ROUNDUP(ROW(E20)/2,0))</f>
        <v>0</v>
      </c>
      <c r="F20">
        <f ca="1">INDIRECT("'"&amp;nomFichier&amp;"'!"&amp;CHAR(64+COLUMN(F20))&amp;ROUNDUP(ROW(F20)/2,0))</f>
        <v>0</v>
      </c>
      <c r="G20">
        <f ca="1">INDIRECT("'"&amp;nomFichier&amp;"'!"&amp;CHAR(64+COLUMN(G20))&amp;ROUNDUP(ROW(G20)/2,0))</f>
        <v>0</v>
      </c>
    </row>
    <row r="21" spans="1:9" x14ac:dyDescent="0.25">
      <c r="A21" s="1">
        <f ca="1">INDIRECT("'"&amp;nomFichier&amp;"'!"&amp;CHAR(64+COLUMN(A21))&amp;ROUNDUP(ROW(A21)/2,0))</f>
        <v>1</v>
      </c>
      <c r="B21" s="1">
        <f ca="1">INDIRECT("'"&amp;nomFichier&amp;"'!"&amp;CHAR(64+COLUMN(B21))&amp;ROUNDUP(ROW(B21)/2,0))</f>
        <v>7</v>
      </c>
      <c r="C21" t="str">
        <f ca="1">INDIRECT("'"&amp;nomFichier&amp;"'!"&amp;CHAR(64+COLUMN(D21))&amp;ROUNDUP(ROW(D21)/2,0))</f>
        <v>OBAGB033-EVS00-017</v>
      </c>
      <c r="E21" t="str">
        <f ca="1">INDIRECT("'"&amp;nomFichier&amp;"'!"&amp;CHAR(64+COLUMN(F21))&amp;ROUNDUP(ROW(F21)/2,0))</f>
        <v>UNICA</v>
      </c>
      <c r="F21" s="9">
        <f ca="1">INDIRECT("'"&amp;nomFichier&amp;"'!"&amp;CHAR(64+COLUMN(G21))&amp;ROUNDUP(ROW(G21)/2,0))</f>
        <v>3</v>
      </c>
      <c r="G21" s="10">
        <f ca="1">INDIRECT("'"&amp;nomFichier&amp;"'!"&amp;CHAR(64+COLUMN(H21))&amp;ROUNDUP(ROW(H21)/2,0))</f>
        <v>14.16</v>
      </c>
      <c r="H21" s="11">
        <f ca="1">INDIRECT("'"&amp;nomFichier&amp;"'!"&amp;CHAR(64+COLUMN(I21))&amp;ROUNDUP(ROW(I21)/2,0))</f>
        <v>42.48</v>
      </c>
      <c r="I21" s="12" t="str">
        <f ca="1">IF(ISNUMBER(A22),codeEAN13(INT(A22/10)),"")</f>
        <v>8APASOG*adjged+</v>
      </c>
    </row>
    <row r="22" spans="1:9" x14ac:dyDescent="0.25">
      <c r="A22" s="13">
        <f ca="1">INDIRECT("'"&amp;nomFichier&amp;"'!"&amp;CHAR(64+COLUMN(C21))&amp;ROUNDUP(ROW(C21)/2,0))</f>
        <v>8050846039643</v>
      </c>
      <c r="B22" s="13"/>
      <c r="C22" s="8" t="str">
        <f ca="1">INDIRECT("'"&amp;nomFichier&amp;"'!"&amp;CHAR(64+COLUMN(E21))&amp;ROUNDUP(ROW(E21)/2,0))</f>
        <v>CORPS O BAG URBAN EVA COMPOUND NAVY</v>
      </c>
      <c r="G22">
        <f ca="1">INDIRECT("'"&amp;nomFichier&amp;"'!"&amp;CHAR(64+COLUMN(G22))&amp;ROUNDUP(ROW(G22)/2,0))</f>
        <v>3</v>
      </c>
      <c r="I22" s="12"/>
    </row>
  </sheetData>
  <mergeCells count="4">
    <mergeCell ref="A22:B22"/>
    <mergeCell ref="I1:I2"/>
    <mergeCell ref="A2:B2"/>
    <mergeCell ref="I21:I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Feuil1</vt:lpstr>
      <vt:lpstr>Feuil2</vt:lpstr>
      <vt:lpstr>nomFichier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NB TA) - AF</dc:creator>
  <cp:lastModifiedBy>Lestang, Jean (DI NB TA) - AF</cp:lastModifiedBy>
  <dcterms:created xsi:type="dcterms:W3CDTF">2019-01-26T14:59:38Z</dcterms:created>
  <dcterms:modified xsi:type="dcterms:W3CDTF">2019-01-26T16:35:49Z</dcterms:modified>
</cp:coreProperties>
</file>